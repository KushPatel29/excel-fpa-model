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Consolidation" sheetId="3" state="visible" r:id="rId5"/>
    <sheet name="Statements" sheetId="4" state="visible" r:id="rId6"/>
    <sheet name="Reforecast" sheetId="5" state="visible" r:id="rId7"/>
    <sheet name="Build" sheetId="6" state="visible" r:id="rId8"/>
    <sheet name="Opex" sheetId="7" state="visible" r:id="rId9"/>
    <sheet name="Data_Base" sheetId="8" state="visible" r:id="rId10"/>
    <sheet name="Data_Q1" sheetId="9" state="visible" r:id="rId11"/>
    <sheet name="Checks" sheetId="10" state="visible" r:id="rId12"/>
  </sheets>
  <definedNames>
    <definedName function="false" hidden="false" name="checks_passing" vbProcedure="false">Checks!$B$21</definedName>
    <definedName function="false" hidden="false" name="rf_ebitda" vbProcedure="false">Reforecast!$C$30</definedName>
    <definedName function="false" hidden="false" name="v2_ebitda" vbProcedure="false">Consolidation!$E$11</definedName>
    <definedName function="false" hidden="false" name="v2_revenue" vbProcedure="false">Consolidation!$E$6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<sst xmlns="http://schemas.openxmlformats.org/spreadsheetml/2006/main" count="520" uniqueCount="224">
  <si>
    <t xml:space="preserve">Kestrel Bay Provisions: FY2027 budget cycle</t>
  </si>
  <si>
    <t xml:space="preserve">Synthetic BC food distributor. Every figure is a formula.</t>
  </si>
  <si>
    <t xml:space="preserve">The cycle</t>
  </si>
  <si>
    <t xml:space="preserve">V0 targets</t>
  </si>
  <si>
    <t xml:space="preserve">Leadership sets revenue growth and an EBITDA margin on the last twelve months.</t>
  </si>
  <si>
    <t xml:space="preserve">V1 submissions</t>
  </si>
  <si>
    <t xml:space="preserve">Sales submit channel volumes and category prices; procurement, cost inflation; logistics, freight; department heads, opex and hires. Phased on 2025's seasonality.</t>
  </si>
  <si>
    <t xml:space="preserve">Consolidation</t>
  </si>
  <si>
    <t xml:space="preserve">Bottom-up against top-down: the gap, in revenue and EBITDA.</t>
  </si>
  <si>
    <t xml:space="preserve">V2 challenge</t>
  </si>
  <si>
    <t xml:space="preserve">Foodservice price on beef and seafood, one hire deferred, warehouse non-pay cut, technology growth capped. V2 is the approved budget.</t>
  </si>
  <si>
    <t xml:space="preserve">Three statements</t>
  </si>
  <si>
    <t xml:space="preserve">Monthly P&amp;L, balance sheet and cash flow for the approved budget, with a revolver.</t>
  </si>
  <si>
    <t xml:space="preserve">3+9 reforecast</t>
  </si>
  <si>
    <t xml:space="preserve">After Q1: actuals, then nine months re-driven by Q1's run-rates, and the bridge.</t>
  </si>
  <si>
    <t xml:space="preserve">FY2027</t>
  </si>
  <si>
    <t xml:space="preserve">Net revenue</t>
  </si>
  <si>
    <t xml:space="preserve">EBITDA</t>
  </si>
  <si>
    <t xml:space="preserve">EBITDA margin</t>
  </si>
  <si>
    <t xml:space="preserve">Last twelve months (base)</t>
  </si>
  <si>
    <t xml:space="preserve">V0 target</t>
  </si>
  <si>
    <t xml:space="preserve">V1 bottom-up</t>
  </si>
  <si>
    <t xml:space="preserve">V2 approved</t>
  </si>
  <si>
    <t xml:space="preserve">Reforecast 3+9</t>
  </si>
  <si>
    <t xml:space="preserve">Approved EBITDA still short of target by</t>
  </si>
  <si>
    <t xml:space="preserve">Further price needed from the effective month to close it</t>
  </si>
  <si>
    <t xml:space="preserve">Net income, approved budget</t>
  </si>
  <si>
    <t xml:space="preserve">Closing revolver / cash</t>
  </si>
  <si>
    <t xml:space="preserve">Checks passing</t>
  </si>
  <si>
    <t xml:space="preserve">of 15</t>
  </si>
  <si>
    <t xml:space="preserve">Assumptions: every input to the FY2027 cycle</t>
  </si>
  <si>
    <t xml:space="preserve">Blue on yellow is an input. Every other number in the workbook is a formula over these and the data sheets.</t>
  </si>
  <si>
    <t xml:space="preserve">Fiscal year</t>
  </si>
  <si>
    <t xml:space="preserve">V0  Top-down targets</t>
  </si>
  <si>
    <t xml:space="preserve">Revenue growth on the last twelve months</t>
  </si>
  <si>
    <t xml:space="preserve">V1  Category submissions (sales and procurement); V2 challenge</t>
  </si>
  <si>
    <t xml:space="preserve">Category</t>
  </si>
  <si>
    <t xml:space="preserve">V1 price increase</t>
  </si>
  <si>
    <t xml:space="preserve">V1 cost inflation</t>
  </si>
  <si>
    <t xml:space="preserve">V2 extra price, foodservice</t>
  </si>
  <si>
    <t xml:space="preserve">Beef</t>
  </si>
  <si>
    <t xml:space="preserve">Pork</t>
  </si>
  <si>
    <t xml:space="preserve">Poultry</t>
  </si>
  <si>
    <t xml:space="preserve">Seafood</t>
  </si>
  <si>
    <t xml:space="preserve">Charcuterie</t>
  </si>
  <si>
    <t xml:space="preserve">Cheese &amp; Dairy</t>
  </si>
  <si>
    <t xml:space="preserve">V1  Channel submissions (sales)</t>
  </si>
  <si>
    <t xml:space="preserve">Channel</t>
  </si>
  <si>
    <t xml:space="preserve">V1 volume growth</t>
  </si>
  <si>
    <t xml:space="preserve">Foodservice (1 = yes)</t>
  </si>
  <si>
    <t xml:space="preserve">Restaurants</t>
  </si>
  <si>
    <t xml:space="preserve">Grocery Retail</t>
  </si>
  <si>
    <t xml:space="preserve">Hotels &amp; Institutions</t>
  </si>
  <si>
    <t xml:space="preserve">Online Direct</t>
  </si>
  <si>
    <t xml:space="preserve">V1  Department submissions; V2 challenge</t>
  </si>
  <si>
    <t xml:space="preserve">Department</t>
  </si>
  <si>
    <t xml:space="preserve">V1 opex growth</t>
  </si>
  <si>
    <t xml:space="preserve">V2 growth cap</t>
  </si>
  <si>
    <t xml:space="preserve">V2 cut to base</t>
  </si>
  <si>
    <t xml:space="preserve">Sales &amp; Marketing</t>
  </si>
  <si>
    <t xml:space="preserve">Warehouse &amp; Logistics</t>
  </si>
  <si>
    <t xml:space="preserve">General &amp; Admin</t>
  </si>
  <si>
    <t xml:space="preserve">Technology</t>
  </si>
  <si>
    <t xml:space="preserve">V1  New hires; V2 timing</t>
  </si>
  <si>
    <t xml:space="preserve">FTE</t>
  </si>
  <si>
    <t xml:space="preserve">Annual loaded cost</t>
  </si>
  <si>
    <t xml:space="preserve">Start month V1</t>
  </si>
  <si>
    <t xml:space="preserve">Start month V2</t>
  </si>
  <si>
    <t xml:space="preserve">Start used in V2</t>
  </si>
  <si>
    <t xml:space="preserve">Timing and freight</t>
  </si>
  <si>
    <t xml:space="preserve">Price increases take effect in month</t>
  </si>
  <si>
    <t xml:space="preserve">Freight inflation</t>
  </si>
  <si>
    <t xml:space="preserve">Balance sheet and financing</t>
  </si>
  <si>
    <t xml:space="preserve">Opening cash</t>
  </si>
  <si>
    <t xml:space="preserve">Minimum cash</t>
  </si>
  <si>
    <t xml:space="preserve">Opening revolver</t>
  </si>
  <si>
    <t xml:space="preserve">Revolver rate</t>
  </si>
  <si>
    <t xml:space="preserve">Opening PP&amp;E, net</t>
  </si>
  <si>
    <t xml:space="preserve">D&amp;A on existing assets, per month</t>
  </si>
  <si>
    <t xml:space="preserve">Useful life of new capex, months</t>
  </si>
  <si>
    <t xml:space="preserve">Tax rate</t>
  </si>
  <si>
    <t xml:space="preserve">Days sales outstanding</t>
  </si>
  <si>
    <t xml:space="preserve">Days inventory outstanding</t>
  </si>
  <si>
    <t xml:space="preserve">Days payables outstanding</t>
  </si>
  <si>
    <t xml:space="preserve">Capex by month</t>
  </si>
  <si>
    <t xml:space="preserve">Capex</t>
  </si>
  <si>
    <t xml:space="preserve">Consolidation: top-down meets bottom-up</t>
  </si>
  <si>
    <t xml:space="preserve">V0 is what leadership asked for, V1 what the business submitted, V2 what the challenge round approved.</t>
  </si>
  <si>
    <t xml:space="preserve">Last 12 months</t>
  </si>
  <si>
    <t xml:space="preserve">COGS</t>
  </si>
  <si>
    <t xml:space="preserve">Freight</t>
  </si>
  <si>
    <t xml:space="preserve">Gross margin</t>
  </si>
  <si>
    <t xml:space="preserve">Opex</t>
  </si>
  <si>
    <t xml:space="preserve">Gap to target</t>
  </si>
  <si>
    <t xml:space="preserve">Revenue</t>
  </si>
  <si>
    <t xml:space="preserve">Challenge round: V1 to V2 EBITDA</t>
  </si>
  <si>
    <t xml:space="preserve">Foodservice price on beef and seafood</t>
  </si>
  <si>
    <t xml:space="preserve">Opex: Sales &amp; Marketing</t>
  </si>
  <si>
    <t xml:space="preserve">Opex: Warehouse &amp; Logistics</t>
  </si>
  <si>
    <t xml:space="preserve">Opex: General &amp; Admin</t>
  </si>
  <si>
    <t xml:space="preserve">Opex: Technology</t>
  </si>
  <si>
    <t xml:space="preserve">V1 to V2, total</t>
  </si>
  <si>
    <t xml:space="preserve">What closing the rest would take</t>
  </si>
  <si>
    <t xml:space="preserve">Further price on every line from the effective month, to reach the EBITDA target</t>
  </si>
  <si>
    <t xml:space="preserve">Three statements: the approved budget (V2), monthly</t>
  </si>
  <si>
    <t xml:space="preserve">Interest accrues on the opening revolver, so there is no circular reference. The revolver draws to hold minimum cash and repays from any surplus.</t>
  </si>
  <si>
    <t xml:space="preserve">Opening</t>
  </si>
  <si>
    <t xml:space="preserve">Income statement</t>
  </si>
  <si>
    <t xml:space="preserve">Depreciation &amp; amortisation</t>
  </si>
  <si>
    <t xml:space="preserve">EBIT</t>
  </si>
  <si>
    <t xml:space="preserve">Interest</t>
  </si>
  <si>
    <t xml:space="preserve">Pre-tax income</t>
  </si>
  <si>
    <t xml:space="preserve">Tax</t>
  </si>
  <si>
    <t xml:space="preserve">Net income</t>
  </si>
  <si>
    <t xml:space="preserve">Days in month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</si>
  <si>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</si>
  <si>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</si>
  <si>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</si>
  <si>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</si>
  <si>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PP&amp;E, net</t>
  </si>
  <si>
    <t xml:space="preserve">Total assets</t>
  </si>
  <si>
    <t xml:space="preserve">Accounts payable</t>
  </si>
  <si>
    <t xml:space="preserve">Revolver</t>
  </si>
  <si>
    <t xml:space="preserve">Equity</t>
  </si>
  <si>
    <t xml:space="preserve">Total liabilities and equity</t>
  </si>
  <si>
    <t xml:space="preserve">Balance check (assets - L&amp;E)</t>
  </si>
  <si>
    <t xml:space="preserve">Cash flow</t>
  </si>
  <si>
    <t xml:space="preserve">D&amp;A</t>
  </si>
  <si>
    <t xml:space="preserve">(Increase) in receivables</t>
  </si>
  <si>
    <t xml:space="preserve">(Increase) in inventory</t>
  </si>
  <si>
    <t xml:space="preserve">Increase in payables</t>
  </si>
  <si>
    <t xml:space="preserve">Cash from operations</t>
  </si>
  <si>
    <t xml:space="preserve">Cash before financing</t>
  </si>
  <si>
    <t xml:space="preserve">Revolver draw / (repayment)</t>
  </si>
  <si>
    <t xml:space="preserve">Net change in cash</t>
  </si>
  <si>
    <t xml:space="preserve">Cash check (vs balance sheet)</t>
  </si>
  <si>
    <t xml:space="preserve">Reforecast 3+9: Q1 actuals, then nine months re-driven</t>
  </si>
  <si>
    <t xml:space="preserve">Apr-Dec take Q1's volume run-rate by channel, unit cost by category and opex by department; prices stay at budget.</t>
  </si>
  <si>
    <t xml:space="preserve">Q1 budget cases</t>
  </si>
  <si>
    <t xml:space="preserve">Q1 actual cases</t>
  </si>
  <si>
    <t xml:space="preserve">Volume ratio</t>
  </si>
  <si>
    <t xml:space="preserve">Q1 budget cost / case</t>
  </si>
  <si>
    <t xml:space="preserve">Q1 actual cost / case</t>
  </si>
  <si>
    <t xml:space="preserve">Cost ratio</t>
  </si>
  <si>
    <t xml:space="preserve">Q1 budget opex</t>
  </si>
  <si>
    <t xml:space="preserve">Q1 actual opex</t>
  </si>
  <si>
    <t xml:space="preserve">Opex ratio</t>
  </si>
  <si>
    <t xml:space="preserve">Apr-Dec budget</t>
  </si>
  <si>
    <t xml:space="preserve">Apr-Dec reforecast</t>
  </si>
  <si>
    <t xml:space="preserve">Budget (V2)</t>
  </si>
  <si>
    <t xml:space="preserve">Variance</t>
  </si>
  <si>
    <t xml:space="preserve">EBITDA bridge: budget to reforecast</t>
  </si>
  <si>
    <t xml:space="preserve">Q1: actual against budget</t>
  </si>
  <si>
    <t xml:space="preserve">Apr-Dec: volume, at budget margin per case</t>
  </si>
  <si>
    <t xml:space="preserve">Apr-Dec: unit cost</t>
  </si>
  <si>
    <t xml:space="preserve">Apr-Dec: opex run-rate</t>
  </si>
  <si>
    <t xml:space="preserve">Budget to reforecast, total</t>
  </si>
  <si>
    <t xml:space="preserve">Build: segment x month, every version</t>
  </si>
  <si>
    <t xml:space="preserve">24 category x channel segments x 12 months. V1 and V2 share volumes and costs; V2 adds the challenge-round price. Columns P:S are the 3+9 reforecast.</t>
  </si>
  <si>
    <t xml:space="preserve">Month</t>
  </si>
  <si>
    <t xml:space="preserve">Segment</t>
  </si>
  <si>
    <t xml:space="preserve">Season share</t>
  </si>
  <si>
    <t xml:space="preserve">Cases</t>
  </si>
  <si>
    <t xml:space="preserve">Base price / case</t>
  </si>
  <si>
    <t xml:space="preserve">V1 price uplift</t>
  </si>
  <si>
    <t xml:space="preserve">V2 extra price</t>
  </si>
  <si>
    <t xml:space="preserve">Revenue V1</t>
  </si>
  <si>
    <t xml:space="preserve">Revenue V2</t>
  </si>
  <si>
    <t xml:space="preserve">Cost / case</t>
  </si>
  <si>
    <t xml:space="preserve">Freight / case</t>
  </si>
  <si>
    <t xml:space="preserve">RF cases</t>
  </si>
  <si>
    <t xml:space="preserve">RF revenue</t>
  </si>
  <si>
    <t xml:space="preserve">RF COGS</t>
  </si>
  <si>
    <t xml:space="preserve">RF freight</t>
  </si>
  <si>
    <t xml:space="preserve">Opex: department submissions by month</t>
  </si>
  <si>
    <t xml:space="preserve">Base = last twelve months / 12 x (1 + growth) [x (1 - cut) in V2], plus hires from their start month.</t>
  </si>
  <si>
    <t xml:space="preserve">Base / month</t>
  </si>
  <si>
    <t xml:space="preserve">FY</t>
  </si>
  <si>
    <t xml:space="preserve">Total V1</t>
  </si>
  <si>
    <t xml:space="preserve">Total V2</t>
  </si>
  <si>
    <t xml:space="preserve">Data: the budget's starting point (synthetic Kestrel Bay)</t>
  </si>
  <si>
    <t xml:space="preserve">From budget_cycle/data/*.csv, extracted from the Kestrel Bay workbook by extract_base.py. Loaded unchanged.</t>
  </si>
  <si>
    <t xml:space="preserve">Last twelve months of actuals, Sep 2025 to Aug 2026, by category and channel</t>
  </si>
  <si>
    <t xml:space="preserve">Seasonality: each category's share of its calendar-2025 cases, by month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</si>
  <si>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</si>
  <si>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</si>
  <si>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</si>
  <si>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</si>
  <si>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</si>
  <si>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</si>
  <si>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</si>
  <si>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</si>
  <si>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</si>
  <si>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</si>
  <si>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</si>
  <si>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</si>
  <si>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Operating expenses, last twelve months</t>
  </si>
  <si>
    <t xml:space="preserve">LTM opex</t>
  </si>
  <si>
    <t xml:space="preserve">Working capital at the latest month-end (Aug 2026), which opens the budget's balance sheet</t>
  </si>
  <si>
    <t xml:space="preserve">Account</t>
  </si>
  <si>
    <t xml:space="preserve">Balance</t>
  </si>
  <si>
    <t xml:space="preserve">Data: Q1 FY2027 actuals (synthetic)</t>
  </si>
  <si>
    <t xml:space="preserve">From data/q1_*.csv: the approved budget moved by stated deviations and seeded noise (reference.py --q1).</t>
  </si>
  <si>
    <t xml:space="preserve">Checks: the workbook proves itself</t>
  </si>
  <si>
    <t xml:space="preserve">Each check states its tolerance. Status is a formula.</t>
  </si>
  <si>
    <t xml:space="preserve">Check</t>
  </si>
  <si>
    <t xml:space="preserve">Difference</t>
  </si>
  <si>
    <t xml:space="preserve">Tolerance</t>
  </si>
  <si>
    <t xml:space="preserve">Status</t>
  </si>
  <si>
    <t xml:space="preserve">Seasonality: each category's twelve shares sum to one</t>
  </si>
  <si>
    <t xml:space="preserve">Build: cases = base cases x (1 + channel growth), in total</t>
  </si>
  <si>
    <t xml:space="preserve">Build: V1 revenue before the price change = base revenue share</t>
  </si>
  <si>
    <t xml:space="preserve">Statements: revenue = consolidated V2 revenue</t>
  </si>
  <si>
    <t xml:space="preserve">Statements: opex = consolidated V2 opex</t>
  </si>
  <si>
    <t xml:space="preserve">Statements: EBITDA = consolidated V2 EBITDA</t>
  </si>
  <si>
    <t xml:space="preserve">Balance sheet balances, every month</t>
  </si>
  <si>
    <t xml:space="preserve">Cash flow ties to the balance sheet, every month</t>
  </si>
  <si>
    <t xml:space="preserve">Revolver never negative</t>
  </si>
  <si>
    <t xml:space="preserve">Cash never below the minimum</t>
  </si>
  <si>
    <t xml:space="preserve">Equity moves only by net income</t>
  </si>
  <si>
    <t xml:space="preserve">Challenge bridge closes: V1 + levers = V2 EBITDA</t>
  </si>
  <si>
    <t xml:space="preserve">Reforecast Q1 = actuals (revenue)</t>
  </si>
  <si>
    <t xml:space="preserve">Reforecast Q1 = actuals (opex)</t>
  </si>
  <si>
    <t xml:space="preserve">Reforecast bridge closes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</si>
</sst>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(#,##0\);\–"/>
    <numFmt numFmtId="166" formatCode="0.00%;[RED]\-0.00%"/>
    <numFmt numFmtId="167" formatCode="0"/>
    <numFmt numFmtId="168" formatCode="0.0%;[RED]\-0.0%"/>
    <numFmt numFmtId="169" formatCode="#,##0.00;[RED]\(#,##0.00\);\–"/>
    <numFmt numFmtId="170" formatCode="#,##0.0"/>
    <numFmt numFmtId="171" formatCode="0.0000"/>
    <numFmt numFmtId="172" formatCode="0.000000"/>
    <numFmt numFmtId="173" formatCode="0.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1F3A5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9E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6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2" customFormat="false" ht="28.35" hidden="false" customHeight="false" outlineLevel="0" collapsed="false">
      <c r="A12" s="6" t="s">
        <v>15</v>
      </c>
      <c r="B12" s="7" t="s">
        <v>16</v>
      </c>
      <c r="C12" s="6" t="s">
        <v>17</v>
      </c>
      <c r="D12" s="6" t="s">
        <v>18</v>
      </c>
    </row>
    <row r="13" customFormat="false" ht="15" hidden="false" customHeight="false" outlineLevel="0" collapsed="false">
      <c r="A13" s="0" t="s">
        <v>19</v>
      </c>
      <c r="B13" s="8" t="n">
        <f aca="false">Consolidation!B6</f>
        <v>45878949.47</v>
      </c>
      <c r="C13" s="9" t="n">
        <f aca="false">Consolidation!B11</f>
        <v>2219484.5</v>
      </c>
      <c r="D13" s="10" t="n">
        <f aca="false">Consolidation!B12</f>
        <v>0.0483769686455291</v>
      </c>
    </row>
    <row r="14" customFormat="false" ht="15" hidden="false" customHeight="false" outlineLevel="0" collapsed="false">
      <c r="A14" s="0" t="s">
        <v>20</v>
      </c>
      <c r="B14" s="8" t="n">
        <f aca="false">Consolidation!C6</f>
        <v>48631686.4382</v>
      </c>
      <c r="C14" s="9" t="n">
        <f aca="false">Consolidation!C11</f>
        <v>2917901.186292</v>
      </c>
      <c r="D14" s="10" t="n">
        <f aca="false">Consolidation!C12</f>
        <v>0.06</v>
      </c>
    </row>
    <row r="15" customFormat="false" ht="15" hidden="false" customHeight="false" outlineLevel="0" collapsed="false">
      <c r="A15" s="0" t="s">
        <v>21</v>
      </c>
      <c r="B15" s="8" t="n">
        <f aca="false">Consolidation!D6</f>
        <v>49557695.7862137</v>
      </c>
      <c r="C15" s="9" t="n">
        <f aca="false">Consolidation!D11</f>
        <v>1992057.79337434</v>
      </c>
      <c r="D15" s="10" t="n">
        <f aca="false">Consolidation!D12</f>
        <v>0.0401967396137192</v>
      </c>
    </row>
    <row r="16" customFormat="false" ht="15" hidden="false" customHeight="false" outlineLevel="0" collapsed="false">
      <c r="A16" s="0" t="s">
        <v>22</v>
      </c>
      <c r="B16" s="8" t="n">
        <f aca="false">Consolidation!E6</f>
        <v>49736611.7186108</v>
      </c>
      <c r="C16" s="9" t="n">
        <f aca="false">Consolidation!E11</f>
        <v>2326594.79836551</v>
      </c>
      <c r="D16" s="10" t="n">
        <f aca="false">Consolidation!E12</f>
        <v>0.0467783131574868</v>
      </c>
    </row>
    <row r="17" customFormat="false" ht="15" hidden="false" customHeight="false" outlineLevel="0" collapsed="false">
      <c r="A17" s="0" t="s">
        <v>23</v>
      </c>
      <c r="B17" s="8" t="n">
        <f aca="false">Reforecast!C27</f>
        <v>49758340.2214292</v>
      </c>
      <c r="C17" s="9" t="n">
        <f aca="false">Reforecast!C30</f>
        <v>1656052.38344596</v>
      </c>
      <c r="D17" s="10" t="n">
        <f aca="false">C17/B17</f>
        <v>0.0332819056278079</v>
      </c>
    </row>
    <row r="18" customFormat="false" ht="15" hidden="false" customHeight="false" outlineLevel="0" collapsed="false">
      <c r="B18" s="11"/>
    </row>
    <row r="19" customFormat="false" ht="15" hidden="false" customHeight="false" outlineLevel="0" collapsed="false">
      <c r="A19" s="0" t="s">
        <v>24</v>
      </c>
      <c r="B19" s="12" t="n">
        <f aca="false">-Consolidation!E16</f>
        <v>591306.387926493</v>
      </c>
    </row>
    <row r="20" customFormat="false" ht="15" hidden="false" customHeight="false" outlineLevel="0" collapsed="false">
      <c r="A20" s="0" t="s">
        <v>25</v>
      </c>
      <c r="B20" s="13" t="n">
        <f aca="false">Consolidation!B27</f>
        <v>0.012824709539544</v>
      </c>
    </row>
    <row r="21" customFormat="false" ht="15" hidden="false" customHeight="false" outlineLevel="0" collapsed="false">
      <c r="A21" s="0" t="s">
        <v>26</v>
      </c>
      <c r="B21" s="8" t="n">
        <f aca="false">Statements!O17</f>
        <v>1286991.60365548</v>
      </c>
    </row>
    <row r="22" customFormat="false" ht="15" hidden="false" customHeight="false" outlineLevel="0" collapsed="false">
      <c r="A22" s="0" t="s">
        <v>27</v>
      </c>
      <c r="B22" s="8" t="n">
        <f aca="false">Statements!O30</f>
        <v>0</v>
      </c>
      <c r="C22" s="9" t="n">
        <f aca="false">Statements!O23</f>
        <v>405081.234317015</v>
      </c>
    </row>
    <row r="23" customFormat="false" ht="15" hidden="false" customHeight="false" outlineLevel="0" collapsed="false">
      <c r="A23" s="0" t="s">
        <v>28</v>
      </c>
      <c r="B23" s="14" t="n">
        <f aca="false">Checks!B21</f>
        <v>15</v>
      </c>
      <c r="C23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B3" s="0" t="s">
        <v>32</v>
      </c>
      <c r="C3" s="15" t="n">
        <v>2027</v>
      </c>
    </row>
    <row r="4" customFormat="false" ht="15" hidden="false" customHeight="false" outlineLevel="0" collapsed="false">
      <c r="A4" s="3" t="s">
        <v>33</v>
      </c>
    </row>
    <row r="5" customFormat="false" ht="15" hidden="false" customHeight="false" outlineLevel="0" collapsed="false">
      <c r="B5" s="0" t="s">
        <v>34</v>
      </c>
      <c r="C5" s="16" t="n">
        <v>0.06</v>
      </c>
    </row>
    <row r="6" customFormat="false" ht="15" hidden="false" customHeight="false" outlineLevel="0" collapsed="false">
      <c r="B6" s="0" t="s">
        <v>18</v>
      </c>
      <c r="C6" s="16" t="n">
        <v>0.06</v>
      </c>
    </row>
    <row r="8" customFormat="false" ht="15" hidden="false" customHeight="false" outlineLevel="0" collapsed="false">
      <c r="A8" s="3" t="s">
        <v>35</v>
      </c>
    </row>
    <row r="9" customFormat="false" ht="28.35" hidden="false" customHeight="false" outlineLevel="0" collapsed="false">
      <c r="A9" s="6" t="s">
        <v>36</v>
      </c>
      <c r="B9" s="6" t="s">
        <v>37</v>
      </c>
      <c r="C9" s="6" t="s">
        <v>38</v>
      </c>
      <c r="D9" s="6" t="s">
        <v>39</v>
      </c>
    </row>
    <row r="10" customFormat="false" ht="15" hidden="false" customHeight="false" outlineLevel="0" collapsed="false">
      <c r="A10" s="0" t="s">
        <v>40</v>
      </c>
      <c r="B10" s="16" t="n">
        <v>0.04</v>
      </c>
      <c r="C10" s="16" t="n">
        <v>0.06</v>
      </c>
      <c r="D10" s="16" t="n">
        <v>0.015</v>
      </c>
    </row>
    <row r="11" customFormat="false" ht="15" hidden="false" customHeight="false" outlineLevel="0" collapsed="false">
      <c r="A11" s="0" t="s">
        <v>41</v>
      </c>
      <c r="B11" s="16" t="n">
        <v>0.025</v>
      </c>
      <c r="C11" s="16" t="n">
        <v>0.03</v>
      </c>
      <c r="D11" s="16" t="n">
        <v>0</v>
      </c>
    </row>
    <row r="12" customFormat="false" ht="15" hidden="false" customHeight="false" outlineLevel="0" collapsed="false">
      <c r="A12" s="0" t="s">
        <v>42</v>
      </c>
      <c r="B12" s="16" t="n">
        <v>0.02</v>
      </c>
      <c r="C12" s="16" t="n">
        <v>0.025</v>
      </c>
      <c r="D12" s="16" t="n">
        <v>0</v>
      </c>
    </row>
    <row r="13" customFormat="false" ht="15" hidden="false" customHeight="false" outlineLevel="0" collapsed="false">
      <c r="A13" s="0" t="s">
        <v>43</v>
      </c>
      <c r="B13" s="16" t="n">
        <v>0.03</v>
      </c>
      <c r="C13" s="16" t="n">
        <v>0.035</v>
      </c>
      <c r="D13" s="16" t="n">
        <v>0.015</v>
      </c>
    </row>
    <row r="14" customFormat="false" ht="15" hidden="false" customHeight="false" outlineLevel="0" collapsed="false">
      <c r="A14" s="0" t="s">
        <v>44</v>
      </c>
      <c r="B14" s="16" t="n">
        <v>0.02</v>
      </c>
      <c r="C14" s="16" t="n">
        <v>0.02</v>
      </c>
      <c r="D14" s="16" t="n">
        <v>0</v>
      </c>
    </row>
    <row r="15" customFormat="false" ht="15" hidden="false" customHeight="false" outlineLevel="0" collapsed="false">
      <c r="A15" s="0" t="s">
        <v>45</v>
      </c>
      <c r="B15" s="16" t="n">
        <v>0.015</v>
      </c>
      <c r="C15" s="16" t="n">
        <v>0.02</v>
      </c>
      <c r="D15" s="16" t="n">
        <v>0</v>
      </c>
    </row>
    <row r="17" customFormat="false" ht="15" hidden="false" customHeight="false" outlineLevel="0" collapsed="false">
      <c r="A17" s="3" t="s">
        <v>46</v>
      </c>
    </row>
    <row r="18" customFormat="false" ht="28.35" hidden="false" customHeight="false" outlineLevel="0" collapsed="false">
      <c r="A18" s="6" t="s">
        <v>47</v>
      </c>
      <c r="B18" s="6" t="s">
        <v>48</v>
      </c>
      <c r="C18" s="6" t="s">
        <v>49</v>
      </c>
    </row>
    <row r="19" customFormat="false" ht="15" hidden="false" customHeight="false" outlineLevel="0" collapsed="false">
      <c r="A19" s="0" t="s">
        <v>50</v>
      </c>
      <c r="B19" s="16" t="n">
        <v>0.02</v>
      </c>
      <c r="C19" s="15" t="n">
        <v>1</v>
      </c>
    </row>
    <row r="20" customFormat="false" ht="15" hidden="false" customHeight="false" outlineLevel="0" collapsed="false">
      <c r="A20" s="0" t="s">
        <v>51</v>
      </c>
      <c r="B20" s="16" t="n">
        <v>0.09</v>
      </c>
      <c r="C20" s="15" t="n">
        <v>0</v>
      </c>
    </row>
    <row r="21" customFormat="false" ht="15" hidden="false" customHeight="false" outlineLevel="0" collapsed="false">
      <c r="A21" s="0" t="s">
        <v>52</v>
      </c>
      <c r="B21" s="16" t="n">
        <v>0.01</v>
      </c>
      <c r="C21" s="15" t="n">
        <v>1</v>
      </c>
    </row>
    <row r="22" customFormat="false" ht="15" hidden="false" customHeight="false" outlineLevel="0" collapsed="false">
      <c r="A22" s="0" t="s">
        <v>53</v>
      </c>
      <c r="B22" s="16" t="n">
        <v>0.18</v>
      </c>
      <c r="C22" s="15" t="n">
        <v>0</v>
      </c>
    </row>
    <row r="24" customFormat="false" ht="15" hidden="false" customHeight="false" outlineLevel="0" collapsed="false">
      <c r="A24" s="3" t="s">
        <v>54</v>
      </c>
    </row>
    <row r="25" customFormat="false" ht="15" hidden="false" customHeight="false" outlineLevel="0" collapsed="false">
      <c r="A25" s="6" t="s">
        <v>55</v>
      </c>
      <c r="B25" s="6" t="s">
        <v>56</v>
      </c>
      <c r="C25" s="6" t="s">
        <v>57</v>
      </c>
      <c r="D25" s="6" t="s">
        <v>58</v>
      </c>
    </row>
    <row r="26" customFormat="false" ht="15" hidden="false" customHeight="false" outlineLevel="0" collapsed="false">
      <c r="A26" s="0" t="s">
        <v>59</v>
      </c>
      <c r="B26" s="16" t="n">
        <v>0.05</v>
      </c>
      <c r="C26" s="16"/>
      <c r="D26" s="16"/>
    </row>
    <row r="27" customFormat="false" ht="15" hidden="false" customHeight="false" outlineLevel="0" collapsed="false">
      <c r="A27" s="0" t="s">
        <v>60</v>
      </c>
      <c r="B27" s="16" t="n">
        <v>0.06</v>
      </c>
      <c r="C27" s="16"/>
      <c r="D27" s="16" t="n">
        <v>0.03</v>
      </c>
    </row>
    <row r="28" customFormat="false" ht="15" hidden="false" customHeight="false" outlineLevel="0" collapsed="false">
      <c r="A28" s="0" t="s">
        <v>61</v>
      </c>
      <c r="B28" s="16" t="n">
        <v>0.03</v>
      </c>
      <c r="C28" s="16"/>
      <c r="D28" s="16"/>
    </row>
    <row r="29" customFormat="false" ht="15" hidden="false" customHeight="false" outlineLevel="0" collapsed="false">
      <c r="A29" s="0" t="s">
        <v>62</v>
      </c>
      <c r="B29" s="16" t="n">
        <v>0.08</v>
      </c>
      <c r="C29" s="16" t="n">
        <v>0.05</v>
      </c>
      <c r="D29" s="16"/>
    </row>
    <row r="31" customFormat="false" ht="15" hidden="false" customHeight="false" outlineLevel="0" collapsed="false">
      <c r="A31" s="3" t="s">
        <v>63</v>
      </c>
    </row>
    <row r="32" customFormat="false" ht="28.35" hidden="false" customHeight="false" outlineLevel="0" collapsed="false">
      <c r="A32" s="6" t="s">
        <v>55</v>
      </c>
      <c r="B32" s="6" t="s">
        <v>64</v>
      </c>
      <c r="C32" s="6" t="s">
        <v>65</v>
      </c>
      <c r="D32" s="6" t="s">
        <v>66</v>
      </c>
      <c r="E32" s="6" t="s">
        <v>67</v>
      </c>
      <c r="F32" s="6" t="s">
        <v>68</v>
      </c>
    </row>
    <row r="33" customFormat="false" ht="15" hidden="false" customHeight="false" outlineLevel="0" collapsed="false">
      <c r="A33" s="0" t="s">
        <v>59</v>
      </c>
      <c r="B33" s="15" t="n">
        <v>1</v>
      </c>
      <c r="C33" s="17" t="n">
        <v>95000</v>
      </c>
      <c r="D33" s="15" t="n">
        <v>4</v>
      </c>
      <c r="E33" s="15" t="n">
        <v>7</v>
      </c>
      <c r="F33" s="18" t="n">
        <f aca="false">IF(E33="",D33,E33)</f>
        <v>7</v>
      </c>
    </row>
    <row r="34" customFormat="false" ht="15" hidden="false" customHeight="false" outlineLevel="0" collapsed="false">
      <c r="A34" s="0" t="s">
        <v>60</v>
      </c>
      <c r="B34" s="15" t="n">
        <v>2</v>
      </c>
      <c r="C34" s="17" t="n">
        <v>68000</v>
      </c>
      <c r="D34" s="15" t="n">
        <v>3</v>
      </c>
      <c r="E34" s="15"/>
      <c r="F34" s="18" t="n">
        <f aca="false">IF(E34="",D34,E34)</f>
        <v>3</v>
      </c>
    </row>
    <row r="36" customFormat="false" ht="15" hidden="false" customHeight="false" outlineLevel="0" collapsed="false">
      <c r="A36" s="3" t="s">
        <v>69</v>
      </c>
    </row>
    <row r="37" customFormat="false" ht="15" hidden="false" customHeight="false" outlineLevel="0" collapsed="false">
      <c r="B37" s="0" t="s">
        <v>70</v>
      </c>
      <c r="C37" s="15" t="n">
        <v>2</v>
      </c>
    </row>
    <row r="38" customFormat="false" ht="15" hidden="false" customHeight="false" outlineLevel="0" collapsed="false">
      <c r="B38" s="0" t="s">
        <v>71</v>
      </c>
      <c r="C38" s="16" t="n">
        <v>0.04</v>
      </c>
    </row>
    <row r="40" customFormat="false" ht="15" hidden="false" customHeight="false" outlineLevel="0" collapsed="false">
      <c r="A40" s="3" t="s">
        <v>72</v>
      </c>
    </row>
    <row r="41" customFormat="false" ht="15" hidden="false" customHeight="false" outlineLevel="0" collapsed="false">
      <c r="B41" s="0" t="s">
        <v>73</v>
      </c>
      <c r="C41" s="17" t="n">
        <v>500000</v>
      </c>
    </row>
    <row r="42" customFormat="false" ht="15" hidden="false" customHeight="false" outlineLevel="0" collapsed="false">
      <c r="B42" s="0" t="s">
        <v>74</v>
      </c>
      <c r="C42" s="17" t="n">
        <v>400000</v>
      </c>
    </row>
    <row r="43" customFormat="false" ht="15" hidden="false" customHeight="false" outlineLevel="0" collapsed="false">
      <c r="B43" s="0" t="s">
        <v>75</v>
      </c>
      <c r="C43" s="17" t="n">
        <v>1200000</v>
      </c>
    </row>
    <row r="44" customFormat="false" ht="15" hidden="false" customHeight="false" outlineLevel="0" collapsed="false">
      <c r="B44" s="0" t="s">
        <v>76</v>
      </c>
      <c r="C44" s="19" t="n">
        <v>0.072</v>
      </c>
    </row>
    <row r="45" customFormat="false" ht="15" hidden="false" customHeight="false" outlineLevel="0" collapsed="false">
      <c r="B45" s="0" t="s">
        <v>77</v>
      </c>
      <c r="C45" s="17" t="n">
        <v>2400000</v>
      </c>
    </row>
    <row r="46" customFormat="false" ht="15" hidden="false" customHeight="false" outlineLevel="0" collapsed="false">
      <c r="B46" s="0" t="s">
        <v>78</v>
      </c>
      <c r="C46" s="17" t="n">
        <v>38000</v>
      </c>
    </row>
    <row r="47" customFormat="false" ht="15" hidden="false" customHeight="false" outlineLevel="0" collapsed="false">
      <c r="B47" s="0" t="s">
        <v>79</v>
      </c>
      <c r="C47" s="15" t="n">
        <v>60</v>
      </c>
    </row>
    <row r="48" customFormat="false" ht="15" hidden="false" customHeight="false" outlineLevel="0" collapsed="false">
      <c r="B48" s="0" t="s">
        <v>80</v>
      </c>
      <c r="C48" s="16" t="n">
        <v>0.27</v>
      </c>
    </row>
    <row r="49" customFormat="false" ht="15" hidden="false" customHeight="false" outlineLevel="0" collapsed="false">
      <c r="B49" s="0" t="s">
        <v>81</v>
      </c>
      <c r="C49" s="15" t="n">
        <v>34</v>
      </c>
    </row>
    <row r="50" customFormat="false" ht="15" hidden="false" customHeight="false" outlineLevel="0" collapsed="false">
      <c r="B50" s="0" t="s">
        <v>82</v>
      </c>
      <c r="C50" s="15" t="n">
        <v>17</v>
      </c>
    </row>
    <row r="51" customFormat="false" ht="15" hidden="false" customHeight="false" outlineLevel="0" collapsed="false">
      <c r="B51" s="0" t="s">
        <v>83</v>
      </c>
      <c r="C51" s="15" t="n">
        <v>31</v>
      </c>
    </row>
    <row r="53" customFormat="false" ht="15" hidden="false" customHeight="false" outlineLevel="0" collapsed="false">
      <c r="A53" s="3" t="s">
        <v>84</v>
      </c>
    </row>
    <row r="54" customFormat="false" ht="15" hidden="false" customHeight="false" outlineLevel="0" collapsed="false">
      <c r="B54" s="20" t="n">
        <v>1</v>
      </c>
      <c r="C54" s="20" t="n">
        <v>2</v>
      </c>
      <c r="D54" s="20" t="n">
        <v>3</v>
      </c>
      <c r="E54" s="20" t="n">
        <v>4</v>
      </c>
      <c r="F54" s="20" t="n">
        <v>5</v>
      </c>
      <c r="G54" s="20" t="n">
        <v>6</v>
      </c>
      <c r="H54" s="20" t="n">
        <v>7</v>
      </c>
      <c r="I54" s="20" t="n">
        <v>8</v>
      </c>
      <c r="J54" s="20" t="n">
        <v>9</v>
      </c>
      <c r="K54" s="20" t="n">
        <v>10</v>
      </c>
      <c r="L54" s="20" t="n">
        <v>11</v>
      </c>
      <c r="M54" s="20" t="n">
        <v>12</v>
      </c>
    </row>
    <row r="55" customFormat="false" ht="15" hidden="false" customHeight="false" outlineLevel="0" collapsed="false">
      <c r="A55" s="0" t="s">
        <v>85</v>
      </c>
      <c r="B55" s="17" t="n">
        <v>0</v>
      </c>
      <c r="C55" s="17" t="n">
        <v>0</v>
      </c>
      <c r="D55" s="17" t="n">
        <v>250000</v>
      </c>
      <c r="E55" s="17" t="n">
        <v>0</v>
      </c>
      <c r="F55" s="17" t="n">
        <v>0</v>
      </c>
      <c r="G55" s="17" t="n">
        <v>150000</v>
      </c>
      <c r="H55" s="17" t="n">
        <v>0</v>
      </c>
      <c r="I55" s="17" t="n">
        <v>0</v>
      </c>
      <c r="J55" s="17" t="n">
        <v>200000</v>
      </c>
      <c r="K55" s="17" t="n">
        <v>0</v>
      </c>
      <c r="L55" s="17" t="n">
        <v>0</v>
      </c>
      <c r="M55" s="1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5" customFormat="false" ht="15" hidden="false" customHeight="false" outlineLevel="0" collapsed="false">
      <c r="A5" s="6"/>
      <c r="B5" s="6" t="s">
        <v>88</v>
      </c>
      <c r="C5" s="6" t="s">
        <v>20</v>
      </c>
      <c r="D5" s="6" t="s">
        <v>21</v>
      </c>
      <c r="E5" s="6" t="s">
        <v>22</v>
      </c>
    </row>
    <row r="6" customFormat="false" ht="15" hidden="false" customHeight="false" outlineLevel="0" collapsed="false">
      <c r="A6" s="21" t="s">
        <v>16</v>
      </c>
      <c r="B6" s="9" t="n">
        <f aca="false">SUM(Data_Base!D5:D28)</f>
        <v>45878949.47</v>
      </c>
      <c r="C6" s="9" t="n">
        <f aca="false">B6*(1+Assumptions!C5)</f>
        <v>48631686.4382</v>
      </c>
      <c r="D6" s="9" t="n">
        <f aca="false">SUM(Build!$J$5:$J$292)</f>
        <v>49557695.7862137</v>
      </c>
      <c r="E6" s="9" t="n">
        <f aca="false">SUM(Build!$K$5:$K$292)</f>
        <v>49736611.7186108</v>
      </c>
    </row>
    <row r="7" customFormat="false" ht="15" hidden="false" customHeight="false" outlineLevel="0" collapsed="false">
      <c r="A7" s="21" t="s">
        <v>89</v>
      </c>
      <c r="B7" s="9" t="n">
        <f aca="false">SUM(Data_Base!E5:E28)</f>
        <v>33883211.23</v>
      </c>
      <c r="D7" s="9" t="n">
        <f aca="false">SUM(Build!$M$5:$M$292)</f>
        <v>37027966.107442</v>
      </c>
      <c r="E7" s="9" t="n">
        <f aca="false">SUM(Build!$M$5:$M$292)</f>
        <v>37027966.107442</v>
      </c>
    </row>
    <row r="8" customFormat="false" ht="15" hidden="false" customHeight="false" outlineLevel="0" collapsed="false">
      <c r="A8" s="21" t="s">
        <v>90</v>
      </c>
      <c r="B8" s="9" t="n">
        <f aca="false">SUM(Data_Base!F5:F28)</f>
        <v>1053687.34</v>
      </c>
      <c r="D8" s="9" t="n">
        <f aca="false">SUM(Build!$O$5:$O$292)</f>
        <v>1182087.435464</v>
      </c>
      <c r="E8" s="9" t="n">
        <f aca="false">SUM(Build!$O$5:$O$292)</f>
        <v>1182087.435464</v>
      </c>
    </row>
    <row r="9" customFormat="false" ht="15" hidden="false" customHeight="false" outlineLevel="0" collapsed="false">
      <c r="A9" s="4" t="s">
        <v>91</v>
      </c>
      <c r="B9" s="22" t="n">
        <f aca="false">B6-B7-B8</f>
        <v>10942050.9</v>
      </c>
      <c r="D9" s="22" t="n">
        <f aca="false">D6-D7-D8</f>
        <v>11347642.2433077</v>
      </c>
      <c r="E9" s="22" t="n">
        <f aca="false">E6-E7-E8</f>
        <v>11526558.1757048</v>
      </c>
    </row>
    <row r="10" customFormat="false" ht="15" hidden="false" customHeight="false" outlineLevel="0" collapsed="false">
      <c r="A10" s="21" t="s">
        <v>92</v>
      </c>
      <c r="B10" s="9" t="n">
        <f aca="false">SUM(Data_Base!B41:B44)</f>
        <v>8722566.4</v>
      </c>
      <c r="D10" s="9" t="n">
        <f aca="false">Opex!O10</f>
        <v>9355584.44993333</v>
      </c>
      <c r="E10" s="9" t="n">
        <f aca="false">Opex!O17</f>
        <v>9199963.37733933</v>
      </c>
    </row>
    <row r="11" customFormat="false" ht="15" hidden="false" customHeight="false" outlineLevel="0" collapsed="false">
      <c r="A11" s="4" t="s">
        <v>17</v>
      </c>
      <c r="B11" s="22" t="n">
        <f aca="false">B9-B10</f>
        <v>2219484.5</v>
      </c>
      <c r="C11" s="9" t="n">
        <f aca="false">C6*Assumptions!C6</f>
        <v>2917901.186292</v>
      </c>
      <c r="D11" s="22" t="n">
        <f aca="false">D9-D10</f>
        <v>1992057.79337434</v>
      </c>
      <c r="E11" s="22" t="n">
        <f aca="false">E9-E10</f>
        <v>2326594.79836551</v>
      </c>
    </row>
    <row r="12" customFormat="false" ht="15" hidden="false" customHeight="false" outlineLevel="0" collapsed="false">
      <c r="A12" s="21" t="s">
        <v>18</v>
      </c>
      <c r="B12" s="10" t="n">
        <f aca="false">B11/B6</f>
        <v>0.0483769686455291</v>
      </c>
      <c r="C12" s="10" t="n">
        <f aca="false">C11/C6</f>
        <v>0.06</v>
      </c>
      <c r="D12" s="10" t="n">
        <f aca="false">D11/D6</f>
        <v>0.0401967396137192</v>
      </c>
      <c r="E12" s="10" t="n">
        <f aca="false">E11/E6</f>
        <v>0.0467783131574868</v>
      </c>
    </row>
    <row r="14" customFormat="false" ht="15" hidden="false" customHeight="false" outlineLevel="0" collapsed="false">
      <c r="A14" s="3" t="s">
        <v>93</v>
      </c>
    </row>
    <row r="15" customFormat="false" ht="15" hidden="false" customHeight="false" outlineLevel="0" collapsed="false">
      <c r="A15" s="0" t="s">
        <v>94</v>
      </c>
      <c r="D15" s="9" t="n">
        <f aca="false">D6-$C$6</f>
        <v>926009.348013677</v>
      </c>
      <c r="E15" s="9" t="n">
        <f aca="false">E6-$C$6</f>
        <v>1104925.28041084</v>
      </c>
    </row>
    <row r="16" customFormat="false" ht="15" hidden="false" customHeight="false" outlineLevel="0" collapsed="false">
      <c r="A16" s="0" t="s">
        <v>17</v>
      </c>
      <c r="D16" s="9" t="n">
        <f aca="false">D11-$C$11</f>
        <v>-925843.392917659</v>
      </c>
      <c r="E16" s="9" t="n">
        <f aca="false">E11-$C$11</f>
        <v>-591306.387926493</v>
      </c>
    </row>
    <row r="18" customFormat="false" ht="15" hidden="false" customHeight="false" outlineLevel="0" collapsed="false">
      <c r="A18" s="3" t="s">
        <v>95</v>
      </c>
    </row>
    <row r="19" customFormat="false" ht="15" hidden="false" customHeight="false" outlineLevel="0" collapsed="false">
      <c r="A19" s="0" t="s">
        <v>96</v>
      </c>
      <c r="B19" s="9" t="n">
        <f aca="false">E6-D6</f>
        <v>178915.932397164</v>
      </c>
    </row>
    <row r="20" customFormat="false" ht="15" hidden="false" customHeight="false" outlineLevel="0" collapsed="false">
      <c r="A20" s="0" t="s">
        <v>97</v>
      </c>
      <c r="B20" s="9" t="n">
        <f aca="false">Opex!O6-Opex!O13</f>
        <v>23750</v>
      </c>
    </row>
    <row r="21" customFormat="false" ht="15" hidden="false" customHeight="false" outlineLevel="0" collapsed="false">
      <c r="A21" s="0" t="s">
        <v>98</v>
      </c>
      <c r="B21" s="9" t="n">
        <f aca="false">Opex!O7-Opex!O14</f>
        <v>111107.397894001</v>
      </c>
    </row>
    <row r="22" customFormat="false" ht="15" hidden="false" customHeight="false" outlineLevel="0" collapsed="false">
      <c r="A22" s="0" t="s">
        <v>99</v>
      </c>
      <c r="B22" s="9" t="n">
        <f aca="false">Opex!O8-Opex!O15</f>
        <v>0</v>
      </c>
    </row>
    <row r="23" customFormat="false" ht="15" hidden="false" customHeight="false" outlineLevel="0" collapsed="false">
      <c r="A23" s="0" t="s">
        <v>100</v>
      </c>
      <c r="B23" s="9" t="n">
        <f aca="false">Opex!O9-Opex!O16</f>
        <v>20763.6747000001</v>
      </c>
    </row>
    <row r="24" customFormat="false" ht="15" hidden="false" customHeight="false" outlineLevel="0" collapsed="false">
      <c r="A24" s="0" t="s">
        <v>101</v>
      </c>
      <c r="B24" s="22" t="n">
        <f aca="false">SUM(B19:B23)</f>
        <v>334537.004991165</v>
      </c>
    </row>
    <row r="26" customFormat="false" ht="15" hidden="false" customHeight="false" outlineLevel="0" collapsed="false">
      <c r="A26" s="3" t="s">
        <v>102</v>
      </c>
    </row>
    <row r="27" customFormat="false" ht="15" hidden="false" customHeight="false" outlineLevel="0" collapsed="false">
      <c r="A27" s="0" t="s">
        <v>103</v>
      </c>
      <c r="B27" s="10" t="n">
        <f aca="false">-E16/SUMIFS(Build!$K$5:$K$292,Build!$A$5:$A$292,"&gt;="&amp;Assumptions!C37)</f>
        <v>0.012824709539544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2.5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20"/>
      <c r="B4" s="20" t="s">
        <v>106</v>
      </c>
      <c r="C4" s="23" t="n">
        <f aca="false">COLUMN()-2</f>
        <v>1</v>
      </c>
      <c r="D4" s="23" t="n">
        <f aca="false">COLUMN()-2</f>
        <v>2</v>
      </c>
      <c r="E4" s="23" t="n">
        <f aca="false">COLUMN()-2</f>
        <v>3</v>
      </c>
      <c r="F4" s="23" t="n">
        <f aca="false">COLUMN()-2</f>
        <v>4</v>
      </c>
      <c r="G4" s="23" t="n">
        <f aca="false">COLUMN()-2</f>
        <v>5</v>
      </c>
      <c r="H4" s="23" t="n">
        <f aca="false">COLUMN()-2</f>
        <v>6</v>
      </c>
      <c r="I4" s="23" t="n">
        <f aca="false">COLUMN()-2</f>
        <v>7</v>
      </c>
      <c r="J4" s="23" t="n">
        <f aca="false">COLUMN()-2</f>
        <v>8</v>
      </c>
      <c r="K4" s="23" t="n">
        <f aca="false">COLUMN()-2</f>
        <v>9</v>
      </c>
      <c r="L4" s="23" t="n">
        <f aca="false">COLUMN()-2</f>
        <v>10</v>
      </c>
      <c r="M4" s="23" t="n">
        <f aca="false">COLUMN()-2</f>
        <v>11</v>
      </c>
      <c r="N4" s="23" t="n">
        <f aca="false">COLUMN()-2</f>
        <v>12</v>
      </c>
      <c r="O4" s="20" t="s">
        <v>15</v>
      </c>
    </row>
    <row r="5" customFormat="false" ht="15" hidden="false" customHeight="false" outlineLevel="0" collapsed="false">
      <c r="A5" s="3" t="s">
        <v>107</v>
      </c>
    </row>
    <row r="6" customFormat="false" ht="15" hidden="false" customHeight="false" outlineLevel="0" collapsed="false">
      <c r="A6" s="0" t="s">
        <v>16</v>
      </c>
      <c r="C6" s="9" t="n">
        <f aca="false">SUMIFS(Build!$K$5:$K$292,Build!$A$5:$A$292,C$4)</f>
        <v>3629806.25036664</v>
      </c>
      <c r="D6" s="9" t="n">
        <f aca="false">SUMIFS(Build!$K$5:$K$292,Build!$A$5:$A$292,D$4)</f>
        <v>3647777.99125202</v>
      </c>
      <c r="E6" s="9" t="n">
        <f aca="false">SUMIFS(Build!$K$5:$K$292,Build!$A$5:$A$292,E$4)</f>
        <v>3881705.47942669</v>
      </c>
      <c r="F6" s="9" t="n">
        <f aca="false">SUMIFS(Build!$K$5:$K$292,Build!$A$5:$A$292,F$4)</f>
        <v>4082496.68054998</v>
      </c>
      <c r="G6" s="9" t="n">
        <f aca="false">SUMIFS(Build!$K$5:$K$292,Build!$A$5:$A$292,G$4)</f>
        <v>4397937.44405341</v>
      </c>
      <c r="H6" s="9" t="n">
        <f aca="false">SUMIFS(Build!$K$5:$K$292,Build!$A$5:$A$292,H$4)</f>
        <v>4539444.45548047</v>
      </c>
      <c r="I6" s="9" t="n">
        <f aca="false">SUMIFS(Build!$K$5:$K$292,Build!$A$5:$A$292,I$4)</f>
        <v>4496211.46999459</v>
      </c>
      <c r="J6" s="9" t="n">
        <f aca="false">SUMIFS(Build!$K$5:$K$292,Build!$A$5:$A$292,J$4)</f>
        <v>4374070.23181343</v>
      </c>
      <c r="K6" s="9" t="n">
        <f aca="false">SUMIFS(Build!$K$5:$K$292,Build!$A$5:$A$292,K$4)</f>
        <v>4097571.33124519</v>
      </c>
      <c r="L6" s="9" t="n">
        <f aca="false">SUMIFS(Build!$K$5:$K$292,Build!$A$5:$A$292,L$4)</f>
        <v>4042917.74437715</v>
      </c>
      <c r="M6" s="9" t="n">
        <f aca="false">SUMIFS(Build!$K$5:$K$292,Build!$A$5:$A$292,M$4)</f>
        <v>4084620.99597135</v>
      </c>
      <c r="N6" s="9" t="n">
        <f aca="false">SUMIFS(Build!$K$5:$K$292,Build!$A$5:$A$292,N$4)</f>
        <v>4462051.64407992</v>
      </c>
      <c r="O6" s="22" t="n">
        <f aca="false">SUM(C6:N6)</f>
        <v>49736611.7186108</v>
      </c>
    </row>
    <row r="7" customFormat="false" ht="15" hidden="false" customHeight="false" outlineLevel="0" collapsed="false">
      <c r="A7" s="0" t="s">
        <v>89</v>
      </c>
      <c r="C7" s="9" t="n">
        <f aca="false">SUMIFS(Build!$M$5:$M$292,Build!$A$5:$A$292,C$4)</f>
        <v>2773697.34207017</v>
      </c>
      <c r="D7" s="9" t="n">
        <f aca="false">SUMIFS(Build!$M$5:$M$292,Build!$A$5:$A$292,D$4)</f>
        <v>2708509.74470961</v>
      </c>
      <c r="E7" s="9" t="n">
        <f aca="false">SUMIFS(Build!$M$5:$M$292,Build!$A$5:$A$292,E$4)</f>
        <v>2884041.28321982</v>
      </c>
      <c r="F7" s="9" t="n">
        <f aca="false">SUMIFS(Build!$M$5:$M$292,Build!$A$5:$A$292,F$4)</f>
        <v>3037039.23389491</v>
      </c>
      <c r="G7" s="9" t="n">
        <f aca="false">SUMIFS(Build!$M$5:$M$292,Build!$A$5:$A$292,G$4)</f>
        <v>3281472.48757474</v>
      </c>
      <c r="H7" s="9" t="n">
        <f aca="false">SUMIFS(Build!$M$5:$M$292,Build!$A$5:$A$292,H$4)</f>
        <v>3395167.72155816</v>
      </c>
      <c r="I7" s="9" t="n">
        <f aca="false">SUMIFS(Build!$M$5:$M$292,Build!$A$5:$A$292,I$4)</f>
        <v>3362378.63073605</v>
      </c>
      <c r="J7" s="9" t="n">
        <f aca="false">SUMIFS(Build!$M$5:$M$292,Build!$A$5:$A$292,J$4)</f>
        <v>3266534.39942474</v>
      </c>
      <c r="K7" s="9" t="n">
        <f aca="false">SUMIFS(Build!$M$5:$M$292,Build!$A$5:$A$292,K$4)</f>
        <v>3042957.51944522</v>
      </c>
      <c r="L7" s="9" t="n">
        <f aca="false">SUMIFS(Build!$M$5:$M$292,Build!$A$5:$A$292,L$4)</f>
        <v>2992069.30215123</v>
      </c>
      <c r="M7" s="9" t="n">
        <f aca="false">SUMIFS(Build!$M$5:$M$292,Build!$A$5:$A$292,M$4)</f>
        <v>3006468.3891413</v>
      </c>
      <c r="N7" s="9" t="n">
        <f aca="false">SUMIFS(Build!$M$5:$M$292,Build!$A$5:$A$292,N$4)</f>
        <v>3277630.05351605</v>
      </c>
      <c r="O7" s="22" t="n">
        <f aca="false">SUM(C7:N7)</f>
        <v>37027966.107442</v>
      </c>
    </row>
    <row r="8" customFormat="false" ht="15" hidden="false" customHeight="false" outlineLevel="0" collapsed="false">
      <c r="A8" s="0" t="s">
        <v>90</v>
      </c>
      <c r="C8" s="9" t="n">
        <f aca="false">SUMIFS(Build!$O$5:$O$292,Build!$A$5:$A$292,C$4)</f>
        <v>90280.5033016682</v>
      </c>
      <c r="D8" s="9" t="n">
        <f aca="false">SUMIFS(Build!$O$5:$O$292,Build!$A$5:$A$292,D$4)</f>
        <v>87782.2797954444</v>
      </c>
      <c r="E8" s="9" t="n">
        <f aca="false">SUMIFS(Build!$O$5:$O$292,Build!$A$5:$A$292,E$4)</f>
        <v>92834.6428296808</v>
      </c>
      <c r="F8" s="9" t="n">
        <f aca="false">SUMIFS(Build!$O$5:$O$292,Build!$A$5:$A$292,F$4)</f>
        <v>96753.2851293102</v>
      </c>
      <c r="G8" s="9" t="n">
        <f aca="false">SUMIFS(Build!$O$5:$O$292,Build!$A$5:$A$292,G$4)</f>
        <v>102937.8414258</v>
      </c>
      <c r="H8" s="9" t="n">
        <f aca="false">SUMIFS(Build!$O$5:$O$292,Build!$A$5:$A$292,H$4)</f>
        <v>105482.1304493</v>
      </c>
      <c r="I8" s="9" t="n">
        <f aca="false">SUMIFS(Build!$O$5:$O$292,Build!$A$5:$A$292,I$4)</f>
        <v>104704.144745983</v>
      </c>
      <c r="J8" s="9" t="n">
        <f aca="false">SUMIFS(Build!$O$5:$O$292,Build!$A$5:$A$292,J$4)</f>
        <v>102393.928036477</v>
      </c>
      <c r="K8" s="9" t="n">
        <f aca="false">SUMIFS(Build!$O$5:$O$292,Build!$A$5:$A$292,K$4)</f>
        <v>97092.6997932861</v>
      </c>
      <c r="L8" s="9" t="n">
        <f aca="false">SUMIFS(Build!$O$5:$O$292,Build!$A$5:$A$292,L$4)</f>
        <v>96257.4628317417</v>
      </c>
      <c r="M8" s="9" t="n">
        <f aca="false">SUMIFS(Build!$O$5:$O$292,Build!$A$5:$A$292,M$4)</f>
        <v>98126.4614075178</v>
      </c>
      <c r="N8" s="9" t="n">
        <f aca="false">SUMIFS(Build!$O$5:$O$292,Build!$A$5:$A$292,N$4)</f>
        <v>107442.05571779</v>
      </c>
      <c r="O8" s="22" t="n">
        <f aca="false">SUM(C8:N8)</f>
        <v>1182087.435464</v>
      </c>
    </row>
    <row r="9" customFormat="false" ht="15" hidden="false" customHeight="false" outlineLevel="0" collapsed="false">
      <c r="A9" s="4" t="s">
        <v>91</v>
      </c>
      <c r="C9" s="22" t="n">
        <f aca="false">C6-C7-C8</f>
        <v>765828.404994797</v>
      </c>
      <c r="D9" s="22" t="n">
        <f aca="false">D6-D7-D8</f>
        <v>851485.966746962</v>
      </c>
      <c r="E9" s="22" t="n">
        <f aca="false">E6-E7-E8</f>
        <v>904829.553377191</v>
      </c>
      <c r="F9" s="22" t="n">
        <f aca="false">F6-F7-F8</f>
        <v>948704.161525757</v>
      </c>
      <c r="G9" s="22" t="n">
        <f aca="false">G6-G7-G8</f>
        <v>1013527.11505287</v>
      </c>
      <c r="H9" s="22" t="n">
        <f aca="false">H6-H7-H8</f>
        <v>1038794.60347301</v>
      </c>
      <c r="I9" s="22" t="n">
        <f aca="false">I6-I7-I8</f>
        <v>1029128.69451256</v>
      </c>
      <c r="J9" s="22" t="n">
        <f aca="false">J6-J7-J8</f>
        <v>1005141.90435222</v>
      </c>
      <c r="K9" s="22" t="n">
        <f aca="false">K6-K7-K8</f>
        <v>957521.112006685</v>
      </c>
      <c r="L9" s="22" t="n">
        <f aca="false">L6-L7-L8</f>
        <v>954590.979394181</v>
      </c>
      <c r="M9" s="22" t="n">
        <f aca="false">M6-M7-M8</f>
        <v>980026.145422536</v>
      </c>
      <c r="N9" s="22" t="n">
        <f aca="false">N6-N7-N8</f>
        <v>1076979.53484608</v>
      </c>
      <c r="O9" s="22" t="n">
        <f aca="false">SUM(C9:N9)</f>
        <v>11526558.1757048</v>
      </c>
    </row>
    <row r="10" customFormat="false" ht="15" hidden="false" customHeight="false" outlineLevel="0" collapsed="false">
      <c r="A10" s="0" t="s">
        <v>92</v>
      </c>
      <c r="C10" s="9" t="n">
        <f aca="false">INDEX(Opex!$C$17:$N$17,C$4)</f>
        <v>753260.8370005</v>
      </c>
      <c r="D10" s="9" t="n">
        <f aca="false">INDEX(Opex!$C$17:$N$17,D$4)</f>
        <v>753260.8370005</v>
      </c>
      <c r="E10" s="9" t="n">
        <f aca="false">INDEX(Opex!$C$17:$N$17,E$4)</f>
        <v>764594.170333833</v>
      </c>
      <c r="F10" s="9" t="n">
        <f aca="false">INDEX(Opex!$C$17:$N$17,F$4)</f>
        <v>764594.170333833</v>
      </c>
      <c r="G10" s="9" t="n">
        <f aca="false">INDEX(Opex!$C$17:$N$17,G$4)</f>
        <v>764594.170333833</v>
      </c>
      <c r="H10" s="9" t="n">
        <f aca="false">INDEX(Opex!$C$17:$N$17,H$4)</f>
        <v>764594.170333833</v>
      </c>
      <c r="I10" s="9" t="n">
        <f aca="false">INDEX(Opex!$C$17:$N$17,I$4)</f>
        <v>772510.8370005</v>
      </c>
      <c r="J10" s="9" t="n">
        <f aca="false">INDEX(Opex!$C$17:$N$17,J$4)</f>
        <v>772510.8370005</v>
      </c>
      <c r="K10" s="9" t="n">
        <f aca="false">INDEX(Opex!$C$17:$N$17,K$4)</f>
        <v>772510.8370005</v>
      </c>
      <c r="L10" s="9" t="n">
        <f aca="false">INDEX(Opex!$C$17:$N$17,L$4)</f>
        <v>772510.8370005</v>
      </c>
      <c r="M10" s="9" t="n">
        <f aca="false">INDEX(Opex!$C$17:$N$17,M$4)</f>
        <v>772510.8370005</v>
      </c>
      <c r="N10" s="9" t="n">
        <f aca="false">INDEX(Opex!$C$17:$N$17,N$4)</f>
        <v>772510.8370005</v>
      </c>
      <c r="O10" s="22" t="n">
        <f aca="false">SUM(C10:N10)</f>
        <v>9199963.37733933</v>
      </c>
    </row>
    <row r="11" customFormat="false" ht="15" hidden="false" customHeight="false" outlineLevel="0" collapsed="false">
      <c r="A11" s="4" t="s">
        <v>17</v>
      </c>
      <c r="C11" s="22" t="n">
        <f aca="false">C9-C10</f>
        <v>12567.5679942968</v>
      </c>
      <c r="D11" s="22" t="n">
        <f aca="false">D9-D10</f>
        <v>98225.1297464619</v>
      </c>
      <c r="E11" s="22" t="n">
        <f aca="false">E9-E10</f>
        <v>140235.383043358</v>
      </c>
      <c r="F11" s="22" t="n">
        <f aca="false">F9-F10</f>
        <v>184109.991191924</v>
      </c>
      <c r="G11" s="22" t="n">
        <f aca="false">G9-G10</f>
        <v>248932.944719037</v>
      </c>
      <c r="H11" s="22" t="n">
        <f aca="false">H9-H10</f>
        <v>274200.433139178</v>
      </c>
      <c r="I11" s="22" t="n">
        <f aca="false">I9-I10</f>
        <v>256617.85751206</v>
      </c>
      <c r="J11" s="22" t="n">
        <f aca="false">J9-J10</f>
        <v>232631.067351719</v>
      </c>
      <c r="K11" s="22" t="n">
        <f aca="false">K9-K10</f>
        <v>185010.275006185</v>
      </c>
      <c r="L11" s="22" t="n">
        <f aca="false">L9-L10</f>
        <v>182080.142393681</v>
      </c>
      <c r="M11" s="22" t="n">
        <f aca="false">M9-M10</f>
        <v>207515.308422036</v>
      </c>
      <c r="N11" s="22" t="n">
        <f aca="false">N9-N10</f>
        <v>304468.697845576</v>
      </c>
      <c r="O11" s="22" t="n">
        <f aca="false">SUM(C11:N11)</f>
        <v>2326594.79836551</v>
      </c>
    </row>
    <row r="12" customFormat="false" ht="15" hidden="false" customHeight="false" outlineLevel="0" collapsed="false">
      <c r="A12" s="0" t="s">
        <v>108</v>
      </c>
      <c r="C12" s="9" t="n">
        <f aca="false">Assumptions!$C$46+SUMIF(Assumptions!$B$54:$M$54,"&lt;"&amp;C$4,Assumptions!$B$55:$M$55)/Assumptions!$C$47</f>
        <v>38000</v>
      </c>
      <c r="D12" s="9" t="n">
        <f aca="false">Assumptions!$C$46+SUMIF(Assumptions!$B$54:$M$54,"&lt;"&amp;D$4,Assumptions!$B$55:$M$55)/Assumptions!$C$47</f>
        <v>38000</v>
      </c>
      <c r="E12" s="9" t="n">
        <f aca="false">Assumptions!$C$46+SUMIF(Assumptions!$B$54:$M$54,"&lt;"&amp;E$4,Assumptions!$B$55:$M$55)/Assumptions!$C$47</f>
        <v>38000</v>
      </c>
      <c r="F12" s="9" t="n">
        <f aca="false">Assumptions!$C$46+SUMIF(Assumptions!$B$54:$M$54,"&lt;"&amp;F$4,Assumptions!$B$55:$M$55)/Assumptions!$C$47</f>
        <v>42166.6666666667</v>
      </c>
      <c r="G12" s="9" t="n">
        <f aca="false">Assumptions!$C$46+SUMIF(Assumptions!$B$54:$M$54,"&lt;"&amp;G$4,Assumptions!$B$55:$M$55)/Assumptions!$C$47</f>
        <v>42166.6666666667</v>
      </c>
      <c r="H12" s="9" t="n">
        <f aca="false">Assumptions!$C$46+SUMIF(Assumptions!$B$54:$M$54,"&lt;"&amp;H$4,Assumptions!$B$55:$M$55)/Assumptions!$C$47</f>
        <v>42166.6666666667</v>
      </c>
      <c r="I12" s="9" t="n">
        <f aca="false">Assumptions!$C$46+SUMIF(Assumptions!$B$54:$M$54,"&lt;"&amp;I$4,Assumptions!$B$55:$M$55)/Assumptions!$C$47</f>
        <v>44666.6666666667</v>
      </c>
      <c r="J12" s="9" t="n">
        <f aca="false">Assumptions!$C$46+SUMIF(Assumptions!$B$54:$M$54,"&lt;"&amp;J$4,Assumptions!$B$55:$M$55)/Assumptions!$C$47</f>
        <v>44666.6666666667</v>
      </c>
      <c r="K12" s="9" t="n">
        <f aca="false">Assumptions!$C$46+SUMIF(Assumptions!$B$54:$M$54,"&lt;"&amp;K$4,Assumptions!$B$55:$M$55)/Assumptions!$C$47</f>
        <v>44666.6666666667</v>
      </c>
      <c r="L12" s="9" t="n">
        <f aca="false">Assumptions!$C$46+SUMIF(Assumptions!$B$54:$M$54,"&lt;"&amp;L$4,Assumptions!$B$55:$M$55)/Assumptions!$C$47</f>
        <v>48000</v>
      </c>
      <c r="M12" s="9" t="n">
        <f aca="false">Assumptions!$C$46+SUMIF(Assumptions!$B$54:$M$54,"&lt;"&amp;M$4,Assumptions!$B$55:$M$55)/Assumptions!$C$47</f>
        <v>48000</v>
      </c>
      <c r="N12" s="9" t="n">
        <f aca="false">Assumptions!$C$46+SUMIF(Assumptions!$B$54:$M$54,"&lt;"&amp;N$4,Assumptions!$B$55:$M$55)/Assumptions!$C$47</f>
        <v>48000</v>
      </c>
      <c r="O12" s="22" t="n">
        <f aca="false">SUM(C12:N12)</f>
        <v>518500</v>
      </c>
    </row>
    <row r="13" customFormat="false" ht="15" hidden="false" customHeight="false" outlineLevel="0" collapsed="false">
      <c r="A13" s="0" t="s">
        <v>109</v>
      </c>
      <c r="C13" s="9" t="n">
        <f aca="false">C11-C12</f>
        <v>-25432.4320057032</v>
      </c>
      <c r="D13" s="9" t="n">
        <f aca="false">D11-D12</f>
        <v>60225.1297464619</v>
      </c>
      <c r="E13" s="9" t="n">
        <f aca="false">E11-E12</f>
        <v>102235.383043358</v>
      </c>
      <c r="F13" s="9" t="n">
        <f aca="false">F11-F12</f>
        <v>141943.324525257</v>
      </c>
      <c r="G13" s="9" t="n">
        <f aca="false">G11-G12</f>
        <v>206766.27805237</v>
      </c>
      <c r="H13" s="9" t="n">
        <f aca="false">H11-H12</f>
        <v>232033.766472511</v>
      </c>
      <c r="I13" s="9" t="n">
        <f aca="false">I11-I12</f>
        <v>211951.190845393</v>
      </c>
      <c r="J13" s="9" t="n">
        <f aca="false">J11-J12</f>
        <v>187964.400685053</v>
      </c>
      <c r="K13" s="9" t="n">
        <f aca="false">K11-K12</f>
        <v>140343.608339518</v>
      </c>
      <c r="L13" s="9" t="n">
        <f aca="false">L11-L12</f>
        <v>134080.142393681</v>
      </c>
      <c r="M13" s="9" t="n">
        <f aca="false">M11-M12</f>
        <v>159515.308422036</v>
      </c>
      <c r="N13" s="9" t="n">
        <f aca="false">N11-N12</f>
        <v>256468.697845576</v>
      </c>
      <c r="O13" s="22" t="n">
        <f aca="false">SUM(C13:N13)</f>
        <v>1808094.79836551</v>
      </c>
    </row>
    <row r="14" customFormat="false" ht="15" hidden="false" customHeight="false" outlineLevel="0" collapsed="false">
      <c r="A14" s="0" t="s">
        <v>110</v>
      </c>
      <c r="C14" s="9" t="n">
        <f aca="false">B30*Assumptions!$C$44/12</f>
        <v>7200</v>
      </c>
      <c r="D14" s="9" t="n">
        <f aca="false">C30*Assumptions!$C$44/12</f>
        <v>3006.17573414948</v>
      </c>
      <c r="E14" s="9" t="n">
        <f aca="false">D30*Assumptions!$C$44/12</f>
        <v>4608.0538214612</v>
      </c>
      <c r="F14" s="9" t="n">
        <f aca="false">E30*Assumptions!$C$44/12</f>
        <v>4730.61197073463</v>
      </c>
      <c r="G14" s="9" t="n">
        <f aca="false">F30*Assumptions!$C$44/12</f>
        <v>5404.58302346444</v>
      </c>
      <c r="H14" s="9" t="n">
        <f aca="false">G30*Assumptions!$C$44/12</f>
        <v>5061.88508545592</v>
      </c>
      <c r="I14" s="9" t="n">
        <f aca="false">H30*Assumptions!$C$44/12</f>
        <v>6026.96706283279</v>
      </c>
      <c r="J14" s="9" t="n">
        <f aca="false">I30*Assumptions!$C$44/12</f>
        <v>3972.27708889206</v>
      </c>
      <c r="K14" s="9" t="n">
        <f aca="false">J30*Assumptions!$C$44/12</f>
        <v>2354.3303888697</v>
      </c>
      <c r="L14" s="9" t="n">
        <f aca="false">K30*Assumptions!$C$44/12</f>
        <v>2092.19174500646</v>
      </c>
      <c r="M14" s="9" t="n">
        <f aca="false">L30*Assumptions!$C$44/12</f>
        <v>380.344989990906</v>
      </c>
      <c r="N14" s="9" t="n">
        <f aca="false">M30*Assumptions!$C$44/12</f>
        <v>255.180666321783</v>
      </c>
      <c r="O14" s="22" t="n">
        <f aca="false">SUM(C14:N14)</f>
        <v>45092.6015771794</v>
      </c>
    </row>
    <row r="15" customFormat="false" ht="15" hidden="false" customHeight="false" outlineLevel="0" collapsed="false">
      <c r="A15" s="0" t="s">
        <v>111</v>
      </c>
      <c r="C15" s="9" t="n">
        <f aca="false">C13-C14</f>
        <v>-32632.4320057032</v>
      </c>
      <c r="D15" s="9" t="n">
        <f aca="false">D13-D14</f>
        <v>57218.9540123124</v>
      </c>
      <c r="E15" s="9" t="n">
        <f aca="false">E13-E14</f>
        <v>97627.3292218966</v>
      </c>
      <c r="F15" s="9" t="n">
        <f aca="false">F13-F14</f>
        <v>137212.712554523</v>
      </c>
      <c r="G15" s="9" t="n">
        <f aca="false">G13-G14</f>
        <v>201361.695028906</v>
      </c>
      <c r="H15" s="9" t="n">
        <f aca="false">H13-H14</f>
        <v>226971.881387056</v>
      </c>
      <c r="I15" s="9" t="n">
        <f aca="false">I13-I14</f>
        <v>205924.22378256</v>
      </c>
      <c r="J15" s="9" t="n">
        <f aca="false">J13-J14</f>
        <v>183992.123596161</v>
      </c>
      <c r="K15" s="9" t="n">
        <f aca="false">K13-K14</f>
        <v>137989.277950649</v>
      </c>
      <c r="L15" s="9" t="n">
        <f aca="false">L13-L14</f>
        <v>131987.950648674</v>
      </c>
      <c r="M15" s="9" t="n">
        <f aca="false">M13-M14</f>
        <v>159134.963432045</v>
      </c>
      <c r="N15" s="9" t="n">
        <f aca="false">N13-N14</f>
        <v>256213.517179254</v>
      </c>
      <c r="O15" s="22" t="n">
        <f aca="false">SUM(C15:N15)</f>
        <v>1763002.19678833</v>
      </c>
    </row>
    <row r="16" customFormat="false" ht="15" hidden="false" customHeight="false" outlineLevel="0" collapsed="false">
      <c r="A16" s="0" t="s">
        <v>112</v>
      </c>
      <c r="C16" s="9" t="n">
        <f aca="false">C15*Assumptions!$C$48</f>
        <v>-8810.75664153987</v>
      </c>
      <c r="D16" s="9" t="n">
        <f aca="false">D15*Assumptions!$C$48</f>
        <v>15449.1175833243</v>
      </c>
      <c r="E16" s="9" t="n">
        <f aca="false">E15*Assumptions!$C$48</f>
        <v>26359.3788899121</v>
      </c>
      <c r="F16" s="9" t="n">
        <f aca="false">F15*Assumptions!$C$48</f>
        <v>37047.4323897212</v>
      </c>
      <c r="G16" s="9" t="n">
        <f aca="false">G15*Assumptions!$C$48</f>
        <v>54367.6576578045</v>
      </c>
      <c r="H16" s="9" t="n">
        <f aca="false">H15*Assumptions!$C$48</f>
        <v>61282.407974505</v>
      </c>
      <c r="I16" s="9" t="n">
        <f aca="false">I15*Assumptions!$C$48</f>
        <v>55599.5404212913</v>
      </c>
      <c r="J16" s="9" t="n">
        <f aca="false">J15*Assumptions!$C$48</f>
        <v>49677.8733709634</v>
      </c>
      <c r="K16" s="9" t="n">
        <f aca="false">K15*Assumptions!$C$48</f>
        <v>37257.1050466751</v>
      </c>
      <c r="L16" s="9" t="n">
        <f aca="false">L15*Assumptions!$C$48</f>
        <v>35636.746675142</v>
      </c>
      <c r="M16" s="9" t="n">
        <f aca="false">M15*Assumptions!$C$48</f>
        <v>42966.4401266521</v>
      </c>
      <c r="N16" s="9" t="n">
        <f aca="false">N15*Assumptions!$C$48</f>
        <v>69177.6496383986</v>
      </c>
      <c r="O16" s="22" t="n">
        <f aca="false">SUM(C16:N16)</f>
        <v>476010.59313285</v>
      </c>
    </row>
    <row r="17" customFormat="false" ht="15" hidden="false" customHeight="false" outlineLevel="0" collapsed="false">
      <c r="A17" s="4" t="s">
        <v>113</v>
      </c>
      <c r="C17" s="22" t="n">
        <f aca="false">C15-C16</f>
        <v>-23821.6753641633</v>
      </c>
      <c r="D17" s="22" t="n">
        <f aca="false">D15-D16</f>
        <v>41769.836428988</v>
      </c>
      <c r="E17" s="22" t="n">
        <f aca="false">E15-E16</f>
        <v>71267.9503319845</v>
      </c>
      <c r="F17" s="22" t="n">
        <f aca="false">F15-F16</f>
        <v>100165.280164802</v>
      </c>
      <c r="G17" s="22" t="n">
        <f aca="false">G15-G16</f>
        <v>146994.037371101</v>
      </c>
      <c r="H17" s="22" t="n">
        <f aca="false">H15-H16</f>
        <v>165689.473412551</v>
      </c>
      <c r="I17" s="22" t="n">
        <f aca="false">I15-I16</f>
        <v>150324.683361269</v>
      </c>
      <c r="J17" s="22" t="n">
        <f aca="false">J15-J16</f>
        <v>134314.250225197</v>
      </c>
      <c r="K17" s="22" t="n">
        <f aca="false">K15-K16</f>
        <v>100732.172903973</v>
      </c>
      <c r="L17" s="22" t="n">
        <f aca="false">L15-L16</f>
        <v>96351.2039735322</v>
      </c>
      <c r="M17" s="22" t="n">
        <f aca="false">M15-M16</f>
        <v>116168.523305393</v>
      </c>
      <c r="N17" s="22" t="n">
        <f aca="false">N15-N16</f>
        <v>187035.867540855</v>
      </c>
      <c r="O17" s="22" t="n">
        <f aca="false">SUM(C17:N17)</f>
        <v>1286991.60365548</v>
      </c>
    </row>
    <row r="19" customFormat="false" ht="15" hidden="false" customHeight="false" outlineLevel="0" collapsed="false">
      <c r="A19" s="0" t="s">
        <v>85</v>
      </c>
      <c r="C19" s="9" t="n">
        <f aca="false">INDEX(Assumptions!$B$55:$M$55,C$4)</f>
        <v>0</v>
      </c>
      <c r="D19" s="9" t="n">
        <f aca="false">INDEX(Assumptions!$B$55:$M$55,D$4)</f>
        <v>0</v>
      </c>
      <c r="E19" s="9" t="n">
        <f aca="false">INDEX(Assumptions!$B$55:$M$55,E$4)</f>
        <v>250000</v>
      </c>
      <c r="F19" s="9" t="n">
        <f aca="false">INDEX(Assumptions!$B$55:$M$55,F$4)</f>
        <v>0</v>
      </c>
      <c r="G19" s="9" t="n">
        <f aca="false">INDEX(Assumptions!$B$55:$M$55,G$4)</f>
        <v>0</v>
      </c>
      <c r="H19" s="9" t="n">
        <f aca="false">INDEX(Assumptions!$B$55:$M$55,H$4)</f>
        <v>150000</v>
      </c>
      <c r="I19" s="9" t="n">
        <f aca="false">INDEX(Assumptions!$B$55:$M$55,I$4)</f>
        <v>0</v>
      </c>
      <c r="J19" s="9" t="n">
        <f aca="false">INDEX(Assumptions!$B$55:$M$55,J$4)</f>
        <v>0</v>
      </c>
      <c r="K19" s="9" t="n">
        <f aca="false">INDEX(Assumptions!$B$55:$M$55,K$4)</f>
        <v>200000</v>
      </c>
      <c r="L19" s="9" t="n">
        <f aca="false">INDEX(Assumptions!$B$55:$M$55,L$4)</f>
        <v>0</v>
      </c>
      <c r="M19" s="9" t="n">
        <f aca="false">INDEX(Assumptions!$B$55:$M$55,M$4)</f>
        <v>0</v>
      </c>
      <c r="N19" s="9" t="n">
        <f aca="false">INDEX(Assumptions!$B$55:$M$55,N$4)</f>
        <v>0</v>
      </c>
      <c r="O19" s="22" t="n">
        <f aca="false">SUM(C19:N19)</f>
        <v>600000</v>
      </c>
    </row>
    <row r="20" customFormat="false" ht="15" hidden="false" customHeight="false" outlineLevel="0" collapsed="false">
      <c r="A20" s="0" t="s">
        <v>114</v>
      </c>
      <c r="C20" s="18" t="n">
        <f aca="false">DAY(EOMONTH(DATE(Assumptions!$C$3,C$4,1),0))</f>
        <v>31</v>
      </c>
      <c r="D20" s="18" t="n">
        <f aca="false">DAY(EOMONTH(DATE(Assumptions!$C$3,D$4,1),0))</f>
        <v>28</v>
      </c>
      <c r="E20" s="18" t="n">
        <f aca="false">DAY(EOMONTH(DATE(Assumptions!$C$3,E$4,1),0))</f>
        <v>31</v>
      </c>
      <c r="F20" s="18" t="n">
        <f aca="false">DAY(EOMONTH(DATE(Assumptions!$C$3,F$4,1),0))</f>
        <v>30</v>
      </c>
      <c r="G20" s="18" t="n">
        <f aca="false">DAY(EOMONTH(DATE(Assumptions!$C$3,G$4,1),0))</f>
        <v>31</v>
      </c>
      <c r="H20" s="18" t="n">
        <f aca="false">DAY(EOMONTH(DATE(Assumptions!$C$3,H$4,1),0))</f>
        <v>30</v>
      </c>
      <c r="I20" s="18" t="n">
        <f aca="false">DAY(EOMONTH(DATE(Assumptions!$C$3,I$4,1),0))</f>
        <v>31</v>
      </c>
      <c r="J20" s="18" t="n">
        <f aca="false">DAY(EOMONTH(DATE(Assumptions!$C$3,J$4,1),0))</f>
        <v>31</v>
      </c>
      <c r="K20" s="18" t="n">
        <f aca="false">DAY(EOMONTH(DATE(Assumptions!$C$3,K$4,1),0))</f>
        <v>30</v>
      </c>
      <c r="L20" s="18" t="n">
        <f aca="false">DAY(EOMONTH(DATE(Assumptions!$C$3,L$4,1),0))</f>
        <v>31</v>
      </c>
      <c r="M20" s="18" t="n">
        <f aca="false">DAY(EOMONTH(DATE(Assumptions!$C$3,M$4,1),0))</f>
        <v>30</v>
      </c>
      <c r="N20" s="18" t="n">
        <f aca="false">DAY(EOMONTH(DATE(Assumptions!$C$3,N$4,1),0))</f>
        <v>31</v>
      </c>
    </row>
    <row r="22" customFormat="false" ht="15" hidden="false" customHeight="false" outlineLevel="0" collapsed="false">
      <c r="A22" s="3" t="s">
        <v>115</v>
      </c>
    </row>
    <row r="23" customFormat="false" ht="15" hidden="false" customHeight="false" outlineLevel="0" collapsed="false">
      <c r="A23" s="0" t="s">
        <v>116</v>
      </c>
      <c r="B23" s="9" t="n">
        <f aca="false">Assumptions!C41</f>
        <v>500000</v>
      </c>
      <c r="C23" s="9" t="n">
        <f aca="false">C42+C43</f>
        <v>400000</v>
      </c>
      <c r="D23" s="9" t="n">
        <f aca="false">D42+D43</f>
        <v>400000</v>
      </c>
      <c r="E23" s="9" t="n">
        <f aca="false">E42+E43</f>
        <v>400000</v>
      </c>
      <c r="F23" s="9" t="n">
        <f aca="false">F42+F43</f>
        <v>400000</v>
      </c>
      <c r="G23" s="9" t="n">
        <f aca="false">G42+G43</f>
        <v>400000</v>
      </c>
      <c r="H23" s="9" t="n">
        <f aca="false">H42+H43</f>
        <v>400000</v>
      </c>
      <c r="I23" s="9" t="n">
        <f aca="false">I42+I43</f>
        <v>400000</v>
      </c>
      <c r="J23" s="9" t="n">
        <f aca="false">J42+J43</f>
        <v>400000</v>
      </c>
      <c r="K23" s="9" t="n">
        <f aca="false">K42+K43</f>
        <v>400000</v>
      </c>
      <c r="L23" s="9" t="n">
        <f aca="false">L42+L43</f>
        <v>400000</v>
      </c>
      <c r="M23" s="9" t="n">
        <f aca="false">M42+M43</f>
        <v>400000</v>
      </c>
      <c r="N23" s="9" t="n">
        <f aca="false">N42+N43</f>
        <v>405081.234317015</v>
      </c>
      <c r="O23" s="22" t="n">
        <f aca="false">N23</f>
        <v>405081.234317015</v>
      </c>
    </row>
    <row r="24" customFormat="false" ht="15" hidden="false" customHeight="false" outlineLevel="0" collapsed="false">
      <c r="A24" s="0" t="s">
        <v>117</v>
      </c>
      <c r="B24" s="9" t="n">
        <f aca="false">INDEX(Data_Base!$B$48:$B$50,MATCH("Accounts receivable",Data_Base!$A$48:$A$50,0))</f>
        <v>4501878.38</v>
      </c>
      <c r="C24" s="9" t="n">
        <f aca="false">C6/C20*Assumptions!$C$49</f>
        <v>3981077.82298276</v>
      </c>
      <c r="D24" s="9" t="n">
        <f aca="false">D6/D20*Assumptions!$C$49</f>
        <v>4429444.70366317</v>
      </c>
      <c r="E24" s="9" t="n">
        <f aca="false">E6/E20*Assumptions!$C$49</f>
        <v>4257354.39679056</v>
      </c>
      <c r="F24" s="9" t="n">
        <f aca="false">F6/F20*Assumptions!$C$49</f>
        <v>4626829.57128998</v>
      </c>
      <c r="G24" s="9" t="n">
        <f aca="false">G6/G20*Assumptions!$C$49</f>
        <v>4823544.29347794</v>
      </c>
      <c r="H24" s="9" t="n">
        <f aca="false">H6/H20*Assumptions!$C$49</f>
        <v>5144703.7162112</v>
      </c>
      <c r="I24" s="9" t="n">
        <f aca="false">I6/I20*Assumptions!$C$49</f>
        <v>4931328.70902633</v>
      </c>
      <c r="J24" s="9" t="n">
        <f aca="false">J6/J20*Assumptions!$C$49</f>
        <v>4797367.35102118</v>
      </c>
      <c r="K24" s="9" t="n">
        <f aca="false">K6/K20*Assumptions!$C$49</f>
        <v>4643914.17541121</v>
      </c>
      <c r="L24" s="9" t="n">
        <f aca="false">L6/L20*Assumptions!$C$49</f>
        <v>4434167.84867172</v>
      </c>
      <c r="M24" s="9" t="n">
        <f aca="false">M6/M20*Assumptions!$C$49</f>
        <v>4629237.12876753</v>
      </c>
      <c r="N24" s="9" t="n">
        <f aca="false">N6/N20*Assumptions!$C$49</f>
        <v>4893863.09350701</v>
      </c>
      <c r="O24" s="22" t="n">
        <f aca="false">N24</f>
        <v>4893863.09350701</v>
      </c>
    </row>
    <row r="25" customFormat="false" ht="15" hidden="false" customHeight="false" outlineLevel="0" collapsed="false">
      <c r="A25" s="0" t="s">
        <v>118</v>
      </c>
      <c r="B25" s="9" t="n">
        <f aca="false">INDEX(Data_Base!$B$48:$B$50,MATCH("Inventory",Data_Base!$A$48:$A$50,0))</f>
        <v>1715054.62</v>
      </c>
      <c r="C25" s="9" t="n">
        <f aca="false">C7/C20*Assumptions!$C$50</f>
        <v>1521059.83274816</v>
      </c>
      <c r="D25" s="9" t="n">
        <f aca="false">D7/D20*Assumptions!$C$50</f>
        <v>1644452.34500226</v>
      </c>
      <c r="E25" s="9" t="n">
        <f aca="false">E7/E20*Assumptions!$C$50</f>
        <v>1581571.02628184</v>
      </c>
      <c r="F25" s="9" t="n">
        <f aca="false">F7/F20*Assumptions!$C$50</f>
        <v>1720988.89920712</v>
      </c>
      <c r="G25" s="9" t="n">
        <f aca="false">G7/G20*Assumptions!$C$50</f>
        <v>1799517.17060551</v>
      </c>
      <c r="H25" s="9" t="n">
        <f aca="false">H7/H20*Assumptions!$C$50</f>
        <v>1923928.37554962</v>
      </c>
      <c r="I25" s="9" t="n">
        <f aca="false">I7/I20*Assumptions!$C$50</f>
        <v>1843885.05556493</v>
      </c>
      <c r="J25" s="9" t="n">
        <f aca="false">J7/J20*Assumptions!$C$50</f>
        <v>1791325.31581356</v>
      </c>
      <c r="K25" s="9" t="n">
        <f aca="false">K7/K20*Assumptions!$C$50</f>
        <v>1724342.59435229</v>
      </c>
      <c r="L25" s="9" t="n">
        <f aca="false">L7/L20*Assumptions!$C$50</f>
        <v>1640812.1979539</v>
      </c>
      <c r="M25" s="9" t="n">
        <f aca="false">M7/M20*Assumptions!$C$50</f>
        <v>1703665.4205134</v>
      </c>
      <c r="N25" s="9" t="n">
        <f aca="false">N7/N20*Assumptions!$C$50</f>
        <v>1797410.02934751</v>
      </c>
      <c r="O25" s="22" t="n">
        <f aca="false">N25</f>
        <v>1797410.02934751</v>
      </c>
    </row>
    <row r="26" customFormat="false" ht="15" hidden="false" customHeight="false" outlineLevel="0" collapsed="false">
      <c r="A26" s="0" t="s">
        <v>119</v>
      </c>
      <c r="B26" s="9" t="n">
        <f aca="false">Assumptions!C45</f>
        <v>2400000</v>
      </c>
      <c r="C26" s="9" t="n">
        <f aca="false">B26+C19-C12</f>
        <v>2362000</v>
      </c>
      <c r="D26" s="9" t="n">
        <f aca="false">C26+D19-D12</f>
        <v>2324000</v>
      </c>
      <c r="E26" s="9" t="n">
        <f aca="false">D26+E19-E12</f>
        <v>2536000</v>
      </c>
      <c r="F26" s="9" t="n">
        <f aca="false">E26+F19-F12</f>
        <v>2493833.33333333</v>
      </c>
      <c r="G26" s="9" t="n">
        <f aca="false">F26+G19-G12</f>
        <v>2451666.66666667</v>
      </c>
      <c r="H26" s="9" t="n">
        <f aca="false">G26+H19-H12</f>
        <v>2559500</v>
      </c>
      <c r="I26" s="9" t="n">
        <f aca="false">H26+I19-I12</f>
        <v>2514833.33333333</v>
      </c>
      <c r="J26" s="9" t="n">
        <f aca="false">I26+J19-J12</f>
        <v>2470166.66666667</v>
      </c>
      <c r="K26" s="9" t="n">
        <f aca="false">J26+K19-K12</f>
        <v>2625500</v>
      </c>
      <c r="L26" s="9" t="n">
        <f aca="false">K26+L19-L12</f>
        <v>2577500</v>
      </c>
      <c r="M26" s="9" t="n">
        <f aca="false">L26+M19-M12</f>
        <v>2529500</v>
      </c>
      <c r="N26" s="9" t="n">
        <f aca="false">M26+N19-N12</f>
        <v>2481500</v>
      </c>
      <c r="O26" s="22" t="n">
        <f aca="false">N26</f>
        <v>2481500</v>
      </c>
    </row>
    <row r="27" customFormat="false" ht="15" hidden="false" customHeight="false" outlineLevel="0" collapsed="false">
      <c r="A27" s="4" t="s">
        <v>120</v>
      </c>
      <c r="B27" s="22" t="n">
        <f aca="false">SUM(B23:B26)</f>
        <v>9116933</v>
      </c>
      <c r="C27" s="22" t="n">
        <f aca="false">SUM(C23:C26)</f>
        <v>8264137.65573092</v>
      </c>
      <c r="D27" s="22" t="n">
        <f aca="false">SUM(D23:D26)</f>
        <v>8797897.04866543</v>
      </c>
      <c r="E27" s="22" t="n">
        <f aca="false">SUM(E23:E26)</f>
        <v>8774925.4230724</v>
      </c>
      <c r="F27" s="22" t="n">
        <f aca="false">SUM(F23:F26)</f>
        <v>9241651.80383043</v>
      </c>
      <c r="G27" s="22" t="n">
        <f aca="false">SUM(G23:G26)</f>
        <v>9474728.13075011</v>
      </c>
      <c r="H27" s="22" t="n">
        <f aca="false">SUM(H23:H26)</f>
        <v>10028132.0917608</v>
      </c>
      <c r="I27" s="22" t="n">
        <f aca="false">SUM(I23:I26)</f>
        <v>9690047.09792459</v>
      </c>
      <c r="J27" s="22" t="n">
        <f aca="false">SUM(J23:J26)</f>
        <v>9458859.33350142</v>
      </c>
      <c r="K27" s="22" t="n">
        <f aca="false">SUM(K23:K26)</f>
        <v>9393756.76976351</v>
      </c>
      <c r="L27" s="22" t="n">
        <f aca="false">SUM(L23:L26)</f>
        <v>9052480.04662562</v>
      </c>
      <c r="M27" s="22" t="n">
        <f aca="false">SUM(M23:M26)</f>
        <v>9262402.54928093</v>
      </c>
      <c r="N27" s="22" t="n">
        <f aca="false">SUM(N23:N26)</f>
        <v>9577854.35717154</v>
      </c>
      <c r="O27" s="22" t="n">
        <f aca="false">N27</f>
        <v>9577854.35717154</v>
      </c>
    </row>
    <row r="28" customFormat="false" ht="15" hidden="false" customHeight="false" outlineLevel="0" collapsed="false">
      <c r="A28" s="0" t="s">
        <v>121</v>
      </c>
      <c r="B28" s="9" t="n">
        <f aca="false">INDEX(Data_Base!$B$48:$B$50,MATCH("Accounts payable",Data_Base!$A$48:$A$50,0))</f>
        <v>2903700.3</v>
      </c>
      <c r="C28" s="9" t="n">
        <f aca="false">C7/C20*Assumptions!$C$51</f>
        <v>2773697.34207017</v>
      </c>
      <c r="D28" s="9" t="n">
        <f aca="false">D7/D20*Assumptions!$C$51</f>
        <v>2998707.21735707</v>
      </c>
      <c r="E28" s="9" t="n">
        <f aca="false">E7/E20*Assumptions!$C$51</f>
        <v>2884041.28321982</v>
      </c>
      <c r="F28" s="9" t="n">
        <f aca="false">F7/F20*Assumptions!$C$51</f>
        <v>3138273.87502474</v>
      </c>
      <c r="G28" s="9" t="n">
        <f aca="false">G7/G20*Assumptions!$C$51</f>
        <v>3281472.48757474</v>
      </c>
      <c r="H28" s="9" t="n">
        <f aca="false">H7/H20*Assumptions!$C$51</f>
        <v>3508339.97894343</v>
      </c>
      <c r="I28" s="9" t="n">
        <f aca="false">I7/I20*Assumptions!$C$51</f>
        <v>3362378.63073605</v>
      </c>
      <c r="J28" s="9" t="n">
        <f aca="false">J7/J20*Assumptions!$C$51</f>
        <v>3266534.39942474</v>
      </c>
      <c r="K28" s="9" t="n">
        <f aca="false">K7/K20*Assumptions!$C$51</f>
        <v>3144389.43676006</v>
      </c>
      <c r="L28" s="9" t="n">
        <f aca="false">L7/L20*Assumptions!$C$51</f>
        <v>2992069.30215123</v>
      </c>
      <c r="M28" s="9" t="n">
        <f aca="false">M7/M20*Assumptions!$C$51</f>
        <v>3106684.00211267</v>
      </c>
      <c r="N28" s="9" t="n">
        <f aca="false">N7/N20*Assumptions!$C$51</f>
        <v>3277630.05351605</v>
      </c>
      <c r="O28" s="22" t="n">
        <f aca="false">N28</f>
        <v>3277630.05351605</v>
      </c>
    </row>
    <row r="30" customFormat="false" ht="15" hidden="false" customHeight="false" outlineLevel="0" collapsed="false">
      <c r="A30" s="0" t="s">
        <v>122</v>
      </c>
      <c r="B30" s="9" t="n">
        <f aca="false">Assumptions!C43</f>
        <v>1200000</v>
      </c>
      <c r="C30" s="9" t="n">
        <f aca="false">B30+C43</f>
        <v>501029.289024914</v>
      </c>
      <c r="D30" s="9" t="n">
        <f aca="false">C30+D43</f>
        <v>768008.970243534</v>
      </c>
      <c r="E30" s="9" t="n">
        <f aca="false">D30+E43</f>
        <v>788435.328455772</v>
      </c>
      <c r="F30" s="9" t="n">
        <f aca="false">E30+F43</f>
        <v>900763.837244073</v>
      </c>
      <c r="G30" s="9" t="n">
        <f aca="false">F30+G43</f>
        <v>843647.514242654</v>
      </c>
      <c r="H30" s="9" t="n">
        <f aca="false">G30+H43</f>
        <v>1004494.51047213</v>
      </c>
      <c r="I30" s="9" t="n">
        <f aca="false">H30+I43</f>
        <v>662046.181482011</v>
      </c>
      <c r="J30" s="9" t="n">
        <f aca="false">I30+J43</f>
        <v>392388.39814495</v>
      </c>
      <c r="K30" s="9" t="n">
        <f aca="false">J30+K43</f>
        <v>348698.624167743</v>
      </c>
      <c r="L30" s="9" t="n">
        <f aca="false">K30+L43</f>
        <v>63390.8316651511</v>
      </c>
      <c r="M30" s="9" t="n">
        <f aca="false">L30+M43</f>
        <v>42530.1110536305</v>
      </c>
      <c r="N30" s="9" t="n">
        <f aca="false">M30+N43</f>
        <v>0</v>
      </c>
      <c r="O30" s="22" t="n">
        <f aca="false">N30</f>
        <v>0</v>
      </c>
    </row>
    <row r="31" customFormat="false" ht="15" hidden="false" customHeight="false" outlineLevel="0" collapsed="false">
      <c r="A31" s="0" t="s">
        <v>123</v>
      </c>
      <c r="B31" s="9" t="n">
        <f aca="false">B27-B28-B30</f>
        <v>5013232.7</v>
      </c>
      <c r="C31" s="9" t="n">
        <f aca="false">B31+C17</f>
        <v>4989411.02463584</v>
      </c>
      <c r="D31" s="9" t="n">
        <f aca="false">C31+D17</f>
        <v>5031180.86106482</v>
      </c>
      <c r="E31" s="9" t="n">
        <f aca="false">D31+E17</f>
        <v>5102448.81139681</v>
      </c>
      <c r="F31" s="9" t="n">
        <f aca="false">E31+F17</f>
        <v>5202614.09156161</v>
      </c>
      <c r="G31" s="9" t="n">
        <f aca="false">F31+G17</f>
        <v>5349608.12893271</v>
      </c>
      <c r="H31" s="9" t="n">
        <f aca="false">G31+H17</f>
        <v>5515297.60234526</v>
      </c>
      <c r="I31" s="9" t="n">
        <f aca="false">H31+I17</f>
        <v>5665622.28570653</v>
      </c>
      <c r="J31" s="9" t="n">
        <f aca="false">I31+J17</f>
        <v>5799936.53593173</v>
      </c>
      <c r="K31" s="9" t="n">
        <f aca="false">J31+K17</f>
        <v>5900668.7088357</v>
      </c>
      <c r="L31" s="9" t="n">
        <f aca="false">K31+L17</f>
        <v>5997019.91280923</v>
      </c>
      <c r="M31" s="9" t="n">
        <f aca="false">L31+M17</f>
        <v>6113188.43611463</v>
      </c>
      <c r="N31" s="9" t="n">
        <f aca="false">M31+N17</f>
        <v>6300224.30365548</v>
      </c>
      <c r="O31" s="22" t="n">
        <f aca="false">N31</f>
        <v>6300224.30365548</v>
      </c>
    </row>
    <row r="32" customFormat="false" ht="15" hidden="false" customHeight="false" outlineLevel="0" collapsed="false">
      <c r="A32" s="4" t="s">
        <v>124</v>
      </c>
      <c r="B32" s="22" t="n">
        <f aca="false">B28+B30+B31</f>
        <v>9116933</v>
      </c>
      <c r="C32" s="22" t="n">
        <f aca="false">C28+C30+C31</f>
        <v>8264137.65573092</v>
      </c>
      <c r="D32" s="22" t="n">
        <f aca="false">D28+D30+D31</f>
        <v>8797897.04866543</v>
      </c>
      <c r="E32" s="22" t="n">
        <f aca="false">E28+E30+E31</f>
        <v>8774925.4230724</v>
      </c>
      <c r="F32" s="22" t="n">
        <f aca="false">F28+F30+F31</f>
        <v>9241651.80383042</v>
      </c>
      <c r="G32" s="22" t="n">
        <f aca="false">G28+G30+G31</f>
        <v>9474728.13075011</v>
      </c>
      <c r="H32" s="22" t="n">
        <f aca="false">H28+H30+H31</f>
        <v>10028132.0917608</v>
      </c>
      <c r="I32" s="22" t="n">
        <f aca="false">I28+I30+I31</f>
        <v>9690047.09792459</v>
      </c>
      <c r="J32" s="22" t="n">
        <f aca="false">J28+J30+J31</f>
        <v>9458859.33350141</v>
      </c>
      <c r="K32" s="22" t="n">
        <f aca="false">K28+K30+K31</f>
        <v>9393756.7697635</v>
      </c>
      <c r="L32" s="22" t="n">
        <f aca="false">L28+L30+L31</f>
        <v>9052480.04662561</v>
      </c>
      <c r="M32" s="22" t="n">
        <f aca="false">M28+M30+M31</f>
        <v>9262402.54928093</v>
      </c>
      <c r="N32" s="22" t="n">
        <f aca="false">N28+N30+N31</f>
        <v>9577854.35717154</v>
      </c>
      <c r="O32" s="22" t="n">
        <f aca="false">N32</f>
        <v>9577854.35717154</v>
      </c>
    </row>
    <row r="33" customFormat="false" ht="15" hidden="false" customHeight="false" outlineLevel="0" collapsed="false">
      <c r="A33" s="0" t="s">
        <v>125</v>
      </c>
      <c r="B33" s="24" t="n">
        <f aca="false">B27-B32</f>
        <v>0</v>
      </c>
      <c r="C33" s="24" t="n">
        <f aca="false">C27-C32</f>
        <v>0</v>
      </c>
      <c r="D33" s="24" t="n">
        <f aca="false">D27-D32</f>
        <v>0</v>
      </c>
      <c r="E33" s="24" t="n">
        <f aca="false">E27-E32</f>
        <v>0</v>
      </c>
      <c r="F33" s="24" t="n">
        <f aca="false">F27-F32</f>
        <v>0</v>
      </c>
      <c r="G33" s="24" t="n">
        <f aca="false">G27-G32</f>
        <v>0</v>
      </c>
      <c r="H33" s="24" t="n">
        <f aca="false">H27-H32</f>
        <v>0</v>
      </c>
      <c r="I33" s="24" t="n">
        <f aca="false">I27-I32</f>
        <v>0</v>
      </c>
      <c r="J33" s="24" t="n">
        <f aca="false">J27-J32</f>
        <v>0</v>
      </c>
      <c r="K33" s="24" t="n">
        <f aca="false">K27-K32</f>
        <v>0</v>
      </c>
      <c r="L33" s="24" t="n">
        <f aca="false">L27-L32</f>
        <v>0</v>
      </c>
      <c r="M33" s="24" t="n">
        <f aca="false">M27-M32</f>
        <v>0</v>
      </c>
      <c r="N33" s="24" t="n">
        <f aca="false">N27-N32</f>
        <v>0</v>
      </c>
    </row>
    <row r="34" customFormat="false" ht="15" hidden="false" customHeight="false" outlineLevel="0" collapsed="false">
      <c r="A34" s="3" t="s">
        <v>126</v>
      </c>
    </row>
    <row r="35" customFormat="false" ht="15" hidden="false" customHeight="false" outlineLevel="0" collapsed="false">
      <c r="A35" s="0" t="s">
        <v>113</v>
      </c>
      <c r="C35" s="9" t="n">
        <f aca="false">C17</f>
        <v>-23821.6753641633</v>
      </c>
      <c r="D35" s="9" t="n">
        <f aca="false">D17</f>
        <v>41769.836428988</v>
      </c>
      <c r="E35" s="9" t="n">
        <f aca="false">E17</f>
        <v>71267.9503319845</v>
      </c>
      <c r="F35" s="9" t="n">
        <f aca="false">F17</f>
        <v>100165.280164802</v>
      </c>
      <c r="G35" s="9" t="n">
        <f aca="false">G17</f>
        <v>146994.037371101</v>
      </c>
      <c r="H35" s="9" t="n">
        <f aca="false">H17</f>
        <v>165689.473412551</v>
      </c>
      <c r="I35" s="9" t="n">
        <f aca="false">I17</f>
        <v>150324.683361269</v>
      </c>
      <c r="J35" s="9" t="n">
        <f aca="false">J17</f>
        <v>134314.250225197</v>
      </c>
      <c r="K35" s="9" t="n">
        <f aca="false">K17</f>
        <v>100732.172903973</v>
      </c>
      <c r="L35" s="9" t="n">
        <f aca="false">L17</f>
        <v>96351.2039735322</v>
      </c>
      <c r="M35" s="9" t="n">
        <f aca="false">M17</f>
        <v>116168.523305393</v>
      </c>
      <c r="N35" s="9" t="n">
        <f aca="false">N17</f>
        <v>187035.867540855</v>
      </c>
      <c r="O35" s="22" t="n">
        <f aca="false">SUM(C35:N35)</f>
        <v>1286991.60365548</v>
      </c>
    </row>
    <row r="36" customFormat="false" ht="15" hidden="false" customHeight="false" outlineLevel="0" collapsed="false">
      <c r="A36" s="0" t="s">
        <v>127</v>
      </c>
      <c r="C36" s="9" t="n">
        <f aca="false">C12</f>
        <v>38000</v>
      </c>
      <c r="D36" s="9" t="n">
        <f aca="false">D12</f>
        <v>38000</v>
      </c>
      <c r="E36" s="9" t="n">
        <f aca="false">E12</f>
        <v>38000</v>
      </c>
      <c r="F36" s="9" t="n">
        <f aca="false">F12</f>
        <v>42166.6666666667</v>
      </c>
      <c r="G36" s="9" t="n">
        <f aca="false">G12</f>
        <v>42166.6666666667</v>
      </c>
      <c r="H36" s="9" t="n">
        <f aca="false">H12</f>
        <v>42166.6666666667</v>
      </c>
      <c r="I36" s="9" t="n">
        <f aca="false">I12</f>
        <v>44666.6666666667</v>
      </c>
      <c r="J36" s="9" t="n">
        <f aca="false">J12</f>
        <v>44666.6666666667</v>
      </c>
      <c r="K36" s="9" t="n">
        <f aca="false">K12</f>
        <v>44666.6666666667</v>
      </c>
      <c r="L36" s="9" t="n">
        <f aca="false">L12</f>
        <v>48000</v>
      </c>
      <c r="M36" s="9" t="n">
        <f aca="false">M12</f>
        <v>48000</v>
      </c>
      <c r="N36" s="9" t="n">
        <f aca="false">N12</f>
        <v>48000</v>
      </c>
      <c r="O36" s="22" t="n">
        <f aca="false">SUM(C36:N36)</f>
        <v>518500</v>
      </c>
    </row>
    <row r="37" customFormat="false" ht="15" hidden="false" customHeight="false" outlineLevel="0" collapsed="false">
      <c r="A37" s="0" t="s">
        <v>128</v>
      </c>
      <c r="C37" s="9" t="n">
        <f aca="false">-(C24-B24)</f>
        <v>520800.557017236</v>
      </c>
      <c r="D37" s="9" t="n">
        <f aca="false">-(D24-C24)</f>
        <v>-448366.8806804</v>
      </c>
      <c r="E37" s="9" t="n">
        <f aca="false">-(E24-D24)</f>
        <v>172090.306872601</v>
      </c>
      <c r="F37" s="9" t="n">
        <f aca="false">-(F24-E24)</f>
        <v>-369475.174499412</v>
      </c>
      <c r="G37" s="9" t="n">
        <f aca="false">-(G24-F24)</f>
        <v>-196714.722187962</v>
      </c>
      <c r="H37" s="9" t="n">
        <f aca="false">-(H24-G24)</f>
        <v>-321159.422733263</v>
      </c>
      <c r="I37" s="9" t="n">
        <f aca="false">-(I24-H24)</f>
        <v>213375.007184872</v>
      </c>
      <c r="J37" s="9" t="n">
        <f aca="false">-(J24-I24)</f>
        <v>133961.358005147</v>
      </c>
      <c r="K37" s="9" t="n">
        <f aca="false">-(K24-J24)</f>
        <v>153453.175609969</v>
      </c>
      <c r="L37" s="9" t="n">
        <f aca="false">-(L24-K24)</f>
        <v>209746.326739498</v>
      </c>
      <c r="M37" s="9" t="n">
        <f aca="false">-(M24-L24)</f>
        <v>-195069.280095814</v>
      </c>
      <c r="N37" s="9" t="n">
        <f aca="false">-(N24-M24)</f>
        <v>-264625.964739479</v>
      </c>
      <c r="O37" s="22" t="n">
        <f aca="false">SUM(C37:N37)</f>
        <v>-391984.713507009</v>
      </c>
    </row>
    <row r="38" customFormat="false" ht="15" hidden="false" customHeight="false" outlineLevel="0" collapsed="false">
      <c r="A38" s="0" t="s">
        <v>129</v>
      </c>
      <c r="C38" s="9" t="n">
        <f aca="false">-(C25-B25)</f>
        <v>193994.787251841</v>
      </c>
      <c r="D38" s="9" t="n">
        <f aca="false">-(D25-C25)</f>
        <v>-123392.512254105</v>
      </c>
      <c r="E38" s="9" t="n">
        <f aca="false">-(E25-D25)</f>
        <v>62881.3187204283</v>
      </c>
      <c r="F38" s="9" t="n">
        <f aca="false">-(F25-E25)</f>
        <v>-139417.87292528</v>
      </c>
      <c r="G38" s="9" t="n">
        <f aca="false">-(G25-F25)</f>
        <v>-78528.2713983888</v>
      </c>
      <c r="H38" s="9" t="n">
        <f aca="false">-(H25-G25)</f>
        <v>-124411.204944119</v>
      </c>
      <c r="I38" s="9" t="n">
        <f aca="false">-(I25-H25)</f>
        <v>80043.3199846929</v>
      </c>
      <c r="J38" s="9" t="n">
        <f aca="false">-(J25-I25)</f>
        <v>52559.7397513667</v>
      </c>
      <c r="K38" s="9" t="n">
        <f aca="false">-(K25-J25)</f>
        <v>66982.721461274</v>
      </c>
      <c r="L38" s="9" t="n">
        <f aca="false">-(L25-K25)</f>
        <v>83530.3963983902</v>
      </c>
      <c r="M38" s="9" t="n">
        <f aca="false">-(M25-L25)</f>
        <v>-62853.222559501</v>
      </c>
      <c r="N38" s="9" t="n">
        <f aca="false">-(N25-M25)</f>
        <v>-93744.6088341118</v>
      </c>
      <c r="O38" s="22" t="n">
        <f aca="false">SUM(C38:N38)</f>
        <v>-82355.409347513</v>
      </c>
    </row>
    <row r="39" customFormat="false" ht="15" hidden="false" customHeight="false" outlineLevel="0" collapsed="false">
      <c r="A39" s="0" t="s">
        <v>130</v>
      </c>
      <c r="C39" s="9" t="n">
        <f aca="false">C28-B28</f>
        <v>-130002.957929827</v>
      </c>
      <c r="D39" s="9" t="n">
        <f aca="false">D28-C28</f>
        <v>225009.875286897</v>
      </c>
      <c r="E39" s="9" t="n">
        <f aca="false">E28-D28</f>
        <v>-114665.934137252</v>
      </c>
      <c r="F39" s="9" t="n">
        <f aca="false">F28-E28</f>
        <v>254232.591804923</v>
      </c>
      <c r="G39" s="9" t="n">
        <f aca="false">G28-F28</f>
        <v>143198.612550003</v>
      </c>
      <c r="H39" s="9" t="n">
        <f aca="false">H28-G28</f>
        <v>226867.491368688</v>
      </c>
      <c r="I39" s="9" t="n">
        <f aca="false">I28-H28</f>
        <v>-145961.348207381</v>
      </c>
      <c r="J39" s="9" t="n">
        <f aca="false">J28-I28</f>
        <v>-95844.2313113161</v>
      </c>
      <c r="K39" s="9" t="n">
        <f aca="false">K28-J28</f>
        <v>-122144.962664676</v>
      </c>
      <c r="L39" s="9" t="n">
        <f aca="false">L28-K28</f>
        <v>-152320.134608829</v>
      </c>
      <c r="M39" s="9" t="n">
        <f aca="false">M28-L28</f>
        <v>114614.699961443</v>
      </c>
      <c r="N39" s="9" t="n">
        <f aca="false">N28-M28</f>
        <v>170946.051403381</v>
      </c>
      <c r="O39" s="22" t="n">
        <f aca="false">SUM(C39:N39)</f>
        <v>373929.753516054</v>
      </c>
    </row>
    <row r="40" customFormat="false" ht="15" hidden="false" customHeight="false" outlineLevel="0" collapsed="false">
      <c r="A40" s="4" t="s">
        <v>131</v>
      </c>
      <c r="C40" s="22" t="n">
        <f aca="false">SUM(C35:C39)</f>
        <v>598970.710975086</v>
      </c>
      <c r="D40" s="22" t="n">
        <f aca="false">SUM(D35:D39)</f>
        <v>-266979.68121862</v>
      </c>
      <c r="E40" s="22" t="n">
        <f aca="false">SUM(E35:E39)</f>
        <v>229573.641787762</v>
      </c>
      <c r="F40" s="22" t="n">
        <f aca="false">SUM(F35:F39)</f>
        <v>-112328.508788301</v>
      </c>
      <c r="G40" s="22" t="n">
        <f aca="false">SUM(G35:G39)</f>
        <v>57116.3230014195</v>
      </c>
      <c r="H40" s="22" t="n">
        <f aca="false">SUM(H35:H39)</f>
        <v>-10846.9962294773</v>
      </c>
      <c r="I40" s="22" t="n">
        <f aca="false">SUM(I35:I39)</f>
        <v>342448.32899012</v>
      </c>
      <c r="J40" s="22" t="n">
        <f aca="false">SUM(J35:J39)</f>
        <v>269657.783337061</v>
      </c>
      <c r="K40" s="22" t="n">
        <f aca="false">SUM(K35:K39)</f>
        <v>243689.773977207</v>
      </c>
      <c r="L40" s="22" t="n">
        <f aca="false">SUM(L35:L39)</f>
        <v>285307.792502592</v>
      </c>
      <c r="M40" s="22" t="n">
        <f aca="false">SUM(M35:M39)</f>
        <v>20860.7206115205</v>
      </c>
      <c r="N40" s="22" t="n">
        <f aca="false">SUM(N35:N39)</f>
        <v>47611.3453706453</v>
      </c>
      <c r="O40" s="22" t="n">
        <f aca="false">SUM(C40:N40)</f>
        <v>1705081.23431701</v>
      </c>
    </row>
    <row r="41" customFormat="false" ht="15" hidden="false" customHeight="false" outlineLevel="0" collapsed="false">
      <c r="A41" s="0" t="s">
        <v>85</v>
      </c>
      <c r="C41" s="9" t="n">
        <f aca="false">-C19</f>
        <v>-0</v>
      </c>
      <c r="D41" s="9" t="n">
        <f aca="false">-D19</f>
        <v>-0</v>
      </c>
      <c r="E41" s="9" t="n">
        <f aca="false">-E19</f>
        <v>-250000</v>
      </c>
      <c r="F41" s="9" t="n">
        <f aca="false">-F19</f>
        <v>-0</v>
      </c>
      <c r="G41" s="9" t="n">
        <f aca="false">-G19</f>
        <v>-0</v>
      </c>
      <c r="H41" s="9" t="n">
        <f aca="false">-H19</f>
        <v>-150000</v>
      </c>
      <c r="I41" s="9" t="n">
        <f aca="false">-I19</f>
        <v>-0</v>
      </c>
      <c r="J41" s="9" t="n">
        <f aca="false">-J19</f>
        <v>-0</v>
      </c>
      <c r="K41" s="9" t="n">
        <f aca="false">-K19</f>
        <v>-200000</v>
      </c>
      <c r="L41" s="9" t="n">
        <f aca="false">-L19</f>
        <v>-0</v>
      </c>
      <c r="M41" s="9" t="n">
        <f aca="false">-M19</f>
        <v>-0</v>
      </c>
      <c r="N41" s="9" t="n">
        <f aca="false">-N19</f>
        <v>-0</v>
      </c>
      <c r="O41" s="22" t="n">
        <f aca="false">SUM(C41:N41)</f>
        <v>-600000</v>
      </c>
    </row>
    <row r="42" customFormat="false" ht="15" hidden="false" customHeight="false" outlineLevel="0" collapsed="false">
      <c r="A42" s="0" t="s">
        <v>132</v>
      </c>
      <c r="C42" s="9" t="n">
        <f aca="false">B23+C40+C41</f>
        <v>1098970.71097509</v>
      </c>
      <c r="D42" s="9" t="n">
        <f aca="false">C23+D40+D41</f>
        <v>133020.31878138</v>
      </c>
      <c r="E42" s="9" t="n">
        <f aca="false">D23+E40+E41</f>
        <v>379573.641787762</v>
      </c>
      <c r="F42" s="9" t="n">
        <f aca="false">E23+F40+F41</f>
        <v>287671.491211699</v>
      </c>
      <c r="G42" s="9" t="n">
        <f aca="false">F23+G40+G41</f>
        <v>457116.32300142</v>
      </c>
      <c r="H42" s="9" t="n">
        <f aca="false">G23+H40+H41</f>
        <v>239153.003770523</v>
      </c>
      <c r="I42" s="9" t="n">
        <f aca="false">H23+I40+I41</f>
        <v>742448.32899012</v>
      </c>
      <c r="J42" s="9" t="n">
        <f aca="false">I23+J40+J41</f>
        <v>669657.783337061</v>
      </c>
      <c r="K42" s="9" t="n">
        <f aca="false">J23+K40+K41</f>
        <v>443689.773977207</v>
      </c>
      <c r="L42" s="9" t="n">
        <f aca="false">K23+L40+L41</f>
        <v>685307.792502592</v>
      </c>
      <c r="M42" s="9" t="n">
        <f aca="false">L23+M40+M41</f>
        <v>420860.720611521</v>
      </c>
      <c r="N42" s="9" t="n">
        <f aca="false">M23+N40+N41</f>
        <v>447611.345370645</v>
      </c>
    </row>
    <row r="43" customFormat="false" ht="15" hidden="false" customHeight="false" outlineLevel="0" collapsed="false">
      <c r="A43" s="0" t="s">
        <v>133</v>
      </c>
      <c r="C43" s="9" t="n">
        <f aca="false">MAX(Assumptions!$C$42-C42,-B30)</f>
        <v>-698970.710975086</v>
      </c>
      <c r="D43" s="9" t="n">
        <f aca="false">MAX(Assumptions!$C$42-D42,-C30)</f>
        <v>266979.68121862</v>
      </c>
      <c r="E43" s="9" t="n">
        <f aca="false">MAX(Assumptions!$C$42-E42,-D30)</f>
        <v>20426.3582122382</v>
      </c>
      <c r="F43" s="9" t="n">
        <f aca="false">MAX(Assumptions!$C$42-F42,-E30)</f>
        <v>112328.508788301</v>
      </c>
      <c r="G43" s="9" t="n">
        <f aca="false">MAX(Assumptions!$C$42-G42,-F30)</f>
        <v>-57116.3230014195</v>
      </c>
      <c r="H43" s="9" t="n">
        <f aca="false">MAX(Assumptions!$C$42-H42,-G30)</f>
        <v>160846.996229477</v>
      </c>
      <c r="I43" s="9" t="n">
        <f aca="false">MAX(Assumptions!$C$42-I42,-H30)</f>
        <v>-342448.32899012</v>
      </c>
      <c r="J43" s="9" t="n">
        <f aca="false">MAX(Assumptions!$C$42-J42,-I30)</f>
        <v>-269657.783337061</v>
      </c>
      <c r="K43" s="9" t="n">
        <f aca="false">MAX(Assumptions!$C$42-K42,-J30)</f>
        <v>-43689.7739772068</v>
      </c>
      <c r="L43" s="9" t="n">
        <f aca="false">MAX(Assumptions!$C$42-L42,-K30)</f>
        <v>-285307.792502592</v>
      </c>
      <c r="M43" s="9" t="n">
        <f aca="false">MAX(Assumptions!$C$42-M42,-L30)</f>
        <v>-20860.7206115205</v>
      </c>
      <c r="N43" s="9" t="n">
        <f aca="false">MAX(Assumptions!$C$42-N42,-M30)</f>
        <v>-42530.1110536305</v>
      </c>
      <c r="O43" s="22" t="n">
        <f aca="false">SUM(C43:N43)</f>
        <v>-1200000</v>
      </c>
    </row>
    <row r="44" customFormat="false" ht="15" hidden="false" customHeight="false" outlineLevel="0" collapsed="false">
      <c r="A44" s="0" t="s">
        <v>134</v>
      </c>
      <c r="C44" s="9" t="n">
        <f aca="false">C40+C41+C43</f>
        <v>-100000</v>
      </c>
      <c r="D44" s="9" t="n">
        <f aca="false">D40+D41+D43</f>
        <v>0</v>
      </c>
      <c r="E44" s="9" t="n">
        <f aca="false">E40+E41+E43</f>
        <v>0</v>
      </c>
      <c r="F44" s="9" t="n">
        <f aca="false">F40+F41+F43</f>
        <v>0</v>
      </c>
      <c r="G44" s="9" t="n">
        <f aca="false">G40+G41+G43</f>
        <v>0</v>
      </c>
      <c r="H44" s="9" t="n">
        <f aca="false">H40+H41+H43</f>
        <v>0</v>
      </c>
      <c r="I44" s="9" t="n">
        <f aca="false">I40+I41+I43</f>
        <v>0</v>
      </c>
      <c r="J44" s="9" t="n">
        <f aca="false">J40+J41+J43</f>
        <v>0</v>
      </c>
      <c r="K44" s="9" t="n">
        <f aca="false">K40+K41+K43</f>
        <v>0</v>
      </c>
      <c r="L44" s="9" t="n">
        <f aca="false">L40+L41+L43</f>
        <v>0</v>
      </c>
      <c r="M44" s="9" t="n">
        <f aca="false">M40+M41+M43</f>
        <v>0</v>
      </c>
      <c r="N44" s="9" t="n">
        <f aca="false">N40+N41+N43</f>
        <v>5081.23431701475</v>
      </c>
      <c r="O44" s="22" t="n">
        <f aca="false">SUM(C44:N44)</f>
        <v>-94918.7656829854</v>
      </c>
    </row>
    <row r="45" customFormat="false" ht="15" hidden="false" customHeight="false" outlineLevel="0" collapsed="false">
      <c r="A45" s="0" t="s">
        <v>135</v>
      </c>
      <c r="C45" s="24" t="n">
        <f aca="false">C23-B23-C44</f>
        <v>0</v>
      </c>
      <c r="D45" s="24" t="n">
        <f aca="false">D23-C23-D44</f>
        <v>0</v>
      </c>
      <c r="E45" s="24" t="n">
        <f aca="false">E23-D23-E44</f>
        <v>0</v>
      </c>
      <c r="F45" s="24" t="n">
        <f aca="false">F23-E23-F44</f>
        <v>0</v>
      </c>
      <c r="G45" s="24" t="n">
        <f aca="false">G23-F23-G44</f>
        <v>0</v>
      </c>
      <c r="H45" s="24" t="n">
        <f aca="false">H23-G23-H44</f>
        <v>0</v>
      </c>
      <c r="I45" s="24" t="n">
        <f aca="false">I23-H23-I44</f>
        <v>0</v>
      </c>
      <c r="J45" s="24" t="n">
        <f aca="false">J23-I23-J44</f>
        <v>0</v>
      </c>
      <c r="K45" s="24" t="n">
        <f aca="false">K23-J23-K44</f>
        <v>0</v>
      </c>
      <c r="L45" s="24" t="n">
        <f aca="false">L23-K23-L44</f>
        <v>0</v>
      </c>
      <c r="M45" s="24" t="n">
        <f aca="false">M23-L23-M44</f>
        <v>0</v>
      </c>
      <c r="N45" s="24" t="n">
        <f aca="false">N23-M23-N44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5" customFormat="false" ht="15" hidden="false" customHeight="false" outlineLevel="0" collapsed="false">
      <c r="A5" s="6" t="s">
        <v>47</v>
      </c>
      <c r="B5" s="6" t="s">
        <v>138</v>
      </c>
      <c r="C5" s="6" t="s">
        <v>139</v>
      </c>
      <c r="D5" s="6" t="s">
        <v>140</v>
      </c>
    </row>
    <row r="6" customFormat="false" ht="15" hidden="false" customHeight="false" outlineLevel="0" collapsed="false">
      <c r="A6" s="0" t="s">
        <v>50</v>
      </c>
      <c r="B6" s="25" t="n">
        <f aca="false">SUMIFS(Build!$F$5:$F$292,Build!$D$5:$D$292,A6,Build!$A$5:$A$292,"&lt;=3")</f>
        <v>32022.0681288</v>
      </c>
      <c r="C6" s="25" t="n">
        <f aca="false">SUMIFS(Data_Q1!$D$5:$D$76,Data_Q1!$C$5:$C$76,A6)</f>
        <v>30678.4</v>
      </c>
      <c r="D6" s="26" t="n">
        <f aca="false">C6/B6</f>
        <v>0.958039308285915</v>
      </c>
    </row>
    <row r="7" customFormat="false" ht="15" hidden="false" customHeight="false" outlineLevel="0" collapsed="false">
      <c r="A7" s="0" t="s">
        <v>51</v>
      </c>
      <c r="B7" s="25" t="n">
        <f aca="false">SUMIFS(Build!$F$5:$F$292,Build!$D$5:$D$292,A7,Build!$A$5:$A$292,"&lt;=3")</f>
        <v>26093.92142377</v>
      </c>
      <c r="C7" s="25" t="n">
        <f aca="false">SUMIFS(Data_Q1!$D$5:$D$76,Data_Q1!$C$5:$C$76,A7)</f>
        <v>27656.8</v>
      </c>
      <c r="D7" s="26" t="n">
        <f aca="false">C7/B7</f>
        <v>1.05989435435359</v>
      </c>
    </row>
    <row r="8" customFormat="false" ht="15" hidden="false" customHeight="false" outlineLevel="0" collapsed="false">
      <c r="A8" s="0" t="s">
        <v>52</v>
      </c>
      <c r="B8" s="25" t="n">
        <f aca="false">SUMIFS(Build!$F$5:$F$292,Build!$D$5:$D$292,A8,Build!$A$5:$A$292,"&lt;=3")</f>
        <v>12974.34105836</v>
      </c>
      <c r="C8" s="25" t="n">
        <f aca="false">SUMIFS(Data_Q1!$D$5:$D$76,Data_Q1!$C$5:$C$76,A8)</f>
        <v>12989.5</v>
      </c>
      <c r="D8" s="26" t="n">
        <f aca="false">C8/B8</f>
        <v>1.00116837853821</v>
      </c>
    </row>
    <row r="9" customFormat="false" ht="15" hidden="false" customHeight="false" outlineLevel="0" collapsed="false">
      <c r="A9" s="0" t="s">
        <v>53</v>
      </c>
      <c r="B9" s="25" t="n">
        <f aca="false">SUMIFS(Build!$F$5:$F$292,Build!$D$5:$D$292,A9,Build!$A$5:$A$292,"&lt;=3")</f>
        <v>6722.6884598</v>
      </c>
      <c r="C9" s="25" t="n">
        <f aca="false">SUMIFS(Data_Q1!$D$5:$D$76,Data_Q1!$C$5:$C$76,A9)</f>
        <v>6738.5</v>
      </c>
      <c r="D9" s="26" t="n">
        <f aca="false">C9/B9</f>
        <v>1.0023519668202</v>
      </c>
    </row>
    <row r="11" customFormat="false" ht="28.35" hidden="false" customHeight="false" outlineLevel="0" collapsed="false">
      <c r="A11" s="6" t="s">
        <v>36</v>
      </c>
      <c r="B11" s="6" t="s">
        <v>141</v>
      </c>
      <c r="C11" s="6" t="s">
        <v>142</v>
      </c>
      <c r="D11" s="6" t="s">
        <v>143</v>
      </c>
    </row>
    <row r="12" customFormat="false" ht="15" hidden="false" customHeight="false" outlineLevel="0" collapsed="false">
      <c r="A12" s="0" t="s">
        <v>40</v>
      </c>
      <c r="B12" s="24" t="n">
        <f aca="false">SUMIFS(Build!$M$5:$M$292,Build!$C$5:$C$292,A12,Build!$A$5:$A$292,"&lt;=3")/SUMIFS(Build!$F$5:$F$292,Build!$C$5:$C$292,A12,Build!$A$5:$A$292,"&lt;=3")</f>
        <v>158.791166198859</v>
      </c>
      <c r="C12" s="24" t="n">
        <f aca="false">SUMIFS(Data_Q1!$F$5:$F$76,Data_Q1!$B$5:$B$76,A12)/SUMIFS(Data_Q1!$D$5:$D$76,Data_Q1!$B$5:$B$76,A12)</f>
        <v>163.162531613326</v>
      </c>
      <c r="D12" s="26" t="n">
        <f aca="false">C12/B12</f>
        <v>1.0275290214129</v>
      </c>
    </row>
    <row r="13" customFormat="false" ht="15" hidden="false" customHeight="false" outlineLevel="0" collapsed="false">
      <c r="A13" s="0" t="s">
        <v>41</v>
      </c>
      <c r="B13" s="24" t="n">
        <f aca="false">SUMIFS(Build!$M$5:$M$292,Build!$C$5:$C$292,A13,Build!$A$5:$A$292,"&lt;=3")/SUMIFS(Build!$F$5:$F$292,Build!$C$5:$C$292,A13,Build!$A$5:$A$292,"&lt;=3")</f>
        <v>88.7695604876094</v>
      </c>
      <c r="C13" s="24" t="n">
        <f aca="false">SUMIFS(Data_Q1!$F$5:$F$76,Data_Q1!$B$5:$B$76,A13)/SUMIFS(Data_Q1!$D$5:$D$76,Data_Q1!$B$5:$B$76,A13)</f>
        <v>88.9465681158683</v>
      </c>
      <c r="D13" s="26" t="n">
        <f aca="false">C13/B13</f>
        <v>1.00199401266928</v>
      </c>
    </row>
    <row r="14" customFormat="false" ht="15" hidden="false" customHeight="false" outlineLevel="0" collapsed="false">
      <c r="A14" s="0" t="s">
        <v>42</v>
      </c>
      <c r="B14" s="24" t="n">
        <f aca="false">SUMIFS(Build!$M$5:$M$292,Build!$C$5:$C$292,A14,Build!$A$5:$A$292,"&lt;=3")/SUMIFS(Build!$F$5:$F$292,Build!$C$5:$C$292,A14,Build!$A$5:$A$292,"&lt;=3")</f>
        <v>80.4257643681175</v>
      </c>
      <c r="C14" s="24" t="n">
        <f aca="false">SUMIFS(Data_Q1!$F$5:$F$76,Data_Q1!$B$5:$B$76,A14)/SUMIFS(Data_Q1!$D$5:$D$76,Data_Q1!$B$5:$B$76,A14)</f>
        <v>80.4123074231933</v>
      </c>
      <c r="D14" s="26" t="n">
        <f aca="false">C14/B14</f>
        <v>0.999832678681639</v>
      </c>
    </row>
    <row r="15" customFormat="false" ht="15" hidden="false" customHeight="false" outlineLevel="0" collapsed="false">
      <c r="A15" s="0" t="s">
        <v>43</v>
      </c>
      <c r="B15" s="24" t="n">
        <f aca="false">SUMIFS(Build!$M$5:$M$292,Build!$C$5:$C$292,A15,Build!$A$5:$A$292,"&lt;=3")/SUMIFS(Build!$F$5:$F$292,Build!$C$5:$C$292,A15,Build!$A$5:$A$292,"&lt;=3")</f>
        <v>155.746110572114</v>
      </c>
      <c r="C15" s="24" t="n">
        <f aca="false">SUMIFS(Data_Q1!$F$5:$F$76,Data_Q1!$B$5:$B$76,A15)/SUMIFS(Data_Q1!$D$5:$D$76,Data_Q1!$B$5:$B$76,A15)</f>
        <v>156.050847173058</v>
      </c>
      <c r="D15" s="26" t="n">
        <f aca="false">C15/B15</f>
        <v>1.00195662414827</v>
      </c>
    </row>
    <row r="16" customFormat="false" ht="15" hidden="false" customHeight="false" outlineLevel="0" collapsed="false">
      <c r="A16" s="0" t="s">
        <v>44</v>
      </c>
      <c r="B16" s="24" t="n">
        <f aca="false">SUMIFS(Build!$M$5:$M$292,Build!$C$5:$C$292,A16,Build!$A$5:$A$292,"&lt;=3")/SUMIFS(Build!$F$5:$F$292,Build!$C$5:$C$292,A16,Build!$A$5:$A$292,"&lt;=3")</f>
        <v>97.9669651739439</v>
      </c>
      <c r="C16" s="24" t="n">
        <f aca="false">SUMIFS(Data_Q1!$F$5:$F$76,Data_Q1!$B$5:$B$76,A16)/SUMIFS(Data_Q1!$D$5:$D$76,Data_Q1!$B$5:$B$76,A16)</f>
        <v>97.9719890928091</v>
      </c>
      <c r="D16" s="26" t="n">
        <f aca="false">C16/B16</f>
        <v>1.00005128176479</v>
      </c>
    </row>
    <row r="17" customFormat="false" ht="15" hidden="false" customHeight="false" outlineLevel="0" collapsed="false">
      <c r="A17" s="0" t="s">
        <v>45</v>
      </c>
      <c r="B17" s="24" t="n">
        <f aca="false">SUMIFS(Build!$M$5:$M$292,Build!$C$5:$C$292,A17,Build!$A$5:$A$292,"&lt;=3")/SUMIFS(Build!$F$5:$F$292,Build!$C$5:$C$292,A17,Build!$A$5:$A$292,"&lt;=3")</f>
        <v>85.1883467615836</v>
      </c>
      <c r="C17" s="24" t="n">
        <f aca="false">SUMIFS(Data_Q1!$F$5:$F$76,Data_Q1!$B$5:$B$76,A17)/SUMIFS(Data_Q1!$D$5:$D$76,Data_Q1!$B$5:$B$76,A17)</f>
        <v>85.3905695019727</v>
      </c>
      <c r="D17" s="26" t="n">
        <f aca="false">C17/B17</f>
        <v>1.00237383102357</v>
      </c>
    </row>
    <row r="19" customFormat="false" ht="28.35" hidden="false" customHeight="false" outlineLevel="0" collapsed="false">
      <c r="A19" s="6" t="s">
        <v>55</v>
      </c>
      <c r="B19" s="6" t="s">
        <v>144</v>
      </c>
      <c r="C19" s="6" t="s">
        <v>145</v>
      </c>
      <c r="D19" s="6" t="s">
        <v>146</v>
      </c>
      <c r="E19" s="6" t="s">
        <v>147</v>
      </c>
      <c r="F19" s="6" t="s">
        <v>148</v>
      </c>
    </row>
    <row r="20" customFormat="false" ht="15" hidden="false" customHeight="false" outlineLevel="0" collapsed="false">
      <c r="A20" s="0" t="s">
        <v>59</v>
      </c>
      <c r="B20" s="9" t="n">
        <f aca="false">SUMPRODUCT((Opex!$A$13:$A$16=A20)*(Opex!$C$5:$N$5&lt;=3)*Opex!$C$13:$N$16)</f>
        <v>621249.565125</v>
      </c>
      <c r="C20" s="9" t="n">
        <f aca="false">SUMIFS(Data_Q1!$C$80:$C$91,Data_Q1!$B$80:$B$91,A20)</f>
        <v>620486.96</v>
      </c>
      <c r="D20" s="26" t="n">
        <f aca="false">C20/B20</f>
        <v>0.998772465740324</v>
      </c>
      <c r="E20" s="9" t="n">
        <f aca="false">SUMPRODUCT((Opex!$A$13:$A$16=A20)*(Opex!$C$5:$N$5&gt;3)*Opex!$C$13:$N$16)</f>
        <v>1911248.695375</v>
      </c>
      <c r="F20" s="9" t="n">
        <f aca="false">E20*D20</f>
        <v>1908902.57212267</v>
      </c>
    </row>
    <row r="21" customFormat="false" ht="15" hidden="false" customHeight="false" outlineLevel="0" collapsed="false">
      <c r="A21" s="0" t="s">
        <v>60</v>
      </c>
      <c r="B21" s="9" t="n">
        <f aca="false">SUMPRODUCT((Opex!$A$13:$A$16=A21)*(Opex!$C$5:$N$5&lt;=3)*Opex!$C$13:$N$16)</f>
        <v>909451.466309833</v>
      </c>
      <c r="C21" s="9" t="n">
        <f aca="false">SUMIFS(Data_Q1!$C$80:$C$91,Data_Q1!$B$80:$B$91,A21)</f>
        <v>960950.49</v>
      </c>
      <c r="D21" s="26" t="n">
        <f aca="false">C21/B21</f>
        <v>1.05662646726947</v>
      </c>
      <c r="E21" s="9" t="n">
        <f aca="false">SUMPRODUCT((Opex!$A$13:$A$16=A21)*(Opex!$C$5:$N$5&gt;3)*Opex!$C$13:$N$16)</f>
        <v>2796354.3989295</v>
      </c>
      <c r="F21" s="9" t="n">
        <f aca="false">E21*D21</f>
        <v>2954702.06977432</v>
      </c>
    </row>
    <row r="22" customFormat="false" ht="15" hidden="false" customHeight="false" outlineLevel="0" collapsed="false">
      <c r="A22" s="0" t="s">
        <v>61</v>
      </c>
      <c r="B22" s="9" t="n">
        <f aca="false">SUMPRODUCT((Opex!$A$13:$A$16=A22)*(Opex!$C$5:$N$5&lt;=3)*Opex!$C$13:$N$16)</f>
        <v>558732.659275</v>
      </c>
      <c r="C22" s="9" t="n">
        <f aca="false">SUMIFS(Data_Q1!$C$80:$C$91,Data_Q1!$B$80:$B$91,A22)</f>
        <v>559633.08</v>
      </c>
      <c r="D22" s="26" t="n">
        <f aca="false">C22/B22</f>
        <v>1.00161154124437</v>
      </c>
      <c r="E22" s="9" t="n">
        <f aca="false">SUMPRODUCT((Opex!$A$13:$A$16=A22)*(Opex!$C$5:$N$5&gt;3)*Opex!$C$13:$N$16)</f>
        <v>1676197.977825</v>
      </c>
      <c r="F22" s="9" t="n">
        <f aca="false">E22*D22</f>
        <v>1678899.24</v>
      </c>
    </row>
    <row r="23" customFormat="false" ht="15" hidden="false" customHeight="false" outlineLevel="0" collapsed="false">
      <c r="A23" s="0" t="s">
        <v>62</v>
      </c>
      <c r="B23" s="9" t="n">
        <f aca="false">SUMPRODUCT((Opex!$A$13:$A$16=A23)*(Opex!$C$5:$N$5&lt;=3)*Opex!$C$13:$N$16)</f>
        <v>181682.153625</v>
      </c>
      <c r="C23" s="9" t="n">
        <f aca="false">SUMIFS(Data_Q1!$C$80:$C$91,Data_Q1!$B$80:$B$91,A23)</f>
        <v>181791.51</v>
      </c>
      <c r="D23" s="26" t="n">
        <f aca="false">C23/B23</f>
        <v>1.0006019103848</v>
      </c>
      <c r="E23" s="9" t="n">
        <f aca="false">SUMPRODUCT((Opex!$A$13:$A$16=A23)*(Opex!$C$5:$N$5&gt;3)*Opex!$C$13:$N$16)</f>
        <v>545046.460875</v>
      </c>
      <c r="F23" s="9" t="n">
        <f aca="false">E23*D23</f>
        <v>545374.53</v>
      </c>
    </row>
    <row r="26" customFormat="false" ht="15" hidden="false" customHeight="false" outlineLevel="0" collapsed="false">
      <c r="A26" s="6" t="s">
        <v>15</v>
      </c>
      <c r="B26" s="6" t="s">
        <v>149</v>
      </c>
      <c r="C26" s="6" t="s">
        <v>23</v>
      </c>
      <c r="D26" s="6" t="s">
        <v>150</v>
      </c>
    </row>
    <row r="27" customFormat="false" ht="15" hidden="false" customHeight="false" outlineLevel="0" collapsed="false">
      <c r="A27" s="0" t="s">
        <v>16</v>
      </c>
      <c r="B27" s="9" t="n">
        <f aca="false">Consolidation!E6</f>
        <v>49736611.7186108</v>
      </c>
      <c r="C27" s="9" t="n">
        <f aca="false">SUM(Build!$Q$5:$Q$292)</f>
        <v>49758340.2214292</v>
      </c>
      <c r="D27" s="9" t="n">
        <f aca="false">C27-B27</f>
        <v>21728.502818346</v>
      </c>
    </row>
    <row r="28" customFormat="false" ht="15" hidden="false" customHeight="false" outlineLevel="0" collapsed="false">
      <c r="A28" s="0" t="s">
        <v>91</v>
      </c>
      <c r="B28" s="9" t="n">
        <f aca="false">Consolidation!E9</f>
        <v>11526558.1757048</v>
      </c>
      <c r="C28" s="9" t="n">
        <f aca="false">SUM(Build!$Q$5:$Q$292)-SUM(Build!$R$5:$R$292)-SUM(Build!$S$5:$S$292)</f>
        <v>11066792.835343</v>
      </c>
      <c r="D28" s="9" t="n">
        <f aca="false">C28-B28</f>
        <v>-459765.340361888</v>
      </c>
    </row>
    <row r="29" customFormat="false" ht="15" hidden="false" customHeight="false" outlineLevel="0" collapsed="false">
      <c r="A29" s="0" t="s">
        <v>92</v>
      </c>
      <c r="B29" s="9" t="n">
        <f aca="false">Consolidation!E10</f>
        <v>9199963.37733933</v>
      </c>
      <c r="C29" s="9" t="n">
        <f aca="false">SUM(Data_Q1!$C$80:$C$91)+SUM(F20:F23)</f>
        <v>9410740.45189699</v>
      </c>
      <c r="D29" s="9" t="n">
        <f aca="false">C29-B29</f>
        <v>210777.074557656</v>
      </c>
    </row>
    <row r="30" customFormat="false" ht="15" hidden="false" customHeight="false" outlineLevel="0" collapsed="false">
      <c r="A30" s="0" t="s">
        <v>17</v>
      </c>
      <c r="B30" s="22" t="n">
        <f aca="false">B28-B29</f>
        <v>2326594.79836551</v>
      </c>
      <c r="C30" s="22" t="n">
        <f aca="false">C28-C29</f>
        <v>1656052.38344596</v>
      </c>
      <c r="D30" s="9" t="n">
        <f aca="false">C30-B30</f>
        <v>-670542.414919544</v>
      </c>
    </row>
    <row r="32" customFormat="false" ht="15" hidden="false" customHeight="false" outlineLevel="0" collapsed="false">
      <c r="A32" s="3" t="s">
        <v>151</v>
      </c>
    </row>
    <row r="33" customFormat="false" ht="15" hidden="false" customHeight="false" outlineLevel="0" collapsed="false">
      <c r="A33" s="0" t="s">
        <v>152</v>
      </c>
      <c r="B33" s="9" t="n">
        <f aca="false">(SUMIFS(Build!$Q$5:$Q$292,Build!$A$5:$A$292,"&lt;=3")-SUMIFS(Build!$R$5:$R$292,Build!$A$5:$A$292,"&lt;=3")-SUMIFS(Build!$S$5:$S$292,Build!$A$5:$A$292,"&lt;=3")-SUM(C20:C23))-(SUMIFS(Build!$K$5:$K$292,Build!$A$5:$A$292,"&lt;=3")-SUMIFS(Build!$M$5:$M$292,Build!$A$5:$A$292,"&lt;=3")-SUMIFS(Build!$O$5:$O$292,Build!$A$5:$A$292,"&lt;=3")-SUM(B20:B23))</f>
        <v>-155469.520784115</v>
      </c>
    </row>
    <row r="34" customFormat="false" ht="15" hidden="false" customHeight="false" outlineLevel="0" collapsed="false">
      <c r="A34" s="0" t="s">
        <v>153</v>
      </c>
      <c r="B34" s="9" t="n">
        <f aca="false">SUMPRODUCT((Build!$A$5:$A$292&gt;3)*(Build!$P$5:$P$292-Build!$F$5:$F$292)*(Build!$G$5:$G$292*(1+Build!$H$5:$H$292)*(1+Build!$I$5:$I$292)-Build!$L$5:$L$292-Build!$N$5:$N$292))</f>
        <v>-75048.6440383019</v>
      </c>
    </row>
    <row r="35" customFormat="false" ht="15" hidden="false" customHeight="false" outlineLevel="0" collapsed="false">
      <c r="A35" s="0" t="s">
        <v>154</v>
      </c>
      <c r="B35" s="9" t="n">
        <f aca="false">-SUMPRODUCT((Build!$A$5:$A$292&gt;3)*(Build!$R$5:$R$292-Build!$P$5:$P$292*Build!$L$5:$L$292))</f>
        <v>-280993.371204637</v>
      </c>
    </row>
    <row r="36" customFormat="false" ht="15" hidden="false" customHeight="false" outlineLevel="0" collapsed="false">
      <c r="A36" s="0" t="s">
        <v>155</v>
      </c>
      <c r="B36" s="9" t="n">
        <f aca="false">-(SUM(F20:F23)-SUM(E20:E23))</f>
        <v>-159030.87889249</v>
      </c>
    </row>
    <row r="37" customFormat="false" ht="15" hidden="false" customHeight="false" outlineLevel="0" collapsed="false">
      <c r="A37" s="0" t="s">
        <v>156</v>
      </c>
      <c r="B37" s="22" t="n">
        <f aca="false">SUM(B33:B36)</f>
        <v>-670542.414919544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19" min="5" style="0" width="13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28.35" hidden="false" customHeight="false" outlineLevel="0" collapsed="false">
      <c r="A4" s="6" t="s">
        <v>159</v>
      </c>
      <c r="B4" s="6" t="s">
        <v>160</v>
      </c>
      <c r="C4" s="6" t="s">
        <v>36</v>
      </c>
      <c r="D4" s="6" t="s">
        <v>47</v>
      </c>
      <c r="E4" s="6" t="s">
        <v>161</v>
      </c>
      <c r="F4" s="6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89</v>
      </c>
      <c r="N4" s="6" t="s">
        <v>169</v>
      </c>
      <c r="O4" s="6" t="s">
        <v>90</v>
      </c>
      <c r="P4" s="6" t="s">
        <v>170</v>
      </c>
      <c r="Q4" s="6" t="s">
        <v>171</v>
      </c>
      <c r="R4" s="6" t="s">
        <v>172</v>
      </c>
      <c r="S4" s="6" t="s">
        <v>173</v>
      </c>
    </row>
    <row r="5" customFormat="false" ht="15" hidden="false" customHeight="false" outlineLevel="0" collapsed="false">
      <c r="A5" s="0" t="n">
        <f aca="false">MOD(ROW()-5,12)+1</f>
        <v>1</v>
      </c>
      <c r="B5" s="0" t="n">
        <f aca="false">INT((ROW()-5)/12)+1</f>
        <v>1</v>
      </c>
      <c r="C5" s="0" t="str">
        <f aca="false">INDEX(Data_Base!$A$5:$A$28,B5)</f>
        <v>Beef</v>
      </c>
      <c r="D5" s="0" t="str">
        <f aca="false">INDEX(Data_Base!$B$5:$B$28,B5)</f>
        <v>Restaurants</v>
      </c>
      <c r="E5" s="26" t="n">
        <f aca="false">INDEX(Data_Base!$B$32:$M$37,MATCH(C5,Data_Base!$A$32:$A$37,0),A5)</f>
        <v>0.071097</v>
      </c>
      <c r="F5" s="25" t="n">
        <f aca="false">INDEX(Data_Base!$C$5:$C$28,B5)*(1+INDEX(Assumptions!$B$19:$B$22,MATCH(D5,Assumptions!$A$19:$A$22,0)))*E5</f>
        <v>2199.4994502</v>
      </c>
      <c r="G5" s="24" t="n">
        <f aca="false">INDEX(Data_Base!$D$5:$D$28,B5)/INDEX(Data_Base!$C$5:$C$28,B5)</f>
        <v>196.057352456314</v>
      </c>
      <c r="H5" s="27" t="n">
        <f aca="false">IF(A5&gt;=Assumptions!$C$37,INDEX(Assumptions!$B$10:$B$15,MATCH(C5,Assumptions!$A$10:$A$15,0)),0)</f>
        <v>0</v>
      </c>
      <c r="I5" s="27" t="n">
        <f aca="false">IF(AND(A5&gt;=Assumptions!$C$37,INDEX(Assumptions!$C$19:$C$22,MATCH(D5,Assumptions!$A$19:$A$22,0))=1),INDEX(Assumptions!$D$10:$D$15,MATCH(C5,Assumptions!$A$10:$A$15,0)),0)</f>
        <v>0</v>
      </c>
      <c r="J5" s="9" t="n">
        <f aca="false">F5*G5*(1+H5)</f>
        <v>431228.03893533</v>
      </c>
      <c r="K5" s="9" t="n">
        <f aca="false">J5*(1+I5)</f>
        <v>431228.03893533</v>
      </c>
      <c r="L5" s="24" t="n">
        <f aca="false">INDEX(Data_Base!$E$5:$E$28,B5)/INDEX(Data_Base!$C$5:$C$28,B5)*(1+INDEX(Assumptions!$C$10:$C$15,MATCH(C5,Assumptions!$A$10:$A$15,0)))</f>
        <v>158.577347279921</v>
      </c>
      <c r="M5" s="9" t="n">
        <f aca="false">F5*L5</f>
        <v>348790.78815636</v>
      </c>
      <c r="N5" s="24" t="n">
        <f aca="false">INDEX(Data_Base!$F$5:$F$28,B5)/INDEX(Data_Base!$C$5:$C$28,B5)*(1+Assumptions!$C$38)</f>
        <v>2.72350077151335</v>
      </c>
      <c r="O5" s="9" t="n">
        <f aca="false">F5*N5</f>
        <v>5990.3384495629</v>
      </c>
      <c r="P5" s="25" t="n">
        <f aca="false">IF(A5&lt;=3,SUMIFS(Data_Q1!$D$5:$D$76,Data_Q1!$A$5:$A$76,A5,Data_Q1!$B$5:$B$76,C5,Data_Q1!$C$5:$C$76,D5),F5*INDEX(Reforecast!$D$6:$D$9,MATCH(D5,Reforecast!$A$6:$A$9,0)))</f>
        <v>2113.9</v>
      </c>
      <c r="Q5" s="9" t="n">
        <f aca="false">IF(A5&lt;=3,SUMIFS(Data_Q1!$E$5:$E$76,Data_Q1!$A$5:$A$76,A5,Data_Q1!$B$5:$B$76,C5,Data_Q1!$C$5:$C$76,D5),P5*G5*(1+H5)*(1+I5))</f>
        <v>414351.28</v>
      </c>
      <c r="R5" s="9" t="n">
        <f aca="false">IF(A5&lt;=3,SUMIFS(Data_Q1!$F$5:$F$76,Data_Q1!$A$5:$A$76,A5,Data_Q1!$B$5:$B$76,C5,Data_Q1!$C$5:$C$76,D5),P5*L5*INDEX(Reforecast!$D$12:$D$17,MATCH(C5,Reforecast!$A$12:$A$17,0)))</f>
        <v>343878.6</v>
      </c>
      <c r="S5" s="9" t="n">
        <f aca="false">IF(A5&lt;=3,SUMIFS(Data_Q1!$G$5:$G$76,Data_Q1!$A$5:$A$76,A5,Data_Q1!$B$5:$B$76,C5,Data_Q1!$C$5:$C$76,D5),P5*N5)</f>
        <v>5757.1</v>
      </c>
    </row>
    <row r="6" customFormat="false" ht="15" hidden="false" customHeight="false" outlineLevel="0" collapsed="false">
      <c r="A6" s="0" t="n">
        <f aca="false">MOD(ROW()-5,12)+1</f>
        <v>2</v>
      </c>
      <c r="B6" s="0" t="n">
        <f aca="false">INT((ROW()-5)/12)+1</f>
        <v>1</v>
      </c>
      <c r="C6" s="0" t="str">
        <f aca="false">INDEX(Data_Base!$A$5:$A$28,B6)</f>
        <v>Beef</v>
      </c>
      <c r="D6" s="0" t="str">
        <f aca="false">INDEX(Data_Base!$B$5:$B$28,B6)</f>
        <v>Restaurants</v>
      </c>
      <c r="E6" s="26" t="n">
        <f aca="false">INDEX(Data_Base!$B$32:$M$37,MATCH(C6,Data_Base!$A$32:$A$37,0),A6)</f>
        <v>0.071356</v>
      </c>
      <c r="F6" s="25" t="n">
        <f aca="false">INDEX(Data_Base!$C$5:$C$28,B6)*(1+INDEX(Assumptions!$B$19:$B$22,MATCH(D6,Assumptions!$A$19:$A$22,0)))*E6</f>
        <v>2207.5120296</v>
      </c>
      <c r="G6" s="24" t="n">
        <f aca="false">INDEX(Data_Base!$D$5:$D$28,B6)/INDEX(Data_Base!$C$5:$C$28,B6)</f>
        <v>196.057352456314</v>
      </c>
      <c r="H6" s="27" t="n">
        <f aca="false">IF(A6&gt;=Assumptions!$C$37,INDEX(Assumptions!$B$10:$B$15,MATCH(C6,Assumptions!$A$10:$A$15,0)),0)</f>
        <v>0.04</v>
      </c>
      <c r="I6" s="27" t="n">
        <f aca="false">IF(AND(A6&gt;=Assumptions!$C$37,INDEX(Assumptions!$C$19:$C$22,MATCH(D6,Assumptions!$A$19:$A$22,0))=1),INDEX(Assumptions!$D$10:$D$15,MATCH(C6,Assumptions!$A$10:$A$15,0)),0)</f>
        <v>0.015</v>
      </c>
      <c r="J6" s="9" t="n">
        <f aca="false">F6*G6*(1+H6)</f>
        <v>450110.922600394</v>
      </c>
      <c r="K6" s="9" t="n">
        <f aca="false">J6*(1+I6)</f>
        <v>456862.5864394</v>
      </c>
      <c r="L6" s="24" t="n">
        <f aca="false">INDEX(Data_Base!$E$5:$E$28,B6)/INDEX(Data_Base!$C$5:$C$28,B6)*(1+INDEX(Assumptions!$C$10:$C$15,MATCH(C6,Assumptions!$A$10:$A$15,0)))</f>
        <v>158.577347279921</v>
      </c>
      <c r="M6" s="9" t="n">
        <f aca="false">F6*L6</f>
        <v>350061.401742482</v>
      </c>
      <c r="N6" s="24" t="n">
        <f aca="false">INDEX(Data_Base!$F$5:$F$28,B6)/INDEX(Data_Base!$C$5:$C$28,B6)*(1+Assumptions!$C$38)</f>
        <v>2.72350077151335</v>
      </c>
      <c r="O6" s="9" t="n">
        <f aca="false">F6*N6</f>
        <v>6012.16071574061</v>
      </c>
      <c r="P6" s="25" t="n">
        <f aca="false">IF(A6&lt;=3,SUMIFS(Data_Q1!$D$5:$D$76,Data_Q1!$A$5:$A$76,A6,Data_Q1!$B$5:$B$76,C6,Data_Q1!$C$5:$C$76,D6),F6*INDEX(Reforecast!$D$6:$D$9,MATCH(D6,Reforecast!$A$6:$A$9,0)))</f>
        <v>2073.6</v>
      </c>
      <c r="Q6" s="9" t="n">
        <f aca="false">IF(A6&lt;=3,SUMIFS(Data_Q1!$E$5:$E$76,Data_Q1!$A$5:$A$76,A6,Data_Q1!$B$5:$B$76,C6,Data_Q1!$C$5:$C$76,D6),P6*G6*(1+H6)*(1+I6))</f>
        <v>430449.14</v>
      </c>
      <c r="R6" s="9" t="n">
        <f aca="false">IF(A6&lt;=3,SUMIFS(Data_Q1!$F$5:$F$76,Data_Q1!$A$5:$A$76,A6,Data_Q1!$B$5:$B$76,C6,Data_Q1!$C$5:$C$76,D6),P6*L6*INDEX(Reforecast!$D$12:$D$17,MATCH(C6,Reforecast!$A$12:$A$17,0)))</f>
        <v>337875.04</v>
      </c>
      <c r="S6" s="9" t="n">
        <f aca="false">IF(A6&lt;=3,SUMIFS(Data_Q1!$G$5:$G$76,Data_Q1!$A$5:$A$76,A6,Data_Q1!$B$5:$B$76,C6,Data_Q1!$C$5:$C$76,D6),P6*N6)</f>
        <v>5647.46</v>
      </c>
    </row>
    <row r="7" customFormat="false" ht="15" hidden="false" customHeight="false" outlineLevel="0" collapsed="false">
      <c r="A7" s="0" t="n">
        <f aca="false">MOD(ROW()-5,12)+1</f>
        <v>3</v>
      </c>
      <c r="B7" s="0" t="n">
        <f aca="false">INT((ROW()-5)/12)+1</f>
        <v>1</v>
      </c>
      <c r="C7" s="0" t="str">
        <f aca="false">INDEX(Data_Base!$A$5:$A$28,B7)</f>
        <v>Beef</v>
      </c>
      <c r="D7" s="0" t="str">
        <f aca="false">INDEX(Data_Base!$B$5:$B$28,B7)</f>
        <v>Restaurants</v>
      </c>
      <c r="E7" s="26" t="n">
        <f aca="false">INDEX(Data_Base!$B$32:$M$37,MATCH(C7,Data_Base!$A$32:$A$37,0),A7)</f>
        <v>0.076229</v>
      </c>
      <c r="F7" s="25" t="n">
        <f aca="false">INDEX(Data_Base!$C$5:$C$28,B7)*(1+INDEX(Assumptions!$B$19:$B$22,MATCH(D7,Assumptions!$A$19:$A$22,0)))*E7</f>
        <v>2358.2660814</v>
      </c>
      <c r="G7" s="24" t="n">
        <f aca="false">INDEX(Data_Base!$D$5:$D$28,B7)/INDEX(Data_Base!$C$5:$C$28,B7)</f>
        <v>196.057352456314</v>
      </c>
      <c r="H7" s="27" t="n">
        <f aca="false">IF(A7&gt;=Assumptions!$C$37,INDEX(Assumptions!$B$10:$B$15,MATCH(C7,Assumptions!$A$10:$A$15,0)),0)</f>
        <v>0.04</v>
      </c>
      <c r="I7" s="27" t="n">
        <f aca="false">IF(AND(A7&gt;=Assumptions!$C$37,INDEX(Assumptions!$C$19:$C$22,MATCH(D7,Assumptions!$A$19:$A$22,0))=1),INDEX(Assumptions!$D$10:$D$15,MATCH(C7,Assumptions!$A$10:$A$15,0)),0)</f>
        <v>0.015</v>
      </c>
      <c r="J7" s="9" t="n">
        <f aca="false">F7*G7*(1+H7)</f>
        <v>480849.620479083</v>
      </c>
      <c r="K7" s="9" t="n">
        <f aca="false">J7*(1+I7)</f>
        <v>488062.364786269</v>
      </c>
      <c r="L7" s="24" t="n">
        <f aca="false">INDEX(Data_Base!$E$5:$E$28,B7)/INDEX(Data_Base!$C$5:$C$28,B7)*(1+INDEX(Assumptions!$C$10:$C$15,MATCH(C7,Assumptions!$A$10:$A$15,0)))</f>
        <v>158.577347279921</v>
      </c>
      <c r="M7" s="9" t="n">
        <f aca="false">F7*L7</f>
        <v>373967.579368626</v>
      </c>
      <c r="N7" s="24" t="n">
        <f aca="false">INDEX(Data_Base!$F$5:$F$28,B7)/INDEX(Data_Base!$C$5:$C$28,B7)*(1+Assumptions!$C$38)</f>
        <v>2.72350077151335</v>
      </c>
      <c r="O7" s="9" t="n">
        <f aca="false">F7*N7</f>
        <v>6422.73949212668</v>
      </c>
      <c r="P7" s="25" t="n">
        <f aca="false">IF(A7&lt;=3,SUMIFS(Data_Q1!$D$5:$D$76,Data_Q1!$A$5:$A$76,A7,Data_Q1!$B$5:$B$76,C7,Data_Q1!$C$5:$C$76,D7),F7*INDEX(Reforecast!$D$6:$D$9,MATCH(D7,Reforecast!$A$6:$A$9,0)))</f>
        <v>2259.5</v>
      </c>
      <c r="Q7" s="9" t="n">
        <f aca="false">IF(A7&lt;=3,SUMIFS(Data_Q1!$E$5:$E$76,Data_Q1!$A$5:$A$76,A7,Data_Q1!$B$5:$B$76,C7,Data_Q1!$C$5:$C$76,D7),P7*G7*(1+H7)*(1+I7))</f>
        <v>466595.31</v>
      </c>
      <c r="R7" s="9" t="n">
        <f aca="false">IF(A7&lt;=3,SUMIFS(Data_Q1!$F$5:$F$76,Data_Q1!$A$5:$A$76,A7,Data_Q1!$B$5:$B$76,C7,Data_Q1!$C$5:$C$76,D7),P7*L7*INDEX(Reforecast!$D$12:$D$17,MATCH(C7,Reforecast!$A$12:$A$17,0)))</f>
        <v>367982.65</v>
      </c>
      <c r="S7" s="9" t="n">
        <f aca="false">IF(A7&lt;=3,SUMIFS(Data_Q1!$G$5:$G$76,Data_Q1!$A$5:$A$76,A7,Data_Q1!$B$5:$B$76,C7,Data_Q1!$C$5:$C$76,D7),P7*N7)</f>
        <v>6153.82</v>
      </c>
    </row>
    <row r="8" customFormat="false" ht="15" hidden="false" customHeight="false" outlineLevel="0" collapsed="false">
      <c r="A8" s="0" t="n">
        <f aca="false">MOD(ROW()-5,12)+1</f>
        <v>4</v>
      </c>
      <c r="B8" s="0" t="n">
        <f aca="false">INT((ROW()-5)/12)+1</f>
        <v>1</v>
      </c>
      <c r="C8" s="0" t="str">
        <f aca="false">INDEX(Data_Base!$A$5:$A$28,B8)</f>
        <v>Beef</v>
      </c>
      <c r="D8" s="0" t="str">
        <f aca="false">INDEX(Data_Base!$B$5:$B$28,B8)</f>
        <v>Restaurants</v>
      </c>
      <c r="E8" s="26" t="n">
        <f aca="false">INDEX(Data_Base!$B$32:$M$37,MATCH(C8,Data_Base!$A$32:$A$37,0),A8)</f>
        <v>0.082956</v>
      </c>
      <c r="F8" s="25" t="n">
        <f aca="false">INDEX(Data_Base!$C$5:$C$28,B8)*(1+INDEX(Assumptions!$B$19:$B$22,MATCH(D8,Assumptions!$A$19:$A$22,0)))*E8</f>
        <v>2566.3765896</v>
      </c>
      <c r="G8" s="24" t="n">
        <f aca="false">INDEX(Data_Base!$D$5:$D$28,B8)/INDEX(Data_Base!$C$5:$C$28,B8)</f>
        <v>196.057352456314</v>
      </c>
      <c r="H8" s="27" t="n">
        <f aca="false">IF(A8&gt;=Assumptions!$C$37,INDEX(Assumptions!$B$10:$B$15,MATCH(C8,Assumptions!$A$10:$A$15,0)),0)</f>
        <v>0.04</v>
      </c>
      <c r="I8" s="27" t="n">
        <f aca="false">IF(AND(A8&gt;=Assumptions!$C$37,INDEX(Assumptions!$C$19:$C$22,MATCH(D8,Assumptions!$A$19:$A$22,0))=1),INDEX(Assumptions!$D$10:$D$15,MATCH(C8,Assumptions!$A$10:$A$15,0)),0)</f>
        <v>0.015</v>
      </c>
      <c r="J8" s="9" t="n">
        <f aca="false">F8*G8*(1+H8)</f>
        <v>523283.279545354</v>
      </c>
      <c r="K8" s="9" t="n">
        <f aca="false">J8*(1+I8)</f>
        <v>531132.528738534</v>
      </c>
      <c r="L8" s="24" t="n">
        <f aca="false">INDEX(Data_Base!$E$5:$E$28,B8)/INDEX(Data_Base!$C$5:$C$28,B8)*(1+INDEX(Assumptions!$C$10:$C$15,MATCH(C8,Assumptions!$A$10:$A$15,0)))</f>
        <v>158.577347279921</v>
      </c>
      <c r="M8" s="9" t="n">
        <f aca="false">F8*L8</f>
        <v>406969.191700058</v>
      </c>
      <c r="N8" s="24" t="n">
        <f aca="false">INDEX(Data_Base!$F$5:$F$28,B8)/INDEX(Data_Base!$C$5:$C$28,B8)*(1+Assumptions!$C$38)</f>
        <v>2.72350077151335</v>
      </c>
      <c r="O8" s="9" t="n">
        <f aca="false">F8*N8</f>
        <v>6989.52862176941</v>
      </c>
      <c r="P8" s="25" t="n">
        <f aca="false">IF(A8&lt;=3,SUMIFS(Data_Q1!$D$5:$D$76,Data_Q1!$A$5:$A$76,A8,Data_Q1!$B$5:$B$76,C8,Data_Q1!$C$5:$C$76,D8),F8*INDEX(Reforecast!$D$6:$D$9,MATCH(D8,Reforecast!$A$6:$A$9,0)))</f>
        <v>2458.68965270155</v>
      </c>
      <c r="Q8" s="9" t="n">
        <f aca="false">IF(A8&lt;=3,SUMIFS(Data_Q1!$E$5:$E$76,Data_Q1!$A$5:$A$76,A8,Data_Q1!$B$5:$B$76,C8,Data_Q1!$C$5:$C$76,D8),P8*G8*(1+H8)*(1+I8))</f>
        <v>508845.840440814</v>
      </c>
      <c r="R8" s="9" t="n">
        <f aca="false">IF(A8&lt;=3,SUMIFS(Data_Q1!$F$5:$F$76,Data_Q1!$A$5:$A$76,A8,Data_Q1!$B$5:$B$76,C8,Data_Q1!$C$5:$C$76,D8),P8*L8*INDEX(Reforecast!$D$12:$D$17,MATCH(C8,Reforecast!$A$12:$A$17,0)))</f>
        <v>400625.841420758</v>
      </c>
      <c r="S8" s="9" t="n">
        <f aca="false">IF(A8&lt;=3,SUMIFS(Data_Q1!$G$5:$G$76,Data_Q1!$A$5:$A$76,A8,Data_Q1!$B$5:$B$76,C8,Data_Q1!$C$5:$C$76,D8),P8*N8)</f>
        <v>6696.24316604457</v>
      </c>
    </row>
    <row r="9" customFormat="false" ht="15" hidden="false" customHeight="false" outlineLevel="0" collapsed="false">
      <c r="A9" s="0" t="n">
        <f aca="false">MOD(ROW()-5,12)+1</f>
        <v>5</v>
      </c>
      <c r="B9" s="0" t="n">
        <f aca="false">INT((ROW()-5)/12)+1</f>
        <v>1</v>
      </c>
      <c r="C9" s="0" t="str">
        <f aca="false">INDEX(Data_Base!$A$5:$A$28,B9)</f>
        <v>Beef</v>
      </c>
      <c r="D9" s="0" t="str">
        <f aca="false">INDEX(Data_Base!$B$5:$B$28,B9)</f>
        <v>Restaurants</v>
      </c>
      <c r="E9" s="26" t="n">
        <f aca="false">INDEX(Data_Base!$B$32:$M$37,MATCH(C9,Data_Base!$A$32:$A$37,0),A9)</f>
        <v>0.090704</v>
      </c>
      <c r="F9" s="25" t="n">
        <f aca="false">INDEX(Data_Base!$C$5:$C$28,B9)*(1+INDEX(Assumptions!$B$19:$B$22,MATCH(D9,Assumptions!$A$19:$A$22,0)))*E9</f>
        <v>2806.0733664</v>
      </c>
      <c r="G9" s="24" t="n">
        <f aca="false">INDEX(Data_Base!$D$5:$D$28,B9)/INDEX(Data_Base!$C$5:$C$28,B9)</f>
        <v>196.057352456314</v>
      </c>
      <c r="H9" s="27" t="n">
        <f aca="false">IF(A9&gt;=Assumptions!$C$37,INDEX(Assumptions!$B$10:$B$15,MATCH(C9,Assumptions!$A$10:$A$15,0)),0)</f>
        <v>0.04</v>
      </c>
      <c r="I9" s="27" t="n">
        <f aca="false">IF(AND(A9&gt;=Assumptions!$C$37,INDEX(Assumptions!$C$19:$C$22,MATCH(D9,Assumptions!$A$19:$A$22,0))=1),INDEX(Assumptions!$D$10:$D$15,MATCH(C9,Assumptions!$A$10:$A$15,0)),0)</f>
        <v>0.015</v>
      </c>
      <c r="J9" s="9" t="n">
        <f aca="false">F9*G9*(1+H9)</f>
        <v>572157.367615143</v>
      </c>
      <c r="K9" s="9" t="n">
        <f aca="false">J9*(1+I9)</f>
        <v>580739.72812937</v>
      </c>
      <c r="L9" s="24" t="n">
        <f aca="false">INDEX(Data_Base!$E$5:$E$28,B9)/INDEX(Data_Base!$C$5:$C$28,B9)*(1+INDEX(Assumptions!$C$10:$C$15,MATCH(C9,Assumptions!$A$10:$A$15,0)))</f>
        <v>158.577347279921</v>
      </c>
      <c r="M9" s="9" t="n">
        <f aca="false">F9*L9</f>
        <v>444979.67071655</v>
      </c>
      <c r="N9" s="24" t="n">
        <f aca="false">INDEX(Data_Base!$F$5:$F$28,B9)/INDEX(Data_Base!$C$5:$C$28,B9)*(1+Assumptions!$C$38)</f>
        <v>2.72350077151335</v>
      </c>
      <c r="O9" s="9" t="n">
        <f aca="false">F9*N9</f>
        <v>7642.34297831347</v>
      </c>
      <c r="P9" s="25" t="n">
        <f aca="false">IF(A9&lt;=3,SUMIFS(Data_Q1!$D$5:$D$76,Data_Q1!$A$5:$A$76,A9,Data_Q1!$B$5:$B$76,C9,Data_Q1!$C$5:$C$76,D9),F9*INDEX(Reforecast!$D$6:$D$9,MATCH(D9,Reforecast!$A$6:$A$9,0)))</f>
        <v>2688.32858694539</v>
      </c>
      <c r="Q9" s="9" t="n">
        <f aca="false">IF(A9&lt;=3,SUMIFS(Data_Q1!$E$5:$E$76,Data_Q1!$A$5:$A$76,A9,Data_Q1!$B$5:$B$76,C9,Data_Q1!$C$5:$C$76,D9),P9*G9*(1+H9)*(1+I9))</f>
        <v>556371.487431212</v>
      </c>
      <c r="R9" s="9" t="n">
        <f aca="false">IF(A9&lt;=3,SUMIFS(Data_Q1!$F$5:$F$76,Data_Q1!$A$5:$A$76,A9,Data_Q1!$B$5:$B$76,C9,Data_Q1!$C$5:$C$76,D9),P9*L9*INDEX(Reforecast!$D$12:$D$17,MATCH(C9,Reforecast!$A$12:$A$17,0)))</f>
        <v>438043.85843373</v>
      </c>
      <c r="S9" s="9" t="n">
        <f aca="false">IF(A9&lt;=3,SUMIFS(Data_Q1!$G$5:$G$76,Data_Q1!$A$5:$A$76,A9,Data_Q1!$B$5:$B$76,C9,Data_Q1!$C$5:$C$76,D9),P9*N9)</f>
        <v>7321.66498062716</v>
      </c>
    </row>
    <row r="10" customFormat="false" ht="15" hidden="false" customHeight="false" outlineLevel="0" collapsed="false">
      <c r="A10" s="0" t="n">
        <f aca="false">MOD(ROW()-5,12)+1</f>
        <v>6</v>
      </c>
      <c r="B10" s="0" t="n">
        <f aca="false">INT((ROW()-5)/12)+1</f>
        <v>1</v>
      </c>
      <c r="C10" s="0" t="str">
        <f aca="false">INDEX(Data_Base!$A$5:$A$28,B10)</f>
        <v>Beef</v>
      </c>
      <c r="D10" s="0" t="str">
        <f aca="false">INDEX(Data_Base!$B$5:$B$28,B10)</f>
        <v>Restaurants</v>
      </c>
      <c r="E10" s="26" t="n">
        <f aca="false">INDEX(Data_Base!$B$32:$M$37,MATCH(C10,Data_Base!$A$32:$A$37,0),A10)</f>
        <v>0.098481</v>
      </c>
      <c r="F10" s="25" t="n">
        <f aca="false">INDEX(Data_Base!$C$5:$C$28,B10)*(1+INDEX(Assumptions!$B$19:$B$22,MATCH(D10,Assumptions!$A$19:$A$22,0)))*E10</f>
        <v>3046.6673046</v>
      </c>
      <c r="G10" s="24" t="n">
        <f aca="false">INDEX(Data_Base!$D$5:$D$28,B10)/INDEX(Data_Base!$C$5:$C$28,B10)</f>
        <v>196.057352456314</v>
      </c>
      <c r="H10" s="27" t="n">
        <f aca="false">IF(A10&gt;=Assumptions!$C$37,INDEX(Assumptions!$B$10:$B$15,MATCH(C10,Assumptions!$A$10:$A$15,0)),0)</f>
        <v>0.04</v>
      </c>
      <c r="I10" s="27" t="n">
        <f aca="false">IF(AND(A10&gt;=Assumptions!$C$37,INDEX(Assumptions!$C$19:$C$22,MATCH(D10,Assumptions!$A$19:$A$22,0))=1),INDEX(Assumptions!$D$10:$D$15,MATCH(C10,Assumptions!$A$10:$A$15,0)),0)</f>
        <v>0.015</v>
      </c>
      <c r="J10" s="9" t="n">
        <f aca="false">F10*G10*(1+H10)</f>
        <v>621214.386577294</v>
      </c>
      <c r="K10" s="9" t="n">
        <f aca="false">J10*(1+I10)</f>
        <v>630532.602375953</v>
      </c>
      <c r="L10" s="24" t="n">
        <f aca="false">INDEX(Data_Base!$E$5:$E$28,B10)/INDEX(Data_Base!$C$5:$C$28,B10)*(1+INDEX(Assumptions!$C$10:$C$15,MATCH(C10,Assumptions!$A$10:$A$15,0)))</f>
        <v>158.577347279921</v>
      </c>
      <c r="M10" s="9" t="n">
        <f aca="false">F10*L10</f>
        <v>483132.419207935</v>
      </c>
      <c r="N10" s="24" t="n">
        <f aca="false">INDEX(Data_Base!$F$5:$F$28,B10)/INDEX(Data_Base!$C$5:$C$28,B10)*(1+Assumptions!$C$38)</f>
        <v>2.72350077151335</v>
      </c>
      <c r="O10" s="9" t="n">
        <f aca="false">F10*N10</f>
        <v>8297.60075462261</v>
      </c>
      <c r="P10" s="25" t="n">
        <f aca="false">IF(A10&lt;=3,SUMIFS(Data_Q1!$D$5:$D$76,Data_Q1!$A$5:$A$76,A10,Data_Q1!$B$5:$B$76,C10,Data_Q1!$C$5:$C$76,D10),F10*INDEX(Reforecast!$D$6:$D$9,MATCH(D10,Reforecast!$A$6:$A$9,0)))</f>
        <v>2918.8270370763</v>
      </c>
      <c r="Q10" s="9" t="n">
        <f aca="false">IF(A10&lt;=3,SUMIFS(Data_Q1!$E$5:$E$76,Data_Q1!$A$5:$A$76,A10,Data_Q1!$B$5:$B$76,C10,Data_Q1!$C$5:$C$76,D10),P10*G10*(1+H10)*(1+I10))</f>
        <v>604075.018231976</v>
      </c>
      <c r="R10" s="9" t="n">
        <f aca="false">IF(A10&lt;=3,SUMIFS(Data_Q1!$F$5:$F$76,Data_Q1!$A$5:$A$76,A10,Data_Q1!$B$5:$B$76,C10,Data_Q1!$C$5:$C$76,D10),P10*L10*INDEX(Reforecast!$D$12:$D$17,MATCH(C10,Reforecast!$A$12:$A$17,0)))</f>
        <v>475601.927394736</v>
      </c>
      <c r="S10" s="9" t="n">
        <f aca="false">IF(A10&lt;=3,SUMIFS(Data_Q1!$G$5:$G$76,Data_Q1!$A$5:$A$76,A10,Data_Q1!$B$5:$B$76,C10,Data_Q1!$C$5:$C$76,D10),P10*N10)</f>
        <v>7949.42768739133</v>
      </c>
    </row>
    <row r="11" customFormat="false" ht="15" hidden="false" customHeight="false" outlineLevel="0" collapsed="false">
      <c r="A11" s="0" t="n">
        <f aca="false">MOD(ROW()-5,12)+1</f>
        <v>7</v>
      </c>
      <c r="B11" s="0" t="n">
        <f aca="false">INT((ROW()-5)/12)+1</f>
        <v>1</v>
      </c>
      <c r="C11" s="0" t="str">
        <f aca="false">INDEX(Data_Base!$A$5:$A$28,B11)</f>
        <v>Beef</v>
      </c>
      <c r="D11" s="0" t="str">
        <f aca="false">INDEX(Data_Base!$B$5:$B$28,B11)</f>
        <v>Restaurants</v>
      </c>
      <c r="E11" s="26" t="n">
        <f aca="false">INDEX(Data_Base!$B$32:$M$37,MATCH(C11,Data_Base!$A$32:$A$37,0),A11)</f>
        <v>0.098998</v>
      </c>
      <c r="F11" s="25" t="n">
        <f aca="false">INDEX(Data_Base!$C$5:$C$28,B11)*(1+INDEX(Assumptions!$B$19:$B$22,MATCH(D11,Assumptions!$A$19:$A$22,0)))*E11</f>
        <v>3062.6615268</v>
      </c>
      <c r="G11" s="24" t="n">
        <f aca="false">INDEX(Data_Base!$D$5:$D$28,B11)/INDEX(Data_Base!$C$5:$C$28,B11)</f>
        <v>196.057352456314</v>
      </c>
      <c r="H11" s="27" t="n">
        <f aca="false">IF(A11&gt;=Assumptions!$C$37,INDEX(Assumptions!$B$10:$B$15,MATCH(C11,Assumptions!$A$10:$A$15,0)),0)</f>
        <v>0.04</v>
      </c>
      <c r="I11" s="27" t="n">
        <f aca="false">IF(AND(A11&gt;=Assumptions!$C$37,INDEX(Assumptions!$C$19:$C$22,MATCH(D11,Assumptions!$A$19:$A$22,0))=1),INDEX(Assumptions!$D$10:$D$15,MATCH(C11,Assumptions!$A$10:$A$15,0)),0)</f>
        <v>0.015</v>
      </c>
      <c r="J11" s="9" t="n">
        <f aca="false">F11*G11*(1+H11)</f>
        <v>624475.602830789</v>
      </c>
      <c r="K11" s="9" t="n">
        <f aca="false">J11*(1+I11)</f>
        <v>633842.736873251</v>
      </c>
      <c r="L11" s="24" t="n">
        <f aca="false">INDEX(Data_Base!$E$5:$E$28,B11)/INDEX(Data_Base!$C$5:$C$28,B11)*(1+INDEX(Assumptions!$C$10:$C$15,MATCH(C11,Assumptions!$A$10:$A$15,0)))</f>
        <v>158.577347279921</v>
      </c>
      <c r="M11" s="9" t="n">
        <f aca="false">F11*L11</f>
        <v>485668.740536216</v>
      </c>
      <c r="N11" s="24" t="n">
        <f aca="false">INDEX(Data_Base!$F$5:$F$28,B11)/INDEX(Data_Base!$C$5:$C$28,B11)*(1+Assumptions!$C$38)</f>
        <v>2.72350077151335</v>
      </c>
      <c r="O11" s="9" t="n">
        <f aca="false">F11*N11</f>
        <v>8341.16103112407</v>
      </c>
      <c r="P11" s="25" t="n">
        <f aca="false">IF(A11&lt;=3,SUMIFS(Data_Q1!$D$5:$D$76,Data_Q1!$A$5:$A$76,A11,Data_Q1!$B$5:$B$76,C11,Data_Q1!$C$5:$C$76,D11),F11*INDEX(Reforecast!$D$6:$D$9,MATCH(D11,Reforecast!$A$6:$A$9,0)))</f>
        <v>2934.15013064936</v>
      </c>
      <c r="Q11" s="9" t="n">
        <f aca="false">IF(A11&lt;=3,SUMIFS(Data_Q1!$E$5:$E$76,Data_Q1!$A$5:$A$76,A11,Data_Q1!$B$5:$B$76,C11,Data_Q1!$C$5:$C$76,D11),P11*G11*(1+H11)*(1+I11))</f>
        <v>607246.2571961</v>
      </c>
      <c r="R11" s="9" t="n">
        <f aca="false">IF(A11&lt;=3,SUMIFS(Data_Q1!$F$5:$F$76,Data_Q1!$A$5:$A$76,A11,Data_Q1!$B$5:$B$76,C11,Data_Q1!$C$5:$C$76,D11),P11*L11*INDEX(Reforecast!$D$12:$D$17,MATCH(C11,Reforecast!$A$12:$A$17,0)))</f>
        <v>478098.715571776</v>
      </c>
      <c r="S11" s="9" t="n">
        <f aca="false">IF(A11&lt;=3,SUMIFS(Data_Q1!$G$5:$G$76,Data_Q1!$A$5:$A$76,A11,Data_Q1!$B$5:$B$76,C11,Data_Q1!$C$5:$C$76,D11),P11*N11)</f>
        <v>7991.16014455953</v>
      </c>
    </row>
    <row r="12" customFormat="false" ht="15" hidden="false" customHeight="false" outlineLevel="0" collapsed="false">
      <c r="A12" s="0" t="n">
        <f aca="false">MOD(ROW()-5,12)+1</f>
        <v>8</v>
      </c>
      <c r="B12" s="0" t="n">
        <f aca="false">INT((ROW()-5)/12)+1</f>
        <v>1</v>
      </c>
      <c r="C12" s="0" t="str">
        <f aca="false">INDEX(Data_Base!$A$5:$A$28,B12)</f>
        <v>Beef</v>
      </c>
      <c r="D12" s="0" t="str">
        <f aca="false">INDEX(Data_Base!$B$5:$B$28,B12)</f>
        <v>Restaurants</v>
      </c>
      <c r="E12" s="26" t="n">
        <f aca="false">INDEX(Data_Base!$B$32:$M$37,MATCH(C12,Data_Base!$A$32:$A$37,0),A12)</f>
        <v>0.095376</v>
      </c>
      <c r="F12" s="25" t="n">
        <f aca="false">INDEX(Data_Base!$C$5:$C$28,B12)*(1+INDEX(Assumptions!$B$19:$B$22,MATCH(D12,Assumptions!$A$19:$A$22,0)))*E12</f>
        <v>2950.6091616</v>
      </c>
      <c r="G12" s="24" t="n">
        <f aca="false">INDEX(Data_Base!$D$5:$D$28,B12)/INDEX(Data_Base!$C$5:$C$28,B12)</f>
        <v>196.057352456314</v>
      </c>
      <c r="H12" s="27" t="n">
        <f aca="false">IF(A12&gt;=Assumptions!$C$37,INDEX(Assumptions!$B$10:$B$15,MATCH(C12,Assumptions!$A$10:$A$15,0)),0)</f>
        <v>0.04</v>
      </c>
      <c r="I12" s="27" t="n">
        <f aca="false">IF(AND(A12&gt;=Assumptions!$C$37,INDEX(Assumptions!$C$19:$C$22,MATCH(D12,Assumptions!$A$19:$A$22,0))=1),INDEX(Assumptions!$D$10:$D$15,MATCH(C12,Assumptions!$A$10:$A$15,0)),0)</f>
        <v>0.015</v>
      </c>
      <c r="J12" s="9" t="n">
        <f aca="false">F12*G12*(1+H12)</f>
        <v>601628.165170906</v>
      </c>
      <c r="K12" s="9" t="n">
        <f aca="false">J12*(1+I12)</f>
        <v>610652.587648469</v>
      </c>
      <c r="L12" s="24" t="n">
        <f aca="false">INDEX(Data_Base!$E$5:$E$28,B12)/INDEX(Data_Base!$C$5:$C$28,B12)*(1+INDEX(Assumptions!$C$10:$C$15,MATCH(C12,Assumptions!$A$10:$A$15,0)))</f>
        <v>158.577347279921</v>
      </c>
      <c r="M12" s="9" t="n">
        <f aca="false">F12*L12</f>
        <v>467899.773706359</v>
      </c>
      <c r="N12" s="24" t="n">
        <f aca="false">INDEX(Data_Base!$F$5:$F$28,B12)/INDEX(Data_Base!$C$5:$C$28,B12)*(1+Assumptions!$C$38)</f>
        <v>2.72350077151335</v>
      </c>
      <c r="O12" s="9" t="n">
        <f aca="false">F12*N12</f>
        <v>8035.98632805197</v>
      </c>
      <c r="P12" s="25" t="n">
        <f aca="false">IF(A12&lt;=3,SUMIFS(Data_Q1!$D$5:$D$76,Data_Q1!$A$5:$A$76,A12,Data_Q1!$B$5:$B$76,C12,Data_Q1!$C$5:$C$76,D12),F12*INDEX(Reforecast!$D$6:$D$9,MATCH(D12,Reforecast!$A$6:$A$9,0)))</f>
        <v>2826.79956020135</v>
      </c>
      <c r="Q12" s="9" t="n">
        <f aca="false">IF(A12&lt;=3,SUMIFS(Data_Q1!$E$5:$E$76,Data_Q1!$A$5:$A$76,A12,Data_Q1!$B$5:$B$76,C12,Data_Q1!$C$5:$C$76,D12),P12*G12*(1+H12)*(1+I12))</f>
        <v>585029.182673744</v>
      </c>
      <c r="R12" s="9" t="n">
        <f aca="false">IF(A12&lt;=3,SUMIFS(Data_Q1!$F$5:$F$76,Data_Q1!$A$5:$A$76,A12,Data_Q1!$B$5:$B$76,C12,Data_Q1!$C$5:$C$76,D12),P12*L12*INDEX(Reforecast!$D$12:$D$17,MATCH(C12,Reforecast!$A$12:$A$17,0)))</f>
        <v>460606.71019994</v>
      </c>
      <c r="S12" s="9" t="n">
        <f aca="false">IF(A12&lt;=3,SUMIFS(Data_Q1!$G$5:$G$76,Data_Q1!$A$5:$A$76,A12,Data_Q1!$B$5:$B$76,C12,Data_Q1!$C$5:$C$76,D12),P12*N12)</f>
        <v>7698.79078312198</v>
      </c>
    </row>
    <row r="13" customFormat="false" ht="15" hidden="false" customHeight="false" outlineLevel="0" collapsed="false">
      <c r="A13" s="0" t="n">
        <f aca="false">MOD(ROW()-5,12)+1</f>
        <v>9</v>
      </c>
      <c r="B13" s="0" t="n">
        <f aca="false">INT((ROW()-5)/12)+1</f>
        <v>1</v>
      </c>
      <c r="C13" s="0" t="str">
        <f aca="false">INDEX(Data_Base!$A$5:$A$28,B13)</f>
        <v>Beef</v>
      </c>
      <c r="D13" s="0" t="str">
        <f aca="false">INDEX(Data_Base!$B$5:$B$28,B13)</f>
        <v>Restaurants</v>
      </c>
      <c r="E13" s="26" t="n">
        <f aca="false">INDEX(Data_Base!$B$32:$M$37,MATCH(C13,Data_Base!$A$32:$A$37,0),A13)</f>
        <v>0.08195</v>
      </c>
      <c r="F13" s="25" t="n">
        <f aca="false">INDEX(Data_Base!$C$5:$C$28,B13)*(1+INDEX(Assumptions!$B$19:$B$22,MATCH(D13,Assumptions!$A$19:$A$22,0)))*E13</f>
        <v>2535.25437</v>
      </c>
      <c r="G13" s="24" t="n">
        <f aca="false">INDEX(Data_Base!$D$5:$D$28,B13)/INDEX(Data_Base!$C$5:$C$28,B13)</f>
        <v>196.057352456314</v>
      </c>
      <c r="H13" s="27" t="n">
        <f aca="false">IF(A13&gt;=Assumptions!$C$37,INDEX(Assumptions!$B$10:$B$15,MATCH(C13,Assumptions!$A$10:$A$15,0)),0)</f>
        <v>0.04</v>
      </c>
      <c r="I13" s="27" t="n">
        <f aca="false">IF(AND(A13&gt;=Assumptions!$C$37,INDEX(Assumptions!$C$19:$C$22,MATCH(D13,Assumptions!$A$19:$A$22,0))=1),INDEX(Assumptions!$D$10:$D$15,MATCH(C13,Assumptions!$A$10:$A$15,0)),0)</f>
        <v>0.015</v>
      </c>
      <c r="J13" s="9" t="n">
        <f aca="false">F13*G13*(1+H13)</f>
        <v>516937.46996892</v>
      </c>
      <c r="K13" s="9" t="n">
        <f aca="false">J13*(1+I13)</f>
        <v>524691.532018454</v>
      </c>
      <c r="L13" s="24" t="n">
        <f aca="false">INDEX(Data_Base!$E$5:$E$28,B13)/INDEX(Data_Base!$C$5:$C$28,B13)*(1+INDEX(Assumptions!$C$10:$C$15,MATCH(C13,Assumptions!$A$10:$A$15,0)))</f>
        <v>158.577347279921</v>
      </c>
      <c r="M13" s="9" t="n">
        <f aca="false">F13*L13</f>
        <v>402033.912674427</v>
      </c>
      <c r="N13" s="24" t="n">
        <f aca="false">INDEX(Data_Base!$F$5:$F$28,B13)/INDEX(Data_Base!$C$5:$C$28,B13)*(1+Assumptions!$C$38)</f>
        <v>2.72350077151335</v>
      </c>
      <c r="O13" s="9" t="n">
        <f aca="false">F13*N13</f>
        <v>6904.7672326776</v>
      </c>
      <c r="P13" s="25" t="n">
        <f aca="false">IF(A13&lt;=3,SUMIFS(Data_Q1!$D$5:$D$76,Data_Q1!$A$5:$A$76,A13,Data_Q1!$B$5:$B$76,C13,Data_Q1!$C$5:$C$76,D13),F13*INDEX(Reforecast!$D$6:$D$9,MATCH(D13,Reforecast!$A$6:$A$9,0)))</f>
        <v>2428.87334296364</v>
      </c>
      <c r="Q13" s="9" t="n">
        <f aca="false">IF(A13&lt;=3,SUMIFS(Data_Q1!$E$5:$E$76,Data_Q1!$A$5:$A$76,A13,Data_Q1!$B$5:$B$76,C13,Data_Q1!$C$5:$C$76,D13),P13*G13*(1+H13)*(1+I13))</f>
        <v>502675.112398437</v>
      </c>
      <c r="R13" s="9" t="n">
        <f aca="false">IF(A13&lt;=3,SUMIFS(Data_Q1!$F$5:$F$76,Data_Q1!$A$5:$A$76,A13,Data_Q1!$B$5:$B$76,C13,Data_Q1!$C$5:$C$76,D13),P13*L13*INDEX(Reforecast!$D$12:$D$17,MATCH(C13,Reforecast!$A$12:$A$17,0)))</f>
        <v>395767.487637195</v>
      </c>
      <c r="S13" s="9" t="n">
        <f aca="false">IF(A13&lt;=3,SUMIFS(Data_Q1!$G$5:$G$76,Data_Q1!$A$5:$A$76,A13,Data_Q1!$B$5:$B$76,C13,Data_Q1!$C$5:$C$76,D13),P13*N13)</f>
        <v>6615.0384234697</v>
      </c>
    </row>
    <row r="14" customFormat="false" ht="15" hidden="false" customHeight="false" outlineLevel="0" collapsed="false">
      <c r="A14" s="0" t="n">
        <f aca="false">MOD(ROW()-5,12)+1</f>
        <v>10</v>
      </c>
      <c r="B14" s="0" t="n">
        <f aca="false">INT((ROW()-5)/12)+1</f>
        <v>1</v>
      </c>
      <c r="C14" s="0" t="str">
        <f aca="false">INDEX(Data_Base!$A$5:$A$28,B14)</f>
        <v>Beef</v>
      </c>
      <c r="D14" s="0" t="str">
        <f aca="false">INDEX(Data_Base!$B$5:$B$28,B14)</f>
        <v>Restaurants</v>
      </c>
      <c r="E14" s="26" t="n">
        <f aca="false">INDEX(Data_Base!$B$32:$M$37,MATCH(C14,Data_Base!$A$32:$A$37,0),A14)</f>
        <v>0.079492</v>
      </c>
      <c r="F14" s="25" t="n">
        <f aca="false">INDEX(Data_Base!$C$5:$C$28,B14)*(1+INDEX(Assumptions!$B$19:$B$22,MATCH(D14,Assumptions!$A$19:$A$22,0)))*E14</f>
        <v>2459.2122072</v>
      </c>
      <c r="G14" s="24" t="n">
        <f aca="false">INDEX(Data_Base!$D$5:$D$28,B14)/INDEX(Data_Base!$C$5:$C$28,B14)</f>
        <v>196.057352456314</v>
      </c>
      <c r="H14" s="27" t="n">
        <f aca="false">IF(A14&gt;=Assumptions!$C$37,INDEX(Assumptions!$B$10:$B$15,MATCH(C14,Assumptions!$A$10:$A$15,0)),0)</f>
        <v>0.04</v>
      </c>
      <c r="I14" s="27" t="n">
        <f aca="false">IF(AND(A14&gt;=Assumptions!$C$37,INDEX(Assumptions!$C$19:$C$22,MATCH(D14,Assumptions!$A$19:$A$22,0))=1),INDEX(Assumptions!$D$10:$D$15,MATCH(C14,Assumptions!$A$10:$A$15,0)),0)</f>
        <v>0.015</v>
      </c>
      <c r="J14" s="9" t="n">
        <f aca="false">F14*G14*(1+H14)</f>
        <v>501432.499850755</v>
      </c>
      <c r="K14" s="9" t="n">
        <f aca="false">J14*(1+I14)</f>
        <v>508953.987348516</v>
      </c>
      <c r="L14" s="24" t="n">
        <f aca="false">INDEX(Data_Base!$E$5:$E$28,B14)/INDEX(Data_Base!$C$5:$C$28,B14)*(1+INDEX(Assumptions!$C$10:$C$15,MATCH(C14,Assumptions!$A$10:$A$15,0)))</f>
        <v>158.577347279921</v>
      </c>
      <c r="M14" s="9" t="n">
        <f aca="false">F14*L14</f>
        <v>389975.348216175</v>
      </c>
      <c r="N14" s="24" t="n">
        <f aca="false">INDEX(Data_Base!$F$5:$F$28,B14)/INDEX(Data_Base!$C$5:$C$28,B14)*(1+Assumptions!$C$38)</f>
        <v>2.72350077151335</v>
      </c>
      <c r="O14" s="9" t="n">
        <f aca="false">F14*N14</f>
        <v>6697.66634362426</v>
      </c>
      <c r="P14" s="25" t="n">
        <f aca="false">IF(A14&lt;=3,SUMIFS(Data_Q1!$D$5:$D$76,Data_Q1!$A$5:$A$76,A14,Data_Q1!$B$5:$B$76,C14,Data_Q1!$C$5:$C$76,D14),F14*INDEX(Reforecast!$D$6:$D$9,MATCH(D14,Reforecast!$A$6:$A$9,0)))</f>
        <v>2356.02196191417</v>
      </c>
      <c r="Q14" s="9" t="n">
        <f aca="false">IF(A14&lt;=3,SUMIFS(Data_Q1!$E$5:$E$76,Data_Q1!$A$5:$A$76,A14,Data_Q1!$B$5:$B$76,C14,Data_Q1!$C$5:$C$76,D14),P14*G14*(1+H14)*(1+I14))</f>
        <v>487597.925988731</v>
      </c>
      <c r="R14" s="9" t="n">
        <f aca="false">IF(A14&lt;=3,SUMIFS(Data_Q1!$F$5:$F$76,Data_Q1!$A$5:$A$76,A14,Data_Q1!$B$5:$B$76,C14,Data_Q1!$C$5:$C$76,D14),P14*L14*INDEX(Reforecast!$D$12:$D$17,MATCH(C14,Reforecast!$A$12:$A$17,0)))</f>
        <v>383896.877696838</v>
      </c>
      <c r="S14" s="9" t="n">
        <f aca="false">IF(A14&lt;=3,SUMIFS(Data_Q1!$G$5:$G$76,Data_Q1!$A$5:$A$76,A14,Data_Q1!$B$5:$B$76,C14,Data_Q1!$C$5:$C$76,D14),P14*N14)</f>
        <v>6416.62763097564</v>
      </c>
    </row>
    <row r="15" customFormat="false" ht="15" hidden="false" customHeight="false" outlineLevel="0" collapsed="false">
      <c r="A15" s="0" t="n">
        <f aca="false">MOD(ROW()-5,12)+1</f>
        <v>11</v>
      </c>
      <c r="B15" s="0" t="n">
        <f aca="false">INT((ROW()-5)/12)+1</f>
        <v>1</v>
      </c>
      <c r="C15" s="0" t="str">
        <f aca="false">INDEX(Data_Base!$A$5:$A$28,B15)</f>
        <v>Beef</v>
      </c>
      <c r="D15" s="0" t="str">
        <f aca="false">INDEX(Data_Base!$B$5:$B$28,B15)</f>
        <v>Restaurants</v>
      </c>
      <c r="E15" s="26" t="n">
        <f aca="false">INDEX(Data_Base!$B$32:$M$37,MATCH(C15,Data_Base!$A$32:$A$37,0),A15)</f>
        <v>0.075165</v>
      </c>
      <c r="F15" s="25" t="n">
        <f aca="false">INDEX(Data_Base!$C$5:$C$28,B15)*(1+INDEX(Assumptions!$B$19:$B$22,MATCH(D15,Assumptions!$A$19:$A$22,0)))*E15</f>
        <v>2325.349539</v>
      </c>
      <c r="G15" s="24" t="n">
        <f aca="false">INDEX(Data_Base!$D$5:$D$28,B15)/INDEX(Data_Base!$C$5:$C$28,B15)</f>
        <v>196.057352456314</v>
      </c>
      <c r="H15" s="27" t="n">
        <f aca="false">IF(A15&gt;=Assumptions!$C$37,INDEX(Assumptions!$B$10:$B$15,MATCH(C15,Assumptions!$A$10:$A$15,0)),0)</f>
        <v>0.04</v>
      </c>
      <c r="I15" s="27" t="n">
        <f aca="false">IF(AND(A15&gt;=Assumptions!$C$37,INDEX(Assumptions!$C$19:$C$22,MATCH(D15,Assumptions!$A$19:$A$22,0))=1),INDEX(Assumptions!$D$10:$D$15,MATCH(C15,Assumptions!$A$10:$A$15,0)),0)</f>
        <v>0.015</v>
      </c>
      <c r="J15" s="9" t="n">
        <f aca="false">F15*G15*(1+H15)</f>
        <v>474137.949117924</v>
      </c>
      <c r="K15" s="9" t="n">
        <f aca="false">J15*(1+I15)</f>
        <v>481250.018354693</v>
      </c>
      <c r="L15" s="24" t="n">
        <f aca="false">INDEX(Data_Base!$E$5:$E$28,B15)/INDEX(Data_Base!$C$5:$C$28,B15)*(1+INDEX(Assumptions!$C$10:$C$15,MATCH(C15,Assumptions!$A$10:$A$15,0)))</f>
        <v>158.577347279921</v>
      </c>
      <c r="M15" s="9" t="n">
        <f aca="false">F15*L15</f>
        <v>368747.761393207</v>
      </c>
      <c r="N15" s="24" t="n">
        <f aca="false">INDEX(Data_Base!$F$5:$F$28,B15)/INDEX(Data_Base!$C$5:$C$28,B15)*(1+Assumptions!$C$38)</f>
        <v>2.72350077151335</v>
      </c>
      <c r="O15" s="9" t="n">
        <f aca="false">F15*N15</f>
        <v>6333.09126350472</v>
      </c>
      <c r="P15" s="25" t="n">
        <f aca="false">IF(A15&lt;=3,SUMIFS(Data_Q1!$D$5:$D$76,Data_Q1!$A$5:$A$76,A15,Data_Q1!$B$5:$B$76,C15,Data_Q1!$C$5:$C$76,D15),F15*INDEX(Reforecast!$D$6:$D$9,MATCH(D15,Reforecast!$A$6:$A$9,0)))</f>
        <v>2227.77626386653</v>
      </c>
      <c r="Q15" s="9" t="n">
        <f aca="false">IF(A15&lt;=3,SUMIFS(Data_Q1!$E$5:$E$76,Data_Q1!$A$5:$A$76,A15,Data_Q1!$B$5:$B$76,C15,Data_Q1!$C$5:$C$76,D15),P15*G15*(1+H15)*(1+I15))</f>
        <v>461056.434697114</v>
      </c>
      <c r="R15" s="9" t="n">
        <f aca="false">IF(A15&lt;=3,SUMIFS(Data_Q1!$F$5:$F$76,Data_Q1!$A$5:$A$76,A15,Data_Q1!$B$5:$B$76,C15,Data_Q1!$C$5:$C$76,D15),P15*L15*INDEX(Reforecast!$D$12:$D$17,MATCH(C15,Reforecast!$A$12:$A$17,0)))</f>
        <v>363000.161174494</v>
      </c>
      <c r="S15" s="9" t="n">
        <f aca="false">IF(A15&lt;=3,SUMIFS(Data_Q1!$G$5:$G$76,Data_Q1!$A$5:$A$76,A15,Data_Q1!$B$5:$B$76,C15,Data_Q1!$C$5:$C$76,D15),P15*N15)</f>
        <v>6067.35037339964</v>
      </c>
    </row>
    <row r="16" customFormat="false" ht="15" hidden="false" customHeight="false" outlineLevel="0" collapsed="false">
      <c r="A16" s="0" t="n">
        <f aca="false">MOD(ROW()-5,12)+1</f>
        <v>12</v>
      </c>
      <c r="B16" s="0" t="n">
        <f aca="false">INT((ROW()-5)/12)+1</f>
        <v>1</v>
      </c>
      <c r="C16" s="0" t="str">
        <f aca="false">INDEX(Data_Base!$A$5:$A$28,B16)</f>
        <v>Beef</v>
      </c>
      <c r="D16" s="0" t="str">
        <f aca="false">INDEX(Data_Base!$B$5:$B$28,B16)</f>
        <v>Restaurants</v>
      </c>
      <c r="E16" s="26" t="n">
        <f aca="false">INDEX(Data_Base!$B$32:$M$37,MATCH(C16,Data_Base!$A$32:$A$37,0),A16)</f>
        <v>0.078196</v>
      </c>
      <c r="F16" s="25" t="n">
        <f aca="false">INDEX(Data_Base!$C$5:$C$28,B16)*(1+INDEX(Assumptions!$B$19:$B$22,MATCH(D16,Assumptions!$A$19:$A$22,0)))*E16</f>
        <v>2419.1183736</v>
      </c>
      <c r="G16" s="24" t="n">
        <f aca="false">INDEX(Data_Base!$D$5:$D$28,B16)/INDEX(Data_Base!$C$5:$C$28,B16)</f>
        <v>196.057352456314</v>
      </c>
      <c r="H16" s="27" t="n">
        <f aca="false">IF(A16&gt;=Assumptions!$C$37,INDEX(Assumptions!$B$10:$B$15,MATCH(C16,Assumptions!$A$10:$A$15,0)),0)</f>
        <v>0.04</v>
      </c>
      <c r="I16" s="27" t="n">
        <f aca="false">IF(AND(A16&gt;=Assumptions!$C$37,INDEX(Assumptions!$C$19:$C$22,MATCH(D16,Assumptions!$A$19:$A$22,0))=1),INDEX(Assumptions!$D$10:$D$15,MATCH(C16,Assumptions!$A$10:$A$15,0)),0)</f>
        <v>0.015</v>
      </c>
      <c r="J16" s="9" t="n">
        <f aca="false">F16*G16*(1+H16)</f>
        <v>493257.381350698</v>
      </c>
      <c r="K16" s="9" t="n">
        <f aca="false">J16*(1+I16)</f>
        <v>500656.242070958</v>
      </c>
      <c r="L16" s="24" t="n">
        <f aca="false">INDEX(Data_Base!$E$5:$E$28,B16)/INDEX(Data_Base!$C$5:$C$28,B16)*(1+INDEX(Assumptions!$C$10:$C$15,MATCH(C16,Assumptions!$A$10:$A$15,0)))</f>
        <v>158.577347279921</v>
      </c>
      <c r="M16" s="9" t="n">
        <f aca="false">F16*L16</f>
        <v>383617.374441605</v>
      </c>
      <c r="N16" s="24" t="n">
        <f aca="false">INDEX(Data_Base!$F$5:$F$28,B16)/INDEX(Data_Base!$C$5:$C$28,B16)*(1+Assumptions!$C$38)</f>
        <v>2.72350077151335</v>
      </c>
      <c r="O16" s="9" t="n">
        <f aca="false">F16*N16</f>
        <v>6588.47075688173</v>
      </c>
      <c r="P16" s="25" t="n">
        <f aca="false">IF(A16&lt;=3,SUMIFS(Data_Q1!$D$5:$D$76,Data_Q1!$A$5:$A$76,A16,Data_Q1!$B$5:$B$76,C16,Data_Q1!$C$5:$C$76,D16),F16*INDEX(Reforecast!$D$6:$D$9,MATCH(D16,Reforecast!$A$6:$A$9,0)))</f>
        <v>2317.61049330549</v>
      </c>
      <c r="Q16" s="9" t="n">
        <f aca="false">IF(A16&lt;=3,SUMIFS(Data_Q1!$E$5:$E$76,Data_Q1!$A$5:$A$76,A16,Data_Q1!$B$5:$B$76,C16,Data_Q1!$C$5:$C$76,D16),P16*G16*(1+H16)*(1+I16))</f>
        <v>479648.359842686</v>
      </c>
      <c r="R16" s="9" t="n">
        <f aca="false">IF(A16&lt;=3,SUMIFS(Data_Q1!$F$5:$F$76,Data_Q1!$A$5:$A$76,A16,Data_Q1!$B$5:$B$76,C16,Data_Q1!$C$5:$C$76,D16),P16*L16*INDEX(Reforecast!$D$12:$D$17,MATCH(C16,Reforecast!$A$12:$A$17,0)))</f>
        <v>377638.004432924</v>
      </c>
      <c r="S16" s="9" t="n">
        <f aca="false">IF(A16&lt;=3,SUMIFS(Data_Q1!$G$5:$G$76,Data_Q1!$A$5:$A$76,A16,Data_Q1!$B$5:$B$76,C16,Data_Q1!$C$5:$C$76,D16),P16*N16)</f>
        <v>6312.01396658495</v>
      </c>
    </row>
    <row r="17" customFormat="false" ht="15" hidden="false" customHeight="false" outlineLevel="0" collapsed="false">
      <c r="A17" s="0" t="n">
        <f aca="false">MOD(ROW()-5,12)+1</f>
        <v>1</v>
      </c>
      <c r="B17" s="0" t="n">
        <f aca="false">INT((ROW()-5)/12)+1</f>
        <v>2</v>
      </c>
      <c r="C17" s="0" t="str">
        <f aca="false">INDEX(Data_Base!$A$5:$A$28,B17)</f>
        <v>Beef</v>
      </c>
      <c r="D17" s="0" t="str">
        <f aca="false">INDEX(Data_Base!$B$5:$B$28,B17)</f>
        <v>Grocery Retail</v>
      </c>
      <c r="E17" s="26" t="n">
        <f aca="false">INDEX(Data_Base!$B$32:$M$37,MATCH(C17,Data_Base!$A$32:$A$37,0),A17)</f>
        <v>0.071097</v>
      </c>
      <c r="F17" s="25" t="n">
        <f aca="false">INDEX(Data_Base!$C$5:$C$28,B17)*(1+INDEX(Assumptions!$B$19:$B$22,MATCH(D17,Assumptions!$A$19:$A$22,0)))*E17</f>
        <v>1803.09314991</v>
      </c>
      <c r="G17" s="24" t="n">
        <f aca="false">INDEX(Data_Base!$D$5:$D$28,B17)/INDEX(Data_Base!$C$5:$C$28,B17)</f>
        <v>170.646724975287</v>
      </c>
      <c r="H17" s="27" t="n">
        <f aca="false">IF(A17&gt;=Assumptions!$C$37,INDEX(Assumptions!$B$10:$B$15,MATCH(C17,Assumptions!$A$10:$A$15,0)),0)</f>
        <v>0</v>
      </c>
      <c r="I17" s="27" t="n">
        <f aca="false">IF(AND(A17&gt;=Assumptions!$C$37,INDEX(Assumptions!$C$19:$C$22,MATCH(D17,Assumptions!$A$19:$A$22,0))=1),INDEX(Assumptions!$D$10:$D$15,MATCH(C17,Assumptions!$A$10:$A$15,0)),0)</f>
        <v>0</v>
      </c>
      <c r="J17" s="9" t="n">
        <f aca="false">F17*G17*(1+H17)</f>
        <v>307691.940857516</v>
      </c>
      <c r="K17" s="9" t="n">
        <f aca="false">J17*(1+I17)</f>
        <v>307691.940857516</v>
      </c>
      <c r="L17" s="24" t="n">
        <f aca="false">INDEX(Data_Base!$E$5:$E$28,B17)/INDEX(Data_Base!$C$5:$C$28,B17)*(1+INDEX(Assumptions!$C$10:$C$15,MATCH(C17,Assumptions!$A$10:$A$15,0)))</f>
        <v>159.006241457859</v>
      </c>
      <c r="M17" s="9" t="n">
        <f aca="false">F17*L17</f>
        <v>286703.064765601</v>
      </c>
      <c r="N17" s="24" t="n">
        <f aca="false">INDEX(Data_Base!$F$5:$F$28,B17)/INDEX(Data_Base!$C$5:$C$28,B17)*(1+Assumptions!$C$38)</f>
        <v>2.71590365754072</v>
      </c>
      <c r="O17" s="9" t="n">
        <f aca="false">F17*N17</f>
        <v>4897.02728072719</v>
      </c>
      <c r="P17" s="25" t="n">
        <f aca="false">IF(A17&lt;=3,SUMIFS(Data_Q1!$D$5:$D$76,Data_Q1!$A$5:$A$76,A17,Data_Q1!$B$5:$B$76,C17,Data_Q1!$C$5:$C$76,D17),F17*INDEX(Reforecast!$D$6:$D$9,MATCH(D17,Reforecast!$A$6:$A$9,0)))</f>
        <v>1891.3</v>
      </c>
      <c r="Q17" s="9" t="n">
        <f aca="false">IF(A17&lt;=3,SUMIFS(Data_Q1!$E$5:$E$76,Data_Q1!$A$5:$A$76,A17,Data_Q1!$B$5:$B$76,C17,Data_Q1!$C$5:$C$76,D17),P17*G17*(1+H17)*(1+I17))</f>
        <v>322683.7</v>
      </c>
      <c r="R17" s="9" t="n">
        <f aca="false">IF(A17&lt;=3,SUMIFS(Data_Q1!$F$5:$F$76,Data_Q1!$A$5:$A$76,A17,Data_Q1!$B$5:$B$76,C17,Data_Q1!$C$5:$C$76,D17),P17*L17*INDEX(Reforecast!$D$12:$D$17,MATCH(C17,Reforecast!$A$12:$A$17,0)))</f>
        <v>309919.83</v>
      </c>
      <c r="S17" s="9" t="n">
        <f aca="false">IF(A17&lt;=3,SUMIFS(Data_Q1!$G$5:$G$76,Data_Q1!$A$5:$A$76,A17,Data_Q1!$B$5:$B$76,C17,Data_Q1!$C$5:$C$76,D17),P17*N17)</f>
        <v>5136.58</v>
      </c>
    </row>
    <row r="18" customFormat="false" ht="15" hidden="false" customHeight="false" outlineLevel="0" collapsed="false">
      <c r="A18" s="0" t="n">
        <f aca="false">MOD(ROW()-5,12)+1</f>
        <v>2</v>
      </c>
      <c r="B18" s="0" t="n">
        <f aca="false">INT((ROW()-5)/12)+1</f>
        <v>2</v>
      </c>
      <c r="C18" s="0" t="str">
        <f aca="false">INDEX(Data_Base!$A$5:$A$28,B18)</f>
        <v>Beef</v>
      </c>
      <c r="D18" s="0" t="str">
        <f aca="false">INDEX(Data_Base!$B$5:$B$28,B18)</f>
        <v>Grocery Retail</v>
      </c>
      <c r="E18" s="26" t="n">
        <f aca="false">INDEX(Data_Base!$B$32:$M$37,MATCH(C18,Data_Base!$A$32:$A$37,0),A18)</f>
        <v>0.071356</v>
      </c>
      <c r="F18" s="25" t="n">
        <f aca="false">INDEX(Data_Base!$C$5:$C$28,B18)*(1+INDEX(Assumptions!$B$19:$B$22,MATCH(D18,Assumptions!$A$19:$A$22,0)))*E18</f>
        <v>1809.66165668</v>
      </c>
      <c r="G18" s="24" t="n">
        <f aca="false">INDEX(Data_Base!$D$5:$D$28,B18)/INDEX(Data_Base!$C$5:$C$28,B18)</f>
        <v>170.646724975287</v>
      </c>
      <c r="H18" s="27" t="n">
        <f aca="false">IF(A18&gt;=Assumptions!$C$37,INDEX(Assumptions!$B$10:$B$15,MATCH(C18,Assumptions!$A$10:$A$15,0)),0)</f>
        <v>0.04</v>
      </c>
      <c r="I18" s="27" t="n">
        <f aca="false">IF(AND(A18&gt;=Assumptions!$C$37,INDEX(Assumptions!$C$19:$C$22,MATCH(D18,Assumptions!$A$19:$A$22,0))=1),INDEX(Assumptions!$D$10:$D$15,MATCH(C18,Assumptions!$A$10:$A$15,0)),0)</f>
        <v>0</v>
      </c>
      <c r="J18" s="9" t="n">
        <f aca="false">F18*G18*(1+H18)</f>
        <v>321165.348426826</v>
      </c>
      <c r="K18" s="9" t="n">
        <f aca="false">J18*(1+I18)</f>
        <v>321165.348426826</v>
      </c>
      <c r="L18" s="24" t="n">
        <f aca="false">INDEX(Data_Base!$E$5:$E$28,B18)/INDEX(Data_Base!$C$5:$C$28,B18)*(1+INDEX(Assumptions!$C$10:$C$15,MATCH(C18,Assumptions!$A$10:$A$15,0)))</f>
        <v>159.006241457859</v>
      </c>
      <c r="M18" s="9" t="n">
        <f aca="false">F18*L18</f>
        <v>287747.498339089</v>
      </c>
      <c r="N18" s="24" t="n">
        <f aca="false">INDEX(Data_Base!$F$5:$F$28,B18)/INDEX(Data_Base!$C$5:$C$28,B18)*(1+Assumptions!$C$38)</f>
        <v>2.71590365754072</v>
      </c>
      <c r="O18" s="9" t="n">
        <f aca="false">F18*N18</f>
        <v>4914.86671228842</v>
      </c>
      <c r="P18" s="25" t="n">
        <f aca="false">IF(A18&lt;=3,SUMIFS(Data_Q1!$D$5:$D$76,Data_Q1!$A$5:$A$76,A18,Data_Q1!$B$5:$B$76,C18,Data_Q1!$C$5:$C$76,D18),F18*INDEX(Reforecast!$D$6:$D$9,MATCH(D18,Reforecast!$A$6:$A$9,0)))</f>
        <v>1913.3</v>
      </c>
      <c r="Q18" s="9" t="n">
        <f aca="false">IF(A18&lt;=3,SUMIFS(Data_Q1!$E$5:$E$76,Data_Q1!$A$5:$A$76,A18,Data_Q1!$B$5:$B$76,C18,Data_Q1!$C$5:$C$76,D18),P18*G18*(1+H18)*(1+I18))</f>
        <v>340066.07</v>
      </c>
      <c r="R18" s="9" t="n">
        <f aca="false">IF(A18&lt;=3,SUMIFS(Data_Q1!$F$5:$F$76,Data_Q1!$A$5:$A$76,A18,Data_Q1!$B$5:$B$76,C18,Data_Q1!$C$5:$C$76,D18),P18*L18*INDEX(Reforecast!$D$12:$D$17,MATCH(C18,Reforecast!$A$12:$A$17,0)))</f>
        <v>311115.01</v>
      </c>
      <c r="S18" s="9" t="n">
        <f aca="false">IF(A18&lt;=3,SUMIFS(Data_Q1!$G$5:$G$76,Data_Q1!$A$5:$A$76,A18,Data_Q1!$B$5:$B$76,C18,Data_Q1!$C$5:$C$76,D18),P18*N18)</f>
        <v>5196.32</v>
      </c>
    </row>
    <row r="19" customFormat="false" ht="15" hidden="false" customHeight="false" outlineLevel="0" collapsed="false">
      <c r="A19" s="0" t="n">
        <f aca="false">MOD(ROW()-5,12)+1</f>
        <v>3</v>
      </c>
      <c r="B19" s="0" t="n">
        <f aca="false">INT((ROW()-5)/12)+1</f>
        <v>2</v>
      </c>
      <c r="C19" s="0" t="str">
        <f aca="false">INDEX(Data_Base!$A$5:$A$28,B19)</f>
        <v>Beef</v>
      </c>
      <c r="D19" s="0" t="str">
        <f aca="false">INDEX(Data_Base!$B$5:$B$28,B19)</f>
        <v>Grocery Retail</v>
      </c>
      <c r="E19" s="26" t="n">
        <f aca="false">INDEX(Data_Base!$B$32:$M$37,MATCH(C19,Data_Base!$A$32:$A$37,0),A19)</f>
        <v>0.076229</v>
      </c>
      <c r="F19" s="25" t="n">
        <f aca="false">INDEX(Data_Base!$C$5:$C$28,B19)*(1+INDEX(Assumptions!$B$19:$B$22,MATCH(D19,Assumptions!$A$19:$A$22,0)))*E19</f>
        <v>1933.24595587</v>
      </c>
      <c r="G19" s="24" t="n">
        <f aca="false">INDEX(Data_Base!$D$5:$D$28,B19)/INDEX(Data_Base!$C$5:$C$28,B19)</f>
        <v>170.646724975287</v>
      </c>
      <c r="H19" s="27" t="n">
        <f aca="false">IF(A19&gt;=Assumptions!$C$37,INDEX(Assumptions!$B$10:$B$15,MATCH(C19,Assumptions!$A$10:$A$15,0)),0)</f>
        <v>0.04</v>
      </c>
      <c r="I19" s="27" t="n">
        <f aca="false">IF(AND(A19&gt;=Assumptions!$C$37,INDEX(Assumptions!$C$19:$C$22,MATCH(D19,Assumptions!$A$19:$A$22,0))=1),INDEX(Assumptions!$D$10:$D$15,MATCH(C19,Assumptions!$A$10:$A$15,0)),0)</f>
        <v>0</v>
      </c>
      <c r="J19" s="9" t="n">
        <f aca="false">F19*G19*(1+H19)</f>
        <v>343098.174578571</v>
      </c>
      <c r="K19" s="9" t="n">
        <f aca="false">J19*(1+I19)</f>
        <v>343098.174578571</v>
      </c>
      <c r="L19" s="24" t="n">
        <f aca="false">INDEX(Data_Base!$E$5:$E$28,B19)/INDEX(Data_Base!$C$5:$C$28,B19)*(1+INDEX(Assumptions!$C$10:$C$15,MATCH(C19,Assumptions!$A$10:$A$15,0)))</f>
        <v>159.006241457859</v>
      </c>
      <c r="M19" s="9" t="n">
        <f aca="false">F19*L19</f>
        <v>307398.173256494</v>
      </c>
      <c r="N19" s="24" t="n">
        <f aca="false">INDEX(Data_Base!$F$5:$F$28,B19)/INDEX(Data_Base!$C$5:$C$28,B19)*(1+Assumptions!$C$38)</f>
        <v>2.71590365754072</v>
      </c>
      <c r="O19" s="9" t="n">
        <f aca="false">F19*N19</f>
        <v>5250.50976247315</v>
      </c>
      <c r="P19" s="25" t="n">
        <f aca="false">IF(A19&lt;=3,SUMIFS(Data_Q1!$D$5:$D$76,Data_Q1!$A$5:$A$76,A19,Data_Q1!$B$5:$B$76,C19,Data_Q1!$C$5:$C$76,D19),F19*INDEX(Reforecast!$D$6:$D$9,MATCH(D19,Reforecast!$A$6:$A$9,0)))</f>
        <v>2067.9</v>
      </c>
      <c r="Q19" s="9" t="n">
        <f aca="false">IF(A19&lt;=3,SUMIFS(Data_Q1!$E$5:$E$76,Data_Q1!$A$5:$A$76,A19,Data_Q1!$B$5:$B$76,C19,Data_Q1!$C$5:$C$76,D19),P19*G19*(1+H19)*(1+I19))</f>
        <v>366073.23</v>
      </c>
      <c r="R19" s="9" t="n">
        <f aca="false">IF(A19&lt;=3,SUMIFS(Data_Q1!$F$5:$F$76,Data_Q1!$A$5:$A$76,A19,Data_Q1!$B$5:$B$76,C19,Data_Q1!$C$5:$C$76,D19),P19*L19*INDEX(Reforecast!$D$12:$D$17,MATCH(C19,Reforecast!$A$12:$A$17,0)))</f>
        <v>337965.49</v>
      </c>
      <c r="S19" s="9" t="n">
        <f aca="false">IF(A19&lt;=3,SUMIFS(Data_Q1!$G$5:$G$76,Data_Q1!$A$5:$A$76,A19,Data_Q1!$B$5:$B$76,C19,Data_Q1!$C$5:$C$76,D19),P19*N19)</f>
        <v>5616.12</v>
      </c>
    </row>
    <row r="20" customFormat="false" ht="15" hidden="false" customHeight="false" outlineLevel="0" collapsed="false">
      <c r="A20" s="0" t="n">
        <f aca="false">MOD(ROW()-5,12)+1</f>
        <v>4</v>
      </c>
      <c r="B20" s="0" t="n">
        <f aca="false">INT((ROW()-5)/12)+1</f>
        <v>2</v>
      </c>
      <c r="C20" s="0" t="str">
        <f aca="false">INDEX(Data_Base!$A$5:$A$28,B20)</f>
        <v>Beef</v>
      </c>
      <c r="D20" s="0" t="str">
        <f aca="false">INDEX(Data_Base!$B$5:$B$28,B20)</f>
        <v>Grocery Retail</v>
      </c>
      <c r="E20" s="26" t="n">
        <f aca="false">INDEX(Data_Base!$B$32:$M$37,MATCH(C20,Data_Base!$A$32:$A$37,0),A20)</f>
        <v>0.082956</v>
      </c>
      <c r="F20" s="25" t="n">
        <f aca="false">INDEX(Data_Base!$C$5:$C$28,B20)*(1+INDEX(Assumptions!$B$19:$B$22,MATCH(D20,Assumptions!$A$19:$A$22,0)))*E20</f>
        <v>2103.84960468</v>
      </c>
      <c r="G20" s="24" t="n">
        <f aca="false">INDEX(Data_Base!$D$5:$D$28,B20)/INDEX(Data_Base!$C$5:$C$28,B20)</f>
        <v>170.646724975287</v>
      </c>
      <c r="H20" s="27" t="n">
        <f aca="false">IF(A20&gt;=Assumptions!$C$37,INDEX(Assumptions!$B$10:$B$15,MATCH(C20,Assumptions!$A$10:$A$15,0)),0)</f>
        <v>0.04</v>
      </c>
      <c r="I20" s="27" t="n">
        <f aca="false">IF(AND(A20&gt;=Assumptions!$C$37,INDEX(Assumptions!$C$19:$C$22,MATCH(D20,Assumptions!$A$19:$A$22,0))=1),INDEX(Assumptions!$D$10:$D$15,MATCH(C20,Assumptions!$A$10:$A$15,0)),0)</f>
        <v>0</v>
      </c>
      <c r="J20" s="9" t="n">
        <f aca="false">F20*G20*(1+H20)</f>
        <v>373375.646674362</v>
      </c>
      <c r="K20" s="9" t="n">
        <f aca="false">J20*(1+I20)</f>
        <v>373375.646674362</v>
      </c>
      <c r="L20" s="24" t="n">
        <f aca="false">INDEX(Data_Base!$E$5:$E$28,B20)/INDEX(Data_Base!$C$5:$C$28,B20)*(1+INDEX(Assumptions!$C$10:$C$15,MATCH(C20,Assumptions!$A$10:$A$15,0)))</f>
        <v>159.006241457859</v>
      </c>
      <c r="M20" s="9" t="n">
        <f aca="false">F20*L20</f>
        <v>334525.218232769</v>
      </c>
      <c r="N20" s="24" t="n">
        <f aca="false">INDEX(Data_Base!$F$5:$F$28,B20)/INDEX(Data_Base!$C$5:$C$28,B20)*(1+Assumptions!$C$38)</f>
        <v>2.71590365754072</v>
      </c>
      <c r="O20" s="9" t="n">
        <f aca="false">F20*N20</f>
        <v>5713.85283626602</v>
      </c>
      <c r="P20" s="25" t="n">
        <f aca="false">IF(A20&lt;=3,SUMIFS(Data_Q1!$D$5:$D$76,Data_Q1!$A$5:$A$76,A20,Data_Q1!$B$5:$B$76,C20,Data_Q1!$C$5:$C$76,D20),F20*INDEX(Reforecast!$D$6:$D$9,MATCH(D20,Reforecast!$A$6:$A$9,0)))</f>
        <v>2229.85831840936</v>
      </c>
      <c r="Q20" s="9" t="n">
        <f aca="false">IF(A20&lt;=3,SUMIFS(Data_Q1!$E$5:$E$76,Data_Q1!$A$5:$A$76,A20,Data_Q1!$B$5:$B$76,C20,Data_Q1!$C$5:$C$76,D20),P20*G20*(1+H20)*(1+I20))</f>
        <v>395738.739963277</v>
      </c>
      <c r="R20" s="9" t="n">
        <f aca="false">IF(A20&lt;=3,SUMIFS(Data_Q1!$F$5:$F$76,Data_Q1!$A$5:$A$76,A20,Data_Q1!$B$5:$B$76,C20,Data_Q1!$C$5:$C$76,D20),P20*L20*INDEX(Reforecast!$D$12:$D$17,MATCH(C20,Reforecast!$A$12:$A$17,0)))</f>
        <v>364322.118296646</v>
      </c>
      <c r="S20" s="9" t="n">
        <f aca="false">IF(A20&lt;=3,SUMIFS(Data_Q1!$G$5:$G$76,Data_Q1!$A$5:$A$76,A20,Data_Q1!$B$5:$B$76,C20,Data_Q1!$C$5:$C$76,D20),P20*N20)</f>
        <v>6056.0803627656</v>
      </c>
    </row>
    <row r="21" customFormat="false" ht="15" hidden="false" customHeight="false" outlineLevel="0" collapsed="false">
      <c r="A21" s="0" t="n">
        <f aca="false">MOD(ROW()-5,12)+1</f>
        <v>5</v>
      </c>
      <c r="B21" s="0" t="n">
        <f aca="false">INT((ROW()-5)/12)+1</f>
        <v>2</v>
      </c>
      <c r="C21" s="0" t="str">
        <f aca="false">INDEX(Data_Base!$A$5:$A$28,B21)</f>
        <v>Beef</v>
      </c>
      <c r="D21" s="0" t="str">
        <f aca="false">INDEX(Data_Base!$B$5:$B$28,B21)</f>
        <v>Grocery Retail</v>
      </c>
      <c r="E21" s="26" t="n">
        <f aca="false">INDEX(Data_Base!$B$32:$M$37,MATCH(C21,Data_Base!$A$32:$A$37,0),A21)</f>
        <v>0.090704</v>
      </c>
      <c r="F21" s="25" t="n">
        <f aca="false">INDEX(Data_Base!$C$5:$C$28,B21)*(1+INDEX(Assumptions!$B$19:$B$22,MATCH(D21,Assumptions!$A$19:$A$22,0)))*E21</f>
        <v>2300.34686512</v>
      </c>
      <c r="G21" s="24" t="n">
        <f aca="false">INDEX(Data_Base!$D$5:$D$28,B21)/INDEX(Data_Base!$C$5:$C$28,B21)</f>
        <v>170.646724975287</v>
      </c>
      <c r="H21" s="27" t="n">
        <f aca="false">IF(A21&gt;=Assumptions!$C$37,INDEX(Assumptions!$B$10:$B$15,MATCH(C21,Assumptions!$A$10:$A$15,0)),0)</f>
        <v>0.04</v>
      </c>
      <c r="I21" s="27" t="n">
        <f aca="false">IF(AND(A21&gt;=Assumptions!$C$37,INDEX(Assumptions!$C$19:$C$22,MATCH(D21,Assumptions!$A$19:$A$22,0))=1),INDEX(Assumptions!$D$10:$D$15,MATCH(C21,Assumptions!$A$10:$A$15,0)),0)</f>
        <v>0</v>
      </c>
      <c r="J21" s="9" t="n">
        <f aca="false">F21*G21*(1+H21)</f>
        <v>408248.525193492</v>
      </c>
      <c r="K21" s="9" t="n">
        <f aca="false">J21*(1+I21)</f>
        <v>408248.525193492</v>
      </c>
      <c r="L21" s="24" t="n">
        <f aca="false">INDEX(Data_Base!$E$5:$E$28,B21)/INDEX(Data_Base!$C$5:$C$28,B21)*(1+INDEX(Assumptions!$C$10:$C$15,MATCH(C21,Assumptions!$A$10:$A$15,0)))</f>
        <v>159.006241457859</v>
      </c>
      <c r="M21" s="9" t="n">
        <f aca="false">F21*L21</f>
        <v>365769.509072099</v>
      </c>
      <c r="N21" s="24" t="n">
        <f aca="false">INDEX(Data_Base!$F$5:$F$28,B21)/INDEX(Data_Base!$C$5:$C$28,B21)*(1+Assumptions!$C$38)</f>
        <v>2.71590365754072</v>
      </c>
      <c r="O21" s="9" t="n">
        <f aca="false">F21*N21</f>
        <v>6247.52046459175</v>
      </c>
      <c r="P21" s="25" t="n">
        <f aca="false">IF(A21&lt;=3,SUMIFS(Data_Q1!$D$5:$D$76,Data_Q1!$A$5:$A$76,A21,Data_Q1!$B$5:$B$76,C21,Data_Q1!$C$5:$C$76,D21),F21*INDEX(Reforecast!$D$6:$D$9,MATCH(D21,Reforecast!$A$6:$A$9,0)))</f>
        <v>2438.12465539567</v>
      </c>
      <c r="Q21" s="9" t="n">
        <f aca="false">IF(A21&lt;=3,SUMIFS(Data_Q1!$E$5:$E$76,Data_Q1!$A$5:$A$76,A21,Data_Q1!$B$5:$B$76,C21,Data_Q1!$C$5:$C$76,D21),P21*G21*(1+H21)*(1+I21))</f>
        <v>432700.307025761</v>
      </c>
      <c r="R21" s="9" t="n">
        <f aca="false">IF(A21&lt;=3,SUMIFS(Data_Q1!$F$5:$F$76,Data_Q1!$A$5:$A$76,A21,Data_Q1!$B$5:$B$76,C21,Data_Q1!$C$5:$C$76,D21),P21*L21*INDEX(Reforecast!$D$12:$D$17,MATCH(C21,Reforecast!$A$12:$A$17,0)))</f>
        <v>398349.407131238</v>
      </c>
      <c r="S21" s="9" t="n">
        <f aca="false">IF(A21&lt;=3,SUMIFS(Data_Q1!$G$5:$G$76,Data_Q1!$A$5:$A$76,A21,Data_Q1!$B$5:$B$76,C21,Data_Q1!$C$5:$C$76,D21),P21*N21)</f>
        <v>6621.71166912931</v>
      </c>
    </row>
    <row r="22" customFormat="false" ht="15" hidden="false" customHeight="false" outlineLevel="0" collapsed="false">
      <c r="A22" s="0" t="n">
        <f aca="false">MOD(ROW()-5,12)+1</f>
        <v>6</v>
      </c>
      <c r="B22" s="0" t="n">
        <f aca="false">INT((ROW()-5)/12)+1</f>
        <v>2</v>
      </c>
      <c r="C22" s="0" t="str">
        <f aca="false">INDEX(Data_Base!$A$5:$A$28,B22)</f>
        <v>Beef</v>
      </c>
      <c r="D22" s="0" t="str">
        <f aca="false">INDEX(Data_Base!$B$5:$B$28,B22)</f>
        <v>Grocery Retail</v>
      </c>
      <c r="E22" s="26" t="n">
        <f aca="false">INDEX(Data_Base!$B$32:$M$37,MATCH(C22,Data_Base!$A$32:$A$37,0),A22)</f>
        <v>0.098481</v>
      </c>
      <c r="F22" s="25" t="n">
        <f aca="false">INDEX(Data_Base!$C$5:$C$28,B22)*(1+INDEX(Assumptions!$B$19:$B$22,MATCH(D22,Assumptions!$A$19:$A$22,0)))*E22</f>
        <v>2497.57959543</v>
      </c>
      <c r="G22" s="24" t="n">
        <f aca="false">INDEX(Data_Base!$D$5:$D$28,B22)/INDEX(Data_Base!$C$5:$C$28,B22)</f>
        <v>170.646724975287</v>
      </c>
      <c r="H22" s="27" t="n">
        <f aca="false">IF(A22&gt;=Assumptions!$C$37,INDEX(Assumptions!$B$10:$B$15,MATCH(C22,Assumptions!$A$10:$A$15,0)),0)</f>
        <v>0.04</v>
      </c>
      <c r="I22" s="27" t="n">
        <f aca="false">IF(AND(A22&gt;=Assumptions!$C$37,INDEX(Assumptions!$C$19:$C$22,MATCH(D22,Assumptions!$A$19:$A$22,0))=1),INDEX(Assumptions!$D$10:$D$15,MATCH(C22,Assumptions!$A$10:$A$15,0)),0)</f>
        <v>0</v>
      </c>
      <c r="J22" s="9" t="n">
        <f aca="false">F22*G22*(1+H22)</f>
        <v>443251.929458241</v>
      </c>
      <c r="K22" s="9" t="n">
        <f aca="false">J22*(1+I22)</f>
        <v>443251.929458241</v>
      </c>
      <c r="L22" s="24" t="n">
        <f aca="false">INDEX(Data_Base!$E$5:$E$28,B22)/INDEX(Data_Base!$C$5:$C$28,B22)*(1+INDEX(Assumptions!$C$10:$C$15,MATCH(C22,Assumptions!$A$10:$A$15,0)))</f>
        <v>159.006241457859</v>
      </c>
      <c r="M22" s="9" t="n">
        <f aca="false">F22*L22</f>
        <v>397130.744211164</v>
      </c>
      <c r="N22" s="24" t="n">
        <f aca="false">INDEX(Data_Base!$F$5:$F$28,B22)/INDEX(Data_Base!$C$5:$C$28,B22)*(1+Assumptions!$C$38)</f>
        <v>2.71590365754072</v>
      </c>
      <c r="O22" s="9" t="n">
        <f aca="false">F22*N22</f>
        <v>6783.18555822742</v>
      </c>
      <c r="P22" s="25" t="n">
        <f aca="false">IF(A22&lt;=3,SUMIFS(Data_Q1!$D$5:$D$76,Data_Q1!$A$5:$A$76,A22,Data_Q1!$B$5:$B$76,C22,Data_Q1!$C$5:$C$76,D22),F22*INDEX(Reforecast!$D$6:$D$9,MATCH(D22,Reforecast!$A$6:$A$9,0)))</f>
        <v>2647.17051274498</v>
      </c>
      <c r="Q22" s="9" t="n">
        <f aca="false">IF(A22&lt;=3,SUMIFS(Data_Q1!$E$5:$E$76,Data_Q1!$A$5:$A$76,A22,Data_Q1!$B$5:$B$76,C22,Data_Q1!$C$5:$C$76,D22),P22*G22*(1+H22)*(1+I22))</f>
        <v>469800.217589125</v>
      </c>
      <c r="R22" s="9" t="n">
        <f aca="false">IF(A22&lt;=3,SUMIFS(Data_Q1!$F$5:$F$76,Data_Q1!$A$5:$A$76,A22,Data_Q1!$B$5:$B$76,C22,Data_Q1!$C$5:$C$76,D22),P22*L22*INDEX(Reforecast!$D$12:$D$17,MATCH(C22,Reforecast!$A$12:$A$17,0)))</f>
        <v>432504.05675264</v>
      </c>
      <c r="S22" s="9" t="n">
        <f aca="false">IF(A22&lt;=3,SUMIFS(Data_Q1!$G$5:$G$76,Data_Q1!$A$5:$A$76,A22,Data_Q1!$B$5:$B$76,C22,Data_Q1!$C$5:$C$76,D22),P22*N22)</f>
        <v>7189.46007769804</v>
      </c>
    </row>
    <row r="23" customFormat="false" ht="15" hidden="false" customHeight="false" outlineLevel="0" collapsed="false">
      <c r="A23" s="0" t="n">
        <f aca="false">MOD(ROW()-5,12)+1</f>
        <v>7</v>
      </c>
      <c r="B23" s="0" t="n">
        <f aca="false">INT((ROW()-5)/12)+1</f>
        <v>2</v>
      </c>
      <c r="C23" s="0" t="str">
        <f aca="false">INDEX(Data_Base!$A$5:$A$28,B23)</f>
        <v>Beef</v>
      </c>
      <c r="D23" s="0" t="str">
        <f aca="false">INDEX(Data_Base!$B$5:$B$28,B23)</f>
        <v>Grocery Retail</v>
      </c>
      <c r="E23" s="26" t="n">
        <f aca="false">INDEX(Data_Base!$B$32:$M$37,MATCH(C23,Data_Base!$A$32:$A$37,0),A23)</f>
        <v>0.098998</v>
      </c>
      <c r="F23" s="25" t="n">
        <f aca="false">INDEX(Data_Base!$C$5:$C$28,B23)*(1+INDEX(Assumptions!$B$19:$B$22,MATCH(D23,Assumptions!$A$19:$A$22,0)))*E23</f>
        <v>2510.69124794</v>
      </c>
      <c r="G23" s="24" t="n">
        <f aca="false">INDEX(Data_Base!$D$5:$D$28,B23)/INDEX(Data_Base!$C$5:$C$28,B23)</f>
        <v>170.646724975287</v>
      </c>
      <c r="H23" s="27" t="n">
        <f aca="false">IF(A23&gt;=Assumptions!$C$37,INDEX(Assumptions!$B$10:$B$15,MATCH(C23,Assumptions!$A$10:$A$15,0)),0)</f>
        <v>0.04</v>
      </c>
      <c r="I23" s="27" t="n">
        <f aca="false">IF(AND(A23&gt;=Assumptions!$C$37,INDEX(Assumptions!$C$19:$C$22,MATCH(D23,Assumptions!$A$19:$A$22,0))=1),INDEX(Assumptions!$D$10:$D$15,MATCH(C23,Assumptions!$A$10:$A$15,0)),0)</f>
        <v>0</v>
      </c>
      <c r="J23" s="9" t="n">
        <f aca="false">F23*G23*(1+H23)</f>
        <v>445578.88844048</v>
      </c>
      <c r="K23" s="9" t="n">
        <f aca="false">J23*(1+I23)</f>
        <v>445578.88844048</v>
      </c>
      <c r="L23" s="24" t="n">
        <f aca="false">INDEX(Data_Base!$E$5:$E$28,B23)/INDEX(Data_Base!$C$5:$C$28,B23)*(1+INDEX(Assumptions!$C$10:$C$15,MATCH(C23,Assumptions!$A$10:$A$15,0)))</f>
        <v>159.006241457859</v>
      </c>
      <c r="M23" s="9" t="n">
        <f aca="false">F23*L23</f>
        <v>399215.578796081</v>
      </c>
      <c r="N23" s="24" t="n">
        <f aca="false">INDEX(Data_Base!$F$5:$F$28,B23)/INDEX(Data_Base!$C$5:$C$28,B23)*(1+Assumptions!$C$38)</f>
        <v>2.71590365754072</v>
      </c>
      <c r="O23" s="9" t="n">
        <f aca="false">F23*N23</f>
        <v>6818.79554323573</v>
      </c>
      <c r="P23" s="25" t="n">
        <f aca="false">IF(A23&lt;=3,SUMIFS(Data_Q1!$D$5:$D$76,Data_Q1!$A$5:$A$76,A23,Data_Q1!$B$5:$B$76,C23,Data_Q1!$C$5:$C$76,D23),F23*INDEX(Reforecast!$D$6:$D$9,MATCH(D23,Reforecast!$A$6:$A$9,0)))</f>
        <v>2661.06747921657</v>
      </c>
      <c r="Q23" s="9" t="n">
        <f aca="false">IF(A23&lt;=3,SUMIFS(Data_Q1!$E$5:$E$76,Data_Q1!$A$5:$A$76,A23,Data_Q1!$B$5:$B$76,C23,Data_Q1!$C$5:$C$76,D23),P23*G23*(1+H23)*(1+I23))</f>
        <v>472266.548277213</v>
      </c>
      <c r="R23" s="9" t="n">
        <f aca="false">IF(A23&lt;=3,SUMIFS(Data_Q1!$F$5:$F$76,Data_Q1!$A$5:$A$76,A23,Data_Q1!$B$5:$B$76,C23,Data_Q1!$C$5:$C$76,D23),P23*L23*INDEX(Reforecast!$D$12:$D$17,MATCH(C23,Reforecast!$A$12:$A$17,0)))</f>
        <v>434774.592158871</v>
      </c>
      <c r="S23" s="9" t="n">
        <f aca="false">IF(A23&lt;=3,SUMIFS(Data_Q1!$G$5:$G$76,Data_Q1!$A$5:$A$76,A23,Data_Q1!$B$5:$B$76,C23,Data_Q1!$C$5:$C$76,D23),P23*N23)</f>
        <v>7227.20289976697</v>
      </c>
    </row>
    <row r="24" customFormat="false" ht="15" hidden="false" customHeight="false" outlineLevel="0" collapsed="false">
      <c r="A24" s="0" t="n">
        <f aca="false">MOD(ROW()-5,12)+1</f>
        <v>8</v>
      </c>
      <c r="B24" s="0" t="n">
        <f aca="false">INT((ROW()-5)/12)+1</f>
        <v>2</v>
      </c>
      <c r="C24" s="0" t="str">
        <f aca="false">INDEX(Data_Base!$A$5:$A$28,B24)</f>
        <v>Beef</v>
      </c>
      <c r="D24" s="0" t="str">
        <f aca="false">INDEX(Data_Base!$B$5:$B$28,B24)</f>
        <v>Grocery Retail</v>
      </c>
      <c r="E24" s="26" t="n">
        <f aca="false">INDEX(Data_Base!$B$32:$M$37,MATCH(C24,Data_Base!$A$32:$A$37,0),A24)</f>
        <v>0.095376</v>
      </c>
      <c r="F24" s="25" t="n">
        <f aca="false">INDEX(Data_Base!$C$5:$C$28,B24)*(1+INDEX(Assumptions!$B$19:$B$22,MATCH(D24,Assumptions!$A$19:$A$22,0)))*E24</f>
        <v>2418.83359728</v>
      </c>
      <c r="G24" s="24" t="n">
        <f aca="false">INDEX(Data_Base!$D$5:$D$28,B24)/INDEX(Data_Base!$C$5:$C$28,B24)</f>
        <v>170.646724975287</v>
      </c>
      <c r="H24" s="27" t="n">
        <f aca="false">IF(A24&gt;=Assumptions!$C$37,INDEX(Assumptions!$B$10:$B$15,MATCH(C24,Assumptions!$A$10:$A$15,0)),0)</f>
        <v>0.04</v>
      </c>
      <c r="I24" s="27" t="n">
        <f aca="false">IF(AND(A24&gt;=Assumptions!$C$37,INDEX(Assumptions!$C$19:$C$22,MATCH(D24,Assumptions!$A$19:$A$22,0))=1),INDEX(Assumptions!$D$10:$D$15,MATCH(C24,Assumptions!$A$10:$A$15,0)),0)</f>
        <v>0</v>
      </c>
      <c r="J24" s="9" t="n">
        <f aca="false">F24*G24*(1+H24)</f>
        <v>429276.672901465</v>
      </c>
      <c r="K24" s="9" t="n">
        <f aca="false">J24*(1+I24)</f>
        <v>429276.672901465</v>
      </c>
      <c r="L24" s="24" t="n">
        <f aca="false">INDEX(Data_Base!$E$5:$E$28,B24)/INDEX(Data_Base!$C$5:$C$28,B24)*(1+INDEX(Assumptions!$C$10:$C$15,MATCH(C24,Assumptions!$A$10:$A$15,0)))</f>
        <v>159.006241457859</v>
      </c>
      <c r="M24" s="9" t="n">
        <f aca="false">F24*L24</f>
        <v>384609.639015485</v>
      </c>
      <c r="N24" s="24" t="n">
        <f aca="false">INDEX(Data_Base!$F$5:$F$28,B24)/INDEX(Data_Base!$C$5:$C$28,B24)*(1+Assumptions!$C$38)</f>
        <v>2.71590365754072</v>
      </c>
      <c r="O24" s="9" t="n">
        <f aca="false">F24*N24</f>
        <v>6569.31901383514</v>
      </c>
      <c r="P24" s="25" t="n">
        <f aca="false">IF(A24&lt;=3,SUMIFS(Data_Q1!$D$5:$D$76,Data_Q1!$A$5:$A$76,A24,Data_Q1!$B$5:$B$76,C24,Data_Q1!$C$5:$C$76,D24),F24*INDEX(Reforecast!$D$6:$D$9,MATCH(D24,Reforecast!$A$6:$A$9,0)))</f>
        <v>2563.70807387786</v>
      </c>
      <c r="Q24" s="9" t="n">
        <f aca="false">IF(A24&lt;=3,SUMIFS(Data_Q1!$E$5:$E$76,Data_Q1!$A$5:$A$76,A24,Data_Q1!$B$5:$B$76,C24,Data_Q1!$C$5:$C$76,D24),P24*G24*(1+H24)*(1+I24))</f>
        <v>454987.922063955</v>
      </c>
      <c r="R24" s="9" t="n">
        <f aca="false">IF(A24&lt;=3,SUMIFS(Data_Q1!$F$5:$F$76,Data_Q1!$A$5:$A$76,A24,Data_Q1!$B$5:$B$76,C24,Data_Q1!$C$5:$C$76,D24),P24*L24*INDEX(Reforecast!$D$12:$D$17,MATCH(C24,Reforecast!$A$12:$A$17,0)))</f>
        <v>418867.669061441</v>
      </c>
      <c r="S24" s="9" t="n">
        <f aca="false">IF(A24&lt;=3,SUMIFS(Data_Q1!$G$5:$G$76,Data_Q1!$A$5:$A$76,A24,Data_Q1!$B$5:$B$76,C24,Data_Q1!$C$5:$C$76,D24),P24*N24)</f>
        <v>6962.78413471155</v>
      </c>
    </row>
    <row r="25" customFormat="false" ht="15" hidden="false" customHeight="false" outlineLevel="0" collapsed="false">
      <c r="A25" s="0" t="n">
        <f aca="false">MOD(ROW()-5,12)+1</f>
        <v>9</v>
      </c>
      <c r="B25" s="0" t="n">
        <f aca="false">INT((ROW()-5)/12)+1</f>
        <v>2</v>
      </c>
      <c r="C25" s="0" t="str">
        <f aca="false">INDEX(Data_Base!$A$5:$A$28,B25)</f>
        <v>Beef</v>
      </c>
      <c r="D25" s="0" t="str">
        <f aca="false">INDEX(Data_Base!$B$5:$B$28,B25)</f>
        <v>Grocery Retail</v>
      </c>
      <c r="E25" s="26" t="n">
        <f aca="false">INDEX(Data_Base!$B$32:$M$37,MATCH(C25,Data_Base!$A$32:$A$37,0),A25)</f>
        <v>0.08195</v>
      </c>
      <c r="F25" s="25" t="n">
        <f aca="false">INDEX(Data_Base!$C$5:$C$28,B25)*(1+INDEX(Assumptions!$B$19:$B$22,MATCH(D25,Assumptions!$A$19:$A$22,0)))*E25</f>
        <v>2078.3364085</v>
      </c>
      <c r="G25" s="24" t="n">
        <f aca="false">INDEX(Data_Base!$D$5:$D$28,B25)/INDEX(Data_Base!$C$5:$C$28,B25)</f>
        <v>170.646724975287</v>
      </c>
      <c r="H25" s="27" t="n">
        <f aca="false">IF(A25&gt;=Assumptions!$C$37,INDEX(Assumptions!$B$10:$B$15,MATCH(C25,Assumptions!$A$10:$A$15,0)),0)</f>
        <v>0.04</v>
      </c>
      <c r="I25" s="27" t="n">
        <f aca="false">IF(AND(A25&gt;=Assumptions!$C$37,INDEX(Assumptions!$C$19:$C$22,MATCH(D25,Assumptions!$A$19:$A$22,0))=1),INDEX(Assumptions!$D$10:$D$15,MATCH(C25,Assumptions!$A$10:$A$15,0)),0)</f>
        <v>0</v>
      </c>
      <c r="J25" s="9" t="n">
        <f aca="false">F25*G25*(1+H25)</f>
        <v>368847.753567722</v>
      </c>
      <c r="K25" s="9" t="n">
        <f aca="false">J25*(1+I25)</f>
        <v>368847.753567722</v>
      </c>
      <c r="L25" s="24" t="n">
        <f aca="false">INDEX(Data_Base!$E$5:$E$28,B25)/INDEX(Data_Base!$C$5:$C$28,B25)*(1+INDEX(Assumptions!$C$10:$C$15,MATCH(C25,Assumptions!$A$10:$A$15,0)))</f>
        <v>159.006241457859</v>
      </c>
      <c r="M25" s="9" t="n">
        <f aca="false">F25*L25</f>
        <v>330468.46080061</v>
      </c>
      <c r="N25" s="24" t="n">
        <f aca="false">INDEX(Data_Base!$F$5:$F$28,B25)/INDEX(Data_Base!$C$5:$C$28,B25)*(1+Assumptions!$C$38)</f>
        <v>2.71590365754072</v>
      </c>
      <c r="O25" s="9" t="n">
        <f aca="false">F25*N25</f>
        <v>5644.5614534452</v>
      </c>
      <c r="P25" s="25" t="n">
        <f aca="false">IF(A25&lt;=3,SUMIFS(Data_Q1!$D$5:$D$76,Data_Q1!$A$5:$A$76,A25,Data_Q1!$B$5:$B$76,C25,Data_Q1!$C$5:$C$76,D25),F25*INDEX(Reforecast!$D$6:$D$9,MATCH(D25,Reforecast!$A$6:$A$9,0)))</f>
        <v>2202.81702581667</v>
      </c>
      <c r="Q25" s="9" t="n">
        <f aca="false">IF(A25&lt;=3,SUMIFS(Data_Q1!$E$5:$E$76,Data_Q1!$A$5:$A$76,A25,Data_Q1!$B$5:$B$76,C25,Data_Q1!$C$5:$C$76,D25),P25*G25*(1+H25)*(1+I25))</f>
        <v>390939.651622433</v>
      </c>
      <c r="R25" s="9" t="n">
        <f aca="false">IF(A25&lt;=3,SUMIFS(Data_Q1!$F$5:$F$76,Data_Q1!$A$5:$A$76,A25,Data_Q1!$B$5:$B$76,C25,Data_Q1!$C$5:$C$76,D25),P25*L25*INDEX(Reforecast!$D$12:$D$17,MATCH(C25,Reforecast!$A$12:$A$17,0)))</f>
        <v>359904.016519723</v>
      </c>
      <c r="S25" s="9" t="n">
        <f aca="false">IF(A25&lt;=3,SUMIFS(Data_Q1!$G$5:$G$76,Data_Q1!$A$5:$A$76,A25,Data_Q1!$B$5:$B$76,C25,Data_Q1!$C$5:$C$76,D25),P25*N25)</f>
        <v>5982.63881730846</v>
      </c>
    </row>
    <row r="26" customFormat="false" ht="15" hidden="false" customHeight="false" outlineLevel="0" collapsed="false">
      <c r="A26" s="0" t="n">
        <f aca="false">MOD(ROW()-5,12)+1</f>
        <v>10</v>
      </c>
      <c r="B26" s="0" t="n">
        <f aca="false">INT((ROW()-5)/12)+1</f>
        <v>2</v>
      </c>
      <c r="C26" s="0" t="str">
        <f aca="false">INDEX(Data_Base!$A$5:$A$28,B26)</f>
        <v>Beef</v>
      </c>
      <c r="D26" s="0" t="str">
        <f aca="false">INDEX(Data_Base!$B$5:$B$28,B26)</f>
        <v>Grocery Retail</v>
      </c>
      <c r="E26" s="26" t="n">
        <f aca="false">INDEX(Data_Base!$B$32:$M$37,MATCH(C26,Data_Base!$A$32:$A$37,0),A26)</f>
        <v>0.079492</v>
      </c>
      <c r="F26" s="25" t="n">
        <f aca="false">INDEX(Data_Base!$C$5:$C$28,B26)*(1+INDEX(Assumptions!$B$19:$B$22,MATCH(D26,Assumptions!$A$19:$A$22,0)))*E26</f>
        <v>2015.99899676</v>
      </c>
      <c r="G26" s="24" t="n">
        <f aca="false">INDEX(Data_Base!$D$5:$D$28,B26)/INDEX(Data_Base!$C$5:$C$28,B26)</f>
        <v>170.646724975287</v>
      </c>
      <c r="H26" s="27" t="n">
        <f aca="false">IF(A26&gt;=Assumptions!$C$37,INDEX(Assumptions!$B$10:$B$15,MATCH(C26,Assumptions!$A$10:$A$15,0)),0)</f>
        <v>0.04</v>
      </c>
      <c r="I26" s="27" t="n">
        <f aca="false">IF(AND(A26&gt;=Assumptions!$C$37,INDEX(Assumptions!$C$19:$C$22,MATCH(D26,Assumptions!$A$19:$A$22,0))=1),INDEX(Assumptions!$D$10:$D$15,MATCH(C26,Assumptions!$A$10:$A$15,0)),0)</f>
        <v>0</v>
      </c>
      <c r="J26" s="9" t="n">
        <f aca="false">F26*G26*(1+H26)</f>
        <v>357784.57140458</v>
      </c>
      <c r="K26" s="9" t="n">
        <f aca="false">J26*(1+I26)</f>
        <v>357784.57140458</v>
      </c>
      <c r="L26" s="24" t="n">
        <f aca="false">INDEX(Data_Base!$E$5:$E$28,B26)/INDEX(Data_Base!$C$5:$C$28,B26)*(1+INDEX(Assumptions!$C$10:$C$15,MATCH(C26,Assumptions!$A$10:$A$15,0)))</f>
        <v>159.006241457859</v>
      </c>
      <c r="M26" s="9" t="n">
        <f aca="false">F26*L26</f>
        <v>320556.423257622</v>
      </c>
      <c r="N26" s="24" t="n">
        <f aca="false">INDEX(Data_Base!$F$5:$F$28,B26)/INDEX(Data_Base!$C$5:$C$28,B26)*(1+Assumptions!$C$38)</f>
        <v>2.71590365754072</v>
      </c>
      <c r="O26" s="9" t="n">
        <f aca="false">F26*N26</f>
        <v>5475.25904889891</v>
      </c>
      <c r="P26" s="25" t="n">
        <f aca="false">IF(A26&lt;=3,SUMIFS(Data_Q1!$D$5:$D$76,Data_Q1!$A$5:$A$76,A26,Data_Q1!$B$5:$B$76,C26,Data_Q1!$C$5:$C$76,D26),F26*INDEX(Reforecast!$D$6:$D$9,MATCH(D26,Reforecast!$A$6:$A$9,0)))</f>
        <v>2136.74595504842</v>
      </c>
      <c r="Q26" s="9" t="n">
        <f aca="false">IF(A26&lt;=3,SUMIFS(Data_Q1!$E$5:$E$76,Data_Q1!$A$5:$A$76,A26,Data_Q1!$B$5:$B$76,C26,Data_Q1!$C$5:$C$76,D26),P26*G26*(1+H26)*(1+I26))</f>
        <v>379213.847306533</v>
      </c>
      <c r="R26" s="9" t="n">
        <f aca="false">IF(A26&lt;=3,SUMIFS(Data_Q1!$F$5:$F$76,Data_Q1!$A$5:$A$76,A26,Data_Q1!$B$5:$B$76,C26,Data_Q1!$C$5:$C$76,D26),P26*L26*INDEX(Reforecast!$D$12:$D$17,MATCH(C26,Reforecast!$A$12:$A$17,0)))</f>
        <v>349109.091899766</v>
      </c>
      <c r="S26" s="9" t="n">
        <f aca="false">IF(A26&lt;=3,SUMIFS(Data_Q1!$G$5:$G$76,Data_Q1!$A$5:$A$76,A26,Data_Q1!$B$5:$B$76,C26,Data_Q1!$C$5:$C$76,D26),P26*N26)</f>
        <v>5803.19615455136</v>
      </c>
    </row>
    <row r="27" customFormat="false" ht="15" hidden="false" customHeight="false" outlineLevel="0" collapsed="false">
      <c r="A27" s="0" t="n">
        <f aca="false">MOD(ROW()-5,12)+1</f>
        <v>11</v>
      </c>
      <c r="B27" s="0" t="n">
        <f aca="false">INT((ROW()-5)/12)+1</f>
        <v>2</v>
      </c>
      <c r="C27" s="0" t="str">
        <f aca="false">INDEX(Data_Base!$A$5:$A$28,B27)</f>
        <v>Beef</v>
      </c>
      <c r="D27" s="0" t="str">
        <f aca="false">INDEX(Data_Base!$B$5:$B$28,B27)</f>
        <v>Grocery Retail</v>
      </c>
      <c r="E27" s="26" t="n">
        <f aca="false">INDEX(Data_Base!$B$32:$M$37,MATCH(C27,Data_Base!$A$32:$A$37,0),A27)</f>
        <v>0.075165</v>
      </c>
      <c r="F27" s="25" t="n">
        <f aca="false">INDEX(Data_Base!$C$5:$C$28,B27)*(1+INDEX(Assumptions!$B$19:$B$22,MATCH(D27,Assumptions!$A$19:$A$22,0)))*E27</f>
        <v>1906.26181995</v>
      </c>
      <c r="G27" s="24" t="n">
        <f aca="false">INDEX(Data_Base!$D$5:$D$28,B27)/INDEX(Data_Base!$C$5:$C$28,B27)</f>
        <v>170.646724975287</v>
      </c>
      <c r="H27" s="27" t="n">
        <f aca="false">IF(A27&gt;=Assumptions!$C$37,INDEX(Assumptions!$B$10:$B$15,MATCH(C27,Assumptions!$A$10:$A$15,0)),0)</f>
        <v>0.04</v>
      </c>
      <c r="I27" s="27" t="n">
        <f aca="false">IF(AND(A27&gt;=Assumptions!$C$37,INDEX(Assumptions!$C$19:$C$22,MATCH(D27,Assumptions!$A$19:$A$22,0))=1),INDEX(Assumptions!$D$10:$D$15,MATCH(C27,Assumptions!$A$10:$A$15,0)),0)</f>
        <v>0</v>
      </c>
      <c r="J27" s="9" t="n">
        <f aca="false">F27*G27*(1+H27)</f>
        <v>338309.229980693</v>
      </c>
      <c r="K27" s="9" t="n">
        <f aca="false">J27*(1+I27)</f>
        <v>338309.229980693</v>
      </c>
      <c r="L27" s="24" t="n">
        <f aca="false">INDEX(Data_Base!$E$5:$E$28,B27)/INDEX(Data_Base!$C$5:$C$28,B27)*(1+INDEX(Assumptions!$C$10:$C$15,MATCH(C27,Assumptions!$A$10:$A$15,0)))</f>
        <v>159.006241457859</v>
      </c>
      <c r="M27" s="9" t="n">
        <f aca="false">F27*L27</f>
        <v>303107.527224867</v>
      </c>
      <c r="N27" s="24" t="n">
        <f aca="false">INDEX(Data_Base!$F$5:$F$28,B27)/INDEX(Data_Base!$C$5:$C$28,B27)*(1+Assumptions!$C$38)</f>
        <v>2.71590365754072</v>
      </c>
      <c r="O27" s="9" t="n">
        <f aca="false">F27*N27</f>
        <v>5177.22344903244</v>
      </c>
      <c r="P27" s="25" t="n">
        <f aca="false">IF(A27&lt;=3,SUMIFS(Data_Q1!$D$5:$D$76,Data_Q1!$A$5:$A$76,A27,Data_Q1!$B$5:$B$76,C27,Data_Q1!$C$5:$C$76,D27),F27*INDEX(Reforecast!$D$6:$D$9,MATCH(D27,Reforecast!$A$6:$A$9,0)))</f>
        <v>2020.4361408848</v>
      </c>
      <c r="Q27" s="9" t="n">
        <f aca="false">IF(A27&lt;=3,SUMIFS(Data_Q1!$E$5:$E$76,Data_Q1!$A$5:$A$76,A27,Data_Q1!$B$5:$B$76,C27,Data_Q1!$C$5:$C$76,D27),P27*G27*(1+H27)*(1+I27))</f>
        <v>358572.042882247</v>
      </c>
      <c r="R27" s="9" t="n">
        <f aca="false">IF(A27&lt;=3,SUMIFS(Data_Q1!$F$5:$F$76,Data_Q1!$A$5:$A$76,A27,Data_Q1!$B$5:$B$76,C27,Data_Q1!$C$5:$C$76,D27),P27*L27*INDEX(Reforecast!$D$12:$D$17,MATCH(C27,Reforecast!$A$12:$A$17,0)))</f>
        <v>330105.984157474</v>
      </c>
      <c r="S27" s="9" t="n">
        <f aca="false">IF(A27&lt;=3,SUMIFS(Data_Q1!$G$5:$G$76,Data_Q1!$A$5:$A$76,A27,Data_Q1!$B$5:$B$76,C27,Data_Q1!$C$5:$C$76,D27),P27*N27)</f>
        <v>5487.3099048565</v>
      </c>
    </row>
    <row r="28" customFormat="false" ht="15" hidden="false" customHeight="false" outlineLevel="0" collapsed="false">
      <c r="A28" s="0" t="n">
        <f aca="false">MOD(ROW()-5,12)+1</f>
        <v>12</v>
      </c>
      <c r="B28" s="0" t="n">
        <f aca="false">INT((ROW()-5)/12)+1</f>
        <v>2</v>
      </c>
      <c r="C28" s="0" t="str">
        <f aca="false">INDEX(Data_Base!$A$5:$A$28,B28)</f>
        <v>Beef</v>
      </c>
      <c r="D28" s="0" t="str">
        <f aca="false">INDEX(Data_Base!$B$5:$B$28,B28)</f>
        <v>Grocery Retail</v>
      </c>
      <c r="E28" s="26" t="n">
        <f aca="false">INDEX(Data_Base!$B$32:$M$37,MATCH(C28,Data_Base!$A$32:$A$37,0),A28)</f>
        <v>0.078196</v>
      </c>
      <c r="F28" s="25" t="n">
        <f aca="false">INDEX(Data_Base!$C$5:$C$28,B28)*(1+INDEX(Assumptions!$B$19:$B$22,MATCH(D28,Assumptions!$A$19:$A$22,0)))*E28</f>
        <v>1983.13110188</v>
      </c>
      <c r="G28" s="24" t="n">
        <f aca="false">INDEX(Data_Base!$D$5:$D$28,B28)/INDEX(Data_Base!$C$5:$C$28,B28)</f>
        <v>170.646724975287</v>
      </c>
      <c r="H28" s="27" t="n">
        <f aca="false">IF(A28&gt;=Assumptions!$C$37,INDEX(Assumptions!$B$10:$B$15,MATCH(C28,Assumptions!$A$10:$A$15,0)),0)</f>
        <v>0.04</v>
      </c>
      <c r="I28" s="27" t="n">
        <f aca="false">IF(AND(A28&gt;=Assumptions!$C$37,INDEX(Assumptions!$C$19:$C$22,MATCH(D28,Assumptions!$A$19:$A$22,0))=1),INDEX(Assumptions!$D$10:$D$15,MATCH(C28,Assumptions!$A$10:$A$15,0)),0)</f>
        <v>0</v>
      </c>
      <c r="J28" s="9" t="n">
        <f aca="false">F28*G28*(1+H28)</f>
        <v>351951.420841752</v>
      </c>
      <c r="K28" s="9" t="n">
        <f aca="false">J28*(1+I28)</f>
        <v>351951.420841752</v>
      </c>
      <c r="L28" s="24" t="n">
        <f aca="false">INDEX(Data_Base!$E$5:$E$28,B28)/INDEX(Data_Base!$C$5:$C$28,B28)*(1+INDEX(Assumptions!$C$10:$C$15,MATCH(C28,Assumptions!$A$10:$A$15,0)))</f>
        <v>159.006241457859</v>
      </c>
      <c r="M28" s="9" t="n">
        <f aca="false">F28*L28</f>
        <v>315330.222828121</v>
      </c>
      <c r="N28" s="24" t="n">
        <f aca="false">INDEX(Data_Base!$F$5:$F$28,B28)/INDEX(Data_Base!$C$5:$C$28,B28)*(1+Assumptions!$C$38)</f>
        <v>2.71590365754072</v>
      </c>
      <c r="O28" s="9" t="n">
        <f aca="false">F28*N28</f>
        <v>5385.99301297866</v>
      </c>
      <c r="P28" s="25" t="n">
        <f aca="false">IF(A28&lt;=3,SUMIFS(Data_Q1!$D$5:$D$76,Data_Q1!$A$5:$A$76,A28,Data_Q1!$B$5:$B$76,C28,Data_Q1!$C$5:$C$76,D28),F28*INDEX(Reforecast!$D$6:$D$9,MATCH(D28,Reforecast!$A$6:$A$9,0)))</f>
        <v>2101.90945882563</v>
      </c>
      <c r="Q28" s="9" t="n">
        <f aca="false">IF(A28&lt;=3,SUMIFS(Data_Q1!$E$5:$E$76,Data_Q1!$A$5:$A$76,A28,Data_Q1!$B$5:$B$76,C28,Data_Q1!$C$5:$C$76,D28),P28*G28*(1+H28)*(1+I28))</f>
        <v>373031.323956897</v>
      </c>
      <c r="R28" s="9" t="n">
        <f aca="false">IF(A28&lt;=3,SUMIFS(Data_Q1!$F$5:$F$76,Data_Q1!$A$5:$A$76,A28,Data_Q1!$B$5:$B$76,C28,Data_Q1!$C$5:$C$76,D28),P28*L28*INDEX(Reforecast!$D$12:$D$17,MATCH(C28,Reforecast!$A$12:$A$17,0)))</f>
        <v>343417.382254744</v>
      </c>
      <c r="S28" s="9" t="n">
        <f aca="false">IF(A28&lt;=3,SUMIFS(Data_Q1!$G$5:$G$76,Data_Q1!$A$5:$A$76,A28,Data_Q1!$B$5:$B$76,C28,Data_Q1!$C$5:$C$76,D28),P28*N28)</f>
        <v>5708.58358704396</v>
      </c>
    </row>
    <row r="29" customFormat="false" ht="15" hidden="false" customHeight="false" outlineLevel="0" collapsed="false">
      <c r="A29" s="0" t="n">
        <f aca="false">MOD(ROW()-5,12)+1</f>
        <v>1</v>
      </c>
      <c r="B29" s="0" t="n">
        <f aca="false">INT((ROW()-5)/12)+1</f>
        <v>3</v>
      </c>
      <c r="C29" s="0" t="str">
        <f aca="false">INDEX(Data_Base!$A$5:$A$28,B29)</f>
        <v>Beef</v>
      </c>
      <c r="D29" s="0" t="str">
        <f aca="false">INDEX(Data_Base!$B$5:$B$28,B29)</f>
        <v>Hotels &amp; Institutions</v>
      </c>
      <c r="E29" s="26" t="n">
        <f aca="false">INDEX(Data_Base!$B$32:$M$37,MATCH(C29,Data_Base!$A$32:$A$37,0),A29)</f>
        <v>0.071097</v>
      </c>
      <c r="F29" s="25" t="n">
        <f aca="false">INDEX(Data_Base!$C$5:$C$28,B29)*(1+INDEX(Assumptions!$B$19:$B$22,MATCH(D29,Assumptions!$A$19:$A$22,0)))*E29</f>
        <v>892.21402725</v>
      </c>
      <c r="G29" s="24" t="n">
        <f aca="false">INDEX(Data_Base!$D$5:$D$28,B29)/INDEX(Data_Base!$C$5:$C$28,B29)</f>
        <v>186.377575855131</v>
      </c>
      <c r="H29" s="27" t="n">
        <f aca="false">IF(A29&gt;=Assumptions!$C$37,INDEX(Assumptions!$B$10:$B$15,MATCH(C29,Assumptions!$A$10:$A$15,0)),0)</f>
        <v>0</v>
      </c>
      <c r="I29" s="27" t="n">
        <f aca="false">IF(AND(A29&gt;=Assumptions!$C$37,INDEX(Assumptions!$C$19:$C$22,MATCH(D29,Assumptions!$A$19:$A$22,0))=1),INDEX(Assumptions!$D$10:$D$15,MATCH(C29,Assumptions!$A$10:$A$15,0)),0)</f>
        <v>0</v>
      </c>
      <c r="J29" s="9" t="n">
        <f aca="false">F29*G29*(1+H29)</f>
        <v>166288.687542799</v>
      </c>
      <c r="K29" s="9" t="n">
        <f aca="false">J29*(1+I29)</f>
        <v>166288.687542799</v>
      </c>
      <c r="L29" s="24" t="n">
        <f aca="false">INDEX(Data_Base!$E$5:$E$28,B29)/INDEX(Data_Base!$C$5:$C$28,B29)*(1+INDEX(Assumptions!$C$10:$C$15,MATCH(C29,Assumptions!$A$10:$A$15,0)))</f>
        <v>158.728210881288</v>
      </c>
      <c r="M29" s="9" t="n">
        <f aca="false">F29*L29</f>
        <v>141619.536268581</v>
      </c>
      <c r="N29" s="24" t="n">
        <f aca="false">INDEX(Data_Base!$F$5:$F$28,B29)/INDEX(Data_Base!$C$5:$C$28,B29)*(1+Assumptions!$C$38)</f>
        <v>2.72570649496982</v>
      </c>
      <c r="O29" s="9" t="n">
        <f aca="false">F29*N29</f>
        <v>2431.9135689785</v>
      </c>
      <c r="P29" s="25" t="n">
        <f aca="false">IF(A29&lt;=3,SUMIFS(Data_Q1!$D$5:$D$76,Data_Q1!$A$5:$A$76,A29,Data_Q1!$B$5:$B$76,C29,Data_Q1!$C$5:$C$76,D29),F29*INDEX(Reforecast!$D$6:$D$9,MATCH(D29,Reforecast!$A$6:$A$9,0)))</f>
        <v>884.2</v>
      </c>
      <c r="Q29" s="9" t="n">
        <f aca="false">IF(A29&lt;=3,SUMIFS(Data_Q1!$E$5:$E$76,Data_Q1!$A$5:$A$76,A29,Data_Q1!$B$5:$B$76,C29,Data_Q1!$C$5:$C$76,D29),P29*G29*(1+H29)*(1+I29))</f>
        <v>164570.7</v>
      </c>
      <c r="R29" s="9" t="n">
        <f aca="false">IF(A29&lt;=3,SUMIFS(Data_Q1!$F$5:$F$76,Data_Q1!$A$5:$A$76,A29,Data_Q1!$B$5:$B$76,C29,Data_Q1!$C$5:$C$76,D29),P29*L29*INDEX(Reforecast!$D$12:$D$17,MATCH(C29,Reforecast!$A$12:$A$17,0)))</f>
        <v>144224.28</v>
      </c>
      <c r="S29" s="9" t="n">
        <f aca="false">IF(A29&lt;=3,SUMIFS(Data_Q1!$G$5:$G$76,Data_Q1!$A$5:$A$76,A29,Data_Q1!$B$5:$B$76,C29,Data_Q1!$C$5:$C$76,D29),P29*N29)</f>
        <v>2409.98</v>
      </c>
    </row>
    <row r="30" customFormat="false" ht="15" hidden="false" customHeight="false" outlineLevel="0" collapsed="false">
      <c r="A30" s="0" t="n">
        <f aca="false">MOD(ROW()-5,12)+1</f>
        <v>2</v>
      </c>
      <c r="B30" s="0" t="n">
        <f aca="false">INT((ROW()-5)/12)+1</f>
        <v>3</v>
      </c>
      <c r="C30" s="0" t="str">
        <f aca="false">INDEX(Data_Base!$A$5:$A$28,B30)</f>
        <v>Beef</v>
      </c>
      <c r="D30" s="0" t="str">
        <f aca="false">INDEX(Data_Base!$B$5:$B$28,B30)</f>
        <v>Hotels &amp; Institutions</v>
      </c>
      <c r="E30" s="26" t="n">
        <f aca="false">INDEX(Data_Base!$B$32:$M$37,MATCH(C30,Data_Base!$A$32:$A$37,0),A30)</f>
        <v>0.071356</v>
      </c>
      <c r="F30" s="25" t="n">
        <f aca="false">INDEX(Data_Base!$C$5:$C$28,B30)*(1+INDEX(Assumptions!$B$19:$B$22,MATCH(D30,Assumptions!$A$19:$A$22,0)))*E30</f>
        <v>895.464283</v>
      </c>
      <c r="G30" s="24" t="n">
        <f aca="false">INDEX(Data_Base!$D$5:$D$28,B30)/INDEX(Data_Base!$C$5:$C$28,B30)</f>
        <v>186.377575855131</v>
      </c>
      <c r="H30" s="27" t="n">
        <f aca="false">IF(A30&gt;=Assumptions!$C$37,INDEX(Assumptions!$B$10:$B$15,MATCH(C30,Assumptions!$A$10:$A$15,0)),0)</f>
        <v>0.04</v>
      </c>
      <c r="I30" s="27" t="n">
        <f aca="false">IF(AND(A30&gt;=Assumptions!$C$37,INDEX(Assumptions!$C$19:$C$22,MATCH(D30,Assumptions!$A$19:$A$22,0))=1),INDEX(Assumptions!$D$10:$D$15,MATCH(C30,Assumptions!$A$10:$A$15,0)),0)</f>
        <v>0.015</v>
      </c>
      <c r="J30" s="9" t="n">
        <f aca="false">F30*G30*(1+H30)</f>
        <v>173570.240823609</v>
      </c>
      <c r="K30" s="9" t="n">
        <f aca="false">J30*(1+I30)</f>
        <v>176173.794435963</v>
      </c>
      <c r="L30" s="24" t="n">
        <f aca="false">INDEX(Data_Base!$E$5:$E$28,B30)/INDEX(Data_Base!$C$5:$C$28,B30)*(1+INDEX(Assumptions!$C$10:$C$15,MATCH(C30,Assumptions!$A$10:$A$15,0)))</f>
        <v>158.728210881288</v>
      </c>
      <c r="M30" s="9" t="n">
        <f aca="false">F30*L30</f>
        <v>142135.443548685</v>
      </c>
      <c r="N30" s="24" t="n">
        <f aca="false">INDEX(Data_Base!$F$5:$F$28,B30)/INDEX(Data_Base!$C$5:$C$28,B30)*(1+Assumptions!$C$38)</f>
        <v>2.72570649496982</v>
      </c>
      <c r="O30" s="9" t="n">
        <f aca="false">F30*N30</f>
        <v>2440.77281218659</v>
      </c>
      <c r="P30" s="25" t="n">
        <f aca="false">IF(A30&lt;=3,SUMIFS(Data_Q1!$D$5:$D$76,Data_Q1!$A$5:$A$76,A30,Data_Q1!$B$5:$B$76,C30,Data_Q1!$C$5:$C$76,D30),F30*INDEX(Reforecast!$D$6:$D$9,MATCH(D30,Reforecast!$A$6:$A$9,0)))</f>
        <v>899.6</v>
      </c>
      <c r="Q30" s="9" t="n">
        <f aca="false">IF(A30&lt;=3,SUMIFS(Data_Q1!$E$5:$E$76,Data_Q1!$A$5:$A$76,A30,Data_Q1!$B$5:$B$76,C30,Data_Q1!$C$5:$C$76,D30),P30*G30*(1+H30)*(1+I30))</f>
        <v>178060.91</v>
      </c>
      <c r="R30" s="9" t="n">
        <f aca="false">IF(A30&lt;=3,SUMIFS(Data_Q1!$F$5:$F$76,Data_Q1!$A$5:$A$76,A30,Data_Q1!$B$5:$B$76,C30,Data_Q1!$C$5:$C$76,D30),P30*L30*INDEX(Reforecast!$D$12:$D$17,MATCH(C30,Reforecast!$A$12:$A$17,0)))</f>
        <v>146323.69</v>
      </c>
      <c r="S30" s="9" t="n">
        <f aca="false">IF(A30&lt;=3,SUMIFS(Data_Q1!$G$5:$G$76,Data_Q1!$A$5:$A$76,A30,Data_Q1!$B$5:$B$76,C30,Data_Q1!$C$5:$C$76,D30),P30*N30)</f>
        <v>2452.04</v>
      </c>
    </row>
    <row r="31" customFormat="false" ht="15" hidden="false" customHeight="false" outlineLevel="0" collapsed="false">
      <c r="A31" s="0" t="n">
        <f aca="false">MOD(ROW()-5,12)+1</f>
        <v>3</v>
      </c>
      <c r="B31" s="0" t="n">
        <f aca="false">INT((ROW()-5)/12)+1</f>
        <v>3</v>
      </c>
      <c r="C31" s="0" t="str">
        <f aca="false">INDEX(Data_Base!$A$5:$A$28,B31)</f>
        <v>Beef</v>
      </c>
      <c r="D31" s="0" t="str">
        <f aca="false">INDEX(Data_Base!$B$5:$B$28,B31)</f>
        <v>Hotels &amp; Institutions</v>
      </c>
      <c r="E31" s="26" t="n">
        <f aca="false">INDEX(Data_Base!$B$32:$M$37,MATCH(C31,Data_Base!$A$32:$A$37,0),A31)</f>
        <v>0.076229</v>
      </c>
      <c r="F31" s="25" t="n">
        <f aca="false">INDEX(Data_Base!$C$5:$C$28,B31)*(1+INDEX(Assumptions!$B$19:$B$22,MATCH(D31,Assumptions!$A$19:$A$22,0)))*E31</f>
        <v>956.61677825</v>
      </c>
      <c r="G31" s="24" t="n">
        <f aca="false">INDEX(Data_Base!$D$5:$D$28,B31)/INDEX(Data_Base!$C$5:$C$28,B31)</f>
        <v>186.377575855131</v>
      </c>
      <c r="H31" s="27" t="n">
        <f aca="false">IF(A31&gt;=Assumptions!$C$37,INDEX(Assumptions!$B$10:$B$15,MATCH(C31,Assumptions!$A$10:$A$15,0)),0)</f>
        <v>0.04</v>
      </c>
      <c r="I31" s="27" t="n">
        <f aca="false">IF(AND(A31&gt;=Assumptions!$C$37,INDEX(Assumptions!$C$19:$C$22,MATCH(D31,Assumptions!$A$19:$A$22,0))=1),INDEX(Assumptions!$D$10:$D$15,MATCH(C31,Assumptions!$A$10:$A$15,0)),0)</f>
        <v>0.015</v>
      </c>
      <c r="J31" s="9" t="n">
        <f aca="false">F31*G31*(1+H31)</f>
        <v>185423.592798683</v>
      </c>
      <c r="K31" s="9" t="n">
        <f aca="false">J31*(1+I31)</f>
        <v>188204.946690664</v>
      </c>
      <c r="L31" s="24" t="n">
        <f aca="false">INDEX(Data_Base!$E$5:$E$28,B31)/INDEX(Data_Base!$C$5:$C$28,B31)*(1+INDEX(Assumptions!$C$10:$C$15,MATCH(C31,Assumptions!$A$10:$A$15,0)))</f>
        <v>158.728210881288</v>
      </c>
      <c r="M31" s="9" t="n">
        <f aca="false">F31*L31</f>
        <v>151842.069710644</v>
      </c>
      <c r="N31" s="24" t="n">
        <f aca="false">INDEX(Data_Base!$F$5:$F$28,B31)/INDEX(Data_Base!$C$5:$C$28,B31)*(1+Assumptions!$C$38)</f>
        <v>2.72570649496982</v>
      </c>
      <c r="O31" s="9" t="n">
        <f aca="false">F31*N31</f>
        <v>2607.45656567313</v>
      </c>
      <c r="P31" s="25" t="n">
        <f aca="false">IF(A31&lt;=3,SUMIFS(Data_Q1!$D$5:$D$76,Data_Q1!$A$5:$A$76,A31,Data_Q1!$B$5:$B$76,C31,Data_Q1!$C$5:$C$76,D31),F31*INDEX(Reforecast!$D$6:$D$9,MATCH(D31,Reforecast!$A$6:$A$9,0)))</f>
        <v>955.3</v>
      </c>
      <c r="Q31" s="9" t="n">
        <f aca="false">IF(A31&lt;=3,SUMIFS(Data_Q1!$E$5:$E$76,Data_Q1!$A$5:$A$76,A31,Data_Q1!$B$5:$B$76,C31,Data_Q1!$C$5:$C$76,D31),P31*G31*(1+H31)*(1+I31))</f>
        <v>186970.42</v>
      </c>
      <c r="R31" s="9" t="n">
        <f aca="false">IF(A31&lt;=3,SUMIFS(Data_Q1!$F$5:$F$76,Data_Q1!$A$5:$A$76,A31,Data_Q1!$B$5:$B$76,C31,Data_Q1!$C$5:$C$76,D31),P31*L31*INDEX(Reforecast!$D$12:$D$17,MATCH(C31,Reforecast!$A$12:$A$17,0)))</f>
        <v>156093.91</v>
      </c>
      <c r="S31" s="9" t="n">
        <f aca="false">IF(A31&lt;=3,SUMIFS(Data_Q1!$G$5:$G$76,Data_Q1!$A$5:$A$76,A31,Data_Q1!$B$5:$B$76,C31,Data_Q1!$C$5:$C$76,D31),P31*N31)</f>
        <v>2603.85</v>
      </c>
    </row>
    <row r="32" customFormat="false" ht="15" hidden="false" customHeight="false" outlineLevel="0" collapsed="false">
      <c r="A32" s="0" t="n">
        <f aca="false">MOD(ROW()-5,12)+1</f>
        <v>4</v>
      </c>
      <c r="B32" s="0" t="n">
        <f aca="false">INT((ROW()-5)/12)+1</f>
        <v>3</v>
      </c>
      <c r="C32" s="0" t="str">
        <f aca="false">INDEX(Data_Base!$A$5:$A$28,B32)</f>
        <v>Beef</v>
      </c>
      <c r="D32" s="0" t="str">
        <f aca="false">INDEX(Data_Base!$B$5:$B$28,B32)</f>
        <v>Hotels &amp; Institutions</v>
      </c>
      <c r="E32" s="26" t="n">
        <f aca="false">INDEX(Data_Base!$B$32:$M$37,MATCH(C32,Data_Base!$A$32:$A$37,0),A32)</f>
        <v>0.082956</v>
      </c>
      <c r="F32" s="25" t="n">
        <f aca="false">INDEX(Data_Base!$C$5:$C$28,B32)*(1+INDEX(Assumptions!$B$19:$B$22,MATCH(D32,Assumptions!$A$19:$A$22,0)))*E32</f>
        <v>1041.035583</v>
      </c>
      <c r="G32" s="24" t="n">
        <f aca="false">INDEX(Data_Base!$D$5:$D$28,B32)/INDEX(Data_Base!$C$5:$C$28,B32)</f>
        <v>186.377575855131</v>
      </c>
      <c r="H32" s="27" t="n">
        <f aca="false">IF(A32&gt;=Assumptions!$C$37,INDEX(Assumptions!$B$10:$B$15,MATCH(C32,Assumptions!$A$10:$A$15,0)),0)</f>
        <v>0.04</v>
      </c>
      <c r="I32" s="27" t="n">
        <f aca="false">IF(AND(A32&gt;=Assumptions!$C$37,INDEX(Assumptions!$C$19:$C$22,MATCH(D32,Assumptions!$A$19:$A$22,0))=1),INDEX(Assumptions!$D$10:$D$15,MATCH(C32,Assumptions!$A$10:$A$15,0)),0)</f>
        <v>0.015</v>
      </c>
      <c r="J32" s="9" t="n">
        <f aca="false">F32*G32*(1+H32)</f>
        <v>201786.715872012</v>
      </c>
      <c r="K32" s="9" t="n">
        <f aca="false">J32*(1+I32)</f>
        <v>204813.516610092</v>
      </c>
      <c r="L32" s="24" t="n">
        <f aca="false">INDEX(Data_Base!$E$5:$E$28,B32)/INDEX(Data_Base!$C$5:$C$28,B32)*(1+INDEX(Assumptions!$C$10:$C$15,MATCH(C32,Assumptions!$A$10:$A$15,0)))</f>
        <v>158.728210881288</v>
      </c>
      <c r="M32" s="9" t="n">
        <f aca="false">F32*L32</f>
        <v>165241.715553348</v>
      </c>
      <c r="N32" s="24" t="n">
        <f aca="false">INDEX(Data_Base!$F$5:$F$28,B32)/INDEX(Data_Base!$C$5:$C$28,B32)*(1+Assumptions!$C$38)</f>
        <v>2.72570649496982</v>
      </c>
      <c r="O32" s="9" t="n">
        <f aca="false">F32*N32</f>
        <v>2837.55745007779</v>
      </c>
      <c r="P32" s="25" t="n">
        <f aca="false">IF(A32&lt;=3,SUMIFS(Data_Q1!$D$5:$D$76,Data_Q1!$A$5:$A$76,A32,Data_Q1!$B$5:$B$76,C32,Data_Q1!$C$5:$C$76,D32),F32*INDEX(Reforecast!$D$6:$D$9,MATCH(D32,Reforecast!$A$6:$A$9,0)))</f>
        <v>1042.25190663269</v>
      </c>
      <c r="Q32" s="9" t="n">
        <f aca="false">IF(A32&lt;=3,SUMIFS(Data_Q1!$E$5:$E$76,Data_Q1!$A$5:$A$76,A32,Data_Q1!$B$5:$B$76,C32,Data_Q1!$C$5:$C$76,D32),P32*G32*(1+H32)*(1+I32))</f>
        <v>205052.816327234</v>
      </c>
      <c r="R32" s="9" t="n">
        <f aca="false">IF(A32&lt;=3,SUMIFS(Data_Q1!$F$5:$F$76,Data_Q1!$A$5:$A$76,A32,Data_Q1!$B$5:$B$76,C32,Data_Q1!$C$5:$C$76,D32),P32*L32*INDEX(Reforecast!$D$12:$D$17,MATCH(C32,Reforecast!$A$12:$A$17,0)))</f>
        <v>169989.038040242</v>
      </c>
      <c r="S32" s="9" t="n">
        <f aca="false">IF(A32&lt;=3,SUMIFS(Data_Q1!$G$5:$G$76,Data_Q1!$A$5:$A$76,A32,Data_Q1!$B$5:$B$76,C32,Data_Q1!$C$5:$C$76,D32),P32*N32)</f>
        <v>2840.8727913034</v>
      </c>
    </row>
    <row r="33" customFormat="false" ht="15" hidden="false" customHeight="false" outlineLevel="0" collapsed="false">
      <c r="A33" s="0" t="n">
        <f aca="false">MOD(ROW()-5,12)+1</f>
        <v>5</v>
      </c>
      <c r="B33" s="0" t="n">
        <f aca="false">INT((ROW()-5)/12)+1</f>
        <v>3</v>
      </c>
      <c r="C33" s="0" t="str">
        <f aca="false">INDEX(Data_Base!$A$5:$A$28,B33)</f>
        <v>Beef</v>
      </c>
      <c r="D33" s="0" t="str">
        <f aca="false">INDEX(Data_Base!$B$5:$B$28,B33)</f>
        <v>Hotels &amp; Institutions</v>
      </c>
      <c r="E33" s="26" t="n">
        <f aca="false">INDEX(Data_Base!$B$32:$M$37,MATCH(C33,Data_Base!$A$32:$A$37,0),A33)</f>
        <v>0.090704</v>
      </c>
      <c r="F33" s="25" t="n">
        <f aca="false">INDEX(Data_Base!$C$5:$C$28,B33)*(1+INDEX(Assumptions!$B$19:$B$22,MATCH(D33,Assumptions!$A$19:$A$22,0)))*E33</f>
        <v>1138.267172</v>
      </c>
      <c r="G33" s="24" t="n">
        <f aca="false">INDEX(Data_Base!$D$5:$D$28,B33)/INDEX(Data_Base!$C$5:$C$28,B33)</f>
        <v>186.377575855131</v>
      </c>
      <c r="H33" s="27" t="n">
        <f aca="false">IF(A33&gt;=Assumptions!$C$37,INDEX(Assumptions!$B$10:$B$15,MATCH(C33,Assumptions!$A$10:$A$15,0)),0)</f>
        <v>0.04</v>
      </c>
      <c r="I33" s="27" t="n">
        <f aca="false">IF(AND(A33&gt;=Assumptions!$C$37,INDEX(Assumptions!$C$19:$C$22,MATCH(D33,Assumptions!$A$19:$A$22,0))=1),INDEX(Assumptions!$D$10:$D$15,MATCH(C33,Assumptions!$A$10:$A$15,0)),0)</f>
        <v>0.015</v>
      </c>
      <c r="J33" s="9" t="n">
        <f aca="false">F33*G33*(1+H33)</f>
        <v>220633.375240549</v>
      </c>
      <c r="K33" s="9" t="n">
        <f aca="false">J33*(1+I33)</f>
        <v>223942.875869157</v>
      </c>
      <c r="L33" s="24" t="n">
        <f aca="false">INDEX(Data_Base!$E$5:$E$28,B33)/INDEX(Data_Base!$C$5:$C$28,B33)*(1+INDEX(Assumptions!$C$10:$C$15,MATCH(C33,Assumptions!$A$10:$A$15,0)))</f>
        <v>158.728210881288</v>
      </c>
      <c r="M33" s="9" t="n">
        <f aca="false">F33*L33</f>
        <v>180675.111716463</v>
      </c>
      <c r="N33" s="24" t="n">
        <f aca="false">INDEX(Data_Base!$F$5:$F$28,B33)/INDEX(Data_Base!$C$5:$C$28,B33)*(1+Assumptions!$C$38)</f>
        <v>2.72570649496982</v>
      </c>
      <c r="O33" s="9" t="n">
        <f aca="false">F33*N33</f>
        <v>3102.58222373133</v>
      </c>
      <c r="P33" s="25" t="n">
        <f aca="false">IF(A33&lt;=3,SUMIFS(Data_Q1!$D$5:$D$76,Data_Q1!$A$5:$A$76,A33,Data_Q1!$B$5:$B$76,C33,Data_Q1!$C$5:$C$76,D33),F33*INDEX(Reforecast!$D$6:$D$9,MATCH(D33,Reforecast!$A$6:$A$9,0)))</f>
        <v>1139.59709893451</v>
      </c>
      <c r="Q33" s="9" t="n">
        <f aca="false">IF(A33&lt;=3,SUMIFS(Data_Q1!$E$5:$E$76,Data_Q1!$A$5:$A$76,A33,Data_Q1!$B$5:$B$76,C33,Data_Q1!$C$5:$C$76,D33),P33*G33*(1+H33)*(1+I33))</f>
        <v>224204.525919107</v>
      </c>
      <c r="R33" s="9" t="n">
        <f aca="false">IF(A33&lt;=3,SUMIFS(Data_Q1!$F$5:$F$76,Data_Q1!$A$5:$A$76,A33,Data_Q1!$B$5:$B$76,C33,Data_Q1!$C$5:$C$76,D33),P33*L33*INDEX(Reforecast!$D$12:$D$17,MATCH(C33,Reforecast!$A$12:$A$17,0)))</f>
        <v>185865.828950312</v>
      </c>
      <c r="S33" s="9" t="n">
        <f aca="false">IF(A33&lt;=3,SUMIFS(Data_Q1!$G$5:$G$76,Data_Q1!$A$5:$A$76,A33,Data_Q1!$B$5:$B$76,C33,Data_Q1!$C$5:$C$76,D33),P33*N33)</f>
        <v>3106.20721421457</v>
      </c>
    </row>
    <row r="34" customFormat="false" ht="15" hidden="false" customHeight="false" outlineLevel="0" collapsed="false">
      <c r="A34" s="0" t="n">
        <f aca="false">MOD(ROW()-5,12)+1</f>
        <v>6</v>
      </c>
      <c r="B34" s="0" t="n">
        <f aca="false">INT((ROW()-5)/12)+1</f>
        <v>3</v>
      </c>
      <c r="C34" s="0" t="str">
        <f aca="false">INDEX(Data_Base!$A$5:$A$28,B34)</f>
        <v>Beef</v>
      </c>
      <c r="D34" s="0" t="str">
        <f aca="false">INDEX(Data_Base!$B$5:$B$28,B34)</f>
        <v>Hotels &amp; Institutions</v>
      </c>
      <c r="E34" s="26" t="n">
        <f aca="false">INDEX(Data_Base!$B$32:$M$37,MATCH(C34,Data_Base!$A$32:$A$37,0),A34)</f>
        <v>0.098481</v>
      </c>
      <c r="F34" s="25" t="n">
        <f aca="false">INDEX(Data_Base!$C$5:$C$28,B34)*(1+INDEX(Assumptions!$B$19:$B$22,MATCH(D34,Assumptions!$A$19:$A$22,0)))*E34</f>
        <v>1235.86268925</v>
      </c>
      <c r="G34" s="24" t="n">
        <f aca="false">INDEX(Data_Base!$D$5:$D$28,B34)/INDEX(Data_Base!$C$5:$C$28,B34)</f>
        <v>186.377575855131</v>
      </c>
      <c r="H34" s="27" t="n">
        <f aca="false">IF(A34&gt;=Assumptions!$C$37,INDEX(Assumptions!$B$10:$B$15,MATCH(C34,Assumptions!$A$10:$A$15,0)),0)</f>
        <v>0.04</v>
      </c>
      <c r="I34" s="27" t="n">
        <f aca="false">IF(AND(A34&gt;=Assumptions!$C$37,INDEX(Assumptions!$C$19:$C$22,MATCH(D34,Assumptions!$A$19:$A$22,0))=1),INDEX(Assumptions!$D$10:$D$15,MATCH(C34,Assumptions!$A$10:$A$15,0)),0)</f>
        <v>0.015</v>
      </c>
      <c r="J34" s="9" t="n">
        <f aca="false">F34*G34*(1+H34)</f>
        <v>239550.575796707</v>
      </c>
      <c r="K34" s="9" t="n">
        <f aca="false">J34*(1+I34)</f>
        <v>243143.834433657</v>
      </c>
      <c r="L34" s="24" t="n">
        <f aca="false">INDEX(Data_Base!$E$5:$E$28,B34)/INDEX(Data_Base!$C$5:$C$28,B34)*(1+INDEX(Assumptions!$C$10:$C$15,MATCH(C34,Assumptions!$A$10:$A$15,0)))</f>
        <v>158.728210881288</v>
      </c>
      <c r="M34" s="9" t="n">
        <f aca="false">F34*L34</f>
        <v>196166.273559589</v>
      </c>
      <c r="N34" s="24" t="n">
        <f aca="false">INDEX(Data_Base!$F$5:$F$28,B34)/INDEX(Data_Base!$C$5:$C$28,B34)*(1+Assumptions!$C$38)</f>
        <v>2.72570649496982</v>
      </c>
      <c r="O34" s="9" t="n">
        <f aca="false">F34*N34</f>
        <v>3368.59895897959</v>
      </c>
      <c r="P34" s="25" t="n">
        <f aca="false">IF(A34&lt;=3,SUMIFS(Data_Q1!$D$5:$D$76,Data_Q1!$A$5:$A$76,A34,Data_Q1!$B$5:$B$76,C34,Data_Q1!$C$5:$C$76,D34),F34*INDEX(Reforecast!$D$6:$D$9,MATCH(D34,Reforecast!$A$6:$A$9,0)))</f>
        <v>1237.30664469229</v>
      </c>
      <c r="Q34" s="9" t="n">
        <f aca="false">IF(A34&lt;=3,SUMIFS(Data_Q1!$E$5:$E$76,Data_Q1!$A$5:$A$76,A34,Data_Q1!$B$5:$B$76,C34,Data_Q1!$C$5:$C$76,D34),P34*G34*(1+H34)*(1+I34))</f>
        <v>243427.918471507</v>
      </c>
      <c r="R34" s="9" t="n">
        <f aca="false">IF(A34&lt;=3,SUMIFS(Data_Q1!$F$5:$F$76,Data_Q1!$A$5:$A$76,A34,Data_Q1!$B$5:$B$76,C34,Data_Q1!$C$5:$C$76,D34),P34*L34*INDEX(Reforecast!$D$12:$D$17,MATCH(C34,Reforecast!$A$12:$A$17,0)))</f>
        <v>201802.045123211</v>
      </c>
      <c r="S34" s="9" t="n">
        <f aca="false">IF(A34&lt;=3,SUMIFS(Data_Q1!$G$5:$G$76,Data_Q1!$A$5:$A$76,A34,Data_Q1!$B$5:$B$76,C34,Data_Q1!$C$5:$C$76,D34),P34*N34)</f>
        <v>3372.5347577071</v>
      </c>
    </row>
    <row r="35" customFormat="false" ht="15" hidden="false" customHeight="false" outlineLevel="0" collapsed="false">
      <c r="A35" s="0" t="n">
        <f aca="false">MOD(ROW()-5,12)+1</f>
        <v>7</v>
      </c>
      <c r="B35" s="0" t="n">
        <f aca="false">INT((ROW()-5)/12)+1</f>
        <v>3</v>
      </c>
      <c r="C35" s="0" t="str">
        <f aca="false">INDEX(Data_Base!$A$5:$A$28,B35)</f>
        <v>Beef</v>
      </c>
      <c r="D35" s="0" t="str">
        <f aca="false">INDEX(Data_Base!$B$5:$B$28,B35)</f>
        <v>Hotels &amp; Institutions</v>
      </c>
      <c r="E35" s="26" t="n">
        <f aca="false">INDEX(Data_Base!$B$32:$M$37,MATCH(C35,Data_Base!$A$32:$A$37,0),A35)</f>
        <v>0.098998</v>
      </c>
      <c r="F35" s="25" t="n">
        <f aca="false">INDEX(Data_Base!$C$5:$C$28,B35)*(1+INDEX(Assumptions!$B$19:$B$22,MATCH(D35,Assumptions!$A$19:$A$22,0)))*E35</f>
        <v>1242.3506515</v>
      </c>
      <c r="G35" s="24" t="n">
        <f aca="false">INDEX(Data_Base!$D$5:$D$28,B35)/INDEX(Data_Base!$C$5:$C$28,B35)</f>
        <v>186.377575855131</v>
      </c>
      <c r="H35" s="27" t="n">
        <f aca="false">IF(A35&gt;=Assumptions!$C$37,INDEX(Assumptions!$B$10:$B$15,MATCH(C35,Assumptions!$A$10:$A$15,0)),0)</f>
        <v>0.04</v>
      </c>
      <c r="I35" s="27" t="n">
        <f aca="false">IF(AND(A35&gt;=Assumptions!$C$37,INDEX(Assumptions!$C$19:$C$22,MATCH(D35,Assumptions!$A$19:$A$22,0))=1),INDEX(Assumptions!$D$10:$D$15,MATCH(C35,Assumptions!$A$10:$A$15,0)),0)</f>
        <v>0.015</v>
      </c>
      <c r="J35" s="9" t="n">
        <f aca="false">F35*G35*(1+H35)</f>
        <v>240808.154900157</v>
      </c>
      <c r="K35" s="9" t="n">
        <f aca="false">J35*(1+I35)</f>
        <v>244420.277223659</v>
      </c>
      <c r="L35" s="24" t="n">
        <f aca="false">INDEX(Data_Base!$E$5:$E$28,B35)/INDEX(Data_Base!$C$5:$C$28,B35)*(1+INDEX(Assumptions!$C$10:$C$15,MATCH(C35,Assumptions!$A$10:$A$15,0)))</f>
        <v>158.728210881288</v>
      </c>
      <c r="M35" s="9" t="n">
        <f aca="false">F35*L35</f>
        <v>197196.096199797</v>
      </c>
      <c r="N35" s="24" t="n">
        <f aca="false">INDEX(Data_Base!$F$5:$F$28,B35)/INDEX(Data_Base!$C$5:$C$28,B35)*(1+Assumptions!$C$38)</f>
        <v>2.72570649496982</v>
      </c>
      <c r="O35" s="9" t="n">
        <f aca="false">F35*N35</f>
        <v>3386.28323982354</v>
      </c>
      <c r="P35" s="25" t="n">
        <f aca="false">IF(A35&lt;=3,SUMIFS(Data_Q1!$D$5:$D$76,Data_Q1!$A$5:$A$76,A35,Data_Q1!$B$5:$B$76,C35,Data_Q1!$C$5:$C$76,D35),F35*INDEX(Reforecast!$D$6:$D$9,MATCH(D35,Reforecast!$A$6:$A$9,0)))</f>
        <v>1243.80218733814</v>
      </c>
      <c r="Q35" s="9" t="n">
        <f aca="false">IF(A35&lt;=3,SUMIFS(Data_Q1!$E$5:$E$76,Data_Q1!$A$5:$A$76,A35,Data_Q1!$B$5:$B$76,C35,Data_Q1!$C$5:$C$76,D35),P35*G35*(1+H35)*(1+I35))</f>
        <v>244705.852629871</v>
      </c>
      <c r="R35" s="9" t="n">
        <f aca="false">IF(A35&lt;=3,SUMIFS(Data_Q1!$F$5:$F$76,Data_Q1!$A$5:$A$76,A35,Data_Q1!$B$5:$B$76,C35,Data_Q1!$C$5:$C$76,D35),P35*L35*INDEX(Reforecast!$D$12:$D$17,MATCH(C35,Reforecast!$A$12:$A$17,0)))</f>
        <v>202861.454119146</v>
      </c>
      <c r="S35" s="9" t="n">
        <f aca="false">IF(A35&lt;=3,SUMIFS(Data_Q1!$G$5:$G$76,Data_Q1!$A$5:$A$76,A35,Data_Q1!$B$5:$B$76,C35,Data_Q1!$C$5:$C$76,D35),P35*N35)</f>
        <v>3390.23970048525</v>
      </c>
    </row>
    <row r="36" customFormat="false" ht="15" hidden="false" customHeight="false" outlineLevel="0" collapsed="false">
      <c r="A36" s="0" t="n">
        <f aca="false">MOD(ROW()-5,12)+1</f>
        <v>8</v>
      </c>
      <c r="B36" s="0" t="n">
        <f aca="false">INT((ROW()-5)/12)+1</f>
        <v>3</v>
      </c>
      <c r="C36" s="0" t="str">
        <f aca="false">INDEX(Data_Base!$A$5:$A$28,B36)</f>
        <v>Beef</v>
      </c>
      <c r="D36" s="0" t="str">
        <f aca="false">INDEX(Data_Base!$B$5:$B$28,B36)</f>
        <v>Hotels &amp; Institutions</v>
      </c>
      <c r="E36" s="26" t="n">
        <f aca="false">INDEX(Data_Base!$B$32:$M$37,MATCH(C36,Data_Base!$A$32:$A$37,0),A36)</f>
        <v>0.095376</v>
      </c>
      <c r="F36" s="25" t="n">
        <f aca="false">INDEX(Data_Base!$C$5:$C$28,B36)*(1+INDEX(Assumptions!$B$19:$B$22,MATCH(D36,Assumptions!$A$19:$A$22,0)))*E36</f>
        <v>1196.897268</v>
      </c>
      <c r="G36" s="24" t="n">
        <f aca="false">INDEX(Data_Base!$D$5:$D$28,B36)/INDEX(Data_Base!$C$5:$C$28,B36)</f>
        <v>186.377575855131</v>
      </c>
      <c r="H36" s="27" t="n">
        <f aca="false">IF(A36&gt;=Assumptions!$C$37,INDEX(Assumptions!$B$10:$B$15,MATCH(C36,Assumptions!$A$10:$A$15,0)),0)</f>
        <v>0.04</v>
      </c>
      <c r="I36" s="27" t="n">
        <f aca="false">IF(AND(A36&gt;=Assumptions!$C$37,INDEX(Assumptions!$C$19:$C$22,MATCH(D36,Assumptions!$A$19:$A$22,0))=1),INDEX(Assumptions!$D$10:$D$15,MATCH(C36,Assumptions!$A$10:$A$15,0)),0)</f>
        <v>0.015</v>
      </c>
      <c r="J36" s="9" t="n">
        <f aca="false">F36*G36*(1+H36)</f>
        <v>231997.803811768</v>
      </c>
      <c r="K36" s="9" t="n">
        <f aca="false">J36*(1+I36)</f>
        <v>235477.770868944</v>
      </c>
      <c r="L36" s="24" t="n">
        <f aca="false">INDEX(Data_Base!$E$5:$E$28,B36)/INDEX(Data_Base!$C$5:$C$28,B36)*(1+INDEX(Assumptions!$C$10:$C$15,MATCH(C36,Assumptions!$A$10:$A$15,0)))</f>
        <v>158.728210881288</v>
      </c>
      <c r="M36" s="9" t="n">
        <f aca="false">F36*L36</f>
        <v>189981.361958341</v>
      </c>
      <c r="N36" s="24" t="n">
        <f aca="false">INDEX(Data_Base!$F$5:$F$28,B36)/INDEX(Data_Base!$C$5:$C$28,B36)*(1+Assumptions!$C$38)</f>
        <v>2.72570649496982</v>
      </c>
      <c r="O36" s="9" t="n">
        <f aca="false">F36*N36</f>
        <v>3262.39065719923</v>
      </c>
      <c r="P36" s="25" t="n">
        <f aca="false">IF(A36&lt;=3,SUMIFS(Data_Q1!$D$5:$D$76,Data_Q1!$A$5:$A$76,A36,Data_Q1!$B$5:$B$76,C36,Data_Q1!$C$5:$C$76,D36),F36*INDEX(Reforecast!$D$6:$D$9,MATCH(D36,Reforecast!$A$6:$A$9,0)))</f>
        <v>1198.29569708037</v>
      </c>
      <c r="Q36" s="9" t="n">
        <f aca="false">IF(A36&lt;=3,SUMIFS(Data_Q1!$E$5:$E$76,Data_Q1!$A$5:$A$76,A36,Data_Q1!$B$5:$B$76,C36,Data_Q1!$C$5:$C$76,D36),P36*G36*(1+H36)*(1+I36))</f>
        <v>235752.898042653</v>
      </c>
      <c r="R36" s="9" t="n">
        <f aca="false">IF(A36&lt;=3,SUMIFS(Data_Q1!$F$5:$F$76,Data_Q1!$A$5:$A$76,A36,Data_Q1!$B$5:$B$76,C36,Data_Q1!$C$5:$C$76,D36),P36*L36*INDEX(Reforecast!$D$12:$D$17,MATCH(C36,Reforecast!$A$12:$A$17,0)))</f>
        <v>195439.443706617</v>
      </c>
      <c r="S36" s="9" t="n">
        <f aca="false">IF(A36&lt;=3,SUMIFS(Data_Q1!$G$5:$G$76,Data_Q1!$A$5:$A$76,A36,Data_Q1!$B$5:$B$76,C36,Data_Q1!$C$5:$C$76,D36),P36*N36)</f>
        <v>3266.20236442636</v>
      </c>
    </row>
    <row r="37" customFormat="false" ht="15" hidden="false" customHeight="false" outlineLevel="0" collapsed="false">
      <c r="A37" s="0" t="n">
        <f aca="false">MOD(ROW()-5,12)+1</f>
        <v>9</v>
      </c>
      <c r="B37" s="0" t="n">
        <f aca="false">INT((ROW()-5)/12)+1</f>
        <v>3</v>
      </c>
      <c r="C37" s="0" t="str">
        <f aca="false">INDEX(Data_Base!$A$5:$A$28,B37)</f>
        <v>Beef</v>
      </c>
      <c r="D37" s="0" t="str">
        <f aca="false">INDEX(Data_Base!$B$5:$B$28,B37)</f>
        <v>Hotels &amp; Institutions</v>
      </c>
      <c r="E37" s="26" t="n">
        <f aca="false">INDEX(Data_Base!$B$32:$M$37,MATCH(C37,Data_Base!$A$32:$A$37,0),A37)</f>
        <v>0.08195</v>
      </c>
      <c r="F37" s="25" t="n">
        <f aca="false">INDEX(Data_Base!$C$5:$C$28,B37)*(1+INDEX(Assumptions!$B$19:$B$22,MATCH(D37,Assumptions!$A$19:$A$22,0)))*E37</f>
        <v>1028.4110375</v>
      </c>
      <c r="G37" s="24" t="n">
        <f aca="false">INDEX(Data_Base!$D$5:$D$28,B37)/INDEX(Data_Base!$C$5:$C$28,B37)</f>
        <v>186.377575855131</v>
      </c>
      <c r="H37" s="27" t="n">
        <f aca="false">IF(A37&gt;=Assumptions!$C$37,INDEX(Assumptions!$B$10:$B$15,MATCH(C37,Assumptions!$A$10:$A$15,0)),0)</f>
        <v>0.04</v>
      </c>
      <c r="I37" s="27" t="n">
        <f aca="false">IF(AND(A37&gt;=Assumptions!$C$37,INDEX(Assumptions!$C$19:$C$22,MATCH(D37,Assumptions!$A$19:$A$22,0))=1),INDEX(Assumptions!$D$10:$D$15,MATCH(C37,Assumptions!$A$10:$A$15,0)),0)</f>
        <v>0.015</v>
      </c>
      <c r="J37" s="9" t="n">
        <f aca="false">F37*G37*(1+H37)</f>
        <v>199339.666397986</v>
      </c>
      <c r="K37" s="9" t="n">
        <f aca="false">J37*(1+I37)</f>
        <v>202329.761393956</v>
      </c>
      <c r="L37" s="24" t="n">
        <f aca="false">INDEX(Data_Base!$E$5:$E$28,B37)/INDEX(Data_Base!$C$5:$C$28,B37)*(1+INDEX(Assumptions!$C$10:$C$15,MATCH(C37,Assumptions!$A$10:$A$15,0)))</f>
        <v>158.728210881288</v>
      </c>
      <c r="M37" s="9" t="n">
        <f aca="false">F37*L37</f>
        <v>163237.844032944</v>
      </c>
      <c r="N37" s="24" t="n">
        <f aca="false">INDEX(Data_Base!$F$5:$F$28,B37)/INDEX(Data_Base!$C$5:$C$28,B37)*(1+Assumptions!$C$38)</f>
        <v>2.72570649496982</v>
      </c>
      <c r="O37" s="9" t="n">
        <f aca="false">F37*N37</f>
        <v>2803.1466444124</v>
      </c>
      <c r="P37" s="25" t="n">
        <f aca="false">IF(A37&lt;=3,SUMIFS(Data_Q1!$D$5:$D$76,Data_Q1!$A$5:$A$76,A37,Data_Q1!$B$5:$B$76,C37,Data_Q1!$C$5:$C$76,D37),F37*INDEX(Reforecast!$D$6:$D$9,MATCH(D37,Reforecast!$A$6:$A$9,0)))</f>
        <v>1029.61261088467</v>
      </c>
      <c r="Q37" s="9" t="n">
        <f aca="false">IF(A37&lt;=3,SUMIFS(Data_Q1!$E$5:$E$76,Data_Q1!$A$5:$A$76,A37,Data_Q1!$B$5:$B$76,C37,Data_Q1!$C$5:$C$76,D37),P37*G37*(1+H37)*(1+I37))</f>
        <v>202566.15914481</v>
      </c>
      <c r="R37" s="9" t="n">
        <f aca="false">IF(A37&lt;=3,SUMIFS(Data_Q1!$F$5:$F$76,Data_Q1!$A$5:$A$76,A37,Data_Q1!$B$5:$B$76,C37,Data_Q1!$C$5:$C$76,D37),P37*L37*INDEX(Reforecast!$D$12:$D$17,MATCH(C37,Reforecast!$A$12:$A$17,0)))</f>
        <v>167927.596164205</v>
      </c>
      <c r="S37" s="9" t="n">
        <f aca="false">IF(A37&lt;=3,SUMIFS(Data_Q1!$G$5:$G$76,Data_Q1!$A$5:$A$76,A37,Data_Q1!$B$5:$B$76,C37,Data_Q1!$C$5:$C$76,D37),P37*N37)</f>
        <v>2806.42178079119</v>
      </c>
    </row>
    <row r="38" customFormat="false" ht="15" hidden="false" customHeight="false" outlineLevel="0" collapsed="false">
      <c r="A38" s="0" t="n">
        <f aca="false">MOD(ROW()-5,12)+1</f>
        <v>10</v>
      </c>
      <c r="B38" s="0" t="n">
        <f aca="false">INT((ROW()-5)/12)+1</f>
        <v>3</v>
      </c>
      <c r="C38" s="0" t="str">
        <f aca="false">INDEX(Data_Base!$A$5:$A$28,B38)</f>
        <v>Beef</v>
      </c>
      <c r="D38" s="0" t="str">
        <f aca="false">INDEX(Data_Base!$B$5:$B$28,B38)</f>
        <v>Hotels &amp; Institutions</v>
      </c>
      <c r="E38" s="26" t="n">
        <f aca="false">INDEX(Data_Base!$B$32:$M$37,MATCH(C38,Data_Base!$A$32:$A$37,0),A38)</f>
        <v>0.079492</v>
      </c>
      <c r="F38" s="25" t="n">
        <f aca="false">INDEX(Data_Base!$C$5:$C$28,B38)*(1+INDEX(Assumptions!$B$19:$B$22,MATCH(D38,Assumptions!$A$19:$A$22,0)))*E38</f>
        <v>997.564981</v>
      </c>
      <c r="G38" s="24" t="n">
        <f aca="false">INDEX(Data_Base!$D$5:$D$28,B38)/INDEX(Data_Base!$C$5:$C$28,B38)</f>
        <v>186.377575855131</v>
      </c>
      <c r="H38" s="27" t="n">
        <f aca="false">IF(A38&gt;=Assumptions!$C$37,INDEX(Assumptions!$B$10:$B$15,MATCH(C38,Assumptions!$A$10:$A$15,0)),0)</f>
        <v>0.04</v>
      </c>
      <c r="I38" s="27" t="n">
        <f aca="false">IF(AND(A38&gt;=Assumptions!$C$37,INDEX(Assumptions!$C$19:$C$22,MATCH(D38,Assumptions!$A$19:$A$22,0))=1),INDEX(Assumptions!$D$10:$D$15,MATCH(C38,Assumptions!$A$10:$A$15,0)),0)</f>
        <v>0.015</v>
      </c>
      <c r="J38" s="9" t="n">
        <f aca="false">F38*G38*(1+H38)</f>
        <v>193360.69263342</v>
      </c>
      <c r="K38" s="9" t="n">
        <f aca="false">J38*(1+I38)</f>
        <v>196261.103022921</v>
      </c>
      <c r="L38" s="24" t="n">
        <f aca="false">INDEX(Data_Base!$E$5:$E$28,B38)/INDEX(Data_Base!$C$5:$C$28,B38)*(1+INDEX(Assumptions!$C$10:$C$15,MATCH(C38,Assumptions!$A$10:$A$15,0)))</f>
        <v>158.728210881288</v>
      </c>
      <c r="M38" s="9" t="n">
        <f aca="false">F38*L38</f>
        <v>158341.704671956</v>
      </c>
      <c r="N38" s="24" t="n">
        <f aca="false">INDEX(Data_Base!$F$5:$F$28,B38)/INDEX(Data_Base!$C$5:$C$28,B38)*(1+Assumptions!$C$38)</f>
        <v>2.72570649496982</v>
      </c>
      <c r="O38" s="9" t="n">
        <f aca="false">F38*N38</f>
        <v>2719.06934786614</v>
      </c>
      <c r="P38" s="25" t="n">
        <f aca="false">IF(A38&lt;=3,SUMIFS(Data_Q1!$D$5:$D$76,Data_Q1!$A$5:$A$76,A38,Data_Q1!$B$5:$B$76,C38,Data_Q1!$C$5:$C$76,D38),F38*INDEX(Reforecast!$D$6:$D$9,MATCH(D38,Reforecast!$A$6:$A$9,0)))</f>
        <v>998.73051451427</v>
      </c>
      <c r="Q38" s="9" t="n">
        <f aca="false">IF(A38&lt;=3,SUMIFS(Data_Q1!$E$5:$E$76,Data_Q1!$A$5:$A$76,A38,Data_Q1!$B$5:$B$76,C38,Data_Q1!$C$5:$C$76,D38),P38*G38*(1+H38)*(1+I38))</f>
        <v>196490.410283578</v>
      </c>
      <c r="R38" s="9" t="n">
        <f aca="false">IF(A38&lt;=3,SUMIFS(Data_Q1!$F$5:$F$76,Data_Q1!$A$5:$A$76,A38,Data_Q1!$B$5:$B$76,C38,Data_Q1!$C$5:$C$76,D38),P38*L38*INDEX(Reforecast!$D$12:$D$17,MATCH(C38,Reforecast!$A$12:$A$17,0)))</f>
        <v>162890.792852776</v>
      </c>
      <c r="S38" s="9" t="n">
        <f aca="false">IF(A38&lt;=3,SUMIFS(Data_Q1!$G$5:$G$76,Data_Q1!$A$5:$A$76,A38,Data_Q1!$B$5:$B$76,C38,Data_Q1!$C$5:$C$76,D38),P38*N38)</f>
        <v>2722.24625013609</v>
      </c>
    </row>
    <row r="39" customFormat="false" ht="15" hidden="false" customHeight="false" outlineLevel="0" collapsed="false">
      <c r="A39" s="0" t="n">
        <f aca="false">MOD(ROW()-5,12)+1</f>
        <v>11</v>
      </c>
      <c r="B39" s="0" t="n">
        <f aca="false">INT((ROW()-5)/12)+1</f>
        <v>3</v>
      </c>
      <c r="C39" s="0" t="str">
        <f aca="false">INDEX(Data_Base!$A$5:$A$28,B39)</f>
        <v>Beef</v>
      </c>
      <c r="D39" s="0" t="str">
        <f aca="false">INDEX(Data_Base!$B$5:$B$28,B39)</f>
        <v>Hotels &amp; Institutions</v>
      </c>
      <c r="E39" s="26" t="n">
        <f aca="false">INDEX(Data_Base!$B$32:$M$37,MATCH(C39,Data_Base!$A$32:$A$37,0),A39)</f>
        <v>0.075165</v>
      </c>
      <c r="F39" s="25" t="n">
        <f aca="false">INDEX(Data_Base!$C$5:$C$28,B39)*(1+INDEX(Assumptions!$B$19:$B$22,MATCH(D39,Assumptions!$A$19:$A$22,0)))*E39</f>
        <v>943.26437625</v>
      </c>
      <c r="G39" s="24" t="n">
        <f aca="false">INDEX(Data_Base!$D$5:$D$28,B39)/INDEX(Data_Base!$C$5:$C$28,B39)</f>
        <v>186.377575855131</v>
      </c>
      <c r="H39" s="27" t="n">
        <f aca="false">IF(A39&gt;=Assumptions!$C$37,INDEX(Assumptions!$B$10:$B$15,MATCH(C39,Assumptions!$A$10:$A$15,0)),0)</f>
        <v>0.04</v>
      </c>
      <c r="I39" s="27" t="n">
        <f aca="false">IF(AND(A39&gt;=Assumptions!$C$37,INDEX(Assumptions!$C$19:$C$22,MATCH(D39,Assumptions!$A$19:$A$22,0))=1),INDEX(Assumptions!$D$10:$D$15,MATCH(C39,Assumptions!$A$10:$A$15,0)),0)</f>
        <v>0.015</v>
      </c>
      <c r="J39" s="9" t="n">
        <f aca="false">F39*G39*(1+H39)</f>
        <v>182835.460949416</v>
      </c>
      <c r="K39" s="9" t="n">
        <f aca="false">J39*(1+I39)</f>
        <v>185577.992863657</v>
      </c>
      <c r="L39" s="24" t="n">
        <f aca="false">INDEX(Data_Base!$E$5:$E$28,B39)/INDEX(Data_Base!$C$5:$C$28,B39)*(1+INDEX(Assumptions!$C$10:$C$15,MATCH(C39,Assumptions!$A$10:$A$15,0)))</f>
        <v>158.728210881288</v>
      </c>
      <c r="M39" s="9" t="n">
        <f aca="false">F39*L39</f>
        <v>149722.666830216</v>
      </c>
      <c r="N39" s="24" t="n">
        <f aca="false">INDEX(Data_Base!$F$5:$F$28,B39)/INDEX(Data_Base!$C$5:$C$28,B39)*(1+Assumptions!$C$38)</f>
        <v>2.72570649496982</v>
      </c>
      <c r="O39" s="9" t="n">
        <f aca="false">F39*N39</f>
        <v>2571.06183681828</v>
      </c>
      <c r="P39" s="25" t="n">
        <f aca="false">IF(A39&lt;=3,SUMIFS(Data_Q1!$D$5:$D$76,Data_Q1!$A$5:$A$76,A39,Data_Q1!$B$5:$B$76,C39,Data_Q1!$C$5:$C$76,D39),F39*INDEX(Reforecast!$D$6:$D$9,MATCH(D39,Reforecast!$A$6:$A$9,0)))</f>
        <v>944.366466103068</v>
      </c>
      <c r="Q39" s="9" t="n">
        <f aca="false">IF(A39&lt;=3,SUMIFS(Data_Q1!$E$5:$E$76,Data_Q1!$A$5:$A$76,A39,Data_Q1!$B$5:$B$76,C39,Data_Q1!$C$5:$C$76,D39),P39*G39*(1+H39)*(1+I39))</f>
        <v>185794.818207683</v>
      </c>
      <c r="R39" s="9" t="n">
        <f aca="false">IF(A39&lt;=3,SUMIFS(Data_Q1!$F$5:$F$76,Data_Q1!$A$5:$A$76,A39,Data_Q1!$B$5:$B$76,C39,Data_Q1!$C$5:$C$76,D39),P39*L39*INDEX(Reforecast!$D$12:$D$17,MATCH(C39,Reforecast!$A$12:$A$17,0)))</f>
        <v>154024.133809427</v>
      </c>
      <c r="S39" s="9" t="n">
        <f aca="false">IF(A39&lt;=3,SUMIFS(Data_Q1!$G$5:$G$76,Data_Q1!$A$5:$A$76,A39,Data_Q1!$B$5:$B$76,C39,Data_Q1!$C$5:$C$76,D39),P39*N39)</f>
        <v>2574.06581028883</v>
      </c>
    </row>
    <row r="40" customFormat="false" ht="15" hidden="false" customHeight="false" outlineLevel="0" collapsed="false">
      <c r="A40" s="0" t="n">
        <f aca="false">MOD(ROW()-5,12)+1</f>
        <v>12</v>
      </c>
      <c r="B40" s="0" t="n">
        <f aca="false">INT((ROW()-5)/12)+1</f>
        <v>3</v>
      </c>
      <c r="C40" s="0" t="str">
        <f aca="false">INDEX(Data_Base!$A$5:$A$28,B40)</f>
        <v>Beef</v>
      </c>
      <c r="D40" s="0" t="str">
        <f aca="false">INDEX(Data_Base!$B$5:$B$28,B40)</f>
        <v>Hotels &amp; Institutions</v>
      </c>
      <c r="E40" s="26" t="n">
        <f aca="false">INDEX(Data_Base!$B$32:$M$37,MATCH(C40,Data_Base!$A$32:$A$37,0),A40)</f>
        <v>0.078196</v>
      </c>
      <c r="F40" s="25" t="n">
        <f aca="false">INDEX(Data_Base!$C$5:$C$28,B40)*(1+INDEX(Assumptions!$B$19:$B$22,MATCH(D40,Assumptions!$A$19:$A$22,0)))*E40</f>
        <v>981.301153</v>
      </c>
      <c r="G40" s="24" t="n">
        <f aca="false">INDEX(Data_Base!$D$5:$D$28,B40)/INDEX(Data_Base!$C$5:$C$28,B40)</f>
        <v>186.377575855131</v>
      </c>
      <c r="H40" s="27" t="n">
        <f aca="false">IF(A40&gt;=Assumptions!$C$37,INDEX(Assumptions!$B$10:$B$15,MATCH(C40,Assumptions!$A$10:$A$15,0)),0)</f>
        <v>0.04</v>
      </c>
      <c r="I40" s="27" t="n">
        <f aca="false">IF(AND(A40&gt;=Assumptions!$C$37,INDEX(Assumptions!$C$19:$C$22,MATCH(D40,Assumptions!$A$19:$A$22,0))=1),INDEX(Assumptions!$D$10:$D$15,MATCH(C40,Assumptions!$A$10:$A$15,0)),0)</f>
        <v>0.015</v>
      </c>
      <c r="J40" s="9" t="n">
        <f aca="false">F40*G40*(1+H40)</f>
        <v>190208.231283184</v>
      </c>
      <c r="K40" s="9" t="n">
        <f aca="false">J40*(1+I40)</f>
        <v>193061.354752432</v>
      </c>
      <c r="L40" s="24" t="n">
        <f aca="false">INDEX(Data_Base!$E$5:$E$28,B40)/INDEX(Data_Base!$C$5:$C$28,B40)*(1+INDEX(Assumptions!$C$10:$C$15,MATCH(C40,Assumptions!$A$10:$A$15,0)))</f>
        <v>158.728210881288</v>
      </c>
      <c r="M40" s="9" t="n">
        <f aca="false">F40*L40</f>
        <v>155760.176351435</v>
      </c>
      <c r="N40" s="24" t="n">
        <f aca="false">INDEX(Data_Base!$F$5:$F$28,B40)/INDEX(Data_Base!$C$5:$C$28,B40)*(1+Assumptions!$C$38)</f>
        <v>2.72570649496982</v>
      </c>
      <c r="O40" s="9" t="n">
        <f aca="false">F40*N40</f>
        <v>2674.73892625347</v>
      </c>
      <c r="P40" s="25" t="n">
        <f aca="false">IF(A40&lt;=3,SUMIFS(Data_Q1!$D$5:$D$76,Data_Q1!$A$5:$A$76,A40,Data_Q1!$B$5:$B$76,C40,Data_Q1!$C$5:$C$76,D40),F40*INDEX(Reforecast!$D$6:$D$9,MATCH(D40,Reforecast!$A$6:$A$9,0)))</f>
        <v>982.447684206686</v>
      </c>
      <c r="Q40" s="9" t="n">
        <f aca="false">IF(A40&lt;=3,SUMIFS(Data_Q1!$E$5:$E$76,Data_Q1!$A$5:$A$76,A40,Data_Q1!$B$5:$B$76,C40,Data_Q1!$C$5:$C$76,D40),P40*G40*(1+H40)*(1+I40))</f>
        <v>193286.923495882</v>
      </c>
      <c r="R40" s="9" t="n">
        <f aca="false">IF(A40&lt;=3,SUMIFS(Data_Q1!$F$5:$F$76,Data_Q1!$A$5:$A$76,A40,Data_Q1!$B$5:$B$76,C40,Data_Q1!$C$5:$C$76,D40),P40*L40*INDEX(Reforecast!$D$12:$D$17,MATCH(C40,Reforecast!$A$12:$A$17,0)))</f>
        <v>160235.098348459</v>
      </c>
      <c r="S40" s="9" t="n">
        <f aca="false">IF(A40&lt;=3,SUMIFS(Data_Q1!$G$5:$G$76,Data_Q1!$A$5:$A$76,A40,Data_Q1!$B$5:$B$76,C40,Data_Q1!$C$5:$C$76,D40),P40*N40)</f>
        <v>2677.86403381022</v>
      </c>
    </row>
    <row r="41" customFormat="false" ht="15" hidden="false" customHeight="false" outlineLevel="0" collapsed="false">
      <c r="A41" s="0" t="n">
        <f aca="false">MOD(ROW()-5,12)+1</f>
        <v>1</v>
      </c>
      <c r="B41" s="0" t="n">
        <f aca="false">INT((ROW()-5)/12)+1</f>
        <v>4</v>
      </c>
      <c r="C41" s="0" t="str">
        <f aca="false">INDEX(Data_Base!$A$5:$A$28,B41)</f>
        <v>Beef</v>
      </c>
      <c r="D41" s="0" t="str">
        <f aca="false">INDEX(Data_Base!$B$5:$B$28,B41)</f>
        <v>Online Direct</v>
      </c>
      <c r="E41" s="26" t="n">
        <f aca="false">INDEX(Data_Base!$B$32:$M$37,MATCH(C41,Data_Base!$A$32:$A$37,0),A41)</f>
        <v>0.071097</v>
      </c>
      <c r="F41" s="25" t="n">
        <f aca="false">INDEX(Data_Base!$C$5:$C$28,B41)*(1+INDEX(Assumptions!$B$19:$B$22,MATCH(D41,Assumptions!$A$19:$A$22,0)))*E41</f>
        <v>463.26520812</v>
      </c>
      <c r="G41" s="24" t="n">
        <f aca="false">INDEX(Data_Base!$D$5:$D$28,B41)/INDEX(Data_Base!$C$5:$C$28,B41)</f>
        <v>220.324386091996</v>
      </c>
      <c r="H41" s="27" t="n">
        <f aca="false">IF(A41&gt;=Assumptions!$C$37,INDEX(Assumptions!$B$10:$B$15,MATCH(C41,Assumptions!$A$10:$A$15,0)),0)</f>
        <v>0</v>
      </c>
      <c r="I41" s="27" t="n">
        <f aca="false">IF(AND(A41&gt;=Assumptions!$C$37,INDEX(Assumptions!$C$19:$C$22,MATCH(D41,Assumptions!$A$19:$A$22,0))=1),INDEX(Assumptions!$D$10:$D$15,MATCH(C41,Assumptions!$A$10:$A$15,0)),0)</f>
        <v>0</v>
      </c>
      <c r="J41" s="9" t="n">
        <f aca="false">F41*G41*(1+H41)</f>
        <v>102068.62257682</v>
      </c>
      <c r="K41" s="9" t="n">
        <f aca="false">J41*(1+I41)</f>
        <v>102068.62257682</v>
      </c>
      <c r="L41" s="24" t="n">
        <f aca="false">INDEX(Data_Base!$E$5:$E$28,B41)/INDEX(Data_Base!$C$5:$C$28,B41)*(1+INDEX(Assumptions!$C$10:$C$15,MATCH(C41,Assumptions!$A$10:$A$15,0)))</f>
        <v>159.09048391887</v>
      </c>
      <c r="M41" s="9" t="n">
        <f aca="false">F41*L41</f>
        <v>73701.0861425868</v>
      </c>
      <c r="N41" s="24" t="n">
        <f aca="false">INDEX(Data_Base!$F$5:$F$28,B41)/INDEX(Data_Base!$C$5:$C$28,B41)*(1+Assumptions!$C$38)</f>
        <v>11.5451865266208</v>
      </c>
      <c r="O41" s="9" t="n">
        <f aca="false">F41*N41</f>
        <v>5348.4832390392</v>
      </c>
      <c r="P41" s="25" t="n">
        <f aca="false">IF(A41&lt;=3,SUMIFS(Data_Q1!$D$5:$D$76,Data_Q1!$A$5:$A$76,A41,Data_Q1!$B$5:$B$76,C41,Data_Q1!$C$5:$C$76,D41),F41*INDEX(Reforecast!$D$6:$D$9,MATCH(D41,Reforecast!$A$6:$A$9,0)))</f>
        <v>464</v>
      </c>
      <c r="Q41" s="9" t="n">
        <f aca="false">IF(A41&lt;=3,SUMIFS(Data_Q1!$E$5:$E$76,Data_Q1!$A$5:$A$76,A41,Data_Q1!$B$5:$B$76,C41,Data_Q1!$C$5:$C$76,D41),P41*G41*(1+H41)*(1+I41))</f>
        <v>102558.65</v>
      </c>
      <c r="R41" s="9" t="n">
        <f aca="false">IF(A41&lt;=3,SUMIFS(Data_Q1!$F$5:$F$76,Data_Q1!$A$5:$A$76,A41,Data_Q1!$B$5:$B$76,C41,Data_Q1!$C$5:$C$76,D41),P41*L41*INDEX(Reforecast!$D$12:$D$17,MATCH(C41,Reforecast!$A$12:$A$17,0)))</f>
        <v>76594.94</v>
      </c>
      <c r="S41" s="9" t="n">
        <f aca="false">IF(A41&lt;=3,SUMIFS(Data_Q1!$G$5:$G$76,Data_Q1!$A$5:$A$76,A41,Data_Q1!$B$5:$B$76,C41,Data_Q1!$C$5:$C$76,D41),P41*N41)</f>
        <v>5357.42</v>
      </c>
    </row>
    <row r="42" customFormat="false" ht="15" hidden="false" customHeight="false" outlineLevel="0" collapsed="false">
      <c r="A42" s="0" t="n">
        <f aca="false">MOD(ROW()-5,12)+1</f>
        <v>2</v>
      </c>
      <c r="B42" s="0" t="n">
        <f aca="false">INT((ROW()-5)/12)+1</f>
        <v>4</v>
      </c>
      <c r="C42" s="0" t="str">
        <f aca="false">INDEX(Data_Base!$A$5:$A$28,B42)</f>
        <v>Beef</v>
      </c>
      <c r="D42" s="0" t="str">
        <f aca="false">INDEX(Data_Base!$B$5:$B$28,B42)</f>
        <v>Online Direct</v>
      </c>
      <c r="E42" s="26" t="n">
        <f aca="false">INDEX(Data_Base!$B$32:$M$37,MATCH(C42,Data_Base!$A$32:$A$37,0),A42)</f>
        <v>0.071356</v>
      </c>
      <c r="F42" s="25" t="n">
        <f aca="false">INDEX(Data_Base!$C$5:$C$28,B42)*(1+INDEX(Assumptions!$B$19:$B$22,MATCH(D42,Assumptions!$A$19:$A$22,0)))*E42</f>
        <v>464.95284176</v>
      </c>
      <c r="G42" s="24" t="n">
        <f aca="false">INDEX(Data_Base!$D$5:$D$28,B42)/INDEX(Data_Base!$C$5:$C$28,B42)</f>
        <v>220.324386091996</v>
      </c>
      <c r="H42" s="27" t="n">
        <f aca="false">IF(A42&gt;=Assumptions!$C$37,INDEX(Assumptions!$B$10:$B$15,MATCH(C42,Assumptions!$A$10:$A$15,0)),0)</f>
        <v>0.04</v>
      </c>
      <c r="I42" s="27" t="n">
        <f aca="false">IF(AND(A42&gt;=Assumptions!$C$37,INDEX(Assumptions!$C$19:$C$22,MATCH(D42,Assumptions!$A$19:$A$22,0))=1),INDEX(Assumptions!$D$10:$D$15,MATCH(C42,Assumptions!$A$10:$A$15,0)),0)</f>
        <v>0</v>
      </c>
      <c r="J42" s="9" t="n">
        <f aca="false">F42*G42*(1+H42)</f>
        <v>106538.067399401</v>
      </c>
      <c r="K42" s="9" t="n">
        <f aca="false">J42*(1+I42)</f>
        <v>106538.067399401</v>
      </c>
      <c r="L42" s="24" t="n">
        <f aca="false">INDEX(Data_Base!$E$5:$E$28,B42)/INDEX(Data_Base!$C$5:$C$28,B42)*(1+INDEX(Assumptions!$C$10:$C$15,MATCH(C42,Assumptions!$A$10:$A$15,0)))</f>
        <v>159.09048391887</v>
      </c>
      <c r="M42" s="9" t="n">
        <f aca="false">F42*L42</f>
        <v>73969.5725950522</v>
      </c>
      <c r="N42" s="24" t="n">
        <f aca="false">INDEX(Data_Base!$F$5:$F$28,B42)/INDEX(Data_Base!$C$5:$C$28,B42)*(1+Assumptions!$C$38)</f>
        <v>11.5451865266208</v>
      </c>
      <c r="O42" s="9" t="n">
        <f aca="false">F42*N42</f>
        <v>5367.9672842016</v>
      </c>
      <c r="P42" s="25" t="n">
        <f aca="false">IF(A42&lt;=3,SUMIFS(Data_Q1!$D$5:$D$76,Data_Q1!$A$5:$A$76,A42,Data_Q1!$B$5:$B$76,C42,Data_Q1!$C$5:$C$76,D42),F42*INDEX(Reforecast!$D$6:$D$9,MATCH(D42,Reforecast!$A$6:$A$9,0)))</f>
        <v>471.1</v>
      </c>
      <c r="Q42" s="9" t="n">
        <f aca="false">IF(A42&lt;=3,SUMIFS(Data_Q1!$E$5:$E$76,Data_Q1!$A$5:$A$76,A42,Data_Q1!$B$5:$B$76,C42,Data_Q1!$C$5:$C$76,D42),P42*G42*(1+H42)*(1+I42))</f>
        <v>108010.93</v>
      </c>
      <c r="R42" s="9" t="n">
        <f aca="false">IF(A42&lt;=3,SUMIFS(Data_Q1!$F$5:$F$76,Data_Q1!$A$5:$A$76,A42,Data_Q1!$B$5:$B$76,C42,Data_Q1!$C$5:$C$76,D42),P42*L42*INDEX(Reforecast!$D$12:$D$17,MATCH(C42,Reforecast!$A$12:$A$17,0)))</f>
        <v>77387.49</v>
      </c>
      <c r="S42" s="9" t="n">
        <f aca="false">IF(A42&lt;=3,SUMIFS(Data_Q1!$G$5:$G$76,Data_Q1!$A$5:$A$76,A42,Data_Q1!$B$5:$B$76,C42,Data_Q1!$C$5:$C$76,D42),P42*N42)</f>
        <v>5439.18</v>
      </c>
    </row>
    <row r="43" customFormat="false" ht="15" hidden="false" customHeight="false" outlineLevel="0" collapsed="false">
      <c r="A43" s="0" t="n">
        <f aca="false">MOD(ROW()-5,12)+1</f>
        <v>3</v>
      </c>
      <c r="B43" s="0" t="n">
        <f aca="false">INT((ROW()-5)/12)+1</f>
        <v>4</v>
      </c>
      <c r="C43" s="0" t="str">
        <f aca="false">INDEX(Data_Base!$A$5:$A$28,B43)</f>
        <v>Beef</v>
      </c>
      <c r="D43" s="0" t="str">
        <f aca="false">INDEX(Data_Base!$B$5:$B$28,B43)</f>
        <v>Online Direct</v>
      </c>
      <c r="E43" s="26" t="n">
        <f aca="false">INDEX(Data_Base!$B$32:$M$37,MATCH(C43,Data_Base!$A$32:$A$37,0),A43)</f>
        <v>0.076229</v>
      </c>
      <c r="F43" s="25" t="n">
        <f aca="false">INDEX(Data_Base!$C$5:$C$28,B43)*(1+INDEX(Assumptions!$B$19:$B$22,MATCH(D43,Assumptions!$A$19:$A$22,0)))*E43</f>
        <v>496.70511484</v>
      </c>
      <c r="G43" s="24" t="n">
        <f aca="false">INDEX(Data_Base!$D$5:$D$28,B43)/INDEX(Data_Base!$C$5:$C$28,B43)</f>
        <v>220.324386091996</v>
      </c>
      <c r="H43" s="27" t="n">
        <f aca="false">IF(A43&gt;=Assumptions!$C$37,INDEX(Assumptions!$B$10:$B$15,MATCH(C43,Assumptions!$A$10:$A$15,0)),0)</f>
        <v>0.04</v>
      </c>
      <c r="I43" s="27" t="n">
        <f aca="false">IF(AND(A43&gt;=Assumptions!$C$37,INDEX(Assumptions!$C$19:$C$22,MATCH(D43,Assumptions!$A$19:$A$22,0))=1),INDEX(Assumptions!$D$10:$D$15,MATCH(C43,Assumptions!$A$10:$A$15,0)),0)</f>
        <v>0</v>
      </c>
      <c r="J43" s="9" t="n">
        <f aca="false">F43*G43*(1+H43)</f>
        <v>113813.699475712</v>
      </c>
      <c r="K43" s="9" t="n">
        <f aca="false">J43*(1+I43)</f>
        <v>113813.699475712</v>
      </c>
      <c r="L43" s="24" t="n">
        <f aca="false">INDEX(Data_Base!$E$5:$E$28,B43)/INDEX(Data_Base!$C$5:$C$28,B43)*(1+INDEX(Assumptions!$C$10:$C$15,MATCH(C43,Assumptions!$A$10:$A$15,0)))</f>
        <v>159.09048391887</v>
      </c>
      <c r="M43" s="9" t="n">
        <f aca="false">F43*L43</f>
        <v>79021.0570848735</v>
      </c>
      <c r="N43" s="24" t="n">
        <f aca="false">INDEX(Data_Base!$F$5:$F$28,B43)/INDEX(Data_Base!$C$5:$C$28,B43)*(1+Assumptions!$C$38)</f>
        <v>11.5451865266208</v>
      </c>
      <c r="O43" s="9" t="n">
        <f aca="false">F43*N43</f>
        <v>5734.5531995544</v>
      </c>
      <c r="P43" s="25" t="n">
        <f aca="false">IF(A43&lt;=3,SUMIFS(Data_Q1!$D$5:$D$76,Data_Q1!$A$5:$A$76,A43,Data_Q1!$B$5:$B$76,C43,Data_Q1!$C$5:$C$76,D43),F43*INDEX(Reforecast!$D$6:$D$9,MATCH(D43,Reforecast!$A$6:$A$9,0)))</f>
        <v>494.6</v>
      </c>
      <c r="Q43" s="9" t="n">
        <f aca="false">IF(A43&lt;=3,SUMIFS(Data_Q1!$E$5:$E$76,Data_Q1!$A$5:$A$76,A43,Data_Q1!$B$5:$B$76,C43,Data_Q1!$C$5:$C$76,D43),P43*G43*(1+H43)*(1+I43))</f>
        <v>113985.42</v>
      </c>
      <c r="R43" s="9" t="n">
        <f aca="false">IF(A43&lt;=3,SUMIFS(Data_Q1!$F$5:$F$76,Data_Q1!$A$5:$A$76,A43,Data_Q1!$B$5:$B$76,C43,Data_Q1!$C$5:$C$76,D43),P43*L43*INDEX(Reforecast!$D$12:$D$17,MATCH(C43,Reforecast!$A$12:$A$17,0)))</f>
        <v>80911.84</v>
      </c>
      <c r="S43" s="9" t="n">
        <f aca="false">IF(A43&lt;=3,SUMIFS(Data_Q1!$G$5:$G$76,Data_Q1!$A$5:$A$76,A43,Data_Q1!$B$5:$B$76,C43,Data_Q1!$C$5:$C$76,D43),P43*N43)</f>
        <v>5709.83</v>
      </c>
    </row>
    <row r="44" customFormat="false" ht="15" hidden="false" customHeight="false" outlineLevel="0" collapsed="false">
      <c r="A44" s="0" t="n">
        <f aca="false">MOD(ROW()-5,12)+1</f>
        <v>4</v>
      </c>
      <c r="B44" s="0" t="n">
        <f aca="false">INT((ROW()-5)/12)+1</f>
        <v>4</v>
      </c>
      <c r="C44" s="0" t="str">
        <f aca="false">INDEX(Data_Base!$A$5:$A$28,B44)</f>
        <v>Beef</v>
      </c>
      <c r="D44" s="0" t="str">
        <f aca="false">INDEX(Data_Base!$B$5:$B$28,B44)</f>
        <v>Online Direct</v>
      </c>
      <c r="E44" s="26" t="n">
        <f aca="false">INDEX(Data_Base!$B$32:$M$37,MATCH(C44,Data_Base!$A$32:$A$37,0),A44)</f>
        <v>0.082956</v>
      </c>
      <c r="F44" s="25" t="n">
        <f aca="false">INDEX(Data_Base!$C$5:$C$28,B44)*(1+INDEX(Assumptions!$B$19:$B$22,MATCH(D44,Assumptions!$A$19:$A$22,0)))*E44</f>
        <v>540.53797776</v>
      </c>
      <c r="G44" s="24" t="n">
        <f aca="false">INDEX(Data_Base!$D$5:$D$28,B44)/INDEX(Data_Base!$C$5:$C$28,B44)</f>
        <v>220.324386091996</v>
      </c>
      <c r="H44" s="27" t="n">
        <f aca="false">IF(A44&gt;=Assumptions!$C$37,INDEX(Assumptions!$B$10:$B$15,MATCH(C44,Assumptions!$A$10:$A$15,0)),0)</f>
        <v>0.04</v>
      </c>
      <c r="I44" s="27" t="n">
        <f aca="false">IF(AND(A44&gt;=Assumptions!$C$37,INDEX(Assumptions!$C$19:$C$22,MATCH(D44,Assumptions!$A$19:$A$22,0))=1),INDEX(Assumptions!$D$10:$D$15,MATCH(C44,Assumptions!$A$10:$A$15,0)),0)</f>
        <v>0</v>
      </c>
      <c r="J44" s="9" t="n">
        <f aca="false">F44*G44*(1+H44)</f>
        <v>123857.446033756</v>
      </c>
      <c r="K44" s="9" t="n">
        <f aca="false">J44*(1+I44)</f>
        <v>123857.446033756</v>
      </c>
      <c r="L44" s="24" t="n">
        <f aca="false">INDEX(Data_Base!$E$5:$E$28,B44)/INDEX(Data_Base!$C$5:$C$28,B44)*(1+INDEX(Assumptions!$C$10:$C$15,MATCH(C44,Assumptions!$A$10:$A$15,0)))</f>
        <v>159.09048391887</v>
      </c>
      <c r="M44" s="9" t="n">
        <f aca="false">F44*L44</f>
        <v>85994.4484583658</v>
      </c>
      <c r="N44" s="24" t="n">
        <f aca="false">INDEX(Data_Base!$F$5:$F$28,B44)/INDEX(Data_Base!$C$5:$C$28,B44)*(1+Assumptions!$C$38)</f>
        <v>11.5451865266208</v>
      </c>
      <c r="O44" s="9" t="n">
        <f aca="false">F44*N44</f>
        <v>6240.6117779616</v>
      </c>
      <c r="P44" s="25" t="n">
        <f aca="false">IF(A44&lt;=3,SUMIFS(Data_Q1!$D$5:$D$76,Data_Q1!$A$5:$A$76,A44,Data_Q1!$B$5:$B$76,C44,Data_Q1!$C$5:$C$76,D44),F44*INDEX(Reforecast!$D$6:$D$9,MATCH(D44,Reforecast!$A$6:$A$9,0)))</f>
        <v>541.80930514875</v>
      </c>
      <c r="Q44" s="9" t="n">
        <f aca="false">IF(A44&lt;=3,SUMIFS(Data_Q1!$E$5:$E$76,Data_Q1!$A$5:$A$76,A44,Data_Q1!$B$5:$B$76,C44,Data_Q1!$C$5:$C$76,D44),P44*G44*(1+H44)*(1+I44))</f>
        <v>124148.754637262</v>
      </c>
      <c r="R44" s="9" t="n">
        <f aca="false">IF(A44&lt;=3,SUMIFS(Data_Q1!$F$5:$F$76,Data_Q1!$A$5:$A$76,A44,Data_Q1!$B$5:$B$76,C44,Data_Q1!$C$5:$C$76,D44),P44*L44*INDEX(Reforecast!$D$12:$D$17,MATCH(C44,Reforecast!$A$12:$A$17,0)))</f>
        <v>88569.6154730805</v>
      </c>
      <c r="S44" s="9" t="n">
        <f aca="false">IF(A44&lt;=3,SUMIFS(Data_Q1!$G$5:$G$76,Data_Q1!$A$5:$A$76,A44,Data_Q1!$B$5:$B$76,C44,Data_Q1!$C$5:$C$76,D44),P44*N44)</f>
        <v>6255.28948980112</v>
      </c>
    </row>
    <row r="45" customFormat="false" ht="15" hidden="false" customHeight="false" outlineLevel="0" collapsed="false">
      <c r="A45" s="0" t="n">
        <f aca="false">MOD(ROW()-5,12)+1</f>
        <v>5</v>
      </c>
      <c r="B45" s="0" t="n">
        <f aca="false">INT((ROW()-5)/12)+1</f>
        <v>4</v>
      </c>
      <c r="C45" s="0" t="str">
        <f aca="false">INDEX(Data_Base!$A$5:$A$28,B45)</f>
        <v>Beef</v>
      </c>
      <c r="D45" s="0" t="str">
        <f aca="false">INDEX(Data_Base!$B$5:$B$28,B45)</f>
        <v>Online Direct</v>
      </c>
      <c r="E45" s="26" t="n">
        <f aca="false">INDEX(Data_Base!$B$32:$M$37,MATCH(C45,Data_Base!$A$32:$A$37,0),A45)</f>
        <v>0.090704</v>
      </c>
      <c r="F45" s="25" t="n">
        <f aca="false">INDEX(Data_Base!$C$5:$C$28,B45)*(1+INDEX(Assumptions!$B$19:$B$22,MATCH(D45,Assumptions!$A$19:$A$22,0)))*E45</f>
        <v>591.02363584</v>
      </c>
      <c r="G45" s="24" t="n">
        <f aca="false">INDEX(Data_Base!$D$5:$D$28,B45)/INDEX(Data_Base!$C$5:$C$28,B45)</f>
        <v>220.324386091996</v>
      </c>
      <c r="H45" s="27" t="n">
        <f aca="false">IF(A45&gt;=Assumptions!$C$37,INDEX(Assumptions!$B$10:$B$15,MATCH(C45,Assumptions!$A$10:$A$15,0)),0)</f>
        <v>0.04</v>
      </c>
      <c r="I45" s="27" t="n">
        <f aca="false">IF(AND(A45&gt;=Assumptions!$C$37,INDEX(Assumptions!$C$19:$C$22,MATCH(D45,Assumptions!$A$19:$A$22,0))=1),INDEX(Assumptions!$D$10:$D$15,MATCH(C45,Assumptions!$A$10:$A$15,0)),0)</f>
        <v>0</v>
      </c>
      <c r="J45" s="9" t="n">
        <f aca="false">F45*G45*(1+H45)</f>
        <v>135425.596521599</v>
      </c>
      <c r="K45" s="9" t="n">
        <f aca="false">J45*(1+I45)</f>
        <v>135425.596521599</v>
      </c>
      <c r="L45" s="24" t="n">
        <f aca="false">INDEX(Data_Base!$E$5:$E$28,B45)/INDEX(Data_Base!$C$5:$C$28,B45)*(1+INDEX(Assumptions!$C$10:$C$15,MATCH(C45,Assumptions!$A$10:$A$15,0)))</f>
        <v>159.09048391887</v>
      </c>
      <c r="M45" s="9" t="n">
        <f aca="false">F45*L45</f>
        <v>94026.2362332756</v>
      </c>
      <c r="N45" s="24" t="n">
        <f aca="false">INDEX(Data_Base!$F$5:$F$28,B45)/INDEX(Data_Base!$C$5:$C$28,B45)*(1+Assumptions!$C$38)</f>
        <v>11.5451865266208</v>
      </c>
      <c r="O45" s="9" t="n">
        <f aca="false">F45*N45</f>
        <v>6823.4781174144</v>
      </c>
      <c r="P45" s="25" t="n">
        <f aca="false">IF(A45&lt;=3,SUMIFS(Data_Q1!$D$5:$D$76,Data_Q1!$A$5:$A$76,A45,Data_Q1!$B$5:$B$76,C45,Data_Q1!$C$5:$C$76,D45),F45*INDEX(Reforecast!$D$6:$D$9,MATCH(D45,Reforecast!$A$6:$A$9,0)))</f>
        <v>592.413703821451</v>
      </c>
      <c r="Q45" s="9" t="n">
        <f aca="false">IF(A45&lt;=3,SUMIFS(Data_Q1!$E$5:$E$76,Data_Q1!$A$5:$A$76,A45,Data_Q1!$B$5:$B$76,C45,Data_Q1!$C$5:$C$76,D45),P45*G45*(1+H45)*(1+I45))</f>
        <v>135744.113031224</v>
      </c>
      <c r="R45" s="9" t="n">
        <f aca="false">IF(A45&lt;=3,SUMIFS(Data_Q1!$F$5:$F$76,Data_Q1!$A$5:$A$76,A45,Data_Q1!$B$5:$B$76,C45,Data_Q1!$C$5:$C$76,D45),P45*L45*INDEX(Reforecast!$D$12:$D$17,MATCH(C45,Reforecast!$A$12:$A$17,0)))</f>
        <v>96841.9210409168</v>
      </c>
      <c r="S45" s="9" t="n">
        <f aca="false">IF(A45&lt;=3,SUMIFS(Data_Q1!$G$5:$G$76,Data_Q1!$A$5:$A$76,A45,Data_Q1!$B$5:$B$76,C45,Data_Q1!$C$5:$C$76,D45),P45*N45)</f>
        <v>6839.52671154493</v>
      </c>
    </row>
    <row r="46" customFormat="false" ht="15" hidden="false" customHeight="false" outlineLevel="0" collapsed="false">
      <c r="A46" s="0" t="n">
        <f aca="false">MOD(ROW()-5,12)+1</f>
        <v>6</v>
      </c>
      <c r="B46" s="0" t="n">
        <f aca="false">INT((ROW()-5)/12)+1</f>
        <v>4</v>
      </c>
      <c r="C46" s="0" t="str">
        <f aca="false">INDEX(Data_Base!$A$5:$A$28,B46)</f>
        <v>Beef</v>
      </c>
      <c r="D46" s="0" t="str">
        <f aca="false">INDEX(Data_Base!$B$5:$B$28,B46)</f>
        <v>Online Direct</v>
      </c>
      <c r="E46" s="26" t="n">
        <f aca="false">INDEX(Data_Base!$B$32:$M$37,MATCH(C46,Data_Base!$A$32:$A$37,0),A46)</f>
        <v>0.098481</v>
      </c>
      <c r="F46" s="25" t="n">
        <f aca="false">INDEX(Data_Base!$C$5:$C$28,B46)*(1+INDEX(Assumptions!$B$19:$B$22,MATCH(D46,Assumptions!$A$19:$A$22,0)))*E46</f>
        <v>641.69825676</v>
      </c>
      <c r="G46" s="24" t="n">
        <f aca="false">INDEX(Data_Base!$D$5:$D$28,B46)/INDEX(Data_Base!$C$5:$C$28,B46)</f>
        <v>220.324386091996</v>
      </c>
      <c r="H46" s="27" t="n">
        <f aca="false">IF(A46&gt;=Assumptions!$C$37,INDEX(Assumptions!$B$10:$B$15,MATCH(C46,Assumptions!$A$10:$A$15,0)),0)</f>
        <v>0.04</v>
      </c>
      <c r="I46" s="27" t="n">
        <f aca="false">IF(AND(A46&gt;=Assumptions!$C$37,INDEX(Assumptions!$C$19:$C$22,MATCH(D46,Assumptions!$A$19:$A$22,0))=1),INDEX(Assumptions!$D$10:$D$15,MATCH(C46,Assumptions!$A$10:$A$15,0)),0)</f>
        <v>0</v>
      </c>
      <c r="J46" s="9" t="n">
        <f aca="false">F46*G46*(1+H46)</f>
        <v>147037.045456029</v>
      </c>
      <c r="K46" s="9" t="n">
        <f aca="false">J46*(1+I46)</f>
        <v>147037.045456029</v>
      </c>
      <c r="L46" s="24" t="n">
        <f aca="false">INDEX(Data_Base!$E$5:$E$28,B46)/INDEX(Data_Base!$C$5:$C$28,B46)*(1+INDEX(Assumptions!$C$10:$C$15,MATCH(C46,Assumptions!$A$10:$A$15,0)))</f>
        <v>159.09048391887</v>
      </c>
      <c r="M46" s="9" t="n">
        <f aca="false">F46*L46</f>
        <v>102088.086197844</v>
      </c>
      <c r="N46" s="24" t="n">
        <f aca="false">INDEX(Data_Base!$F$5:$F$28,B46)/INDEX(Data_Base!$C$5:$C$28,B46)*(1+Assumptions!$C$38)</f>
        <v>11.5451865266208</v>
      </c>
      <c r="O46" s="9" t="n">
        <f aca="false">F46*N46</f>
        <v>7408.5260681016</v>
      </c>
      <c r="P46" s="25" t="n">
        <f aca="false">IF(A46&lt;=3,SUMIFS(Data_Q1!$D$5:$D$76,Data_Q1!$A$5:$A$76,A46,Data_Q1!$B$5:$B$76,C46,Data_Q1!$C$5:$C$76,D46),F46*INDEX(Reforecast!$D$6:$D$9,MATCH(D46,Reforecast!$A$6:$A$9,0)))</f>
        <v>643.207509768481</v>
      </c>
      <c r="Q46" s="9" t="n">
        <f aca="false">IF(A46&lt;=3,SUMIFS(Data_Q1!$E$5:$E$76,Data_Q1!$A$5:$A$76,A46,Data_Q1!$B$5:$B$76,C46,Data_Q1!$C$5:$C$76,D46),P46*G46*(1+H46)*(1+I46))</f>
        <v>147382.871708282</v>
      </c>
      <c r="R46" s="9" t="n">
        <f aca="false">IF(A46&lt;=3,SUMIFS(Data_Q1!$F$5:$F$76,Data_Q1!$A$5:$A$76,A46,Data_Q1!$B$5:$B$76,C46,Data_Q1!$C$5:$C$76,D46),P46*L46*INDEX(Reforecast!$D$12:$D$17,MATCH(C46,Reforecast!$A$12:$A$17,0)))</f>
        <v>105145.189032794</v>
      </c>
      <c r="S46" s="9" t="n">
        <f aca="false">IF(A46&lt;=3,SUMIFS(Data_Q1!$G$5:$G$76,Data_Q1!$A$5:$A$76,A46,Data_Q1!$B$5:$B$76,C46,Data_Q1!$C$5:$C$76,D46),P46*N46)</f>
        <v>7425.95067560037</v>
      </c>
    </row>
    <row r="47" customFormat="false" ht="15" hidden="false" customHeight="false" outlineLevel="0" collapsed="false">
      <c r="A47" s="0" t="n">
        <f aca="false">MOD(ROW()-5,12)+1</f>
        <v>7</v>
      </c>
      <c r="B47" s="0" t="n">
        <f aca="false">INT((ROW()-5)/12)+1</f>
        <v>4</v>
      </c>
      <c r="C47" s="0" t="str">
        <f aca="false">INDEX(Data_Base!$A$5:$A$28,B47)</f>
        <v>Beef</v>
      </c>
      <c r="D47" s="0" t="str">
        <f aca="false">INDEX(Data_Base!$B$5:$B$28,B47)</f>
        <v>Online Direct</v>
      </c>
      <c r="E47" s="26" t="n">
        <f aca="false">INDEX(Data_Base!$B$32:$M$37,MATCH(C47,Data_Base!$A$32:$A$37,0),A47)</f>
        <v>0.098998</v>
      </c>
      <c r="F47" s="25" t="n">
        <f aca="false">INDEX(Data_Base!$C$5:$C$28,B47)*(1+INDEX(Assumptions!$B$19:$B$22,MATCH(D47,Assumptions!$A$19:$A$22,0)))*E47</f>
        <v>645.06700808</v>
      </c>
      <c r="G47" s="24" t="n">
        <f aca="false">INDEX(Data_Base!$D$5:$D$28,B47)/INDEX(Data_Base!$C$5:$C$28,B47)</f>
        <v>220.324386091996</v>
      </c>
      <c r="H47" s="27" t="n">
        <f aca="false">IF(A47&gt;=Assumptions!$C$37,INDEX(Assumptions!$B$10:$B$15,MATCH(C47,Assumptions!$A$10:$A$15,0)),0)</f>
        <v>0.04</v>
      </c>
      <c r="I47" s="27" t="n">
        <f aca="false">IF(AND(A47&gt;=Assumptions!$C$37,INDEX(Assumptions!$C$19:$C$22,MATCH(D47,Assumptions!$A$19:$A$22,0))=1),INDEX(Assumptions!$D$10:$D$15,MATCH(C47,Assumptions!$A$10:$A$15,0)),0)</f>
        <v>0</v>
      </c>
      <c r="J47" s="9" t="n">
        <f aca="false">F47*G47*(1+H47)</f>
        <v>147808.952245163</v>
      </c>
      <c r="K47" s="9" t="n">
        <f aca="false">J47*(1+I47)</f>
        <v>147808.952245163</v>
      </c>
      <c r="L47" s="24" t="n">
        <f aca="false">INDEX(Data_Base!$E$5:$E$28,B47)/INDEX(Data_Base!$C$5:$C$28,B47)*(1+INDEX(Assumptions!$C$10:$C$15,MATCH(C47,Assumptions!$A$10:$A$15,0)))</f>
        <v>159.09048391887</v>
      </c>
      <c r="M47" s="9" t="n">
        <f aca="false">F47*L47</f>
        <v>102624.022475545</v>
      </c>
      <c r="N47" s="24" t="n">
        <f aca="false">INDEX(Data_Base!$F$5:$F$28,B47)/INDEX(Data_Base!$C$5:$C$28,B47)*(1+Assumptions!$C$38)</f>
        <v>11.5451865266208</v>
      </c>
      <c r="O47" s="9" t="n">
        <f aca="false">F47*N47</f>
        <v>7447.4189304528</v>
      </c>
      <c r="P47" s="25" t="n">
        <f aca="false">IF(A47&lt;=3,SUMIFS(Data_Q1!$D$5:$D$76,Data_Q1!$A$5:$A$76,A47,Data_Q1!$B$5:$B$76,C47,Data_Q1!$C$5:$C$76,D47),F47*INDEX(Reforecast!$D$6:$D$9,MATCH(D47,Reforecast!$A$6:$A$9,0)))</f>
        <v>646.584184279811</v>
      </c>
      <c r="Q47" s="9" t="n">
        <f aca="false">IF(A47&lt;=3,SUMIFS(Data_Q1!$E$5:$E$76,Data_Q1!$A$5:$A$76,A47,Data_Q1!$B$5:$B$76,C47,Data_Q1!$C$5:$C$76,D47),P47*G47*(1+H47)*(1+I47))</f>
        <v>148156.593996573</v>
      </c>
      <c r="R47" s="9" t="n">
        <f aca="false">IF(A47&lt;=3,SUMIFS(Data_Q1!$F$5:$F$76,Data_Q1!$A$5:$A$76,A47,Data_Q1!$B$5:$B$76,C47,Data_Q1!$C$5:$C$76,D47),P47*L47*INDEX(Reforecast!$D$12:$D$17,MATCH(C47,Reforecast!$A$12:$A$17,0)))</f>
        <v>105697.174316554</v>
      </c>
      <c r="S47" s="9" t="n">
        <f aca="false">IF(A47&lt;=3,SUMIFS(Data_Q1!$G$5:$G$76,Data_Q1!$A$5:$A$76,A47,Data_Q1!$B$5:$B$76,C47,Data_Q1!$C$5:$C$76,D47),P47*N47)</f>
        <v>7464.93501267337</v>
      </c>
    </row>
    <row r="48" customFormat="false" ht="15" hidden="false" customHeight="false" outlineLevel="0" collapsed="false">
      <c r="A48" s="0" t="n">
        <f aca="false">MOD(ROW()-5,12)+1</f>
        <v>8</v>
      </c>
      <c r="B48" s="0" t="n">
        <f aca="false">INT((ROW()-5)/12)+1</f>
        <v>4</v>
      </c>
      <c r="C48" s="0" t="str">
        <f aca="false">INDEX(Data_Base!$A$5:$A$28,B48)</f>
        <v>Beef</v>
      </c>
      <c r="D48" s="0" t="str">
        <f aca="false">INDEX(Data_Base!$B$5:$B$28,B48)</f>
        <v>Online Direct</v>
      </c>
      <c r="E48" s="26" t="n">
        <f aca="false">INDEX(Data_Base!$B$32:$M$37,MATCH(C48,Data_Base!$A$32:$A$37,0),A48)</f>
        <v>0.095376</v>
      </c>
      <c r="F48" s="25" t="n">
        <f aca="false">INDEX(Data_Base!$C$5:$C$28,B48)*(1+INDEX(Assumptions!$B$19:$B$22,MATCH(D48,Assumptions!$A$19:$A$22,0)))*E48</f>
        <v>621.46620096</v>
      </c>
      <c r="G48" s="24" t="n">
        <f aca="false">INDEX(Data_Base!$D$5:$D$28,B48)/INDEX(Data_Base!$C$5:$C$28,B48)</f>
        <v>220.324386091996</v>
      </c>
      <c r="H48" s="27" t="n">
        <f aca="false">IF(A48&gt;=Assumptions!$C$37,INDEX(Assumptions!$B$10:$B$15,MATCH(C48,Assumptions!$A$10:$A$15,0)),0)</f>
        <v>0.04</v>
      </c>
      <c r="I48" s="27" t="n">
        <f aca="false">IF(AND(A48&gt;=Assumptions!$C$37,INDEX(Assumptions!$C$19:$C$22,MATCH(D48,Assumptions!$A$19:$A$22,0))=1),INDEX(Assumptions!$D$10:$D$15,MATCH(C48,Assumptions!$A$10:$A$15,0)),0)</f>
        <v>0</v>
      </c>
      <c r="J48" s="9" t="n">
        <f aca="false">F48*G48*(1+H48)</f>
        <v>142401.125571574</v>
      </c>
      <c r="K48" s="9" t="n">
        <f aca="false">J48*(1+I48)</f>
        <v>142401.125571574</v>
      </c>
      <c r="L48" s="24" t="n">
        <f aca="false">INDEX(Data_Base!$E$5:$E$28,B48)/INDEX(Data_Base!$C$5:$C$28,B48)*(1+INDEX(Assumptions!$C$10:$C$15,MATCH(C48,Assumptions!$A$10:$A$15,0)))</f>
        <v>159.09048391887</v>
      </c>
      <c r="M48" s="9" t="n">
        <f aca="false">F48*L48</f>
        <v>98869.3586499481</v>
      </c>
      <c r="N48" s="24" t="n">
        <f aca="false">INDEX(Data_Base!$F$5:$F$28,B48)/INDEX(Data_Base!$C$5:$C$28,B48)*(1+Assumptions!$C$38)</f>
        <v>11.5451865266208</v>
      </c>
      <c r="O48" s="9" t="n">
        <f aca="false">F48*N48</f>
        <v>7174.9432100736</v>
      </c>
      <c r="P48" s="25" t="n">
        <f aca="false">IF(A48&lt;=3,SUMIFS(Data_Q1!$D$5:$D$76,Data_Q1!$A$5:$A$76,A48,Data_Q1!$B$5:$B$76,C48,Data_Q1!$C$5:$C$76,D48),F48*INDEX(Reforecast!$D$6:$D$9,MATCH(D48,Reforecast!$A$6:$A$9,0)))</f>
        <v>622.927868844535</v>
      </c>
      <c r="Q48" s="9" t="n">
        <f aca="false">IF(A48&lt;=3,SUMIFS(Data_Q1!$E$5:$E$76,Data_Q1!$A$5:$A$76,A48,Data_Q1!$B$5:$B$76,C48,Data_Q1!$C$5:$C$76,D48),P48*G48*(1+H48)*(1+I48))</f>
        <v>142736.048294078</v>
      </c>
      <c r="R48" s="9" t="n">
        <f aca="false">IF(A48&lt;=3,SUMIFS(Data_Q1!$F$5:$F$76,Data_Q1!$A$5:$A$76,A48,Data_Q1!$B$5:$B$76,C48,Data_Q1!$C$5:$C$76,D48),P48*L48*INDEX(Reforecast!$D$12:$D$17,MATCH(C48,Reforecast!$A$12:$A$17,0)))</f>
        <v>101830.074320851</v>
      </c>
      <c r="S48" s="9" t="n">
        <f aca="false">IF(A48&lt;=3,SUMIFS(Data_Q1!$G$5:$G$76,Data_Q1!$A$5:$A$76,A48,Data_Q1!$B$5:$B$76,C48,Data_Q1!$C$5:$C$76,D48),P48*N48)</f>
        <v>7191.81843844052</v>
      </c>
    </row>
    <row r="49" customFormat="false" ht="15" hidden="false" customHeight="false" outlineLevel="0" collapsed="false">
      <c r="A49" s="0" t="n">
        <f aca="false">MOD(ROW()-5,12)+1</f>
        <v>9</v>
      </c>
      <c r="B49" s="0" t="n">
        <f aca="false">INT((ROW()-5)/12)+1</f>
        <v>4</v>
      </c>
      <c r="C49" s="0" t="str">
        <f aca="false">INDEX(Data_Base!$A$5:$A$28,B49)</f>
        <v>Beef</v>
      </c>
      <c r="D49" s="0" t="str">
        <f aca="false">INDEX(Data_Base!$B$5:$B$28,B49)</f>
        <v>Online Direct</v>
      </c>
      <c r="E49" s="26" t="n">
        <f aca="false">INDEX(Data_Base!$B$32:$M$37,MATCH(C49,Data_Base!$A$32:$A$37,0),A49)</f>
        <v>0.08195</v>
      </c>
      <c r="F49" s="25" t="n">
        <f aca="false">INDEX(Data_Base!$C$5:$C$28,B49)*(1+INDEX(Assumptions!$B$19:$B$22,MATCH(D49,Assumptions!$A$19:$A$22,0)))*E49</f>
        <v>533.982922</v>
      </c>
      <c r="G49" s="24" t="n">
        <f aca="false">INDEX(Data_Base!$D$5:$D$28,B49)/INDEX(Data_Base!$C$5:$C$28,B49)</f>
        <v>220.324386091996</v>
      </c>
      <c r="H49" s="27" t="n">
        <f aca="false">IF(A49&gt;=Assumptions!$C$37,INDEX(Assumptions!$B$10:$B$15,MATCH(C49,Assumptions!$A$10:$A$15,0)),0)</f>
        <v>0.04</v>
      </c>
      <c r="I49" s="27" t="n">
        <f aca="false">IF(AND(A49&gt;=Assumptions!$C$37,INDEX(Assumptions!$C$19:$C$22,MATCH(D49,Assumptions!$A$19:$A$22,0))=1),INDEX(Assumptions!$D$10:$D$15,MATCH(C49,Assumptions!$A$10:$A$15,0)),0)</f>
        <v>0</v>
      </c>
      <c r="J49" s="9" t="n">
        <f aca="false">F49*G49*(1+H49)</f>
        <v>122355.43785219</v>
      </c>
      <c r="K49" s="9" t="n">
        <f aca="false">J49*(1+I49)</f>
        <v>122355.43785219</v>
      </c>
      <c r="L49" s="24" t="n">
        <f aca="false">INDEX(Data_Base!$E$5:$E$28,B49)/INDEX(Data_Base!$C$5:$C$28,B49)*(1+INDEX(Assumptions!$C$10:$C$15,MATCH(C49,Assumptions!$A$10:$A$15,0)))</f>
        <v>159.09048391887</v>
      </c>
      <c r="M49" s="9" t="n">
        <f aca="false">F49*L49</f>
        <v>84951.6014653922</v>
      </c>
      <c r="N49" s="24" t="n">
        <f aca="false">INDEX(Data_Base!$F$5:$F$28,B49)/INDEX(Data_Base!$C$5:$C$28,B49)*(1+Assumptions!$C$38)</f>
        <v>11.5451865266208</v>
      </c>
      <c r="O49" s="9" t="n">
        <f aca="false">F49*N49</f>
        <v>6164.93243652</v>
      </c>
      <c r="P49" s="25" t="n">
        <f aca="false">IF(A49&lt;=3,SUMIFS(Data_Q1!$D$5:$D$76,Data_Q1!$A$5:$A$76,A49,Data_Q1!$B$5:$B$76,C49,Data_Q1!$C$5:$C$76,D49),F49*INDEX(Reforecast!$D$6:$D$9,MATCH(D49,Reforecast!$A$6:$A$9,0)))</f>
        <v>535.238832115098</v>
      </c>
      <c r="Q49" s="9" t="n">
        <f aca="false">IF(A49&lt;=3,SUMIFS(Data_Q1!$E$5:$E$76,Data_Q1!$A$5:$A$76,A49,Data_Q1!$B$5:$B$76,C49,Data_Q1!$C$5:$C$76,D49),P49*G49*(1+H49)*(1+I49))</f>
        <v>122643.21378229</v>
      </c>
      <c r="R49" s="9" t="n">
        <f aca="false">IF(A49&lt;=3,SUMIFS(Data_Q1!$F$5:$F$76,Data_Q1!$A$5:$A$76,A49,Data_Q1!$B$5:$B$76,C49,Data_Q1!$C$5:$C$76,D49),P49*L49*INDEX(Reforecast!$D$12:$D$17,MATCH(C49,Reforecast!$A$12:$A$17,0)))</f>
        <v>87495.539659807</v>
      </c>
      <c r="S49" s="9" t="n">
        <f aca="false">IF(A49&lt;=3,SUMIFS(Data_Q1!$G$5:$G$76,Data_Q1!$A$5:$A$76,A49,Data_Q1!$B$5:$B$76,C49,Data_Q1!$C$5:$C$76,D49),P49*N49)</f>
        <v>6179.43215305948</v>
      </c>
    </row>
    <row r="50" customFormat="false" ht="15" hidden="false" customHeight="false" outlineLevel="0" collapsed="false">
      <c r="A50" s="0" t="n">
        <f aca="false">MOD(ROW()-5,12)+1</f>
        <v>10</v>
      </c>
      <c r="B50" s="0" t="n">
        <f aca="false">INT((ROW()-5)/12)+1</f>
        <v>4</v>
      </c>
      <c r="C50" s="0" t="str">
        <f aca="false">INDEX(Data_Base!$A$5:$A$28,B50)</f>
        <v>Beef</v>
      </c>
      <c r="D50" s="0" t="str">
        <f aca="false">INDEX(Data_Base!$B$5:$B$28,B50)</f>
        <v>Online Direct</v>
      </c>
      <c r="E50" s="26" t="n">
        <f aca="false">INDEX(Data_Base!$B$32:$M$37,MATCH(C50,Data_Base!$A$32:$A$37,0),A50)</f>
        <v>0.079492</v>
      </c>
      <c r="F50" s="25" t="n">
        <f aca="false">INDEX(Data_Base!$C$5:$C$28,B50)*(1+INDEX(Assumptions!$B$19:$B$22,MATCH(D50,Assumptions!$A$19:$A$22,0)))*E50</f>
        <v>517.96669232</v>
      </c>
      <c r="G50" s="24" t="n">
        <f aca="false">INDEX(Data_Base!$D$5:$D$28,B50)/INDEX(Data_Base!$C$5:$C$28,B50)</f>
        <v>220.324386091996</v>
      </c>
      <c r="H50" s="27" t="n">
        <f aca="false">IF(A50&gt;=Assumptions!$C$37,INDEX(Assumptions!$B$10:$B$15,MATCH(C50,Assumptions!$A$10:$A$15,0)),0)</f>
        <v>0.04</v>
      </c>
      <c r="I50" s="27" t="n">
        <f aca="false">IF(AND(A50&gt;=Assumptions!$C$37,INDEX(Assumptions!$C$19:$C$22,MATCH(D50,Assumptions!$A$19:$A$22,0))=1),INDEX(Assumptions!$D$10:$D$15,MATCH(C50,Assumptions!$A$10:$A$15,0)),0)</f>
        <v>0</v>
      </c>
      <c r="J50" s="9" t="n">
        <f aca="false">F50*G50*(1+H50)</f>
        <v>118685.521241566</v>
      </c>
      <c r="K50" s="9" t="n">
        <f aca="false">J50*(1+I50)</f>
        <v>118685.521241566</v>
      </c>
      <c r="L50" s="24" t="n">
        <f aca="false">INDEX(Data_Base!$E$5:$E$28,B50)/INDEX(Data_Base!$C$5:$C$28,B50)*(1+INDEX(Assumptions!$C$10:$C$15,MATCH(C50,Assumptions!$A$10:$A$15,0)))</f>
        <v>159.09048391887</v>
      </c>
      <c r="M50" s="9" t="n">
        <f aca="false">F50*L50</f>
        <v>82403.5717350452</v>
      </c>
      <c r="N50" s="24" t="n">
        <f aca="false">INDEX(Data_Base!$F$5:$F$28,B50)/INDEX(Data_Base!$C$5:$C$28,B50)*(1+Assumptions!$C$38)</f>
        <v>11.5451865266208</v>
      </c>
      <c r="O50" s="9" t="n">
        <f aca="false">F50*N50</f>
        <v>5980.0220774112</v>
      </c>
      <c r="P50" s="25" t="n">
        <f aca="false">IF(A50&lt;=3,SUMIFS(Data_Q1!$D$5:$D$76,Data_Q1!$A$5:$A$76,A50,Data_Q1!$B$5:$B$76,C50,Data_Q1!$C$5:$C$76,D50),F50*INDEX(Reforecast!$D$6:$D$9,MATCH(D50,Reforecast!$A$6:$A$9,0)))</f>
        <v>519.184932794306</v>
      </c>
      <c r="Q50" s="9" t="n">
        <f aca="false">IF(A50&lt;=3,SUMIFS(Data_Q1!$E$5:$E$76,Data_Q1!$A$5:$A$76,A50,Data_Q1!$B$5:$B$76,C50,Data_Q1!$C$5:$C$76,D50),P50*G50*(1+H50)*(1+I50))</f>
        <v>118964.665649564</v>
      </c>
      <c r="R50" s="9" t="n">
        <f aca="false">IF(A50&lt;=3,SUMIFS(Data_Q1!$F$5:$F$76,Data_Q1!$A$5:$A$76,A50,Data_Q1!$B$5:$B$76,C50,Data_Q1!$C$5:$C$76,D50),P50*L50*INDEX(Reforecast!$D$12:$D$17,MATCH(C50,Reforecast!$A$12:$A$17,0)))</f>
        <v>84871.2073049101</v>
      </c>
      <c r="S50" s="9" t="n">
        <f aca="false">IF(A50&lt;=3,SUMIFS(Data_Q1!$G$5:$G$76,Data_Q1!$A$5:$A$76,A50,Data_Q1!$B$5:$B$76,C50,Data_Q1!$C$5:$C$76,D50),P50*N50)</f>
        <v>5994.08689092134</v>
      </c>
    </row>
    <row r="51" customFormat="false" ht="15" hidden="false" customHeight="false" outlineLevel="0" collapsed="false">
      <c r="A51" s="0" t="n">
        <f aca="false">MOD(ROW()-5,12)+1</f>
        <v>11</v>
      </c>
      <c r="B51" s="0" t="n">
        <f aca="false">INT((ROW()-5)/12)+1</f>
        <v>4</v>
      </c>
      <c r="C51" s="0" t="str">
        <f aca="false">INDEX(Data_Base!$A$5:$A$28,B51)</f>
        <v>Beef</v>
      </c>
      <c r="D51" s="0" t="str">
        <f aca="false">INDEX(Data_Base!$B$5:$B$28,B51)</f>
        <v>Online Direct</v>
      </c>
      <c r="E51" s="26" t="n">
        <f aca="false">INDEX(Data_Base!$B$32:$M$37,MATCH(C51,Data_Base!$A$32:$A$37,0),A51)</f>
        <v>0.075165</v>
      </c>
      <c r="F51" s="25" t="n">
        <f aca="false">INDEX(Data_Base!$C$5:$C$28,B51)*(1+INDEX(Assumptions!$B$19:$B$22,MATCH(D51,Assumptions!$A$19:$A$22,0)))*E51</f>
        <v>489.7721334</v>
      </c>
      <c r="G51" s="24" t="n">
        <f aca="false">INDEX(Data_Base!$D$5:$D$28,B51)/INDEX(Data_Base!$C$5:$C$28,B51)</f>
        <v>220.324386091996</v>
      </c>
      <c r="H51" s="27" t="n">
        <f aca="false">IF(A51&gt;=Assumptions!$C$37,INDEX(Assumptions!$B$10:$B$15,MATCH(C51,Assumptions!$A$10:$A$15,0)),0)</f>
        <v>0.04</v>
      </c>
      <c r="I51" s="27" t="n">
        <f aca="false">IF(AND(A51&gt;=Assumptions!$C$37,INDEX(Assumptions!$C$19:$C$22,MATCH(D51,Assumptions!$A$19:$A$22,0))=1),INDEX(Assumptions!$D$10:$D$15,MATCH(C51,Assumptions!$A$10:$A$15,0)),0)</f>
        <v>0</v>
      </c>
      <c r="J51" s="9" t="n">
        <f aca="false">F51*G51*(1+H51)</f>
        <v>112225.094400975</v>
      </c>
      <c r="K51" s="9" t="n">
        <f aca="false">J51*(1+I51)</f>
        <v>112225.094400975</v>
      </c>
      <c r="L51" s="24" t="n">
        <f aca="false">INDEX(Data_Base!$E$5:$E$28,B51)/INDEX(Data_Base!$C$5:$C$28,B51)*(1+INDEX(Assumptions!$C$10:$C$15,MATCH(C51,Assumptions!$A$10:$A$15,0)))</f>
        <v>159.09048391887</v>
      </c>
      <c r="M51" s="9" t="n">
        <f aca="false">F51*L51</f>
        <v>77918.0857125833</v>
      </c>
      <c r="N51" s="24" t="n">
        <f aca="false">INDEX(Data_Base!$F$5:$F$28,B51)/INDEX(Data_Base!$C$5:$C$28,B51)*(1+Assumptions!$C$38)</f>
        <v>11.5451865266208</v>
      </c>
      <c r="O51" s="9" t="n">
        <f aca="false">F51*N51</f>
        <v>5654.510635644</v>
      </c>
      <c r="P51" s="25" t="n">
        <f aca="false">IF(A51&lt;=3,SUMIFS(Data_Q1!$D$5:$D$76,Data_Q1!$A$5:$A$76,A51,Data_Q1!$B$5:$B$76,C51,Data_Q1!$C$5:$C$76,D51),F51*INDEX(Reforecast!$D$6:$D$9,MATCH(D51,Reforecast!$A$6:$A$9,0)))</f>
        <v>490.924061207216</v>
      </c>
      <c r="Q51" s="9" t="n">
        <f aca="false">IF(A51&lt;=3,SUMIFS(Data_Q1!$E$5:$E$76,Data_Q1!$A$5:$A$76,A51,Data_Q1!$B$5:$B$76,C51,Data_Q1!$C$5:$C$76,D51),P51*G51*(1+H51)*(1+I51))</f>
        <v>112489.0440994</v>
      </c>
      <c r="R51" s="9" t="n">
        <f aca="false">IF(A51&lt;=3,SUMIFS(Data_Q1!$F$5:$F$76,Data_Q1!$A$5:$A$76,A51,Data_Q1!$B$5:$B$76,C51,Data_Q1!$C$5:$C$76,D51),P51*L51*INDEX(Reforecast!$D$12:$D$17,MATCH(C51,Reforecast!$A$12:$A$17,0)))</f>
        <v>80251.4001040804</v>
      </c>
      <c r="S51" s="9" t="n">
        <f aca="false">IF(A51&lt;=3,SUMIFS(Data_Q1!$G$5:$G$76,Data_Q1!$A$5:$A$76,A51,Data_Q1!$B$5:$B$76,C51,Data_Q1!$C$5:$C$76,D51),P51*N51)</f>
        <v>5667.80985704351</v>
      </c>
    </row>
    <row r="52" customFormat="false" ht="15" hidden="false" customHeight="false" outlineLevel="0" collapsed="false">
      <c r="A52" s="0" t="n">
        <f aca="false">MOD(ROW()-5,12)+1</f>
        <v>12</v>
      </c>
      <c r="B52" s="0" t="n">
        <f aca="false">INT((ROW()-5)/12)+1</f>
        <v>4</v>
      </c>
      <c r="C52" s="0" t="str">
        <f aca="false">INDEX(Data_Base!$A$5:$A$28,B52)</f>
        <v>Beef</v>
      </c>
      <c r="D52" s="0" t="str">
        <f aca="false">INDEX(Data_Base!$B$5:$B$28,B52)</f>
        <v>Online Direct</v>
      </c>
      <c r="E52" s="26" t="n">
        <f aca="false">INDEX(Data_Base!$B$32:$M$37,MATCH(C52,Data_Base!$A$32:$A$37,0),A52)</f>
        <v>0.078196</v>
      </c>
      <c r="F52" s="25" t="n">
        <f aca="false">INDEX(Data_Base!$C$5:$C$28,B52)*(1+INDEX(Assumptions!$B$19:$B$22,MATCH(D52,Assumptions!$A$19:$A$22,0)))*E52</f>
        <v>509.52200816</v>
      </c>
      <c r="G52" s="24" t="n">
        <f aca="false">INDEX(Data_Base!$D$5:$D$28,B52)/INDEX(Data_Base!$C$5:$C$28,B52)</f>
        <v>220.324386091996</v>
      </c>
      <c r="H52" s="27" t="n">
        <f aca="false">IF(A52&gt;=Assumptions!$C$37,INDEX(Assumptions!$B$10:$B$15,MATCH(C52,Assumptions!$A$10:$A$15,0)),0)</f>
        <v>0.04</v>
      </c>
      <c r="I52" s="27" t="n">
        <f aca="false">IF(AND(A52&gt;=Assumptions!$C$37,INDEX(Assumptions!$C$19:$C$22,MATCH(D52,Assumptions!$A$19:$A$22,0))=1),INDEX(Assumptions!$D$10:$D$15,MATCH(C52,Assumptions!$A$10:$A$15,0)),0)</f>
        <v>0</v>
      </c>
      <c r="J52" s="9" t="n">
        <f aca="false">F52*G52*(1+H52)</f>
        <v>116750.528594141</v>
      </c>
      <c r="K52" s="9" t="n">
        <f aca="false">J52*(1+I52)</f>
        <v>116750.528594141</v>
      </c>
      <c r="L52" s="24" t="n">
        <f aca="false">INDEX(Data_Base!$E$5:$E$28,B52)/INDEX(Data_Base!$C$5:$C$28,B52)*(1+INDEX(Assumptions!$C$10:$C$15,MATCH(C52,Assumptions!$A$10:$A$15,0)))</f>
        <v>159.09048391887</v>
      </c>
      <c r="M52" s="9" t="n">
        <f aca="false">F52*L52</f>
        <v>81060.1028454888</v>
      </c>
      <c r="N52" s="24" t="n">
        <f aca="false">INDEX(Data_Base!$F$5:$F$28,B52)/INDEX(Data_Base!$C$5:$C$28,B52)*(1+Assumptions!$C$38)</f>
        <v>11.5451865266208</v>
      </c>
      <c r="O52" s="9" t="n">
        <f aca="false">F52*N52</f>
        <v>5882.5266236256</v>
      </c>
      <c r="P52" s="25" t="n">
        <f aca="false">IF(A52&lt;=3,SUMIFS(Data_Q1!$D$5:$D$76,Data_Q1!$A$5:$A$76,A52,Data_Q1!$B$5:$B$76,C52,Data_Q1!$C$5:$C$76,D52),F52*INDEX(Reforecast!$D$6:$D$9,MATCH(D52,Reforecast!$A$6:$A$9,0)))</f>
        <v>510.720387017355</v>
      </c>
      <c r="Q52" s="9" t="n">
        <f aca="false">IF(A52&lt;=3,SUMIFS(Data_Q1!$E$5:$E$76,Data_Q1!$A$5:$A$76,A52,Data_Q1!$B$5:$B$76,C52,Data_Q1!$C$5:$C$76,D52),P52*G52*(1+H52)*(1+I52))</f>
        <v>117025.121963636</v>
      </c>
      <c r="R52" s="9" t="n">
        <f aca="false">IF(A52&lt;=3,SUMIFS(Data_Q1!$F$5:$F$76,Data_Q1!$A$5:$A$76,A52,Data_Q1!$B$5:$B$76,C52,Data_Q1!$C$5:$C$76,D52),P52*L52*INDEX(Reforecast!$D$12:$D$17,MATCH(C52,Reforecast!$A$12:$A$17,0)))</f>
        <v>83487.5072512296</v>
      </c>
      <c r="S52" s="9" t="n">
        <f aca="false">IF(A52&lt;=3,SUMIFS(Data_Q1!$G$5:$G$76,Data_Q1!$A$5:$A$76,A52,Data_Q1!$B$5:$B$76,C52,Data_Q1!$C$5:$C$76,D52),P52*N52)</f>
        <v>5896.36213106332</v>
      </c>
    </row>
    <row r="53" customFormat="false" ht="15" hidden="false" customHeight="false" outlineLevel="0" collapsed="false">
      <c r="A53" s="0" t="n">
        <f aca="false">MOD(ROW()-5,12)+1</f>
        <v>1</v>
      </c>
      <c r="B53" s="0" t="n">
        <f aca="false">INT((ROW()-5)/12)+1</f>
        <v>5</v>
      </c>
      <c r="C53" s="0" t="str">
        <f aca="false">INDEX(Data_Base!$A$5:$A$28,B53)</f>
        <v>Pork</v>
      </c>
      <c r="D53" s="0" t="str">
        <f aca="false">INDEX(Data_Base!$B$5:$B$28,B53)</f>
        <v>Restaurants</v>
      </c>
      <c r="E53" s="26" t="n">
        <f aca="false">INDEX(Data_Base!$B$32:$M$37,MATCH(C53,Data_Base!$A$32:$A$37,0),A53)</f>
        <v>0.079526</v>
      </c>
      <c r="F53" s="25" t="n">
        <f aca="false">INDEX(Data_Base!$C$5:$C$28,B53)*(1+INDEX(Assumptions!$B$19:$B$22,MATCH(D53,Assumptions!$A$19:$A$22,0)))*E53</f>
        <v>2203.61138232</v>
      </c>
      <c r="G53" s="24" t="n">
        <f aca="false">INDEX(Data_Base!$D$5:$D$28,B53)/INDEX(Data_Base!$C$5:$C$28,B53)</f>
        <v>123.269380475595</v>
      </c>
      <c r="H53" s="27" t="n">
        <f aca="false">IF(A53&gt;=Assumptions!$C$37,INDEX(Assumptions!$B$10:$B$15,MATCH(C53,Assumptions!$A$10:$A$15,0)),0)</f>
        <v>0</v>
      </c>
      <c r="I53" s="27" t="n">
        <f aca="false">IF(AND(A53&gt;=Assumptions!$C$37,INDEX(Assumptions!$C$19:$C$22,MATCH(D53,Assumptions!$A$19:$A$22,0))=1),INDEX(Assumptions!$D$10:$D$15,MATCH(C53,Assumptions!$A$10:$A$15,0)),0)</f>
        <v>0</v>
      </c>
      <c r="J53" s="9" t="n">
        <f aca="false">F53*G53*(1+H53)</f>
        <v>271637.809907555</v>
      </c>
      <c r="K53" s="9" t="n">
        <f aca="false">J53*(1+I53)</f>
        <v>271637.809907555</v>
      </c>
      <c r="L53" s="24" t="n">
        <f aca="false">INDEX(Data_Base!$E$5:$E$28,B53)/INDEX(Data_Base!$C$5:$C$28,B53)*(1+INDEX(Assumptions!$C$10:$C$15,MATCH(C53,Assumptions!$A$10:$A$15,0)))</f>
        <v>88.7560645586395</v>
      </c>
      <c r="M53" s="9" t="n">
        <f aca="false">F53*L53</f>
        <v>195583.874111347</v>
      </c>
      <c r="N53" s="24" t="n">
        <f aca="false">INDEX(Data_Base!$F$5:$F$28,B53)/INDEX(Data_Base!$C$5:$C$28,B53)*(1+Assumptions!$C$38)</f>
        <v>2.70969997791357</v>
      </c>
      <c r="O53" s="9" t="n">
        <f aca="false">F53*N53</f>
        <v>5971.12571400259</v>
      </c>
      <c r="P53" s="25" t="n">
        <f aca="false">IF(A53&lt;=3,SUMIFS(Data_Q1!$D$5:$D$76,Data_Q1!$A$5:$A$76,A53,Data_Q1!$B$5:$B$76,C53,Data_Q1!$C$5:$C$76,D53),F53*INDEX(Reforecast!$D$6:$D$9,MATCH(D53,Reforecast!$A$6:$A$9,0)))</f>
        <v>2088.8</v>
      </c>
      <c r="Q53" s="9" t="n">
        <f aca="false">IF(A53&lt;=3,SUMIFS(Data_Q1!$E$5:$E$76,Data_Q1!$A$5:$A$76,A53,Data_Q1!$B$5:$B$76,C53,Data_Q1!$C$5:$C$76,D53),P53*G53*(1+H53)*(1+I53))</f>
        <v>257391.01</v>
      </c>
      <c r="R53" s="9" t="n">
        <f aca="false">IF(A53&lt;=3,SUMIFS(Data_Q1!$F$5:$F$76,Data_Q1!$A$5:$A$76,A53,Data_Q1!$B$5:$B$76,C53,Data_Q1!$C$5:$C$76,D53),P53*L53*INDEX(Reforecast!$D$12:$D$17,MATCH(C53,Reforecast!$A$12:$A$17,0)))</f>
        <v>187409.43</v>
      </c>
      <c r="S53" s="9" t="n">
        <f aca="false">IF(A53&lt;=3,SUMIFS(Data_Q1!$G$5:$G$76,Data_Q1!$A$5:$A$76,A53,Data_Q1!$B$5:$B$76,C53,Data_Q1!$C$5:$C$76,D53),P53*N53)</f>
        <v>5659.89</v>
      </c>
    </row>
    <row r="54" customFormat="false" ht="15" hidden="false" customHeight="false" outlineLevel="0" collapsed="false">
      <c r="A54" s="0" t="n">
        <f aca="false">MOD(ROW()-5,12)+1</f>
        <v>2</v>
      </c>
      <c r="B54" s="0" t="n">
        <f aca="false">INT((ROW()-5)/12)+1</f>
        <v>5</v>
      </c>
      <c r="C54" s="0" t="str">
        <f aca="false">INDEX(Data_Base!$A$5:$A$28,B54)</f>
        <v>Pork</v>
      </c>
      <c r="D54" s="0" t="str">
        <f aca="false">INDEX(Data_Base!$B$5:$B$28,B54)</f>
        <v>Restaurants</v>
      </c>
      <c r="E54" s="26" t="n">
        <f aca="false">INDEX(Data_Base!$B$32:$M$37,MATCH(C54,Data_Base!$A$32:$A$37,0),A54)</f>
        <v>0.075153</v>
      </c>
      <c r="F54" s="25" t="n">
        <f aca="false">INDEX(Data_Base!$C$5:$C$28,B54)*(1+INDEX(Assumptions!$B$19:$B$22,MATCH(D54,Assumptions!$A$19:$A$22,0)))*E54</f>
        <v>2082.43852596</v>
      </c>
      <c r="G54" s="24" t="n">
        <f aca="false">INDEX(Data_Base!$D$5:$D$28,B54)/INDEX(Data_Base!$C$5:$C$28,B54)</f>
        <v>123.269380475595</v>
      </c>
      <c r="H54" s="27" t="n">
        <f aca="false">IF(A54&gt;=Assumptions!$C$37,INDEX(Assumptions!$B$10:$B$15,MATCH(C54,Assumptions!$A$10:$A$15,0)),0)</f>
        <v>0.025</v>
      </c>
      <c r="I54" s="27" t="n">
        <f aca="false">IF(AND(A54&gt;=Assumptions!$C$37,INDEX(Assumptions!$C$19:$C$22,MATCH(D54,Assumptions!$A$19:$A$22,0))=1),INDEX(Assumptions!$D$10:$D$15,MATCH(C54,Assumptions!$A$10:$A$15,0)),0)</f>
        <v>0</v>
      </c>
      <c r="J54" s="9" t="n">
        <f aca="false">F54*G54*(1+H54)</f>
        <v>263118.429647939</v>
      </c>
      <c r="K54" s="9" t="n">
        <f aca="false">J54*(1+I54)</f>
        <v>263118.429647939</v>
      </c>
      <c r="L54" s="24" t="n">
        <f aca="false">INDEX(Data_Base!$E$5:$E$28,B54)/INDEX(Data_Base!$C$5:$C$28,B54)*(1+INDEX(Assumptions!$C$10:$C$15,MATCH(C54,Assumptions!$A$10:$A$15,0)))</f>
        <v>88.7560645586395</v>
      </c>
      <c r="M54" s="9" t="n">
        <f aca="false">F54*L54</f>
        <v>184829.048249504</v>
      </c>
      <c r="N54" s="24" t="n">
        <f aca="false">INDEX(Data_Base!$F$5:$F$28,B54)/INDEX(Data_Base!$C$5:$C$28,B54)*(1+Assumptions!$C$38)</f>
        <v>2.70969997791357</v>
      </c>
      <c r="O54" s="9" t="n">
        <f aca="false">F54*N54</f>
        <v>5642.78362780018</v>
      </c>
      <c r="P54" s="25" t="n">
        <f aca="false">IF(A54&lt;=3,SUMIFS(Data_Q1!$D$5:$D$76,Data_Q1!$A$5:$A$76,A54,Data_Q1!$B$5:$B$76,C54,Data_Q1!$C$5:$C$76,D54),F54*INDEX(Reforecast!$D$6:$D$9,MATCH(D54,Reforecast!$A$6:$A$9,0)))</f>
        <v>2012.1</v>
      </c>
      <c r="Q54" s="9" t="n">
        <f aca="false">IF(A54&lt;=3,SUMIFS(Data_Q1!$E$5:$E$76,Data_Q1!$A$5:$A$76,A54,Data_Q1!$B$5:$B$76,C54,Data_Q1!$C$5:$C$76,D54),P54*G54*(1+H54)*(1+I54))</f>
        <v>255183.1</v>
      </c>
      <c r="R54" s="9" t="n">
        <f aca="false">IF(A54&lt;=3,SUMIFS(Data_Q1!$F$5:$F$76,Data_Q1!$A$5:$A$76,A54,Data_Q1!$B$5:$B$76,C54,Data_Q1!$C$5:$C$76,D54),P54*L54*INDEX(Reforecast!$D$12:$D$17,MATCH(C54,Reforecast!$A$12:$A$17,0)))</f>
        <v>179676.08</v>
      </c>
      <c r="S54" s="9" t="n">
        <f aca="false">IF(A54&lt;=3,SUMIFS(Data_Q1!$G$5:$G$76,Data_Q1!$A$5:$A$76,A54,Data_Q1!$B$5:$B$76,C54,Data_Q1!$C$5:$C$76,D54),P54*N54)</f>
        <v>5452.07</v>
      </c>
    </row>
    <row r="55" customFormat="false" ht="15" hidden="false" customHeight="false" outlineLevel="0" collapsed="false">
      <c r="A55" s="0" t="n">
        <f aca="false">MOD(ROW()-5,12)+1</f>
        <v>3</v>
      </c>
      <c r="B55" s="0" t="n">
        <f aca="false">INT((ROW()-5)/12)+1</f>
        <v>5</v>
      </c>
      <c r="C55" s="0" t="str">
        <f aca="false">INDEX(Data_Base!$A$5:$A$28,B55)</f>
        <v>Pork</v>
      </c>
      <c r="D55" s="0" t="str">
        <f aca="false">INDEX(Data_Base!$B$5:$B$28,B55)</f>
        <v>Restaurants</v>
      </c>
      <c r="E55" s="26" t="n">
        <f aca="false">INDEX(Data_Base!$B$32:$M$37,MATCH(C55,Data_Base!$A$32:$A$37,0),A55)</f>
        <v>0.078854</v>
      </c>
      <c r="F55" s="25" t="n">
        <f aca="false">INDEX(Data_Base!$C$5:$C$28,B55)*(1+INDEX(Assumptions!$B$19:$B$22,MATCH(D55,Assumptions!$A$19:$A$22,0)))*E55</f>
        <v>2184.99071928</v>
      </c>
      <c r="G55" s="24" t="n">
        <f aca="false">INDEX(Data_Base!$D$5:$D$28,B55)/INDEX(Data_Base!$C$5:$C$28,B55)</f>
        <v>123.269380475595</v>
      </c>
      <c r="H55" s="27" t="n">
        <f aca="false">IF(A55&gt;=Assumptions!$C$37,INDEX(Assumptions!$B$10:$B$15,MATCH(C55,Assumptions!$A$10:$A$15,0)),0)</f>
        <v>0.025</v>
      </c>
      <c r="I55" s="27" t="n">
        <f aca="false">IF(AND(A55&gt;=Assumptions!$C$37,INDEX(Assumptions!$C$19:$C$22,MATCH(D55,Assumptions!$A$19:$A$22,0))=1),INDEX(Assumptions!$D$10:$D$15,MATCH(C55,Assumptions!$A$10:$A$15,0)),0)</f>
        <v>0</v>
      </c>
      <c r="J55" s="9" t="n">
        <f aca="false">F55*G55*(1+H55)</f>
        <v>276076.013618333</v>
      </c>
      <c r="K55" s="9" t="n">
        <f aca="false">J55*(1+I55)</f>
        <v>276076.013618333</v>
      </c>
      <c r="L55" s="24" t="n">
        <f aca="false">INDEX(Data_Base!$E$5:$E$28,B55)/INDEX(Data_Base!$C$5:$C$28,B55)*(1+INDEX(Assumptions!$C$10:$C$15,MATCH(C55,Assumptions!$A$10:$A$15,0)))</f>
        <v>88.7560645586395</v>
      </c>
      <c r="M55" s="9" t="n">
        <f aca="false">F55*L55</f>
        <v>193931.177340444</v>
      </c>
      <c r="N55" s="24" t="n">
        <f aca="false">INDEX(Data_Base!$F$5:$F$28,B55)/INDEX(Data_Base!$C$5:$C$28,B55)*(1+Assumptions!$C$38)</f>
        <v>2.70969997791357</v>
      </c>
      <c r="O55" s="9" t="n">
        <f aca="false">F55*N55</f>
        <v>5920.66930377437</v>
      </c>
      <c r="P55" s="25" t="n">
        <f aca="false">IF(A55&lt;=3,SUMIFS(Data_Q1!$D$5:$D$76,Data_Q1!$A$5:$A$76,A55,Data_Q1!$B$5:$B$76,C55,Data_Q1!$C$5:$C$76,D55),F55*INDEX(Reforecast!$D$6:$D$9,MATCH(D55,Reforecast!$A$6:$A$9,0)))</f>
        <v>2104.6</v>
      </c>
      <c r="Q55" s="9" t="n">
        <f aca="false">IF(A55&lt;=3,SUMIFS(Data_Q1!$E$5:$E$76,Data_Q1!$A$5:$A$76,A55,Data_Q1!$B$5:$B$76,C55,Data_Q1!$C$5:$C$76,D55),P55*G55*(1+H55)*(1+I55))</f>
        <v>264810.65</v>
      </c>
      <c r="R55" s="9" t="n">
        <f aca="false">IF(A55&lt;=3,SUMIFS(Data_Q1!$F$5:$F$76,Data_Q1!$A$5:$A$76,A55,Data_Q1!$B$5:$B$76,C55,Data_Q1!$C$5:$C$76,D55),P55*L55*INDEX(Reforecast!$D$12:$D$17,MATCH(C55,Reforecast!$A$12:$A$17,0)))</f>
        <v>188337.25</v>
      </c>
      <c r="S55" s="9" t="n">
        <f aca="false">IF(A55&lt;=3,SUMIFS(Data_Q1!$G$5:$G$76,Data_Q1!$A$5:$A$76,A55,Data_Q1!$B$5:$B$76,C55,Data_Q1!$C$5:$C$76,D55),P55*N55)</f>
        <v>5702.78</v>
      </c>
    </row>
    <row r="56" customFormat="false" ht="15" hidden="false" customHeight="false" outlineLevel="0" collapsed="false">
      <c r="A56" s="0" t="n">
        <f aca="false">MOD(ROW()-5,12)+1</f>
        <v>4</v>
      </c>
      <c r="B56" s="0" t="n">
        <f aca="false">INT((ROW()-5)/12)+1</f>
        <v>5</v>
      </c>
      <c r="C56" s="0" t="str">
        <f aca="false">INDEX(Data_Base!$A$5:$A$28,B56)</f>
        <v>Pork</v>
      </c>
      <c r="D56" s="0" t="str">
        <f aca="false">INDEX(Data_Base!$B$5:$B$28,B56)</f>
        <v>Restaurants</v>
      </c>
      <c r="E56" s="26" t="n">
        <f aca="false">INDEX(Data_Base!$B$32:$M$37,MATCH(C56,Data_Base!$A$32:$A$37,0),A56)</f>
        <v>0.08213</v>
      </c>
      <c r="F56" s="25" t="n">
        <f aca="false">INDEX(Data_Base!$C$5:$C$28,B56)*(1+INDEX(Assumptions!$B$19:$B$22,MATCH(D56,Assumptions!$A$19:$A$22,0)))*E56</f>
        <v>2275.7664516</v>
      </c>
      <c r="G56" s="24" t="n">
        <f aca="false">INDEX(Data_Base!$D$5:$D$28,B56)/INDEX(Data_Base!$C$5:$C$28,B56)</f>
        <v>123.269380475595</v>
      </c>
      <c r="H56" s="27" t="n">
        <f aca="false">IF(A56&gt;=Assumptions!$C$37,INDEX(Assumptions!$B$10:$B$15,MATCH(C56,Assumptions!$A$10:$A$15,0)),0)</f>
        <v>0.025</v>
      </c>
      <c r="I56" s="27" t="n">
        <f aca="false">IF(AND(A56&gt;=Assumptions!$C$37,INDEX(Assumptions!$C$19:$C$22,MATCH(D56,Assumptions!$A$19:$A$22,0))=1),INDEX(Assumptions!$D$10:$D$15,MATCH(C56,Assumptions!$A$10:$A$15,0)),0)</f>
        <v>0</v>
      </c>
      <c r="J56" s="9" t="n">
        <f aca="false">F56*G56*(1+H56)</f>
        <v>287545.628610771</v>
      </c>
      <c r="K56" s="9" t="n">
        <f aca="false">J56*(1+I56)</f>
        <v>287545.628610771</v>
      </c>
      <c r="L56" s="24" t="n">
        <f aca="false">INDEX(Data_Base!$E$5:$E$28,B56)/INDEX(Data_Base!$C$5:$C$28,B56)*(1+INDEX(Assumptions!$C$10:$C$15,MATCH(C56,Assumptions!$A$10:$A$15,0)))</f>
        <v>88.7560645586395</v>
      </c>
      <c r="M56" s="9" t="n">
        <f aca="false">F56*L56</f>
        <v>201988.074098595</v>
      </c>
      <c r="N56" s="24" t="n">
        <f aca="false">INDEX(Data_Base!$F$5:$F$28,B56)/INDEX(Data_Base!$C$5:$C$28,B56)*(1+Assumptions!$C$38)</f>
        <v>2.70969997791357</v>
      </c>
      <c r="O56" s="9" t="n">
        <f aca="false">F56*N56</f>
        <v>6166.64430363696</v>
      </c>
      <c r="P56" s="25" t="n">
        <f aca="false">IF(A56&lt;=3,SUMIFS(Data_Q1!$D$5:$D$76,Data_Q1!$A$5:$A$76,A56,Data_Q1!$B$5:$B$76,C56,Data_Q1!$C$5:$C$76,D56),F56*INDEX(Reforecast!$D$6:$D$9,MATCH(D56,Reforecast!$A$6:$A$9,0)))</f>
        <v>2180.27371711116</v>
      </c>
      <c r="Q56" s="9" t="n">
        <f aca="false">IF(A56&lt;=3,SUMIFS(Data_Q1!$E$5:$E$76,Data_Q1!$A$5:$A$76,A56,Data_Q1!$B$5:$B$76,C56,Data_Q1!$C$5:$C$76,D56),P56*G56*(1+H56)*(1+I56))</f>
        <v>275480.015134902</v>
      </c>
      <c r="R56" s="9" t="n">
        <f aca="false">IF(A56&lt;=3,SUMIFS(Data_Q1!$F$5:$F$76,Data_Q1!$A$5:$A$76,A56,Data_Q1!$B$5:$B$76,C56,Data_Q1!$C$5:$C$76,D56),P56*L56*INDEX(Reforecast!$D$12:$D$17,MATCH(C56,Reforecast!$A$12:$A$17,0)))</f>
        <v>193898.381197581</v>
      </c>
      <c r="S56" s="9" t="n">
        <f aca="false">IF(A56&lt;=3,SUMIFS(Data_Q1!$G$5:$G$76,Data_Q1!$A$5:$A$76,A56,Data_Q1!$B$5:$B$76,C56,Data_Q1!$C$5:$C$76,D56),P56*N56)</f>
        <v>5907.88764310163</v>
      </c>
    </row>
    <row r="57" customFormat="false" ht="15" hidden="false" customHeight="false" outlineLevel="0" collapsed="false">
      <c r="A57" s="0" t="n">
        <f aca="false">MOD(ROW()-5,12)+1</f>
        <v>5</v>
      </c>
      <c r="B57" s="0" t="n">
        <f aca="false">INT((ROW()-5)/12)+1</f>
        <v>5</v>
      </c>
      <c r="C57" s="0" t="str">
        <f aca="false">INDEX(Data_Base!$A$5:$A$28,B57)</f>
        <v>Pork</v>
      </c>
      <c r="D57" s="0" t="str">
        <f aca="false">INDEX(Data_Base!$B$5:$B$28,B57)</f>
        <v>Restaurants</v>
      </c>
      <c r="E57" s="26" t="n">
        <f aca="false">INDEX(Data_Base!$B$32:$M$37,MATCH(C57,Data_Base!$A$32:$A$37,0),A57)</f>
        <v>0.087534</v>
      </c>
      <c r="F57" s="25" t="n">
        <f aca="false">INDEX(Data_Base!$C$5:$C$28,B57)*(1+INDEX(Assumptions!$B$19:$B$22,MATCH(D57,Assumptions!$A$19:$A$22,0)))*E57</f>
        <v>2425.50761688</v>
      </c>
      <c r="G57" s="24" t="n">
        <f aca="false">INDEX(Data_Base!$D$5:$D$28,B57)/INDEX(Data_Base!$C$5:$C$28,B57)</f>
        <v>123.269380475595</v>
      </c>
      <c r="H57" s="27" t="n">
        <f aca="false">IF(A57&gt;=Assumptions!$C$37,INDEX(Assumptions!$B$10:$B$15,MATCH(C57,Assumptions!$A$10:$A$15,0)),0)</f>
        <v>0.025</v>
      </c>
      <c r="I57" s="27" t="n">
        <f aca="false">IF(AND(A57&gt;=Assumptions!$C$37,INDEX(Assumptions!$C$19:$C$22,MATCH(D57,Assumptions!$A$19:$A$22,0))=1),INDEX(Assumptions!$D$10:$D$15,MATCH(C57,Assumptions!$A$10:$A$15,0)),0)</f>
        <v>0</v>
      </c>
      <c r="J57" s="9" t="n">
        <f aca="false">F57*G57*(1+H57)</f>
        <v>306465.591803424</v>
      </c>
      <c r="K57" s="9" t="n">
        <f aca="false">J57*(1+I57)</f>
        <v>306465.591803424</v>
      </c>
      <c r="L57" s="24" t="n">
        <f aca="false">INDEX(Data_Base!$E$5:$E$28,B57)/INDEX(Data_Base!$C$5:$C$28,B57)*(1+INDEX(Assumptions!$C$10:$C$15,MATCH(C57,Assumptions!$A$10:$A$15,0)))</f>
        <v>88.7560645586395</v>
      </c>
      <c r="M57" s="9" t="n">
        <f aca="false">F57*L57</f>
        <v>215278.510631273</v>
      </c>
      <c r="N57" s="24" t="n">
        <f aca="false">INDEX(Data_Base!$F$5:$F$28,B57)/INDEX(Data_Base!$C$5:$C$28,B57)*(1+Assumptions!$C$38)</f>
        <v>2.70969997791357</v>
      </c>
      <c r="O57" s="9" t="n">
        <f aca="false">F57*N57</f>
        <v>6572.39793588893</v>
      </c>
      <c r="P57" s="25" t="n">
        <f aca="false">IF(A57&lt;=3,SUMIFS(Data_Q1!$D$5:$D$76,Data_Q1!$A$5:$A$76,A57,Data_Q1!$B$5:$B$76,C57,Data_Q1!$C$5:$C$76,D57),F57*INDEX(Reforecast!$D$6:$D$9,MATCH(D57,Reforecast!$A$6:$A$9,0)))</f>
        <v>2323.73163951793</v>
      </c>
      <c r="Q57" s="9" t="n">
        <f aca="false">IF(A57&lt;=3,SUMIFS(Data_Q1!$E$5:$E$76,Data_Q1!$A$5:$A$76,A57,Data_Q1!$B$5:$B$76,C57,Data_Q1!$C$5:$C$76,D57),P57*G57*(1+H57)*(1+I57))</f>
        <v>293606.083584786</v>
      </c>
      <c r="R57" s="9" t="n">
        <f aca="false">IF(A57&lt;=3,SUMIFS(Data_Q1!$F$5:$F$76,Data_Q1!$A$5:$A$76,A57,Data_Q1!$B$5:$B$76,C57,Data_Q1!$C$5:$C$76,D57),P57*L57*INDEX(Reforecast!$D$12:$D$17,MATCH(C57,Reforecast!$A$12:$A$17,0)))</f>
        <v>206656.531106162</v>
      </c>
      <c r="S57" s="9" t="n">
        <f aca="false">IF(A57&lt;=3,SUMIFS(Data_Q1!$G$5:$G$76,Data_Q1!$A$5:$A$76,A57,Data_Q1!$B$5:$B$76,C57,Data_Q1!$C$5:$C$76,D57),P57*N57)</f>
        <v>6296.61557227881</v>
      </c>
    </row>
    <row r="58" customFormat="false" ht="15" hidden="false" customHeight="false" outlineLevel="0" collapsed="false">
      <c r="A58" s="0" t="n">
        <f aca="false">MOD(ROW()-5,12)+1</f>
        <v>6</v>
      </c>
      <c r="B58" s="0" t="n">
        <f aca="false">INT((ROW()-5)/12)+1</f>
        <v>5</v>
      </c>
      <c r="C58" s="0" t="str">
        <f aca="false">INDEX(Data_Base!$A$5:$A$28,B58)</f>
        <v>Pork</v>
      </c>
      <c r="D58" s="0" t="str">
        <f aca="false">INDEX(Data_Base!$B$5:$B$28,B58)</f>
        <v>Restaurants</v>
      </c>
      <c r="E58" s="26" t="n">
        <f aca="false">INDEX(Data_Base!$B$32:$M$37,MATCH(C58,Data_Base!$A$32:$A$37,0),A58)</f>
        <v>0.086224</v>
      </c>
      <c r="F58" s="25" t="n">
        <f aca="false">INDEX(Data_Base!$C$5:$C$28,B58)*(1+INDEX(Assumptions!$B$19:$B$22,MATCH(D58,Assumptions!$A$19:$A$22,0)))*E58</f>
        <v>2389.20840768</v>
      </c>
      <c r="G58" s="24" t="n">
        <f aca="false">INDEX(Data_Base!$D$5:$D$28,B58)/INDEX(Data_Base!$C$5:$C$28,B58)</f>
        <v>123.269380475595</v>
      </c>
      <c r="H58" s="27" t="n">
        <f aca="false">IF(A58&gt;=Assumptions!$C$37,INDEX(Assumptions!$B$10:$B$15,MATCH(C58,Assumptions!$A$10:$A$15,0)),0)</f>
        <v>0.025</v>
      </c>
      <c r="I58" s="27" t="n">
        <f aca="false">IF(AND(A58&gt;=Assumptions!$C$37,INDEX(Assumptions!$C$19:$C$22,MATCH(D58,Assumptions!$A$19:$A$22,0))=1),INDEX(Assumptions!$D$10:$D$15,MATCH(C58,Assumptions!$A$10:$A$15,0)),0)</f>
        <v>0</v>
      </c>
      <c r="J58" s="9" t="n">
        <f aca="false">F58*G58*(1+H58)</f>
        <v>301879.14624784</v>
      </c>
      <c r="K58" s="9" t="n">
        <f aca="false">J58*(1+I58)</f>
        <v>301879.14624784</v>
      </c>
      <c r="L58" s="24" t="n">
        <f aca="false">INDEX(Data_Base!$E$5:$E$28,B58)/INDEX(Data_Base!$C$5:$C$28,B58)*(1+INDEX(Assumptions!$C$10:$C$15,MATCH(C58,Assumptions!$A$10:$A$15,0)))</f>
        <v>88.7560645586395</v>
      </c>
      <c r="M58" s="9" t="n">
        <f aca="false">F58*L58</f>
        <v>212056.73567609</v>
      </c>
      <c r="N58" s="24" t="n">
        <f aca="false">INDEX(Data_Base!$F$5:$F$28,B58)/INDEX(Data_Base!$C$5:$C$28,B58)*(1+Assumptions!$C$38)</f>
        <v>2.70969997791357</v>
      </c>
      <c r="O58" s="9" t="n">
        <f aca="false">F58*N58</f>
        <v>6474.03796952141</v>
      </c>
      <c r="P58" s="25" t="n">
        <f aca="false">IF(A58&lt;=3,SUMIFS(Data_Q1!$D$5:$D$76,Data_Q1!$A$5:$A$76,A58,Data_Q1!$B$5:$B$76,C58,Data_Q1!$C$5:$C$76,D58),F58*INDEX(Reforecast!$D$6:$D$9,MATCH(D58,Reforecast!$A$6:$A$9,0)))</f>
        <v>2288.95557024464</v>
      </c>
      <c r="Q58" s="9" t="n">
        <f aca="false">IF(A58&lt;=3,SUMIFS(Data_Q1!$E$5:$E$76,Data_Q1!$A$5:$A$76,A58,Data_Q1!$B$5:$B$76,C58,Data_Q1!$C$5:$C$76,D58),P58*G58*(1+H58)*(1+I58))</f>
        <v>289212.088457223</v>
      </c>
      <c r="R58" s="9" t="n">
        <f aca="false">IF(A58&lt;=3,SUMIFS(Data_Q1!$F$5:$F$76,Data_Q1!$A$5:$A$76,A58,Data_Q1!$B$5:$B$76,C58,Data_Q1!$C$5:$C$76,D58),P58*L58*INDEX(Reforecast!$D$12:$D$17,MATCH(C58,Reforecast!$A$12:$A$17,0)))</f>
        <v>203563.789362964</v>
      </c>
      <c r="S58" s="9" t="n">
        <f aca="false">IF(A58&lt;=3,SUMIFS(Data_Q1!$G$5:$G$76,Data_Q1!$A$5:$A$76,A58,Data_Q1!$B$5:$B$76,C58,Data_Q1!$C$5:$C$76,D58),P58*N58)</f>
        <v>6202.38285813704</v>
      </c>
    </row>
    <row r="59" customFormat="false" ht="15" hidden="false" customHeight="false" outlineLevel="0" collapsed="false">
      <c r="A59" s="0" t="n">
        <f aca="false">MOD(ROW()-5,12)+1</f>
        <v>7</v>
      </c>
      <c r="B59" s="0" t="n">
        <f aca="false">INT((ROW()-5)/12)+1</f>
        <v>5</v>
      </c>
      <c r="C59" s="0" t="str">
        <f aca="false">INDEX(Data_Base!$A$5:$A$28,B59)</f>
        <v>Pork</v>
      </c>
      <c r="D59" s="0" t="str">
        <f aca="false">INDEX(Data_Base!$B$5:$B$28,B59)</f>
        <v>Restaurants</v>
      </c>
      <c r="E59" s="26" t="n">
        <f aca="false">INDEX(Data_Base!$B$32:$M$37,MATCH(C59,Data_Base!$A$32:$A$37,0),A59)</f>
        <v>0.086781</v>
      </c>
      <c r="F59" s="25" t="n">
        <f aca="false">INDEX(Data_Base!$C$5:$C$28,B59)*(1+INDEX(Assumptions!$B$19:$B$22,MATCH(D59,Assumptions!$A$19:$A$22,0)))*E59</f>
        <v>2404.64249892</v>
      </c>
      <c r="G59" s="24" t="n">
        <f aca="false">INDEX(Data_Base!$D$5:$D$28,B59)/INDEX(Data_Base!$C$5:$C$28,B59)</f>
        <v>123.269380475595</v>
      </c>
      <c r="H59" s="27" t="n">
        <f aca="false">IF(A59&gt;=Assumptions!$C$37,INDEX(Assumptions!$B$10:$B$15,MATCH(C59,Assumptions!$A$10:$A$15,0)),0)</f>
        <v>0.025</v>
      </c>
      <c r="I59" s="27" t="n">
        <f aca="false">IF(AND(A59&gt;=Assumptions!$C$37,INDEX(Assumptions!$C$19:$C$22,MATCH(D59,Assumptions!$A$19:$A$22,0))=1),INDEX(Assumptions!$D$10:$D$15,MATCH(C59,Assumptions!$A$10:$A$15,0)),0)</f>
        <v>0</v>
      </c>
      <c r="J59" s="9" t="n">
        <f aca="false">F59*G59*(1+H59)</f>
        <v>303829.260884833</v>
      </c>
      <c r="K59" s="9" t="n">
        <f aca="false">J59*(1+I59)</f>
        <v>303829.260884833</v>
      </c>
      <c r="L59" s="24" t="n">
        <f aca="false">INDEX(Data_Base!$E$5:$E$28,B59)/INDEX(Data_Base!$C$5:$C$28,B59)*(1+INDEX(Assumptions!$C$10:$C$15,MATCH(C59,Assumptions!$A$10:$A$15,0)))</f>
        <v>88.7560645586395</v>
      </c>
      <c r="M59" s="9" t="n">
        <f aca="false">F59*L59</f>
        <v>213426.604874592</v>
      </c>
      <c r="N59" s="24" t="n">
        <f aca="false">INDEX(Data_Base!$F$5:$F$28,B59)/INDEX(Data_Base!$C$5:$C$28,B59)*(1+Assumptions!$C$38)</f>
        <v>2.70969997791357</v>
      </c>
      <c r="O59" s="9" t="n">
        <f aca="false">F59*N59</f>
        <v>6515.85972621355</v>
      </c>
      <c r="P59" s="25" t="n">
        <f aca="false">IF(A59&lt;=3,SUMIFS(Data_Q1!$D$5:$D$76,Data_Q1!$A$5:$A$76,A59,Data_Q1!$B$5:$B$76,C59,Data_Q1!$C$5:$C$76,D59),F59*INDEX(Reforecast!$D$6:$D$9,MATCH(D59,Reforecast!$A$6:$A$9,0)))</f>
        <v>2303.74203634023</v>
      </c>
      <c r="Q59" s="9" t="n">
        <f aca="false">IF(A59&lt;=3,SUMIFS(Data_Q1!$E$5:$E$76,Data_Q1!$A$5:$A$76,A59,Data_Q1!$B$5:$B$76,C59,Data_Q1!$C$5:$C$76,D59),P59*G59*(1+H59)*(1+I59))</f>
        <v>291080.374935126</v>
      </c>
      <c r="R59" s="9" t="n">
        <f aca="false">IF(A59&lt;=3,SUMIFS(Data_Q1!$F$5:$F$76,Data_Q1!$A$5:$A$76,A59,Data_Q1!$B$5:$B$76,C59,Data_Q1!$C$5:$C$76,D59),P59*L59*INDEX(Reforecast!$D$12:$D$17,MATCH(C59,Reforecast!$A$12:$A$17,0)))</f>
        <v>204878.794821713</v>
      </c>
      <c r="S59" s="9" t="n">
        <f aca="false">IF(A59&lt;=3,SUMIFS(Data_Q1!$G$5:$G$76,Data_Q1!$A$5:$A$76,A59,Data_Q1!$B$5:$B$76,C59,Data_Q1!$C$5:$C$76,D59),P59*N59)</f>
        <v>6242.44974498968</v>
      </c>
    </row>
    <row r="60" customFormat="false" ht="15" hidden="false" customHeight="false" outlineLevel="0" collapsed="false">
      <c r="A60" s="0" t="n">
        <f aca="false">MOD(ROW()-5,12)+1</f>
        <v>8</v>
      </c>
      <c r="B60" s="0" t="n">
        <f aca="false">INT((ROW()-5)/12)+1</f>
        <v>5</v>
      </c>
      <c r="C60" s="0" t="str">
        <f aca="false">INDEX(Data_Base!$A$5:$A$28,B60)</f>
        <v>Pork</v>
      </c>
      <c r="D60" s="0" t="str">
        <f aca="false">INDEX(Data_Base!$B$5:$B$28,B60)</f>
        <v>Restaurants</v>
      </c>
      <c r="E60" s="26" t="n">
        <f aca="false">INDEX(Data_Base!$B$32:$M$37,MATCH(C60,Data_Base!$A$32:$A$37,0),A60)</f>
        <v>0.086895</v>
      </c>
      <c r="F60" s="25" t="n">
        <f aca="false">INDEX(Data_Base!$C$5:$C$28,B60)*(1+INDEX(Assumptions!$B$19:$B$22,MATCH(D60,Assumptions!$A$19:$A$22,0)))*E60</f>
        <v>2407.8013614</v>
      </c>
      <c r="G60" s="24" t="n">
        <f aca="false">INDEX(Data_Base!$D$5:$D$28,B60)/INDEX(Data_Base!$C$5:$C$28,B60)</f>
        <v>123.269380475595</v>
      </c>
      <c r="H60" s="27" t="n">
        <f aca="false">IF(A60&gt;=Assumptions!$C$37,INDEX(Assumptions!$B$10:$B$15,MATCH(C60,Assumptions!$A$10:$A$15,0)),0)</f>
        <v>0.025</v>
      </c>
      <c r="I60" s="27" t="n">
        <f aca="false">IF(AND(A60&gt;=Assumptions!$C$37,INDEX(Assumptions!$C$19:$C$22,MATCH(D60,Assumptions!$A$19:$A$22,0))=1),INDEX(Assumptions!$D$10:$D$15,MATCH(C60,Assumptions!$A$10:$A$15,0)),0)</f>
        <v>0</v>
      </c>
      <c r="J60" s="9" t="n">
        <f aca="false">F60*G60*(1+H60)</f>
        <v>304228.386681273</v>
      </c>
      <c r="K60" s="9" t="n">
        <f aca="false">J60*(1+I60)</f>
        <v>304228.386681273</v>
      </c>
      <c r="L60" s="24" t="n">
        <f aca="false">INDEX(Data_Base!$E$5:$E$28,B60)/INDEX(Data_Base!$C$5:$C$28,B60)*(1+INDEX(Assumptions!$C$10:$C$15,MATCH(C60,Assumptions!$A$10:$A$15,0)))</f>
        <v>88.7560645586395</v>
      </c>
      <c r="M60" s="9" t="n">
        <f aca="false">F60*L60</f>
        <v>213706.973076798</v>
      </c>
      <c r="N60" s="24" t="n">
        <f aca="false">INDEX(Data_Base!$F$5:$F$28,B60)/INDEX(Data_Base!$C$5:$C$28,B60)*(1+Assumptions!$C$38)</f>
        <v>2.70969997791357</v>
      </c>
      <c r="O60" s="9" t="n">
        <f aca="false">F60*N60</f>
        <v>6524.41929580584</v>
      </c>
      <c r="P60" s="25" t="n">
        <f aca="false">IF(A60&lt;=3,SUMIFS(Data_Q1!$D$5:$D$76,Data_Q1!$A$5:$A$76,A60,Data_Q1!$B$5:$B$76,C60,Data_Q1!$C$5:$C$76,D60),F60*INDEX(Reforecast!$D$6:$D$9,MATCH(D60,Reforecast!$A$6:$A$9,0)))</f>
        <v>2306.76835076554</v>
      </c>
      <c r="Q60" s="9" t="n">
        <f aca="false">IF(A60&lt;=3,SUMIFS(Data_Q1!$E$5:$E$76,Data_Q1!$A$5:$A$76,A60,Data_Q1!$B$5:$B$76,C60,Data_Q1!$C$5:$C$76,D60),P60*G60*(1+H60)*(1+I60))</f>
        <v>291462.753137066</v>
      </c>
      <c r="R60" s="9" t="n">
        <f aca="false">IF(A60&lt;=3,SUMIFS(Data_Q1!$F$5:$F$76,Data_Q1!$A$5:$A$76,A60,Data_Q1!$B$5:$B$76,C60,Data_Q1!$C$5:$C$76,D60),P60*L60*INDEX(Reforecast!$D$12:$D$17,MATCH(C60,Reforecast!$A$12:$A$17,0)))</f>
        <v>205147.934179518</v>
      </c>
      <c r="S60" s="9" t="n">
        <f aca="false">IF(A60&lt;=3,SUMIFS(Data_Q1!$G$5:$G$76,Data_Q1!$A$5:$A$76,A60,Data_Q1!$B$5:$B$76,C60,Data_Q1!$C$5:$C$76,D60),P60*N60)</f>
        <v>6250.6501491211</v>
      </c>
    </row>
    <row r="61" customFormat="false" ht="15" hidden="false" customHeight="false" outlineLevel="0" collapsed="false">
      <c r="A61" s="0" t="n">
        <f aca="false">MOD(ROW()-5,12)+1</f>
        <v>9</v>
      </c>
      <c r="B61" s="0" t="n">
        <f aca="false">INT((ROW()-5)/12)+1</f>
        <v>5</v>
      </c>
      <c r="C61" s="0" t="str">
        <f aca="false">INDEX(Data_Base!$A$5:$A$28,B61)</f>
        <v>Pork</v>
      </c>
      <c r="D61" s="0" t="str">
        <f aca="false">INDEX(Data_Base!$B$5:$B$28,B61)</f>
        <v>Restaurants</v>
      </c>
      <c r="E61" s="26" t="n">
        <f aca="false">INDEX(Data_Base!$B$32:$M$37,MATCH(C61,Data_Base!$A$32:$A$37,0),A61)</f>
        <v>0.082228</v>
      </c>
      <c r="F61" s="25" t="n">
        <f aca="false">INDEX(Data_Base!$C$5:$C$28,B61)*(1+INDEX(Assumptions!$B$19:$B$22,MATCH(D61,Assumptions!$A$19:$A$22,0)))*E61</f>
        <v>2278.48196496</v>
      </c>
      <c r="G61" s="24" t="n">
        <f aca="false">INDEX(Data_Base!$D$5:$D$28,B61)/INDEX(Data_Base!$C$5:$C$28,B61)</f>
        <v>123.269380475595</v>
      </c>
      <c r="H61" s="27" t="n">
        <f aca="false">IF(A61&gt;=Assumptions!$C$37,INDEX(Assumptions!$B$10:$B$15,MATCH(C61,Assumptions!$A$10:$A$15,0)),0)</f>
        <v>0.025</v>
      </c>
      <c r="I61" s="27" t="n">
        <f aca="false">IF(AND(A61&gt;=Assumptions!$C$37,INDEX(Assumptions!$C$19:$C$22,MATCH(D61,Assumptions!$A$19:$A$22,0))=1),INDEX(Assumptions!$D$10:$D$15,MATCH(C61,Assumptions!$A$10:$A$15,0)),0)</f>
        <v>0</v>
      </c>
      <c r="J61" s="9" t="n">
        <f aca="false">F61*G61*(1+H61)</f>
        <v>287888.73675157</v>
      </c>
      <c r="K61" s="9" t="n">
        <f aca="false">J61*(1+I61)</f>
        <v>287888.73675157</v>
      </c>
      <c r="L61" s="24" t="n">
        <f aca="false">INDEX(Data_Base!$E$5:$E$28,B61)/INDEX(Data_Base!$C$5:$C$28,B61)*(1+INDEX(Assumptions!$C$10:$C$15,MATCH(C61,Assumptions!$A$10:$A$15,0)))</f>
        <v>88.7560645586395</v>
      </c>
      <c r="M61" s="9" t="n">
        <f aca="false">F61*L61</f>
        <v>202229.092377685</v>
      </c>
      <c r="N61" s="24" t="n">
        <f aca="false">INDEX(Data_Base!$F$5:$F$28,B61)/INDEX(Data_Base!$C$5:$C$28,B61)*(1+Assumptions!$C$38)</f>
        <v>2.70969997791357</v>
      </c>
      <c r="O61" s="9" t="n">
        <f aca="false">F61*N61</f>
        <v>6174.00253012858</v>
      </c>
      <c r="P61" s="25" t="n">
        <f aca="false">IF(A61&lt;=3,SUMIFS(Data_Q1!$D$5:$D$76,Data_Q1!$A$5:$A$76,A61,Data_Q1!$B$5:$B$76,C61,Data_Q1!$C$5:$C$76,D61),F61*INDEX(Reforecast!$D$6:$D$9,MATCH(D61,Reforecast!$A$6:$A$9,0)))</f>
        <v>2182.87528565221</v>
      </c>
      <c r="Q61" s="9" t="n">
        <f aca="false">IF(A61&lt;=3,SUMIFS(Data_Q1!$E$5:$E$76,Data_Q1!$A$5:$A$76,A61,Data_Q1!$B$5:$B$76,C61,Data_Q1!$C$5:$C$76,D61),P61*G61*(1+H61)*(1+I61))</f>
        <v>275808.72622078</v>
      </c>
      <c r="R61" s="9" t="n">
        <f aca="false">IF(A61&lt;=3,SUMIFS(Data_Q1!$F$5:$F$76,Data_Q1!$A$5:$A$76,A61,Data_Q1!$B$5:$B$76,C61,Data_Q1!$C$5:$C$76,D61),P61*L61*INDEX(Reforecast!$D$12:$D$17,MATCH(C61,Reforecast!$A$12:$A$17,0)))</f>
        <v>194129.746610431</v>
      </c>
      <c r="S61" s="9" t="n">
        <f aca="false">IF(A61&lt;=3,SUMIFS(Data_Q1!$G$5:$G$76,Data_Q1!$A$5:$A$76,A61,Data_Q1!$B$5:$B$76,C61,Data_Q1!$C$5:$C$76,D61),P61*N61)</f>
        <v>5914.93711331987</v>
      </c>
    </row>
    <row r="62" customFormat="false" ht="15" hidden="false" customHeight="false" outlineLevel="0" collapsed="false">
      <c r="A62" s="0" t="n">
        <f aca="false">MOD(ROW()-5,12)+1</f>
        <v>10</v>
      </c>
      <c r="B62" s="0" t="n">
        <f aca="false">INT((ROW()-5)/12)+1</f>
        <v>5</v>
      </c>
      <c r="C62" s="0" t="str">
        <f aca="false">INDEX(Data_Base!$A$5:$A$28,B62)</f>
        <v>Pork</v>
      </c>
      <c r="D62" s="0" t="str">
        <f aca="false">INDEX(Data_Base!$B$5:$B$28,B62)</f>
        <v>Restaurants</v>
      </c>
      <c r="E62" s="26" t="n">
        <f aca="false">INDEX(Data_Base!$B$32:$M$37,MATCH(C62,Data_Base!$A$32:$A$37,0),A62)</f>
        <v>0.080672</v>
      </c>
      <c r="F62" s="25" t="n">
        <f aca="false">INDEX(Data_Base!$C$5:$C$28,B62)*(1+INDEX(Assumptions!$B$19:$B$22,MATCH(D62,Assumptions!$A$19:$A$22,0)))*E62</f>
        <v>2235.36626304</v>
      </c>
      <c r="G62" s="24" t="n">
        <f aca="false">INDEX(Data_Base!$D$5:$D$28,B62)/INDEX(Data_Base!$C$5:$C$28,B62)</f>
        <v>123.269380475595</v>
      </c>
      <c r="H62" s="27" t="n">
        <f aca="false">IF(A62&gt;=Assumptions!$C$37,INDEX(Assumptions!$B$10:$B$15,MATCH(C62,Assumptions!$A$10:$A$15,0)),0)</f>
        <v>0.025</v>
      </c>
      <c r="I62" s="27" t="n">
        <f aca="false">IF(AND(A62&gt;=Assumptions!$C$37,INDEX(Assumptions!$C$19:$C$22,MATCH(D62,Assumptions!$A$19:$A$22,0))=1),INDEX(Assumptions!$D$10:$D$15,MATCH(C62,Assumptions!$A$10:$A$15,0)),0)</f>
        <v>0</v>
      </c>
      <c r="J62" s="9" t="n">
        <f aca="false">F62*G62*(1+H62)</f>
        <v>282441.01974051</v>
      </c>
      <c r="K62" s="9" t="n">
        <f aca="false">J62*(1+I62)</f>
        <v>282441.01974051</v>
      </c>
      <c r="L62" s="24" t="n">
        <f aca="false">INDEX(Data_Base!$E$5:$E$28,B62)/INDEX(Data_Base!$C$5:$C$28,B62)*(1+INDEX(Assumptions!$C$10:$C$15,MATCH(C62,Assumptions!$A$10:$A$15,0)))</f>
        <v>88.7560645586395</v>
      </c>
      <c r="M62" s="9" t="n">
        <f aca="false">F62*L62</f>
        <v>198402.312354583</v>
      </c>
      <c r="N62" s="24" t="n">
        <f aca="false">INDEX(Data_Base!$F$5:$F$28,B62)/INDEX(Data_Base!$C$5:$C$28,B62)*(1+Assumptions!$C$38)</f>
        <v>2.70969997791357</v>
      </c>
      <c r="O62" s="9" t="n">
        <f aca="false">F62*N62</f>
        <v>6057.17191358822</v>
      </c>
      <c r="P62" s="25" t="n">
        <f aca="false">IF(A62&lt;=3,SUMIFS(Data_Q1!$D$5:$D$76,Data_Q1!$A$5:$A$76,A62,Data_Q1!$B$5:$B$76,C62,Data_Q1!$C$5:$C$76,D62),F62*INDEX(Reforecast!$D$6:$D$9,MATCH(D62,Reforecast!$A$6:$A$9,0)))</f>
        <v>2141.56874840851</v>
      </c>
      <c r="Q62" s="9" t="n">
        <f aca="false">IF(A62&lt;=3,SUMIFS(Data_Q1!$E$5:$E$76,Data_Q1!$A$5:$A$76,A62,Data_Q1!$B$5:$B$76,C62,Data_Q1!$C$5:$C$76,D62),P62*G62*(1+H62)*(1+I62))</f>
        <v>270589.599183767</v>
      </c>
      <c r="R62" s="9" t="n">
        <f aca="false">IF(A62&lt;=3,SUMIFS(Data_Q1!$F$5:$F$76,Data_Q1!$A$5:$A$76,A62,Data_Q1!$B$5:$B$76,C62,Data_Q1!$C$5:$C$76,D62),P62*L62*INDEX(Reforecast!$D$12:$D$17,MATCH(C62,Reforecast!$A$12:$A$17,0)))</f>
        <v>190456.230463549</v>
      </c>
      <c r="S62" s="9" t="n">
        <f aca="false">IF(A62&lt;=3,SUMIFS(Data_Q1!$G$5:$G$76,Data_Q1!$A$5:$A$76,A62,Data_Q1!$B$5:$B$76,C62,Data_Q1!$C$5:$C$76,D62),P62*N62)</f>
        <v>5803.00879026294</v>
      </c>
    </row>
    <row r="63" customFormat="false" ht="15" hidden="false" customHeight="false" outlineLevel="0" collapsed="false">
      <c r="A63" s="0" t="n">
        <f aca="false">MOD(ROW()-5,12)+1</f>
        <v>11</v>
      </c>
      <c r="B63" s="0" t="n">
        <f aca="false">INT((ROW()-5)/12)+1</f>
        <v>5</v>
      </c>
      <c r="C63" s="0" t="str">
        <f aca="false">INDEX(Data_Base!$A$5:$A$28,B63)</f>
        <v>Pork</v>
      </c>
      <c r="D63" s="0" t="str">
        <f aca="false">INDEX(Data_Base!$B$5:$B$28,B63)</f>
        <v>Restaurants</v>
      </c>
      <c r="E63" s="26" t="n">
        <f aca="false">INDEX(Data_Base!$B$32:$M$37,MATCH(C63,Data_Base!$A$32:$A$37,0),A63)</f>
        <v>0.082768</v>
      </c>
      <c r="F63" s="25" t="n">
        <f aca="false">INDEX(Data_Base!$C$5:$C$28,B63)*(1+INDEX(Assumptions!$B$19:$B$22,MATCH(D63,Assumptions!$A$19:$A$22,0)))*E63</f>
        <v>2293.44499776</v>
      </c>
      <c r="G63" s="24" t="n">
        <f aca="false">INDEX(Data_Base!$D$5:$D$28,B63)/INDEX(Data_Base!$C$5:$C$28,B63)</f>
        <v>123.269380475595</v>
      </c>
      <c r="H63" s="27" t="n">
        <f aca="false">IF(A63&gt;=Assumptions!$C$37,INDEX(Assumptions!$B$10:$B$15,MATCH(C63,Assumptions!$A$10:$A$15,0)),0)</f>
        <v>0.025</v>
      </c>
      <c r="I63" s="27" t="n">
        <f aca="false">IF(AND(A63&gt;=Assumptions!$C$37,INDEX(Assumptions!$C$19:$C$22,MATCH(D63,Assumptions!$A$19:$A$22,0))=1),INDEX(Assumptions!$D$10:$D$15,MATCH(C63,Assumptions!$A$10:$A$15,0)),0)</f>
        <v>0</v>
      </c>
      <c r="J63" s="9" t="n">
        <f aca="false">F63*G63*(1+H63)</f>
        <v>289779.332629445</v>
      </c>
      <c r="K63" s="9" t="n">
        <f aca="false">J63*(1+I63)</f>
        <v>289779.332629445</v>
      </c>
      <c r="L63" s="24" t="n">
        <f aca="false">INDEX(Data_Base!$E$5:$E$28,B63)/INDEX(Data_Base!$C$5:$C$28,B63)*(1+INDEX(Assumptions!$C$10:$C$15,MATCH(C63,Assumptions!$A$10:$A$15,0)))</f>
        <v>88.7560645586395</v>
      </c>
      <c r="M63" s="9" t="n">
        <f aca="false">F63*L63</f>
        <v>203557.152282875</v>
      </c>
      <c r="N63" s="24" t="n">
        <f aca="false">INDEX(Data_Base!$F$5:$F$28,B63)/INDEX(Data_Base!$C$5:$C$28,B63)*(1+Assumptions!$C$38)</f>
        <v>2.70969997791357</v>
      </c>
      <c r="O63" s="9" t="n">
        <f aca="false">F63*N63</f>
        <v>6214.54785977626</v>
      </c>
      <c r="P63" s="25" t="n">
        <f aca="false">IF(A63&lt;=3,SUMIFS(Data_Q1!$D$5:$D$76,Data_Q1!$A$5:$A$76,A63,Data_Q1!$B$5:$B$76,C63,Data_Q1!$C$5:$C$76,D63),F63*INDEX(Reforecast!$D$6:$D$9,MATCH(D63,Reforecast!$A$6:$A$9,0)))</f>
        <v>2197.21045924578</v>
      </c>
      <c r="Q63" s="9" t="n">
        <f aca="false">IF(A63&lt;=3,SUMIFS(Data_Q1!$E$5:$E$76,Data_Q1!$A$5:$A$76,A63,Data_Q1!$B$5:$B$76,C63,Data_Q1!$C$5:$C$76,D63),P63*G63*(1+H63)*(1+I63))</f>
        <v>277619.991387867</v>
      </c>
      <c r="R63" s="9" t="n">
        <f aca="false">IF(A63&lt;=3,SUMIFS(Data_Q1!$F$5:$F$76,Data_Q1!$A$5:$A$76,A63,Data_Q1!$B$5:$B$76,C63,Data_Q1!$C$5:$C$76,D63),P63*L63*INDEX(Reforecast!$D$12:$D$17,MATCH(C63,Reforecast!$A$12:$A$17,0)))</f>
        <v>195404.617252665</v>
      </c>
      <c r="S63" s="9" t="n">
        <f aca="false">IF(A63&lt;=3,SUMIFS(Data_Q1!$G$5:$G$76,Data_Q1!$A$5:$A$76,A63,Data_Q1!$B$5:$B$76,C63,Data_Q1!$C$5:$C$76,D63),P63*N63)</f>
        <v>5953.78113288976</v>
      </c>
    </row>
    <row r="64" customFormat="false" ht="15" hidden="false" customHeight="false" outlineLevel="0" collapsed="false">
      <c r="A64" s="0" t="n">
        <f aca="false">MOD(ROW()-5,12)+1</f>
        <v>12</v>
      </c>
      <c r="B64" s="0" t="n">
        <f aca="false">INT((ROW()-5)/12)+1</f>
        <v>5</v>
      </c>
      <c r="C64" s="0" t="str">
        <f aca="false">INDEX(Data_Base!$A$5:$A$28,B64)</f>
        <v>Pork</v>
      </c>
      <c r="D64" s="0" t="str">
        <f aca="false">INDEX(Data_Base!$B$5:$B$28,B64)</f>
        <v>Restaurants</v>
      </c>
      <c r="E64" s="26" t="n">
        <f aca="false">INDEX(Data_Base!$B$32:$M$37,MATCH(C64,Data_Base!$A$32:$A$37,0),A64)</f>
        <v>0.091235</v>
      </c>
      <c r="F64" s="25" t="n">
        <f aca="false">INDEX(Data_Base!$C$5:$C$28,B64)*(1+INDEX(Assumptions!$B$19:$B$22,MATCH(D64,Assumptions!$A$19:$A$22,0)))*E64</f>
        <v>2528.0598102</v>
      </c>
      <c r="G64" s="24" t="n">
        <f aca="false">INDEX(Data_Base!$D$5:$D$28,B64)/INDEX(Data_Base!$C$5:$C$28,B64)</f>
        <v>123.269380475595</v>
      </c>
      <c r="H64" s="27" t="n">
        <f aca="false">IF(A64&gt;=Assumptions!$C$37,INDEX(Assumptions!$B$10:$B$15,MATCH(C64,Assumptions!$A$10:$A$15,0)),0)</f>
        <v>0.025</v>
      </c>
      <c r="I64" s="27" t="n">
        <f aca="false">IF(AND(A64&gt;=Assumptions!$C$37,INDEX(Assumptions!$C$19:$C$22,MATCH(D64,Assumptions!$A$19:$A$22,0))=1),INDEX(Assumptions!$D$10:$D$15,MATCH(C64,Assumptions!$A$10:$A$15,0)),0)</f>
        <v>0</v>
      </c>
      <c r="J64" s="9" t="n">
        <f aca="false">F64*G64*(1+H64)</f>
        <v>319423.175773818</v>
      </c>
      <c r="K64" s="9" t="n">
        <f aca="false">J64*(1+I64)</f>
        <v>319423.175773818</v>
      </c>
      <c r="L64" s="24" t="n">
        <f aca="false">INDEX(Data_Base!$E$5:$E$28,B64)/INDEX(Data_Base!$C$5:$C$28,B64)*(1+INDEX(Assumptions!$C$10:$C$15,MATCH(C64,Assumptions!$A$10:$A$15,0)))</f>
        <v>88.7560645586395</v>
      </c>
      <c r="M64" s="9" t="n">
        <f aca="false">F64*L64</f>
        <v>224380.639722213</v>
      </c>
      <c r="N64" s="24" t="n">
        <f aca="false">INDEX(Data_Base!$F$5:$F$28,B64)/INDEX(Data_Base!$C$5:$C$28,B64)*(1+Assumptions!$C$38)</f>
        <v>2.70969997791357</v>
      </c>
      <c r="O64" s="9" t="n">
        <f aca="false">F64*N64</f>
        <v>6850.28361186312</v>
      </c>
      <c r="P64" s="25" t="n">
        <f aca="false">IF(A64&lt;=3,SUMIFS(Data_Q1!$D$5:$D$76,Data_Q1!$A$5:$A$76,A64,Data_Q1!$B$5:$B$76,C64,Data_Q1!$C$5:$C$76,D64),F64*INDEX(Reforecast!$D$6:$D$9,MATCH(D64,Reforecast!$A$6:$A$9,0)))</f>
        <v>2421.98067186943</v>
      </c>
      <c r="Q64" s="9" t="n">
        <f aca="false">IF(A64&lt;=3,SUMIFS(Data_Q1!$E$5:$E$76,Data_Q1!$A$5:$A$76,A64,Data_Q1!$B$5:$B$76,C64,Data_Q1!$C$5:$C$76,D64),P64*G64*(1+H64)*(1+I64))</f>
        <v>306019.958368839</v>
      </c>
      <c r="R64" s="9" t="n">
        <f aca="false">IF(A64&lt;=3,SUMIFS(Data_Q1!$F$5:$F$76,Data_Q1!$A$5:$A$76,A64,Data_Q1!$B$5:$B$76,C64,Data_Q1!$C$5:$C$76,D64),P64*L64*INDEX(Reforecast!$D$12:$D$17,MATCH(C64,Reforecast!$A$12:$A$17,0)))</f>
        <v>215394.116748585</v>
      </c>
      <c r="S64" s="9" t="n">
        <f aca="false">IF(A64&lt;=3,SUMIFS(Data_Q1!$G$5:$G$76,Data_Q1!$A$5:$A$76,A64,Data_Q1!$B$5:$B$76,C64,Data_Q1!$C$5:$C$76,D64),P64*N64)</f>
        <v>6562.84097307168</v>
      </c>
    </row>
    <row r="65" customFormat="false" ht="15" hidden="false" customHeight="false" outlineLevel="0" collapsed="false">
      <c r="A65" s="0" t="n">
        <f aca="false">MOD(ROW()-5,12)+1</f>
        <v>1</v>
      </c>
      <c r="B65" s="0" t="n">
        <f aca="false">INT((ROW()-5)/12)+1</f>
        <v>6</v>
      </c>
      <c r="C65" s="0" t="str">
        <f aca="false">INDEX(Data_Base!$A$5:$A$28,B65)</f>
        <v>Pork</v>
      </c>
      <c r="D65" s="0" t="str">
        <f aca="false">INDEX(Data_Base!$B$5:$B$28,B65)</f>
        <v>Grocery Retail</v>
      </c>
      <c r="E65" s="26" t="n">
        <f aca="false">INDEX(Data_Base!$B$32:$M$37,MATCH(C65,Data_Base!$A$32:$A$37,0),A65)</f>
        <v>0.079526</v>
      </c>
      <c r="F65" s="25" t="n">
        <f aca="false">INDEX(Data_Base!$C$5:$C$28,B65)*(1+INDEX(Assumptions!$B$19:$B$22,MATCH(D65,Assumptions!$A$19:$A$22,0)))*E65</f>
        <v>1801.97327192</v>
      </c>
      <c r="G65" s="24" t="n">
        <f aca="false">INDEX(Data_Base!$D$5:$D$28,B65)/INDEX(Data_Base!$C$5:$C$28,B65)</f>
        <v>107.322814123533</v>
      </c>
      <c r="H65" s="27" t="n">
        <f aca="false">IF(A65&gt;=Assumptions!$C$37,INDEX(Assumptions!$B$10:$B$15,MATCH(C65,Assumptions!$A$10:$A$15,0)),0)</f>
        <v>0</v>
      </c>
      <c r="I65" s="27" t="n">
        <f aca="false">IF(AND(A65&gt;=Assumptions!$C$37,INDEX(Assumptions!$C$19:$C$22,MATCH(D65,Assumptions!$A$19:$A$22,0))=1),INDEX(Assumptions!$D$10:$D$15,MATCH(C65,Assumptions!$A$10:$A$15,0)),0)</f>
        <v>0</v>
      </c>
      <c r="J65" s="9" t="n">
        <f aca="false">F65*G65*(1+H65)</f>
        <v>193392.842517844</v>
      </c>
      <c r="K65" s="9" t="n">
        <f aca="false">J65*(1+I65)</f>
        <v>193392.842517844</v>
      </c>
      <c r="L65" s="24" t="n">
        <f aca="false">INDEX(Data_Base!$E$5:$E$28,B65)/INDEX(Data_Base!$C$5:$C$28,B65)*(1+INDEX(Assumptions!$C$10:$C$15,MATCH(C65,Assumptions!$A$10:$A$15,0)))</f>
        <v>88.8064979314989</v>
      </c>
      <c r="M65" s="9" t="n">
        <f aca="false">F65*L65</f>
        <v>160026.93564538</v>
      </c>
      <c r="N65" s="24" t="n">
        <f aca="false">INDEX(Data_Base!$F$5:$F$28,B65)/INDEX(Data_Base!$C$5:$C$28,B65)*(1+Assumptions!$C$38)</f>
        <v>2.71553965749471</v>
      </c>
      <c r="O65" s="9" t="n">
        <f aca="false">F65*N65</f>
        <v>4893.32988164426</v>
      </c>
      <c r="P65" s="25" t="n">
        <f aca="false">IF(A65&lt;=3,SUMIFS(Data_Q1!$D$5:$D$76,Data_Q1!$A$5:$A$76,A65,Data_Q1!$B$5:$B$76,C65,Data_Q1!$C$5:$C$76,D65),F65*INDEX(Reforecast!$D$6:$D$9,MATCH(D65,Reforecast!$A$6:$A$9,0)))</f>
        <v>1897.1</v>
      </c>
      <c r="Q65" s="9" t="n">
        <f aca="false">IF(A65&lt;=3,SUMIFS(Data_Q1!$E$5:$E$76,Data_Q1!$A$5:$A$76,A65,Data_Q1!$B$5:$B$76,C65,Data_Q1!$C$5:$C$76,D65),P65*G65*(1+H65)*(1+I65))</f>
        <v>203052.8</v>
      </c>
      <c r="R65" s="9" t="n">
        <f aca="false">IF(A65&lt;=3,SUMIFS(Data_Q1!$F$5:$F$76,Data_Q1!$A$5:$A$76,A65,Data_Q1!$B$5:$B$76,C65,Data_Q1!$C$5:$C$76,D65),P65*L65*INDEX(Reforecast!$D$12:$D$17,MATCH(C65,Reforecast!$A$12:$A$17,0)))</f>
        <v>167325.68</v>
      </c>
      <c r="S65" s="9" t="n">
        <f aca="false">IF(A65&lt;=3,SUMIFS(Data_Q1!$G$5:$G$76,Data_Q1!$A$5:$A$76,A65,Data_Q1!$B$5:$B$76,C65,Data_Q1!$C$5:$C$76,D65),P65*N65)</f>
        <v>5151.78</v>
      </c>
    </row>
    <row r="66" customFormat="false" ht="15" hidden="false" customHeight="false" outlineLevel="0" collapsed="false">
      <c r="A66" s="0" t="n">
        <f aca="false">MOD(ROW()-5,12)+1</f>
        <v>2</v>
      </c>
      <c r="B66" s="0" t="n">
        <f aca="false">INT((ROW()-5)/12)+1</f>
        <v>6</v>
      </c>
      <c r="C66" s="0" t="str">
        <f aca="false">INDEX(Data_Base!$A$5:$A$28,B66)</f>
        <v>Pork</v>
      </c>
      <c r="D66" s="0" t="str">
        <f aca="false">INDEX(Data_Base!$B$5:$B$28,B66)</f>
        <v>Grocery Retail</v>
      </c>
      <c r="E66" s="26" t="n">
        <f aca="false">INDEX(Data_Base!$B$32:$M$37,MATCH(C66,Data_Base!$A$32:$A$37,0),A66)</f>
        <v>0.075153</v>
      </c>
      <c r="F66" s="25" t="n">
        <f aca="false">INDEX(Data_Base!$C$5:$C$28,B66)*(1+INDEX(Assumptions!$B$19:$B$22,MATCH(D66,Assumptions!$A$19:$A$22,0)))*E66</f>
        <v>1702.88581476</v>
      </c>
      <c r="G66" s="24" t="n">
        <f aca="false">INDEX(Data_Base!$D$5:$D$28,B66)/INDEX(Data_Base!$C$5:$C$28,B66)</f>
        <v>107.322814123533</v>
      </c>
      <c r="H66" s="27" t="n">
        <f aca="false">IF(A66&gt;=Assumptions!$C$37,INDEX(Assumptions!$B$10:$B$15,MATCH(C66,Assumptions!$A$10:$A$15,0)),0)</f>
        <v>0.025</v>
      </c>
      <c r="I66" s="27" t="n">
        <f aca="false">IF(AND(A66&gt;=Assumptions!$C$37,INDEX(Assumptions!$C$19:$C$22,MATCH(D66,Assumptions!$A$19:$A$22,0))=1),INDEX(Assumptions!$D$10:$D$15,MATCH(C66,Assumptions!$A$10:$A$15,0)),0)</f>
        <v>0</v>
      </c>
      <c r="J66" s="9" t="n">
        <f aca="false">F66*G66*(1+H66)</f>
        <v>187327.460215365</v>
      </c>
      <c r="K66" s="9" t="n">
        <f aca="false">J66*(1+I66)</f>
        <v>187327.460215365</v>
      </c>
      <c r="L66" s="24" t="n">
        <f aca="false">INDEX(Data_Base!$E$5:$E$28,B66)/INDEX(Data_Base!$C$5:$C$28,B66)*(1+INDEX(Assumptions!$C$10:$C$15,MATCH(C66,Assumptions!$A$10:$A$15,0)))</f>
        <v>88.8064979314989</v>
      </c>
      <c r="M66" s="9" t="n">
        <f aca="false">F66*L66</f>
        <v>151227.325586063</v>
      </c>
      <c r="N66" s="24" t="n">
        <f aca="false">INDEX(Data_Base!$F$5:$F$28,B66)/INDEX(Data_Base!$C$5:$C$28,B66)*(1+Assumptions!$C$38)</f>
        <v>2.71553965749471</v>
      </c>
      <c r="O66" s="9" t="n">
        <f aca="false">F66*N66</f>
        <v>4624.25396216597</v>
      </c>
      <c r="P66" s="25" t="n">
        <f aca="false">IF(A66&lt;=3,SUMIFS(Data_Q1!$D$5:$D$76,Data_Q1!$A$5:$A$76,A66,Data_Q1!$B$5:$B$76,C66,Data_Q1!$C$5:$C$76,D66),F66*INDEX(Reforecast!$D$6:$D$9,MATCH(D66,Reforecast!$A$6:$A$9,0)))</f>
        <v>1779.7</v>
      </c>
      <c r="Q66" s="9" t="n">
        <f aca="false">IF(A66&lt;=3,SUMIFS(Data_Q1!$E$5:$E$76,Data_Q1!$A$5:$A$76,A66,Data_Q1!$B$5:$B$76,C66,Data_Q1!$C$5:$C$76,D66),P66*G66*(1+H66)*(1+I66))</f>
        <v>195636.16</v>
      </c>
      <c r="R66" s="9" t="n">
        <f aca="false">IF(A66&lt;=3,SUMIFS(Data_Q1!$F$5:$F$76,Data_Q1!$A$5:$A$76,A66,Data_Q1!$B$5:$B$76,C66,Data_Q1!$C$5:$C$76,D66),P66*L66*INDEX(Reforecast!$D$12:$D$17,MATCH(C66,Reforecast!$A$12:$A$17,0)))</f>
        <v>158142.62</v>
      </c>
      <c r="S66" s="9" t="n">
        <f aca="false">IF(A66&lt;=3,SUMIFS(Data_Q1!$G$5:$G$76,Data_Q1!$A$5:$A$76,A66,Data_Q1!$B$5:$B$76,C66,Data_Q1!$C$5:$C$76,D66),P66*N66)</f>
        <v>4832.76</v>
      </c>
    </row>
    <row r="67" customFormat="false" ht="15" hidden="false" customHeight="false" outlineLevel="0" collapsed="false">
      <c r="A67" s="0" t="n">
        <f aca="false">MOD(ROW()-5,12)+1</f>
        <v>3</v>
      </c>
      <c r="B67" s="0" t="n">
        <f aca="false">INT((ROW()-5)/12)+1</f>
        <v>6</v>
      </c>
      <c r="C67" s="0" t="str">
        <f aca="false">INDEX(Data_Base!$A$5:$A$28,B67)</f>
        <v>Pork</v>
      </c>
      <c r="D67" s="0" t="str">
        <f aca="false">INDEX(Data_Base!$B$5:$B$28,B67)</f>
        <v>Grocery Retail</v>
      </c>
      <c r="E67" s="26" t="n">
        <f aca="false">INDEX(Data_Base!$B$32:$M$37,MATCH(C67,Data_Base!$A$32:$A$37,0),A67)</f>
        <v>0.078854</v>
      </c>
      <c r="F67" s="25" t="n">
        <f aca="false">INDEX(Data_Base!$C$5:$C$28,B67)*(1+INDEX(Assumptions!$B$19:$B$22,MATCH(D67,Assumptions!$A$19:$A$22,0)))*E67</f>
        <v>1786.74647768</v>
      </c>
      <c r="G67" s="24" t="n">
        <f aca="false">INDEX(Data_Base!$D$5:$D$28,B67)/INDEX(Data_Base!$C$5:$C$28,B67)</f>
        <v>107.322814123533</v>
      </c>
      <c r="H67" s="27" t="n">
        <f aca="false">IF(A67&gt;=Assumptions!$C$37,INDEX(Assumptions!$B$10:$B$15,MATCH(C67,Assumptions!$A$10:$A$15,0)),0)</f>
        <v>0.025</v>
      </c>
      <c r="I67" s="27" t="n">
        <f aca="false">IF(AND(A67&gt;=Assumptions!$C$37,INDEX(Assumptions!$C$19:$C$22,MATCH(D67,Assumptions!$A$19:$A$22,0))=1),INDEX(Assumptions!$D$10:$D$15,MATCH(C67,Assumptions!$A$10:$A$15,0)),0)</f>
        <v>0</v>
      </c>
      <c r="J67" s="9" t="n">
        <f aca="false">F67*G67*(1+H67)</f>
        <v>196552.626612676</v>
      </c>
      <c r="K67" s="9" t="n">
        <f aca="false">J67*(1+I67)</f>
        <v>196552.626612676</v>
      </c>
      <c r="L67" s="24" t="n">
        <f aca="false">INDEX(Data_Base!$E$5:$E$28,B67)/INDEX(Data_Base!$C$5:$C$28,B67)*(1+INDEX(Assumptions!$C$10:$C$15,MATCH(C67,Assumptions!$A$10:$A$15,0)))</f>
        <v>88.8064979314989</v>
      </c>
      <c r="M67" s="9" t="n">
        <f aca="false">F67*L67</f>
        <v>158674.697374202</v>
      </c>
      <c r="N67" s="24" t="n">
        <f aca="false">INDEX(Data_Base!$F$5:$F$28,B67)/INDEX(Data_Base!$C$5:$C$28,B67)*(1+Assumptions!$C$38)</f>
        <v>2.71553965749471</v>
      </c>
      <c r="O67" s="9" t="n">
        <f aca="false">F67*N67</f>
        <v>4851.98091802902</v>
      </c>
      <c r="P67" s="25" t="n">
        <f aca="false">IF(A67&lt;=3,SUMIFS(Data_Q1!$D$5:$D$76,Data_Q1!$A$5:$A$76,A67,Data_Q1!$B$5:$B$76,C67,Data_Q1!$C$5:$C$76,D67),F67*INDEX(Reforecast!$D$6:$D$9,MATCH(D67,Reforecast!$A$6:$A$9,0)))</f>
        <v>1870.4</v>
      </c>
      <c r="Q67" s="9" t="n">
        <f aca="false">IF(A67&lt;=3,SUMIFS(Data_Q1!$E$5:$E$76,Data_Q1!$A$5:$A$76,A67,Data_Q1!$B$5:$B$76,C67,Data_Q1!$C$5:$C$76,D67),P67*G67*(1+H67)*(1+I67))</f>
        <v>205202.48</v>
      </c>
      <c r="R67" s="9" t="n">
        <f aca="false">IF(A67&lt;=3,SUMIFS(Data_Q1!$F$5:$F$76,Data_Q1!$A$5:$A$76,A67,Data_Q1!$B$5:$B$76,C67,Data_Q1!$C$5:$C$76,D67),P67*L67*INDEX(Reforecast!$D$12:$D$17,MATCH(C67,Reforecast!$A$12:$A$17,0)))</f>
        <v>165627.49</v>
      </c>
      <c r="S67" s="9" t="n">
        <f aca="false">IF(A67&lt;=3,SUMIFS(Data_Q1!$G$5:$G$76,Data_Q1!$A$5:$A$76,A67,Data_Q1!$B$5:$B$76,C67,Data_Q1!$C$5:$C$76,D67),P67*N67)</f>
        <v>5079.06</v>
      </c>
    </row>
    <row r="68" customFormat="false" ht="15" hidden="false" customHeight="false" outlineLevel="0" collapsed="false">
      <c r="A68" s="0" t="n">
        <f aca="false">MOD(ROW()-5,12)+1</f>
        <v>4</v>
      </c>
      <c r="B68" s="0" t="n">
        <f aca="false">INT((ROW()-5)/12)+1</f>
        <v>6</v>
      </c>
      <c r="C68" s="0" t="str">
        <f aca="false">INDEX(Data_Base!$A$5:$A$28,B68)</f>
        <v>Pork</v>
      </c>
      <c r="D68" s="0" t="str">
        <f aca="false">INDEX(Data_Base!$B$5:$B$28,B68)</f>
        <v>Grocery Retail</v>
      </c>
      <c r="E68" s="26" t="n">
        <f aca="false">INDEX(Data_Base!$B$32:$M$37,MATCH(C68,Data_Base!$A$32:$A$37,0),A68)</f>
        <v>0.08213</v>
      </c>
      <c r="F68" s="25" t="n">
        <f aca="false">INDEX(Data_Base!$C$5:$C$28,B68)*(1+INDEX(Assumptions!$B$19:$B$22,MATCH(D68,Assumptions!$A$19:$A$22,0)))*E68</f>
        <v>1860.9770996</v>
      </c>
      <c r="G68" s="24" t="n">
        <f aca="false">INDEX(Data_Base!$D$5:$D$28,B68)/INDEX(Data_Base!$C$5:$C$28,B68)</f>
        <v>107.322814123533</v>
      </c>
      <c r="H68" s="27" t="n">
        <f aca="false">IF(A68&gt;=Assumptions!$C$37,INDEX(Assumptions!$B$10:$B$15,MATCH(C68,Assumptions!$A$10:$A$15,0)),0)</f>
        <v>0.025</v>
      </c>
      <c r="I68" s="27" t="n">
        <f aca="false">IF(AND(A68&gt;=Assumptions!$C$37,INDEX(Assumptions!$C$19:$C$22,MATCH(D68,Assumptions!$A$19:$A$22,0))=1),INDEX(Assumptions!$D$10:$D$15,MATCH(C68,Assumptions!$A$10:$A$15,0)),0)</f>
        <v>0</v>
      </c>
      <c r="J68" s="9" t="n">
        <f aca="false">F68*G68*(1+H68)</f>
        <v>204718.431832235</v>
      </c>
      <c r="K68" s="9" t="n">
        <f aca="false">J68*(1+I68)</f>
        <v>204718.431832235</v>
      </c>
      <c r="L68" s="24" t="n">
        <f aca="false">INDEX(Data_Base!$E$5:$E$28,B68)/INDEX(Data_Base!$C$5:$C$28,B68)*(1+INDEX(Assumptions!$C$10:$C$15,MATCH(C68,Assumptions!$A$10:$A$15,0)))</f>
        <v>88.8064979314989</v>
      </c>
      <c r="M68" s="9" t="n">
        <f aca="false">F68*L68</f>
        <v>165266.858946194</v>
      </c>
      <c r="N68" s="24" t="n">
        <f aca="false">INDEX(Data_Base!$F$5:$F$28,B68)/INDEX(Data_Base!$C$5:$C$28,B68)*(1+Assumptions!$C$38)</f>
        <v>2.71553965749471</v>
      </c>
      <c r="O68" s="9" t="n">
        <f aca="false">F68*N68</f>
        <v>5053.55711565328</v>
      </c>
      <c r="P68" s="25" t="n">
        <f aca="false">IF(A68&lt;=3,SUMIFS(Data_Q1!$D$5:$D$76,Data_Q1!$A$5:$A$76,A68,Data_Q1!$B$5:$B$76,C68,Data_Q1!$C$5:$C$76,D68),F68*INDEX(Reforecast!$D$6:$D$9,MATCH(D68,Reforecast!$A$6:$A$9,0)))</f>
        <v>1972.43912144736</v>
      </c>
      <c r="Q68" s="9" t="n">
        <f aca="false">IF(A68&lt;=3,SUMIFS(Data_Q1!$E$5:$E$76,Data_Q1!$A$5:$A$76,A68,Data_Q1!$B$5:$B$76,C68,Data_Q1!$C$5:$C$76,D68),P68*G68*(1+H68)*(1+I68))</f>
        <v>216979.910131106</v>
      </c>
      <c r="R68" s="9" t="n">
        <f aca="false">IF(A68&lt;=3,SUMIFS(Data_Q1!$F$5:$F$76,Data_Q1!$A$5:$A$76,A68,Data_Q1!$B$5:$B$76,C68,Data_Q1!$C$5:$C$76,D68),P68*L68*INDEX(Reforecast!$D$12:$D$17,MATCH(C68,Reforecast!$A$12:$A$17,0)))</f>
        <v>175514.692807095</v>
      </c>
      <c r="S68" s="9" t="n">
        <f aca="false">IF(A68&lt;=3,SUMIFS(Data_Q1!$G$5:$G$76,Data_Q1!$A$5:$A$76,A68,Data_Q1!$B$5:$B$76,C68,Data_Q1!$C$5:$C$76,D68),P68*N68)</f>
        <v>5356.23665628432</v>
      </c>
    </row>
    <row r="69" customFormat="false" ht="15" hidden="false" customHeight="false" outlineLevel="0" collapsed="false">
      <c r="A69" s="0" t="n">
        <f aca="false">MOD(ROW()-5,12)+1</f>
        <v>5</v>
      </c>
      <c r="B69" s="0" t="n">
        <f aca="false">INT((ROW()-5)/12)+1</f>
        <v>6</v>
      </c>
      <c r="C69" s="0" t="str">
        <f aca="false">INDEX(Data_Base!$A$5:$A$28,B69)</f>
        <v>Pork</v>
      </c>
      <c r="D69" s="0" t="str">
        <f aca="false">INDEX(Data_Base!$B$5:$B$28,B69)</f>
        <v>Grocery Retail</v>
      </c>
      <c r="E69" s="26" t="n">
        <f aca="false">INDEX(Data_Base!$B$32:$M$37,MATCH(C69,Data_Base!$A$32:$A$37,0),A69)</f>
        <v>0.087534</v>
      </c>
      <c r="F69" s="25" t="n">
        <f aca="false">INDEX(Data_Base!$C$5:$C$28,B69)*(1+INDEX(Assumptions!$B$19:$B$22,MATCH(D69,Assumptions!$A$19:$A$22,0)))*E69</f>
        <v>1983.42590328</v>
      </c>
      <c r="G69" s="24" t="n">
        <f aca="false">INDEX(Data_Base!$D$5:$D$28,B69)/INDEX(Data_Base!$C$5:$C$28,B69)</f>
        <v>107.322814123533</v>
      </c>
      <c r="H69" s="27" t="n">
        <f aca="false">IF(A69&gt;=Assumptions!$C$37,INDEX(Assumptions!$B$10:$B$15,MATCH(C69,Assumptions!$A$10:$A$15,0)),0)</f>
        <v>0.025</v>
      </c>
      <c r="I69" s="27" t="n">
        <f aca="false">IF(AND(A69&gt;=Assumptions!$C$37,INDEX(Assumptions!$C$19:$C$22,MATCH(D69,Assumptions!$A$19:$A$22,0))=1),INDEX(Assumptions!$D$10:$D$15,MATCH(C69,Assumptions!$A$10:$A$15,0)),0)</f>
        <v>0</v>
      </c>
      <c r="J69" s="9" t="n">
        <f aca="false">F69*G69*(1+H69)</f>
        <v>218188.520784158</v>
      </c>
      <c r="K69" s="9" t="n">
        <f aca="false">J69*(1+I69)</f>
        <v>218188.520784158</v>
      </c>
      <c r="L69" s="24" t="n">
        <f aca="false">INDEX(Data_Base!$E$5:$E$28,B69)/INDEX(Data_Base!$C$5:$C$28,B69)*(1+INDEX(Assumptions!$C$10:$C$15,MATCH(C69,Assumptions!$A$10:$A$15,0)))</f>
        <v>88.8064979314989</v>
      </c>
      <c r="M69" s="9" t="n">
        <f aca="false">F69*L69</f>
        <v>176141.108376917</v>
      </c>
      <c r="N69" s="24" t="n">
        <f aca="false">INDEX(Data_Base!$F$5:$F$28,B69)/INDEX(Data_Base!$C$5:$C$28,B69)*(1+Assumptions!$C$38)</f>
        <v>2.71553965749471</v>
      </c>
      <c r="O69" s="9" t="n">
        <f aca="false">F69*N69</f>
        <v>5386.07169805911</v>
      </c>
      <c r="P69" s="25" t="n">
        <f aca="false">IF(A69&lt;=3,SUMIFS(Data_Q1!$D$5:$D$76,Data_Q1!$A$5:$A$76,A69,Data_Q1!$B$5:$B$76,C69,Data_Q1!$C$5:$C$76,D69),F69*INDEX(Reforecast!$D$6:$D$9,MATCH(D69,Reforecast!$A$6:$A$9,0)))</f>
        <v>2102.22191716514</v>
      </c>
      <c r="Q69" s="9" t="n">
        <f aca="false">IF(A69&lt;=3,SUMIFS(Data_Q1!$E$5:$E$76,Data_Q1!$A$5:$A$76,A69,Data_Q1!$B$5:$B$76,C69,Data_Q1!$C$5:$C$76,D69),P69*G69*(1+H69)*(1+I69))</f>
        <v>231256.781363889</v>
      </c>
      <c r="R69" s="9" t="n">
        <f aca="false">IF(A69&lt;=3,SUMIFS(Data_Q1!$F$5:$F$76,Data_Q1!$A$5:$A$76,A69,Data_Q1!$B$5:$B$76,C69,Data_Q1!$C$5:$C$76,D69),P69*L69*INDEX(Reforecast!$D$12:$D$17,MATCH(C69,Reforecast!$A$12:$A$17,0)))</f>
        <v>187063.230490397</v>
      </c>
      <c r="S69" s="9" t="n">
        <f aca="false">IF(A69&lt;=3,SUMIFS(Data_Q1!$G$5:$G$76,Data_Q1!$A$5:$A$76,A69,Data_Q1!$B$5:$B$76,C69,Data_Q1!$C$5:$C$76,D69),P69*N69)</f>
        <v>5708.6669849165</v>
      </c>
    </row>
    <row r="70" customFormat="false" ht="15" hidden="false" customHeight="false" outlineLevel="0" collapsed="false">
      <c r="A70" s="0" t="n">
        <f aca="false">MOD(ROW()-5,12)+1</f>
        <v>6</v>
      </c>
      <c r="B70" s="0" t="n">
        <f aca="false">INT((ROW()-5)/12)+1</f>
        <v>6</v>
      </c>
      <c r="C70" s="0" t="str">
        <f aca="false">INDEX(Data_Base!$A$5:$A$28,B70)</f>
        <v>Pork</v>
      </c>
      <c r="D70" s="0" t="str">
        <f aca="false">INDEX(Data_Base!$B$5:$B$28,B70)</f>
        <v>Grocery Retail</v>
      </c>
      <c r="E70" s="26" t="n">
        <f aca="false">INDEX(Data_Base!$B$32:$M$37,MATCH(C70,Data_Base!$A$32:$A$37,0),A70)</f>
        <v>0.086224</v>
      </c>
      <c r="F70" s="25" t="n">
        <f aca="false">INDEX(Data_Base!$C$5:$C$28,B70)*(1+INDEX(Assumptions!$B$19:$B$22,MATCH(D70,Assumptions!$A$19:$A$22,0)))*E70</f>
        <v>1953.74271808</v>
      </c>
      <c r="G70" s="24" t="n">
        <f aca="false">INDEX(Data_Base!$D$5:$D$28,B70)/INDEX(Data_Base!$C$5:$C$28,B70)</f>
        <v>107.322814123533</v>
      </c>
      <c r="H70" s="27" t="n">
        <f aca="false">IF(A70&gt;=Assumptions!$C$37,INDEX(Assumptions!$B$10:$B$15,MATCH(C70,Assumptions!$A$10:$A$15,0)),0)</f>
        <v>0.025</v>
      </c>
      <c r="I70" s="27" t="n">
        <f aca="false">IF(AND(A70&gt;=Assumptions!$C$37,INDEX(Assumptions!$C$19:$C$22,MATCH(D70,Assumptions!$A$19:$A$22,0))=1),INDEX(Assumptions!$D$10:$D$15,MATCH(C70,Assumptions!$A$10:$A$15,0)),0)</f>
        <v>0</v>
      </c>
      <c r="J70" s="9" t="n">
        <f aca="false">F70*G70*(1+H70)</f>
        <v>214923.195742148</v>
      </c>
      <c r="K70" s="9" t="n">
        <f aca="false">J70*(1+I70)</f>
        <v>214923.195742148</v>
      </c>
      <c r="L70" s="24" t="n">
        <f aca="false">INDEX(Data_Base!$E$5:$E$28,B70)/INDEX(Data_Base!$C$5:$C$28,B70)*(1+INDEX(Assumptions!$C$10:$C$15,MATCH(C70,Assumptions!$A$10:$A$15,0)))</f>
        <v>88.8064979314989</v>
      </c>
      <c r="M70" s="9" t="n">
        <f aca="false">F70*L70</f>
        <v>173505.048651853</v>
      </c>
      <c r="N70" s="24" t="n">
        <f aca="false">INDEX(Data_Base!$F$5:$F$28,B70)/INDEX(Data_Base!$C$5:$C$28,B70)*(1+Assumptions!$C$38)</f>
        <v>2.71553965749471</v>
      </c>
      <c r="O70" s="9" t="n">
        <f aca="false">F70*N70</f>
        <v>5305.46583148774</v>
      </c>
      <c r="P70" s="25" t="n">
        <f aca="false">IF(A70&lt;=3,SUMIFS(Data_Q1!$D$5:$D$76,Data_Q1!$A$5:$A$76,A70,Data_Q1!$B$5:$B$76,C70,Data_Q1!$C$5:$C$76,D70),F70*INDEX(Reforecast!$D$6:$D$9,MATCH(D70,Reforecast!$A$6:$A$9,0)))</f>
        <v>2070.76087675243</v>
      </c>
      <c r="Q70" s="9" t="n">
        <f aca="false">IF(A70&lt;=3,SUMIFS(Data_Q1!$E$5:$E$76,Data_Q1!$A$5:$A$76,A70,Data_Q1!$B$5:$B$76,C70,Data_Q1!$C$5:$C$76,D70),P70*G70*(1+H70)*(1+I70))</f>
        <v>227795.881786734</v>
      </c>
      <c r="R70" s="9" t="n">
        <f aca="false">IF(A70&lt;=3,SUMIFS(Data_Q1!$F$5:$F$76,Data_Q1!$A$5:$A$76,A70,Data_Q1!$B$5:$B$76,C70,Data_Q1!$C$5:$C$76,D70),P70*L70*INDEX(Reforecast!$D$12:$D$17,MATCH(C70,Reforecast!$A$12:$A$17,0)))</f>
        <v>184263.714508693</v>
      </c>
      <c r="S70" s="9" t="n">
        <f aca="false">IF(A70&lt;=3,SUMIFS(Data_Q1!$G$5:$G$76,Data_Q1!$A$5:$A$76,A70,Data_Q1!$B$5:$B$76,C70,Data_Q1!$C$5:$C$76,D70),P70*N70)</f>
        <v>5623.23328200973</v>
      </c>
    </row>
    <row r="71" customFormat="false" ht="15" hidden="false" customHeight="false" outlineLevel="0" collapsed="false">
      <c r="A71" s="0" t="n">
        <f aca="false">MOD(ROW()-5,12)+1</f>
        <v>7</v>
      </c>
      <c r="B71" s="0" t="n">
        <f aca="false">INT((ROW()-5)/12)+1</f>
        <v>6</v>
      </c>
      <c r="C71" s="0" t="str">
        <f aca="false">INDEX(Data_Base!$A$5:$A$28,B71)</f>
        <v>Pork</v>
      </c>
      <c r="D71" s="0" t="str">
        <f aca="false">INDEX(Data_Base!$B$5:$B$28,B71)</f>
        <v>Grocery Retail</v>
      </c>
      <c r="E71" s="26" t="n">
        <f aca="false">INDEX(Data_Base!$B$32:$M$37,MATCH(C71,Data_Base!$A$32:$A$37,0),A71)</f>
        <v>0.086781</v>
      </c>
      <c r="F71" s="25" t="n">
        <f aca="false">INDEX(Data_Base!$C$5:$C$28,B71)*(1+INDEX(Assumptions!$B$19:$B$22,MATCH(D71,Assumptions!$A$19:$A$22,0)))*E71</f>
        <v>1966.36373652</v>
      </c>
      <c r="G71" s="24" t="n">
        <f aca="false">INDEX(Data_Base!$D$5:$D$28,B71)/INDEX(Data_Base!$C$5:$C$28,B71)</f>
        <v>107.322814123533</v>
      </c>
      <c r="H71" s="27" t="n">
        <f aca="false">IF(A71&gt;=Assumptions!$C$37,INDEX(Assumptions!$B$10:$B$15,MATCH(C71,Assumptions!$A$10:$A$15,0)),0)</f>
        <v>0.025</v>
      </c>
      <c r="I71" s="27" t="n">
        <f aca="false">IF(AND(A71&gt;=Assumptions!$C$37,INDEX(Assumptions!$C$19:$C$22,MATCH(D71,Assumptions!$A$19:$A$22,0))=1),INDEX(Assumptions!$D$10:$D$15,MATCH(C71,Assumptions!$A$10:$A$15,0)),0)</f>
        <v>0</v>
      </c>
      <c r="J71" s="9" t="n">
        <f aca="false">F71*G71*(1+H71)</f>
        <v>216311.582038636</v>
      </c>
      <c r="K71" s="9" t="n">
        <f aca="false">J71*(1+I71)</f>
        <v>216311.582038636</v>
      </c>
      <c r="L71" s="24" t="n">
        <f aca="false">INDEX(Data_Base!$E$5:$E$28,B71)/INDEX(Data_Base!$C$5:$C$28,B71)*(1+INDEX(Assumptions!$C$10:$C$15,MATCH(C71,Assumptions!$A$10:$A$15,0)))</f>
        <v>88.8064979314989</v>
      </c>
      <c r="M71" s="9" t="n">
        <f aca="false">F71*L71</f>
        <v>174625.877099838</v>
      </c>
      <c r="N71" s="24" t="n">
        <f aca="false">INDEX(Data_Base!$F$5:$F$28,B71)/INDEX(Data_Base!$C$5:$C$28,B71)*(1+Assumptions!$C$38)</f>
        <v>2.71553965749471</v>
      </c>
      <c r="O71" s="9" t="n">
        <f aca="false">F71*N71</f>
        <v>5339.73870757954</v>
      </c>
      <c r="P71" s="25" t="n">
        <f aca="false">IF(A71&lt;=3,SUMIFS(Data_Q1!$D$5:$D$76,Data_Q1!$A$5:$A$76,A71,Data_Q1!$B$5:$B$76,C71,Data_Q1!$C$5:$C$76,D71),F71*INDEX(Reforecast!$D$6:$D$9,MATCH(D71,Reforecast!$A$6:$A$9,0)))</f>
        <v>2084.13782294318</v>
      </c>
      <c r="Q71" s="9" t="n">
        <f aca="false">IF(A71&lt;=3,SUMIFS(Data_Q1!$E$5:$E$76,Data_Q1!$A$5:$A$76,A71,Data_Q1!$B$5:$B$76,C71,Data_Q1!$C$5:$C$76,D71),P71*G71*(1+H71)*(1+I71))</f>
        <v>229267.424584044</v>
      </c>
      <c r="R71" s="9" t="n">
        <f aca="false">IF(A71&lt;=3,SUMIFS(Data_Q1!$F$5:$F$76,Data_Q1!$A$5:$A$76,A71,Data_Q1!$B$5:$B$76,C71,Data_Q1!$C$5:$C$76,D71),P71*L71*INDEX(Reforecast!$D$12:$D$17,MATCH(C71,Reforecast!$A$12:$A$17,0)))</f>
        <v>185454.043059692</v>
      </c>
      <c r="S71" s="9" t="n">
        <f aca="false">IF(A71&lt;=3,SUMIFS(Data_Q1!$G$5:$G$76,Data_Q1!$A$5:$A$76,A71,Data_Q1!$B$5:$B$76,C71,Data_Q1!$C$5:$C$76,D71),P71*N71)</f>
        <v>5659.55890988688</v>
      </c>
    </row>
    <row r="72" customFormat="false" ht="15" hidden="false" customHeight="false" outlineLevel="0" collapsed="false">
      <c r="A72" s="0" t="n">
        <f aca="false">MOD(ROW()-5,12)+1</f>
        <v>8</v>
      </c>
      <c r="B72" s="0" t="n">
        <f aca="false">INT((ROW()-5)/12)+1</f>
        <v>6</v>
      </c>
      <c r="C72" s="0" t="str">
        <f aca="false">INDEX(Data_Base!$A$5:$A$28,B72)</f>
        <v>Pork</v>
      </c>
      <c r="D72" s="0" t="str">
        <f aca="false">INDEX(Data_Base!$B$5:$B$28,B72)</f>
        <v>Grocery Retail</v>
      </c>
      <c r="E72" s="26" t="n">
        <f aca="false">INDEX(Data_Base!$B$32:$M$37,MATCH(C72,Data_Base!$A$32:$A$37,0),A72)</f>
        <v>0.086895</v>
      </c>
      <c r="F72" s="25" t="n">
        <f aca="false">INDEX(Data_Base!$C$5:$C$28,B72)*(1+INDEX(Assumptions!$B$19:$B$22,MATCH(D72,Assumptions!$A$19:$A$22,0)))*E72</f>
        <v>1968.9468534</v>
      </c>
      <c r="G72" s="24" t="n">
        <f aca="false">INDEX(Data_Base!$D$5:$D$28,B72)/INDEX(Data_Base!$C$5:$C$28,B72)</f>
        <v>107.322814123533</v>
      </c>
      <c r="H72" s="27" t="n">
        <f aca="false">IF(A72&gt;=Assumptions!$C$37,INDEX(Assumptions!$B$10:$B$15,MATCH(C72,Assumptions!$A$10:$A$15,0)),0)</f>
        <v>0.025</v>
      </c>
      <c r="I72" s="27" t="n">
        <f aca="false">IF(AND(A72&gt;=Assumptions!$C$37,INDEX(Assumptions!$C$19:$C$22,MATCH(D72,Assumptions!$A$19:$A$22,0))=1),INDEX(Assumptions!$D$10:$D$15,MATCH(C72,Assumptions!$A$10:$A$15,0)),0)</f>
        <v>0</v>
      </c>
      <c r="J72" s="9" t="n">
        <f aca="false">F72*G72*(1+H72)</f>
        <v>216595.740095727</v>
      </c>
      <c r="K72" s="9" t="n">
        <f aca="false">J72*(1+I72)</f>
        <v>216595.740095727</v>
      </c>
      <c r="L72" s="24" t="n">
        <f aca="false">INDEX(Data_Base!$E$5:$E$28,B72)/INDEX(Data_Base!$C$5:$C$28,B72)*(1+INDEX(Assumptions!$C$10:$C$15,MATCH(C72,Assumptions!$A$10:$A$15,0)))</f>
        <v>88.8064979314989</v>
      </c>
      <c r="M72" s="9" t="n">
        <f aca="false">F72*L72</f>
        <v>174855.274663698</v>
      </c>
      <c r="N72" s="24" t="n">
        <f aca="false">INDEX(Data_Base!$F$5:$F$28,B72)/INDEX(Data_Base!$C$5:$C$28,B72)*(1+Assumptions!$C$38)</f>
        <v>2.71553965749471</v>
      </c>
      <c r="O72" s="9" t="n">
        <f aca="false">F72*N72</f>
        <v>5346.75326390712</v>
      </c>
      <c r="P72" s="25" t="n">
        <f aca="false">IF(A72&lt;=3,SUMIFS(Data_Q1!$D$5:$D$76,Data_Q1!$A$5:$A$76,A72,Data_Q1!$B$5:$B$76,C72,Data_Q1!$C$5:$C$76,D72),F72*INDEX(Reforecast!$D$6:$D$9,MATCH(D72,Reforecast!$A$6:$A$9,0)))</f>
        <v>2086.87565394092</v>
      </c>
      <c r="Q72" s="9" t="n">
        <f aca="false">IF(A72&lt;=3,SUMIFS(Data_Q1!$E$5:$E$76,Data_Q1!$A$5:$A$76,A72,Data_Q1!$B$5:$B$76,C72,Data_Q1!$C$5:$C$76,D72),P72*G72*(1+H72)*(1+I72))</f>
        <v>229568.602104499</v>
      </c>
      <c r="R72" s="9" t="n">
        <f aca="false">IF(A72&lt;=3,SUMIFS(Data_Q1!$F$5:$F$76,Data_Q1!$A$5:$A$76,A72,Data_Q1!$B$5:$B$76,C72,Data_Q1!$C$5:$C$76,D72),P72*L72*INDEX(Reforecast!$D$12:$D$17,MATCH(C72,Reforecast!$A$12:$A$17,0)))</f>
        <v>185697.665061154</v>
      </c>
      <c r="S72" s="9" t="n">
        <f aca="false">IF(A72&lt;=3,SUMIFS(Data_Q1!$G$5:$G$76,Data_Q1!$A$5:$A$76,A72,Data_Q1!$B$5:$B$76,C72,Data_Q1!$C$5:$C$76,D72),P72*N72)</f>
        <v>5666.99359853679</v>
      </c>
    </row>
    <row r="73" customFormat="false" ht="15" hidden="false" customHeight="false" outlineLevel="0" collapsed="false">
      <c r="A73" s="0" t="n">
        <f aca="false">MOD(ROW()-5,12)+1</f>
        <v>9</v>
      </c>
      <c r="B73" s="0" t="n">
        <f aca="false">INT((ROW()-5)/12)+1</f>
        <v>6</v>
      </c>
      <c r="C73" s="0" t="str">
        <f aca="false">INDEX(Data_Base!$A$5:$A$28,B73)</f>
        <v>Pork</v>
      </c>
      <c r="D73" s="0" t="str">
        <f aca="false">INDEX(Data_Base!$B$5:$B$28,B73)</f>
        <v>Grocery Retail</v>
      </c>
      <c r="E73" s="26" t="n">
        <f aca="false">INDEX(Data_Base!$B$32:$M$37,MATCH(C73,Data_Base!$A$32:$A$37,0),A73)</f>
        <v>0.082228</v>
      </c>
      <c r="F73" s="25" t="n">
        <f aca="false">INDEX(Data_Base!$C$5:$C$28,B73)*(1+INDEX(Assumptions!$B$19:$B$22,MATCH(D73,Assumptions!$A$19:$A$22,0)))*E73</f>
        <v>1863.19767376</v>
      </c>
      <c r="G73" s="24" t="n">
        <f aca="false">INDEX(Data_Base!$D$5:$D$28,B73)/INDEX(Data_Base!$C$5:$C$28,B73)</f>
        <v>107.322814123533</v>
      </c>
      <c r="H73" s="27" t="n">
        <f aca="false">IF(A73&gt;=Assumptions!$C$37,INDEX(Assumptions!$B$10:$B$15,MATCH(C73,Assumptions!$A$10:$A$15,0)),0)</f>
        <v>0.025</v>
      </c>
      <c r="I73" s="27" t="n">
        <f aca="false">IF(AND(A73&gt;=Assumptions!$C$37,INDEX(Assumptions!$C$19:$C$22,MATCH(D73,Assumptions!$A$19:$A$22,0))=1),INDEX(Assumptions!$D$10:$D$15,MATCH(C73,Assumptions!$A$10:$A$15,0)),0)</f>
        <v>0</v>
      </c>
      <c r="J73" s="9" t="n">
        <f aca="false">F73*G73*(1+H73)</f>
        <v>204962.708056752</v>
      </c>
      <c r="K73" s="9" t="n">
        <f aca="false">J73*(1+I73)</f>
        <v>204962.708056752</v>
      </c>
      <c r="L73" s="24" t="n">
        <f aca="false">INDEX(Data_Base!$E$5:$E$28,B73)/INDEX(Data_Base!$C$5:$C$28,B73)*(1+INDEX(Assumptions!$C$10:$C$15,MATCH(C73,Assumptions!$A$10:$A$15,0)))</f>
        <v>88.8064979314989</v>
      </c>
      <c r="M73" s="9" t="n">
        <f aca="false">F73*L73</f>
        <v>165464.060360741</v>
      </c>
      <c r="N73" s="24" t="n">
        <f aca="false">INDEX(Data_Base!$F$5:$F$28,B73)/INDEX(Data_Base!$C$5:$C$28,B73)*(1+Assumptions!$C$38)</f>
        <v>2.71553965749471</v>
      </c>
      <c r="O73" s="9" t="n">
        <f aca="false">F73*N73</f>
        <v>5059.58717284717</v>
      </c>
      <c r="P73" s="25" t="n">
        <f aca="false">IF(A73&lt;=3,SUMIFS(Data_Q1!$D$5:$D$76,Data_Q1!$A$5:$A$76,A73,Data_Q1!$B$5:$B$76,C73,Data_Q1!$C$5:$C$76,D73),F73*INDEX(Reforecast!$D$6:$D$9,MATCH(D73,Reforecast!$A$6:$A$9,0)))</f>
        <v>1974.79269546296</v>
      </c>
      <c r="Q73" s="9" t="n">
        <f aca="false">IF(A73&lt;=3,SUMIFS(Data_Q1!$E$5:$E$76,Data_Q1!$A$5:$A$76,A73,Data_Q1!$B$5:$B$76,C73,Data_Q1!$C$5:$C$76,D73),P73*G73*(1+H73)*(1+I73))</f>
        <v>217238.817122374</v>
      </c>
      <c r="R73" s="9" t="n">
        <f aca="false">IF(A73&lt;=3,SUMIFS(Data_Q1!$F$5:$F$76,Data_Q1!$A$5:$A$76,A73,Data_Q1!$B$5:$B$76,C73,Data_Q1!$C$5:$C$76,D73),P73*L73*INDEX(Reforecast!$D$12:$D$17,MATCH(C73,Reforecast!$A$12:$A$17,0)))</f>
        <v>175724.122246948</v>
      </c>
      <c r="S73" s="9" t="n">
        <f aca="false">IF(A73&lt;=3,SUMIFS(Data_Q1!$G$5:$G$76,Data_Q1!$A$5:$A$76,A73,Data_Q1!$B$5:$B$76,C73,Data_Q1!$C$5:$C$76,D73),P73*N73)</f>
        <v>5362.62787986055</v>
      </c>
    </row>
    <row r="74" customFormat="false" ht="15" hidden="false" customHeight="false" outlineLevel="0" collapsed="false">
      <c r="A74" s="0" t="n">
        <f aca="false">MOD(ROW()-5,12)+1</f>
        <v>10</v>
      </c>
      <c r="B74" s="0" t="n">
        <f aca="false">INT((ROW()-5)/12)+1</f>
        <v>6</v>
      </c>
      <c r="C74" s="0" t="str">
        <f aca="false">INDEX(Data_Base!$A$5:$A$28,B74)</f>
        <v>Pork</v>
      </c>
      <c r="D74" s="0" t="str">
        <f aca="false">INDEX(Data_Base!$B$5:$B$28,B74)</f>
        <v>Grocery Retail</v>
      </c>
      <c r="E74" s="26" t="n">
        <f aca="false">INDEX(Data_Base!$B$32:$M$37,MATCH(C74,Data_Base!$A$32:$A$37,0),A74)</f>
        <v>0.080672</v>
      </c>
      <c r="F74" s="25" t="n">
        <f aca="false">INDEX(Data_Base!$C$5:$C$28,B74)*(1+INDEX(Assumptions!$B$19:$B$22,MATCH(D74,Assumptions!$A$19:$A$22,0)))*E74</f>
        <v>1827.94039424</v>
      </c>
      <c r="G74" s="24" t="n">
        <f aca="false">INDEX(Data_Base!$D$5:$D$28,B74)/INDEX(Data_Base!$C$5:$C$28,B74)</f>
        <v>107.322814123533</v>
      </c>
      <c r="H74" s="27" t="n">
        <f aca="false">IF(A74&gt;=Assumptions!$C$37,INDEX(Assumptions!$B$10:$B$15,MATCH(C74,Assumptions!$A$10:$A$15,0)),0)</f>
        <v>0.025</v>
      </c>
      <c r="I74" s="27" t="n">
        <f aca="false">IF(AND(A74&gt;=Assumptions!$C$37,INDEX(Assumptions!$C$19:$C$22,MATCH(D74,Assumptions!$A$19:$A$22,0))=1),INDEX(Assumptions!$D$10:$D$15,MATCH(C74,Assumptions!$A$10:$A$15,0)),0)</f>
        <v>0</v>
      </c>
      <c r="J74" s="9" t="n">
        <f aca="false">F74*G74*(1+H74)</f>
        <v>201084.199838915</v>
      </c>
      <c r="K74" s="9" t="n">
        <f aca="false">J74*(1+I74)</f>
        <v>201084.199838915</v>
      </c>
      <c r="L74" s="24" t="n">
        <f aca="false">INDEX(Data_Base!$E$5:$E$28,B74)/INDEX(Data_Base!$C$5:$C$28,B74)*(1+INDEX(Assumptions!$C$10:$C$15,MATCH(C74,Assumptions!$A$10:$A$15,0)))</f>
        <v>88.8064979314989</v>
      </c>
      <c r="M74" s="9" t="n">
        <f aca="false">F74*L74</f>
        <v>162332.984839978</v>
      </c>
      <c r="N74" s="24" t="n">
        <f aca="false">INDEX(Data_Base!$F$5:$F$28,B74)/INDEX(Data_Base!$C$5:$C$28,B74)*(1+Assumptions!$C$38)</f>
        <v>2.71553965749471</v>
      </c>
      <c r="O74" s="9" t="n">
        <f aca="false">F74*N74</f>
        <v>4963.84463209523</v>
      </c>
      <c r="P74" s="25" t="n">
        <f aca="false">IF(A74&lt;=3,SUMIFS(Data_Q1!$D$5:$D$76,Data_Q1!$A$5:$A$76,A74,Data_Q1!$B$5:$B$76,C74,Data_Q1!$C$5:$C$76,D74),F74*INDEX(Reforecast!$D$6:$D$9,MATCH(D74,Reforecast!$A$6:$A$9,0)))</f>
        <v>1937.42370394985</v>
      </c>
      <c r="Q74" s="9" t="n">
        <f aca="false">IF(A74&lt;=3,SUMIFS(Data_Q1!$E$5:$E$76,Data_Q1!$A$5:$A$76,A74,Data_Q1!$B$5:$B$76,C74,Data_Q1!$C$5:$C$76,D74),P74*G74*(1+H74)*(1+I74))</f>
        <v>213128.008158975</v>
      </c>
      <c r="R74" s="9" t="n">
        <f aca="false">IF(A74&lt;=3,SUMIFS(Data_Q1!$F$5:$F$76,Data_Q1!$A$5:$A$76,A74,Data_Q1!$B$5:$B$76,C74,Data_Q1!$C$5:$C$76,D74),P74*L74*INDEX(Reforecast!$D$12:$D$17,MATCH(C74,Reforecast!$A$12:$A$17,0)))</f>
        <v>172398.895630512</v>
      </c>
      <c r="S74" s="9" t="n">
        <f aca="false">IF(A74&lt;=3,SUMIFS(Data_Q1!$G$5:$G$76,Data_Q1!$A$5:$A$76,A74,Data_Q1!$B$5:$B$76,C74,Data_Q1!$C$5:$C$76,D74),P74*N74)</f>
        <v>5261.15090144611</v>
      </c>
    </row>
    <row r="75" customFormat="false" ht="15" hidden="false" customHeight="false" outlineLevel="0" collapsed="false">
      <c r="A75" s="0" t="n">
        <f aca="false">MOD(ROW()-5,12)+1</f>
        <v>11</v>
      </c>
      <c r="B75" s="0" t="n">
        <f aca="false">INT((ROW()-5)/12)+1</f>
        <v>6</v>
      </c>
      <c r="C75" s="0" t="str">
        <f aca="false">INDEX(Data_Base!$A$5:$A$28,B75)</f>
        <v>Pork</v>
      </c>
      <c r="D75" s="0" t="str">
        <f aca="false">INDEX(Data_Base!$B$5:$B$28,B75)</f>
        <v>Grocery Retail</v>
      </c>
      <c r="E75" s="26" t="n">
        <f aca="false">INDEX(Data_Base!$B$32:$M$37,MATCH(C75,Data_Base!$A$32:$A$37,0),A75)</f>
        <v>0.082768</v>
      </c>
      <c r="F75" s="25" t="n">
        <f aca="false">INDEX(Data_Base!$C$5:$C$28,B75)*(1+INDEX(Assumptions!$B$19:$B$22,MATCH(D75,Assumptions!$A$19:$A$22,0)))*E75</f>
        <v>1875.43349056</v>
      </c>
      <c r="G75" s="24" t="n">
        <f aca="false">INDEX(Data_Base!$D$5:$D$28,B75)/INDEX(Data_Base!$C$5:$C$28,B75)</f>
        <v>107.322814123533</v>
      </c>
      <c r="H75" s="27" t="n">
        <f aca="false">IF(A75&gt;=Assumptions!$C$37,INDEX(Assumptions!$B$10:$B$15,MATCH(C75,Assumptions!$A$10:$A$15,0)),0)</f>
        <v>0.025</v>
      </c>
      <c r="I75" s="27" t="n">
        <f aca="false">IF(AND(A75&gt;=Assumptions!$C$37,INDEX(Assumptions!$C$19:$C$22,MATCH(D75,Assumptions!$A$19:$A$22,0))=1),INDEX(Assumptions!$D$10:$D$15,MATCH(C75,Assumptions!$A$10:$A$15,0)),0)</f>
        <v>0</v>
      </c>
      <c r="J75" s="9" t="n">
        <f aca="false">F75*G75*(1+H75)</f>
        <v>206308.71990613</v>
      </c>
      <c r="K75" s="9" t="n">
        <f aca="false">J75*(1+I75)</f>
        <v>206308.71990613</v>
      </c>
      <c r="L75" s="24" t="n">
        <f aca="false">INDEX(Data_Base!$E$5:$E$28,B75)/INDEX(Data_Base!$C$5:$C$28,B75)*(1+INDEX(Assumptions!$C$10:$C$15,MATCH(C75,Assumptions!$A$10:$A$15,0)))</f>
        <v>88.8064979314989</v>
      </c>
      <c r="M75" s="9" t="n">
        <f aca="false">F75*L75</f>
        <v>166550.68040008</v>
      </c>
      <c r="N75" s="24" t="n">
        <f aca="false">INDEX(Data_Base!$F$5:$F$28,B75)/INDEX(Data_Base!$C$5:$C$28,B75)*(1+Assumptions!$C$38)</f>
        <v>2.71553965749471</v>
      </c>
      <c r="O75" s="9" t="n">
        <f aca="false">F75*N75</f>
        <v>5092.81401860941</v>
      </c>
      <c r="P75" s="25" t="n">
        <f aca="false">IF(A75&lt;=3,SUMIFS(Data_Q1!$D$5:$D$76,Data_Q1!$A$5:$A$76,A75,Data_Q1!$B$5:$B$76,C75,Data_Q1!$C$5:$C$76,D75),F75*INDEX(Reforecast!$D$6:$D$9,MATCH(D75,Reforecast!$A$6:$A$9,0)))</f>
        <v>1987.76136861019</v>
      </c>
      <c r="Q75" s="9" t="n">
        <f aca="false">IF(A75&lt;=3,SUMIFS(Data_Q1!$E$5:$E$76,Data_Q1!$A$5:$A$76,A75,Data_Q1!$B$5:$B$76,C75,Data_Q1!$C$5:$C$76,D75),P75*G75*(1+H75)*(1+I75))</f>
        <v>218665.447482423</v>
      </c>
      <c r="R75" s="9" t="n">
        <f aca="false">IF(A75&lt;=3,SUMIFS(Data_Q1!$F$5:$F$76,Data_Q1!$A$5:$A$76,A75,Data_Q1!$B$5:$B$76,C75,Data_Q1!$C$5:$C$76,D75),P75*L75*INDEX(Reforecast!$D$12:$D$17,MATCH(C75,Reforecast!$A$12:$A$17,0)))</f>
        <v>176878.121201238</v>
      </c>
      <c r="S75" s="9" t="n">
        <f aca="false">IF(A75&lt;=3,SUMIFS(Data_Q1!$G$5:$G$76,Data_Q1!$A$5:$A$76,A75,Data_Q1!$B$5:$B$76,C75,Data_Q1!$C$5:$C$76,D75),P75*N75)</f>
        <v>5397.84482609693</v>
      </c>
    </row>
    <row r="76" customFormat="false" ht="15" hidden="false" customHeight="false" outlineLevel="0" collapsed="false">
      <c r="A76" s="0" t="n">
        <f aca="false">MOD(ROW()-5,12)+1</f>
        <v>12</v>
      </c>
      <c r="B76" s="0" t="n">
        <f aca="false">INT((ROW()-5)/12)+1</f>
        <v>6</v>
      </c>
      <c r="C76" s="0" t="str">
        <f aca="false">INDEX(Data_Base!$A$5:$A$28,B76)</f>
        <v>Pork</v>
      </c>
      <c r="D76" s="0" t="str">
        <f aca="false">INDEX(Data_Base!$B$5:$B$28,B76)</f>
        <v>Grocery Retail</v>
      </c>
      <c r="E76" s="26" t="n">
        <f aca="false">INDEX(Data_Base!$B$32:$M$37,MATCH(C76,Data_Base!$A$32:$A$37,0),A76)</f>
        <v>0.091235</v>
      </c>
      <c r="F76" s="25" t="n">
        <f aca="false">INDEX(Data_Base!$C$5:$C$28,B76)*(1+INDEX(Assumptions!$B$19:$B$22,MATCH(D76,Assumptions!$A$19:$A$22,0)))*E76</f>
        <v>2067.2865662</v>
      </c>
      <c r="G76" s="24" t="n">
        <f aca="false">INDEX(Data_Base!$D$5:$D$28,B76)/INDEX(Data_Base!$C$5:$C$28,B76)</f>
        <v>107.322814123533</v>
      </c>
      <c r="H76" s="27" t="n">
        <f aca="false">IF(A76&gt;=Assumptions!$C$37,INDEX(Assumptions!$B$10:$B$15,MATCH(C76,Assumptions!$A$10:$A$15,0)),0)</f>
        <v>0.025</v>
      </c>
      <c r="I76" s="27" t="n">
        <f aca="false">IF(AND(A76&gt;=Assumptions!$C$37,INDEX(Assumptions!$C$19:$C$22,MATCH(D76,Assumptions!$A$19:$A$22,0))=1),INDEX(Assumptions!$D$10:$D$15,MATCH(C76,Assumptions!$A$10:$A$15,0)),0)</f>
        <v>0</v>
      </c>
      <c r="J76" s="9" t="n">
        <f aca="false">F76*G76*(1+H76)</f>
        <v>227413.687181468</v>
      </c>
      <c r="K76" s="9" t="n">
        <f aca="false">J76*(1+I76)</f>
        <v>227413.687181468</v>
      </c>
      <c r="L76" s="24" t="n">
        <f aca="false">INDEX(Data_Base!$E$5:$E$28,B76)/INDEX(Data_Base!$C$5:$C$28,B76)*(1+INDEX(Assumptions!$C$10:$C$15,MATCH(C76,Assumptions!$A$10:$A$15,0)))</f>
        <v>88.8064979314989</v>
      </c>
      <c r="M76" s="9" t="n">
        <f aca="false">F76*L76</f>
        <v>183588.480165056</v>
      </c>
      <c r="N76" s="24" t="n">
        <f aca="false">INDEX(Data_Base!$F$5:$F$28,B76)/INDEX(Data_Base!$C$5:$C$28,B76)*(1+Assumptions!$C$38)</f>
        <v>2.71553965749471</v>
      </c>
      <c r="O76" s="9" t="n">
        <f aca="false">F76*N76</f>
        <v>5613.79865392216</v>
      </c>
      <c r="P76" s="25" t="n">
        <f aca="false">IF(A76&lt;=3,SUMIFS(Data_Q1!$D$5:$D$76,Data_Q1!$A$5:$A$76,A76,Data_Q1!$B$5:$B$76,C76,Data_Q1!$C$5:$C$76,D76),F76*INDEX(Reforecast!$D$6:$D$9,MATCH(D76,Reforecast!$A$6:$A$9,0)))</f>
        <v>2191.1053603464</v>
      </c>
      <c r="Q76" s="9" t="n">
        <f aca="false">IF(A76&lt;=3,SUMIFS(Data_Q1!$E$5:$E$76,Data_Q1!$A$5:$A$76,A76,Data_Q1!$B$5:$B$76,C76,Data_Q1!$C$5:$C$76,D76),P76*G76*(1+H76)*(1+I76))</f>
        <v>241034.483146371</v>
      </c>
      <c r="R76" s="9" t="n">
        <f aca="false">IF(A76&lt;=3,SUMIFS(Data_Q1!$F$5:$F$76,Data_Q1!$A$5:$A$76,A76,Data_Q1!$B$5:$B$76,C76,Data_Q1!$C$5:$C$76,D76),P76*L76*INDEX(Reforecast!$D$12:$D$17,MATCH(C76,Reforecast!$A$12:$A$17,0)))</f>
        <v>194972.397397484</v>
      </c>
      <c r="S76" s="9" t="n">
        <f aca="false">IF(A76&lt;=3,SUMIFS(Data_Q1!$G$5:$G$76,Data_Q1!$A$5:$A$76,A76,Data_Q1!$B$5:$B$76,C76,Data_Q1!$C$5:$C$76,D76),P76*N76)</f>
        <v>5950.03349976988</v>
      </c>
    </row>
    <row r="77" customFormat="false" ht="15" hidden="false" customHeight="false" outlineLevel="0" collapsed="false">
      <c r="A77" s="0" t="n">
        <f aca="false">MOD(ROW()-5,12)+1</f>
        <v>1</v>
      </c>
      <c r="B77" s="0" t="n">
        <f aca="false">INT((ROW()-5)/12)+1</f>
        <v>7</v>
      </c>
      <c r="C77" s="0" t="str">
        <f aca="false">INDEX(Data_Base!$A$5:$A$28,B77)</f>
        <v>Pork</v>
      </c>
      <c r="D77" s="0" t="str">
        <f aca="false">INDEX(Data_Base!$B$5:$B$28,B77)</f>
        <v>Hotels &amp; Institutions</v>
      </c>
      <c r="E77" s="26" t="n">
        <f aca="false">INDEX(Data_Base!$B$32:$M$37,MATCH(C77,Data_Base!$A$32:$A$37,0),A77)</f>
        <v>0.079526</v>
      </c>
      <c r="F77" s="25" t="n">
        <f aca="false">INDEX(Data_Base!$C$5:$C$28,B77)*(1+INDEX(Assumptions!$B$19:$B$22,MATCH(D77,Assumptions!$A$19:$A$22,0)))*E77</f>
        <v>894.3772301</v>
      </c>
      <c r="G77" s="24" t="n">
        <f aca="false">INDEX(Data_Base!$D$5:$D$28,B77)/INDEX(Data_Base!$C$5:$C$28,B77)</f>
        <v>117.267433318366</v>
      </c>
      <c r="H77" s="27" t="n">
        <f aca="false">IF(A77&gt;=Assumptions!$C$37,INDEX(Assumptions!$B$10:$B$15,MATCH(C77,Assumptions!$A$10:$A$15,0)),0)</f>
        <v>0</v>
      </c>
      <c r="I77" s="27" t="n">
        <f aca="false">IF(AND(A77&gt;=Assumptions!$C$37,INDEX(Assumptions!$C$19:$C$22,MATCH(D77,Assumptions!$A$19:$A$22,0))=1),INDEX(Assumptions!$D$10:$D$15,MATCH(C77,Assumptions!$A$10:$A$15,0)),0)</f>
        <v>0</v>
      </c>
      <c r="J77" s="9" t="n">
        <f aca="false">F77*G77*(1+H77)</f>
        <v>104881.322192216</v>
      </c>
      <c r="K77" s="9" t="n">
        <f aca="false">J77*(1+I77)</f>
        <v>104881.322192216</v>
      </c>
      <c r="L77" s="24" t="n">
        <f aca="false">INDEX(Data_Base!$E$5:$E$28,B77)/INDEX(Data_Base!$C$5:$C$28,B77)*(1+INDEX(Assumptions!$C$10:$C$15,MATCH(C77,Assumptions!$A$10:$A$15,0)))</f>
        <v>88.7234091154019</v>
      </c>
      <c r="M77" s="9" t="n">
        <f aca="false">F77*L77</f>
        <v>79352.1968896622</v>
      </c>
      <c r="N77" s="24" t="n">
        <f aca="false">INDEX(Data_Base!$F$5:$F$28,B77)/INDEX(Data_Base!$C$5:$C$28,B77)*(1+Assumptions!$C$38)</f>
        <v>2.7155824337674</v>
      </c>
      <c r="O77" s="9" t="n">
        <f aca="false">F77*N77</f>
        <v>2428.7550952211</v>
      </c>
      <c r="P77" s="25" t="n">
        <f aca="false">IF(A77&lt;=3,SUMIFS(Data_Q1!$D$5:$D$76,Data_Q1!$A$5:$A$76,A77,Data_Q1!$B$5:$B$76,C77,Data_Q1!$C$5:$C$76,D77),F77*INDEX(Reforecast!$D$6:$D$9,MATCH(D77,Reforecast!$A$6:$A$9,0)))</f>
        <v>888.2</v>
      </c>
      <c r="Q77" s="9" t="n">
        <f aca="false">IF(A77&lt;=3,SUMIFS(Data_Q1!$E$5:$E$76,Data_Q1!$A$5:$A$76,A77,Data_Q1!$B$5:$B$76,C77,Data_Q1!$C$5:$C$76,D77),P77*G77*(1+H77)*(1+I77))</f>
        <v>103934.03</v>
      </c>
      <c r="R77" s="9" t="n">
        <f aca="false">IF(A77&lt;=3,SUMIFS(Data_Q1!$F$5:$F$76,Data_Q1!$A$5:$A$76,A77,Data_Q1!$B$5:$B$76,C77,Data_Q1!$C$5:$C$76,D77),P77*L77*INDEX(Reforecast!$D$12:$D$17,MATCH(C77,Reforecast!$A$12:$A$17,0)))</f>
        <v>78295.64</v>
      </c>
      <c r="S77" s="9" t="n">
        <f aca="false">IF(A77&lt;=3,SUMIFS(Data_Q1!$G$5:$G$76,Data_Q1!$A$5:$A$76,A77,Data_Q1!$B$5:$B$76,C77,Data_Q1!$C$5:$C$76,D77),P77*N77)</f>
        <v>2411.87</v>
      </c>
    </row>
    <row r="78" customFormat="false" ht="15" hidden="false" customHeight="false" outlineLevel="0" collapsed="false">
      <c r="A78" s="0" t="n">
        <f aca="false">MOD(ROW()-5,12)+1</f>
        <v>2</v>
      </c>
      <c r="B78" s="0" t="n">
        <f aca="false">INT((ROW()-5)/12)+1</f>
        <v>7</v>
      </c>
      <c r="C78" s="0" t="str">
        <f aca="false">INDEX(Data_Base!$A$5:$A$28,B78)</f>
        <v>Pork</v>
      </c>
      <c r="D78" s="0" t="str">
        <f aca="false">INDEX(Data_Base!$B$5:$B$28,B78)</f>
        <v>Hotels &amp; Institutions</v>
      </c>
      <c r="E78" s="26" t="n">
        <f aca="false">INDEX(Data_Base!$B$32:$M$37,MATCH(C78,Data_Base!$A$32:$A$37,0),A78)</f>
        <v>0.075153</v>
      </c>
      <c r="F78" s="25" t="n">
        <f aca="false">INDEX(Data_Base!$C$5:$C$28,B78)*(1+INDEX(Assumptions!$B$19:$B$22,MATCH(D78,Assumptions!$A$19:$A$22,0)))*E78</f>
        <v>845.19694155</v>
      </c>
      <c r="G78" s="24" t="n">
        <f aca="false">INDEX(Data_Base!$D$5:$D$28,B78)/INDEX(Data_Base!$C$5:$C$28,B78)</f>
        <v>117.267433318366</v>
      </c>
      <c r="H78" s="27" t="n">
        <f aca="false">IF(A78&gt;=Assumptions!$C$37,INDEX(Assumptions!$B$10:$B$15,MATCH(C78,Assumptions!$A$10:$A$15,0)),0)</f>
        <v>0.025</v>
      </c>
      <c r="I78" s="27" t="n">
        <f aca="false">IF(AND(A78&gt;=Assumptions!$C$37,INDEX(Assumptions!$C$19:$C$22,MATCH(D78,Assumptions!$A$19:$A$22,0))=1),INDEX(Assumptions!$D$10:$D$15,MATCH(C78,Assumptions!$A$10:$A$15,0)),0)</f>
        <v>0</v>
      </c>
      <c r="J78" s="9" t="n">
        <f aca="false">F78*G78*(1+H78)</f>
        <v>101591.927883704</v>
      </c>
      <c r="K78" s="9" t="n">
        <f aca="false">J78*(1+I78)</f>
        <v>101591.927883704</v>
      </c>
      <c r="L78" s="24" t="n">
        <f aca="false">INDEX(Data_Base!$E$5:$E$28,B78)/INDEX(Data_Base!$C$5:$C$28,B78)*(1+INDEX(Assumptions!$C$10:$C$15,MATCH(C78,Assumptions!$A$10:$A$15,0)))</f>
        <v>88.7234091154019</v>
      </c>
      <c r="M78" s="9" t="n">
        <f aca="false">F78*L78</f>
        <v>74988.7540282271</v>
      </c>
      <c r="N78" s="24" t="n">
        <f aca="false">INDEX(Data_Base!$F$5:$F$28,B78)/INDEX(Data_Base!$C$5:$C$28,B78)*(1+Assumptions!$C$38)</f>
        <v>2.7155824337674</v>
      </c>
      <c r="O78" s="9" t="n">
        <f aca="false">F78*N78</f>
        <v>2295.20196754711</v>
      </c>
      <c r="P78" s="25" t="n">
        <f aca="false">IF(A78&lt;=3,SUMIFS(Data_Q1!$D$5:$D$76,Data_Q1!$A$5:$A$76,A78,Data_Q1!$B$5:$B$76,C78,Data_Q1!$C$5:$C$76,D78),F78*INDEX(Reforecast!$D$6:$D$9,MATCH(D78,Reforecast!$A$6:$A$9,0)))</f>
        <v>838.4</v>
      </c>
      <c r="Q78" s="9" t="n">
        <f aca="false">IF(A78&lt;=3,SUMIFS(Data_Q1!$E$5:$E$76,Data_Q1!$A$5:$A$76,A78,Data_Q1!$B$5:$B$76,C78,Data_Q1!$C$5:$C$76,D78),P78*G78*(1+H78)*(1+I78))</f>
        <v>100175.32</v>
      </c>
      <c r="R78" s="9" t="n">
        <f aca="false">IF(A78&lt;=3,SUMIFS(Data_Q1!$F$5:$F$76,Data_Q1!$A$5:$A$76,A78,Data_Q1!$B$5:$B$76,C78,Data_Q1!$C$5:$C$76,D78),P78*L78*INDEX(Reforecast!$D$12:$D$17,MATCH(C78,Reforecast!$A$12:$A$17,0)))</f>
        <v>74331.56</v>
      </c>
      <c r="S78" s="9" t="n">
        <f aca="false">IF(A78&lt;=3,SUMIFS(Data_Q1!$G$5:$G$76,Data_Q1!$A$5:$A$76,A78,Data_Q1!$B$5:$B$76,C78,Data_Q1!$C$5:$C$76,D78),P78*N78)</f>
        <v>2276.64</v>
      </c>
    </row>
    <row r="79" customFormat="false" ht="15" hidden="false" customHeight="false" outlineLevel="0" collapsed="false">
      <c r="A79" s="0" t="n">
        <f aca="false">MOD(ROW()-5,12)+1</f>
        <v>3</v>
      </c>
      <c r="B79" s="0" t="n">
        <f aca="false">INT((ROW()-5)/12)+1</f>
        <v>7</v>
      </c>
      <c r="C79" s="0" t="str">
        <f aca="false">INDEX(Data_Base!$A$5:$A$28,B79)</f>
        <v>Pork</v>
      </c>
      <c r="D79" s="0" t="str">
        <f aca="false">INDEX(Data_Base!$B$5:$B$28,B79)</f>
        <v>Hotels &amp; Institutions</v>
      </c>
      <c r="E79" s="26" t="n">
        <f aca="false">INDEX(Data_Base!$B$32:$M$37,MATCH(C79,Data_Base!$A$32:$A$37,0),A79)</f>
        <v>0.078854</v>
      </c>
      <c r="F79" s="25" t="n">
        <f aca="false">INDEX(Data_Base!$C$5:$C$28,B79)*(1+INDEX(Assumptions!$B$19:$B$22,MATCH(D79,Assumptions!$A$19:$A$22,0)))*E79</f>
        <v>886.8196829</v>
      </c>
      <c r="G79" s="24" t="n">
        <f aca="false">INDEX(Data_Base!$D$5:$D$28,B79)/INDEX(Data_Base!$C$5:$C$28,B79)</f>
        <v>117.267433318366</v>
      </c>
      <c r="H79" s="27" t="n">
        <f aca="false">IF(A79&gt;=Assumptions!$C$37,INDEX(Assumptions!$B$10:$B$15,MATCH(C79,Assumptions!$A$10:$A$15,0)),0)</f>
        <v>0.025</v>
      </c>
      <c r="I79" s="27" t="n">
        <f aca="false">IF(AND(A79&gt;=Assumptions!$C$37,INDEX(Assumptions!$C$19:$C$22,MATCH(D79,Assumptions!$A$19:$A$22,0))=1),INDEX(Assumptions!$D$10:$D$15,MATCH(C79,Assumptions!$A$10:$A$15,0)),0)</f>
        <v>0</v>
      </c>
      <c r="J79" s="9" t="n">
        <f aca="false">F79*G79*(1+H79)</f>
        <v>106594.944730637</v>
      </c>
      <c r="K79" s="9" t="n">
        <f aca="false">J79*(1+I79)</f>
        <v>106594.944730637</v>
      </c>
      <c r="L79" s="24" t="n">
        <f aca="false">INDEX(Data_Base!$E$5:$E$28,B79)/INDEX(Data_Base!$C$5:$C$28,B79)*(1+INDEX(Assumptions!$C$10:$C$15,MATCH(C79,Assumptions!$A$10:$A$15,0)))</f>
        <v>88.7234091154019</v>
      </c>
      <c r="M79" s="9" t="n">
        <f aca="false">F79*L79</f>
        <v>78681.6655375277</v>
      </c>
      <c r="N79" s="24" t="n">
        <f aca="false">INDEX(Data_Base!$F$5:$F$28,B79)/INDEX(Data_Base!$C$5:$C$28,B79)*(1+Assumptions!$C$38)</f>
        <v>2.7155824337674</v>
      </c>
      <c r="O79" s="9" t="n">
        <f aca="false">F79*N79</f>
        <v>2408.23195280242</v>
      </c>
      <c r="P79" s="25" t="n">
        <f aca="false">IF(A79&lt;=3,SUMIFS(Data_Q1!$D$5:$D$76,Data_Q1!$A$5:$A$76,A79,Data_Q1!$B$5:$B$76,C79,Data_Q1!$C$5:$C$76,D79),F79*INDEX(Reforecast!$D$6:$D$9,MATCH(D79,Reforecast!$A$6:$A$9,0)))</f>
        <v>882</v>
      </c>
      <c r="Q79" s="9" t="n">
        <f aca="false">IF(A79&lt;=3,SUMIFS(Data_Q1!$E$5:$E$76,Data_Q1!$A$5:$A$76,A79,Data_Q1!$B$5:$B$76,C79,Data_Q1!$C$5:$C$76,D79),P79*G79*(1+H79)*(1+I79))</f>
        <v>106053.22</v>
      </c>
      <c r="R79" s="9" t="n">
        <f aca="false">IF(A79&lt;=3,SUMIFS(Data_Q1!$F$5:$F$76,Data_Q1!$A$5:$A$76,A79,Data_Q1!$B$5:$B$76,C79,Data_Q1!$C$5:$C$76,D79),P79*L79*INDEX(Reforecast!$D$12:$D$17,MATCH(C79,Reforecast!$A$12:$A$17,0)))</f>
        <v>78330.09</v>
      </c>
      <c r="S79" s="9" t="n">
        <f aca="false">IF(A79&lt;=3,SUMIFS(Data_Q1!$G$5:$G$76,Data_Q1!$A$5:$A$76,A79,Data_Q1!$B$5:$B$76,C79,Data_Q1!$C$5:$C$76,D79),P79*N79)</f>
        <v>2395.09</v>
      </c>
    </row>
    <row r="80" customFormat="false" ht="15" hidden="false" customHeight="false" outlineLevel="0" collapsed="false">
      <c r="A80" s="0" t="n">
        <f aca="false">MOD(ROW()-5,12)+1</f>
        <v>4</v>
      </c>
      <c r="B80" s="0" t="n">
        <f aca="false">INT((ROW()-5)/12)+1</f>
        <v>7</v>
      </c>
      <c r="C80" s="0" t="str">
        <f aca="false">INDEX(Data_Base!$A$5:$A$28,B80)</f>
        <v>Pork</v>
      </c>
      <c r="D80" s="0" t="str">
        <f aca="false">INDEX(Data_Base!$B$5:$B$28,B80)</f>
        <v>Hotels &amp; Institutions</v>
      </c>
      <c r="E80" s="26" t="n">
        <f aca="false">INDEX(Data_Base!$B$32:$M$37,MATCH(C80,Data_Base!$A$32:$A$37,0),A80)</f>
        <v>0.08213</v>
      </c>
      <c r="F80" s="25" t="n">
        <f aca="false">INDEX(Data_Base!$C$5:$C$28,B80)*(1+INDEX(Assumptions!$B$19:$B$22,MATCH(D80,Assumptions!$A$19:$A$22,0)))*E80</f>
        <v>923.6627255</v>
      </c>
      <c r="G80" s="24" t="n">
        <f aca="false">INDEX(Data_Base!$D$5:$D$28,B80)/INDEX(Data_Base!$C$5:$C$28,B80)</f>
        <v>117.267433318366</v>
      </c>
      <c r="H80" s="27" t="n">
        <f aca="false">IF(A80&gt;=Assumptions!$C$37,INDEX(Assumptions!$B$10:$B$15,MATCH(C80,Assumptions!$A$10:$A$15,0)),0)</f>
        <v>0.025</v>
      </c>
      <c r="I80" s="27" t="n">
        <f aca="false">IF(AND(A80&gt;=Assumptions!$C$37,INDEX(Assumptions!$C$19:$C$22,MATCH(D80,Assumptions!$A$19:$A$22,0))=1),INDEX(Assumptions!$D$10:$D$15,MATCH(C80,Assumptions!$A$10:$A$15,0)),0)</f>
        <v>0</v>
      </c>
      <c r="J80" s="9" t="n">
        <f aca="false">F80*G80*(1+H80)</f>
        <v>111023.445998012</v>
      </c>
      <c r="K80" s="9" t="n">
        <f aca="false">J80*(1+I80)</f>
        <v>111023.445998012</v>
      </c>
      <c r="L80" s="24" t="n">
        <f aca="false">INDEX(Data_Base!$E$5:$E$28,B80)/INDEX(Data_Base!$C$5:$C$28,B80)*(1+INDEX(Assumptions!$C$10:$C$15,MATCH(C80,Assumptions!$A$10:$A$15,0)))</f>
        <v>88.7234091154019</v>
      </c>
      <c r="M80" s="9" t="n">
        <f aca="false">F80*L80</f>
        <v>81950.5058791836</v>
      </c>
      <c r="N80" s="24" t="n">
        <f aca="false">INDEX(Data_Base!$F$5:$F$28,B80)/INDEX(Data_Base!$C$5:$C$28,B80)*(1+Assumptions!$C$38)</f>
        <v>2.7155824337674</v>
      </c>
      <c r="O80" s="9" t="n">
        <f aca="false">F80*N80</f>
        <v>2508.28227209352</v>
      </c>
      <c r="P80" s="25" t="n">
        <f aca="false">IF(A80&lt;=3,SUMIFS(Data_Q1!$D$5:$D$76,Data_Q1!$A$5:$A$76,A80,Data_Q1!$B$5:$B$76,C80,Data_Q1!$C$5:$C$76,D80),F80*INDEX(Reforecast!$D$6:$D$9,MATCH(D80,Reforecast!$A$6:$A$9,0)))</f>
        <v>924.741913205019</v>
      </c>
      <c r="Q80" s="9" t="n">
        <f aca="false">IF(A80&lt;=3,SUMIFS(Data_Q1!$E$5:$E$76,Data_Q1!$A$5:$A$76,A80,Data_Q1!$B$5:$B$76,C80,Data_Q1!$C$5:$C$76,D80),P80*G80*(1+H80)*(1+I80))</f>
        <v>111153.163409554</v>
      </c>
      <c r="R80" s="9" t="n">
        <f aca="false">IF(A80&lt;=3,SUMIFS(Data_Q1!$F$5:$F$76,Data_Q1!$A$5:$A$76,A80,Data_Q1!$B$5:$B$76,C80,Data_Q1!$C$5:$C$76,D80),P80*L80*INDEX(Reforecast!$D$12:$D$17,MATCH(C80,Reforecast!$A$12:$A$17,0)))</f>
        <v>82209.8563635677</v>
      </c>
      <c r="S80" s="9" t="n">
        <f aca="false">IF(A80&lt;=3,SUMIFS(Data_Q1!$G$5:$G$76,Data_Q1!$A$5:$A$76,A80,Data_Q1!$B$5:$B$76,C80,Data_Q1!$C$5:$C$76,D80),P80*N80)</f>
        <v>2511.21289526801</v>
      </c>
    </row>
    <row r="81" customFormat="false" ht="15" hidden="false" customHeight="false" outlineLevel="0" collapsed="false">
      <c r="A81" s="0" t="n">
        <f aca="false">MOD(ROW()-5,12)+1</f>
        <v>5</v>
      </c>
      <c r="B81" s="0" t="n">
        <f aca="false">INT((ROW()-5)/12)+1</f>
        <v>7</v>
      </c>
      <c r="C81" s="0" t="str">
        <f aca="false">INDEX(Data_Base!$A$5:$A$28,B81)</f>
        <v>Pork</v>
      </c>
      <c r="D81" s="0" t="str">
        <f aca="false">INDEX(Data_Base!$B$5:$B$28,B81)</f>
        <v>Hotels &amp; Institutions</v>
      </c>
      <c r="E81" s="26" t="n">
        <f aca="false">INDEX(Data_Base!$B$32:$M$37,MATCH(C81,Data_Base!$A$32:$A$37,0),A81)</f>
        <v>0.087534</v>
      </c>
      <c r="F81" s="25" t="n">
        <f aca="false">INDEX(Data_Base!$C$5:$C$28,B81)*(1+INDEX(Assumptions!$B$19:$B$22,MATCH(D81,Assumptions!$A$19:$A$22,0)))*E81</f>
        <v>984.4380009</v>
      </c>
      <c r="G81" s="24" t="n">
        <f aca="false">INDEX(Data_Base!$D$5:$D$28,B81)/INDEX(Data_Base!$C$5:$C$28,B81)</f>
        <v>117.267433318366</v>
      </c>
      <c r="H81" s="27" t="n">
        <f aca="false">IF(A81&gt;=Assumptions!$C$37,INDEX(Assumptions!$B$10:$B$15,MATCH(C81,Assumptions!$A$10:$A$15,0)),0)</f>
        <v>0.025</v>
      </c>
      <c r="I81" s="27" t="n">
        <f aca="false">IF(AND(A81&gt;=Assumptions!$C$37,INDEX(Assumptions!$C$19:$C$22,MATCH(D81,Assumptions!$A$19:$A$22,0))=1),INDEX(Assumptions!$D$10:$D$15,MATCH(C81,Assumptions!$A$10:$A$15,0)),0)</f>
        <v>0</v>
      </c>
      <c r="J81" s="9" t="n">
        <f aca="false">F81*G81*(1+H81)</f>
        <v>118328.580567271</v>
      </c>
      <c r="K81" s="9" t="n">
        <f aca="false">J81*(1+I81)</f>
        <v>118328.580567271</v>
      </c>
      <c r="L81" s="24" t="n">
        <f aca="false">INDEX(Data_Base!$E$5:$E$28,B81)/INDEX(Data_Base!$C$5:$C$28,B81)*(1+INDEX(Assumptions!$C$10:$C$15,MATCH(C81,Assumptions!$A$10:$A$15,0)))</f>
        <v>88.7234091154019</v>
      </c>
      <c r="M81" s="9" t="n">
        <f aca="false">F81*L81</f>
        <v>87342.6955025991</v>
      </c>
      <c r="N81" s="24" t="n">
        <f aca="false">INDEX(Data_Base!$F$5:$F$28,B81)/INDEX(Data_Base!$C$5:$C$28,B81)*(1+Assumptions!$C$38)</f>
        <v>2.7155824337674</v>
      </c>
      <c r="O81" s="9" t="n">
        <f aca="false">F81*N81</f>
        <v>2673.32254237714</v>
      </c>
      <c r="P81" s="25" t="n">
        <f aca="false">IF(A81&lt;=3,SUMIFS(Data_Q1!$D$5:$D$76,Data_Q1!$A$5:$A$76,A81,Data_Q1!$B$5:$B$76,C81,Data_Q1!$C$5:$C$76,D81),F81*INDEX(Reforecast!$D$6:$D$9,MATCH(D81,Reforecast!$A$6:$A$9,0)))</f>
        <v>985.58819713245</v>
      </c>
      <c r="Q81" s="9" t="n">
        <f aca="false">IF(A81&lt;=3,SUMIFS(Data_Q1!$E$5:$E$76,Data_Q1!$A$5:$A$76,A81,Data_Q1!$B$5:$B$76,C81,Data_Q1!$C$5:$C$76,D81),P81*G81*(1+H81)*(1+I81))</f>
        <v>118466.833141263</v>
      </c>
      <c r="R81" s="9" t="n">
        <f aca="false">IF(A81&lt;=3,SUMIFS(Data_Q1!$F$5:$F$76,Data_Q1!$A$5:$A$76,A81,Data_Q1!$B$5:$B$76,C81,Data_Q1!$C$5:$C$76,D81),P81*L81*INDEX(Reforecast!$D$12:$D$17,MATCH(C81,Reforecast!$A$12:$A$17,0)))</f>
        <v>87619.1107625537</v>
      </c>
      <c r="S81" s="9" t="n">
        <f aca="false">IF(A81&lt;=3,SUMIFS(Data_Q1!$G$5:$G$76,Data_Q1!$A$5:$A$76,A81,Data_Q1!$B$5:$B$76,C81,Data_Q1!$C$5:$C$76,D81),P81*N81)</f>
        <v>2676.44599506136</v>
      </c>
    </row>
    <row r="82" customFormat="false" ht="15" hidden="false" customHeight="false" outlineLevel="0" collapsed="false">
      <c r="A82" s="0" t="n">
        <f aca="false">MOD(ROW()-5,12)+1</f>
        <v>6</v>
      </c>
      <c r="B82" s="0" t="n">
        <f aca="false">INT((ROW()-5)/12)+1</f>
        <v>7</v>
      </c>
      <c r="C82" s="0" t="str">
        <f aca="false">INDEX(Data_Base!$A$5:$A$28,B82)</f>
        <v>Pork</v>
      </c>
      <c r="D82" s="0" t="str">
        <f aca="false">INDEX(Data_Base!$B$5:$B$28,B82)</f>
        <v>Hotels &amp; Institutions</v>
      </c>
      <c r="E82" s="26" t="n">
        <f aca="false">INDEX(Data_Base!$B$32:$M$37,MATCH(C82,Data_Base!$A$32:$A$37,0),A82)</f>
        <v>0.086224</v>
      </c>
      <c r="F82" s="25" t="n">
        <f aca="false">INDEX(Data_Base!$C$5:$C$28,B82)*(1+INDEX(Assumptions!$B$19:$B$22,MATCH(D82,Assumptions!$A$19:$A$22,0)))*E82</f>
        <v>969.7052824</v>
      </c>
      <c r="G82" s="24" t="n">
        <f aca="false">INDEX(Data_Base!$D$5:$D$28,B82)/INDEX(Data_Base!$C$5:$C$28,B82)</f>
        <v>117.267433318366</v>
      </c>
      <c r="H82" s="27" t="n">
        <f aca="false">IF(A82&gt;=Assumptions!$C$37,INDEX(Assumptions!$B$10:$B$15,MATCH(C82,Assumptions!$A$10:$A$15,0)),0)</f>
        <v>0.025</v>
      </c>
      <c r="I82" s="27" t="n">
        <f aca="false">IF(AND(A82&gt;=Assumptions!$C$37,INDEX(Assumptions!$C$19:$C$22,MATCH(D82,Assumptions!$A$19:$A$22,0))=1),INDEX(Assumptions!$D$10:$D$15,MATCH(C82,Assumptions!$A$10:$A$15,0)),0)</f>
        <v>0</v>
      </c>
      <c r="J82" s="9" t="n">
        <f aca="false">F82*G82*(1+H82)</f>
        <v>116557.720780867</v>
      </c>
      <c r="K82" s="9" t="n">
        <f aca="false">J82*(1+I82)</f>
        <v>116557.720780867</v>
      </c>
      <c r="L82" s="24" t="n">
        <f aca="false">INDEX(Data_Base!$E$5:$E$28,B82)/INDEX(Data_Base!$C$5:$C$28,B82)*(1+INDEX(Assumptions!$C$10:$C$15,MATCH(C82,Assumptions!$A$10:$A$15,0)))</f>
        <v>88.7234091154019</v>
      </c>
      <c r="M82" s="9" t="n">
        <f aca="false">F82*L82</f>
        <v>86035.5584917415</v>
      </c>
      <c r="N82" s="24" t="n">
        <f aca="false">INDEX(Data_Base!$F$5:$F$28,B82)/INDEX(Data_Base!$C$5:$C$28,B82)*(1+Assumptions!$C$38)</f>
        <v>2.7155824337674</v>
      </c>
      <c r="O82" s="9" t="n">
        <f aca="false">F82*N82</f>
        <v>2633.3146308169</v>
      </c>
      <c r="P82" s="25" t="n">
        <f aca="false">IF(A82&lt;=3,SUMIFS(Data_Q1!$D$5:$D$76,Data_Q1!$A$5:$A$76,A82,Data_Q1!$B$5:$B$76,C82,Data_Q1!$C$5:$C$76,D82),F82*INDEX(Reforecast!$D$6:$D$9,MATCH(D82,Reforecast!$A$6:$A$9,0)))</f>
        <v>970.838265240345</v>
      </c>
      <c r="Q82" s="9" t="n">
        <f aca="false">IF(A82&lt;=3,SUMIFS(Data_Q1!$E$5:$E$76,Data_Q1!$A$5:$A$76,A82,Data_Q1!$B$5:$B$76,C82,Data_Q1!$C$5:$C$76,D82),P82*G82*(1+H82)*(1+I82))</f>
        <v>116693.90432029</v>
      </c>
      <c r="R82" s="9" t="n">
        <f aca="false">IF(A82&lt;=3,SUMIFS(Data_Q1!$F$5:$F$76,Data_Q1!$A$5:$A$76,A82,Data_Q1!$B$5:$B$76,C82,Data_Q1!$C$5:$C$76,D82),P82*L82*INDEX(Reforecast!$D$12:$D$17,MATCH(C82,Reforecast!$A$12:$A$17,0)))</f>
        <v>86307.8370277884</v>
      </c>
      <c r="S82" s="9" t="n">
        <f aca="false">IF(A82&lt;=3,SUMIFS(Data_Q1!$G$5:$G$76,Data_Q1!$A$5:$A$76,A82,Data_Q1!$B$5:$B$76,C82,Data_Q1!$C$5:$C$76,D82),P82*N82)</f>
        <v>2636.3913391159</v>
      </c>
    </row>
    <row r="83" customFormat="false" ht="15" hidden="false" customHeight="false" outlineLevel="0" collapsed="false">
      <c r="A83" s="0" t="n">
        <f aca="false">MOD(ROW()-5,12)+1</f>
        <v>7</v>
      </c>
      <c r="B83" s="0" t="n">
        <f aca="false">INT((ROW()-5)/12)+1</f>
        <v>7</v>
      </c>
      <c r="C83" s="0" t="str">
        <f aca="false">INDEX(Data_Base!$A$5:$A$28,B83)</f>
        <v>Pork</v>
      </c>
      <c r="D83" s="0" t="str">
        <f aca="false">INDEX(Data_Base!$B$5:$B$28,B83)</f>
        <v>Hotels &amp; Institutions</v>
      </c>
      <c r="E83" s="26" t="n">
        <f aca="false">INDEX(Data_Base!$B$32:$M$37,MATCH(C83,Data_Base!$A$32:$A$37,0),A83)</f>
        <v>0.086781</v>
      </c>
      <c r="F83" s="25" t="n">
        <f aca="false">INDEX(Data_Base!$C$5:$C$28,B83)*(1+INDEX(Assumptions!$B$19:$B$22,MATCH(D83,Assumptions!$A$19:$A$22,0)))*E83</f>
        <v>975.96949935</v>
      </c>
      <c r="G83" s="24" t="n">
        <f aca="false">INDEX(Data_Base!$D$5:$D$28,B83)/INDEX(Data_Base!$C$5:$C$28,B83)</f>
        <v>117.267433318366</v>
      </c>
      <c r="H83" s="27" t="n">
        <f aca="false">IF(A83&gt;=Assumptions!$C$37,INDEX(Assumptions!$B$10:$B$15,MATCH(C83,Assumptions!$A$10:$A$15,0)),0)</f>
        <v>0.025</v>
      </c>
      <c r="I83" s="27" t="n">
        <f aca="false">IF(AND(A83&gt;=Assumptions!$C$37,INDEX(Assumptions!$C$19:$C$22,MATCH(D83,Assumptions!$A$19:$A$22,0))=1),INDEX(Assumptions!$D$10:$D$15,MATCH(C83,Assumptions!$A$10:$A$15,0)),0)</f>
        <v>0</v>
      </c>
      <c r="J83" s="9" t="n">
        <f aca="false">F83*G83*(1+H83)</f>
        <v>117310.674140429</v>
      </c>
      <c r="K83" s="9" t="n">
        <f aca="false">J83*(1+I83)</f>
        <v>117310.674140429</v>
      </c>
      <c r="L83" s="24" t="n">
        <f aca="false">INDEX(Data_Base!$E$5:$E$28,B83)/INDEX(Data_Base!$C$5:$C$28,B83)*(1+INDEX(Assumptions!$C$10:$C$15,MATCH(C83,Assumptions!$A$10:$A$15,0)))</f>
        <v>88.7234091154019</v>
      </c>
      <c r="M83" s="9" t="n">
        <f aca="false">F83*L83</f>
        <v>86591.341174984</v>
      </c>
      <c r="N83" s="24" t="n">
        <f aca="false">INDEX(Data_Base!$F$5:$F$28,B83)/INDEX(Data_Base!$C$5:$C$28,B83)*(1+Assumptions!$C$38)</f>
        <v>2.7155824337674</v>
      </c>
      <c r="O83" s="9" t="n">
        <f aca="false">F83*N83</f>
        <v>2650.32562832762</v>
      </c>
      <c r="P83" s="25" t="n">
        <f aca="false">IF(A83&lt;=3,SUMIFS(Data_Q1!$D$5:$D$76,Data_Q1!$A$5:$A$76,A83,Data_Q1!$B$5:$B$76,C83,Data_Q1!$C$5:$C$76,D83),F83*INDEX(Reforecast!$D$6:$D$9,MATCH(D83,Reforecast!$A$6:$A$9,0)))</f>
        <v>977.109801166988</v>
      </c>
      <c r="Q83" s="9" t="n">
        <f aca="false">IF(A83&lt;=3,SUMIFS(Data_Q1!$E$5:$E$76,Data_Q1!$A$5:$A$76,A83,Data_Q1!$B$5:$B$76,C83,Data_Q1!$C$5:$C$76,D83),P83*G83*(1+H83)*(1+I83))</f>
        <v>117447.737414398</v>
      </c>
      <c r="R83" s="9" t="n">
        <f aca="false">IF(A83&lt;=3,SUMIFS(Data_Q1!$F$5:$F$76,Data_Q1!$A$5:$A$76,A83,Data_Q1!$B$5:$B$76,C83,Data_Q1!$C$5:$C$76,D83),P83*L83*INDEX(Reforecast!$D$12:$D$17,MATCH(C83,Reforecast!$A$12:$A$17,0)))</f>
        <v>86865.3786081429</v>
      </c>
      <c r="S83" s="9" t="n">
        <f aca="false">IF(A83&lt;=3,SUMIFS(Data_Q1!$G$5:$G$76,Data_Q1!$A$5:$A$76,A83,Data_Q1!$B$5:$B$76,C83,Data_Q1!$C$5:$C$76,D83),P83*N83)</f>
        <v>2653.42221191103</v>
      </c>
    </row>
    <row r="84" customFormat="false" ht="15" hidden="false" customHeight="false" outlineLevel="0" collapsed="false">
      <c r="A84" s="0" t="n">
        <f aca="false">MOD(ROW()-5,12)+1</f>
        <v>8</v>
      </c>
      <c r="B84" s="0" t="n">
        <f aca="false">INT((ROW()-5)/12)+1</f>
        <v>7</v>
      </c>
      <c r="C84" s="0" t="str">
        <f aca="false">INDEX(Data_Base!$A$5:$A$28,B84)</f>
        <v>Pork</v>
      </c>
      <c r="D84" s="0" t="str">
        <f aca="false">INDEX(Data_Base!$B$5:$B$28,B84)</f>
        <v>Hotels &amp; Institutions</v>
      </c>
      <c r="E84" s="26" t="n">
        <f aca="false">INDEX(Data_Base!$B$32:$M$37,MATCH(C84,Data_Base!$A$32:$A$37,0),A84)</f>
        <v>0.086895</v>
      </c>
      <c r="F84" s="25" t="n">
        <f aca="false">INDEX(Data_Base!$C$5:$C$28,B84)*(1+INDEX(Assumptions!$B$19:$B$22,MATCH(D84,Assumptions!$A$19:$A$22,0)))*E84</f>
        <v>977.25158325</v>
      </c>
      <c r="G84" s="24" t="n">
        <f aca="false">INDEX(Data_Base!$D$5:$D$28,B84)/INDEX(Data_Base!$C$5:$C$28,B84)</f>
        <v>117.267433318366</v>
      </c>
      <c r="H84" s="27" t="n">
        <f aca="false">IF(A84&gt;=Assumptions!$C$37,INDEX(Assumptions!$B$10:$B$15,MATCH(C84,Assumptions!$A$10:$A$15,0)),0)</f>
        <v>0.025</v>
      </c>
      <c r="I84" s="27" t="n">
        <f aca="false">IF(AND(A84&gt;=Assumptions!$C$37,INDEX(Assumptions!$C$19:$C$22,MATCH(D84,Assumptions!$A$19:$A$22,0))=1),INDEX(Assumptions!$D$10:$D$15,MATCH(C84,Assumptions!$A$10:$A$15,0)),0)</f>
        <v>0</v>
      </c>
      <c r="J84" s="9" t="n">
        <f aca="false">F84*G84*(1+H84)</f>
        <v>117464.779495887</v>
      </c>
      <c r="K84" s="9" t="n">
        <f aca="false">J84*(1+I84)</f>
        <v>117464.779495887</v>
      </c>
      <c r="L84" s="24" t="n">
        <f aca="false">INDEX(Data_Base!$E$5:$E$28,B84)/INDEX(Data_Base!$C$5:$C$28,B84)*(1+INDEX(Assumptions!$C$10:$C$15,MATCH(C84,Assumptions!$A$10:$A$15,0)))</f>
        <v>88.7234091154019</v>
      </c>
      <c r="M84" s="9" t="n">
        <f aca="false">F84*L84</f>
        <v>86705.092029364</v>
      </c>
      <c r="N84" s="24" t="n">
        <f aca="false">INDEX(Data_Base!$F$5:$F$28,B84)/INDEX(Data_Base!$C$5:$C$28,B84)*(1+Assumptions!$C$38)</f>
        <v>2.7155824337674</v>
      </c>
      <c r="O84" s="9" t="n">
        <f aca="false">F84*N84</f>
        <v>2653.80723284508</v>
      </c>
      <c r="P84" s="25" t="n">
        <f aca="false">IF(A84&lt;=3,SUMIFS(Data_Q1!$D$5:$D$76,Data_Q1!$A$5:$A$76,A84,Data_Q1!$B$5:$B$76,C84,Data_Q1!$C$5:$C$76,D84),F84*INDEX(Reforecast!$D$6:$D$9,MATCH(D84,Reforecast!$A$6:$A$9,0)))</f>
        <v>978.393383026301</v>
      </c>
      <c r="Q84" s="9" t="n">
        <f aca="false">IF(A84&lt;=3,SUMIFS(Data_Q1!$E$5:$E$76,Data_Q1!$A$5:$A$76,A84,Data_Q1!$B$5:$B$76,C84,Data_Q1!$C$5:$C$76,D84),P84*G84*(1+H84)*(1+I84))</f>
        <v>117602.022823246</v>
      </c>
      <c r="R84" s="9" t="n">
        <f aca="false">IF(A84&lt;=3,SUMIFS(Data_Q1!$F$5:$F$76,Data_Q1!$A$5:$A$76,A84,Data_Q1!$B$5:$B$76,C84,Data_Q1!$C$5:$C$76,D84),P84*L84*INDEX(Reforecast!$D$12:$D$17,MATCH(C84,Reforecast!$A$12:$A$17,0)))</f>
        <v>86979.4894522369</v>
      </c>
      <c r="S84" s="9" t="n">
        <f aca="false">IF(A84&lt;=3,SUMIFS(Data_Q1!$G$5:$G$76,Data_Q1!$A$5:$A$76,A84,Data_Q1!$B$5:$B$76,C84,Data_Q1!$C$5:$C$76,D84),P84*N84)</f>
        <v>2656.90788426048</v>
      </c>
    </row>
    <row r="85" customFormat="false" ht="15" hidden="false" customHeight="false" outlineLevel="0" collapsed="false">
      <c r="A85" s="0" t="n">
        <f aca="false">MOD(ROW()-5,12)+1</f>
        <v>9</v>
      </c>
      <c r="B85" s="0" t="n">
        <f aca="false">INT((ROW()-5)/12)+1</f>
        <v>7</v>
      </c>
      <c r="C85" s="0" t="str">
        <f aca="false">INDEX(Data_Base!$A$5:$A$28,B85)</f>
        <v>Pork</v>
      </c>
      <c r="D85" s="0" t="str">
        <f aca="false">INDEX(Data_Base!$B$5:$B$28,B85)</f>
        <v>Hotels &amp; Institutions</v>
      </c>
      <c r="E85" s="26" t="n">
        <f aca="false">INDEX(Data_Base!$B$32:$M$37,MATCH(C85,Data_Base!$A$32:$A$37,0),A85)</f>
        <v>0.082228</v>
      </c>
      <c r="F85" s="25" t="n">
        <f aca="false">INDEX(Data_Base!$C$5:$C$28,B85)*(1+INDEX(Assumptions!$B$19:$B$22,MATCH(D85,Assumptions!$A$19:$A$22,0)))*E85</f>
        <v>924.7648678</v>
      </c>
      <c r="G85" s="24" t="n">
        <f aca="false">INDEX(Data_Base!$D$5:$D$28,B85)/INDEX(Data_Base!$C$5:$C$28,B85)</f>
        <v>117.267433318366</v>
      </c>
      <c r="H85" s="27" t="n">
        <f aca="false">IF(A85&gt;=Assumptions!$C$37,INDEX(Assumptions!$B$10:$B$15,MATCH(C85,Assumptions!$A$10:$A$15,0)),0)</f>
        <v>0.025</v>
      </c>
      <c r="I85" s="27" t="n">
        <f aca="false">IF(AND(A85&gt;=Assumptions!$C$37,INDEX(Assumptions!$C$19:$C$22,MATCH(D85,Assumptions!$A$19:$A$22,0))=1),INDEX(Assumptions!$D$10:$D$15,MATCH(C85,Assumptions!$A$10:$A$15,0)),0)</f>
        <v>0</v>
      </c>
      <c r="J85" s="9" t="n">
        <f aca="false">F85*G85*(1+H85)</f>
        <v>111155.922531651</v>
      </c>
      <c r="K85" s="9" t="n">
        <f aca="false">J85*(1+I85)</f>
        <v>111155.922531651</v>
      </c>
      <c r="L85" s="24" t="n">
        <f aca="false">INDEX(Data_Base!$E$5:$E$28,B85)/INDEX(Data_Base!$C$5:$C$28,B85)*(1+INDEX(Assumptions!$C$10:$C$15,MATCH(C85,Assumptions!$A$10:$A$15,0)))</f>
        <v>88.7234091154019</v>
      </c>
      <c r="M85" s="9" t="n">
        <f aca="false">F85*L85</f>
        <v>82048.2917013699</v>
      </c>
      <c r="N85" s="24" t="n">
        <f aca="false">INDEX(Data_Base!$F$5:$F$28,B85)/INDEX(Data_Base!$C$5:$C$28,B85)*(1+Assumptions!$C$38)</f>
        <v>2.7155824337674</v>
      </c>
      <c r="O85" s="9" t="n">
        <f aca="false">F85*N85</f>
        <v>2511.27523036291</v>
      </c>
      <c r="P85" s="25" t="n">
        <f aca="false">IF(A85&lt;=3,SUMIFS(Data_Q1!$D$5:$D$76,Data_Q1!$A$5:$A$76,A85,Data_Q1!$B$5:$B$76,C85,Data_Q1!$C$5:$C$76,D85),F85*INDEX(Reforecast!$D$6:$D$9,MATCH(D85,Reforecast!$A$6:$A$9,0)))</f>
        <v>925.845343224428</v>
      </c>
      <c r="Q85" s="9" t="n">
        <f aca="false">IF(A85&lt;=3,SUMIFS(Data_Q1!$E$5:$E$76,Data_Q1!$A$5:$A$76,A85,Data_Q1!$B$5:$B$76,C85,Data_Q1!$C$5:$C$76,D85),P85*G85*(1+H85)*(1+I85))</f>
        <v>111285.794725932</v>
      </c>
      <c r="R85" s="9" t="n">
        <f aca="false">IF(A85&lt;=3,SUMIFS(Data_Q1!$F$5:$F$76,Data_Q1!$A$5:$A$76,A85,Data_Q1!$B$5:$B$76,C85,Data_Q1!$C$5:$C$76,D85),P85*L85*INDEX(Reforecast!$D$12:$D$17,MATCH(C85,Reforecast!$A$12:$A$17,0)))</f>
        <v>82307.951650596</v>
      </c>
      <c r="S85" s="9" t="n">
        <f aca="false">IF(A85&lt;=3,SUMIFS(Data_Q1!$G$5:$G$76,Data_Q1!$A$5:$A$76,A85,Data_Q1!$B$5:$B$76,C85,Data_Q1!$C$5:$C$76,D85),P85*N85)</f>
        <v>2514.20935044561</v>
      </c>
    </row>
    <row r="86" customFormat="false" ht="15" hidden="false" customHeight="false" outlineLevel="0" collapsed="false">
      <c r="A86" s="0" t="n">
        <f aca="false">MOD(ROW()-5,12)+1</f>
        <v>10</v>
      </c>
      <c r="B86" s="0" t="n">
        <f aca="false">INT((ROW()-5)/12)+1</f>
        <v>7</v>
      </c>
      <c r="C86" s="0" t="str">
        <f aca="false">INDEX(Data_Base!$A$5:$A$28,B86)</f>
        <v>Pork</v>
      </c>
      <c r="D86" s="0" t="str">
        <f aca="false">INDEX(Data_Base!$B$5:$B$28,B86)</f>
        <v>Hotels &amp; Institutions</v>
      </c>
      <c r="E86" s="26" t="n">
        <f aca="false">INDEX(Data_Base!$B$32:$M$37,MATCH(C86,Data_Base!$A$32:$A$37,0),A86)</f>
        <v>0.080672</v>
      </c>
      <c r="F86" s="25" t="n">
        <f aca="false">INDEX(Data_Base!$C$5:$C$28,B86)*(1+INDEX(Assumptions!$B$19:$B$22,MATCH(D86,Assumptions!$A$19:$A$22,0)))*E86</f>
        <v>907.2655472</v>
      </c>
      <c r="G86" s="24" t="n">
        <f aca="false">INDEX(Data_Base!$D$5:$D$28,B86)/INDEX(Data_Base!$C$5:$C$28,B86)</f>
        <v>117.267433318366</v>
      </c>
      <c r="H86" s="27" t="n">
        <f aca="false">IF(A86&gt;=Assumptions!$C$37,INDEX(Assumptions!$B$10:$B$15,MATCH(C86,Assumptions!$A$10:$A$15,0)),0)</f>
        <v>0.025</v>
      </c>
      <c r="I86" s="27" t="n">
        <f aca="false">IF(AND(A86&gt;=Assumptions!$C$37,INDEX(Assumptions!$C$19:$C$22,MATCH(D86,Assumptions!$A$19:$A$22,0))=1),INDEX(Assumptions!$D$10:$D$15,MATCH(C86,Assumptions!$A$10:$A$15,0)),0)</f>
        <v>0</v>
      </c>
      <c r="J86" s="9" t="n">
        <f aca="false">F86*G86*(1+H86)</f>
        <v>109052.519609785</v>
      </c>
      <c r="K86" s="9" t="n">
        <f aca="false">J86*(1+I86)</f>
        <v>109052.519609785</v>
      </c>
      <c r="L86" s="24" t="n">
        <f aca="false">INDEX(Data_Base!$E$5:$E$28,B86)/INDEX(Data_Base!$C$5:$C$28,B86)*(1+INDEX(Assumptions!$C$10:$C$15,MATCH(C86,Assumptions!$A$10:$A$15,0)))</f>
        <v>88.7234091154019</v>
      </c>
      <c r="M86" s="9" t="n">
        <f aca="false">F86*L86</f>
        <v>80495.6923205346</v>
      </c>
      <c r="N86" s="24" t="n">
        <f aca="false">INDEX(Data_Base!$F$5:$F$28,B86)/INDEX(Data_Base!$C$5:$C$28,B86)*(1+Assumptions!$C$38)</f>
        <v>2.7155824337674</v>
      </c>
      <c r="O86" s="9" t="n">
        <f aca="false">F86*N86</f>
        <v>2463.75438273869</v>
      </c>
      <c r="P86" s="25" t="n">
        <f aca="false">IF(A86&lt;=3,SUMIFS(Data_Q1!$D$5:$D$76,Data_Q1!$A$5:$A$76,A86,Data_Q1!$B$5:$B$76,C86,Data_Q1!$C$5:$C$76,D86),F86*INDEX(Reforecast!$D$6:$D$9,MATCH(D86,Reforecast!$A$6:$A$9,0)))</f>
        <v>908.325576793806</v>
      </c>
      <c r="Q86" s="9" t="n">
        <f aca="false">IF(A86&lt;=3,SUMIFS(Data_Q1!$E$5:$E$76,Data_Q1!$A$5:$A$76,A86,Data_Q1!$B$5:$B$76,C86,Data_Q1!$C$5:$C$76,D86),P86*G86*(1+H86)*(1+I86))</f>
        <v>109179.934233234</v>
      </c>
      <c r="R86" s="9" t="n">
        <f aca="false">IF(A86&lt;=3,SUMIFS(Data_Q1!$F$5:$F$76,Data_Q1!$A$5:$A$76,A86,Data_Q1!$B$5:$B$76,C86,Data_Q1!$C$5:$C$76,D86),P86*L86*INDEX(Reforecast!$D$12:$D$17,MATCH(C86,Reforecast!$A$12:$A$17,0)))</f>
        <v>80750.4387259435</v>
      </c>
      <c r="S86" s="9" t="n">
        <f aca="false">IF(A86&lt;=3,SUMIFS(Data_Q1!$G$5:$G$76,Data_Q1!$A$5:$A$76,A86,Data_Q1!$B$5:$B$76,C86,Data_Q1!$C$5:$C$76,D86),P86*N86)</f>
        <v>2466.6329804829</v>
      </c>
    </row>
    <row r="87" customFormat="false" ht="15" hidden="false" customHeight="false" outlineLevel="0" collapsed="false">
      <c r="A87" s="0" t="n">
        <f aca="false">MOD(ROW()-5,12)+1</f>
        <v>11</v>
      </c>
      <c r="B87" s="0" t="n">
        <f aca="false">INT((ROW()-5)/12)+1</f>
        <v>7</v>
      </c>
      <c r="C87" s="0" t="str">
        <f aca="false">INDEX(Data_Base!$A$5:$A$28,B87)</f>
        <v>Pork</v>
      </c>
      <c r="D87" s="0" t="str">
        <f aca="false">INDEX(Data_Base!$B$5:$B$28,B87)</f>
        <v>Hotels &amp; Institutions</v>
      </c>
      <c r="E87" s="26" t="n">
        <f aca="false">INDEX(Data_Base!$B$32:$M$37,MATCH(C87,Data_Base!$A$32:$A$37,0),A87)</f>
        <v>0.082768</v>
      </c>
      <c r="F87" s="25" t="n">
        <f aca="false">INDEX(Data_Base!$C$5:$C$28,B87)*(1+INDEX(Assumptions!$B$19:$B$22,MATCH(D87,Assumptions!$A$19:$A$22,0)))*E87</f>
        <v>930.8378968</v>
      </c>
      <c r="G87" s="24" t="n">
        <f aca="false">INDEX(Data_Base!$D$5:$D$28,B87)/INDEX(Data_Base!$C$5:$C$28,B87)</f>
        <v>117.267433318366</v>
      </c>
      <c r="H87" s="27" t="n">
        <f aca="false">IF(A87&gt;=Assumptions!$C$37,INDEX(Assumptions!$B$10:$B$15,MATCH(C87,Assumptions!$A$10:$A$15,0)),0)</f>
        <v>0.025</v>
      </c>
      <c r="I87" s="27" t="n">
        <f aca="false">IF(AND(A87&gt;=Assumptions!$C$37,INDEX(Assumptions!$C$19:$C$22,MATCH(D87,Assumptions!$A$19:$A$22,0))=1),INDEX(Assumptions!$D$10:$D$15,MATCH(C87,Assumptions!$A$10:$A$15,0)),0)</f>
        <v>0</v>
      </c>
      <c r="J87" s="9" t="n">
        <f aca="false">F87*G87*(1+H87)</f>
        <v>111885.895268032</v>
      </c>
      <c r="K87" s="9" t="n">
        <f aca="false">J87*(1+I87)</f>
        <v>111885.895268032</v>
      </c>
      <c r="L87" s="24" t="n">
        <f aca="false">INDEX(Data_Base!$E$5:$E$28,B87)/INDEX(Data_Base!$C$5:$C$28,B87)*(1+INDEX(Assumptions!$C$10:$C$15,MATCH(C87,Assumptions!$A$10:$A$15,0)))</f>
        <v>88.7234091154019</v>
      </c>
      <c r="M87" s="9" t="n">
        <f aca="false">F87*L87</f>
        <v>82587.1115379066</v>
      </c>
      <c r="N87" s="24" t="n">
        <f aca="false">INDEX(Data_Base!$F$5:$F$28,B87)/INDEX(Data_Base!$C$5:$C$28,B87)*(1+Assumptions!$C$38)</f>
        <v>2.7155824337674</v>
      </c>
      <c r="O87" s="9" t="n">
        <f aca="false">F87*N87</f>
        <v>2527.76704123507</v>
      </c>
      <c r="P87" s="25" t="n">
        <f aca="false">IF(A87&lt;=3,SUMIFS(Data_Q1!$D$5:$D$76,Data_Q1!$A$5:$A$76,A87,Data_Q1!$B$5:$B$76,C87,Data_Q1!$C$5:$C$76,D87),F87*INDEX(Reforecast!$D$6:$D$9,MATCH(D87,Reforecast!$A$6:$A$9,0)))</f>
        <v>931.925467821173</v>
      </c>
      <c r="Q87" s="9" t="n">
        <f aca="false">IF(A87&lt;=3,SUMIFS(Data_Q1!$E$5:$E$76,Data_Q1!$A$5:$A$76,A87,Data_Q1!$B$5:$B$76,C87,Data_Q1!$C$5:$C$76,D87),P87*G87*(1+H87)*(1+I87))</f>
        <v>112016.620346791</v>
      </c>
      <c r="R87" s="9" t="n">
        <f aca="false">IF(A87&lt;=3,SUMIFS(Data_Q1!$F$5:$F$76,Data_Q1!$A$5:$A$76,A87,Data_Q1!$B$5:$B$76,C87,Data_Q1!$C$5:$C$76,D87),P87*L87*INDEX(Reforecast!$D$12:$D$17,MATCH(C87,Reforecast!$A$12:$A$17,0)))</f>
        <v>82848.4767015679</v>
      </c>
      <c r="S87" s="9" t="n">
        <f aca="false">IF(A87&lt;=3,SUMIFS(Data_Q1!$G$5:$G$76,Data_Q1!$A$5:$A$76,A87,Data_Q1!$B$5:$B$76,C87,Data_Q1!$C$5:$C$76,D87),P87*N87)</f>
        <v>2530.72042999564</v>
      </c>
    </row>
    <row r="88" customFormat="false" ht="15" hidden="false" customHeight="false" outlineLevel="0" collapsed="false">
      <c r="A88" s="0" t="n">
        <f aca="false">MOD(ROW()-5,12)+1</f>
        <v>12</v>
      </c>
      <c r="B88" s="0" t="n">
        <f aca="false">INT((ROW()-5)/12)+1</f>
        <v>7</v>
      </c>
      <c r="C88" s="0" t="str">
        <f aca="false">INDEX(Data_Base!$A$5:$A$28,B88)</f>
        <v>Pork</v>
      </c>
      <c r="D88" s="0" t="str">
        <f aca="false">INDEX(Data_Base!$B$5:$B$28,B88)</f>
        <v>Hotels &amp; Institutions</v>
      </c>
      <c r="E88" s="26" t="n">
        <f aca="false">INDEX(Data_Base!$B$32:$M$37,MATCH(C88,Data_Base!$A$32:$A$37,0),A88)</f>
        <v>0.091235</v>
      </c>
      <c r="F88" s="25" t="n">
        <f aca="false">INDEX(Data_Base!$C$5:$C$28,B88)*(1+INDEX(Assumptions!$B$19:$B$22,MATCH(D88,Assumptions!$A$19:$A$22,0)))*E88</f>
        <v>1026.06074225</v>
      </c>
      <c r="G88" s="24" t="n">
        <f aca="false">INDEX(Data_Base!$D$5:$D$28,B88)/INDEX(Data_Base!$C$5:$C$28,B88)</f>
        <v>117.267433318366</v>
      </c>
      <c r="H88" s="27" t="n">
        <f aca="false">IF(A88&gt;=Assumptions!$C$37,INDEX(Assumptions!$B$10:$B$15,MATCH(C88,Assumptions!$A$10:$A$15,0)),0)</f>
        <v>0.025</v>
      </c>
      <c r="I88" s="27" t="n">
        <f aca="false">IF(AND(A88&gt;=Assumptions!$C$37,INDEX(Assumptions!$C$19:$C$22,MATCH(D88,Assumptions!$A$19:$A$22,0))=1),INDEX(Assumptions!$D$10:$D$15,MATCH(C88,Assumptions!$A$10:$A$15,0)),0)</f>
        <v>0</v>
      </c>
      <c r="J88" s="9" t="n">
        <f aca="false">F88*G88*(1+H88)</f>
        <v>123331.597414204</v>
      </c>
      <c r="K88" s="9" t="n">
        <f aca="false">J88*(1+I88)</f>
        <v>123331.597414204</v>
      </c>
      <c r="L88" s="24" t="n">
        <f aca="false">INDEX(Data_Base!$E$5:$E$28,B88)/INDEX(Data_Base!$C$5:$C$28,B88)*(1+INDEX(Assumptions!$C$10:$C$15,MATCH(C88,Assumptions!$A$10:$A$15,0)))</f>
        <v>88.7234091154019</v>
      </c>
      <c r="M88" s="9" t="n">
        <f aca="false">F88*L88</f>
        <v>91035.6070118997</v>
      </c>
      <c r="N88" s="24" t="n">
        <f aca="false">INDEX(Data_Base!$F$5:$F$28,B88)/INDEX(Data_Base!$C$5:$C$28,B88)*(1+Assumptions!$C$38)</f>
        <v>2.7155824337674</v>
      </c>
      <c r="O88" s="9" t="n">
        <f aca="false">F88*N88</f>
        <v>2786.35252763244</v>
      </c>
      <c r="P88" s="25" t="n">
        <f aca="false">IF(A88&lt;=3,SUMIFS(Data_Q1!$D$5:$D$76,Data_Q1!$A$5:$A$76,A88,Data_Q1!$B$5:$B$76,C88,Data_Q1!$C$5:$C$76,D88),F88*INDEX(Reforecast!$D$6:$D$9,MATCH(D88,Reforecast!$A$6:$A$9,0)))</f>
        <v>1027.25956960014</v>
      </c>
      <c r="Q88" s="9" t="n">
        <f aca="false">IF(A88&lt;=3,SUMIFS(Data_Q1!$E$5:$E$76,Data_Q1!$A$5:$A$76,A88,Data_Q1!$B$5:$B$76,C88,Data_Q1!$C$5:$C$76,D88),P88*G88*(1+H88)*(1+I88))</f>
        <v>123475.695405706</v>
      </c>
      <c r="R88" s="9" t="n">
        <f aca="false">IF(A88&lt;=3,SUMIFS(Data_Q1!$F$5:$F$76,Data_Q1!$A$5:$A$76,A88,Data_Q1!$B$5:$B$76,C88,Data_Q1!$C$5:$C$76,D88),P88*L88*INDEX(Reforecast!$D$12:$D$17,MATCH(C88,Reforecast!$A$12:$A$17,0)))</f>
        <v>91323.7093063449</v>
      </c>
      <c r="S88" s="9" t="n">
        <f aca="false">IF(A88&lt;=3,SUMIFS(Data_Q1!$G$5:$G$76,Data_Q1!$A$5:$A$76,A88,Data_Q1!$B$5:$B$76,C88,Data_Q1!$C$5:$C$76,D88),P88*N88)</f>
        <v>2789.60804212561</v>
      </c>
    </row>
    <row r="89" customFormat="false" ht="15" hidden="false" customHeight="false" outlineLevel="0" collapsed="false">
      <c r="A89" s="0" t="n">
        <f aca="false">MOD(ROW()-5,12)+1</f>
        <v>1</v>
      </c>
      <c r="B89" s="0" t="n">
        <f aca="false">INT((ROW()-5)/12)+1</f>
        <v>8</v>
      </c>
      <c r="C89" s="0" t="str">
        <f aca="false">INDEX(Data_Base!$A$5:$A$28,B89)</f>
        <v>Pork</v>
      </c>
      <c r="D89" s="0" t="str">
        <f aca="false">INDEX(Data_Base!$B$5:$B$28,B89)</f>
        <v>Online Direct</v>
      </c>
      <c r="E89" s="26" t="n">
        <f aca="false">INDEX(Data_Base!$B$32:$M$37,MATCH(C89,Data_Base!$A$32:$A$37,0),A89)</f>
        <v>0.079526</v>
      </c>
      <c r="F89" s="25" t="n">
        <f aca="false">INDEX(Data_Base!$C$5:$C$28,B89)*(1+INDEX(Assumptions!$B$19:$B$22,MATCH(D89,Assumptions!$A$19:$A$22,0)))*E89</f>
        <v>462.91607444</v>
      </c>
      <c r="G89" s="24" t="n">
        <f aca="false">INDEX(Data_Base!$D$5:$D$28,B89)/INDEX(Data_Base!$C$5:$C$28,B89)</f>
        <v>137.933105615244</v>
      </c>
      <c r="H89" s="27" t="n">
        <f aca="false">IF(A89&gt;=Assumptions!$C$37,INDEX(Assumptions!$B$10:$B$15,MATCH(C89,Assumptions!$A$10:$A$15,0)),0)</f>
        <v>0</v>
      </c>
      <c r="I89" s="27" t="n">
        <f aca="false">IF(AND(A89&gt;=Assumptions!$C$37,INDEX(Assumptions!$C$19:$C$22,MATCH(D89,Assumptions!$A$19:$A$22,0))=1),INDEX(Assumptions!$D$10:$D$15,MATCH(C89,Assumptions!$A$10:$A$15,0)),0)</f>
        <v>0</v>
      </c>
      <c r="J89" s="9" t="n">
        <f aca="false">F89*G89*(1+H89)</f>
        <v>63851.4517867268</v>
      </c>
      <c r="K89" s="9" t="n">
        <f aca="false">J89*(1+I89)</f>
        <v>63851.4517867268</v>
      </c>
      <c r="L89" s="24" t="n">
        <f aca="false">INDEX(Data_Base!$E$5:$E$28,B89)/INDEX(Data_Base!$C$5:$C$28,B89)*(1+INDEX(Assumptions!$C$10:$C$15,MATCH(C89,Assumptions!$A$10:$A$15,0)))</f>
        <v>88.7791869247922</v>
      </c>
      <c r="M89" s="9" t="n">
        <f aca="false">F89*L89</f>
        <v>41097.3127031998</v>
      </c>
      <c r="N89" s="24" t="n">
        <f aca="false">INDEX(Data_Base!$F$5:$F$28,B89)/INDEX(Data_Base!$C$5:$C$28,B89)*(1+Assumptions!$C$38)</f>
        <v>11.5757080883844</v>
      </c>
      <c r="O89" s="9" t="n">
        <f aca="false">F89*N89</f>
        <v>5358.58134713824</v>
      </c>
      <c r="P89" s="25" t="n">
        <f aca="false">IF(A89&lt;=3,SUMIFS(Data_Q1!$D$5:$D$76,Data_Q1!$A$5:$A$76,A89,Data_Q1!$B$5:$B$76,C89,Data_Q1!$C$5:$C$76,D89),F89*INDEX(Reforecast!$D$6:$D$9,MATCH(D89,Reforecast!$A$6:$A$9,0)))</f>
        <v>455.8</v>
      </c>
      <c r="Q89" s="9" t="n">
        <f aca="false">IF(A89&lt;=3,SUMIFS(Data_Q1!$E$5:$E$76,Data_Q1!$A$5:$A$76,A89,Data_Q1!$B$5:$B$76,C89,Data_Q1!$C$5:$C$76,D89),P89*G89*(1+H89)*(1+I89))</f>
        <v>63046.8</v>
      </c>
      <c r="R89" s="9" t="n">
        <f aca="false">IF(A89&lt;=3,SUMIFS(Data_Q1!$F$5:$F$76,Data_Q1!$A$5:$A$76,A89,Data_Q1!$B$5:$B$76,C89,Data_Q1!$C$5:$C$76,D89),P89*L89*INDEX(Reforecast!$D$12:$D$17,MATCH(C89,Reforecast!$A$12:$A$17,0)))</f>
        <v>40674.94</v>
      </c>
      <c r="S89" s="9" t="n">
        <f aca="false">IF(A89&lt;=3,SUMIFS(Data_Q1!$G$5:$G$76,Data_Q1!$A$5:$A$76,A89,Data_Q1!$B$5:$B$76,C89,Data_Q1!$C$5:$C$76,D89),P89*N89)</f>
        <v>5275.89</v>
      </c>
    </row>
    <row r="90" customFormat="false" ht="15" hidden="false" customHeight="false" outlineLevel="0" collapsed="false">
      <c r="A90" s="0" t="n">
        <f aca="false">MOD(ROW()-5,12)+1</f>
        <v>2</v>
      </c>
      <c r="B90" s="0" t="n">
        <f aca="false">INT((ROW()-5)/12)+1</f>
        <v>8</v>
      </c>
      <c r="C90" s="0" t="str">
        <f aca="false">INDEX(Data_Base!$A$5:$A$28,B90)</f>
        <v>Pork</v>
      </c>
      <c r="D90" s="0" t="str">
        <f aca="false">INDEX(Data_Base!$B$5:$B$28,B90)</f>
        <v>Online Direct</v>
      </c>
      <c r="E90" s="26" t="n">
        <f aca="false">INDEX(Data_Base!$B$32:$M$37,MATCH(C90,Data_Base!$A$32:$A$37,0),A90)</f>
        <v>0.075153</v>
      </c>
      <c r="F90" s="25" t="n">
        <f aca="false">INDEX(Data_Base!$C$5:$C$28,B90)*(1+INDEX(Assumptions!$B$19:$B$22,MATCH(D90,Assumptions!$A$19:$A$22,0)))*E90</f>
        <v>437.46110382</v>
      </c>
      <c r="G90" s="24" t="n">
        <f aca="false">INDEX(Data_Base!$D$5:$D$28,B90)/INDEX(Data_Base!$C$5:$C$28,B90)</f>
        <v>137.933105615244</v>
      </c>
      <c r="H90" s="27" t="n">
        <f aca="false">IF(A90&gt;=Assumptions!$C$37,INDEX(Assumptions!$B$10:$B$15,MATCH(C90,Assumptions!$A$10:$A$15,0)),0)</f>
        <v>0.025</v>
      </c>
      <c r="I90" s="27" t="n">
        <f aca="false">IF(AND(A90&gt;=Assumptions!$C$37,INDEX(Assumptions!$C$19:$C$22,MATCH(D90,Assumptions!$A$19:$A$22,0))=1),INDEX(Assumptions!$D$10:$D$15,MATCH(C90,Assumptions!$A$10:$A$15,0)),0)</f>
        <v>0</v>
      </c>
      <c r="J90" s="9" t="n">
        <f aca="false">F90*G90*(1+H90)</f>
        <v>61848.8778516595</v>
      </c>
      <c r="K90" s="9" t="n">
        <f aca="false">J90*(1+I90)</f>
        <v>61848.8778516595</v>
      </c>
      <c r="L90" s="24" t="n">
        <f aca="false">INDEX(Data_Base!$E$5:$E$28,B90)/INDEX(Data_Base!$C$5:$C$28,B90)*(1+INDEX(Assumptions!$C$10:$C$15,MATCH(C90,Assumptions!$A$10:$A$15,0)))</f>
        <v>88.7791869247922</v>
      </c>
      <c r="M90" s="9" t="n">
        <f aca="false">F90*L90</f>
        <v>38837.4411083617</v>
      </c>
      <c r="N90" s="24" t="n">
        <f aca="false">INDEX(Data_Base!$F$5:$F$28,B90)/INDEX(Data_Base!$C$5:$C$28,B90)*(1+Assumptions!$C$38)</f>
        <v>11.5757080883844</v>
      </c>
      <c r="O90" s="9" t="n">
        <f aca="false">F90*N90</f>
        <v>5063.92203784272</v>
      </c>
      <c r="P90" s="25" t="n">
        <f aca="false">IF(A90&lt;=3,SUMIFS(Data_Q1!$D$5:$D$76,Data_Q1!$A$5:$A$76,A90,Data_Q1!$B$5:$B$76,C90,Data_Q1!$C$5:$C$76,D90),F90*INDEX(Reforecast!$D$6:$D$9,MATCH(D90,Reforecast!$A$6:$A$9,0)))</f>
        <v>440.1</v>
      </c>
      <c r="Q90" s="9" t="n">
        <f aca="false">IF(A90&lt;=3,SUMIFS(Data_Q1!$E$5:$E$76,Data_Q1!$A$5:$A$76,A90,Data_Q1!$B$5:$B$76,C90,Data_Q1!$C$5:$C$76,D90),P90*G90*(1+H90)*(1+I90))</f>
        <v>62116.01</v>
      </c>
      <c r="R90" s="9" t="n">
        <f aca="false">IF(A90&lt;=3,SUMIFS(Data_Q1!$F$5:$F$76,Data_Q1!$A$5:$A$76,A90,Data_Q1!$B$5:$B$76,C90,Data_Q1!$C$5:$C$76,D90),P90*L90*INDEX(Reforecast!$D$12:$D$17,MATCH(C90,Reforecast!$A$12:$A$17,0)))</f>
        <v>39119.7</v>
      </c>
      <c r="S90" s="9" t="n">
        <f aca="false">IF(A90&lt;=3,SUMIFS(Data_Q1!$G$5:$G$76,Data_Q1!$A$5:$A$76,A90,Data_Q1!$B$5:$B$76,C90,Data_Q1!$C$5:$C$76,D90),P90*N90)</f>
        <v>5094.93</v>
      </c>
    </row>
    <row r="91" customFormat="false" ht="15" hidden="false" customHeight="false" outlineLevel="0" collapsed="false">
      <c r="A91" s="0" t="n">
        <f aca="false">MOD(ROW()-5,12)+1</f>
        <v>3</v>
      </c>
      <c r="B91" s="0" t="n">
        <f aca="false">INT((ROW()-5)/12)+1</f>
        <v>8</v>
      </c>
      <c r="C91" s="0" t="str">
        <f aca="false">INDEX(Data_Base!$A$5:$A$28,B91)</f>
        <v>Pork</v>
      </c>
      <c r="D91" s="0" t="str">
        <f aca="false">INDEX(Data_Base!$B$5:$B$28,B91)</f>
        <v>Online Direct</v>
      </c>
      <c r="E91" s="26" t="n">
        <f aca="false">INDEX(Data_Base!$B$32:$M$37,MATCH(C91,Data_Base!$A$32:$A$37,0),A91)</f>
        <v>0.078854</v>
      </c>
      <c r="F91" s="25" t="n">
        <f aca="false">INDEX(Data_Base!$C$5:$C$28,B91)*(1+INDEX(Assumptions!$B$19:$B$22,MATCH(D91,Assumptions!$A$19:$A$22,0)))*E91</f>
        <v>459.00440276</v>
      </c>
      <c r="G91" s="24" t="n">
        <f aca="false">INDEX(Data_Base!$D$5:$D$28,B91)/INDEX(Data_Base!$C$5:$C$28,B91)</f>
        <v>137.933105615244</v>
      </c>
      <c r="H91" s="27" t="n">
        <f aca="false">IF(A91&gt;=Assumptions!$C$37,INDEX(Assumptions!$B$10:$B$15,MATCH(C91,Assumptions!$A$10:$A$15,0)),0)</f>
        <v>0.025</v>
      </c>
      <c r="I91" s="27" t="n">
        <f aca="false">IF(AND(A91&gt;=Assumptions!$C$37,INDEX(Assumptions!$C$19:$C$22,MATCH(D91,Assumptions!$A$19:$A$22,0))=1),INDEX(Assumptions!$D$10:$D$15,MATCH(C91,Assumptions!$A$10:$A$15,0)),0)</f>
        <v>0</v>
      </c>
      <c r="J91" s="9" t="n">
        <f aca="false">F91*G91*(1+H91)</f>
        <v>64894.7003328511</v>
      </c>
      <c r="K91" s="9" t="n">
        <f aca="false">J91*(1+I91)</f>
        <v>64894.7003328511</v>
      </c>
      <c r="L91" s="24" t="n">
        <f aca="false">INDEX(Data_Base!$E$5:$E$28,B91)/INDEX(Data_Base!$C$5:$C$28,B91)*(1+INDEX(Assumptions!$C$10:$C$15,MATCH(C91,Assumptions!$A$10:$A$15,0)))</f>
        <v>88.7791869247922</v>
      </c>
      <c r="M91" s="9" t="n">
        <f aca="false">F91*L91</f>
        <v>40750.0376719326</v>
      </c>
      <c r="N91" s="24" t="n">
        <f aca="false">INDEX(Data_Base!$F$5:$F$28,B91)/INDEX(Data_Base!$C$5:$C$28,B91)*(1+Assumptions!$C$38)</f>
        <v>11.5757080883844</v>
      </c>
      <c r="O91" s="9" t="n">
        <f aca="false">F91*N91</f>
        <v>5313.30097763296</v>
      </c>
      <c r="P91" s="25" t="n">
        <f aca="false">IF(A91&lt;=3,SUMIFS(Data_Q1!$D$5:$D$76,Data_Q1!$A$5:$A$76,A91,Data_Q1!$B$5:$B$76,C91,Data_Q1!$C$5:$C$76,D91),F91*INDEX(Reforecast!$D$6:$D$9,MATCH(D91,Reforecast!$A$6:$A$9,0)))</f>
        <v>457.2</v>
      </c>
      <c r="Q91" s="9" t="n">
        <f aca="false">IF(A91&lt;=3,SUMIFS(Data_Q1!$E$5:$E$76,Data_Q1!$A$5:$A$76,A91,Data_Q1!$B$5:$B$76,C91,Data_Q1!$C$5:$C$76,D91),P91*G91*(1+H91)*(1+I91))</f>
        <v>64769.05</v>
      </c>
      <c r="R91" s="9" t="n">
        <f aca="false">IF(A91&lt;=3,SUMIFS(Data_Q1!$F$5:$F$76,Data_Q1!$A$5:$A$76,A91,Data_Q1!$B$5:$B$76,C91,Data_Q1!$C$5:$C$76,D91),P91*L91*INDEX(Reforecast!$D$12:$D$17,MATCH(C91,Reforecast!$A$12:$A$17,0)))</f>
        <v>40471.47</v>
      </c>
      <c r="S91" s="9" t="n">
        <f aca="false">IF(A91&lt;=3,SUMIFS(Data_Q1!$G$5:$G$76,Data_Q1!$A$5:$A$76,A91,Data_Q1!$B$5:$B$76,C91,Data_Q1!$C$5:$C$76,D91),P91*N91)</f>
        <v>5292.12</v>
      </c>
    </row>
    <row r="92" customFormat="false" ht="15" hidden="false" customHeight="false" outlineLevel="0" collapsed="false">
      <c r="A92" s="0" t="n">
        <f aca="false">MOD(ROW()-5,12)+1</f>
        <v>4</v>
      </c>
      <c r="B92" s="0" t="n">
        <f aca="false">INT((ROW()-5)/12)+1</f>
        <v>8</v>
      </c>
      <c r="C92" s="0" t="str">
        <f aca="false">INDEX(Data_Base!$A$5:$A$28,B92)</f>
        <v>Pork</v>
      </c>
      <c r="D92" s="0" t="str">
        <f aca="false">INDEX(Data_Base!$B$5:$B$28,B92)</f>
        <v>Online Direct</v>
      </c>
      <c r="E92" s="26" t="n">
        <f aca="false">INDEX(Data_Base!$B$32:$M$37,MATCH(C92,Data_Base!$A$32:$A$37,0),A92)</f>
        <v>0.08213</v>
      </c>
      <c r="F92" s="25" t="n">
        <f aca="false">INDEX(Data_Base!$C$5:$C$28,B92)*(1+INDEX(Assumptions!$B$19:$B$22,MATCH(D92,Assumptions!$A$19:$A$22,0)))*E92</f>
        <v>478.0738022</v>
      </c>
      <c r="G92" s="24" t="n">
        <f aca="false">INDEX(Data_Base!$D$5:$D$28,B92)/INDEX(Data_Base!$C$5:$C$28,B92)</f>
        <v>137.933105615244</v>
      </c>
      <c r="H92" s="27" t="n">
        <f aca="false">IF(A92&gt;=Assumptions!$C$37,INDEX(Assumptions!$B$10:$B$15,MATCH(C92,Assumptions!$A$10:$A$15,0)),0)</f>
        <v>0.025</v>
      </c>
      <c r="I92" s="27" t="n">
        <f aca="false">IF(AND(A92&gt;=Assumptions!$C$37,INDEX(Assumptions!$C$19:$C$22,MATCH(D92,Assumptions!$A$19:$A$22,0))=1),INDEX(Assumptions!$D$10:$D$15,MATCH(C92,Assumptions!$A$10:$A$15,0)),0)</f>
        <v>0</v>
      </c>
      <c r="J92" s="9" t="n">
        <f aca="false">F92*G92*(1+H92)</f>
        <v>67590.7593570023</v>
      </c>
      <c r="K92" s="9" t="n">
        <f aca="false">J92*(1+I92)</f>
        <v>67590.7593570023</v>
      </c>
      <c r="L92" s="24" t="n">
        <f aca="false">INDEX(Data_Base!$E$5:$E$28,B92)/INDEX(Data_Base!$C$5:$C$28,B92)*(1+INDEX(Assumptions!$C$10:$C$15,MATCH(C92,Assumptions!$A$10:$A$15,0)))</f>
        <v>88.7791869247922</v>
      </c>
      <c r="M92" s="9" t="n">
        <f aca="false">F92*L92</f>
        <v>42443.0034493599</v>
      </c>
      <c r="N92" s="24" t="n">
        <f aca="false">INDEX(Data_Base!$F$5:$F$28,B92)/INDEX(Data_Base!$C$5:$C$28,B92)*(1+Assumptions!$C$38)</f>
        <v>11.5757080883844</v>
      </c>
      <c r="O92" s="9" t="n">
        <f aca="false">F92*N92</f>
        <v>5534.0427789712</v>
      </c>
      <c r="P92" s="25" t="n">
        <f aca="false">IF(A92&lt;=3,SUMIFS(Data_Q1!$D$5:$D$76,Data_Q1!$A$5:$A$76,A92,Data_Q1!$B$5:$B$76,C92,Data_Q1!$C$5:$C$76,D92),F92*INDEX(Reforecast!$D$6:$D$9,MATCH(D92,Reforecast!$A$6:$A$9,0)))</f>
        <v>479.198215920382</v>
      </c>
      <c r="Q92" s="9" t="n">
        <f aca="false">IF(A92&lt;=3,SUMIFS(Data_Q1!$E$5:$E$76,Data_Q1!$A$5:$A$76,A92,Data_Q1!$B$5:$B$76,C92,Data_Q1!$C$5:$C$76,D92),P92*G92*(1+H92)*(1+I92))</f>
        <v>67749.7305803622</v>
      </c>
      <c r="R92" s="9" t="n">
        <f aca="false">IF(A92&lt;=3,SUMIFS(Data_Q1!$F$5:$F$76,Data_Q1!$A$5:$A$76,A92,Data_Q1!$B$5:$B$76,C92,Data_Q1!$C$5:$C$76,D92),P92*L92*INDEX(Reforecast!$D$12:$D$17,MATCH(C92,Reforecast!$A$12:$A$17,0)))</f>
        <v>42627.6589232121</v>
      </c>
      <c r="S92" s="9" t="n">
        <f aca="false">IF(A92&lt;=3,SUMIFS(Data_Q1!$G$5:$G$76,Data_Q1!$A$5:$A$76,A92,Data_Q1!$B$5:$B$76,C92,Data_Q1!$C$5:$C$76,D92),P92*N92)</f>
        <v>5547.05866396891</v>
      </c>
    </row>
    <row r="93" customFormat="false" ht="15" hidden="false" customHeight="false" outlineLevel="0" collapsed="false">
      <c r="A93" s="0" t="n">
        <f aca="false">MOD(ROW()-5,12)+1</f>
        <v>5</v>
      </c>
      <c r="B93" s="0" t="n">
        <f aca="false">INT((ROW()-5)/12)+1</f>
        <v>8</v>
      </c>
      <c r="C93" s="0" t="str">
        <f aca="false">INDEX(Data_Base!$A$5:$A$28,B93)</f>
        <v>Pork</v>
      </c>
      <c r="D93" s="0" t="str">
        <f aca="false">INDEX(Data_Base!$B$5:$B$28,B93)</f>
        <v>Online Direct</v>
      </c>
      <c r="E93" s="26" t="n">
        <f aca="false">INDEX(Data_Base!$B$32:$M$37,MATCH(C93,Data_Base!$A$32:$A$37,0),A93)</f>
        <v>0.087534</v>
      </c>
      <c r="F93" s="25" t="n">
        <f aca="false">INDEX(Data_Base!$C$5:$C$28,B93)*(1+INDEX(Assumptions!$B$19:$B$22,MATCH(D93,Assumptions!$A$19:$A$22,0)))*E93</f>
        <v>509.53016196</v>
      </c>
      <c r="G93" s="24" t="n">
        <f aca="false">INDEX(Data_Base!$D$5:$D$28,B93)/INDEX(Data_Base!$C$5:$C$28,B93)</f>
        <v>137.933105615244</v>
      </c>
      <c r="H93" s="27" t="n">
        <f aca="false">IF(A93&gt;=Assumptions!$C$37,INDEX(Assumptions!$B$10:$B$15,MATCH(C93,Assumptions!$A$10:$A$15,0)),0)</f>
        <v>0.025</v>
      </c>
      <c r="I93" s="27" t="n">
        <f aca="false">IF(AND(A93&gt;=Assumptions!$C$37,INDEX(Assumptions!$C$19:$C$22,MATCH(D93,Assumptions!$A$19:$A$22,0))=1),INDEX(Assumptions!$D$10:$D$15,MATCH(C93,Assumptions!$A$10:$A$15,0)),0)</f>
        <v>0</v>
      </c>
      <c r="J93" s="9" t="n">
        <f aca="false">F93*G93*(1+H93)</f>
        <v>72038.1045848757</v>
      </c>
      <c r="K93" s="9" t="n">
        <f aca="false">J93*(1+I93)</f>
        <v>72038.1045848757</v>
      </c>
      <c r="L93" s="24" t="n">
        <f aca="false">INDEX(Data_Base!$E$5:$E$28,B93)/INDEX(Data_Base!$C$5:$C$28,B93)*(1+INDEX(Assumptions!$C$10:$C$15,MATCH(C93,Assumptions!$A$10:$A$15,0)))</f>
        <v>88.7791869247922</v>
      </c>
      <c r="M93" s="9" t="n">
        <f aca="false">F93*L93</f>
        <v>45235.6734924665</v>
      </c>
      <c r="N93" s="24" t="n">
        <f aca="false">INDEX(Data_Base!$F$5:$F$28,B93)/INDEX(Data_Base!$C$5:$C$28,B93)*(1+Assumptions!$C$38)</f>
        <v>11.5757080883844</v>
      </c>
      <c r="O93" s="9" t="n">
        <f aca="false">F93*N93</f>
        <v>5898.17241707616</v>
      </c>
      <c r="P93" s="25" t="n">
        <f aca="false">IF(A93&lt;=3,SUMIFS(Data_Q1!$D$5:$D$76,Data_Q1!$A$5:$A$76,A93,Data_Q1!$B$5:$B$76,C93,Data_Q1!$C$5:$C$76,D93),F93*INDEX(Reforecast!$D$6:$D$9,MATCH(D93,Reforecast!$A$6:$A$9,0)))</f>
        <v>510.728559994822</v>
      </c>
      <c r="Q93" s="9" t="n">
        <f aca="false">IF(A93&lt;=3,SUMIFS(Data_Q1!$E$5:$E$76,Data_Q1!$A$5:$A$76,A93,Data_Q1!$B$5:$B$76,C93,Data_Q1!$C$5:$C$76,D93),P93*G93*(1+H93)*(1+I93))</f>
        <v>72207.5358166495</v>
      </c>
      <c r="R93" s="9" t="n">
        <f aca="false">IF(A93&lt;=3,SUMIFS(Data_Q1!$F$5:$F$76,Data_Q1!$A$5:$A$76,A93,Data_Q1!$B$5:$B$76,C93,Data_Q1!$C$5:$C$76,D93),P93*L93*INDEX(Reforecast!$D$12:$D$17,MATCH(C93,Reforecast!$A$12:$A$17,0)))</f>
        <v>45432.4789502551</v>
      </c>
      <c r="S93" s="9" t="n">
        <f aca="false">IF(A93&lt;=3,SUMIFS(Data_Q1!$G$5:$G$76,Data_Q1!$A$5:$A$76,A93,Data_Q1!$B$5:$B$76,C93,Data_Q1!$C$5:$C$76,D93),P93*N93)</f>
        <v>5912.04472290095</v>
      </c>
    </row>
    <row r="94" customFormat="false" ht="15" hidden="false" customHeight="false" outlineLevel="0" collapsed="false">
      <c r="A94" s="0" t="n">
        <f aca="false">MOD(ROW()-5,12)+1</f>
        <v>6</v>
      </c>
      <c r="B94" s="0" t="n">
        <f aca="false">INT((ROW()-5)/12)+1</f>
        <v>8</v>
      </c>
      <c r="C94" s="0" t="str">
        <f aca="false">INDEX(Data_Base!$A$5:$A$28,B94)</f>
        <v>Pork</v>
      </c>
      <c r="D94" s="0" t="str">
        <f aca="false">INDEX(Data_Base!$B$5:$B$28,B94)</f>
        <v>Online Direct</v>
      </c>
      <c r="E94" s="26" t="n">
        <f aca="false">INDEX(Data_Base!$B$32:$M$37,MATCH(C94,Data_Base!$A$32:$A$37,0),A94)</f>
        <v>0.086224</v>
      </c>
      <c r="F94" s="25" t="n">
        <f aca="false">INDEX(Data_Base!$C$5:$C$28,B94)*(1+INDEX(Assumptions!$B$19:$B$22,MATCH(D94,Assumptions!$A$19:$A$22,0)))*E94</f>
        <v>501.90473056</v>
      </c>
      <c r="G94" s="24" t="n">
        <f aca="false">INDEX(Data_Base!$D$5:$D$28,B94)/INDEX(Data_Base!$C$5:$C$28,B94)</f>
        <v>137.933105615244</v>
      </c>
      <c r="H94" s="27" t="n">
        <f aca="false">IF(A94&gt;=Assumptions!$C$37,INDEX(Assumptions!$B$10:$B$15,MATCH(C94,Assumptions!$A$10:$A$15,0)),0)</f>
        <v>0.025</v>
      </c>
      <c r="I94" s="27" t="n">
        <f aca="false">IF(AND(A94&gt;=Assumptions!$C$37,INDEX(Assumptions!$C$19:$C$22,MATCH(D94,Assumptions!$A$19:$A$22,0))=1),INDEX(Assumptions!$D$10:$D$15,MATCH(C94,Assumptions!$A$10:$A$15,0)),0)</f>
        <v>0</v>
      </c>
      <c r="J94" s="9" t="n">
        <f aca="false">F94*G94*(1+H94)</f>
        <v>70960.0101643513</v>
      </c>
      <c r="K94" s="9" t="n">
        <f aca="false">J94*(1+I94)</f>
        <v>70960.0101643513</v>
      </c>
      <c r="L94" s="24" t="n">
        <f aca="false">INDEX(Data_Base!$E$5:$E$28,B94)/INDEX(Data_Base!$C$5:$C$28,B94)*(1+INDEX(Assumptions!$C$10:$C$15,MATCH(C94,Assumptions!$A$10:$A$15,0)))</f>
        <v>88.7791869247922</v>
      </c>
      <c r="M94" s="9" t="n">
        <f aca="false">F94*L94</f>
        <v>44558.6938928237</v>
      </c>
      <c r="N94" s="24" t="n">
        <f aca="false">INDEX(Data_Base!$F$5:$F$28,B94)/INDEX(Data_Base!$C$5:$C$28,B94)*(1+Assumptions!$C$38)</f>
        <v>11.5757080883844</v>
      </c>
      <c r="O94" s="9" t="n">
        <f aca="false">F94*N94</f>
        <v>5809.90264914176</v>
      </c>
      <c r="P94" s="25" t="n">
        <f aca="false">IF(A94&lt;=3,SUMIFS(Data_Q1!$D$5:$D$76,Data_Q1!$A$5:$A$76,A94,Data_Q1!$B$5:$B$76,C94,Data_Q1!$C$5:$C$76,D94),F94*INDEX(Reforecast!$D$6:$D$9,MATCH(D94,Reforecast!$A$6:$A$9,0)))</f>
        <v>503.085193833179</v>
      </c>
      <c r="Q94" s="9" t="n">
        <f aca="false">IF(A94&lt;=3,SUMIFS(Data_Q1!$E$5:$E$76,Data_Q1!$A$5:$A$76,A94,Data_Q1!$B$5:$B$76,C94,Data_Q1!$C$5:$C$76,D94),P94*G94*(1+H94)*(1+I94))</f>
        <v>71126.905753819</v>
      </c>
      <c r="R94" s="9" t="n">
        <f aca="false">IF(A94&lt;=3,SUMIFS(Data_Q1!$F$5:$F$76,Data_Q1!$A$5:$A$76,A94,Data_Q1!$B$5:$B$76,C94,Data_Q1!$C$5:$C$76,D94),P94*L94*INDEX(Reforecast!$D$12:$D$17,MATCH(C94,Reforecast!$A$12:$A$17,0)))</f>
        <v>44752.5540362236</v>
      </c>
      <c r="S94" s="9" t="n">
        <f aca="false">IF(A94&lt;=3,SUMIFS(Data_Q1!$G$5:$G$76,Data_Q1!$A$5:$A$76,A94,Data_Q1!$B$5:$B$76,C94,Data_Q1!$C$5:$C$76,D94),P94*N94)</f>
        <v>5823.56734740114</v>
      </c>
    </row>
    <row r="95" customFormat="false" ht="15" hidden="false" customHeight="false" outlineLevel="0" collapsed="false">
      <c r="A95" s="0" t="n">
        <f aca="false">MOD(ROW()-5,12)+1</f>
        <v>7</v>
      </c>
      <c r="B95" s="0" t="n">
        <f aca="false">INT((ROW()-5)/12)+1</f>
        <v>8</v>
      </c>
      <c r="C95" s="0" t="str">
        <f aca="false">INDEX(Data_Base!$A$5:$A$28,B95)</f>
        <v>Pork</v>
      </c>
      <c r="D95" s="0" t="str">
        <f aca="false">INDEX(Data_Base!$B$5:$B$28,B95)</f>
        <v>Online Direct</v>
      </c>
      <c r="E95" s="26" t="n">
        <f aca="false">INDEX(Data_Base!$B$32:$M$37,MATCH(C95,Data_Base!$A$32:$A$37,0),A95)</f>
        <v>0.086781</v>
      </c>
      <c r="F95" s="25" t="n">
        <f aca="false">INDEX(Data_Base!$C$5:$C$28,B95)*(1+INDEX(Assumptions!$B$19:$B$22,MATCH(D95,Assumptions!$A$19:$A$22,0)))*E95</f>
        <v>505.14699414</v>
      </c>
      <c r="G95" s="24" t="n">
        <f aca="false">INDEX(Data_Base!$D$5:$D$28,B95)/INDEX(Data_Base!$C$5:$C$28,B95)</f>
        <v>137.933105615244</v>
      </c>
      <c r="H95" s="27" t="n">
        <f aca="false">IF(A95&gt;=Assumptions!$C$37,INDEX(Assumptions!$B$10:$B$15,MATCH(C95,Assumptions!$A$10:$A$15,0)),0)</f>
        <v>0.025</v>
      </c>
      <c r="I95" s="27" t="n">
        <f aca="false">IF(AND(A95&gt;=Assumptions!$C$37,INDEX(Assumptions!$C$19:$C$22,MATCH(D95,Assumptions!$A$19:$A$22,0))=1),INDEX(Assumptions!$D$10:$D$15,MATCH(C95,Assumptions!$A$10:$A$15,0)),0)</f>
        <v>0</v>
      </c>
      <c r="J95" s="9" t="n">
        <f aca="false">F95*G95*(1+H95)</f>
        <v>71418.4060362842</v>
      </c>
      <c r="K95" s="9" t="n">
        <f aca="false">J95*(1+I95)</f>
        <v>71418.4060362842</v>
      </c>
      <c r="L95" s="24" t="n">
        <f aca="false">INDEX(Data_Base!$E$5:$E$28,B95)/INDEX(Data_Base!$C$5:$C$28,B95)*(1+INDEX(Assumptions!$C$10:$C$15,MATCH(C95,Assumptions!$A$10:$A$15,0)))</f>
        <v>88.7791869247922</v>
      </c>
      <c r="M95" s="9" t="n">
        <f aca="false">F95*L95</f>
        <v>44846.539417252</v>
      </c>
      <c r="N95" s="24" t="n">
        <f aca="false">INDEX(Data_Base!$F$5:$F$28,B95)/INDEX(Data_Base!$C$5:$C$28,B95)*(1+Assumptions!$C$38)</f>
        <v>11.5757080883844</v>
      </c>
      <c r="O95" s="9" t="n">
        <f aca="false">F95*N95</f>
        <v>5847.43414588944</v>
      </c>
      <c r="P95" s="25" t="n">
        <f aca="false">IF(A95&lt;=3,SUMIFS(Data_Q1!$D$5:$D$76,Data_Q1!$A$5:$A$76,A95,Data_Q1!$B$5:$B$76,C95,Data_Q1!$C$5:$C$76,D95),F95*INDEX(Reforecast!$D$6:$D$9,MATCH(D95,Reforecast!$A$6:$A$9,0)))</f>
        <v>506.335083109542</v>
      </c>
      <c r="Q95" s="9" t="n">
        <f aca="false">IF(A95&lt;=3,SUMIFS(Data_Q1!$E$5:$E$76,Data_Q1!$A$5:$A$76,A95,Data_Q1!$B$5:$B$76,C95,Data_Q1!$C$5:$C$76,D95),P95*G95*(1+H95)*(1+I95))</f>
        <v>71586.3797576332</v>
      </c>
      <c r="R95" s="9" t="n">
        <f aca="false">IF(A95&lt;=3,SUMIFS(Data_Q1!$F$5:$F$76,Data_Q1!$A$5:$A$76,A95,Data_Q1!$B$5:$B$76,C95,Data_Q1!$C$5:$C$76,D95),P95*L95*INDEX(Reforecast!$D$12:$D$17,MATCH(C95,Reforecast!$A$12:$A$17,0)))</f>
        <v>45041.6518813499</v>
      </c>
      <c r="S95" s="9" t="n">
        <f aca="false">IF(A95&lt;=3,SUMIFS(Data_Q1!$G$5:$G$76,Data_Q1!$A$5:$A$76,A95,Data_Q1!$B$5:$B$76,C95,Data_Q1!$C$5:$C$76,D95),P95*N95)</f>
        <v>5861.18711698388</v>
      </c>
    </row>
    <row r="96" customFormat="false" ht="15" hidden="false" customHeight="false" outlineLevel="0" collapsed="false">
      <c r="A96" s="0" t="n">
        <f aca="false">MOD(ROW()-5,12)+1</f>
        <v>8</v>
      </c>
      <c r="B96" s="0" t="n">
        <f aca="false">INT((ROW()-5)/12)+1</f>
        <v>8</v>
      </c>
      <c r="C96" s="0" t="str">
        <f aca="false">INDEX(Data_Base!$A$5:$A$28,B96)</f>
        <v>Pork</v>
      </c>
      <c r="D96" s="0" t="str">
        <f aca="false">INDEX(Data_Base!$B$5:$B$28,B96)</f>
        <v>Online Direct</v>
      </c>
      <c r="E96" s="26" t="n">
        <f aca="false">INDEX(Data_Base!$B$32:$M$37,MATCH(C96,Data_Base!$A$32:$A$37,0),A96)</f>
        <v>0.086895</v>
      </c>
      <c r="F96" s="25" t="n">
        <f aca="false">INDEX(Data_Base!$C$5:$C$28,B96)*(1+INDEX(Assumptions!$B$19:$B$22,MATCH(D96,Assumptions!$A$19:$A$22,0)))*E96</f>
        <v>505.8105813</v>
      </c>
      <c r="G96" s="24" t="n">
        <f aca="false">INDEX(Data_Base!$D$5:$D$28,B96)/INDEX(Data_Base!$C$5:$C$28,B96)</f>
        <v>137.933105615244</v>
      </c>
      <c r="H96" s="27" t="n">
        <f aca="false">IF(A96&gt;=Assumptions!$C$37,INDEX(Assumptions!$B$10:$B$15,MATCH(C96,Assumptions!$A$10:$A$15,0)),0)</f>
        <v>0.025</v>
      </c>
      <c r="I96" s="27" t="n">
        <f aca="false">IF(AND(A96&gt;=Assumptions!$C$37,INDEX(Assumptions!$C$19:$C$22,MATCH(D96,Assumptions!$A$19:$A$22,0))=1),INDEX(Assumptions!$D$10:$D$15,MATCH(C96,Assumptions!$A$10:$A$15,0)),0)</f>
        <v>0</v>
      </c>
      <c r="J96" s="9" t="n">
        <f aca="false">F96*G96*(1+H96)</f>
        <v>71512.224940055</v>
      </c>
      <c r="K96" s="9" t="n">
        <f aca="false">J96*(1+I96)</f>
        <v>71512.224940055</v>
      </c>
      <c r="L96" s="24" t="n">
        <f aca="false">INDEX(Data_Base!$E$5:$E$28,B96)/INDEX(Data_Base!$C$5:$C$28,B96)*(1+INDEX(Assumptions!$C$10:$C$15,MATCH(C96,Assumptions!$A$10:$A$15,0)))</f>
        <v>88.7791869247922</v>
      </c>
      <c r="M96" s="9" t="n">
        <f aca="false">F96*L96</f>
        <v>44905.4521457705</v>
      </c>
      <c r="N96" s="24" t="n">
        <f aca="false">INDEX(Data_Base!$F$5:$F$28,B96)/INDEX(Data_Base!$C$5:$C$28,B96)*(1+Assumptions!$C$38)</f>
        <v>11.5757080883844</v>
      </c>
      <c r="O96" s="9" t="n">
        <f aca="false">F96*N96</f>
        <v>5855.1156371448</v>
      </c>
      <c r="P96" s="25" t="n">
        <f aca="false">IF(A96&lt;=3,SUMIFS(Data_Q1!$D$5:$D$76,Data_Q1!$A$5:$A$76,A96,Data_Q1!$B$5:$B$76,C96,Data_Q1!$C$5:$C$76,D96),F96*INDEX(Reforecast!$D$6:$D$9,MATCH(D96,Reforecast!$A$6:$A$9,0)))</f>
        <v>507.000231004524</v>
      </c>
      <c r="Q96" s="9" t="n">
        <f aca="false">IF(A96&lt;=3,SUMIFS(Data_Q1!$E$5:$E$76,Data_Q1!$A$5:$A$76,A96,Data_Q1!$B$5:$B$76,C96,Data_Q1!$C$5:$C$76,D96),P96*G96*(1+H96)*(1+I96))</f>
        <v>71680.4193203528</v>
      </c>
      <c r="R96" s="9" t="n">
        <f aca="false">IF(A96&lt;=3,SUMIFS(Data_Q1!$F$5:$F$76,Data_Q1!$A$5:$A$76,A96,Data_Q1!$B$5:$B$76,C96,Data_Q1!$C$5:$C$76,D96),P96*L96*INDEX(Reforecast!$D$12:$D$17,MATCH(C96,Reforecast!$A$12:$A$17,0)))</f>
        <v>45100.8209196702</v>
      </c>
      <c r="S96" s="9" t="n">
        <f aca="false">IF(A96&lt;=3,SUMIFS(Data_Q1!$G$5:$G$76,Data_Q1!$A$5:$A$76,A96,Data_Q1!$B$5:$B$76,C96,Data_Q1!$C$5:$C$76,D96),P96*N96)</f>
        <v>5868.88667485181</v>
      </c>
    </row>
    <row r="97" customFormat="false" ht="15" hidden="false" customHeight="false" outlineLevel="0" collapsed="false">
      <c r="A97" s="0" t="n">
        <f aca="false">MOD(ROW()-5,12)+1</f>
        <v>9</v>
      </c>
      <c r="B97" s="0" t="n">
        <f aca="false">INT((ROW()-5)/12)+1</f>
        <v>8</v>
      </c>
      <c r="C97" s="0" t="str">
        <f aca="false">INDEX(Data_Base!$A$5:$A$28,B97)</f>
        <v>Pork</v>
      </c>
      <c r="D97" s="0" t="str">
        <f aca="false">INDEX(Data_Base!$B$5:$B$28,B97)</f>
        <v>Online Direct</v>
      </c>
      <c r="E97" s="26" t="n">
        <f aca="false">INDEX(Data_Base!$B$32:$M$37,MATCH(C97,Data_Base!$A$32:$A$37,0),A97)</f>
        <v>0.082228</v>
      </c>
      <c r="F97" s="25" t="n">
        <f aca="false">INDEX(Data_Base!$C$5:$C$28,B97)*(1+INDEX(Assumptions!$B$19:$B$22,MATCH(D97,Assumptions!$A$19:$A$22,0)))*E97</f>
        <v>478.64425432</v>
      </c>
      <c r="G97" s="24" t="n">
        <f aca="false">INDEX(Data_Base!$D$5:$D$28,B97)/INDEX(Data_Base!$C$5:$C$28,B97)</f>
        <v>137.933105615244</v>
      </c>
      <c r="H97" s="27" t="n">
        <f aca="false">IF(A97&gt;=Assumptions!$C$37,INDEX(Assumptions!$B$10:$B$15,MATCH(C97,Assumptions!$A$10:$A$15,0)),0)</f>
        <v>0.025</v>
      </c>
      <c r="I97" s="27" t="n">
        <f aca="false">IF(AND(A97&gt;=Assumptions!$C$37,INDEX(Assumptions!$C$19:$C$22,MATCH(D97,Assumptions!$A$19:$A$22,0))=1),INDEX(Assumptions!$D$10:$D$15,MATCH(C97,Assumptions!$A$10:$A$15,0)),0)</f>
        <v>0</v>
      </c>
      <c r="J97" s="9" t="n">
        <f aca="false">F97*G97*(1+H97)</f>
        <v>67671.4106953317</v>
      </c>
      <c r="K97" s="9" t="n">
        <f aca="false">J97*(1+I97)</f>
        <v>67671.4106953317</v>
      </c>
      <c r="L97" s="24" t="n">
        <f aca="false">INDEX(Data_Base!$E$5:$E$28,B97)/INDEX(Data_Base!$C$5:$C$28,B97)*(1+INDEX(Assumptions!$C$10:$C$15,MATCH(C97,Assumptions!$A$10:$A$15,0)))</f>
        <v>88.7791869247922</v>
      </c>
      <c r="M97" s="9" t="n">
        <f aca="false">F97*L97</f>
        <v>42493.6477247531</v>
      </c>
      <c r="N97" s="24" t="n">
        <f aca="false">INDEX(Data_Base!$F$5:$F$28,B97)/INDEX(Data_Base!$C$5:$C$28,B97)*(1+Assumptions!$C$38)</f>
        <v>11.5757080883844</v>
      </c>
      <c r="O97" s="9" t="n">
        <f aca="false">F97*N97</f>
        <v>5540.64616619072</v>
      </c>
      <c r="P97" s="25" t="n">
        <f aca="false">IF(A97&lt;=3,SUMIFS(Data_Q1!$D$5:$D$76,Data_Q1!$A$5:$A$76,A97,Data_Q1!$B$5:$B$76,C97,Data_Q1!$C$5:$C$76,D97),F97*INDEX(Reforecast!$D$6:$D$9,MATCH(D97,Reforecast!$A$6:$A$9,0)))</f>
        <v>479.770009724841</v>
      </c>
      <c r="Q97" s="9" t="n">
        <f aca="false">IF(A97&lt;=3,SUMIFS(Data_Q1!$E$5:$E$76,Data_Q1!$A$5:$A$76,A97,Data_Q1!$B$5:$B$76,C97,Data_Q1!$C$5:$C$76,D97),P97*G97*(1+H97)*(1+I97))</f>
        <v>67830.5716079633</v>
      </c>
      <c r="R97" s="9" t="n">
        <f aca="false">IF(A97&lt;=3,SUMIFS(Data_Q1!$F$5:$F$76,Data_Q1!$A$5:$A$76,A97,Data_Q1!$B$5:$B$76,C97,Data_Q1!$C$5:$C$76,D97),P97*L97*INDEX(Reforecast!$D$12:$D$17,MATCH(C97,Reforecast!$A$12:$A$17,0)))</f>
        <v>42678.5235351015</v>
      </c>
      <c r="S97" s="9" t="n">
        <f aca="false">IF(A97&lt;=3,SUMIFS(Data_Q1!$G$5:$G$76,Data_Q1!$A$5:$A$76,A97,Data_Q1!$B$5:$B$76,C97,Data_Q1!$C$5:$C$76,D97),P97*N97)</f>
        <v>5553.67758213608</v>
      </c>
    </row>
    <row r="98" customFormat="false" ht="15" hidden="false" customHeight="false" outlineLevel="0" collapsed="false">
      <c r="A98" s="0" t="n">
        <f aca="false">MOD(ROW()-5,12)+1</f>
        <v>10</v>
      </c>
      <c r="B98" s="0" t="n">
        <f aca="false">INT((ROW()-5)/12)+1</f>
        <v>8</v>
      </c>
      <c r="C98" s="0" t="str">
        <f aca="false">INDEX(Data_Base!$A$5:$A$28,B98)</f>
        <v>Pork</v>
      </c>
      <c r="D98" s="0" t="str">
        <f aca="false">INDEX(Data_Base!$B$5:$B$28,B98)</f>
        <v>Online Direct</v>
      </c>
      <c r="E98" s="26" t="n">
        <f aca="false">INDEX(Data_Base!$B$32:$M$37,MATCH(C98,Data_Base!$A$32:$A$37,0),A98)</f>
        <v>0.080672</v>
      </c>
      <c r="F98" s="25" t="n">
        <f aca="false">INDEX(Data_Base!$C$5:$C$28,B98)*(1+INDEX(Assumptions!$B$19:$B$22,MATCH(D98,Assumptions!$A$19:$A$22,0)))*E98</f>
        <v>469.58687168</v>
      </c>
      <c r="G98" s="24" t="n">
        <f aca="false">INDEX(Data_Base!$D$5:$D$28,B98)/INDEX(Data_Base!$C$5:$C$28,B98)</f>
        <v>137.933105615244</v>
      </c>
      <c r="H98" s="27" t="n">
        <f aca="false">IF(A98&gt;=Assumptions!$C$37,INDEX(Assumptions!$B$10:$B$15,MATCH(C98,Assumptions!$A$10:$A$15,0)),0)</f>
        <v>0.025</v>
      </c>
      <c r="I98" s="27" t="n">
        <f aca="false">IF(AND(A98&gt;=Assumptions!$C$37,INDEX(Assumptions!$C$19:$C$22,MATCH(D98,Assumptions!$A$19:$A$22,0))=1),INDEX(Assumptions!$D$10:$D$15,MATCH(C98,Assumptions!$A$10:$A$15,0)),0)</f>
        <v>0</v>
      </c>
      <c r="J98" s="9" t="n">
        <f aca="false">F98*G98*(1+H98)</f>
        <v>66390.8649561438</v>
      </c>
      <c r="K98" s="9" t="n">
        <f aca="false">J98*(1+I98)</f>
        <v>66390.8649561438</v>
      </c>
      <c r="L98" s="24" t="n">
        <f aca="false">INDEX(Data_Base!$E$5:$E$28,B98)/INDEX(Data_Base!$C$5:$C$28,B98)*(1+INDEX(Assumptions!$C$10:$C$15,MATCH(C98,Assumptions!$A$10:$A$15,0)))</f>
        <v>88.7791869247922</v>
      </c>
      <c r="M98" s="9" t="n">
        <f aca="false">F98*L98</f>
        <v>41689.5406583071</v>
      </c>
      <c r="N98" s="24" t="n">
        <f aca="false">INDEX(Data_Base!$F$5:$F$28,B98)/INDEX(Data_Base!$C$5:$C$28,B98)*(1+Assumptions!$C$38)</f>
        <v>11.5757080883844</v>
      </c>
      <c r="O98" s="9" t="n">
        <f aca="false">F98*N98</f>
        <v>5435.80054870528</v>
      </c>
      <c r="P98" s="25" t="n">
        <f aca="false">IF(A98&lt;=3,SUMIFS(Data_Q1!$D$5:$D$76,Data_Q1!$A$5:$A$76,A98,Data_Q1!$B$5:$B$76,C98,Data_Q1!$C$5:$C$76,D98),F98*INDEX(Reforecast!$D$6:$D$9,MATCH(D98,Reforecast!$A$6:$A$9,0)))</f>
        <v>470.691324421394</v>
      </c>
      <c r="Q98" s="9" t="n">
        <f aca="false">IF(A98&lt;=3,SUMIFS(Data_Q1!$E$5:$E$76,Data_Q1!$A$5:$A$76,A98,Data_Q1!$B$5:$B$76,C98,Data_Q1!$C$5:$C$76,D98),P98*G98*(1+H98)*(1+I98))</f>
        <v>66547.0140676852</v>
      </c>
      <c r="R98" s="9" t="n">
        <f aca="false">IF(A98&lt;=3,SUMIFS(Data_Q1!$F$5:$F$76,Data_Q1!$A$5:$A$76,A98,Data_Q1!$B$5:$B$76,C98,Data_Q1!$C$5:$C$76,D98),P98*L98*INDEX(Reforecast!$D$12:$D$17,MATCH(C98,Reforecast!$A$12:$A$17,0)))</f>
        <v>41870.9180646946</v>
      </c>
      <c r="S98" s="9" t="n">
        <f aca="false">IF(A98&lt;=3,SUMIFS(Data_Q1!$G$5:$G$76,Data_Q1!$A$5:$A$76,A98,Data_Q1!$B$5:$B$76,C98,Data_Q1!$C$5:$C$76,D98),P98*N98)</f>
        <v>5448.58537123707</v>
      </c>
    </row>
    <row r="99" customFormat="false" ht="15" hidden="false" customHeight="false" outlineLevel="0" collapsed="false">
      <c r="A99" s="0" t="n">
        <f aca="false">MOD(ROW()-5,12)+1</f>
        <v>11</v>
      </c>
      <c r="B99" s="0" t="n">
        <f aca="false">INT((ROW()-5)/12)+1</f>
        <v>8</v>
      </c>
      <c r="C99" s="0" t="str">
        <f aca="false">INDEX(Data_Base!$A$5:$A$28,B99)</f>
        <v>Pork</v>
      </c>
      <c r="D99" s="0" t="str">
        <f aca="false">INDEX(Data_Base!$B$5:$B$28,B99)</f>
        <v>Online Direct</v>
      </c>
      <c r="E99" s="26" t="n">
        <f aca="false">INDEX(Data_Base!$B$32:$M$37,MATCH(C99,Data_Base!$A$32:$A$37,0),A99)</f>
        <v>0.082768</v>
      </c>
      <c r="F99" s="25" t="n">
        <f aca="false">INDEX(Data_Base!$C$5:$C$28,B99)*(1+INDEX(Assumptions!$B$19:$B$22,MATCH(D99,Assumptions!$A$19:$A$22,0)))*E99</f>
        <v>481.78756192</v>
      </c>
      <c r="G99" s="24" t="n">
        <f aca="false">INDEX(Data_Base!$D$5:$D$28,B99)/INDEX(Data_Base!$C$5:$C$28,B99)</f>
        <v>137.933105615244</v>
      </c>
      <c r="H99" s="27" t="n">
        <f aca="false">IF(A99&gt;=Assumptions!$C$37,INDEX(Assumptions!$B$10:$B$15,MATCH(C99,Assumptions!$A$10:$A$15,0)),0)</f>
        <v>0.025</v>
      </c>
      <c r="I99" s="27" t="n">
        <f aca="false">IF(AND(A99&gt;=Assumptions!$C$37,INDEX(Assumptions!$C$19:$C$22,MATCH(D99,Assumptions!$A$19:$A$22,0))=1),INDEX(Assumptions!$D$10:$D$15,MATCH(C99,Assumptions!$A$10:$A$15,0)),0)</f>
        <v>0</v>
      </c>
      <c r="J99" s="9" t="n">
        <f aca="false">F99*G99*(1+H99)</f>
        <v>68115.8160289829</v>
      </c>
      <c r="K99" s="9" t="n">
        <f aca="false">J99*(1+I99)</f>
        <v>68115.8160289829</v>
      </c>
      <c r="L99" s="24" t="n">
        <f aca="false">INDEX(Data_Base!$E$5:$E$28,B99)/INDEX(Data_Base!$C$5:$C$28,B99)*(1+INDEX(Assumptions!$C$10:$C$15,MATCH(C99,Assumptions!$A$10:$A$15,0)))</f>
        <v>88.7791869247922</v>
      </c>
      <c r="M99" s="9" t="n">
        <f aca="false">F99*L99</f>
        <v>42772.7080177356</v>
      </c>
      <c r="N99" s="24" t="n">
        <f aca="false">INDEX(Data_Base!$F$5:$F$28,B99)/INDEX(Data_Base!$C$5:$C$28,B99)*(1+Assumptions!$C$38)</f>
        <v>11.5757080883844</v>
      </c>
      <c r="O99" s="9" t="n">
        <f aca="false">F99*N99</f>
        <v>5577.03217740032</v>
      </c>
      <c r="P99" s="25" t="n">
        <f aca="false">IF(A99&lt;=3,SUMIFS(Data_Q1!$D$5:$D$76,Data_Q1!$A$5:$A$76,A99,Data_Q1!$B$5:$B$76,C99,Data_Q1!$C$5:$C$76,D99),F99*INDEX(Reforecast!$D$6:$D$9,MATCH(D99,Reforecast!$A$6:$A$9,0)))</f>
        <v>482.920710280022</v>
      </c>
      <c r="Q99" s="9" t="n">
        <f aca="false">IF(A99&lt;=3,SUMIFS(Data_Q1!$E$5:$E$76,Data_Q1!$A$5:$A$76,A99,Data_Q1!$B$5:$B$76,C99,Data_Q1!$C$5:$C$76,D99),P99*G99*(1+H99)*(1+I99))</f>
        <v>68276.0221682141</v>
      </c>
      <c r="R99" s="9" t="n">
        <f aca="false">IF(A99&lt;=3,SUMIFS(Data_Q1!$F$5:$F$76,Data_Q1!$A$5:$A$76,A99,Data_Q1!$B$5:$B$76,C99,Data_Q1!$C$5:$C$76,D99),P99*L99*INDEX(Reforecast!$D$12:$D$17,MATCH(C99,Reforecast!$A$12:$A$17,0)))</f>
        <v>42958.797927145</v>
      </c>
      <c r="S99" s="9" t="n">
        <f aca="false">IF(A99&lt;=3,SUMIFS(Data_Q1!$G$5:$G$76,Data_Q1!$A$5:$A$76,A99,Data_Q1!$B$5:$B$76,C99,Data_Q1!$C$5:$C$76,D99),P99*N99)</f>
        <v>5590.14917203676</v>
      </c>
    </row>
    <row r="100" customFormat="false" ht="15" hidden="false" customHeight="false" outlineLevel="0" collapsed="false">
      <c r="A100" s="0" t="n">
        <f aca="false">MOD(ROW()-5,12)+1</f>
        <v>12</v>
      </c>
      <c r="B100" s="0" t="n">
        <f aca="false">INT((ROW()-5)/12)+1</f>
        <v>8</v>
      </c>
      <c r="C100" s="0" t="str">
        <f aca="false">INDEX(Data_Base!$A$5:$A$28,B100)</f>
        <v>Pork</v>
      </c>
      <c r="D100" s="0" t="str">
        <f aca="false">INDEX(Data_Base!$B$5:$B$28,B100)</f>
        <v>Online Direct</v>
      </c>
      <c r="E100" s="26" t="n">
        <f aca="false">INDEX(Data_Base!$B$32:$M$37,MATCH(C100,Data_Base!$A$32:$A$37,0),A100)</f>
        <v>0.091235</v>
      </c>
      <c r="F100" s="25" t="n">
        <f aca="false">INDEX(Data_Base!$C$5:$C$28,B100)*(1+INDEX(Assumptions!$B$19:$B$22,MATCH(D100,Assumptions!$A$19:$A$22,0)))*E100</f>
        <v>531.0734609</v>
      </c>
      <c r="G100" s="24" t="n">
        <f aca="false">INDEX(Data_Base!$D$5:$D$28,B100)/INDEX(Data_Base!$C$5:$C$28,B100)</f>
        <v>137.933105615244</v>
      </c>
      <c r="H100" s="27" t="n">
        <f aca="false">IF(A100&gt;=Assumptions!$C$37,INDEX(Assumptions!$B$10:$B$15,MATCH(C100,Assumptions!$A$10:$A$15,0)),0)</f>
        <v>0.025</v>
      </c>
      <c r="I100" s="27" t="n">
        <f aca="false">IF(AND(A100&gt;=Assumptions!$C$37,INDEX(Assumptions!$C$19:$C$22,MATCH(D100,Assumptions!$A$19:$A$22,0))=1),INDEX(Assumptions!$D$10:$D$15,MATCH(C100,Assumptions!$A$10:$A$15,0)),0)</f>
        <v>0</v>
      </c>
      <c r="J100" s="9" t="n">
        <f aca="false">F100*G100*(1+H100)</f>
        <v>75083.9270660673</v>
      </c>
      <c r="K100" s="9" t="n">
        <f aca="false">J100*(1+I100)</f>
        <v>75083.9270660673</v>
      </c>
      <c r="L100" s="24" t="n">
        <f aca="false">INDEX(Data_Base!$E$5:$E$28,B100)/INDEX(Data_Base!$C$5:$C$28,B100)*(1+INDEX(Assumptions!$C$10:$C$15,MATCH(C100,Assumptions!$A$10:$A$15,0)))</f>
        <v>88.7791869247922</v>
      </c>
      <c r="M100" s="9" t="n">
        <f aca="false">F100*L100</f>
        <v>47148.2700560374</v>
      </c>
      <c r="N100" s="24" t="n">
        <f aca="false">INDEX(Data_Base!$F$5:$F$28,B100)/INDEX(Data_Base!$C$5:$C$28,B100)*(1+Assumptions!$C$38)</f>
        <v>11.5757080883844</v>
      </c>
      <c r="O100" s="9" t="n">
        <f aca="false">F100*N100</f>
        <v>6147.5513568664</v>
      </c>
      <c r="P100" s="25" t="n">
        <f aca="false">IF(A100&lt;=3,SUMIFS(Data_Q1!$D$5:$D$76,Data_Q1!$A$5:$A$76,A100,Data_Q1!$B$5:$B$76,C100,Data_Q1!$C$5:$C$76,D100),F100*INDEX(Reforecast!$D$6:$D$9,MATCH(D100,Reforecast!$A$6:$A$9,0)))</f>
        <v>532.322528059126</v>
      </c>
      <c r="Q100" s="9" t="n">
        <f aca="false">IF(A100&lt;=3,SUMIFS(Data_Q1!$E$5:$E$76,Data_Q1!$A$5:$A$76,A100,Data_Q1!$B$5:$B$76,C100,Data_Q1!$C$5:$C$76,D100),P100*G100*(1+H100)*(1+I100))</f>
        <v>75260.5219712571</v>
      </c>
      <c r="R100" s="9" t="n">
        <f aca="false">IF(A100&lt;=3,SUMIFS(Data_Q1!$F$5:$F$76,Data_Q1!$A$5:$A$76,A100,Data_Q1!$B$5:$B$76,C100,Data_Q1!$C$5:$C$76,D100),P100*L100*INDEX(Reforecast!$D$12:$D$17,MATCH(C100,Reforecast!$A$12:$A$17,0)))</f>
        <v>47353.3965890571</v>
      </c>
      <c r="S100" s="9" t="n">
        <f aca="false">IF(A100&lt;=3,SUMIFS(Data_Q1!$G$5:$G$76,Data_Q1!$A$5:$A$76,A100,Data_Q1!$B$5:$B$76,C100,Data_Q1!$C$5:$C$76,D100),P100*N100)</f>
        <v>6162.01019368323</v>
      </c>
    </row>
    <row r="101" customFormat="false" ht="15" hidden="false" customHeight="false" outlineLevel="0" collapsed="false">
      <c r="A101" s="0" t="n">
        <f aca="false">MOD(ROW()-5,12)+1</f>
        <v>1</v>
      </c>
      <c r="B101" s="0" t="n">
        <f aca="false">INT((ROW()-5)/12)+1</f>
        <v>9</v>
      </c>
      <c r="C101" s="0" t="str">
        <f aca="false">INDEX(Data_Base!$A$5:$A$28,B101)</f>
        <v>Poultry</v>
      </c>
      <c r="D101" s="0" t="str">
        <f aca="false">INDEX(Data_Base!$B$5:$B$28,B101)</f>
        <v>Restaurants</v>
      </c>
      <c r="E101" s="26" t="n">
        <f aca="false">INDEX(Data_Base!$B$32:$M$37,MATCH(C101,Data_Base!$A$32:$A$37,0),A101)</f>
        <v>0.081573</v>
      </c>
      <c r="F101" s="25" t="n">
        <f aca="false">INDEX(Data_Base!$C$5:$C$28,B101)*(1+INDEX(Assumptions!$B$19:$B$22,MATCH(D101,Assumptions!$A$19:$A$22,0)))*E101</f>
        <v>3193.71999264</v>
      </c>
      <c r="G101" s="24" t="n">
        <f aca="false">INDEX(Data_Base!$D$5:$D$28,B101)/INDEX(Data_Base!$C$5:$C$28,B101)</f>
        <v>109.155132867862</v>
      </c>
      <c r="H101" s="27" t="n">
        <f aca="false">IF(A101&gt;=Assumptions!$C$37,INDEX(Assumptions!$B$10:$B$15,MATCH(C101,Assumptions!$A$10:$A$15,0)),0)</f>
        <v>0</v>
      </c>
      <c r="I101" s="27" t="n">
        <f aca="false">IF(AND(A101&gt;=Assumptions!$C$37,INDEX(Assumptions!$C$19:$C$22,MATCH(D101,Assumptions!$A$19:$A$22,0))=1),INDEX(Assumptions!$D$10:$D$15,MATCH(C101,Assumptions!$A$10:$A$15,0)),0)</f>
        <v>0</v>
      </c>
      <c r="J101" s="9" t="n">
        <f aca="false">F101*G101*(1+H101)</f>
        <v>348610.930139365</v>
      </c>
      <c r="K101" s="9" t="n">
        <f aca="false">J101*(1+I101)</f>
        <v>348610.930139365</v>
      </c>
      <c r="L101" s="24" t="n">
        <f aca="false">INDEX(Data_Base!$E$5:$E$28,B101)/INDEX(Data_Base!$C$5:$C$28,B101)*(1+INDEX(Assumptions!$C$10:$C$15,MATCH(C101,Assumptions!$A$10:$A$15,0)))</f>
        <v>80.4176324835869</v>
      </c>
      <c r="M101" s="9" t="n">
        <f aca="false">F101*L101</f>
        <v>256831.400623607</v>
      </c>
      <c r="N101" s="24" t="n">
        <f aca="false">INDEX(Data_Base!$F$5:$F$28,B101)/INDEX(Data_Base!$C$5:$C$28,B101)*(1+Assumptions!$C$38)</f>
        <v>2.7217374947895</v>
      </c>
      <c r="O101" s="9" t="n">
        <f aca="false">F101*N101</f>
        <v>8692.46745182712</v>
      </c>
      <c r="P101" s="25" t="n">
        <f aca="false">IF(A101&lt;=3,SUMIFS(Data_Q1!$D$5:$D$76,Data_Q1!$A$5:$A$76,A101,Data_Q1!$B$5:$B$76,C101,Data_Q1!$C$5:$C$76,D101),F101*INDEX(Reforecast!$D$6:$D$9,MATCH(D101,Reforecast!$A$6:$A$9,0)))</f>
        <v>3022.3</v>
      </c>
      <c r="Q101" s="9" t="n">
        <f aca="false">IF(A101&lt;=3,SUMIFS(Data_Q1!$E$5:$E$76,Data_Q1!$A$5:$A$76,A101,Data_Q1!$B$5:$B$76,C101,Data_Q1!$C$5:$C$76,D101),P101*G101*(1+H101)*(1+I101))</f>
        <v>329038.23</v>
      </c>
      <c r="R101" s="9" t="n">
        <f aca="false">IF(A101&lt;=3,SUMIFS(Data_Q1!$F$5:$F$76,Data_Q1!$A$5:$A$76,A101,Data_Q1!$B$5:$B$76,C101,Data_Q1!$C$5:$C$76,D101),P101*L101*INDEX(Reforecast!$D$12:$D$17,MATCH(C101,Reforecast!$A$12:$A$17,0)))</f>
        <v>242057.84</v>
      </c>
      <c r="S101" s="9" t="n">
        <f aca="false">IF(A101&lt;=3,SUMIFS(Data_Q1!$G$5:$G$76,Data_Q1!$A$5:$A$76,A101,Data_Q1!$B$5:$B$76,C101,Data_Q1!$C$5:$C$76,D101),P101*N101)</f>
        <v>8225.8</v>
      </c>
    </row>
    <row r="102" customFormat="false" ht="15" hidden="false" customHeight="false" outlineLevel="0" collapsed="false">
      <c r="A102" s="0" t="n">
        <f aca="false">MOD(ROW()-5,12)+1</f>
        <v>2</v>
      </c>
      <c r="B102" s="0" t="n">
        <f aca="false">INT((ROW()-5)/12)+1</f>
        <v>9</v>
      </c>
      <c r="C102" s="0" t="str">
        <f aca="false">INDEX(Data_Base!$A$5:$A$28,B102)</f>
        <v>Poultry</v>
      </c>
      <c r="D102" s="0" t="str">
        <f aca="false">INDEX(Data_Base!$B$5:$B$28,B102)</f>
        <v>Restaurants</v>
      </c>
      <c r="E102" s="26" t="n">
        <f aca="false">INDEX(Data_Base!$B$32:$M$37,MATCH(C102,Data_Base!$A$32:$A$37,0),A102)</f>
        <v>0.080162</v>
      </c>
      <c r="F102" s="25" t="n">
        <f aca="false">INDEX(Data_Base!$C$5:$C$28,B102)*(1+INDEX(Assumptions!$B$19:$B$22,MATCH(D102,Assumptions!$A$19:$A$22,0)))*E102</f>
        <v>3138.47697216</v>
      </c>
      <c r="G102" s="24" t="n">
        <f aca="false">INDEX(Data_Base!$D$5:$D$28,B102)/INDEX(Data_Base!$C$5:$C$28,B102)</f>
        <v>109.155132867862</v>
      </c>
      <c r="H102" s="27" t="n">
        <f aca="false">IF(A102&gt;=Assumptions!$C$37,INDEX(Assumptions!$B$10:$B$15,MATCH(C102,Assumptions!$A$10:$A$15,0)),0)</f>
        <v>0.02</v>
      </c>
      <c r="I102" s="27" t="n">
        <f aca="false">IF(AND(A102&gt;=Assumptions!$C$37,INDEX(Assumptions!$C$19:$C$22,MATCH(D102,Assumptions!$A$19:$A$22,0))=1),INDEX(Assumptions!$D$10:$D$15,MATCH(C102,Assumptions!$A$10:$A$15,0)),0)</f>
        <v>0</v>
      </c>
      <c r="J102" s="9" t="n">
        <f aca="false">F102*G102*(1+H102)</f>
        <v>349432.488316826</v>
      </c>
      <c r="K102" s="9" t="n">
        <f aca="false">J102*(1+I102)</f>
        <v>349432.488316826</v>
      </c>
      <c r="L102" s="24" t="n">
        <f aca="false">INDEX(Data_Base!$E$5:$E$28,B102)/INDEX(Data_Base!$C$5:$C$28,B102)*(1+INDEX(Assumptions!$C$10:$C$15,MATCH(C102,Assumptions!$A$10:$A$15,0)))</f>
        <v>80.4176324835869</v>
      </c>
      <c r="M102" s="9" t="n">
        <f aca="false">F102*L102</f>
        <v>252388.887705364</v>
      </c>
      <c r="N102" s="24" t="n">
        <f aca="false">INDEX(Data_Base!$F$5:$F$28,B102)/INDEX(Data_Base!$C$5:$C$28,B102)*(1+Assumptions!$C$38)</f>
        <v>2.7217374947895</v>
      </c>
      <c r="O102" s="9" t="n">
        <f aca="false">F102*N102</f>
        <v>8542.11045166128</v>
      </c>
      <c r="P102" s="25" t="n">
        <f aca="false">IF(A102&lt;=3,SUMIFS(Data_Q1!$D$5:$D$76,Data_Q1!$A$5:$A$76,A102,Data_Q1!$B$5:$B$76,C102,Data_Q1!$C$5:$C$76,D102),F102*INDEX(Reforecast!$D$6:$D$9,MATCH(D102,Reforecast!$A$6:$A$9,0)))</f>
        <v>3029.9</v>
      </c>
      <c r="Q102" s="9" t="n">
        <f aca="false">IF(A102&lt;=3,SUMIFS(Data_Q1!$E$5:$E$76,Data_Q1!$A$5:$A$76,A102,Data_Q1!$B$5:$B$76,C102,Data_Q1!$C$5:$C$76,D102),P102*G102*(1+H102)*(1+I102))</f>
        <v>336431.97</v>
      </c>
      <c r="R102" s="9" t="n">
        <f aca="false">IF(A102&lt;=3,SUMIFS(Data_Q1!$F$5:$F$76,Data_Q1!$A$5:$A$76,A102,Data_Q1!$B$5:$B$76,C102,Data_Q1!$C$5:$C$76,D102),P102*L102*INDEX(Reforecast!$D$12:$D$17,MATCH(C102,Reforecast!$A$12:$A$17,0)))</f>
        <v>243481.94</v>
      </c>
      <c r="S102" s="9" t="n">
        <f aca="false">IF(A102&lt;=3,SUMIFS(Data_Q1!$G$5:$G$76,Data_Q1!$A$5:$A$76,A102,Data_Q1!$B$5:$B$76,C102,Data_Q1!$C$5:$C$76,D102),P102*N102)</f>
        <v>8246.48</v>
      </c>
    </row>
    <row r="103" customFormat="false" ht="15" hidden="false" customHeight="false" outlineLevel="0" collapsed="false">
      <c r="A103" s="0" t="n">
        <f aca="false">MOD(ROW()-5,12)+1</f>
        <v>3</v>
      </c>
      <c r="B103" s="0" t="n">
        <f aca="false">INT((ROW()-5)/12)+1</f>
        <v>9</v>
      </c>
      <c r="C103" s="0" t="str">
        <f aca="false">INDEX(Data_Base!$A$5:$A$28,B103)</f>
        <v>Poultry</v>
      </c>
      <c r="D103" s="0" t="str">
        <f aca="false">INDEX(Data_Base!$B$5:$B$28,B103)</f>
        <v>Restaurants</v>
      </c>
      <c r="E103" s="26" t="n">
        <f aca="false">INDEX(Data_Base!$B$32:$M$37,MATCH(C103,Data_Base!$A$32:$A$37,0),A103)</f>
        <v>0.082529</v>
      </c>
      <c r="F103" s="25" t="n">
        <f aca="false">INDEX(Data_Base!$C$5:$C$28,B103)*(1+INDEX(Assumptions!$B$19:$B$22,MATCH(D103,Assumptions!$A$19:$A$22,0)))*E103</f>
        <v>3231.14899872</v>
      </c>
      <c r="G103" s="24" t="n">
        <f aca="false">INDEX(Data_Base!$D$5:$D$28,B103)/INDEX(Data_Base!$C$5:$C$28,B103)</f>
        <v>109.155132867862</v>
      </c>
      <c r="H103" s="27" t="n">
        <f aca="false">IF(A103&gt;=Assumptions!$C$37,INDEX(Assumptions!$B$10:$B$15,MATCH(C103,Assumptions!$A$10:$A$15,0)),0)</f>
        <v>0.02</v>
      </c>
      <c r="I103" s="27" t="n">
        <f aca="false">IF(AND(A103&gt;=Assumptions!$C$37,INDEX(Assumptions!$C$19:$C$22,MATCH(D103,Assumptions!$A$19:$A$22,0))=1),INDEX(Assumptions!$D$10:$D$15,MATCH(C103,Assumptions!$A$10:$A$15,0)),0)</f>
        <v>0</v>
      </c>
      <c r="J103" s="9" t="n">
        <f aca="false">F103*G103*(1+H103)</f>
        <v>359750.428236562</v>
      </c>
      <c r="K103" s="9" t="n">
        <f aca="false">J103*(1+I103)</f>
        <v>359750.428236562</v>
      </c>
      <c r="L103" s="24" t="n">
        <f aca="false">INDEX(Data_Base!$E$5:$E$28,B103)/INDEX(Data_Base!$C$5:$C$28,B103)*(1+INDEX(Assumptions!$C$10:$C$15,MATCH(C103,Assumptions!$A$10:$A$15,0)))</f>
        <v>80.4176324835869</v>
      </c>
      <c r="M103" s="9" t="n">
        <f aca="false">F103*L103</f>
        <v>259841.352678775</v>
      </c>
      <c r="N103" s="24" t="n">
        <f aca="false">INDEX(Data_Base!$F$5:$F$28,B103)/INDEX(Data_Base!$C$5:$C$28,B103)*(1+Assumptions!$C$38)</f>
        <v>2.7217374947895</v>
      </c>
      <c r="O103" s="9" t="n">
        <f aca="false">F103*N103</f>
        <v>8794.33938106776</v>
      </c>
      <c r="P103" s="25" t="n">
        <f aca="false">IF(A103&lt;=3,SUMIFS(Data_Q1!$D$5:$D$76,Data_Q1!$A$5:$A$76,A103,Data_Q1!$B$5:$B$76,C103,Data_Q1!$C$5:$C$76,D103),F103*INDEX(Reforecast!$D$6:$D$9,MATCH(D103,Reforecast!$A$6:$A$9,0)))</f>
        <v>3132.6</v>
      </c>
      <c r="Q103" s="9" t="n">
        <f aca="false">IF(A103&lt;=3,SUMIFS(Data_Q1!$E$5:$E$76,Data_Q1!$A$5:$A$76,A103,Data_Q1!$B$5:$B$76,C103,Data_Q1!$C$5:$C$76,D103),P103*G103*(1+H103)*(1+I103))</f>
        <v>348466.53</v>
      </c>
      <c r="R103" s="9" t="n">
        <f aca="false">IF(A103&lt;=3,SUMIFS(Data_Q1!$F$5:$F$76,Data_Q1!$A$5:$A$76,A103,Data_Q1!$B$5:$B$76,C103,Data_Q1!$C$5:$C$76,D103),P103*L103*INDEX(Reforecast!$D$12:$D$17,MATCH(C103,Reforecast!$A$12:$A$17,0)))</f>
        <v>252169.93</v>
      </c>
      <c r="S103" s="9" t="n">
        <f aca="false">IF(A103&lt;=3,SUMIFS(Data_Q1!$G$5:$G$76,Data_Q1!$A$5:$A$76,A103,Data_Q1!$B$5:$B$76,C103,Data_Q1!$C$5:$C$76,D103),P103*N103)</f>
        <v>8526.07</v>
      </c>
    </row>
    <row r="104" customFormat="false" ht="15" hidden="false" customHeight="false" outlineLevel="0" collapsed="false">
      <c r="A104" s="0" t="n">
        <f aca="false">MOD(ROW()-5,12)+1</f>
        <v>4</v>
      </c>
      <c r="B104" s="0" t="n">
        <f aca="false">INT((ROW()-5)/12)+1</f>
        <v>9</v>
      </c>
      <c r="C104" s="0" t="str">
        <f aca="false">INDEX(Data_Base!$A$5:$A$28,B104)</f>
        <v>Poultry</v>
      </c>
      <c r="D104" s="0" t="str">
        <f aca="false">INDEX(Data_Base!$B$5:$B$28,B104)</f>
        <v>Restaurants</v>
      </c>
      <c r="E104" s="26" t="n">
        <f aca="false">INDEX(Data_Base!$B$32:$M$37,MATCH(C104,Data_Base!$A$32:$A$37,0),A104)</f>
        <v>0.082529</v>
      </c>
      <c r="F104" s="25" t="n">
        <f aca="false">INDEX(Data_Base!$C$5:$C$28,B104)*(1+INDEX(Assumptions!$B$19:$B$22,MATCH(D104,Assumptions!$A$19:$A$22,0)))*E104</f>
        <v>3231.14899872</v>
      </c>
      <c r="G104" s="24" t="n">
        <f aca="false">INDEX(Data_Base!$D$5:$D$28,B104)/INDEX(Data_Base!$C$5:$C$28,B104)</f>
        <v>109.155132867862</v>
      </c>
      <c r="H104" s="27" t="n">
        <f aca="false">IF(A104&gt;=Assumptions!$C$37,INDEX(Assumptions!$B$10:$B$15,MATCH(C104,Assumptions!$A$10:$A$15,0)),0)</f>
        <v>0.02</v>
      </c>
      <c r="I104" s="27" t="n">
        <f aca="false">IF(AND(A104&gt;=Assumptions!$C$37,INDEX(Assumptions!$C$19:$C$22,MATCH(D104,Assumptions!$A$19:$A$22,0))=1),INDEX(Assumptions!$D$10:$D$15,MATCH(C104,Assumptions!$A$10:$A$15,0)),0)</f>
        <v>0</v>
      </c>
      <c r="J104" s="9" t="n">
        <f aca="false">F104*G104*(1+H104)</f>
        <v>359750.428236562</v>
      </c>
      <c r="K104" s="9" t="n">
        <f aca="false">J104*(1+I104)</f>
        <v>359750.428236562</v>
      </c>
      <c r="L104" s="24" t="n">
        <f aca="false">INDEX(Data_Base!$E$5:$E$28,B104)/INDEX(Data_Base!$C$5:$C$28,B104)*(1+INDEX(Assumptions!$C$10:$C$15,MATCH(C104,Assumptions!$A$10:$A$15,0)))</f>
        <v>80.4176324835869</v>
      </c>
      <c r="M104" s="9" t="n">
        <f aca="false">F104*L104</f>
        <v>259841.352678775</v>
      </c>
      <c r="N104" s="24" t="n">
        <f aca="false">INDEX(Data_Base!$F$5:$F$28,B104)/INDEX(Data_Base!$C$5:$C$28,B104)*(1+Assumptions!$C$38)</f>
        <v>2.7217374947895</v>
      </c>
      <c r="O104" s="9" t="n">
        <f aca="false">F104*N104</f>
        <v>8794.33938106776</v>
      </c>
      <c r="P104" s="25" t="n">
        <f aca="false">IF(A104&lt;=3,SUMIFS(Data_Q1!$D$5:$D$76,Data_Q1!$A$5:$A$76,A104,Data_Q1!$B$5:$B$76,C104,Data_Q1!$C$5:$C$76,D104),F104*INDEX(Reforecast!$D$6:$D$9,MATCH(D104,Reforecast!$A$6:$A$9,0)))</f>
        <v>3095.56775170244</v>
      </c>
      <c r="Q104" s="9" t="n">
        <f aca="false">IF(A104&lt;=3,SUMIFS(Data_Q1!$E$5:$E$76,Data_Q1!$A$5:$A$76,A104,Data_Q1!$B$5:$B$76,C104,Data_Q1!$C$5:$C$76,D104),P104*G104*(1+H104)*(1+I104))</f>
        <v>344655.051423318</v>
      </c>
      <c r="R104" s="9" t="n">
        <f aca="false">IF(A104&lt;=3,SUMIFS(Data_Q1!$F$5:$F$76,Data_Q1!$A$5:$A$76,A104,Data_Q1!$B$5:$B$76,C104,Data_Q1!$C$5:$C$76,D104),P104*L104*INDEX(Reforecast!$D$12:$D$17,MATCH(C104,Reforecast!$A$12:$A$17,0)))</f>
        <v>248896.577111652</v>
      </c>
      <c r="S104" s="9" t="n">
        <f aca="false">IF(A104&lt;=3,SUMIFS(Data_Q1!$G$5:$G$76,Data_Q1!$A$5:$A$76,A104,Data_Q1!$B$5:$B$76,C104,Data_Q1!$C$5:$C$76,D104),P104*N104)</f>
        <v>8425.32281746974</v>
      </c>
    </row>
    <row r="105" customFormat="false" ht="15" hidden="false" customHeight="false" outlineLevel="0" collapsed="false">
      <c r="A105" s="0" t="n">
        <f aca="false">MOD(ROW()-5,12)+1</f>
        <v>5</v>
      </c>
      <c r="B105" s="0" t="n">
        <f aca="false">INT((ROW()-5)/12)+1</f>
        <v>9</v>
      </c>
      <c r="C105" s="0" t="str">
        <f aca="false">INDEX(Data_Base!$A$5:$A$28,B105)</f>
        <v>Poultry</v>
      </c>
      <c r="D105" s="0" t="str">
        <f aca="false">INDEX(Data_Base!$B$5:$B$28,B105)</f>
        <v>Restaurants</v>
      </c>
      <c r="E105" s="26" t="n">
        <f aca="false">INDEX(Data_Base!$B$32:$M$37,MATCH(C105,Data_Base!$A$32:$A$37,0),A105)</f>
        <v>0.08394</v>
      </c>
      <c r="F105" s="25" t="n">
        <f aca="false">INDEX(Data_Base!$C$5:$C$28,B105)*(1+INDEX(Assumptions!$B$19:$B$22,MATCH(D105,Assumptions!$A$19:$A$22,0)))*E105</f>
        <v>3286.3920192</v>
      </c>
      <c r="G105" s="24" t="n">
        <f aca="false">INDEX(Data_Base!$D$5:$D$28,B105)/INDEX(Data_Base!$C$5:$C$28,B105)</f>
        <v>109.155132867862</v>
      </c>
      <c r="H105" s="27" t="n">
        <f aca="false">IF(A105&gt;=Assumptions!$C$37,INDEX(Assumptions!$B$10:$B$15,MATCH(C105,Assumptions!$A$10:$A$15,0)),0)</f>
        <v>0.02</v>
      </c>
      <c r="I105" s="27" t="n">
        <f aca="false">IF(AND(A105&gt;=Assumptions!$C$37,INDEX(Assumptions!$C$19:$C$22,MATCH(D105,Assumptions!$A$19:$A$22,0))=1),INDEX(Assumptions!$D$10:$D$15,MATCH(C105,Assumptions!$A$10:$A$15,0)),0)</f>
        <v>0</v>
      </c>
      <c r="J105" s="9" t="n">
        <f aca="false">F105*G105*(1+H105)</f>
        <v>365901.088661889</v>
      </c>
      <c r="K105" s="9" t="n">
        <f aca="false">J105*(1+I105)</f>
        <v>365901.088661889</v>
      </c>
      <c r="L105" s="24" t="n">
        <f aca="false">INDEX(Data_Base!$E$5:$E$28,B105)/INDEX(Data_Base!$C$5:$C$28,B105)*(1+INDEX(Assumptions!$C$10:$C$15,MATCH(C105,Assumptions!$A$10:$A$15,0)))</f>
        <v>80.4176324835869</v>
      </c>
      <c r="M105" s="9" t="n">
        <f aca="false">F105*L105</f>
        <v>264283.865597019</v>
      </c>
      <c r="N105" s="24" t="n">
        <f aca="false">INDEX(Data_Base!$F$5:$F$28,B105)/INDEX(Data_Base!$C$5:$C$28,B105)*(1+Assumptions!$C$38)</f>
        <v>2.7217374947895</v>
      </c>
      <c r="O105" s="9" t="n">
        <f aca="false">F105*N105</f>
        <v>8944.6963812336</v>
      </c>
      <c r="P105" s="25" t="n">
        <f aca="false">IF(A105&lt;=3,SUMIFS(Data_Q1!$D$5:$D$76,Data_Q1!$A$5:$A$76,A105,Data_Q1!$B$5:$B$76,C105,Data_Q1!$C$5:$C$76,D105),F105*INDEX(Reforecast!$D$6:$D$9,MATCH(D105,Reforecast!$A$6:$A$9,0)))</f>
        <v>3148.49273683072</v>
      </c>
      <c r="Q105" s="9" t="n">
        <f aca="false">IF(A105&lt;=3,SUMIFS(Data_Q1!$E$5:$E$76,Data_Q1!$A$5:$A$76,A105,Data_Q1!$B$5:$B$76,C105,Data_Q1!$C$5:$C$76,D105),P105*G105*(1+H105)*(1+I105))</f>
        <v>350547.6258827</v>
      </c>
      <c r="R105" s="9" t="n">
        <f aca="false">IF(A105&lt;=3,SUMIFS(Data_Q1!$F$5:$F$76,Data_Q1!$A$5:$A$76,A105,Data_Q1!$B$5:$B$76,C105,Data_Q1!$C$5:$C$76,D105),P105*L105*INDEX(Reforecast!$D$12:$D$17,MATCH(C105,Reforecast!$A$12:$A$17,0)))</f>
        <v>253151.966978299</v>
      </c>
      <c r="S105" s="9" t="n">
        <f aca="false">IF(A105&lt;=3,SUMIFS(Data_Q1!$G$5:$G$76,Data_Q1!$A$5:$A$76,A105,Data_Q1!$B$5:$B$76,C105,Data_Q1!$C$5:$C$76,D105),P105*N105)</f>
        <v>8569.37073390457</v>
      </c>
    </row>
    <row r="106" customFormat="false" ht="15" hidden="false" customHeight="false" outlineLevel="0" collapsed="false">
      <c r="A106" s="0" t="n">
        <f aca="false">MOD(ROW()-5,12)+1</f>
        <v>6</v>
      </c>
      <c r="B106" s="0" t="n">
        <f aca="false">INT((ROW()-5)/12)+1</f>
        <v>9</v>
      </c>
      <c r="C106" s="0" t="str">
        <f aca="false">INDEX(Data_Base!$A$5:$A$28,B106)</f>
        <v>Poultry</v>
      </c>
      <c r="D106" s="0" t="str">
        <f aca="false">INDEX(Data_Base!$B$5:$B$28,B106)</f>
        <v>Restaurants</v>
      </c>
      <c r="E106" s="26" t="n">
        <f aca="false">INDEX(Data_Base!$B$32:$M$37,MATCH(C106,Data_Base!$A$32:$A$37,0),A106)</f>
        <v>0.085199</v>
      </c>
      <c r="F106" s="25" t="n">
        <f aca="false">INDEX(Data_Base!$C$5:$C$28,B106)*(1+INDEX(Assumptions!$B$19:$B$22,MATCH(D106,Assumptions!$A$19:$A$22,0)))*E106</f>
        <v>3335.68398432</v>
      </c>
      <c r="G106" s="24" t="n">
        <f aca="false">INDEX(Data_Base!$D$5:$D$28,B106)/INDEX(Data_Base!$C$5:$C$28,B106)</f>
        <v>109.155132867862</v>
      </c>
      <c r="H106" s="27" t="n">
        <f aca="false">IF(A106&gt;=Assumptions!$C$37,INDEX(Assumptions!$B$10:$B$15,MATCH(C106,Assumptions!$A$10:$A$15,0)),0)</f>
        <v>0.02</v>
      </c>
      <c r="I106" s="27" t="n">
        <f aca="false">IF(AND(A106&gt;=Assumptions!$C$37,INDEX(Assumptions!$C$19:$C$22,MATCH(D106,Assumptions!$A$19:$A$22,0))=1),INDEX(Assumptions!$D$10:$D$15,MATCH(C106,Assumptions!$A$10:$A$15,0)),0)</f>
        <v>0</v>
      </c>
      <c r="J106" s="9" t="n">
        <f aca="false">F106*G106*(1+H106)</f>
        <v>371389.169083921</v>
      </c>
      <c r="K106" s="9" t="n">
        <f aca="false">J106*(1+I106)</f>
        <v>371389.169083921</v>
      </c>
      <c r="L106" s="24" t="n">
        <f aca="false">INDEX(Data_Base!$E$5:$E$28,B106)/INDEX(Data_Base!$C$5:$C$28,B106)*(1+INDEX(Assumptions!$C$10:$C$15,MATCH(C106,Assumptions!$A$10:$A$15,0)))</f>
        <v>80.4176324835869</v>
      </c>
      <c r="M106" s="9" t="n">
        <f aca="false">F106*L106</f>
        <v>268247.808732433</v>
      </c>
      <c r="N106" s="24" t="n">
        <f aca="false">INDEX(Data_Base!$F$5:$F$28,B106)/INDEX(Data_Base!$C$5:$C$28,B106)*(1+Assumptions!$C$38)</f>
        <v>2.7217374947895</v>
      </c>
      <c r="O106" s="9" t="n">
        <f aca="false">F106*N106</f>
        <v>9078.85617089256</v>
      </c>
      <c r="P106" s="25" t="n">
        <f aca="false">IF(A106&lt;=3,SUMIFS(Data_Q1!$D$5:$D$76,Data_Q1!$A$5:$A$76,A106,Data_Q1!$B$5:$B$76,C106,Data_Q1!$C$5:$C$76,D106),F106*INDEX(Reforecast!$D$6:$D$9,MATCH(D106,Reforecast!$A$6:$A$9,0)))</f>
        <v>3195.71637699834</v>
      </c>
      <c r="Q106" s="9" t="n">
        <f aca="false">IF(A106&lt;=3,SUMIFS(Data_Q1!$E$5:$E$76,Data_Q1!$A$5:$A$76,A106,Data_Q1!$B$5:$B$76,C106,Data_Q1!$C$5:$C$76,D106),P106*G106*(1+H106)*(1+I106))</f>
        <v>355805.42265404</v>
      </c>
      <c r="R106" s="9" t="n">
        <f aca="false">IF(A106&lt;=3,SUMIFS(Data_Q1!$F$5:$F$76,Data_Q1!$A$5:$A$76,A106,Data_Q1!$B$5:$B$76,C106,Data_Q1!$C$5:$C$76,D106),P106*L106*INDEX(Reforecast!$D$12:$D$17,MATCH(C106,Reforecast!$A$12:$A$17,0)))</f>
        <v>256948.944896165</v>
      </c>
      <c r="S106" s="9" t="n">
        <f aca="false">IF(A106&lt;=3,SUMIFS(Data_Q1!$G$5:$G$76,Data_Q1!$A$5:$A$76,A106,Data_Q1!$B$5:$B$76,C106,Data_Q1!$C$5:$C$76,D106),P106*N106)</f>
        <v>8697.90108598922</v>
      </c>
    </row>
    <row r="107" customFormat="false" ht="15" hidden="false" customHeight="false" outlineLevel="0" collapsed="false">
      <c r="A107" s="0" t="n">
        <f aca="false">MOD(ROW()-5,12)+1</f>
        <v>7</v>
      </c>
      <c r="B107" s="0" t="n">
        <f aca="false">INT((ROW()-5)/12)+1</f>
        <v>9</v>
      </c>
      <c r="C107" s="0" t="str">
        <f aca="false">INDEX(Data_Base!$A$5:$A$28,B107)</f>
        <v>Poultry</v>
      </c>
      <c r="D107" s="0" t="str">
        <f aca="false">INDEX(Data_Base!$B$5:$B$28,B107)</f>
        <v>Restaurants</v>
      </c>
      <c r="E107" s="26" t="n">
        <f aca="false">INDEX(Data_Base!$B$32:$M$37,MATCH(C107,Data_Base!$A$32:$A$37,0),A107)</f>
        <v>0.084674</v>
      </c>
      <c r="F107" s="25" t="n">
        <f aca="false">INDEX(Data_Base!$C$5:$C$28,B107)*(1+INDEX(Assumptions!$B$19:$B$22,MATCH(D107,Assumptions!$A$19:$A$22,0)))*E107</f>
        <v>3315.12935232</v>
      </c>
      <c r="G107" s="24" t="n">
        <f aca="false">INDEX(Data_Base!$D$5:$D$28,B107)/INDEX(Data_Base!$C$5:$C$28,B107)</f>
        <v>109.155132867862</v>
      </c>
      <c r="H107" s="27" t="n">
        <f aca="false">IF(A107&gt;=Assumptions!$C$37,INDEX(Assumptions!$B$10:$B$15,MATCH(C107,Assumptions!$A$10:$A$15,0)),0)</f>
        <v>0.02</v>
      </c>
      <c r="I107" s="27" t="n">
        <f aca="false">IF(AND(A107&gt;=Assumptions!$C$37,INDEX(Assumptions!$C$19:$C$22,MATCH(D107,Assumptions!$A$19:$A$22,0))=1),INDEX(Assumptions!$D$10:$D$15,MATCH(C107,Assumptions!$A$10:$A$15,0)),0)</f>
        <v>0</v>
      </c>
      <c r="J107" s="9" t="n">
        <f aca="false">F107*G107*(1+H107)</f>
        <v>369100.65262517</v>
      </c>
      <c r="K107" s="9" t="n">
        <f aca="false">J107*(1+I107)</f>
        <v>369100.65262517</v>
      </c>
      <c r="L107" s="24" t="n">
        <f aca="false">INDEX(Data_Base!$E$5:$E$28,B107)/INDEX(Data_Base!$C$5:$C$28,B107)*(1+INDEX(Assumptions!$C$10:$C$15,MATCH(C107,Assumptions!$A$10:$A$15,0)))</f>
        <v>80.4176324835869</v>
      </c>
      <c r="M107" s="9" t="n">
        <f aca="false">F107*L107</f>
        <v>266594.853890421</v>
      </c>
      <c r="N107" s="24" t="n">
        <f aca="false">INDEX(Data_Base!$F$5:$F$28,B107)/INDEX(Data_Base!$C$5:$C$28,B107)*(1+Assumptions!$C$38)</f>
        <v>2.7217374947895</v>
      </c>
      <c r="O107" s="9" t="n">
        <f aca="false">F107*N107</f>
        <v>9022.91185828656</v>
      </c>
      <c r="P107" s="25" t="n">
        <f aca="false">IF(A107&lt;=3,SUMIFS(Data_Q1!$D$5:$D$76,Data_Q1!$A$5:$A$76,A107,Data_Q1!$B$5:$B$76,C107,Data_Q1!$C$5:$C$76,D107),F107*INDEX(Reforecast!$D$6:$D$9,MATCH(D107,Reforecast!$A$6:$A$9,0)))</f>
        <v>3176.02423157499</v>
      </c>
      <c r="Q107" s="9" t="n">
        <f aca="false">IF(A107&lt;=3,SUMIFS(Data_Q1!$E$5:$E$76,Data_Q1!$A$5:$A$76,A107,Data_Q1!$B$5:$B$76,C107,Data_Q1!$C$5:$C$76,D107),P107*G107*(1+H107)*(1+I107))</f>
        <v>353612.933928898</v>
      </c>
      <c r="R107" s="9" t="n">
        <f aca="false">IF(A107&lt;=3,SUMIFS(Data_Q1!$F$5:$F$76,Data_Q1!$A$5:$A$76,A107,Data_Q1!$B$5:$B$76,C107,Data_Q1!$C$5:$C$76,D107),P107*L107*INDEX(Reforecast!$D$12:$D$17,MATCH(C107,Reforecast!$A$12:$A$17,0)))</f>
        <v>255365.61415202</v>
      </c>
      <c r="S107" s="9" t="n">
        <f aca="false">IF(A107&lt;=3,SUMIFS(Data_Q1!$G$5:$G$76,Data_Q1!$A$5:$A$76,A107,Data_Q1!$B$5:$B$76,C107,Data_Q1!$C$5:$C$76,D107),P107*N107)</f>
        <v>8644.30423543764</v>
      </c>
    </row>
    <row r="108" customFormat="false" ht="15" hidden="false" customHeight="false" outlineLevel="0" collapsed="false">
      <c r="A108" s="0" t="n">
        <f aca="false">MOD(ROW()-5,12)+1</f>
        <v>8</v>
      </c>
      <c r="B108" s="0" t="n">
        <f aca="false">INT((ROW()-5)/12)+1</f>
        <v>9</v>
      </c>
      <c r="C108" s="0" t="str">
        <f aca="false">INDEX(Data_Base!$A$5:$A$28,B108)</f>
        <v>Poultry</v>
      </c>
      <c r="D108" s="0" t="str">
        <f aca="false">INDEX(Data_Base!$B$5:$B$28,B108)</f>
        <v>Restaurants</v>
      </c>
      <c r="E108" s="26" t="n">
        <f aca="false">INDEX(Data_Base!$B$32:$M$37,MATCH(C108,Data_Base!$A$32:$A$37,0),A108)</f>
        <v>0.083415</v>
      </c>
      <c r="F108" s="25" t="n">
        <f aca="false">INDEX(Data_Base!$C$5:$C$28,B108)*(1+INDEX(Assumptions!$B$19:$B$22,MATCH(D108,Assumptions!$A$19:$A$22,0)))*E108</f>
        <v>3265.8373872</v>
      </c>
      <c r="G108" s="24" t="n">
        <f aca="false">INDEX(Data_Base!$D$5:$D$28,B108)/INDEX(Data_Base!$C$5:$C$28,B108)</f>
        <v>109.155132867862</v>
      </c>
      <c r="H108" s="27" t="n">
        <f aca="false">IF(A108&gt;=Assumptions!$C$37,INDEX(Assumptions!$B$10:$B$15,MATCH(C108,Assumptions!$A$10:$A$15,0)),0)</f>
        <v>0.02</v>
      </c>
      <c r="I108" s="27" t="n">
        <f aca="false">IF(AND(A108&gt;=Assumptions!$C$37,INDEX(Assumptions!$C$19:$C$22,MATCH(D108,Assumptions!$A$19:$A$22,0))=1),INDEX(Assumptions!$D$10:$D$15,MATCH(C108,Assumptions!$A$10:$A$15,0)),0)</f>
        <v>0</v>
      </c>
      <c r="J108" s="9" t="n">
        <f aca="false">F108*G108*(1+H108)</f>
        <v>363612.572203139</v>
      </c>
      <c r="K108" s="9" t="n">
        <f aca="false">J108*(1+I108)</f>
        <v>363612.572203139</v>
      </c>
      <c r="L108" s="24" t="n">
        <f aca="false">INDEX(Data_Base!$E$5:$E$28,B108)/INDEX(Data_Base!$C$5:$C$28,B108)*(1+INDEX(Assumptions!$C$10:$C$15,MATCH(C108,Assumptions!$A$10:$A$15,0)))</f>
        <v>80.4176324835869</v>
      </c>
      <c r="M108" s="9" t="n">
        <f aca="false">F108*L108</f>
        <v>262630.910755007</v>
      </c>
      <c r="N108" s="24" t="n">
        <f aca="false">INDEX(Data_Base!$F$5:$F$28,B108)/INDEX(Data_Base!$C$5:$C$28,B108)*(1+Assumptions!$C$38)</f>
        <v>2.7217374947895</v>
      </c>
      <c r="O108" s="9" t="n">
        <f aca="false">F108*N108</f>
        <v>8888.7520686276</v>
      </c>
      <c r="P108" s="25" t="n">
        <f aca="false">IF(A108&lt;=3,SUMIFS(Data_Q1!$D$5:$D$76,Data_Q1!$A$5:$A$76,A108,Data_Q1!$B$5:$B$76,C108,Data_Q1!$C$5:$C$76,D108),F108*INDEX(Reforecast!$D$6:$D$9,MATCH(D108,Reforecast!$A$6:$A$9,0)))</f>
        <v>3128.80059140737</v>
      </c>
      <c r="Q108" s="9" t="n">
        <f aca="false">IF(A108&lt;=3,SUMIFS(Data_Q1!$E$5:$E$76,Data_Q1!$A$5:$A$76,A108,Data_Q1!$B$5:$B$76,C108,Data_Q1!$C$5:$C$76,D108),P108*G108*(1+H108)*(1+I108))</f>
        <v>348355.137157558</v>
      </c>
      <c r="R108" s="9" t="n">
        <f aca="false">IF(A108&lt;=3,SUMIFS(Data_Q1!$F$5:$F$76,Data_Q1!$A$5:$A$76,A108,Data_Q1!$B$5:$B$76,C108,Data_Q1!$C$5:$C$76,D108),P108*L108*INDEX(Reforecast!$D$12:$D$17,MATCH(C108,Reforecast!$A$12:$A$17,0)))</f>
        <v>251568.636234154</v>
      </c>
      <c r="S108" s="9" t="n">
        <f aca="false">IF(A108&lt;=3,SUMIFS(Data_Q1!$G$5:$G$76,Data_Q1!$A$5:$A$76,A108,Data_Q1!$B$5:$B$76,C108,Data_Q1!$C$5:$C$76,D108),P108*N108)</f>
        <v>8515.77388335298</v>
      </c>
    </row>
    <row r="109" customFormat="false" ht="15" hidden="false" customHeight="false" outlineLevel="0" collapsed="false">
      <c r="A109" s="0" t="n">
        <f aca="false">MOD(ROW()-5,12)+1</f>
        <v>9</v>
      </c>
      <c r="B109" s="0" t="n">
        <f aca="false">INT((ROW()-5)/12)+1</f>
        <v>9</v>
      </c>
      <c r="C109" s="0" t="str">
        <f aca="false">INDEX(Data_Base!$A$5:$A$28,B109)</f>
        <v>Poultry</v>
      </c>
      <c r="D109" s="0" t="str">
        <f aca="false">INDEX(Data_Base!$B$5:$B$28,B109)</f>
        <v>Restaurants</v>
      </c>
      <c r="E109" s="26" t="n">
        <f aca="false">INDEX(Data_Base!$B$32:$M$37,MATCH(C109,Data_Base!$A$32:$A$37,0),A109)</f>
        <v>0.081374</v>
      </c>
      <c r="F109" s="25" t="n">
        <f aca="false">INDEX(Data_Base!$C$5:$C$28,B109)*(1+INDEX(Assumptions!$B$19:$B$22,MATCH(D109,Assumptions!$A$19:$A$22,0)))*E109</f>
        <v>3185.92880832</v>
      </c>
      <c r="G109" s="24" t="n">
        <f aca="false">INDEX(Data_Base!$D$5:$D$28,B109)/INDEX(Data_Base!$C$5:$C$28,B109)</f>
        <v>109.155132867862</v>
      </c>
      <c r="H109" s="27" t="n">
        <f aca="false">IF(A109&gt;=Assumptions!$C$37,INDEX(Assumptions!$B$10:$B$15,MATCH(C109,Assumptions!$A$10:$A$15,0)),0)</f>
        <v>0.02</v>
      </c>
      <c r="I109" s="27" t="n">
        <f aca="false">IF(AND(A109&gt;=Assumptions!$C$37,INDEX(Assumptions!$C$19:$C$22,MATCH(D109,Assumptions!$A$19:$A$22,0))=1),INDEX(Assumptions!$D$10:$D$15,MATCH(C109,Assumptions!$A$10:$A$15,0)),0)</f>
        <v>0</v>
      </c>
      <c r="J109" s="9" t="n">
        <f aca="false">F109*G109*(1+H109)</f>
        <v>354715.692027312</v>
      </c>
      <c r="K109" s="9" t="n">
        <f aca="false">J109*(1+I109)</f>
        <v>354715.692027312</v>
      </c>
      <c r="L109" s="24" t="n">
        <f aca="false">INDEX(Data_Base!$E$5:$E$28,B109)/INDEX(Data_Base!$C$5:$C$28,B109)*(1+INDEX(Assumptions!$C$10:$C$15,MATCH(C109,Assumptions!$A$10:$A$15,0)))</f>
        <v>80.4176324835869</v>
      </c>
      <c r="M109" s="9" t="n">
        <f aca="false">F109*L109</f>
        <v>256204.85202635</v>
      </c>
      <c r="N109" s="24" t="n">
        <f aca="false">INDEX(Data_Base!$F$5:$F$28,B109)/INDEX(Data_Base!$C$5:$C$28,B109)*(1+Assumptions!$C$38)</f>
        <v>2.7217374947895</v>
      </c>
      <c r="O109" s="9" t="n">
        <f aca="false">F109*N109</f>
        <v>8671.26189333456</v>
      </c>
      <c r="P109" s="25" t="n">
        <f aca="false">IF(A109&lt;=3,SUMIFS(Data_Q1!$D$5:$D$76,Data_Q1!$A$5:$A$76,A109,Data_Q1!$B$5:$B$76,C109,Data_Q1!$C$5:$C$76,D109),F109*INDEX(Reforecast!$D$6:$D$9,MATCH(D109,Reforecast!$A$6:$A$9,0)))</f>
        <v>3052.24503177106</v>
      </c>
      <c r="Q109" s="9" t="n">
        <f aca="false">IF(A109&lt;=3,SUMIFS(Data_Q1!$E$5:$E$76,Data_Q1!$A$5:$A$76,A109,Data_Q1!$B$5:$B$76,C109,Data_Q1!$C$5:$C$76,D109),P109*G109*(1+H109)*(1+I109))</f>
        <v>339831.576228006</v>
      </c>
      <c r="R109" s="9" t="n">
        <f aca="false">IF(A109&lt;=3,SUMIFS(Data_Q1!$F$5:$F$76,Data_Q1!$A$5:$A$76,A109,Data_Q1!$B$5:$B$76,C109,Data_Q1!$C$5:$C$76,D109),P109*L109*INDEX(Reforecast!$D$12:$D$17,MATCH(C109,Reforecast!$A$12:$A$17,0)))</f>
        <v>245413.249474531</v>
      </c>
      <c r="S109" s="9" t="n">
        <f aca="false">IF(A109&lt;=3,SUMIFS(Data_Q1!$G$5:$G$76,Data_Q1!$A$5:$A$76,A109,Data_Q1!$B$5:$B$76,C109,Data_Q1!$C$5:$C$76,D109),P109*N109)</f>
        <v>8307.40974625626</v>
      </c>
    </row>
    <row r="110" customFormat="false" ht="15" hidden="false" customHeight="false" outlineLevel="0" collapsed="false">
      <c r="A110" s="0" t="n">
        <f aca="false">MOD(ROW()-5,12)+1</f>
        <v>10</v>
      </c>
      <c r="B110" s="0" t="n">
        <f aca="false">INT((ROW()-5)/12)+1</f>
        <v>9</v>
      </c>
      <c r="C110" s="0" t="str">
        <f aca="false">INDEX(Data_Base!$A$5:$A$28,B110)</f>
        <v>Poultry</v>
      </c>
      <c r="D110" s="0" t="str">
        <f aca="false">INDEX(Data_Base!$B$5:$B$28,B110)</f>
        <v>Restaurants</v>
      </c>
      <c r="E110" s="26" t="n">
        <f aca="false">INDEX(Data_Base!$B$32:$M$37,MATCH(C110,Data_Base!$A$32:$A$37,0),A110)</f>
        <v>0.080908</v>
      </c>
      <c r="F110" s="25" t="n">
        <f aca="false">INDEX(Data_Base!$C$5:$C$28,B110)*(1+INDEX(Assumptions!$B$19:$B$22,MATCH(D110,Assumptions!$A$19:$A$22,0)))*E110</f>
        <v>3167.68412544</v>
      </c>
      <c r="G110" s="24" t="n">
        <f aca="false">INDEX(Data_Base!$D$5:$D$28,B110)/INDEX(Data_Base!$C$5:$C$28,B110)</f>
        <v>109.155132867862</v>
      </c>
      <c r="H110" s="27" t="n">
        <f aca="false">IF(A110&gt;=Assumptions!$C$37,INDEX(Assumptions!$B$10:$B$15,MATCH(C110,Assumptions!$A$10:$A$15,0)),0)</f>
        <v>0.02</v>
      </c>
      <c r="I110" s="27" t="n">
        <f aca="false">IF(AND(A110&gt;=Assumptions!$C$37,INDEX(Assumptions!$C$19:$C$22,MATCH(D110,Assumptions!$A$19:$A$22,0))=1),INDEX(Assumptions!$D$10:$D$15,MATCH(C110,Assumptions!$A$10:$A$15,0)),0)</f>
        <v>0</v>
      </c>
      <c r="J110" s="9" t="n">
        <f aca="false">F110*G110*(1+H110)</f>
        <v>352684.361227736</v>
      </c>
      <c r="K110" s="9" t="n">
        <f aca="false">J110*(1+I110)</f>
        <v>352684.361227736</v>
      </c>
      <c r="L110" s="24" t="n">
        <f aca="false">INDEX(Data_Base!$E$5:$E$28,B110)/INDEX(Data_Base!$C$5:$C$28,B110)*(1+INDEX(Assumptions!$C$10:$C$15,MATCH(C110,Assumptions!$A$10:$A$15,0)))</f>
        <v>80.4176324835869</v>
      </c>
      <c r="M110" s="9" t="n">
        <f aca="false">F110*L110</f>
        <v>254737.657823726</v>
      </c>
      <c r="N110" s="24" t="n">
        <f aca="false">INDEX(Data_Base!$F$5:$F$28,B110)/INDEX(Data_Base!$C$5:$C$28,B110)*(1+Assumptions!$C$38)</f>
        <v>2.7217374947895</v>
      </c>
      <c r="O110" s="9" t="n">
        <f aca="false">F110*N110</f>
        <v>8621.60465585952</v>
      </c>
      <c r="P110" s="25" t="n">
        <f aca="false">IF(A110&lt;=3,SUMIFS(Data_Q1!$D$5:$D$76,Data_Q1!$A$5:$A$76,A110,Data_Q1!$B$5:$B$76,C110,Data_Q1!$C$5:$C$76,D110),F110*INDEX(Reforecast!$D$6:$D$9,MATCH(D110,Reforecast!$A$6:$A$9,0)))</f>
        <v>3034.76590840481</v>
      </c>
      <c r="Q110" s="9" t="n">
        <f aca="false">IF(A110&lt;=3,SUMIFS(Data_Q1!$E$5:$E$76,Data_Q1!$A$5:$A$76,A110,Data_Q1!$B$5:$B$76,C110,Data_Q1!$C$5:$C$76,D110),P110*G110*(1+H110)*(1+I110))</f>
        <v>337885.48147388</v>
      </c>
      <c r="R110" s="9" t="n">
        <f aca="false">IF(A110&lt;=3,SUMIFS(Data_Q1!$F$5:$F$76,Data_Q1!$A$5:$A$76,A110,Data_Q1!$B$5:$B$76,C110,Data_Q1!$C$5:$C$76,D110),P110*L110*INDEX(Reforecast!$D$12:$D$17,MATCH(C110,Reforecast!$A$12:$A$17,0)))</f>
        <v>244007.854947346</v>
      </c>
      <c r="S110" s="9" t="n">
        <f aca="false">IF(A110&lt;=3,SUMIFS(Data_Q1!$G$5:$G$76,Data_Q1!$A$5:$A$76,A110,Data_Q1!$B$5:$B$76,C110,Data_Q1!$C$5:$C$76,D110),P110*N110)</f>
        <v>8259.83616081428</v>
      </c>
    </row>
    <row r="111" customFormat="false" ht="15" hidden="false" customHeight="false" outlineLevel="0" collapsed="false">
      <c r="A111" s="0" t="n">
        <f aca="false">MOD(ROW()-5,12)+1</f>
        <v>11</v>
      </c>
      <c r="B111" s="0" t="n">
        <f aca="false">INT((ROW()-5)/12)+1</f>
        <v>9</v>
      </c>
      <c r="C111" s="0" t="str">
        <f aca="false">INDEX(Data_Base!$A$5:$A$28,B111)</f>
        <v>Poultry</v>
      </c>
      <c r="D111" s="0" t="str">
        <f aca="false">INDEX(Data_Base!$B$5:$B$28,B111)</f>
        <v>Restaurants</v>
      </c>
      <c r="E111" s="26" t="n">
        <f aca="false">INDEX(Data_Base!$B$32:$M$37,MATCH(C111,Data_Base!$A$32:$A$37,0),A111)</f>
        <v>0.083077</v>
      </c>
      <c r="F111" s="25" t="n">
        <f aca="false">INDEX(Data_Base!$C$5:$C$28,B111)*(1+INDEX(Assumptions!$B$19:$B$22,MATCH(D111,Assumptions!$A$19:$A$22,0)))*E111</f>
        <v>3252.60411936</v>
      </c>
      <c r="G111" s="24" t="n">
        <f aca="false">INDEX(Data_Base!$D$5:$D$28,B111)/INDEX(Data_Base!$C$5:$C$28,B111)</f>
        <v>109.155132867862</v>
      </c>
      <c r="H111" s="27" t="n">
        <f aca="false">IF(A111&gt;=Assumptions!$C$37,INDEX(Assumptions!$B$10:$B$15,MATCH(C111,Assumptions!$A$10:$A$15,0)),0)</f>
        <v>0.02</v>
      </c>
      <c r="I111" s="27" t="n">
        <f aca="false">IF(AND(A111&gt;=Assumptions!$C$37,INDEX(Assumptions!$C$19:$C$22,MATCH(D111,Assumptions!$A$19:$A$22,0))=1),INDEX(Assumptions!$D$10:$D$15,MATCH(C111,Assumptions!$A$10:$A$15,0)),0)</f>
        <v>0</v>
      </c>
      <c r="J111" s="9" t="n">
        <f aca="false">F111*G111*(1+H111)</f>
        <v>362139.203511601</v>
      </c>
      <c r="K111" s="9" t="n">
        <f aca="false">J111*(1+I111)</f>
        <v>362139.203511601</v>
      </c>
      <c r="L111" s="24" t="n">
        <f aca="false">INDEX(Data_Base!$E$5:$E$28,B111)/INDEX(Data_Base!$C$5:$C$28,B111)*(1+INDEX(Assumptions!$C$10:$C$15,MATCH(C111,Assumptions!$A$10:$A$15,0)))</f>
        <v>80.4176324835869</v>
      </c>
      <c r="M111" s="9" t="n">
        <f aca="false">F111*L111</f>
        <v>261566.722685293</v>
      </c>
      <c r="N111" s="24" t="n">
        <f aca="false">INDEX(Data_Base!$F$5:$F$28,B111)/INDEX(Data_Base!$C$5:$C$28,B111)*(1+Assumptions!$C$38)</f>
        <v>2.7217374947895</v>
      </c>
      <c r="O111" s="9" t="n">
        <f aca="false">F111*N111</f>
        <v>8852.73458736888</v>
      </c>
      <c r="P111" s="25" t="n">
        <f aca="false">IF(A111&lt;=3,SUMIFS(Data_Q1!$D$5:$D$76,Data_Q1!$A$5:$A$76,A111,Data_Q1!$B$5:$B$76,C111,Data_Q1!$C$5:$C$76,D111),F111*INDEX(Reforecast!$D$6:$D$9,MATCH(D111,Reforecast!$A$6:$A$9,0)))</f>
        <v>3116.12260063957</v>
      </c>
      <c r="Q111" s="9" t="n">
        <f aca="false">IF(A111&lt;=3,SUMIFS(Data_Q1!$E$5:$E$76,Data_Q1!$A$5:$A$76,A111,Data_Q1!$B$5:$B$76,C111,Data_Q1!$C$5:$C$76,D111),P111*G111*(1+H111)*(1+I111))</f>
        <v>346943.592035466</v>
      </c>
      <c r="R111" s="9" t="n">
        <f aca="false">IF(A111&lt;=3,SUMIFS(Data_Q1!$F$5:$F$76,Data_Q1!$A$5:$A$76,A111,Data_Q1!$B$5:$B$76,C111,Data_Q1!$C$5:$C$76,D111),P111*L111*INDEX(Reforecast!$D$12:$D$17,MATCH(C111,Reforecast!$A$12:$A$17,0)))</f>
        <v>250549.272821732</v>
      </c>
      <c r="S111" s="9" t="n">
        <f aca="false">IF(A111&lt;=3,SUMIFS(Data_Q1!$G$5:$G$76,Data_Q1!$A$5:$A$76,A111,Data_Q1!$B$5:$B$76,C111,Data_Q1!$C$5:$C$76,D111),P111*N111)</f>
        <v>8481.26772052168</v>
      </c>
    </row>
    <row r="112" customFormat="false" ht="15" hidden="false" customHeight="false" outlineLevel="0" collapsed="false">
      <c r="A112" s="0" t="n">
        <f aca="false">MOD(ROW()-5,12)+1</f>
        <v>12</v>
      </c>
      <c r="B112" s="0" t="n">
        <f aca="false">INT((ROW()-5)/12)+1</f>
        <v>9</v>
      </c>
      <c r="C112" s="0" t="str">
        <f aca="false">INDEX(Data_Base!$A$5:$A$28,B112)</f>
        <v>Poultry</v>
      </c>
      <c r="D112" s="0" t="str">
        <f aca="false">INDEX(Data_Base!$B$5:$B$28,B112)</f>
        <v>Restaurants</v>
      </c>
      <c r="E112" s="26" t="n">
        <f aca="false">INDEX(Data_Base!$B$32:$M$37,MATCH(C112,Data_Base!$A$32:$A$37,0),A112)</f>
        <v>0.09062</v>
      </c>
      <c r="F112" s="25" t="n">
        <f aca="false">INDEX(Data_Base!$C$5:$C$28,B112)*(1+INDEX(Assumptions!$B$19:$B$22,MATCH(D112,Assumptions!$A$19:$A$22,0)))*E112</f>
        <v>3547.9252416</v>
      </c>
      <c r="G112" s="24" t="n">
        <f aca="false">INDEX(Data_Base!$D$5:$D$28,B112)/INDEX(Data_Base!$C$5:$C$28,B112)</f>
        <v>109.155132867862</v>
      </c>
      <c r="H112" s="27" t="n">
        <f aca="false">IF(A112&gt;=Assumptions!$C$37,INDEX(Assumptions!$B$10:$B$15,MATCH(C112,Assumptions!$A$10:$A$15,0)),0)</f>
        <v>0.02</v>
      </c>
      <c r="I112" s="27" t="n">
        <f aca="false">IF(AND(A112&gt;=Assumptions!$C$37,INDEX(Assumptions!$C$19:$C$22,MATCH(D112,Assumptions!$A$19:$A$22,0))=1),INDEX(Assumptions!$D$10:$D$15,MATCH(C112,Assumptions!$A$10:$A$15,0)),0)</f>
        <v>0</v>
      </c>
      <c r="J112" s="9" t="n">
        <f aca="false">F112*G112*(1+H112)</f>
        <v>395019.73617513</v>
      </c>
      <c r="K112" s="9" t="n">
        <f aca="false">J112*(1+I112)</f>
        <v>395019.73617513</v>
      </c>
      <c r="L112" s="24" t="n">
        <f aca="false">INDEX(Data_Base!$E$5:$E$28,B112)/INDEX(Data_Base!$C$5:$C$28,B112)*(1+INDEX(Assumptions!$C$10:$C$15,MATCH(C112,Assumptions!$A$10:$A$15,0)))</f>
        <v>80.4176324835869</v>
      </c>
      <c r="M112" s="9" t="n">
        <f aca="false">F112*L112</f>
        <v>285315.74815823</v>
      </c>
      <c r="N112" s="24" t="n">
        <f aca="false">INDEX(Data_Base!$F$5:$F$28,B112)/INDEX(Data_Base!$C$5:$C$28,B112)*(1+Assumptions!$C$38)</f>
        <v>2.7217374947895</v>
      </c>
      <c r="O112" s="9" t="n">
        <f aca="false">F112*N112</f>
        <v>9656.5211587728</v>
      </c>
      <c r="P112" s="25" t="n">
        <f aca="false">IF(A112&lt;=3,SUMIFS(Data_Q1!$D$5:$D$76,Data_Q1!$A$5:$A$76,A112,Data_Q1!$B$5:$B$76,C112,Data_Q1!$C$5:$C$76,D112),F112*INDEX(Reforecast!$D$6:$D$9,MATCH(D112,Reforecast!$A$6:$A$9,0)))</f>
        <v>3399.0518443126</v>
      </c>
      <c r="Q112" s="9" t="n">
        <f aca="false">IF(A112&lt;=3,SUMIFS(Data_Q1!$E$5:$E$76,Data_Q1!$A$5:$A$76,A112,Data_Q1!$B$5:$B$76,C112,Data_Q1!$C$5:$C$76,D112),P112*G112*(1+H112)*(1+I112))</f>
        <v>378444.434804506</v>
      </c>
      <c r="R112" s="9" t="n">
        <f aca="false">IF(A112&lt;=3,SUMIFS(Data_Q1!$F$5:$F$76,Data_Q1!$A$5:$A$76,A112,Data_Q1!$B$5:$B$76,C112,Data_Q1!$C$5:$C$76,D112),P112*L112*INDEX(Reforecast!$D$12:$D$17,MATCH(C112,Reforecast!$A$12:$A$17,0)))</f>
        <v>273297.965780004</v>
      </c>
      <c r="S112" s="9" t="n">
        <f aca="false">IF(A112&lt;=3,SUMIFS(Data_Q1!$G$5:$G$76,Data_Q1!$A$5:$A$76,A112,Data_Q1!$B$5:$B$76,C112,Data_Q1!$C$5:$C$76,D112),P112*N112)</f>
        <v>9251.326851399</v>
      </c>
    </row>
    <row r="113" customFormat="false" ht="15" hidden="false" customHeight="false" outlineLevel="0" collapsed="false">
      <c r="A113" s="0" t="n">
        <f aca="false">MOD(ROW()-5,12)+1</f>
        <v>1</v>
      </c>
      <c r="B113" s="0" t="n">
        <f aca="false">INT((ROW()-5)/12)+1</f>
        <v>10</v>
      </c>
      <c r="C113" s="0" t="str">
        <f aca="false">INDEX(Data_Base!$A$5:$A$28,B113)</f>
        <v>Poultry</v>
      </c>
      <c r="D113" s="0" t="str">
        <f aca="false">INDEX(Data_Base!$B$5:$B$28,B113)</f>
        <v>Grocery Retail</v>
      </c>
      <c r="E113" s="26" t="n">
        <f aca="false">INDEX(Data_Base!$B$32:$M$37,MATCH(C113,Data_Base!$A$32:$A$37,0),A113)</f>
        <v>0.081573</v>
      </c>
      <c r="F113" s="25" t="n">
        <f aca="false">INDEX(Data_Base!$C$5:$C$28,B113)*(1+INDEX(Assumptions!$B$19:$B$22,MATCH(D113,Assumptions!$A$19:$A$22,0)))*E113</f>
        <v>2596.21652943</v>
      </c>
      <c r="G113" s="24" t="n">
        <f aca="false">INDEX(Data_Base!$D$5:$D$28,B113)/INDEX(Data_Base!$C$5:$C$28,B113)</f>
        <v>94.9906962567211</v>
      </c>
      <c r="H113" s="27" t="n">
        <f aca="false">IF(A113&gt;=Assumptions!$C$37,INDEX(Assumptions!$B$10:$B$15,MATCH(C113,Assumptions!$A$10:$A$15,0)),0)</f>
        <v>0</v>
      </c>
      <c r="I113" s="27" t="n">
        <f aca="false">IF(AND(A113&gt;=Assumptions!$C$37,INDEX(Assumptions!$C$19:$C$22,MATCH(D113,Assumptions!$A$19:$A$22,0))=1),INDEX(Assumptions!$D$10:$D$15,MATCH(C113,Assumptions!$A$10:$A$15,0)),0)</f>
        <v>0</v>
      </c>
      <c r="J113" s="9" t="n">
        <f aca="false">F113*G113*(1+H113)</f>
        <v>246616.415763764</v>
      </c>
      <c r="K113" s="9" t="n">
        <f aca="false">J113*(1+I113)</f>
        <v>246616.415763764</v>
      </c>
      <c r="L113" s="24" t="n">
        <f aca="false">INDEX(Data_Base!$E$5:$E$28,B113)/INDEX(Data_Base!$C$5:$C$28,B113)*(1+INDEX(Assumptions!$C$10:$C$15,MATCH(C113,Assumptions!$A$10:$A$15,0)))</f>
        <v>80.5111284376177</v>
      </c>
      <c r="M113" s="9" t="n">
        <f aca="false">F113*L113</f>
        <v>209024.322452805</v>
      </c>
      <c r="N113" s="24" t="n">
        <f aca="false">INDEX(Data_Base!$F$5:$F$28,B113)/INDEX(Data_Base!$C$5:$C$28,B113)*(1+Assumptions!$C$38)</f>
        <v>2.71720845234426</v>
      </c>
      <c r="O113" s="9" t="n">
        <f aca="false">F113*N113</f>
        <v>7054.46149788307</v>
      </c>
      <c r="P113" s="25" t="n">
        <f aca="false">IF(A113&lt;=3,SUMIFS(Data_Q1!$D$5:$D$76,Data_Q1!$A$5:$A$76,A113,Data_Q1!$B$5:$B$76,C113,Data_Q1!$C$5:$C$76,D113),F113*INDEX(Reforecast!$D$6:$D$9,MATCH(D113,Reforecast!$A$6:$A$9,0)))</f>
        <v>2834.6</v>
      </c>
      <c r="Q113" s="9" t="n">
        <f aca="false">IF(A113&lt;=3,SUMIFS(Data_Q1!$E$5:$E$76,Data_Q1!$A$5:$A$76,A113,Data_Q1!$B$5:$B$76,C113,Data_Q1!$C$5:$C$76,D113),P113*G113*(1+H113)*(1+I113))</f>
        <v>269740.94</v>
      </c>
      <c r="R113" s="9" t="n">
        <f aca="false">IF(A113&lt;=3,SUMIFS(Data_Q1!$F$5:$F$76,Data_Q1!$A$5:$A$76,A113,Data_Q1!$B$5:$B$76,C113,Data_Q1!$C$5:$C$76,D113),P113*L113*INDEX(Reforecast!$D$12:$D$17,MATCH(C113,Reforecast!$A$12:$A$17,0)))</f>
        <v>229701.27</v>
      </c>
      <c r="S113" s="9" t="n">
        <f aca="false">IF(A113&lt;=3,SUMIFS(Data_Q1!$G$5:$G$76,Data_Q1!$A$5:$A$76,A113,Data_Q1!$B$5:$B$76,C113,Data_Q1!$C$5:$C$76,D113),P113*N113)</f>
        <v>7702.17</v>
      </c>
    </row>
    <row r="114" customFormat="false" ht="15" hidden="false" customHeight="false" outlineLevel="0" collapsed="false">
      <c r="A114" s="0" t="n">
        <f aca="false">MOD(ROW()-5,12)+1</f>
        <v>2</v>
      </c>
      <c r="B114" s="0" t="n">
        <f aca="false">INT((ROW()-5)/12)+1</f>
        <v>10</v>
      </c>
      <c r="C114" s="0" t="str">
        <f aca="false">INDEX(Data_Base!$A$5:$A$28,B114)</f>
        <v>Poultry</v>
      </c>
      <c r="D114" s="0" t="str">
        <f aca="false">INDEX(Data_Base!$B$5:$B$28,B114)</f>
        <v>Grocery Retail</v>
      </c>
      <c r="E114" s="26" t="n">
        <f aca="false">INDEX(Data_Base!$B$32:$M$37,MATCH(C114,Data_Base!$A$32:$A$37,0),A114)</f>
        <v>0.080162</v>
      </c>
      <c r="F114" s="25" t="n">
        <f aca="false">INDEX(Data_Base!$C$5:$C$28,B114)*(1+INDEX(Assumptions!$B$19:$B$22,MATCH(D114,Assumptions!$A$19:$A$22,0)))*E114</f>
        <v>2551.30875942</v>
      </c>
      <c r="G114" s="24" t="n">
        <f aca="false">INDEX(Data_Base!$D$5:$D$28,B114)/INDEX(Data_Base!$C$5:$C$28,B114)</f>
        <v>94.9906962567211</v>
      </c>
      <c r="H114" s="27" t="n">
        <f aca="false">IF(A114&gt;=Assumptions!$C$37,INDEX(Assumptions!$B$10:$B$15,MATCH(C114,Assumptions!$A$10:$A$15,0)),0)</f>
        <v>0.02</v>
      </c>
      <c r="I114" s="27" t="n">
        <f aca="false">IF(AND(A114&gt;=Assumptions!$C$37,INDEX(Assumptions!$C$19:$C$22,MATCH(D114,Assumptions!$A$19:$A$22,0))=1),INDEX(Assumptions!$D$10:$D$15,MATCH(C114,Assumptions!$A$10:$A$15,0)),0)</f>
        <v>0</v>
      </c>
      <c r="J114" s="9" t="n">
        <f aca="false">F114*G114*(1+H114)</f>
        <v>247197.607331641</v>
      </c>
      <c r="K114" s="9" t="n">
        <f aca="false">J114*(1+I114)</f>
        <v>247197.607331641</v>
      </c>
      <c r="L114" s="24" t="n">
        <f aca="false">INDEX(Data_Base!$E$5:$E$28,B114)/INDEX(Data_Base!$C$5:$C$28,B114)*(1+INDEX(Assumptions!$C$10:$C$15,MATCH(C114,Assumptions!$A$10:$A$15,0)))</f>
        <v>80.5111284376177</v>
      </c>
      <c r="M114" s="9" t="n">
        <f aca="false">F114*L114</f>
        <v>205408.747213683</v>
      </c>
      <c r="N114" s="24" t="n">
        <f aca="false">INDEX(Data_Base!$F$5:$F$28,B114)/INDEX(Data_Base!$C$5:$C$28,B114)*(1+Assumptions!$C$38)</f>
        <v>2.71720845234426</v>
      </c>
      <c r="O114" s="9" t="n">
        <f aca="false">F114*N114</f>
        <v>6932.43772563597</v>
      </c>
      <c r="P114" s="25" t="n">
        <f aca="false">IF(A114&lt;=3,SUMIFS(Data_Q1!$D$5:$D$76,Data_Q1!$A$5:$A$76,A114,Data_Q1!$B$5:$B$76,C114,Data_Q1!$C$5:$C$76,D114),F114*INDEX(Reforecast!$D$6:$D$9,MATCH(D114,Reforecast!$A$6:$A$9,0)))</f>
        <v>2708.6</v>
      </c>
      <c r="Q114" s="9" t="n">
        <f aca="false">IF(A114&lt;=3,SUMIFS(Data_Q1!$E$5:$E$76,Data_Q1!$A$5:$A$76,A114,Data_Q1!$B$5:$B$76,C114,Data_Q1!$C$5:$C$76,D114),P114*G114*(1+H114)*(1+I114))</f>
        <v>262255.84</v>
      </c>
      <c r="R114" s="9" t="n">
        <f aca="false">IF(A114&lt;=3,SUMIFS(Data_Q1!$F$5:$F$76,Data_Q1!$A$5:$A$76,A114,Data_Q1!$B$5:$B$76,C114,Data_Q1!$C$5:$C$76,D114),P114*L114*INDEX(Reforecast!$D$12:$D$17,MATCH(C114,Reforecast!$A$12:$A$17,0)))</f>
        <v>216221.72</v>
      </c>
      <c r="S114" s="9" t="n">
        <f aca="false">IF(A114&lt;=3,SUMIFS(Data_Q1!$G$5:$G$76,Data_Q1!$A$5:$A$76,A114,Data_Q1!$B$5:$B$76,C114,Data_Q1!$C$5:$C$76,D114),P114*N114)</f>
        <v>7359.92</v>
      </c>
    </row>
    <row r="115" customFormat="false" ht="15" hidden="false" customHeight="false" outlineLevel="0" collapsed="false">
      <c r="A115" s="0" t="n">
        <f aca="false">MOD(ROW()-5,12)+1</f>
        <v>3</v>
      </c>
      <c r="B115" s="0" t="n">
        <f aca="false">INT((ROW()-5)/12)+1</f>
        <v>10</v>
      </c>
      <c r="C115" s="0" t="str">
        <f aca="false">INDEX(Data_Base!$A$5:$A$28,B115)</f>
        <v>Poultry</v>
      </c>
      <c r="D115" s="0" t="str">
        <f aca="false">INDEX(Data_Base!$B$5:$B$28,B115)</f>
        <v>Grocery Retail</v>
      </c>
      <c r="E115" s="26" t="n">
        <f aca="false">INDEX(Data_Base!$B$32:$M$37,MATCH(C115,Data_Base!$A$32:$A$37,0),A115)</f>
        <v>0.082529</v>
      </c>
      <c r="F115" s="25" t="n">
        <f aca="false">INDEX(Data_Base!$C$5:$C$28,B115)*(1+INDEX(Assumptions!$B$19:$B$22,MATCH(D115,Assumptions!$A$19:$A$22,0)))*E115</f>
        <v>2626.64305539</v>
      </c>
      <c r="G115" s="24" t="n">
        <f aca="false">INDEX(Data_Base!$D$5:$D$28,B115)/INDEX(Data_Base!$C$5:$C$28,B115)</f>
        <v>94.9906962567211</v>
      </c>
      <c r="H115" s="27" t="n">
        <f aca="false">IF(A115&gt;=Assumptions!$C$37,INDEX(Assumptions!$B$10:$B$15,MATCH(C115,Assumptions!$A$10:$A$15,0)),0)</f>
        <v>0.02</v>
      </c>
      <c r="I115" s="27" t="n">
        <f aca="false">IF(AND(A115&gt;=Assumptions!$C$37,INDEX(Assumptions!$C$19:$C$22,MATCH(D115,Assumptions!$A$19:$A$22,0))=1),INDEX(Assumptions!$D$10:$D$15,MATCH(C115,Assumptions!$A$10:$A$15,0)),0)</f>
        <v>0</v>
      </c>
      <c r="J115" s="9" t="n">
        <f aca="false">F115*G115*(1+H115)</f>
        <v>254496.785702365</v>
      </c>
      <c r="K115" s="9" t="n">
        <f aca="false">J115*(1+I115)</f>
        <v>254496.785702365</v>
      </c>
      <c r="L115" s="24" t="n">
        <f aca="false">INDEX(Data_Base!$E$5:$E$28,B115)/INDEX(Data_Base!$C$5:$C$28,B115)*(1+INDEX(Assumptions!$C$10:$C$15,MATCH(C115,Assumptions!$A$10:$A$15,0)))</f>
        <v>80.5111284376177</v>
      </c>
      <c r="M115" s="9" t="n">
        <f aca="false">F115*L115</f>
        <v>211473.996392281</v>
      </c>
      <c r="N115" s="24" t="n">
        <f aca="false">INDEX(Data_Base!$F$5:$F$28,B115)/INDEX(Data_Base!$C$5:$C$28,B115)*(1+Assumptions!$C$38)</f>
        <v>2.71720845234426</v>
      </c>
      <c r="O115" s="9" t="n">
        <f aca="false">F115*N115</f>
        <v>7137.13671139706</v>
      </c>
      <c r="P115" s="25" t="n">
        <f aca="false">IF(A115&lt;=3,SUMIFS(Data_Q1!$D$5:$D$76,Data_Q1!$A$5:$A$76,A115,Data_Q1!$B$5:$B$76,C115,Data_Q1!$C$5:$C$76,D115),F115*INDEX(Reforecast!$D$6:$D$9,MATCH(D115,Reforecast!$A$6:$A$9,0)))</f>
        <v>2809.6</v>
      </c>
      <c r="Q115" s="9" t="n">
        <f aca="false">IF(A115&lt;=3,SUMIFS(Data_Q1!$E$5:$E$76,Data_Q1!$A$5:$A$76,A115,Data_Q1!$B$5:$B$76,C115,Data_Q1!$C$5:$C$76,D115),P115*G115*(1+H115)*(1+I115))</f>
        <v>272167.98</v>
      </c>
      <c r="R115" s="9" t="n">
        <f aca="false">IF(A115&lt;=3,SUMIFS(Data_Q1!$F$5:$F$76,Data_Q1!$A$5:$A$76,A115,Data_Q1!$B$5:$B$76,C115,Data_Q1!$C$5:$C$76,D115),P115*L115*INDEX(Reforecast!$D$12:$D$17,MATCH(C115,Reforecast!$A$12:$A$17,0)))</f>
        <v>227936.22</v>
      </c>
      <c r="S115" s="9" t="n">
        <f aca="false">IF(A115&lt;=3,SUMIFS(Data_Q1!$G$5:$G$76,Data_Q1!$A$5:$A$76,A115,Data_Q1!$B$5:$B$76,C115,Data_Q1!$C$5:$C$76,D115),P115*N115)</f>
        <v>7634.31</v>
      </c>
    </row>
    <row r="116" customFormat="false" ht="15" hidden="false" customHeight="false" outlineLevel="0" collapsed="false">
      <c r="A116" s="0" t="n">
        <f aca="false">MOD(ROW()-5,12)+1</f>
        <v>4</v>
      </c>
      <c r="B116" s="0" t="n">
        <f aca="false">INT((ROW()-5)/12)+1</f>
        <v>10</v>
      </c>
      <c r="C116" s="0" t="str">
        <f aca="false">INDEX(Data_Base!$A$5:$A$28,B116)</f>
        <v>Poultry</v>
      </c>
      <c r="D116" s="0" t="str">
        <f aca="false">INDEX(Data_Base!$B$5:$B$28,B116)</f>
        <v>Grocery Retail</v>
      </c>
      <c r="E116" s="26" t="n">
        <f aca="false">INDEX(Data_Base!$B$32:$M$37,MATCH(C116,Data_Base!$A$32:$A$37,0),A116)</f>
        <v>0.082529</v>
      </c>
      <c r="F116" s="25" t="n">
        <f aca="false">INDEX(Data_Base!$C$5:$C$28,B116)*(1+INDEX(Assumptions!$B$19:$B$22,MATCH(D116,Assumptions!$A$19:$A$22,0)))*E116</f>
        <v>2626.64305539</v>
      </c>
      <c r="G116" s="24" t="n">
        <f aca="false">INDEX(Data_Base!$D$5:$D$28,B116)/INDEX(Data_Base!$C$5:$C$28,B116)</f>
        <v>94.9906962567211</v>
      </c>
      <c r="H116" s="27" t="n">
        <f aca="false">IF(A116&gt;=Assumptions!$C$37,INDEX(Assumptions!$B$10:$B$15,MATCH(C116,Assumptions!$A$10:$A$15,0)),0)</f>
        <v>0.02</v>
      </c>
      <c r="I116" s="27" t="n">
        <f aca="false">IF(AND(A116&gt;=Assumptions!$C$37,INDEX(Assumptions!$C$19:$C$22,MATCH(D116,Assumptions!$A$19:$A$22,0))=1),INDEX(Assumptions!$D$10:$D$15,MATCH(C116,Assumptions!$A$10:$A$15,0)),0)</f>
        <v>0</v>
      </c>
      <c r="J116" s="9" t="n">
        <f aca="false">F116*G116*(1+H116)</f>
        <v>254496.785702365</v>
      </c>
      <c r="K116" s="9" t="n">
        <f aca="false">J116*(1+I116)</f>
        <v>254496.785702365</v>
      </c>
      <c r="L116" s="24" t="n">
        <f aca="false">INDEX(Data_Base!$E$5:$E$28,B116)/INDEX(Data_Base!$C$5:$C$28,B116)*(1+INDEX(Assumptions!$C$10:$C$15,MATCH(C116,Assumptions!$A$10:$A$15,0)))</f>
        <v>80.5111284376177</v>
      </c>
      <c r="M116" s="9" t="n">
        <f aca="false">F116*L116</f>
        <v>211473.996392281</v>
      </c>
      <c r="N116" s="24" t="n">
        <f aca="false">INDEX(Data_Base!$F$5:$F$28,B116)/INDEX(Data_Base!$C$5:$C$28,B116)*(1+Assumptions!$C$38)</f>
        <v>2.71720845234426</v>
      </c>
      <c r="O116" s="9" t="n">
        <f aca="false">F116*N116</f>
        <v>7137.13671139706</v>
      </c>
      <c r="P116" s="25" t="n">
        <f aca="false">IF(A116&lt;=3,SUMIFS(Data_Q1!$D$5:$D$76,Data_Q1!$A$5:$A$76,A116,Data_Q1!$B$5:$B$76,C116,Data_Q1!$C$5:$C$76,D116),F116*INDEX(Reforecast!$D$6:$D$9,MATCH(D116,Reforecast!$A$6:$A$9,0)))</f>
        <v>2783.96414530992</v>
      </c>
      <c r="Q116" s="9" t="n">
        <f aca="false">IF(A116&lt;=3,SUMIFS(Data_Q1!$E$5:$E$76,Data_Q1!$A$5:$A$76,A116,Data_Q1!$B$5:$B$76,C116,Data_Q1!$C$5:$C$76,D116),P116*G116*(1+H116)*(1+I116))</f>
        <v>269739.706367072</v>
      </c>
      <c r="R116" s="9" t="n">
        <f aca="false">IF(A116&lt;=3,SUMIFS(Data_Q1!$F$5:$F$76,Data_Q1!$A$5:$A$76,A116,Data_Q1!$B$5:$B$76,C116,Data_Q1!$C$5:$C$76,D116),P116*L116*INDEX(Reforecast!$D$12:$D$17,MATCH(C116,Reforecast!$A$12:$A$17,0)))</f>
        <v>224102.591452599</v>
      </c>
      <c r="S116" s="9" t="n">
        <f aca="false">IF(A116&lt;=3,SUMIFS(Data_Q1!$G$5:$G$76,Data_Q1!$A$5:$A$76,A116,Data_Q1!$B$5:$B$76,C116,Data_Q1!$C$5:$C$76,D116),P116*N116)</f>
        <v>7564.61090665948</v>
      </c>
    </row>
    <row r="117" customFormat="false" ht="15" hidden="false" customHeight="false" outlineLevel="0" collapsed="false">
      <c r="A117" s="0" t="n">
        <f aca="false">MOD(ROW()-5,12)+1</f>
        <v>5</v>
      </c>
      <c r="B117" s="0" t="n">
        <f aca="false">INT((ROW()-5)/12)+1</f>
        <v>10</v>
      </c>
      <c r="C117" s="0" t="str">
        <f aca="false">INDEX(Data_Base!$A$5:$A$28,B117)</f>
        <v>Poultry</v>
      </c>
      <c r="D117" s="0" t="str">
        <f aca="false">INDEX(Data_Base!$B$5:$B$28,B117)</f>
        <v>Grocery Retail</v>
      </c>
      <c r="E117" s="26" t="n">
        <f aca="false">INDEX(Data_Base!$B$32:$M$37,MATCH(C117,Data_Base!$A$32:$A$37,0),A117)</f>
        <v>0.08394</v>
      </c>
      <c r="F117" s="25" t="n">
        <f aca="false">INDEX(Data_Base!$C$5:$C$28,B117)*(1+INDEX(Assumptions!$B$19:$B$22,MATCH(D117,Assumptions!$A$19:$A$22,0)))*E117</f>
        <v>2671.5508254</v>
      </c>
      <c r="G117" s="24" t="n">
        <f aca="false">INDEX(Data_Base!$D$5:$D$28,B117)/INDEX(Data_Base!$C$5:$C$28,B117)</f>
        <v>94.9906962567211</v>
      </c>
      <c r="H117" s="27" t="n">
        <f aca="false">IF(A117&gt;=Assumptions!$C$37,INDEX(Assumptions!$B$10:$B$15,MATCH(C117,Assumptions!$A$10:$A$15,0)),0)</f>
        <v>0.02</v>
      </c>
      <c r="I117" s="27" t="n">
        <f aca="false">IF(AND(A117&gt;=Assumptions!$C$37,INDEX(Assumptions!$C$19:$C$22,MATCH(D117,Assumptions!$A$19:$A$22,0))=1),INDEX(Assumptions!$D$10:$D$15,MATCH(C117,Assumptions!$A$10:$A$15,0)),0)</f>
        <v>0</v>
      </c>
      <c r="J117" s="9" t="n">
        <f aca="false">F117*G117*(1+H117)</f>
        <v>258847.922449763</v>
      </c>
      <c r="K117" s="9" t="n">
        <f aca="false">J117*(1+I117)</f>
        <v>258847.922449763</v>
      </c>
      <c r="L117" s="24" t="n">
        <f aca="false">INDEX(Data_Base!$E$5:$E$28,B117)/INDEX(Data_Base!$C$5:$C$28,B117)*(1+INDEX(Assumptions!$C$10:$C$15,MATCH(C117,Assumptions!$A$10:$A$15,0)))</f>
        <v>80.5111284376177</v>
      </c>
      <c r="M117" s="9" t="n">
        <f aca="false">F117*L117</f>
        <v>215089.571631403</v>
      </c>
      <c r="N117" s="24" t="n">
        <f aca="false">INDEX(Data_Base!$F$5:$F$28,B117)/INDEX(Data_Base!$C$5:$C$28,B117)*(1+Assumptions!$C$38)</f>
        <v>2.71720845234426</v>
      </c>
      <c r="O117" s="9" t="n">
        <f aca="false">F117*N117</f>
        <v>7259.16048364416</v>
      </c>
      <c r="P117" s="25" t="n">
        <f aca="false">IF(A117&lt;=3,SUMIFS(Data_Q1!$D$5:$D$76,Data_Q1!$A$5:$A$76,A117,Data_Q1!$B$5:$B$76,C117,Data_Q1!$C$5:$C$76,D117),F117*INDEX(Reforecast!$D$6:$D$9,MATCH(D117,Reforecast!$A$6:$A$9,0)))</f>
        <v>2831.56163721013</v>
      </c>
      <c r="Q117" s="9" t="n">
        <f aca="false">IF(A117&lt;=3,SUMIFS(Data_Q1!$E$5:$E$76,Data_Q1!$A$5:$A$76,A117,Data_Q1!$B$5:$B$76,C117,Data_Q1!$C$5:$C$76,D117),P117*G117*(1+H117)*(1+I117))</f>
        <v>274351.45164066</v>
      </c>
      <c r="R117" s="9" t="n">
        <f aca="false">IF(A117&lt;=3,SUMIFS(Data_Q1!$F$5:$F$76,Data_Q1!$A$5:$A$76,A117,Data_Q1!$B$5:$B$76,C117,Data_Q1!$C$5:$C$76,D117),P117*L117*INDEX(Reforecast!$D$12:$D$17,MATCH(C117,Reforecast!$A$12:$A$17,0)))</f>
        <v>227934.078039612</v>
      </c>
      <c r="S117" s="9" t="n">
        <f aca="false">IF(A117&lt;=3,SUMIFS(Data_Q1!$G$5:$G$76,Data_Q1!$A$5:$A$76,A117,Data_Q1!$B$5:$B$76,C117,Data_Q1!$C$5:$C$76,D117),P117*N117)</f>
        <v>7693.94321396112</v>
      </c>
    </row>
    <row r="118" customFormat="false" ht="15" hidden="false" customHeight="false" outlineLevel="0" collapsed="false">
      <c r="A118" s="0" t="n">
        <f aca="false">MOD(ROW()-5,12)+1</f>
        <v>6</v>
      </c>
      <c r="B118" s="0" t="n">
        <f aca="false">INT((ROW()-5)/12)+1</f>
        <v>10</v>
      </c>
      <c r="C118" s="0" t="str">
        <f aca="false">INDEX(Data_Base!$A$5:$A$28,B118)</f>
        <v>Poultry</v>
      </c>
      <c r="D118" s="0" t="str">
        <f aca="false">INDEX(Data_Base!$B$5:$B$28,B118)</f>
        <v>Grocery Retail</v>
      </c>
      <c r="E118" s="26" t="n">
        <f aca="false">INDEX(Data_Base!$B$32:$M$37,MATCH(C118,Data_Base!$A$32:$A$37,0),A118)</f>
        <v>0.085199</v>
      </c>
      <c r="F118" s="25" t="n">
        <f aca="false">INDEX(Data_Base!$C$5:$C$28,B118)*(1+INDEX(Assumptions!$B$19:$B$22,MATCH(D118,Assumptions!$A$19:$A$22,0)))*E118</f>
        <v>2711.62090509</v>
      </c>
      <c r="G118" s="24" t="n">
        <f aca="false">INDEX(Data_Base!$D$5:$D$28,B118)/INDEX(Data_Base!$C$5:$C$28,B118)</f>
        <v>94.9906962567211</v>
      </c>
      <c r="H118" s="27" t="n">
        <f aca="false">IF(A118&gt;=Assumptions!$C$37,INDEX(Assumptions!$B$10:$B$15,MATCH(C118,Assumptions!$A$10:$A$15,0)),0)</f>
        <v>0.02</v>
      </c>
      <c r="I118" s="27" t="n">
        <f aca="false">IF(AND(A118&gt;=Assumptions!$C$37,INDEX(Assumptions!$C$19:$C$22,MATCH(D118,Assumptions!$A$19:$A$22,0))=1),INDEX(Assumptions!$D$10:$D$15,MATCH(C118,Assumptions!$A$10:$A$15,0)),0)</f>
        <v>0</v>
      </c>
      <c r="J118" s="9" t="n">
        <f aca="false">F118*G118*(1+H118)</f>
        <v>262730.332913955</v>
      </c>
      <c r="K118" s="9" t="n">
        <f aca="false">J118*(1+I118)</f>
        <v>262730.332913955</v>
      </c>
      <c r="L118" s="24" t="n">
        <f aca="false">INDEX(Data_Base!$E$5:$E$28,B118)/INDEX(Data_Base!$C$5:$C$28,B118)*(1+INDEX(Assumptions!$C$10:$C$15,MATCH(C118,Assumptions!$A$10:$A$15,0)))</f>
        <v>80.5111284376177</v>
      </c>
      <c r="M118" s="9" t="n">
        <f aca="false">F118*L118</f>
        <v>218315.65896383</v>
      </c>
      <c r="N118" s="24" t="n">
        <f aca="false">INDEX(Data_Base!$F$5:$F$28,B118)/INDEX(Data_Base!$C$5:$C$28,B118)*(1+Assumptions!$C$38)</f>
        <v>2.71720845234426</v>
      </c>
      <c r="O118" s="9" t="n">
        <f aca="false">F118*N118</f>
        <v>7368.03924286394</v>
      </c>
      <c r="P118" s="25" t="n">
        <f aca="false">IF(A118&lt;=3,SUMIFS(Data_Q1!$D$5:$D$76,Data_Q1!$A$5:$A$76,A118,Data_Q1!$B$5:$B$76,C118,Data_Q1!$C$5:$C$76,D118),F118*INDEX(Reforecast!$D$6:$D$9,MATCH(D118,Reforecast!$A$6:$A$9,0)))</f>
        <v>2874.03168845206</v>
      </c>
      <c r="Q118" s="9" t="n">
        <f aca="false">IF(A118&lt;=3,SUMIFS(Data_Q1!$E$5:$E$76,Data_Q1!$A$5:$A$76,A118,Data_Q1!$B$5:$B$76,C118,Data_Q1!$C$5:$C$76,D118),P118*G118*(1+H118)*(1+I118))</f>
        <v>278466.39657294</v>
      </c>
      <c r="R118" s="9" t="n">
        <f aca="false">IF(A118&lt;=3,SUMIFS(Data_Q1!$F$5:$F$76,Data_Q1!$A$5:$A$76,A118,Data_Q1!$B$5:$B$76,C118,Data_Q1!$C$5:$C$76,D118),P118*L118*INDEX(Reforecast!$D$12:$D$17,MATCH(C118,Reforecast!$A$12:$A$17,0)))</f>
        <v>231352.817666153</v>
      </c>
      <c r="S118" s="9" t="n">
        <f aca="false">IF(A118&lt;=3,SUMIFS(Data_Q1!$G$5:$G$76,Data_Q1!$A$5:$A$76,A118,Data_Q1!$B$5:$B$76,C118,Data_Q1!$C$5:$C$76,D118),P118*N118)</f>
        <v>7809.34319616718</v>
      </c>
    </row>
    <row r="119" customFormat="false" ht="15" hidden="false" customHeight="false" outlineLevel="0" collapsed="false">
      <c r="A119" s="0" t="n">
        <f aca="false">MOD(ROW()-5,12)+1</f>
        <v>7</v>
      </c>
      <c r="B119" s="0" t="n">
        <f aca="false">INT((ROW()-5)/12)+1</f>
        <v>10</v>
      </c>
      <c r="C119" s="0" t="str">
        <f aca="false">INDEX(Data_Base!$A$5:$A$28,B119)</f>
        <v>Poultry</v>
      </c>
      <c r="D119" s="0" t="str">
        <f aca="false">INDEX(Data_Base!$B$5:$B$28,B119)</f>
        <v>Grocery Retail</v>
      </c>
      <c r="E119" s="26" t="n">
        <f aca="false">INDEX(Data_Base!$B$32:$M$37,MATCH(C119,Data_Base!$A$32:$A$37,0),A119)</f>
        <v>0.084674</v>
      </c>
      <c r="F119" s="25" t="n">
        <f aca="false">INDEX(Data_Base!$C$5:$C$28,B119)*(1+INDEX(Assumptions!$B$19:$B$22,MATCH(D119,Assumptions!$A$19:$A$22,0)))*E119</f>
        <v>2694.91177734</v>
      </c>
      <c r="G119" s="24" t="n">
        <f aca="false">INDEX(Data_Base!$D$5:$D$28,B119)/INDEX(Data_Base!$C$5:$C$28,B119)</f>
        <v>94.9906962567211</v>
      </c>
      <c r="H119" s="27" t="n">
        <f aca="false">IF(A119&gt;=Assumptions!$C$37,INDEX(Assumptions!$B$10:$B$15,MATCH(C119,Assumptions!$A$10:$A$15,0)),0)</f>
        <v>0.02</v>
      </c>
      <c r="I119" s="27" t="n">
        <f aca="false">IF(AND(A119&gt;=Assumptions!$C$37,INDEX(Assumptions!$C$19:$C$22,MATCH(D119,Assumptions!$A$19:$A$22,0))=1),INDEX(Assumptions!$D$10:$D$15,MATCH(C119,Assumptions!$A$10:$A$15,0)),0)</f>
        <v>0</v>
      </c>
      <c r="J119" s="9" t="n">
        <f aca="false">F119*G119*(1+H119)</f>
        <v>261111.377001564</v>
      </c>
      <c r="K119" s="9" t="n">
        <f aca="false">J119*(1+I119)</f>
        <v>261111.377001564</v>
      </c>
      <c r="L119" s="24" t="n">
        <f aca="false">INDEX(Data_Base!$E$5:$E$28,B119)/INDEX(Data_Base!$C$5:$C$28,B119)*(1+INDEX(Assumptions!$C$10:$C$15,MATCH(C119,Assumptions!$A$10:$A$15,0)))</f>
        <v>80.5111284376177</v>
      </c>
      <c r="M119" s="9" t="n">
        <f aca="false">F119*L119</f>
        <v>216970.388233469</v>
      </c>
      <c r="N119" s="24" t="n">
        <f aca="false">INDEX(Data_Base!$F$5:$F$28,B119)/INDEX(Data_Base!$C$5:$C$28,B119)*(1+Assumptions!$C$38)</f>
        <v>2.71720845234426</v>
      </c>
      <c r="O119" s="9" t="n">
        <f aca="false">F119*N119</f>
        <v>7322.63705971034</v>
      </c>
      <c r="P119" s="25" t="n">
        <f aca="false">IF(A119&lt;=3,SUMIFS(Data_Q1!$D$5:$D$76,Data_Q1!$A$5:$A$76,A119,Data_Q1!$B$5:$B$76,C119,Data_Q1!$C$5:$C$76,D119),F119*INDEX(Reforecast!$D$6:$D$9,MATCH(D119,Reforecast!$A$6:$A$9,0)))</f>
        <v>2856.32177828366</v>
      </c>
      <c r="Q119" s="9" t="n">
        <f aca="false">IF(A119&lt;=3,SUMIFS(Data_Q1!$E$5:$E$76,Data_Q1!$A$5:$A$76,A119,Data_Q1!$B$5:$B$76,C119,Data_Q1!$C$5:$C$76,D119),P119*G119*(1+H119)*(1+I119))</f>
        <v>276750.474341449</v>
      </c>
      <c r="R119" s="9" t="n">
        <f aca="false">IF(A119&lt;=3,SUMIFS(Data_Q1!$F$5:$F$76,Data_Q1!$A$5:$A$76,A119,Data_Q1!$B$5:$B$76,C119,Data_Q1!$C$5:$C$76,D119),P119*L119*INDEX(Reforecast!$D$12:$D$17,MATCH(C119,Reforecast!$A$12:$A$17,0)))</f>
        <v>229927.211388207</v>
      </c>
      <c r="S119" s="9" t="n">
        <f aca="false">IF(A119&lt;=3,SUMIFS(Data_Q1!$G$5:$G$76,Data_Q1!$A$5:$A$76,A119,Data_Q1!$B$5:$B$76,C119,Data_Q1!$C$5:$C$76,D119),P119*N119)</f>
        <v>7761.22167856735</v>
      </c>
    </row>
    <row r="120" customFormat="false" ht="15" hidden="false" customHeight="false" outlineLevel="0" collapsed="false">
      <c r="A120" s="0" t="n">
        <f aca="false">MOD(ROW()-5,12)+1</f>
        <v>8</v>
      </c>
      <c r="B120" s="0" t="n">
        <f aca="false">INT((ROW()-5)/12)+1</f>
        <v>10</v>
      </c>
      <c r="C120" s="0" t="str">
        <f aca="false">INDEX(Data_Base!$A$5:$A$28,B120)</f>
        <v>Poultry</v>
      </c>
      <c r="D120" s="0" t="str">
        <f aca="false">INDEX(Data_Base!$B$5:$B$28,B120)</f>
        <v>Grocery Retail</v>
      </c>
      <c r="E120" s="26" t="n">
        <f aca="false">INDEX(Data_Base!$B$32:$M$37,MATCH(C120,Data_Base!$A$32:$A$37,0),A120)</f>
        <v>0.083415</v>
      </c>
      <c r="F120" s="25" t="n">
        <f aca="false">INDEX(Data_Base!$C$5:$C$28,B120)*(1+INDEX(Assumptions!$B$19:$B$22,MATCH(D120,Assumptions!$A$19:$A$22,0)))*E120</f>
        <v>2654.84169765</v>
      </c>
      <c r="G120" s="24" t="n">
        <f aca="false">INDEX(Data_Base!$D$5:$D$28,B120)/INDEX(Data_Base!$C$5:$C$28,B120)</f>
        <v>94.9906962567211</v>
      </c>
      <c r="H120" s="27" t="n">
        <f aca="false">IF(A120&gt;=Assumptions!$C$37,INDEX(Assumptions!$B$10:$B$15,MATCH(C120,Assumptions!$A$10:$A$15,0)),0)</f>
        <v>0.02</v>
      </c>
      <c r="I120" s="27" t="n">
        <f aca="false">IF(AND(A120&gt;=Assumptions!$C$37,INDEX(Assumptions!$C$19:$C$22,MATCH(D120,Assumptions!$A$19:$A$22,0))=1),INDEX(Assumptions!$D$10:$D$15,MATCH(C120,Assumptions!$A$10:$A$15,0)),0)</f>
        <v>0</v>
      </c>
      <c r="J120" s="9" t="n">
        <f aca="false">F120*G120*(1+H120)</f>
        <v>257228.966537372</v>
      </c>
      <c r="K120" s="9" t="n">
        <f aca="false">J120*(1+I120)</f>
        <v>257228.966537372</v>
      </c>
      <c r="L120" s="24" t="n">
        <f aca="false">INDEX(Data_Base!$E$5:$E$28,B120)/INDEX(Data_Base!$C$5:$C$28,B120)*(1+INDEX(Assumptions!$C$10:$C$15,MATCH(C120,Assumptions!$A$10:$A$15,0)))</f>
        <v>80.5111284376177</v>
      </c>
      <c r="M120" s="9" t="n">
        <f aca="false">F120*L120</f>
        <v>213744.300901042</v>
      </c>
      <c r="N120" s="24" t="n">
        <f aca="false">INDEX(Data_Base!$F$5:$F$28,B120)/INDEX(Data_Base!$C$5:$C$28,B120)*(1+Assumptions!$C$38)</f>
        <v>2.71720845234426</v>
      </c>
      <c r="O120" s="9" t="n">
        <f aca="false">F120*N120</f>
        <v>7213.75830049056</v>
      </c>
      <c r="P120" s="25" t="n">
        <f aca="false">IF(A120&lt;=3,SUMIFS(Data_Q1!$D$5:$D$76,Data_Q1!$A$5:$A$76,A120,Data_Q1!$B$5:$B$76,C120,Data_Q1!$C$5:$C$76,D120),F120*INDEX(Reforecast!$D$6:$D$9,MATCH(D120,Reforecast!$A$6:$A$9,0)))</f>
        <v>2813.85172704173</v>
      </c>
      <c r="Q120" s="9" t="n">
        <f aca="false">IF(A120&lt;=3,SUMIFS(Data_Q1!$E$5:$E$76,Data_Q1!$A$5:$A$76,A120,Data_Q1!$B$5:$B$76,C120,Data_Q1!$C$5:$C$76,D120),P120*G120*(1+H120)*(1+I120))</f>
        <v>272635.529409169</v>
      </c>
      <c r="R120" s="9" t="n">
        <f aca="false">IF(A120&lt;=3,SUMIFS(Data_Q1!$F$5:$F$76,Data_Q1!$A$5:$A$76,A120,Data_Q1!$B$5:$B$76,C120,Data_Q1!$C$5:$C$76,D120),P120*L120*INDEX(Reforecast!$D$12:$D$17,MATCH(C120,Reforecast!$A$12:$A$17,0)))</f>
        <v>226508.471761666</v>
      </c>
      <c r="S120" s="9" t="n">
        <f aca="false">IF(A120&lt;=3,SUMIFS(Data_Q1!$G$5:$G$76,Data_Q1!$A$5:$A$76,A120,Data_Q1!$B$5:$B$76,C120,Data_Q1!$C$5:$C$76,D120),P120*N120)</f>
        <v>7645.82169636129</v>
      </c>
    </row>
    <row r="121" customFormat="false" ht="15" hidden="false" customHeight="false" outlineLevel="0" collapsed="false">
      <c r="A121" s="0" t="n">
        <f aca="false">MOD(ROW()-5,12)+1</f>
        <v>9</v>
      </c>
      <c r="B121" s="0" t="n">
        <f aca="false">INT((ROW()-5)/12)+1</f>
        <v>10</v>
      </c>
      <c r="C121" s="0" t="str">
        <f aca="false">INDEX(Data_Base!$A$5:$A$28,B121)</f>
        <v>Poultry</v>
      </c>
      <c r="D121" s="0" t="str">
        <f aca="false">INDEX(Data_Base!$B$5:$B$28,B121)</f>
        <v>Grocery Retail</v>
      </c>
      <c r="E121" s="26" t="n">
        <f aca="false">INDEX(Data_Base!$B$32:$M$37,MATCH(C121,Data_Base!$A$32:$A$37,0),A121)</f>
        <v>0.081374</v>
      </c>
      <c r="F121" s="25" t="n">
        <f aca="false">INDEX(Data_Base!$C$5:$C$28,B121)*(1+INDEX(Assumptions!$B$19:$B$22,MATCH(D121,Assumptions!$A$19:$A$22,0)))*E121</f>
        <v>2589.88297434</v>
      </c>
      <c r="G121" s="24" t="n">
        <f aca="false">INDEX(Data_Base!$D$5:$D$28,B121)/INDEX(Data_Base!$C$5:$C$28,B121)</f>
        <v>94.9906962567211</v>
      </c>
      <c r="H121" s="27" t="n">
        <f aca="false">IF(A121&gt;=Assumptions!$C$37,INDEX(Assumptions!$B$10:$B$15,MATCH(C121,Assumptions!$A$10:$A$15,0)),0)</f>
        <v>0.02</v>
      </c>
      <c r="I121" s="27" t="n">
        <f aca="false">IF(AND(A121&gt;=Assumptions!$C$37,INDEX(Assumptions!$C$19:$C$22,MATCH(D121,Assumptions!$A$19:$A$22,0))=1),INDEX(Assumptions!$D$10:$D$15,MATCH(C121,Assumptions!$A$10:$A$15,0)),0)</f>
        <v>0</v>
      </c>
      <c r="J121" s="9" t="n">
        <f aca="false">F121*G121*(1+H121)</f>
        <v>250935.082695104</v>
      </c>
      <c r="K121" s="9" t="n">
        <f aca="false">J121*(1+I121)</f>
        <v>250935.082695104</v>
      </c>
      <c r="L121" s="24" t="n">
        <f aca="false">INDEX(Data_Base!$E$5:$E$28,B121)/INDEX(Data_Base!$C$5:$C$28,B121)*(1+INDEX(Assumptions!$C$10:$C$15,MATCH(C121,Assumptions!$A$10:$A$15,0)))</f>
        <v>80.5111284376177</v>
      </c>
      <c r="M121" s="9" t="n">
        <f aca="false">F121*L121</f>
        <v>208514.400785487</v>
      </c>
      <c r="N121" s="24" t="n">
        <f aca="false">INDEX(Data_Base!$F$5:$F$28,B121)/INDEX(Data_Base!$C$5:$C$28,B121)*(1+Assumptions!$C$38)</f>
        <v>2.71720845234426</v>
      </c>
      <c r="O121" s="9" t="n">
        <f aca="false">F121*N121</f>
        <v>7037.25190845914</v>
      </c>
      <c r="P121" s="25" t="n">
        <f aca="false">IF(A121&lt;=3,SUMIFS(Data_Q1!$D$5:$D$76,Data_Q1!$A$5:$A$76,A121,Data_Q1!$B$5:$B$76,C121,Data_Q1!$C$5:$C$76,D121),F121*INDEX(Reforecast!$D$6:$D$9,MATCH(D121,Reforecast!$A$6:$A$9,0)))</f>
        <v>2745.00234293945</v>
      </c>
      <c r="Q121" s="9" t="n">
        <f aca="false">IF(A121&lt;=3,SUMIFS(Data_Q1!$E$5:$E$76,Data_Q1!$A$5:$A$76,A121,Data_Q1!$B$5:$B$76,C121,Data_Q1!$C$5:$C$76,D121),P121*G121*(1+H121)*(1+I121))</f>
        <v>265964.677457792</v>
      </c>
      <c r="R121" s="9" t="n">
        <f aca="false">IF(A121&lt;=3,SUMIFS(Data_Q1!$F$5:$F$76,Data_Q1!$A$5:$A$76,A121,Data_Q1!$B$5:$B$76,C121,Data_Q1!$C$5:$C$76,D121),P121*L121*INDEX(Reforecast!$D$12:$D$17,MATCH(C121,Reforecast!$A$12:$A$17,0)))</f>
        <v>220966.257641118</v>
      </c>
      <c r="S121" s="9" t="n">
        <f aca="false">IF(A121&lt;=3,SUMIFS(Data_Q1!$G$5:$G$76,Data_Q1!$A$5:$A$76,A121,Data_Q1!$B$5:$B$76,C121,Data_Q1!$C$5:$C$76,D121),P121*N121)</f>
        <v>7458.74356793986</v>
      </c>
    </row>
    <row r="122" customFormat="false" ht="15" hidden="false" customHeight="false" outlineLevel="0" collapsed="false">
      <c r="A122" s="0" t="n">
        <f aca="false">MOD(ROW()-5,12)+1</f>
        <v>10</v>
      </c>
      <c r="B122" s="0" t="n">
        <f aca="false">INT((ROW()-5)/12)+1</f>
        <v>10</v>
      </c>
      <c r="C122" s="0" t="str">
        <f aca="false">INDEX(Data_Base!$A$5:$A$28,B122)</f>
        <v>Poultry</v>
      </c>
      <c r="D122" s="0" t="str">
        <f aca="false">INDEX(Data_Base!$B$5:$B$28,B122)</f>
        <v>Grocery Retail</v>
      </c>
      <c r="E122" s="26" t="n">
        <f aca="false">INDEX(Data_Base!$B$32:$M$37,MATCH(C122,Data_Base!$A$32:$A$37,0),A122)</f>
        <v>0.080908</v>
      </c>
      <c r="F122" s="25" t="n">
        <f aca="false">INDEX(Data_Base!$C$5:$C$28,B122)*(1+INDEX(Assumptions!$B$19:$B$22,MATCH(D122,Assumptions!$A$19:$A$22,0)))*E122</f>
        <v>2575.05163428</v>
      </c>
      <c r="G122" s="24" t="n">
        <f aca="false">INDEX(Data_Base!$D$5:$D$28,B122)/INDEX(Data_Base!$C$5:$C$28,B122)</f>
        <v>94.9906962567211</v>
      </c>
      <c r="H122" s="27" t="n">
        <f aca="false">IF(A122&gt;=Assumptions!$C$37,INDEX(Assumptions!$B$10:$B$15,MATCH(C122,Assumptions!$A$10:$A$15,0)),0)</f>
        <v>0.02</v>
      </c>
      <c r="I122" s="27" t="n">
        <f aca="false">IF(AND(A122&gt;=Assumptions!$C$37,INDEX(Assumptions!$C$19:$C$22,MATCH(D122,Assumptions!$A$19:$A$22,0))=1),INDEX(Assumptions!$D$10:$D$15,MATCH(C122,Assumptions!$A$10:$A$15,0)),0)</f>
        <v>0</v>
      </c>
      <c r="J122" s="9" t="n">
        <f aca="false">F122*G122*(1+H122)</f>
        <v>249498.06659001</v>
      </c>
      <c r="K122" s="9" t="n">
        <f aca="false">J122*(1+I122)</f>
        <v>249498.06659001</v>
      </c>
      <c r="L122" s="24" t="n">
        <f aca="false">INDEX(Data_Base!$E$5:$E$28,B122)/INDEX(Data_Base!$C$5:$C$28,B122)*(1+INDEX(Assumptions!$C$10:$C$15,MATCH(C122,Assumptions!$A$10:$A$15,0)))</f>
        <v>80.5111284376177</v>
      </c>
      <c r="M122" s="9" t="n">
        <f aca="false">F122*L122</f>
        <v>207320.312861015</v>
      </c>
      <c r="N122" s="24" t="n">
        <f aca="false">INDEX(Data_Base!$F$5:$F$28,B122)/INDEX(Data_Base!$C$5:$C$28,B122)*(1+Assumptions!$C$38)</f>
        <v>2.71720845234426</v>
      </c>
      <c r="O122" s="9" t="n">
        <f aca="false">F122*N122</f>
        <v>6996.95206588851</v>
      </c>
      <c r="P122" s="25" t="n">
        <f aca="false">IF(A122&lt;=3,SUMIFS(Data_Q1!$D$5:$D$76,Data_Q1!$A$5:$A$76,A122,Data_Q1!$B$5:$B$76,C122,Data_Q1!$C$5:$C$76,D122),F122*INDEX(Reforecast!$D$6:$D$9,MATCH(D122,Reforecast!$A$6:$A$9,0)))</f>
        <v>2729.28268934236</v>
      </c>
      <c r="Q122" s="9" t="n">
        <f aca="false">IF(A122&lt;=3,SUMIFS(Data_Q1!$E$5:$E$76,Data_Q1!$A$5:$A$76,A122,Data_Q1!$B$5:$B$76,C122,Data_Q1!$C$5:$C$76,D122),P122*G122*(1+H122)*(1+I122))</f>
        <v>264441.592200888</v>
      </c>
      <c r="R122" s="9" t="n">
        <f aca="false">IF(A122&lt;=3,SUMIFS(Data_Q1!$F$5:$F$76,Data_Q1!$A$5:$A$76,A122,Data_Q1!$B$5:$B$76,C122,Data_Q1!$C$5:$C$76,D122),P122*L122*INDEX(Reforecast!$D$12:$D$17,MATCH(C122,Reforecast!$A$12:$A$17,0)))</f>
        <v>219700.862354407</v>
      </c>
      <c r="S122" s="9" t="n">
        <f aca="false">IF(A122&lt;=3,SUMIFS(Data_Q1!$G$5:$G$76,Data_Q1!$A$5:$A$76,A122,Data_Q1!$B$5:$B$76,C122,Data_Q1!$C$5:$C$76,D122),P122*N122)</f>
        <v>7416.02999231792</v>
      </c>
    </row>
    <row r="123" customFormat="false" ht="15" hidden="false" customHeight="false" outlineLevel="0" collapsed="false">
      <c r="A123" s="0" t="n">
        <f aca="false">MOD(ROW()-5,12)+1</f>
        <v>11</v>
      </c>
      <c r="B123" s="0" t="n">
        <f aca="false">INT((ROW()-5)/12)+1</f>
        <v>10</v>
      </c>
      <c r="C123" s="0" t="str">
        <f aca="false">INDEX(Data_Base!$A$5:$A$28,B123)</f>
        <v>Poultry</v>
      </c>
      <c r="D123" s="0" t="str">
        <f aca="false">INDEX(Data_Base!$B$5:$B$28,B123)</f>
        <v>Grocery Retail</v>
      </c>
      <c r="E123" s="26" t="n">
        <f aca="false">INDEX(Data_Base!$B$32:$M$37,MATCH(C123,Data_Base!$A$32:$A$37,0),A123)</f>
        <v>0.083077</v>
      </c>
      <c r="F123" s="25" t="n">
        <f aca="false">INDEX(Data_Base!$C$5:$C$28,B123)*(1+INDEX(Assumptions!$B$19:$B$22,MATCH(D123,Assumptions!$A$19:$A$22,0)))*E123</f>
        <v>2644.08420207</v>
      </c>
      <c r="G123" s="24" t="n">
        <f aca="false">INDEX(Data_Base!$D$5:$D$28,B123)/INDEX(Data_Base!$C$5:$C$28,B123)</f>
        <v>94.9906962567211</v>
      </c>
      <c r="H123" s="27" t="n">
        <f aca="false">IF(A123&gt;=Assumptions!$C$37,INDEX(Assumptions!$B$10:$B$15,MATCH(C123,Assumptions!$A$10:$A$15,0)),0)</f>
        <v>0.02</v>
      </c>
      <c r="I123" s="27" t="n">
        <f aca="false">IF(AND(A123&gt;=Assumptions!$C$37,INDEX(Assumptions!$C$19:$C$22,MATCH(D123,Assumptions!$A$19:$A$22,0))=1),INDEX(Assumptions!$D$10:$D$15,MATCH(C123,Assumptions!$A$10:$A$15,0)),0)</f>
        <v>0</v>
      </c>
      <c r="J123" s="9" t="n">
        <f aca="false">F123*G123*(1+H123)</f>
        <v>256186.667302347</v>
      </c>
      <c r="K123" s="9" t="n">
        <f aca="false">J123*(1+I123)</f>
        <v>256186.667302347</v>
      </c>
      <c r="L123" s="24" t="n">
        <f aca="false">INDEX(Data_Base!$E$5:$E$28,B123)/INDEX(Data_Base!$C$5:$C$28,B123)*(1+INDEX(Assumptions!$C$10:$C$15,MATCH(C123,Assumptions!$A$10:$A$15,0)))</f>
        <v>80.5111284376177</v>
      </c>
      <c r="M123" s="9" t="n">
        <f aca="false">F123*L123</f>
        <v>212878.202792734</v>
      </c>
      <c r="N123" s="24" t="n">
        <f aca="false">INDEX(Data_Base!$F$5:$F$28,B123)/INDEX(Data_Base!$C$5:$C$28,B123)*(1+Assumptions!$C$38)</f>
        <v>2.71720845234426</v>
      </c>
      <c r="O123" s="9" t="n">
        <f aca="false">F123*N123</f>
        <v>7184.52794257453</v>
      </c>
      <c r="P123" s="25" t="n">
        <f aca="false">IF(A123&lt;=3,SUMIFS(Data_Q1!$D$5:$D$76,Data_Q1!$A$5:$A$76,A123,Data_Q1!$B$5:$B$76,C123,Data_Q1!$C$5:$C$76,D123),F123*INDEX(Reforecast!$D$6:$D$9,MATCH(D123,Reforecast!$A$6:$A$9,0)))</f>
        <v>2802.44991820951</v>
      </c>
      <c r="Q123" s="9" t="n">
        <f aca="false">IF(A123&lt;=3,SUMIFS(Data_Q1!$E$5:$E$76,Data_Q1!$A$5:$A$76,A123,Data_Q1!$B$5:$B$76,C123,Data_Q1!$C$5:$C$76,D123),P123*G123*(1+H123)*(1+I123))</f>
        <v>271530.802334419</v>
      </c>
      <c r="R123" s="9" t="n">
        <f aca="false">IF(A123&lt;=3,SUMIFS(Data_Q1!$F$5:$F$76,Data_Q1!$A$5:$A$76,A123,Data_Q1!$B$5:$B$76,C123,Data_Q1!$C$5:$C$76,D123),P123*L123*INDEX(Reforecast!$D$12:$D$17,MATCH(C123,Reforecast!$A$12:$A$17,0)))</f>
        <v>225590.652862722</v>
      </c>
      <c r="S123" s="9" t="n">
        <f aca="false">IF(A123&lt;=3,SUMIFS(Data_Q1!$G$5:$G$76,Data_Q1!$A$5:$A$76,A123,Data_Q1!$B$5:$B$76,C123,Data_Q1!$C$5:$C$76,D123),P123*N123)</f>
        <v>7614.84060503035</v>
      </c>
    </row>
    <row r="124" customFormat="false" ht="15" hidden="false" customHeight="false" outlineLevel="0" collapsed="false">
      <c r="A124" s="0" t="n">
        <f aca="false">MOD(ROW()-5,12)+1</f>
        <v>12</v>
      </c>
      <c r="B124" s="0" t="n">
        <f aca="false">INT((ROW()-5)/12)+1</f>
        <v>10</v>
      </c>
      <c r="C124" s="0" t="str">
        <f aca="false">INDEX(Data_Base!$A$5:$A$28,B124)</f>
        <v>Poultry</v>
      </c>
      <c r="D124" s="0" t="str">
        <f aca="false">INDEX(Data_Base!$B$5:$B$28,B124)</f>
        <v>Grocery Retail</v>
      </c>
      <c r="E124" s="26" t="n">
        <f aca="false">INDEX(Data_Base!$B$32:$M$37,MATCH(C124,Data_Base!$A$32:$A$37,0),A124)</f>
        <v>0.09062</v>
      </c>
      <c r="F124" s="25" t="n">
        <f aca="false">INDEX(Data_Base!$C$5:$C$28,B124)*(1+INDEX(Assumptions!$B$19:$B$22,MATCH(D124,Assumptions!$A$19:$A$22,0)))*E124</f>
        <v>2884.1545842</v>
      </c>
      <c r="G124" s="24" t="n">
        <f aca="false">INDEX(Data_Base!$D$5:$D$28,B124)/INDEX(Data_Base!$C$5:$C$28,B124)</f>
        <v>94.9906962567211</v>
      </c>
      <c r="H124" s="27" t="n">
        <f aca="false">IF(A124&gt;=Assumptions!$C$37,INDEX(Assumptions!$B$10:$B$15,MATCH(C124,Assumptions!$A$10:$A$15,0)),0)</f>
        <v>0.02</v>
      </c>
      <c r="I124" s="27" t="n">
        <f aca="false">IF(AND(A124&gt;=Assumptions!$C$37,INDEX(Assumptions!$C$19:$C$22,MATCH(D124,Assumptions!$A$19:$A$22,0))=1),INDEX(Assumptions!$D$10:$D$15,MATCH(C124,Assumptions!$A$10:$A$15,0)),0)</f>
        <v>0</v>
      </c>
      <c r="J124" s="9" t="n">
        <f aca="false">F124*G124*(1+H124)</f>
        <v>279447.209106475</v>
      </c>
      <c r="K124" s="9" t="n">
        <f aca="false">J124*(1+I124)</f>
        <v>279447.209106475</v>
      </c>
      <c r="L124" s="24" t="n">
        <f aca="false">INDEX(Data_Base!$E$5:$E$28,B124)/INDEX(Data_Base!$C$5:$C$28,B124)*(1+INDEX(Assumptions!$C$10:$C$15,MATCH(C124,Assumptions!$A$10:$A$15,0)))</f>
        <v>80.5111284376177</v>
      </c>
      <c r="M124" s="9" t="n">
        <f aca="false">F124*L124</f>
        <v>232206.54016247</v>
      </c>
      <c r="N124" s="24" t="n">
        <f aca="false">INDEX(Data_Base!$F$5:$F$28,B124)/INDEX(Data_Base!$C$5:$C$28,B124)*(1+Assumptions!$C$38)</f>
        <v>2.71720845234426</v>
      </c>
      <c r="O124" s="9" t="n">
        <f aca="false">F124*N124</f>
        <v>7836.84921405568</v>
      </c>
      <c r="P124" s="25" t="n">
        <f aca="false">IF(A124&lt;=3,SUMIFS(Data_Q1!$D$5:$D$76,Data_Q1!$A$5:$A$76,A124,Data_Q1!$B$5:$B$76,C124,Data_Q1!$C$5:$C$76,D124),F124*INDEX(Reforecast!$D$6:$D$9,MATCH(D124,Reforecast!$A$6:$A$9,0)))</f>
        <v>3056.8991608766</v>
      </c>
      <c r="Q124" s="9" t="n">
        <f aca="false">IF(A124&lt;=3,SUMIFS(Data_Q1!$E$5:$E$76,Data_Q1!$A$5:$A$76,A124,Data_Q1!$B$5:$B$76,C124,Data_Q1!$C$5:$C$76,D124),P124*G124*(1+H124)*(1+I124))</f>
        <v>296184.51927182</v>
      </c>
      <c r="R124" s="9" t="n">
        <f aca="false">IF(A124&lt;=3,SUMIFS(Data_Q1!$F$5:$F$76,Data_Q1!$A$5:$A$76,A124,Data_Q1!$B$5:$B$76,C124,Data_Q1!$C$5:$C$76,D124),P124*L124*INDEX(Reforecast!$D$12:$D$17,MATCH(C124,Reforecast!$A$12:$A$17,0)))</f>
        <v>246073.220776146</v>
      </c>
      <c r="S124" s="9" t="n">
        <f aca="false">IF(A124&lt;=3,SUMIFS(Data_Q1!$G$5:$G$76,Data_Q1!$A$5:$A$76,A124,Data_Q1!$B$5:$B$76,C124,Data_Q1!$C$5:$C$76,D124),P124*N124)</f>
        <v>8306.23223789798</v>
      </c>
    </row>
    <row r="125" customFormat="false" ht="15" hidden="false" customHeight="false" outlineLevel="0" collapsed="false">
      <c r="A125" s="0" t="n">
        <f aca="false">MOD(ROW()-5,12)+1</f>
        <v>1</v>
      </c>
      <c r="B125" s="0" t="n">
        <f aca="false">INT((ROW()-5)/12)+1</f>
        <v>11</v>
      </c>
      <c r="C125" s="0" t="str">
        <f aca="false">INDEX(Data_Base!$A$5:$A$28,B125)</f>
        <v>Poultry</v>
      </c>
      <c r="D125" s="0" t="str">
        <f aca="false">INDEX(Data_Base!$B$5:$B$28,B125)</f>
        <v>Hotels &amp; Institutions</v>
      </c>
      <c r="E125" s="26" t="n">
        <f aca="false">INDEX(Data_Base!$B$32:$M$37,MATCH(C125,Data_Base!$A$32:$A$37,0),A125)</f>
        <v>0.081573</v>
      </c>
      <c r="F125" s="25" t="n">
        <f aca="false">INDEX(Data_Base!$C$5:$C$28,B125)*(1+INDEX(Assumptions!$B$19:$B$22,MATCH(D125,Assumptions!$A$19:$A$22,0)))*E125</f>
        <v>1293.00872862</v>
      </c>
      <c r="G125" s="24" t="n">
        <f aca="false">INDEX(Data_Base!$D$5:$D$28,B125)/INDEX(Data_Base!$C$5:$C$28,B125)</f>
        <v>103.52361348286</v>
      </c>
      <c r="H125" s="27" t="n">
        <f aca="false">IF(A125&gt;=Assumptions!$C$37,INDEX(Assumptions!$B$10:$B$15,MATCH(C125,Assumptions!$A$10:$A$15,0)),0)</f>
        <v>0</v>
      </c>
      <c r="I125" s="27" t="n">
        <f aca="false">IF(AND(A125&gt;=Assumptions!$C$37,INDEX(Assumptions!$C$19:$C$22,MATCH(D125,Assumptions!$A$19:$A$22,0))=1),INDEX(Assumptions!$D$10:$D$15,MATCH(C125,Assumptions!$A$10:$A$15,0)),0)</f>
        <v>0</v>
      </c>
      <c r="J125" s="9" t="n">
        <f aca="false">F125*G125*(1+H125)</f>
        <v>133856.935851621</v>
      </c>
      <c r="K125" s="9" t="n">
        <f aca="false">J125*(1+I125)</f>
        <v>133856.935851621</v>
      </c>
      <c r="L125" s="24" t="n">
        <f aca="false">INDEX(Data_Base!$E$5:$E$28,B125)/INDEX(Data_Base!$C$5:$C$28,B125)*(1+INDEX(Assumptions!$C$10:$C$15,MATCH(C125,Assumptions!$A$10:$A$15,0)))</f>
        <v>80.3005324964955</v>
      </c>
      <c r="M125" s="9" t="n">
        <f aca="false">F125*L125</f>
        <v>103829.289430803</v>
      </c>
      <c r="N125" s="24" t="n">
        <f aca="false">INDEX(Data_Base!$F$5:$F$28,B125)/INDEX(Data_Base!$C$5:$C$28,B125)*(1+Assumptions!$C$38)</f>
        <v>2.71353918695043</v>
      </c>
      <c r="O125" s="9" t="n">
        <f aca="false">F125*N125</f>
        <v>3508.62985417932</v>
      </c>
      <c r="P125" s="25" t="n">
        <f aca="false">IF(A125&lt;=3,SUMIFS(Data_Q1!$D$5:$D$76,Data_Q1!$A$5:$A$76,A125,Data_Q1!$B$5:$B$76,C125,Data_Q1!$C$5:$C$76,D125),F125*INDEX(Reforecast!$D$6:$D$9,MATCH(D125,Reforecast!$A$6:$A$9,0)))</f>
        <v>1307.9</v>
      </c>
      <c r="Q125" s="9" t="n">
        <f aca="false">IF(A125&lt;=3,SUMIFS(Data_Q1!$E$5:$E$76,Data_Q1!$A$5:$A$76,A125,Data_Q1!$B$5:$B$76,C125,Data_Q1!$C$5:$C$76,D125),P125*G125*(1+H125)*(1+I125))</f>
        <v>135279.81</v>
      </c>
      <c r="R125" s="9" t="n">
        <f aca="false">IF(A125&lt;=3,SUMIFS(Data_Q1!$F$5:$F$76,Data_Q1!$A$5:$A$76,A125,Data_Q1!$B$5:$B$76,C125,Data_Q1!$C$5:$C$76,D125),P125*L125*INDEX(Reforecast!$D$12:$D$17,MATCH(C125,Reforecast!$A$12:$A$17,0)))</f>
        <v>104469.81</v>
      </c>
      <c r="S125" s="9" t="n">
        <f aca="false">IF(A125&lt;=3,SUMIFS(Data_Q1!$G$5:$G$76,Data_Q1!$A$5:$A$76,A125,Data_Q1!$B$5:$B$76,C125,Data_Q1!$C$5:$C$76,D125),P125*N125)</f>
        <v>3548.96</v>
      </c>
    </row>
    <row r="126" customFormat="false" ht="15" hidden="false" customHeight="false" outlineLevel="0" collapsed="false">
      <c r="A126" s="0" t="n">
        <f aca="false">MOD(ROW()-5,12)+1</f>
        <v>2</v>
      </c>
      <c r="B126" s="0" t="n">
        <f aca="false">INT((ROW()-5)/12)+1</f>
        <v>11</v>
      </c>
      <c r="C126" s="0" t="str">
        <f aca="false">INDEX(Data_Base!$A$5:$A$28,B126)</f>
        <v>Poultry</v>
      </c>
      <c r="D126" s="0" t="str">
        <f aca="false">INDEX(Data_Base!$B$5:$B$28,B126)</f>
        <v>Hotels &amp; Institutions</v>
      </c>
      <c r="E126" s="26" t="n">
        <f aca="false">INDEX(Data_Base!$B$32:$M$37,MATCH(C126,Data_Base!$A$32:$A$37,0),A126)</f>
        <v>0.080162</v>
      </c>
      <c r="F126" s="25" t="n">
        <f aca="false">INDEX(Data_Base!$C$5:$C$28,B126)*(1+INDEX(Assumptions!$B$19:$B$22,MATCH(D126,Assumptions!$A$19:$A$22,0)))*E126</f>
        <v>1270.64305228</v>
      </c>
      <c r="G126" s="24" t="n">
        <f aca="false">INDEX(Data_Base!$D$5:$D$28,B126)/INDEX(Data_Base!$C$5:$C$28,B126)</f>
        <v>103.52361348286</v>
      </c>
      <c r="H126" s="27" t="n">
        <f aca="false">IF(A126&gt;=Assumptions!$C$37,INDEX(Assumptions!$B$10:$B$15,MATCH(C126,Assumptions!$A$10:$A$15,0)),0)</f>
        <v>0.02</v>
      </c>
      <c r="I126" s="27" t="n">
        <f aca="false">IF(AND(A126&gt;=Assumptions!$C$37,INDEX(Assumptions!$C$19:$C$22,MATCH(D126,Assumptions!$A$19:$A$22,0))=1),INDEX(Assumptions!$D$10:$D$15,MATCH(C126,Assumptions!$A$10:$A$15,0)),0)</f>
        <v>0</v>
      </c>
      <c r="J126" s="9" t="n">
        <f aca="false">F126*G126*(1+H126)</f>
        <v>134172.391423294</v>
      </c>
      <c r="K126" s="9" t="n">
        <f aca="false">J126*(1+I126)</f>
        <v>134172.391423294</v>
      </c>
      <c r="L126" s="24" t="n">
        <f aca="false">INDEX(Data_Base!$E$5:$E$28,B126)/INDEX(Data_Base!$C$5:$C$28,B126)*(1+INDEX(Assumptions!$C$10:$C$15,MATCH(C126,Assumptions!$A$10:$A$15,0)))</f>
        <v>80.3005324964955</v>
      </c>
      <c r="M126" s="9" t="n">
        <f aca="false">F126*L126</f>
        <v>102033.313711056</v>
      </c>
      <c r="N126" s="24" t="n">
        <f aca="false">INDEX(Data_Base!$F$5:$F$28,B126)/INDEX(Data_Base!$C$5:$C$28,B126)*(1+Assumptions!$C$38)</f>
        <v>2.71353918695043</v>
      </c>
      <c r="O126" s="9" t="n">
        <f aca="false">F126*N126</f>
        <v>3447.93971498808</v>
      </c>
      <c r="P126" s="25" t="n">
        <f aca="false">IF(A126&lt;=3,SUMIFS(Data_Q1!$D$5:$D$76,Data_Q1!$A$5:$A$76,A126,Data_Q1!$B$5:$B$76,C126,Data_Q1!$C$5:$C$76,D126),F126*INDEX(Reforecast!$D$6:$D$9,MATCH(D126,Reforecast!$A$6:$A$9,0)))</f>
        <v>1257.4</v>
      </c>
      <c r="Q126" s="9" t="n">
        <f aca="false">IF(A126&lt;=3,SUMIFS(Data_Q1!$E$5:$E$76,Data_Q1!$A$5:$A$76,A126,Data_Q1!$B$5:$B$76,C126,Data_Q1!$C$5:$C$76,D126),P126*G126*(1+H126)*(1+I126))</f>
        <v>132608.16</v>
      </c>
      <c r="R126" s="9" t="n">
        <f aca="false">IF(A126&lt;=3,SUMIFS(Data_Q1!$F$5:$F$76,Data_Q1!$A$5:$A$76,A126,Data_Q1!$B$5:$B$76,C126,Data_Q1!$C$5:$C$76,D126),P126*L126*INDEX(Reforecast!$D$12:$D$17,MATCH(C126,Reforecast!$A$12:$A$17,0)))</f>
        <v>100860.84</v>
      </c>
      <c r="S126" s="9" t="n">
        <f aca="false">IF(A126&lt;=3,SUMIFS(Data_Q1!$G$5:$G$76,Data_Q1!$A$5:$A$76,A126,Data_Q1!$B$5:$B$76,C126,Data_Q1!$C$5:$C$76,D126),P126*N126)</f>
        <v>3412.13</v>
      </c>
    </row>
    <row r="127" customFormat="false" ht="15" hidden="false" customHeight="false" outlineLevel="0" collapsed="false">
      <c r="A127" s="0" t="n">
        <f aca="false">MOD(ROW()-5,12)+1</f>
        <v>3</v>
      </c>
      <c r="B127" s="0" t="n">
        <f aca="false">INT((ROW()-5)/12)+1</f>
        <v>11</v>
      </c>
      <c r="C127" s="0" t="str">
        <f aca="false">INDEX(Data_Base!$A$5:$A$28,B127)</f>
        <v>Poultry</v>
      </c>
      <c r="D127" s="0" t="str">
        <f aca="false">INDEX(Data_Base!$B$5:$B$28,B127)</f>
        <v>Hotels &amp; Institutions</v>
      </c>
      <c r="E127" s="26" t="n">
        <f aca="false">INDEX(Data_Base!$B$32:$M$37,MATCH(C127,Data_Base!$A$32:$A$37,0),A127)</f>
        <v>0.082529</v>
      </c>
      <c r="F127" s="25" t="n">
        <f aca="false">INDEX(Data_Base!$C$5:$C$28,B127)*(1+INDEX(Assumptions!$B$19:$B$22,MATCH(D127,Assumptions!$A$19:$A$22,0)))*E127</f>
        <v>1308.16222726</v>
      </c>
      <c r="G127" s="24" t="n">
        <f aca="false">INDEX(Data_Base!$D$5:$D$28,B127)/INDEX(Data_Base!$C$5:$C$28,B127)</f>
        <v>103.52361348286</v>
      </c>
      <c r="H127" s="27" t="n">
        <f aca="false">IF(A127&gt;=Assumptions!$C$37,INDEX(Assumptions!$B$10:$B$15,MATCH(C127,Assumptions!$A$10:$A$15,0)),0)</f>
        <v>0.02</v>
      </c>
      <c r="I127" s="27" t="n">
        <f aca="false">IF(AND(A127&gt;=Assumptions!$C$37,INDEX(Assumptions!$C$19:$C$22,MATCH(D127,Assumptions!$A$19:$A$22,0))=1),INDEX(Assumptions!$D$10:$D$15,MATCH(C127,Assumptions!$A$10:$A$15,0)),0)</f>
        <v>0</v>
      </c>
      <c r="J127" s="9" t="n">
        <f aca="false">F127*G127*(1+H127)</f>
        <v>138134.194403496</v>
      </c>
      <c r="K127" s="9" t="n">
        <f aca="false">J127*(1+I127)</f>
        <v>138134.194403496</v>
      </c>
      <c r="L127" s="24" t="n">
        <f aca="false">INDEX(Data_Base!$E$5:$E$28,B127)/INDEX(Data_Base!$C$5:$C$28,B127)*(1+INDEX(Assumptions!$C$10:$C$15,MATCH(C127,Assumptions!$A$10:$A$15,0)))</f>
        <v>80.3005324964955</v>
      </c>
      <c r="M127" s="9" t="n">
        <f aca="false">F127*L127</f>
        <v>105046.12344078</v>
      </c>
      <c r="N127" s="24" t="n">
        <f aca="false">INDEX(Data_Base!$F$5:$F$28,B127)/INDEX(Data_Base!$C$5:$C$28,B127)*(1+Assumptions!$C$38)</f>
        <v>2.71353918695043</v>
      </c>
      <c r="O127" s="9" t="n">
        <f aca="false">F127*N127</f>
        <v>3549.74946655836</v>
      </c>
      <c r="P127" s="25" t="n">
        <f aca="false">IF(A127&lt;=3,SUMIFS(Data_Q1!$D$5:$D$76,Data_Q1!$A$5:$A$76,A127,Data_Q1!$B$5:$B$76,C127,Data_Q1!$C$5:$C$76,D127),F127*INDEX(Reforecast!$D$6:$D$9,MATCH(D127,Reforecast!$A$6:$A$9,0)))</f>
        <v>1312.8</v>
      </c>
      <c r="Q127" s="9" t="n">
        <f aca="false">IF(A127&lt;=3,SUMIFS(Data_Q1!$E$5:$E$76,Data_Q1!$A$5:$A$76,A127,Data_Q1!$B$5:$B$76,C127,Data_Q1!$C$5:$C$76,D127),P127*G127*(1+H127)*(1+I127))</f>
        <v>138280.69</v>
      </c>
      <c r="R127" s="9" t="n">
        <f aca="false">IF(A127&lt;=3,SUMIFS(Data_Q1!$F$5:$F$76,Data_Q1!$A$5:$A$76,A127,Data_Q1!$B$5:$B$76,C127,Data_Q1!$C$5:$C$76,D127),P127*L127*INDEX(Reforecast!$D$12:$D$17,MATCH(C127,Reforecast!$A$12:$A$17,0)))</f>
        <v>104643.46</v>
      </c>
      <c r="S127" s="9" t="n">
        <f aca="false">IF(A127&lt;=3,SUMIFS(Data_Q1!$G$5:$G$76,Data_Q1!$A$5:$A$76,A127,Data_Q1!$B$5:$B$76,C127,Data_Q1!$C$5:$C$76,D127),P127*N127)</f>
        <v>3562.33</v>
      </c>
    </row>
    <row r="128" customFormat="false" ht="15" hidden="false" customHeight="false" outlineLevel="0" collapsed="false">
      <c r="A128" s="0" t="n">
        <f aca="false">MOD(ROW()-5,12)+1</f>
        <v>4</v>
      </c>
      <c r="B128" s="0" t="n">
        <f aca="false">INT((ROW()-5)/12)+1</f>
        <v>11</v>
      </c>
      <c r="C128" s="0" t="str">
        <f aca="false">INDEX(Data_Base!$A$5:$A$28,B128)</f>
        <v>Poultry</v>
      </c>
      <c r="D128" s="0" t="str">
        <f aca="false">INDEX(Data_Base!$B$5:$B$28,B128)</f>
        <v>Hotels &amp; Institutions</v>
      </c>
      <c r="E128" s="26" t="n">
        <f aca="false">INDEX(Data_Base!$B$32:$M$37,MATCH(C128,Data_Base!$A$32:$A$37,0),A128)</f>
        <v>0.082529</v>
      </c>
      <c r="F128" s="25" t="n">
        <f aca="false">INDEX(Data_Base!$C$5:$C$28,B128)*(1+INDEX(Assumptions!$B$19:$B$22,MATCH(D128,Assumptions!$A$19:$A$22,0)))*E128</f>
        <v>1308.16222726</v>
      </c>
      <c r="G128" s="24" t="n">
        <f aca="false">INDEX(Data_Base!$D$5:$D$28,B128)/INDEX(Data_Base!$C$5:$C$28,B128)</f>
        <v>103.52361348286</v>
      </c>
      <c r="H128" s="27" t="n">
        <f aca="false">IF(A128&gt;=Assumptions!$C$37,INDEX(Assumptions!$B$10:$B$15,MATCH(C128,Assumptions!$A$10:$A$15,0)),0)</f>
        <v>0.02</v>
      </c>
      <c r="I128" s="27" t="n">
        <f aca="false">IF(AND(A128&gt;=Assumptions!$C$37,INDEX(Assumptions!$C$19:$C$22,MATCH(D128,Assumptions!$A$19:$A$22,0))=1),INDEX(Assumptions!$D$10:$D$15,MATCH(C128,Assumptions!$A$10:$A$15,0)),0)</f>
        <v>0</v>
      </c>
      <c r="J128" s="9" t="n">
        <f aca="false">F128*G128*(1+H128)</f>
        <v>138134.194403496</v>
      </c>
      <c r="K128" s="9" t="n">
        <f aca="false">J128*(1+I128)</f>
        <v>138134.194403496</v>
      </c>
      <c r="L128" s="24" t="n">
        <f aca="false">INDEX(Data_Base!$E$5:$E$28,B128)/INDEX(Data_Base!$C$5:$C$28,B128)*(1+INDEX(Assumptions!$C$10:$C$15,MATCH(C128,Assumptions!$A$10:$A$15,0)))</f>
        <v>80.3005324964955</v>
      </c>
      <c r="M128" s="9" t="n">
        <f aca="false">F128*L128</f>
        <v>105046.12344078</v>
      </c>
      <c r="N128" s="24" t="n">
        <f aca="false">INDEX(Data_Base!$F$5:$F$28,B128)/INDEX(Data_Base!$C$5:$C$28,B128)*(1+Assumptions!$C$38)</f>
        <v>2.71353918695043</v>
      </c>
      <c r="O128" s="9" t="n">
        <f aca="false">F128*N128</f>
        <v>3549.74946655836</v>
      </c>
      <c r="P128" s="25" t="n">
        <f aca="false">IF(A128&lt;=3,SUMIFS(Data_Q1!$D$5:$D$76,Data_Q1!$A$5:$A$76,A128,Data_Q1!$B$5:$B$76,C128,Data_Q1!$C$5:$C$76,D128),F128*INDEX(Reforecast!$D$6:$D$9,MATCH(D128,Reforecast!$A$6:$A$9,0)))</f>
        <v>1309.69065593083</v>
      </c>
      <c r="Q128" s="9" t="n">
        <f aca="false">IF(A128&lt;=3,SUMIFS(Data_Q1!$E$5:$E$76,Data_Q1!$A$5:$A$76,A128,Data_Q1!$B$5:$B$76,C128,Data_Q1!$C$5:$C$76,D128),P128*G128*(1+H128)*(1+I128))</f>
        <v>138295.58743163</v>
      </c>
      <c r="R128" s="9" t="n">
        <f aca="false">IF(A128&lt;=3,SUMIFS(Data_Q1!$F$5:$F$76,Data_Q1!$A$5:$A$76,A128,Data_Q1!$B$5:$B$76,C128,Data_Q1!$C$5:$C$76,D128),P128*L128*INDEX(Reforecast!$D$12:$D$17,MATCH(C128,Reforecast!$A$12:$A$17,0)))</f>
        <v>105151.260085113</v>
      </c>
      <c r="S128" s="9" t="n">
        <f aca="false">IF(A128&lt;=3,SUMIFS(Data_Q1!$G$5:$G$76,Data_Q1!$A$5:$A$76,A128,Data_Q1!$B$5:$B$76,C128,Data_Q1!$C$5:$C$76,D128),P128*N128)</f>
        <v>3553.89691765111</v>
      </c>
    </row>
    <row r="129" customFormat="false" ht="15" hidden="false" customHeight="false" outlineLevel="0" collapsed="false">
      <c r="A129" s="0" t="n">
        <f aca="false">MOD(ROW()-5,12)+1</f>
        <v>5</v>
      </c>
      <c r="B129" s="0" t="n">
        <f aca="false">INT((ROW()-5)/12)+1</f>
        <v>11</v>
      </c>
      <c r="C129" s="0" t="str">
        <f aca="false">INDEX(Data_Base!$A$5:$A$28,B129)</f>
        <v>Poultry</v>
      </c>
      <c r="D129" s="0" t="str">
        <f aca="false">INDEX(Data_Base!$B$5:$B$28,B129)</f>
        <v>Hotels &amp; Institutions</v>
      </c>
      <c r="E129" s="26" t="n">
        <f aca="false">INDEX(Data_Base!$B$32:$M$37,MATCH(C129,Data_Base!$A$32:$A$37,0),A129)</f>
        <v>0.08394</v>
      </c>
      <c r="F129" s="25" t="n">
        <f aca="false">INDEX(Data_Base!$C$5:$C$28,B129)*(1+INDEX(Assumptions!$B$19:$B$22,MATCH(D129,Assumptions!$A$19:$A$22,0)))*E129</f>
        <v>1330.5279036</v>
      </c>
      <c r="G129" s="24" t="n">
        <f aca="false">INDEX(Data_Base!$D$5:$D$28,B129)/INDEX(Data_Base!$C$5:$C$28,B129)</f>
        <v>103.52361348286</v>
      </c>
      <c r="H129" s="27" t="n">
        <f aca="false">IF(A129&gt;=Assumptions!$C$37,INDEX(Assumptions!$B$10:$B$15,MATCH(C129,Assumptions!$A$10:$A$15,0)),0)</f>
        <v>0.02</v>
      </c>
      <c r="I129" s="27" t="n">
        <f aca="false">IF(AND(A129&gt;=Assumptions!$C$37,INDEX(Assumptions!$C$19:$C$22,MATCH(D129,Assumptions!$A$19:$A$22,0))=1),INDEX(Assumptions!$D$10:$D$15,MATCH(C129,Assumptions!$A$10:$A$15,0)),0)</f>
        <v>0</v>
      </c>
      <c r="J129" s="9" t="n">
        <f aca="false">F129*G129*(1+H129)</f>
        <v>140495.877548855</v>
      </c>
      <c r="K129" s="9" t="n">
        <f aca="false">J129*(1+I129)</f>
        <v>140495.877548855</v>
      </c>
      <c r="L129" s="24" t="n">
        <f aca="false">INDEX(Data_Base!$E$5:$E$28,B129)/INDEX(Data_Base!$C$5:$C$28,B129)*(1+INDEX(Assumptions!$C$10:$C$15,MATCH(C129,Assumptions!$A$10:$A$15,0)))</f>
        <v>80.3005324964955</v>
      </c>
      <c r="M129" s="9" t="n">
        <f aca="false">F129*L129</f>
        <v>106842.099160526</v>
      </c>
      <c r="N129" s="24" t="n">
        <f aca="false">INDEX(Data_Base!$F$5:$F$28,B129)/INDEX(Data_Base!$C$5:$C$28,B129)*(1+Assumptions!$C$38)</f>
        <v>2.71353918695043</v>
      </c>
      <c r="O129" s="9" t="n">
        <f aca="false">F129*N129</f>
        <v>3610.4396057496</v>
      </c>
      <c r="P129" s="25" t="n">
        <f aca="false">IF(A129&lt;=3,SUMIFS(Data_Q1!$D$5:$D$76,Data_Q1!$A$5:$A$76,A129,Data_Q1!$B$5:$B$76,C129,Data_Q1!$C$5:$C$76,D129),F129*INDEX(Reforecast!$D$6:$D$9,MATCH(D129,Reforecast!$A$6:$A$9,0)))</f>
        <v>1332.08246384706</v>
      </c>
      <c r="Q129" s="9" t="n">
        <f aca="false">IF(A129&lt;=3,SUMIFS(Data_Q1!$E$5:$E$76,Data_Q1!$A$5:$A$76,A129,Data_Q1!$B$5:$B$76,C129,Data_Q1!$C$5:$C$76,D129),P129*G129*(1+H129)*(1+I129))</f>
        <v>140660.02991689</v>
      </c>
      <c r="R129" s="9" t="n">
        <f aca="false">IF(A129&lt;=3,SUMIFS(Data_Q1!$F$5:$F$76,Data_Q1!$A$5:$A$76,A129,Data_Q1!$B$5:$B$76,C129,Data_Q1!$C$5:$C$76,D129),P129*L129*INDEX(Reforecast!$D$12:$D$17,MATCH(C129,Reforecast!$A$12:$A$17,0)))</f>
        <v>106949.033328217</v>
      </c>
      <c r="S129" s="9" t="n">
        <f aca="false">IF(A129&lt;=3,SUMIFS(Data_Q1!$G$5:$G$76,Data_Q1!$A$5:$A$76,A129,Data_Q1!$B$5:$B$76,C129,Data_Q1!$C$5:$C$76,D129),P129*N129)</f>
        <v>3614.65796589846</v>
      </c>
    </row>
    <row r="130" customFormat="false" ht="15" hidden="false" customHeight="false" outlineLevel="0" collapsed="false">
      <c r="A130" s="0" t="n">
        <f aca="false">MOD(ROW()-5,12)+1</f>
        <v>6</v>
      </c>
      <c r="B130" s="0" t="n">
        <f aca="false">INT((ROW()-5)/12)+1</f>
        <v>11</v>
      </c>
      <c r="C130" s="0" t="str">
        <f aca="false">INDEX(Data_Base!$A$5:$A$28,B130)</f>
        <v>Poultry</v>
      </c>
      <c r="D130" s="0" t="str">
        <f aca="false">INDEX(Data_Base!$B$5:$B$28,B130)</f>
        <v>Hotels &amp; Institutions</v>
      </c>
      <c r="E130" s="26" t="n">
        <f aca="false">INDEX(Data_Base!$B$32:$M$37,MATCH(C130,Data_Base!$A$32:$A$37,0),A130)</f>
        <v>0.085199</v>
      </c>
      <c r="F130" s="25" t="n">
        <f aca="false">INDEX(Data_Base!$C$5:$C$28,B130)*(1+INDEX(Assumptions!$B$19:$B$22,MATCH(D130,Assumptions!$A$19:$A$22,0)))*E130</f>
        <v>1350.48423706</v>
      </c>
      <c r="G130" s="24" t="n">
        <f aca="false">INDEX(Data_Base!$D$5:$D$28,B130)/INDEX(Data_Base!$C$5:$C$28,B130)</f>
        <v>103.52361348286</v>
      </c>
      <c r="H130" s="27" t="n">
        <f aca="false">IF(A130&gt;=Assumptions!$C$37,INDEX(Assumptions!$B$10:$B$15,MATCH(C130,Assumptions!$A$10:$A$15,0)),0)</f>
        <v>0.02</v>
      </c>
      <c r="I130" s="27" t="n">
        <f aca="false">IF(AND(A130&gt;=Assumptions!$C$37,INDEX(Assumptions!$C$19:$C$22,MATCH(D130,Assumptions!$A$19:$A$22,0))=1),INDEX(Assumptions!$D$10:$D$15,MATCH(C130,Assumptions!$A$10:$A$15,0)),0)</f>
        <v>0</v>
      </c>
      <c r="J130" s="9" t="n">
        <f aca="false">F130*G130*(1+H130)</f>
        <v>142603.148335536</v>
      </c>
      <c r="K130" s="9" t="n">
        <f aca="false">J130*(1+I130)</f>
        <v>142603.148335536</v>
      </c>
      <c r="L130" s="24" t="n">
        <f aca="false">INDEX(Data_Base!$E$5:$E$28,B130)/INDEX(Data_Base!$C$5:$C$28,B130)*(1+INDEX(Assumptions!$C$10:$C$15,MATCH(C130,Assumptions!$A$10:$A$15,0)))</f>
        <v>80.3005324964955</v>
      </c>
      <c r="M130" s="9" t="n">
        <f aca="false">F130*L130</f>
        <v>108444.603364041</v>
      </c>
      <c r="N130" s="24" t="n">
        <f aca="false">INDEX(Data_Base!$F$5:$F$28,B130)/INDEX(Data_Base!$C$5:$C$28,B130)*(1+Assumptions!$C$38)</f>
        <v>2.71353918695043</v>
      </c>
      <c r="O130" s="9" t="n">
        <f aca="false">F130*N130</f>
        <v>3664.59189862116</v>
      </c>
      <c r="P130" s="25" t="n">
        <f aca="false">IF(A130&lt;=3,SUMIFS(Data_Q1!$D$5:$D$76,Data_Q1!$A$5:$A$76,A130,Data_Q1!$B$5:$B$76,C130,Data_Q1!$C$5:$C$76,D130),F130*INDEX(Reforecast!$D$6:$D$9,MATCH(D130,Reforecast!$A$6:$A$9,0)))</f>
        <v>1352.06211385877</v>
      </c>
      <c r="Q130" s="9" t="n">
        <f aca="false">IF(A130&lt;=3,SUMIFS(Data_Q1!$E$5:$E$76,Data_Q1!$A$5:$A$76,A130,Data_Q1!$B$5:$B$76,C130,Data_Q1!$C$5:$C$76,D130),P130*G130*(1+H130)*(1+I130))</f>
        <v>142769.762793532</v>
      </c>
      <c r="R130" s="9" t="n">
        <f aca="false">IF(A130&lt;=3,SUMIFS(Data_Q1!$F$5:$F$76,Data_Q1!$A$5:$A$76,A130,Data_Q1!$B$5:$B$76,C130,Data_Q1!$C$5:$C$76,D130),P130*L130*INDEX(Reforecast!$D$12:$D$17,MATCH(C130,Reforecast!$A$12:$A$17,0)))</f>
        <v>108553.141416854</v>
      </c>
      <c r="S130" s="9" t="n">
        <f aca="false">IF(A130&lt;=3,SUMIFS(Data_Q1!$G$5:$G$76,Data_Q1!$A$5:$A$76,A130,Data_Q1!$B$5:$B$76,C130,Data_Q1!$C$5:$C$76,D130),P130*N130)</f>
        <v>3668.87352914681</v>
      </c>
    </row>
    <row r="131" customFormat="false" ht="15" hidden="false" customHeight="false" outlineLevel="0" collapsed="false">
      <c r="A131" s="0" t="n">
        <f aca="false">MOD(ROW()-5,12)+1</f>
        <v>7</v>
      </c>
      <c r="B131" s="0" t="n">
        <f aca="false">INT((ROW()-5)/12)+1</f>
        <v>11</v>
      </c>
      <c r="C131" s="0" t="str">
        <f aca="false">INDEX(Data_Base!$A$5:$A$28,B131)</f>
        <v>Poultry</v>
      </c>
      <c r="D131" s="0" t="str">
        <f aca="false">INDEX(Data_Base!$B$5:$B$28,B131)</f>
        <v>Hotels &amp; Institutions</v>
      </c>
      <c r="E131" s="26" t="n">
        <f aca="false">INDEX(Data_Base!$B$32:$M$37,MATCH(C131,Data_Base!$A$32:$A$37,0),A131)</f>
        <v>0.084674</v>
      </c>
      <c r="F131" s="25" t="n">
        <f aca="false">INDEX(Data_Base!$C$5:$C$28,B131)*(1+INDEX(Assumptions!$B$19:$B$22,MATCH(D131,Assumptions!$A$19:$A$22,0)))*E131</f>
        <v>1342.16249356</v>
      </c>
      <c r="G131" s="24" t="n">
        <f aca="false">INDEX(Data_Base!$D$5:$D$28,B131)/INDEX(Data_Base!$C$5:$C$28,B131)</f>
        <v>103.52361348286</v>
      </c>
      <c r="H131" s="27" t="n">
        <f aca="false">IF(A131&gt;=Assumptions!$C$37,INDEX(Assumptions!$B$10:$B$15,MATCH(C131,Assumptions!$A$10:$A$15,0)),0)</f>
        <v>0.02</v>
      </c>
      <c r="I131" s="27" t="n">
        <f aca="false">IF(AND(A131&gt;=Assumptions!$C$37,INDEX(Assumptions!$C$19:$C$22,MATCH(D131,Assumptions!$A$19:$A$22,0))=1),INDEX(Assumptions!$D$10:$D$15,MATCH(C131,Assumptions!$A$10:$A$15,0)),0)</f>
        <v>0</v>
      </c>
      <c r="J131" s="9" t="n">
        <f aca="false">F131*G131*(1+H131)</f>
        <v>141724.421438787</v>
      </c>
      <c r="K131" s="9" t="n">
        <f aca="false">J131*(1+I131)</f>
        <v>141724.421438787</v>
      </c>
      <c r="L131" s="24" t="n">
        <f aca="false">INDEX(Data_Base!$E$5:$E$28,B131)/INDEX(Data_Base!$C$5:$C$28,B131)*(1+INDEX(Assumptions!$C$10:$C$15,MATCH(C131,Assumptions!$A$10:$A$15,0)))</f>
        <v>80.3005324964955</v>
      </c>
      <c r="M131" s="9" t="n">
        <f aca="false">F131*L131</f>
        <v>107776.362929692</v>
      </c>
      <c r="N131" s="24" t="n">
        <f aca="false">INDEX(Data_Base!$F$5:$F$28,B131)/INDEX(Data_Base!$C$5:$C$28,B131)*(1+Assumptions!$C$38)</f>
        <v>2.71353918695043</v>
      </c>
      <c r="O131" s="9" t="n">
        <f aca="false">F131*N131</f>
        <v>3642.01052153016</v>
      </c>
      <c r="P131" s="25" t="n">
        <f aca="false">IF(A131&lt;=3,SUMIFS(Data_Q1!$D$5:$D$76,Data_Q1!$A$5:$A$76,A131,Data_Q1!$B$5:$B$76,C131,Data_Q1!$C$5:$C$76,D131),F131*INDEX(Reforecast!$D$6:$D$9,MATCH(D131,Reforecast!$A$6:$A$9,0)))</f>
        <v>1343.73064741227</v>
      </c>
      <c r="Q131" s="9" t="n">
        <f aca="false">IF(A131&lt;=3,SUMIFS(Data_Q1!$E$5:$E$76,Data_Q1!$A$5:$A$76,A131,Data_Q1!$B$5:$B$76,C131,Data_Q1!$C$5:$C$76,D131),P131*G131*(1+H131)*(1+I131))</f>
        <v>141890.009211136</v>
      </c>
      <c r="R131" s="9" t="n">
        <f aca="false">IF(A131&lt;=3,SUMIFS(Data_Q1!$F$5:$F$76,Data_Q1!$A$5:$A$76,A131,Data_Q1!$B$5:$B$76,C131,Data_Q1!$C$5:$C$76,D131),P131*L131*INDEX(Reforecast!$D$12:$D$17,MATCH(C131,Reforecast!$A$12:$A$17,0)))</f>
        <v>107884.232166231</v>
      </c>
      <c r="S131" s="9" t="n">
        <f aca="false">IF(A131&lt;=3,SUMIFS(Data_Q1!$G$5:$G$76,Data_Q1!$A$5:$A$76,A131,Data_Q1!$B$5:$B$76,C131,Data_Q1!$C$5:$C$76,D131),P131*N131)</f>
        <v>3646.26576845945</v>
      </c>
    </row>
    <row r="132" customFormat="false" ht="15" hidden="false" customHeight="false" outlineLevel="0" collapsed="false">
      <c r="A132" s="0" t="n">
        <f aca="false">MOD(ROW()-5,12)+1</f>
        <v>8</v>
      </c>
      <c r="B132" s="0" t="n">
        <f aca="false">INT((ROW()-5)/12)+1</f>
        <v>11</v>
      </c>
      <c r="C132" s="0" t="str">
        <f aca="false">INDEX(Data_Base!$A$5:$A$28,B132)</f>
        <v>Poultry</v>
      </c>
      <c r="D132" s="0" t="str">
        <f aca="false">INDEX(Data_Base!$B$5:$B$28,B132)</f>
        <v>Hotels &amp; Institutions</v>
      </c>
      <c r="E132" s="26" t="n">
        <f aca="false">INDEX(Data_Base!$B$32:$M$37,MATCH(C132,Data_Base!$A$32:$A$37,0),A132)</f>
        <v>0.083415</v>
      </c>
      <c r="F132" s="25" t="n">
        <f aca="false">INDEX(Data_Base!$C$5:$C$28,B132)*(1+INDEX(Assumptions!$B$19:$B$22,MATCH(D132,Assumptions!$A$19:$A$22,0)))*E132</f>
        <v>1322.2061601</v>
      </c>
      <c r="G132" s="24" t="n">
        <f aca="false">INDEX(Data_Base!$D$5:$D$28,B132)/INDEX(Data_Base!$C$5:$C$28,B132)</f>
        <v>103.52361348286</v>
      </c>
      <c r="H132" s="27" t="n">
        <f aca="false">IF(A132&gt;=Assumptions!$C$37,INDEX(Assumptions!$B$10:$B$15,MATCH(C132,Assumptions!$A$10:$A$15,0)),0)</f>
        <v>0.02</v>
      </c>
      <c r="I132" s="27" t="n">
        <f aca="false">IF(AND(A132&gt;=Assumptions!$C$37,INDEX(Assumptions!$C$19:$C$22,MATCH(D132,Assumptions!$A$19:$A$22,0))=1),INDEX(Assumptions!$D$10:$D$15,MATCH(C132,Assumptions!$A$10:$A$15,0)),0)</f>
        <v>0</v>
      </c>
      <c r="J132" s="9" t="n">
        <f aca="false">F132*G132*(1+H132)</f>
        <v>139617.150652106</v>
      </c>
      <c r="K132" s="9" t="n">
        <f aca="false">J132*(1+I132)</f>
        <v>139617.150652106</v>
      </c>
      <c r="L132" s="24" t="n">
        <f aca="false">INDEX(Data_Base!$E$5:$E$28,B132)/INDEX(Data_Base!$C$5:$C$28,B132)*(1+INDEX(Assumptions!$C$10:$C$15,MATCH(C132,Assumptions!$A$10:$A$15,0)))</f>
        <v>80.3005324964955</v>
      </c>
      <c r="M132" s="9" t="n">
        <f aca="false">F132*L132</f>
        <v>106173.858726177</v>
      </c>
      <c r="N132" s="24" t="n">
        <f aca="false">INDEX(Data_Base!$F$5:$F$28,B132)/INDEX(Data_Base!$C$5:$C$28,B132)*(1+Assumptions!$C$38)</f>
        <v>2.71353918695043</v>
      </c>
      <c r="O132" s="9" t="n">
        <f aca="false">F132*N132</f>
        <v>3587.8582286586</v>
      </c>
      <c r="P132" s="25" t="n">
        <f aca="false">IF(A132&lt;=3,SUMIFS(Data_Q1!$D$5:$D$76,Data_Q1!$A$5:$A$76,A132,Data_Q1!$B$5:$B$76,C132,Data_Q1!$C$5:$C$76,D132),F132*INDEX(Reforecast!$D$6:$D$9,MATCH(D132,Reforecast!$A$6:$A$9,0)))</f>
        <v>1323.75099740055</v>
      </c>
      <c r="Q132" s="9" t="n">
        <f aca="false">IF(A132&lt;=3,SUMIFS(Data_Q1!$E$5:$E$76,Data_Q1!$A$5:$A$76,A132,Data_Q1!$B$5:$B$76,C132,Data_Q1!$C$5:$C$76,D132),P132*G132*(1+H132)*(1+I132))</f>
        <v>139780.276334493</v>
      </c>
      <c r="R132" s="9" t="n">
        <f aca="false">IF(A132&lt;=3,SUMIFS(Data_Q1!$F$5:$F$76,Data_Q1!$A$5:$A$76,A132,Data_Q1!$B$5:$B$76,C132,Data_Q1!$C$5:$C$76,D132),P132*L132*INDEX(Reforecast!$D$12:$D$17,MATCH(C132,Reforecast!$A$12:$A$17,0)))</f>
        <v>106280.124077594</v>
      </c>
      <c r="S132" s="9" t="n">
        <f aca="false">IF(A132&lt;=3,SUMIFS(Data_Q1!$G$5:$G$76,Data_Q1!$A$5:$A$76,A132,Data_Q1!$B$5:$B$76,C132,Data_Q1!$C$5:$C$76,D132),P132*N132)</f>
        <v>3592.0502052111</v>
      </c>
    </row>
    <row r="133" customFormat="false" ht="15" hidden="false" customHeight="false" outlineLevel="0" collapsed="false">
      <c r="A133" s="0" t="n">
        <f aca="false">MOD(ROW()-5,12)+1</f>
        <v>9</v>
      </c>
      <c r="B133" s="0" t="n">
        <f aca="false">INT((ROW()-5)/12)+1</f>
        <v>11</v>
      </c>
      <c r="C133" s="0" t="str">
        <f aca="false">INDEX(Data_Base!$A$5:$A$28,B133)</f>
        <v>Poultry</v>
      </c>
      <c r="D133" s="0" t="str">
        <f aca="false">INDEX(Data_Base!$B$5:$B$28,B133)</f>
        <v>Hotels &amp; Institutions</v>
      </c>
      <c r="E133" s="26" t="n">
        <f aca="false">INDEX(Data_Base!$B$32:$M$37,MATCH(C133,Data_Base!$A$32:$A$37,0),A133)</f>
        <v>0.081374</v>
      </c>
      <c r="F133" s="25" t="n">
        <f aca="false">INDEX(Data_Base!$C$5:$C$28,B133)*(1+INDEX(Assumptions!$B$19:$B$22,MATCH(D133,Assumptions!$A$19:$A$22,0)))*E133</f>
        <v>1289.85439156</v>
      </c>
      <c r="G133" s="24" t="n">
        <f aca="false">INDEX(Data_Base!$D$5:$D$28,B133)/INDEX(Data_Base!$C$5:$C$28,B133)</f>
        <v>103.52361348286</v>
      </c>
      <c r="H133" s="27" t="n">
        <f aca="false">IF(A133&gt;=Assumptions!$C$37,INDEX(Assumptions!$B$10:$B$15,MATCH(C133,Assumptions!$A$10:$A$15,0)),0)</f>
        <v>0.02</v>
      </c>
      <c r="I133" s="27" t="n">
        <f aca="false">IF(AND(A133&gt;=Assumptions!$C$37,INDEX(Assumptions!$C$19:$C$22,MATCH(D133,Assumptions!$A$19:$A$22,0))=1),INDEX(Assumptions!$D$10:$D$15,MATCH(C133,Assumptions!$A$10:$A$15,0)),0)</f>
        <v>0</v>
      </c>
      <c r="J133" s="9" t="n">
        <f aca="false">F133*G133*(1+H133)</f>
        <v>136200.995230647</v>
      </c>
      <c r="K133" s="9" t="n">
        <f aca="false">J133*(1+I133)</f>
        <v>136200.995230647</v>
      </c>
      <c r="L133" s="24" t="n">
        <f aca="false">INDEX(Data_Base!$E$5:$E$28,B133)/INDEX(Data_Base!$C$5:$C$28,B133)*(1+INDEX(Assumptions!$C$10:$C$15,MATCH(C133,Assumptions!$A$10:$A$15,0)))</f>
        <v>80.3005324964955</v>
      </c>
      <c r="M133" s="9" t="n">
        <f aca="false">F133*L133</f>
        <v>103575.994485211</v>
      </c>
      <c r="N133" s="24" t="n">
        <f aca="false">INDEX(Data_Base!$F$5:$F$28,B133)/INDEX(Data_Base!$C$5:$C$28,B133)*(1+Assumptions!$C$38)</f>
        <v>2.71353918695043</v>
      </c>
      <c r="O133" s="9" t="n">
        <f aca="false">F133*N133</f>
        <v>3500.07043695816</v>
      </c>
      <c r="P133" s="25" t="n">
        <f aca="false">IF(A133&lt;=3,SUMIFS(Data_Q1!$D$5:$D$76,Data_Q1!$A$5:$A$76,A133,Data_Q1!$B$5:$B$76,C133,Data_Q1!$C$5:$C$76,D133),F133*INDEX(Reforecast!$D$6:$D$9,MATCH(D133,Reforecast!$A$6:$A$9,0)))</f>
        <v>1291.36142974851</v>
      </c>
      <c r="Q133" s="9" t="n">
        <f aca="false">IF(A133&lt;=3,SUMIFS(Data_Q1!$E$5:$E$76,Data_Q1!$A$5:$A$76,A133,Data_Q1!$B$5:$B$76,C133,Data_Q1!$C$5:$C$76,D133),P133*G133*(1+H133)*(1+I133))</f>
        <v>136360.129550357</v>
      </c>
      <c r="R133" s="9" t="n">
        <f aca="false">IF(A133&lt;=3,SUMIFS(Data_Q1!$F$5:$F$76,Data_Q1!$A$5:$A$76,A133,Data_Q1!$B$5:$B$76,C133,Data_Q1!$C$5:$C$76,D133),P133*L133*INDEX(Reforecast!$D$12:$D$17,MATCH(C133,Reforecast!$A$12:$A$17,0)))</f>
        <v>103679.659733742</v>
      </c>
      <c r="S133" s="9" t="n">
        <f aca="false">IF(A133&lt;=3,SUMIFS(Data_Q1!$G$5:$G$76,Data_Q1!$A$5:$A$76,A133,Data_Q1!$B$5:$B$76,C133,Data_Q1!$C$5:$C$76,D133),P133*N133)</f>
        <v>3504.15984413892</v>
      </c>
    </row>
    <row r="134" customFormat="false" ht="15" hidden="false" customHeight="false" outlineLevel="0" collapsed="false">
      <c r="A134" s="0" t="n">
        <f aca="false">MOD(ROW()-5,12)+1</f>
        <v>10</v>
      </c>
      <c r="B134" s="0" t="n">
        <f aca="false">INT((ROW()-5)/12)+1</f>
        <v>11</v>
      </c>
      <c r="C134" s="0" t="str">
        <f aca="false">INDEX(Data_Base!$A$5:$A$28,B134)</f>
        <v>Poultry</v>
      </c>
      <c r="D134" s="0" t="str">
        <f aca="false">INDEX(Data_Base!$B$5:$B$28,B134)</f>
        <v>Hotels &amp; Institutions</v>
      </c>
      <c r="E134" s="26" t="n">
        <f aca="false">INDEX(Data_Base!$B$32:$M$37,MATCH(C134,Data_Base!$A$32:$A$37,0),A134)</f>
        <v>0.080908</v>
      </c>
      <c r="F134" s="25" t="n">
        <f aca="false">INDEX(Data_Base!$C$5:$C$28,B134)*(1+INDEX(Assumptions!$B$19:$B$22,MATCH(D134,Assumptions!$A$19:$A$22,0)))*E134</f>
        <v>1282.46785352</v>
      </c>
      <c r="G134" s="24" t="n">
        <f aca="false">INDEX(Data_Base!$D$5:$D$28,B134)/INDEX(Data_Base!$C$5:$C$28,B134)</f>
        <v>103.52361348286</v>
      </c>
      <c r="H134" s="27" t="n">
        <f aca="false">IF(A134&gt;=Assumptions!$C$37,INDEX(Assumptions!$B$10:$B$15,MATCH(C134,Assumptions!$A$10:$A$15,0)),0)</f>
        <v>0.02</v>
      </c>
      <c r="I134" s="27" t="n">
        <f aca="false">IF(AND(A134&gt;=Assumptions!$C$37,INDEX(Assumptions!$C$19:$C$22,MATCH(D134,Assumptions!$A$19:$A$22,0))=1),INDEX(Assumptions!$D$10:$D$15,MATCH(C134,Assumptions!$A$10:$A$15,0)),0)</f>
        <v>0</v>
      </c>
      <c r="J134" s="9" t="n">
        <f aca="false">F134*G134*(1+H134)</f>
        <v>135421.020499437</v>
      </c>
      <c r="K134" s="9" t="n">
        <f aca="false">J134*(1+I134)</f>
        <v>135421.020499437</v>
      </c>
      <c r="L134" s="24" t="n">
        <f aca="false">INDEX(Data_Base!$E$5:$E$28,B134)/INDEX(Data_Base!$C$5:$C$28,B134)*(1+INDEX(Assumptions!$C$10:$C$15,MATCH(C134,Assumptions!$A$10:$A$15,0)))</f>
        <v>80.3005324964955</v>
      </c>
      <c r="M134" s="9" t="n">
        <f aca="false">F134*L134</f>
        <v>102982.851547294</v>
      </c>
      <c r="N134" s="24" t="n">
        <f aca="false">INDEX(Data_Base!$F$5:$F$28,B134)/INDEX(Data_Base!$C$5:$C$28,B134)*(1+Assumptions!$C$38)</f>
        <v>2.71353918695043</v>
      </c>
      <c r="O134" s="9" t="n">
        <f aca="false">F134*N134</f>
        <v>3480.02677653072</v>
      </c>
      <c r="P134" s="25" t="n">
        <f aca="false">IF(A134&lt;=3,SUMIFS(Data_Q1!$D$5:$D$76,Data_Q1!$A$5:$A$76,A134,Data_Q1!$B$5:$B$76,C134,Data_Q1!$C$5:$C$76,D134),F134*INDEX(Reforecast!$D$6:$D$9,MATCH(D134,Reforecast!$A$6:$A$9,0)))</f>
        <v>1283.966261436</v>
      </c>
      <c r="Q134" s="9" t="n">
        <f aca="false">IF(A134&lt;=3,SUMIFS(Data_Q1!$E$5:$E$76,Data_Q1!$A$5:$A$76,A134,Data_Q1!$B$5:$B$76,C134,Data_Q1!$C$5:$C$76,D134),P134*G134*(1+H134)*(1+I134))</f>
        <v>135579.243513411</v>
      </c>
      <c r="R134" s="9" t="n">
        <f aca="false">IF(A134&lt;=3,SUMIFS(Data_Q1!$F$5:$F$76,Data_Q1!$A$5:$A$76,A134,Data_Q1!$B$5:$B$76,C134,Data_Q1!$C$5:$C$76,D134),P134*L134*INDEX(Reforecast!$D$12:$D$17,MATCH(C134,Reforecast!$A$12:$A$17,0)))</f>
        <v>103085.92314176</v>
      </c>
      <c r="S134" s="9" t="n">
        <f aca="false">IF(A134&lt;=3,SUMIFS(Data_Q1!$G$5:$G$76,Data_Q1!$A$5:$A$76,A134,Data_Q1!$B$5:$B$76,C134,Data_Q1!$C$5:$C$76,D134),P134*N134)</f>
        <v>3484.09276512881</v>
      </c>
    </row>
    <row r="135" customFormat="false" ht="15" hidden="false" customHeight="false" outlineLevel="0" collapsed="false">
      <c r="A135" s="0" t="n">
        <f aca="false">MOD(ROW()-5,12)+1</f>
        <v>11</v>
      </c>
      <c r="B135" s="0" t="n">
        <f aca="false">INT((ROW()-5)/12)+1</f>
        <v>11</v>
      </c>
      <c r="C135" s="0" t="str">
        <f aca="false">INDEX(Data_Base!$A$5:$A$28,B135)</f>
        <v>Poultry</v>
      </c>
      <c r="D135" s="0" t="str">
        <f aca="false">INDEX(Data_Base!$B$5:$B$28,B135)</f>
        <v>Hotels &amp; Institutions</v>
      </c>
      <c r="E135" s="26" t="n">
        <f aca="false">INDEX(Data_Base!$B$32:$M$37,MATCH(C135,Data_Base!$A$32:$A$37,0),A135)</f>
        <v>0.083077</v>
      </c>
      <c r="F135" s="25" t="n">
        <f aca="false">INDEX(Data_Base!$C$5:$C$28,B135)*(1+INDEX(Assumptions!$B$19:$B$22,MATCH(D135,Assumptions!$A$19:$A$22,0)))*E135</f>
        <v>1316.84854238</v>
      </c>
      <c r="G135" s="24" t="n">
        <f aca="false">INDEX(Data_Base!$D$5:$D$28,B135)/INDEX(Data_Base!$C$5:$C$28,B135)</f>
        <v>103.52361348286</v>
      </c>
      <c r="H135" s="27" t="n">
        <f aca="false">IF(A135&gt;=Assumptions!$C$37,INDEX(Assumptions!$B$10:$B$15,MATCH(C135,Assumptions!$A$10:$A$15,0)),0)</f>
        <v>0.02</v>
      </c>
      <c r="I135" s="27" t="n">
        <f aca="false">IF(AND(A135&gt;=Assumptions!$C$37,INDEX(Assumptions!$C$19:$C$22,MATCH(D135,Assumptions!$A$19:$A$22,0))=1),INDEX(Assumptions!$D$10:$D$15,MATCH(C135,Assumptions!$A$10:$A$15,0)),0)</f>
        <v>0</v>
      </c>
      <c r="J135" s="9" t="n">
        <f aca="false">F135*G135*(1+H135)</f>
        <v>139051.417907151</v>
      </c>
      <c r="K135" s="9" t="n">
        <f aca="false">J135*(1+I135)</f>
        <v>139051.417907151</v>
      </c>
      <c r="L135" s="24" t="n">
        <f aca="false">INDEX(Data_Base!$E$5:$E$28,B135)/INDEX(Data_Base!$C$5:$C$28,B135)*(1+INDEX(Assumptions!$C$10:$C$15,MATCH(C135,Assumptions!$A$10:$A$15,0)))</f>
        <v>80.3005324964955</v>
      </c>
      <c r="M135" s="9" t="n">
        <f aca="false">F135*L135</f>
        <v>105743.639170348</v>
      </c>
      <c r="N135" s="24" t="n">
        <f aca="false">INDEX(Data_Base!$F$5:$F$28,B135)/INDEX(Data_Base!$C$5:$C$28,B135)*(1+Assumptions!$C$38)</f>
        <v>2.71353918695043</v>
      </c>
      <c r="O135" s="9" t="n">
        <f aca="false">F135*N135</f>
        <v>3573.32012302668</v>
      </c>
      <c r="P135" s="25" t="n">
        <f aca="false">IF(A135&lt;=3,SUMIFS(Data_Q1!$D$5:$D$76,Data_Q1!$A$5:$A$76,A135,Data_Q1!$B$5:$B$76,C135,Data_Q1!$C$5:$C$76,D135),F135*INDEX(Reforecast!$D$6:$D$9,MATCH(D135,Reforecast!$A$6:$A$9,0)))</f>
        <v>1318.38711995499</v>
      </c>
      <c r="Q135" s="9" t="n">
        <f aca="false">IF(A135&lt;=3,SUMIFS(Data_Q1!$E$5:$E$76,Data_Q1!$A$5:$A$76,A135,Data_Q1!$B$5:$B$76,C135,Data_Q1!$C$5:$C$76,D135),P135*G135*(1+H135)*(1+I135))</f>
        <v>139213.882599541</v>
      </c>
      <c r="R135" s="9" t="n">
        <f aca="false">IF(A135&lt;=3,SUMIFS(Data_Q1!$F$5:$F$76,Data_Q1!$A$5:$A$76,A135,Data_Q1!$B$5:$B$76,C135,Data_Q1!$C$5:$C$76,D135),P135*L135*INDEX(Reforecast!$D$12:$D$17,MATCH(C135,Reforecast!$A$12:$A$17,0)))</f>
        <v>105849.473931478</v>
      </c>
      <c r="S135" s="9" t="n">
        <f aca="false">IF(A135&lt;=3,SUMIFS(Data_Q1!$G$5:$G$76,Data_Q1!$A$5:$A$76,A135,Data_Q1!$B$5:$B$76,C135,Data_Q1!$C$5:$C$76,D135),P135*N135)</f>
        <v>3577.49511356858</v>
      </c>
    </row>
    <row r="136" customFormat="false" ht="15" hidden="false" customHeight="false" outlineLevel="0" collapsed="false">
      <c r="A136" s="0" t="n">
        <f aca="false">MOD(ROW()-5,12)+1</f>
        <v>12</v>
      </c>
      <c r="B136" s="0" t="n">
        <f aca="false">INT((ROW()-5)/12)+1</f>
        <v>11</v>
      </c>
      <c r="C136" s="0" t="str">
        <f aca="false">INDEX(Data_Base!$A$5:$A$28,B136)</f>
        <v>Poultry</v>
      </c>
      <c r="D136" s="0" t="str">
        <f aca="false">INDEX(Data_Base!$B$5:$B$28,B136)</f>
        <v>Hotels &amp; Institutions</v>
      </c>
      <c r="E136" s="26" t="n">
        <f aca="false">INDEX(Data_Base!$B$32:$M$37,MATCH(C136,Data_Base!$A$32:$A$37,0),A136)</f>
        <v>0.09062</v>
      </c>
      <c r="F136" s="25" t="n">
        <f aca="false">INDEX(Data_Base!$C$5:$C$28,B136)*(1+INDEX(Assumptions!$B$19:$B$22,MATCH(D136,Assumptions!$A$19:$A$22,0)))*E136</f>
        <v>1436.4121828</v>
      </c>
      <c r="G136" s="24" t="n">
        <f aca="false">INDEX(Data_Base!$D$5:$D$28,B136)/INDEX(Data_Base!$C$5:$C$28,B136)</f>
        <v>103.52361348286</v>
      </c>
      <c r="H136" s="27" t="n">
        <f aca="false">IF(A136&gt;=Assumptions!$C$37,INDEX(Assumptions!$B$10:$B$15,MATCH(C136,Assumptions!$A$10:$A$15,0)),0)</f>
        <v>0.02</v>
      </c>
      <c r="I136" s="27" t="n">
        <f aca="false">IF(AND(A136&gt;=Assumptions!$C$37,INDEX(Assumptions!$C$19:$C$22,MATCH(D136,Assumptions!$A$19:$A$22,0))=1),INDEX(Assumptions!$D$10:$D$15,MATCH(C136,Assumptions!$A$10:$A$15,0)),0)</f>
        <v>0</v>
      </c>
      <c r="J136" s="9" t="n">
        <f aca="false">F136*G136*(1+H136)</f>
        <v>151676.631206543</v>
      </c>
      <c r="K136" s="9" t="n">
        <f aca="false">J136*(1+I136)</f>
        <v>151676.631206543</v>
      </c>
      <c r="L136" s="24" t="n">
        <f aca="false">INDEX(Data_Base!$E$5:$E$28,B136)/INDEX(Data_Base!$C$5:$C$28,B136)*(1+INDEX(Assumptions!$C$10:$C$15,MATCH(C136,Assumptions!$A$10:$A$15,0)))</f>
        <v>80.3005324964955</v>
      </c>
      <c r="M136" s="9" t="n">
        <f aca="false">F136*L136</f>
        <v>115344.663163293</v>
      </c>
      <c r="N136" s="24" t="n">
        <f aca="false">INDEX(Data_Base!$F$5:$F$28,B136)/INDEX(Data_Base!$C$5:$C$28,B136)*(1+Assumptions!$C$38)</f>
        <v>2.71353918695043</v>
      </c>
      <c r="O136" s="9" t="n">
        <f aca="false">F136*N136</f>
        <v>3897.7607466408</v>
      </c>
      <c r="P136" s="25" t="n">
        <f aca="false">IF(A136&lt;=3,SUMIFS(Data_Q1!$D$5:$D$76,Data_Q1!$A$5:$A$76,A136,Data_Q1!$B$5:$B$76,C136,Data_Q1!$C$5:$C$76,D136),F136*INDEX(Reforecast!$D$6:$D$9,MATCH(D136,Reforecast!$A$6:$A$9,0)))</f>
        <v>1438.09045596641</v>
      </c>
      <c r="Q136" s="9" t="n">
        <f aca="false">IF(A136&lt;=3,SUMIFS(Data_Q1!$E$5:$E$76,Data_Q1!$A$5:$A$76,A136,Data_Q1!$B$5:$B$76,C136,Data_Q1!$C$5:$C$76,D136),P136*G136*(1+H136)*(1+I136))</f>
        <v>151853.846927193</v>
      </c>
      <c r="R136" s="9" t="n">
        <f aca="false">IF(A136&lt;=3,SUMIFS(Data_Q1!$F$5:$F$76,Data_Q1!$A$5:$A$76,A136,Data_Q1!$B$5:$B$76,C136,Data_Q1!$C$5:$C$76,D136),P136*L136*INDEX(Reforecast!$D$12:$D$17,MATCH(C136,Reforecast!$A$12:$A$17,0)))</f>
        <v>115460.107221861</v>
      </c>
      <c r="S136" s="9" t="n">
        <f aca="false">IF(A136&lt;=3,SUMIFS(Data_Q1!$G$5:$G$76,Data_Q1!$A$5:$A$76,A136,Data_Q1!$B$5:$B$76,C136,Data_Q1!$C$5:$C$76,D136),P136*N136)</f>
        <v>3902.31480664425</v>
      </c>
    </row>
    <row r="137" customFormat="false" ht="15" hidden="false" customHeight="false" outlineLevel="0" collapsed="false">
      <c r="A137" s="0" t="n">
        <f aca="false">MOD(ROW()-5,12)+1</f>
        <v>1</v>
      </c>
      <c r="B137" s="0" t="n">
        <f aca="false">INT((ROW()-5)/12)+1</f>
        <v>12</v>
      </c>
      <c r="C137" s="0" t="str">
        <f aca="false">INDEX(Data_Base!$A$5:$A$28,B137)</f>
        <v>Poultry</v>
      </c>
      <c r="D137" s="0" t="str">
        <f aca="false">INDEX(Data_Base!$B$5:$B$28,B137)</f>
        <v>Online Direct</v>
      </c>
      <c r="E137" s="26" t="n">
        <f aca="false">INDEX(Data_Base!$B$32:$M$37,MATCH(C137,Data_Base!$A$32:$A$37,0),A137)</f>
        <v>0.081573</v>
      </c>
      <c r="F137" s="25" t="n">
        <f aca="false">INDEX(Data_Base!$C$5:$C$28,B137)*(1+INDEX(Assumptions!$B$19:$B$22,MATCH(D137,Assumptions!$A$19:$A$22,0)))*E137</f>
        <v>670.71278352</v>
      </c>
      <c r="G137" s="24" t="n">
        <f aca="false">INDEX(Data_Base!$D$5:$D$28,B137)/INDEX(Data_Base!$C$5:$C$28,B137)</f>
        <v>122.256241389208</v>
      </c>
      <c r="H137" s="27" t="n">
        <f aca="false">IF(A137&gt;=Assumptions!$C$37,INDEX(Assumptions!$B$10:$B$15,MATCH(C137,Assumptions!$A$10:$A$15,0)),0)</f>
        <v>0</v>
      </c>
      <c r="I137" s="27" t="n">
        <f aca="false">IF(AND(A137&gt;=Assumptions!$C$37,INDEX(Assumptions!$C$19:$C$22,MATCH(D137,Assumptions!$A$19:$A$22,0))=1),INDEX(Assumptions!$D$10:$D$15,MATCH(C137,Assumptions!$A$10:$A$15,0)),0)</f>
        <v>0</v>
      </c>
      <c r="J137" s="9" t="n">
        <f aca="false">F137*G137*(1+H137)</f>
        <v>81998.8239648486</v>
      </c>
      <c r="K137" s="9" t="n">
        <f aca="false">J137*(1+I137)</f>
        <v>81998.8239648486</v>
      </c>
      <c r="L137" s="24" t="n">
        <f aca="false">INDEX(Data_Base!$E$5:$E$28,B137)/INDEX(Data_Base!$C$5:$C$28,B137)*(1+INDEX(Assumptions!$C$10:$C$15,MATCH(C137,Assumptions!$A$10:$A$15,0)))</f>
        <v>80.3754794417337</v>
      </c>
      <c r="M137" s="9" t="n">
        <f aca="false">F137*L137</f>
        <v>53908.8615431197</v>
      </c>
      <c r="N137" s="24" t="n">
        <f aca="false">INDEX(Data_Base!$F$5:$F$28,B137)/INDEX(Data_Base!$C$5:$C$28,B137)*(1+Assumptions!$C$38)</f>
        <v>11.5661358208955</v>
      </c>
      <c r="O137" s="9" t="n">
        <f aca="false">F137*N137</f>
        <v>7757.55515100322</v>
      </c>
      <c r="P137" s="25" t="n">
        <f aca="false">IF(A137&lt;=3,SUMIFS(Data_Q1!$D$5:$D$76,Data_Q1!$A$5:$A$76,A137,Data_Q1!$B$5:$B$76,C137,Data_Q1!$C$5:$C$76,D137),F137*INDEX(Reforecast!$D$6:$D$9,MATCH(D137,Reforecast!$A$6:$A$9,0)))</f>
        <v>678.5</v>
      </c>
      <c r="Q137" s="9" t="n">
        <f aca="false">IF(A137&lt;=3,SUMIFS(Data_Q1!$E$5:$E$76,Data_Q1!$A$5:$A$76,A137,Data_Q1!$B$5:$B$76,C137,Data_Q1!$C$5:$C$76,D137),P137*G137*(1+H137)*(1+I137))</f>
        <v>82798.32</v>
      </c>
      <c r="R137" s="9" t="n">
        <f aca="false">IF(A137&lt;=3,SUMIFS(Data_Q1!$F$5:$F$76,Data_Q1!$A$5:$A$76,A137,Data_Q1!$B$5:$B$76,C137,Data_Q1!$C$5:$C$76,D137),P137*L137*INDEX(Reforecast!$D$12:$D$17,MATCH(C137,Reforecast!$A$12:$A$17,0)))</f>
        <v>54720.04</v>
      </c>
      <c r="S137" s="9" t="n">
        <f aca="false">IF(A137&lt;=3,SUMIFS(Data_Q1!$G$5:$G$76,Data_Q1!$A$5:$A$76,A137,Data_Q1!$B$5:$B$76,C137,Data_Q1!$C$5:$C$76,D137),P137*N137)</f>
        <v>7847.05</v>
      </c>
    </row>
    <row r="138" customFormat="false" ht="15" hidden="false" customHeight="false" outlineLevel="0" collapsed="false">
      <c r="A138" s="0" t="n">
        <f aca="false">MOD(ROW()-5,12)+1</f>
        <v>2</v>
      </c>
      <c r="B138" s="0" t="n">
        <f aca="false">INT((ROW()-5)/12)+1</f>
        <v>12</v>
      </c>
      <c r="C138" s="0" t="str">
        <f aca="false">INDEX(Data_Base!$A$5:$A$28,B138)</f>
        <v>Poultry</v>
      </c>
      <c r="D138" s="0" t="str">
        <f aca="false">INDEX(Data_Base!$B$5:$B$28,B138)</f>
        <v>Online Direct</v>
      </c>
      <c r="E138" s="26" t="n">
        <f aca="false">INDEX(Data_Base!$B$32:$M$37,MATCH(C138,Data_Base!$A$32:$A$37,0),A138)</f>
        <v>0.080162</v>
      </c>
      <c r="F138" s="25" t="n">
        <f aca="false">INDEX(Data_Base!$C$5:$C$28,B138)*(1+INDEX(Assumptions!$B$19:$B$22,MATCH(D138,Assumptions!$A$19:$A$22,0)))*E138</f>
        <v>659.11120288</v>
      </c>
      <c r="G138" s="24" t="n">
        <f aca="false">INDEX(Data_Base!$D$5:$D$28,B138)/INDEX(Data_Base!$C$5:$C$28,B138)</f>
        <v>122.256241389208</v>
      </c>
      <c r="H138" s="27" t="n">
        <f aca="false">IF(A138&gt;=Assumptions!$C$37,INDEX(Assumptions!$B$10:$B$15,MATCH(C138,Assumptions!$A$10:$A$15,0)),0)</f>
        <v>0.02</v>
      </c>
      <c r="I138" s="27" t="n">
        <f aca="false">IF(AND(A138&gt;=Assumptions!$C$37,INDEX(Assumptions!$C$19:$C$22,MATCH(D138,Assumptions!$A$19:$A$22,0))=1),INDEX(Assumptions!$D$10:$D$15,MATCH(C138,Assumptions!$A$10:$A$15,0)),0)</f>
        <v>0</v>
      </c>
      <c r="J138" s="9" t="n">
        <f aca="false">F138*G138*(1+H138)</f>
        <v>82192.067488061</v>
      </c>
      <c r="K138" s="9" t="n">
        <f aca="false">J138*(1+I138)</f>
        <v>82192.067488061</v>
      </c>
      <c r="L138" s="24" t="n">
        <f aca="false">INDEX(Data_Base!$E$5:$E$28,B138)/INDEX(Data_Base!$C$5:$C$28,B138)*(1+INDEX(Assumptions!$C$10:$C$15,MATCH(C138,Assumptions!$A$10:$A$15,0)))</f>
        <v>80.3754794417337</v>
      </c>
      <c r="M138" s="9" t="n">
        <f aca="false">F138*L138</f>
        <v>52976.3789368978</v>
      </c>
      <c r="N138" s="24" t="n">
        <f aca="false">INDEX(Data_Base!$F$5:$F$28,B138)/INDEX(Data_Base!$C$5:$C$28,B138)*(1+Assumptions!$C$38)</f>
        <v>11.5661358208955</v>
      </c>
      <c r="O138" s="9" t="n">
        <f aca="false">F138*N138</f>
        <v>7623.3696935839</v>
      </c>
      <c r="P138" s="25" t="n">
        <f aca="false">IF(A138&lt;=3,SUMIFS(Data_Q1!$D$5:$D$76,Data_Q1!$A$5:$A$76,A138,Data_Q1!$B$5:$B$76,C138,Data_Q1!$C$5:$C$76,D138),F138*INDEX(Reforecast!$D$6:$D$9,MATCH(D138,Reforecast!$A$6:$A$9,0)))</f>
        <v>665.4</v>
      </c>
      <c r="Q138" s="9" t="n">
        <f aca="false">IF(A138&lt;=3,SUMIFS(Data_Q1!$E$5:$E$76,Data_Q1!$A$5:$A$76,A138,Data_Q1!$B$5:$B$76,C138,Data_Q1!$C$5:$C$76,D138),P138*G138*(1+H138)*(1+I138))</f>
        <v>83152.91</v>
      </c>
      <c r="R138" s="9" t="n">
        <f aca="false">IF(A138&lt;=3,SUMIFS(Data_Q1!$F$5:$F$76,Data_Q1!$A$5:$A$76,A138,Data_Q1!$B$5:$B$76,C138,Data_Q1!$C$5:$C$76,D138),P138*L138*INDEX(Reforecast!$D$12:$D$17,MATCH(C138,Reforecast!$A$12:$A$17,0)))</f>
        <v>53951.96</v>
      </c>
      <c r="S138" s="9" t="n">
        <f aca="false">IF(A138&lt;=3,SUMIFS(Data_Q1!$G$5:$G$76,Data_Q1!$A$5:$A$76,A138,Data_Q1!$B$5:$B$76,C138,Data_Q1!$C$5:$C$76,D138),P138*N138)</f>
        <v>7696.16</v>
      </c>
    </row>
    <row r="139" customFormat="false" ht="15" hidden="false" customHeight="false" outlineLevel="0" collapsed="false">
      <c r="A139" s="0" t="n">
        <f aca="false">MOD(ROW()-5,12)+1</f>
        <v>3</v>
      </c>
      <c r="B139" s="0" t="n">
        <f aca="false">INT((ROW()-5)/12)+1</f>
        <v>12</v>
      </c>
      <c r="C139" s="0" t="str">
        <f aca="false">INDEX(Data_Base!$A$5:$A$28,B139)</f>
        <v>Poultry</v>
      </c>
      <c r="D139" s="0" t="str">
        <f aca="false">INDEX(Data_Base!$B$5:$B$28,B139)</f>
        <v>Online Direct</v>
      </c>
      <c r="E139" s="26" t="n">
        <f aca="false">INDEX(Data_Base!$B$32:$M$37,MATCH(C139,Data_Base!$A$32:$A$37,0),A139)</f>
        <v>0.082529</v>
      </c>
      <c r="F139" s="25" t="n">
        <f aca="false">INDEX(Data_Base!$C$5:$C$28,B139)*(1+INDEX(Assumptions!$B$19:$B$22,MATCH(D139,Assumptions!$A$19:$A$22,0)))*E139</f>
        <v>678.57324496</v>
      </c>
      <c r="G139" s="24" t="n">
        <f aca="false">INDEX(Data_Base!$D$5:$D$28,B139)/INDEX(Data_Base!$C$5:$C$28,B139)</f>
        <v>122.256241389208</v>
      </c>
      <c r="H139" s="27" t="n">
        <f aca="false">IF(A139&gt;=Assumptions!$C$37,INDEX(Assumptions!$B$10:$B$15,MATCH(C139,Assumptions!$A$10:$A$15,0)),0)</f>
        <v>0.02</v>
      </c>
      <c r="I139" s="27" t="n">
        <f aca="false">IF(AND(A139&gt;=Assumptions!$C$37,INDEX(Assumptions!$C$19:$C$22,MATCH(D139,Assumptions!$A$19:$A$22,0))=1),INDEX(Assumptions!$D$10:$D$15,MATCH(C139,Assumptions!$A$10:$A$15,0)),0)</f>
        <v>0</v>
      </c>
      <c r="J139" s="9" t="n">
        <f aca="false">F139*G139*(1+H139)</f>
        <v>84619.0107248095</v>
      </c>
      <c r="K139" s="9" t="n">
        <f aca="false">J139*(1+I139)</f>
        <v>84619.0107248095</v>
      </c>
      <c r="L139" s="24" t="n">
        <f aca="false">INDEX(Data_Base!$E$5:$E$28,B139)/INDEX(Data_Base!$C$5:$C$28,B139)*(1+INDEX(Assumptions!$C$10:$C$15,MATCH(C139,Assumptions!$A$10:$A$15,0)))</f>
        <v>80.3754794417337</v>
      </c>
      <c r="M139" s="9" t="n">
        <f aca="false">F139*L139</f>
        <v>54540.649899993</v>
      </c>
      <c r="N139" s="24" t="n">
        <f aca="false">INDEX(Data_Base!$F$5:$F$28,B139)/INDEX(Data_Base!$C$5:$C$28,B139)*(1+Assumptions!$C$38)</f>
        <v>11.5661358208955</v>
      </c>
      <c r="O139" s="9" t="n">
        <f aca="false">F139*N139</f>
        <v>7848.47031563317</v>
      </c>
      <c r="P139" s="25" t="n">
        <f aca="false">IF(A139&lt;=3,SUMIFS(Data_Q1!$D$5:$D$76,Data_Q1!$A$5:$A$76,A139,Data_Q1!$B$5:$B$76,C139,Data_Q1!$C$5:$C$76,D139),F139*INDEX(Reforecast!$D$6:$D$9,MATCH(D139,Reforecast!$A$6:$A$9,0)))</f>
        <v>679.1</v>
      </c>
      <c r="Q139" s="9" t="n">
        <f aca="false">IF(A139&lt;=3,SUMIFS(Data_Q1!$E$5:$E$76,Data_Q1!$A$5:$A$76,A139,Data_Q1!$B$5:$B$76,C139,Data_Q1!$C$5:$C$76,D139),P139*G139*(1+H139)*(1+I139))</f>
        <v>84722.87</v>
      </c>
      <c r="R139" s="9" t="n">
        <f aca="false">IF(A139&lt;=3,SUMIFS(Data_Q1!$F$5:$F$76,Data_Q1!$A$5:$A$76,A139,Data_Q1!$B$5:$B$76,C139,Data_Q1!$C$5:$C$76,D139),P139*L139*INDEX(Reforecast!$D$12:$D$17,MATCH(C139,Reforecast!$A$12:$A$17,0)))</f>
        <v>54544.92</v>
      </c>
      <c r="S139" s="9" t="n">
        <f aca="false">IF(A139&lt;=3,SUMIFS(Data_Q1!$G$5:$G$76,Data_Q1!$A$5:$A$76,A139,Data_Q1!$B$5:$B$76,C139,Data_Q1!$C$5:$C$76,D139),P139*N139)</f>
        <v>7854.7</v>
      </c>
    </row>
    <row r="140" customFormat="false" ht="15" hidden="false" customHeight="false" outlineLevel="0" collapsed="false">
      <c r="A140" s="0" t="n">
        <f aca="false">MOD(ROW()-5,12)+1</f>
        <v>4</v>
      </c>
      <c r="B140" s="0" t="n">
        <f aca="false">INT((ROW()-5)/12)+1</f>
        <v>12</v>
      </c>
      <c r="C140" s="0" t="str">
        <f aca="false">INDEX(Data_Base!$A$5:$A$28,B140)</f>
        <v>Poultry</v>
      </c>
      <c r="D140" s="0" t="str">
        <f aca="false">INDEX(Data_Base!$B$5:$B$28,B140)</f>
        <v>Online Direct</v>
      </c>
      <c r="E140" s="26" t="n">
        <f aca="false">INDEX(Data_Base!$B$32:$M$37,MATCH(C140,Data_Base!$A$32:$A$37,0),A140)</f>
        <v>0.082529</v>
      </c>
      <c r="F140" s="25" t="n">
        <f aca="false">INDEX(Data_Base!$C$5:$C$28,B140)*(1+INDEX(Assumptions!$B$19:$B$22,MATCH(D140,Assumptions!$A$19:$A$22,0)))*E140</f>
        <v>678.57324496</v>
      </c>
      <c r="G140" s="24" t="n">
        <f aca="false">INDEX(Data_Base!$D$5:$D$28,B140)/INDEX(Data_Base!$C$5:$C$28,B140)</f>
        <v>122.256241389208</v>
      </c>
      <c r="H140" s="27" t="n">
        <f aca="false">IF(A140&gt;=Assumptions!$C$37,INDEX(Assumptions!$B$10:$B$15,MATCH(C140,Assumptions!$A$10:$A$15,0)),0)</f>
        <v>0.02</v>
      </c>
      <c r="I140" s="27" t="n">
        <f aca="false">IF(AND(A140&gt;=Assumptions!$C$37,INDEX(Assumptions!$C$19:$C$22,MATCH(D140,Assumptions!$A$19:$A$22,0))=1),INDEX(Assumptions!$D$10:$D$15,MATCH(C140,Assumptions!$A$10:$A$15,0)),0)</f>
        <v>0</v>
      </c>
      <c r="J140" s="9" t="n">
        <f aca="false">F140*G140*(1+H140)</f>
        <v>84619.0107248095</v>
      </c>
      <c r="K140" s="9" t="n">
        <f aca="false">J140*(1+I140)</f>
        <v>84619.0107248095</v>
      </c>
      <c r="L140" s="24" t="n">
        <f aca="false">INDEX(Data_Base!$E$5:$E$28,B140)/INDEX(Data_Base!$C$5:$C$28,B140)*(1+INDEX(Assumptions!$C$10:$C$15,MATCH(C140,Assumptions!$A$10:$A$15,0)))</f>
        <v>80.3754794417337</v>
      </c>
      <c r="M140" s="9" t="n">
        <f aca="false">F140*L140</f>
        <v>54540.649899993</v>
      </c>
      <c r="N140" s="24" t="n">
        <f aca="false">INDEX(Data_Base!$F$5:$F$28,B140)/INDEX(Data_Base!$C$5:$C$28,B140)*(1+Assumptions!$C$38)</f>
        <v>11.5661358208955</v>
      </c>
      <c r="O140" s="9" t="n">
        <f aca="false">F140*N140</f>
        <v>7848.47031563317</v>
      </c>
      <c r="P140" s="25" t="n">
        <f aca="false">IF(A140&lt;=3,SUMIFS(Data_Q1!$D$5:$D$76,Data_Q1!$A$5:$A$76,A140,Data_Q1!$B$5:$B$76,C140,Data_Q1!$C$5:$C$76,D140),F140*INDEX(Reforecast!$D$6:$D$9,MATCH(D140,Reforecast!$A$6:$A$9,0)))</f>
        <v>680.169226717222</v>
      </c>
      <c r="Q140" s="9" t="n">
        <f aca="false">IF(A140&lt;=3,SUMIFS(Data_Q1!$E$5:$E$76,Data_Q1!$A$5:$A$76,A140,Data_Q1!$B$5:$B$76,C140,Data_Q1!$C$5:$C$76,D140),P140*G140*(1+H140)*(1+I140))</f>
        <v>84818.0318303926</v>
      </c>
      <c r="R140" s="9" t="n">
        <f aca="false">IF(A140&lt;=3,SUMIFS(Data_Q1!$F$5:$F$76,Data_Q1!$A$5:$A$76,A140,Data_Q1!$B$5:$B$76,C140,Data_Q1!$C$5:$C$76,D140),P140*L140*INDEX(Reforecast!$D$12:$D$17,MATCH(C140,Reforecast!$A$12:$A$17,0)))</f>
        <v>54659.780421854</v>
      </c>
      <c r="S140" s="9" t="n">
        <f aca="false">IF(A140&lt;=3,SUMIFS(Data_Q1!$G$5:$G$76,Data_Q1!$A$5:$A$76,A140,Data_Q1!$B$5:$B$76,C140,Data_Q1!$C$5:$C$76,D140),P140*N140)</f>
        <v>7866.92965740487</v>
      </c>
    </row>
    <row r="141" customFormat="false" ht="15" hidden="false" customHeight="false" outlineLevel="0" collapsed="false">
      <c r="A141" s="0" t="n">
        <f aca="false">MOD(ROW()-5,12)+1</f>
        <v>5</v>
      </c>
      <c r="B141" s="0" t="n">
        <f aca="false">INT((ROW()-5)/12)+1</f>
        <v>12</v>
      </c>
      <c r="C141" s="0" t="str">
        <f aca="false">INDEX(Data_Base!$A$5:$A$28,B141)</f>
        <v>Poultry</v>
      </c>
      <c r="D141" s="0" t="str">
        <f aca="false">INDEX(Data_Base!$B$5:$B$28,B141)</f>
        <v>Online Direct</v>
      </c>
      <c r="E141" s="26" t="n">
        <f aca="false">INDEX(Data_Base!$B$32:$M$37,MATCH(C141,Data_Base!$A$32:$A$37,0),A141)</f>
        <v>0.08394</v>
      </c>
      <c r="F141" s="25" t="n">
        <f aca="false">INDEX(Data_Base!$C$5:$C$28,B141)*(1+INDEX(Assumptions!$B$19:$B$22,MATCH(D141,Assumptions!$A$19:$A$22,0)))*E141</f>
        <v>690.1748256</v>
      </c>
      <c r="G141" s="24" t="n">
        <f aca="false">INDEX(Data_Base!$D$5:$D$28,B141)/INDEX(Data_Base!$C$5:$C$28,B141)</f>
        <v>122.256241389208</v>
      </c>
      <c r="H141" s="27" t="n">
        <f aca="false">IF(A141&gt;=Assumptions!$C$37,INDEX(Assumptions!$B$10:$B$15,MATCH(C141,Assumptions!$A$10:$A$15,0)),0)</f>
        <v>0.02</v>
      </c>
      <c r="I141" s="27" t="n">
        <f aca="false">IF(AND(A141&gt;=Assumptions!$C$37,INDEX(Assumptions!$C$19:$C$22,MATCH(D141,Assumptions!$A$19:$A$22,0))=1),INDEX(Assumptions!$D$10:$D$15,MATCH(C141,Assumptions!$A$10:$A$15,0)),0)</f>
        <v>0</v>
      </c>
      <c r="J141" s="9" t="n">
        <f aca="false">F141*G141*(1+H141)</f>
        <v>86065.7436808942</v>
      </c>
      <c r="K141" s="9" t="n">
        <f aca="false">J141*(1+I141)</f>
        <v>86065.7436808942</v>
      </c>
      <c r="L141" s="24" t="n">
        <f aca="false">INDEX(Data_Base!$E$5:$E$28,B141)/INDEX(Data_Base!$C$5:$C$28,B141)*(1+INDEX(Assumptions!$C$10:$C$15,MATCH(C141,Assumptions!$A$10:$A$15,0)))</f>
        <v>80.3754794417337</v>
      </c>
      <c r="M141" s="9" t="n">
        <f aca="false">F141*L141</f>
        <v>55473.1325062149</v>
      </c>
      <c r="N141" s="24" t="n">
        <f aca="false">INDEX(Data_Base!$F$5:$F$28,B141)/INDEX(Data_Base!$C$5:$C$28,B141)*(1+Assumptions!$C$38)</f>
        <v>11.5661358208955</v>
      </c>
      <c r="O141" s="9" t="n">
        <f aca="false">F141*N141</f>
        <v>7982.65577305248</v>
      </c>
      <c r="P141" s="25" t="n">
        <f aca="false">IF(A141&lt;=3,SUMIFS(Data_Q1!$D$5:$D$76,Data_Q1!$A$5:$A$76,A141,Data_Q1!$B$5:$B$76,C141,Data_Q1!$C$5:$C$76,D141),F141*INDEX(Reforecast!$D$6:$D$9,MATCH(D141,Reforecast!$A$6:$A$9,0)))</f>
        <v>691.798093889949</v>
      </c>
      <c r="Q141" s="9" t="n">
        <f aca="false">IF(A141&lt;=3,SUMIFS(Data_Q1!$E$5:$E$76,Data_Q1!$A$5:$A$76,A141,Data_Q1!$B$5:$B$76,C141,Data_Q1!$C$5:$C$76,D141),P141*G141*(1+H141)*(1+I141))</f>
        <v>86268.1674543876</v>
      </c>
      <c r="R141" s="9" t="n">
        <f aca="false">IF(A141&lt;=3,SUMIFS(Data_Q1!$F$5:$F$76,Data_Q1!$A$5:$A$76,A141,Data_Q1!$B$5:$B$76,C141,Data_Q1!$C$5:$C$76,D141),P141*L141*INDEX(Reforecast!$D$12:$D$17,MATCH(C141,Reforecast!$A$12:$A$17,0)))</f>
        <v>55594.2998050434</v>
      </c>
      <c r="S141" s="9" t="n">
        <f aca="false">IF(A141&lt;=3,SUMIFS(Data_Q1!$G$5:$G$76,Data_Q1!$A$5:$A$76,A141,Data_Q1!$B$5:$B$76,C141,Data_Q1!$C$5:$C$76,D141),P141*N141)</f>
        <v>8001.43071456779</v>
      </c>
    </row>
    <row r="142" customFormat="false" ht="15" hidden="false" customHeight="false" outlineLevel="0" collapsed="false">
      <c r="A142" s="0" t="n">
        <f aca="false">MOD(ROW()-5,12)+1</f>
        <v>6</v>
      </c>
      <c r="B142" s="0" t="n">
        <f aca="false">INT((ROW()-5)/12)+1</f>
        <v>12</v>
      </c>
      <c r="C142" s="0" t="str">
        <f aca="false">INDEX(Data_Base!$A$5:$A$28,B142)</f>
        <v>Poultry</v>
      </c>
      <c r="D142" s="0" t="str">
        <f aca="false">INDEX(Data_Base!$B$5:$B$28,B142)</f>
        <v>Online Direct</v>
      </c>
      <c r="E142" s="26" t="n">
        <f aca="false">INDEX(Data_Base!$B$32:$M$37,MATCH(C142,Data_Base!$A$32:$A$37,0),A142)</f>
        <v>0.085199</v>
      </c>
      <c r="F142" s="25" t="n">
        <f aca="false">INDEX(Data_Base!$C$5:$C$28,B142)*(1+INDEX(Assumptions!$B$19:$B$22,MATCH(D142,Assumptions!$A$19:$A$22,0)))*E142</f>
        <v>700.52662576</v>
      </c>
      <c r="G142" s="24" t="n">
        <f aca="false">INDEX(Data_Base!$D$5:$D$28,B142)/INDEX(Data_Base!$C$5:$C$28,B142)</f>
        <v>122.256241389208</v>
      </c>
      <c r="H142" s="27" t="n">
        <f aca="false">IF(A142&gt;=Assumptions!$C$37,INDEX(Assumptions!$B$10:$B$15,MATCH(C142,Assumptions!$A$10:$A$15,0)),0)</f>
        <v>0.02</v>
      </c>
      <c r="I142" s="27" t="n">
        <f aca="false">IF(AND(A142&gt;=Assumptions!$C$37,INDEX(Assumptions!$C$19:$C$22,MATCH(D142,Assumptions!$A$19:$A$22,0))=1),INDEX(Assumptions!$D$10:$D$15,MATCH(C142,Assumptions!$A$10:$A$15,0)),0)</f>
        <v>0</v>
      </c>
      <c r="J142" s="9" t="n">
        <f aca="false">F142*G142*(1+H142)</f>
        <v>87356.6273036514</v>
      </c>
      <c r="K142" s="9" t="n">
        <f aca="false">J142*(1+I142)</f>
        <v>87356.6273036514</v>
      </c>
      <c r="L142" s="24" t="n">
        <f aca="false">INDEX(Data_Base!$E$5:$E$28,B142)/INDEX(Data_Base!$C$5:$C$28,B142)*(1+INDEX(Assumptions!$C$10:$C$15,MATCH(C142,Assumptions!$A$10:$A$15,0)))</f>
        <v>80.3754794417337</v>
      </c>
      <c r="M142" s="9" t="n">
        <f aca="false">F142*L142</f>
        <v>56305.1634071599</v>
      </c>
      <c r="N142" s="24" t="n">
        <f aca="false">INDEX(Data_Base!$F$5:$F$28,B142)/INDEX(Data_Base!$C$5:$C$28,B142)*(1+Assumptions!$C$38)</f>
        <v>11.5661358208955</v>
      </c>
      <c r="O142" s="9" t="n">
        <f aca="false">F142*N142</f>
        <v>8102.38609969381</v>
      </c>
      <c r="P142" s="25" t="n">
        <f aca="false">IF(A142&lt;=3,SUMIFS(Data_Q1!$D$5:$D$76,Data_Q1!$A$5:$A$76,A142,Data_Q1!$B$5:$B$76,C142,Data_Q1!$C$5:$C$76,D142),F142*INDEX(Reforecast!$D$6:$D$9,MATCH(D142,Reforecast!$A$6:$A$9,0)))</f>
        <v>702.174241140455</v>
      </c>
      <c r="Q142" s="9" t="n">
        <f aca="false">IF(A142&lt;=3,SUMIFS(Data_Q1!$E$5:$E$76,Data_Q1!$A$5:$A$76,A142,Data_Q1!$B$5:$B$76,C142,Data_Q1!$C$5:$C$76,D142),P142*G142*(1+H142)*(1+I142))</f>
        <v>87562.0871925943</v>
      </c>
      <c r="R142" s="9" t="n">
        <f aca="false">IF(A142&lt;=3,SUMIFS(Data_Q1!$F$5:$F$76,Data_Q1!$A$5:$A$76,A142,Data_Q1!$B$5:$B$76,C142,Data_Q1!$C$5:$C$76,D142),P142*L142*INDEX(Reforecast!$D$12:$D$17,MATCH(C142,Reforecast!$A$12:$A$17,0)))</f>
        <v>56428.148071121</v>
      </c>
      <c r="S142" s="9" t="n">
        <f aca="false">IF(A142&lt;=3,SUMIFS(Data_Q1!$G$5:$G$76,Data_Q1!$A$5:$A$76,A142,Data_Q1!$B$5:$B$76,C142,Data_Q1!$C$5:$C$76,D142),P142*N142)</f>
        <v>8121.44264296475</v>
      </c>
    </row>
    <row r="143" customFormat="false" ht="15" hidden="false" customHeight="false" outlineLevel="0" collapsed="false">
      <c r="A143" s="0" t="n">
        <f aca="false">MOD(ROW()-5,12)+1</f>
        <v>7</v>
      </c>
      <c r="B143" s="0" t="n">
        <f aca="false">INT((ROW()-5)/12)+1</f>
        <v>12</v>
      </c>
      <c r="C143" s="0" t="str">
        <f aca="false">INDEX(Data_Base!$A$5:$A$28,B143)</f>
        <v>Poultry</v>
      </c>
      <c r="D143" s="0" t="str">
        <f aca="false">INDEX(Data_Base!$B$5:$B$28,B143)</f>
        <v>Online Direct</v>
      </c>
      <c r="E143" s="26" t="n">
        <f aca="false">INDEX(Data_Base!$B$32:$M$37,MATCH(C143,Data_Base!$A$32:$A$37,0),A143)</f>
        <v>0.084674</v>
      </c>
      <c r="F143" s="25" t="n">
        <f aca="false">INDEX(Data_Base!$C$5:$C$28,B143)*(1+INDEX(Assumptions!$B$19:$B$22,MATCH(D143,Assumptions!$A$19:$A$22,0)))*E143</f>
        <v>696.20994976</v>
      </c>
      <c r="G143" s="24" t="n">
        <f aca="false">INDEX(Data_Base!$D$5:$D$28,B143)/INDEX(Data_Base!$C$5:$C$28,B143)</f>
        <v>122.256241389208</v>
      </c>
      <c r="H143" s="27" t="n">
        <f aca="false">IF(A143&gt;=Assumptions!$C$37,INDEX(Assumptions!$B$10:$B$15,MATCH(C143,Assumptions!$A$10:$A$15,0)),0)</f>
        <v>0.02</v>
      </c>
      <c r="I143" s="27" t="n">
        <f aca="false">IF(AND(A143&gt;=Assumptions!$C$37,INDEX(Assumptions!$C$19:$C$22,MATCH(D143,Assumptions!$A$19:$A$22,0))=1),INDEX(Assumptions!$D$10:$D$15,MATCH(C143,Assumptions!$A$10:$A$15,0)),0)</f>
        <v>0</v>
      </c>
      <c r="J143" s="9" t="n">
        <f aca="false">F143*G143*(1+H143)</f>
        <v>86818.3319089353</v>
      </c>
      <c r="K143" s="9" t="n">
        <f aca="false">J143*(1+I143)</f>
        <v>86818.3319089353</v>
      </c>
      <c r="L143" s="24" t="n">
        <f aca="false">INDEX(Data_Base!$E$5:$E$28,B143)/INDEX(Data_Base!$C$5:$C$28,B143)*(1+INDEX(Assumptions!$C$10:$C$15,MATCH(C143,Assumptions!$A$10:$A$15,0)))</f>
        <v>80.3754794417337</v>
      </c>
      <c r="M143" s="9" t="n">
        <f aca="false">F143*L143</f>
        <v>55958.2085040653</v>
      </c>
      <c r="N143" s="24" t="n">
        <f aca="false">INDEX(Data_Base!$F$5:$F$28,B143)/INDEX(Data_Base!$C$5:$C$28,B143)*(1+Assumptions!$C$38)</f>
        <v>11.5661358208955</v>
      </c>
      <c r="O143" s="9" t="n">
        <f aca="false">F143*N143</f>
        <v>8052.45883878301</v>
      </c>
      <c r="P143" s="25" t="n">
        <f aca="false">IF(A143&lt;=3,SUMIFS(Data_Q1!$D$5:$D$76,Data_Q1!$A$5:$A$76,A143,Data_Q1!$B$5:$B$76,C143,Data_Q1!$C$5:$C$76,D143),F143*INDEX(Reforecast!$D$6:$D$9,MATCH(D143,Reforecast!$A$6:$A$9,0)))</f>
        <v>697.84741246173</v>
      </c>
      <c r="Q143" s="9" t="n">
        <f aca="false">IF(A143&lt;=3,SUMIFS(Data_Q1!$E$5:$E$76,Data_Q1!$A$5:$A$76,A143,Data_Q1!$B$5:$B$76,C143,Data_Q1!$C$5:$C$76,D143),P143*G143*(1+H143)*(1+I143))</f>
        <v>87022.5257449704</v>
      </c>
      <c r="R143" s="9" t="n">
        <f aca="false">IF(A143&lt;=3,SUMIFS(Data_Q1!$F$5:$F$76,Data_Q1!$A$5:$A$76,A143,Data_Q1!$B$5:$B$76,C143,Data_Q1!$C$5:$C$76,D143),P143*L143*INDEX(Reforecast!$D$12:$D$17,MATCH(C143,Reforecast!$A$12:$A$17,0)))</f>
        <v>56080.4353310966</v>
      </c>
      <c r="S143" s="9" t="n">
        <f aca="false">IF(A143&lt;=3,SUMIFS(Data_Q1!$G$5:$G$76,Data_Q1!$A$5:$A$76,A143,Data_Q1!$B$5:$B$76,C143,Data_Q1!$C$5:$C$76,D143),P143*N143)</f>
        <v>8071.39795479286</v>
      </c>
    </row>
    <row r="144" customFormat="false" ht="15" hidden="false" customHeight="false" outlineLevel="0" collapsed="false">
      <c r="A144" s="0" t="n">
        <f aca="false">MOD(ROW()-5,12)+1</f>
        <v>8</v>
      </c>
      <c r="B144" s="0" t="n">
        <f aca="false">INT((ROW()-5)/12)+1</f>
        <v>12</v>
      </c>
      <c r="C144" s="0" t="str">
        <f aca="false">INDEX(Data_Base!$A$5:$A$28,B144)</f>
        <v>Poultry</v>
      </c>
      <c r="D144" s="0" t="str">
        <f aca="false">INDEX(Data_Base!$B$5:$B$28,B144)</f>
        <v>Online Direct</v>
      </c>
      <c r="E144" s="26" t="n">
        <f aca="false">INDEX(Data_Base!$B$32:$M$37,MATCH(C144,Data_Base!$A$32:$A$37,0),A144)</f>
        <v>0.083415</v>
      </c>
      <c r="F144" s="25" t="n">
        <f aca="false">INDEX(Data_Base!$C$5:$C$28,B144)*(1+INDEX(Assumptions!$B$19:$B$22,MATCH(D144,Assumptions!$A$19:$A$22,0)))*E144</f>
        <v>685.8581496</v>
      </c>
      <c r="G144" s="24" t="n">
        <f aca="false">INDEX(Data_Base!$D$5:$D$28,B144)/INDEX(Data_Base!$C$5:$C$28,B144)</f>
        <v>122.256241389208</v>
      </c>
      <c r="H144" s="27" t="n">
        <f aca="false">IF(A144&gt;=Assumptions!$C$37,INDEX(Assumptions!$B$10:$B$15,MATCH(C144,Assumptions!$A$10:$A$15,0)),0)</f>
        <v>0.02</v>
      </c>
      <c r="I144" s="27" t="n">
        <f aca="false">IF(AND(A144&gt;=Assumptions!$C$37,INDEX(Assumptions!$C$19:$C$22,MATCH(D144,Assumptions!$A$19:$A$22,0))=1),INDEX(Assumptions!$D$10:$D$15,MATCH(C144,Assumptions!$A$10:$A$15,0)),0)</f>
        <v>0</v>
      </c>
      <c r="J144" s="9" t="n">
        <f aca="false">F144*G144*(1+H144)</f>
        <v>85527.4482861781</v>
      </c>
      <c r="K144" s="9" t="n">
        <f aca="false">J144*(1+I144)</f>
        <v>85527.4482861781</v>
      </c>
      <c r="L144" s="24" t="n">
        <f aca="false">INDEX(Data_Base!$E$5:$E$28,B144)/INDEX(Data_Base!$C$5:$C$28,B144)*(1+INDEX(Assumptions!$C$10:$C$15,MATCH(C144,Assumptions!$A$10:$A$15,0)))</f>
        <v>80.3754794417337</v>
      </c>
      <c r="M144" s="9" t="n">
        <f aca="false">F144*L144</f>
        <v>55126.1776031203</v>
      </c>
      <c r="N144" s="24" t="n">
        <f aca="false">INDEX(Data_Base!$F$5:$F$28,B144)/INDEX(Data_Base!$C$5:$C$28,B144)*(1+Assumptions!$C$38)</f>
        <v>11.5661358208955</v>
      </c>
      <c r="O144" s="9" t="n">
        <f aca="false">F144*N144</f>
        <v>7932.72851214168</v>
      </c>
      <c r="P144" s="25" t="n">
        <f aca="false">IF(A144&lt;=3,SUMIFS(Data_Q1!$D$5:$D$76,Data_Q1!$A$5:$A$76,A144,Data_Q1!$B$5:$B$76,C144,Data_Q1!$C$5:$C$76,D144),F144*INDEX(Reforecast!$D$6:$D$9,MATCH(D144,Reforecast!$A$6:$A$9,0)))</f>
        <v>687.471265211224</v>
      </c>
      <c r="Q144" s="9" t="n">
        <f aca="false">IF(A144&lt;=3,SUMIFS(Data_Q1!$E$5:$E$76,Data_Q1!$A$5:$A$76,A144,Data_Q1!$B$5:$B$76,C144,Data_Q1!$C$5:$C$76,D144),P144*G144*(1+H144)*(1+I144))</f>
        <v>85728.6060067636</v>
      </c>
      <c r="R144" s="9" t="n">
        <f aca="false">IF(A144&lt;=3,SUMIFS(Data_Q1!$F$5:$F$76,Data_Q1!$A$5:$A$76,A144,Data_Q1!$B$5:$B$76,C144,Data_Q1!$C$5:$C$76,D144),P144*L144*INDEX(Reforecast!$D$12:$D$17,MATCH(C144,Reforecast!$A$12:$A$17,0)))</f>
        <v>55246.587065019</v>
      </c>
      <c r="S144" s="9" t="n">
        <f aca="false">IF(A144&lt;=3,SUMIFS(Data_Q1!$G$5:$G$76,Data_Q1!$A$5:$A$76,A144,Data_Q1!$B$5:$B$76,C144,Data_Q1!$C$5:$C$76,D144),P144*N144)</f>
        <v>7951.3860263959</v>
      </c>
    </row>
    <row r="145" customFormat="false" ht="15" hidden="false" customHeight="false" outlineLevel="0" collapsed="false">
      <c r="A145" s="0" t="n">
        <f aca="false">MOD(ROW()-5,12)+1</f>
        <v>9</v>
      </c>
      <c r="B145" s="0" t="n">
        <f aca="false">INT((ROW()-5)/12)+1</f>
        <v>12</v>
      </c>
      <c r="C145" s="0" t="str">
        <f aca="false">INDEX(Data_Base!$A$5:$A$28,B145)</f>
        <v>Poultry</v>
      </c>
      <c r="D145" s="0" t="str">
        <f aca="false">INDEX(Data_Base!$B$5:$B$28,B145)</f>
        <v>Online Direct</v>
      </c>
      <c r="E145" s="26" t="n">
        <f aca="false">INDEX(Data_Base!$B$32:$M$37,MATCH(C145,Data_Base!$A$32:$A$37,0),A145)</f>
        <v>0.081374</v>
      </c>
      <c r="F145" s="25" t="n">
        <f aca="false">INDEX(Data_Base!$C$5:$C$28,B145)*(1+INDEX(Assumptions!$B$19:$B$22,MATCH(D145,Assumptions!$A$19:$A$22,0)))*E145</f>
        <v>669.07655776</v>
      </c>
      <c r="G145" s="24" t="n">
        <f aca="false">INDEX(Data_Base!$D$5:$D$28,B145)/INDEX(Data_Base!$C$5:$C$28,B145)</f>
        <v>122.256241389208</v>
      </c>
      <c r="H145" s="27" t="n">
        <f aca="false">IF(A145&gt;=Assumptions!$C$37,INDEX(Assumptions!$B$10:$B$15,MATCH(C145,Assumptions!$A$10:$A$15,0)),0)</f>
        <v>0.02</v>
      </c>
      <c r="I145" s="27" t="n">
        <f aca="false">IF(AND(A145&gt;=Assumptions!$C$37,INDEX(Assumptions!$C$19:$C$22,MATCH(D145,Assumptions!$A$19:$A$22,0))=1),INDEX(Assumptions!$D$10:$D$15,MATCH(C145,Assumptions!$A$10:$A$15,0)),0)</f>
        <v>0</v>
      </c>
      <c r="J145" s="9" t="n">
        <f aca="false">F145*G145*(1+H145)</f>
        <v>83434.7608564341</v>
      </c>
      <c r="K145" s="9" t="n">
        <f aca="false">J145*(1+I145)</f>
        <v>83434.7608564341</v>
      </c>
      <c r="L145" s="24" t="n">
        <f aca="false">INDEX(Data_Base!$E$5:$E$28,B145)/INDEX(Data_Base!$C$5:$C$28,B145)*(1+INDEX(Assumptions!$C$10:$C$15,MATCH(C145,Assumptions!$A$10:$A$15,0)))</f>
        <v>80.3754794417337</v>
      </c>
      <c r="M145" s="9" t="n">
        <f aca="false">F145*L145</f>
        <v>53777.3491131848</v>
      </c>
      <c r="N145" s="24" t="n">
        <f aca="false">INDEX(Data_Base!$F$5:$F$28,B145)/INDEX(Data_Base!$C$5:$C$28,B145)*(1+Assumptions!$C$38)</f>
        <v>11.5661358208955</v>
      </c>
      <c r="O145" s="9" t="n">
        <f aca="false">F145*N145</f>
        <v>7738.63034162941</v>
      </c>
      <c r="P145" s="25" t="n">
        <f aca="false">IF(A145&lt;=3,SUMIFS(Data_Q1!$D$5:$D$76,Data_Q1!$A$5:$A$76,A145,Data_Q1!$B$5:$B$76,C145,Data_Q1!$C$5:$C$76,D145),F145*INDEX(Reforecast!$D$6:$D$9,MATCH(D145,Reforecast!$A$6:$A$9,0)))</f>
        <v>670.650203624026</v>
      </c>
      <c r="Q145" s="9" t="n">
        <f aca="false">IF(A145&lt;=3,SUMIFS(Data_Q1!$E$5:$E$76,Data_Q1!$A$5:$A$76,A145,Data_Q1!$B$5:$B$76,C145,Data_Q1!$C$5:$C$76,D145),P145*G145*(1+H145)*(1+I145))</f>
        <v>83630.9966456199</v>
      </c>
      <c r="R145" s="9" t="n">
        <f aca="false">IF(A145&lt;=3,SUMIFS(Data_Q1!$F$5:$F$76,Data_Q1!$A$5:$A$76,A145,Data_Q1!$B$5:$B$76,C145,Data_Q1!$C$5:$C$76,D145),P145*L145*INDEX(Reforecast!$D$12:$D$17,MATCH(C145,Reforecast!$A$12:$A$17,0)))</f>
        <v>53894.8123938004</v>
      </c>
      <c r="S145" s="9" t="n">
        <f aca="false">IF(A145&lt;=3,SUMIFS(Data_Q1!$G$5:$G$76,Data_Q1!$A$5:$A$76,A145,Data_Q1!$B$5:$B$76,C145,Data_Q1!$C$5:$C$76,D145),P145*N145)</f>
        <v>7756.83134342673</v>
      </c>
    </row>
    <row r="146" customFormat="false" ht="15" hidden="false" customHeight="false" outlineLevel="0" collapsed="false">
      <c r="A146" s="0" t="n">
        <f aca="false">MOD(ROW()-5,12)+1</f>
        <v>10</v>
      </c>
      <c r="B146" s="0" t="n">
        <f aca="false">INT((ROW()-5)/12)+1</f>
        <v>12</v>
      </c>
      <c r="C146" s="0" t="str">
        <f aca="false">INDEX(Data_Base!$A$5:$A$28,B146)</f>
        <v>Poultry</v>
      </c>
      <c r="D146" s="0" t="str">
        <f aca="false">INDEX(Data_Base!$B$5:$B$28,B146)</f>
        <v>Online Direct</v>
      </c>
      <c r="E146" s="26" t="n">
        <f aca="false">INDEX(Data_Base!$B$32:$M$37,MATCH(C146,Data_Base!$A$32:$A$37,0),A146)</f>
        <v>0.080908</v>
      </c>
      <c r="F146" s="25" t="n">
        <f aca="false">INDEX(Data_Base!$C$5:$C$28,B146)*(1+INDEX(Assumptions!$B$19:$B$22,MATCH(D146,Assumptions!$A$19:$A$22,0)))*E146</f>
        <v>665.24499392</v>
      </c>
      <c r="G146" s="24" t="n">
        <f aca="false">INDEX(Data_Base!$D$5:$D$28,B146)/INDEX(Data_Base!$C$5:$C$28,B146)</f>
        <v>122.256241389208</v>
      </c>
      <c r="H146" s="27" t="n">
        <f aca="false">IF(A146&gt;=Assumptions!$C$37,INDEX(Assumptions!$B$10:$B$15,MATCH(C146,Assumptions!$A$10:$A$15,0)),0)</f>
        <v>0.02</v>
      </c>
      <c r="I146" s="27" t="n">
        <f aca="false">IF(AND(A146&gt;=Assumptions!$C$37,INDEX(Assumptions!$C$19:$C$22,MATCH(D146,Assumptions!$A$19:$A$22,0))=1),INDEX(Assumptions!$D$10:$D$15,MATCH(C146,Assumptions!$A$10:$A$15,0)),0)</f>
        <v>0</v>
      </c>
      <c r="J146" s="9" t="n">
        <f aca="false">F146*G146*(1+H146)</f>
        <v>82956.9596108385</v>
      </c>
      <c r="K146" s="9" t="n">
        <f aca="false">J146*(1+I146)</f>
        <v>82956.9596108385</v>
      </c>
      <c r="L146" s="24" t="n">
        <f aca="false">INDEX(Data_Base!$E$5:$E$28,B146)/INDEX(Data_Base!$C$5:$C$28,B146)*(1+INDEX(Assumptions!$C$10:$C$15,MATCH(C146,Assumptions!$A$10:$A$15,0)))</f>
        <v>80.3754794417337</v>
      </c>
      <c r="M146" s="9" t="n">
        <f aca="false">F146*L146</f>
        <v>53469.3853325332</v>
      </c>
      <c r="N146" s="24" t="n">
        <f aca="false">INDEX(Data_Base!$F$5:$F$28,B146)/INDEX(Data_Base!$C$5:$C$28,B146)*(1+Assumptions!$C$38)</f>
        <v>11.5661358208955</v>
      </c>
      <c r="O146" s="9" t="n">
        <f aca="false">F146*N146</f>
        <v>7694.31395384954</v>
      </c>
      <c r="P146" s="25" t="n">
        <f aca="false">IF(A146&lt;=3,SUMIFS(Data_Q1!$D$5:$D$76,Data_Q1!$A$5:$A$76,A146,Data_Q1!$B$5:$B$76,C146,Data_Q1!$C$5:$C$76,D146),F146*INDEX(Reforecast!$D$6:$D$9,MATCH(D146,Reforecast!$A$6:$A$9,0)))</f>
        <v>666.809628073005</v>
      </c>
      <c r="Q146" s="9" t="n">
        <f aca="false">IF(A146&lt;=3,SUMIFS(Data_Q1!$E$5:$E$76,Data_Q1!$A$5:$A$76,A146,Data_Q1!$B$5:$B$76,C146,Data_Q1!$C$5:$C$76,D146),P146*G146*(1+H146)*(1+I146))</f>
        <v>83152.071627348</v>
      </c>
      <c r="R146" s="9" t="n">
        <f aca="false">IF(A146&lt;=3,SUMIFS(Data_Q1!$F$5:$F$76,Data_Q1!$A$5:$A$76,A146,Data_Q1!$B$5:$B$76,C146,Data_Q1!$C$5:$C$76,D146),P146*L146*INDEX(Reforecast!$D$12:$D$17,MATCH(C146,Reforecast!$A$12:$A$17,0)))</f>
        <v>53586.1759426549</v>
      </c>
      <c r="S146" s="9" t="n">
        <f aca="false">IF(A146&lt;=3,SUMIFS(Data_Q1!$G$5:$G$76,Data_Q1!$A$5:$A$76,A146,Data_Q1!$B$5:$B$76,C146,Data_Q1!$C$5:$C$76,D146),P146*N146)</f>
        <v>7712.4107249732</v>
      </c>
    </row>
    <row r="147" customFormat="false" ht="15" hidden="false" customHeight="false" outlineLevel="0" collapsed="false">
      <c r="A147" s="0" t="n">
        <f aca="false">MOD(ROW()-5,12)+1</f>
        <v>11</v>
      </c>
      <c r="B147" s="0" t="n">
        <f aca="false">INT((ROW()-5)/12)+1</f>
        <v>12</v>
      </c>
      <c r="C147" s="0" t="str">
        <f aca="false">INDEX(Data_Base!$A$5:$A$28,B147)</f>
        <v>Poultry</v>
      </c>
      <c r="D147" s="0" t="str">
        <f aca="false">INDEX(Data_Base!$B$5:$B$28,B147)</f>
        <v>Online Direct</v>
      </c>
      <c r="E147" s="26" t="n">
        <f aca="false">INDEX(Data_Base!$B$32:$M$37,MATCH(C147,Data_Base!$A$32:$A$37,0),A147)</f>
        <v>0.083077</v>
      </c>
      <c r="F147" s="25" t="n">
        <f aca="false">INDEX(Data_Base!$C$5:$C$28,B147)*(1+INDEX(Assumptions!$B$19:$B$22,MATCH(D147,Assumptions!$A$19:$A$22,0)))*E147</f>
        <v>683.07903248</v>
      </c>
      <c r="G147" s="24" t="n">
        <f aca="false">INDEX(Data_Base!$D$5:$D$28,B147)/INDEX(Data_Base!$C$5:$C$28,B147)</f>
        <v>122.256241389208</v>
      </c>
      <c r="H147" s="27" t="n">
        <f aca="false">IF(A147&gt;=Assumptions!$C$37,INDEX(Assumptions!$B$10:$B$15,MATCH(C147,Assumptions!$A$10:$A$15,0)),0)</f>
        <v>0.02</v>
      </c>
      <c r="I147" s="27" t="n">
        <f aca="false">IF(AND(A147&gt;=Assumptions!$C$37,INDEX(Assumptions!$C$19:$C$22,MATCH(D147,Assumptions!$A$19:$A$22,0))=1),INDEX(Assumptions!$D$10:$D$15,MATCH(C147,Assumptions!$A$10:$A$15,0)),0)</f>
        <v>0</v>
      </c>
      <c r="J147" s="9" t="n">
        <f aca="false">F147*G147*(1+H147)</f>
        <v>85180.888584437</v>
      </c>
      <c r="K147" s="9" t="n">
        <f aca="false">J147*(1+I147)</f>
        <v>85180.888584437</v>
      </c>
      <c r="L147" s="24" t="n">
        <f aca="false">INDEX(Data_Base!$E$5:$E$28,B147)/INDEX(Data_Base!$C$5:$C$28,B147)*(1+INDEX(Assumptions!$C$10:$C$15,MATCH(C147,Assumptions!$A$10:$A$15,0)))</f>
        <v>80.3754794417337</v>
      </c>
      <c r="M147" s="9" t="n">
        <f aca="false">F147*L147</f>
        <v>54902.8047321755</v>
      </c>
      <c r="N147" s="24" t="n">
        <f aca="false">INDEX(Data_Base!$F$5:$F$28,B147)/INDEX(Data_Base!$C$5:$C$28,B147)*(1+Assumptions!$C$38)</f>
        <v>11.5661358208955</v>
      </c>
      <c r="O147" s="9" t="n">
        <f aca="false">F147*N147</f>
        <v>7900.58486606958</v>
      </c>
      <c r="P147" s="25" t="n">
        <f aca="false">IF(A147&lt;=3,SUMIFS(Data_Q1!$D$5:$D$76,Data_Q1!$A$5:$A$76,A147,Data_Q1!$B$5:$B$76,C147,Data_Q1!$C$5:$C$76,D147),F147*INDEX(Reforecast!$D$6:$D$9,MATCH(D147,Reforecast!$A$6:$A$9,0)))</f>
        <v>684.685611699968</v>
      </c>
      <c r="Q147" s="9" t="n">
        <f aca="false">IF(A147&lt;=3,SUMIFS(Data_Q1!$E$5:$E$76,Data_Q1!$A$5:$A$76,A147,Data_Q1!$B$5:$B$76,C147,Data_Q1!$C$5:$C$76,D147),P147*G147*(1+H147)*(1+I147))</f>
        <v>85381.2312081029</v>
      </c>
      <c r="R147" s="9" t="n">
        <f aca="false">IF(A147&lt;=3,SUMIFS(Data_Q1!$F$5:$F$76,Data_Q1!$A$5:$A$76,A147,Data_Q1!$B$5:$B$76,C147,Data_Q1!$C$5:$C$76,D147),P147*L147*INDEX(Reforecast!$D$12:$D$17,MATCH(C147,Reforecast!$A$12:$A$17,0)))</f>
        <v>55022.7262914414</v>
      </c>
      <c r="S147" s="9" t="n">
        <f aca="false">IF(A147&lt;=3,SUMIFS(Data_Q1!$G$5:$G$76,Data_Q1!$A$5:$A$76,A147,Data_Q1!$B$5:$B$76,C147,Data_Q1!$C$5:$C$76,D147),P147*N147)</f>
        <v>7919.16677953477</v>
      </c>
    </row>
    <row r="148" customFormat="false" ht="15" hidden="false" customHeight="false" outlineLevel="0" collapsed="false">
      <c r="A148" s="0" t="n">
        <f aca="false">MOD(ROW()-5,12)+1</f>
        <v>12</v>
      </c>
      <c r="B148" s="0" t="n">
        <f aca="false">INT((ROW()-5)/12)+1</f>
        <v>12</v>
      </c>
      <c r="C148" s="0" t="str">
        <f aca="false">INDEX(Data_Base!$A$5:$A$28,B148)</f>
        <v>Poultry</v>
      </c>
      <c r="D148" s="0" t="str">
        <f aca="false">INDEX(Data_Base!$B$5:$B$28,B148)</f>
        <v>Online Direct</v>
      </c>
      <c r="E148" s="26" t="n">
        <f aca="false">INDEX(Data_Base!$B$32:$M$37,MATCH(C148,Data_Base!$A$32:$A$37,0),A148)</f>
        <v>0.09062</v>
      </c>
      <c r="F148" s="25" t="n">
        <f aca="false">INDEX(Data_Base!$C$5:$C$28,B148)*(1+INDEX(Assumptions!$B$19:$B$22,MATCH(D148,Assumptions!$A$19:$A$22,0)))*E148</f>
        <v>745.0993888</v>
      </c>
      <c r="G148" s="24" t="n">
        <f aca="false">INDEX(Data_Base!$D$5:$D$28,B148)/INDEX(Data_Base!$C$5:$C$28,B148)</f>
        <v>122.256241389208</v>
      </c>
      <c r="H148" s="27" t="n">
        <f aca="false">IF(A148&gt;=Assumptions!$C$37,INDEX(Assumptions!$B$10:$B$15,MATCH(C148,Assumptions!$A$10:$A$15,0)),0)</f>
        <v>0.02</v>
      </c>
      <c r="I148" s="27" t="n">
        <f aca="false">IF(AND(A148&gt;=Assumptions!$C$37,INDEX(Assumptions!$C$19:$C$22,MATCH(D148,Assumptions!$A$19:$A$22,0))=1),INDEX(Assumptions!$D$10:$D$15,MATCH(C148,Assumptions!$A$10:$A$15,0)),0)</f>
        <v>0</v>
      </c>
      <c r="J148" s="9" t="n">
        <f aca="false">F148*G148*(1+H148)</f>
        <v>92914.9117508057</v>
      </c>
      <c r="K148" s="9" t="n">
        <f aca="false">J148*(1+I148)</f>
        <v>92914.9117508057</v>
      </c>
      <c r="L148" s="24" t="n">
        <f aca="false">INDEX(Data_Base!$E$5:$E$28,B148)/INDEX(Data_Base!$C$5:$C$28,B148)*(1+INDEX(Assumptions!$C$10:$C$15,MATCH(C148,Assumptions!$A$10:$A$15,0)))</f>
        <v>80.3754794417337</v>
      </c>
      <c r="M148" s="9" t="n">
        <f aca="false">F148*L148</f>
        <v>59887.7206065427</v>
      </c>
      <c r="N148" s="24" t="n">
        <f aca="false">INDEX(Data_Base!$F$5:$F$28,B148)/INDEX(Data_Base!$C$5:$C$28,B148)*(1+Assumptions!$C$38)</f>
        <v>11.5661358208955</v>
      </c>
      <c r="O148" s="9" t="n">
        <f aca="false">F148*N148</f>
        <v>8617.92073092704</v>
      </c>
      <c r="P148" s="25" t="n">
        <f aca="false">IF(A148&lt;=3,SUMIFS(Data_Q1!$D$5:$D$76,Data_Q1!$A$5:$A$76,A148,Data_Q1!$B$5:$B$76,C148,Data_Q1!$C$5:$C$76,D148),F148*INDEX(Reforecast!$D$6:$D$9,MATCH(D148,Reforecast!$A$6:$A$9,0)))</f>
        <v>746.85183784021</v>
      </c>
      <c r="Q148" s="9" t="n">
        <f aca="false">IF(A148&lt;=3,SUMIFS(Data_Q1!$E$5:$E$76,Data_Q1!$A$5:$A$76,A148,Data_Q1!$B$5:$B$76,C148,Data_Q1!$C$5:$C$76,D148),P148*G148*(1+H148)*(1+I148))</f>
        <v>93133.4445403455</v>
      </c>
      <c r="R148" s="9" t="n">
        <f aca="false">IF(A148&lt;=3,SUMIFS(Data_Q1!$F$5:$F$76,Data_Q1!$A$5:$A$76,A148,Data_Q1!$B$5:$B$76,C148,Data_Q1!$C$5:$C$76,D148),P148*L148*INDEX(Reforecast!$D$12:$D$17,MATCH(C148,Reforecast!$A$12:$A$17,0)))</f>
        <v>60018.5304781157</v>
      </c>
      <c r="S148" s="9" t="n">
        <f aca="false">IF(A148&lt;=3,SUMIFS(Data_Q1!$G$5:$G$76,Data_Q1!$A$5:$A$76,A148,Data_Q1!$B$5:$B$76,C148,Data_Q1!$C$5:$C$76,D148),P148*N148)</f>
        <v>8638.18979454531</v>
      </c>
    </row>
    <row r="149" customFormat="false" ht="15" hidden="false" customHeight="false" outlineLevel="0" collapsed="false">
      <c r="A149" s="0" t="n">
        <f aca="false">MOD(ROW()-5,12)+1</f>
        <v>1</v>
      </c>
      <c r="B149" s="0" t="n">
        <f aca="false">INT((ROW()-5)/12)+1</f>
        <v>13</v>
      </c>
      <c r="C149" s="0" t="str">
        <f aca="false">INDEX(Data_Base!$A$5:$A$28,B149)</f>
        <v>Seafood</v>
      </c>
      <c r="D149" s="0" t="str">
        <f aca="false">INDEX(Data_Base!$B$5:$B$28,B149)</f>
        <v>Restaurants</v>
      </c>
      <c r="E149" s="26" t="n">
        <f aca="false">INDEX(Data_Base!$B$32:$M$37,MATCH(C149,Data_Base!$A$32:$A$37,0),A149)</f>
        <v>0.066916</v>
      </c>
      <c r="F149" s="25" t="n">
        <f aca="false">INDEX(Data_Base!$C$5:$C$28,B149)*(1+INDEX(Assumptions!$B$19:$B$22,MATCH(D149,Assumptions!$A$19:$A$22,0)))*E149</f>
        <v>938.90642592</v>
      </c>
      <c r="G149" s="24" t="n">
        <f aca="false">INDEX(Data_Base!$D$5:$D$28,B149)/INDEX(Data_Base!$C$5:$C$28,B149)</f>
        <v>204.201997673742</v>
      </c>
      <c r="H149" s="27" t="n">
        <f aca="false">IF(A149&gt;=Assumptions!$C$37,INDEX(Assumptions!$B$10:$B$15,MATCH(C149,Assumptions!$A$10:$A$15,0)),0)</f>
        <v>0</v>
      </c>
      <c r="I149" s="27" t="n">
        <f aca="false">IF(AND(A149&gt;=Assumptions!$C$37,INDEX(Assumptions!$C$19:$C$22,MATCH(D149,Assumptions!$A$19:$A$22,0))=1),INDEX(Assumptions!$D$10:$D$15,MATCH(C149,Assumptions!$A$10:$A$15,0)),0)</f>
        <v>0</v>
      </c>
      <c r="J149" s="9" t="n">
        <f aca="false">F149*G149*(1+H149)</f>
        <v>191726.567801578</v>
      </c>
      <c r="K149" s="9" t="n">
        <f aca="false">J149*(1+I149)</f>
        <v>191726.567801578</v>
      </c>
      <c r="L149" s="24" t="n">
        <f aca="false">INDEX(Data_Base!$E$5:$E$28,B149)/INDEX(Data_Base!$C$5:$C$28,B149)*(1+INDEX(Assumptions!$C$10:$C$15,MATCH(C149,Assumptions!$A$10:$A$15,0)))</f>
        <v>155.667101388485</v>
      </c>
      <c r="M149" s="9" t="n">
        <f aca="false">F149*L149</f>
        <v>146156.841797989</v>
      </c>
      <c r="N149" s="24" t="n">
        <f aca="false">INDEX(Data_Base!$F$5:$F$28,B149)/INDEX(Data_Base!$C$5:$C$28,B149)*(1+Assumptions!$C$38)</f>
        <v>2.72499505670253</v>
      </c>
      <c r="O149" s="9" t="n">
        <f aca="false">F149*N149</f>
        <v>2558.51536933824</v>
      </c>
      <c r="P149" s="25" t="n">
        <f aca="false">IF(A149&lt;=3,SUMIFS(Data_Q1!$D$5:$D$76,Data_Q1!$A$5:$A$76,A149,Data_Q1!$B$5:$B$76,C149,Data_Q1!$C$5:$C$76,D149),F149*INDEX(Reforecast!$D$6:$D$9,MATCH(D149,Reforecast!$A$6:$A$9,0)))</f>
        <v>917.8</v>
      </c>
      <c r="Q149" s="9" t="n">
        <f aca="false">IF(A149&lt;=3,SUMIFS(Data_Q1!$E$5:$E$76,Data_Q1!$A$5:$A$76,A149,Data_Q1!$B$5:$B$76,C149,Data_Q1!$C$5:$C$76,D149),P149*G149*(1+H149)*(1+I149))</f>
        <v>187515.4</v>
      </c>
      <c r="R149" s="9" t="n">
        <f aca="false">IF(A149&lt;=3,SUMIFS(Data_Q1!$F$5:$F$76,Data_Q1!$A$5:$A$76,A149,Data_Q1!$B$5:$B$76,C149,Data_Q1!$C$5:$C$76,D149),P149*L149*INDEX(Reforecast!$D$12:$D$17,MATCH(C149,Reforecast!$A$12:$A$17,0)))</f>
        <v>143838.53</v>
      </c>
      <c r="S149" s="9" t="n">
        <f aca="false">IF(A149&lt;=3,SUMIFS(Data_Q1!$G$5:$G$76,Data_Q1!$A$5:$A$76,A149,Data_Q1!$B$5:$B$76,C149,Data_Q1!$C$5:$C$76,D149),P149*N149)</f>
        <v>2500.98</v>
      </c>
    </row>
    <row r="150" customFormat="false" ht="15" hidden="false" customHeight="false" outlineLevel="0" collapsed="false">
      <c r="A150" s="0" t="n">
        <f aca="false">MOD(ROW()-5,12)+1</f>
        <v>2</v>
      </c>
      <c r="B150" s="0" t="n">
        <f aca="false">INT((ROW()-5)/12)+1</f>
        <v>13</v>
      </c>
      <c r="C150" s="0" t="str">
        <f aca="false">INDEX(Data_Base!$A$5:$A$28,B150)</f>
        <v>Seafood</v>
      </c>
      <c r="D150" s="0" t="str">
        <f aca="false">INDEX(Data_Base!$B$5:$B$28,B150)</f>
        <v>Restaurants</v>
      </c>
      <c r="E150" s="26" t="n">
        <f aca="false">INDEX(Data_Base!$B$32:$M$37,MATCH(C150,Data_Base!$A$32:$A$37,0),A150)</f>
        <v>0.065437</v>
      </c>
      <c r="F150" s="25" t="n">
        <f aca="false">INDEX(Data_Base!$C$5:$C$28,B150)*(1+INDEX(Assumptions!$B$19:$B$22,MATCH(D150,Assumptions!$A$19:$A$22,0)))*E150</f>
        <v>918.15439944</v>
      </c>
      <c r="G150" s="24" t="n">
        <f aca="false">INDEX(Data_Base!$D$5:$D$28,B150)/INDEX(Data_Base!$C$5:$C$28,B150)</f>
        <v>204.201997673742</v>
      </c>
      <c r="H150" s="27" t="n">
        <f aca="false">IF(A150&gt;=Assumptions!$C$37,INDEX(Assumptions!$B$10:$B$15,MATCH(C150,Assumptions!$A$10:$A$15,0)),0)</f>
        <v>0.03</v>
      </c>
      <c r="I150" s="27" t="n">
        <f aca="false">IF(AND(A150&gt;=Assumptions!$C$37,INDEX(Assumptions!$C$19:$C$22,MATCH(D150,Assumptions!$A$19:$A$22,0))=1),INDEX(Assumptions!$D$10:$D$15,MATCH(C150,Assumptions!$A$10:$A$15,0)),0)</f>
        <v>0.015</v>
      </c>
      <c r="J150" s="9" t="n">
        <f aca="false">F150*G150*(1+H150)</f>
        <v>193113.631414741</v>
      </c>
      <c r="K150" s="9" t="n">
        <f aca="false">J150*(1+I150)</f>
        <v>196010.335885962</v>
      </c>
      <c r="L150" s="24" t="n">
        <f aca="false">INDEX(Data_Base!$E$5:$E$28,B150)/INDEX(Data_Base!$C$5:$C$28,B150)*(1+INDEX(Assumptions!$C$10:$C$15,MATCH(C150,Assumptions!$A$10:$A$15,0)))</f>
        <v>155.667101388485</v>
      </c>
      <c r="M150" s="9" t="n">
        <f aca="false">F150*L150</f>
        <v>142926.43398791</v>
      </c>
      <c r="N150" s="24" t="n">
        <f aca="false">INDEX(Data_Base!$F$5:$F$28,B150)/INDEX(Data_Base!$C$5:$C$28,B150)*(1+Assumptions!$C$38)</f>
        <v>2.72499505670253</v>
      </c>
      <c r="O150" s="9" t="n">
        <f aca="false">F150*N150</f>
        <v>2501.96619976368</v>
      </c>
      <c r="P150" s="25" t="n">
        <f aca="false">IF(A150&lt;=3,SUMIFS(Data_Q1!$D$5:$D$76,Data_Q1!$A$5:$A$76,A150,Data_Q1!$B$5:$B$76,C150,Data_Q1!$C$5:$C$76,D150),F150*INDEX(Reforecast!$D$6:$D$9,MATCH(D150,Reforecast!$A$6:$A$9,0)))</f>
        <v>876.7</v>
      </c>
      <c r="Q150" s="9" t="n">
        <f aca="false">IF(A150&lt;=3,SUMIFS(Data_Q1!$E$5:$E$76,Data_Q1!$A$5:$A$76,A150,Data_Q1!$B$5:$B$76,C150,Data_Q1!$C$5:$C$76,D150),P150*G150*(1+H150)*(1+I150))</f>
        <v>187658.21</v>
      </c>
      <c r="R150" s="9" t="n">
        <f aca="false">IF(A150&lt;=3,SUMIFS(Data_Q1!$F$5:$F$76,Data_Q1!$A$5:$A$76,A150,Data_Q1!$B$5:$B$76,C150,Data_Q1!$C$5:$C$76,D150),P150*L150*INDEX(Reforecast!$D$12:$D$17,MATCH(C150,Reforecast!$A$12:$A$17,0)))</f>
        <v>136683.75</v>
      </c>
      <c r="S150" s="9" t="n">
        <f aca="false">IF(A150&lt;=3,SUMIFS(Data_Q1!$G$5:$G$76,Data_Q1!$A$5:$A$76,A150,Data_Q1!$B$5:$B$76,C150,Data_Q1!$C$5:$C$76,D150),P150*N150)</f>
        <v>2389.08</v>
      </c>
    </row>
    <row r="151" customFormat="false" ht="15" hidden="false" customHeight="false" outlineLevel="0" collapsed="false">
      <c r="A151" s="0" t="n">
        <f aca="false">MOD(ROW()-5,12)+1</f>
        <v>3</v>
      </c>
      <c r="B151" s="0" t="n">
        <f aca="false">INT((ROW()-5)/12)+1</f>
        <v>13</v>
      </c>
      <c r="C151" s="0" t="str">
        <f aca="false">INDEX(Data_Base!$A$5:$A$28,B151)</f>
        <v>Seafood</v>
      </c>
      <c r="D151" s="0" t="str">
        <f aca="false">INDEX(Data_Base!$B$5:$B$28,B151)</f>
        <v>Restaurants</v>
      </c>
      <c r="E151" s="26" t="n">
        <f aca="false">INDEX(Data_Base!$B$32:$M$37,MATCH(C151,Data_Base!$A$32:$A$37,0),A151)</f>
        <v>0.075363</v>
      </c>
      <c r="F151" s="25" t="n">
        <f aca="false">INDEX(Data_Base!$C$5:$C$28,B151)*(1+INDEX(Assumptions!$B$19:$B$22,MATCH(D151,Assumptions!$A$19:$A$22,0)))*E151</f>
        <v>1057.42729656</v>
      </c>
      <c r="G151" s="24" t="n">
        <f aca="false">INDEX(Data_Base!$D$5:$D$28,B151)/INDEX(Data_Base!$C$5:$C$28,B151)</f>
        <v>204.201997673742</v>
      </c>
      <c r="H151" s="27" t="n">
        <f aca="false">IF(A151&gt;=Assumptions!$C$37,INDEX(Assumptions!$B$10:$B$15,MATCH(C151,Assumptions!$A$10:$A$15,0)),0)</f>
        <v>0.03</v>
      </c>
      <c r="I151" s="27" t="n">
        <f aca="false">IF(AND(A151&gt;=Assumptions!$C$37,INDEX(Assumptions!$C$19:$C$22,MATCH(D151,Assumptions!$A$19:$A$22,0))=1),INDEX(Assumptions!$D$10:$D$15,MATCH(C151,Assumptions!$A$10:$A$15,0)),0)</f>
        <v>0.015</v>
      </c>
      <c r="J151" s="9" t="n">
        <f aca="false">F151*G151*(1+H151)</f>
        <v>222406.629342866</v>
      </c>
      <c r="K151" s="9" t="n">
        <f aca="false">J151*(1+I151)</f>
        <v>225742.728783009</v>
      </c>
      <c r="L151" s="24" t="n">
        <f aca="false">INDEX(Data_Base!$E$5:$E$28,B151)/INDEX(Data_Base!$C$5:$C$28,B151)*(1+INDEX(Assumptions!$C$10:$C$15,MATCH(C151,Assumptions!$A$10:$A$15,0)))</f>
        <v>155.667101388485</v>
      </c>
      <c r="M151" s="9" t="n">
        <f aca="false">F151*L151</f>
        <v>164606.642184557</v>
      </c>
      <c r="N151" s="24" t="n">
        <f aca="false">INDEX(Data_Base!$F$5:$F$28,B151)/INDEX(Data_Base!$C$5:$C$28,B151)*(1+Assumptions!$C$38)</f>
        <v>2.72499505670253</v>
      </c>
      <c r="O151" s="9" t="n">
        <f aca="false">F151*N151</f>
        <v>2881.48415594832</v>
      </c>
      <c r="P151" s="25" t="n">
        <f aca="false">IF(A151&lt;=3,SUMIFS(Data_Q1!$D$5:$D$76,Data_Q1!$A$5:$A$76,A151,Data_Q1!$B$5:$B$76,C151,Data_Q1!$C$5:$C$76,D151),F151*INDEX(Reforecast!$D$6:$D$9,MATCH(D151,Reforecast!$A$6:$A$9,0)))</f>
        <v>1037.7</v>
      </c>
      <c r="Q151" s="9" t="n">
        <f aca="false">IF(A151&lt;=3,SUMIFS(Data_Q1!$E$5:$E$76,Data_Q1!$A$5:$A$76,A151,Data_Q1!$B$5:$B$76,C151,Data_Q1!$C$5:$C$76,D151),P151*G151*(1+H151)*(1+I151))</f>
        <v>221678.31</v>
      </c>
      <c r="R151" s="9" t="n">
        <f aca="false">IF(A151&lt;=3,SUMIFS(Data_Q1!$F$5:$F$76,Data_Q1!$A$5:$A$76,A151,Data_Q1!$B$5:$B$76,C151,Data_Q1!$C$5:$C$76,D151),P151*L151*INDEX(Reforecast!$D$12:$D$17,MATCH(C151,Reforecast!$A$12:$A$17,0)))</f>
        <v>162424.29</v>
      </c>
      <c r="S151" s="9" t="n">
        <f aca="false">IF(A151&lt;=3,SUMIFS(Data_Q1!$G$5:$G$76,Data_Q1!$A$5:$A$76,A151,Data_Q1!$B$5:$B$76,C151,Data_Q1!$C$5:$C$76,D151),P151*N151)</f>
        <v>2827.6</v>
      </c>
    </row>
    <row r="152" customFormat="false" ht="15" hidden="false" customHeight="false" outlineLevel="0" collapsed="false">
      <c r="A152" s="0" t="n">
        <f aca="false">MOD(ROW()-5,12)+1</f>
        <v>4</v>
      </c>
      <c r="B152" s="0" t="n">
        <f aca="false">INT((ROW()-5)/12)+1</f>
        <v>13</v>
      </c>
      <c r="C152" s="0" t="str">
        <f aca="false">INDEX(Data_Base!$A$5:$A$28,B152)</f>
        <v>Seafood</v>
      </c>
      <c r="D152" s="0" t="str">
        <f aca="false">INDEX(Data_Base!$B$5:$B$28,B152)</f>
        <v>Restaurants</v>
      </c>
      <c r="E152" s="26" t="n">
        <f aca="false">INDEX(Data_Base!$B$32:$M$37,MATCH(C152,Data_Base!$A$32:$A$37,0),A152)</f>
        <v>0.082561</v>
      </c>
      <c r="F152" s="25" t="n">
        <f aca="false">INDEX(Data_Base!$C$5:$C$28,B152)*(1+INDEX(Assumptions!$B$19:$B$22,MATCH(D152,Assumptions!$A$19:$A$22,0)))*E152</f>
        <v>1158.42329832</v>
      </c>
      <c r="G152" s="24" t="n">
        <f aca="false">INDEX(Data_Base!$D$5:$D$28,B152)/INDEX(Data_Base!$C$5:$C$28,B152)</f>
        <v>204.201997673742</v>
      </c>
      <c r="H152" s="27" t="n">
        <f aca="false">IF(A152&gt;=Assumptions!$C$37,INDEX(Assumptions!$B$10:$B$15,MATCH(C152,Assumptions!$A$10:$A$15,0)),0)</f>
        <v>0.03</v>
      </c>
      <c r="I152" s="27" t="n">
        <f aca="false">IF(AND(A152&gt;=Assumptions!$C$37,INDEX(Assumptions!$C$19:$C$22,MATCH(D152,Assumptions!$A$19:$A$22,0))=1),INDEX(Assumptions!$D$10:$D$15,MATCH(C152,Assumptions!$A$10:$A$15,0)),0)</f>
        <v>0.015</v>
      </c>
      <c r="J152" s="9" t="n">
        <f aca="false">F152*G152*(1+H152)</f>
        <v>243648.922218812</v>
      </c>
      <c r="K152" s="9" t="n">
        <f aca="false">J152*(1+I152)</f>
        <v>247303.656052094</v>
      </c>
      <c r="L152" s="24" t="n">
        <f aca="false">INDEX(Data_Base!$E$5:$E$28,B152)/INDEX(Data_Base!$C$5:$C$28,B152)*(1+INDEX(Assumptions!$C$10:$C$15,MATCH(C152,Assumptions!$A$10:$A$15,0)))</f>
        <v>155.667101388485</v>
      </c>
      <c r="M152" s="9" t="n">
        <f aca="false">F152*L152</f>
        <v>180328.397030363</v>
      </c>
      <c r="N152" s="24" t="n">
        <f aca="false">INDEX(Data_Base!$F$5:$F$28,B152)/INDEX(Data_Base!$C$5:$C$28,B152)*(1+Assumptions!$C$38)</f>
        <v>2.72499505670253</v>
      </c>
      <c r="O152" s="9" t="n">
        <f aca="false">F152*N152</f>
        <v>3156.69776149104</v>
      </c>
      <c r="P152" s="25" t="n">
        <f aca="false">IF(A152&lt;=3,SUMIFS(Data_Q1!$D$5:$D$76,Data_Q1!$A$5:$A$76,A152,Data_Q1!$B$5:$B$76,C152,Data_Q1!$C$5:$C$76,D152),F152*INDEX(Reforecast!$D$6:$D$9,MATCH(D152,Reforecast!$A$6:$A$9,0)))</f>
        <v>1109.81505542478</v>
      </c>
      <c r="Q152" s="9" t="n">
        <f aca="false">IF(A152&lt;=3,SUMIFS(Data_Q1!$E$5:$E$76,Data_Q1!$A$5:$A$76,A152,Data_Q1!$B$5:$B$76,C152,Data_Q1!$C$5:$C$76,D152),P152*G152*(1+H152)*(1+I152))</f>
        <v>236926.623580726</v>
      </c>
      <c r="R152" s="9" t="n">
        <f aca="false">IF(A152&lt;=3,SUMIFS(Data_Q1!$F$5:$F$76,Data_Q1!$A$5:$A$76,A152,Data_Q1!$B$5:$B$76,C152,Data_Q1!$C$5:$C$76,D152),P152*L152*INDEX(Reforecast!$D$12:$D$17,MATCH(C152,Reforecast!$A$12:$A$17,0)))</f>
        <v>173099.722455217</v>
      </c>
      <c r="S152" s="9" t="n">
        <f aca="false">IF(A152&lt;=3,SUMIFS(Data_Q1!$G$5:$G$76,Data_Q1!$A$5:$A$76,A152,Data_Q1!$B$5:$B$76,C152,Data_Q1!$C$5:$C$76,D152),P152*N152)</f>
        <v>3024.24053988657</v>
      </c>
    </row>
    <row r="153" customFormat="false" ht="15" hidden="false" customHeight="false" outlineLevel="0" collapsed="false">
      <c r="A153" s="0" t="n">
        <f aca="false">MOD(ROW()-5,12)+1</f>
        <v>5</v>
      </c>
      <c r="B153" s="0" t="n">
        <f aca="false">INT((ROW()-5)/12)+1</f>
        <v>13</v>
      </c>
      <c r="C153" s="0" t="str">
        <f aca="false">INDEX(Data_Base!$A$5:$A$28,B153)</f>
        <v>Seafood</v>
      </c>
      <c r="D153" s="0" t="str">
        <f aca="false">INDEX(Data_Base!$B$5:$B$28,B153)</f>
        <v>Restaurants</v>
      </c>
      <c r="E153" s="26" t="n">
        <f aca="false">INDEX(Data_Base!$B$32:$M$37,MATCH(C153,Data_Base!$A$32:$A$37,0),A153)</f>
        <v>0.103135</v>
      </c>
      <c r="F153" s="25" t="n">
        <f aca="false">INDEX(Data_Base!$C$5:$C$28,B153)*(1+INDEX(Assumptions!$B$19:$B$22,MATCH(D153,Assumptions!$A$19:$A$22,0)))*E153</f>
        <v>1447.0995612</v>
      </c>
      <c r="G153" s="24" t="n">
        <f aca="false">INDEX(Data_Base!$D$5:$D$28,B153)/INDEX(Data_Base!$C$5:$C$28,B153)</f>
        <v>204.201997673742</v>
      </c>
      <c r="H153" s="27" t="n">
        <f aca="false">IF(A153&gt;=Assumptions!$C$37,INDEX(Assumptions!$B$10:$B$15,MATCH(C153,Assumptions!$A$10:$A$15,0)),0)</f>
        <v>0.03</v>
      </c>
      <c r="I153" s="27" t="n">
        <f aca="false">IF(AND(A153&gt;=Assumptions!$C$37,INDEX(Assumptions!$C$19:$C$22,MATCH(D153,Assumptions!$A$19:$A$22,0))=1),INDEX(Assumptions!$D$10:$D$15,MATCH(C153,Assumptions!$A$10:$A$15,0)),0)</f>
        <v>0.015</v>
      </c>
      <c r="J153" s="9" t="n">
        <f aca="false">F153*G153*(1+H153)</f>
        <v>304365.639866731</v>
      </c>
      <c r="K153" s="9" t="n">
        <f aca="false">J153*(1+I153)</f>
        <v>308931.124464732</v>
      </c>
      <c r="L153" s="24" t="n">
        <f aca="false">INDEX(Data_Base!$E$5:$E$28,B153)/INDEX(Data_Base!$C$5:$C$28,B153)*(1+INDEX(Assumptions!$C$10:$C$15,MATCH(C153,Assumptions!$A$10:$A$15,0)))</f>
        <v>155.667101388485</v>
      </c>
      <c r="M153" s="9" t="n">
        <f aca="false">F153*L153</f>
        <v>225265.794112553</v>
      </c>
      <c r="N153" s="24" t="n">
        <f aca="false">INDEX(Data_Base!$F$5:$F$28,B153)/INDEX(Data_Base!$C$5:$C$28,B153)*(1+Assumptions!$C$38)</f>
        <v>2.72499505670253</v>
      </c>
      <c r="O153" s="9" t="n">
        <f aca="false">F153*N153</f>
        <v>3943.3391508264</v>
      </c>
      <c r="P153" s="25" t="n">
        <f aca="false">IF(A153&lt;=3,SUMIFS(Data_Q1!$D$5:$D$76,Data_Q1!$A$5:$A$76,A153,Data_Q1!$B$5:$B$76,C153,Data_Q1!$C$5:$C$76,D153),F153*INDEX(Reforecast!$D$6:$D$9,MATCH(D153,Reforecast!$A$6:$A$9,0)))</f>
        <v>1386.3782626329</v>
      </c>
      <c r="Q153" s="9" t="n">
        <f aca="false">IF(A153&lt;=3,SUMIFS(Data_Q1!$E$5:$E$76,Data_Q1!$A$5:$A$76,A153,Data_Q1!$B$5:$B$76,C153,Data_Q1!$C$5:$C$76,D153),P153*G153*(1+H153)*(1+I153))</f>
        <v>295968.160790182</v>
      </c>
      <c r="R153" s="9" t="n">
        <f aca="false">IF(A153&lt;=3,SUMIFS(Data_Q1!$F$5:$F$76,Data_Q1!$A$5:$A$76,A153,Data_Q1!$B$5:$B$76,C153,Data_Q1!$C$5:$C$76,D153),P153*L153*INDEX(Reforecast!$D$12:$D$17,MATCH(C153,Reforecast!$A$12:$A$17,0)))</f>
        <v>216235.751449459</v>
      </c>
      <c r="S153" s="9" t="n">
        <f aca="false">IF(A153&lt;=3,SUMIFS(Data_Q1!$G$5:$G$76,Data_Q1!$A$5:$A$76,A153,Data_Q1!$B$5:$B$76,C153,Data_Q1!$C$5:$C$76,D153),P153*N153)</f>
        <v>3777.87391239449</v>
      </c>
    </row>
    <row r="154" customFormat="false" ht="15" hidden="false" customHeight="false" outlineLevel="0" collapsed="false">
      <c r="A154" s="0" t="n">
        <f aca="false">MOD(ROW()-5,12)+1</f>
        <v>6</v>
      </c>
      <c r="B154" s="0" t="n">
        <f aca="false">INT((ROW()-5)/12)+1</f>
        <v>13</v>
      </c>
      <c r="C154" s="0" t="str">
        <f aca="false">INDEX(Data_Base!$A$5:$A$28,B154)</f>
        <v>Seafood</v>
      </c>
      <c r="D154" s="0" t="str">
        <f aca="false">INDEX(Data_Base!$B$5:$B$28,B154)</f>
        <v>Restaurants</v>
      </c>
      <c r="E154" s="26" t="n">
        <f aca="false">INDEX(Data_Base!$B$32:$M$37,MATCH(C154,Data_Base!$A$32:$A$37,0),A154)</f>
        <v>0.107112</v>
      </c>
      <c r="F154" s="25" t="n">
        <f aca="false">INDEX(Data_Base!$C$5:$C$28,B154)*(1+INDEX(Assumptions!$B$19:$B$22,MATCH(D154,Assumptions!$A$19:$A$22,0)))*E154</f>
        <v>1502.90132544</v>
      </c>
      <c r="G154" s="24" t="n">
        <f aca="false">INDEX(Data_Base!$D$5:$D$28,B154)/INDEX(Data_Base!$C$5:$C$28,B154)</f>
        <v>204.201997673742</v>
      </c>
      <c r="H154" s="27" t="n">
        <f aca="false">IF(A154&gt;=Assumptions!$C$37,INDEX(Assumptions!$B$10:$B$15,MATCH(C154,Assumptions!$A$10:$A$15,0)),0)</f>
        <v>0.03</v>
      </c>
      <c r="I154" s="27" t="n">
        <f aca="false">IF(AND(A154&gt;=Assumptions!$C$37,INDEX(Assumptions!$C$19:$C$22,MATCH(D154,Assumptions!$A$19:$A$22,0))=1),INDEX(Assumptions!$D$10:$D$15,MATCH(C154,Assumptions!$A$10:$A$15,0)),0)</f>
        <v>0.015</v>
      </c>
      <c r="J154" s="9" t="n">
        <f aca="false">F154*G154*(1+H154)</f>
        <v>316102.316550204</v>
      </c>
      <c r="K154" s="9" t="n">
        <f aca="false">J154*(1+I154)</f>
        <v>320843.851298457</v>
      </c>
      <c r="L154" s="24" t="n">
        <f aca="false">INDEX(Data_Base!$E$5:$E$28,B154)/INDEX(Data_Base!$C$5:$C$28,B154)*(1+INDEX(Assumptions!$C$10:$C$15,MATCH(C154,Assumptions!$A$10:$A$15,0)))</f>
        <v>155.667101388485</v>
      </c>
      <c r="M154" s="9" t="n">
        <f aca="false">F154*L154</f>
        <v>233952.293004157</v>
      </c>
      <c r="N154" s="24" t="n">
        <f aca="false">INDEX(Data_Base!$F$5:$F$28,B154)/INDEX(Data_Base!$C$5:$C$28,B154)*(1+Assumptions!$C$38)</f>
        <v>2.72499505670253</v>
      </c>
      <c r="O154" s="9" t="n">
        <f aca="false">F154*N154</f>
        <v>4095.39868253568</v>
      </c>
      <c r="P154" s="25" t="n">
        <f aca="false">IF(A154&lt;=3,SUMIFS(Data_Q1!$D$5:$D$76,Data_Q1!$A$5:$A$76,A154,Data_Q1!$B$5:$B$76,C154,Data_Q1!$C$5:$C$76,D154),F154*INDEX(Reforecast!$D$6:$D$9,MATCH(D154,Reforecast!$A$6:$A$9,0)))</f>
        <v>1439.83854624652</v>
      </c>
      <c r="Q154" s="9" t="n">
        <f aca="false">IF(A154&lt;=3,SUMIFS(Data_Q1!$E$5:$E$76,Data_Q1!$A$5:$A$76,A154,Data_Q1!$B$5:$B$76,C154,Data_Q1!$C$5:$C$76,D154),P154*G154*(1+H154)*(1+I154))</f>
        <v>307381.021365763</v>
      </c>
      <c r="R154" s="9" t="n">
        <f aca="false">IF(A154&lt;=3,SUMIFS(Data_Q1!$F$5:$F$76,Data_Q1!$A$5:$A$76,A154,Data_Q1!$B$5:$B$76,C154,Data_Q1!$C$5:$C$76,D154),P154*L154*INDEX(Reforecast!$D$12:$D$17,MATCH(C154,Reforecast!$A$12:$A$17,0)))</f>
        <v>224574.041879619</v>
      </c>
      <c r="S154" s="9" t="n">
        <f aca="false">IF(A154&lt;=3,SUMIFS(Data_Q1!$G$5:$G$76,Data_Q1!$A$5:$A$76,A154,Data_Q1!$B$5:$B$76,C154,Data_Q1!$C$5:$C$76,D154),P154*N154)</f>
        <v>3923.55292097153</v>
      </c>
    </row>
    <row r="155" customFormat="false" ht="15" hidden="false" customHeight="false" outlineLevel="0" collapsed="false">
      <c r="A155" s="0" t="n">
        <f aca="false">MOD(ROW()-5,12)+1</f>
        <v>7</v>
      </c>
      <c r="B155" s="0" t="n">
        <f aca="false">INT((ROW()-5)/12)+1</f>
        <v>13</v>
      </c>
      <c r="C155" s="0" t="str">
        <f aca="false">INDEX(Data_Base!$A$5:$A$28,B155)</f>
        <v>Seafood</v>
      </c>
      <c r="D155" s="0" t="str">
        <f aca="false">INDEX(Data_Base!$B$5:$B$28,B155)</f>
        <v>Restaurants</v>
      </c>
      <c r="E155" s="26" t="n">
        <f aca="false">INDEX(Data_Base!$B$32:$M$37,MATCH(C155,Data_Base!$A$32:$A$37,0),A155)</f>
        <v>0.100013</v>
      </c>
      <c r="F155" s="25" t="n">
        <f aca="false">INDEX(Data_Base!$C$5:$C$28,B155)*(1+INDEX(Assumptions!$B$19:$B$22,MATCH(D155,Assumptions!$A$19:$A$22,0)))*E155</f>
        <v>1403.29440456</v>
      </c>
      <c r="G155" s="24" t="n">
        <f aca="false">INDEX(Data_Base!$D$5:$D$28,B155)/INDEX(Data_Base!$C$5:$C$28,B155)</f>
        <v>204.201997673742</v>
      </c>
      <c r="H155" s="27" t="n">
        <f aca="false">IF(A155&gt;=Assumptions!$C$37,INDEX(Assumptions!$B$10:$B$15,MATCH(C155,Assumptions!$A$10:$A$15,0)),0)</f>
        <v>0.03</v>
      </c>
      <c r="I155" s="27" t="n">
        <f aca="false">IF(AND(A155&gt;=Assumptions!$C$37,INDEX(Assumptions!$C$19:$C$22,MATCH(D155,Assumptions!$A$19:$A$22,0))=1),INDEX(Assumptions!$D$10:$D$15,MATCH(C155,Assumptions!$A$10:$A$15,0)),0)</f>
        <v>0.015</v>
      </c>
      <c r="J155" s="9" t="n">
        <f aca="false">F155*G155*(1+H155)</f>
        <v>295152.186357603</v>
      </c>
      <c r="K155" s="9" t="n">
        <f aca="false">J155*(1+I155)</f>
        <v>299579.469152967</v>
      </c>
      <c r="L155" s="24" t="n">
        <f aca="false">INDEX(Data_Base!$E$5:$E$28,B155)/INDEX(Data_Base!$C$5:$C$28,B155)*(1+INDEX(Assumptions!$C$10:$C$15,MATCH(C155,Assumptions!$A$10:$A$15,0)))</f>
        <v>155.667101388485</v>
      </c>
      <c r="M155" s="9" t="n">
        <f aca="false">F155*L155</f>
        <v>218446.772352535</v>
      </c>
      <c r="N155" s="24" t="n">
        <f aca="false">INDEX(Data_Base!$F$5:$F$28,B155)/INDEX(Data_Base!$C$5:$C$28,B155)*(1+Assumptions!$C$38)</f>
        <v>2.72499505670253</v>
      </c>
      <c r="O155" s="9" t="n">
        <f aca="false">F155*N155</f>
        <v>3823.97031552432</v>
      </c>
      <c r="P155" s="25" t="n">
        <f aca="false">IF(A155&lt;=3,SUMIFS(Data_Q1!$D$5:$D$76,Data_Q1!$A$5:$A$76,A155,Data_Q1!$B$5:$B$76,C155,Data_Q1!$C$5:$C$76,D155),F155*INDEX(Reforecast!$D$6:$D$9,MATCH(D155,Reforecast!$A$6:$A$9,0)))</f>
        <v>1344.41120066616</v>
      </c>
      <c r="Q155" s="9" t="n">
        <f aca="false">IF(A155&lt;=3,SUMIFS(Data_Q1!$E$5:$E$76,Data_Q1!$A$5:$A$76,A155,Data_Q1!$B$5:$B$76,C155,Data_Q1!$C$5:$C$76,D155),P155*G155*(1+H155)*(1+I155))</f>
        <v>287008.90740397</v>
      </c>
      <c r="R155" s="9" t="n">
        <f aca="false">IF(A155&lt;=3,SUMIFS(Data_Q1!$F$5:$F$76,Data_Q1!$A$5:$A$76,A155,Data_Q1!$B$5:$B$76,C155,Data_Q1!$C$5:$C$76,D155),P155*L155*INDEX(Reforecast!$D$12:$D$17,MATCH(C155,Reforecast!$A$12:$A$17,0)))</f>
        <v>209690.078147232</v>
      </c>
      <c r="S155" s="9" t="n">
        <f aca="false">IF(A155&lt;=3,SUMIFS(Data_Q1!$G$5:$G$76,Data_Q1!$A$5:$A$76,A155,Data_Q1!$B$5:$B$76,C155,Data_Q1!$C$5:$C$76,D155),P155*N155)</f>
        <v>3663.51387599079</v>
      </c>
    </row>
    <row r="156" customFormat="false" ht="15" hidden="false" customHeight="false" outlineLevel="0" collapsed="false">
      <c r="A156" s="0" t="n">
        <f aca="false">MOD(ROW()-5,12)+1</f>
        <v>8</v>
      </c>
      <c r="B156" s="0" t="n">
        <f aca="false">INT((ROW()-5)/12)+1</f>
        <v>13</v>
      </c>
      <c r="C156" s="0" t="str">
        <f aca="false">INDEX(Data_Base!$A$5:$A$28,B156)</f>
        <v>Seafood</v>
      </c>
      <c r="D156" s="0" t="str">
        <f aca="false">INDEX(Data_Base!$B$5:$B$28,B156)</f>
        <v>Restaurants</v>
      </c>
      <c r="E156" s="26" t="n">
        <f aca="false">INDEX(Data_Base!$B$32:$M$37,MATCH(C156,Data_Base!$A$32:$A$37,0),A156)</f>
        <v>0.091632</v>
      </c>
      <c r="F156" s="25" t="n">
        <f aca="false">INDEX(Data_Base!$C$5:$C$28,B156)*(1+INDEX(Assumptions!$B$19:$B$22,MATCH(D156,Assumptions!$A$19:$A$22,0)))*E156</f>
        <v>1285.69958784</v>
      </c>
      <c r="G156" s="24" t="n">
        <f aca="false">INDEX(Data_Base!$D$5:$D$28,B156)/INDEX(Data_Base!$C$5:$C$28,B156)</f>
        <v>204.201997673742</v>
      </c>
      <c r="H156" s="27" t="n">
        <f aca="false">IF(A156&gt;=Assumptions!$C$37,INDEX(Assumptions!$B$10:$B$15,MATCH(C156,Assumptions!$A$10:$A$15,0)),0)</f>
        <v>0.03</v>
      </c>
      <c r="I156" s="27" t="n">
        <f aca="false">IF(AND(A156&gt;=Assumptions!$C$37,INDEX(Assumptions!$C$19:$C$22,MATCH(D156,Assumptions!$A$19:$A$22,0))=1),INDEX(Assumptions!$D$10:$D$15,MATCH(C156,Assumptions!$A$10:$A$15,0)),0)</f>
        <v>0.015</v>
      </c>
      <c r="J156" s="9" t="n">
        <f aca="false">F156*G156*(1+H156)</f>
        <v>270418.696972592</v>
      </c>
      <c r="K156" s="9" t="n">
        <f aca="false">J156*(1+I156)</f>
        <v>274474.977427181</v>
      </c>
      <c r="L156" s="24" t="n">
        <f aca="false">INDEX(Data_Base!$E$5:$E$28,B156)/INDEX(Data_Base!$C$5:$C$28,B156)*(1+INDEX(Assumptions!$C$10:$C$15,MATCH(C156,Assumptions!$A$10:$A$15,0)))</f>
        <v>155.667101388485</v>
      </c>
      <c r="M156" s="9" t="n">
        <f aca="false">F156*L156</f>
        <v>200141.128095423</v>
      </c>
      <c r="N156" s="24" t="n">
        <f aca="false">INDEX(Data_Base!$F$5:$F$28,B156)/INDEX(Data_Base!$C$5:$C$28,B156)*(1+Assumptions!$C$38)</f>
        <v>2.72499505670253</v>
      </c>
      <c r="O156" s="9" t="n">
        <f aca="false">F156*N156</f>
        <v>3503.52502126848</v>
      </c>
      <c r="P156" s="25" t="n">
        <f aca="false">IF(A156&lt;=3,SUMIFS(Data_Q1!$D$5:$D$76,Data_Q1!$A$5:$A$76,A156,Data_Q1!$B$5:$B$76,C156,Data_Q1!$C$5:$C$76,D156),F156*INDEX(Reforecast!$D$6:$D$9,MATCH(D156,Reforecast!$A$6:$A$9,0)))</f>
        <v>1231.75074379772</v>
      </c>
      <c r="Q156" s="9" t="n">
        <f aca="false">IF(A156&lt;=3,SUMIFS(Data_Q1!$E$5:$E$76,Data_Q1!$A$5:$A$76,A156,Data_Q1!$B$5:$B$76,C156,Data_Q1!$C$5:$C$76,D156),P156*G156*(1+H156)*(1+I156))</f>
        <v>262957.817516129</v>
      </c>
      <c r="R156" s="9" t="n">
        <f aca="false">IF(A156&lt;=3,SUMIFS(Data_Q1!$F$5:$F$76,Data_Q1!$A$5:$A$76,A156,Data_Q1!$B$5:$B$76,C156,Data_Q1!$C$5:$C$76,D156),P156*L156*INDEX(Reforecast!$D$12:$D$17,MATCH(C156,Reforecast!$A$12:$A$17,0)))</f>
        <v>192118.237037057</v>
      </c>
      <c r="S156" s="9" t="n">
        <f aca="false">IF(A156&lt;=3,SUMIFS(Data_Q1!$G$5:$G$76,Data_Q1!$A$5:$A$76,A156,Data_Q1!$B$5:$B$76,C156,Data_Q1!$C$5:$C$76,D156),P156*N156)</f>
        <v>3356.51468793845</v>
      </c>
    </row>
    <row r="157" customFormat="false" ht="15" hidden="false" customHeight="false" outlineLevel="0" collapsed="false">
      <c r="A157" s="0" t="n">
        <f aca="false">MOD(ROW()-5,12)+1</f>
        <v>9</v>
      </c>
      <c r="B157" s="0" t="n">
        <f aca="false">INT((ROW()-5)/12)+1</f>
        <v>13</v>
      </c>
      <c r="C157" s="0" t="str">
        <f aca="false">INDEX(Data_Base!$A$5:$A$28,B157)</f>
        <v>Seafood</v>
      </c>
      <c r="D157" s="0" t="str">
        <f aca="false">INDEX(Data_Base!$B$5:$B$28,B157)</f>
        <v>Restaurants</v>
      </c>
      <c r="E157" s="26" t="n">
        <f aca="false">INDEX(Data_Base!$B$32:$M$37,MATCH(C157,Data_Base!$A$32:$A$37,0),A157)</f>
        <v>0.083054</v>
      </c>
      <c r="F157" s="25" t="n">
        <f aca="false">INDEX(Data_Base!$C$5:$C$28,B157)*(1+INDEX(Assumptions!$B$19:$B$22,MATCH(D157,Assumptions!$A$19:$A$22,0)))*E157</f>
        <v>1165.34064048</v>
      </c>
      <c r="G157" s="24" t="n">
        <f aca="false">INDEX(Data_Base!$D$5:$D$28,B157)/INDEX(Data_Base!$C$5:$C$28,B157)</f>
        <v>204.201997673742</v>
      </c>
      <c r="H157" s="27" t="n">
        <f aca="false">IF(A157&gt;=Assumptions!$C$37,INDEX(Assumptions!$B$10:$B$15,MATCH(C157,Assumptions!$A$10:$A$15,0)),0)</f>
        <v>0.03</v>
      </c>
      <c r="I157" s="27" t="n">
        <f aca="false">IF(AND(A157&gt;=Assumptions!$C$37,INDEX(Assumptions!$C$19:$C$22,MATCH(D157,Assumptions!$A$19:$A$22,0))=1),INDEX(Assumptions!$D$10:$D$15,MATCH(C157,Assumptions!$A$10:$A$15,0)),0)</f>
        <v>0.015</v>
      </c>
      <c r="J157" s="9" t="n">
        <f aca="false">F157*G157*(1+H157)</f>
        <v>245103.833359107</v>
      </c>
      <c r="K157" s="9" t="n">
        <f aca="false">J157*(1+I157)</f>
        <v>248780.390859493</v>
      </c>
      <c r="L157" s="24" t="n">
        <f aca="false">INDEX(Data_Base!$E$5:$E$28,B157)/INDEX(Data_Base!$C$5:$C$28,B157)*(1+INDEX(Assumptions!$C$10:$C$15,MATCH(C157,Assumptions!$A$10:$A$15,0)))</f>
        <v>155.667101388485</v>
      </c>
      <c r="M157" s="9" t="n">
        <f aca="false">F157*L157</f>
        <v>181405.199633722</v>
      </c>
      <c r="N157" s="24" t="n">
        <f aca="false">INDEX(Data_Base!$F$5:$F$28,B157)/INDEX(Data_Base!$C$5:$C$28,B157)*(1+Assumptions!$C$38)</f>
        <v>2.72499505670253</v>
      </c>
      <c r="O157" s="9" t="n">
        <f aca="false">F157*N157</f>
        <v>3175.54748468256</v>
      </c>
      <c r="P157" s="25" t="n">
        <f aca="false">IF(A157&lt;=3,SUMIFS(Data_Q1!$D$5:$D$76,Data_Q1!$A$5:$A$76,A157,Data_Q1!$B$5:$B$76,C157,Data_Q1!$C$5:$C$76,D157),F157*INDEX(Reforecast!$D$6:$D$9,MATCH(D157,Reforecast!$A$6:$A$9,0)))</f>
        <v>1116.44214112292</v>
      </c>
      <c r="Q157" s="9" t="n">
        <f aca="false">IF(A157&lt;=3,SUMIFS(Data_Q1!$E$5:$E$76,Data_Q1!$A$5:$A$76,A157,Data_Q1!$B$5:$B$76,C157,Data_Q1!$C$5:$C$76,D157),P157*G157*(1+H157)*(1+I157))</f>
        <v>238341.393574129</v>
      </c>
      <c r="R157" s="9" t="n">
        <f aca="false">IF(A157&lt;=3,SUMIFS(Data_Q1!$F$5:$F$76,Data_Q1!$A$5:$A$76,A157,Data_Q1!$B$5:$B$76,C157,Data_Q1!$C$5:$C$76,D157),P157*L157*INDEX(Reforecast!$D$12:$D$17,MATCH(C157,Reforecast!$A$12:$A$17,0)))</f>
        <v>174133.36016758</v>
      </c>
      <c r="S157" s="9" t="n">
        <f aca="false">IF(A157&lt;=3,SUMIFS(Data_Q1!$G$5:$G$76,Data_Q1!$A$5:$A$76,A157,Data_Q1!$B$5:$B$76,C157,Data_Q1!$C$5:$C$76,D157),P157*N157)</f>
        <v>3042.29931565436</v>
      </c>
    </row>
    <row r="158" customFormat="false" ht="15" hidden="false" customHeight="false" outlineLevel="0" collapsed="false">
      <c r="A158" s="0" t="n">
        <f aca="false">MOD(ROW()-5,12)+1</f>
        <v>10</v>
      </c>
      <c r="B158" s="0" t="n">
        <f aca="false">INT((ROW()-5)/12)+1</f>
        <v>13</v>
      </c>
      <c r="C158" s="0" t="str">
        <f aca="false">INDEX(Data_Base!$A$5:$A$28,B158)</f>
        <v>Seafood</v>
      </c>
      <c r="D158" s="0" t="str">
        <f aca="false">INDEX(Data_Base!$B$5:$B$28,B158)</f>
        <v>Restaurants</v>
      </c>
      <c r="E158" s="26" t="n">
        <f aca="false">INDEX(Data_Base!$B$32:$M$37,MATCH(C158,Data_Base!$A$32:$A$37,0),A158)</f>
        <v>0.074903</v>
      </c>
      <c r="F158" s="25" t="n">
        <f aca="false">INDEX(Data_Base!$C$5:$C$28,B158)*(1+INDEX(Assumptions!$B$19:$B$22,MATCH(D158,Assumptions!$A$19:$A$22,0)))*E158</f>
        <v>1050.97298136</v>
      </c>
      <c r="G158" s="24" t="n">
        <f aca="false">INDEX(Data_Base!$D$5:$D$28,B158)/INDEX(Data_Base!$C$5:$C$28,B158)</f>
        <v>204.201997673742</v>
      </c>
      <c r="H158" s="27" t="n">
        <f aca="false">IF(A158&gt;=Assumptions!$C$37,INDEX(Assumptions!$B$10:$B$15,MATCH(C158,Assumptions!$A$10:$A$15,0)),0)</f>
        <v>0.03</v>
      </c>
      <c r="I158" s="27" t="n">
        <f aca="false">IF(AND(A158&gt;=Assumptions!$C$37,INDEX(Assumptions!$C$19:$C$22,MATCH(D158,Assumptions!$A$19:$A$22,0))=1),INDEX(Assumptions!$D$10:$D$15,MATCH(C158,Assumptions!$A$10:$A$15,0)),0)</f>
        <v>0.015</v>
      </c>
      <c r="J158" s="9" t="n">
        <f aca="false">F158*G158*(1+H158)</f>
        <v>221049.105763686</v>
      </c>
      <c r="K158" s="9" t="n">
        <f aca="false">J158*(1+I158)</f>
        <v>224364.842350141</v>
      </c>
      <c r="L158" s="24" t="n">
        <f aca="false">INDEX(Data_Base!$E$5:$E$28,B158)/INDEX(Data_Base!$C$5:$C$28,B158)*(1+INDEX(Assumptions!$C$10:$C$15,MATCH(C158,Assumptions!$A$10:$A$15,0)))</f>
        <v>155.667101388485</v>
      </c>
      <c r="M158" s="9" t="n">
        <f aca="false">F158*L158</f>
        <v>163601.917645925</v>
      </c>
      <c r="N158" s="24" t="n">
        <f aca="false">INDEX(Data_Base!$F$5:$F$28,B158)/INDEX(Data_Base!$C$5:$C$28,B158)*(1+Assumptions!$C$38)</f>
        <v>2.72499505670253</v>
      </c>
      <c r="O158" s="9" t="n">
        <f aca="false">F158*N158</f>
        <v>2863.89617893392</v>
      </c>
      <c r="P158" s="25" t="n">
        <f aca="false">IF(A158&lt;=3,SUMIFS(Data_Q1!$D$5:$D$76,Data_Q1!$A$5:$A$76,A158,Data_Q1!$B$5:$B$76,C158,Data_Q1!$C$5:$C$76,D158),F158*INDEX(Reforecast!$D$6:$D$9,MATCH(D158,Reforecast!$A$6:$A$9,0)))</f>
        <v>1006.87342808932</v>
      </c>
      <c r="Q158" s="9" t="n">
        <f aca="false">IF(A158&lt;=3,SUMIFS(Data_Q1!$E$5:$E$76,Data_Q1!$A$5:$A$76,A158,Data_Q1!$B$5:$B$76,C158,Data_Q1!$C$5:$C$76,D158),P158*G158*(1+H158)*(1+I158))</f>
        <v>214950.338368808</v>
      </c>
      <c r="R158" s="9" t="n">
        <f aca="false">IF(A158&lt;=3,SUMIFS(Data_Q1!$F$5:$F$76,Data_Q1!$A$5:$A$76,A158,Data_Q1!$B$5:$B$76,C158,Data_Q1!$C$5:$C$76,D158),P158*L158*INDEX(Reforecast!$D$12:$D$17,MATCH(C158,Reforecast!$A$12:$A$17,0)))</f>
        <v>157043.74354796</v>
      </c>
      <c r="S158" s="9" t="n">
        <f aca="false">IF(A158&lt;=3,SUMIFS(Data_Q1!$G$5:$G$76,Data_Q1!$A$5:$A$76,A158,Data_Q1!$B$5:$B$76,C158,Data_Q1!$C$5:$C$76,D158),P158*N158)</f>
        <v>2743.72511426853</v>
      </c>
    </row>
    <row r="159" customFormat="false" ht="15" hidden="false" customHeight="false" outlineLevel="0" collapsed="false">
      <c r="A159" s="0" t="n">
        <f aca="false">MOD(ROW()-5,12)+1</f>
        <v>11</v>
      </c>
      <c r="B159" s="0" t="n">
        <f aca="false">INT((ROW()-5)/12)+1</f>
        <v>13</v>
      </c>
      <c r="C159" s="0" t="str">
        <f aca="false">INDEX(Data_Base!$A$5:$A$28,B159)</f>
        <v>Seafood</v>
      </c>
      <c r="D159" s="0" t="str">
        <f aca="false">INDEX(Data_Base!$B$5:$B$28,B159)</f>
        <v>Restaurants</v>
      </c>
      <c r="E159" s="26" t="n">
        <f aca="false">INDEX(Data_Base!$B$32:$M$37,MATCH(C159,Data_Base!$A$32:$A$37,0),A159)</f>
        <v>0.070105</v>
      </c>
      <c r="F159" s="25" t="n">
        <f aca="false">INDEX(Data_Base!$C$5:$C$28,B159)*(1+INDEX(Assumptions!$B$19:$B$22,MATCH(D159,Assumptions!$A$19:$A$22,0)))*E159</f>
        <v>983.6516676</v>
      </c>
      <c r="G159" s="24" t="n">
        <f aca="false">INDEX(Data_Base!$D$5:$D$28,B159)/INDEX(Data_Base!$C$5:$C$28,B159)</f>
        <v>204.201997673742</v>
      </c>
      <c r="H159" s="27" t="n">
        <f aca="false">IF(A159&gt;=Assumptions!$C$37,INDEX(Assumptions!$B$10:$B$15,MATCH(C159,Assumptions!$A$10:$A$15,0)),0)</f>
        <v>0.03</v>
      </c>
      <c r="I159" s="27" t="n">
        <f aca="false">IF(AND(A159&gt;=Assumptions!$C$37,INDEX(Assumptions!$C$19:$C$22,MATCH(D159,Assumptions!$A$19:$A$22,0))=1),INDEX(Assumptions!$D$10:$D$15,MATCH(C159,Assumptions!$A$10:$A$15,0)),0)</f>
        <v>0.015</v>
      </c>
      <c r="J159" s="9" t="n">
        <f aca="false">F159*G159*(1+H159)</f>
        <v>206889.544605199</v>
      </c>
      <c r="K159" s="9" t="n">
        <f aca="false">J159*(1+I159)</f>
        <v>209992.887774277</v>
      </c>
      <c r="L159" s="24" t="n">
        <f aca="false">INDEX(Data_Base!$E$5:$E$28,B159)/INDEX(Data_Base!$C$5:$C$28,B159)*(1+INDEX(Assumptions!$C$10:$C$15,MATCH(C159,Assumptions!$A$10:$A$15,0)))</f>
        <v>155.667101388485</v>
      </c>
      <c r="M159" s="9" t="n">
        <f aca="false">F159*L159</f>
        <v>153122.203871242</v>
      </c>
      <c r="N159" s="24" t="n">
        <f aca="false">INDEX(Data_Base!$F$5:$F$28,B159)/INDEX(Data_Base!$C$5:$C$28,B159)*(1+Assumptions!$C$38)</f>
        <v>2.72499505670253</v>
      </c>
      <c r="O159" s="9" t="n">
        <f aca="false">F159*N159</f>
        <v>2680.4459317272</v>
      </c>
      <c r="P159" s="25" t="n">
        <f aca="false">IF(A159&lt;=3,SUMIFS(Data_Q1!$D$5:$D$76,Data_Q1!$A$5:$A$76,A159,Data_Q1!$B$5:$B$76,C159,Data_Q1!$C$5:$C$76,D159),F159*INDEX(Reforecast!$D$6:$D$9,MATCH(D159,Reforecast!$A$6:$A$9,0)))</f>
        <v>942.376963221791</v>
      </c>
      <c r="Q159" s="9" t="n">
        <f aca="false">IF(A159&lt;=3,SUMIFS(Data_Q1!$E$5:$E$76,Data_Q1!$A$5:$A$76,A159,Data_Q1!$B$5:$B$76,C159,Data_Q1!$C$5:$C$76,D159),P159*G159*(1+H159)*(1+I159))</f>
        <v>201181.44094823</v>
      </c>
      <c r="R159" s="9" t="n">
        <f aca="false">IF(A159&lt;=3,SUMIFS(Data_Q1!$F$5:$F$76,Data_Q1!$A$5:$A$76,A159,Data_Q1!$B$5:$B$76,C159,Data_Q1!$C$5:$C$76,D159),P159*L159*INDEX(Reforecast!$D$12:$D$17,MATCH(C159,Reforecast!$A$12:$A$17,0)))</f>
        <v>146984.121349342</v>
      </c>
      <c r="S159" s="9" t="n">
        <f aca="false">IF(A159&lt;=3,SUMIFS(Data_Q1!$G$5:$G$76,Data_Q1!$A$5:$A$76,A159,Data_Q1!$B$5:$B$76,C159,Data_Q1!$C$5:$C$76,D159),P159*N159)</f>
        <v>2567.97256632972</v>
      </c>
    </row>
    <row r="160" customFormat="false" ht="15" hidden="false" customHeight="false" outlineLevel="0" collapsed="false">
      <c r="A160" s="0" t="n">
        <f aca="false">MOD(ROW()-5,12)+1</f>
        <v>12</v>
      </c>
      <c r="B160" s="0" t="n">
        <f aca="false">INT((ROW()-5)/12)+1</f>
        <v>13</v>
      </c>
      <c r="C160" s="0" t="str">
        <f aca="false">INDEX(Data_Base!$A$5:$A$28,B160)</f>
        <v>Seafood</v>
      </c>
      <c r="D160" s="0" t="str">
        <f aca="false">INDEX(Data_Base!$B$5:$B$28,B160)</f>
        <v>Restaurants</v>
      </c>
      <c r="E160" s="26" t="n">
        <f aca="false">INDEX(Data_Base!$B$32:$M$37,MATCH(C160,Data_Base!$A$32:$A$37,0),A160)</f>
        <v>0.079769</v>
      </c>
      <c r="F160" s="25" t="n">
        <f aca="false">INDEX(Data_Base!$C$5:$C$28,B160)*(1+INDEX(Assumptions!$B$19:$B$22,MATCH(D160,Assumptions!$A$19:$A$22,0)))*E160</f>
        <v>1119.24841128</v>
      </c>
      <c r="G160" s="24" t="n">
        <f aca="false">INDEX(Data_Base!$D$5:$D$28,B160)/INDEX(Data_Base!$C$5:$C$28,B160)</f>
        <v>204.201997673742</v>
      </c>
      <c r="H160" s="27" t="n">
        <f aca="false">IF(A160&gt;=Assumptions!$C$37,INDEX(Assumptions!$B$10:$B$15,MATCH(C160,Assumptions!$A$10:$A$15,0)),0)</f>
        <v>0.03</v>
      </c>
      <c r="I160" s="27" t="n">
        <f aca="false">IF(AND(A160&gt;=Assumptions!$C$37,INDEX(Assumptions!$C$19:$C$22,MATCH(D160,Assumptions!$A$19:$A$22,0))=1),INDEX(Assumptions!$D$10:$D$15,MATCH(C160,Assumptions!$A$10:$A$15,0)),0)</f>
        <v>0.015</v>
      </c>
      <c r="J160" s="9" t="n">
        <f aca="false">F160*G160*(1+H160)</f>
        <v>235409.344320835</v>
      </c>
      <c r="K160" s="9" t="n">
        <f aca="false">J160*(1+I160)</f>
        <v>238940.484485647</v>
      </c>
      <c r="L160" s="24" t="n">
        <f aca="false">INDEX(Data_Base!$E$5:$E$28,B160)/INDEX(Data_Base!$C$5:$C$28,B160)*(1+INDEX(Assumptions!$C$10:$C$15,MATCH(C160,Assumptions!$A$10:$A$15,0)))</f>
        <v>155.667101388485</v>
      </c>
      <c r="M160" s="9" t="n">
        <f aca="false">F160*L160</f>
        <v>174230.155917625</v>
      </c>
      <c r="N160" s="24" t="n">
        <f aca="false">INDEX(Data_Base!$F$5:$F$28,B160)/INDEX(Data_Base!$C$5:$C$28,B160)*(1+Assumptions!$C$38)</f>
        <v>2.72499505670253</v>
      </c>
      <c r="O160" s="9" t="n">
        <f aca="false">F160*N160</f>
        <v>3049.94638796016</v>
      </c>
      <c r="P160" s="25" t="n">
        <f aca="false">IF(A160&lt;=3,SUMIFS(Data_Q1!$D$5:$D$76,Data_Q1!$A$5:$A$76,A160,Data_Q1!$B$5:$B$76,C160,Data_Q1!$C$5:$C$76,D160),F160*INDEX(Reforecast!$D$6:$D$9,MATCH(D160,Reforecast!$A$6:$A$9,0)))</f>
        <v>1072.2839737428</v>
      </c>
      <c r="Q160" s="9" t="n">
        <f aca="false">IF(A160&lt;=3,SUMIFS(Data_Q1!$E$5:$E$76,Data_Q1!$A$5:$A$76,A160,Data_Q1!$B$5:$B$76,C160,Data_Q1!$C$5:$C$76,D160),P160*G160*(1+H160)*(1+I160))</f>
        <v>228914.376478131</v>
      </c>
      <c r="R160" s="9" t="n">
        <f aca="false">IF(A160&lt;=3,SUMIFS(Data_Q1!$F$5:$F$76,Data_Q1!$A$5:$A$76,A160,Data_Q1!$B$5:$B$76,C160,Data_Q1!$C$5:$C$76,D160),P160*L160*INDEX(Reforecast!$D$12:$D$17,MATCH(C160,Reforecast!$A$12:$A$17,0)))</f>
        <v>167245.936465525</v>
      </c>
      <c r="S160" s="9" t="n">
        <f aca="false">IF(A160&lt;=3,SUMIFS(Data_Q1!$G$5:$G$76,Data_Q1!$A$5:$A$76,A160,Data_Q1!$B$5:$B$76,C160,Data_Q1!$C$5:$C$76,D160),P160*N160)</f>
        <v>2921.96852783048</v>
      </c>
    </row>
    <row r="161" customFormat="false" ht="15" hidden="false" customHeight="false" outlineLevel="0" collapsed="false">
      <c r="A161" s="0" t="n">
        <f aca="false">MOD(ROW()-5,12)+1</f>
        <v>1</v>
      </c>
      <c r="B161" s="0" t="n">
        <f aca="false">INT((ROW()-5)/12)+1</f>
        <v>14</v>
      </c>
      <c r="C161" s="0" t="str">
        <f aca="false">INDEX(Data_Base!$A$5:$A$28,B161)</f>
        <v>Seafood</v>
      </c>
      <c r="D161" s="0" t="str">
        <f aca="false">INDEX(Data_Base!$B$5:$B$28,B161)</f>
        <v>Grocery Retail</v>
      </c>
      <c r="E161" s="26" t="n">
        <f aca="false">INDEX(Data_Base!$B$32:$M$37,MATCH(C161,Data_Base!$A$32:$A$37,0),A161)</f>
        <v>0.066916</v>
      </c>
      <c r="F161" s="25" t="n">
        <f aca="false">INDEX(Data_Base!$C$5:$C$28,B161)*(1+INDEX(Assumptions!$B$19:$B$22,MATCH(D161,Assumptions!$A$19:$A$22,0)))*E161</f>
        <v>769.79229576</v>
      </c>
      <c r="G161" s="24" t="n">
        <f aca="false">INDEX(Data_Base!$D$5:$D$28,B161)/INDEX(Data_Base!$C$5:$C$28,B161)</f>
        <v>178.17027761986</v>
      </c>
      <c r="H161" s="27" t="n">
        <f aca="false">IF(A161&gt;=Assumptions!$C$37,INDEX(Assumptions!$B$10:$B$15,MATCH(C161,Assumptions!$A$10:$A$15,0)),0)</f>
        <v>0</v>
      </c>
      <c r="I161" s="27" t="n">
        <f aca="false">IF(AND(A161&gt;=Assumptions!$C$37,INDEX(Assumptions!$C$19:$C$22,MATCH(D161,Assumptions!$A$19:$A$22,0))=1),INDEX(Assumptions!$D$10:$D$15,MATCH(C161,Assumptions!$A$10:$A$15,0)),0)</f>
        <v>0</v>
      </c>
      <c r="J161" s="9" t="n">
        <f aca="false">F161*G161*(1+H161)</f>
        <v>137154.107045188</v>
      </c>
      <c r="K161" s="9" t="n">
        <f aca="false">J161*(1+I161)</f>
        <v>137154.107045188</v>
      </c>
      <c r="L161" s="24" t="n">
        <f aca="false">INDEX(Data_Base!$E$5:$E$28,B161)/INDEX(Data_Base!$C$5:$C$28,B161)*(1+INDEX(Assumptions!$C$10:$C$15,MATCH(C161,Assumptions!$A$10:$A$15,0)))</f>
        <v>155.750148990904</v>
      </c>
      <c r="M161" s="9" t="n">
        <f aca="false">F161*L161</f>
        <v>119895.26475667</v>
      </c>
      <c r="N161" s="24" t="n">
        <f aca="false">INDEX(Data_Base!$F$5:$F$28,B161)/INDEX(Data_Base!$C$5:$C$28,B161)*(1+Assumptions!$C$38)</f>
        <v>2.73009262838734</v>
      </c>
      <c r="O161" s="9" t="n">
        <f aca="false">F161*N161</f>
        <v>2101.60427204374</v>
      </c>
      <c r="P161" s="25" t="n">
        <f aca="false">IF(A161&lt;=3,SUMIFS(Data_Q1!$D$5:$D$76,Data_Q1!$A$5:$A$76,A161,Data_Q1!$B$5:$B$76,C161,Data_Q1!$C$5:$C$76,D161),F161*INDEX(Reforecast!$D$6:$D$9,MATCH(D161,Reforecast!$A$6:$A$9,0)))</f>
        <v>817.3</v>
      </c>
      <c r="Q161" s="9" t="n">
        <f aca="false">IF(A161&lt;=3,SUMIFS(Data_Q1!$E$5:$E$76,Data_Q1!$A$5:$A$76,A161,Data_Q1!$B$5:$B$76,C161,Data_Q1!$C$5:$C$76,D161),P161*G161*(1+H161)*(1+I161))</f>
        <v>145197.59</v>
      </c>
      <c r="R161" s="9" t="n">
        <f aca="false">IF(A161&lt;=3,SUMIFS(Data_Q1!$F$5:$F$76,Data_Q1!$A$5:$A$76,A161,Data_Q1!$B$5:$B$76,C161,Data_Q1!$C$5:$C$76,D161),P161*L161*INDEX(Reforecast!$D$12:$D$17,MATCH(C161,Reforecast!$A$12:$A$17,0)))</f>
        <v>126067.38</v>
      </c>
      <c r="S161" s="9" t="n">
        <f aca="false">IF(A161&lt;=3,SUMIFS(Data_Q1!$G$5:$G$76,Data_Q1!$A$5:$A$76,A161,Data_Q1!$B$5:$B$76,C161,Data_Q1!$C$5:$C$76,D161),P161*N161)</f>
        <v>2231.18</v>
      </c>
    </row>
    <row r="162" customFormat="false" ht="15" hidden="false" customHeight="false" outlineLevel="0" collapsed="false">
      <c r="A162" s="0" t="n">
        <f aca="false">MOD(ROW()-5,12)+1</f>
        <v>2</v>
      </c>
      <c r="B162" s="0" t="n">
        <f aca="false">INT((ROW()-5)/12)+1</f>
        <v>14</v>
      </c>
      <c r="C162" s="0" t="str">
        <f aca="false">INDEX(Data_Base!$A$5:$A$28,B162)</f>
        <v>Seafood</v>
      </c>
      <c r="D162" s="0" t="str">
        <f aca="false">INDEX(Data_Base!$B$5:$B$28,B162)</f>
        <v>Grocery Retail</v>
      </c>
      <c r="E162" s="26" t="n">
        <f aca="false">INDEX(Data_Base!$B$32:$M$37,MATCH(C162,Data_Base!$A$32:$A$37,0),A162)</f>
        <v>0.065437</v>
      </c>
      <c r="F162" s="25" t="n">
        <f aca="false">INDEX(Data_Base!$C$5:$C$28,B162)*(1+INDEX(Assumptions!$B$19:$B$22,MATCH(D162,Assumptions!$A$19:$A$22,0)))*E162</f>
        <v>752.77808682</v>
      </c>
      <c r="G162" s="24" t="n">
        <f aca="false">INDEX(Data_Base!$D$5:$D$28,B162)/INDEX(Data_Base!$C$5:$C$28,B162)</f>
        <v>178.17027761986</v>
      </c>
      <c r="H162" s="27" t="n">
        <f aca="false">IF(A162&gt;=Assumptions!$C$37,INDEX(Assumptions!$B$10:$B$15,MATCH(C162,Assumptions!$A$10:$A$15,0)),0)</f>
        <v>0.03</v>
      </c>
      <c r="I162" s="27" t="n">
        <f aca="false">IF(AND(A162&gt;=Assumptions!$C$37,INDEX(Assumptions!$C$19:$C$22,MATCH(D162,Assumptions!$A$19:$A$22,0))=1),INDEX(Assumptions!$D$10:$D$15,MATCH(C162,Assumptions!$A$10:$A$15,0)),0)</f>
        <v>0</v>
      </c>
      <c r="J162" s="9" t="n">
        <f aca="false">F162*G162*(1+H162)</f>
        <v>138146.361136312</v>
      </c>
      <c r="K162" s="9" t="n">
        <f aca="false">J162*(1+I162)</f>
        <v>138146.361136312</v>
      </c>
      <c r="L162" s="24" t="n">
        <f aca="false">INDEX(Data_Base!$E$5:$E$28,B162)/INDEX(Data_Base!$C$5:$C$28,B162)*(1+INDEX(Assumptions!$C$10:$C$15,MATCH(C162,Assumptions!$A$10:$A$15,0)))</f>
        <v>155.750148990904</v>
      </c>
      <c r="M162" s="9" t="n">
        <f aca="false">F162*L162</f>
        <v>117245.299179303</v>
      </c>
      <c r="N162" s="24" t="n">
        <f aca="false">INDEX(Data_Base!$F$5:$F$28,B162)/INDEX(Data_Base!$C$5:$C$28,B162)*(1+Assumptions!$C$38)</f>
        <v>2.73009262838734</v>
      </c>
      <c r="O162" s="9" t="n">
        <f aca="false">F162*N162</f>
        <v>2055.15390563881</v>
      </c>
      <c r="P162" s="25" t="n">
        <f aca="false">IF(A162&lt;=3,SUMIFS(Data_Q1!$D$5:$D$76,Data_Q1!$A$5:$A$76,A162,Data_Q1!$B$5:$B$76,C162,Data_Q1!$C$5:$C$76,D162),F162*INDEX(Reforecast!$D$6:$D$9,MATCH(D162,Reforecast!$A$6:$A$9,0)))</f>
        <v>792.6</v>
      </c>
      <c r="Q162" s="9" t="n">
        <f aca="false">IF(A162&lt;=3,SUMIFS(Data_Q1!$E$5:$E$76,Data_Q1!$A$5:$A$76,A162,Data_Q1!$B$5:$B$76,C162,Data_Q1!$C$5:$C$76,D162),P162*G162*(1+H162)*(1+I162))</f>
        <v>145473.01</v>
      </c>
      <c r="R162" s="9" t="n">
        <f aca="false">IF(A162&lt;=3,SUMIFS(Data_Q1!$F$5:$F$76,Data_Q1!$A$5:$A$76,A162,Data_Q1!$B$5:$B$76,C162,Data_Q1!$C$5:$C$76,D162),P162*L162*INDEX(Reforecast!$D$12:$D$17,MATCH(C162,Reforecast!$A$12:$A$17,0)))</f>
        <v>124087.18</v>
      </c>
      <c r="S162" s="9" t="n">
        <f aca="false">IF(A162&lt;=3,SUMIFS(Data_Q1!$G$5:$G$76,Data_Q1!$A$5:$A$76,A162,Data_Q1!$B$5:$B$76,C162,Data_Q1!$C$5:$C$76,D162),P162*N162)</f>
        <v>2164</v>
      </c>
    </row>
    <row r="163" customFormat="false" ht="15" hidden="false" customHeight="false" outlineLevel="0" collapsed="false">
      <c r="A163" s="0" t="n">
        <f aca="false">MOD(ROW()-5,12)+1</f>
        <v>3</v>
      </c>
      <c r="B163" s="0" t="n">
        <f aca="false">INT((ROW()-5)/12)+1</f>
        <v>14</v>
      </c>
      <c r="C163" s="0" t="str">
        <f aca="false">INDEX(Data_Base!$A$5:$A$28,B163)</f>
        <v>Seafood</v>
      </c>
      <c r="D163" s="0" t="str">
        <f aca="false">INDEX(Data_Base!$B$5:$B$28,B163)</f>
        <v>Grocery Retail</v>
      </c>
      <c r="E163" s="26" t="n">
        <f aca="false">INDEX(Data_Base!$B$32:$M$37,MATCH(C163,Data_Base!$A$32:$A$37,0),A163)</f>
        <v>0.075363</v>
      </c>
      <c r="F163" s="25" t="n">
        <f aca="false">INDEX(Data_Base!$C$5:$C$28,B163)*(1+INDEX(Assumptions!$B$19:$B$22,MATCH(D163,Assumptions!$A$19:$A$22,0)))*E163</f>
        <v>866.96540118</v>
      </c>
      <c r="G163" s="24" t="n">
        <f aca="false">INDEX(Data_Base!$D$5:$D$28,B163)/INDEX(Data_Base!$C$5:$C$28,B163)</f>
        <v>178.17027761986</v>
      </c>
      <c r="H163" s="27" t="n">
        <f aca="false">IF(A163&gt;=Assumptions!$C$37,INDEX(Assumptions!$B$10:$B$15,MATCH(C163,Assumptions!$A$10:$A$15,0)),0)</f>
        <v>0.03</v>
      </c>
      <c r="I163" s="27" t="n">
        <f aca="false">IF(AND(A163&gt;=Assumptions!$C$37,INDEX(Assumptions!$C$19:$C$22,MATCH(D163,Assumptions!$A$19:$A$22,0))=1),INDEX(Assumptions!$D$10:$D$15,MATCH(C163,Assumptions!$A$10:$A$15,0)),0)</f>
        <v>0</v>
      </c>
      <c r="J163" s="9" t="n">
        <f aca="false">F163*G163*(1+H163)</f>
        <v>159101.490201505</v>
      </c>
      <c r="K163" s="9" t="n">
        <f aca="false">J163*(1+I163)</f>
        <v>159101.490201505</v>
      </c>
      <c r="L163" s="24" t="n">
        <f aca="false">INDEX(Data_Base!$E$5:$E$28,B163)/INDEX(Data_Base!$C$5:$C$28,B163)*(1+INDEX(Assumptions!$C$10:$C$15,MATCH(C163,Assumptions!$A$10:$A$15,0)))</f>
        <v>155.750148990904</v>
      </c>
      <c r="M163" s="9" t="n">
        <f aca="false">F163*L163</f>
        <v>135029.990403744</v>
      </c>
      <c r="N163" s="24" t="n">
        <f aca="false">INDEX(Data_Base!$F$5:$F$28,B163)/INDEX(Data_Base!$C$5:$C$28,B163)*(1+Assumptions!$C$38)</f>
        <v>2.73009262838734</v>
      </c>
      <c r="O163" s="9" t="n">
        <f aca="false">F163*N163</f>
        <v>2366.89585082839</v>
      </c>
      <c r="P163" s="25" t="n">
        <f aca="false">IF(A163&lt;=3,SUMIFS(Data_Q1!$D$5:$D$76,Data_Q1!$A$5:$A$76,A163,Data_Q1!$B$5:$B$76,C163,Data_Q1!$C$5:$C$76,D163),F163*INDEX(Reforecast!$D$6:$D$9,MATCH(D163,Reforecast!$A$6:$A$9,0)))</f>
        <v>908.5</v>
      </c>
      <c r="Q163" s="9" t="n">
        <f aca="false">IF(A163&lt;=3,SUMIFS(Data_Q1!$E$5:$E$76,Data_Q1!$A$5:$A$76,A163,Data_Q1!$B$5:$B$76,C163,Data_Q1!$C$5:$C$76,D163),P163*G163*(1+H163)*(1+I163))</f>
        <v>166464.74</v>
      </c>
      <c r="R163" s="9" t="n">
        <f aca="false">IF(A163&lt;=3,SUMIFS(Data_Q1!$F$5:$F$76,Data_Q1!$A$5:$A$76,A163,Data_Q1!$B$5:$B$76,C163,Data_Q1!$C$5:$C$76,D163),P163*L163*INDEX(Reforecast!$D$12:$D$17,MATCH(C163,Reforecast!$A$12:$A$17,0)))</f>
        <v>141440.13</v>
      </c>
      <c r="S163" s="9" t="n">
        <f aca="false">IF(A163&lt;=3,SUMIFS(Data_Q1!$G$5:$G$76,Data_Q1!$A$5:$A$76,A163,Data_Q1!$B$5:$B$76,C163,Data_Q1!$C$5:$C$76,D163),P163*N163)</f>
        <v>2480.34</v>
      </c>
    </row>
    <row r="164" customFormat="false" ht="15" hidden="false" customHeight="false" outlineLevel="0" collapsed="false">
      <c r="A164" s="0" t="n">
        <f aca="false">MOD(ROW()-5,12)+1</f>
        <v>4</v>
      </c>
      <c r="B164" s="0" t="n">
        <f aca="false">INT((ROW()-5)/12)+1</f>
        <v>14</v>
      </c>
      <c r="C164" s="0" t="str">
        <f aca="false">INDEX(Data_Base!$A$5:$A$28,B164)</f>
        <v>Seafood</v>
      </c>
      <c r="D164" s="0" t="str">
        <f aca="false">INDEX(Data_Base!$B$5:$B$28,B164)</f>
        <v>Grocery Retail</v>
      </c>
      <c r="E164" s="26" t="n">
        <f aca="false">INDEX(Data_Base!$B$32:$M$37,MATCH(C164,Data_Base!$A$32:$A$37,0),A164)</f>
        <v>0.082561</v>
      </c>
      <c r="F164" s="25" t="n">
        <f aca="false">INDEX(Data_Base!$C$5:$C$28,B164)*(1+INDEX(Assumptions!$B$19:$B$22,MATCH(D164,Assumptions!$A$19:$A$22,0)))*E164</f>
        <v>949.77018546</v>
      </c>
      <c r="G164" s="24" t="n">
        <f aca="false">INDEX(Data_Base!$D$5:$D$28,B164)/INDEX(Data_Base!$C$5:$C$28,B164)</f>
        <v>178.17027761986</v>
      </c>
      <c r="H164" s="27" t="n">
        <f aca="false">IF(A164&gt;=Assumptions!$C$37,INDEX(Assumptions!$B$10:$B$15,MATCH(C164,Assumptions!$A$10:$A$15,0)),0)</f>
        <v>0.03</v>
      </c>
      <c r="I164" s="27" t="n">
        <f aca="false">IF(AND(A164&gt;=Assumptions!$C$37,INDEX(Assumptions!$C$19:$C$22,MATCH(D164,Assumptions!$A$19:$A$22,0))=1),INDEX(Assumptions!$D$10:$D$15,MATCH(C164,Assumptions!$A$10:$A$15,0)),0)</f>
        <v>0</v>
      </c>
      <c r="J164" s="9" t="n">
        <f aca="false">F164*G164*(1+H164)</f>
        <v>174297.442147028</v>
      </c>
      <c r="K164" s="9" t="n">
        <f aca="false">J164*(1+I164)</f>
        <v>174297.442147028</v>
      </c>
      <c r="L164" s="24" t="n">
        <f aca="false">INDEX(Data_Base!$E$5:$E$28,B164)/INDEX(Data_Base!$C$5:$C$28,B164)*(1+INDEX(Assumptions!$C$10:$C$15,MATCH(C164,Assumptions!$A$10:$A$15,0)))</f>
        <v>155.750148990904</v>
      </c>
      <c r="M164" s="9" t="n">
        <f aca="false">F164*L164</f>
        <v>147926.847892513</v>
      </c>
      <c r="N164" s="24" t="n">
        <f aca="false">INDEX(Data_Base!$F$5:$F$28,B164)/INDEX(Data_Base!$C$5:$C$28,B164)*(1+Assumptions!$C$38)</f>
        <v>2.73009262838734</v>
      </c>
      <c r="O164" s="9" t="n">
        <f aca="false">F164*N164</f>
        <v>2592.96058198642</v>
      </c>
      <c r="P164" s="25" t="n">
        <f aca="false">IF(A164&lt;=3,SUMIFS(Data_Q1!$D$5:$D$76,Data_Q1!$A$5:$A$76,A164,Data_Q1!$B$5:$B$76,C164,Data_Q1!$C$5:$C$76,D164),F164*INDEX(Reforecast!$D$6:$D$9,MATCH(D164,Reforecast!$A$6:$A$9,0)))</f>
        <v>1006.65605750242</v>
      </c>
      <c r="Q164" s="9" t="n">
        <f aca="false">IF(A164&lt;=3,SUMIFS(Data_Q1!$E$5:$E$76,Data_Q1!$A$5:$A$76,A164,Data_Q1!$B$5:$B$76,C164,Data_Q1!$C$5:$C$76,D164),P164*G164*(1+H164)*(1+I164))</f>
        <v>184736.874909906</v>
      </c>
      <c r="R164" s="9" t="n">
        <f aca="false">IF(A164&lt;=3,SUMIFS(Data_Q1!$F$5:$F$76,Data_Q1!$A$5:$A$76,A164,Data_Q1!$B$5:$B$76,C164,Data_Q1!$C$5:$C$76,D164),P164*L164*INDEX(Reforecast!$D$12:$D$17,MATCH(C164,Reforecast!$A$12:$A$17,0)))</f>
        <v>157093.603838142</v>
      </c>
      <c r="S164" s="9" t="n">
        <f aca="false">IF(A164&lt;=3,SUMIFS(Data_Q1!$G$5:$G$76,Data_Q1!$A$5:$A$76,A164,Data_Q1!$B$5:$B$76,C164,Data_Q1!$C$5:$C$76,D164),P164*N164)</f>
        <v>2748.26428190881</v>
      </c>
    </row>
    <row r="165" customFormat="false" ht="15" hidden="false" customHeight="false" outlineLevel="0" collapsed="false">
      <c r="A165" s="0" t="n">
        <f aca="false">MOD(ROW()-5,12)+1</f>
        <v>5</v>
      </c>
      <c r="B165" s="0" t="n">
        <f aca="false">INT((ROW()-5)/12)+1</f>
        <v>14</v>
      </c>
      <c r="C165" s="0" t="str">
        <f aca="false">INDEX(Data_Base!$A$5:$A$28,B165)</f>
        <v>Seafood</v>
      </c>
      <c r="D165" s="0" t="str">
        <f aca="false">INDEX(Data_Base!$B$5:$B$28,B165)</f>
        <v>Grocery Retail</v>
      </c>
      <c r="E165" s="26" t="n">
        <f aca="false">INDEX(Data_Base!$B$32:$M$37,MATCH(C165,Data_Base!$A$32:$A$37,0),A165)</f>
        <v>0.103135</v>
      </c>
      <c r="F165" s="25" t="n">
        <f aca="false">INDEX(Data_Base!$C$5:$C$28,B165)*(1+INDEX(Assumptions!$B$19:$B$22,MATCH(D165,Assumptions!$A$19:$A$22,0)))*E165</f>
        <v>1186.4506011</v>
      </c>
      <c r="G165" s="24" t="n">
        <f aca="false">INDEX(Data_Base!$D$5:$D$28,B165)/INDEX(Data_Base!$C$5:$C$28,B165)</f>
        <v>178.17027761986</v>
      </c>
      <c r="H165" s="27" t="n">
        <f aca="false">IF(A165&gt;=Assumptions!$C$37,INDEX(Assumptions!$B$10:$B$15,MATCH(C165,Assumptions!$A$10:$A$15,0)),0)</f>
        <v>0.03</v>
      </c>
      <c r="I165" s="27" t="n">
        <f aca="false">IF(AND(A165&gt;=Assumptions!$C$37,INDEX(Assumptions!$C$19:$C$22,MATCH(D165,Assumptions!$A$19:$A$22,0))=1),INDEX(Assumptions!$D$10:$D$15,MATCH(C165,Assumptions!$A$10:$A$15,0)),0)</f>
        <v>0</v>
      </c>
      <c r="J165" s="9" t="n">
        <f aca="false">F165*G165*(1+H165)</f>
        <v>217731.939969644</v>
      </c>
      <c r="K165" s="9" t="n">
        <f aca="false">J165*(1+I165)</f>
        <v>217731.939969644</v>
      </c>
      <c r="L165" s="24" t="n">
        <f aca="false">INDEX(Data_Base!$E$5:$E$28,B165)/INDEX(Data_Base!$C$5:$C$28,B165)*(1+INDEX(Assumptions!$C$10:$C$15,MATCH(C165,Assumptions!$A$10:$A$15,0)))</f>
        <v>155.750148990904</v>
      </c>
      <c r="M165" s="9" t="n">
        <f aca="false">F165*L165</f>
        <v>184789.857891673</v>
      </c>
      <c r="N165" s="24" t="n">
        <f aca="false">INDEX(Data_Base!$F$5:$F$28,B165)/INDEX(Data_Base!$C$5:$C$28,B165)*(1+Assumptions!$C$38)</f>
        <v>2.73009262838734</v>
      </c>
      <c r="O165" s="9" t="n">
        <f aca="false">F165*N165</f>
        <v>3239.12004000884</v>
      </c>
      <c r="P165" s="25" t="n">
        <f aca="false">IF(A165&lt;=3,SUMIFS(Data_Q1!$D$5:$D$76,Data_Q1!$A$5:$A$76,A165,Data_Q1!$B$5:$B$76,C165,Data_Q1!$C$5:$C$76,D165),F165*INDEX(Reforecast!$D$6:$D$9,MATCH(D165,Reforecast!$A$6:$A$9,0)))</f>
        <v>1257.51229382531</v>
      </c>
      <c r="Q165" s="9" t="n">
        <f aca="false">IF(A165&lt;=3,SUMIFS(Data_Q1!$E$5:$E$76,Data_Q1!$A$5:$A$76,A165,Data_Q1!$B$5:$B$76,C165,Data_Q1!$C$5:$C$76,D165),P165*G165*(1+H165)*(1+I165))</f>
        <v>230772.85393628</v>
      </c>
      <c r="R165" s="9" t="n">
        <f aca="false">IF(A165&lt;=3,SUMIFS(Data_Q1!$F$5:$F$76,Data_Q1!$A$5:$A$76,A165,Data_Q1!$B$5:$B$76,C165,Data_Q1!$C$5:$C$76,D165),P165*L165*INDEX(Reforecast!$D$12:$D$17,MATCH(C165,Reforecast!$A$12:$A$17,0)))</f>
        <v>196240.947079696</v>
      </c>
      <c r="S165" s="9" t="n">
        <f aca="false">IF(A165&lt;=3,SUMIFS(Data_Q1!$G$5:$G$76,Data_Q1!$A$5:$A$76,A165,Data_Q1!$B$5:$B$76,C165,Data_Q1!$C$5:$C$76,D165),P165*N165)</f>
        <v>3433.12504347894</v>
      </c>
    </row>
    <row r="166" customFormat="false" ht="15" hidden="false" customHeight="false" outlineLevel="0" collapsed="false">
      <c r="A166" s="0" t="n">
        <f aca="false">MOD(ROW()-5,12)+1</f>
        <v>6</v>
      </c>
      <c r="B166" s="0" t="n">
        <f aca="false">INT((ROW()-5)/12)+1</f>
        <v>14</v>
      </c>
      <c r="C166" s="0" t="str">
        <f aca="false">INDEX(Data_Base!$A$5:$A$28,B166)</f>
        <v>Seafood</v>
      </c>
      <c r="D166" s="0" t="str">
        <f aca="false">INDEX(Data_Base!$B$5:$B$28,B166)</f>
        <v>Grocery Retail</v>
      </c>
      <c r="E166" s="26" t="n">
        <f aca="false">INDEX(Data_Base!$B$32:$M$37,MATCH(C166,Data_Base!$A$32:$A$37,0),A166)</f>
        <v>0.107112</v>
      </c>
      <c r="F166" s="25" t="n">
        <f aca="false">INDEX(Data_Base!$C$5:$C$28,B166)*(1+INDEX(Assumptions!$B$19:$B$22,MATCH(D166,Assumptions!$A$19:$A$22,0)))*E166</f>
        <v>1232.20145232</v>
      </c>
      <c r="G166" s="24" t="n">
        <f aca="false">INDEX(Data_Base!$D$5:$D$28,B166)/INDEX(Data_Base!$C$5:$C$28,B166)</f>
        <v>178.17027761986</v>
      </c>
      <c r="H166" s="27" t="n">
        <f aca="false">IF(A166&gt;=Assumptions!$C$37,INDEX(Assumptions!$B$10:$B$15,MATCH(C166,Assumptions!$A$10:$A$15,0)),0)</f>
        <v>0.03</v>
      </c>
      <c r="I166" s="27" t="n">
        <f aca="false">IF(AND(A166&gt;=Assumptions!$C$37,INDEX(Assumptions!$C$19:$C$22,MATCH(D166,Assumptions!$A$19:$A$22,0))=1),INDEX(Assumptions!$D$10:$D$15,MATCH(C166,Assumptions!$A$10:$A$15,0)),0)</f>
        <v>0</v>
      </c>
      <c r="J166" s="9" t="n">
        <f aca="false">F166*G166*(1+H166)</f>
        <v>226127.925088752</v>
      </c>
      <c r="K166" s="9" t="n">
        <f aca="false">J166*(1+I166)</f>
        <v>226127.925088752</v>
      </c>
      <c r="L166" s="24" t="n">
        <f aca="false">INDEX(Data_Base!$E$5:$E$28,B166)/INDEX(Data_Base!$C$5:$C$28,B166)*(1+INDEX(Assumptions!$C$10:$C$15,MATCH(C166,Assumptions!$A$10:$A$15,0)))</f>
        <v>155.750148990904</v>
      </c>
      <c r="M166" s="9" t="n">
        <f aca="false">F166*L166</f>
        <v>191915.559785648</v>
      </c>
      <c r="N166" s="24" t="n">
        <f aca="false">INDEX(Data_Base!$F$5:$F$28,B166)/INDEX(Data_Base!$C$5:$C$28,B166)*(1+Assumptions!$C$38)</f>
        <v>2.73009262838734</v>
      </c>
      <c r="O166" s="9" t="n">
        <f aca="false">F166*N166</f>
        <v>3364.02410166701</v>
      </c>
      <c r="P166" s="25" t="n">
        <f aca="false">IF(A166&lt;=3,SUMIFS(Data_Q1!$D$5:$D$76,Data_Q1!$A$5:$A$76,A166,Data_Q1!$B$5:$B$76,C166,Data_Q1!$C$5:$C$76,D166),F166*INDEX(Reforecast!$D$6:$D$9,MATCH(D166,Reforecast!$A$6:$A$9,0)))</f>
        <v>1306.00336274026</v>
      </c>
      <c r="Q166" s="9" t="n">
        <f aca="false">IF(A166&lt;=3,SUMIFS(Data_Q1!$E$5:$E$76,Data_Q1!$A$5:$A$76,A166,Data_Q1!$B$5:$B$76,C166,Data_Q1!$C$5:$C$76,D166),P166*G166*(1+H166)*(1+I166))</f>
        <v>239671.71116326</v>
      </c>
      <c r="R166" s="9" t="n">
        <f aca="false">IF(A166&lt;=3,SUMIFS(Data_Q1!$F$5:$F$76,Data_Q1!$A$5:$A$76,A166,Data_Q1!$B$5:$B$76,C166,Data_Q1!$C$5:$C$76,D166),P166*L166*INDEX(Reforecast!$D$12:$D$17,MATCH(C166,Reforecast!$A$12:$A$17,0)))</f>
        <v>203808.215674605</v>
      </c>
      <c r="S166" s="9" t="n">
        <f aca="false">IF(A166&lt;=3,SUMIFS(Data_Q1!$G$5:$G$76,Data_Q1!$A$5:$A$76,A166,Data_Q1!$B$5:$B$76,C166,Data_Q1!$C$5:$C$76,D166),P166*N166)</f>
        <v>3565.51015326627</v>
      </c>
    </row>
    <row r="167" customFormat="false" ht="15" hidden="false" customHeight="false" outlineLevel="0" collapsed="false">
      <c r="A167" s="0" t="n">
        <f aca="false">MOD(ROW()-5,12)+1</f>
        <v>7</v>
      </c>
      <c r="B167" s="0" t="n">
        <f aca="false">INT((ROW()-5)/12)+1</f>
        <v>14</v>
      </c>
      <c r="C167" s="0" t="str">
        <f aca="false">INDEX(Data_Base!$A$5:$A$28,B167)</f>
        <v>Seafood</v>
      </c>
      <c r="D167" s="0" t="str">
        <f aca="false">INDEX(Data_Base!$B$5:$B$28,B167)</f>
        <v>Grocery Retail</v>
      </c>
      <c r="E167" s="26" t="n">
        <f aca="false">INDEX(Data_Base!$B$32:$M$37,MATCH(C167,Data_Base!$A$32:$A$37,0),A167)</f>
        <v>0.100013</v>
      </c>
      <c r="F167" s="25" t="n">
        <f aca="false">INDEX(Data_Base!$C$5:$C$28,B167)*(1+INDEX(Assumptions!$B$19:$B$22,MATCH(D167,Assumptions!$A$19:$A$22,0)))*E167</f>
        <v>1150.53555018</v>
      </c>
      <c r="G167" s="24" t="n">
        <f aca="false">INDEX(Data_Base!$D$5:$D$28,B167)/INDEX(Data_Base!$C$5:$C$28,B167)</f>
        <v>178.17027761986</v>
      </c>
      <c r="H167" s="27" t="n">
        <f aca="false">IF(A167&gt;=Assumptions!$C$37,INDEX(Assumptions!$B$10:$B$15,MATCH(C167,Assumptions!$A$10:$A$15,0)),0)</f>
        <v>0.03</v>
      </c>
      <c r="I167" s="27" t="n">
        <f aca="false">IF(AND(A167&gt;=Assumptions!$C$37,INDEX(Assumptions!$C$19:$C$22,MATCH(D167,Assumptions!$A$19:$A$22,0))=1),INDEX(Assumptions!$D$10:$D$15,MATCH(C167,Assumptions!$A$10:$A$15,0)),0)</f>
        <v>0</v>
      </c>
      <c r="J167" s="9" t="n">
        <f aca="false">F167*G167*(1+H167)</f>
        <v>211140.975538701</v>
      </c>
      <c r="K167" s="9" t="n">
        <f aca="false">J167*(1+I167)</f>
        <v>211140.975538701</v>
      </c>
      <c r="L167" s="24" t="n">
        <f aca="false">INDEX(Data_Base!$E$5:$E$28,B167)/INDEX(Data_Base!$C$5:$C$28,B167)*(1+INDEX(Assumptions!$C$10:$C$15,MATCH(C167,Assumptions!$A$10:$A$15,0)))</f>
        <v>155.750148990904</v>
      </c>
      <c r="M167" s="9" t="n">
        <f aca="false">F167*L167</f>
        <v>179196.083359867</v>
      </c>
      <c r="N167" s="24" t="n">
        <f aca="false">INDEX(Data_Base!$F$5:$F$28,B167)/INDEX(Data_Base!$C$5:$C$28,B167)*(1+Assumptions!$C$38)</f>
        <v>2.73009262838734</v>
      </c>
      <c r="O167" s="9" t="n">
        <f aca="false">F167*N167</f>
        <v>3141.06862424399</v>
      </c>
      <c r="P167" s="25" t="n">
        <f aca="false">IF(A167&lt;=3,SUMIFS(Data_Q1!$D$5:$D$76,Data_Q1!$A$5:$A$76,A167,Data_Q1!$B$5:$B$76,C167,Data_Q1!$C$5:$C$76,D167),F167*INDEX(Reforecast!$D$6:$D$9,MATCH(D167,Reforecast!$A$6:$A$9,0)))</f>
        <v>1219.44613411888</v>
      </c>
      <c r="Q167" s="9" t="n">
        <f aca="false">IF(A167&lt;=3,SUMIFS(Data_Q1!$E$5:$E$76,Data_Q1!$A$5:$A$76,A167,Data_Q1!$B$5:$B$76,C167,Data_Q1!$C$5:$C$76,D167),P167*G167*(1+H167)*(1+I167))</f>
        <v>223787.127946179</v>
      </c>
      <c r="R167" s="9" t="n">
        <f aca="false">IF(A167&lt;=3,SUMIFS(Data_Q1!$F$5:$F$76,Data_Q1!$A$5:$A$76,A167,Data_Q1!$B$5:$B$76,C167,Data_Q1!$C$5:$C$76,D167),P167*L167*INDEX(Reforecast!$D$12:$D$17,MATCH(C167,Reforecast!$A$12:$A$17,0)))</f>
        <v>190300.536581002</v>
      </c>
      <c r="S167" s="9" t="n">
        <f aca="false">IF(A167&lt;=3,SUMIFS(Data_Q1!$G$5:$G$76,Data_Q1!$A$5:$A$76,A167,Data_Q1!$B$5:$B$76,C167,Data_Q1!$C$5:$C$76,D167),P167*N167)</f>
        <v>3329.2009014734</v>
      </c>
    </row>
    <row r="168" customFormat="false" ht="15" hidden="false" customHeight="false" outlineLevel="0" collapsed="false">
      <c r="A168" s="0" t="n">
        <f aca="false">MOD(ROW()-5,12)+1</f>
        <v>8</v>
      </c>
      <c r="B168" s="0" t="n">
        <f aca="false">INT((ROW()-5)/12)+1</f>
        <v>14</v>
      </c>
      <c r="C168" s="0" t="str">
        <f aca="false">INDEX(Data_Base!$A$5:$A$28,B168)</f>
        <v>Seafood</v>
      </c>
      <c r="D168" s="0" t="str">
        <f aca="false">INDEX(Data_Base!$B$5:$B$28,B168)</f>
        <v>Grocery Retail</v>
      </c>
      <c r="E168" s="26" t="n">
        <f aca="false">INDEX(Data_Base!$B$32:$M$37,MATCH(C168,Data_Base!$A$32:$A$37,0),A168)</f>
        <v>0.091632</v>
      </c>
      <c r="F168" s="25" t="n">
        <f aca="false">INDEX(Data_Base!$C$5:$C$28,B168)*(1+INDEX(Assumptions!$B$19:$B$22,MATCH(D168,Assumptions!$A$19:$A$22,0)))*E168</f>
        <v>1054.12169952</v>
      </c>
      <c r="G168" s="24" t="n">
        <f aca="false">INDEX(Data_Base!$D$5:$D$28,B168)/INDEX(Data_Base!$C$5:$C$28,B168)</f>
        <v>178.17027761986</v>
      </c>
      <c r="H168" s="27" t="n">
        <f aca="false">IF(A168&gt;=Assumptions!$C$37,INDEX(Assumptions!$B$10:$B$15,MATCH(C168,Assumptions!$A$10:$A$15,0)),0)</f>
        <v>0.03</v>
      </c>
      <c r="I168" s="27" t="n">
        <f aca="false">IF(AND(A168&gt;=Assumptions!$C$37,INDEX(Assumptions!$C$19:$C$22,MATCH(D168,Assumptions!$A$19:$A$22,0))=1),INDEX(Assumptions!$D$10:$D$15,MATCH(C168,Assumptions!$A$10:$A$15,0)),0)</f>
        <v>0</v>
      </c>
      <c r="J168" s="9" t="n">
        <f aca="false">F168*G168*(1+H168)</f>
        <v>193447.550524055</v>
      </c>
      <c r="K168" s="9" t="n">
        <f aca="false">J168*(1+I168)</f>
        <v>193447.550524055</v>
      </c>
      <c r="L168" s="24" t="n">
        <f aca="false">INDEX(Data_Base!$E$5:$E$28,B168)/INDEX(Data_Base!$C$5:$C$28,B168)*(1+INDEX(Assumptions!$C$10:$C$15,MATCH(C168,Assumptions!$A$10:$A$15,0)))</f>
        <v>155.750148990904</v>
      </c>
      <c r="M168" s="9" t="n">
        <f aca="false">F168*L168</f>
        <v>164179.611754785</v>
      </c>
      <c r="N168" s="24" t="n">
        <f aca="false">INDEX(Data_Base!$F$5:$F$28,B168)/INDEX(Data_Base!$C$5:$C$28,B168)*(1+Assumptions!$C$38)</f>
        <v>2.73009262838734</v>
      </c>
      <c r="O168" s="9" t="n">
        <f aca="false">F168*N168</f>
        <v>2877.84988128269</v>
      </c>
      <c r="P168" s="25" t="n">
        <f aca="false">IF(A168&lt;=3,SUMIFS(Data_Q1!$D$5:$D$76,Data_Q1!$A$5:$A$76,A168,Data_Q1!$B$5:$B$76,C168,Data_Q1!$C$5:$C$76,D168),F168*INDEX(Reforecast!$D$6:$D$9,MATCH(D168,Reforecast!$A$6:$A$9,0)))</f>
        <v>1117.25763812286</v>
      </c>
      <c r="Q168" s="9" t="n">
        <f aca="false">IF(A168&lt;=3,SUMIFS(Data_Q1!$E$5:$E$76,Data_Q1!$A$5:$A$76,A168,Data_Q1!$B$5:$B$76,C168,Data_Q1!$C$5:$C$76,D168),P168*G168*(1+H168)*(1+I168))</f>
        <v>205033.966663976</v>
      </c>
      <c r="R168" s="9" t="n">
        <f aca="false">IF(A168&lt;=3,SUMIFS(Data_Q1!$F$5:$F$76,Data_Q1!$A$5:$A$76,A168,Data_Q1!$B$5:$B$76,C168,Data_Q1!$C$5:$C$76,D168),P168*L168*INDEX(Reforecast!$D$12:$D$17,MATCH(C168,Reforecast!$A$12:$A$17,0)))</f>
        <v>174353.52172208</v>
      </c>
      <c r="S168" s="9" t="n">
        <f aca="false">IF(A168&lt;=3,SUMIFS(Data_Q1!$G$5:$G$76,Data_Q1!$A$5:$A$76,A168,Data_Q1!$B$5:$B$76,C168,Data_Q1!$C$5:$C$76,D168),P168*N168)</f>
        <v>3050.21684184867</v>
      </c>
    </row>
    <row r="169" customFormat="false" ht="15" hidden="false" customHeight="false" outlineLevel="0" collapsed="false">
      <c r="A169" s="0" t="n">
        <f aca="false">MOD(ROW()-5,12)+1</f>
        <v>9</v>
      </c>
      <c r="B169" s="0" t="n">
        <f aca="false">INT((ROW()-5)/12)+1</f>
        <v>14</v>
      </c>
      <c r="C169" s="0" t="str">
        <f aca="false">INDEX(Data_Base!$A$5:$A$28,B169)</f>
        <v>Seafood</v>
      </c>
      <c r="D169" s="0" t="str">
        <f aca="false">INDEX(Data_Base!$B$5:$B$28,B169)</f>
        <v>Grocery Retail</v>
      </c>
      <c r="E169" s="26" t="n">
        <f aca="false">INDEX(Data_Base!$B$32:$M$37,MATCH(C169,Data_Base!$A$32:$A$37,0),A169)</f>
        <v>0.083054</v>
      </c>
      <c r="F169" s="25" t="n">
        <f aca="false">INDEX(Data_Base!$C$5:$C$28,B169)*(1+INDEX(Assumptions!$B$19:$B$22,MATCH(D169,Assumptions!$A$19:$A$22,0)))*E169</f>
        <v>955.44158844</v>
      </c>
      <c r="G169" s="24" t="n">
        <f aca="false">INDEX(Data_Base!$D$5:$D$28,B169)/INDEX(Data_Base!$C$5:$C$28,B169)</f>
        <v>178.17027761986</v>
      </c>
      <c r="H169" s="27" t="n">
        <f aca="false">IF(A169&gt;=Assumptions!$C$37,INDEX(Assumptions!$B$10:$B$15,MATCH(C169,Assumptions!$A$10:$A$15,0)),0)</f>
        <v>0.03</v>
      </c>
      <c r="I169" s="27" t="n">
        <f aca="false">IF(AND(A169&gt;=Assumptions!$C$37,INDEX(Assumptions!$C$19:$C$22,MATCH(D169,Assumptions!$A$19:$A$22,0))=1),INDEX(Assumptions!$D$10:$D$15,MATCH(C169,Assumptions!$A$10:$A$15,0)),0)</f>
        <v>0</v>
      </c>
      <c r="J169" s="9" t="n">
        <f aca="false">F169*G169*(1+H169)</f>
        <v>175338.231853772</v>
      </c>
      <c r="K169" s="9" t="n">
        <f aca="false">J169*(1+I169)</f>
        <v>175338.231853772</v>
      </c>
      <c r="L169" s="24" t="n">
        <f aca="false">INDEX(Data_Base!$E$5:$E$28,B169)/INDEX(Data_Base!$C$5:$C$28,B169)*(1+INDEX(Assumptions!$C$10:$C$15,MATCH(C169,Assumptions!$A$10:$A$15,0)))</f>
        <v>155.750148990904</v>
      </c>
      <c r="M169" s="9" t="n">
        <f aca="false">F169*L169</f>
        <v>148810.169751636</v>
      </c>
      <c r="N169" s="24" t="n">
        <f aca="false">INDEX(Data_Base!$F$5:$F$28,B169)/INDEX(Data_Base!$C$5:$C$28,B169)*(1+Assumptions!$C$38)</f>
        <v>2.73009262838734</v>
      </c>
      <c r="O169" s="9" t="n">
        <f aca="false">F169*N169</f>
        <v>2608.44403745474</v>
      </c>
      <c r="P169" s="25" t="n">
        <f aca="false">IF(A169&lt;=3,SUMIFS(Data_Q1!$D$5:$D$76,Data_Q1!$A$5:$A$76,A169,Data_Q1!$B$5:$B$76,C169,Data_Q1!$C$5:$C$76,D169),F169*INDEX(Reforecast!$D$6:$D$9,MATCH(D169,Reforecast!$A$6:$A$9,0)))</f>
        <v>1012.66714550218</v>
      </c>
      <c r="Q169" s="9" t="n">
        <f aca="false">IF(A169&lt;=3,SUMIFS(Data_Q1!$E$5:$E$76,Data_Q1!$A$5:$A$76,A169,Data_Q1!$B$5:$B$76,C169,Data_Q1!$C$5:$C$76,D169),P169*G169*(1+H169)*(1+I169))</f>
        <v>185840.002044154</v>
      </c>
      <c r="R169" s="9" t="n">
        <f aca="false">IF(A169&lt;=3,SUMIFS(Data_Q1!$F$5:$F$76,Data_Q1!$A$5:$A$76,A169,Data_Q1!$B$5:$B$76,C169,Data_Q1!$C$5:$C$76,D169),P169*L169*INDEX(Reforecast!$D$12:$D$17,MATCH(C169,Reforecast!$A$12:$A$17,0)))</f>
        <v>158031.663535726</v>
      </c>
      <c r="S169" s="9" t="n">
        <f aca="false">IF(A169&lt;=3,SUMIFS(Data_Q1!$G$5:$G$76,Data_Q1!$A$5:$A$76,A169,Data_Q1!$B$5:$B$76,C169,Data_Q1!$C$5:$C$76,D169),P169*N169)</f>
        <v>2764.67510894556</v>
      </c>
    </row>
    <row r="170" customFormat="false" ht="15" hidden="false" customHeight="false" outlineLevel="0" collapsed="false">
      <c r="A170" s="0" t="n">
        <f aca="false">MOD(ROW()-5,12)+1</f>
        <v>10</v>
      </c>
      <c r="B170" s="0" t="n">
        <f aca="false">INT((ROW()-5)/12)+1</f>
        <v>14</v>
      </c>
      <c r="C170" s="0" t="str">
        <f aca="false">INDEX(Data_Base!$A$5:$A$28,B170)</f>
        <v>Seafood</v>
      </c>
      <c r="D170" s="0" t="str">
        <f aca="false">INDEX(Data_Base!$B$5:$B$28,B170)</f>
        <v>Grocery Retail</v>
      </c>
      <c r="E170" s="26" t="n">
        <f aca="false">INDEX(Data_Base!$B$32:$M$37,MATCH(C170,Data_Base!$A$32:$A$37,0),A170)</f>
        <v>0.074903</v>
      </c>
      <c r="F170" s="25" t="n">
        <f aca="false">INDEX(Data_Base!$C$5:$C$28,B170)*(1+INDEX(Assumptions!$B$19:$B$22,MATCH(D170,Assumptions!$A$19:$A$22,0)))*E170</f>
        <v>861.67362558</v>
      </c>
      <c r="G170" s="24" t="n">
        <f aca="false">INDEX(Data_Base!$D$5:$D$28,B170)/INDEX(Data_Base!$C$5:$C$28,B170)</f>
        <v>178.17027761986</v>
      </c>
      <c r="H170" s="27" t="n">
        <f aca="false">IF(A170&gt;=Assumptions!$C$37,INDEX(Assumptions!$B$10:$B$15,MATCH(C170,Assumptions!$A$10:$A$15,0)),0)</f>
        <v>0.03</v>
      </c>
      <c r="I170" s="27" t="n">
        <f aca="false">IF(AND(A170&gt;=Assumptions!$C$37,INDEX(Assumptions!$C$19:$C$22,MATCH(D170,Assumptions!$A$19:$A$22,0))=1),INDEX(Assumptions!$D$10:$D$15,MATCH(C170,Assumptions!$A$10:$A$15,0)),0)</f>
        <v>0</v>
      </c>
      <c r="J170" s="9" t="n">
        <f aca="false">F170*G170*(1+H170)</f>
        <v>158130.367959919</v>
      </c>
      <c r="K170" s="9" t="n">
        <f aca="false">J170*(1+I170)</f>
        <v>158130.367959919</v>
      </c>
      <c r="L170" s="24" t="n">
        <f aca="false">INDEX(Data_Base!$E$5:$E$28,B170)/INDEX(Data_Base!$C$5:$C$28,B170)*(1+INDEX(Assumptions!$C$10:$C$15,MATCH(C170,Assumptions!$A$10:$A$15,0)))</f>
        <v>155.750148990904</v>
      </c>
      <c r="M170" s="9" t="n">
        <f aca="false">F170*L170</f>
        <v>134205.795565617</v>
      </c>
      <c r="N170" s="24" t="n">
        <f aca="false">INDEX(Data_Base!$F$5:$F$28,B170)/INDEX(Data_Base!$C$5:$C$28,B170)*(1+Assumptions!$C$38)</f>
        <v>2.73009262838734</v>
      </c>
      <c r="O170" s="9" t="n">
        <f aca="false">F170*N170</f>
        <v>2352.44881327175</v>
      </c>
      <c r="P170" s="25" t="n">
        <f aca="false">IF(A170&lt;=3,SUMIFS(Data_Q1!$D$5:$D$76,Data_Q1!$A$5:$A$76,A170,Data_Q1!$B$5:$B$76,C170,Data_Q1!$C$5:$C$76,D170),F170*INDEX(Reforecast!$D$6:$D$9,MATCH(D170,Reforecast!$A$6:$A$9,0)))</f>
        <v>913.283011047631</v>
      </c>
      <c r="Q170" s="9" t="n">
        <f aca="false">IF(A170&lt;=3,SUMIFS(Data_Q1!$E$5:$E$76,Data_Q1!$A$5:$A$76,A170,Data_Q1!$B$5:$B$76,C170,Data_Q1!$C$5:$C$76,D170),P170*G170*(1+H170)*(1+I170))</f>
        <v>167601.484252574</v>
      </c>
      <c r="R170" s="9" t="n">
        <f aca="false">IF(A170&lt;=3,SUMIFS(Data_Q1!$F$5:$F$76,Data_Q1!$A$5:$A$76,A170,Data_Q1!$B$5:$B$76,C170,Data_Q1!$C$5:$C$76,D170),P170*L170*INDEX(Reforecast!$D$12:$D$17,MATCH(C170,Reforecast!$A$12:$A$17,0)))</f>
        <v>142522.283018476</v>
      </c>
      <c r="S170" s="9" t="n">
        <f aca="false">IF(A170&lt;=3,SUMIFS(Data_Q1!$G$5:$G$76,Data_Q1!$A$5:$A$76,A170,Data_Q1!$B$5:$B$76,C170,Data_Q1!$C$5:$C$76,D170),P170*N170)</f>
        <v>2493.34721609253</v>
      </c>
    </row>
    <row r="171" customFormat="false" ht="15" hidden="false" customHeight="false" outlineLevel="0" collapsed="false">
      <c r="A171" s="0" t="n">
        <f aca="false">MOD(ROW()-5,12)+1</f>
        <v>11</v>
      </c>
      <c r="B171" s="0" t="n">
        <f aca="false">INT((ROW()-5)/12)+1</f>
        <v>14</v>
      </c>
      <c r="C171" s="0" t="str">
        <f aca="false">INDEX(Data_Base!$A$5:$A$28,B171)</f>
        <v>Seafood</v>
      </c>
      <c r="D171" s="0" t="str">
        <f aca="false">INDEX(Data_Base!$B$5:$B$28,B171)</f>
        <v>Grocery Retail</v>
      </c>
      <c r="E171" s="26" t="n">
        <f aca="false">INDEX(Data_Base!$B$32:$M$37,MATCH(C171,Data_Base!$A$32:$A$37,0),A171)</f>
        <v>0.070105</v>
      </c>
      <c r="F171" s="25" t="n">
        <f aca="false">INDEX(Data_Base!$C$5:$C$28,B171)*(1+INDEX(Assumptions!$B$19:$B$22,MATCH(D171,Assumptions!$A$19:$A$22,0)))*E171</f>
        <v>806.4781053</v>
      </c>
      <c r="G171" s="24" t="n">
        <f aca="false">INDEX(Data_Base!$D$5:$D$28,B171)/INDEX(Data_Base!$C$5:$C$28,B171)</f>
        <v>178.17027761986</v>
      </c>
      <c r="H171" s="27" t="n">
        <f aca="false">IF(A171&gt;=Assumptions!$C$37,INDEX(Assumptions!$B$10:$B$15,MATCH(C171,Assumptions!$A$10:$A$15,0)),0)</f>
        <v>0.03</v>
      </c>
      <c r="I171" s="27" t="n">
        <f aca="false">IF(AND(A171&gt;=Assumptions!$C$37,INDEX(Assumptions!$C$19:$C$22,MATCH(D171,Assumptions!$A$19:$A$22,0))=1),INDEX(Assumptions!$D$10:$D$15,MATCH(C171,Assumptions!$A$10:$A$15,0)),0)</f>
        <v>0</v>
      </c>
      <c r="J171" s="9" t="n">
        <f aca="false">F171*G171*(1+H171)</f>
        <v>148001.140753109</v>
      </c>
      <c r="K171" s="9" t="n">
        <f aca="false">J171*(1+I171)</f>
        <v>148001.140753109</v>
      </c>
      <c r="L171" s="24" t="n">
        <f aca="false">INDEX(Data_Base!$E$5:$E$28,B171)/INDEX(Data_Base!$C$5:$C$28,B171)*(1+INDEX(Assumptions!$C$10:$C$15,MATCH(C171,Assumptions!$A$10:$A$15,0)))</f>
        <v>155.750148990904</v>
      </c>
      <c r="M171" s="9" t="n">
        <f aca="false">F171*L171</f>
        <v>125609.085058377</v>
      </c>
      <c r="N171" s="24" t="n">
        <f aca="false">INDEX(Data_Base!$F$5:$F$28,B171)/INDEX(Data_Base!$C$5:$C$28,B171)*(1+Assumptions!$C$38)</f>
        <v>2.73009262838734</v>
      </c>
      <c r="O171" s="9" t="n">
        <f aca="false">F171*N171</f>
        <v>2201.75993023532</v>
      </c>
      <c r="P171" s="25" t="n">
        <f aca="false">IF(A171&lt;=3,SUMIFS(Data_Q1!$D$5:$D$76,Data_Q1!$A$5:$A$76,A171,Data_Q1!$B$5:$B$76,C171,Data_Q1!$C$5:$C$76,D171),F171*INDEX(Reforecast!$D$6:$D$9,MATCH(D171,Reforecast!$A$6:$A$9,0)))</f>
        <v>854.78159071725</v>
      </c>
      <c r="Q171" s="9" t="n">
        <f aca="false">IF(A171&lt;=3,SUMIFS(Data_Q1!$E$5:$E$76,Data_Q1!$A$5:$A$76,A171,Data_Q1!$B$5:$B$76,C171,Data_Q1!$C$5:$C$76,D171),P171*G171*(1+H171)*(1+I171))</f>
        <v>156865.573522111</v>
      </c>
      <c r="R171" s="9" t="n">
        <f aca="false">IF(A171&lt;=3,SUMIFS(Data_Q1!$F$5:$F$76,Data_Q1!$A$5:$A$76,A171,Data_Q1!$B$5:$B$76,C171,Data_Q1!$C$5:$C$76,D171),P171*L171*INDEX(Reforecast!$D$12:$D$17,MATCH(C171,Reforecast!$A$12:$A$17,0)))</f>
        <v>133392.850099598</v>
      </c>
      <c r="S171" s="9" t="n">
        <f aca="false">IF(A171&lt;=3,SUMIFS(Data_Q1!$G$5:$G$76,Data_Q1!$A$5:$A$76,A171,Data_Q1!$B$5:$B$76,C171,Data_Q1!$C$5:$C$76,D171),P171*N171)</f>
        <v>2333.63291969837</v>
      </c>
    </row>
    <row r="172" customFormat="false" ht="15" hidden="false" customHeight="false" outlineLevel="0" collapsed="false">
      <c r="A172" s="0" t="n">
        <f aca="false">MOD(ROW()-5,12)+1</f>
        <v>12</v>
      </c>
      <c r="B172" s="0" t="n">
        <f aca="false">INT((ROW()-5)/12)+1</f>
        <v>14</v>
      </c>
      <c r="C172" s="0" t="str">
        <f aca="false">INDEX(Data_Base!$A$5:$A$28,B172)</f>
        <v>Seafood</v>
      </c>
      <c r="D172" s="0" t="str">
        <f aca="false">INDEX(Data_Base!$B$5:$B$28,B172)</f>
        <v>Grocery Retail</v>
      </c>
      <c r="E172" s="26" t="n">
        <f aca="false">INDEX(Data_Base!$B$32:$M$37,MATCH(C172,Data_Base!$A$32:$A$37,0),A172)</f>
        <v>0.079769</v>
      </c>
      <c r="F172" s="25" t="n">
        <f aca="false">INDEX(Data_Base!$C$5:$C$28,B172)*(1+INDEX(Assumptions!$B$19:$B$22,MATCH(D172,Assumptions!$A$19:$A$22,0)))*E172</f>
        <v>917.65140834</v>
      </c>
      <c r="G172" s="24" t="n">
        <f aca="false">INDEX(Data_Base!$D$5:$D$28,B172)/INDEX(Data_Base!$C$5:$C$28,B172)</f>
        <v>178.17027761986</v>
      </c>
      <c r="H172" s="27" t="n">
        <f aca="false">IF(A172&gt;=Assumptions!$C$37,INDEX(Assumptions!$B$10:$B$15,MATCH(C172,Assumptions!$A$10:$A$15,0)),0)</f>
        <v>0.03</v>
      </c>
      <c r="I172" s="27" t="n">
        <f aca="false">IF(AND(A172&gt;=Assumptions!$C$37,INDEX(Assumptions!$C$19:$C$22,MATCH(D172,Assumptions!$A$19:$A$22,0))=1),INDEX(Assumptions!$D$10:$D$15,MATCH(C172,Assumptions!$A$10:$A$15,0)),0)</f>
        <v>0</v>
      </c>
      <c r="J172" s="9" t="n">
        <f aca="false">F172*G172*(1+H172)</f>
        <v>168403.152367659</v>
      </c>
      <c r="K172" s="9" t="n">
        <f aca="false">J172*(1+I172)</f>
        <v>168403.152367659</v>
      </c>
      <c r="L172" s="24" t="n">
        <f aca="false">INDEX(Data_Base!$E$5:$E$28,B172)/INDEX(Data_Base!$C$5:$C$28,B172)*(1+INDEX(Assumptions!$C$10:$C$15,MATCH(C172,Assumptions!$A$10:$A$15,0)))</f>
        <v>155.750148990904</v>
      </c>
      <c r="M172" s="9" t="n">
        <f aca="false">F172*L172</f>
        <v>142924.343570668</v>
      </c>
      <c r="N172" s="24" t="n">
        <f aca="false">INDEX(Data_Base!$F$5:$F$28,B172)/INDEX(Data_Base!$C$5:$C$28,B172)*(1+Assumptions!$C$38)</f>
        <v>2.73009262838734</v>
      </c>
      <c r="O172" s="9" t="n">
        <f aca="false">F172*N172</f>
        <v>2505.2733453383</v>
      </c>
      <c r="P172" s="25" t="n">
        <f aca="false">IF(A172&lt;=3,SUMIFS(Data_Q1!$D$5:$D$76,Data_Q1!$A$5:$A$76,A172,Data_Q1!$B$5:$B$76,C172,Data_Q1!$C$5:$C$76,D172),F172*INDEX(Reforecast!$D$6:$D$9,MATCH(D172,Reforecast!$A$6:$A$9,0)))</f>
        <v>972.613546964186</v>
      </c>
      <c r="Q172" s="9" t="n">
        <f aca="false">IF(A172&lt;=3,SUMIFS(Data_Q1!$E$5:$E$76,Data_Q1!$A$5:$A$76,A172,Data_Q1!$B$5:$B$76,C172,Data_Q1!$C$5:$C$76,D172),P172*G172*(1+H172)*(1+I172))</f>
        <v>178489.550449829</v>
      </c>
      <c r="R172" s="9" t="n">
        <f aca="false">IF(A172&lt;=3,SUMIFS(Data_Q1!$F$5:$F$76,Data_Q1!$A$5:$A$76,A172,Data_Q1!$B$5:$B$76,C172,Data_Q1!$C$5:$C$76,D172),P172*L172*INDEX(Reforecast!$D$12:$D$17,MATCH(C172,Reforecast!$A$12:$A$17,0)))</f>
        <v>151781.103481847</v>
      </c>
      <c r="S172" s="9" t="n">
        <f aca="false">IF(A172&lt;=3,SUMIFS(Data_Q1!$G$5:$G$76,Data_Q1!$A$5:$A$76,A172,Data_Q1!$B$5:$B$76,C172,Data_Q1!$C$5:$C$76,D172),P172*N172)</f>
        <v>2655.32507483659</v>
      </c>
    </row>
    <row r="173" customFormat="false" ht="15" hidden="false" customHeight="false" outlineLevel="0" collapsed="false">
      <c r="A173" s="0" t="n">
        <f aca="false">MOD(ROW()-5,12)+1</f>
        <v>1</v>
      </c>
      <c r="B173" s="0" t="n">
        <f aca="false">INT((ROW()-5)/12)+1</f>
        <v>15</v>
      </c>
      <c r="C173" s="0" t="str">
        <f aca="false">INDEX(Data_Base!$A$5:$A$28,B173)</f>
        <v>Seafood</v>
      </c>
      <c r="D173" s="0" t="str">
        <f aca="false">INDEX(Data_Base!$B$5:$B$28,B173)</f>
        <v>Hotels &amp; Institutions</v>
      </c>
      <c r="E173" s="26" t="n">
        <f aca="false">INDEX(Data_Base!$B$32:$M$37,MATCH(C173,Data_Base!$A$32:$A$37,0),A173)</f>
        <v>0.066916</v>
      </c>
      <c r="F173" s="25" t="n">
        <f aca="false">INDEX(Data_Base!$C$5:$C$28,B173)*(1+INDEX(Assumptions!$B$19:$B$22,MATCH(D173,Assumptions!$A$19:$A$22,0)))*E173</f>
        <v>378.20655536</v>
      </c>
      <c r="G173" s="24" t="n">
        <f aca="false">INDEX(Data_Base!$D$5:$D$28,B173)/INDEX(Data_Base!$C$5:$C$28,B173)</f>
        <v>194.233507862759</v>
      </c>
      <c r="H173" s="27" t="n">
        <f aca="false">IF(A173&gt;=Assumptions!$C$37,INDEX(Assumptions!$B$10:$B$15,MATCH(C173,Assumptions!$A$10:$A$15,0)),0)</f>
        <v>0</v>
      </c>
      <c r="I173" s="27" t="n">
        <f aca="false">IF(AND(A173&gt;=Assumptions!$C$37,INDEX(Assumptions!$C$19:$C$22,MATCH(D173,Assumptions!$A$19:$A$22,0))=1),INDEX(Assumptions!$D$10:$D$15,MATCH(C173,Assumptions!$A$10:$A$15,0)),0)</f>
        <v>0</v>
      </c>
      <c r="J173" s="9" t="n">
        <f aca="false">F173*G173*(1+H173)</f>
        <v>73460.3859442636</v>
      </c>
      <c r="K173" s="9" t="n">
        <f aca="false">J173*(1+I173)</f>
        <v>73460.3859442636</v>
      </c>
      <c r="L173" s="24" t="n">
        <f aca="false">INDEX(Data_Base!$E$5:$E$28,B173)/INDEX(Data_Base!$C$5:$C$28,B173)*(1+INDEX(Assumptions!$C$10:$C$15,MATCH(C173,Assumptions!$A$10:$A$15,0)))</f>
        <v>155.877084971408</v>
      </c>
      <c r="M173" s="9" t="n">
        <f aca="false">F173*L173</f>
        <v>58953.7353665943</v>
      </c>
      <c r="N173" s="24" t="n">
        <f aca="false">INDEX(Data_Base!$F$5:$F$28,B173)/INDEX(Data_Base!$C$5:$C$28,B173)*(1+Assumptions!$C$38)</f>
        <v>2.73119499642602</v>
      </c>
      <c r="O173" s="9" t="n">
        <f aca="false">F173*N173</f>
        <v>1032.95585161475</v>
      </c>
      <c r="P173" s="25" t="n">
        <f aca="false">IF(A173&lt;=3,SUMIFS(Data_Q1!$D$5:$D$76,Data_Q1!$A$5:$A$76,A173,Data_Q1!$B$5:$B$76,C173,Data_Q1!$C$5:$C$76,D173),F173*INDEX(Reforecast!$D$6:$D$9,MATCH(D173,Reforecast!$A$6:$A$9,0)))</f>
        <v>387.2</v>
      </c>
      <c r="Q173" s="9" t="n">
        <f aca="false">IF(A173&lt;=3,SUMIFS(Data_Q1!$E$5:$E$76,Data_Q1!$A$5:$A$76,A173,Data_Q1!$B$5:$B$76,C173,Data_Q1!$C$5:$C$76,D173),P173*G173*(1+H173)*(1+I173))</f>
        <v>75121.72</v>
      </c>
      <c r="R173" s="9" t="n">
        <f aca="false">IF(A173&lt;=3,SUMIFS(Data_Q1!$F$5:$F$76,Data_Q1!$A$5:$A$76,A173,Data_Q1!$B$5:$B$76,C173,Data_Q1!$C$5:$C$76,D173),P173*L173*INDEX(Reforecast!$D$12:$D$17,MATCH(C173,Reforecast!$A$12:$A$17,0)))</f>
        <v>60411.45</v>
      </c>
      <c r="S173" s="9" t="n">
        <f aca="false">IF(A173&lt;=3,SUMIFS(Data_Q1!$G$5:$G$76,Data_Q1!$A$5:$A$76,A173,Data_Q1!$B$5:$B$76,C173,Data_Q1!$C$5:$C$76,D173),P173*N173)</f>
        <v>1057.46</v>
      </c>
    </row>
    <row r="174" customFormat="false" ht="15" hidden="false" customHeight="false" outlineLevel="0" collapsed="false">
      <c r="A174" s="0" t="n">
        <f aca="false">MOD(ROW()-5,12)+1</f>
        <v>2</v>
      </c>
      <c r="B174" s="0" t="n">
        <f aca="false">INT((ROW()-5)/12)+1</f>
        <v>15</v>
      </c>
      <c r="C174" s="0" t="str">
        <f aca="false">INDEX(Data_Base!$A$5:$A$28,B174)</f>
        <v>Seafood</v>
      </c>
      <c r="D174" s="0" t="str">
        <f aca="false">INDEX(Data_Base!$B$5:$B$28,B174)</f>
        <v>Hotels &amp; Institutions</v>
      </c>
      <c r="E174" s="26" t="n">
        <f aca="false">INDEX(Data_Base!$B$32:$M$37,MATCH(C174,Data_Base!$A$32:$A$37,0),A174)</f>
        <v>0.065437</v>
      </c>
      <c r="F174" s="25" t="n">
        <f aca="false">INDEX(Data_Base!$C$5:$C$28,B174)*(1+INDEX(Assumptions!$B$19:$B$22,MATCH(D174,Assumptions!$A$19:$A$22,0)))*E174</f>
        <v>369.84730652</v>
      </c>
      <c r="G174" s="24" t="n">
        <f aca="false">INDEX(Data_Base!$D$5:$D$28,B174)/INDEX(Data_Base!$C$5:$C$28,B174)</f>
        <v>194.233507862759</v>
      </c>
      <c r="H174" s="27" t="n">
        <f aca="false">IF(A174&gt;=Assumptions!$C$37,INDEX(Assumptions!$B$10:$B$15,MATCH(C174,Assumptions!$A$10:$A$15,0)),0)</f>
        <v>0.03</v>
      </c>
      <c r="I174" s="27" t="n">
        <f aca="false">IF(AND(A174&gt;=Assumptions!$C$37,INDEX(Assumptions!$C$19:$C$22,MATCH(D174,Assumptions!$A$19:$A$22,0))=1),INDEX(Assumptions!$D$10:$D$15,MATCH(C174,Assumptions!$A$10:$A$15,0)),0)</f>
        <v>0.015</v>
      </c>
      <c r="J174" s="9" t="n">
        <f aca="false">F174*G174*(1+H174)</f>
        <v>73991.8419105419</v>
      </c>
      <c r="K174" s="9" t="n">
        <f aca="false">J174*(1+I174)</f>
        <v>75101.7195392</v>
      </c>
      <c r="L174" s="24" t="n">
        <f aca="false">INDEX(Data_Base!$E$5:$E$28,B174)/INDEX(Data_Base!$C$5:$C$28,B174)*(1+INDEX(Assumptions!$C$10:$C$15,MATCH(C174,Assumptions!$A$10:$A$15,0)))</f>
        <v>155.877084971408</v>
      </c>
      <c r="M174" s="9" t="n">
        <f aca="false">F174*L174</f>
        <v>57650.7200248645</v>
      </c>
      <c r="N174" s="24" t="n">
        <f aca="false">INDEX(Data_Base!$F$5:$F$28,B174)/INDEX(Data_Base!$C$5:$C$28,B174)*(1+Assumptions!$C$38)</f>
        <v>2.73119499642602</v>
      </c>
      <c r="O174" s="9" t="n">
        <f aca="false">F174*N174</f>
        <v>1010.12511300906</v>
      </c>
      <c r="P174" s="25" t="n">
        <f aca="false">IF(A174&lt;=3,SUMIFS(Data_Q1!$D$5:$D$76,Data_Q1!$A$5:$A$76,A174,Data_Q1!$B$5:$B$76,C174,Data_Q1!$C$5:$C$76,D174),F174*INDEX(Reforecast!$D$6:$D$9,MATCH(D174,Reforecast!$A$6:$A$9,0)))</f>
        <v>378.1</v>
      </c>
      <c r="Q174" s="9" t="n">
        <f aca="false">IF(A174&lt;=3,SUMIFS(Data_Q1!$E$5:$E$76,Data_Q1!$A$5:$A$76,A174,Data_Q1!$B$5:$B$76,C174,Data_Q1!$C$5:$C$76,D174),P174*G174*(1+H174)*(1+I174))</f>
        <v>76741.81</v>
      </c>
      <c r="R174" s="9" t="n">
        <f aca="false">IF(A174&lt;=3,SUMIFS(Data_Q1!$F$5:$F$76,Data_Q1!$A$5:$A$76,A174,Data_Q1!$B$5:$B$76,C174,Data_Q1!$C$5:$C$76,D174),P174*L174*INDEX(Reforecast!$D$12:$D$17,MATCH(C174,Reforecast!$A$12:$A$17,0)))</f>
        <v>59246.61</v>
      </c>
      <c r="S174" s="9" t="n">
        <f aca="false">IF(A174&lt;=3,SUMIFS(Data_Q1!$G$5:$G$76,Data_Q1!$A$5:$A$76,A174,Data_Q1!$B$5:$B$76,C174,Data_Q1!$C$5:$C$76,D174),P174*N174)</f>
        <v>1032.6</v>
      </c>
    </row>
    <row r="175" customFormat="false" ht="15" hidden="false" customHeight="false" outlineLevel="0" collapsed="false">
      <c r="A175" s="0" t="n">
        <f aca="false">MOD(ROW()-5,12)+1</f>
        <v>3</v>
      </c>
      <c r="B175" s="0" t="n">
        <f aca="false">INT((ROW()-5)/12)+1</f>
        <v>15</v>
      </c>
      <c r="C175" s="0" t="str">
        <f aca="false">INDEX(Data_Base!$A$5:$A$28,B175)</f>
        <v>Seafood</v>
      </c>
      <c r="D175" s="0" t="str">
        <f aca="false">INDEX(Data_Base!$B$5:$B$28,B175)</f>
        <v>Hotels &amp; Institutions</v>
      </c>
      <c r="E175" s="26" t="n">
        <f aca="false">INDEX(Data_Base!$B$32:$M$37,MATCH(C175,Data_Base!$A$32:$A$37,0),A175)</f>
        <v>0.075363</v>
      </c>
      <c r="F175" s="25" t="n">
        <f aca="false">INDEX(Data_Base!$C$5:$C$28,B175)*(1+INDEX(Assumptions!$B$19:$B$22,MATCH(D175,Assumptions!$A$19:$A$22,0)))*E175</f>
        <v>425.94866148</v>
      </c>
      <c r="G175" s="24" t="n">
        <f aca="false">INDEX(Data_Base!$D$5:$D$28,B175)/INDEX(Data_Base!$C$5:$C$28,B175)</f>
        <v>194.233507862759</v>
      </c>
      <c r="H175" s="27" t="n">
        <f aca="false">IF(A175&gt;=Assumptions!$C$37,INDEX(Assumptions!$B$10:$B$15,MATCH(C175,Assumptions!$A$10:$A$15,0)),0)</f>
        <v>0.03</v>
      </c>
      <c r="I175" s="27" t="n">
        <f aca="false">IF(AND(A175&gt;=Assumptions!$C$37,INDEX(Assumptions!$C$19:$C$22,MATCH(D175,Assumptions!$A$19:$A$22,0))=1),INDEX(Assumptions!$D$10:$D$15,MATCH(C175,Assumptions!$A$10:$A$15,0)),0)</f>
        <v>0.015</v>
      </c>
      <c r="J175" s="9" t="n">
        <f aca="false">F175*G175*(1+H175)</f>
        <v>85215.5077693685</v>
      </c>
      <c r="K175" s="9" t="n">
        <f aca="false">J175*(1+I175)</f>
        <v>86493.740385909</v>
      </c>
      <c r="L175" s="24" t="n">
        <f aca="false">INDEX(Data_Base!$E$5:$E$28,B175)/INDEX(Data_Base!$C$5:$C$28,B175)*(1+INDEX(Assumptions!$C$10:$C$15,MATCH(C175,Assumptions!$A$10:$A$15,0)))</f>
        <v>155.877084971408</v>
      </c>
      <c r="M175" s="9" t="n">
        <f aca="false">F175*L175</f>
        <v>66395.6356989755</v>
      </c>
      <c r="N175" s="24" t="n">
        <f aca="false">INDEX(Data_Base!$F$5:$F$28,B175)/INDEX(Data_Base!$C$5:$C$28,B175)*(1+Assumptions!$C$38)</f>
        <v>2.73119499642602</v>
      </c>
      <c r="O175" s="9" t="n">
        <f aca="false">F175*N175</f>
        <v>1163.34885296854</v>
      </c>
      <c r="P175" s="25" t="n">
        <f aca="false">IF(A175&lt;=3,SUMIFS(Data_Q1!$D$5:$D$76,Data_Q1!$A$5:$A$76,A175,Data_Q1!$B$5:$B$76,C175,Data_Q1!$C$5:$C$76,D175),F175*INDEX(Reforecast!$D$6:$D$9,MATCH(D175,Reforecast!$A$6:$A$9,0)))</f>
        <v>424.1</v>
      </c>
      <c r="Q175" s="9" t="n">
        <f aca="false">IF(A175&lt;=3,SUMIFS(Data_Q1!$E$5:$E$76,Data_Q1!$A$5:$A$76,A175,Data_Q1!$B$5:$B$76,C175,Data_Q1!$C$5:$C$76,D175),P175*G175*(1+H175)*(1+I175))</f>
        <v>86445.39</v>
      </c>
      <c r="R175" s="9" t="n">
        <f aca="false">IF(A175&lt;=3,SUMIFS(Data_Q1!$F$5:$F$76,Data_Q1!$A$5:$A$76,A175,Data_Q1!$B$5:$B$76,C175,Data_Q1!$C$5:$C$76,D175),P175*L175*INDEX(Reforecast!$D$12:$D$17,MATCH(C175,Reforecast!$A$12:$A$17,0)))</f>
        <v>66453.74</v>
      </c>
      <c r="S175" s="9" t="n">
        <f aca="false">IF(A175&lt;=3,SUMIFS(Data_Q1!$G$5:$G$76,Data_Q1!$A$5:$A$76,A175,Data_Q1!$B$5:$B$76,C175,Data_Q1!$C$5:$C$76,D175),P175*N175)</f>
        <v>1158.33</v>
      </c>
    </row>
    <row r="176" customFormat="false" ht="15" hidden="false" customHeight="false" outlineLevel="0" collapsed="false">
      <c r="A176" s="0" t="n">
        <f aca="false">MOD(ROW()-5,12)+1</f>
        <v>4</v>
      </c>
      <c r="B176" s="0" t="n">
        <f aca="false">INT((ROW()-5)/12)+1</f>
        <v>15</v>
      </c>
      <c r="C176" s="0" t="str">
        <f aca="false">INDEX(Data_Base!$A$5:$A$28,B176)</f>
        <v>Seafood</v>
      </c>
      <c r="D176" s="0" t="str">
        <f aca="false">INDEX(Data_Base!$B$5:$B$28,B176)</f>
        <v>Hotels &amp; Institutions</v>
      </c>
      <c r="E176" s="26" t="n">
        <f aca="false">INDEX(Data_Base!$B$32:$M$37,MATCH(C176,Data_Base!$A$32:$A$37,0),A176)</f>
        <v>0.082561</v>
      </c>
      <c r="F176" s="25" t="n">
        <f aca="false">INDEX(Data_Base!$C$5:$C$28,B176)*(1+INDEX(Assumptions!$B$19:$B$22,MATCH(D176,Assumptions!$A$19:$A$22,0)))*E176</f>
        <v>466.63146956</v>
      </c>
      <c r="G176" s="24" t="n">
        <f aca="false">INDEX(Data_Base!$D$5:$D$28,B176)/INDEX(Data_Base!$C$5:$C$28,B176)</f>
        <v>194.233507862759</v>
      </c>
      <c r="H176" s="27" t="n">
        <f aca="false">IF(A176&gt;=Assumptions!$C$37,INDEX(Assumptions!$B$10:$B$15,MATCH(C176,Assumptions!$A$10:$A$15,0)),0)</f>
        <v>0.03</v>
      </c>
      <c r="I176" s="27" t="n">
        <f aca="false">IF(AND(A176&gt;=Assumptions!$C$37,INDEX(Assumptions!$C$19:$C$22,MATCH(D176,Assumptions!$A$19:$A$22,0))=1),INDEX(Assumptions!$D$10:$D$15,MATCH(C176,Assumptions!$A$10:$A$15,0)),0)</f>
        <v>0.015</v>
      </c>
      <c r="J176" s="9" t="n">
        <f aca="false">F176*G176*(1+H176)</f>
        <v>93354.5312281469</v>
      </c>
      <c r="K176" s="9" t="n">
        <f aca="false">J176*(1+I176)</f>
        <v>94754.8491965691</v>
      </c>
      <c r="L176" s="24" t="n">
        <f aca="false">INDEX(Data_Base!$E$5:$E$28,B176)/INDEX(Data_Base!$C$5:$C$28,B176)*(1+INDEX(Assumptions!$C$10:$C$15,MATCH(C176,Assumptions!$A$10:$A$15,0)))</f>
        <v>155.877084971408</v>
      </c>
      <c r="M176" s="9" t="n">
        <f aca="false">F176*L176</f>
        <v>72737.1532309372</v>
      </c>
      <c r="N176" s="24" t="n">
        <f aca="false">INDEX(Data_Base!$F$5:$F$28,B176)/INDEX(Data_Base!$C$5:$C$28,B176)*(1+Assumptions!$C$38)</f>
        <v>2.73119499642602</v>
      </c>
      <c r="O176" s="9" t="n">
        <f aca="false">F176*N176</f>
        <v>1274.46153483719</v>
      </c>
      <c r="P176" s="25" t="n">
        <f aca="false">IF(A176&lt;=3,SUMIFS(Data_Q1!$D$5:$D$76,Data_Q1!$A$5:$A$76,A176,Data_Q1!$B$5:$B$76,C176,Data_Q1!$C$5:$C$76,D176),F176*INDEX(Reforecast!$D$6:$D$9,MATCH(D176,Reforecast!$A$6:$A$9,0)))</f>
        <v>467.176671754287</v>
      </c>
      <c r="Q176" s="9" t="n">
        <f aca="false">IF(A176&lt;=3,SUMIFS(Data_Q1!$E$5:$E$76,Data_Q1!$A$5:$A$76,A176,Data_Q1!$B$5:$B$76,C176,Data_Q1!$C$5:$C$76,D176),P176*G176*(1+H176)*(1+I176))</f>
        <v>94865.5587287617</v>
      </c>
      <c r="R176" s="9" t="n">
        <f aca="false">IF(A176&lt;=3,SUMIFS(Data_Q1!$F$5:$F$76,Data_Q1!$A$5:$A$76,A176,Data_Q1!$B$5:$B$76,C176,Data_Q1!$C$5:$C$76,D176),P176*L176*INDEX(Reforecast!$D$12:$D$17,MATCH(C176,Reforecast!$A$12:$A$17,0)))</f>
        <v>72964.6233129718</v>
      </c>
      <c r="S176" s="9" t="n">
        <f aca="false">IF(A176&lt;=3,SUMIFS(Data_Q1!$G$5:$G$76,Data_Q1!$A$5:$A$76,A176,Data_Q1!$B$5:$B$76,C176,Data_Q1!$C$5:$C$76,D176),P176*N176)</f>
        <v>1275.95058834227</v>
      </c>
    </row>
    <row r="177" customFormat="false" ht="15" hidden="false" customHeight="false" outlineLevel="0" collapsed="false">
      <c r="A177" s="0" t="n">
        <f aca="false">MOD(ROW()-5,12)+1</f>
        <v>5</v>
      </c>
      <c r="B177" s="0" t="n">
        <f aca="false">INT((ROW()-5)/12)+1</f>
        <v>15</v>
      </c>
      <c r="C177" s="0" t="str">
        <f aca="false">INDEX(Data_Base!$A$5:$A$28,B177)</f>
        <v>Seafood</v>
      </c>
      <c r="D177" s="0" t="str">
        <f aca="false">INDEX(Data_Base!$B$5:$B$28,B177)</f>
        <v>Hotels &amp; Institutions</v>
      </c>
      <c r="E177" s="26" t="n">
        <f aca="false">INDEX(Data_Base!$B$32:$M$37,MATCH(C177,Data_Base!$A$32:$A$37,0),A177)</f>
        <v>0.103135</v>
      </c>
      <c r="F177" s="25" t="n">
        <f aca="false">INDEX(Data_Base!$C$5:$C$28,B177)*(1+INDEX(Assumptions!$B$19:$B$22,MATCH(D177,Assumptions!$A$19:$A$22,0)))*E177</f>
        <v>582.9148946</v>
      </c>
      <c r="G177" s="24" t="n">
        <f aca="false">INDEX(Data_Base!$D$5:$D$28,B177)/INDEX(Data_Base!$C$5:$C$28,B177)</f>
        <v>194.233507862759</v>
      </c>
      <c r="H177" s="27" t="n">
        <f aca="false">IF(A177&gt;=Assumptions!$C$37,INDEX(Assumptions!$B$10:$B$15,MATCH(C177,Assumptions!$A$10:$A$15,0)),0)</f>
        <v>0.03</v>
      </c>
      <c r="I177" s="27" t="n">
        <f aca="false">IF(AND(A177&gt;=Assumptions!$C$37,INDEX(Assumptions!$C$19:$C$22,MATCH(D177,Assumptions!$A$19:$A$22,0))=1),INDEX(Assumptions!$D$10:$D$15,MATCH(C177,Assumptions!$A$10:$A$15,0)),0)</f>
        <v>0.015</v>
      </c>
      <c r="J177" s="9" t="n">
        <f aca="false">F177*G177*(1+H177)</f>
        <v>116618.252906517</v>
      </c>
      <c r="K177" s="9" t="n">
        <f aca="false">J177*(1+I177)</f>
        <v>118367.526700115</v>
      </c>
      <c r="L177" s="24" t="n">
        <f aca="false">INDEX(Data_Base!$E$5:$E$28,B177)/INDEX(Data_Base!$C$5:$C$28,B177)*(1+INDEX(Assumptions!$C$10:$C$15,MATCH(C177,Assumptions!$A$10:$A$15,0)))</f>
        <v>155.877084971408</v>
      </c>
      <c r="M177" s="9" t="n">
        <f aca="false">F177*L177</f>
        <v>90863.0745566636</v>
      </c>
      <c r="N177" s="24" t="n">
        <f aca="false">INDEX(Data_Base!$F$5:$F$28,B177)/INDEX(Data_Base!$C$5:$C$28,B177)*(1+Assumptions!$C$38)</f>
        <v>2.73119499642602</v>
      </c>
      <c r="O177" s="9" t="n">
        <f aca="false">F177*N177</f>
        <v>1592.05424347372</v>
      </c>
      <c r="P177" s="25" t="n">
        <f aca="false">IF(A177&lt;=3,SUMIFS(Data_Q1!$D$5:$D$76,Data_Q1!$A$5:$A$76,A177,Data_Q1!$B$5:$B$76,C177,Data_Q1!$C$5:$C$76,D177),F177*INDEX(Reforecast!$D$6:$D$9,MATCH(D177,Reforecast!$A$6:$A$9,0)))</f>
        <v>583.595959852454</v>
      </c>
      <c r="Q177" s="9" t="n">
        <f aca="false">IF(A177&lt;=3,SUMIFS(Data_Q1!$E$5:$E$76,Data_Q1!$A$5:$A$76,A177,Data_Q1!$B$5:$B$76,C177,Data_Q1!$C$5:$C$76,D177),P177*G177*(1+H177)*(1+I177))</f>
        <v>118505.824777932</v>
      </c>
      <c r="R177" s="9" t="n">
        <f aca="false">IF(A177&lt;=3,SUMIFS(Data_Q1!$F$5:$F$76,Data_Q1!$A$5:$A$76,A177,Data_Q1!$B$5:$B$76,C177,Data_Q1!$C$5:$C$76,D177),P177*L177*INDEX(Reforecast!$D$12:$D$17,MATCH(C177,Reforecast!$A$12:$A$17,0)))</f>
        <v>91147.2296287999</v>
      </c>
      <c r="S177" s="9" t="n">
        <f aca="false">IF(A177&lt;=3,SUMIFS(Data_Q1!$G$5:$G$76,Data_Q1!$A$5:$A$76,A177,Data_Q1!$B$5:$B$76,C177,Data_Q1!$C$5:$C$76,D177),P177*N177)</f>
        <v>1593.91436548346</v>
      </c>
    </row>
    <row r="178" customFormat="false" ht="15" hidden="false" customHeight="false" outlineLevel="0" collapsed="false">
      <c r="A178" s="0" t="n">
        <f aca="false">MOD(ROW()-5,12)+1</f>
        <v>6</v>
      </c>
      <c r="B178" s="0" t="n">
        <f aca="false">INT((ROW()-5)/12)+1</f>
        <v>15</v>
      </c>
      <c r="C178" s="0" t="str">
        <f aca="false">INDEX(Data_Base!$A$5:$A$28,B178)</f>
        <v>Seafood</v>
      </c>
      <c r="D178" s="0" t="str">
        <f aca="false">INDEX(Data_Base!$B$5:$B$28,B178)</f>
        <v>Hotels &amp; Institutions</v>
      </c>
      <c r="E178" s="26" t="n">
        <f aca="false">INDEX(Data_Base!$B$32:$M$37,MATCH(C178,Data_Base!$A$32:$A$37,0),A178)</f>
        <v>0.107112</v>
      </c>
      <c r="F178" s="25" t="n">
        <f aca="false">INDEX(Data_Base!$C$5:$C$28,B178)*(1+INDEX(Assumptions!$B$19:$B$22,MATCH(D178,Assumptions!$A$19:$A$22,0)))*E178</f>
        <v>605.39273952</v>
      </c>
      <c r="G178" s="24" t="n">
        <f aca="false">INDEX(Data_Base!$D$5:$D$28,B178)/INDEX(Data_Base!$C$5:$C$28,B178)</f>
        <v>194.233507862759</v>
      </c>
      <c r="H178" s="27" t="n">
        <f aca="false">IF(A178&gt;=Assumptions!$C$37,INDEX(Assumptions!$B$10:$B$15,MATCH(C178,Assumptions!$A$10:$A$15,0)),0)</f>
        <v>0.03</v>
      </c>
      <c r="I178" s="27" t="n">
        <f aca="false">IF(AND(A178&gt;=Assumptions!$C$37,INDEX(Assumptions!$C$19:$C$22,MATCH(D178,Assumptions!$A$19:$A$22,0))=1),INDEX(Assumptions!$D$10:$D$15,MATCH(C178,Assumptions!$A$10:$A$15,0)),0)</f>
        <v>0.015</v>
      </c>
      <c r="J178" s="9" t="n">
        <f aca="false">F178*G178*(1+H178)</f>
        <v>121115.182094564</v>
      </c>
      <c r="K178" s="9" t="n">
        <f aca="false">J178*(1+I178)</f>
        <v>122931.909825982</v>
      </c>
      <c r="L178" s="24" t="n">
        <f aca="false">INDEX(Data_Base!$E$5:$E$28,B178)/INDEX(Data_Base!$C$5:$C$28,B178)*(1+INDEX(Assumptions!$C$10:$C$15,MATCH(C178,Assumptions!$A$10:$A$15,0)))</f>
        <v>155.877084971408</v>
      </c>
      <c r="M178" s="9" t="n">
        <f aca="false">F178*L178</f>
        <v>94366.8554992326</v>
      </c>
      <c r="N178" s="24" t="n">
        <f aca="false">INDEX(Data_Base!$F$5:$F$28,B178)/INDEX(Data_Base!$C$5:$C$28,B178)*(1+Assumptions!$C$38)</f>
        <v>2.73119499642602</v>
      </c>
      <c r="O178" s="9" t="n">
        <f aca="false">F178*N178</f>
        <v>1653.44562104966</v>
      </c>
      <c r="P178" s="25" t="n">
        <f aca="false">IF(A178&lt;=3,SUMIFS(Data_Q1!$D$5:$D$76,Data_Q1!$A$5:$A$76,A178,Data_Q1!$B$5:$B$76,C178,Data_Q1!$C$5:$C$76,D178),F178*INDEX(Reforecast!$D$6:$D$9,MATCH(D178,Reforecast!$A$6:$A$9,0)))</f>
        <v>606.100067404043</v>
      </c>
      <c r="Q178" s="9" t="n">
        <f aca="false">IF(A178&lt;=3,SUMIFS(Data_Q1!$E$5:$E$76,Data_Q1!$A$5:$A$76,A178,Data_Q1!$B$5:$B$76,C178,Data_Q1!$C$5:$C$76,D178),P178*G178*(1+H178)*(1+I178))</f>
        <v>123075.540831084</v>
      </c>
      <c r="R178" s="9" t="n">
        <f aca="false">IF(A178&lt;=3,SUMIFS(Data_Q1!$F$5:$F$76,Data_Q1!$A$5:$A$76,A178,Data_Q1!$B$5:$B$76,C178,Data_Q1!$C$5:$C$76,D178),P178*L178*INDEX(Reforecast!$D$12:$D$17,MATCH(C178,Reforecast!$A$12:$A$17,0)))</f>
        <v>94661.9679061425</v>
      </c>
      <c r="S178" s="9" t="n">
        <f aca="false">IF(A178&lt;=3,SUMIFS(Data_Q1!$G$5:$G$76,Data_Q1!$A$5:$A$76,A178,Data_Q1!$B$5:$B$76,C178,Data_Q1!$C$5:$C$76,D178),P178*N178)</f>
        <v>1655.3774714274</v>
      </c>
    </row>
    <row r="179" customFormat="false" ht="15" hidden="false" customHeight="false" outlineLevel="0" collapsed="false">
      <c r="A179" s="0" t="n">
        <f aca="false">MOD(ROW()-5,12)+1</f>
        <v>7</v>
      </c>
      <c r="B179" s="0" t="n">
        <f aca="false">INT((ROW()-5)/12)+1</f>
        <v>15</v>
      </c>
      <c r="C179" s="0" t="str">
        <f aca="false">INDEX(Data_Base!$A$5:$A$28,B179)</f>
        <v>Seafood</v>
      </c>
      <c r="D179" s="0" t="str">
        <f aca="false">INDEX(Data_Base!$B$5:$B$28,B179)</f>
        <v>Hotels &amp; Institutions</v>
      </c>
      <c r="E179" s="26" t="n">
        <f aca="false">INDEX(Data_Base!$B$32:$M$37,MATCH(C179,Data_Base!$A$32:$A$37,0),A179)</f>
        <v>0.100013</v>
      </c>
      <c r="F179" s="25" t="n">
        <f aca="false">INDEX(Data_Base!$C$5:$C$28,B179)*(1+INDEX(Assumptions!$B$19:$B$22,MATCH(D179,Assumptions!$A$19:$A$22,0)))*E179</f>
        <v>565.26947548</v>
      </c>
      <c r="G179" s="24" t="n">
        <f aca="false">INDEX(Data_Base!$D$5:$D$28,B179)/INDEX(Data_Base!$C$5:$C$28,B179)</f>
        <v>194.233507862759</v>
      </c>
      <c r="H179" s="27" t="n">
        <f aca="false">IF(A179&gt;=Assumptions!$C$37,INDEX(Assumptions!$B$10:$B$15,MATCH(C179,Assumptions!$A$10:$A$15,0)),0)</f>
        <v>0.03</v>
      </c>
      <c r="I179" s="27" t="n">
        <f aca="false">IF(AND(A179&gt;=Assumptions!$C$37,INDEX(Assumptions!$C$19:$C$22,MATCH(D179,Assumptions!$A$19:$A$22,0))=1),INDEX(Assumptions!$D$10:$D$15,MATCH(C179,Assumptions!$A$10:$A$15,0)),0)</f>
        <v>0.015</v>
      </c>
      <c r="J179" s="9" t="n">
        <f aca="false">F179*G179*(1+H179)</f>
        <v>113088.101303529</v>
      </c>
      <c r="K179" s="9" t="n">
        <f aca="false">J179*(1+I179)</f>
        <v>114784.422823082</v>
      </c>
      <c r="L179" s="24" t="n">
        <f aca="false">INDEX(Data_Base!$E$5:$E$28,B179)/INDEX(Data_Base!$C$5:$C$28,B179)*(1+INDEX(Assumptions!$C$10:$C$15,MATCH(C179,Assumptions!$A$10:$A$15,0)))</f>
        <v>155.877084971408</v>
      </c>
      <c r="M179" s="9" t="n">
        <f aca="false">F179*L179</f>
        <v>88112.5580611393</v>
      </c>
      <c r="N179" s="24" t="n">
        <f aca="false">INDEX(Data_Base!$F$5:$F$28,B179)/INDEX(Data_Base!$C$5:$C$28,B179)*(1+Assumptions!$C$38)</f>
        <v>2.73119499642602</v>
      </c>
      <c r="O179" s="9" t="n">
        <f aca="false">F179*N179</f>
        <v>1543.86116306334</v>
      </c>
      <c r="P179" s="25" t="n">
        <f aca="false">IF(A179&lt;=3,SUMIFS(Data_Q1!$D$5:$D$76,Data_Q1!$A$5:$A$76,A179,Data_Q1!$B$5:$B$76,C179,Data_Q1!$C$5:$C$76,D179),F179*INDEX(Reforecast!$D$6:$D$9,MATCH(D179,Reforecast!$A$6:$A$9,0)))</f>
        <v>565.929924203456</v>
      </c>
      <c r="Q179" s="9" t="n">
        <f aca="false">IF(A179&lt;=3,SUMIFS(Data_Q1!$E$5:$E$76,Data_Q1!$A$5:$A$76,A179,Data_Q1!$B$5:$B$76,C179,Data_Q1!$C$5:$C$76,D179),P179*G179*(1+H179)*(1+I179))</f>
        <v>114918.534479229</v>
      </c>
      <c r="R179" s="9" t="n">
        <f aca="false">IF(A179&lt;=3,SUMIFS(Data_Q1!$F$5:$F$76,Data_Q1!$A$5:$A$76,A179,Data_Q1!$B$5:$B$76,C179,Data_Q1!$C$5:$C$76,D179),P179*L179*INDEX(Reforecast!$D$12:$D$17,MATCH(C179,Reforecast!$A$12:$A$17,0)))</f>
        <v>88388.1114739435</v>
      </c>
      <c r="S179" s="9" t="n">
        <f aca="false">IF(A179&lt;=3,SUMIFS(Data_Q1!$G$5:$G$76,Data_Q1!$A$5:$A$76,A179,Data_Q1!$B$5:$B$76,C179,Data_Q1!$C$5:$C$76,D179),P179*N179)</f>
        <v>1545.66497731223</v>
      </c>
    </row>
    <row r="180" customFormat="false" ht="15" hidden="false" customHeight="false" outlineLevel="0" collapsed="false">
      <c r="A180" s="0" t="n">
        <f aca="false">MOD(ROW()-5,12)+1</f>
        <v>8</v>
      </c>
      <c r="B180" s="0" t="n">
        <f aca="false">INT((ROW()-5)/12)+1</f>
        <v>15</v>
      </c>
      <c r="C180" s="0" t="str">
        <f aca="false">INDEX(Data_Base!$A$5:$A$28,B180)</f>
        <v>Seafood</v>
      </c>
      <c r="D180" s="0" t="str">
        <f aca="false">INDEX(Data_Base!$B$5:$B$28,B180)</f>
        <v>Hotels &amp; Institutions</v>
      </c>
      <c r="E180" s="26" t="n">
        <f aca="false">INDEX(Data_Base!$B$32:$M$37,MATCH(C180,Data_Base!$A$32:$A$37,0),A180)</f>
        <v>0.091632</v>
      </c>
      <c r="F180" s="25" t="n">
        <f aca="false">INDEX(Data_Base!$C$5:$C$28,B180)*(1+INDEX(Assumptions!$B$19:$B$22,MATCH(D180,Assumptions!$A$19:$A$22,0)))*E180</f>
        <v>517.90039872</v>
      </c>
      <c r="G180" s="24" t="n">
        <f aca="false">INDEX(Data_Base!$D$5:$D$28,B180)/INDEX(Data_Base!$C$5:$C$28,B180)</f>
        <v>194.233507862759</v>
      </c>
      <c r="H180" s="27" t="n">
        <f aca="false">IF(A180&gt;=Assumptions!$C$37,INDEX(Assumptions!$B$10:$B$15,MATCH(C180,Assumptions!$A$10:$A$15,0)),0)</f>
        <v>0.03</v>
      </c>
      <c r="I180" s="27" t="n">
        <f aca="false">IF(AND(A180&gt;=Assumptions!$C$37,INDEX(Assumptions!$C$19:$C$22,MATCH(D180,Assumptions!$A$19:$A$22,0))=1),INDEX(Assumptions!$D$10:$D$15,MATCH(C180,Assumptions!$A$10:$A$15,0)),0)</f>
        <v>0.015</v>
      </c>
      <c r="J180" s="9" t="n">
        <f aca="false">F180*G180*(1+H180)</f>
        <v>103611.419501914</v>
      </c>
      <c r="K180" s="9" t="n">
        <f aca="false">J180*(1+I180)</f>
        <v>105165.590794443</v>
      </c>
      <c r="L180" s="24" t="n">
        <f aca="false">INDEX(Data_Base!$E$5:$E$28,B180)/INDEX(Data_Base!$C$5:$C$28,B180)*(1+INDEX(Assumptions!$C$10:$C$15,MATCH(C180,Assumptions!$A$10:$A$15,0)))</f>
        <v>155.877084971408</v>
      </c>
      <c r="M180" s="9" t="n">
        <f aca="false">F180*L180</f>
        <v>80728.8044580036</v>
      </c>
      <c r="N180" s="24" t="n">
        <f aca="false">INDEX(Data_Base!$F$5:$F$28,B180)/INDEX(Data_Base!$C$5:$C$28,B180)*(1+Assumptions!$C$38)</f>
        <v>2.73119499642602</v>
      </c>
      <c r="O180" s="9" t="n">
        <f aca="false">F180*N180</f>
        <v>1414.4869776311</v>
      </c>
      <c r="P180" s="25" t="n">
        <f aca="false">IF(A180&lt;=3,SUMIFS(Data_Q1!$D$5:$D$76,Data_Q1!$A$5:$A$76,A180,Data_Q1!$B$5:$B$76,C180,Data_Q1!$C$5:$C$76,D180),F180*INDEX(Reforecast!$D$6:$D$9,MATCH(D180,Reforecast!$A$6:$A$9,0)))</f>
        <v>518.505502430795</v>
      </c>
      <c r="Q180" s="9" t="n">
        <f aca="false">IF(A180&lt;=3,SUMIFS(Data_Q1!$E$5:$E$76,Data_Q1!$A$5:$A$76,A180,Data_Q1!$B$5:$B$76,C180,Data_Q1!$C$5:$C$76,D180),P180*G180*(1+H180)*(1+I180))</f>
        <v>105288.464013685</v>
      </c>
      <c r="R180" s="9" t="n">
        <f aca="false">IF(A180&lt;=3,SUMIFS(Data_Q1!$F$5:$F$76,Data_Q1!$A$5:$A$76,A180,Data_Q1!$B$5:$B$76,C180,Data_Q1!$C$5:$C$76,D180),P180*L180*INDEX(Reforecast!$D$12:$D$17,MATCH(C180,Reforecast!$A$12:$A$17,0)))</f>
        <v>80981.2667411276</v>
      </c>
      <c r="S180" s="9" t="n">
        <f aca="false">IF(A180&lt;=3,SUMIFS(Data_Q1!$G$5:$G$76,Data_Q1!$A$5:$A$76,A180,Data_Q1!$B$5:$B$76,C180,Data_Q1!$C$5:$C$76,D180),P180*N180)</f>
        <v>1416.13963385835</v>
      </c>
    </row>
    <row r="181" customFormat="false" ht="15" hidden="false" customHeight="false" outlineLevel="0" collapsed="false">
      <c r="A181" s="0" t="n">
        <f aca="false">MOD(ROW()-5,12)+1</f>
        <v>9</v>
      </c>
      <c r="B181" s="0" t="n">
        <f aca="false">INT((ROW()-5)/12)+1</f>
        <v>15</v>
      </c>
      <c r="C181" s="0" t="str">
        <f aca="false">INDEX(Data_Base!$A$5:$A$28,B181)</f>
        <v>Seafood</v>
      </c>
      <c r="D181" s="0" t="str">
        <f aca="false">INDEX(Data_Base!$B$5:$B$28,B181)</f>
        <v>Hotels &amp; Institutions</v>
      </c>
      <c r="E181" s="26" t="n">
        <f aca="false">INDEX(Data_Base!$B$32:$M$37,MATCH(C181,Data_Base!$A$32:$A$37,0),A181)</f>
        <v>0.083054</v>
      </c>
      <c r="F181" s="25" t="n">
        <f aca="false">INDEX(Data_Base!$C$5:$C$28,B181)*(1+INDEX(Assumptions!$B$19:$B$22,MATCH(D181,Assumptions!$A$19:$A$22,0)))*E181</f>
        <v>469.41788584</v>
      </c>
      <c r="G181" s="24" t="n">
        <f aca="false">INDEX(Data_Base!$D$5:$D$28,B181)/INDEX(Data_Base!$C$5:$C$28,B181)</f>
        <v>194.233507862759</v>
      </c>
      <c r="H181" s="27" t="n">
        <f aca="false">IF(A181&gt;=Assumptions!$C$37,INDEX(Assumptions!$B$10:$B$15,MATCH(C181,Assumptions!$A$10:$A$15,0)),0)</f>
        <v>0.03</v>
      </c>
      <c r="I181" s="27" t="n">
        <f aca="false">IF(AND(A181&gt;=Assumptions!$C$37,INDEX(Assumptions!$C$19:$C$22,MATCH(D181,Assumptions!$A$19:$A$22,0))=1),INDEX(Assumptions!$D$10:$D$15,MATCH(C181,Assumptions!$A$10:$A$15,0)),0)</f>
        <v>0.015</v>
      </c>
      <c r="J181" s="9" t="n">
        <f aca="false">F181*G181*(1+H181)</f>
        <v>93911.9830988301</v>
      </c>
      <c r="K181" s="9" t="n">
        <f aca="false">J181*(1+I181)</f>
        <v>95320.6628453125</v>
      </c>
      <c r="L181" s="24" t="n">
        <f aca="false">INDEX(Data_Base!$E$5:$E$28,B181)/INDEX(Data_Base!$C$5:$C$28,B181)*(1+INDEX(Assumptions!$C$10:$C$15,MATCH(C181,Assumptions!$A$10:$A$15,0)))</f>
        <v>155.877084971408</v>
      </c>
      <c r="M181" s="9" t="n">
        <f aca="false">F181*L181</f>
        <v>73171.4916781804</v>
      </c>
      <c r="N181" s="24" t="n">
        <f aca="false">INDEX(Data_Base!$F$5:$F$28,B181)/INDEX(Data_Base!$C$5:$C$28,B181)*(1+Assumptions!$C$38)</f>
        <v>2.73119499642602</v>
      </c>
      <c r="O181" s="9" t="n">
        <f aca="false">F181*N181</f>
        <v>1282.07178103909</v>
      </c>
      <c r="P181" s="25" t="n">
        <f aca="false">IF(A181&lt;=3,SUMIFS(Data_Q1!$D$5:$D$76,Data_Q1!$A$5:$A$76,A181,Data_Q1!$B$5:$B$76,C181,Data_Q1!$C$5:$C$76,D181),F181*INDEX(Reforecast!$D$6:$D$9,MATCH(D181,Reforecast!$A$6:$A$9,0)))</f>
        <v>469.966343623267</v>
      </c>
      <c r="Q181" s="9" t="n">
        <f aca="false">IF(A181&lt;=3,SUMIFS(Data_Q1!$E$5:$E$76,Data_Q1!$A$5:$A$76,A181,Data_Q1!$B$5:$B$76,C181,Data_Q1!$C$5:$C$76,D181),P181*G181*(1+H181)*(1+I181))</f>
        <v>95432.0334620289</v>
      </c>
      <c r="R181" s="9" t="n">
        <f aca="false">IF(A181&lt;=3,SUMIFS(Data_Q1!$F$5:$F$76,Data_Q1!$A$5:$A$76,A181,Data_Q1!$B$5:$B$76,C181,Data_Q1!$C$5:$C$76,D181),P181*L181*INDEX(Reforecast!$D$12:$D$17,MATCH(C181,Reforecast!$A$12:$A$17,0)))</f>
        <v>73400.320061961</v>
      </c>
      <c r="S181" s="9" t="n">
        <f aca="false">IF(A181&lt;=3,SUMIFS(Data_Q1!$G$5:$G$76,Data_Q1!$A$5:$A$76,A181,Data_Q1!$B$5:$B$76,C181,Data_Q1!$C$5:$C$76,D181),P181*N181)</f>
        <v>1283.5697261925</v>
      </c>
    </row>
    <row r="182" customFormat="false" ht="15" hidden="false" customHeight="false" outlineLevel="0" collapsed="false">
      <c r="A182" s="0" t="n">
        <f aca="false">MOD(ROW()-5,12)+1</f>
        <v>10</v>
      </c>
      <c r="B182" s="0" t="n">
        <f aca="false">INT((ROW()-5)/12)+1</f>
        <v>15</v>
      </c>
      <c r="C182" s="0" t="str">
        <f aca="false">INDEX(Data_Base!$A$5:$A$28,B182)</f>
        <v>Seafood</v>
      </c>
      <c r="D182" s="0" t="str">
        <f aca="false">INDEX(Data_Base!$B$5:$B$28,B182)</f>
        <v>Hotels &amp; Institutions</v>
      </c>
      <c r="E182" s="26" t="n">
        <f aca="false">INDEX(Data_Base!$B$32:$M$37,MATCH(C182,Data_Base!$A$32:$A$37,0),A182)</f>
        <v>0.074903</v>
      </c>
      <c r="F182" s="25" t="n">
        <f aca="false">INDEX(Data_Base!$C$5:$C$28,B182)*(1+INDEX(Assumptions!$B$19:$B$22,MATCH(D182,Assumptions!$A$19:$A$22,0)))*E182</f>
        <v>423.34875988</v>
      </c>
      <c r="G182" s="24" t="n">
        <f aca="false">INDEX(Data_Base!$D$5:$D$28,B182)/INDEX(Data_Base!$C$5:$C$28,B182)</f>
        <v>194.233507862759</v>
      </c>
      <c r="H182" s="27" t="n">
        <f aca="false">IF(A182&gt;=Assumptions!$C$37,INDEX(Assumptions!$B$10:$B$15,MATCH(C182,Assumptions!$A$10:$A$15,0)),0)</f>
        <v>0.03</v>
      </c>
      <c r="I182" s="27" t="n">
        <f aca="false">IF(AND(A182&gt;=Assumptions!$C$37,INDEX(Assumptions!$C$19:$C$22,MATCH(D182,Assumptions!$A$19:$A$22,0))=1),INDEX(Assumptions!$D$10:$D$15,MATCH(C182,Assumptions!$A$10:$A$15,0)),0)</f>
        <v>0.015</v>
      </c>
      <c r="J182" s="9" t="n">
        <f aca="false">F182*G182*(1+H182)</f>
        <v>84695.3701212665</v>
      </c>
      <c r="K182" s="9" t="n">
        <f aca="false">J182*(1+I182)</f>
        <v>85965.8006730855</v>
      </c>
      <c r="L182" s="24" t="n">
        <f aca="false">INDEX(Data_Base!$E$5:$E$28,B182)/INDEX(Data_Base!$C$5:$C$28,B182)*(1+INDEX(Assumptions!$C$10:$C$15,MATCH(C182,Assumptions!$A$10:$A$15,0)))</f>
        <v>155.877084971408</v>
      </c>
      <c r="M182" s="9" t="n">
        <f aca="false">F182*L182</f>
        <v>65990.370616355</v>
      </c>
      <c r="N182" s="24" t="n">
        <f aca="false">INDEX(Data_Base!$F$5:$F$28,B182)/INDEX(Data_Base!$C$5:$C$28,B182)*(1+Assumptions!$C$38)</f>
        <v>2.73119499642602</v>
      </c>
      <c r="O182" s="9" t="n">
        <f aca="false">F182*N182</f>
        <v>1156.24801472742</v>
      </c>
      <c r="P182" s="25" t="n">
        <f aca="false">IF(A182&lt;=3,SUMIFS(Data_Q1!$D$5:$D$76,Data_Q1!$A$5:$A$76,A182,Data_Q1!$B$5:$B$76,C182,Data_Q1!$C$5:$C$76,D182),F182*INDEX(Reforecast!$D$6:$D$9,MATCH(D182,Reforecast!$A$6:$A$9,0)))</f>
        <v>423.843391485222</v>
      </c>
      <c r="Q182" s="9" t="n">
        <f aca="false">IF(A182&lt;=3,SUMIFS(Data_Q1!$E$5:$E$76,Data_Q1!$A$5:$A$76,A182,Data_Q1!$B$5:$B$76,C182,Data_Q1!$C$5:$C$76,D182),P182*G182*(1+H182)*(1+I182))</f>
        <v>86066.241269612</v>
      </c>
      <c r="R182" s="9" t="n">
        <f aca="false">IF(A182&lt;=3,SUMIFS(Data_Q1!$F$5:$F$76,Data_Q1!$A$5:$A$76,A182,Data_Q1!$B$5:$B$76,C182,Data_Q1!$C$5:$C$76,D182),P182*L182*INDEX(Reforecast!$D$12:$D$17,MATCH(C182,Reforecast!$A$12:$A$17,0)))</f>
        <v>66196.741560925</v>
      </c>
      <c r="S182" s="9" t="n">
        <f aca="false">IF(A182&lt;=3,SUMIFS(Data_Q1!$G$5:$G$76,Data_Q1!$A$5:$A$76,A182,Data_Q1!$B$5:$B$76,C182,Data_Q1!$C$5:$C$76,D182),P182*N182)</f>
        <v>1157.59895009267</v>
      </c>
    </row>
    <row r="183" customFormat="false" ht="15" hidden="false" customHeight="false" outlineLevel="0" collapsed="false">
      <c r="A183" s="0" t="n">
        <f aca="false">MOD(ROW()-5,12)+1</f>
        <v>11</v>
      </c>
      <c r="B183" s="0" t="n">
        <f aca="false">INT((ROW()-5)/12)+1</f>
        <v>15</v>
      </c>
      <c r="C183" s="0" t="str">
        <f aca="false">INDEX(Data_Base!$A$5:$A$28,B183)</f>
        <v>Seafood</v>
      </c>
      <c r="D183" s="0" t="str">
        <f aca="false">INDEX(Data_Base!$B$5:$B$28,B183)</f>
        <v>Hotels &amp; Institutions</v>
      </c>
      <c r="E183" s="26" t="n">
        <f aca="false">INDEX(Data_Base!$B$32:$M$37,MATCH(C183,Data_Base!$A$32:$A$37,0),A183)</f>
        <v>0.070105</v>
      </c>
      <c r="F183" s="25" t="n">
        <f aca="false">INDEX(Data_Base!$C$5:$C$28,B183)*(1+INDEX(Assumptions!$B$19:$B$22,MATCH(D183,Assumptions!$A$19:$A$22,0)))*E183</f>
        <v>396.2306558</v>
      </c>
      <c r="G183" s="24" t="n">
        <f aca="false">INDEX(Data_Base!$D$5:$D$28,B183)/INDEX(Data_Base!$C$5:$C$28,B183)</f>
        <v>194.233507862759</v>
      </c>
      <c r="H183" s="27" t="n">
        <f aca="false">IF(A183&gt;=Assumptions!$C$37,INDEX(Assumptions!$B$10:$B$15,MATCH(C183,Assumptions!$A$10:$A$15,0)),0)</f>
        <v>0.03</v>
      </c>
      <c r="I183" s="27" t="n">
        <f aca="false">IF(AND(A183&gt;=Assumptions!$C$37,INDEX(Assumptions!$C$19:$C$22,MATCH(D183,Assumptions!$A$19:$A$22,0))=1),INDEX(Assumptions!$D$10:$D$15,MATCH(C183,Assumptions!$A$10:$A$15,0)),0)</f>
        <v>0.015</v>
      </c>
      <c r="J183" s="9" t="n">
        <f aca="false">F183*G183*(1+H183)</f>
        <v>79270.1083047594</v>
      </c>
      <c r="K183" s="9" t="n">
        <f aca="false">J183*(1+I183)</f>
        <v>80459.1599293307</v>
      </c>
      <c r="L183" s="24" t="n">
        <f aca="false">INDEX(Data_Base!$E$5:$E$28,B183)/INDEX(Data_Base!$C$5:$C$28,B183)*(1+INDEX(Assumptions!$C$10:$C$15,MATCH(C183,Assumptions!$A$10:$A$15,0)))</f>
        <v>155.877084971408</v>
      </c>
      <c r="M183" s="9" t="n">
        <f aca="false">F183*L183</f>
        <v>61763.2796024134</v>
      </c>
      <c r="N183" s="24" t="n">
        <f aca="false">INDEX(Data_Base!$F$5:$F$28,B183)/INDEX(Data_Base!$C$5:$C$28,B183)*(1+Assumptions!$C$38)</f>
        <v>2.73119499642602</v>
      </c>
      <c r="O183" s="9" t="n">
        <f aca="false">F183*N183</f>
        <v>1082.18318455156</v>
      </c>
      <c r="P183" s="25" t="n">
        <f aca="false">IF(A183&lt;=3,SUMIFS(Data_Q1!$D$5:$D$76,Data_Q1!$A$5:$A$76,A183,Data_Q1!$B$5:$B$76,C183,Data_Q1!$C$5:$C$76,D183),F183*INDEX(Reforecast!$D$6:$D$9,MATCH(D183,Reforecast!$A$6:$A$9,0)))</f>
        <v>396.693603194418</v>
      </c>
      <c r="Q183" s="9" t="n">
        <f aca="false">IF(A183&lt;=3,SUMIFS(Data_Q1!$E$5:$E$76,Data_Q1!$A$5:$A$76,A183,Data_Q1!$B$5:$B$76,C183,Data_Q1!$C$5:$C$76,D183),P183*G183*(1+H183)*(1+I183))</f>
        <v>80553.1666849946</v>
      </c>
      <c r="R183" s="9" t="n">
        <f aca="false">IF(A183&lt;=3,SUMIFS(Data_Q1!$F$5:$F$76,Data_Q1!$A$5:$A$76,A183,Data_Q1!$B$5:$B$76,C183,Data_Q1!$C$5:$C$76,D183),P183*L183*INDEX(Reforecast!$D$12:$D$17,MATCH(C183,Reforecast!$A$12:$A$17,0)))</f>
        <v>61956.4312127504</v>
      </c>
      <c r="S183" s="9" t="n">
        <f aca="false">IF(A183&lt;=3,SUMIFS(Data_Q1!$G$5:$G$76,Data_Q1!$A$5:$A$76,A183,Data_Q1!$B$5:$B$76,C183,Data_Q1!$C$5:$C$76,D183),P183*N183)</f>
        <v>1083.4475841588</v>
      </c>
    </row>
    <row r="184" customFormat="false" ht="15" hidden="false" customHeight="false" outlineLevel="0" collapsed="false">
      <c r="A184" s="0" t="n">
        <f aca="false">MOD(ROW()-5,12)+1</f>
        <v>12</v>
      </c>
      <c r="B184" s="0" t="n">
        <f aca="false">INT((ROW()-5)/12)+1</f>
        <v>15</v>
      </c>
      <c r="C184" s="0" t="str">
        <f aca="false">INDEX(Data_Base!$A$5:$A$28,B184)</f>
        <v>Seafood</v>
      </c>
      <c r="D184" s="0" t="str">
        <f aca="false">INDEX(Data_Base!$B$5:$B$28,B184)</f>
        <v>Hotels &amp; Institutions</v>
      </c>
      <c r="E184" s="26" t="n">
        <f aca="false">INDEX(Data_Base!$B$32:$M$37,MATCH(C184,Data_Base!$A$32:$A$37,0),A184)</f>
        <v>0.079769</v>
      </c>
      <c r="F184" s="25" t="n">
        <f aca="false">INDEX(Data_Base!$C$5:$C$28,B184)*(1+INDEX(Assumptions!$B$19:$B$22,MATCH(D184,Assumptions!$A$19:$A$22,0)))*E184</f>
        <v>450.85119724</v>
      </c>
      <c r="G184" s="24" t="n">
        <f aca="false">INDEX(Data_Base!$D$5:$D$28,B184)/INDEX(Data_Base!$C$5:$C$28,B184)</f>
        <v>194.233507862759</v>
      </c>
      <c r="H184" s="27" t="n">
        <f aca="false">IF(A184&gt;=Assumptions!$C$37,INDEX(Assumptions!$B$10:$B$15,MATCH(C184,Assumptions!$A$10:$A$15,0)),0)</f>
        <v>0.03</v>
      </c>
      <c r="I184" s="27" t="n">
        <f aca="false">IF(AND(A184&gt;=Assumptions!$C$37,INDEX(Assumptions!$C$19:$C$22,MATCH(D184,Assumptions!$A$19:$A$22,0))=1),INDEX(Assumptions!$D$10:$D$15,MATCH(C184,Assumptions!$A$10:$A$15,0)),0)</f>
        <v>0.015</v>
      </c>
      <c r="J184" s="9" t="n">
        <f aca="false">F184*G184*(1+H184)</f>
        <v>90197.5218509714</v>
      </c>
      <c r="K184" s="9" t="n">
        <f aca="false">J184*(1+I184)</f>
        <v>91550.484678736</v>
      </c>
      <c r="L184" s="24" t="n">
        <f aca="false">INDEX(Data_Base!$E$5:$E$28,B184)/INDEX(Data_Base!$C$5:$C$28,B184)*(1+INDEX(Assumptions!$C$10:$C$15,MATCH(C184,Assumptions!$A$10:$A$15,0)))</f>
        <v>155.877084971408</v>
      </c>
      <c r="M184" s="9" t="n">
        <f aca="false">F184*L184</f>
        <v>70277.3703816406</v>
      </c>
      <c r="N184" s="24" t="n">
        <f aca="false">INDEX(Data_Base!$F$5:$F$28,B184)/INDEX(Data_Base!$C$5:$C$28,B184)*(1+Assumptions!$C$38)</f>
        <v>2.73119499642602</v>
      </c>
      <c r="O184" s="9" t="n">
        <f aca="false">F184*N184</f>
        <v>1231.36253403457</v>
      </c>
      <c r="P184" s="25" t="n">
        <f aca="false">IF(A184&lt;=3,SUMIFS(Data_Q1!$D$5:$D$76,Data_Q1!$A$5:$A$76,A184,Data_Q1!$B$5:$B$76,C184,Data_Q1!$C$5:$C$76,D184),F184*INDEX(Reforecast!$D$6:$D$9,MATCH(D184,Reforecast!$A$6:$A$9,0)))</f>
        <v>451.377962102781</v>
      </c>
      <c r="Q184" s="9" t="n">
        <f aca="false">IF(A184&lt;=3,SUMIFS(Data_Q1!$E$5:$E$76,Data_Q1!$A$5:$A$76,A184,Data_Q1!$B$5:$B$76,C184,Data_Q1!$C$5:$C$76,D184),P184*G184*(1+H184)*(1+I184))</f>
        <v>91657.4503001973</v>
      </c>
      <c r="R184" s="9" t="n">
        <f aca="false">IF(A184&lt;=3,SUMIFS(Data_Q1!$F$5:$F$76,Data_Q1!$A$5:$A$76,A184,Data_Q1!$B$5:$B$76,C184,Data_Q1!$C$5:$C$76,D184),P184*L184*INDEX(Reforecast!$D$12:$D$17,MATCH(C184,Reforecast!$A$12:$A$17,0)))</f>
        <v>70497.1480124084</v>
      </c>
      <c r="S184" s="9" t="n">
        <f aca="false">IF(A184&lt;=3,SUMIFS(Data_Q1!$G$5:$G$76,Data_Q1!$A$5:$A$76,A184,Data_Q1!$B$5:$B$76,C184,Data_Q1!$C$5:$C$76,D184),P184*N184)</f>
        <v>1232.80123159209</v>
      </c>
    </row>
    <row r="185" customFormat="false" ht="15" hidden="false" customHeight="false" outlineLevel="0" collapsed="false">
      <c r="A185" s="0" t="n">
        <f aca="false">MOD(ROW()-5,12)+1</f>
        <v>1</v>
      </c>
      <c r="B185" s="0" t="n">
        <f aca="false">INT((ROW()-5)/12)+1</f>
        <v>16</v>
      </c>
      <c r="C185" s="0" t="str">
        <f aca="false">INDEX(Data_Base!$A$5:$A$28,B185)</f>
        <v>Seafood</v>
      </c>
      <c r="D185" s="0" t="str">
        <f aca="false">INDEX(Data_Base!$B$5:$B$28,B185)</f>
        <v>Online Direct</v>
      </c>
      <c r="E185" s="26" t="n">
        <f aca="false">INDEX(Data_Base!$B$32:$M$37,MATCH(C185,Data_Base!$A$32:$A$37,0),A185)</f>
        <v>0.066916</v>
      </c>
      <c r="F185" s="25" t="n">
        <f aca="false">INDEX(Data_Base!$C$5:$C$28,B185)*(1+INDEX(Assumptions!$B$19:$B$22,MATCH(D185,Assumptions!$A$19:$A$22,0)))*E185</f>
        <v>196.2177868</v>
      </c>
      <c r="G185" s="24" t="n">
        <f aca="false">INDEX(Data_Base!$D$5:$D$28,B185)/INDEX(Data_Base!$C$5:$C$28,B185)</f>
        <v>229.180684104628</v>
      </c>
      <c r="H185" s="27" t="n">
        <f aca="false">IF(A185&gt;=Assumptions!$C$37,INDEX(Assumptions!$B$10:$B$15,MATCH(C185,Assumptions!$A$10:$A$15,0)),0)</f>
        <v>0</v>
      </c>
      <c r="I185" s="27" t="n">
        <f aca="false">IF(AND(A185&gt;=Assumptions!$C$37,INDEX(Assumptions!$C$19:$C$22,MATCH(D185,Assumptions!$A$19:$A$22,0))=1),INDEX(Assumptions!$D$10:$D$15,MATCH(C185,Assumptions!$A$10:$A$15,0)),0)</f>
        <v>0</v>
      </c>
      <c r="J185" s="9" t="n">
        <f aca="false">F185*G185*(1+H185)</f>
        <v>44969.32661232</v>
      </c>
      <c r="K185" s="9" t="n">
        <f aca="false">J185*(1+I185)</f>
        <v>44969.32661232</v>
      </c>
      <c r="L185" s="24" t="n">
        <f aca="false">INDEX(Data_Base!$E$5:$E$28,B185)/INDEX(Data_Base!$C$5:$C$28,B185)*(1+INDEX(Assumptions!$C$10:$C$15,MATCH(C185,Assumptions!$A$10:$A$15,0)))</f>
        <v>155.855876921529</v>
      </c>
      <c r="M185" s="9" t="n">
        <f aca="false">F185*L185</f>
        <v>30581.6952293157</v>
      </c>
      <c r="N185" s="24" t="n">
        <f aca="false">INDEX(Data_Base!$F$5:$F$28,B185)/INDEX(Data_Base!$C$5:$C$28,B185)*(1+Assumptions!$C$38)</f>
        <v>11.571052555332</v>
      </c>
      <c r="O185" s="9" t="n">
        <f aca="false">F185*N185</f>
        <v>2270.44632335373</v>
      </c>
      <c r="P185" s="25" t="n">
        <f aca="false">IF(A185&lt;=3,SUMIFS(Data_Q1!$D$5:$D$76,Data_Q1!$A$5:$A$76,A185,Data_Q1!$B$5:$B$76,C185,Data_Q1!$C$5:$C$76,D185),F185*INDEX(Reforecast!$D$6:$D$9,MATCH(D185,Reforecast!$A$6:$A$9,0)))</f>
        <v>198.9</v>
      </c>
      <c r="Q185" s="9" t="n">
        <f aca="false">IF(A185&lt;=3,SUMIFS(Data_Q1!$E$5:$E$76,Data_Q1!$A$5:$A$76,A185,Data_Q1!$B$5:$B$76,C185,Data_Q1!$C$5:$C$76,D185),P185*G185*(1+H185)*(1+I185))</f>
        <v>45690.08</v>
      </c>
      <c r="R185" s="9" t="n">
        <f aca="false">IF(A185&lt;=3,SUMIFS(Data_Q1!$F$5:$F$76,Data_Q1!$A$5:$A$76,A185,Data_Q1!$B$5:$B$76,C185,Data_Q1!$C$5:$C$76,D185),P185*L185*INDEX(Reforecast!$D$12:$D$17,MATCH(C185,Reforecast!$A$12:$A$17,0)))</f>
        <v>30936.56</v>
      </c>
      <c r="S185" s="9" t="n">
        <f aca="false">IF(A185&lt;=3,SUMIFS(Data_Q1!$G$5:$G$76,Data_Q1!$A$5:$A$76,A185,Data_Q1!$B$5:$B$76,C185,Data_Q1!$C$5:$C$76,D185),P185*N185)</f>
        <v>2301.08</v>
      </c>
    </row>
    <row r="186" customFormat="false" ht="15" hidden="false" customHeight="false" outlineLevel="0" collapsed="false">
      <c r="A186" s="0" t="n">
        <f aca="false">MOD(ROW()-5,12)+1</f>
        <v>2</v>
      </c>
      <c r="B186" s="0" t="n">
        <f aca="false">INT((ROW()-5)/12)+1</f>
        <v>16</v>
      </c>
      <c r="C186" s="0" t="str">
        <f aca="false">INDEX(Data_Base!$A$5:$A$28,B186)</f>
        <v>Seafood</v>
      </c>
      <c r="D186" s="0" t="str">
        <f aca="false">INDEX(Data_Base!$B$5:$B$28,B186)</f>
        <v>Online Direct</v>
      </c>
      <c r="E186" s="26" t="n">
        <f aca="false">INDEX(Data_Base!$B$32:$M$37,MATCH(C186,Data_Base!$A$32:$A$37,0),A186)</f>
        <v>0.065437</v>
      </c>
      <c r="F186" s="25" t="n">
        <f aca="false">INDEX(Data_Base!$C$5:$C$28,B186)*(1+INDEX(Assumptions!$B$19:$B$22,MATCH(D186,Assumptions!$A$19:$A$22,0)))*E186</f>
        <v>191.8809151</v>
      </c>
      <c r="G186" s="24" t="n">
        <f aca="false">INDEX(Data_Base!$D$5:$D$28,B186)/INDEX(Data_Base!$C$5:$C$28,B186)</f>
        <v>229.180684104628</v>
      </c>
      <c r="H186" s="27" t="n">
        <f aca="false">IF(A186&gt;=Assumptions!$C$37,INDEX(Assumptions!$B$10:$B$15,MATCH(C186,Assumptions!$A$10:$A$15,0)),0)</f>
        <v>0.03</v>
      </c>
      <c r="I186" s="27" t="n">
        <f aca="false">IF(AND(A186&gt;=Assumptions!$C$37,INDEX(Assumptions!$C$19:$C$22,MATCH(D186,Assumptions!$A$19:$A$22,0))=1),INDEX(Assumptions!$D$10:$D$15,MATCH(C186,Assumptions!$A$10:$A$15,0)),0)</f>
        <v>0</v>
      </c>
      <c r="J186" s="9" t="n">
        <f aca="false">F186*G186*(1+H186)</f>
        <v>45294.6613709172</v>
      </c>
      <c r="K186" s="9" t="n">
        <f aca="false">J186*(1+I186)</f>
        <v>45294.6613709172</v>
      </c>
      <c r="L186" s="24" t="n">
        <f aca="false">INDEX(Data_Base!$E$5:$E$28,B186)/INDEX(Data_Base!$C$5:$C$28,B186)*(1+INDEX(Assumptions!$C$10:$C$15,MATCH(C186,Assumptions!$A$10:$A$15,0)))</f>
        <v>155.855876921529</v>
      </c>
      <c r="M186" s="9" t="n">
        <f aca="false">F186*L186</f>
        <v>29905.768287416</v>
      </c>
      <c r="N186" s="24" t="n">
        <f aca="false">INDEX(Data_Base!$F$5:$F$28,B186)/INDEX(Data_Base!$C$5:$C$28,B186)*(1+Assumptions!$C$38)</f>
        <v>11.571052555332</v>
      </c>
      <c r="O186" s="9" t="n">
        <f aca="false">F186*N186</f>
        <v>2220.2641529873</v>
      </c>
      <c r="P186" s="25" t="n">
        <f aca="false">IF(A186&lt;=3,SUMIFS(Data_Q1!$D$5:$D$76,Data_Q1!$A$5:$A$76,A186,Data_Q1!$B$5:$B$76,C186,Data_Q1!$C$5:$C$76,D186),F186*INDEX(Reforecast!$D$6:$D$9,MATCH(D186,Reforecast!$A$6:$A$9,0)))</f>
        <v>191.9</v>
      </c>
      <c r="Q186" s="9" t="n">
        <f aca="false">IF(A186&lt;=3,SUMIFS(Data_Q1!$E$5:$E$76,Data_Q1!$A$5:$A$76,A186,Data_Q1!$B$5:$B$76,C186,Data_Q1!$C$5:$C$76,D186),P186*G186*(1+H186)*(1+I186))</f>
        <v>45431.36</v>
      </c>
      <c r="R186" s="9" t="n">
        <f aca="false">IF(A186&lt;=3,SUMIFS(Data_Q1!$F$5:$F$76,Data_Q1!$A$5:$A$76,A186,Data_Q1!$B$5:$B$76,C186,Data_Q1!$C$5:$C$76,D186),P186*L186*INDEX(Reforecast!$D$12:$D$17,MATCH(C186,Reforecast!$A$12:$A$17,0)))</f>
        <v>30013.4</v>
      </c>
      <c r="S186" s="9" t="n">
        <f aca="false">IF(A186&lt;=3,SUMIFS(Data_Q1!$G$5:$G$76,Data_Q1!$A$5:$A$76,A186,Data_Q1!$B$5:$B$76,C186,Data_Q1!$C$5:$C$76,D186),P186*N186)</f>
        <v>2220.72</v>
      </c>
    </row>
    <row r="187" customFormat="false" ht="15" hidden="false" customHeight="false" outlineLevel="0" collapsed="false">
      <c r="A187" s="0" t="n">
        <f aca="false">MOD(ROW()-5,12)+1</f>
        <v>3</v>
      </c>
      <c r="B187" s="0" t="n">
        <f aca="false">INT((ROW()-5)/12)+1</f>
        <v>16</v>
      </c>
      <c r="C187" s="0" t="str">
        <f aca="false">INDEX(Data_Base!$A$5:$A$28,B187)</f>
        <v>Seafood</v>
      </c>
      <c r="D187" s="0" t="str">
        <f aca="false">INDEX(Data_Base!$B$5:$B$28,B187)</f>
        <v>Online Direct</v>
      </c>
      <c r="E187" s="26" t="n">
        <f aca="false">INDEX(Data_Base!$B$32:$M$37,MATCH(C187,Data_Base!$A$32:$A$37,0),A187)</f>
        <v>0.075363</v>
      </c>
      <c r="F187" s="25" t="n">
        <f aca="false">INDEX(Data_Base!$C$5:$C$28,B187)*(1+INDEX(Assumptions!$B$19:$B$22,MATCH(D187,Assumptions!$A$19:$A$22,0)))*E187</f>
        <v>220.9869249</v>
      </c>
      <c r="G187" s="24" t="n">
        <f aca="false">INDEX(Data_Base!$D$5:$D$28,B187)/INDEX(Data_Base!$C$5:$C$28,B187)</f>
        <v>229.180684104628</v>
      </c>
      <c r="H187" s="27" t="n">
        <f aca="false">IF(A187&gt;=Assumptions!$C$37,INDEX(Assumptions!$B$10:$B$15,MATCH(C187,Assumptions!$A$10:$A$15,0)),0)</f>
        <v>0.03</v>
      </c>
      <c r="I187" s="27" t="n">
        <f aca="false">IF(AND(A187&gt;=Assumptions!$C$37,INDEX(Assumptions!$C$19:$C$22,MATCH(D187,Assumptions!$A$19:$A$22,0))=1),INDEX(Assumptions!$D$10:$D$15,MATCH(C187,Assumptions!$A$10:$A$15,0)),0)</f>
        <v>0</v>
      </c>
      <c r="J187" s="9" t="n">
        <f aca="false">F187*G187*(1+H187)</f>
        <v>52165.3126655628</v>
      </c>
      <c r="K187" s="9" t="n">
        <f aca="false">J187*(1+I187)</f>
        <v>52165.3126655628</v>
      </c>
      <c r="L187" s="24" t="n">
        <f aca="false">INDEX(Data_Base!$E$5:$E$28,B187)/INDEX(Data_Base!$C$5:$C$28,B187)*(1+INDEX(Assumptions!$C$10:$C$15,MATCH(C187,Assumptions!$A$10:$A$15,0)))</f>
        <v>155.855876921529</v>
      </c>
      <c r="M187" s="9" t="n">
        <f aca="false">F187*L187</f>
        <v>34442.1109684816</v>
      </c>
      <c r="N187" s="24" t="n">
        <f aca="false">INDEX(Data_Base!$F$5:$F$28,B187)/INDEX(Data_Base!$C$5:$C$28,B187)*(1+Assumptions!$C$38)</f>
        <v>11.571052555332</v>
      </c>
      <c r="O187" s="9" t="n">
        <f aca="false">F187*N187</f>
        <v>2557.0513220591</v>
      </c>
      <c r="P187" s="25" t="n">
        <f aca="false">IF(A187&lt;=3,SUMIFS(Data_Q1!$D$5:$D$76,Data_Q1!$A$5:$A$76,A187,Data_Q1!$B$5:$B$76,C187,Data_Q1!$C$5:$C$76,D187),F187*INDEX(Reforecast!$D$6:$D$9,MATCH(D187,Reforecast!$A$6:$A$9,0)))</f>
        <v>216.5</v>
      </c>
      <c r="Q187" s="9" t="n">
        <f aca="false">IF(A187&lt;=3,SUMIFS(Data_Q1!$E$5:$E$76,Data_Q1!$A$5:$A$76,A187,Data_Q1!$B$5:$B$76,C187,Data_Q1!$C$5:$C$76,D187),P187*G187*(1+H187)*(1+I187))</f>
        <v>50912.93</v>
      </c>
      <c r="R187" s="9" t="n">
        <f aca="false">IF(A187&lt;=3,SUMIFS(Data_Q1!$F$5:$F$76,Data_Q1!$A$5:$A$76,A187,Data_Q1!$B$5:$B$76,C187,Data_Q1!$C$5:$C$76,D187),P187*L187*INDEX(Reforecast!$D$12:$D$17,MATCH(C187,Reforecast!$A$12:$A$17,0)))</f>
        <v>33739.2</v>
      </c>
      <c r="S187" s="9" t="n">
        <f aca="false">IF(A187&lt;=3,SUMIFS(Data_Q1!$G$5:$G$76,Data_Q1!$A$5:$A$76,A187,Data_Q1!$B$5:$B$76,C187,Data_Q1!$C$5:$C$76,D187),P187*N187)</f>
        <v>2504.57</v>
      </c>
    </row>
    <row r="188" customFormat="false" ht="15" hidden="false" customHeight="false" outlineLevel="0" collapsed="false">
      <c r="A188" s="0" t="n">
        <f aca="false">MOD(ROW()-5,12)+1</f>
        <v>4</v>
      </c>
      <c r="B188" s="0" t="n">
        <f aca="false">INT((ROW()-5)/12)+1</f>
        <v>16</v>
      </c>
      <c r="C188" s="0" t="str">
        <f aca="false">INDEX(Data_Base!$A$5:$A$28,B188)</f>
        <v>Seafood</v>
      </c>
      <c r="D188" s="0" t="str">
        <f aca="false">INDEX(Data_Base!$B$5:$B$28,B188)</f>
        <v>Online Direct</v>
      </c>
      <c r="E188" s="26" t="n">
        <f aca="false">INDEX(Data_Base!$B$32:$M$37,MATCH(C188,Data_Base!$A$32:$A$37,0),A188)</f>
        <v>0.082561</v>
      </c>
      <c r="F188" s="25" t="n">
        <f aca="false">INDEX(Data_Base!$C$5:$C$28,B188)*(1+INDEX(Assumptions!$B$19:$B$22,MATCH(D188,Assumptions!$A$19:$A$22,0)))*E188</f>
        <v>242.0936203</v>
      </c>
      <c r="G188" s="24" t="n">
        <f aca="false">INDEX(Data_Base!$D$5:$D$28,B188)/INDEX(Data_Base!$C$5:$C$28,B188)</f>
        <v>229.180684104628</v>
      </c>
      <c r="H188" s="27" t="n">
        <f aca="false">IF(A188&gt;=Assumptions!$C$37,INDEX(Assumptions!$B$10:$B$15,MATCH(C188,Assumptions!$A$10:$A$15,0)),0)</f>
        <v>0.03</v>
      </c>
      <c r="I188" s="27" t="n">
        <f aca="false">IF(AND(A188&gt;=Assumptions!$C$37,INDEX(Assumptions!$C$19:$C$22,MATCH(D188,Assumptions!$A$19:$A$22,0))=1),INDEX(Assumptions!$D$10:$D$15,MATCH(C188,Assumptions!$A$10:$A$15,0)),0)</f>
        <v>0</v>
      </c>
      <c r="J188" s="9" t="n">
        <f aca="false">F188*G188*(1+H188)</f>
        <v>57147.6769632516</v>
      </c>
      <c r="K188" s="9" t="n">
        <f aca="false">J188*(1+I188)</f>
        <v>57147.6769632516</v>
      </c>
      <c r="L188" s="24" t="n">
        <f aca="false">INDEX(Data_Base!$E$5:$E$28,B188)/INDEX(Data_Base!$C$5:$C$28,B188)*(1+INDEX(Assumptions!$C$10:$C$15,MATCH(C188,Assumptions!$A$10:$A$15,0)))</f>
        <v>155.855876921529</v>
      </c>
      <c r="M188" s="9" t="n">
        <f aca="false">F188*L188</f>
        <v>37731.7134889642</v>
      </c>
      <c r="N188" s="24" t="n">
        <f aca="false">INDEX(Data_Base!$F$5:$F$28,B188)/INDEX(Data_Base!$C$5:$C$28,B188)*(1+Assumptions!$C$38)</f>
        <v>11.571052555332</v>
      </c>
      <c r="O188" s="9" t="n">
        <f aca="false">F188*N188</f>
        <v>2801.27800380189</v>
      </c>
      <c r="P188" s="25" t="n">
        <f aca="false">IF(A188&lt;=3,SUMIFS(Data_Q1!$D$5:$D$76,Data_Q1!$A$5:$A$76,A188,Data_Q1!$B$5:$B$76,C188,Data_Q1!$C$5:$C$76,D188),F188*INDEX(Reforecast!$D$6:$D$9,MATCH(D188,Reforecast!$A$6:$A$9,0)))</f>
        <v>242.663016462328</v>
      </c>
      <c r="Q188" s="9" t="n">
        <f aca="false">IF(A188&lt;=3,SUMIFS(Data_Q1!$E$5:$E$76,Data_Q1!$A$5:$A$76,A188,Data_Q1!$B$5:$B$76,C188,Data_Q1!$C$5:$C$76,D188),P188*G188*(1+H188)*(1+I188))</f>
        <v>57282.0864033208</v>
      </c>
      <c r="R188" s="9" t="n">
        <f aca="false">IF(A188&lt;=3,SUMIFS(Data_Q1!$F$5:$F$76,Data_Q1!$A$5:$A$76,A188,Data_Q1!$B$5:$B$76,C188,Data_Q1!$C$5:$C$76,D188),P188*L188*INDEX(Reforecast!$D$12:$D$17,MATCH(C188,Reforecast!$A$12:$A$17,0)))</f>
        <v>37894.4576470688</v>
      </c>
      <c r="S188" s="9" t="n">
        <f aca="false">IF(A188&lt;=3,SUMIFS(Data_Q1!$G$5:$G$76,Data_Q1!$A$5:$A$76,A188,Data_Q1!$B$5:$B$76,C188,Data_Q1!$C$5:$C$76,D188),P188*N188)</f>
        <v>2807.86651672099</v>
      </c>
    </row>
    <row r="189" customFormat="false" ht="15" hidden="false" customHeight="false" outlineLevel="0" collapsed="false">
      <c r="A189" s="0" t="n">
        <f aca="false">MOD(ROW()-5,12)+1</f>
        <v>5</v>
      </c>
      <c r="B189" s="0" t="n">
        <f aca="false">INT((ROW()-5)/12)+1</f>
        <v>16</v>
      </c>
      <c r="C189" s="0" t="str">
        <f aca="false">INDEX(Data_Base!$A$5:$A$28,B189)</f>
        <v>Seafood</v>
      </c>
      <c r="D189" s="0" t="str">
        <f aca="false">INDEX(Data_Base!$B$5:$B$28,B189)</f>
        <v>Online Direct</v>
      </c>
      <c r="E189" s="26" t="n">
        <f aca="false">INDEX(Data_Base!$B$32:$M$37,MATCH(C189,Data_Base!$A$32:$A$37,0),A189)</f>
        <v>0.103135</v>
      </c>
      <c r="F189" s="25" t="n">
        <f aca="false">INDEX(Data_Base!$C$5:$C$28,B189)*(1+INDEX(Assumptions!$B$19:$B$22,MATCH(D189,Assumptions!$A$19:$A$22,0)))*E189</f>
        <v>302.4227605</v>
      </c>
      <c r="G189" s="24" t="n">
        <f aca="false">INDEX(Data_Base!$D$5:$D$28,B189)/INDEX(Data_Base!$C$5:$C$28,B189)</f>
        <v>229.180684104628</v>
      </c>
      <c r="H189" s="27" t="n">
        <f aca="false">IF(A189&gt;=Assumptions!$C$37,INDEX(Assumptions!$B$10:$B$15,MATCH(C189,Assumptions!$A$10:$A$15,0)),0)</f>
        <v>0.03</v>
      </c>
      <c r="I189" s="27" t="n">
        <f aca="false">IF(AND(A189&gt;=Assumptions!$C$37,INDEX(Assumptions!$C$19:$C$22,MATCH(D189,Assumptions!$A$19:$A$22,0))=1),INDEX(Assumptions!$D$10:$D$15,MATCH(C189,Assumptions!$A$10:$A$15,0)),0)</f>
        <v>0</v>
      </c>
      <c r="J189" s="9" t="n">
        <f aca="false">F189*G189*(1+H189)</f>
        <v>71388.738794406</v>
      </c>
      <c r="K189" s="9" t="n">
        <f aca="false">J189*(1+I189)</f>
        <v>71388.738794406</v>
      </c>
      <c r="L189" s="24" t="n">
        <f aca="false">INDEX(Data_Base!$E$5:$E$28,B189)/INDEX(Data_Base!$C$5:$C$28,B189)*(1+INDEX(Assumptions!$C$10:$C$15,MATCH(C189,Assumptions!$A$10:$A$15,0)))</f>
        <v>155.855876921529</v>
      </c>
      <c r="M189" s="9" t="n">
        <f aca="false">F189*L189</f>
        <v>47134.3645387571</v>
      </c>
      <c r="N189" s="24" t="n">
        <f aca="false">INDEX(Data_Base!$F$5:$F$28,B189)/INDEX(Data_Base!$C$5:$C$28,B189)*(1+Assumptions!$C$38)</f>
        <v>11.571052555332</v>
      </c>
      <c r="O189" s="9" t="n">
        <f aca="false">F189*N189</f>
        <v>3499.34965567408</v>
      </c>
      <c r="P189" s="25" t="n">
        <f aca="false">IF(A189&lt;=3,SUMIFS(Data_Q1!$D$5:$D$76,Data_Q1!$A$5:$A$76,A189,Data_Q1!$B$5:$B$76,C189,Data_Q1!$C$5:$C$76,D189),F189*INDEX(Reforecast!$D$6:$D$9,MATCH(D189,Reforecast!$A$6:$A$9,0)))</f>
        <v>303.13404879837</v>
      </c>
      <c r="Q189" s="9" t="n">
        <f aca="false">IF(A189&lt;=3,SUMIFS(Data_Q1!$E$5:$E$76,Data_Q1!$A$5:$A$76,A189,Data_Q1!$B$5:$B$76,C189,Data_Q1!$C$5:$C$76,D189),P189*G189*(1+H189)*(1+I189))</f>
        <v>71556.6427393865</v>
      </c>
      <c r="R189" s="9" t="n">
        <f aca="false">IF(A189&lt;=3,SUMIFS(Data_Q1!$F$5:$F$76,Data_Q1!$A$5:$A$76,A189,Data_Q1!$B$5:$B$76,C189,Data_Q1!$C$5:$C$76,D189),P189*L189*INDEX(Reforecast!$D$12:$D$17,MATCH(C189,Reforecast!$A$12:$A$17,0)))</f>
        <v>47337.6641444561</v>
      </c>
      <c r="S189" s="9" t="n">
        <f aca="false">IF(A189&lt;=3,SUMIFS(Data_Q1!$G$5:$G$76,Data_Q1!$A$5:$A$76,A189,Data_Q1!$B$5:$B$76,C189,Data_Q1!$C$5:$C$76,D189),P189*N189)</f>
        <v>3507.58000995651</v>
      </c>
    </row>
    <row r="190" customFormat="false" ht="15" hidden="false" customHeight="false" outlineLevel="0" collapsed="false">
      <c r="A190" s="0" t="n">
        <f aca="false">MOD(ROW()-5,12)+1</f>
        <v>6</v>
      </c>
      <c r="B190" s="0" t="n">
        <f aca="false">INT((ROW()-5)/12)+1</f>
        <v>16</v>
      </c>
      <c r="C190" s="0" t="str">
        <f aca="false">INDEX(Data_Base!$A$5:$A$28,B190)</f>
        <v>Seafood</v>
      </c>
      <c r="D190" s="0" t="str">
        <f aca="false">INDEX(Data_Base!$B$5:$B$28,B190)</f>
        <v>Online Direct</v>
      </c>
      <c r="E190" s="26" t="n">
        <f aca="false">INDEX(Data_Base!$B$32:$M$37,MATCH(C190,Data_Base!$A$32:$A$37,0),A190)</f>
        <v>0.107112</v>
      </c>
      <c r="F190" s="25" t="n">
        <f aca="false">INDEX(Data_Base!$C$5:$C$28,B190)*(1+INDEX(Assumptions!$B$19:$B$22,MATCH(D190,Assumptions!$A$19:$A$22,0)))*E190</f>
        <v>314.0845176</v>
      </c>
      <c r="G190" s="24" t="n">
        <f aca="false">INDEX(Data_Base!$D$5:$D$28,B190)/INDEX(Data_Base!$C$5:$C$28,B190)</f>
        <v>229.180684104628</v>
      </c>
      <c r="H190" s="27" t="n">
        <f aca="false">IF(A190&gt;=Assumptions!$C$37,INDEX(Assumptions!$B$10:$B$15,MATCH(C190,Assumptions!$A$10:$A$15,0)),0)</f>
        <v>0.03</v>
      </c>
      <c r="I190" s="27" t="n">
        <f aca="false">IF(AND(A190&gt;=Assumptions!$C$37,INDEX(Assumptions!$C$19:$C$22,MATCH(D190,Assumptions!$A$19:$A$22,0))=1),INDEX(Assumptions!$D$10:$D$15,MATCH(C190,Assumptions!$A$10:$A$15,0)),0)</f>
        <v>0</v>
      </c>
      <c r="J190" s="9" t="n">
        <f aca="false">F190*G190*(1+H190)</f>
        <v>74141.5677485472</v>
      </c>
      <c r="K190" s="9" t="n">
        <f aca="false">J190*(1+I190)</f>
        <v>74141.5677485472</v>
      </c>
      <c r="L190" s="24" t="n">
        <f aca="false">INDEX(Data_Base!$E$5:$E$28,B190)/INDEX(Data_Base!$C$5:$C$28,B190)*(1+INDEX(Assumptions!$C$10:$C$15,MATCH(C190,Assumptions!$A$10:$A$15,0)))</f>
        <v>155.855876921529</v>
      </c>
      <c r="M190" s="9" t="n">
        <f aca="false">F190*L190</f>
        <v>48951.9179180235</v>
      </c>
      <c r="N190" s="24" t="n">
        <f aca="false">INDEX(Data_Base!$F$5:$F$28,B190)/INDEX(Data_Base!$C$5:$C$28,B190)*(1+Assumptions!$C$38)</f>
        <v>11.571052555332</v>
      </c>
      <c r="O190" s="9" t="n">
        <f aca="false">F190*N190</f>
        <v>3634.2884599657</v>
      </c>
      <c r="P190" s="25" t="n">
        <f aca="false">IF(A190&lt;=3,SUMIFS(Data_Q1!$D$5:$D$76,Data_Q1!$A$5:$A$76,A190,Data_Q1!$B$5:$B$76,C190,Data_Q1!$C$5:$C$76,D190),F190*INDEX(Reforecast!$D$6:$D$9,MATCH(D190,Reforecast!$A$6:$A$9,0)))</f>
        <v>314.823233964134</v>
      </c>
      <c r="Q190" s="9" t="n">
        <f aca="false">IF(A190&lt;=3,SUMIFS(Data_Q1!$E$5:$E$76,Data_Q1!$A$5:$A$76,A190,Data_Q1!$B$5:$B$76,C190,Data_Q1!$C$5:$C$76,D190),P190*G190*(1+H190)*(1+I190))</f>
        <v>74315.9462558895</v>
      </c>
      <c r="R190" s="9" t="n">
        <f aca="false">IF(A190&lt;=3,SUMIFS(Data_Q1!$F$5:$F$76,Data_Q1!$A$5:$A$76,A190,Data_Q1!$B$5:$B$76,C190,Data_Q1!$C$5:$C$76,D190),P190*L190*INDEX(Reforecast!$D$12:$D$17,MATCH(C190,Reforecast!$A$12:$A$17,0)))</f>
        <v>49163.0569820234</v>
      </c>
      <c r="S190" s="9" t="n">
        <f aca="false">IF(A190&lt;=3,SUMIFS(Data_Q1!$G$5:$G$76,Data_Q1!$A$5:$A$76,A190,Data_Q1!$B$5:$B$76,C190,Data_Q1!$C$5:$C$76,D190),P190*N190)</f>
        <v>3642.83618583858</v>
      </c>
    </row>
    <row r="191" customFormat="false" ht="15" hidden="false" customHeight="false" outlineLevel="0" collapsed="false">
      <c r="A191" s="0" t="n">
        <f aca="false">MOD(ROW()-5,12)+1</f>
        <v>7</v>
      </c>
      <c r="B191" s="0" t="n">
        <f aca="false">INT((ROW()-5)/12)+1</f>
        <v>16</v>
      </c>
      <c r="C191" s="0" t="str">
        <f aca="false">INDEX(Data_Base!$A$5:$A$28,B191)</f>
        <v>Seafood</v>
      </c>
      <c r="D191" s="0" t="str">
        <f aca="false">INDEX(Data_Base!$B$5:$B$28,B191)</f>
        <v>Online Direct</v>
      </c>
      <c r="E191" s="26" t="n">
        <f aca="false">INDEX(Data_Base!$B$32:$M$37,MATCH(C191,Data_Base!$A$32:$A$37,0),A191)</f>
        <v>0.100013</v>
      </c>
      <c r="F191" s="25" t="n">
        <f aca="false">INDEX(Data_Base!$C$5:$C$28,B191)*(1+INDEX(Assumptions!$B$19:$B$22,MATCH(D191,Assumptions!$A$19:$A$22,0)))*E191</f>
        <v>293.2681199</v>
      </c>
      <c r="G191" s="24" t="n">
        <f aca="false">INDEX(Data_Base!$D$5:$D$28,B191)/INDEX(Data_Base!$C$5:$C$28,B191)</f>
        <v>229.180684104628</v>
      </c>
      <c r="H191" s="27" t="n">
        <f aca="false">IF(A191&gt;=Assumptions!$C$37,INDEX(Assumptions!$B$10:$B$15,MATCH(C191,Assumptions!$A$10:$A$15,0)),0)</f>
        <v>0.03</v>
      </c>
      <c r="I191" s="27" t="n">
        <f aca="false">IF(AND(A191&gt;=Assumptions!$C$37,INDEX(Assumptions!$C$19:$C$22,MATCH(D191,Assumptions!$A$19:$A$22,0))=1),INDEX(Assumptions!$D$10:$D$15,MATCH(C191,Assumptions!$A$10:$A$15,0)),0)</f>
        <v>0</v>
      </c>
      <c r="J191" s="9" t="n">
        <f aca="false">F191*G191*(1+H191)</f>
        <v>69227.7299951028</v>
      </c>
      <c r="K191" s="9" t="n">
        <f aca="false">J191*(1+I191)</f>
        <v>69227.7299951028</v>
      </c>
      <c r="L191" s="24" t="n">
        <f aca="false">INDEX(Data_Base!$E$5:$E$28,B191)/INDEX(Data_Base!$C$5:$C$28,B191)*(1+INDEX(Assumptions!$C$10:$C$15,MATCH(C191,Assumptions!$A$10:$A$15,0)))</f>
        <v>155.855876921529</v>
      </c>
      <c r="M191" s="9" t="n">
        <f aca="false">F191*L191</f>
        <v>45707.5600001427</v>
      </c>
      <c r="N191" s="24" t="n">
        <f aca="false">INDEX(Data_Base!$F$5:$F$28,B191)/INDEX(Data_Base!$C$5:$C$28,B191)*(1+Assumptions!$C$38)</f>
        <v>11.571052555332</v>
      </c>
      <c r="O191" s="9" t="n">
        <f aca="false">F191*N191</f>
        <v>3393.4208281663</v>
      </c>
      <c r="P191" s="25" t="n">
        <f aca="false">IF(A191&lt;=3,SUMIFS(Data_Q1!$D$5:$D$76,Data_Q1!$A$5:$A$76,A191,Data_Q1!$B$5:$B$76,C191,Data_Q1!$C$5:$C$76,D191),F191*INDEX(Reforecast!$D$6:$D$9,MATCH(D191,Reforecast!$A$6:$A$9,0)))</f>
        <v>293.957876787428</v>
      </c>
      <c r="Q191" s="9" t="n">
        <f aca="false">IF(A191&lt;=3,SUMIFS(Data_Q1!$E$5:$E$76,Data_Q1!$A$5:$A$76,A191,Data_Q1!$B$5:$B$76,C191,Data_Q1!$C$5:$C$76,D191),P191*G191*(1+H191)*(1+I191))</f>
        <v>69390.5513190892</v>
      </c>
      <c r="R191" s="9" t="n">
        <f aca="false">IF(A191&lt;=3,SUMIFS(Data_Q1!$F$5:$F$76,Data_Q1!$A$5:$A$76,A191,Data_Q1!$B$5:$B$76,C191,Data_Q1!$C$5:$C$76,D191),P191*L191*INDEX(Reforecast!$D$12:$D$17,MATCH(C191,Reforecast!$A$12:$A$17,0)))</f>
        <v>45904.7055226595</v>
      </c>
      <c r="S191" s="9" t="n">
        <f aca="false">IF(A191&lt;=3,SUMIFS(Data_Q1!$G$5:$G$76,Data_Q1!$A$5:$A$76,A191,Data_Q1!$B$5:$B$76,C191,Data_Q1!$C$5:$C$76,D191),P191*N191)</f>
        <v>3401.40204136113</v>
      </c>
    </row>
    <row r="192" customFormat="false" ht="15" hidden="false" customHeight="false" outlineLevel="0" collapsed="false">
      <c r="A192" s="0" t="n">
        <f aca="false">MOD(ROW()-5,12)+1</f>
        <v>8</v>
      </c>
      <c r="B192" s="0" t="n">
        <f aca="false">INT((ROW()-5)/12)+1</f>
        <v>16</v>
      </c>
      <c r="C192" s="0" t="str">
        <f aca="false">INDEX(Data_Base!$A$5:$A$28,B192)</f>
        <v>Seafood</v>
      </c>
      <c r="D192" s="0" t="str">
        <f aca="false">INDEX(Data_Base!$B$5:$B$28,B192)</f>
        <v>Online Direct</v>
      </c>
      <c r="E192" s="26" t="n">
        <f aca="false">INDEX(Data_Base!$B$32:$M$37,MATCH(C192,Data_Base!$A$32:$A$37,0),A192)</f>
        <v>0.091632</v>
      </c>
      <c r="F192" s="25" t="n">
        <f aca="false">INDEX(Data_Base!$C$5:$C$28,B192)*(1+INDEX(Assumptions!$B$19:$B$22,MATCH(D192,Assumptions!$A$19:$A$22,0)))*E192</f>
        <v>268.6925136</v>
      </c>
      <c r="G192" s="24" t="n">
        <f aca="false">INDEX(Data_Base!$D$5:$D$28,B192)/INDEX(Data_Base!$C$5:$C$28,B192)</f>
        <v>229.180684104628</v>
      </c>
      <c r="H192" s="27" t="n">
        <f aca="false">IF(A192&gt;=Assumptions!$C$37,INDEX(Assumptions!$B$10:$B$15,MATCH(C192,Assumptions!$A$10:$A$15,0)),0)</f>
        <v>0.03</v>
      </c>
      <c r="I192" s="27" t="n">
        <f aca="false">IF(AND(A192&gt;=Assumptions!$C$37,INDEX(Assumptions!$C$19:$C$22,MATCH(D192,Assumptions!$A$19:$A$22,0))=1),INDEX(Assumptions!$D$10:$D$15,MATCH(C192,Assumptions!$A$10:$A$15,0)),0)</f>
        <v>0</v>
      </c>
      <c r="J192" s="9" t="n">
        <f aca="false">F192*G192*(1+H192)</f>
        <v>63426.5081030592</v>
      </c>
      <c r="K192" s="9" t="n">
        <f aca="false">J192*(1+I192)</f>
        <v>63426.5081030592</v>
      </c>
      <c r="L192" s="24" t="n">
        <f aca="false">INDEX(Data_Base!$E$5:$E$28,B192)/INDEX(Data_Base!$C$5:$C$28,B192)*(1+INDEX(Assumptions!$C$10:$C$15,MATCH(C192,Assumptions!$A$10:$A$15,0)))</f>
        <v>155.855876921529</v>
      </c>
      <c r="M192" s="9" t="n">
        <f aca="false">F192*L192</f>
        <v>41877.3073293779</v>
      </c>
      <c r="N192" s="24" t="n">
        <f aca="false">INDEX(Data_Base!$F$5:$F$28,B192)/INDEX(Data_Base!$C$5:$C$28,B192)*(1+Assumptions!$C$38)</f>
        <v>11.571052555332</v>
      </c>
      <c r="O192" s="9" t="n">
        <f aca="false">F192*N192</f>
        <v>3109.05519608986</v>
      </c>
      <c r="P192" s="25" t="n">
        <f aca="false">IF(A192&lt;=3,SUMIFS(Data_Q1!$D$5:$D$76,Data_Q1!$A$5:$A$76,A192,Data_Q1!$B$5:$B$76,C192,Data_Q1!$C$5:$C$76,D192),F192*INDEX(Reforecast!$D$6:$D$9,MATCH(D192,Reforecast!$A$6:$A$9,0)))</f>
        <v>269.324469476824</v>
      </c>
      <c r="Q192" s="9" t="n">
        <f aca="false">IF(A192&lt;=3,SUMIFS(Data_Q1!$E$5:$E$76,Data_Q1!$A$5:$A$76,A192,Data_Q1!$B$5:$B$76,C192,Data_Q1!$C$5:$C$76,D192),P192*G192*(1+H192)*(1+I192))</f>
        <v>63575.6851456388</v>
      </c>
      <c r="R192" s="9" t="n">
        <f aca="false">IF(A192&lt;=3,SUMIFS(Data_Q1!$F$5:$F$76,Data_Q1!$A$5:$A$76,A192,Data_Q1!$B$5:$B$76,C192,Data_Q1!$C$5:$C$76,D192),P192*L192*INDEX(Reforecast!$D$12:$D$17,MATCH(C192,Reforecast!$A$12:$A$17,0)))</f>
        <v>42057.932233333</v>
      </c>
      <c r="S192" s="9" t="n">
        <f aca="false">IF(A192&lt;=3,SUMIFS(Data_Q1!$G$5:$G$76,Data_Q1!$A$5:$A$76,A192,Data_Q1!$B$5:$B$76,C192,Data_Q1!$C$5:$C$76,D192),P192*N192)</f>
        <v>3116.36759075323</v>
      </c>
    </row>
    <row r="193" customFormat="false" ht="15" hidden="false" customHeight="false" outlineLevel="0" collapsed="false">
      <c r="A193" s="0" t="n">
        <f aca="false">MOD(ROW()-5,12)+1</f>
        <v>9</v>
      </c>
      <c r="B193" s="0" t="n">
        <f aca="false">INT((ROW()-5)/12)+1</f>
        <v>16</v>
      </c>
      <c r="C193" s="0" t="str">
        <f aca="false">INDEX(Data_Base!$A$5:$A$28,B193)</f>
        <v>Seafood</v>
      </c>
      <c r="D193" s="0" t="str">
        <f aca="false">INDEX(Data_Base!$B$5:$B$28,B193)</f>
        <v>Online Direct</v>
      </c>
      <c r="E193" s="26" t="n">
        <f aca="false">INDEX(Data_Base!$B$32:$M$37,MATCH(C193,Data_Base!$A$32:$A$37,0),A193)</f>
        <v>0.083054</v>
      </c>
      <c r="F193" s="25" t="n">
        <f aca="false">INDEX(Data_Base!$C$5:$C$28,B193)*(1+INDEX(Assumptions!$B$19:$B$22,MATCH(D193,Assumptions!$A$19:$A$22,0)))*E193</f>
        <v>243.5392442</v>
      </c>
      <c r="G193" s="24" t="n">
        <f aca="false">INDEX(Data_Base!$D$5:$D$28,B193)/INDEX(Data_Base!$C$5:$C$28,B193)</f>
        <v>229.180684104628</v>
      </c>
      <c r="H193" s="27" t="n">
        <f aca="false">IF(A193&gt;=Assumptions!$C$37,INDEX(Assumptions!$B$10:$B$15,MATCH(C193,Assumptions!$A$10:$A$15,0)),0)</f>
        <v>0.03</v>
      </c>
      <c r="I193" s="27" t="n">
        <f aca="false">IF(AND(A193&gt;=Assumptions!$C$37,INDEX(Assumptions!$C$19:$C$22,MATCH(D193,Assumptions!$A$19:$A$22,0))=1),INDEX(Assumptions!$D$10:$D$15,MATCH(C193,Assumptions!$A$10:$A$15,0)),0)</f>
        <v>0</v>
      </c>
      <c r="J193" s="9" t="n">
        <f aca="false">F193*G193*(1+H193)</f>
        <v>57488.9253098424</v>
      </c>
      <c r="K193" s="9" t="n">
        <f aca="false">J193*(1+I193)</f>
        <v>57488.9253098424</v>
      </c>
      <c r="L193" s="24" t="n">
        <f aca="false">INDEX(Data_Base!$E$5:$E$28,B193)/INDEX(Data_Base!$C$5:$C$28,B193)*(1+INDEX(Assumptions!$C$10:$C$15,MATCH(C193,Assumptions!$A$10:$A$15,0)))</f>
        <v>155.855876921529</v>
      </c>
      <c r="M193" s="9" t="n">
        <f aca="false">F193*L193</f>
        <v>37957.0224695974</v>
      </c>
      <c r="N193" s="24" t="n">
        <f aca="false">INDEX(Data_Base!$F$5:$F$28,B193)/INDEX(Data_Base!$C$5:$C$28,B193)*(1+Assumptions!$C$38)</f>
        <v>11.571052555332</v>
      </c>
      <c r="O193" s="9" t="n">
        <f aca="false">F193*N193</f>
        <v>2818.00539392403</v>
      </c>
      <c r="P193" s="25" t="n">
        <f aca="false">IF(A193&lt;=3,SUMIFS(Data_Q1!$D$5:$D$76,Data_Q1!$A$5:$A$76,A193,Data_Q1!$B$5:$B$76,C193,Data_Q1!$C$5:$C$76,D193),F193*INDEX(Reforecast!$D$6:$D$9,MATCH(D193,Reforecast!$A$6:$A$9,0)))</f>
        <v>244.112040421775</v>
      </c>
      <c r="Q193" s="9" t="n">
        <f aca="false">IF(A193&lt;=3,SUMIFS(Data_Q1!$E$5:$E$76,Data_Q1!$A$5:$A$76,A193,Data_Q1!$B$5:$B$76,C193,Data_Q1!$C$5:$C$76,D193),P193*G193*(1+H193)*(1+I193))</f>
        <v>57624.1373547002</v>
      </c>
      <c r="R193" s="9" t="n">
        <f aca="false">IF(A193&lt;=3,SUMIFS(Data_Q1!$F$5:$F$76,Data_Q1!$A$5:$A$76,A193,Data_Q1!$B$5:$B$76,C193,Data_Q1!$C$5:$C$76,D193),P193*L193*INDEX(Reforecast!$D$12:$D$17,MATCH(C193,Reforecast!$A$12:$A$17,0)))</f>
        <v>38120.7384287939</v>
      </c>
      <c r="S193" s="9" t="n">
        <f aca="false">IF(A193&lt;=3,SUMIFS(Data_Q1!$G$5:$G$76,Data_Q1!$A$5:$A$76,A193,Data_Q1!$B$5:$B$76,C193,Data_Q1!$C$5:$C$76,D193),P193*N193)</f>
        <v>2824.63324910969</v>
      </c>
    </row>
    <row r="194" customFormat="false" ht="15" hidden="false" customHeight="false" outlineLevel="0" collapsed="false">
      <c r="A194" s="0" t="n">
        <f aca="false">MOD(ROW()-5,12)+1</f>
        <v>10</v>
      </c>
      <c r="B194" s="0" t="n">
        <f aca="false">INT((ROW()-5)/12)+1</f>
        <v>16</v>
      </c>
      <c r="C194" s="0" t="str">
        <f aca="false">INDEX(Data_Base!$A$5:$A$28,B194)</f>
        <v>Seafood</v>
      </c>
      <c r="D194" s="0" t="str">
        <f aca="false">INDEX(Data_Base!$B$5:$B$28,B194)</f>
        <v>Online Direct</v>
      </c>
      <c r="E194" s="26" t="n">
        <f aca="false">INDEX(Data_Base!$B$32:$M$37,MATCH(C194,Data_Base!$A$32:$A$37,0),A194)</f>
        <v>0.074903</v>
      </c>
      <c r="F194" s="25" t="n">
        <f aca="false">INDEX(Data_Base!$C$5:$C$28,B194)*(1+INDEX(Assumptions!$B$19:$B$22,MATCH(D194,Assumptions!$A$19:$A$22,0)))*E194</f>
        <v>219.6380669</v>
      </c>
      <c r="G194" s="24" t="n">
        <f aca="false">INDEX(Data_Base!$D$5:$D$28,B194)/INDEX(Data_Base!$C$5:$C$28,B194)</f>
        <v>229.180684104628</v>
      </c>
      <c r="H194" s="27" t="n">
        <f aca="false">IF(A194&gt;=Assumptions!$C$37,INDEX(Assumptions!$B$10:$B$15,MATCH(C194,Assumptions!$A$10:$A$15,0)),0)</f>
        <v>0.03</v>
      </c>
      <c r="I194" s="27" t="n">
        <f aca="false">IF(AND(A194&gt;=Assumptions!$C$37,INDEX(Assumptions!$C$19:$C$22,MATCH(D194,Assumptions!$A$19:$A$22,0))=1),INDEX(Assumptions!$D$10:$D$15,MATCH(C194,Assumptions!$A$10:$A$15,0)),0)</f>
        <v>0</v>
      </c>
      <c r="J194" s="9" t="n">
        <f aca="false">F194*G194*(1+H194)</f>
        <v>51846.9065003868</v>
      </c>
      <c r="K194" s="9" t="n">
        <f aca="false">J194*(1+I194)</f>
        <v>51846.9065003868</v>
      </c>
      <c r="L194" s="24" t="n">
        <f aca="false">INDEX(Data_Base!$E$5:$E$28,B194)/INDEX(Data_Base!$C$5:$C$28,B194)*(1+INDEX(Assumptions!$C$10:$C$15,MATCH(C194,Assumptions!$A$10:$A$15,0)))</f>
        <v>155.855876921529</v>
      </c>
      <c r="M194" s="9" t="n">
        <f aca="false">F194*L194</f>
        <v>34231.883522049</v>
      </c>
      <c r="N194" s="24" t="n">
        <f aca="false">INDEX(Data_Base!$F$5:$F$28,B194)/INDEX(Data_Base!$C$5:$C$28,B194)*(1+Assumptions!$C$38)</f>
        <v>11.571052555332</v>
      </c>
      <c r="O194" s="9" t="n">
        <f aca="false">F194*N194</f>
        <v>2541.44361525142</v>
      </c>
      <c r="P194" s="25" t="n">
        <f aca="false">IF(A194&lt;=3,SUMIFS(Data_Q1!$D$5:$D$76,Data_Q1!$A$5:$A$76,A194,Data_Q1!$B$5:$B$76,C194,Data_Q1!$C$5:$C$76,D194),F194*INDEX(Reforecast!$D$6:$D$9,MATCH(D194,Reforecast!$A$6:$A$9,0)))</f>
        <v>220.154648345802</v>
      </c>
      <c r="Q194" s="9" t="n">
        <f aca="false">IF(A194&lt;=3,SUMIFS(Data_Q1!$E$5:$E$76,Data_Q1!$A$5:$A$76,A194,Data_Q1!$B$5:$B$76,C194,Data_Q1!$C$5:$C$76,D194),P194*G194*(1+H194)*(1+I194))</f>
        <v>51968.8487042058</v>
      </c>
      <c r="R194" s="9" t="n">
        <f aca="false">IF(A194&lt;=3,SUMIFS(Data_Q1!$F$5:$F$76,Data_Q1!$A$5:$A$76,A194,Data_Q1!$B$5:$B$76,C194,Data_Q1!$C$5:$C$76,D194),P194*L194*INDEX(Reforecast!$D$12:$D$17,MATCH(C194,Reforecast!$A$12:$A$17,0)))</f>
        <v>34379.5322384467</v>
      </c>
      <c r="S194" s="9" t="n">
        <f aca="false">IF(A194&lt;=3,SUMIFS(Data_Q1!$G$5:$G$76,Data_Q1!$A$5:$A$76,A194,Data_Q1!$B$5:$B$76,C194,Data_Q1!$C$5:$C$76,D194),P194*N194)</f>
        <v>2547.42100630991</v>
      </c>
    </row>
    <row r="195" customFormat="false" ht="15" hidden="false" customHeight="false" outlineLevel="0" collapsed="false">
      <c r="A195" s="0" t="n">
        <f aca="false">MOD(ROW()-5,12)+1</f>
        <v>11</v>
      </c>
      <c r="B195" s="0" t="n">
        <f aca="false">INT((ROW()-5)/12)+1</f>
        <v>16</v>
      </c>
      <c r="C195" s="0" t="str">
        <f aca="false">INDEX(Data_Base!$A$5:$A$28,B195)</f>
        <v>Seafood</v>
      </c>
      <c r="D195" s="0" t="str">
        <f aca="false">INDEX(Data_Base!$B$5:$B$28,B195)</f>
        <v>Online Direct</v>
      </c>
      <c r="E195" s="26" t="n">
        <f aca="false">INDEX(Data_Base!$B$32:$M$37,MATCH(C195,Data_Base!$A$32:$A$37,0),A195)</f>
        <v>0.070105</v>
      </c>
      <c r="F195" s="25" t="n">
        <f aca="false">INDEX(Data_Base!$C$5:$C$28,B195)*(1+INDEX(Assumptions!$B$19:$B$22,MATCH(D195,Assumptions!$A$19:$A$22,0)))*E195</f>
        <v>205.5688915</v>
      </c>
      <c r="G195" s="24" t="n">
        <f aca="false">INDEX(Data_Base!$D$5:$D$28,B195)/INDEX(Data_Base!$C$5:$C$28,B195)</f>
        <v>229.180684104628</v>
      </c>
      <c r="H195" s="27" t="n">
        <f aca="false">IF(A195&gt;=Assumptions!$C$37,INDEX(Assumptions!$B$10:$B$15,MATCH(C195,Assumptions!$A$10:$A$15,0)),0)</f>
        <v>0.03</v>
      </c>
      <c r="I195" s="27" t="n">
        <f aca="false">IF(AND(A195&gt;=Assumptions!$C$37,INDEX(Assumptions!$C$19:$C$22,MATCH(D195,Assumptions!$A$19:$A$22,0))=1),INDEX(Assumptions!$D$10:$D$15,MATCH(C195,Assumptions!$A$10:$A$15,0)),0)</f>
        <v>0</v>
      </c>
      <c r="J195" s="9" t="n">
        <f aca="false">F195*G195*(1+H195)</f>
        <v>48525.791760138</v>
      </c>
      <c r="K195" s="9" t="n">
        <f aca="false">J195*(1+I195)</f>
        <v>48525.791760138</v>
      </c>
      <c r="L195" s="24" t="n">
        <f aca="false">INDEX(Data_Base!$E$5:$E$28,B195)/INDEX(Data_Base!$C$5:$C$28,B195)*(1+INDEX(Assumptions!$C$10:$C$15,MATCH(C195,Assumptions!$A$10:$A$15,0)))</f>
        <v>155.855876921529</v>
      </c>
      <c r="M195" s="9" t="n">
        <f aca="false">F195*L195</f>
        <v>32039.1198525192</v>
      </c>
      <c r="N195" s="24" t="n">
        <f aca="false">INDEX(Data_Base!$F$5:$F$28,B195)/INDEX(Data_Base!$C$5:$C$28,B195)*(1+Assumptions!$C$38)</f>
        <v>11.571052555332</v>
      </c>
      <c r="O195" s="9" t="n">
        <f aca="false">F195*N195</f>
        <v>2378.64844728784</v>
      </c>
      <c r="P195" s="25" t="n">
        <f aca="false">IF(A195&lt;=3,SUMIFS(Data_Q1!$D$5:$D$76,Data_Q1!$A$5:$A$76,A195,Data_Q1!$B$5:$B$76,C195,Data_Q1!$C$5:$C$76,D195),F195*INDEX(Reforecast!$D$6:$D$9,MATCH(D195,Reforecast!$A$6:$A$9,0)))</f>
        <v>206.052382712074</v>
      </c>
      <c r="Q195" s="9" t="n">
        <f aca="false">IF(A195&lt;=3,SUMIFS(Data_Q1!$E$5:$E$76,Data_Q1!$A$5:$A$76,A195,Data_Q1!$B$5:$B$76,C195,Data_Q1!$C$5:$C$76,D195),P195*G195*(1+H195)*(1+I195))</f>
        <v>48639.9228122818</v>
      </c>
      <c r="R195" s="9" t="n">
        <f aca="false">IF(A195&lt;=3,SUMIFS(Data_Q1!$F$5:$F$76,Data_Q1!$A$5:$A$76,A195,Data_Q1!$B$5:$B$76,C195,Data_Q1!$C$5:$C$76,D195),P195*L195*INDEX(Reforecast!$D$12:$D$17,MATCH(C195,Reforecast!$A$12:$A$17,0)))</f>
        <v>32177.3107562621</v>
      </c>
      <c r="S195" s="9" t="n">
        <f aca="false">IF(A195&lt;=3,SUMIFS(Data_Q1!$G$5:$G$76,Data_Q1!$A$5:$A$76,A195,Data_Q1!$B$5:$B$76,C195,Data_Q1!$C$5:$C$76,D195),P195*N195)</f>
        <v>2384.24294951278</v>
      </c>
    </row>
    <row r="196" customFormat="false" ht="15" hidden="false" customHeight="false" outlineLevel="0" collapsed="false">
      <c r="A196" s="0" t="n">
        <f aca="false">MOD(ROW()-5,12)+1</f>
        <v>12</v>
      </c>
      <c r="B196" s="0" t="n">
        <f aca="false">INT((ROW()-5)/12)+1</f>
        <v>16</v>
      </c>
      <c r="C196" s="0" t="str">
        <f aca="false">INDEX(Data_Base!$A$5:$A$28,B196)</f>
        <v>Seafood</v>
      </c>
      <c r="D196" s="0" t="str">
        <f aca="false">INDEX(Data_Base!$B$5:$B$28,B196)</f>
        <v>Online Direct</v>
      </c>
      <c r="E196" s="26" t="n">
        <f aca="false">INDEX(Data_Base!$B$32:$M$37,MATCH(C196,Data_Base!$A$32:$A$37,0),A196)</f>
        <v>0.079769</v>
      </c>
      <c r="F196" s="25" t="n">
        <f aca="false">INDEX(Data_Base!$C$5:$C$28,B196)*(1+INDEX(Assumptions!$B$19:$B$22,MATCH(D196,Assumptions!$A$19:$A$22,0)))*E196</f>
        <v>233.9066387</v>
      </c>
      <c r="G196" s="24" t="n">
        <f aca="false">INDEX(Data_Base!$D$5:$D$28,B196)/INDEX(Data_Base!$C$5:$C$28,B196)</f>
        <v>229.180684104628</v>
      </c>
      <c r="H196" s="27" t="n">
        <f aca="false">IF(A196&gt;=Assumptions!$C$37,INDEX(Assumptions!$B$10:$B$15,MATCH(C196,Assumptions!$A$10:$A$15,0)),0)</f>
        <v>0.03</v>
      </c>
      <c r="I196" s="27" t="n">
        <f aca="false">IF(AND(A196&gt;=Assumptions!$C$37,INDEX(Assumptions!$C$19:$C$22,MATCH(D196,Assumptions!$A$19:$A$22,0))=1),INDEX(Assumptions!$D$10:$D$15,MATCH(C196,Assumptions!$A$10:$A$15,0)),0)</f>
        <v>0</v>
      </c>
      <c r="J196" s="9" t="n">
        <f aca="false">F196*G196*(1+H196)</f>
        <v>55215.0899780964</v>
      </c>
      <c r="K196" s="9" t="n">
        <f aca="false">J196*(1+I196)</f>
        <v>55215.0899780964</v>
      </c>
      <c r="L196" s="24" t="n">
        <f aca="false">INDEX(Data_Base!$E$5:$E$28,B196)/INDEX(Data_Base!$C$5:$C$28,B196)*(1+INDEX(Assumptions!$C$10:$C$15,MATCH(C196,Assumptions!$A$10:$A$15,0)))</f>
        <v>155.855876921529</v>
      </c>
      <c r="M196" s="9" t="n">
        <f aca="false">F196*L196</f>
        <v>36455.7242923558</v>
      </c>
      <c r="N196" s="24" t="n">
        <f aca="false">INDEX(Data_Base!$F$5:$F$28,B196)/INDEX(Data_Base!$C$5:$C$28,B196)*(1+Assumptions!$C$38)</f>
        <v>11.571052555332</v>
      </c>
      <c r="O196" s="9" t="n">
        <f aca="false">F196*N196</f>
        <v>2706.54600943875</v>
      </c>
      <c r="P196" s="25" t="n">
        <f aca="false">IF(A196&lt;=3,SUMIFS(Data_Q1!$D$5:$D$76,Data_Q1!$A$5:$A$76,A196,Data_Q1!$B$5:$B$76,C196,Data_Q1!$C$5:$C$76,D196),F196*INDEX(Reforecast!$D$6:$D$9,MATCH(D196,Reforecast!$A$6:$A$9,0)))</f>
        <v>234.456779353247</v>
      </c>
      <c r="Q196" s="9" t="n">
        <f aca="false">IF(A196&lt;=3,SUMIFS(Data_Q1!$E$5:$E$76,Data_Q1!$A$5:$A$76,A196,Data_Q1!$B$5:$B$76,C196,Data_Q1!$C$5:$C$76,D196),P196*G196*(1+H196)*(1+I196))</f>
        <v>55344.9540376993</v>
      </c>
      <c r="R196" s="9" t="n">
        <f aca="false">IF(A196&lt;=3,SUMIFS(Data_Q1!$F$5:$F$76,Data_Q1!$A$5:$A$76,A196,Data_Q1!$B$5:$B$76,C196,Data_Q1!$C$5:$C$76,D196),P196*L196*INDEX(Reforecast!$D$12:$D$17,MATCH(C196,Reforecast!$A$12:$A$17,0)))</f>
        <v>36612.9648629381</v>
      </c>
      <c r="S196" s="9" t="n">
        <f aca="false">IF(A196&lt;=3,SUMIFS(Data_Q1!$G$5:$G$76,Data_Q1!$A$5:$A$76,A196,Data_Q1!$B$5:$B$76,C196,Data_Q1!$C$5:$C$76,D196),P196*N196)</f>
        <v>2712.9117158503</v>
      </c>
    </row>
    <row r="197" customFormat="false" ht="15" hidden="false" customHeight="false" outlineLevel="0" collapsed="false">
      <c r="A197" s="0" t="n">
        <f aca="false">MOD(ROW()-5,12)+1</f>
        <v>1</v>
      </c>
      <c r="B197" s="0" t="n">
        <f aca="false">INT((ROW()-5)/12)+1</f>
        <v>17</v>
      </c>
      <c r="C197" s="0" t="str">
        <f aca="false">INDEX(Data_Base!$A$5:$A$28,B197)</f>
        <v>Charcuterie</v>
      </c>
      <c r="D197" s="0" t="str">
        <f aca="false">INDEX(Data_Base!$B$5:$B$28,B197)</f>
        <v>Restaurants</v>
      </c>
      <c r="E197" s="26" t="n">
        <f aca="false">INDEX(Data_Base!$B$32:$M$37,MATCH(C197,Data_Base!$A$32:$A$37,0),A197)</f>
        <v>0.074415</v>
      </c>
      <c r="F197" s="25" t="n">
        <f aca="false">INDEX(Data_Base!$C$5:$C$28,B197)*(1+INDEX(Assumptions!$B$19:$B$22,MATCH(D197,Assumptions!$A$19:$A$22,0)))*E197</f>
        <v>864.7662969</v>
      </c>
      <c r="G197" s="24" t="n">
        <f aca="false">INDEX(Data_Base!$D$5:$D$28,B197)/INDEX(Data_Base!$C$5:$C$28,B197)</f>
        <v>165.815714912666</v>
      </c>
      <c r="H197" s="27" t="n">
        <f aca="false">IF(A197&gt;=Assumptions!$C$37,INDEX(Assumptions!$B$10:$B$15,MATCH(C197,Assumptions!$A$10:$A$15,0)),0)</f>
        <v>0</v>
      </c>
      <c r="I197" s="27" t="n">
        <f aca="false">IF(AND(A197&gt;=Assumptions!$C$37,INDEX(Assumptions!$C$19:$C$22,MATCH(D197,Assumptions!$A$19:$A$22,0))=1),INDEX(Assumptions!$D$10:$D$15,MATCH(C197,Assumptions!$A$10:$A$15,0)),0)</f>
        <v>0</v>
      </c>
      <c r="J197" s="9" t="n">
        <f aca="false">F197*G197*(1+H197)</f>
        <v>143391.841752852</v>
      </c>
      <c r="K197" s="9" t="n">
        <f aca="false">J197*(1+I197)</f>
        <v>143391.841752852</v>
      </c>
      <c r="L197" s="24" t="n">
        <f aca="false">INDEX(Data_Base!$E$5:$E$28,B197)/INDEX(Data_Base!$C$5:$C$28,B197)*(1+INDEX(Assumptions!$C$10:$C$15,MATCH(C197,Assumptions!$A$10:$A$15,0)))</f>
        <v>97.9955299569911</v>
      </c>
      <c r="M197" s="9" t="n">
        <f aca="false">F197*L197</f>
        <v>84743.2315536602</v>
      </c>
      <c r="N197" s="24" t="n">
        <f aca="false">INDEX(Data_Base!$F$5:$F$28,B197)/INDEX(Data_Base!$C$5:$C$28,B197)*(1+Assumptions!$C$38)</f>
        <v>2.70345229526902</v>
      </c>
      <c r="O197" s="9" t="n">
        <f aca="false">F197*N197</f>
        <v>2337.8544302256</v>
      </c>
      <c r="P197" s="25" t="n">
        <f aca="false">IF(A197&lt;=3,SUMIFS(Data_Q1!$D$5:$D$76,Data_Q1!$A$5:$A$76,A197,Data_Q1!$B$5:$B$76,C197,Data_Q1!$C$5:$C$76,D197),F197*INDEX(Reforecast!$D$6:$D$9,MATCH(D197,Reforecast!$A$6:$A$9,0)))</f>
        <v>835</v>
      </c>
      <c r="Q197" s="9" t="n">
        <f aca="false">IF(A197&lt;=3,SUMIFS(Data_Q1!$E$5:$E$76,Data_Q1!$A$5:$A$76,A197,Data_Q1!$B$5:$B$76,C197,Data_Q1!$C$5:$C$76,D197),P197*G197*(1+H197)*(1+I197))</f>
        <v>138155.72</v>
      </c>
      <c r="R197" s="9" t="n">
        <f aca="false">IF(A197&lt;=3,SUMIFS(Data_Q1!$F$5:$F$76,Data_Q1!$A$5:$A$76,A197,Data_Q1!$B$5:$B$76,C197,Data_Q1!$C$5:$C$76,D197),P197*L197*INDEX(Reforecast!$D$12:$D$17,MATCH(C197,Reforecast!$A$12:$A$17,0)))</f>
        <v>81679.56</v>
      </c>
      <c r="S197" s="9" t="n">
        <f aca="false">IF(A197&lt;=3,SUMIFS(Data_Q1!$G$5:$G$76,Data_Q1!$A$5:$A$76,A197,Data_Q1!$B$5:$B$76,C197,Data_Q1!$C$5:$C$76,D197),P197*N197)</f>
        <v>2257.41</v>
      </c>
    </row>
    <row r="198" customFormat="false" ht="15" hidden="false" customHeight="false" outlineLevel="0" collapsed="false">
      <c r="A198" s="0" t="n">
        <f aca="false">MOD(ROW()-5,12)+1</f>
        <v>2</v>
      </c>
      <c r="B198" s="0" t="n">
        <f aca="false">INT((ROW()-5)/12)+1</f>
        <v>17</v>
      </c>
      <c r="C198" s="0" t="str">
        <f aca="false">INDEX(Data_Base!$A$5:$A$28,B198)</f>
        <v>Charcuterie</v>
      </c>
      <c r="D198" s="0" t="str">
        <f aca="false">INDEX(Data_Base!$B$5:$B$28,B198)</f>
        <v>Restaurants</v>
      </c>
      <c r="E198" s="26" t="n">
        <f aca="false">INDEX(Data_Base!$B$32:$M$37,MATCH(C198,Data_Base!$A$32:$A$37,0),A198)</f>
        <v>0.07034</v>
      </c>
      <c r="F198" s="25" t="n">
        <f aca="false">INDEX(Data_Base!$C$5:$C$28,B198)*(1+INDEX(Assumptions!$B$19:$B$22,MATCH(D198,Assumptions!$A$19:$A$22,0)))*E198</f>
        <v>817.4112924</v>
      </c>
      <c r="G198" s="24" t="n">
        <f aca="false">INDEX(Data_Base!$D$5:$D$28,B198)/INDEX(Data_Base!$C$5:$C$28,B198)</f>
        <v>165.815714912666</v>
      </c>
      <c r="H198" s="27" t="n">
        <f aca="false">IF(A198&gt;=Assumptions!$C$37,INDEX(Assumptions!$B$10:$B$15,MATCH(C198,Assumptions!$A$10:$A$15,0)),0)</f>
        <v>0.02</v>
      </c>
      <c r="I198" s="27" t="n">
        <f aca="false">IF(AND(A198&gt;=Assumptions!$C$37,INDEX(Assumptions!$C$19:$C$22,MATCH(D198,Assumptions!$A$19:$A$22,0))=1),INDEX(Assumptions!$D$10:$D$15,MATCH(C198,Assumptions!$A$10:$A$15,0)),0)</f>
        <v>0</v>
      </c>
      <c r="J198" s="9" t="n">
        <f aca="false">F198*G198*(1+H198)</f>
        <v>138250.430583532</v>
      </c>
      <c r="K198" s="9" t="n">
        <f aca="false">J198*(1+I198)</f>
        <v>138250.430583532</v>
      </c>
      <c r="L198" s="24" t="n">
        <f aca="false">INDEX(Data_Base!$E$5:$E$28,B198)/INDEX(Data_Base!$C$5:$C$28,B198)*(1+INDEX(Assumptions!$C$10:$C$15,MATCH(C198,Assumptions!$A$10:$A$15,0)))</f>
        <v>97.9955299569911</v>
      </c>
      <c r="M198" s="9" t="n">
        <f aca="false">F198*L198</f>
        <v>80102.652791567</v>
      </c>
      <c r="N198" s="24" t="n">
        <f aca="false">INDEX(Data_Base!$F$5:$F$28,B198)/INDEX(Data_Base!$C$5:$C$28,B198)*(1+Assumptions!$C$38)</f>
        <v>2.70345229526902</v>
      </c>
      <c r="O198" s="9" t="n">
        <f aca="false">F198*N198</f>
        <v>2209.8324346176</v>
      </c>
      <c r="P198" s="25" t="n">
        <f aca="false">IF(A198&lt;=3,SUMIFS(Data_Q1!$D$5:$D$76,Data_Q1!$A$5:$A$76,A198,Data_Q1!$B$5:$B$76,C198,Data_Q1!$C$5:$C$76,D198),F198*INDEX(Reforecast!$D$6:$D$9,MATCH(D198,Reforecast!$A$6:$A$9,0)))</f>
        <v>761.7</v>
      </c>
      <c r="Q198" s="9" t="n">
        <f aca="false">IF(A198&lt;=3,SUMIFS(Data_Q1!$E$5:$E$76,Data_Q1!$A$5:$A$76,A198,Data_Q1!$B$5:$B$76,C198,Data_Q1!$C$5:$C$76,D198),P198*G198*(1+H198)*(1+I198))</f>
        <v>129140</v>
      </c>
      <c r="R198" s="9" t="n">
        <f aca="false">IF(A198&lt;=3,SUMIFS(Data_Q1!$F$5:$F$76,Data_Q1!$A$5:$A$76,A198,Data_Q1!$B$5:$B$76,C198,Data_Q1!$C$5:$C$76,D198),P198*L198*INDEX(Reforecast!$D$12:$D$17,MATCH(C198,Reforecast!$A$12:$A$17,0)))</f>
        <v>74589.73</v>
      </c>
      <c r="S198" s="9" t="n">
        <f aca="false">IF(A198&lt;=3,SUMIFS(Data_Q1!$G$5:$G$76,Data_Q1!$A$5:$A$76,A198,Data_Q1!$B$5:$B$76,C198,Data_Q1!$C$5:$C$76,D198),P198*N198)</f>
        <v>2059.16</v>
      </c>
    </row>
    <row r="199" customFormat="false" ht="15" hidden="false" customHeight="false" outlineLevel="0" collapsed="false">
      <c r="A199" s="0" t="n">
        <f aca="false">MOD(ROW()-5,12)+1</f>
        <v>3</v>
      </c>
      <c r="B199" s="0" t="n">
        <f aca="false">INT((ROW()-5)/12)+1</f>
        <v>17</v>
      </c>
      <c r="C199" s="0" t="str">
        <f aca="false">INDEX(Data_Base!$A$5:$A$28,B199)</f>
        <v>Charcuterie</v>
      </c>
      <c r="D199" s="0" t="str">
        <f aca="false">INDEX(Data_Base!$B$5:$B$28,B199)</f>
        <v>Restaurants</v>
      </c>
      <c r="E199" s="26" t="n">
        <f aca="false">INDEX(Data_Base!$B$32:$M$37,MATCH(C199,Data_Base!$A$32:$A$37,0),A199)</f>
        <v>0.073631</v>
      </c>
      <c r="F199" s="25" t="n">
        <f aca="false">INDEX(Data_Base!$C$5:$C$28,B199)*(1+INDEX(Assumptions!$B$19:$B$22,MATCH(D199,Assumptions!$A$19:$A$22,0)))*E199</f>
        <v>855.65554266</v>
      </c>
      <c r="G199" s="24" t="n">
        <f aca="false">INDEX(Data_Base!$D$5:$D$28,B199)/INDEX(Data_Base!$C$5:$C$28,B199)</f>
        <v>165.815714912666</v>
      </c>
      <c r="H199" s="27" t="n">
        <f aca="false">IF(A199&gt;=Assumptions!$C$37,INDEX(Assumptions!$B$10:$B$15,MATCH(C199,Assumptions!$A$10:$A$15,0)),0)</f>
        <v>0.02</v>
      </c>
      <c r="I199" s="27" t="n">
        <f aca="false">IF(AND(A199&gt;=Assumptions!$C$37,INDEX(Assumptions!$C$19:$C$22,MATCH(D199,Assumptions!$A$19:$A$22,0))=1),INDEX(Assumptions!$D$10:$D$15,MATCH(C199,Assumptions!$A$10:$A$15,0)),0)</f>
        <v>0</v>
      </c>
      <c r="J199" s="9" t="n">
        <f aca="false">F199*G199*(1+H199)</f>
        <v>144718.758235656</v>
      </c>
      <c r="K199" s="9" t="n">
        <f aca="false">J199*(1+I199)</f>
        <v>144718.758235656</v>
      </c>
      <c r="L199" s="24" t="n">
        <f aca="false">INDEX(Data_Base!$E$5:$E$28,B199)/INDEX(Data_Base!$C$5:$C$28,B199)*(1+INDEX(Assumptions!$C$10:$C$15,MATCH(C199,Assumptions!$A$10:$A$15,0)))</f>
        <v>97.9955299569911</v>
      </c>
      <c r="M199" s="9" t="n">
        <f aca="false">F199*L199</f>
        <v>83850.4183636035</v>
      </c>
      <c r="N199" s="24" t="n">
        <f aca="false">INDEX(Data_Base!$F$5:$F$28,B199)/INDEX(Data_Base!$C$5:$C$28,B199)*(1+Assumptions!$C$38)</f>
        <v>2.70345229526902</v>
      </c>
      <c r="O199" s="9" t="n">
        <f aca="false">F199*N199</f>
        <v>2313.22394076384</v>
      </c>
      <c r="P199" s="25" t="n">
        <f aca="false">IF(A199&lt;=3,SUMIFS(Data_Q1!$D$5:$D$76,Data_Q1!$A$5:$A$76,A199,Data_Q1!$B$5:$B$76,C199,Data_Q1!$C$5:$C$76,D199),F199*INDEX(Reforecast!$D$6:$D$9,MATCH(D199,Reforecast!$A$6:$A$9,0)))</f>
        <v>817.6</v>
      </c>
      <c r="Q199" s="9" t="n">
        <f aca="false">IF(A199&lt;=3,SUMIFS(Data_Q1!$E$5:$E$76,Data_Q1!$A$5:$A$76,A199,Data_Q1!$B$5:$B$76,C199,Data_Q1!$C$5:$C$76,D199),P199*G199*(1+H199)*(1+I199))</f>
        <v>138577.66</v>
      </c>
      <c r="R199" s="9" t="n">
        <f aca="false">IF(A199&lt;=3,SUMIFS(Data_Q1!$F$5:$F$76,Data_Q1!$A$5:$A$76,A199,Data_Q1!$B$5:$B$76,C199,Data_Q1!$C$5:$C$76,D199),P199*L199*INDEX(Reforecast!$D$12:$D$17,MATCH(C199,Reforecast!$A$12:$A$17,0)))</f>
        <v>80300.49</v>
      </c>
      <c r="S199" s="9" t="n">
        <f aca="false">IF(A199&lt;=3,SUMIFS(Data_Q1!$G$5:$G$76,Data_Q1!$A$5:$A$76,A199,Data_Q1!$B$5:$B$76,C199,Data_Q1!$C$5:$C$76,D199),P199*N199)</f>
        <v>2210.25</v>
      </c>
    </row>
    <row r="200" customFormat="false" ht="15" hidden="false" customHeight="false" outlineLevel="0" collapsed="false">
      <c r="A200" s="0" t="n">
        <f aca="false">MOD(ROW()-5,12)+1</f>
        <v>4</v>
      </c>
      <c r="B200" s="0" t="n">
        <f aca="false">INT((ROW()-5)/12)+1</f>
        <v>17</v>
      </c>
      <c r="C200" s="0" t="str">
        <f aca="false">INDEX(Data_Base!$A$5:$A$28,B200)</f>
        <v>Charcuterie</v>
      </c>
      <c r="D200" s="0" t="str">
        <f aca="false">INDEX(Data_Base!$B$5:$B$28,B200)</f>
        <v>Restaurants</v>
      </c>
      <c r="E200" s="26" t="n">
        <f aca="false">INDEX(Data_Base!$B$32:$M$37,MATCH(C200,Data_Base!$A$32:$A$37,0),A200)</f>
        <v>0.078373</v>
      </c>
      <c r="F200" s="25" t="n">
        <f aca="false">INDEX(Data_Base!$C$5:$C$28,B200)*(1+INDEX(Assumptions!$B$19:$B$22,MATCH(D200,Assumptions!$A$19:$A$22,0)))*E200</f>
        <v>910.76166078</v>
      </c>
      <c r="G200" s="24" t="n">
        <f aca="false">INDEX(Data_Base!$D$5:$D$28,B200)/INDEX(Data_Base!$C$5:$C$28,B200)</f>
        <v>165.815714912666</v>
      </c>
      <c r="H200" s="27" t="n">
        <f aca="false">IF(A200&gt;=Assumptions!$C$37,INDEX(Assumptions!$B$10:$B$15,MATCH(C200,Assumptions!$A$10:$A$15,0)),0)</f>
        <v>0.02</v>
      </c>
      <c r="I200" s="27" t="n">
        <f aca="false">IF(AND(A200&gt;=Assumptions!$C$37,INDEX(Assumptions!$C$19:$C$22,MATCH(D200,Assumptions!$A$19:$A$22,0))=1),INDEX(Assumptions!$D$10:$D$15,MATCH(C200,Assumptions!$A$10:$A$15,0)),0)</f>
        <v>0</v>
      </c>
      <c r="J200" s="9" t="n">
        <f aca="false">F200*G200*(1+H200)</f>
        <v>154038.967815228</v>
      </c>
      <c r="K200" s="9" t="n">
        <f aca="false">J200*(1+I200)</f>
        <v>154038.967815228</v>
      </c>
      <c r="L200" s="24" t="n">
        <f aca="false">INDEX(Data_Base!$E$5:$E$28,B200)/INDEX(Data_Base!$C$5:$C$28,B200)*(1+INDEX(Assumptions!$C$10:$C$15,MATCH(C200,Assumptions!$A$10:$A$15,0)))</f>
        <v>97.9955299569911</v>
      </c>
      <c r="M200" s="9" t="n">
        <f aca="false">F200*L200</f>
        <v>89250.5716126455</v>
      </c>
      <c r="N200" s="24" t="n">
        <f aca="false">INDEX(Data_Base!$F$5:$F$28,B200)/INDEX(Data_Base!$C$5:$C$28,B200)*(1+Assumptions!$C$38)</f>
        <v>2.70345229526902</v>
      </c>
      <c r="O200" s="9" t="n">
        <f aca="false">F200*N200</f>
        <v>2462.20070227872</v>
      </c>
      <c r="P200" s="25" t="n">
        <f aca="false">IF(A200&lt;=3,SUMIFS(Data_Q1!$D$5:$D$76,Data_Q1!$A$5:$A$76,A200,Data_Q1!$B$5:$B$76,C200,Data_Q1!$C$5:$C$76,D200),F200*INDEX(Reforecast!$D$6:$D$9,MATCH(D200,Reforecast!$A$6:$A$9,0)))</f>
        <v>872.545471507003</v>
      </c>
      <c r="Q200" s="9" t="n">
        <f aca="false">IF(A200&lt;=3,SUMIFS(Data_Q1!$E$5:$E$76,Data_Q1!$A$5:$A$76,A200,Data_Q1!$B$5:$B$76,C200,Data_Q1!$C$5:$C$76,D200),P200*G200*(1+H200)*(1+I200))</f>
        <v>147575.386174777</v>
      </c>
      <c r="R200" s="9" t="n">
        <f aca="false">IF(A200&lt;=3,SUMIFS(Data_Q1!$F$5:$F$76,Data_Q1!$A$5:$A$76,A200,Data_Q1!$B$5:$B$76,C200,Data_Q1!$C$5:$C$76,D200),P200*L200*INDEX(Reforecast!$D$12:$D$17,MATCH(C200,Reforecast!$A$12:$A$17,0)))</f>
        <v>85509.9407677069</v>
      </c>
      <c r="S200" s="9" t="n">
        <f aca="false">IF(A200&lt;=3,SUMIFS(Data_Q1!$G$5:$G$76,Data_Q1!$A$5:$A$76,A200,Data_Q1!$B$5:$B$76,C200,Data_Q1!$C$5:$C$76,D200),P200*N200)</f>
        <v>2358.8850576722</v>
      </c>
    </row>
    <row r="201" customFormat="false" ht="15" hidden="false" customHeight="false" outlineLevel="0" collapsed="false">
      <c r="A201" s="0" t="n">
        <f aca="false">MOD(ROW()-5,12)+1</f>
        <v>5</v>
      </c>
      <c r="B201" s="0" t="n">
        <f aca="false">INT((ROW()-5)/12)+1</f>
        <v>17</v>
      </c>
      <c r="C201" s="0" t="str">
        <f aca="false">INDEX(Data_Base!$A$5:$A$28,B201)</f>
        <v>Charcuterie</v>
      </c>
      <c r="D201" s="0" t="str">
        <f aca="false">INDEX(Data_Base!$B$5:$B$28,B201)</f>
        <v>Restaurants</v>
      </c>
      <c r="E201" s="26" t="n">
        <f aca="false">INDEX(Data_Base!$B$32:$M$37,MATCH(C201,Data_Base!$A$32:$A$37,0),A201)</f>
        <v>0.07853</v>
      </c>
      <c r="F201" s="25" t="n">
        <f aca="false">INDEX(Data_Base!$C$5:$C$28,B201)*(1+INDEX(Assumptions!$B$19:$B$22,MATCH(D201,Assumptions!$A$19:$A$22,0)))*E201</f>
        <v>912.5861358</v>
      </c>
      <c r="G201" s="24" t="n">
        <f aca="false">INDEX(Data_Base!$D$5:$D$28,B201)/INDEX(Data_Base!$C$5:$C$28,B201)</f>
        <v>165.815714912666</v>
      </c>
      <c r="H201" s="27" t="n">
        <f aca="false">IF(A201&gt;=Assumptions!$C$37,INDEX(Assumptions!$B$10:$B$15,MATCH(C201,Assumptions!$A$10:$A$15,0)),0)</f>
        <v>0.02</v>
      </c>
      <c r="I201" s="27" t="n">
        <f aca="false">IF(AND(A201&gt;=Assumptions!$C$37,INDEX(Assumptions!$C$19:$C$22,MATCH(D201,Assumptions!$A$19:$A$22,0))=1),INDEX(Assumptions!$D$10:$D$15,MATCH(C201,Assumptions!$A$10:$A$15,0)),0)</f>
        <v>0</v>
      </c>
      <c r="J201" s="9" t="n">
        <f aca="false">F201*G201*(1+H201)</f>
        <v>154347.544977605</v>
      </c>
      <c r="K201" s="9" t="n">
        <f aca="false">J201*(1+I201)</f>
        <v>154347.544977605</v>
      </c>
      <c r="L201" s="24" t="n">
        <f aca="false">INDEX(Data_Base!$E$5:$E$28,B201)/INDEX(Data_Base!$C$5:$C$28,B201)*(1+INDEX(Assumptions!$C$10:$C$15,MATCH(C201,Assumptions!$A$10:$A$15,0)))</f>
        <v>97.9955299569911</v>
      </c>
      <c r="M201" s="9" t="n">
        <f aca="false">F201*L201</f>
        <v>89429.3620091237</v>
      </c>
      <c r="N201" s="24" t="n">
        <f aca="false">INDEX(Data_Base!$F$5:$F$28,B201)/INDEX(Data_Base!$C$5:$C$28,B201)*(1+Assumptions!$C$38)</f>
        <v>2.70345229526902</v>
      </c>
      <c r="O201" s="9" t="n">
        <f aca="false">F201*N201</f>
        <v>2467.1330834592</v>
      </c>
      <c r="P201" s="25" t="n">
        <f aca="false">IF(A201&lt;=3,SUMIFS(Data_Q1!$D$5:$D$76,Data_Q1!$A$5:$A$76,A201,Data_Q1!$B$5:$B$76,C201,Data_Q1!$C$5:$C$76,D201),F201*INDEX(Reforecast!$D$6:$D$9,MATCH(D201,Reforecast!$A$6:$A$9,0)))</f>
        <v>874.293390293148</v>
      </c>
      <c r="Q201" s="9" t="n">
        <f aca="false">IF(A201&lt;=3,SUMIFS(Data_Q1!$E$5:$E$76,Data_Q1!$A$5:$A$76,A201,Data_Q1!$B$5:$B$76,C201,Data_Q1!$C$5:$C$76,D201),P201*G201*(1+H201)*(1+I201))</f>
        <v>147871.015225974</v>
      </c>
      <c r="R201" s="9" t="n">
        <f aca="false">IF(A201&lt;=3,SUMIFS(Data_Q1!$F$5:$F$76,Data_Q1!$A$5:$A$76,A201,Data_Q1!$B$5:$B$76,C201,Data_Q1!$C$5:$C$76,D201),P201*L201*INDEX(Reforecast!$D$12:$D$17,MATCH(C201,Reforecast!$A$12:$A$17,0)))</f>
        <v>85681.2377794396</v>
      </c>
      <c r="S201" s="9" t="n">
        <f aca="false">IF(A201&lt;=3,SUMIFS(Data_Q1!$G$5:$G$76,Data_Q1!$A$5:$A$76,A201,Data_Q1!$B$5:$B$76,C201,Data_Q1!$C$5:$C$76,D201),P201*N201)</f>
        <v>2363.61047272655</v>
      </c>
    </row>
    <row r="202" customFormat="false" ht="15" hidden="false" customHeight="false" outlineLevel="0" collapsed="false">
      <c r="A202" s="0" t="n">
        <f aca="false">MOD(ROW()-5,12)+1</f>
        <v>6</v>
      </c>
      <c r="B202" s="0" t="n">
        <f aca="false">INT((ROW()-5)/12)+1</f>
        <v>17</v>
      </c>
      <c r="C202" s="0" t="str">
        <f aca="false">INDEX(Data_Base!$A$5:$A$28,B202)</f>
        <v>Charcuterie</v>
      </c>
      <c r="D202" s="0" t="str">
        <f aca="false">INDEX(Data_Base!$B$5:$B$28,B202)</f>
        <v>Restaurants</v>
      </c>
      <c r="E202" s="26" t="n">
        <f aca="false">INDEX(Data_Base!$B$32:$M$37,MATCH(C202,Data_Base!$A$32:$A$37,0),A202)</f>
        <v>0.077668</v>
      </c>
      <c r="F202" s="25" t="n">
        <f aca="false">INDEX(Data_Base!$C$5:$C$28,B202)*(1+INDEX(Assumptions!$B$19:$B$22,MATCH(D202,Assumptions!$A$19:$A$22,0)))*E202</f>
        <v>902.56895448</v>
      </c>
      <c r="G202" s="24" t="n">
        <f aca="false">INDEX(Data_Base!$D$5:$D$28,B202)/INDEX(Data_Base!$C$5:$C$28,B202)</f>
        <v>165.815714912666</v>
      </c>
      <c r="H202" s="27" t="n">
        <f aca="false">IF(A202&gt;=Assumptions!$C$37,INDEX(Assumptions!$B$10:$B$15,MATCH(C202,Assumptions!$A$10:$A$15,0)),0)</f>
        <v>0.02</v>
      </c>
      <c r="I202" s="27" t="n">
        <f aca="false">IF(AND(A202&gt;=Assumptions!$C$37,INDEX(Assumptions!$C$19:$C$22,MATCH(D202,Assumptions!$A$19:$A$22,0))=1),INDEX(Assumptions!$D$10:$D$15,MATCH(C202,Assumptions!$A$10:$A$15,0)),0)</f>
        <v>0</v>
      </c>
      <c r="J202" s="9" t="n">
        <f aca="false">F202*G202*(1+H202)</f>
        <v>152653.31877398</v>
      </c>
      <c r="K202" s="9" t="n">
        <f aca="false">J202*(1+I202)</f>
        <v>152653.31877398</v>
      </c>
      <c r="L202" s="24" t="n">
        <f aca="false">INDEX(Data_Base!$E$5:$E$28,B202)/INDEX(Data_Base!$C$5:$C$28,B202)*(1+INDEX(Assumptions!$C$10:$C$15,MATCH(C202,Assumptions!$A$10:$A$15,0)))</f>
        <v>97.9955299569911</v>
      </c>
      <c r="M202" s="9" t="n">
        <f aca="false">F202*L202</f>
        <v>88447.723016995</v>
      </c>
      <c r="N202" s="24" t="n">
        <f aca="false">INDEX(Data_Base!$F$5:$F$28,B202)/INDEX(Data_Base!$C$5:$C$28,B202)*(1+Assumptions!$C$38)</f>
        <v>2.70345229526902</v>
      </c>
      <c r="O202" s="9" t="n">
        <f aca="false">F202*N202</f>
        <v>2440.05211162752</v>
      </c>
      <c r="P202" s="25" t="n">
        <f aca="false">IF(A202&lt;=3,SUMIFS(Data_Q1!$D$5:$D$76,Data_Q1!$A$5:$A$76,A202,Data_Q1!$B$5:$B$76,C202,Data_Q1!$C$5:$C$76,D202),F202*INDEX(Reforecast!$D$6:$D$9,MATCH(D202,Reforecast!$A$6:$A$9,0)))</f>
        <v>864.696536830361</v>
      </c>
      <c r="Q202" s="9" t="n">
        <f aca="false">IF(A202&lt;=3,SUMIFS(Data_Q1!$E$5:$E$76,Data_Q1!$A$5:$A$76,A202,Data_Q1!$B$5:$B$76,C202,Data_Q1!$C$5:$C$76,D202),P202*G202*(1+H202)*(1+I202))</f>
        <v>146247.879925773</v>
      </c>
      <c r="R202" s="9" t="n">
        <f aca="false">IF(A202&lt;=3,SUMIFS(Data_Q1!$F$5:$F$76,Data_Q1!$A$5:$A$76,A202,Data_Q1!$B$5:$B$76,C202,Data_Q1!$C$5:$C$76,D202),P202*L202*INDEX(Reforecast!$D$12:$D$17,MATCH(C202,Reforecast!$A$12:$A$17,0)))</f>
        <v>84740.740810563</v>
      </c>
      <c r="S202" s="9" t="n">
        <f aca="false">IF(A202&lt;=3,SUMIFS(Data_Q1!$G$5:$G$76,Data_Q1!$A$5:$A$76,A202,Data_Q1!$B$5:$B$76,C202,Data_Q1!$C$5:$C$76,D202),P202*N202)</f>
        <v>2337.66583720522</v>
      </c>
    </row>
    <row r="203" customFormat="false" ht="15" hidden="false" customHeight="false" outlineLevel="0" collapsed="false">
      <c r="A203" s="0" t="n">
        <f aca="false">MOD(ROW()-5,12)+1</f>
        <v>7</v>
      </c>
      <c r="B203" s="0" t="n">
        <f aca="false">INT((ROW()-5)/12)+1</f>
        <v>17</v>
      </c>
      <c r="C203" s="0" t="str">
        <f aca="false">INDEX(Data_Base!$A$5:$A$28,B203)</f>
        <v>Charcuterie</v>
      </c>
      <c r="D203" s="0" t="str">
        <f aca="false">INDEX(Data_Base!$B$5:$B$28,B203)</f>
        <v>Restaurants</v>
      </c>
      <c r="E203" s="26" t="n">
        <f aca="false">INDEX(Data_Base!$B$32:$M$37,MATCH(C203,Data_Base!$A$32:$A$37,0),A203)</f>
        <v>0.077824</v>
      </c>
      <c r="F203" s="25" t="n">
        <f aca="false">INDEX(Data_Base!$C$5:$C$28,B203)*(1+INDEX(Assumptions!$B$19:$B$22,MATCH(D203,Assumptions!$A$19:$A$22,0)))*E203</f>
        <v>904.38180864</v>
      </c>
      <c r="G203" s="24" t="n">
        <f aca="false">INDEX(Data_Base!$D$5:$D$28,B203)/INDEX(Data_Base!$C$5:$C$28,B203)</f>
        <v>165.815714912666</v>
      </c>
      <c r="H203" s="27" t="n">
        <f aca="false">IF(A203&gt;=Assumptions!$C$37,INDEX(Assumptions!$B$10:$B$15,MATCH(C203,Assumptions!$A$10:$A$15,0)),0)</f>
        <v>0.02</v>
      </c>
      <c r="I203" s="27" t="n">
        <f aca="false">IF(AND(A203&gt;=Assumptions!$C$37,INDEX(Assumptions!$C$19:$C$22,MATCH(D203,Assumptions!$A$19:$A$22,0))=1),INDEX(Assumptions!$D$10:$D$15,MATCH(C203,Assumptions!$A$10:$A$15,0)),0)</f>
        <v>0</v>
      </c>
      <c r="J203" s="9" t="n">
        <f aca="false">F203*G203*(1+H203)</f>
        <v>152959.930476724</v>
      </c>
      <c r="K203" s="9" t="n">
        <f aca="false">J203*(1+I203)</f>
        <v>152959.930476724</v>
      </c>
      <c r="L203" s="24" t="n">
        <f aca="false">INDEX(Data_Base!$E$5:$E$28,B203)/INDEX(Data_Base!$C$5:$C$28,B203)*(1+INDEX(Assumptions!$C$10:$C$15,MATCH(C203,Assumptions!$A$10:$A$15,0)))</f>
        <v>97.9955299569911</v>
      </c>
      <c r="M203" s="9" t="n">
        <f aca="false">F203*L203</f>
        <v>88625.374621139</v>
      </c>
      <c r="N203" s="24" t="n">
        <f aca="false">INDEX(Data_Base!$F$5:$F$28,B203)/INDEX(Data_Base!$C$5:$C$28,B203)*(1+Assumptions!$C$38)</f>
        <v>2.70345229526902</v>
      </c>
      <c r="O203" s="9" t="n">
        <f aca="false">F203*N203</f>
        <v>2444.95307636736</v>
      </c>
      <c r="P203" s="25" t="n">
        <f aca="false">IF(A203&lt;=3,SUMIFS(Data_Q1!$D$5:$D$76,Data_Q1!$A$5:$A$76,A203,Data_Q1!$B$5:$B$76,C203,Data_Q1!$C$5:$C$76,D203),F203*INDEX(Reforecast!$D$6:$D$9,MATCH(D203,Reforecast!$A$6:$A$9,0)))</f>
        <v>866.433322375831</v>
      </c>
      <c r="Q203" s="9" t="n">
        <f aca="false">IF(A203&lt;=3,SUMIFS(Data_Q1!$E$5:$E$76,Data_Q1!$A$5:$A$76,A203,Data_Q1!$B$5:$B$76,C203,Data_Q1!$C$5:$C$76,D203),P203*G203*(1+H203)*(1+I203))</f>
        <v>146541.625989383</v>
      </c>
      <c r="R203" s="9" t="n">
        <f aca="false">IF(A203&lt;=3,SUMIFS(Data_Q1!$F$5:$F$76,Data_Q1!$A$5:$A$76,A203,Data_Q1!$B$5:$B$76,C203,Data_Q1!$C$5:$C$76,D203),P203*L203*INDEX(Reforecast!$D$12:$D$17,MATCH(C203,Reforecast!$A$12:$A$17,0)))</f>
        <v>84910.9467585268</v>
      </c>
      <c r="S203" s="9" t="n">
        <f aca="false">IF(A203&lt;=3,SUMIFS(Data_Q1!$G$5:$G$76,Data_Q1!$A$5:$A$76,A203,Data_Q1!$B$5:$B$76,C203,Data_Q1!$C$5:$C$76,D203),P203*N203)</f>
        <v>2342.36115407451</v>
      </c>
    </row>
    <row r="204" customFormat="false" ht="15" hidden="false" customHeight="false" outlineLevel="0" collapsed="false">
      <c r="A204" s="0" t="n">
        <f aca="false">MOD(ROW()-5,12)+1</f>
        <v>8</v>
      </c>
      <c r="B204" s="0" t="n">
        <f aca="false">INT((ROW()-5)/12)+1</f>
        <v>17</v>
      </c>
      <c r="C204" s="0" t="str">
        <f aca="false">INDEX(Data_Base!$A$5:$A$28,B204)</f>
        <v>Charcuterie</v>
      </c>
      <c r="D204" s="0" t="str">
        <f aca="false">INDEX(Data_Base!$B$5:$B$28,B204)</f>
        <v>Restaurants</v>
      </c>
      <c r="E204" s="26" t="n">
        <f aca="false">INDEX(Data_Base!$B$32:$M$37,MATCH(C204,Data_Base!$A$32:$A$37,0),A204)</f>
        <v>0.078608</v>
      </c>
      <c r="F204" s="25" t="n">
        <f aca="false">INDEX(Data_Base!$C$5:$C$28,B204)*(1+INDEX(Assumptions!$B$19:$B$22,MATCH(D204,Assumptions!$A$19:$A$22,0)))*E204</f>
        <v>913.49256288</v>
      </c>
      <c r="G204" s="24" t="n">
        <f aca="false">INDEX(Data_Base!$D$5:$D$28,B204)/INDEX(Data_Base!$C$5:$C$28,B204)</f>
        <v>165.815714912666</v>
      </c>
      <c r="H204" s="27" t="n">
        <f aca="false">IF(A204&gt;=Assumptions!$C$37,INDEX(Assumptions!$B$10:$B$15,MATCH(C204,Assumptions!$A$10:$A$15,0)),0)</f>
        <v>0.02</v>
      </c>
      <c r="I204" s="27" t="n">
        <f aca="false">IF(AND(A204&gt;=Assumptions!$C$37,INDEX(Assumptions!$C$19:$C$22,MATCH(D204,Assumptions!$A$19:$A$22,0))=1),INDEX(Assumptions!$D$10:$D$15,MATCH(C204,Assumptions!$A$10:$A$15,0)),0)</f>
        <v>0</v>
      </c>
      <c r="J204" s="9" t="n">
        <f aca="false">F204*G204*(1+H204)</f>
        <v>154500.850828977</v>
      </c>
      <c r="K204" s="9" t="n">
        <f aca="false">J204*(1+I204)</f>
        <v>154500.850828977</v>
      </c>
      <c r="L204" s="24" t="n">
        <f aca="false">INDEX(Data_Base!$E$5:$E$28,B204)/INDEX(Data_Base!$C$5:$C$28,B204)*(1+INDEX(Assumptions!$C$10:$C$15,MATCH(C204,Assumptions!$A$10:$A$15,0)))</f>
        <v>97.9955299569911</v>
      </c>
      <c r="M204" s="9" t="n">
        <f aca="false">F204*L204</f>
        <v>89518.1878111956</v>
      </c>
      <c r="N204" s="24" t="n">
        <f aca="false">INDEX(Data_Base!$F$5:$F$28,B204)/INDEX(Data_Base!$C$5:$C$28,B204)*(1+Assumptions!$C$38)</f>
        <v>2.70345229526902</v>
      </c>
      <c r="O204" s="9" t="n">
        <f aca="false">F204*N204</f>
        <v>2469.58356582912</v>
      </c>
      <c r="P204" s="25" t="n">
        <f aca="false">IF(A204&lt;=3,SUMIFS(Data_Q1!$D$5:$D$76,Data_Q1!$A$5:$A$76,A204,Data_Q1!$B$5:$B$76,C204,Data_Q1!$C$5:$C$76,D204),F204*INDEX(Reforecast!$D$6:$D$9,MATCH(D204,Reforecast!$A$6:$A$9,0)))</f>
        <v>875.161783065883</v>
      </c>
      <c r="Q204" s="9" t="n">
        <f aca="false">IF(A204&lt;=3,SUMIFS(Data_Q1!$E$5:$E$76,Data_Q1!$A$5:$A$76,A204,Data_Q1!$B$5:$B$76,C204,Data_Q1!$C$5:$C$76,D204),P204*G204*(1+H204)*(1+I204))</f>
        <v>148017.888257779</v>
      </c>
      <c r="R204" s="9" t="n">
        <f aca="false">IF(A204&lt;=3,SUMIFS(Data_Q1!$F$5:$F$76,Data_Q1!$A$5:$A$76,A204,Data_Q1!$B$5:$B$76,C204,Data_Q1!$C$5:$C$76,D204),P204*L204*INDEX(Reforecast!$D$12:$D$17,MATCH(C204,Reforecast!$A$12:$A$17,0)))</f>
        <v>85766.3407534215</v>
      </c>
      <c r="S204" s="9" t="n">
        <f aca="false">IF(A204&lt;=3,SUMIFS(Data_Q1!$G$5:$G$76,Data_Q1!$A$5:$A$76,A204,Data_Q1!$B$5:$B$76,C204,Data_Q1!$C$5:$C$76,D204),P204*N204)</f>
        <v>2365.95813116119</v>
      </c>
    </row>
    <row r="205" customFormat="false" ht="15" hidden="false" customHeight="false" outlineLevel="0" collapsed="false">
      <c r="A205" s="0" t="n">
        <f aca="false">MOD(ROW()-5,12)+1</f>
        <v>9</v>
      </c>
      <c r="B205" s="0" t="n">
        <f aca="false">INT((ROW()-5)/12)+1</f>
        <v>17</v>
      </c>
      <c r="C205" s="0" t="str">
        <f aca="false">INDEX(Data_Base!$A$5:$A$28,B205)</f>
        <v>Charcuterie</v>
      </c>
      <c r="D205" s="0" t="str">
        <f aca="false">INDEX(Data_Base!$B$5:$B$28,B205)</f>
        <v>Restaurants</v>
      </c>
      <c r="E205" s="26" t="n">
        <f aca="false">INDEX(Data_Base!$B$32:$M$37,MATCH(C205,Data_Base!$A$32:$A$37,0),A205)</f>
        <v>0.082292</v>
      </c>
      <c r="F205" s="25" t="n">
        <f aca="false">INDEX(Data_Base!$C$5:$C$28,B205)*(1+INDEX(Assumptions!$B$19:$B$22,MATCH(D205,Assumptions!$A$19:$A$22,0)))*E205</f>
        <v>956.30381112</v>
      </c>
      <c r="G205" s="24" t="n">
        <f aca="false">INDEX(Data_Base!$D$5:$D$28,B205)/INDEX(Data_Base!$C$5:$C$28,B205)</f>
        <v>165.815714912666</v>
      </c>
      <c r="H205" s="27" t="n">
        <f aca="false">IF(A205&gt;=Assumptions!$C$37,INDEX(Assumptions!$B$10:$B$15,MATCH(C205,Assumptions!$A$10:$A$15,0)),0)</f>
        <v>0.02</v>
      </c>
      <c r="I205" s="27" t="n">
        <f aca="false">IF(AND(A205&gt;=Assumptions!$C$37,INDEX(Assumptions!$C$19:$C$22,MATCH(D205,Assumptions!$A$19:$A$22,0))=1),INDEX(Assumptions!$D$10:$D$15,MATCH(C205,Assumptions!$A$10:$A$15,0)),0)</f>
        <v>0</v>
      </c>
      <c r="J205" s="9" t="n">
        <f aca="false">F205*G205*(1+H205)</f>
        <v>161741.604116861</v>
      </c>
      <c r="K205" s="9" t="n">
        <f aca="false">J205*(1+I205)</f>
        <v>161741.604116861</v>
      </c>
      <c r="L205" s="24" t="n">
        <f aca="false">INDEX(Data_Base!$E$5:$E$28,B205)/INDEX(Data_Base!$C$5:$C$28,B205)*(1+INDEX(Assumptions!$C$10:$C$15,MATCH(C205,Assumptions!$A$10:$A$15,0)))</f>
        <v>97.9955299569911</v>
      </c>
      <c r="M205" s="9" t="n">
        <f aca="false">F205*L205</f>
        <v>93713.4987705947</v>
      </c>
      <c r="N205" s="24" t="n">
        <f aca="false">INDEX(Data_Base!$F$5:$F$28,B205)/INDEX(Data_Base!$C$5:$C$28,B205)*(1+Assumptions!$C$38)</f>
        <v>2.70345229526902</v>
      </c>
      <c r="O205" s="9" t="n">
        <f aca="false">F205*N205</f>
        <v>2585.32173314688</v>
      </c>
      <c r="P205" s="25" t="n">
        <f aca="false">IF(A205&lt;=3,SUMIFS(Data_Q1!$D$5:$D$76,Data_Q1!$A$5:$A$76,A205,Data_Q1!$B$5:$B$76,C205,Data_Q1!$C$5:$C$76,D205),F205*INDEX(Reforecast!$D$6:$D$9,MATCH(D205,Reforecast!$A$6:$A$9,0)))</f>
        <v>916.176641716589</v>
      </c>
      <c r="Q205" s="9" t="n">
        <f aca="false">IF(A205&lt;=3,SUMIFS(Data_Q1!$E$5:$E$76,Data_Q1!$A$5:$A$76,A205,Data_Q1!$B$5:$B$76,C205,Data_Q1!$C$5:$C$76,D205),P205*G205*(1+H205)*(1+I205))</f>
        <v>154954.814529172</v>
      </c>
      <c r="R205" s="9" t="n">
        <f aca="false">IF(A205&lt;=3,SUMIFS(Data_Q1!$F$5:$F$76,Data_Q1!$A$5:$A$76,A205,Data_Q1!$B$5:$B$76,C205,Data_Q1!$C$5:$C$76,D205),P205*L205*INDEX(Reforecast!$D$12:$D$17,MATCH(C205,Reforecast!$A$12:$A$17,0)))</f>
        <v>89785.8196784114</v>
      </c>
      <c r="S205" s="9" t="n">
        <f aca="false">IF(A205&lt;=3,SUMIFS(Data_Q1!$G$5:$G$76,Data_Q1!$A$5:$A$76,A205,Data_Q1!$B$5:$B$76,C205,Data_Q1!$C$5:$C$76,D205),P205*N205)</f>
        <v>2476.83984492058</v>
      </c>
    </row>
    <row r="206" customFormat="false" ht="15" hidden="false" customHeight="false" outlineLevel="0" collapsed="false">
      <c r="A206" s="0" t="n">
        <f aca="false">MOD(ROW()-5,12)+1</f>
        <v>10</v>
      </c>
      <c r="B206" s="0" t="n">
        <f aca="false">INT((ROW()-5)/12)+1</f>
        <v>17</v>
      </c>
      <c r="C206" s="0" t="str">
        <f aca="false">INDEX(Data_Base!$A$5:$A$28,B206)</f>
        <v>Charcuterie</v>
      </c>
      <c r="D206" s="0" t="str">
        <f aca="false">INDEX(Data_Base!$B$5:$B$28,B206)</f>
        <v>Restaurants</v>
      </c>
      <c r="E206" s="26" t="n">
        <f aca="false">INDEX(Data_Base!$B$32:$M$37,MATCH(C206,Data_Base!$A$32:$A$37,0),A206)</f>
        <v>0.090246</v>
      </c>
      <c r="F206" s="25" t="n">
        <f aca="false">INDEX(Data_Base!$C$5:$C$28,B206)*(1+INDEX(Assumptions!$B$19:$B$22,MATCH(D206,Assumptions!$A$19:$A$22,0)))*E206</f>
        <v>1048.73613156</v>
      </c>
      <c r="G206" s="24" t="n">
        <f aca="false">INDEX(Data_Base!$D$5:$D$28,B206)/INDEX(Data_Base!$C$5:$C$28,B206)</f>
        <v>165.815714912666</v>
      </c>
      <c r="H206" s="27" t="n">
        <f aca="false">IF(A206&gt;=Assumptions!$C$37,INDEX(Assumptions!$B$10:$B$15,MATCH(C206,Assumptions!$A$10:$A$15,0)),0)</f>
        <v>0.02</v>
      </c>
      <c r="I206" s="27" t="n">
        <f aca="false">IF(AND(A206&gt;=Assumptions!$C$37,INDEX(Assumptions!$C$19:$C$22,MATCH(D206,Assumptions!$A$19:$A$22,0))=1),INDEX(Assumptions!$D$10:$D$15,MATCH(C206,Assumptions!$A$10:$A$15,0)),0)</f>
        <v>0</v>
      </c>
      <c r="J206" s="9" t="n">
        <f aca="false">F206*G206*(1+H206)</f>
        <v>177374.870037552</v>
      </c>
      <c r="K206" s="9" t="n">
        <f aca="false">J206*(1+I206)</f>
        <v>177374.870037552</v>
      </c>
      <c r="L206" s="24" t="n">
        <f aca="false">INDEX(Data_Base!$E$5:$E$28,B206)/INDEX(Data_Base!$C$5:$C$28,B206)*(1+INDEX(Assumptions!$C$10:$C$15,MATCH(C206,Assumptions!$A$10:$A$15,0)))</f>
        <v>97.9955299569911</v>
      </c>
      <c r="M206" s="9" t="n">
        <f aca="false">F206*L206</f>
        <v>102771.452997267</v>
      </c>
      <c r="N206" s="24" t="n">
        <f aca="false">INDEX(Data_Base!$F$5:$F$28,B206)/INDEX(Data_Base!$C$5:$C$28,B206)*(1+Assumptions!$C$38)</f>
        <v>2.70345229526902</v>
      </c>
      <c r="O206" s="9" t="n">
        <f aca="false">F206*N206</f>
        <v>2835.20810199744</v>
      </c>
      <c r="P206" s="25" t="n">
        <f aca="false">IF(A206&lt;=3,SUMIFS(Data_Q1!$D$5:$D$76,Data_Q1!$A$5:$A$76,A206,Data_Q1!$B$5:$B$76,C206,Data_Q1!$C$5:$C$76,D206),F206*INDEX(Reforecast!$D$6:$D$9,MATCH(D206,Reforecast!$A$6:$A$9,0)))</f>
        <v>1004.73043805419</v>
      </c>
      <c r="Q206" s="9" t="n">
        <f aca="false">IF(A206&lt;=3,SUMIFS(Data_Q1!$E$5:$E$76,Data_Q1!$A$5:$A$76,A206,Data_Q1!$B$5:$B$76,C206,Data_Q1!$C$5:$C$76,D206),P206*G206*(1+H206)*(1+I206))</f>
        <v>169932.097798081</v>
      </c>
      <c r="R206" s="9" t="n">
        <f aca="false">IF(A206&lt;=3,SUMIFS(Data_Q1!$F$5:$F$76,Data_Q1!$A$5:$A$76,A206,Data_Q1!$B$5:$B$76,C206,Data_Q1!$C$5:$C$76,D206),P206*L206*INDEX(Reforecast!$D$12:$D$17,MATCH(C206,Reforecast!$A$12:$A$17,0)))</f>
        <v>98464.1408970242</v>
      </c>
      <c r="S206" s="9" t="n">
        <f aca="false">IF(A206&lt;=3,SUMIFS(Data_Q1!$G$5:$G$76,Data_Q1!$A$5:$A$76,A206,Data_Q1!$B$5:$B$76,C206,Data_Q1!$C$5:$C$76,D206),P206*N206)</f>
        <v>2716.24080888425</v>
      </c>
    </row>
    <row r="207" customFormat="false" ht="15" hidden="false" customHeight="false" outlineLevel="0" collapsed="false">
      <c r="A207" s="0" t="n">
        <f aca="false">MOD(ROW()-5,12)+1</f>
        <v>11</v>
      </c>
      <c r="B207" s="0" t="n">
        <f aca="false">INT((ROW()-5)/12)+1</f>
        <v>17</v>
      </c>
      <c r="C207" s="0" t="str">
        <f aca="false">INDEX(Data_Base!$A$5:$A$28,B207)</f>
        <v>Charcuterie</v>
      </c>
      <c r="D207" s="0" t="str">
        <f aca="false">INDEX(Data_Base!$B$5:$B$28,B207)</f>
        <v>Restaurants</v>
      </c>
      <c r="E207" s="26" t="n">
        <f aca="false">INDEX(Data_Base!$B$32:$M$37,MATCH(C207,Data_Base!$A$32:$A$37,0),A207)</f>
        <v>0.102865</v>
      </c>
      <c r="F207" s="25" t="n">
        <f aca="false">INDEX(Data_Base!$C$5:$C$28,B207)*(1+INDEX(Assumptions!$B$19:$B$22,MATCH(D207,Assumptions!$A$19:$A$22,0)))*E207</f>
        <v>1195.3797639</v>
      </c>
      <c r="G207" s="24" t="n">
        <f aca="false">INDEX(Data_Base!$D$5:$D$28,B207)/INDEX(Data_Base!$C$5:$C$28,B207)</f>
        <v>165.815714912666</v>
      </c>
      <c r="H207" s="27" t="n">
        <f aca="false">IF(A207&gt;=Assumptions!$C$37,INDEX(Assumptions!$B$10:$B$15,MATCH(C207,Assumptions!$A$10:$A$15,0)),0)</f>
        <v>0.02</v>
      </c>
      <c r="I207" s="27" t="n">
        <f aca="false">IF(AND(A207&gt;=Assumptions!$C$37,INDEX(Assumptions!$C$19:$C$22,MATCH(D207,Assumptions!$A$19:$A$22,0))=1),INDEX(Assumptions!$D$10:$D$15,MATCH(C207,Assumptions!$A$10:$A$15,0)),0)</f>
        <v>0</v>
      </c>
      <c r="J207" s="9" t="n">
        <f aca="false">F207*G207*(1+H207)</f>
        <v>202177.005146076</v>
      </c>
      <c r="K207" s="9" t="n">
        <f aca="false">J207*(1+I207)</f>
        <v>202177.005146076</v>
      </c>
      <c r="L207" s="24" t="n">
        <f aca="false">INDEX(Data_Base!$E$5:$E$28,B207)/INDEX(Data_Base!$C$5:$C$28,B207)*(1+INDEX(Assumptions!$C$10:$C$15,MATCH(C207,Assumptions!$A$10:$A$15,0)))</f>
        <v>97.9955299569911</v>
      </c>
      <c r="M207" s="9" t="n">
        <f aca="false">F207*L207</f>
        <v>117141.873463243</v>
      </c>
      <c r="N207" s="24" t="n">
        <f aca="false">INDEX(Data_Base!$F$5:$F$28,B207)/INDEX(Data_Base!$C$5:$C$28,B207)*(1+Assumptions!$C$38)</f>
        <v>2.70345229526902</v>
      </c>
      <c r="O207" s="9" t="n">
        <f aca="false">F207*N207</f>
        <v>3231.6521664336</v>
      </c>
      <c r="P207" s="25" t="n">
        <f aca="false">IF(A207&lt;=3,SUMIFS(Data_Q1!$D$5:$D$76,Data_Q1!$A$5:$A$76,A207,Data_Q1!$B$5:$B$76,C207,Data_Q1!$C$5:$C$76,D207),F207*INDEX(Reforecast!$D$6:$D$9,MATCH(D207,Reforecast!$A$6:$A$9,0)))</f>
        <v>1145.22080214574</v>
      </c>
      <c r="Q207" s="9" t="n">
        <f aca="false">IF(A207&lt;=3,SUMIFS(Data_Q1!$E$5:$E$76,Data_Q1!$A$5:$A$76,A207,Data_Q1!$B$5:$B$76,C207,Data_Q1!$C$5:$C$76,D207),P207*G207*(1+H207)*(1+I207))</f>
        <v>193693.518161465</v>
      </c>
      <c r="R207" s="9" t="n">
        <f aca="false">IF(A207&lt;=3,SUMIFS(Data_Q1!$F$5:$F$76,Data_Q1!$A$5:$A$76,A207,Data_Q1!$B$5:$B$76,C207,Data_Q1!$C$5:$C$76,D207),P207*L207*INDEX(Reforecast!$D$12:$D$17,MATCH(C207,Reforecast!$A$12:$A$17,0)))</f>
        <v>112232.274598014</v>
      </c>
      <c r="S207" s="9" t="n">
        <f aca="false">IF(A207&lt;=3,SUMIFS(Data_Q1!$G$5:$G$76,Data_Q1!$A$5:$A$76,A207,Data_Q1!$B$5:$B$76,C207,Data_Q1!$C$5:$C$76,D207),P207*N207)</f>
        <v>3096.04980615072</v>
      </c>
    </row>
    <row r="208" customFormat="false" ht="15" hidden="false" customHeight="false" outlineLevel="0" collapsed="false">
      <c r="A208" s="0" t="n">
        <f aca="false">MOD(ROW()-5,12)+1</f>
        <v>12</v>
      </c>
      <c r="B208" s="0" t="n">
        <f aca="false">INT((ROW()-5)/12)+1</f>
        <v>17</v>
      </c>
      <c r="C208" s="0" t="str">
        <f aca="false">INDEX(Data_Base!$A$5:$A$28,B208)</f>
        <v>Charcuterie</v>
      </c>
      <c r="D208" s="0" t="str">
        <f aca="false">INDEX(Data_Base!$B$5:$B$28,B208)</f>
        <v>Restaurants</v>
      </c>
      <c r="E208" s="26" t="n">
        <f aca="false">INDEX(Data_Base!$B$32:$M$37,MATCH(C208,Data_Base!$A$32:$A$37,0),A208)</f>
        <v>0.115208</v>
      </c>
      <c r="F208" s="25" t="n">
        <f aca="false">INDEX(Data_Base!$C$5:$C$28,B208)*(1+INDEX(Assumptions!$B$19:$B$22,MATCH(D208,Assumptions!$A$19:$A$22,0)))*E208</f>
        <v>1338.81603888</v>
      </c>
      <c r="G208" s="24" t="n">
        <f aca="false">INDEX(Data_Base!$D$5:$D$28,B208)/INDEX(Data_Base!$C$5:$C$28,B208)</f>
        <v>165.815714912666</v>
      </c>
      <c r="H208" s="27" t="n">
        <f aca="false">IF(A208&gt;=Assumptions!$C$37,INDEX(Assumptions!$B$10:$B$15,MATCH(C208,Assumptions!$A$10:$A$15,0)),0)</f>
        <v>0.02</v>
      </c>
      <c r="I208" s="27" t="n">
        <f aca="false">IF(AND(A208&gt;=Assumptions!$C$37,INDEX(Assumptions!$C$19:$C$22,MATCH(D208,Assumptions!$A$19:$A$22,0))=1),INDEX(Assumptions!$D$10:$D$15,MATCH(C208,Assumptions!$A$10:$A$15,0)),0)</f>
        <v>0</v>
      </c>
      <c r="J208" s="9" t="n">
        <f aca="false">F208*G208*(1+H208)</f>
        <v>226436.673395899</v>
      </c>
      <c r="K208" s="9" t="n">
        <f aca="false">J208*(1+I208)</f>
        <v>226436.673395899</v>
      </c>
      <c r="L208" s="24" t="n">
        <f aca="false">INDEX(Data_Base!$E$5:$E$28,B208)/INDEX(Data_Base!$C$5:$C$28,B208)*(1+INDEX(Assumptions!$C$10:$C$15,MATCH(C208,Assumptions!$A$10:$A$15,0)))</f>
        <v>97.9955299569911</v>
      </c>
      <c r="M208" s="9" t="n">
        <f aca="false">F208*L208</f>
        <v>131197.987244965</v>
      </c>
      <c r="N208" s="24" t="n">
        <f aca="false">INDEX(Data_Base!$F$5:$F$28,B208)/INDEX(Data_Base!$C$5:$C$28,B208)*(1+Assumptions!$C$38)</f>
        <v>2.70345229526902</v>
      </c>
      <c r="O208" s="9" t="n">
        <f aca="false">F208*N208</f>
        <v>3619.42529325312</v>
      </c>
      <c r="P208" s="25" t="n">
        <f aca="false">IF(A208&lt;=3,SUMIFS(Data_Q1!$D$5:$D$76,Data_Q1!$A$5:$A$76,A208,Data_Q1!$B$5:$B$76,C208,Data_Q1!$C$5:$C$76,D208),F208*INDEX(Reforecast!$D$6:$D$9,MATCH(D208,Reforecast!$A$6:$A$9,0)))</f>
        <v>1282.63839181068</v>
      </c>
      <c r="Q208" s="9" t="n">
        <f aca="false">IF(A208&lt;=3,SUMIFS(Data_Q1!$E$5:$E$76,Data_Q1!$A$5:$A$76,A208,Data_Q1!$B$5:$B$76,C208,Data_Q1!$C$5:$C$76,D208),P208*G208*(1+H208)*(1+I208))</f>
        <v>216935.233950771</v>
      </c>
      <c r="R208" s="9" t="n">
        <f aca="false">IF(A208&lt;=3,SUMIFS(Data_Q1!$F$5:$F$76,Data_Q1!$A$5:$A$76,A208,Data_Q1!$B$5:$B$76,C208,Data_Q1!$C$5:$C$76,D208),P208*L208*INDEX(Reforecast!$D$12:$D$17,MATCH(C208,Reforecast!$A$12:$A$17,0)))</f>
        <v>125699.274698761</v>
      </c>
      <c r="S208" s="9" t="n">
        <f aca="false">IF(A208&lt;=3,SUMIFS(Data_Q1!$G$5:$G$76,Data_Q1!$A$5:$A$76,A208,Data_Q1!$B$5:$B$76,C208,Data_Q1!$C$5:$C$76,D208),P208*N208)</f>
        <v>3467.55170434077</v>
      </c>
    </row>
    <row r="209" customFormat="false" ht="15" hidden="false" customHeight="false" outlineLevel="0" collapsed="false">
      <c r="A209" s="0" t="n">
        <f aca="false">MOD(ROW()-5,12)+1</f>
        <v>1</v>
      </c>
      <c r="B209" s="0" t="n">
        <f aca="false">INT((ROW()-5)/12)+1</f>
        <v>18</v>
      </c>
      <c r="C209" s="0" t="str">
        <f aca="false">INDEX(Data_Base!$A$5:$A$28,B209)</f>
        <v>Charcuterie</v>
      </c>
      <c r="D209" s="0" t="str">
        <f aca="false">INDEX(Data_Base!$B$5:$B$28,B209)</f>
        <v>Grocery Retail</v>
      </c>
      <c r="E209" s="26" t="n">
        <f aca="false">INDEX(Data_Base!$B$32:$M$37,MATCH(C209,Data_Base!$A$32:$A$37,0),A209)</f>
        <v>0.074415</v>
      </c>
      <c r="F209" s="25" t="n">
        <f aca="false">INDEX(Data_Base!$C$5:$C$28,B209)*(1+INDEX(Assumptions!$B$19:$B$22,MATCH(D209,Assumptions!$A$19:$A$22,0)))*E209</f>
        <v>696.9173112</v>
      </c>
      <c r="G209" s="24" t="n">
        <f aca="false">INDEX(Data_Base!$D$5:$D$28,B209)/INDEX(Data_Base!$C$5:$C$28,B209)</f>
        <v>144.297527932961</v>
      </c>
      <c r="H209" s="27" t="n">
        <f aca="false">IF(A209&gt;=Assumptions!$C$37,INDEX(Assumptions!$B$10:$B$15,MATCH(C209,Assumptions!$A$10:$A$15,0)),0)</f>
        <v>0</v>
      </c>
      <c r="I209" s="27" t="n">
        <f aca="false">IF(AND(A209&gt;=Assumptions!$C$37,INDEX(Assumptions!$C$19:$C$22,MATCH(D209,Assumptions!$A$19:$A$22,0))=1),INDEX(Assumptions!$D$10:$D$15,MATCH(C209,Assumptions!$A$10:$A$15,0)),0)</f>
        <v>0</v>
      </c>
      <c r="J209" s="9" t="n">
        <f aca="false">F209*G209*(1+H209)</f>
        <v>100563.445179846</v>
      </c>
      <c r="K209" s="9" t="n">
        <f aca="false">J209*(1+I209)</f>
        <v>100563.445179846</v>
      </c>
      <c r="L209" s="24" t="n">
        <f aca="false">INDEX(Data_Base!$E$5:$E$28,B209)/INDEX(Data_Base!$C$5:$C$28,B209)*(1+INDEX(Assumptions!$C$10:$C$15,MATCH(C209,Assumptions!$A$10:$A$15,0)))</f>
        <v>98.0115245810056</v>
      </c>
      <c r="M209" s="9" t="n">
        <f aca="false">F209*L209</f>
        <v>68305.9281776071</v>
      </c>
      <c r="N209" s="24" t="n">
        <f aca="false">INDEX(Data_Base!$F$5:$F$28,B209)/INDEX(Data_Base!$C$5:$C$28,B209)*(1+Assumptions!$C$38)</f>
        <v>2.70947476722533</v>
      </c>
      <c r="O209" s="9" t="n">
        <f aca="false">F209*N209</f>
        <v>1888.27986953892</v>
      </c>
      <c r="P209" s="25" t="n">
        <f aca="false">IF(A209&lt;=3,SUMIFS(Data_Q1!$D$5:$D$76,Data_Q1!$A$5:$A$76,A209,Data_Q1!$B$5:$B$76,C209,Data_Q1!$C$5:$C$76,D209),F209*INDEX(Reforecast!$D$6:$D$9,MATCH(D209,Reforecast!$A$6:$A$9,0)))</f>
        <v>717.3</v>
      </c>
      <c r="Q209" s="9" t="n">
        <f aca="false">IF(A209&lt;=3,SUMIFS(Data_Q1!$E$5:$E$76,Data_Q1!$A$5:$A$76,A209,Data_Q1!$B$5:$B$76,C209,Data_Q1!$C$5:$C$76,D209),P209*G209*(1+H209)*(1+I209))</f>
        <v>103703.26</v>
      </c>
      <c r="R209" s="9" t="n">
        <f aca="false">IF(A209&lt;=3,SUMIFS(Data_Q1!$F$5:$F$76,Data_Q1!$A$5:$A$76,A209,Data_Q1!$B$5:$B$76,C209,Data_Q1!$C$5:$C$76,D209),P209*L209*INDEX(Reforecast!$D$12:$D$17,MATCH(C209,Reforecast!$A$12:$A$17,0)))</f>
        <v>70163.8</v>
      </c>
      <c r="S209" s="9" t="n">
        <f aca="false">IF(A209&lt;=3,SUMIFS(Data_Q1!$G$5:$G$76,Data_Q1!$A$5:$A$76,A209,Data_Q1!$B$5:$B$76,C209,Data_Q1!$C$5:$C$76,D209),P209*N209)</f>
        <v>1943.62</v>
      </c>
    </row>
    <row r="210" customFormat="false" ht="15" hidden="false" customHeight="false" outlineLevel="0" collapsed="false">
      <c r="A210" s="0" t="n">
        <f aca="false">MOD(ROW()-5,12)+1</f>
        <v>2</v>
      </c>
      <c r="B210" s="0" t="n">
        <f aca="false">INT((ROW()-5)/12)+1</f>
        <v>18</v>
      </c>
      <c r="C210" s="0" t="str">
        <f aca="false">INDEX(Data_Base!$A$5:$A$28,B210)</f>
        <v>Charcuterie</v>
      </c>
      <c r="D210" s="0" t="str">
        <f aca="false">INDEX(Data_Base!$B$5:$B$28,B210)</f>
        <v>Grocery Retail</v>
      </c>
      <c r="E210" s="26" t="n">
        <f aca="false">INDEX(Data_Base!$B$32:$M$37,MATCH(C210,Data_Base!$A$32:$A$37,0),A210)</f>
        <v>0.07034</v>
      </c>
      <c r="F210" s="25" t="n">
        <f aca="false">INDEX(Data_Base!$C$5:$C$28,B210)*(1+INDEX(Assumptions!$B$19:$B$22,MATCH(D210,Assumptions!$A$19:$A$22,0)))*E210</f>
        <v>658.7537952</v>
      </c>
      <c r="G210" s="24" t="n">
        <f aca="false">INDEX(Data_Base!$D$5:$D$28,B210)/INDEX(Data_Base!$C$5:$C$28,B210)</f>
        <v>144.297527932961</v>
      </c>
      <c r="H210" s="27" t="n">
        <f aca="false">IF(A210&gt;=Assumptions!$C$37,INDEX(Assumptions!$B$10:$B$15,MATCH(C210,Assumptions!$A$10:$A$15,0)),0)</f>
        <v>0.02</v>
      </c>
      <c r="I210" s="27" t="n">
        <f aca="false">IF(AND(A210&gt;=Assumptions!$C$37,INDEX(Assumptions!$C$19:$C$22,MATCH(D210,Assumptions!$A$19:$A$22,0))=1),INDEX(Assumptions!$D$10:$D$15,MATCH(C210,Assumptions!$A$10:$A$15,0)),0)</f>
        <v>0</v>
      </c>
      <c r="J210" s="9" t="n">
        <f aca="false">F210*G210*(1+H210)</f>
        <v>96957.6750470923</v>
      </c>
      <c r="K210" s="9" t="n">
        <f aca="false">J210*(1+I210)</f>
        <v>96957.6750470923</v>
      </c>
      <c r="L210" s="24" t="n">
        <f aca="false">INDEX(Data_Base!$E$5:$E$28,B210)/INDEX(Data_Base!$C$5:$C$28,B210)*(1+INDEX(Assumptions!$C$10:$C$15,MATCH(C210,Assumptions!$A$10:$A$15,0)))</f>
        <v>98.0115245810056</v>
      </c>
      <c r="M210" s="9" t="n">
        <f aca="false">F210*L210</f>
        <v>64565.4637910755</v>
      </c>
      <c r="N210" s="24" t="n">
        <f aca="false">INDEX(Data_Base!$F$5:$F$28,B210)/INDEX(Data_Base!$C$5:$C$28,B210)*(1+Assumptions!$C$38)</f>
        <v>2.70947476722533</v>
      </c>
      <c r="O210" s="9" t="n">
        <f aca="false">F210*N210</f>
        <v>1784.87678590832</v>
      </c>
      <c r="P210" s="25" t="n">
        <f aca="false">IF(A210&lt;=3,SUMIFS(Data_Q1!$D$5:$D$76,Data_Q1!$A$5:$A$76,A210,Data_Q1!$B$5:$B$76,C210,Data_Q1!$C$5:$C$76,D210),F210*INDEX(Reforecast!$D$6:$D$9,MATCH(D210,Reforecast!$A$6:$A$9,0)))</f>
        <v>684.6</v>
      </c>
      <c r="Q210" s="9" t="n">
        <f aca="false">IF(A210&lt;=3,SUMIFS(Data_Q1!$E$5:$E$76,Data_Q1!$A$5:$A$76,A210,Data_Q1!$B$5:$B$76,C210,Data_Q1!$C$5:$C$76,D210),P210*G210*(1+H210)*(1+I210))</f>
        <v>100706.82</v>
      </c>
      <c r="R210" s="9" t="n">
        <f aca="false">IF(A210&lt;=3,SUMIFS(Data_Q1!$F$5:$F$76,Data_Q1!$A$5:$A$76,A210,Data_Q1!$B$5:$B$76,C210,Data_Q1!$C$5:$C$76,D210),P210*L210*INDEX(Reforecast!$D$12:$D$17,MATCH(C210,Reforecast!$A$12:$A$17,0)))</f>
        <v>67167.23</v>
      </c>
      <c r="S210" s="9" t="n">
        <f aca="false">IF(A210&lt;=3,SUMIFS(Data_Q1!$G$5:$G$76,Data_Q1!$A$5:$A$76,A210,Data_Q1!$B$5:$B$76,C210,Data_Q1!$C$5:$C$76,D210),P210*N210)</f>
        <v>1854.82</v>
      </c>
    </row>
    <row r="211" customFormat="false" ht="15" hidden="false" customHeight="false" outlineLevel="0" collapsed="false">
      <c r="A211" s="0" t="n">
        <f aca="false">MOD(ROW()-5,12)+1</f>
        <v>3</v>
      </c>
      <c r="B211" s="0" t="n">
        <f aca="false">INT((ROW()-5)/12)+1</f>
        <v>18</v>
      </c>
      <c r="C211" s="0" t="str">
        <f aca="false">INDEX(Data_Base!$A$5:$A$28,B211)</f>
        <v>Charcuterie</v>
      </c>
      <c r="D211" s="0" t="str">
        <f aca="false">INDEX(Data_Base!$B$5:$B$28,B211)</f>
        <v>Grocery Retail</v>
      </c>
      <c r="E211" s="26" t="n">
        <f aca="false">INDEX(Data_Base!$B$32:$M$37,MATCH(C211,Data_Base!$A$32:$A$37,0),A211)</f>
        <v>0.073631</v>
      </c>
      <c r="F211" s="25" t="n">
        <f aca="false">INDEX(Data_Base!$C$5:$C$28,B211)*(1+INDEX(Assumptions!$B$19:$B$22,MATCH(D211,Assumptions!$A$19:$A$22,0)))*E211</f>
        <v>689.57493168</v>
      </c>
      <c r="G211" s="24" t="n">
        <f aca="false">INDEX(Data_Base!$D$5:$D$28,B211)/INDEX(Data_Base!$C$5:$C$28,B211)</f>
        <v>144.297527932961</v>
      </c>
      <c r="H211" s="27" t="n">
        <f aca="false">IF(A211&gt;=Assumptions!$C$37,INDEX(Assumptions!$B$10:$B$15,MATCH(C211,Assumptions!$A$10:$A$15,0)),0)</f>
        <v>0.02</v>
      </c>
      <c r="I211" s="27" t="n">
        <f aca="false">IF(AND(A211&gt;=Assumptions!$C$37,INDEX(Assumptions!$C$19:$C$22,MATCH(D211,Assumptions!$A$19:$A$22,0))=1),INDEX(Assumptions!$D$10:$D$15,MATCH(C211,Assumptions!$A$10:$A$15,0)),0)</f>
        <v>0</v>
      </c>
      <c r="J211" s="9" t="n">
        <f aca="false">F211*G211*(1+H211)</f>
        <v>101494.037125284</v>
      </c>
      <c r="K211" s="9" t="n">
        <f aca="false">J211*(1+I211)</f>
        <v>101494.037125284</v>
      </c>
      <c r="L211" s="24" t="n">
        <f aca="false">INDEX(Data_Base!$E$5:$E$28,B211)/INDEX(Data_Base!$C$5:$C$28,B211)*(1+INDEX(Assumptions!$C$10:$C$15,MATCH(C211,Assumptions!$A$10:$A$15,0)))</f>
        <v>98.0115245810056</v>
      </c>
      <c r="M211" s="9" t="n">
        <f aca="false">F211*L211</f>
        <v>67586.2903667996</v>
      </c>
      <c r="N211" s="24" t="n">
        <f aca="false">INDEX(Data_Base!$F$5:$F$28,B211)/INDEX(Data_Base!$C$5:$C$28,B211)*(1+Assumptions!$C$38)</f>
        <v>2.70947476722533</v>
      </c>
      <c r="O211" s="9" t="n">
        <f aca="false">F211*N211</f>
        <v>1868.38587749809</v>
      </c>
      <c r="P211" s="25" t="n">
        <f aca="false">IF(A211&lt;=3,SUMIFS(Data_Q1!$D$5:$D$76,Data_Q1!$A$5:$A$76,A211,Data_Q1!$B$5:$B$76,C211,Data_Q1!$C$5:$C$76,D211),F211*INDEX(Reforecast!$D$6:$D$9,MATCH(D211,Reforecast!$A$6:$A$9,0)))</f>
        <v>733.9</v>
      </c>
      <c r="Q211" s="9" t="n">
        <f aca="false">IF(A211&lt;=3,SUMIFS(Data_Q1!$E$5:$E$76,Data_Q1!$A$5:$A$76,A211,Data_Q1!$B$5:$B$76,C211,Data_Q1!$C$5:$C$76,D211),P211*G211*(1+H211)*(1+I211))</f>
        <v>108307.95</v>
      </c>
      <c r="R211" s="9" t="n">
        <f aca="false">IF(A211&lt;=3,SUMIFS(Data_Q1!$F$5:$F$76,Data_Q1!$A$5:$A$76,A211,Data_Q1!$B$5:$B$76,C211,Data_Q1!$C$5:$C$76,D211),P211*L211*INDEX(Reforecast!$D$12:$D$17,MATCH(C211,Reforecast!$A$12:$A$17,0)))</f>
        <v>72077.85</v>
      </c>
      <c r="S211" s="9" t="n">
        <f aca="false">IF(A211&lt;=3,SUMIFS(Data_Q1!$G$5:$G$76,Data_Q1!$A$5:$A$76,A211,Data_Q1!$B$5:$B$76,C211,Data_Q1!$C$5:$C$76,D211),P211*N211)</f>
        <v>1988.38</v>
      </c>
    </row>
    <row r="212" customFormat="false" ht="15" hidden="false" customHeight="false" outlineLevel="0" collapsed="false">
      <c r="A212" s="0" t="n">
        <f aca="false">MOD(ROW()-5,12)+1</f>
        <v>4</v>
      </c>
      <c r="B212" s="0" t="n">
        <f aca="false">INT((ROW()-5)/12)+1</f>
        <v>18</v>
      </c>
      <c r="C212" s="0" t="str">
        <f aca="false">INDEX(Data_Base!$A$5:$A$28,B212)</f>
        <v>Charcuterie</v>
      </c>
      <c r="D212" s="0" t="str">
        <f aca="false">INDEX(Data_Base!$B$5:$B$28,B212)</f>
        <v>Grocery Retail</v>
      </c>
      <c r="E212" s="26" t="n">
        <f aca="false">INDEX(Data_Base!$B$32:$M$37,MATCH(C212,Data_Base!$A$32:$A$37,0),A212)</f>
        <v>0.078373</v>
      </c>
      <c r="F212" s="25" t="n">
        <f aca="false">INDEX(Data_Base!$C$5:$C$28,B212)*(1+INDEX(Assumptions!$B$19:$B$22,MATCH(D212,Assumptions!$A$19:$A$22,0)))*E212</f>
        <v>733.98508944</v>
      </c>
      <c r="G212" s="24" t="n">
        <f aca="false">INDEX(Data_Base!$D$5:$D$28,B212)/INDEX(Data_Base!$C$5:$C$28,B212)</f>
        <v>144.297527932961</v>
      </c>
      <c r="H212" s="27" t="n">
        <f aca="false">IF(A212&gt;=Assumptions!$C$37,INDEX(Assumptions!$B$10:$B$15,MATCH(C212,Assumptions!$A$10:$A$15,0)),0)</f>
        <v>0.02</v>
      </c>
      <c r="I212" s="27" t="n">
        <f aca="false">IF(AND(A212&gt;=Assumptions!$C$37,INDEX(Assumptions!$C$19:$C$22,MATCH(D212,Assumptions!$A$19:$A$22,0))=1),INDEX(Assumptions!$D$10:$D$15,MATCH(C212,Assumptions!$A$10:$A$15,0)),0)</f>
        <v>0</v>
      </c>
      <c r="J212" s="9" t="n">
        <f aca="false">F212*G212*(1+H212)</f>
        <v>108030.478624762</v>
      </c>
      <c r="K212" s="9" t="n">
        <f aca="false">J212*(1+I212)</f>
        <v>108030.478624762</v>
      </c>
      <c r="L212" s="24" t="n">
        <f aca="false">INDEX(Data_Base!$E$5:$E$28,B212)/INDEX(Data_Base!$C$5:$C$28,B212)*(1+INDEX(Assumptions!$C$10:$C$15,MATCH(C212,Assumptions!$A$10:$A$15,0)))</f>
        <v>98.0115245810056</v>
      </c>
      <c r="M212" s="9" t="n">
        <f aca="false">F212*L212</f>
        <v>71938.9976357402</v>
      </c>
      <c r="N212" s="24" t="n">
        <f aca="false">INDEX(Data_Base!$F$5:$F$28,B212)/INDEX(Data_Base!$C$5:$C$28,B212)*(1+Assumptions!$C$38)</f>
        <v>2.70947476722533</v>
      </c>
      <c r="O212" s="9" t="n">
        <f aca="false">F212*N212</f>
        <v>1988.7140793573</v>
      </c>
      <c r="P212" s="25" t="n">
        <f aca="false">IF(A212&lt;=3,SUMIFS(Data_Q1!$D$5:$D$76,Data_Q1!$A$5:$A$76,A212,Data_Q1!$B$5:$B$76,C212,Data_Q1!$C$5:$C$76,D212),F212*INDEX(Reforecast!$D$6:$D$9,MATCH(D212,Reforecast!$A$6:$A$9,0)))</f>
        <v>777.94665247717</v>
      </c>
      <c r="Q212" s="9" t="n">
        <f aca="false">IF(A212&lt;=3,SUMIFS(Data_Q1!$E$5:$E$76,Data_Q1!$A$5:$A$76,A212,Data_Q1!$B$5:$B$76,C212,Data_Q1!$C$5:$C$76,D212),P212*G212*(1+H212)*(1+I212))</f>
        <v>114500.894392501</v>
      </c>
      <c r="R212" s="9" t="n">
        <f aca="false">IF(A212&lt;=3,SUMIFS(Data_Q1!$F$5:$F$76,Data_Q1!$A$5:$A$76,A212,Data_Q1!$B$5:$B$76,C212,Data_Q1!$C$5:$C$76,D212),P212*L212*INDEX(Reforecast!$D$12:$D$17,MATCH(C212,Reforecast!$A$12:$A$17,0)))</f>
        <v>76251.647570515</v>
      </c>
      <c r="S212" s="9" t="n">
        <f aca="false">IF(A212&lt;=3,SUMIFS(Data_Q1!$G$5:$G$76,Data_Q1!$A$5:$A$76,A212,Data_Q1!$B$5:$B$76,C212,Data_Q1!$C$5:$C$76,D212),P212*N212)</f>
        <v>2107.8268251343</v>
      </c>
    </row>
    <row r="213" customFormat="false" ht="15" hidden="false" customHeight="false" outlineLevel="0" collapsed="false">
      <c r="A213" s="0" t="n">
        <f aca="false">MOD(ROW()-5,12)+1</f>
        <v>5</v>
      </c>
      <c r="B213" s="0" t="n">
        <f aca="false">INT((ROW()-5)/12)+1</f>
        <v>18</v>
      </c>
      <c r="C213" s="0" t="str">
        <f aca="false">INDEX(Data_Base!$A$5:$A$28,B213)</f>
        <v>Charcuterie</v>
      </c>
      <c r="D213" s="0" t="str">
        <f aca="false">INDEX(Data_Base!$B$5:$B$28,B213)</f>
        <v>Grocery Retail</v>
      </c>
      <c r="E213" s="26" t="n">
        <f aca="false">INDEX(Data_Base!$B$32:$M$37,MATCH(C213,Data_Base!$A$32:$A$37,0),A213)</f>
        <v>0.07853</v>
      </c>
      <c r="F213" s="25" t="n">
        <f aca="false">INDEX(Data_Base!$C$5:$C$28,B213)*(1+INDEX(Assumptions!$B$19:$B$22,MATCH(D213,Assumptions!$A$19:$A$22,0)))*E213</f>
        <v>735.4554384</v>
      </c>
      <c r="G213" s="24" t="n">
        <f aca="false">INDEX(Data_Base!$D$5:$D$28,B213)/INDEX(Data_Base!$C$5:$C$28,B213)</f>
        <v>144.297527932961</v>
      </c>
      <c r="H213" s="27" t="n">
        <f aca="false">IF(A213&gt;=Assumptions!$C$37,INDEX(Assumptions!$B$10:$B$15,MATCH(C213,Assumptions!$A$10:$A$15,0)),0)</f>
        <v>0.02</v>
      </c>
      <c r="I213" s="27" t="n">
        <f aca="false">IF(AND(A213&gt;=Assumptions!$C$37,INDEX(Assumptions!$C$19:$C$22,MATCH(D213,Assumptions!$A$19:$A$22,0))=1),INDEX(Assumptions!$D$10:$D$15,MATCH(C213,Assumptions!$A$10:$A$15,0)),0)</f>
        <v>0</v>
      </c>
      <c r="J213" s="9" t="n">
        <f aca="false">F213*G213*(1+H213)</f>
        <v>108246.889699291</v>
      </c>
      <c r="K213" s="9" t="n">
        <f aca="false">J213*(1+I213)</f>
        <v>108246.889699291</v>
      </c>
      <c r="L213" s="24" t="n">
        <f aca="false">INDEX(Data_Base!$E$5:$E$28,B213)/INDEX(Data_Base!$C$5:$C$28,B213)*(1+INDEX(Assumptions!$C$10:$C$15,MATCH(C213,Assumptions!$A$10:$A$15,0)))</f>
        <v>98.0115245810056</v>
      </c>
      <c r="M213" s="9" t="n">
        <f aca="false">F213*L213</f>
        <v>72083.1087789759</v>
      </c>
      <c r="N213" s="24" t="n">
        <f aca="false">INDEX(Data_Base!$F$5:$F$28,B213)/INDEX(Data_Base!$C$5:$C$28,B213)*(1+Assumptions!$C$38)</f>
        <v>2.70947476722533</v>
      </c>
      <c r="O213" s="9" t="n">
        <f aca="false">F213*N213</f>
        <v>1992.69795276344</v>
      </c>
      <c r="P213" s="25" t="n">
        <f aca="false">IF(A213&lt;=3,SUMIFS(Data_Q1!$D$5:$D$76,Data_Q1!$A$5:$A$76,A213,Data_Q1!$B$5:$B$76,C213,Data_Q1!$C$5:$C$76,D213),F213*INDEX(Reforecast!$D$6:$D$9,MATCH(D213,Reforecast!$A$6:$A$9,0)))</f>
        <v>779.505067038804</v>
      </c>
      <c r="Q213" s="9" t="n">
        <f aca="false">IF(A213&lt;=3,SUMIFS(Data_Q1!$E$5:$E$76,Data_Q1!$A$5:$A$76,A213,Data_Q1!$B$5:$B$76,C213,Data_Q1!$C$5:$C$76,D213),P213*G213*(1+H213)*(1+I213))</f>
        <v>114730.267268615</v>
      </c>
      <c r="R213" s="9" t="n">
        <f aca="false">IF(A213&lt;=3,SUMIFS(Data_Q1!$F$5:$F$76,Data_Q1!$A$5:$A$76,A213,Data_Q1!$B$5:$B$76,C213,Data_Q1!$C$5:$C$76,D213),P213*L213*INDEX(Reforecast!$D$12:$D$17,MATCH(C213,Reforecast!$A$12:$A$17,0)))</f>
        <v>76404.3979905393</v>
      </c>
      <c r="S213" s="9" t="n">
        <f aca="false">IF(A213&lt;=3,SUMIFS(Data_Q1!$G$5:$G$76,Data_Q1!$A$5:$A$76,A213,Data_Q1!$B$5:$B$76,C213,Data_Q1!$C$5:$C$76,D213),P213*N213)</f>
        <v>2112.04931006593</v>
      </c>
    </row>
    <row r="214" customFormat="false" ht="15" hidden="false" customHeight="false" outlineLevel="0" collapsed="false">
      <c r="A214" s="0" t="n">
        <f aca="false">MOD(ROW()-5,12)+1</f>
        <v>6</v>
      </c>
      <c r="B214" s="0" t="n">
        <f aca="false">INT((ROW()-5)/12)+1</f>
        <v>18</v>
      </c>
      <c r="C214" s="0" t="str">
        <f aca="false">INDEX(Data_Base!$A$5:$A$28,B214)</f>
        <v>Charcuterie</v>
      </c>
      <c r="D214" s="0" t="str">
        <f aca="false">INDEX(Data_Base!$B$5:$B$28,B214)</f>
        <v>Grocery Retail</v>
      </c>
      <c r="E214" s="26" t="n">
        <f aca="false">INDEX(Data_Base!$B$32:$M$37,MATCH(C214,Data_Base!$A$32:$A$37,0),A214)</f>
        <v>0.077668</v>
      </c>
      <c r="F214" s="25" t="n">
        <f aca="false">INDEX(Data_Base!$C$5:$C$28,B214)*(1+INDEX(Assumptions!$B$19:$B$22,MATCH(D214,Assumptions!$A$19:$A$22,0)))*E214</f>
        <v>727.38256704</v>
      </c>
      <c r="G214" s="24" t="n">
        <f aca="false">INDEX(Data_Base!$D$5:$D$28,B214)/INDEX(Data_Base!$C$5:$C$28,B214)</f>
        <v>144.297527932961</v>
      </c>
      <c r="H214" s="27" t="n">
        <f aca="false">IF(A214&gt;=Assumptions!$C$37,INDEX(Assumptions!$B$10:$B$15,MATCH(C214,Assumptions!$A$10:$A$15,0)),0)</f>
        <v>0.02</v>
      </c>
      <c r="I214" s="27" t="n">
        <f aca="false">IF(AND(A214&gt;=Assumptions!$C$37,INDEX(Assumptions!$C$19:$C$22,MATCH(D214,Assumptions!$A$19:$A$22,0))=1),INDEX(Assumptions!$D$10:$D$15,MATCH(C214,Assumptions!$A$10:$A$15,0)),0)</f>
        <v>0</v>
      </c>
      <c r="J214" s="9" t="n">
        <f aca="false">F214*G214*(1+H214)</f>
        <v>107058.696411111</v>
      </c>
      <c r="K214" s="9" t="n">
        <f aca="false">J214*(1+I214)</f>
        <v>107058.696411111</v>
      </c>
      <c r="L214" s="24" t="n">
        <f aca="false">INDEX(Data_Base!$E$5:$E$28,B214)/INDEX(Data_Base!$C$5:$C$28,B214)*(1+INDEX(Assumptions!$C$10:$C$15,MATCH(C214,Assumptions!$A$10:$A$15,0)))</f>
        <v>98.0115245810056</v>
      </c>
      <c r="M214" s="9" t="n">
        <f aca="false">F214*L214</f>
        <v>71291.8743492359</v>
      </c>
      <c r="N214" s="24" t="n">
        <f aca="false">INDEX(Data_Base!$F$5:$F$28,B214)/INDEX(Data_Base!$C$5:$C$28,B214)*(1+Assumptions!$C$38)</f>
        <v>2.70947476722533</v>
      </c>
      <c r="O214" s="9" t="n">
        <f aca="false">F214*N214</f>
        <v>1970.82471151446</v>
      </c>
      <c r="P214" s="25" t="n">
        <f aca="false">IF(A214&lt;=3,SUMIFS(Data_Q1!$D$5:$D$76,Data_Q1!$A$5:$A$76,A214,Data_Q1!$B$5:$B$76,C214,Data_Q1!$C$5:$C$76,D214),F214*INDEX(Reforecast!$D$6:$D$9,MATCH(D214,Reforecast!$A$6:$A$9,0)))</f>
        <v>770.948676260917</v>
      </c>
      <c r="Q214" s="9" t="n">
        <f aca="false">IF(A214&lt;=3,SUMIFS(Data_Q1!$E$5:$E$76,Data_Q1!$A$5:$A$76,A214,Data_Q1!$B$5:$B$76,C214,Data_Q1!$C$5:$C$76,D214),P214*G214*(1+H214)*(1+I214))</f>
        <v>113470.907910592</v>
      </c>
      <c r="R214" s="9" t="n">
        <f aca="false">IF(A214&lt;=3,SUMIFS(Data_Q1!$F$5:$F$76,Data_Q1!$A$5:$A$76,A214,Data_Q1!$B$5:$B$76,C214,Data_Q1!$C$5:$C$76,D214),P214*L214*INDEX(Reforecast!$D$12:$D$17,MATCH(C214,Reforecast!$A$12:$A$17,0)))</f>
        <v>75565.7300793227</v>
      </c>
      <c r="S214" s="9" t="n">
        <f aca="false">IF(A214&lt;=3,SUMIFS(Data_Q1!$G$5:$G$76,Data_Q1!$A$5:$A$76,A214,Data_Q1!$B$5:$B$76,C214,Data_Q1!$C$5:$C$76,D214),P214*N214)</f>
        <v>2088.86598515472</v>
      </c>
    </row>
    <row r="215" customFormat="false" ht="15" hidden="false" customHeight="false" outlineLevel="0" collapsed="false">
      <c r="A215" s="0" t="n">
        <f aca="false">MOD(ROW()-5,12)+1</f>
        <v>7</v>
      </c>
      <c r="B215" s="0" t="n">
        <f aca="false">INT((ROW()-5)/12)+1</f>
        <v>18</v>
      </c>
      <c r="C215" s="0" t="str">
        <f aca="false">INDEX(Data_Base!$A$5:$A$28,B215)</f>
        <v>Charcuterie</v>
      </c>
      <c r="D215" s="0" t="str">
        <f aca="false">INDEX(Data_Base!$B$5:$B$28,B215)</f>
        <v>Grocery Retail</v>
      </c>
      <c r="E215" s="26" t="n">
        <f aca="false">INDEX(Data_Base!$B$32:$M$37,MATCH(C215,Data_Base!$A$32:$A$37,0),A215)</f>
        <v>0.077824</v>
      </c>
      <c r="F215" s="25" t="n">
        <f aca="false">INDEX(Data_Base!$C$5:$C$28,B215)*(1+INDEX(Assumptions!$B$19:$B$22,MATCH(D215,Assumptions!$A$19:$A$22,0)))*E215</f>
        <v>728.84355072</v>
      </c>
      <c r="G215" s="24" t="n">
        <f aca="false">INDEX(Data_Base!$D$5:$D$28,B215)/INDEX(Data_Base!$C$5:$C$28,B215)</f>
        <v>144.297527932961</v>
      </c>
      <c r="H215" s="27" t="n">
        <f aca="false">IF(A215&gt;=Assumptions!$C$37,INDEX(Assumptions!$B$10:$B$15,MATCH(C215,Assumptions!$A$10:$A$15,0)),0)</f>
        <v>0.02</v>
      </c>
      <c r="I215" s="27" t="n">
        <f aca="false">IF(AND(A215&gt;=Assumptions!$C$37,INDEX(Assumptions!$C$19:$C$22,MATCH(D215,Assumptions!$A$19:$A$22,0))=1),INDEX(Assumptions!$D$10:$D$15,MATCH(C215,Assumptions!$A$10:$A$15,0)),0)</f>
        <v>0</v>
      </c>
      <c r="J215" s="9" t="n">
        <f aca="false">F215*G215*(1+H215)</f>
        <v>107273.729071153</v>
      </c>
      <c r="K215" s="9" t="n">
        <f aca="false">J215*(1+I215)</f>
        <v>107273.729071153</v>
      </c>
      <c r="L215" s="24" t="n">
        <f aca="false">INDEX(Data_Base!$E$5:$E$28,B215)/INDEX(Data_Base!$C$5:$C$28,B215)*(1+INDEX(Assumptions!$C$10:$C$15,MATCH(C215,Assumptions!$A$10:$A$15,0)))</f>
        <v>98.0115245810056</v>
      </c>
      <c r="M215" s="9" t="n">
        <f aca="false">F215*L215</f>
        <v>71435.0675871007</v>
      </c>
      <c r="N215" s="24" t="n">
        <f aca="false">INDEX(Data_Base!$F$5:$F$28,B215)/INDEX(Data_Base!$C$5:$C$28,B215)*(1+Assumptions!$C$38)</f>
        <v>2.70947476722533</v>
      </c>
      <c r="O215" s="9" t="n">
        <f aca="false">F215*N215</f>
        <v>1974.78320993075</v>
      </c>
      <c r="P215" s="25" t="n">
        <f aca="false">IF(A215&lt;=3,SUMIFS(Data_Q1!$D$5:$D$76,Data_Q1!$A$5:$A$76,A215,Data_Q1!$B$5:$B$76,C215,Data_Q1!$C$5:$C$76,D215),F215*INDEX(Reforecast!$D$6:$D$9,MATCH(D215,Reforecast!$A$6:$A$9,0)))</f>
        <v>772.497164615152</v>
      </c>
      <c r="Q215" s="9" t="n">
        <f aca="false">IF(A215&lt;=3,SUMIFS(Data_Q1!$E$5:$E$76,Data_Q1!$A$5:$A$76,A215,Data_Q1!$B$5:$B$76,C215,Data_Q1!$C$5:$C$76,D215),P215*G215*(1+H215)*(1+I215))</f>
        <v>113698.819812972</v>
      </c>
      <c r="R215" s="9" t="n">
        <f aca="false">IF(A215&lt;=3,SUMIFS(Data_Q1!$F$5:$F$76,Data_Q1!$A$5:$A$76,A215,Data_Q1!$B$5:$B$76,C215,Data_Q1!$C$5:$C$76,D215),P215*L215*INDEX(Reforecast!$D$12:$D$17,MATCH(C215,Reforecast!$A$12:$A$17,0)))</f>
        <v>75717.5075667354</v>
      </c>
      <c r="S215" s="9" t="n">
        <f aca="false">IF(A215&lt;=3,SUMIFS(Data_Q1!$G$5:$G$76,Data_Q1!$A$5:$A$76,A215,Data_Q1!$B$5:$B$76,C215,Data_Q1!$C$5:$C$76,D215),P215*N215)</f>
        <v>2093.06157527786</v>
      </c>
    </row>
    <row r="216" customFormat="false" ht="15" hidden="false" customHeight="false" outlineLevel="0" collapsed="false">
      <c r="A216" s="0" t="n">
        <f aca="false">MOD(ROW()-5,12)+1</f>
        <v>8</v>
      </c>
      <c r="B216" s="0" t="n">
        <f aca="false">INT((ROW()-5)/12)+1</f>
        <v>18</v>
      </c>
      <c r="C216" s="0" t="str">
        <f aca="false">INDEX(Data_Base!$A$5:$A$28,B216)</f>
        <v>Charcuterie</v>
      </c>
      <c r="D216" s="0" t="str">
        <f aca="false">INDEX(Data_Base!$B$5:$B$28,B216)</f>
        <v>Grocery Retail</v>
      </c>
      <c r="E216" s="26" t="n">
        <f aca="false">INDEX(Data_Base!$B$32:$M$37,MATCH(C216,Data_Base!$A$32:$A$37,0),A216)</f>
        <v>0.078608</v>
      </c>
      <c r="F216" s="25" t="n">
        <f aca="false">INDEX(Data_Base!$C$5:$C$28,B216)*(1+INDEX(Assumptions!$B$19:$B$22,MATCH(D216,Assumptions!$A$19:$A$22,0)))*E216</f>
        <v>736.18593024</v>
      </c>
      <c r="G216" s="24" t="n">
        <f aca="false">INDEX(Data_Base!$D$5:$D$28,B216)/INDEX(Data_Base!$C$5:$C$28,B216)</f>
        <v>144.297527932961</v>
      </c>
      <c r="H216" s="27" t="n">
        <f aca="false">IF(A216&gt;=Assumptions!$C$37,INDEX(Assumptions!$B$10:$B$15,MATCH(C216,Assumptions!$A$10:$A$15,0)),0)</f>
        <v>0.02</v>
      </c>
      <c r="I216" s="27" t="n">
        <f aca="false">IF(AND(A216&gt;=Assumptions!$C$37,INDEX(Assumptions!$C$19:$C$22,MATCH(D216,Assumptions!$A$19:$A$22,0))=1),INDEX(Assumptions!$D$10:$D$15,MATCH(C216,Assumptions!$A$10:$A$15,0)),0)</f>
        <v>0</v>
      </c>
      <c r="J216" s="9" t="n">
        <f aca="false">F216*G216*(1+H216)</f>
        <v>108354.406029312</v>
      </c>
      <c r="K216" s="9" t="n">
        <f aca="false">J216*(1+I216)</f>
        <v>108354.406029312</v>
      </c>
      <c r="L216" s="24" t="n">
        <f aca="false">INDEX(Data_Base!$E$5:$E$28,B216)/INDEX(Data_Base!$C$5:$C$28,B216)*(1+INDEX(Assumptions!$C$10:$C$15,MATCH(C216,Assumptions!$A$10:$A$15,0)))</f>
        <v>98.0115245810056</v>
      </c>
      <c r="M216" s="9" t="n">
        <f aca="false">F216*L216</f>
        <v>72154.7053979082</v>
      </c>
      <c r="N216" s="24" t="n">
        <f aca="false">INDEX(Data_Base!$F$5:$F$28,B216)/INDEX(Data_Base!$C$5:$C$28,B216)*(1+Assumptions!$C$38)</f>
        <v>2.70947476722533</v>
      </c>
      <c r="O216" s="9" t="n">
        <f aca="false">F216*N216</f>
        <v>1994.67720197158</v>
      </c>
      <c r="P216" s="25" t="n">
        <f aca="false">IF(A216&lt;=3,SUMIFS(Data_Q1!$D$5:$D$76,Data_Q1!$A$5:$A$76,A216,Data_Q1!$B$5:$B$76,C216,Data_Q1!$C$5:$C$76,D216),F216*INDEX(Reforecast!$D$6:$D$9,MATCH(D216,Reforecast!$A$6:$A$9,0)))</f>
        <v>780.279311215921</v>
      </c>
      <c r="Q216" s="9" t="n">
        <f aca="false">IF(A216&lt;=3,SUMIFS(Data_Q1!$E$5:$E$76,Data_Q1!$A$5:$A$76,A216,Data_Q1!$B$5:$B$76,C216,Data_Q1!$C$5:$C$76,D216),P216*G216*(1+H216)*(1+I216))</f>
        <v>114844.223219805</v>
      </c>
      <c r="R216" s="9" t="n">
        <f aca="false">IF(A216&lt;=3,SUMIFS(Data_Q1!$F$5:$F$76,Data_Q1!$A$5:$A$76,A216,Data_Q1!$B$5:$B$76,C216,Data_Q1!$C$5:$C$76,D216),P216*L216*INDEX(Reforecast!$D$12:$D$17,MATCH(C216,Reforecast!$A$12:$A$17,0)))</f>
        <v>76480.2867342457</v>
      </c>
      <c r="S216" s="9" t="n">
        <f aca="false">IF(A216&lt;=3,SUMIFS(Data_Q1!$G$5:$G$76,Data_Q1!$A$5:$A$76,A216,Data_Q1!$B$5:$B$76,C216,Data_Q1!$C$5:$C$76,D216),P216*N216)</f>
        <v>2114.1471051275</v>
      </c>
    </row>
    <row r="217" customFormat="false" ht="15" hidden="false" customHeight="false" outlineLevel="0" collapsed="false">
      <c r="A217" s="0" t="n">
        <f aca="false">MOD(ROW()-5,12)+1</f>
        <v>9</v>
      </c>
      <c r="B217" s="0" t="n">
        <f aca="false">INT((ROW()-5)/12)+1</f>
        <v>18</v>
      </c>
      <c r="C217" s="0" t="str">
        <f aca="false">INDEX(Data_Base!$A$5:$A$28,B217)</f>
        <v>Charcuterie</v>
      </c>
      <c r="D217" s="0" t="str">
        <f aca="false">INDEX(Data_Base!$B$5:$B$28,B217)</f>
        <v>Grocery Retail</v>
      </c>
      <c r="E217" s="26" t="n">
        <f aca="false">INDEX(Data_Base!$B$32:$M$37,MATCH(C217,Data_Base!$A$32:$A$37,0),A217)</f>
        <v>0.082292</v>
      </c>
      <c r="F217" s="25" t="n">
        <f aca="false">INDEX(Data_Base!$C$5:$C$28,B217)*(1+INDEX(Assumptions!$B$19:$B$22,MATCH(D217,Assumptions!$A$19:$A$22,0)))*E217</f>
        <v>770.68762176</v>
      </c>
      <c r="G217" s="24" t="n">
        <f aca="false">INDEX(Data_Base!$D$5:$D$28,B217)/INDEX(Data_Base!$C$5:$C$28,B217)</f>
        <v>144.297527932961</v>
      </c>
      <c r="H217" s="27" t="n">
        <f aca="false">IF(A217&gt;=Assumptions!$C$37,INDEX(Assumptions!$B$10:$B$15,MATCH(C217,Assumptions!$A$10:$A$15,0)),0)</f>
        <v>0.02</v>
      </c>
      <c r="I217" s="27" t="n">
        <f aca="false">IF(AND(A217&gt;=Assumptions!$C$37,INDEX(Assumptions!$C$19:$C$22,MATCH(D217,Assumptions!$A$19:$A$22,0))=1),INDEX(Assumptions!$D$10:$D$15,MATCH(C217,Assumptions!$A$10:$A$15,0)),0)</f>
        <v>0</v>
      </c>
      <c r="J217" s="9" t="n">
        <f aca="false">F217*G217*(1+H217)</f>
        <v>113432.485001071</v>
      </c>
      <c r="K217" s="9" t="n">
        <f aca="false">J217*(1+I217)</f>
        <v>113432.485001071</v>
      </c>
      <c r="L217" s="24" t="n">
        <f aca="false">INDEX(Data_Base!$E$5:$E$28,B217)/INDEX(Data_Base!$C$5:$C$28,B217)*(1+INDEX(Assumptions!$C$10:$C$15,MATCH(C217,Assumptions!$A$10:$A$15,0)))</f>
        <v>98.0115245810056</v>
      </c>
      <c r="M217" s="9" t="n">
        <f aca="false">F217*L217</f>
        <v>75536.268784407</v>
      </c>
      <c r="N217" s="24" t="n">
        <f aca="false">INDEX(Data_Base!$F$5:$F$28,B217)/INDEX(Data_Base!$C$5:$C$28,B217)*(1+Assumptions!$C$38)</f>
        <v>2.70947476722533</v>
      </c>
      <c r="O217" s="9" t="n">
        <f aca="false">F217*N217</f>
        <v>2088.15866457162</v>
      </c>
      <c r="P217" s="25" t="n">
        <f aca="false">IF(A217&lt;=3,SUMIFS(Data_Q1!$D$5:$D$76,Data_Q1!$A$5:$A$76,A217,Data_Q1!$B$5:$B$76,C217,Data_Q1!$C$5:$C$76,D217),F217*INDEX(Reforecast!$D$6:$D$9,MATCH(D217,Reforecast!$A$6:$A$9,0)))</f>
        <v>816.847459273619</v>
      </c>
      <c r="Q217" s="9" t="n">
        <f aca="false">IF(A217&lt;=3,SUMIFS(Data_Q1!$E$5:$E$76,Data_Q1!$A$5:$A$76,A217,Data_Q1!$B$5:$B$76,C217,Data_Q1!$C$5:$C$76,D217),P217*G217*(1+H217)*(1+I217))</f>
        <v>120226.450452933</v>
      </c>
      <c r="R217" s="9" t="n">
        <f aca="false">IF(A217&lt;=3,SUMIFS(Data_Q1!$F$5:$F$76,Data_Q1!$A$5:$A$76,A217,Data_Q1!$B$5:$B$76,C217,Data_Q1!$C$5:$C$76,D217),P217*L217*INDEX(Reforecast!$D$12:$D$17,MATCH(C217,Reforecast!$A$12:$A$17,0)))</f>
        <v>80064.5704754548</v>
      </c>
      <c r="S217" s="9" t="n">
        <f aca="false">IF(A217&lt;=3,SUMIFS(Data_Q1!$G$5:$G$76,Data_Q1!$A$5:$A$76,A217,Data_Q1!$B$5:$B$76,C217,Data_Q1!$C$5:$C$76,D217),P217*N217)</f>
        <v>2213.22757957399</v>
      </c>
    </row>
    <row r="218" customFormat="false" ht="15" hidden="false" customHeight="false" outlineLevel="0" collapsed="false">
      <c r="A218" s="0" t="n">
        <f aca="false">MOD(ROW()-5,12)+1</f>
        <v>10</v>
      </c>
      <c r="B218" s="0" t="n">
        <f aca="false">INT((ROW()-5)/12)+1</f>
        <v>18</v>
      </c>
      <c r="C218" s="0" t="str">
        <f aca="false">INDEX(Data_Base!$A$5:$A$28,B218)</f>
        <v>Charcuterie</v>
      </c>
      <c r="D218" s="0" t="str">
        <f aca="false">INDEX(Data_Base!$B$5:$B$28,B218)</f>
        <v>Grocery Retail</v>
      </c>
      <c r="E218" s="26" t="n">
        <f aca="false">INDEX(Data_Base!$B$32:$M$37,MATCH(C218,Data_Base!$A$32:$A$37,0),A218)</f>
        <v>0.090246</v>
      </c>
      <c r="F218" s="25" t="n">
        <f aca="false">INDEX(Data_Base!$C$5:$C$28,B218)*(1+INDEX(Assumptions!$B$19:$B$22,MATCH(D218,Assumptions!$A$19:$A$22,0)))*E218</f>
        <v>845.17905888</v>
      </c>
      <c r="G218" s="24" t="n">
        <f aca="false">INDEX(Data_Base!$D$5:$D$28,B218)/INDEX(Data_Base!$C$5:$C$28,B218)</f>
        <v>144.297527932961</v>
      </c>
      <c r="H218" s="27" t="n">
        <f aca="false">IF(A218&gt;=Assumptions!$C$37,INDEX(Assumptions!$B$10:$B$15,MATCH(C218,Assumptions!$A$10:$A$15,0)),0)</f>
        <v>0.02</v>
      </c>
      <c r="I218" s="27" t="n">
        <f aca="false">IF(AND(A218&gt;=Assumptions!$C$37,INDEX(Assumptions!$C$19:$C$22,MATCH(D218,Assumptions!$A$19:$A$22,0))=1),INDEX(Assumptions!$D$10:$D$15,MATCH(C218,Assumptions!$A$10:$A$15,0)),0)</f>
        <v>0</v>
      </c>
      <c r="J218" s="9" t="n">
        <f aca="false">F218*G218*(1+H218)</f>
        <v>124396.393834232</v>
      </c>
      <c r="K218" s="9" t="n">
        <f aca="false">J218*(1+I218)</f>
        <v>124396.393834232</v>
      </c>
      <c r="L218" s="24" t="n">
        <f aca="false">INDEX(Data_Base!$E$5:$E$28,B218)/INDEX(Data_Base!$C$5:$C$28,B218)*(1+INDEX(Assumptions!$C$10:$C$15,MATCH(C218,Assumptions!$A$10:$A$15,0)))</f>
        <v>98.0115245810056</v>
      </c>
      <c r="M218" s="9" t="n">
        <f aca="false">F218*L218</f>
        <v>82837.2881047683</v>
      </c>
      <c r="N218" s="24" t="n">
        <f aca="false">INDEX(Data_Base!$F$5:$F$28,B218)/INDEX(Data_Base!$C$5:$C$28,B218)*(1+Assumptions!$C$38)</f>
        <v>2.70947476722533</v>
      </c>
      <c r="O218" s="9" t="n">
        <f aca="false">F218*N218</f>
        <v>2289.99133382261</v>
      </c>
      <c r="P218" s="25" t="n">
        <f aca="false">IF(A218&lt;=3,SUMIFS(Data_Q1!$D$5:$D$76,Data_Q1!$A$5:$A$76,A218,Data_Q1!$B$5:$B$76,C218,Data_Q1!$C$5:$C$76,D218),F218*INDEX(Reforecast!$D$6:$D$9,MATCH(D218,Reforecast!$A$6:$A$9,0)))</f>
        <v>895.800512924792</v>
      </c>
      <c r="Q218" s="9" t="n">
        <f aca="false">IF(A218&lt;=3,SUMIFS(Data_Q1!$E$5:$E$76,Data_Q1!$A$5:$A$76,A218,Data_Q1!$B$5:$B$76,C218,Data_Q1!$C$5:$C$76,D218),P218*G218*(1+H218)*(1+I218))</f>
        <v>131847.035526848</v>
      </c>
      <c r="R218" s="9" t="n">
        <f aca="false">IF(A218&lt;=3,SUMIFS(Data_Q1!$F$5:$F$76,Data_Q1!$A$5:$A$76,A218,Data_Q1!$B$5:$B$76,C218,Data_Q1!$C$5:$C$76,D218),P218*L218*INDEX(Reforecast!$D$12:$D$17,MATCH(C218,Reforecast!$A$12:$A$17,0)))</f>
        <v>87803.2764682824</v>
      </c>
      <c r="S218" s="9" t="n">
        <f aca="false">IF(A218&lt;=3,SUMIFS(Data_Q1!$G$5:$G$76,Data_Q1!$A$5:$A$76,A218,Data_Q1!$B$5:$B$76,C218,Data_Q1!$C$5:$C$76,D218),P218*N218)</f>
        <v>2427.14888623723</v>
      </c>
    </row>
    <row r="219" customFormat="false" ht="15" hidden="false" customHeight="false" outlineLevel="0" collapsed="false">
      <c r="A219" s="0" t="n">
        <f aca="false">MOD(ROW()-5,12)+1</f>
        <v>11</v>
      </c>
      <c r="B219" s="0" t="n">
        <f aca="false">INT((ROW()-5)/12)+1</f>
        <v>18</v>
      </c>
      <c r="C219" s="0" t="str">
        <f aca="false">INDEX(Data_Base!$A$5:$A$28,B219)</f>
        <v>Charcuterie</v>
      </c>
      <c r="D219" s="0" t="str">
        <f aca="false">INDEX(Data_Base!$B$5:$B$28,B219)</f>
        <v>Grocery Retail</v>
      </c>
      <c r="E219" s="26" t="n">
        <f aca="false">INDEX(Data_Base!$B$32:$M$37,MATCH(C219,Data_Base!$A$32:$A$37,0),A219)</f>
        <v>0.102865</v>
      </c>
      <c r="F219" s="25" t="n">
        <f aca="false">INDEX(Data_Base!$C$5:$C$28,B219)*(1+INDEX(Assumptions!$B$19:$B$22,MATCH(D219,Assumptions!$A$19:$A$22,0)))*E219</f>
        <v>963.3595272</v>
      </c>
      <c r="G219" s="24" t="n">
        <f aca="false">INDEX(Data_Base!$D$5:$D$28,B219)/INDEX(Data_Base!$C$5:$C$28,B219)</f>
        <v>144.297527932961</v>
      </c>
      <c r="H219" s="27" t="n">
        <f aca="false">IF(A219&gt;=Assumptions!$C$37,INDEX(Assumptions!$B$10:$B$15,MATCH(C219,Assumptions!$A$10:$A$15,0)),0)</f>
        <v>0.02</v>
      </c>
      <c r="I219" s="27" t="n">
        <f aca="false">IF(AND(A219&gt;=Assumptions!$C$37,INDEX(Assumptions!$C$19:$C$22,MATCH(D219,Assumptions!$A$19:$A$22,0))=1),INDEX(Assumptions!$D$10:$D$15,MATCH(C219,Assumptions!$A$10:$A$15,0)),0)</f>
        <v>0</v>
      </c>
      <c r="J219" s="9" t="n">
        <f aca="false">F219*G219*(1+H219)</f>
        <v>141790.606251339</v>
      </c>
      <c r="K219" s="9" t="n">
        <f aca="false">J219*(1+I219)</f>
        <v>141790.606251339</v>
      </c>
      <c r="L219" s="24" t="n">
        <f aca="false">INDEX(Data_Base!$E$5:$E$28,B219)/INDEX(Data_Base!$C$5:$C$28,B219)*(1+INDEX(Assumptions!$C$10:$C$15,MATCH(C219,Assumptions!$A$10:$A$15,0)))</f>
        <v>98.0115245810056</v>
      </c>
      <c r="M219" s="9" t="n">
        <f aca="false">F219*L219</f>
        <v>94420.3359805087</v>
      </c>
      <c r="N219" s="24" t="n">
        <f aca="false">INDEX(Data_Base!$F$5:$F$28,B219)/INDEX(Data_Base!$C$5:$C$28,B219)*(1+Assumptions!$C$38)</f>
        <v>2.70947476722533</v>
      </c>
      <c r="O219" s="9" t="n">
        <f aca="false">F219*N219</f>
        <v>2610.19833071452</v>
      </c>
      <c r="P219" s="25" t="n">
        <f aca="false">IF(A219&lt;=3,SUMIFS(Data_Q1!$D$5:$D$76,Data_Q1!$A$5:$A$76,A219,Data_Q1!$B$5:$B$76,C219,Data_Q1!$C$5:$C$76,D219),F219*INDEX(Reforecast!$D$6:$D$9,MATCH(D219,Reforecast!$A$6:$A$9,0)))</f>
        <v>1021.05932409202</v>
      </c>
      <c r="Q219" s="9" t="n">
        <f aca="false">IF(A219&lt;=3,SUMIFS(Data_Q1!$E$5:$E$76,Data_Q1!$A$5:$A$76,A219,Data_Q1!$B$5:$B$76,C219,Data_Q1!$C$5:$C$76,D219),P219*G219*(1+H219)*(1+I219))</f>
        <v>150283.063066166</v>
      </c>
      <c r="R219" s="9" t="n">
        <f aca="false">IF(A219&lt;=3,SUMIFS(Data_Q1!$F$5:$F$76,Data_Q1!$A$5:$A$76,A219,Data_Q1!$B$5:$B$76,C219,Data_Q1!$C$5:$C$76,D219),P219*L219*INDEX(Reforecast!$D$12:$D$17,MATCH(C219,Reforecast!$A$12:$A$17,0)))</f>
        <v>100080.713094318</v>
      </c>
      <c r="S219" s="9" t="n">
        <f aca="false">IF(A219&lt;=3,SUMIFS(Data_Q1!$G$5:$G$76,Data_Q1!$A$5:$A$76,A219,Data_Q1!$B$5:$B$76,C219,Data_Q1!$C$5:$C$76,D219),P219*N219)</f>
        <v>2766.53447446748</v>
      </c>
    </row>
    <row r="220" customFormat="false" ht="15" hidden="false" customHeight="false" outlineLevel="0" collapsed="false">
      <c r="A220" s="0" t="n">
        <f aca="false">MOD(ROW()-5,12)+1</f>
        <v>12</v>
      </c>
      <c r="B220" s="0" t="n">
        <f aca="false">INT((ROW()-5)/12)+1</f>
        <v>18</v>
      </c>
      <c r="C220" s="0" t="str">
        <f aca="false">INDEX(Data_Base!$A$5:$A$28,B220)</f>
        <v>Charcuterie</v>
      </c>
      <c r="D220" s="0" t="str">
        <f aca="false">INDEX(Data_Base!$B$5:$B$28,B220)</f>
        <v>Grocery Retail</v>
      </c>
      <c r="E220" s="26" t="n">
        <f aca="false">INDEX(Data_Base!$B$32:$M$37,MATCH(C220,Data_Base!$A$32:$A$37,0),A220)</f>
        <v>0.115208</v>
      </c>
      <c r="F220" s="25" t="n">
        <f aca="false">INDEX(Data_Base!$C$5:$C$28,B220)*(1+INDEX(Assumptions!$B$19:$B$22,MATCH(D220,Assumptions!$A$19:$A$22,0)))*E220</f>
        <v>1078.95517824</v>
      </c>
      <c r="G220" s="24" t="n">
        <f aca="false">INDEX(Data_Base!$D$5:$D$28,B220)/INDEX(Data_Base!$C$5:$C$28,B220)</f>
        <v>144.297527932961</v>
      </c>
      <c r="H220" s="27" t="n">
        <f aca="false">IF(A220&gt;=Assumptions!$C$37,INDEX(Assumptions!$B$10:$B$15,MATCH(C220,Assumptions!$A$10:$A$15,0)),0)</f>
        <v>0.02</v>
      </c>
      <c r="I220" s="27" t="n">
        <f aca="false">IF(AND(A220&gt;=Assumptions!$C$37,INDEX(Assumptions!$C$19:$C$22,MATCH(D220,Assumptions!$A$19:$A$22,0))=1),INDEX(Assumptions!$D$10:$D$15,MATCH(C220,Assumptions!$A$10:$A$15,0)),0)</f>
        <v>0</v>
      </c>
      <c r="J220" s="9" t="n">
        <f aca="false">F220*G220*(1+H220)</f>
        <v>158804.376269909</v>
      </c>
      <c r="K220" s="9" t="n">
        <f aca="false">J220*(1+I220)</f>
        <v>158804.376269909</v>
      </c>
      <c r="L220" s="24" t="n">
        <f aca="false">INDEX(Data_Base!$E$5:$E$28,B220)/INDEX(Data_Base!$C$5:$C$28,B220)*(1+INDEX(Assumptions!$C$10:$C$15,MATCH(C220,Assumptions!$A$10:$A$15,0)))</f>
        <v>98.0115245810056</v>
      </c>
      <c r="M220" s="9" t="n">
        <f aca="false">F220*L220</f>
        <v>105750.041973873</v>
      </c>
      <c r="N220" s="24" t="n">
        <f aca="false">INDEX(Data_Base!$F$5:$F$28,B220)/INDEX(Data_Base!$C$5:$C$28,B220)*(1+Assumptions!$C$38)</f>
        <v>2.70947476722533</v>
      </c>
      <c r="O220" s="9" t="n">
        <f aca="false">F220*N220</f>
        <v>2923.40183040838</v>
      </c>
      <c r="P220" s="25" t="n">
        <f aca="false">IF(A220&lt;=3,SUMIFS(Data_Q1!$D$5:$D$76,Data_Q1!$A$5:$A$76,A220,Data_Q1!$B$5:$B$76,C220,Data_Q1!$C$5:$C$76,D220),F220*INDEX(Reforecast!$D$6:$D$9,MATCH(D220,Reforecast!$A$6:$A$9,0)))</f>
        <v>1143.57850201715</v>
      </c>
      <c r="Q220" s="9" t="n">
        <f aca="false">IF(A220&lt;=3,SUMIFS(Data_Q1!$E$5:$E$76,Data_Q1!$A$5:$A$76,A220,Data_Q1!$B$5:$B$76,C220,Data_Q1!$C$5:$C$76,D220),P220*G220*(1+H220)*(1+I220))</f>
        <v>168315.86185512</v>
      </c>
      <c r="R220" s="9" t="n">
        <f aca="false">IF(A220&lt;=3,SUMIFS(Data_Q1!$F$5:$F$76,Data_Q1!$A$5:$A$76,A220,Data_Q1!$B$5:$B$76,C220,Data_Q1!$C$5:$C$76,D220),P220*L220*INDEX(Reforecast!$D$12:$D$17,MATCH(C220,Reforecast!$A$12:$A$17,0)))</f>
        <v>112089.620319547</v>
      </c>
      <c r="S220" s="9" t="n">
        <f aca="false">IF(A220&lt;=3,SUMIFS(Data_Q1!$G$5:$G$76,Data_Q1!$A$5:$A$76,A220,Data_Q1!$B$5:$B$76,C220,Data_Q1!$C$5:$C$76,D220),P220*N220)</f>
        <v>3098.4970955568</v>
      </c>
    </row>
    <row r="221" customFormat="false" ht="15" hidden="false" customHeight="false" outlineLevel="0" collapsed="false">
      <c r="A221" s="0" t="n">
        <f aca="false">MOD(ROW()-5,12)+1</f>
        <v>1</v>
      </c>
      <c r="B221" s="0" t="n">
        <f aca="false">INT((ROW()-5)/12)+1</f>
        <v>19</v>
      </c>
      <c r="C221" s="0" t="str">
        <f aca="false">INDEX(Data_Base!$A$5:$A$28,B221)</f>
        <v>Charcuterie</v>
      </c>
      <c r="D221" s="0" t="str">
        <f aca="false">INDEX(Data_Base!$B$5:$B$28,B221)</f>
        <v>Hotels &amp; Institutions</v>
      </c>
      <c r="E221" s="26" t="n">
        <f aca="false">INDEX(Data_Base!$B$32:$M$37,MATCH(C221,Data_Base!$A$32:$A$37,0),A221)</f>
        <v>0.074415</v>
      </c>
      <c r="F221" s="25" t="n">
        <f aca="false">INDEX(Data_Base!$C$5:$C$28,B221)*(1+INDEX(Assumptions!$B$19:$B$22,MATCH(D221,Assumptions!$A$19:$A$22,0)))*E221</f>
        <v>352.3460952</v>
      </c>
      <c r="G221" s="24" t="n">
        <f aca="false">INDEX(Data_Base!$D$5:$D$28,B221)/INDEX(Data_Base!$C$5:$C$28,B221)</f>
        <v>157.104598976109</v>
      </c>
      <c r="H221" s="27" t="n">
        <f aca="false">IF(A221&gt;=Assumptions!$C$37,INDEX(Assumptions!$B$10:$B$15,MATCH(C221,Assumptions!$A$10:$A$15,0)),0)</f>
        <v>0</v>
      </c>
      <c r="I221" s="27" t="n">
        <f aca="false">IF(AND(A221&gt;=Assumptions!$C$37,INDEX(Assumptions!$C$19:$C$22,MATCH(D221,Assumptions!$A$19:$A$22,0))=1),INDEX(Assumptions!$D$10:$D$15,MATCH(C221,Assumptions!$A$10:$A$15,0)),0)</f>
        <v>0</v>
      </c>
      <c r="J221" s="9" t="n">
        <f aca="false">F221*G221*(1+H221)</f>
        <v>55355.191987194</v>
      </c>
      <c r="K221" s="9" t="n">
        <f aca="false">J221*(1+I221)</f>
        <v>55355.191987194</v>
      </c>
      <c r="L221" s="24" t="n">
        <f aca="false">INDEX(Data_Base!$E$5:$E$28,B221)/INDEX(Data_Base!$C$5:$C$28,B221)*(1+INDEX(Assumptions!$C$10:$C$15,MATCH(C221,Assumptions!$A$10:$A$15,0)))</f>
        <v>97.8494463737201</v>
      </c>
      <c r="M221" s="9" t="n">
        <f aca="false">F221*L221</f>
        <v>34476.8703472621</v>
      </c>
      <c r="N221" s="24" t="n">
        <f aca="false">INDEX(Data_Base!$F$5:$F$28,B221)/INDEX(Data_Base!$C$5:$C$28,B221)*(1+Assumptions!$C$38)</f>
        <v>2.70804419795222</v>
      </c>
      <c r="O221" s="9" t="n">
        <f aca="false">F221*N221</f>
        <v>954.16879877748</v>
      </c>
      <c r="P221" s="25" t="n">
        <f aca="false">IF(A221&lt;=3,SUMIFS(Data_Q1!$D$5:$D$76,Data_Q1!$A$5:$A$76,A221,Data_Q1!$B$5:$B$76,C221,Data_Q1!$C$5:$C$76,D221),F221*INDEX(Reforecast!$D$6:$D$9,MATCH(D221,Reforecast!$A$6:$A$9,0)))</f>
        <v>353.3</v>
      </c>
      <c r="Q221" s="9" t="n">
        <f aca="false">IF(A221&lt;=3,SUMIFS(Data_Q1!$E$5:$E$76,Data_Q1!$A$5:$A$76,A221,Data_Q1!$B$5:$B$76,C221,Data_Q1!$C$5:$C$76,D221),P221*G221*(1+H221)*(1+I221))</f>
        <v>55585.57</v>
      </c>
      <c r="R221" s="9" t="n">
        <f aca="false">IF(A221&lt;=3,SUMIFS(Data_Q1!$F$5:$F$76,Data_Q1!$A$5:$A$76,A221,Data_Q1!$B$5:$B$76,C221,Data_Q1!$C$5:$C$76,D221),P221*L221*INDEX(Reforecast!$D$12:$D$17,MATCH(C221,Reforecast!$A$12:$A$17,0)))</f>
        <v>34692.98</v>
      </c>
      <c r="S221" s="9" t="n">
        <f aca="false">IF(A221&lt;=3,SUMIFS(Data_Q1!$G$5:$G$76,Data_Q1!$A$5:$A$76,A221,Data_Q1!$B$5:$B$76,C221,Data_Q1!$C$5:$C$76,D221),P221*N221)</f>
        <v>956.81</v>
      </c>
    </row>
    <row r="222" customFormat="false" ht="15" hidden="false" customHeight="false" outlineLevel="0" collapsed="false">
      <c r="A222" s="0" t="n">
        <f aca="false">MOD(ROW()-5,12)+1</f>
        <v>2</v>
      </c>
      <c r="B222" s="0" t="n">
        <f aca="false">INT((ROW()-5)/12)+1</f>
        <v>19</v>
      </c>
      <c r="C222" s="0" t="str">
        <f aca="false">INDEX(Data_Base!$A$5:$A$28,B222)</f>
        <v>Charcuterie</v>
      </c>
      <c r="D222" s="0" t="str">
        <f aca="false">INDEX(Data_Base!$B$5:$B$28,B222)</f>
        <v>Hotels &amp; Institutions</v>
      </c>
      <c r="E222" s="26" t="n">
        <f aca="false">INDEX(Data_Base!$B$32:$M$37,MATCH(C222,Data_Base!$A$32:$A$37,0),A222)</f>
        <v>0.07034</v>
      </c>
      <c r="F222" s="25" t="n">
        <f aca="false">INDEX(Data_Base!$C$5:$C$28,B222)*(1+INDEX(Assumptions!$B$19:$B$22,MATCH(D222,Assumptions!$A$19:$A$22,0)))*E222</f>
        <v>333.0514592</v>
      </c>
      <c r="G222" s="24" t="n">
        <f aca="false">INDEX(Data_Base!$D$5:$D$28,B222)/INDEX(Data_Base!$C$5:$C$28,B222)</f>
        <v>157.104598976109</v>
      </c>
      <c r="H222" s="27" t="n">
        <f aca="false">IF(A222&gt;=Assumptions!$C$37,INDEX(Assumptions!$B$10:$B$15,MATCH(C222,Assumptions!$A$10:$A$15,0)),0)</f>
        <v>0.02</v>
      </c>
      <c r="I222" s="27" t="n">
        <f aca="false">IF(AND(A222&gt;=Assumptions!$C$37,INDEX(Assumptions!$C$19:$C$22,MATCH(D222,Assumptions!$A$19:$A$22,0))=1),INDEX(Assumptions!$D$10:$D$15,MATCH(C222,Assumptions!$A$10:$A$15,0)),0)</f>
        <v>0</v>
      </c>
      <c r="J222" s="9" t="n">
        <f aca="false">F222*G222*(1+H222)</f>
        <v>53370.3942547445</v>
      </c>
      <c r="K222" s="9" t="n">
        <f aca="false">J222*(1+I222)</f>
        <v>53370.3942547445</v>
      </c>
      <c r="L222" s="24" t="n">
        <f aca="false">INDEX(Data_Base!$E$5:$E$28,B222)/INDEX(Data_Base!$C$5:$C$28,B222)*(1+INDEX(Assumptions!$C$10:$C$15,MATCH(C222,Assumptions!$A$10:$A$15,0)))</f>
        <v>97.8494463737201</v>
      </c>
      <c r="M222" s="9" t="n">
        <f aca="false">F222*L222</f>
        <v>32588.9008966796</v>
      </c>
      <c r="N222" s="24" t="n">
        <f aca="false">INDEX(Data_Base!$F$5:$F$28,B222)/INDEX(Data_Base!$C$5:$C$28,B222)*(1+Assumptions!$C$38)</f>
        <v>2.70804419795222</v>
      </c>
      <c r="O222" s="9" t="n">
        <f aca="false">F222*N222</f>
        <v>901.91807170608</v>
      </c>
      <c r="P222" s="25" t="n">
        <f aca="false">IF(A222&lt;=3,SUMIFS(Data_Q1!$D$5:$D$76,Data_Q1!$A$5:$A$76,A222,Data_Q1!$B$5:$B$76,C222,Data_Q1!$C$5:$C$76,D222),F222*INDEX(Reforecast!$D$6:$D$9,MATCH(D222,Reforecast!$A$6:$A$9,0)))</f>
        <v>337.9</v>
      </c>
      <c r="Q222" s="9" t="n">
        <f aca="false">IF(A222&lt;=3,SUMIFS(Data_Q1!$E$5:$E$76,Data_Q1!$A$5:$A$76,A222,Data_Q1!$B$5:$B$76,C222,Data_Q1!$C$5:$C$76,D222),P222*G222*(1+H222)*(1+I222))</f>
        <v>54177.76</v>
      </c>
      <c r="R222" s="9" t="n">
        <f aca="false">IF(A222&lt;=3,SUMIFS(Data_Q1!$F$5:$F$76,Data_Q1!$A$5:$A$76,A222,Data_Q1!$B$5:$B$76,C222,Data_Q1!$C$5:$C$76,D222),P222*L222*INDEX(Reforecast!$D$12:$D$17,MATCH(C222,Reforecast!$A$12:$A$17,0)))</f>
        <v>33195.6</v>
      </c>
      <c r="S222" s="9" t="n">
        <f aca="false">IF(A222&lt;=3,SUMIFS(Data_Q1!$G$5:$G$76,Data_Q1!$A$5:$A$76,A222,Data_Q1!$B$5:$B$76,C222,Data_Q1!$C$5:$C$76,D222),P222*N222)</f>
        <v>915.1</v>
      </c>
    </row>
    <row r="223" customFormat="false" ht="15" hidden="false" customHeight="false" outlineLevel="0" collapsed="false">
      <c r="A223" s="0" t="n">
        <f aca="false">MOD(ROW()-5,12)+1</f>
        <v>3</v>
      </c>
      <c r="B223" s="0" t="n">
        <f aca="false">INT((ROW()-5)/12)+1</f>
        <v>19</v>
      </c>
      <c r="C223" s="0" t="str">
        <f aca="false">INDEX(Data_Base!$A$5:$A$28,B223)</f>
        <v>Charcuterie</v>
      </c>
      <c r="D223" s="0" t="str">
        <f aca="false">INDEX(Data_Base!$B$5:$B$28,B223)</f>
        <v>Hotels &amp; Institutions</v>
      </c>
      <c r="E223" s="26" t="n">
        <f aca="false">INDEX(Data_Base!$B$32:$M$37,MATCH(C223,Data_Base!$A$32:$A$37,0),A223)</f>
        <v>0.073631</v>
      </c>
      <c r="F223" s="25" t="n">
        <f aca="false">INDEX(Data_Base!$C$5:$C$28,B223)*(1+INDEX(Assumptions!$B$19:$B$22,MATCH(D223,Assumptions!$A$19:$A$22,0)))*E223</f>
        <v>348.63394928</v>
      </c>
      <c r="G223" s="24" t="n">
        <f aca="false">INDEX(Data_Base!$D$5:$D$28,B223)/INDEX(Data_Base!$C$5:$C$28,B223)</f>
        <v>157.104598976109</v>
      </c>
      <c r="H223" s="27" t="n">
        <f aca="false">IF(A223&gt;=Assumptions!$C$37,INDEX(Assumptions!$B$10:$B$15,MATCH(C223,Assumptions!$A$10:$A$15,0)),0)</f>
        <v>0.02</v>
      </c>
      <c r="I223" s="27" t="n">
        <f aca="false">IF(AND(A223&gt;=Assumptions!$C$37,INDEX(Assumptions!$C$19:$C$22,MATCH(D223,Assumptions!$A$19:$A$22,0))=1),INDEX(Assumptions!$D$10:$D$15,MATCH(C223,Assumptions!$A$10:$A$15,0)),0)</f>
        <v>0</v>
      </c>
      <c r="J223" s="9" t="n">
        <f aca="false">F223*G223*(1+H223)</f>
        <v>55867.4367269134</v>
      </c>
      <c r="K223" s="9" t="n">
        <f aca="false">J223*(1+I223)</f>
        <v>55867.4367269134</v>
      </c>
      <c r="L223" s="24" t="n">
        <f aca="false">INDEX(Data_Base!$E$5:$E$28,B223)/INDEX(Data_Base!$C$5:$C$28,B223)*(1+INDEX(Assumptions!$C$10:$C$15,MATCH(C223,Assumptions!$A$10:$A$15,0)))</f>
        <v>97.8494463737201</v>
      </c>
      <c r="M223" s="9" t="n">
        <f aca="false">F223*L223</f>
        <v>34113.6389241316</v>
      </c>
      <c r="N223" s="24" t="n">
        <f aca="false">INDEX(Data_Base!$F$5:$F$28,B223)/INDEX(Data_Base!$C$5:$C$28,B223)*(1+Assumptions!$C$38)</f>
        <v>2.70804419795222</v>
      </c>
      <c r="O223" s="9" t="n">
        <f aca="false">F223*N223</f>
        <v>944.116143556872</v>
      </c>
      <c r="P223" s="25" t="n">
        <f aca="false">IF(A223&lt;=3,SUMIFS(Data_Q1!$D$5:$D$76,Data_Q1!$A$5:$A$76,A223,Data_Q1!$B$5:$B$76,C223,Data_Q1!$C$5:$C$76,D223),F223*INDEX(Reforecast!$D$6:$D$9,MATCH(D223,Reforecast!$A$6:$A$9,0)))</f>
        <v>349.3</v>
      </c>
      <c r="Q223" s="9" t="n">
        <f aca="false">IF(A223&lt;=3,SUMIFS(Data_Q1!$E$5:$E$76,Data_Q1!$A$5:$A$76,A223,Data_Q1!$B$5:$B$76,C223,Data_Q1!$C$5:$C$76,D223),P223*G223*(1+H223)*(1+I223))</f>
        <v>56181.03</v>
      </c>
      <c r="R223" s="9" t="n">
        <f aca="false">IF(A223&lt;=3,SUMIFS(Data_Q1!$F$5:$F$76,Data_Q1!$A$5:$A$76,A223,Data_Q1!$B$5:$B$76,C223,Data_Q1!$C$5:$C$76,D223),P223*L223*INDEX(Reforecast!$D$12:$D$17,MATCH(C223,Reforecast!$A$12:$A$17,0)))</f>
        <v>34300.75</v>
      </c>
      <c r="S223" s="9" t="n">
        <f aca="false">IF(A223&lt;=3,SUMIFS(Data_Q1!$G$5:$G$76,Data_Q1!$A$5:$A$76,A223,Data_Q1!$B$5:$B$76,C223,Data_Q1!$C$5:$C$76,D223),P223*N223)</f>
        <v>946.03</v>
      </c>
    </row>
    <row r="224" customFormat="false" ht="15" hidden="false" customHeight="false" outlineLevel="0" collapsed="false">
      <c r="A224" s="0" t="n">
        <f aca="false">MOD(ROW()-5,12)+1</f>
        <v>4</v>
      </c>
      <c r="B224" s="0" t="n">
        <f aca="false">INT((ROW()-5)/12)+1</f>
        <v>19</v>
      </c>
      <c r="C224" s="0" t="str">
        <f aca="false">INDEX(Data_Base!$A$5:$A$28,B224)</f>
        <v>Charcuterie</v>
      </c>
      <c r="D224" s="0" t="str">
        <f aca="false">INDEX(Data_Base!$B$5:$B$28,B224)</f>
        <v>Hotels &amp; Institutions</v>
      </c>
      <c r="E224" s="26" t="n">
        <f aca="false">INDEX(Data_Base!$B$32:$M$37,MATCH(C224,Data_Base!$A$32:$A$37,0),A224)</f>
        <v>0.078373</v>
      </c>
      <c r="F224" s="25" t="n">
        <f aca="false">INDEX(Data_Base!$C$5:$C$28,B224)*(1+INDEX(Assumptions!$B$19:$B$22,MATCH(D224,Assumptions!$A$19:$A$22,0)))*E224</f>
        <v>371.08675024</v>
      </c>
      <c r="G224" s="24" t="n">
        <f aca="false">INDEX(Data_Base!$D$5:$D$28,B224)/INDEX(Data_Base!$C$5:$C$28,B224)</f>
        <v>157.104598976109</v>
      </c>
      <c r="H224" s="27" t="n">
        <f aca="false">IF(A224&gt;=Assumptions!$C$37,INDEX(Assumptions!$B$10:$B$15,MATCH(C224,Assumptions!$A$10:$A$15,0)),0)</f>
        <v>0.02</v>
      </c>
      <c r="I224" s="27" t="n">
        <f aca="false">IF(AND(A224&gt;=Assumptions!$C$37,INDEX(Assumptions!$C$19:$C$22,MATCH(D224,Assumptions!$A$19:$A$22,0))=1),INDEX(Assumptions!$D$10:$D$15,MATCH(C224,Assumptions!$A$10:$A$15,0)),0)</f>
        <v>0</v>
      </c>
      <c r="J224" s="9" t="n">
        <f aca="false">F224*G224*(1+H224)</f>
        <v>59465.4237834389</v>
      </c>
      <c r="K224" s="9" t="n">
        <f aca="false">J224*(1+I224)</f>
        <v>59465.4237834389</v>
      </c>
      <c r="L224" s="24" t="n">
        <f aca="false">INDEX(Data_Base!$E$5:$E$28,B224)/INDEX(Data_Base!$C$5:$C$28,B224)*(1+INDEX(Assumptions!$C$10:$C$15,MATCH(C224,Assumptions!$A$10:$A$15,0)))</f>
        <v>97.8494463737201</v>
      </c>
      <c r="M224" s="9" t="n">
        <f aca="false">F224*L224</f>
        <v>36310.633067607</v>
      </c>
      <c r="N224" s="24" t="n">
        <f aca="false">INDEX(Data_Base!$F$5:$F$28,B224)/INDEX(Data_Base!$C$5:$C$28,B224)*(1+Assumptions!$C$38)</f>
        <v>2.70804419795222</v>
      </c>
      <c r="O224" s="9" t="n">
        <f aca="false">F224*N224</f>
        <v>1004.91932092438</v>
      </c>
      <c r="P224" s="25" t="n">
        <f aca="false">IF(A224&lt;=3,SUMIFS(Data_Q1!$D$5:$D$76,Data_Q1!$A$5:$A$76,A224,Data_Q1!$B$5:$B$76,C224,Data_Q1!$C$5:$C$76,D224),F224*INDEX(Reforecast!$D$6:$D$9,MATCH(D224,Reforecast!$A$6:$A$9,0)))</f>
        <v>371.520320034794</v>
      </c>
      <c r="Q224" s="9" t="n">
        <f aca="false">IF(A224&lt;=3,SUMIFS(Data_Q1!$E$5:$E$76,Data_Q1!$A$5:$A$76,A224,Data_Q1!$B$5:$B$76,C224,Data_Q1!$C$5:$C$76,D224),P224*G224*(1+H224)*(1+I224))</f>
        <v>59534.901908353</v>
      </c>
      <c r="R224" s="9" t="n">
        <f aca="false">IF(A224&lt;=3,SUMIFS(Data_Q1!$F$5:$F$76,Data_Q1!$A$5:$A$76,A224,Data_Q1!$B$5:$B$76,C224,Data_Q1!$C$5:$C$76,D224),P224*L224*INDEX(Reforecast!$D$12:$D$17,MATCH(C224,Reforecast!$A$12:$A$17,0)))</f>
        <v>36354.9218809428</v>
      </c>
      <c r="S224" s="9" t="n">
        <f aca="false">IF(A224&lt;=3,SUMIFS(Data_Q1!$G$5:$G$76,Data_Q1!$A$5:$A$76,A224,Data_Q1!$B$5:$B$76,C224,Data_Q1!$C$5:$C$76,D224),P224*N224)</f>
        <v>1006.09344709158</v>
      </c>
    </row>
    <row r="225" customFormat="false" ht="15" hidden="false" customHeight="false" outlineLevel="0" collapsed="false">
      <c r="A225" s="0" t="n">
        <f aca="false">MOD(ROW()-5,12)+1</f>
        <v>5</v>
      </c>
      <c r="B225" s="0" t="n">
        <f aca="false">INT((ROW()-5)/12)+1</f>
        <v>19</v>
      </c>
      <c r="C225" s="0" t="str">
        <f aca="false">INDEX(Data_Base!$A$5:$A$28,B225)</f>
        <v>Charcuterie</v>
      </c>
      <c r="D225" s="0" t="str">
        <f aca="false">INDEX(Data_Base!$B$5:$B$28,B225)</f>
        <v>Hotels &amp; Institutions</v>
      </c>
      <c r="E225" s="26" t="n">
        <f aca="false">INDEX(Data_Base!$B$32:$M$37,MATCH(C225,Data_Base!$A$32:$A$37,0),A225)</f>
        <v>0.07853</v>
      </c>
      <c r="F225" s="25" t="n">
        <f aca="false">INDEX(Data_Base!$C$5:$C$28,B225)*(1+INDEX(Assumptions!$B$19:$B$22,MATCH(D225,Assumptions!$A$19:$A$22,0)))*E225</f>
        <v>371.8301264</v>
      </c>
      <c r="G225" s="24" t="n">
        <f aca="false">INDEX(Data_Base!$D$5:$D$28,B225)/INDEX(Data_Base!$C$5:$C$28,B225)</f>
        <v>157.104598976109</v>
      </c>
      <c r="H225" s="27" t="n">
        <f aca="false">IF(A225&gt;=Assumptions!$C$37,INDEX(Assumptions!$B$10:$B$15,MATCH(C225,Assumptions!$A$10:$A$15,0)),0)</f>
        <v>0.02</v>
      </c>
      <c r="I225" s="27" t="n">
        <f aca="false">IF(AND(A225&gt;=Assumptions!$C$37,INDEX(Assumptions!$C$19:$C$22,MATCH(D225,Assumptions!$A$19:$A$22,0))=1),INDEX(Assumptions!$D$10:$D$15,MATCH(C225,Assumptions!$A$10:$A$15,0)),0)</f>
        <v>0</v>
      </c>
      <c r="J225" s="9" t="n">
        <f aca="false">F225*G225*(1+H225)</f>
        <v>59584.5473532142</v>
      </c>
      <c r="K225" s="9" t="n">
        <f aca="false">J225*(1+I225)</f>
        <v>59584.5473532142</v>
      </c>
      <c r="L225" s="24" t="n">
        <f aca="false">INDEX(Data_Base!$E$5:$E$28,B225)/INDEX(Data_Base!$C$5:$C$28,B225)*(1+INDEX(Assumptions!$C$10:$C$15,MATCH(C225,Assumptions!$A$10:$A$15,0)))</f>
        <v>97.8494463737201</v>
      </c>
      <c r="M225" s="9" t="n">
        <f aca="false">F225*L225</f>
        <v>36383.3720133104</v>
      </c>
      <c r="N225" s="24" t="n">
        <f aca="false">INDEX(Data_Base!$F$5:$F$28,B225)/INDEX(Data_Base!$C$5:$C$28,B225)*(1+Assumptions!$C$38)</f>
        <v>2.70804419795222</v>
      </c>
      <c r="O225" s="9" t="n">
        <f aca="false">F225*N225</f>
        <v>1006.93241642136</v>
      </c>
      <c r="P225" s="25" t="n">
        <f aca="false">IF(A225&lt;=3,SUMIFS(Data_Q1!$D$5:$D$76,Data_Q1!$A$5:$A$76,A225,Data_Q1!$B$5:$B$76,C225,Data_Q1!$C$5:$C$76,D225),F225*INDEX(Reforecast!$D$6:$D$9,MATCH(D225,Reforecast!$A$6:$A$9,0)))</f>
        <v>372.264564739546</v>
      </c>
      <c r="Q225" s="9" t="n">
        <f aca="false">IF(A225&lt;=3,SUMIFS(Data_Q1!$E$5:$E$76,Data_Q1!$A$5:$A$76,A225,Data_Q1!$B$5:$B$76,C225,Data_Q1!$C$5:$C$76,D225),P225*G225*(1+H225)*(1+I225))</f>
        <v>59654.1646595506</v>
      </c>
      <c r="R225" s="9" t="n">
        <f aca="false">IF(A225&lt;=3,SUMIFS(Data_Q1!$F$5:$F$76,Data_Q1!$A$5:$A$76,A225,Data_Q1!$B$5:$B$76,C225,Data_Q1!$C$5:$C$76,D225),P225*L225*INDEX(Reforecast!$D$12:$D$17,MATCH(C225,Reforecast!$A$12:$A$17,0)))</f>
        <v>36427.7495478091</v>
      </c>
      <c r="S225" s="9" t="n">
        <f aca="false">IF(A225&lt;=3,SUMIFS(Data_Q1!$G$5:$G$76,Data_Q1!$A$5:$A$76,A225,Data_Q1!$B$5:$B$76,C225,Data_Q1!$C$5:$C$76,D225),P225*N225)</f>
        <v>1008.10889464613</v>
      </c>
    </row>
    <row r="226" customFormat="false" ht="15" hidden="false" customHeight="false" outlineLevel="0" collapsed="false">
      <c r="A226" s="0" t="n">
        <f aca="false">MOD(ROW()-5,12)+1</f>
        <v>6</v>
      </c>
      <c r="B226" s="0" t="n">
        <f aca="false">INT((ROW()-5)/12)+1</f>
        <v>19</v>
      </c>
      <c r="C226" s="0" t="str">
        <f aca="false">INDEX(Data_Base!$A$5:$A$28,B226)</f>
        <v>Charcuterie</v>
      </c>
      <c r="D226" s="0" t="str">
        <f aca="false">INDEX(Data_Base!$B$5:$B$28,B226)</f>
        <v>Hotels &amp; Institutions</v>
      </c>
      <c r="E226" s="26" t="n">
        <f aca="false">INDEX(Data_Base!$B$32:$M$37,MATCH(C226,Data_Base!$A$32:$A$37,0),A226)</f>
        <v>0.077668</v>
      </c>
      <c r="F226" s="25" t="n">
        <f aca="false">INDEX(Data_Base!$C$5:$C$28,B226)*(1+INDEX(Assumptions!$B$19:$B$22,MATCH(D226,Assumptions!$A$19:$A$22,0)))*E226</f>
        <v>367.74865984</v>
      </c>
      <c r="G226" s="24" t="n">
        <f aca="false">INDEX(Data_Base!$D$5:$D$28,B226)/INDEX(Data_Base!$C$5:$C$28,B226)</f>
        <v>157.104598976109</v>
      </c>
      <c r="H226" s="27" t="n">
        <f aca="false">IF(A226&gt;=Assumptions!$C$37,INDEX(Assumptions!$B$10:$B$15,MATCH(C226,Assumptions!$A$10:$A$15,0)),0)</f>
        <v>0.02</v>
      </c>
      <c r="I226" s="27" t="n">
        <f aca="false">IF(AND(A226&gt;=Assumptions!$C$37,INDEX(Assumptions!$C$19:$C$22,MATCH(D226,Assumptions!$A$19:$A$22,0))=1),INDEX(Assumptions!$D$10:$D$15,MATCH(C226,Assumptions!$A$10:$A$15,0)),0)</f>
        <v>0</v>
      </c>
      <c r="J226" s="9" t="n">
        <f aca="false">F226*G226*(1+H226)</f>
        <v>58930.5058427281</v>
      </c>
      <c r="K226" s="9" t="n">
        <f aca="false">J226*(1+I226)</f>
        <v>58930.5058427281</v>
      </c>
      <c r="L226" s="24" t="n">
        <f aca="false">INDEX(Data_Base!$E$5:$E$28,B226)/INDEX(Data_Base!$C$5:$C$28,B226)*(1+INDEX(Assumptions!$C$10:$C$15,MATCH(C226,Assumptions!$A$10:$A$15,0)))</f>
        <v>97.8494463737201</v>
      </c>
      <c r="M226" s="9" t="n">
        <f aca="false">F226*L226</f>
        <v>35984.0027700215</v>
      </c>
      <c r="N226" s="24" t="n">
        <f aca="false">INDEX(Data_Base!$F$5:$F$28,B226)/INDEX(Data_Base!$C$5:$C$28,B226)*(1+Assumptions!$C$38)</f>
        <v>2.70804419795222</v>
      </c>
      <c r="O226" s="9" t="n">
        <f aca="false">F226*N226</f>
        <v>995.879624584416</v>
      </c>
      <c r="P226" s="25" t="n">
        <f aca="false">IF(A226&lt;=3,SUMIFS(Data_Q1!$D$5:$D$76,Data_Q1!$A$5:$A$76,A226,Data_Q1!$B$5:$B$76,C226,Data_Q1!$C$5:$C$76,D226),F226*INDEX(Reforecast!$D$6:$D$9,MATCH(D226,Reforecast!$A$6:$A$9,0)))</f>
        <v>368.178329481613</v>
      </c>
      <c r="Q226" s="9" t="n">
        <f aca="false">IF(A226&lt;=3,SUMIFS(Data_Q1!$E$5:$E$76,Data_Q1!$A$5:$A$76,A226,Data_Q1!$B$5:$B$76,C226,Data_Q1!$C$5:$C$76,D226),P226*G226*(1+H226)*(1+I226))</f>
        <v>58999.3589810006</v>
      </c>
      <c r="R226" s="9" t="n">
        <f aca="false">IF(A226&lt;=3,SUMIFS(Data_Q1!$F$5:$F$76,Data_Q1!$A$5:$A$76,A226,Data_Q1!$B$5:$B$76,C226,Data_Q1!$C$5:$C$76,D226),P226*L226*INDEX(Reforecast!$D$12:$D$17,MATCH(C226,Reforecast!$A$12:$A$17,0)))</f>
        <v>36027.8931857791</v>
      </c>
      <c r="S226" s="9" t="n">
        <f aca="false">IF(A226&lt;=3,SUMIFS(Data_Q1!$G$5:$G$76,Data_Q1!$A$5:$A$76,A226,Data_Q1!$B$5:$B$76,C226,Data_Q1!$C$5:$C$76,D226),P226*N226)</f>
        <v>997.043188964421</v>
      </c>
    </row>
    <row r="227" customFormat="false" ht="15" hidden="false" customHeight="false" outlineLevel="0" collapsed="false">
      <c r="A227" s="0" t="n">
        <f aca="false">MOD(ROW()-5,12)+1</f>
        <v>7</v>
      </c>
      <c r="B227" s="0" t="n">
        <f aca="false">INT((ROW()-5)/12)+1</f>
        <v>19</v>
      </c>
      <c r="C227" s="0" t="str">
        <f aca="false">INDEX(Data_Base!$A$5:$A$28,B227)</f>
        <v>Charcuterie</v>
      </c>
      <c r="D227" s="0" t="str">
        <f aca="false">INDEX(Data_Base!$B$5:$B$28,B227)</f>
        <v>Hotels &amp; Institutions</v>
      </c>
      <c r="E227" s="26" t="n">
        <f aca="false">INDEX(Data_Base!$B$32:$M$37,MATCH(C227,Data_Base!$A$32:$A$37,0),A227)</f>
        <v>0.077824</v>
      </c>
      <c r="F227" s="25" t="n">
        <f aca="false">INDEX(Data_Base!$C$5:$C$28,B227)*(1+INDEX(Assumptions!$B$19:$B$22,MATCH(D227,Assumptions!$A$19:$A$22,0)))*E227</f>
        <v>368.48730112</v>
      </c>
      <c r="G227" s="24" t="n">
        <f aca="false">INDEX(Data_Base!$D$5:$D$28,B227)/INDEX(Data_Base!$C$5:$C$28,B227)</f>
        <v>157.104598976109</v>
      </c>
      <c r="H227" s="27" t="n">
        <f aca="false">IF(A227&gt;=Assumptions!$C$37,INDEX(Assumptions!$B$10:$B$15,MATCH(C227,Assumptions!$A$10:$A$15,0)),0)</f>
        <v>0.02</v>
      </c>
      <c r="I227" s="27" t="n">
        <f aca="false">IF(AND(A227&gt;=Assumptions!$C$37,INDEX(Assumptions!$C$19:$C$22,MATCH(D227,Assumptions!$A$19:$A$22,0))=1),INDEX(Assumptions!$D$10:$D$15,MATCH(C227,Assumptions!$A$10:$A$15,0)),0)</f>
        <v>0</v>
      </c>
      <c r="J227" s="9" t="n">
        <f aca="false">F227*G227*(1+H227)</f>
        <v>59048.8706636513</v>
      </c>
      <c r="K227" s="9" t="n">
        <f aca="false">J227*(1+I227)</f>
        <v>59048.8706636513</v>
      </c>
      <c r="L227" s="24" t="n">
        <f aca="false">INDEX(Data_Base!$E$5:$E$28,B227)/INDEX(Data_Base!$C$5:$C$28,B227)*(1+INDEX(Assumptions!$C$10:$C$15,MATCH(C227,Assumptions!$A$10:$A$15,0)))</f>
        <v>97.8494463737201</v>
      </c>
      <c r="M227" s="9" t="n">
        <f aca="false">F227*L227</f>
        <v>36056.2784103383</v>
      </c>
      <c r="N227" s="24" t="n">
        <f aca="false">INDEX(Data_Base!$F$5:$F$28,B227)/INDEX(Data_Base!$C$5:$C$28,B227)*(1+Assumptions!$C$38)</f>
        <v>2.70804419795222</v>
      </c>
      <c r="O227" s="9" t="n">
        <f aca="false">F227*N227</f>
        <v>997.879897817088</v>
      </c>
      <c r="P227" s="25" t="n">
        <f aca="false">IF(A227&lt;=3,SUMIFS(Data_Q1!$D$5:$D$76,Data_Q1!$A$5:$A$76,A227,Data_Q1!$B$5:$B$76,C227,Data_Q1!$C$5:$C$76,D227),F227*INDEX(Reforecast!$D$6:$D$9,MATCH(D227,Reforecast!$A$6:$A$9,0)))</f>
        <v>368.917833774232</v>
      </c>
      <c r="Q227" s="9" t="n">
        <f aca="false">IF(A227&lt;=3,SUMIFS(Data_Q1!$E$5:$E$76,Data_Q1!$A$5:$A$76,A227,Data_Q1!$B$5:$B$76,C227,Data_Q1!$C$5:$C$76,D227),P227*G227*(1+H227)*(1+I227))</f>
        <v>59117.8620968403</v>
      </c>
      <c r="R227" s="9" t="n">
        <f aca="false">IF(A227&lt;=3,SUMIFS(Data_Q1!$F$5:$F$76,Data_Q1!$A$5:$A$76,A227,Data_Q1!$B$5:$B$76,C227,Data_Q1!$C$5:$C$76,D227),P227*L227*INDEX(Reforecast!$D$12:$D$17,MATCH(C227,Reforecast!$A$12:$A$17,0)))</f>
        <v>36100.2569821558</v>
      </c>
      <c r="S227" s="9" t="n">
        <f aca="false">IF(A227&lt;=3,SUMIFS(Data_Q1!$G$5:$G$76,Data_Q1!$A$5:$A$76,A227,Data_Q1!$B$5:$B$76,C227,Data_Q1!$C$5:$C$76,D227),P227*N227)</f>
        <v>999.045799273409</v>
      </c>
    </row>
    <row r="228" customFormat="false" ht="15" hidden="false" customHeight="false" outlineLevel="0" collapsed="false">
      <c r="A228" s="0" t="n">
        <f aca="false">MOD(ROW()-5,12)+1</f>
        <v>8</v>
      </c>
      <c r="B228" s="0" t="n">
        <f aca="false">INT((ROW()-5)/12)+1</f>
        <v>19</v>
      </c>
      <c r="C228" s="0" t="str">
        <f aca="false">INDEX(Data_Base!$A$5:$A$28,B228)</f>
        <v>Charcuterie</v>
      </c>
      <c r="D228" s="0" t="str">
        <f aca="false">INDEX(Data_Base!$B$5:$B$28,B228)</f>
        <v>Hotels &amp; Institutions</v>
      </c>
      <c r="E228" s="26" t="n">
        <f aca="false">INDEX(Data_Base!$B$32:$M$37,MATCH(C228,Data_Base!$A$32:$A$37,0),A228)</f>
        <v>0.078608</v>
      </c>
      <c r="F228" s="25" t="n">
        <f aca="false">INDEX(Data_Base!$C$5:$C$28,B228)*(1+INDEX(Assumptions!$B$19:$B$22,MATCH(D228,Assumptions!$A$19:$A$22,0)))*E228</f>
        <v>372.19944704</v>
      </c>
      <c r="G228" s="24" t="n">
        <f aca="false">INDEX(Data_Base!$D$5:$D$28,B228)/INDEX(Data_Base!$C$5:$C$28,B228)</f>
        <v>157.104598976109</v>
      </c>
      <c r="H228" s="27" t="n">
        <f aca="false">IF(A228&gt;=Assumptions!$C$37,INDEX(Assumptions!$B$10:$B$15,MATCH(C228,Assumptions!$A$10:$A$15,0)),0)</f>
        <v>0.02</v>
      </c>
      <c r="I228" s="27" t="n">
        <f aca="false">IF(AND(A228&gt;=Assumptions!$C$37,INDEX(Assumptions!$C$19:$C$22,MATCH(D228,Assumptions!$A$19:$A$22,0))=1),INDEX(Assumptions!$D$10:$D$15,MATCH(C228,Assumptions!$A$10:$A$15,0)),0)</f>
        <v>0</v>
      </c>
      <c r="J228" s="9" t="n">
        <f aca="false">F228*G228*(1+H228)</f>
        <v>59643.7297636758</v>
      </c>
      <c r="K228" s="9" t="n">
        <f aca="false">J228*(1+I228)</f>
        <v>59643.7297636758</v>
      </c>
      <c r="L228" s="24" t="n">
        <f aca="false">INDEX(Data_Base!$E$5:$E$28,B228)/INDEX(Data_Base!$C$5:$C$28,B228)*(1+INDEX(Assumptions!$C$10:$C$15,MATCH(C228,Assumptions!$A$10:$A$15,0)))</f>
        <v>97.8494463737201</v>
      </c>
      <c r="M228" s="9" t="n">
        <f aca="false">F228*L228</f>
        <v>36419.5098334688</v>
      </c>
      <c r="N228" s="24" t="n">
        <f aca="false">INDEX(Data_Base!$F$5:$F$28,B228)/INDEX(Data_Base!$C$5:$C$28,B228)*(1+Assumptions!$C$38)</f>
        <v>2.70804419795222</v>
      </c>
      <c r="O228" s="9" t="n">
        <f aca="false">F228*N228</f>
        <v>1007.9325530377</v>
      </c>
      <c r="P228" s="25" t="n">
        <f aca="false">IF(A228&lt;=3,SUMIFS(Data_Q1!$D$5:$D$76,Data_Q1!$A$5:$A$76,A228,Data_Q1!$B$5:$B$76,C228,Data_Q1!$C$5:$C$76,D228),F228*INDEX(Reforecast!$D$6:$D$9,MATCH(D228,Reforecast!$A$6:$A$9,0)))</f>
        <v>372.634316885855</v>
      </c>
      <c r="Q228" s="9" t="n">
        <f aca="false">IF(A228&lt;=3,SUMIFS(Data_Q1!$E$5:$E$76,Data_Q1!$A$5:$A$76,A228,Data_Q1!$B$5:$B$76,C228,Data_Q1!$C$5:$C$76,D228),P228*G228*(1+H228)*(1+I228))</f>
        <v>59713.4162174704</v>
      </c>
      <c r="R228" s="9" t="n">
        <f aca="false">IF(A228&lt;=3,SUMIFS(Data_Q1!$F$5:$F$76,Data_Q1!$A$5:$A$76,A228,Data_Q1!$B$5:$B$76,C228,Data_Q1!$C$5:$C$76,D228),P228*L228*INDEX(Reforecast!$D$12:$D$17,MATCH(C228,Reforecast!$A$12:$A$17,0)))</f>
        <v>36463.9314459974</v>
      </c>
      <c r="S228" s="9" t="n">
        <f aca="false">IF(A228&lt;=3,SUMIFS(Data_Q1!$G$5:$G$76,Data_Q1!$A$5:$A$76,A228,Data_Q1!$B$5:$B$76,C228,Data_Q1!$C$5:$C$76,D228),P228*N228)</f>
        <v>1009.11019980063</v>
      </c>
    </row>
    <row r="229" customFormat="false" ht="15" hidden="false" customHeight="false" outlineLevel="0" collapsed="false">
      <c r="A229" s="0" t="n">
        <f aca="false">MOD(ROW()-5,12)+1</f>
        <v>9</v>
      </c>
      <c r="B229" s="0" t="n">
        <f aca="false">INT((ROW()-5)/12)+1</f>
        <v>19</v>
      </c>
      <c r="C229" s="0" t="str">
        <f aca="false">INDEX(Data_Base!$A$5:$A$28,B229)</f>
        <v>Charcuterie</v>
      </c>
      <c r="D229" s="0" t="str">
        <f aca="false">INDEX(Data_Base!$B$5:$B$28,B229)</f>
        <v>Hotels &amp; Institutions</v>
      </c>
      <c r="E229" s="26" t="n">
        <f aca="false">INDEX(Data_Base!$B$32:$M$37,MATCH(C229,Data_Base!$A$32:$A$37,0),A229)</f>
        <v>0.082292</v>
      </c>
      <c r="F229" s="25" t="n">
        <f aca="false">INDEX(Data_Base!$C$5:$C$28,B229)*(1+INDEX(Assumptions!$B$19:$B$22,MATCH(D229,Assumptions!$A$19:$A$22,0)))*E229</f>
        <v>389.64274496</v>
      </c>
      <c r="G229" s="24" t="n">
        <f aca="false">INDEX(Data_Base!$D$5:$D$28,B229)/INDEX(Data_Base!$C$5:$C$28,B229)</f>
        <v>157.104598976109</v>
      </c>
      <c r="H229" s="27" t="n">
        <f aca="false">IF(A229&gt;=Assumptions!$C$37,INDEX(Assumptions!$B$10:$B$15,MATCH(C229,Assumptions!$A$10:$A$15,0)),0)</f>
        <v>0.02</v>
      </c>
      <c r="I229" s="27" t="n">
        <f aca="false">IF(AND(A229&gt;=Assumptions!$C$37,INDEX(Assumptions!$C$19:$C$22,MATCH(D229,Assumptions!$A$19:$A$22,0))=1),INDEX(Assumptions!$D$10:$D$15,MATCH(C229,Assumptions!$A$10:$A$15,0)),0)</f>
        <v>0</v>
      </c>
      <c r="J229" s="9" t="n">
        <f aca="false">F229*G229*(1+H229)</f>
        <v>62438.960534709</v>
      </c>
      <c r="K229" s="9" t="n">
        <f aca="false">J229*(1+I229)</f>
        <v>62438.960534709</v>
      </c>
      <c r="L229" s="24" t="n">
        <f aca="false">INDEX(Data_Base!$E$5:$E$28,B229)/INDEX(Data_Base!$C$5:$C$28,B229)*(1+INDEX(Assumptions!$C$10:$C$15,MATCH(C229,Assumptions!$A$10:$A$15,0)))</f>
        <v>97.8494463737201</v>
      </c>
      <c r="M229" s="9" t="n">
        <f aca="false">F229*L229</f>
        <v>38126.3268778726</v>
      </c>
      <c r="N229" s="24" t="n">
        <f aca="false">INDEX(Data_Base!$F$5:$F$28,B229)/INDEX(Data_Base!$C$5:$C$28,B229)*(1+Assumptions!$C$38)</f>
        <v>2.70804419795222</v>
      </c>
      <c r="O229" s="9" t="n">
        <f aca="false">F229*N229</f>
        <v>1055.1697747631</v>
      </c>
      <c r="P229" s="25" t="n">
        <f aca="false">IF(A229&lt;=3,SUMIFS(Data_Q1!$D$5:$D$76,Data_Q1!$A$5:$A$76,A229,Data_Q1!$B$5:$B$76,C229,Data_Q1!$C$5:$C$76,D229),F229*INDEX(Reforecast!$D$6:$D$9,MATCH(D229,Reforecast!$A$6:$A$9,0)))</f>
        <v>390.09799518078</v>
      </c>
      <c r="Q229" s="9" t="n">
        <f aca="false">IF(A229&lt;=3,SUMIFS(Data_Q1!$E$5:$E$76,Data_Q1!$A$5:$A$76,A229,Data_Q1!$B$5:$B$76,C229,Data_Q1!$C$5:$C$76,D229),P229*G229*(1+H229)*(1+I229))</f>
        <v>62511.9128761459</v>
      </c>
      <c r="R229" s="9" t="n">
        <f aca="false">IF(A229&lt;=3,SUMIFS(Data_Q1!$F$5:$F$76,Data_Q1!$A$5:$A$76,A229,Data_Q1!$B$5:$B$76,C229,Data_Q1!$C$5:$C$76,D229),P229*L229*INDEX(Reforecast!$D$12:$D$17,MATCH(C229,Reforecast!$A$12:$A$17,0)))</f>
        <v>38172.8303296613</v>
      </c>
      <c r="S229" s="9" t="n">
        <f aca="false">IF(A229&lt;=3,SUMIFS(Data_Q1!$G$5:$G$76,Data_Q1!$A$5:$A$76,A229,Data_Q1!$B$5:$B$76,C229,Data_Q1!$C$5:$C$76,D229),P229*N229)</f>
        <v>1056.40261248211</v>
      </c>
    </row>
    <row r="230" customFormat="false" ht="15" hidden="false" customHeight="false" outlineLevel="0" collapsed="false">
      <c r="A230" s="0" t="n">
        <f aca="false">MOD(ROW()-5,12)+1</f>
        <v>10</v>
      </c>
      <c r="B230" s="0" t="n">
        <f aca="false">INT((ROW()-5)/12)+1</f>
        <v>19</v>
      </c>
      <c r="C230" s="0" t="str">
        <f aca="false">INDEX(Data_Base!$A$5:$A$28,B230)</f>
        <v>Charcuterie</v>
      </c>
      <c r="D230" s="0" t="str">
        <f aca="false">INDEX(Data_Base!$B$5:$B$28,B230)</f>
        <v>Hotels &amp; Institutions</v>
      </c>
      <c r="E230" s="26" t="n">
        <f aca="false">INDEX(Data_Base!$B$32:$M$37,MATCH(C230,Data_Base!$A$32:$A$37,0),A230)</f>
        <v>0.090246</v>
      </c>
      <c r="F230" s="25" t="n">
        <f aca="false">INDEX(Data_Base!$C$5:$C$28,B230)*(1+INDEX(Assumptions!$B$19:$B$22,MATCH(D230,Assumptions!$A$19:$A$22,0)))*E230</f>
        <v>427.30398048</v>
      </c>
      <c r="G230" s="24" t="n">
        <f aca="false">INDEX(Data_Base!$D$5:$D$28,B230)/INDEX(Data_Base!$C$5:$C$28,B230)</f>
        <v>157.104598976109</v>
      </c>
      <c r="H230" s="27" t="n">
        <f aca="false">IF(A230&gt;=Assumptions!$C$37,INDEX(Assumptions!$B$10:$B$15,MATCH(C230,Assumptions!$A$10:$A$15,0)),0)</f>
        <v>0.02</v>
      </c>
      <c r="I230" s="27" t="n">
        <f aca="false">IF(AND(A230&gt;=Assumptions!$C$37,INDEX(Assumptions!$C$19:$C$22,MATCH(D230,Assumptions!$A$19:$A$22,0))=1),INDEX(Assumptions!$D$10:$D$15,MATCH(C230,Assumptions!$A$10:$A$15,0)),0)</f>
        <v>0</v>
      </c>
      <c r="J230" s="9" t="n">
        <f aca="false">F230*G230*(1+H230)</f>
        <v>68474.0489040897</v>
      </c>
      <c r="K230" s="9" t="n">
        <f aca="false">J230*(1+I230)</f>
        <v>68474.0489040897</v>
      </c>
      <c r="L230" s="24" t="n">
        <f aca="false">INDEX(Data_Base!$E$5:$E$28,B230)/INDEX(Data_Base!$C$5:$C$28,B230)*(1+INDEX(Assumptions!$C$10:$C$15,MATCH(C230,Assumptions!$A$10:$A$15,0)))</f>
        <v>97.8494463737201</v>
      </c>
      <c r="M230" s="9" t="n">
        <f aca="false">F230*L230</f>
        <v>41811.4579232549</v>
      </c>
      <c r="N230" s="24" t="n">
        <f aca="false">INDEX(Data_Base!$F$5:$F$28,B230)/INDEX(Data_Base!$C$5:$C$28,B230)*(1+Assumptions!$C$38)</f>
        <v>2.70804419795222</v>
      </c>
      <c r="O230" s="9" t="n">
        <f aca="false">F230*N230</f>
        <v>1157.15806510075</v>
      </c>
      <c r="P230" s="25" t="n">
        <f aca="false">IF(A230&lt;=3,SUMIFS(Data_Q1!$D$5:$D$76,Data_Q1!$A$5:$A$76,A230,Data_Q1!$B$5:$B$76,C230,Data_Q1!$C$5:$C$76,D230),F230*INDEX(Reforecast!$D$6:$D$9,MATCH(D230,Reforecast!$A$6:$A$9,0)))</f>
        <v>427.803233280085</v>
      </c>
      <c r="Q230" s="9" t="n">
        <f aca="false">IF(A230&lt;=3,SUMIFS(Data_Q1!$E$5:$E$76,Data_Q1!$A$5:$A$76,A230,Data_Q1!$B$5:$B$76,C230,Data_Q1!$C$5:$C$76,D230),P230*G230*(1+H230)*(1+I230))</f>
        <v>68554.0525132536</v>
      </c>
      <c r="R230" s="9" t="n">
        <f aca="false">IF(A230&lt;=3,SUMIFS(Data_Q1!$F$5:$F$76,Data_Q1!$A$5:$A$76,A230,Data_Q1!$B$5:$B$76,C230,Data_Q1!$C$5:$C$76,D230),P230*L230*INDEX(Reforecast!$D$12:$D$17,MATCH(C230,Reforecast!$A$12:$A$17,0)))</f>
        <v>41862.4562038912</v>
      </c>
      <c r="S230" s="9" t="n">
        <f aca="false">IF(A230&lt;=3,SUMIFS(Data_Q1!$G$5:$G$76,Data_Q1!$A$5:$A$76,A230,Data_Q1!$B$5:$B$76,C230,Data_Q1!$C$5:$C$76,D230),P230*N230)</f>
        <v>1158.51006374933</v>
      </c>
    </row>
    <row r="231" customFormat="false" ht="15" hidden="false" customHeight="false" outlineLevel="0" collapsed="false">
      <c r="A231" s="0" t="n">
        <f aca="false">MOD(ROW()-5,12)+1</f>
        <v>11</v>
      </c>
      <c r="B231" s="0" t="n">
        <f aca="false">INT((ROW()-5)/12)+1</f>
        <v>19</v>
      </c>
      <c r="C231" s="0" t="str">
        <f aca="false">INDEX(Data_Base!$A$5:$A$28,B231)</f>
        <v>Charcuterie</v>
      </c>
      <c r="D231" s="0" t="str">
        <f aca="false">INDEX(Data_Base!$B$5:$B$28,B231)</f>
        <v>Hotels &amp; Institutions</v>
      </c>
      <c r="E231" s="26" t="n">
        <f aca="false">INDEX(Data_Base!$B$32:$M$37,MATCH(C231,Data_Base!$A$32:$A$37,0),A231)</f>
        <v>0.102865</v>
      </c>
      <c r="F231" s="25" t="n">
        <f aca="false">INDEX(Data_Base!$C$5:$C$28,B231)*(1+INDEX(Assumptions!$B$19:$B$22,MATCH(D231,Assumptions!$A$19:$A$22,0)))*E231</f>
        <v>487.0534312</v>
      </c>
      <c r="G231" s="24" t="n">
        <f aca="false">INDEX(Data_Base!$D$5:$D$28,B231)/INDEX(Data_Base!$C$5:$C$28,B231)</f>
        <v>157.104598976109</v>
      </c>
      <c r="H231" s="27" t="n">
        <f aca="false">IF(A231&gt;=Assumptions!$C$37,INDEX(Assumptions!$B$10:$B$15,MATCH(C231,Assumptions!$A$10:$A$15,0)),0)</f>
        <v>0.02</v>
      </c>
      <c r="I231" s="27" t="n">
        <f aca="false">IF(AND(A231&gt;=Assumptions!$C$37,INDEX(Assumptions!$C$19:$C$22,MATCH(D231,Assumptions!$A$19:$A$22,0))=1),INDEX(Assumptions!$D$10:$D$15,MATCH(C231,Assumptions!$A$10:$A$15,0)),0)</f>
        <v>0</v>
      </c>
      <c r="J231" s="9" t="n">
        <f aca="false">F231*G231*(1+H231)</f>
        <v>78048.7006683863</v>
      </c>
      <c r="K231" s="9" t="n">
        <f aca="false">J231*(1+I231)</f>
        <v>78048.7006683863</v>
      </c>
      <c r="L231" s="24" t="n">
        <f aca="false">INDEX(Data_Base!$E$5:$E$28,B231)/INDEX(Data_Base!$C$5:$C$28,B231)*(1+INDEX(Assumptions!$C$10:$C$15,MATCH(C231,Assumptions!$A$10:$A$15,0)))</f>
        <v>97.8494463737201</v>
      </c>
      <c r="M231" s="9" t="n">
        <f aca="false">F231*L231</f>
        <v>47657.9085973408</v>
      </c>
      <c r="N231" s="24" t="n">
        <f aca="false">INDEX(Data_Base!$F$5:$F$28,B231)/INDEX(Data_Base!$C$5:$C$28,B231)*(1+Assumptions!$C$38)</f>
        <v>2.70804419795222</v>
      </c>
      <c r="O231" s="9" t="n">
        <f aca="false">F231*N231</f>
        <v>1318.96221845388</v>
      </c>
      <c r="P231" s="25" t="n">
        <f aca="false">IF(A231&lt;=3,SUMIFS(Data_Q1!$D$5:$D$76,Data_Q1!$A$5:$A$76,A231,Data_Q1!$B$5:$B$76,C231,Data_Q1!$C$5:$C$76,D231),F231*INDEX(Reforecast!$D$6:$D$9,MATCH(D231,Reforecast!$A$6:$A$9,0)))</f>
        <v>487.622493975976</v>
      </c>
      <c r="Q231" s="9" t="n">
        <f aca="false">IF(A231&lt;=3,SUMIFS(Data_Q1!$E$5:$E$76,Data_Q1!$A$5:$A$76,A231,Data_Q1!$B$5:$B$76,C231,Data_Q1!$C$5:$C$76,D231),P231*G231*(1+H231)*(1+I231))</f>
        <v>78139.8910951824</v>
      </c>
      <c r="R231" s="9" t="n">
        <f aca="false">IF(A231&lt;=3,SUMIFS(Data_Q1!$F$5:$F$76,Data_Q1!$A$5:$A$76,A231,Data_Q1!$B$5:$B$76,C231,Data_Q1!$C$5:$C$76,D231),P231*L231*INDEX(Reforecast!$D$12:$D$17,MATCH(C231,Reforecast!$A$12:$A$17,0)))</f>
        <v>47716.0379120767</v>
      </c>
      <c r="S231" s="9" t="n">
        <f aca="false">IF(A231&lt;=3,SUMIFS(Data_Q1!$G$5:$G$76,Data_Q1!$A$5:$A$76,A231,Data_Q1!$B$5:$B$76,C231,Data_Q1!$C$5:$C$76,D231),P231*N231)</f>
        <v>1320.50326560263</v>
      </c>
    </row>
    <row r="232" customFormat="false" ht="15" hidden="false" customHeight="false" outlineLevel="0" collapsed="false">
      <c r="A232" s="0" t="n">
        <f aca="false">MOD(ROW()-5,12)+1</f>
        <v>12</v>
      </c>
      <c r="B232" s="0" t="n">
        <f aca="false">INT((ROW()-5)/12)+1</f>
        <v>19</v>
      </c>
      <c r="C232" s="0" t="str">
        <f aca="false">INDEX(Data_Base!$A$5:$A$28,B232)</f>
        <v>Charcuterie</v>
      </c>
      <c r="D232" s="0" t="str">
        <f aca="false">INDEX(Data_Base!$B$5:$B$28,B232)</f>
        <v>Hotels &amp; Institutions</v>
      </c>
      <c r="E232" s="26" t="n">
        <f aca="false">INDEX(Data_Base!$B$32:$M$37,MATCH(C232,Data_Base!$A$32:$A$37,0),A232)</f>
        <v>0.115208</v>
      </c>
      <c r="F232" s="25" t="n">
        <f aca="false">INDEX(Data_Base!$C$5:$C$28,B232)*(1+INDEX(Assumptions!$B$19:$B$22,MATCH(D232,Assumptions!$A$19:$A$22,0)))*E232</f>
        <v>545.49605504</v>
      </c>
      <c r="G232" s="24" t="n">
        <f aca="false">INDEX(Data_Base!$D$5:$D$28,B232)/INDEX(Data_Base!$C$5:$C$28,B232)</f>
        <v>157.104598976109</v>
      </c>
      <c r="H232" s="27" t="n">
        <f aca="false">IF(A232&gt;=Assumptions!$C$37,INDEX(Assumptions!$B$10:$B$15,MATCH(C232,Assumptions!$A$10:$A$15,0)),0)</f>
        <v>0.02</v>
      </c>
      <c r="I232" s="27" t="n">
        <f aca="false">IF(AND(A232&gt;=Assumptions!$C$37,INDEX(Assumptions!$C$19:$C$22,MATCH(D232,Assumptions!$A$19:$A$22,0))=1),INDEX(Assumptions!$D$10:$D$15,MATCH(C232,Assumptions!$A$10:$A$15,0)),0)</f>
        <v>0</v>
      </c>
      <c r="J232" s="9" t="n">
        <f aca="false">F232*G232*(1+H232)</f>
        <v>87413.937749511</v>
      </c>
      <c r="K232" s="9" t="n">
        <f aca="false">J232*(1+I232)</f>
        <v>87413.937749511</v>
      </c>
      <c r="L232" s="24" t="n">
        <f aca="false">INDEX(Data_Base!$E$5:$E$28,B232)/INDEX(Data_Base!$C$5:$C$28,B232)*(1+INDEX(Assumptions!$C$10:$C$15,MATCH(C232,Assumptions!$A$10:$A$15,0)))</f>
        <v>97.8494463737201</v>
      </c>
      <c r="M232" s="9" t="n">
        <f aca="false">F232*L232</f>
        <v>53376.4869847124</v>
      </c>
      <c r="N232" s="24" t="n">
        <f aca="false">INDEX(Data_Base!$F$5:$F$28,B232)/INDEX(Data_Base!$C$5:$C$28,B232)*(1+Assumptions!$C$38)</f>
        <v>2.70804419795222</v>
      </c>
      <c r="O232" s="9" t="n">
        <f aca="false">F232*N232</f>
        <v>1477.2274268569</v>
      </c>
      <c r="P232" s="25" t="n">
        <f aca="false">IF(A232&lt;=3,SUMIFS(Data_Q1!$D$5:$D$76,Data_Q1!$A$5:$A$76,A232,Data_Q1!$B$5:$B$76,C232,Data_Q1!$C$5:$C$76,D232),F232*INDEX(Reforecast!$D$6:$D$9,MATCH(D232,Reforecast!$A$6:$A$9,0)))</f>
        <v>546.133400923387</v>
      </c>
      <c r="Q232" s="9" t="n">
        <f aca="false">IF(A232&lt;=3,SUMIFS(Data_Q1!$E$5:$E$76,Data_Q1!$A$5:$A$76,A232,Data_Q1!$B$5:$B$76,C232,Data_Q1!$C$5:$C$76,D232),P232*G232*(1+H232)*(1+I232))</f>
        <v>87516.0703183179</v>
      </c>
      <c r="R232" s="9" t="n">
        <f aca="false">IF(A232&lt;=3,SUMIFS(Data_Q1!$F$5:$F$76,Data_Q1!$A$5:$A$76,A232,Data_Q1!$B$5:$B$76,C232,Data_Q1!$C$5:$C$76,D232),P232*L232*INDEX(Reforecast!$D$12:$D$17,MATCH(C232,Reforecast!$A$12:$A$17,0)))</f>
        <v>53441.5913651342</v>
      </c>
      <c r="S232" s="9" t="n">
        <f aca="false">IF(A232&lt;=3,SUMIFS(Data_Q1!$G$5:$G$76,Data_Q1!$A$5:$A$76,A232,Data_Q1!$B$5:$B$76,C232,Data_Q1!$C$5:$C$76,D232),P232*N232)</f>
        <v>1478.95338767849</v>
      </c>
    </row>
    <row r="233" customFormat="false" ht="15" hidden="false" customHeight="false" outlineLevel="0" collapsed="false">
      <c r="A233" s="0" t="n">
        <f aca="false">MOD(ROW()-5,12)+1</f>
        <v>1</v>
      </c>
      <c r="B233" s="0" t="n">
        <f aca="false">INT((ROW()-5)/12)+1</f>
        <v>20</v>
      </c>
      <c r="C233" s="0" t="str">
        <f aca="false">INDEX(Data_Base!$A$5:$A$28,B233)</f>
        <v>Charcuterie</v>
      </c>
      <c r="D233" s="0" t="str">
        <f aca="false">INDEX(Data_Base!$B$5:$B$28,B233)</f>
        <v>Online Direct</v>
      </c>
      <c r="E233" s="26" t="n">
        <f aca="false">INDEX(Data_Base!$B$32:$M$37,MATCH(C233,Data_Base!$A$32:$A$37,0),A233)</f>
        <v>0.074415</v>
      </c>
      <c r="F233" s="25" t="n">
        <f aca="false">INDEX(Data_Base!$C$5:$C$28,B233)*(1+INDEX(Assumptions!$B$19:$B$22,MATCH(D233,Assumptions!$A$19:$A$22,0)))*E233</f>
        <v>181.9416984</v>
      </c>
      <c r="G233" s="24" t="n">
        <f aca="false">INDEX(Data_Base!$D$5:$D$28,B233)/INDEX(Data_Base!$C$5:$C$28,B233)</f>
        <v>185.334213320463</v>
      </c>
      <c r="H233" s="27" t="n">
        <f aca="false">IF(A233&gt;=Assumptions!$C$37,INDEX(Assumptions!$B$10:$B$15,MATCH(C233,Assumptions!$A$10:$A$15,0)),0)</f>
        <v>0</v>
      </c>
      <c r="I233" s="27" t="n">
        <f aca="false">IF(AND(A233&gt;=Assumptions!$C$37,INDEX(Assumptions!$C$19:$C$22,MATCH(D233,Assumptions!$A$19:$A$22,0))=1),INDEX(Assumptions!$D$10:$D$15,MATCH(C233,Assumptions!$A$10:$A$15,0)),0)</f>
        <v>0</v>
      </c>
      <c r="J233" s="9" t="n">
        <f aca="false">F233*G233*(1+H233)</f>
        <v>33720.021543153</v>
      </c>
      <c r="K233" s="9" t="n">
        <f aca="false">J233*(1+I233)</f>
        <v>33720.021543153</v>
      </c>
      <c r="L233" s="24" t="n">
        <f aca="false">INDEX(Data_Base!$E$5:$E$28,B233)/INDEX(Data_Base!$C$5:$C$28,B233)*(1+INDEX(Assumptions!$C$10:$C$15,MATCH(C233,Assumptions!$A$10:$A$15,0)))</f>
        <v>97.8881003861004</v>
      </c>
      <c r="M233" s="9" t="n">
        <f aca="false">F233*L233</f>
        <v>17809.9272373968</v>
      </c>
      <c r="N233" s="24" t="n">
        <f aca="false">INDEX(Data_Base!$F$5:$F$28,B233)/INDEX(Data_Base!$C$5:$C$28,B233)*(1+Assumptions!$C$38)</f>
        <v>11.5586814671815</v>
      </c>
      <c r="O233" s="9" t="n">
        <f aca="false">F233*N233</f>
        <v>2103.0061374036</v>
      </c>
      <c r="P233" s="25" t="n">
        <f aca="false">IF(A233&lt;=3,SUMIFS(Data_Q1!$D$5:$D$76,Data_Q1!$A$5:$A$76,A233,Data_Q1!$B$5:$B$76,C233,Data_Q1!$C$5:$C$76,D233),F233*INDEX(Reforecast!$D$6:$D$9,MATCH(D233,Reforecast!$A$6:$A$9,0)))</f>
        <v>183.5</v>
      </c>
      <c r="Q233" s="9" t="n">
        <f aca="false">IF(A233&lt;=3,SUMIFS(Data_Q1!$E$5:$E$76,Data_Q1!$A$5:$A$76,A233,Data_Q1!$B$5:$B$76,C233,Data_Q1!$C$5:$C$76,D233),P233*G233*(1+H233)*(1+I233))</f>
        <v>34070.11</v>
      </c>
      <c r="R233" s="9" t="n">
        <f aca="false">IF(A233&lt;=3,SUMIFS(Data_Q1!$F$5:$F$76,Data_Q1!$A$5:$A$76,A233,Data_Q1!$B$5:$B$76,C233,Data_Q1!$C$5:$C$76,D233),P233*L233*INDEX(Reforecast!$D$12:$D$17,MATCH(C233,Reforecast!$A$12:$A$17,0)))</f>
        <v>17901.59</v>
      </c>
      <c r="S233" s="9" t="n">
        <f aca="false">IF(A233&lt;=3,SUMIFS(Data_Q1!$G$5:$G$76,Data_Q1!$A$5:$A$76,A233,Data_Q1!$B$5:$B$76,C233,Data_Q1!$C$5:$C$76,D233),P233*N233)</f>
        <v>2120.73</v>
      </c>
    </row>
    <row r="234" customFormat="false" ht="15" hidden="false" customHeight="false" outlineLevel="0" collapsed="false">
      <c r="A234" s="0" t="n">
        <f aca="false">MOD(ROW()-5,12)+1</f>
        <v>2</v>
      </c>
      <c r="B234" s="0" t="n">
        <f aca="false">INT((ROW()-5)/12)+1</f>
        <v>20</v>
      </c>
      <c r="C234" s="0" t="str">
        <f aca="false">INDEX(Data_Base!$A$5:$A$28,B234)</f>
        <v>Charcuterie</v>
      </c>
      <c r="D234" s="0" t="str">
        <f aca="false">INDEX(Data_Base!$B$5:$B$28,B234)</f>
        <v>Online Direct</v>
      </c>
      <c r="E234" s="26" t="n">
        <f aca="false">INDEX(Data_Base!$B$32:$M$37,MATCH(C234,Data_Base!$A$32:$A$37,0),A234)</f>
        <v>0.07034</v>
      </c>
      <c r="F234" s="25" t="n">
        <f aca="false">INDEX(Data_Base!$C$5:$C$28,B234)*(1+INDEX(Assumptions!$B$19:$B$22,MATCH(D234,Assumptions!$A$19:$A$22,0)))*E234</f>
        <v>171.9784864</v>
      </c>
      <c r="G234" s="24" t="n">
        <f aca="false">INDEX(Data_Base!$D$5:$D$28,B234)/INDEX(Data_Base!$C$5:$C$28,B234)</f>
        <v>185.334213320463</v>
      </c>
      <c r="H234" s="27" t="n">
        <f aca="false">IF(A234&gt;=Assumptions!$C$37,INDEX(Assumptions!$B$10:$B$15,MATCH(C234,Assumptions!$A$10:$A$15,0)),0)</f>
        <v>0.02</v>
      </c>
      <c r="I234" s="27" t="n">
        <f aca="false">IF(AND(A234&gt;=Assumptions!$C$37,INDEX(Assumptions!$C$19:$C$22,MATCH(D234,Assumptions!$A$19:$A$22,0))=1),INDEX(Assumptions!$D$10:$D$15,MATCH(C234,Assumptions!$A$10:$A$15,0)),0)</f>
        <v>0</v>
      </c>
      <c r="J234" s="9" t="n">
        <f aca="false">F234*G234*(1+H234)</f>
        <v>32510.9674346878</v>
      </c>
      <c r="K234" s="9" t="n">
        <f aca="false">J234*(1+I234)</f>
        <v>32510.9674346878</v>
      </c>
      <c r="L234" s="24" t="n">
        <f aca="false">INDEX(Data_Base!$E$5:$E$28,B234)/INDEX(Data_Base!$C$5:$C$28,B234)*(1+INDEX(Assumptions!$C$10:$C$15,MATCH(C234,Assumptions!$A$10:$A$15,0)))</f>
        <v>97.8881003861004</v>
      </c>
      <c r="M234" s="9" t="n">
        <f aca="false">F234*L234</f>
        <v>16834.6473409728</v>
      </c>
      <c r="N234" s="24" t="n">
        <f aca="false">INDEX(Data_Base!$F$5:$F$28,B234)/INDEX(Data_Base!$C$5:$C$28,B234)*(1+Assumptions!$C$38)</f>
        <v>11.5586814671815</v>
      </c>
      <c r="O234" s="9" t="n">
        <f aca="false">F234*N234</f>
        <v>1987.8445435056</v>
      </c>
      <c r="P234" s="25" t="n">
        <f aca="false">IF(A234&lt;=3,SUMIFS(Data_Q1!$D$5:$D$76,Data_Q1!$A$5:$A$76,A234,Data_Q1!$B$5:$B$76,C234,Data_Q1!$C$5:$C$76,D234),F234*INDEX(Reforecast!$D$6:$D$9,MATCH(D234,Reforecast!$A$6:$A$9,0)))</f>
        <v>170.4</v>
      </c>
      <c r="Q234" s="9" t="n">
        <f aca="false">IF(A234&lt;=3,SUMIFS(Data_Q1!$E$5:$E$76,Data_Q1!$A$5:$A$76,A234,Data_Q1!$B$5:$B$76,C234,Data_Q1!$C$5:$C$76,D234),P234*G234*(1+H234)*(1+I234))</f>
        <v>32283.25</v>
      </c>
      <c r="R234" s="9" t="n">
        <f aca="false">IF(A234&lt;=3,SUMIFS(Data_Q1!$F$5:$F$76,Data_Q1!$A$5:$A$76,A234,Data_Q1!$B$5:$B$76,C234,Data_Q1!$C$5:$C$76,D234),P234*L234*INDEX(Reforecast!$D$12:$D$17,MATCH(C234,Reforecast!$A$12:$A$17,0)))</f>
        <v>16483.67</v>
      </c>
      <c r="S234" s="9" t="n">
        <f aca="false">IF(A234&lt;=3,SUMIFS(Data_Q1!$G$5:$G$76,Data_Q1!$A$5:$A$76,A234,Data_Q1!$B$5:$B$76,C234,Data_Q1!$C$5:$C$76,D234),P234*N234)</f>
        <v>1969.54</v>
      </c>
    </row>
    <row r="235" customFormat="false" ht="15" hidden="false" customHeight="false" outlineLevel="0" collapsed="false">
      <c r="A235" s="0" t="n">
        <f aca="false">MOD(ROW()-5,12)+1</f>
        <v>3</v>
      </c>
      <c r="B235" s="0" t="n">
        <f aca="false">INT((ROW()-5)/12)+1</f>
        <v>20</v>
      </c>
      <c r="C235" s="0" t="str">
        <f aca="false">INDEX(Data_Base!$A$5:$A$28,B235)</f>
        <v>Charcuterie</v>
      </c>
      <c r="D235" s="0" t="str">
        <f aca="false">INDEX(Data_Base!$B$5:$B$28,B235)</f>
        <v>Online Direct</v>
      </c>
      <c r="E235" s="26" t="n">
        <f aca="false">INDEX(Data_Base!$B$32:$M$37,MATCH(C235,Data_Base!$A$32:$A$37,0),A235)</f>
        <v>0.073631</v>
      </c>
      <c r="F235" s="25" t="n">
        <f aca="false">INDEX(Data_Base!$C$5:$C$28,B235)*(1+INDEX(Assumptions!$B$19:$B$22,MATCH(D235,Assumptions!$A$19:$A$22,0)))*E235</f>
        <v>180.02484976</v>
      </c>
      <c r="G235" s="24" t="n">
        <f aca="false">INDEX(Data_Base!$D$5:$D$28,B235)/INDEX(Data_Base!$C$5:$C$28,B235)</f>
        <v>185.334213320463</v>
      </c>
      <c r="H235" s="27" t="n">
        <f aca="false">IF(A235&gt;=Assumptions!$C$37,INDEX(Assumptions!$B$10:$B$15,MATCH(C235,Assumptions!$A$10:$A$15,0)),0)</f>
        <v>0.02</v>
      </c>
      <c r="I235" s="27" t="n">
        <f aca="false">IF(AND(A235&gt;=Assumptions!$C$37,INDEX(Assumptions!$C$19:$C$22,MATCH(D235,Assumptions!$A$19:$A$22,0))=1),INDEX(Assumptions!$D$10:$D$15,MATCH(C235,Assumptions!$A$10:$A$15,0)),0)</f>
        <v>0</v>
      </c>
      <c r="J235" s="9" t="n">
        <f aca="false">F235*G235*(1+H235)</f>
        <v>34032.0591865723</v>
      </c>
      <c r="K235" s="9" t="n">
        <f aca="false">J235*(1+I235)</f>
        <v>34032.0591865723</v>
      </c>
      <c r="L235" s="24" t="n">
        <f aca="false">INDEX(Data_Base!$E$5:$E$28,B235)/INDEX(Data_Base!$C$5:$C$28,B235)*(1+INDEX(Assumptions!$C$10:$C$15,MATCH(C235,Assumptions!$A$10:$A$15,0)))</f>
        <v>97.8881003861004</v>
      </c>
      <c r="M235" s="9" t="n">
        <f aca="false">F235*L235</f>
        <v>17622.2905652995</v>
      </c>
      <c r="N235" s="24" t="n">
        <f aca="false">INDEX(Data_Base!$F$5:$F$28,B235)/INDEX(Data_Base!$C$5:$C$28,B235)*(1+Assumptions!$C$38)</f>
        <v>11.5586814671815</v>
      </c>
      <c r="O235" s="9" t="n">
        <f aca="false">F235*N235</f>
        <v>2080.84989455304</v>
      </c>
      <c r="P235" s="25" t="n">
        <f aca="false">IF(A235&lt;=3,SUMIFS(Data_Q1!$D$5:$D$76,Data_Q1!$A$5:$A$76,A235,Data_Q1!$B$5:$B$76,C235,Data_Q1!$C$5:$C$76,D235),F235*INDEX(Reforecast!$D$6:$D$9,MATCH(D235,Reforecast!$A$6:$A$9,0)))</f>
        <v>179.9</v>
      </c>
      <c r="Q235" s="9" t="n">
        <f aca="false">IF(A235&lt;=3,SUMIFS(Data_Q1!$E$5:$E$76,Data_Q1!$A$5:$A$76,A235,Data_Q1!$B$5:$B$76,C235,Data_Q1!$C$5:$C$76,D235),P235*G235*(1+H235)*(1+I235))</f>
        <v>34118.62</v>
      </c>
      <c r="R235" s="9" t="n">
        <f aca="false">IF(A235&lt;=3,SUMIFS(Data_Q1!$F$5:$F$76,Data_Q1!$A$5:$A$76,A235,Data_Q1!$B$5:$B$76,C235,Data_Q1!$C$5:$C$76,D235),P235*L235*INDEX(Reforecast!$D$12:$D$17,MATCH(C235,Reforecast!$A$12:$A$17,0)))</f>
        <v>17466.4</v>
      </c>
      <c r="S235" s="9" t="n">
        <f aca="false">IF(A235&lt;=3,SUMIFS(Data_Q1!$G$5:$G$76,Data_Q1!$A$5:$A$76,A235,Data_Q1!$B$5:$B$76,C235,Data_Q1!$C$5:$C$76,D235),P235*N235)</f>
        <v>2078.87</v>
      </c>
    </row>
    <row r="236" customFormat="false" ht="15" hidden="false" customHeight="false" outlineLevel="0" collapsed="false">
      <c r="A236" s="0" t="n">
        <f aca="false">MOD(ROW()-5,12)+1</f>
        <v>4</v>
      </c>
      <c r="B236" s="0" t="n">
        <f aca="false">INT((ROW()-5)/12)+1</f>
        <v>20</v>
      </c>
      <c r="C236" s="0" t="str">
        <f aca="false">INDEX(Data_Base!$A$5:$A$28,B236)</f>
        <v>Charcuterie</v>
      </c>
      <c r="D236" s="0" t="str">
        <f aca="false">INDEX(Data_Base!$B$5:$B$28,B236)</f>
        <v>Online Direct</v>
      </c>
      <c r="E236" s="26" t="n">
        <f aca="false">INDEX(Data_Base!$B$32:$M$37,MATCH(C236,Data_Base!$A$32:$A$37,0),A236)</f>
        <v>0.078373</v>
      </c>
      <c r="F236" s="25" t="n">
        <f aca="false">INDEX(Data_Base!$C$5:$C$28,B236)*(1+INDEX(Assumptions!$B$19:$B$22,MATCH(D236,Assumptions!$A$19:$A$22,0)))*E236</f>
        <v>191.61885008</v>
      </c>
      <c r="G236" s="24" t="n">
        <f aca="false">INDEX(Data_Base!$D$5:$D$28,B236)/INDEX(Data_Base!$C$5:$C$28,B236)</f>
        <v>185.334213320463</v>
      </c>
      <c r="H236" s="27" t="n">
        <f aca="false">IF(A236&gt;=Assumptions!$C$37,INDEX(Assumptions!$B$10:$B$15,MATCH(C236,Assumptions!$A$10:$A$15,0)),0)</f>
        <v>0.02</v>
      </c>
      <c r="I236" s="27" t="n">
        <f aca="false">IF(AND(A236&gt;=Assumptions!$C$37,INDEX(Assumptions!$C$19:$C$22,MATCH(D236,Assumptions!$A$19:$A$22,0))=1),INDEX(Assumptions!$D$10:$D$15,MATCH(C236,Assumptions!$A$10:$A$15,0)),0)</f>
        <v>0</v>
      </c>
      <c r="J236" s="9" t="n">
        <f aca="false">F236*G236*(1+H236)</f>
        <v>36223.7994136876</v>
      </c>
      <c r="K236" s="9" t="n">
        <f aca="false">J236*(1+I236)</f>
        <v>36223.7994136876</v>
      </c>
      <c r="L236" s="24" t="n">
        <f aca="false">INDEX(Data_Base!$E$5:$E$28,B236)/INDEX(Data_Base!$C$5:$C$28,B236)*(1+INDEX(Assumptions!$C$10:$C$15,MATCH(C236,Assumptions!$A$10:$A$15,0)))</f>
        <v>97.8881003861004</v>
      </c>
      <c r="M236" s="9" t="n">
        <f aca="false">F236*L236</f>
        <v>18757.2052325002</v>
      </c>
      <c r="N236" s="24" t="n">
        <f aca="false">INDEX(Data_Base!$F$5:$F$28,B236)/INDEX(Data_Base!$C$5:$C$28,B236)*(1+Assumptions!$C$38)</f>
        <v>11.5586814671815</v>
      </c>
      <c r="O236" s="9" t="n">
        <f aca="false">F236*N236</f>
        <v>2214.86125118232</v>
      </c>
      <c r="P236" s="25" t="n">
        <f aca="false">IF(A236&lt;=3,SUMIFS(Data_Q1!$D$5:$D$76,Data_Q1!$A$5:$A$76,A236,Data_Q1!$B$5:$B$76,C236,Data_Q1!$C$5:$C$76,D236),F236*INDEX(Reforecast!$D$6:$D$9,MATCH(D236,Reforecast!$A$6:$A$9,0)))</f>
        <v>192.069531257513</v>
      </c>
      <c r="Q236" s="9" t="n">
        <f aca="false">IF(A236&lt;=3,SUMIFS(Data_Q1!$E$5:$E$76,Data_Q1!$A$5:$A$76,A236,Data_Q1!$B$5:$B$76,C236,Data_Q1!$C$5:$C$76,D236),P236*G236*(1+H236)*(1+I236))</f>
        <v>36308.9965880102</v>
      </c>
      <c r="R236" s="9" t="n">
        <f aca="false">IF(A236&lt;=3,SUMIFS(Data_Q1!$F$5:$F$76,Data_Q1!$A$5:$A$76,A236,Data_Q1!$B$5:$B$76,C236,Data_Q1!$C$5:$C$76,D236),P236*L236*INDEX(Reforecast!$D$12:$D$17,MATCH(C236,Reforecast!$A$12:$A$17,0)))</f>
        <v>18802.2857217965</v>
      </c>
      <c r="S236" s="9" t="n">
        <f aca="false">IF(A236&lt;=3,SUMIFS(Data_Q1!$G$5:$G$76,Data_Q1!$A$5:$A$76,A236,Data_Q1!$B$5:$B$76,C236,Data_Q1!$C$5:$C$76,D236),P236*N236)</f>
        <v>2220.07053135645</v>
      </c>
    </row>
    <row r="237" customFormat="false" ht="15" hidden="false" customHeight="false" outlineLevel="0" collapsed="false">
      <c r="A237" s="0" t="n">
        <f aca="false">MOD(ROW()-5,12)+1</f>
        <v>5</v>
      </c>
      <c r="B237" s="0" t="n">
        <f aca="false">INT((ROW()-5)/12)+1</f>
        <v>20</v>
      </c>
      <c r="C237" s="0" t="str">
        <f aca="false">INDEX(Data_Base!$A$5:$A$28,B237)</f>
        <v>Charcuterie</v>
      </c>
      <c r="D237" s="0" t="str">
        <f aca="false">INDEX(Data_Base!$B$5:$B$28,B237)</f>
        <v>Online Direct</v>
      </c>
      <c r="E237" s="26" t="n">
        <f aca="false">INDEX(Data_Base!$B$32:$M$37,MATCH(C237,Data_Base!$A$32:$A$37,0),A237)</f>
        <v>0.07853</v>
      </c>
      <c r="F237" s="25" t="n">
        <f aca="false">INDEX(Data_Base!$C$5:$C$28,B237)*(1+INDEX(Assumptions!$B$19:$B$22,MATCH(D237,Assumptions!$A$19:$A$22,0)))*E237</f>
        <v>192.0027088</v>
      </c>
      <c r="G237" s="24" t="n">
        <f aca="false">INDEX(Data_Base!$D$5:$D$28,B237)/INDEX(Data_Base!$C$5:$C$28,B237)</f>
        <v>185.334213320463</v>
      </c>
      <c r="H237" s="27" t="n">
        <f aca="false">IF(A237&gt;=Assumptions!$C$37,INDEX(Assumptions!$B$10:$B$15,MATCH(C237,Assumptions!$A$10:$A$15,0)),0)</f>
        <v>0.02</v>
      </c>
      <c r="I237" s="27" t="n">
        <f aca="false">IF(AND(A237&gt;=Assumptions!$C$37,INDEX(Assumptions!$C$19:$C$22,MATCH(D237,Assumptions!$A$19:$A$22,0))=1),INDEX(Assumptions!$D$10:$D$15,MATCH(C237,Assumptions!$A$10:$A$15,0)),0)</f>
        <v>0</v>
      </c>
      <c r="J237" s="9" t="n">
        <f aca="false">F237*G237*(1+H237)</f>
        <v>36296.3644106629</v>
      </c>
      <c r="K237" s="9" t="n">
        <f aca="false">J237*(1+I237)</f>
        <v>36296.3644106629</v>
      </c>
      <c r="L237" s="24" t="n">
        <f aca="false">INDEX(Data_Base!$E$5:$E$28,B237)/INDEX(Data_Base!$C$5:$C$28,B237)*(1+INDEX(Assumptions!$C$10:$C$15,MATCH(C237,Assumptions!$A$10:$A$15,0)))</f>
        <v>97.8881003861004</v>
      </c>
      <c r="M237" s="9" t="n">
        <f aca="false">F237*L237</f>
        <v>18794.7804334176</v>
      </c>
      <c r="N237" s="24" t="n">
        <f aca="false">INDEX(Data_Base!$F$5:$F$28,B237)/INDEX(Data_Base!$C$5:$C$28,B237)*(1+Assumptions!$C$38)</f>
        <v>11.5586814671815</v>
      </c>
      <c r="O237" s="9" t="n">
        <f aca="false">F237*N237</f>
        <v>2219.2981518552</v>
      </c>
      <c r="P237" s="25" t="n">
        <f aca="false">IF(A237&lt;=3,SUMIFS(Data_Q1!$D$5:$D$76,Data_Q1!$A$5:$A$76,A237,Data_Q1!$B$5:$B$76,C237,Data_Q1!$C$5:$C$76,D237),F237*INDEX(Reforecast!$D$6:$D$9,MATCH(D237,Reforecast!$A$6:$A$9,0)))</f>
        <v>192.454292800486</v>
      </c>
      <c r="Q237" s="9" t="n">
        <f aca="false">IF(A237&lt;=3,SUMIFS(Data_Q1!$E$5:$E$76,Data_Q1!$A$5:$A$76,A237,Data_Q1!$B$5:$B$76,C237,Data_Q1!$C$5:$C$76,D237),P237*G237*(1+H237)*(1+I237))</f>
        <v>36381.7322554507</v>
      </c>
      <c r="R237" s="9" t="n">
        <f aca="false">IF(A237&lt;=3,SUMIFS(Data_Q1!$F$5:$F$76,Data_Q1!$A$5:$A$76,A237,Data_Q1!$B$5:$B$76,C237,Data_Q1!$C$5:$C$76,D237),P237*L237*INDEX(Reforecast!$D$12:$D$17,MATCH(C237,Reforecast!$A$12:$A$17,0)))</f>
        <v>18839.9512297945</v>
      </c>
      <c r="S237" s="9" t="n">
        <f aca="false">IF(A237&lt;=3,SUMIFS(Data_Q1!$G$5:$G$76,Data_Q1!$A$5:$A$76,A237,Data_Q1!$B$5:$B$76,C237,Data_Q1!$C$5:$C$76,D237),P237*N237)</f>
        <v>2224.5178674725</v>
      </c>
    </row>
    <row r="238" customFormat="false" ht="15" hidden="false" customHeight="false" outlineLevel="0" collapsed="false">
      <c r="A238" s="0" t="n">
        <f aca="false">MOD(ROW()-5,12)+1</f>
        <v>6</v>
      </c>
      <c r="B238" s="0" t="n">
        <f aca="false">INT((ROW()-5)/12)+1</f>
        <v>20</v>
      </c>
      <c r="C238" s="0" t="str">
        <f aca="false">INDEX(Data_Base!$A$5:$A$28,B238)</f>
        <v>Charcuterie</v>
      </c>
      <c r="D238" s="0" t="str">
        <f aca="false">INDEX(Data_Base!$B$5:$B$28,B238)</f>
        <v>Online Direct</v>
      </c>
      <c r="E238" s="26" t="n">
        <f aca="false">INDEX(Data_Base!$B$32:$M$37,MATCH(C238,Data_Base!$A$32:$A$37,0),A238)</f>
        <v>0.077668</v>
      </c>
      <c r="F238" s="25" t="n">
        <f aca="false">INDEX(Data_Base!$C$5:$C$28,B238)*(1+INDEX(Assumptions!$B$19:$B$22,MATCH(D238,Assumptions!$A$19:$A$22,0)))*E238</f>
        <v>189.89515328</v>
      </c>
      <c r="G238" s="24" t="n">
        <f aca="false">INDEX(Data_Base!$D$5:$D$28,B238)/INDEX(Data_Base!$C$5:$C$28,B238)</f>
        <v>185.334213320463</v>
      </c>
      <c r="H238" s="27" t="n">
        <f aca="false">IF(A238&gt;=Assumptions!$C$37,INDEX(Assumptions!$B$10:$B$15,MATCH(C238,Assumptions!$A$10:$A$15,0)),0)</f>
        <v>0.02</v>
      </c>
      <c r="I238" s="27" t="n">
        <f aca="false">IF(AND(A238&gt;=Assumptions!$C$37,INDEX(Assumptions!$C$19:$C$22,MATCH(D238,Assumptions!$A$19:$A$22,0))=1),INDEX(Assumptions!$D$10:$D$15,MATCH(C238,Assumptions!$A$10:$A$15,0)),0)</f>
        <v>0</v>
      </c>
      <c r="J238" s="9" t="n">
        <f aca="false">F238*G238*(1+H238)</f>
        <v>35897.950223448</v>
      </c>
      <c r="K238" s="9" t="n">
        <f aca="false">J238*(1+I238)</f>
        <v>35897.950223448</v>
      </c>
      <c r="L238" s="24" t="n">
        <f aca="false">INDEX(Data_Base!$E$5:$E$28,B238)/INDEX(Data_Base!$C$5:$C$28,B238)*(1+INDEX(Assumptions!$C$10:$C$15,MATCH(C238,Assumptions!$A$10:$A$15,0)))</f>
        <v>97.8881003861004</v>
      </c>
      <c r="M238" s="9" t="n">
        <f aca="false">F238*L238</f>
        <v>18588.4758271066</v>
      </c>
      <c r="N238" s="24" t="n">
        <f aca="false">INDEX(Data_Base!$F$5:$F$28,B238)/INDEX(Data_Base!$C$5:$C$28,B238)*(1+Assumptions!$C$38)</f>
        <v>11.5586814671815</v>
      </c>
      <c r="O238" s="9" t="n">
        <f aca="false">F238*N238</f>
        <v>2194.93758892512</v>
      </c>
      <c r="P238" s="25" t="n">
        <f aca="false">IF(A238&lt;=3,SUMIFS(Data_Q1!$D$5:$D$76,Data_Q1!$A$5:$A$76,A238,Data_Q1!$B$5:$B$76,C238,Data_Q1!$C$5:$C$76,D238),F238*INDEX(Reforecast!$D$6:$D$9,MATCH(D238,Reforecast!$A$6:$A$9,0)))</f>
        <v>190.341780379832</v>
      </c>
      <c r="Q238" s="9" t="n">
        <f aca="false">IF(A238&lt;=3,SUMIFS(Data_Q1!$E$5:$E$76,Data_Q1!$A$5:$A$76,A238,Data_Q1!$B$5:$B$76,C238,Data_Q1!$C$5:$C$76,D238),P238*G238*(1+H238)*(1+I238))</f>
        <v>35982.3810112867</v>
      </c>
      <c r="R238" s="9" t="n">
        <f aca="false">IF(A238&lt;=3,SUMIFS(Data_Q1!$F$5:$F$76,Data_Q1!$A$5:$A$76,A238,Data_Q1!$B$5:$B$76,C238,Data_Q1!$C$5:$C$76,D238),P238*L238*INDEX(Reforecast!$D$12:$D$17,MATCH(C238,Reforecast!$A$12:$A$17,0)))</f>
        <v>18633.1507973472</v>
      </c>
      <c r="S238" s="9" t="n">
        <f aca="false">IF(A238&lt;=3,SUMIFS(Data_Q1!$G$5:$G$76,Data_Q1!$A$5:$A$76,A238,Data_Q1!$B$5:$B$76,C238,Data_Q1!$C$5:$C$76,D238),P238*N238)</f>
        <v>2200.10000930669</v>
      </c>
    </row>
    <row r="239" customFormat="false" ht="15" hidden="false" customHeight="false" outlineLevel="0" collapsed="false">
      <c r="A239" s="0" t="n">
        <f aca="false">MOD(ROW()-5,12)+1</f>
        <v>7</v>
      </c>
      <c r="B239" s="0" t="n">
        <f aca="false">INT((ROW()-5)/12)+1</f>
        <v>20</v>
      </c>
      <c r="C239" s="0" t="str">
        <f aca="false">INDEX(Data_Base!$A$5:$A$28,B239)</f>
        <v>Charcuterie</v>
      </c>
      <c r="D239" s="0" t="str">
        <f aca="false">INDEX(Data_Base!$B$5:$B$28,B239)</f>
        <v>Online Direct</v>
      </c>
      <c r="E239" s="26" t="n">
        <f aca="false">INDEX(Data_Base!$B$32:$M$37,MATCH(C239,Data_Base!$A$32:$A$37,0),A239)</f>
        <v>0.077824</v>
      </c>
      <c r="F239" s="25" t="n">
        <f aca="false">INDEX(Data_Base!$C$5:$C$28,B239)*(1+INDEX(Assumptions!$B$19:$B$22,MATCH(D239,Assumptions!$A$19:$A$22,0)))*E239</f>
        <v>190.27656704</v>
      </c>
      <c r="G239" s="24" t="n">
        <f aca="false">INDEX(Data_Base!$D$5:$D$28,B239)/INDEX(Data_Base!$C$5:$C$28,B239)</f>
        <v>185.334213320463</v>
      </c>
      <c r="H239" s="27" t="n">
        <f aca="false">IF(A239&gt;=Assumptions!$C$37,INDEX(Assumptions!$B$10:$B$15,MATCH(C239,Assumptions!$A$10:$A$15,0)),0)</f>
        <v>0.02</v>
      </c>
      <c r="I239" s="27" t="n">
        <f aca="false">IF(AND(A239&gt;=Assumptions!$C$37,INDEX(Assumptions!$C$19:$C$22,MATCH(D239,Assumptions!$A$19:$A$22,0))=1),INDEX(Assumptions!$D$10:$D$15,MATCH(C239,Assumptions!$A$10:$A$15,0)),0)</f>
        <v>0</v>
      </c>
      <c r="J239" s="9" t="n">
        <f aca="false">F239*G239*(1+H239)</f>
        <v>35970.0530229903</v>
      </c>
      <c r="K239" s="9" t="n">
        <f aca="false">J239*(1+I239)</f>
        <v>35970.0530229903</v>
      </c>
      <c r="L239" s="24" t="n">
        <f aca="false">INDEX(Data_Base!$E$5:$E$28,B239)/INDEX(Data_Base!$C$5:$C$28,B239)*(1+INDEX(Assumptions!$C$10:$C$15,MATCH(C239,Assumptions!$A$10:$A$15,0)))</f>
        <v>97.8881003861004</v>
      </c>
      <c r="M239" s="9" t="n">
        <f aca="false">F239*L239</f>
        <v>18625.8116955341</v>
      </c>
      <c r="N239" s="24" t="n">
        <f aca="false">INDEX(Data_Base!$F$5:$F$28,B239)/INDEX(Data_Base!$C$5:$C$28,B239)*(1+Assumptions!$C$38)</f>
        <v>11.5586814671815</v>
      </c>
      <c r="O239" s="9" t="n">
        <f aca="false">F239*N239</f>
        <v>2199.34622908416</v>
      </c>
      <c r="P239" s="25" t="n">
        <f aca="false">IF(A239&lt;=3,SUMIFS(Data_Q1!$D$5:$D$76,Data_Q1!$A$5:$A$76,A239,Data_Q1!$B$5:$B$76,C239,Data_Q1!$C$5:$C$76,D239),F239*INDEX(Reforecast!$D$6:$D$9,MATCH(D239,Reforecast!$A$6:$A$9,0)))</f>
        <v>190.72409121234</v>
      </c>
      <c r="Q239" s="9" t="n">
        <f aca="false">IF(A239&lt;=3,SUMIFS(Data_Q1!$E$5:$E$76,Data_Q1!$A$5:$A$76,A239,Data_Q1!$B$5:$B$76,C239,Data_Q1!$C$5:$C$76,D239),P239*G239*(1+H239)*(1+I239))</f>
        <v>36054.6533942213</v>
      </c>
      <c r="R239" s="9" t="n">
        <f aca="false">IF(A239&lt;=3,SUMIFS(Data_Q1!$F$5:$F$76,Data_Q1!$A$5:$A$76,A239,Data_Q1!$B$5:$B$76,C239,Data_Q1!$C$5:$C$76,D239),P239*L239*INDEX(Reforecast!$D$12:$D$17,MATCH(C239,Reforecast!$A$12:$A$17,0)))</f>
        <v>18670.5763976509</v>
      </c>
      <c r="S239" s="9" t="n">
        <f aca="false">IF(A239&lt;=3,SUMIFS(Data_Q1!$G$5:$G$76,Data_Q1!$A$5:$A$76,A239,Data_Q1!$B$5:$B$76,C239,Data_Q1!$C$5:$C$76,D239),P239*N239)</f>
        <v>2204.5190184411</v>
      </c>
    </row>
    <row r="240" customFormat="false" ht="15" hidden="false" customHeight="false" outlineLevel="0" collapsed="false">
      <c r="A240" s="0" t="n">
        <f aca="false">MOD(ROW()-5,12)+1</f>
        <v>8</v>
      </c>
      <c r="B240" s="0" t="n">
        <f aca="false">INT((ROW()-5)/12)+1</f>
        <v>20</v>
      </c>
      <c r="C240" s="0" t="str">
        <f aca="false">INDEX(Data_Base!$A$5:$A$28,B240)</f>
        <v>Charcuterie</v>
      </c>
      <c r="D240" s="0" t="str">
        <f aca="false">INDEX(Data_Base!$B$5:$B$28,B240)</f>
        <v>Online Direct</v>
      </c>
      <c r="E240" s="26" t="n">
        <f aca="false">INDEX(Data_Base!$B$32:$M$37,MATCH(C240,Data_Base!$A$32:$A$37,0),A240)</f>
        <v>0.078608</v>
      </c>
      <c r="F240" s="25" t="n">
        <f aca="false">INDEX(Data_Base!$C$5:$C$28,B240)*(1+INDEX(Assumptions!$B$19:$B$22,MATCH(D240,Assumptions!$A$19:$A$22,0)))*E240</f>
        <v>192.19341568</v>
      </c>
      <c r="G240" s="24" t="n">
        <f aca="false">INDEX(Data_Base!$D$5:$D$28,B240)/INDEX(Data_Base!$C$5:$C$28,B240)</f>
        <v>185.334213320463</v>
      </c>
      <c r="H240" s="27" t="n">
        <f aca="false">IF(A240&gt;=Assumptions!$C$37,INDEX(Assumptions!$B$10:$B$15,MATCH(C240,Assumptions!$A$10:$A$15,0)),0)</f>
        <v>0.02</v>
      </c>
      <c r="I240" s="27" t="n">
        <f aca="false">IF(AND(A240&gt;=Assumptions!$C$37,INDEX(Assumptions!$C$19:$C$22,MATCH(D240,Assumptions!$A$19:$A$22,0))=1),INDEX(Assumptions!$D$10:$D$15,MATCH(C240,Assumptions!$A$10:$A$15,0)),0)</f>
        <v>0</v>
      </c>
      <c r="J240" s="9" t="n">
        <f aca="false">F240*G240*(1+H240)</f>
        <v>36332.4158104341</v>
      </c>
      <c r="K240" s="9" t="n">
        <f aca="false">J240*(1+I240)</f>
        <v>36332.4158104341</v>
      </c>
      <c r="L240" s="24" t="n">
        <f aca="false">INDEX(Data_Base!$E$5:$E$28,B240)/INDEX(Data_Base!$C$5:$C$28,B240)*(1+INDEX(Assumptions!$C$10:$C$15,MATCH(C240,Assumptions!$A$10:$A$15,0)))</f>
        <v>97.8881003861004</v>
      </c>
      <c r="M240" s="9" t="n">
        <f aca="false">F240*L240</f>
        <v>18813.4483676314</v>
      </c>
      <c r="N240" s="24" t="n">
        <f aca="false">INDEX(Data_Base!$F$5:$F$28,B240)/INDEX(Data_Base!$C$5:$C$28,B240)*(1+Assumptions!$C$38)</f>
        <v>11.5586814671815</v>
      </c>
      <c r="O240" s="9" t="n">
        <f aca="false">F240*N240</f>
        <v>2221.50247193472</v>
      </c>
      <c r="P240" s="25" t="n">
        <f aca="false">IF(A240&lt;=3,SUMIFS(Data_Q1!$D$5:$D$76,Data_Q1!$A$5:$A$76,A240,Data_Q1!$B$5:$B$76,C240,Data_Q1!$C$5:$C$76,D240),F240*INDEX(Reforecast!$D$6:$D$9,MATCH(D240,Reforecast!$A$6:$A$9,0)))</f>
        <v>192.645448216741</v>
      </c>
      <c r="Q240" s="9" t="n">
        <f aca="false">IF(A240&lt;=3,SUMIFS(Data_Q1!$E$5:$E$76,Data_Q1!$A$5:$A$76,A240,Data_Q1!$B$5:$B$76,C240,Data_Q1!$C$5:$C$76,D240),P240*G240*(1+H240)*(1+I240))</f>
        <v>36417.868446918</v>
      </c>
      <c r="R240" s="9" t="n">
        <f aca="false">IF(A240&lt;=3,SUMIFS(Data_Q1!$F$5:$F$76,Data_Q1!$A$5:$A$76,A240,Data_Q1!$B$5:$B$76,C240,Data_Q1!$C$5:$C$76,D240),P240*L240*INDEX(Reforecast!$D$12:$D$17,MATCH(C240,Reforecast!$A$12:$A$17,0)))</f>
        <v>18858.6640299463</v>
      </c>
      <c r="S240" s="9" t="n">
        <f aca="false">IF(A240&lt;=3,SUMIFS(Data_Q1!$G$5:$G$76,Data_Q1!$A$5:$A$76,A240,Data_Q1!$B$5:$B$76,C240,Data_Q1!$C$5:$C$76,D240),P240*N240)</f>
        <v>2226.72737203971</v>
      </c>
    </row>
    <row r="241" customFormat="false" ht="15" hidden="false" customHeight="false" outlineLevel="0" collapsed="false">
      <c r="A241" s="0" t="n">
        <f aca="false">MOD(ROW()-5,12)+1</f>
        <v>9</v>
      </c>
      <c r="B241" s="0" t="n">
        <f aca="false">INT((ROW()-5)/12)+1</f>
        <v>20</v>
      </c>
      <c r="C241" s="0" t="str">
        <f aca="false">INDEX(Data_Base!$A$5:$A$28,B241)</f>
        <v>Charcuterie</v>
      </c>
      <c r="D241" s="0" t="str">
        <f aca="false">INDEX(Data_Base!$B$5:$B$28,B241)</f>
        <v>Online Direct</v>
      </c>
      <c r="E241" s="26" t="n">
        <f aca="false">INDEX(Data_Base!$B$32:$M$37,MATCH(C241,Data_Base!$A$32:$A$37,0),A241)</f>
        <v>0.082292</v>
      </c>
      <c r="F241" s="25" t="n">
        <f aca="false">INDEX(Data_Base!$C$5:$C$28,B241)*(1+INDEX(Assumptions!$B$19:$B$22,MATCH(D241,Assumptions!$A$19:$A$22,0)))*E241</f>
        <v>201.20064832</v>
      </c>
      <c r="G241" s="24" t="n">
        <f aca="false">INDEX(Data_Base!$D$5:$D$28,B241)/INDEX(Data_Base!$C$5:$C$28,B241)</f>
        <v>185.334213320463</v>
      </c>
      <c r="H241" s="27" t="n">
        <f aca="false">IF(A241&gt;=Assumptions!$C$37,INDEX(Assumptions!$B$10:$B$15,MATCH(C241,Assumptions!$A$10:$A$15,0)),0)</f>
        <v>0.02</v>
      </c>
      <c r="I241" s="27" t="n">
        <f aca="false">IF(AND(A241&gt;=Assumptions!$C$37,INDEX(Assumptions!$C$19:$C$22,MATCH(D241,Assumptions!$A$19:$A$22,0))=1),INDEX(Assumptions!$D$10:$D$15,MATCH(C241,Assumptions!$A$10:$A$15,0)),0)</f>
        <v>0</v>
      </c>
      <c r="J241" s="9" t="n">
        <f aca="false">F241*G241*(1+H241)</f>
        <v>38035.1511534735</v>
      </c>
      <c r="K241" s="9" t="n">
        <f aca="false">J241*(1+I241)</f>
        <v>38035.1511534735</v>
      </c>
      <c r="L241" s="24" t="n">
        <f aca="false">INDEX(Data_Base!$E$5:$E$28,B241)/INDEX(Data_Base!$C$5:$C$28,B241)*(1+INDEX(Assumptions!$C$10:$C$15,MATCH(C241,Assumptions!$A$10:$A$15,0)))</f>
        <v>97.8881003861004</v>
      </c>
      <c r="M241" s="9" t="n">
        <f aca="false">F241*L241</f>
        <v>19695.1492604966</v>
      </c>
      <c r="N241" s="24" t="n">
        <f aca="false">INDEX(Data_Base!$F$5:$F$28,B241)/INDEX(Data_Base!$C$5:$C$28,B241)*(1+Assumptions!$C$38)</f>
        <v>11.5586814671815</v>
      </c>
      <c r="O241" s="9" t="n">
        <f aca="false">F241*N241</f>
        <v>2325.61420492128</v>
      </c>
      <c r="P241" s="25" t="n">
        <f aca="false">IF(A241&lt;=3,SUMIFS(Data_Q1!$D$5:$D$76,Data_Q1!$A$5:$A$76,A241,Data_Q1!$B$5:$B$76,C241,Data_Q1!$C$5:$C$76,D241),F241*INDEX(Reforecast!$D$6:$D$9,MATCH(D241,Reforecast!$A$6:$A$9,0)))</f>
        <v>201.673865569052</v>
      </c>
      <c r="Q241" s="9" t="n">
        <f aca="false">IF(A241&lt;=3,SUMIFS(Data_Q1!$E$5:$E$76,Data_Q1!$A$5:$A$76,A241,Data_Q1!$B$5:$B$76,C241,Data_Q1!$C$5:$C$76,D241),P241*G241*(1+H241)*(1+I241))</f>
        <v>38124.6085669878</v>
      </c>
      <c r="R241" s="9" t="n">
        <f aca="false">IF(A241&lt;=3,SUMIFS(Data_Q1!$F$5:$F$76,Data_Q1!$A$5:$A$76,A241,Data_Q1!$B$5:$B$76,C241,Data_Q1!$C$5:$C$76,D241),P241*L241*INDEX(Reforecast!$D$12:$D$17,MATCH(C241,Reforecast!$A$12:$A$17,0)))</f>
        <v>19742.4839755793</v>
      </c>
      <c r="S241" s="9" t="n">
        <f aca="false">IF(A241&lt;=3,SUMIFS(Data_Q1!$G$5:$G$76,Data_Q1!$A$5:$A$76,A241,Data_Q1!$B$5:$B$76,C241,Data_Q1!$C$5:$C$76,D241),P241*N241)</f>
        <v>2331.08397236784</v>
      </c>
    </row>
    <row r="242" customFormat="false" ht="15" hidden="false" customHeight="false" outlineLevel="0" collapsed="false">
      <c r="A242" s="0" t="n">
        <f aca="false">MOD(ROW()-5,12)+1</f>
        <v>10</v>
      </c>
      <c r="B242" s="0" t="n">
        <f aca="false">INT((ROW()-5)/12)+1</f>
        <v>20</v>
      </c>
      <c r="C242" s="0" t="str">
        <f aca="false">INDEX(Data_Base!$A$5:$A$28,B242)</f>
        <v>Charcuterie</v>
      </c>
      <c r="D242" s="0" t="str">
        <f aca="false">INDEX(Data_Base!$B$5:$B$28,B242)</f>
        <v>Online Direct</v>
      </c>
      <c r="E242" s="26" t="n">
        <f aca="false">INDEX(Data_Base!$B$32:$M$37,MATCH(C242,Data_Base!$A$32:$A$37,0),A242)</f>
        <v>0.090246</v>
      </c>
      <c r="F242" s="25" t="n">
        <f aca="false">INDEX(Data_Base!$C$5:$C$28,B242)*(1+INDEX(Assumptions!$B$19:$B$22,MATCH(D242,Assumptions!$A$19:$A$22,0)))*E242</f>
        <v>220.64786016</v>
      </c>
      <c r="G242" s="24" t="n">
        <f aca="false">INDEX(Data_Base!$D$5:$D$28,B242)/INDEX(Data_Base!$C$5:$C$28,B242)</f>
        <v>185.334213320463</v>
      </c>
      <c r="H242" s="27" t="n">
        <f aca="false">IF(A242&gt;=Assumptions!$C$37,INDEX(Assumptions!$B$10:$B$15,MATCH(C242,Assumptions!$A$10:$A$15,0)),0)</f>
        <v>0.02</v>
      </c>
      <c r="I242" s="27" t="n">
        <f aca="false">IF(AND(A242&gt;=Assumptions!$C$37,INDEX(Assumptions!$C$19:$C$22,MATCH(D242,Assumptions!$A$19:$A$22,0))=1),INDEX(Assumptions!$D$10:$D$15,MATCH(C242,Assumptions!$A$10:$A$15,0)),0)</f>
        <v>0</v>
      </c>
      <c r="J242" s="9" t="n">
        <f aca="false">F242*G242*(1+H242)</f>
        <v>41711.4695352691</v>
      </c>
      <c r="K242" s="9" t="n">
        <f aca="false">J242*(1+I242)</f>
        <v>41711.4695352691</v>
      </c>
      <c r="L242" s="24" t="n">
        <f aca="false">INDEX(Data_Base!$E$5:$E$28,B242)/INDEX(Data_Base!$C$5:$C$28,B242)*(1+INDEX(Assumptions!$C$10:$C$15,MATCH(C242,Assumptions!$A$10:$A$15,0)))</f>
        <v>97.8881003861004</v>
      </c>
      <c r="M242" s="9" t="n">
        <f aca="false">F242*L242</f>
        <v>21598.7998853203</v>
      </c>
      <c r="N242" s="24" t="n">
        <f aca="false">INDEX(Data_Base!$F$5:$F$28,B242)/INDEX(Data_Base!$C$5:$C$28,B242)*(1+Assumptions!$C$38)</f>
        <v>11.5586814671815</v>
      </c>
      <c r="O242" s="9" t="n">
        <f aca="false">F242*N242</f>
        <v>2550.39833200464</v>
      </c>
      <c r="P242" s="25" t="n">
        <f aca="false">IF(A242&lt;=3,SUMIFS(Data_Q1!$D$5:$D$76,Data_Q1!$A$5:$A$76,A242,Data_Q1!$B$5:$B$76,C242,Data_Q1!$C$5:$C$76,D242),F242*INDEX(Reforecast!$D$6:$D$9,MATCH(D242,Reforecast!$A$6:$A$9,0)))</f>
        <v>221.166816606045</v>
      </c>
      <c r="Q242" s="9" t="n">
        <f aca="false">IF(A242&lt;=3,SUMIFS(Data_Q1!$E$5:$E$76,Data_Q1!$A$5:$A$76,A242,Data_Q1!$B$5:$B$76,C242,Data_Q1!$C$5:$C$76,D242),P242*G242*(1+H242)*(1+I242))</f>
        <v>41809.5735276379</v>
      </c>
      <c r="R242" s="9" t="n">
        <f aca="false">IF(A242&lt;=3,SUMIFS(Data_Q1!$F$5:$F$76,Data_Q1!$A$5:$A$76,A242,Data_Q1!$B$5:$B$76,C242,Data_Q1!$C$5:$C$76,D242),P242*L242*INDEX(Reforecast!$D$12:$D$17,MATCH(C242,Reforecast!$A$12:$A$17,0)))</f>
        <v>21650.7097756785</v>
      </c>
      <c r="S242" s="9" t="n">
        <f aca="false">IF(A242&lt;=3,SUMIFS(Data_Q1!$G$5:$G$76,Data_Q1!$A$5:$A$76,A242,Data_Q1!$B$5:$B$76,C242,Data_Q1!$C$5:$C$76,D242),P242*N242)</f>
        <v>2556.39678425981</v>
      </c>
    </row>
    <row r="243" customFormat="false" ht="15" hidden="false" customHeight="false" outlineLevel="0" collapsed="false">
      <c r="A243" s="0" t="n">
        <f aca="false">MOD(ROW()-5,12)+1</f>
        <v>11</v>
      </c>
      <c r="B243" s="0" t="n">
        <f aca="false">INT((ROW()-5)/12)+1</f>
        <v>20</v>
      </c>
      <c r="C243" s="0" t="str">
        <f aca="false">INDEX(Data_Base!$A$5:$A$28,B243)</f>
        <v>Charcuterie</v>
      </c>
      <c r="D243" s="0" t="str">
        <f aca="false">INDEX(Data_Base!$B$5:$B$28,B243)</f>
        <v>Online Direct</v>
      </c>
      <c r="E243" s="26" t="n">
        <f aca="false">INDEX(Data_Base!$B$32:$M$37,MATCH(C243,Data_Base!$A$32:$A$37,0),A243)</f>
        <v>0.102865</v>
      </c>
      <c r="F243" s="25" t="n">
        <f aca="false">INDEX(Data_Base!$C$5:$C$28,B243)*(1+INDEX(Assumptions!$B$19:$B$22,MATCH(D243,Assumptions!$A$19:$A$22,0)))*E243</f>
        <v>251.5008104</v>
      </c>
      <c r="G243" s="24" t="n">
        <f aca="false">INDEX(Data_Base!$D$5:$D$28,B243)/INDEX(Data_Base!$C$5:$C$28,B243)</f>
        <v>185.334213320463</v>
      </c>
      <c r="H243" s="27" t="n">
        <f aca="false">IF(A243&gt;=Assumptions!$C$37,INDEX(Assumptions!$B$10:$B$15,MATCH(C243,Assumptions!$A$10:$A$15,0)),0)</f>
        <v>0.02</v>
      </c>
      <c r="I243" s="27" t="n">
        <f aca="false">IF(AND(A243&gt;=Assumptions!$C$37,INDEX(Assumptions!$C$19:$C$22,MATCH(D243,Assumptions!$A$19:$A$22,0))=1),INDEX(Assumptions!$D$10:$D$15,MATCH(C243,Assumptions!$A$10:$A$15,0)),0)</f>
        <v>0</v>
      </c>
      <c r="J243" s="9" t="n">
        <f aca="false">F243*G243*(1+H243)</f>
        <v>47543.9389418419</v>
      </c>
      <c r="K243" s="9" t="n">
        <f aca="false">J243*(1+I243)</f>
        <v>47543.9389418419</v>
      </c>
      <c r="L243" s="24" t="n">
        <f aca="false">INDEX(Data_Base!$E$5:$E$28,B243)/INDEX(Data_Base!$C$5:$C$28,B243)*(1+INDEX(Assumptions!$C$10:$C$15,MATCH(C243,Assumptions!$A$10:$A$15,0)))</f>
        <v>97.8881003861004</v>
      </c>
      <c r="M243" s="9" t="n">
        <f aca="false">F243*L243</f>
        <v>24618.9365756208</v>
      </c>
      <c r="N243" s="24" t="n">
        <f aca="false">INDEX(Data_Base!$F$5:$F$28,B243)/INDEX(Data_Base!$C$5:$C$28,B243)*(1+Assumptions!$C$38)</f>
        <v>11.5586814671815</v>
      </c>
      <c r="O243" s="9" t="n">
        <f aca="false">F243*N243</f>
        <v>2907.0177561516</v>
      </c>
      <c r="P243" s="25" t="n">
        <f aca="false">IF(A243&lt;=3,SUMIFS(Data_Q1!$D$5:$D$76,Data_Q1!$A$5:$A$76,A243,Data_Q1!$B$5:$B$76,C243,Data_Q1!$C$5:$C$76,D243),F243*INDEX(Reforecast!$D$6:$D$9,MATCH(D243,Reforecast!$A$6:$A$9,0)))</f>
        <v>252.092331961315</v>
      </c>
      <c r="Q243" s="9" t="n">
        <f aca="false">IF(A243&lt;=3,SUMIFS(Data_Q1!$E$5:$E$76,Data_Q1!$A$5:$A$76,A243,Data_Q1!$B$5:$B$76,C243,Data_Q1!$C$5:$C$76,D243),P243*G243*(1+H243)*(1+I243))</f>
        <v>47655.7607087348</v>
      </c>
      <c r="R243" s="9" t="n">
        <f aca="false">IF(A243&lt;=3,SUMIFS(Data_Q1!$F$5:$F$76,Data_Q1!$A$5:$A$76,A243,Data_Q1!$B$5:$B$76,C243,Data_Q1!$C$5:$C$76,D243),P243*L243*INDEX(Reforecast!$D$12:$D$17,MATCH(C243,Reforecast!$A$12:$A$17,0)))</f>
        <v>24678.1049694742</v>
      </c>
      <c r="S243" s="9" t="n">
        <f aca="false">IF(A243&lt;=3,SUMIFS(Data_Q1!$G$5:$G$76,Data_Q1!$A$5:$A$76,A243,Data_Q1!$B$5:$B$76,C243,Data_Q1!$C$5:$C$76,D243),P243*N243)</f>
        <v>2913.85496545981</v>
      </c>
    </row>
    <row r="244" customFormat="false" ht="15" hidden="false" customHeight="false" outlineLevel="0" collapsed="false">
      <c r="A244" s="0" t="n">
        <f aca="false">MOD(ROW()-5,12)+1</f>
        <v>12</v>
      </c>
      <c r="B244" s="0" t="n">
        <f aca="false">INT((ROW()-5)/12)+1</f>
        <v>20</v>
      </c>
      <c r="C244" s="0" t="str">
        <f aca="false">INDEX(Data_Base!$A$5:$A$28,B244)</f>
        <v>Charcuterie</v>
      </c>
      <c r="D244" s="0" t="str">
        <f aca="false">INDEX(Data_Base!$B$5:$B$28,B244)</f>
        <v>Online Direct</v>
      </c>
      <c r="E244" s="26" t="n">
        <f aca="false">INDEX(Data_Base!$B$32:$M$37,MATCH(C244,Data_Base!$A$32:$A$37,0),A244)</f>
        <v>0.115208</v>
      </c>
      <c r="F244" s="25" t="n">
        <f aca="false">INDEX(Data_Base!$C$5:$C$28,B244)*(1+INDEX(Assumptions!$B$19:$B$22,MATCH(D244,Assumptions!$A$19:$A$22,0)))*E244</f>
        <v>281.67895168</v>
      </c>
      <c r="G244" s="24" t="n">
        <f aca="false">INDEX(Data_Base!$D$5:$D$28,B244)/INDEX(Data_Base!$C$5:$C$28,B244)</f>
        <v>185.334213320463</v>
      </c>
      <c r="H244" s="27" t="n">
        <f aca="false">IF(A244&gt;=Assumptions!$C$37,INDEX(Assumptions!$B$10:$B$15,MATCH(C244,Assumptions!$A$10:$A$15,0)),0)</f>
        <v>0.02</v>
      </c>
      <c r="I244" s="27" t="n">
        <f aca="false">IF(AND(A244&gt;=Assumptions!$C$37,INDEX(Assumptions!$C$19:$C$22,MATCH(D244,Assumptions!$A$19:$A$22,0))=1),INDEX(Assumptions!$D$10:$D$15,MATCH(C244,Assumptions!$A$10:$A$15,0)),0)</f>
        <v>0</v>
      </c>
      <c r="J244" s="9" t="n">
        <f aca="false">F244*G244*(1+H244)</f>
        <v>53248.8418569165</v>
      </c>
      <c r="K244" s="9" t="n">
        <f aca="false">J244*(1+I244)</f>
        <v>53248.8418569165</v>
      </c>
      <c r="L244" s="24" t="n">
        <f aca="false">INDEX(Data_Base!$E$5:$E$28,B244)/INDEX(Data_Base!$C$5:$C$28,B244)*(1+INDEX(Assumptions!$C$10:$C$15,MATCH(C244,Assumptions!$A$10:$A$15,0)))</f>
        <v>97.8881003861004</v>
      </c>
      <c r="M244" s="9" t="n">
        <f aca="false">F244*L244</f>
        <v>27573.0174987034</v>
      </c>
      <c r="N244" s="24" t="n">
        <f aca="false">INDEX(Data_Base!$F$5:$F$28,B244)/INDEX(Data_Base!$C$5:$C$28,B244)*(1+Assumptions!$C$38)</f>
        <v>11.5586814671815</v>
      </c>
      <c r="O244" s="9" t="n">
        <f aca="false">F244*N244</f>
        <v>3255.83727847872</v>
      </c>
      <c r="P244" s="25" t="n">
        <f aca="false">IF(A244&lt;=3,SUMIFS(Data_Q1!$D$5:$D$76,Data_Q1!$A$5:$A$76,A244,Data_Q1!$B$5:$B$76,C244,Data_Q1!$C$5:$C$76,D244),F244*INDEX(Reforecast!$D$6:$D$9,MATCH(D244,Reforecast!$A$6:$A$9,0)))</f>
        <v>282.341451228301</v>
      </c>
      <c r="Q244" s="9" t="n">
        <f aca="false">IF(A244&lt;=3,SUMIFS(Data_Q1!$E$5:$E$76,Data_Q1!$A$5:$A$76,A244,Data_Q1!$B$5:$B$76,C244,Data_Q1!$C$5:$C$76,D244),P244*G244*(1+H244)*(1+I244))</f>
        <v>53374.0813661781</v>
      </c>
      <c r="R244" s="9" t="n">
        <f aca="false">IF(A244&lt;=3,SUMIFS(Data_Q1!$F$5:$F$76,Data_Q1!$A$5:$A$76,A244,Data_Q1!$B$5:$B$76,C244,Data_Q1!$C$5:$C$76,D244),P244*L244*INDEX(Reforecast!$D$12:$D$17,MATCH(C244,Reforecast!$A$12:$A$17,0)))</f>
        <v>27639.2856396557</v>
      </c>
      <c r="S244" s="9" t="n">
        <f aca="false">IF(A244&lt;=3,SUMIFS(Data_Q1!$G$5:$G$76,Data_Q1!$A$5:$A$76,A244,Data_Q1!$B$5:$B$76,C244,Data_Q1!$C$5:$C$76,D244),P244*N244)</f>
        <v>3263.49489972968</v>
      </c>
    </row>
    <row r="245" customFormat="false" ht="15" hidden="false" customHeight="false" outlineLevel="0" collapsed="false">
      <c r="A245" s="0" t="n">
        <f aca="false">MOD(ROW()-5,12)+1</f>
        <v>1</v>
      </c>
      <c r="B245" s="0" t="n">
        <f aca="false">INT((ROW()-5)/12)+1</f>
        <v>21</v>
      </c>
      <c r="C245" s="0" t="str">
        <f aca="false">INDEX(Data_Base!$A$5:$A$28,B245)</f>
        <v>Cheese &amp; Dairy</v>
      </c>
      <c r="D245" s="0" t="str">
        <f aca="false">INDEX(Data_Base!$B$5:$B$28,B245)</f>
        <v>Restaurants</v>
      </c>
      <c r="E245" s="26" t="n">
        <f aca="false">INDEX(Data_Base!$B$32:$M$37,MATCH(C245,Data_Base!$A$32:$A$37,0),A245)</f>
        <v>0.078139</v>
      </c>
      <c r="F245" s="25" t="n">
        <f aca="false">INDEX(Data_Base!$C$5:$C$28,B245)*(1+INDEX(Assumptions!$B$19:$B$22,MATCH(D245,Assumptions!$A$19:$A$22,0)))*E245</f>
        <v>1271.72160168</v>
      </c>
      <c r="G245" s="24" t="n">
        <f aca="false">INDEX(Data_Base!$D$5:$D$28,B245)/INDEX(Data_Base!$C$5:$C$28,B245)</f>
        <v>134.569125094009</v>
      </c>
      <c r="H245" s="27" t="n">
        <f aca="false">IF(A245&gt;=Assumptions!$C$37,INDEX(Assumptions!$B$10:$B$15,MATCH(C245,Assumptions!$A$10:$A$15,0)),0)</f>
        <v>0</v>
      </c>
      <c r="I245" s="27" t="n">
        <f aca="false">IF(AND(A245&gt;=Assumptions!$C$37,INDEX(Assumptions!$C$19:$C$22,MATCH(D245,Assumptions!$A$19:$A$22,0))=1),INDEX(Assumptions!$D$10:$D$15,MATCH(C245,Assumptions!$A$10:$A$15,0)),0)</f>
        <v>0</v>
      </c>
      <c r="J245" s="9" t="n">
        <f aca="false">F245*G245*(1+H245)</f>
        <v>171134.463301229</v>
      </c>
      <c r="K245" s="9" t="n">
        <f aca="false">J245*(1+I245)</f>
        <v>171134.463301229</v>
      </c>
      <c r="L245" s="24" t="n">
        <f aca="false">INDEX(Data_Base!$E$5:$E$28,B245)/INDEX(Data_Base!$C$5:$C$28,B245)*(1+INDEX(Assumptions!$C$10:$C$15,MATCH(C245,Assumptions!$A$10:$A$15,0)))</f>
        <v>85.1105100150414</v>
      </c>
      <c r="M245" s="9" t="n">
        <f aca="false">F245*L245</f>
        <v>108236.87411613</v>
      </c>
      <c r="N245" s="24" t="n">
        <f aca="false">INDEX(Data_Base!$F$5:$F$28,B245)/INDEX(Data_Base!$C$5:$C$28,B245)*(1+Assumptions!$C$38)</f>
        <v>2.70930819754324</v>
      </c>
      <c r="O245" s="9" t="n">
        <f aca="false">F245*N245</f>
        <v>3445.48576042445</v>
      </c>
      <c r="P245" s="25" t="n">
        <f aca="false">IF(A245&lt;=3,SUMIFS(Data_Q1!$D$5:$D$76,Data_Q1!$A$5:$A$76,A245,Data_Q1!$B$5:$B$76,C245,Data_Q1!$C$5:$C$76,D245),F245*INDEX(Reforecast!$D$6:$D$9,MATCH(D245,Reforecast!$A$6:$A$9,0)))</f>
        <v>1221.8</v>
      </c>
      <c r="Q245" s="9" t="n">
        <f aca="false">IF(A245&lt;=3,SUMIFS(Data_Q1!$E$5:$E$76,Data_Q1!$A$5:$A$76,A245,Data_Q1!$B$5:$B$76,C245,Data_Q1!$C$5:$C$76,D245),P245*G245*(1+H245)*(1+I245))</f>
        <v>164157.41</v>
      </c>
      <c r="R245" s="9" t="n">
        <f aca="false">IF(A245&lt;=3,SUMIFS(Data_Q1!$F$5:$F$76,Data_Q1!$A$5:$A$76,A245,Data_Q1!$B$5:$B$76,C245,Data_Q1!$C$5:$C$76,D245),P245*L245*INDEX(Reforecast!$D$12:$D$17,MATCH(C245,Reforecast!$A$12:$A$17,0)))</f>
        <v>104550.28</v>
      </c>
      <c r="S245" s="9" t="n">
        <f aca="false">IF(A245&lt;=3,SUMIFS(Data_Q1!$G$5:$G$76,Data_Q1!$A$5:$A$76,A245,Data_Q1!$B$5:$B$76,C245,Data_Q1!$C$5:$C$76,D245),P245*N245)</f>
        <v>3310.12</v>
      </c>
    </row>
    <row r="246" customFormat="false" ht="15" hidden="false" customHeight="false" outlineLevel="0" collapsed="false">
      <c r="A246" s="0" t="n">
        <f aca="false">MOD(ROW()-5,12)+1</f>
        <v>2</v>
      </c>
      <c r="B246" s="0" t="n">
        <f aca="false">INT((ROW()-5)/12)+1</f>
        <v>21</v>
      </c>
      <c r="C246" s="0" t="str">
        <f aca="false">INDEX(Data_Base!$A$5:$A$28,B246)</f>
        <v>Cheese &amp; Dairy</v>
      </c>
      <c r="D246" s="0" t="str">
        <f aca="false">INDEX(Data_Base!$B$5:$B$28,B246)</f>
        <v>Restaurants</v>
      </c>
      <c r="E246" s="26" t="n">
        <f aca="false">INDEX(Data_Base!$B$32:$M$37,MATCH(C246,Data_Base!$A$32:$A$37,0),A246)</f>
        <v>0.074499</v>
      </c>
      <c r="F246" s="25" t="n">
        <f aca="false">INDEX(Data_Base!$C$5:$C$28,B246)*(1+INDEX(Assumptions!$B$19:$B$22,MATCH(D246,Assumptions!$A$19:$A$22,0)))*E246</f>
        <v>1212.48016488</v>
      </c>
      <c r="G246" s="24" t="n">
        <f aca="false">INDEX(Data_Base!$D$5:$D$28,B246)/INDEX(Data_Base!$C$5:$C$28,B246)</f>
        <v>134.569125094009</v>
      </c>
      <c r="H246" s="27" t="n">
        <f aca="false">IF(A246&gt;=Assumptions!$C$37,INDEX(Assumptions!$B$10:$B$15,MATCH(C246,Assumptions!$A$10:$A$15,0)),0)</f>
        <v>0.015</v>
      </c>
      <c r="I246" s="27" t="n">
        <f aca="false">IF(AND(A246&gt;=Assumptions!$C$37,INDEX(Assumptions!$C$19:$C$22,MATCH(D246,Assumptions!$A$19:$A$22,0))=1),INDEX(Assumptions!$D$10:$D$15,MATCH(C246,Assumptions!$A$10:$A$15,0)),0)</f>
        <v>0</v>
      </c>
      <c r="J246" s="9" t="n">
        <f aca="false">F246*G246*(1+H246)</f>
        <v>165609.830906467</v>
      </c>
      <c r="K246" s="9" t="n">
        <f aca="false">J246*(1+I246)</f>
        <v>165609.830906467</v>
      </c>
      <c r="L246" s="24" t="n">
        <f aca="false">INDEX(Data_Base!$E$5:$E$28,B246)/INDEX(Data_Base!$C$5:$C$28,B246)*(1+INDEX(Assumptions!$C$10:$C$15,MATCH(C246,Assumptions!$A$10:$A$15,0)))</f>
        <v>85.1105100150414</v>
      </c>
      <c r="M246" s="9" t="n">
        <f aca="false">F246*L246</f>
        <v>103194.805216058</v>
      </c>
      <c r="N246" s="24" t="n">
        <f aca="false">INDEX(Data_Base!$F$5:$F$28,B246)/INDEX(Data_Base!$C$5:$C$28,B246)*(1+Assumptions!$C$38)</f>
        <v>2.70930819754324</v>
      </c>
      <c r="O246" s="9" t="n">
        <f aca="false">F246*N246</f>
        <v>3284.98245006797</v>
      </c>
      <c r="P246" s="25" t="n">
        <f aca="false">IF(A246&lt;=3,SUMIFS(Data_Q1!$D$5:$D$76,Data_Q1!$A$5:$A$76,A246,Data_Q1!$B$5:$B$76,C246,Data_Q1!$C$5:$C$76,D246),F246*INDEX(Reforecast!$D$6:$D$9,MATCH(D246,Reforecast!$A$6:$A$9,0)))</f>
        <v>1145.1</v>
      </c>
      <c r="Q246" s="9" t="n">
        <f aca="false">IF(A246&lt;=3,SUMIFS(Data_Q1!$E$5:$E$76,Data_Q1!$A$5:$A$76,A246,Data_Q1!$B$5:$B$76,C246,Data_Q1!$C$5:$C$76,D246),P246*G246*(1+H246)*(1+I246))</f>
        <v>156198.68</v>
      </c>
      <c r="R246" s="9" t="n">
        <f aca="false">IF(A246&lt;=3,SUMIFS(Data_Q1!$F$5:$F$76,Data_Q1!$A$5:$A$76,A246,Data_Q1!$B$5:$B$76,C246,Data_Q1!$C$5:$C$76,D246),P246*L246*INDEX(Reforecast!$D$12:$D$17,MATCH(C246,Reforecast!$A$12:$A$17,0)))</f>
        <v>97140.85</v>
      </c>
      <c r="S246" s="9" t="n">
        <f aca="false">IF(A246&lt;=3,SUMIFS(Data_Q1!$G$5:$G$76,Data_Q1!$A$5:$A$76,A246,Data_Q1!$B$5:$B$76,C246,Data_Q1!$C$5:$C$76,D246),P246*N246)</f>
        <v>3102.33</v>
      </c>
    </row>
    <row r="247" customFormat="false" ht="15" hidden="false" customHeight="false" outlineLevel="0" collapsed="false">
      <c r="A247" s="0" t="n">
        <f aca="false">MOD(ROW()-5,12)+1</f>
        <v>3</v>
      </c>
      <c r="B247" s="0" t="n">
        <f aca="false">INT((ROW()-5)/12)+1</f>
        <v>21</v>
      </c>
      <c r="C247" s="0" t="str">
        <f aca="false">INDEX(Data_Base!$A$5:$A$28,B247)</f>
        <v>Cheese &amp; Dairy</v>
      </c>
      <c r="D247" s="0" t="str">
        <f aca="false">INDEX(Data_Base!$B$5:$B$28,B247)</f>
        <v>Restaurants</v>
      </c>
      <c r="E247" s="26" t="n">
        <f aca="false">INDEX(Data_Base!$B$32:$M$37,MATCH(C247,Data_Base!$A$32:$A$37,0),A247)</f>
        <v>0.079009</v>
      </c>
      <c r="F247" s="25" t="n">
        <f aca="false">INDEX(Data_Base!$C$5:$C$28,B247)*(1+INDEX(Assumptions!$B$19:$B$22,MATCH(D247,Assumptions!$A$19:$A$22,0)))*E247</f>
        <v>1285.88095608</v>
      </c>
      <c r="G247" s="24" t="n">
        <f aca="false">INDEX(Data_Base!$D$5:$D$28,B247)/INDEX(Data_Base!$C$5:$C$28,B247)</f>
        <v>134.569125094009</v>
      </c>
      <c r="H247" s="27" t="n">
        <f aca="false">IF(A247&gt;=Assumptions!$C$37,INDEX(Assumptions!$B$10:$B$15,MATCH(C247,Assumptions!$A$10:$A$15,0)),0)</f>
        <v>0.015</v>
      </c>
      <c r="I247" s="27" t="n">
        <f aca="false">IF(AND(A247&gt;=Assumptions!$C$37,INDEX(Assumptions!$C$19:$C$22,MATCH(D247,Assumptions!$A$19:$A$22,0))=1),INDEX(Assumptions!$D$10:$D$15,MATCH(C247,Assumptions!$A$10:$A$15,0)),0)</f>
        <v>0</v>
      </c>
      <c r="J247" s="9" t="n">
        <f aca="false">F247*G247*(1+H247)</f>
        <v>175635.473363254</v>
      </c>
      <c r="K247" s="9" t="n">
        <f aca="false">J247*(1+I247)</f>
        <v>175635.473363254</v>
      </c>
      <c r="L247" s="24" t="n">
        <f aca="false">INDEX(Data_Base!$E$5:$E$28,B247)/INDEX(Data_Base!$C$5:$C$28,B247)*(1+INDEX(Assumptions!$C$10:$C$15,MATCH(C247,Assumptions!$A$10:$A$15,0)))</f>
        <v>85.1105100150414</v>
      </c>
      <c r="M247" s="9" t="n">
        <f aca="false">F247*L247</f>
        <v>109441.983990598</v>
      </c>
      <c r="N247" s="24" t="n">
        <f aca="false">INDEX(Data_Base!$F$5:$F$28,B247)/INDEX(Data_Base!$C$5:$C$28,B247)*(1+Assumptions!$C$38)</f>
        <v>2.70930819754324</v>
      </c>
      <c r="O247" s="9" t="n">
        <f aca="false">F247*N247</f>
        <v>3483.84781537229</v>
      </c>
      <c r="P247" s="25" t="n">
        <f aca="false">IF(A247&lt;=3,SUMIFS(Data_Q1!$D$5:$D$76,Data_Q1!$A$5:$A$76,A247,Data_Q1!$B$5:$B$76,C247,Data_Q1!$C$5:$C$76,D247),F247*INDEX(Reforecast!$D$6:$D$9,MATCH(D247,Reforecast!$A$6:$A$9,0)))</f>
        <v>1227.7</v>
      </c>
      <c r="Q247" s="9" t="n">
        <f aca="false">IF(A247&lt;=3,SUMIFS(Data_Q1!$E$5:$E$76,Data_Q1!$A$5:$A$76,A247,Data_Q1!$B$5:$B$76,C247,Data_Q1!$C$5:$C$76,D247),P247*G247*(1+H247)*(1+I247))</f>
        <v>168132.7</v>
      </c>
      <c r="R247" s="9" t="n">
        <f aca="false">IF(A247&lt;=3,SUMIFS(Data_Q1!$F$5:$F$76,Data_Q1!$A$5:$A$76,A247,Data_Q1!$B$5:$B$76,C247,Data_Q1!$C$5:$C$76,D247),P247*L247*INDEX(Reforecast!$D$12:$D$17,MATCH(C247,Reforecast!$A$12:$A$17,0)))</f>
        <v>104462.63</v>
      </c>
      <c r="S247" s="9" t="n">
        <f aca="false">IF(A247&lt;=3,SUMIFS(Data_Q1!$G$5:$G$76,Data_Q1!$A$5:$A$76,A247,Data_Q1!$B$5:$B$76,C247,Data_Q1!$C$5:$C$76,D247),P247*N247)</f>
        <v>3326.15</v>
      </c>
    </row>
    <row r="248" customFormat="false" ht="15" hidden="false" customHeight="false" outlineLevel="0" collapsed="false">
      <c r="A248" s="0" t="n">
        <f aca="false">MOD(ROW()-5,12)+1</f>
        <v>4</v>
      </c>
      <c r="B248" s="0" t="n">
        <f aca="false">INT((ROW()-5)/12)+1</f>
        <v>21</v>
      </c>
      <c r="C248" s="0" t="str">
        <f aca="false">INDEX(Data_Base!$A$5:$A$28,B248)</f>
        <v>Cheese &amp; Dairy</v>
      </c>
      <c r="D248" s="0" t="str">
        <f aca="false">INDEX(Data_Base!$B$5:$B$28,B248)</f>
        <v>Restaurants</v>
      </c>
      <c r="E248" s="26" t="n">
        <f aca="false">INDEX(Data_Base!$B$32:$M$37,MATCH(C248,Data_Base!$A$32:$A$37,0),A248)</f>
        <v>0.079471</v>
      </c>
      <c r="F248" s="25" t="n">
        <f aca="false">INDEX(Data_Base!$C$5:$C$28,B248)*(1+INDEX(Assumptions!$B$19:$B$22,MATCH(D248,Assumptions!$A$19:$A$22,0)))*E248</f>
        <v>1293.40006152</v>
      </c>
      <c r="G248" s="24" t="n">
        <f aca="false">INDEX(Data_Base!$D$5:$D$28,B248)/INDEX(Data_Base!$C$5:$C$28,B248)</f>
        <v>134.569125094009</v>
      </c>
      <c r="H248" s="27" t="n">
        <f aca="false">IF(A248&gt;=Assumptions!$C$37,INDEX(Assumptions!$B$10:$B$15,MATCH(C248,Assumptions!$A$10:$A$15,0)),0)</f>
        <v>0.015</v>
      </c>
      <c r="I248" s="27" t="n">
        <f aca="false">IF(AND(A248&gt;=Assumptions!$C$37,INDEX(Assumptions!$C$19:$C$22,MATCH(D248,Assumptions!$A$19:$A$22,0))=1),INDEX(Assumptions!$D$10:$D$15,MATCH(C248,Assumptions!$A$10:$A$15,0)),0)</f>
        <v>0</v>
      </c>
      <c r="J248" s="9" t="n">
        <f aca="false">F248*G248*(1+H248)</f>
        <v>176662.490395412</v>
      </c>
      <c r="K248" s="9" t="n">
        <f aca="false">J248*(1+I248)</f>
        <v>176662.490395412</v>
      </c>
      <c r="L248" s="24" t="n">
        <f aca="false">INDEX(Data_Base!$E$5:$E$28,B248)/INDEX(Data_Base!$C$5:$C$28,B248)*(1+INDEX(Assumptions!$C$10:$C$15,MATCH(C248,Assumptions!$A$10:$A$15,0)))</f>
        <v>85.1105100150414</v>
      </c>
      <c r="M248" s="9" t="n">
        <f aca="false">F248*L248</f>
        <v>110081.938889453</v>
      </c>
      <c r="N248" s="24" t="n">
        <f aca="false">INDEX(Data_Base!$F$5:$F$28,B248)/INDEX(Data_Base!$C$5:$C$28,B248)*(1+Assumptions!$C$38)</f>
        <v>2.70930819754324</v>
      </c>
      <c r="O248" s="9" t="n">
        <f aca="false">F248*N248</f>
        <v>3504.21938937907</v>
      </c>
      <c r="P248" s="25" t="n">
        <f aca="false">IF(A248&lt;=3,SUMIFS(Data_Q1!$D$5:$D$76,Data_Q1!$A$5:$A$76,A248,Data_Q1!$B$5:$B$76,C248,Data_Q1!$C$5:$C$76,D248),F248*INDEX(Reforecast!$D$6:$D$9,MATCH(D248,Reforecast!$A$6:$A$9,0)))</f>
        <v>1239.12810027558</v>
      </c>
      <c r="Q248" s="9" t="n">
        <f aca="false">IF(A248&lt;=3,SUMIFS(Data_Q1!$E$5:$E$76,Data_Q1!$A$5:$A$76,A248,Data_Q1!$B$5:$B$76,C248,Data_Q1!$C$5:$C$76,D248),P248*G248*(1+H248)*(1+I248))</f>
        <v>169249.610098488</v>
      </c>
      <c r="R248" s="9" t="n">
        <f aca="false">IF(A248&lt;=3,SUMIFS(Data_Q1!$F$5:$F$76,Data_Q1!$A$5:$A$76,A248,Data_Q1!$B$5:$B$76,C248,Data_Q1!$C$5:$C$76,D248),P248*L248*INDEX(Reforecast!$D$12:$D$17,MATCH(C248,Reforecast!$A$12:$A$17,0)))</f>
        <v>105713.175513265</v>
      </c>
      <c r="S248" s="9" t="n">
        <f aca="false">IF(A248&lt;=3,SUMIFS(Data_Q1!$G$5:$G$76,Data_Q1!$A$5:$A$76,A248,Data_Q1!$B$5:$B$76,C248,Data_Q1!$C$5:$C$76,D248),P248*N248)</f>
        <v>3357.17991988282</v>
      </c>
    </row>
    <row r="249" customFormat="false" ht="15" hidden="false" customHeight="false" outlineLevel="0" collapsed="false">
      <c r="A249" s="0" t="n">
        <f aca="false">MOD(ROW()-5,12)+1</f>
        <v>5</v>
      </c>
      <c r="B249" s="0" t="n">
        <f aca="false">INT((ROW()-5)/12)+1</f>
        <v>21</v>
      </c>
      <c r="C249" s="0" t="str">
        <f aca="false">INDEX(Data_Base!$A$5:$A$28,B249)</f>
        <v>Cheese &amp; Dairy</v>
      </c>
      <c r="D249" s="0" t="str">
        <f aca="false">INDEX(Data_Base!$B$5:$B$28,B249)</f>
        <v>Restaurants</v>
      </c>
      <c r="E249" s="26" t="n">
        <f aca="false">INDEX(Data_Base!$B$32:$M$37,MATCH(C249,Data_Base!$A$32:$A$37,0),A249)</f>
        <v>0.079118</v>
      </c>
      <c r="F249" s="25" t="n">
        <f aca="false">INDEX(Data_Base!$C$5:$C$28,B249)*(1+INDEX(Assumptions!$B$19:$B$22,MATCH(D249,Assumptions!$A$19:$A$22,0)))*E249</f>
        <v>1287.65494416</v>
      </c>
      <c r="G249" s="24" t="n">
        <f aca="false">INDEX(Data_Base!$D$5:$D$28,B249)/INDEX(Data_Base!$C$5:$C$28,B249)</f>
        <v>134.569125094009</v>
      </c>
      <c r="H249" s="27" t="n">
        <f aca="false">IF(A249&gt;=Assumptions!$C$37,INDEX(Assumptions!$B$10:$B$15,MATCH(C249,Assumptions!$A$10:$A$15,0)),0)</f>
        <v>0.015</v>
      </c>
      <c r="I249" s="27" t="n">
        <f aca="false">IF(AND(A249&gt;=Assumptions!$C$37,INDEX(Assumptions!$C$19:$C$22,MATCH(D249,Assumptions!$A$19:$A$22,0))=1),INDEX(Assumptions!$D$10:$D$15,MATCH(C249,Assumptions!$A$10:$A$15,0)),0)</f>
        <v>0</v>
      </c>
      <c r="J249" s="9" t="n">
        <f aca="false">F249*G249*(1+H249)</f>
        <v>175877.778247464</v>
      </c>
      <c r="K249" s="9" t="n">
        <f aca="false">J249*(1+I249)</f>
        <v>175877.778247464</v>
      </c>
      <c r="L249" s="24" t="n">
        <f aca="false">INDEX(Data_Base!$E$5:$E$28,B249)/INDEX(Data_Base!$C$5:$C$28,B249)*(1+INDEX(Assumptions!$C$10:$C$15,MATCH(C249,Assumptions!$A$10:$A$15,0)))</f>
        <v>85.1105100150414</v>
      </c>
      <c r="M249" s="9" t="n">
        <f aca="false">F249*L249</f>
        <v>109592.969020847</v>
      </c>
      <c r="N249" s="24" t="n">
        <f aca="false">INDEX(Data_Base!$F$5:$F$28,B249)/INDEX(Data_Base!$C$5:$C$28,B249)*(1+Assumptions!$C$38)</f>
        <v>2.70930819754324</v>
      </c>
      <c r="O249" s="9" t="n">
        <f aca="false">F249*N249</f>
        <v>3488.65409581978</v>
      </c>
      <c r="P249" s="25" t="n">
        <f aca="false">IF(A249&lt;=3,SUMIFS(Data_Q1!$D$5:$D$76,Data_Q1!$A$5:$A$76,A249,Data_Q1!$B$5:$B$76,C249,Data_Q1!$C$5:$C$76,D249),F249*INDEX(Reforecast!$D$6:$D$9,MATCH(D249,Reforecast!$A$6:$A$9,0)))</f>
        <v>1233.62405201399</v>
      </c>
      <c r="Q249" s="9" t="n">
        <f aca="false">IF(A249&lt;=3,SUMIFS(Data_Q1!$E$5:$E$76,Data_Q1!$A$5:$A$76,A249,Data_Q1!$B$5:$B$76,C249,Data_Q1!$C$5:$C$76,D249),P249*G249*(1+H249)*(1+I249))</f>
        <v>168497.825015064</v>
      </c>
      <c r="R249" s="9" t="n">
        <f aca="false">IF(A249&lt;=3,SUMIFS(Data_Q1!$F$5:$F$76,Data_Q1!$A$5:$A$76,A249,Data_Q1!$B$5:$B$76,C249,Data_Q1!$C$5:$C$76,D249),P249*L249*INDEX(Reforecast!$D$12:$D$17,MATCH(C249,Reforecast!$A$12:$A$17,0)))</f>
        <v>105243.611131841</v>
      </c>
      <c r="S249" s="9" t="n">
        <f aca="false">IF(A249&lt;=3,SUMIFS(Data_Q1!$G$5:$G$76,Data_Q1!$A$5:$A$76,A249,Data_Q1!$B$5:$B$76,C249,Data_Q1!$C$5:$C$76,D249),P249*N249)</f>
        <v>3342.267756808</v>
      </c>
    </row>
    <row r="250" customFormat="false" ht="15" hidden="false" customHeight="false" outlineLevel="0" collapsed="false">
      <c r="A250" s="0" t="n">
        <f aca="false">MOD(ROW()-5,12)+1</f>
        <v>6</v>
      </c>
      <c r="B250" s="0" t="n">
        <f aca="false">INT((ROW()-5)/12)+1</f>
        <v>21</v>
      </c>
      <c r="C250" s="0" t="str">
        <f aca="false">INDEX(Data_Base!$A$5:$A$28,B250)</f>
        <v>Cheese &amp; Dairy</v>
      </c>
      <c r="D250" s="0" t="str">
        <f aca="false">INDEX(Data_Base!$B$5:$B$28,B250)</f>
        <v>Restaurants</v>
      </c>
      <c r="E250" s="26" t="n">
        <f aca="false">INDEX(Data_Base!$B$32:$M$37,MATCH(C250,Data_Base!$A$32:$A$37,0),A250)</f>
        <v>0.079145</v>
      </c>
      <c r="F250" s="25" t="n">
        <f aca="false">INDEX(Data_Base!$C$5:$C$28,B250)*(1+INDEX(Assumptions!$B$19:$B$22,MATCH(D250,Assumptions!$A$19:$A$22,0)))*E250</f>
        <v>1288.0943724</v>
      </c>
      <c r="G250" s="24" t="n">
        <f aca="false">INDEX(Data_Base!$D$5:$D$28,B250)/INDEX(Data_Base!$C$5:$C$28,B250)</f>
        <v>134.569125094009</v>
      </c>
      <c r="H250" s="27" t="n">
        <f aca="false">IF(A250&gt;=Assumptions!$C$37,INDEX(Assumptions!$B$10:$B$15,MATCH(C250,Assumptions!$A$10:$A$15,0)),0)</f>
        <v>0.015</v>
      </c>
      <c r="I250" s="27" t="n">
        <f aca="false">IF(AND(A250&gt;=Assumptions!$C$37,INDEX(Assumptions!$C$19:$C$22,MATCH(D250,Assumptions!$A$19:$A$22,0))=1),INDEX(Assumptions!$D$10:$D$15,MATCH(C250,Assumptions!$A$10:$A$15,0)),0)</f>
        <v>0</v>
      </c>
      <c r="J250" s="9" t="n">
        <f aca="false">F250*G250*(1+H250)</f>
        <v>175937.79872337</v>
      </c>
      <c r="K250" s="9" t="n">
        <f aca="false">J250*(1+I250)</f>
        <v>175937.79872337</v>
      </c>
      <c r="L250" s="24" t="n">
        <f aca="false">INDEX(Data_Base!$E$5:$E$28,B250)/INDEX(Data_Base!$C$5:$C$28,B250)*(1+INDEX(Assumptions!$C$10:$C$15,MATCH(C250,Assumptions!$A$10:$A$15,0)))</f>
        <v>85.1105100150414</v>
      </c>
      <c r="M250" s="9" t="n">
        <f aca="false">F250*L250</f>
        <v>109630.368982469</v>
      </c>
      <c r="N250" s="24" t="n">
        <f aca="false">INDEX(Data_Base!$F$5:$F$28,B250)/INDEX(Data_Base!$C$5:$C$28,B250)*(1+Assumptions!$C$38)</f>
        <v>2.70930819754324</v>
      </c>
      <c r="O250" s="9" t="n">
        <f aca="false">F250*N250</f>
        <v>3489.84464235264</v>
      </c>
      <c r="P250" s="25" t="n">
        <f aca="false">IF(A250&lt;=3,SUMIFS(Data_Q1!$D$5:$D$76,Data_Q1!$A$5:$A$76,A250,Data_Q1!$B$5:$B$76,C250,Data_Q1!$C$5:$C$76,D250),F250*INDEX(Reforecast!$D$6:$D$9,MATCH(D250,Reforecast!$A$6:$A$9,0)))</f>
        <v>1234.04504154108</v>
      </c>
      <c r="Q250" s="9" t="n">
        <f aca="false">IF(A250&lt;=3,SUMIFS(Data_Q1!$E$5:$E$76,Data_Q1!$A$5:$A$76,A250,Data_Q1!$B$5:$B$76,C250,Data_Q1!$C$5:$C$76,D250),P250*G250*(1+H250)*(1+I250))</f>
        <v>168555.326990284</v>
      </c>
      <c r="R250" s="9" t="n">
        <f aca="false">IF(A250&lt;=3,SUMIFS(Data_Q1!$F$5:$F$76,Data_Q1!$A$5:$A$76,A250,Data_Q1!$B$5:$B$76,C250,Data_Q1!$C$5:$C$76,D250),P250*L250*INDEX(Reforecast!$D$12:$D$17,MATCH(C250,Reforecast!$A$12:$A$17,0)))</f>
        <v>105279.526821071</v>
      </c>
      <c r="S250" s="9" t="n">
        <f aca="false">IF(A250&lt;=3,SUMIFS(Data_Q1!$G$5:$G$76,Data_Q1!$A$5:$A$76,A250,Data_Q1!$B$5:$B$76,C250,Data_Q1!$C$5:$C$76,D250),P250*N250)</f>
        <v>3343.40834718483</v>
      </c>
    </row>
    <row r="251" customFormat="false" ht="15" hidden="false" customHeight="false" outlineLevel="0" collapsed="false">
      <c r="A251" s="0" t="n">
        <f aca="false">MOD(ROW()-5,12)+1</f>
        <v>7</v>
      </c>
      <c r="B251" s="0" t="n">
        <f aca="false">INT((ROW()-5)/12)+1</f>
        <v>21</v>
      </c>
      <c r="C251" s="0" t="str">
        <f aca="false">INDEX(Data_Base!$A$5:$A$28,B251)</f>
        <v>Cheese &amp; Dairy</v>
      </c>
      <c r="D251" s="0" t="str">
        <f aca="false">INDEX(Data_Base!$B$5:$B$28,B251)</f>
        <v>Restaurants</v>
      </c>
      <c r="E251" s="26" t="n">
        <f aca="false">INDEX(Data_Base!$B$32:$M$37,MATCH(C251,Data_Base!$A$32:$A$37,0),A251)</f>
        <v>0.078846</v>
      </c>
      <c r="F251" s="25" t="n">
        <f aca="false">INDEX(Data_Base!$C$5:$C$28,B251)*(1+INDEX(Assumptions!$B$19:$B$22,MATCH(D251,Assumptions!$A$19:$A$22,0)))*E251</f>
        <v>1283.22811152</v>
      </c>
      <c r="G251" s="24" t="n">
        <f aca="false">INDEX(Data_Base!$D$5:$D$28,B251)/INDEX(Data_Base!$C$5:$C$28,B251)</f>
        <v>134.569125094009</v>
      </c>
      <c r="H251" s="27" t="n">
        <f aca="false">IF(A251&gt;=Assumptions!$C$37,INDEX(Assumptions!$B$10:$B$15,MATCH(C251,Assumptions!$A$10:$A$15,0)),0)</f>
        <v>0.015</v>
      </c>
      <c r="I251" s="27" t="n">
        <f aca="false">IF(AND(A251&gt;=Assumptions!$C$37,INDEX(Assumptions!$C$19:$C$22,MATCH(D251,Assumptions!$A$19:$A$22,0))=1),INDEX(Assumptions!$D$10:$D$15,MATCH(C251,Assumptions!$A$10:$A$15,0)),0)</f>
        <v>0</v>
      </c>
      <c r="J251" s="9" t="n">
        <f aca="false">F251*G251*(1+H251)</f>
        <v>175273.127527232</v>
      </c>
      <c r="K251" s="9" t="n">
        <f aca="false">J251*(1+I251)</f>
        <v>175273.127527232</v>
      </c>
      <c r="L251" s="24" t="n">
        <f aca="false">INDEX(Data_Base!$E$5:$E$28,B251)/INDEX(Data_Base!$C$5:$C$28,B251)*(1+INDEX(Assumptions!$C$10:$C$15,MATCH(C251,Assumptions!$A$10:$A$15,0)))</f>
        <v>85.1105100150414</v>
      </c>
      <c r="M251" s="9" t="n">
        <f aca="false">F251*L251</f>
        <v>109216.199037106</v>
      </c>
      <c r="N251" s="24" t="n">
        <f aca="false">INDEX(Data_Base!$F$5:$F$28,B251)/INDEX(Data_Base!$C$5:$C$28,B251)*(1+Assumptions!$C$38)</f>
        <v>2.70930819754324</v>
      </c>
      <c r="O251" s="9" t="n">
        <f aca="false">F251*N251</f>
        <v>3476.66044185907</v>
      </c>
      <c r="P251" s="25" t="n">
        <f aca="false">IF(A251&lt;=3,SUMIFS(Data_Q1!$D$5:$D$76,Data_Q1!$A$5:$A$76,A251,Data_Q1!$B$5:$B$76,C251,Data_Q1!$C$5:$C$76,D251),F251*INDEX(Reforecast!$D$6:$D$9,MATCH(D251,Reforecast!$A$6:$A$9,0)))</f>
        <v>1229.38297233366</v>
      </c>
      <c r="Q251" s="9" t="n">
        <f aca="false">IF(A251&lt;=3,SUMIFS(Data_Q1!$E$5:$E$76,Data_Q1!$A$5:$A$76,A251,Data_Q1!$B$5:$B$76,C251,Data_Q1!$C$5:$C$76,D251),P251*G251*(1+H251)*(1+I251))</f>
        <v>167918.545857299</v>
      </c>
      <c r="R251" s="9" t="n">
        <f aca="false">IF(A251&lt;=3,SUMIFS(Data_Q1!$F$5:$F$76,Data_Q1!$A$5:$A$76,A251,Data_Q1!$B$5:$B$76,C251,Data_Q1!$C$5:$C$76,D251),P251*L251*INDEX(Reforecast!$D$12:$D$17,MATCH(C251,Reforecast!$A$12:$A$17,0)))</f>
        <v>104881.793818108</v>
      </c>
      <c r="S251" s="9" t="n">
        <f aca="false">IF(A251&lt;=3,SUMIFS(Data_Q1!$G$5:$G$76,Data_Q1!$A$5:$A$76,A251,Data_Q1!$B$5:$B$76,C251,Data_Q1!$C$5:$C$76,D251),P251*N251)</f>
        <v>3330.77736486367</v>
      </c>
    </row>
    <row r="252" customFormat="false" ht="15" hidden="false" customHeight="false" outlineLevel="0" collapsed="false">
      <c r="A252" s="0" t="n">
        <f aca="false">MOD(ROW()-5,12)+1</f>
        <v>8</v>
      </c>
      <c r="B252" s="0" t="n">
        <f aca="false">INT((ROW()-5)/12)+1</f>
        <v>21</v>
      </c>
      <c r="C252" s="0" t="str">
        <f aca="false">INDEX(Data_Base!$A$5:$A$28,B252)</f>
        <v>Cheese &amp; Dairy</v>
      </c>
      <c r="D252" s="0" t="str">
        <f aca="false">INDEX(Data_Base!$B$5:$B$28,B252)</f>
        <v>Restaurants</v>
      </c>
      <c r="E252" s="26" t="n">
        <f aca="false">INDEX(Data_Base!$B$32:$M$37,MATCH(C252,Data_Base!$A$32:$A$37,0),A252)</f>
        <v>0.078493</v>
      </c>
      <c r="F252" s="25" t="n">
        <f aca="false">INDEX(Data_Base!$C$5:$C$28,B252)*(1+INDEX(Assumptions!$B$19:$B$22,MATCH(D252,Assumptions!$A$19:$A$22,0)))*E252</f>
        <v>1277.48299416</v>
      </c>
      <c r="G252" s="24" t="n">
        <f aca="false">INDEX(Data_Base!$D$5:$D$28,B252)/INDEX(Data_Base!$C$5:$C$28,B252)</f>
        <v>134.569125094009</v>
      </c>
      <c r="H252" s="27" t="n">
        <f aca="false">IF(A252&gt;=Assumptions!$C$37,INDEX(Assumptions!$B$10:$B$15,MATCH(C252,Assumptions!$A$10:$A$15,0)),0)</f>
        <v>0.015</v>
      </c>
      <c r="I252" s="27" t="n">
        <f aca="false">IF(AND(A252&gt;=Assumptions!$C$37,INDEX(Assumptions!$C$19:$C$22,MATCH(D252,Assumptions!$A$19:$A$22,0))=1),INDEX(Assumptions!$D$10:$D$15,MATCH(C252,Assumptions!$A$10:$A$15,0)),0)</f>
        <v>0</v>
      </c>
      <c r="J252" s="9" t="n">
        <f aca="false">F252*G252*(1+H252)</f>
        <v>174488.415379284</v>
      </c>
      <c r="K252" s="9" t="n">
        <f aca="false">J252*(1+I252)</f>
        <v>174488.415379284</v>
      </c>
      <c r="L252" s="24" t="n">
        <f aca="false">INDEX(Data_Base!$E$5:$E$28,B252)/INDEX(Data_Base!$C$5:$C$28,B252)*(1+INDEX(Assumptions!$C$10:$C$15,MATCH(C252,Assumptions!$A$10:$A$15,0)))</f>
        <v>85.1105100150414</v>
      </c>
      <c r="M252" s="9" t="n">
        <f aca="false">F252*L252</f>
        <v>108727.2291685</v>
      </c>
      <c r="N252" s="24" t="n">
        <f aca="false">INDEX(Data_Base!$F$5:$F$28,B252)/INDEX(Data_Base!$C$5:$C$28,B252)*(1+Assumptions!$C$38)</f>
        <v>2.70930819754324</v>
      </c>
      <c r="O252" s="9" t="n">
        <f aca="false">F252*N252</f>
        <v>3461.09514829978</v>
      </c>
      <c r="P252" s="25" t="n">
        <f aca="false">IF(A252&lt;=3,SUMIFS(Data_Q1!$D$5:$D$76,Data_Q1!$A$5:$A$76,A252,Data_Q1!$B$5:$B$76,C252,Data_Q1!$C$5:$C$76,D252),F252*INDEX(Reforecast!$D$6:$D$9,MATCH(D252,Reforecast!$A$6:$A$9,0)))</f>
        <v>1223.87892407207</v>
      </c>
      <c r="Q252" s="9" t="n">
        <f aca="false">IF(A252&lt;=3,SUMIFS(Data_Q1!$E$5:$E$76,Data_Q1!$A$5:$A$76,A252,Data_Q1!$B$5:$B$76,C252,Data_Q1!$C$5:$C$76,D252),P252*G252*(1+H252)*(1+I252))</f>
        <v>167166.760773875</v>
      </c>
      <c r="R252" s="9" t="n">
        <f aca="false">IF(A252&lt;=3,SUMIFS(Data_Q1!$F$5:$F$76,Data_Q1!$A$5:$A$76,A252,Data_Q1!$B$5:$B$76,C252,Data_Q1!$C$5:$C$76,D252),P252*L252*INDEX(Reforecast!$D$12:$D$17,MATCH(C252,Reforecast!$A$12:$A$17,0)))</f>
        <v>104412.229436684</v>
      </c>
      <c r="S252" s="9" t="n">
        <f aca="false">IF(A252&lt;=3,SUMIFS(Data_Q1!$G$5:$G$76,Data_Q1!$A$5:$A$76,A252,Data_Q1!$B$5:$B$76,C252,Data_Q1!$C$5:$C$76,D252),P252*N252)</f>
        <v>3315.86520178885</v>
      </c>
    </row>
    <row r="253" customFormat="false" ht="15" hidden="false" customHeight="false" outlineLevel="0" collapsed="false">
      <c r="A253" s="0" t="n">
        <f aca="false">MOD(ROW()-5,12)+1</f>
        <v>9</v>
      </c>
      <c r="B253" s="0" t="n">
        <f aca="false">INT((ROW()-5)/12)+1</f>
        <v>21</v>
      </c>
      <c r="C253" s="0" t="str">
        <f aca="false">INDEX(Data_Base!$A$5:$A$28,B253)</f>
        <v>Cheese &amp; Dairy</v>
      </c>
      <c r="D253" s="0" t="str">
        <f aca="false">INDEX(Data_Base!$B$5:$B$28,B253)</f>
        <v>Restaurants</v>
      </c>
      <c r="E253" s="26" t="n">
        <f aca="false">INDEX(Data_Base!$B$32:$M$37,MATCH(C253,Data_Base!$A$32:$A$37,0),A253)</f>
        <v>0.083274</v>
      </c>
      <c r="F253" s="25" t="n">
        <f aca="false">INDEX(Data_Base!$C$5:$C$28,B253)*(1+INDEX(Assumptions!$B$19:$B$22,MATCH(D253,Assumptions!$A$19:$A$22,0)))*E253</f>
        <v>1355.29434288</v>
      </c>
      <c r="G253" s="24" t="n">
        <f aca="false">INDEX(Data_Base!$D$5:$D$28,B253)/INDEX(Data_Base!$C$5:$C$28,B253)</f>
        <v>134.569125094009</v>
      </c>
      <c r="H253" s="27" t="n">
        <f aca="false">IF(A253&gt;=Assumptions!$C$37,INDEX(Assumptions!$B$10:$B$15,MATCH(C253,Assumptions!$A$10:$A$15,0)),0)</f>
        <v>0.015</v>
      </c>
      <c r="I253" s="27" t="n">
        <f aca="false">IF(AND(A253&gt;=Assumptions!$C$37,INDEX(Assumptions!$C$19:$C$22,MATCH(D253,Assumptions!$A$19:$A$22,0))=1),INDEX(Assumptions!$D$10:$D$15,MATCH(C253,Assumptions!$A$10:$A$15,0)),0)</f>
        <v>0</v>
      </c>
      <c r="J253" s="9" t="n">
        <f aca="false">F253*G253*(1+H253)</f>
        <v>185116.485575714</v>
      </c>
      <c r="K253" s="9" t="n">
        <f aca="false">J253*(1+I253)</f>
        <v>185116.485575714</v>
      </c>
      <c r="L253" s="24" t="n">
        <f aca="false">INDEX(Data_Base!$E$5:$E$28,B253)/INDEX(Data_Base!$C$5:$C$28,B253)*(1+INDEX(Assumptions!$C$10:$C$15,MATCH(C253,Assumptions!$A$10:$A$15,0)))</f>
        <v>85.1105100150414</v>
      </c>
      <c r="M253" s="9" t="n">
        <f aca="false">F253*L253</f>
        <v>115349.792743017</v>
      </c>
      <c r="N253" s="24" t="n">
        <f aca="false">INDEX(Data_Base!$F$5:$F$28,B253)/INDEX(Data_Base!$C$5:$C$28,B253)*(1+Assumptions!$C$38)</f>
        <v>2.70930819754324</v>
      </c>
      <c r="O253" s="9" t="n">
        <f aca="false">F253*N253</f>
        <v>3671.91007324877</v>
      </c>
      <c r="P253" s="25" t="n">
        <f aca="false">IF(A253&lt;=3,SUMIFS(Data_Q1!$D$5:$D$76,Data_Q1!$A$5:$A$76,A253,Data_Q1!$B$5:$B$76,C253,Data_Q1!$C$5:$C$76,D253),F253*INDEX(Reforecast!$D$6:$D$9,MATCH(D253,Reforecast!$A$6:$A$9,0)))</f>
        <v>1298.42525477657</v>
      </c>
      <c r="Q253" s="9" t="n">
        <f aca="false">IF(A253&lt;=3,SUMIFS(Data_Q1!$E$5:$E$76,Data_Q1!$A$5:$A$76,A253,Data_Q1!$B$5:$B$76,C253,Data_Q1!$C$5:$C$76,D253),P253*G253*(1+H253)*(1+I253))</f>
        <v>177348.869793277</v>
      </c>
      <c r="R253" s="9" t="n">
        <f aca="false">IF(A253&lt;=3,SUMIFS(Data_Q1!$F$5:$F$76,Data_Q1!$A$5:$A$76,A253,Data_Q1!$B$5:$B$76,C253,Data_Q1!$C$5:$C$76,D253),P253*L253*INDEX(Reforecast!$D$12:$D$17,MATCH(C253,Reforecast!$A$12:$A$17,0)))</f>
        <v>110771.966851954</v>
      </c>
      <c r="S253" s="9" t="n">
        <f aca="false">IF(A253&lt;=3,SUMIFS(Data_Q1!$G$5:$G$76,Data_Q1!$A$5:$A$76,A253,Data_Q1!$B$5:$B$76,C253,Data_Q1!$C$5:$C$76,D253),P253*N253)</f>
        <v>3517.83418666333</v>
      </c>
    </row>
    <row r="254" customFormat="false" ht="15" hidden="false" customHeight="false" outlineLevel="0" collapsed="false">
      <c r="A254" s="0" t="n">
        <f aca="false">MOD(ROW()-5,12)+1</f>
        <v>10</v>
      </c>
      <c r="B254" s="0" t="n">
        <f aca="false">INT((ROW()-5)/12)+1</f>
        <v>21</v>
      </c>
      <c r="C254" s="0" t="str">
        <f aca="false">INDEX(Data_Base!$A$5:$A$28,B254)</f>
        <v>Cheese &amp; Dairy</v>
      </c>
      <c r="D254" s="0" t="str">
        <f aca="false">INDEX(Data_Base!$B$5:$B$28,B254)</f>
        <v>Restaurants</v>
      </c>
      <c r="E254" s="26" t="n">
        <f aca="false">INDEX(Data_Base!$B$32:$M$37,MATCH(C254,Data_Base!$A$32:$A$37,0),A254)</f>
        <v>0.087078</v>
      </c>
      <c r="F254" s="25" t="n">
        <f aca="false">INDEX(Data_Base!$C$5:$C$28,B254)*(1+INDEX(Assumptions!$B$19:$B$22,MATCH(D254,Assumptions!$A$19:$A$22,0)))*E254</f>
        <v>1417.20489936</v>
      </c>
      <c r="G254" s="24" t="n">
        <f aca="false">INDEX(Data_Base!$D$5:$D$28,B254)/INDEX(Data_Base!$C$5:$C$28,B254)</f>
        <v>134.569125094009</v>
      </c>
      <c r="H254" s="27" t="n">
        <f aca="false">IF(A254&gt;=Assumptions!$C$37,INDEX(Assumptions!$B$10:$B$15,MATCH(C254,Assumptions!$A$10:$A$15,0)),0)</f>
        <v>0.015</v>
      </c>
      <c r="I254" s="27" t="n">
        <f aca="false">IF(AND(A254&gt;=Assumptions!$C$37,INDEX(Assumptions!$C$19:$C$22,MATCH(D254,Assumptions!$A$19:$A$22,0))=1),INDEX(Assumptions!$D$10:$D$15,MATCH(C254,Assumptions!$A$10:$A$15,0)),0)</f>
        <v>0</v>
      </c>
      <c r="J254" s="9" t="n">
        <f aca="false">F254*G254*(1+H254)</f>
        <v>193572.703736605</v>
      </c>
      <c r="K254" s="9" t="n">
        <f aca="false">J254*(1+I254)</f>
        <v>193572.703736605</v>
      </c>
      <c r="L254" s="24" t="n">
        <f aca="false">INDEX(Data_Base!$E$5:$E$28,B254)/INDEX(Data_Base!$C$5:$C$28,B254)*(1+INDEX(Assumptions!$C$10:$C$15,MATCH(C254,Assumptions!$A$10:$A$15,0)))</f>
        <v>85.1105100150414</v>
      </c>
      <c r="M254" s="9" t="n">
        <f aca="false">F254*L254</f>
        <v>120619.031780345</v>
      </c>
      <c r="N254" s="24" t="n">
        <f aca="false">INDEX(Data_Base!$F$5:$F$28,B254)/INDEX(Data_Base!$C$5:$C$28,B254)*(1+Assumptions!$C$38)</f>
        <v>2.70930819754324</v>
      </c>
      <c r="O254" s="9" t="n">
        <f aca="false">F254*N254</f>
        <v>3839.6448514345</v>
      </c>
      <c r="P254" s="25" t="n">
        <f aca="false">IF(A254&lt;=3,SUMIFS(Data_Q1!$D$5:$D$76,Data_Q1!$A$5:$A$76,A254,Data_Q1!$B$5:$B$76,C254,Data_Q1!$C$5:$C$76,D254),F254*INDEX(Reforecast!$D$6:$D$9,MATCH(D254,Reforecast!$A$6:$A$9,0)))</f>
        <v>1357.73800148226</v>
      </c>
      <c r="Q254" s="9" t="n">
        <f aca="false">IF(A254&lt;=3,SUMIFS(Data_Q1!$E$5:$E$76,Data_Q1!$A$5:$A$76,A254,Data_Q1!$B$5:$B$76,C254,Data_Q1!$C$5:$C$76,D254),P254*G254*(1+H254)*(1+I254))</f>
        <v>185450.259190851</v>
      </c>
      <c r="R254" s="9" t="n">
        <f aca="false">IF(A254&lt;=3,SUMIFS(Data_Q1!$F$5:$F$76,Data_Q1!$A$5:$A$76,A254,Data_Q1!$B$5:$B$76,C254,Data_Q1!$C$5:$C$76,D254),P254*L254*INDEX(Reforecast!$D$12:$D$17,MATCH(C254,Reforecast!$A$12:$A$17,0)))</f>
        <v>115832.088401355</v>
      </c>
      <c r="S254" s="9" t="n">
        <f aca="false">IF(A254&lt;=3,SUMIFS(Data_Q1!$G$5:$G$76,Data_Q1!$A$5:$A$76,A254,Data_Q1!$B$5:$B$76,C254,Data_Q1!$C$5:$C$76,D254),P254*N254)</f>
        <v>3678.53069753188</v>
      </c>
    </row>
    <row r="255" customFormat="false" ht="15" hidden="false" customHeight="false" outlineLevel="0" collapsed="false">
      <c r="A255" s="0" t="n">
        <f aca="false">MOD(ROW()-5,12)+1</f>
        <v>11</v>
      </c>
      <c r="B255" s="0" t="n">
        <f aca="false">INT((ROW()-5)/12)+1</f>
        <v>21</v>
      </c>
      <c r="C255" s="0" t="str">
        <f aca="false">INDEX(Data_Base!$A$5:$A$28,B255)</f>
        <v>Cheese &amp; Dairy</v>
      </c>
      <c r="D255" s="0" t="str">
        <f aca="false">INDEX(Data_Base!$B$5:$B$28,B255)</f>
        <v>Restaurants</v>
      </c>
      <c r="E255" s="26" t="n">
        <f aca="false">INDEX(Data_Base!$B$32:$M$37,MATCH(C255,Data_Base!$A$32:$A$37,0),A255)</f>
        <v>0.095338</v>
      </c>
      <c r="F255" s="25" t="n">
        <f aca="false">INDEX(Data_Base!$C$5:$C$28,B255)*(1+INDEX(Assumptions!$B$19:$B$22,MATCH(D255,Assumptions!$A$19:$A$22,0)))*E255</f>
        <v>1551.63739056</v>
      </c>
      <c r="G255" s="24" t="n">
        <f aca="false">INDEX(Data_Base!$D$5:$D$28,B255)/INDEX(Data_Base!$C$5:$C$28,B255)</f>
        <v>134.569125094009</v>
      </c>
      <c r="H255" s="27" t="n">
        <f aca="false">IF(A255&gt;=Assumptions!$C$37,INDEX(Assumptions!$B$10:$B$15,MATCH(C255,Assumptions!$A$10:$A$15,0)),0)</f>
        <v>0.015</v>
      </c>
      <c r="I255" s="27" t="n">
        <f aca="false">IF(AND(A255&gt;=Assumptions!$C$37,INDEX(Assumptions!$C$19:$C$22,MATCH(D255,Assumptions!$A$19:$A$22,0))=1),INDEX(Assumptions!$D$10:$D$15,MATCH(C255,Assumptions!$A$10:$A$15,0)),0)</f>
        <v>0</v>
      </c>
      <c r="J255" s="9" t="n">
        <f aca="false">F255*G255*(1+H255)</f>
        <v>211934.523402472</v>
      </c>
      <c r="K255" s="9" t="n">
        <f aca="false">J255*(1+I255)</f>
        <v>211934.523402472</v>
      </c>
      <c r="L255" s="24" t="n">
        <f aca="false">INDEX(Data_Base!$E$5:$E$28,B255)/INDEX(Data_Base!$C$5:$C$28,B255)*(1+INDEX(Assumptions!$C$10:$C$15,MATCH(C255,Assumptions!$A$10:$A$15,0)))</f>
        <v>85.1105100150414</v>
      </c>
      <c r="M255" s="9" t="n">
        <f aca="false">F255*L255</f>
        <v>132060.64966897</v>
      </c>
      <c r="N255" s="24" t="n">
        <f aca="false">INDEX(Data_Base!$F$5:$F$28,B255)/INDEX(Data_Base!$C$5:$C$28,B255)*(1+Assumptions!$C$38)</f>
        <v>2.70930819754324</v>
      </c>
      <c r="O255" s="9" t="n">
        <f aca="false">F255*N255</f>
        <v>4203.86390185882</v>
      </c>
      <c r="P255" s="25" t="n">
        <f aca="false">IF(A255&lt;=3,SUMIFS(Data_Q1!$D$5:$D$76,Data_Q1!$A$5:$A$76,A255,Data_Q1!$B$5:$B$76,C255,Data_Q1!$C$5:$C$76,D255),F255*INDEX(Reforecast!$D$6:$D$9,MATCH(D255,Reforecast!$A$6:$A$9,0)))</f>
        <v>1486.52961236266</v>
      </c>
      <c r="Q255" s="9" t="n">
        <f aca="false">IF(A255&lt;=3,SUMIFS(Data_Q1!$E$5:$E$76,Data_Q1!$A$5:$A$76,A255,Data_Q1!$B$5:$B$76,C255,Data_Q1!$C$5:$C$76,D255),P255*G255*(1+H255)*(1+I255))</f>
        <v>203041.604202409</v>
      </c>
      <c r="R255" s="9" t="n">
        <f aca="false">IF(A255&lt;=3,SUMIFS(Data_Q1!$F$5:$F$76,Data_Q1!$A$5:$A$76,A255,Data_Q1!$B$5:$B$76,C255,Data_Q1!$C$5:$C$76,D255),P255*L255*INDEX(Reforecast!$D$12:$D$17,MATCH(C255,Reforecast!$A$12:$A$17,0)))</f>
        <v>126819.628884545</v>
      </c>
      <c r="S255" s="9" t="n">
        <f aca="false">IF(A255&lt;=3,SUMIFS(Data_Q1!$G$5:$G$76,Data_Q1!$A$5:$A$76,A255,Data_Q1!$B$5:$B$76,C255,Data_Q1!$C$5:$C$76,D255),P255*N255)</f>
        <v>4027.46686466495</v>
      </c>
    </row>
    <row r="256" customFormat="false" ht="15" hidden="false" customHeight="false" outlineLevel="0" collapsed="false">
      <c r="A256" s="0" t="n">
        <f aca="false">MOD(ROW()-5,12)+1</f>
        <v>12</v>
      </c>
      <c r="B256" s="0" t="n">
        <f aca="false">INT((ROW()-5)/12)+1</f>
        <v>21</v>
      </c>
      <c r="C256" s="0" t="str">
        <f aca="false">INDEX(Data_Base!$A$5:$A$28,B256)</f>
        <v>Cheese &amp; Dairy</v>
      </c>
      <c r="D256" s="0" t="str">
        <f aca="false">INDEX(Data_Base!$B$5:$B$28,B256)</f>
        <v>Restaurants</v>
      </c>
      <c r="E256" s="26" t="n">
        <f aca="false">INDEX(Data_Base!$B$32:$M$37,MATCH(C256,Data_Base!$A$32:$A$37,0),A256)</f>
        <v>0.10759</v>
      </c>
      <c r="F256" s="25" t="n">
        <f aca="false">INDEX(Data_Base!$C$5:$C$28,B256)*(1+INDEX(Assumptions!$B$19:$B$22,MATCH(D256,Assumptions!$A$19:$A$22,0)))*E256</f>
        <v>1751.0401608</v>
      </c>
      <c r="G256" s="24" t="n">
        <f aca="false">INDEX(Data_Base!$D$5:$D$28,B256)/INDEX(Data_Base!$C$5:$C$28,B256)</f>
        <v>134.569125094009</v>
      </c>
      <c r="H256" s="27" t="n">
        <f aca="false">IF(A256&gt;=Assumptions!$C$37,INDEX(Assumptions!$B$10:$B$15,MATCH(C256,Assumptions!$A$10:$A$15,0)),0)</f>
        <v>0.015</v>
      </c>
      <c r="I256" s="27" t="n">
        <f aca="false">IF(AND(A256&gt;=Assumptions!$C$37,INDEX(Assumptions!$C$19:$C$22,MATCH(D256,Assumptions!$A$19:$A$22,0))=1),INDEX(Assumptions!$D$10:$D$15,MATCH(C256,Assumptions!$A$10:$A$15,0)),0)</f>
        <v>0</v>
      </c>
      <c r="J256" s="9" t="n">
        <f aca="false">F256*G256*(1+H256)</f>
        <v>239170.481579978</v>
      </c>
      <c r="K256" s="9" t="n">
        <f aca="false">J256*(1+I256)</f>
        <v>239170.481579978</v>
      </c>
      <c r="L256" s="24" t="n">
        <f aca="false">INDEX(Data_Base!$E$5:$E$28,B256)/INDEX(Data_Base!$C$5:$C$28,B256)*(1+INDEX(Assumptions!$C$10:$C$15,MATCH(C256,Assumptions!$A$10:$A$15,0)))</f>
        <v>85.1105100150414</v>
      </c>
      <c r="M256" s="9" t="n">
        <f aca="false">F256*L256</f>
        <v>149031.921142508</v>
      </c>
      <c r="N256" s="24" t="n">
        <f aca="false">INDEX(Data_Base!$F$5:$F$28,B256)/INDEX(Data_Base!$C$5:$C$28,B256)*(1+Assumptions!$C$38)</f>
        <v>2.70930819754324</v>
      </c>
      <c r="O256" s="9" t="n">
        <f aca="false">F256*N256</f>
        <v>4744.10746188288</v>
      </c>
      <c r="P256" s="25" t="n">
        <f aca="false">IF(A256&lt;=3,SUMIFS(Data_Q1!$D$5:$D$76,Data_Q1!$A$5:$A$76,A256,Data_Q1!$B$5:$B$76,C256,Data_Q1!$C$5:$C$76,D256),F256*INDEX(Reforecast!$D$6:$D$9,MATCH(D256,Reforecast!$A$6:$A$9,0)))</f>
        <v>1677.56530443369</v>
      </c>
      <c r="Q256" s="9" t="n">
        <f aca="false">IF(A256&lt;=3,SUMIFS(Data_Q1!$E$5:$E$76,Data_Q1!$A$5:$A$76,A256,Data_Q1!$B$5:$B$76,C256,Data_Q1!$C$5:$C$76,D256),P256*G256*(1+H256)*(1+I256))</f>
        <v>229134.722735291</v>
      </c>
      <c r="R256" s="9" t="n">
        <f aca="false">IF(A256&lt;=3,SUMIFS(Data_Q1!$F$5:$F$76,Data_Q1!$A$5:$A$76,A256,Data_Q1!$B$5:$B$76,C256,Data_Q1!$C$5:$C$76,D256),P256*L256*INDEX(Reforecast!$D$12:$D$17,MATCH(C256,Reforecast!$A$12:$A$17,0)))</f>
        <v>143117.370531039</v>
      </c>
      <c r="S256" s="9" t="n">
        <f aca="false">IF(A256&lt;=3,SUMIFS(Data_Q1!$G$5:$G$76,Data_Q1!$A$5:$A$76,A256,Data_Q1!$B$5:$B$76,C256,Data_Q1!$C$5:$C$76,D256),P256*N256)</f>
        <v>4545.04143121632</v>
      </c>
    </row>
    <row r="257" customFormat="false" ht="15" hidden="false" customHeight="false" outlineLevel="0" collapsed="false">
      <c r="A257" s="0" t="n">
        <f aca="false">MOD(ROW()-5,12)+1</f>
        <v>1</v>
      </c>
      <c r="B257" s="0" t="n">
        <f aca="false">INT((ROW()-5)/12)+1</f>
        <v>22</v>
      </c>
      <c r="C257" s="0" t="str">
        <f aca="false">INDEX(Data_Base!$A$5:$A$28,B257)</f>
        <v>Cheese &amp; Dairy</v>
      </c>
      <c r="D257" s="0" t="str">
        <f aca="false">INDEX(Data_Base!$B$5:$B$28,B257)</f>
        <v>Grocery Retail</v>
      </c>
      <c r="E257" s="26" t="n">
        <f aca="false">INDEX(Data_Base!$B$32:$M$37,MATCH(C257,Data_Base!$A$32:$A$37,0),A257)</f>
        <v>0.078139</v>
      </c>
      <c r="F257" s="25" t="n">
        <f aca="false">INDEX(Data_Base!$C$5:$C$28,B257)*(1+INDEX(Assumptions!$B$19:$B$22,MATCH(D257,Assumptions!$A$19:$A$22,0)))*E257</f>
        <v>1027.93495419</v>
      </c>
      <c r="G257" s="24" t="n">
        <f aca="false">INDEX(Data_Base!$D$5:$D$28,B257)/INDEX(Data_Base!$C$5:$C$28,B257)</f>
        <v>117.046517524236</v>
      </c>
      <c r="H257" s="27" t="n">
        <f aca="false">IF(A257&gt;=Assumptions!$C$37,INDEX(Assumptions!$B$10:$B$15,MATCH(C257,Assumptions!$A$10:$A$15,0)),0)</f>
        <v>0</v>
      </c>
      <c r="I257" s="27" t="n">
        <f aca="false">IF(AND(A257&gt;=Assumptions!$C$37,INDEX(Assumptions!$C$19:$C$22,MATCH(D257,Assumptions!$A$19:$A$22,0))=1),INDEX(Assumptions!$D$10:$D$15,MATCH(C257,Assumptions!$A$10:$A$15,0)),0)</f>
        <v>0</v>
      </c>
      <c r="J257" s="9" t="n">
        <f aca="false">F257*G257*(1+H257)</f>
        <v>120316.206629374</v>
      </c>
      <c r="K257" s="9" t="n">
        <f aca="false">J257*(1+I257)</f>
        <v>120316.206629374</v>
      </c>
      <c r="L257" s="24" t="n">
        <f aca="false">INDEX(Data_Base!$E$5:$E$28,B257)/INDEX(Data_Base!$C$5:$C$28,B257)*(1+INDEX(Assumptions!$C$10:$C$15,MATCH(C257,Assumptions!$A$10:$A$15,0)))</f>
        <v>85.2718098434005</v>
      </c>
      <c r="M257" s="9" t="n">
        <f aca="false">F257*L257</f>
        <v>87653.8739450742</v>
      </c>
      <c r="N257" s="24" t="n">
        <f aca="false">INDEX(Data_Base!$F$5:$F$28,B257)/INDEX(Data_Base!$C$5:$C$28,B257)*(1+Assumptions!$C$38)</f>
        <v>2.72404858728975</v>
      </c>
      <c r="O257" s="9" t="n">
        <f aca="false">F257*N257</f>
        <v>2800.14475978702</v>
      </c>
      <c r="P257" s="25" t="n">
        <f aca="false">IF(A257&lt;=3,SUMIFS(Data_Q1!$D$5:$D$76,Data_Q1!$A$5:$A$76,A257,Data_Q1!$B$5:$B$76,C257,Data_Q1!$C$5:$C$76,D257),F257*INDEX(Reforecast!$D$6:$D$9,MATCH(D257,Reforecast!$A$6:$A$9,0)))</f>
        <v>1085.1</v>
      </c>
      <c r="Q257" s="9" t="n">
        <f aca="false">IF(A257&lt;=3,SUMIFS(Data_Q1!$E$5:$E$76,Data_Q1!$A$5:$A$76,A257,Data_Q1!$B$5:$B$76,C257,Data_Q1!$C$5:$C$76,D257),P257*G257*(1+H257)*(1+I257))</f>
        <v>127195.69</v>
      </c>
      <c r="R257" s="9" t="n">
        <f aca="false">IF(A257&lt;=3,SUMIFS(Data_Q1!$F$5:$F$76,Data_Q1!$A$5:$A$76,A257,Data_Q1!$B$5:$B$76,C257,Data_Q1!$C$5:$C$76,D257),P257*L257*INDEX(Reforecast!$D$12:$D$17,MATCH(C257,Reforecast!$A$12:$A$17,0)))</f>
        <v>92951.95</v>
      </c>
      <c r="S257" s="9" t="n">
        <f aca="false">IF(A257&lt;=3,SUMIFS(Data_Q1!$G$5:$G$76,Data_Q1!$A$5:$A$76,A257,Data_Q1!$B$5:$B$76,C257,Data_Q1!$C$5:$C$76,D257),P257*N257)</f>
        <v>2955.97</v>
      </c>
    </row>
    <row r="258" customFormat="false" ht="15" hidden="false" customHeight="false" outlineLevel="0" collapsed="false">
      <c r="A258" s="0" t="n">
        <f aca="false">MOD(ROW()-5,12)+1</f>
        <v>2</v>
      </c>
      <c r="B258" s="0" t="n">
        <f aca="false">INT((ROW()-5)/12)+1</f>
        <v>22</v>
      </c>
      <c r="C258" s="0" t="str">
        <f aca="false">INDEX(Data_Base!$A$5:$A$28,B258)</f>
        <v>Cheese &amp; Dairy</v>
      </c>
      <c r="D258" s="0" t="str">
        <f aca="false">INDEX(Data_Base!$B$5:$B$28,B258)</f>
        <v>Grocery Retail</v>
      </c>
      <c r="E258" s="26" t="n">
        <f aca="false">INDEX(Data_Base!$B$32:$M$37,MATCH(C258,Data_Base!$A$32:$A$37,0),A258)</f>
        <v>0.074499</v>
      </c>
      <c r="F258" s="25" t="n">
        <f aca="false">INDEX(Data_Base!$C$5:$C$28,B258)*(1+INDEX(Assumptions!$B$19:$B$22,MATCH(D258,Assumptions!$A$19:$A$22,0)))*E258</f>
        <v>980.04998979</v>
      </c>
      <c r="G258" s="24" t="n">
        <f aca="false">INDEX(Data_Base!$D$5:$D$28,B258)/INDEX(Data_Base!$C$5:$C$28,B258)</f>
        <v>117.046517524236</v>
      </c>
      <c r="H258" s="27" t="n">
        <f aca="false">IF(A258&gt;=Assumptions!$C$37,INDEX(Assumptions!$B$10:$B$15,MATCH(C258,Assumptions!$A$10:$A$15,0)),0)</f>
        <v>0.015</v>
      </c>
      <c r="I258" s="27" t="n">
        <f aca="false">IF(AND(A258&gt;=Assumptions!$C$37,INDEX(Assumptions!$C$19:$C$22,MATCH(D258,Assumptions!$A$19:$A$22,0))=1),INDEX(Assumptions!$D$10:$D$15,MATCH(C258,Assumptions!$A$10:$A$15,0)),0)</f>
        <v>0</v>
      </c>
      <c r="J258" s="9" t="n">
        <f aca="false">F258*G258*(1+H258)</f>
        <v>116432.109879151</v>
      </c>
      <c r="K258" s="9" t="n">
        <f aca="false">J258*(1+I258)</f>
        <v>116432.109879151</v>
      </c>
      <c r="L258" s="24" t="n">
        <f aca="false">INDEX(Data_Base!$E$5:$E$28,B258)/INDEX(Data_Base!$C$5:$C$28,B258)*(1+INDEX(Assumptions!$C$10:$C$15,MATCH(C258,Assumptions!$A$10:$A$15,0)))</f>
        <v>85.2718098434005</v>
      </c>
      <c r="M258" s="9" t="n">
        <f aca="false">F258*L258</f>
        <v>83570.6363663994</v>
      </c>
      <c r="N258" s="24" t="n">
        <f aca="false">INDEX(Data_Base!$F$5:$F$28,B258)/INDEX(Data_Base!$C$5:$C$28,B258)*(1+Assumptions!$C$38)</f>
        <v>2.72404858728975</v>
      </c>
      <c r="O258" s="9" t="n">
        <f aca="false">F258*N258</f>
        <v>2669.70379016078</v>
      </c>
      <c r="P258" s="25" t="n">
        <f aca="false">IF(A258&lt;=3,SUMIFS(Data_Q1!$D$5:$D$76,Data_Q1!$A$5:$A$76,A258,Data_Q1!$B$5:$B$76,C258,Data_Q1!$C$5:$C$76,D258),F258*INDEX(Reforecast!$D$6:$D$9,MATCH(D258,Reforecast!$A$6:$A$9,0)))</f>
        <v>1043.4</v>
      </c>
      <c r="Q258" s="9" t="n">
        <f aca="false">IF(A258&lt;=3,SUMIFS(Data_Q1!$E$5:$E$76,Data_Q1!$A$5:$A$76,A258,Data_Q1!$B$5:$B$76,C258,Data_Q1!$C$5:$C$76,D258),P258*G258*(1+H258)*(1+I258))</f>
        <v>124083.7</v>
      </c>
      <c r="R258" s="9" t="n">
        <f aca="false">IF(A258&lt;=3,SUMIFS(Data_Q1!$F$5:$F$76,Data_Q1!$A$5:$A$76,A258,Data_Q1!$B$5:$B$76,C258,Data_Q1!$C$5:$C$76,D258),P258*L258*INDEX(Reforecast!$D$12:$D$17,MATCH(C258,Reforecast!$A$12:$A$17,0)))</f>
        <v>88840.51</v>
      </c>
      <c r="S258" s="9" t="n">
        <f aca="false">IF(A258&lt;=3,SUMIFS(Data_Q1!$G$5:$G$76,Data_Q1!$A$5:$A$76,A258,Data_Q1!$B$5:$B$76,C258,Data_Q1!$C$5:$C$76,D258),P258*N258)</f>
        <v>2842.23</v>
      </c>
    </row>
    <row r="259" customFormat="false" ht="15" hidden="false" customHeight="false" outlineLevel="0" collapsed="false">
      <c r="A259" s="0" t="n">
        <f aca="false">MOD(ROW()-5,12)+1</f>
        <v>3</v>
      </c>
      <c r="B259" s="0" t="n">
        <f aca="false">INT((ROW()-5)/12)+1</f>
        <v>22</v>
      </c>
      <c r="C259" s="0" t="str">
        <f aca="false">INDEX(Data_Base!$A$5:$A$28,B259)</f>
        <v>Cheese &amp; Dairy</v>
      </c>
      <c r="D259" s="0" t="str">
        <f aca="false">INDEX(Data_Base!$B$5:$B$28,B259)</f>
        <v>Grocery Retail</v>
      </c>
      <c r="E259" s="26" t="n">
        <f aca="false">INDEX(Data_Base!$B$32:$M$37,MATCH(C259,Data_Base!$A$32:$A$37,0),A259)</f>
        <v>0.079009</v>
      </c>
      <c r="F259" s="25" t="n">
        <f aca="false">INDEX(Data_Base!$C$5:$C$28,B259)*(1+INDEX(Assumptions!$B$19:$B$22,MATCH(D259,Assumptions!$A$19:$A$22,0)))*E259</f>
        <v>1039.37998689</v>
      </c>
      <c r="G259" s="24" t="n">
        <f aca="false">INDEX(Data_Base!$D$5:$D$28,B259)/INDEX(Data_Base!$C$5:$C$28,B259)</f>
        <v>117.046517524236</v>
      </c>
      <c r="H259" s="27" t="n">
        <f aca="false">IF(A259&gt;=Assumptions!$C$37,INDEX(Assumptions!$B$10:$B$15,MATCH(C259,Assumptions!$A$10:$A$15,0)),0)</f>
        <v>0.015</v>
      </c>
      <c r="I259" s="27" t="n">
        <f aca="false">IF(AND(A259&gt;=Assumptions!$C$37,INDEX(Assumptions!$C$19:$C$22,MATCH(D259,Assumptions!$A$19:$A$22,0))=1),INDEX(Assumptions!$D$10:$D$15,MATCH(C259,Assumptions!$A$10:$A$15,0)),0)</f>
        <v>0</v>
      </c>
      <c r="J259" s="9" t="n">
        <f aca="false">F259*G259*(1+H259)</f>
        <v>123480.644967608</v>
      </c>
      <c r="K259" s="9" t="n">
        <f aca="false">J259*(1+I259)</f>
        <v>123480.644967608</v>
      </c>
      <c r="L259" s="24" t="n">
        <f aca="false">INDEX(Data_Base!$E$5:$E$28,B259)/INDEX(Data_Base!$C$5:$C$28,B259)*(1+INDEX(Assumptions!$C$10:$C$15,MATCH(C259,Assumptions!$A$10:$A$15,0)))</f>
        <v>85.2718098434005</v>
      </c>
      <c r="M259" s="9" t="n">
        <f aca="false">F259*L259</f>
        <v>88629.8125971201</v>
      </c>
      <c r="N259" s="24" t="n">
        <f aca="false">INDEX(Data_Base!$F$5:$F$28,B259)/INDEX(Data_Base!$C$5:$C$28,B259)*(1+Assumptions!$C$38)</f>
        <v>2.72404858728975</v>
      </c>
      <c r="O259" s="9" t="n">
        <f aca="false">F259*N259</f>
        <v>2831.32158494494</v>
      </c>
      <c r="P259" s="25" t="n">
        <f aca="false">IF(A259&lt;=3,SUMIFS(Data_Q1!$D$5:$D$76,Data_Q1!$A$5:$A$76,A259,Data_Q1!$B$5:$B$76,C259,Data_Q1!$C$5:$C$76,D259),F259*INDEX(Reforecast!$D$6:$D$9,MATCH(D259,Reforecast!$A$6:$A$9,0)))</f>
        <v>1101.6</v>
      </c>
      <c r="Q259" s="9" t="n">
        <f aca="false">IF(A259&lt;=3,SUMIFS(Data_Q1!$E$5:$E$76,Data_Q1!$A$5:$A$76,A259,Data_Q1!$B$5:$B$76,C259,Data_Q1!$C$5:$C$76,D259),P259*G259*(1+H259)*(1+I259))</f>
        <v>131046.86</v>
      </c>
      <c r="R259" s="9" t="n">
        <f aca="false">IF(A259&lt;=3,SUMIFS(Data_Q1!$F$5:$F$76,Data_Q1!$A$5:$A$76,A259,Data_Q1!$B$5:$B$76,C259,Data_Q1!$C$5:$C$76,D259),P259*L259*INDEX(Reforecast!$D$12:$D$17,MATCH(C259,Reforecast!$A$12:$A$17,0)))</f>
        <v>94070.33</v>
      </c>
      <c r="S259" s="9" t="n">
        <f aca="false">IF(A259&lt;=3,SUMIFS(Data_Q1!$G$5:$G$76,Data_Q1!$A$5:$A$76,A259,Data_Q1!$B$5:$B$76,C259,Data_Q1!$C$5:$C$76,D259),P259*N259)</f>
        <v>3000.68</v>
      </c>
    </row>
    <row r="260" customFormat="false" ht="15" hidden="false" customHeight="false" outlineLevel="0" collapsed="false">
      <c r="A260" s="0" t="n">
        <f aca="false">MOD(ROW()-5,12)+1</f>
        <v>4</v>
      </c>
      <c r="B260" s="0" t="n">
        <f aca="false">INT((ROW()-5)/12)+1</f>
        <v>22</v>
      </c>
      <c r="C260" s="0" t="str">
        <f aca="false">INDEX(Data_Base!$A$5:$A$28,B260)</f>
        <v>Cheese &amp; Dairy</v>
      </c>
      <c r="D260" s="0" t="str">
        <f aca="false">INDEX(Data_Base!$B$5:$B$28,B260)</f>
        <v>Grocery Retail</v>
      </c>
      <c r="E260" s="26" t="n">
        <f aca="false">INDEX(Data_Base!$B$32:$M$37,MATCH(C260,Data_Base!$A$32:$A$37,0),A260)</f>
        <v>0.079471</v>
      </c>
      <c r="F260" s="25" t="n">
        <f aca="false">INDEX(Data_Base!$C$5:$C$28,B260)*(1+INDEX(Assumptions!$B$19:$B$22,MATCH(D260,Assumptions!$A$19:$A$22,0)))*E260</f>
        <v>1045.45769391</v>
      </c>
      <c r="G260" s="24" t="n">
        <f aca="false">INDEX(Data_Base!$D$5:$D$28,B260)/INDEX(Data_Base!$C$5:$C$28,B260)</f>
        <v>117.046517524236</v>
      </c>
      <c r="H260" s="27" t="n">
        <f aca="false">IF(A260&gt;=Assumptions!$C$37,INDEX(Assumptions!$B$10:$B$15,MATCH(C260,Assumptions!$A$10:$A$15,0)),0)</f>
        <v>0.015</v>
      </c>
      <c r="I260" s="27" t="n">
        <f aca="false">IF(AND(A260&gt;=Assumptions!$C$37,INDEX(Assumptions!$C$19:$C$22,MATCH(D260,Assumptions!$A$19:$A$22,0))=1),INDEX(Assumptions!$D$10:$D$15,MATCH(C260,Assumptions!$A$10:$A$15,0)),0)</f>
        <v>0</v>
      </c>
      <c r="J260" s="9" t="n">
        <f aca="false">F260*G260*(1+H260)</f>
        <v>124202.69002545</v>
      </c>
      <c r="K260" s="9" t="n">
        <f aca="false">J260*(1+I260)</f>
        <v>124202.69002545</v>
      </c>
      <c r="L260" s="24" t="n">
        <f aca="false">INDEX(Data_Base!$E$5:$E$28,B260)/INDEX(Data_Base!$C$5:$C$28,B260)*(1+INDEX(Assumptions!$C$10:$C$15,MATCH(C260,Assumptions!$A$10:$A$15,0)))</f>
        <v>85.2718098434005</v>
      </c>
      <c r="M260" s="9" t="n">
        <f aca="false">F260*L260</f>
        <v>89148.0696744135</v>
      </c>
      <c r="N260" s="24" t="n">
        <f aca="false">INDEX(Data_Base!$F$5:$F$28,B260)/INDEX(Data_Base!$C$5:$C$28,B260)*(1+Assumptions!$C$38)</f>
        <v>2.72404858728975</v>
      </c>
      <c r="O260" s="9" t="n">
        <f aca="false">F260*N260</f>
        <v>2847.87755416674</v>
      </c>
      <c r="P260" s="25" t="n">
        <f aca="false">IF(A260&lt;=3,SUMIFS(Data_Q1!$D$5:$D$76,Data_Q1!$A$5:$A$76,A260,Data_Q1!$B$5:$B$76,C260,Data_Q1!$C$5:$C$76,D260),F260*INDEX(Reforecast!$D$6:$D$9,MATCH(D260,Reforecast!$A$6:$A$9,0)))</f>
        <v>1108.07470749073</v>
      </c>
      <c r="Q260" s="9" t="n">
        <f aca="false">IF(A260&lt;=3,SUMIFS(Data_Q1!$E$5:$E$76,Data_Q1!$A$5:$A$76,A260,Data_Q1!$B$5:$B$76,C260,Data_Q1!$C$5:$C$76,D260),P260*G260*(1+H260)*(1+I260))</f>
        <v>131641.729953503</v>
      </c>
      <c r="R260" s="9" t="n">
        <f aca="false">IF(A260&lt;=3,SUMIFS(Data_Q1!$F$5:$F$76,Data_Q1!$A$5:$A$76,A260,Data_Q1!$B$5:$B$76,C260,Data_Q1!$C$5:$C$76,D260),P260*L260*INDEX(Reforecast!$D$12:$D$17,MATCH(C260,Reforecast!$A$12:$A$17,0)))</f>
        <v>94711.8331931336</v>
      </c>
      <c r="S260" s="9" t="n">
        <f aca="false">IF(A260&lt;=3,SUMIFS(Data_Q1!$G$5:$G$76,Data_Q1!$A$5:$A$76,A260,Data_Q1!$B$5:$B$76,C260,Data_Q1!$C$5:$C$76,D260),P260*N260)</f>
        <v>3018.44934155163</v>
      </c>
    </row>
    <row r="261" customFormat="false" ht="15" hidden="false" customHeight="false" outlineLevel="0" collapsed="false">
      <c r="A261" s="0" t="n">
        <f aca="false">MOD(ROW()-5,12)+1</f>
        <v>5</v>
      </c>
      <c r="B261" s="0" t="n">
        <f aca="false">INT((ROW()-5)/12)+1</f>
        <v>22</v>
      </c>
      <c r="C261" s="0" t="str">
        <f aca="false">INDEX(Data_Base!$A$5:$A$28,B261)</f>
        <v>Cheese &amp; Dairy</v>
      </c>
      <c r="D261" s="0" t="str">
        <f aca="false">INDEX(Data_Base!$B$5:$B$28,B261)</f>
        <v>Grocery Retail</v>
      </c>
      <c r="E261" s="26" t="n">
        <f aca="false">INDEX(Data_Base!$B$32:$M$37,MATCH(C261,Data_Base!$A$32:$A$37,0),A261)</f>
        <v>0.079118</v>
      </c>
      <c r="F261" s="25" t="n">
        <f aca="false">INDEX(Data_Base!$C$5:$C$28,B261)*(1+INDEX(Assumptions!$B$19:$B$22,MATCH(D261,Assumptions!$A$19:$A$22,0)))*E261</f>
        <v>1040.81390478</v>
      </c>
      <c r="G261" s="24" t="n">
        <f aca="false">INDEX(Data_Base!$D$5:$D$28,B261)/INDEX(Data_Base!$C$5:$C$28,B261)</f>
        <v>117.046517524236</v>
      </c>
      <c r="H261" s="27" t="n">
        <f aca="false">IF(A261&gt;=Assumptions!$C$37,INDEX(Assumptions!$B$10:$B$15,MATCH(C261,Assumptions!$A$10:$A$15,0)),0)</f>
        <v>0.015</v>
      </c>
      <c r="I261" s="27" t="n">
        <f aca="false">IF(AND(A261&gt;=Assumptions!$C$37,INDEX(Assumptions!$C$19:$C$22,MATCH(D261,Assumptions!$A$19:$A$22,0))=1),INDEX(Assumptions!$D$10:$D$15,MATCH(C261,Assumptions!$A$10:$A$15,0)),0)</f>
        <v>0</v>
      </c>
      <c r="J261" s="9" t="n">
        <f aca="false">F261*G261*(1+H261)</f>
        <v>123650.99758948</v>
      </c>
      <c r="K261" s="9" t="n">
        <f aca="false">J261*(1+I261)</f>
        <v>123650.99758948</v>
      </c>
      <c r="L261" s="24" t="n">
        <f aca="false">INDEX(Data_Base!$E$5:$E$28,B261)/INDEX(Data_Base!$C$5:$C$28,B261)*(1+INDEX(Assumptions!$C$10:$C$15,MATCH(C261,Assumptions!$A$10:$A$15,0)))</f>
        <v>85.2718098434005</v>
      </c>
      <c r="M261" s="9" t="n">
        <f aca="false">F261*L261</f>
        <v>88752.0853707673</v>
      </c>
      <c r="N261" s="24" t="n">
        <f aca="false">INDEX(Data_Base!$F$5:$F$28,B261)/INDEX(Data_Base!$C$5:$C$28,B261)*(1+Assumptions!$C$38)</f>
        <v>2.72404858728975</v>
      </c>
      <c r="O261" s="9" t="n">
        <f aca="false">F261*N261</f>
        <v>2835.22764694749</v>
      </c>
      <c r="P261" s="25" t="n">
        <f aca="false">IF(A261&lt;=3,SUMIFS(Data_Q1!$D$5:$D$76,Data_Q1!$A$5:$A$76,A261,Data_Q1!$B$5:$B$76,C261,Data_Q1!$C$5:$C$76,D261),F261*INDEX(Reforecast!$D$6:$D$9,MATCH(D261,Reforecast!$A$6:$A$9,0)))</f>
        <v>1103.15278160904</v>
      </c>
      <c r="Q261" s="9" t="n">
        <f aca="false">IF(A261&lt;=3,SUMIFS(Data_Q1!$E$5:$E$76,Data_Q1!$A$5:$A$76,A261,Data_Q1!$B$5:$B$76,C261,Data_Q1!$C$5:$C$76,D261),P261*G261*(1+H261)*(1+I261))</f>
        <v>131056.994255279</v>
      </c>
      <c r="R261" s="9" t="n">
        <f aca="false">IF(A261&lt;=3,SUMIFS(Data_Q1!$F$5:$F$76,Data_Q1!$A$5:$A$76,A261,Data_Q1!$B$5:$B$76,C261,Data_Q1!$C$5:$C$76,D261),P261*L261*INDEX(Reforecast!$D$12:$D$17,MATCH(C261,Reforecast!$A$12:$A$17,0)))</f>
        <v>94291.135364779</v>
      </c>
      <c r="S261" s="9" t="n">
        <f aca="false">IF(A261&lt;=3,SUMIFS(Data_Q1!$G$5:$G$76,Data_Q1!$A$5:$A$76,A261,Data_Q1!$B$5:$B$76,C261,Data_Q1!$C$5:$C$76,D261),P261*N261)</f>
        <v>3005.04177630685</v>
      </c>
    </row>
    <row r="262" customFormat="false" ht="15" hidden="false" customHeight="false" outlineLevel="0" collapsed="false">
      <c r="A262" s="0" t="n">
        <f aca="false">MOD(ROW()-5,12)+1</f>
        <v>6</v>
      </c>
      <c r="B262" s="0" t="n">
        <f aca="false">INT((ROW()-5)/12)+1</f>
        <v>22</v>
      </c>
      <c r="C262" s="0" t="str">
        <f aca="false">INDEX(Data_Base!$A$5:$A$28,B262)</f>
        <v>Cheese &amp; Dairy</v>
      </c>
      <c r="D262" s="0" t="str">
        <f aca="false">INDEX(Data_Base!$B$5:$B$28,B262)</f>
        <v>Grocery Retail</v>
      </c>
      <c r="E262" s="26" t="n">
        <f aca="false">INDEX(Data_Base!$B$32:$M$37,MATCH(C262,Data_Base!$A$32:$A$37,0),A262)</f>
        <v>0.079145</v>
      </c>
      <c r="F262" s="25" t="n">
        <f aca="false">INDEX(Data_Base!$C$5:$C$28,B262)*(1+INDEX(Assumptions!$B$19:$B$22,MATCH(D262,Assumptions!$A$19:$A$22,0)))*E262</f>
        <v>1041.16909545</v>
      </c>
      <c r="G262" s="24" t="n">
        <f aca="false">INDEX(Data_Base!$D$5:$D$28,B262)/INDEX(Data_Base!$C$5:$C$28,B262)</f>
        <v>117.046517524236</v>
      </c>
      <c r="H262" s="27" t="n">
        <f aca="false">IF(A262&gt;=Assumptions!$C$37,INDEX(Assumptions!$B$10:$B$15,MATCH(C262,Assumptions!$A$10:$A$15,0)),0)</f>
        <v>0.015</v>
      </c>
      <c r="I262" s="27" t="n">
        <f aca="false">IF(AND(A262&gt;=Assumptions!$C$37,INDEX(Assumptions!$C$19:$C$22,MATCH(D262,Assumptions!$A$19:$A$22,0))=1),INDEX(Assumptions!$D$10:$D$15,MATCH(C262,Assumptions!$A$10:$A$15,0)),0)</f>
        <v>0</v>
      </c>
      <c r="J262" s="9" t="n">
        <f aca="false">F262*G262*(1+H262)</f>
        <v>123693.195027925</v>
      </c>
      <c r="K262" s="9" t="n">
        <f aca="false">J262*(1+I262)</f>
        <v>123693.195027925</v>
      </c>
      <c r="L262" s="24" t="n">
        <f aca="false">INDEX(Data_Base!$E$5:$E$28,B262)/INDEX(Data_Base!$C$5:$C$28,B262)*(1+INDEX(Assumptions!$C$10:$C$15,MATCH(C262,Assumptions!$A$10:$A$15,0)))</f>
        <v>85.2718098434005</v>
      </c>
      <c r="M262" s="9" t="n">
        <f aca="false">F262*L262</f>
        <v>88782.3731220377</v>
      </c>
      <c r="N262" s="24" t="n">
        <f aca="false">INDEX(Data_Base!$F$5:$F$28,B262)/INDEX(Data_Base!$C$5:$C$28,B262)*(1+Assumptions!$C$38)</f>
        <v>2.72404858728975</v>
      </c>
      <c r="O262" s="9" t="n">
        <f aca="false">F262*N262</f>
        <v>2836.19520359032</v>
      </c>
      <c r="P262" s="25" t="n">
        <f aca="false">IF(A262&lt;=3,SUMIFS(Data_Q1!$D$5:$D$76,Data_Q1!$A$5:$A$76,A262,Data_Q1!$B$5:$B$76,C262,Data_Q1!$C$5:$C$76,D262),F262*INDEX(Reforecast!$D$6:$D$9,MATCH(D262,Reforecast!$A$6:$A$9,0)))</f>
        <v>1103.52924619489</v>
      </c>
      <c r="Q262" s="9" t="n">
        <f aca="false">IF(A262&lt;=3,SUMIFS(Data_Q1!$E$5:$E$76,Data_Q1!$A$5:$A$76,A262,Data_Q1!$B$5:$B$76,C262,Data_Q1!$C$5:$C$76,D262),P262*G262*(1+H262)*(1+I262))</f>
        <v>131101.719082055</v>
      </c>
      <c r="R262" s="9" t="n">
        <f aca="false">IF(A262&lt;=3,SUMIFS(Data_Q1!$F$5:$F$76,Data_Q1!$A$5:$A$76,A262,Data_Q1!$B$5:$B$76,C262,Data_Q1!$C$5:$C$76,D262),P262*L262*INDEX(Reforecast!$D$12:$D$17,MATCH(C262,Reforecast!$A$12:$A$17,0)))</f>
        <v>94323.3133856446</v>
      </c>
      <c r="S262" s="9" t="n">
        <f aca="false">IF(A262&lt;=3,SUMIFS(Data_Q1!$G$5:$G$76,Data_Q1!$A$5:$A$76,A262,Data_Q1!$B$5:$B$76,C262,Data_Q1!$C$5:$C$76,D262),P262*N262)</f>
        <v>3006.06728413011</v>
      </c>
    </row>
    <row r="263" customFormat="false" ht="15" hidden="false" customHeight="false" outlineLevel="0" collapsed="false">
      <c r="A263" s="0" t="n">
        <f aca="false">MOD(ROW()-5,12)+1</f>
        <v>7</v>
      </c>
      <c r="B263" s="0" t="n">
        <f aca="false">INT((ROW()-5)/12)+1</f>
        <v>22</v>
      </c>
      <c r="C263" s="0" t="str">
        <f aca="false">INDEX(Data_Base!$A$5:$A$28,B263)</f>
        <v>Cheese &amp; Dairy</v>
      </c>
      <c r="D263" s="0" t="str">
        <f aca="false">INDEX(Data_Base!$B$5:$B$28,B263)</f>
        <v>Grocery Retail</v>
      </c>
      <c r="E263" s="26" t="n">
        <f aca="false">INDEX(Data_Base!$B$32:$M$37,MATCH(C263,Data_Base!$A$32:$A$37,0),A263)</f>
        <v>0.078846</v>
      </c>
      <c r="F263" s="25" t="n">
        <f aca="false">INDEX(Data_Base!$C$5:$C$28,B263)*(1+INDEX(Assumptions!$B$19:$B$22,MATCH(D263,Assumptions!$A$19:$A$22,0)))*E263</f>
        <v>1037.23568766</v>
      </c>
      <c r="G263" s="24" t="n">
        <f aca="false">INDEX(Data_Base!$D$5:$D$28,B263)/INDEX(Data_Base!$C$5:$C$28,B263)</f>
        <v>117.046517524236</v>
      </c>
      <c r="H263" s="27" t="n">
        <f aca="false">IF(A263&gt;=Assumptions!$C$37,INDEX(Assumptions!$B$10:$B$15,MATCH(C263,Assumptions!$A$10:$A$15,0)),0)</f>
        <v>0.015</v>
      </c>
      <c r="I263" s="27" t="n">
        <f aca="false">IF(AND(A263&gt;=Assumptions!$C$37,INDEX(Assumptions!$C$19:$C$22,MATCH(D263,Assumptions!$A$19:$A$22,0))=1),INDEX(Assumptions!$D$10:$D$15,MATCH(C263,Assumptions!$A$10:$A$15,0)),0)</f>
        <v>0</v>
      </c>
      <c r="J263" s="9" t="n">
        <f aca="false">F263*G263*(1+H263)</f>
        <v>123225.897468846</v>
      </c>
      <c r="K263" s="9" t="n">
        <f aca="false">J263*(1+I263)</f>
        <v>123225.897468846</v>
      </c>
      <c r="L263" s="24" t="n">
        <f aca="false">INDEX(Data_Base!$E$5:$E$28,B263)/INDEX(Data_Base!$C$5:$C$28,B263)*(1+INDEX(Assumptions!$C$10:$C$15,MATCH(C263,Assumptions!$A$10:$A$15,0)))</f>
        <v>85.2718098434005</v>
      </c>
      <c r="M263" s="9" t="n">
        <f aca="false">F263*L263</f>
        <v>88446.9643209322</v>
      </c>
      <c r="N263" s="24" t="n">
        <f aca="false">INDEX(Data_Base!$F$5:$F$28,B263)/INDEX(Data_Base!$C$5:$C$28,B263)*(1+Assumptions!$C$38)</f>
        <v>2.72404858728975</v>
      </c>
      <c r="O263" s="9" t="n">
        <f aca="false">F263*N263</f>
        <v>2825.48040965674</v>
      </c>
      <c r="P263" s="25" t="n">
        <f aca="false">IF(A263&lt;=3,SUMIFS(Data_Q1!$D$5:$D$76,Data_Q1!$A$5:$A$76,A263,Data_Q1!$B$5:$B$76,C263,Data_Q1!$C$5:$C$76,D263),F263*INDEX(Reforecast!$D$6:$D$9,MATCH(D263,Reforecast!$A$6:$A$9,0)))</f>
        <v>1099.3602494849</v>
      </c>
      <c r="Q263" s="9" t="n">
        <f aca="false">IF(A263&lt;=3,SUMIFS(Data_Q1!$E$5:$E$76,Data_Q1!$A$5:$A$76,A263,Data_Q1!$B$5:$B$76,C263,Data_Q1!$C$5:$C$76,D263),P263*G263*(1+H263)*(1+I263))</f>
        <v>130606.433037384</v>
      </c>
      <c r="R263" s="9" t="n">
        <f aca="false">IF(A263&lt;=3,SUMIFS(Data_Q1!$F$5:$F$76,Data_Q1!$A$5:$A$76,A263,Data_Q1!$B$5:$B$76,C263,Data_Q1!$C$5:$C$76,D263),P263*L263*INDEX(Reforecast!$D$12:$D$17,MATCH(C263,Reforecast!$A$12:$A$17,0)))</f>
        <v>93966.9715990212</v>
      </c>
      <c r="S263" s="9" t="n">
        <f aca="false">IF(A263&lt;=3,SUMIFS(Data_Q1!$G$5:$G$76,Data_Q1!$A$5:$A$76,A263,Data_Q1!$B$5:$B$76,C263,Data_Q1!$C$5:$C$76,D263),P263*N263)</f>
        <v>2994.71073453184</v>
      </c>
    </row>
    <row r="264" customFormat="false" ht="15" hidden="false" customHeight="false" outlineLevel="0" collapsed="false">
      <c r="A264" s="0" t="n">
        <f aca="false">MOD(ROW()-5,12)+1</f>
        <v>8</v>
      </c>
      <c r="B264" s="0" t="n">
        <f aca="false">INT((ROW()-5)/12)+1</f>
        <v>22</v>
      </c>
      <c r="C264" s="0" t="str">
        <f aca="false">INDEX(Data_Base!$A$5:$A$28,B264)</f>
        <v>Cheese &amp; Dairy</v>
      </c>
      <c r="D264" s="0" t="str">
        <f aca="false">INDEX(Data_Base!$B$5:$B$28,B264)</f>
        <v>Grocery Retail</v>
      </c>
      <c r="E264" s="26" t="n">
        <f aca="false">INDEX(Data_Base!$B$32:$M$37,MATCH(C264,Data_Base!$A$32:$A$37,0),A264)</f>
        <v>0.078493</v>
      </c>
      <c r="F264" s="25" t="n">
        <f aca="false">INDEX(Data_Base!$C$5:$C$28,B264)*(1+INDEX(Assumptions!$B$19:$B$22,MATCH(D264,Assumptions!$A$19:$A$22,0)))*E264</f>
        <v>1032.59189853</v>
      </c>
      <c r="G264" s="24" t="n">
        <f aca="false">INDEX(Data_Base!$D$5:$D$28,B264)/INDEX(Data_Base!$C$5:$C$28,B264)</f>
        <v>117.046517524236</v>
      </c>
      <c r="H264" s="27" t="n">
        <f aca="false">IF(A264&gt;=Assumptions!$C$37,INDEX(Assumptions!$B$10:$B$15,MATCH(C264,Assumptions!$A$10:$A$15,0)),0)</f>
        <v>0.015</v>
      </c>
      <c r="I264" s="27" t="n">
        <f aca="false">IF(AND(A264&gt;=Assumptions!$C$37,INDEX(Assumptions!$C$19:$C$22,MATCH(D264,Assumptions!$A$19:$A$22,0))=1),INDEX(Assumptions!$D$10:$D$15,MATCH(C264,Assumptions!$A$10:$A$15,0)),0)</f>
        <v>0</v>
      </c>
      <c r="J264" s="9" t="n">
        <f aca="false">F264*G264*(1+H264)</f>
        <v>122674.205032876</v>
      </c>
      <c r="K264" s="9" t="n">
        <f aca="false">J264*(1+I264)</f>
        <v>122674.205032876</v>
      </c>
      <c r="L264" s="24" t="n">
        <f aca="false">INDEX(Data_Base!$E$5:$E$28,B264)/INDEX(Data_Base!$C$5:$C$28,B264)*(1+INDEX(Assumptions!$C$10:$C$15,MATCH(C264,Assumptions!$A$10:$A$15,0)))</f>
        <v>85.2718098434005</v>
      </c>
      <c r="M264" s="9" t="n">
        <f aca="false">F264*L264</f>
        <v>88050.980017286</v>
      </c>
      <c r="N264" s="24" t="n">
        <f aca="false">INDEX(Data_Base!$F$5:$F$28,B264)/INDEX(Data_Base!$C$5:$C$28,B264)*(1+Assumptions!$C$38)</f>
        <v>2.72404858728975</v>
      </c>
      <c r="O264" s="9" t="n">
        <f aca="false">F264*N264</f>
        <v>2812.83050243749</v>
      </c>
      <c r="P264" s="25" t="n">
        <f aca="false">IF(A264&lt;=3,SUMIFS(Data_Q1!$D$5:$D$76,Data_Q1!$A$5:$A$76,A264,Data_Q1!$B$5:$B$76,C264,Data_Q1!$C$5:$C$76,D264),F264*INDEX(Reforecast!$D$6:$D$9,MATCH(D264,Reforecast!$A$6:$A$9,0)))</f>
        <v>1094.4383236032</v>
      </c>
      <c r="Q264" s="9" t="n">
        <f aca="false">IF(A264&lt;=3,SUMIFS(Data_Q1!$E$5:$E$76,Data_Q1!$A$5:$A$76,A264,Data_Q1!$B$5:$B$76,C264,Data_Q1!$C$5:$C$76,D264),P264*G264*(1+H264)*(1+I264))</f>
        <v>130021.697339159</v>
      </c>
      <c r="R264" s="9" t="n">
        <f aca="false">IF(A264&lt;=3,SUMIFS(Data_Q1!$F$5:$F$76,Data_Q1!$A$5:$A$76,A264,Data_Q1!$B$5:$B$76,C264,Data_Q1!$C$5:$C$76,D264),P264*L264*INDEX(Reforecast!$D$12:$D$17,MATCH(C264,Reforecast!$A$12:$A$17,0)))</f>
        <v>93546.2737706665</v>
      </c>
      <c r="S264" s="9" t="n">
        <f aca="false">IF(A264&lt;=3,SUMIFS(Data_Q1!$G$5:$G$76,Data_Q1!$A$5:$A$76,A264,Data_Q1!$B$5:$B$76,C264,Data_Q1!$C$5:$C$76,D264),P264*N264)</f>
        <v>2981.30316928706</v>
      </c>
    </row>
    <row r="265" customFormat="false" ht="15" hidden="false" customHeight="false" outlineLevel="0" collapsed="false">
      <c r="A265" s="0" t="n">
        <f aca="false">MOD(ROW()-5,12)+1</f>
        <v>9</v>
      </c>
      <c r="B265" s="0" t="n">
        <f aca="false">INT((ROW()-5)/12)+1</f>
        <v>22</v>
      </c>
      <c r="C265" s="0" t="str">
        <f aca="false">INDEX(Data_Base!$A$5:$A$28,B265)</f>
        <v>Cheese &amp; Dairy</v>
      </c>
      <c r="D265" s="0" t="str">
        <f aca="false">INDEX(Data_Base!$B$5:$B$28,B265)</f>
        <v>Grocery Retail</v>
      </c>
      <c r="E265" s="26" t="n">
        <f aca="false">INDEX(Data_Base!$B$32:$M$37,MATCH(C265,Data_Base!$A$32:$A$37,0),A265)</f>
        <v>0.083274</v>
      </c>
      <c r="F265" s="25" t="n">
        <f aca="false">INDEX(Data_Base!$C$5:$C$28,B265)*(1+INDEX(Assumptions!$B$19:$B$22,MATCH(D265,Assumptions!$A$19:$A$22,0)))*E265</f>
        <v>1095.48695754</v>
      </c>
      <c r="G265" s="24" t="n">
        <f aca="false">INDEX(Data_Base!$D$5:$D$28,B265)/INDEX(Data_Base!$C$5:$C$28,B265)</f>
        <v>117.046517524236</v>
      </c>
      <c r="H265" s="27" t="n">
        <f aca="false">IF(A265&gt;=Assumptions!$C$37,INDEX(Assumptions!$B$10:$B$15,MATCH(C265,Assumptions!$A$10:$A$15,0)),0)</f>
        <v>0.015</v>
      </c>
      <c r="I265" s="27" t="n">
        <f aca="false">IF(AND(A265&gt;=Assumptions!$C$37,INDEX(Assumptions!$C$19:$C$22,MATCH(D265,Assumptions!$A$19:$A$22,0))=1),INDEX(Assumptions!$D$10:$D$15,MATCH(C265,Assumptions!$A$10:$A$15,0)),0)</f>
        <v>0</v>
      </c>
      <c r="J265" s="9" t="n">
        <f aca="false">F265*G265*(1+H265)</f>
        <v>130146.277373876</v>
      </c>
      <c r="K265" s="9" t="n">
        <f aca="false">J265*(1+I265)</f>
        <v>130146.277373876</v>
      </c>
      <c r="L265" s="24" t="n">
        <f aca="false">INDEX(Data_Base!$E$5:$E$28,B265)/INDEX(Data_Base!$C$5:$C$28,B265)*(1+INDEX(Assumptions!$C$10:$C$15,MATCH(C265,Assumptions!$A$10:$A$15,0)))</f>
        <v>85.2718098434005</v>
      </c>
      <c r="M265" s="9" t="n">
        <f aca="false">F265*L265</f>
        <v>93414.1555292762</v>
      </c>
      <c r="N265" s="24" t="n">
        <f aca="false">INDEX(Data_Base!$F$5:$F$28,B265)/INDEX(Data_Base!$C$5:$C$28,B265)*(1+Assumptions!$C$38)</f>
        <v>2.72404858728975</v>
      </c>
      <c r="O265" s="9" t="n">
        <f aca="false">F265*N265</f>
        <v>2984.15969908118</v>
      </c>
      <c r="P265" s="25" t="n">
        <f aca="false">IF(A265&lt;=3,SUMIFS(Data_Q1!$D$5:$D$76,Data_Q1!$A$5:$A$76,A265,Data_Q1!$B$5:$B$76,C265,Data_Q1!$C$5:$C$76,D265),F265*INDEX(Reforecast!$D$6:$D$9,MATCH(D265,Reforecast!$A$6:$A$9,0)))</f>
        <v>1161.10044156464</v>
      </c>
      <c r="Q265" s="9" t="n">
        <f aca="false">IF(A265&lt;=3,SUMIFS(Data_Q1!$E$5:$E$76,Data_Q1!$A$5:$A$76,A265,Data_Q1!$B$5:$B$76,C265,Data_Q1!$C$5:$C$76,D265),P265*G265*(1+H265)*(1+I265))</f>
        <v>137941.304628708</v>
      </c>
      <c r="R265" s="9" t="n">
        <f aca="false">IF(A265&lt;=3,SUMIFS(Data_Q1!$F$5:$F$76,Data_Q1!$A$5:$A$76,A265,Data_Q1!$B$5:$B$76,C265,Data_Q1!$C$5:$C$76,D265),P265*L265*INDEX(Reforecast!$D$12:$D$17,MATCH(C265,Reforecast!$A$12:$A$17,0)))</f>
        <v>99244.1670209889</v>
      </c>
      <c r="S265" s="9" t="n">
        <f aca="false">IF(A265&lt;=3,SUMIFS(Data_Q1!$G$5:$G$76,Data_Q1!$A$5:$A$76,A265,Data_Q1!$B$5:$B$76,C265,Data_Q1!$C$5:$C$76,D265),P265*N265)</f>
        <v>3162.89401754565</v>
      </c>
    </row>
    <row r="266" customFormat="false" ht="15" hidden="false" customHeight="false" outlineLevel="0" collapsed="false">
      <c r="A266" s="0" t="n">
        <f aca="false">MOD(ROW()-5,12)+1</f>
        <v>10</v>
      </c>
      <c r="B266" s="0" t="n">
        <f aca="false">INT((ROW()-5)/12)+1</f>
        <v>22</v>
      </c>
      <c r="C266" s="0" t="str">
        <f aca="false">INDEX(Data_Base!$A$5:$A$28,B266)</f>
        <v>Cheese &amp; Dairy</v>
      </c>
      <c r="D266" s="0" t="str">
        <f aca="false">INDEX(Data_Base!$B$5:$B$28,B266)</f>
        <v>Grocery Retail</v>
      </c>
      <c r="E266" s="26" t="n">
        <f aca="false">INDEX(Data_Base!$B$32:$M$37,MATCH(C266,Data_Base!$A$32:$A$37,0),A266)</f>
        <v>0.087078</v>
      </c>
      <c r="F266" s="25" t="n">
        <f aca="false">INDEX(Data_Base!$C$5:$C$28,B266)*(1+INDEX(Assumptions!$B$19:$B$22,MATCH(D266,Assumptions!$A$19:$A$22,0)))*E266</f>
        <v>1145.52937638</v>
      </c>
      <c r="G266" s="24" t="n">
        <f aca="false">INDEX(Data_Base!$D$5:$D$28,B266)/INDEX(Data_Base!$C$5:$C$28,B266)</f>
        <v>117.046517524236</v>
      </c>
      <c r="H266" s="27" t="n">
        <f aca="false">IF(A266&gt;=Assumptions!$C$37,INDEX(Assumptions!$B$10:$B$15,MATCH(C266,Assumptions!$A$10:$A$15,0)),0)</f>
        <v>0.015</v>
      </c>
      <c r="I266" s="27" t="n">
        <f aca="false">IF(AND(A266&gt;=Assumptions!$C$37,INDEX(Assumptions!$C$19:$C$22,MATCH(D266,Assumptions!$A$19:$A$22,0))=1),INDEX(Assumptions!$D$10:$D$15,MATCH(C266,Assumptions!$A$10:$A$15,0)),0)</f>
        <v>0</v>
      </c>
      <c r="J266" s="9" t="n">
        <f aca="false">F266*G266*(1+H266)</f>
        <v>136091.427590393</v>
      </c>
      <c r="K266" s="9" t="n">
        <f aca="false">J266*(1+I266)</f>
        <v>136091.427590393</v>
      </c>
      <c r="L266" s="24" t="n">
        <f aca="false">INDEX(Data_Base!$E$5:$E$28,B266)/INDEX(Data_Base!$C$5:$C$28,B266)*(1+INDEX(Assumptions!$C$10:$C$15,MATCH(C266,Assumptions!$A$10:$A$15,0)))</f>
        <v>85.2718098434005</v>
      </c>
      <c r="M266" s="9" t="n">
        <f aca="false">F266*L266</f>
        <v>97681.3631527045</v>
      </c>
      <c r="N266" s="24" t="n">
        <f aca="false">INDEX(Data_Base!$F$5:$F$28,B266)/INDEX(Data_Base!$C$5:$C$28,B266)*(1+Assumptions!$C$38)</f>
        <v>2.72404858728975</v>
      </c>
      <c r="O266" s="9" t="n">
        <f aca="false">F266*N266</f>
        <v>3120.47767942685</v>
      </c>
      <c r="P266" s="25" t="n">
        <f aca="false">IF(A266&lt;=3,SUMIFS(Data_Q1!$D$5:$D$76,Data_Q1!$A$5:$A$76,A266,Data_Q1!$B$5:$B$76,C266,Data_Q1!$C$5:$C$76,D266),F266*INDEX(Reforecast!$D$6:$D$9,MATCH(D266,Reforecast!$A$6:$A$9,0)))</f>
        <v>1214.14011877135</v>
      </c>
      <c r="Q266" s="9" t="n">
        <f aca="false">IF(A266&lt;=3,SUMIFS(Data_Q1!$E$5:$E$76,Data_Q1!$A$5:$A$76,A266,Data_Q1!$B$5:$B$76,C266,Data_Q1!$C$5:$C$76,D266),P266*G266*(1+H266)*(1+I266))</f>
        <v>144242.535778978</v>
      </c>
      <c r="R266" s="9" t="n">
        <f aca="false">IF(A266&lt;=3,SUMIFS(Data_Q1!$F$5:$F$76,Data_Q1!$A$5:$A$76,A266,Data_Q1!$B$5:$B$76,C266,Data_Q1!$C$5:$C$76,D266),P266*L266*INDEX(Reforecast!$D$12:$D$17,MATCH(C266,Reforecast!$A$12:$A$17,0)))</f>
        <v>103777.692627395</v>
      </c>
      <c r="S266" s="9" t="n">
        <f aca="false">IF(A266&lt;=3,SUMIFS(Data_Q1!$G$5:$G$76,Data_Q1!$A$5:$A$76,A266,Data_Q1!$B$5:$B$76,C266,Data_Q1!$C$5:$C$76,D266),P266*N266)</f>
        <v>3307.37667531091</v>
      </c>
    </row>
    <row r="267" customFormat="false" ht="15" hidden="false" customHeight="false" outlineLevel="0" collapsed="false">
      <c r="A267" s="0" t="n">
        <f aca="false">MOD(ROW()-5,12)+1</f>
        <v>11</v>
      </c>
      <c r="B267" s="0" t="n">
        <f aca="false">INT((ROW()-5)/12)+1</f>
        <v>22</v>
      </c>
      <c r="C267" s="0" t="str">
        <f aca="false">INDEX(Data_Base!$A$5:$A$28,B267)</f>
        <v>Cheese &amp; Dairy</v>
      </c>
      <c r="D267" s="0" t="str">
        <f aca="false">INDEX(Data_Base!$B$5:$B$28,B267)</f>
        <v>Grocery Retail</v>
      </c>
      <c r="E267" s="26" t="n">
        <f aca="false">INDEX(Data_Base!$B$32:$M$37,MATCH(C267,Data_Base!$A$32:$A$37,0),A267)</f>
        <v>0.095338</v>
      </c>
      <c r="F267" s="25" t="n">
        <f aca="false">INDEX(Data_Base!$C$5:$C$28,B267)*(1+INDEX(Assumptions!$B$19:$B$22,MATCH(D267,Assumptions!$A$19:$A$22,0)))*E267</f>
        <v>1254.19141098</v>
      </c>
      <c r="G267" s="24" t="n">
        <f aca="false">INDEX(Data_Base!$D$5:$D$28,B267)/INDEX(Data_Base!$C$5:$C$28,B267)</f>
        <v>117.046517524236</v>
      </c>
      <c r="H267" s="27" t="n">
        <f aca="false">IF(A267&gt;=Assumptions!$C$37,INDEX(Assumptions!$B$10:$B$15,MATCH(C267,Assumptions!$A$10:$A$15,0)),0)</f>
        <v>0.015</v>
      </c>
      <c r="I267" s="27" t="n">
        <f aca="false">IF(AND(A267&gt;=Assumptions!$C$37,INDEX(Assumptions!$C$19:$C$22,MATCH(D267,Assumptions!$A$19:$A$22,0))=1),INDEX(Assumptions!$D$10:$D$15,MATCH(C267,Assumptions!$A$10:$A$15,0)),0)</f>
        <v>0</v>
      </c>
      <c r="J267" s="9" t="n">
        <f aca="false">F267*G267*(1+H267)</f>
        <v>149000.718018477</v>
      </c>
      <c r="K267" s="9" t="n">
        <f aca="false">J267*(1+I267)</f>
        <v>149000.718018477</v>
      </c>
      <c r="L267" s="24" t="n">
        <f aca="false">INDEX(Data_Base!$E$5:$E$28,B267)/INDEX(Data_Base!$C$5:$C$28,B267)*(1+INDEX(Assumptions!$C$10:$C$15,MATCH(C267,Assumptions!$A$10:$A$15,0)))</f>
        <v>85.2718098434005</v>
      </c>
      <c r="M267" s="9" t="n">
        <f aca="false">F267*L267</f>
        <v>106947.171504313</v>
      </c>
      <c r="N267" s="24" t="n">
        <f aca="false">INDEX(Data_Base!$F$5:$F$28,B267)/INDEX(Data_Base!$C$5:$C$28,B267)*(1+Assumptions!$C$38)</f>
        <v>2.72404858728975</v>
      </c>
      <c r="O267" s="9" t="n">
        <f aca="false">F267*N267</f>
        <v>3416.47834127101</v>
      </c>
      <c r="P267" s="25" t="n">
        <f aca="false">IF(A267&lt;=3,SUMIFS(Data_Q1!$D$5:$D$76,Data_Q1!$A$5:$A$76,A267,Data_Q1!$B$5:$B$76,C267,Data_Q1!$C$5:$C$76,D267),F267*INDEX(Reforecast!$D$6:$D$9,MATCH(D267,Reforecast!$A$6:$A$9,0)))</f>
        <v>1329.31039577646</v>
      </c>
      <c r="Q267" s="9" t="n">
        <f aca="false">IF(A267&lt;=3,SUMIFS(Data_Q1!$E$5:$E$76,Data_Q1!$A$5:$A$76,A267,Data_Q1!$B$5:$B$76,C267,Data_Q1!$C$5:$C$76,D267),P267*G267*(1+H267)*(1+I267))</f>
        <v>157925.019822415</v>
      </c>
      <c r="R267" s="9" t="n">
        <f aca="false">IF(A267&lt;=3,SUMIFS(Data_Q1!$F$5:$F$76,Data_Q1!$A$5:$A$76,A267,Data_Q1!$B$5:$B$76,C267,Data_Q1!$C$5:$C$76,D267),P267*L267*INDEX(Reforecast!$D$12:$D$17,MATCH(C267,Reforecast!$A$12:$A$17,0)))</f>
        <v>113621.783455185</v>
      </c>
      <c r="S267" s="9" t="n">
        <f aca="false">IF(A267&lt;=3,SUMIFS(Data_Q1!$G$5:$G$76,Data_Q1!$A$5:$A$76,A267,Data_Q1!$B$5:$B$76,C267,Data_Q1!$C$5:$C$76,D267),P267*N267)</f>
        <v>3621.10610568446</v>
      </c>
    </row>
    <row r="268" customFormat="false" ht="15" hidden="false" customHeight="false" outlineLevel="0" collapsed="false">
      <c r="A268" s="0" t="n">
        <f aca="false">MOD(ROW()-5,12)+1</f>
        <v>12</v>
      </c>
      <c r="B268" s="0" t="n">
        <f aca="false">INT((ROW()-5)/12)+1</f>
        <v>22</v>
      </c>
      <c r="C268" s="0" t="str">
        <f aca="false">INDEX(Data_Base!$A$5:$A$28,B268)</f>
        <v>Cheese &amp; Dairy</v>
      </c>
      <c r="D268" s="0" t="str">
        <f aca="false">INDEX(Data_Base!$B$5:$B$28,B268)</f>
        <v>Grocery Retail</v>
      </c>
      <c r="E268" s="26" t="n">
        <f aca="false">INDEX(Data_Base!$B$32:$M$37,MATCH(C268,Data_Base!$A$32:$A$37,0),A268)</f>
        <v>0.10759</v>
      </c>
      <c r="F268" s="25" t="n">
        <f aca="false">INDEX(Data_Base!$C$5:$C$28,B268)*(1+INDEX(Assumptions!$B$19:$B$22,MATCH(D268,Assumptions!$A$19:$A$22,0)))*E268</f>
        <v>1415.3690439</v>
      </c>
      <c r="G268" s="24" t="n">
        <f aca="false">INDEX(Data_Base!$D$5:$D$28,B268)/INDEX(Data_Base!$C$5:$C$28,B268)</f>
        <v>117.046517524236</v>
      </c>
      <c r="H268" s="27" t="n">
        <f aca="false">IF(A268&gt;=Assumptions!$C$37,INDEX(Assumptions!$B$10:$B$15,MATCH(C268,Assumptions!$A$10:$A$15,0)),0)</f>
        <v>0.015</v>
      </c>
      <c r="I268" s="27" t="n">
        <f aca="false">IF(AND(A268&gt;=Assumptions!$C$37,INDEX(Assumptions!$C$19:$C$22,MATCH(D268,Assumptions!$A$19:$A$22,0))=1),INDEX(Assumptions!$D$10:$D$15,MATCH(C268,Assumptions!$A$10:$A$15,0)),0)</f>
        <v>0</v>
      </c>
      <c r="J268" s="9" t="n">
        <f aca="false">F268*G268*(1+H268)</f>
        <v>168148.977864104</v>
      </c>
      <c r="K268" s="9" t="n">
        <f aca="false">J268*(1+I268)</f>
        <v>168148.977864104</v>
      </c>
      <c r="L268" s="24" t="n">
        <f aca="false">INDEX(Data_Base!$E$5:$E$28,B268)/INDEX(Data_Base!$C$5:$C$28,B268)*(1+INDEX(Assumptions!$C$10:$C$15,MATCH(C268,Assumptions!$A$10:$A$15,0)))</f>
        <v>85.2718098434005</v>
      </c>
      <c r="M268" s="9" t="n">
        <f aca="false">F268*L268</f>
        <v>120691.079969676</v>
      </c>
      <c r="N268" s="24" t="n">
        <f aca="false">INDEX(Data_Base!$F$5:$F$28,B268)/INDEX(Data_Base!$C$5:$C$28,B268)*(1+Assumptions!$C$38)</f>
        <v>2.72404858728975</v>
      </c>
      <c r="O268" s="9" t="n">
        <f aca="false">F268*N268</f>
        <v>3855.53404452944</v>
      </c>
      <c r="P268" s="25" t="n">
        <f aca="false">IF(A268&lt;=3,SUMIFS(Data_Q1!$D$5:$D$76,Data_Q1!$A$5:$A$76,A268,Data_Q1!$B$5:$B$76,C268,Data_Q1!$C$5:$C$76,D268),F268*INDEX(Reforecast!$D$6:$D$9,MATCH(D268,Reforecast!$A$6:$A$9,0)))</f>
        <v>1500.14165895645</v>
      </c>
      <c r="Q268" s="9" t="n">
        <f aca="false">IF(A268&lt;=3,SUMIFS(Data_Q1!$E$5:$E$76,Data_Q1!$A$5:$A$76,A268,Data_Q1!$B$5:$B$76,C268,Data_Q1!$C$5:$C$76,D268),P268*G268*(1+H268)*(1+I268))</f>
        <v>178220.15232849</v>
      </c>
      <c r="R268" s="9" t="n">
        <f aca="false">IF(A268&lt;=3,SUMIFS(Data_Q1!$F$5:$F$76,Data_Q1!$A$5:$A$76,A268,Data_Q1!$B$5:$B$76,C268,Data_Q1!$C$5:$C$76,D268),P268*L268*INDEX(Reforecast!$D$12:$D$17,MATCH(C268,Reforecast!$A$12:$A$17,0)))</f>
        <v>128223.454256889</v>
      </c>
      <c r="S268" s="9" t="n">
        <f aca="false">IF(A268&lt;=3,SUMIFS(Data_Q1!$G$5:$G$76,Data_Q1!$A$5:$A$76,A268,Data_Q1!$B$5:$B$76,C268,Data_Q1!$C$5:$C$76,D268),P268*N268)</f>
        <v>4086.45876681481</v>
      </c>
    </row>
    <row r="269" customFormat="false" ht="15" hidden="false" customHeight="false" outlineLevel="0" collapsed="false">
      <c r="A269" s="0" t="n">
        <f aca="false">MOD(ROW()-5,12)+1</f>
        <v>1</v>
      </c>
      <c r="B269" s="0" t="n">
        <f aca="false">INT((ROW()-5)/12)+1</f>
        <v>23</v>
      </c>
      <c r="C269" s="0" t="str">
        <f aca="false">INDEX(Data_Base!$A$5:$A$28,B269)</f>
        <v>Cheese &amp; Dairy</v>
      </c>
      <c r="D269" s="0" t="str">
        <f aca="false">INDEX(Data_Base!$B$5:$B$28,B269)</f>
        <v>Hotels &amp; Institutions</v>
      </c>
      <c r="E269" s="26" t="n">
        <f aca="false">INDEX(Data_Base!$B$32:$M$37,MATCH(C269,Data_Base!$A$32:$A$37,0),A269)</f>
        <v>0.078139</v>
      </c>
      <c r="F269" s="25" t="n">
        <f aca="false">INDEX(Data_Base!$C$5:$C$28,B269)*(1+INDEX(Assumptions!$B$19:$B$22,MATCH(D269,Assumptions!$A$19:$A$22,0)))*E269</f>
        <v>514.00850007</v>
      </c>
      <c r="G269" s="24" t="n">
        <f aca="false">INDEX(Data_Base!$D$5:$D$28,B269)/INDEX(Data_Base!$C$5:$C$28,B269)</f>
        <v>128.056285889759</v>
      </c>
      <c r="H269" s="27" t="n">
        <f aca="false">IF(A269&gt;=Assumptions!$C$37,INDEX(Assumptions!$B$10:$B$15,MATCH(C269,Assumptions!$A$10:$A$15,0)),0)</f>
        <v>0</v>
      </c>
      <c r="I269" s="27" t="n">
        <f aca="false">IF(AND(A269&gt;=Assumptions!$C$37,INDEX(Assumptions!$C$19:$C$22,MATCH(D269,Assumptions!$A$19:$A$22,0))=1),INDEX(Assumptions!$D$10:$D$15,MATCH(C269,Assumptions!$A$10:$A$15,0)),0)</f>
        <v>0</v>
      </c>
      <c r="J269" s="9" t="n">
        <f aca="false">F269*G269*(1+H269)</f>
        <v>65822.0194347301</v>
      </c>
      <c r="K269" s="9" t="n">
        <f aca="false">J269*(1+I269)</f>
        <v>65822.0194347301</v>
      </c>
      <c r="L269" s="24" t="n">
        <f aca="false">INDEX(Data_Base!$E$5:$E$28,B269)/INDEX(Data_Base!$C$5:$C$28,B269)*(1+INDEX(Assumptions!$C$10:$C$15,MATCH(C269,Assumptions!$A$10:$A$15,0)))</f>
        <v>85.2074970981115</v>
      </c>
      <c r="M269" s="9" t="n">
        <f aca="false">F269*L269</f>
        <v>43797.3777781192</v>
      </c>
      <c r="N269" s="24" t="n">
        <f aca="false">INDEX(Data_Base!$F$5:$F$28,B269)/INDEX(Data_Base!$C$5:$C$28,B269)*(1+Assumptions!$C$38)</f>
        <v>2.70574530938124</v>
      </c>
      <c r="O269" s="9" t="n">
        <f aca="false">F269*N269</f>
        <v>1390.77608804649</v>
      </c>
      <c r="P269" s="25" t="n">
        <f aca="false">IF(A269&lt;=3,SUMIFS(Data_Q1!$D$5:$D$76,Data_Q1!$A$5:$A$76,A269,Data_Q1!$B$5:$B$76,C269,Data_Q1!$C$5:$C$76,D269),F269*INDEX(Reforecast!$D$6:$D$9,MATCH(D269,Reforecast!$A$6:$A$9,0)))</f>
        <v>521.6</v>
      </c>
      <c r="Q269" s="9" t="n">
        <f aca="false">IF(A269&lt;=3,SUMIFS(Data_Q1!$E$5:$E$76,Data_Q1!$A$5:$A$76,A269,Data_Q1!$B$5:$B$76,C269,Data_Q1!$C$5:$C$76,D269),P269*G269*(1+H269)*(1+I269))</f>
        <v>66755.59</v>
      </c>
      <c r="R269" s="9" t="n">
        <f aca="false">IF(A269&lt;=3,SUMIFS(Data_Q1!$F$5:$F$76,Data_Q1!$A$5:$A$76,A269,Data_Q1!$B$5:$B$76,C269,Data_Q1!$C$5:$C$76,D269),P269*L269*INDEX(Reforecast!$D$12:$D$17,MATCH(C269,Reforecast!$A$12:$A$17,0)))</f>
        <v>44949.07</v>
      </c>
      <c r="S269" s="9" t="n">
        <f aca="false">IF(A269&lt;=3,SUMIFS(Data_Q1!$G$5:$G$76,Data_Q1!$A$5:$A$76,A269,Data_Q1!$B$5:$B$76,C269,Data_Q1!$C$5:$C$76,D269),P269*N269)</f>
        <v>1411.39</v>
      </c>
    </row>
    <row r="270" customFormat="false" ht="15" hidden="false" customHeight="false" outlineLevel="0" collapsed="false">
      <c r="A270" s="0" t="n">
        <f aca="false">MOD(ROW()-5,12)+1</f>
        <v>2</v>
      </c>
      <c r="B270" s="0" t="n">
        <f aca="false">INT((ROW()-5)/12)+1</f>
        <v>23</v>
      </c>
      <c r="C270" s="0" t="str">
        <f aca="false">INDEX(Data_Base!$A$5:$A$28,B270)</f>
        <v>Cheese &amp; Dairy</v>
      </c>
      <c r="D270" s="0" t="str">
        <f aca="false">INDEX(Data_Base!$B$5:$B$28,B270)</f>
        <v>Hotels &amp; Institutions</v>
      </c>
      <c r="E270" s="26" t="n">
        <f aca="false">INDEX(Data_Base!$B$32:$M$37,MATCH(C270,Data_Base!$A$32:$A$37,0),A270)</f>
        <v>0.074499</v>
      </c>
      <c r="F270" s="25" t="n">
        <f aca="false">INDEX(Data_Base!$C$5:$C$28,B270)*(1+INDEX(Assumptions!$B$19:$B$22,MATCH(D270,Assumptions!$A$19:$A$22,0)))*E270</f>
        <v>490.06410687</v>
      </c>
      <c r="G270" s="24" t="n">
        <f aca="false">INDEX(Data_Base!$D$5:$D$28,B270)/INDEX(Data_Base!$C$5:$C$28,B270)</f>
        <v>128.056285889759</v>
      </c>
      <c r="H270" s="27" t="n">
        <f aca="false">IF(A270&gt;=Assumptions!$C$37,INDEX(Assumptions!$B$10:$B$15,MATCH(C270,Assumptions!$A$10:$A$15,0)),0)</f>
        <v>0.015</v>
      </c>
      <c r="I270" s="27" t="n">
        <f aca="false">IF(AND(A270&gt;=Assumptions!$C$37,INDEX(Assumptions!$C$19:$C$22,MATCH(D270,Assumptions!$A$19:$A$22,0))=1),INDEX(Assumptions!$D$10:$D$15,MATCH(C270,Assumptions!$A$10:$A$15,0)),0)</f>
        <v>0</v>
      </c>
      <c r="J270" s="9" t="n">
        <f aca="false">F270*G270*(1+H270)</f>
        <v>63697.1262142589</v>
      </c>
      <c r="K270" s="9" t="n">
        <f aca="false">J270*(1+I270)</f>
        <v>63697.1262142589</v>
      </c>
      <c r="L270" s="24" t="n">
        <f aca="false">INDEX(Data_Base!$E$5:$E$28,B270)/INDEX(Data_Base!$C$5:$C$28,B270)*(1+INDEX(Assumptions!$C$10:$C$15,MATCH(C270,Assumptions!$A$10:$A$15,0)))</f>
        <v>85.2074970981115</v>
      </c>
      <c r="M270" s="9" t="n">
        <f aca="false">F270*L270</f>
        <v>41757.1359640141</v>
      </c>
      <c r="N270" s="24" t="n">
        <f aca="false">INDEX(Data_Base!$F$5:$F$28,B270)/INDEX(Data_Base!$C$5:$C$28,B270)*(1+Assumptions!$C$38)</f>
        <v>2.70574530938124</v>
      </c>
      <c r="O270" s="9" t="n">
        <f aca="false">F270*N270</f>
        <v>1325.98865845961</v>
      </c>
      <c r="P270" s="25" t="n">
        <f aca="false">IF(A270&lt;=3,SUMIFS(Data_Q1!$D$5:$D$76,Data_Q1!$A$5:$A$76,A270,Data_Q1!$B$5:$B$76,C270,Data_Q1!$C$5:$C$76,D270),F270*INDEX(Reforecast!$D$6:$D$9,MATCH(D270,Reforecast!$A$6:$A$9,0)))</f>
        <v>489.4</v>
      </c>
      <c r="Q270" s="9" t="n">
        <f aca="false">IF(A270&lt;=3,SUMIFS(Data_Q1!$E$5:$E$76,Data_Q1!$A$5:$A$76,A270,Data_Q1!$B$5:$B$76,C270,Data_Q1!$C$5:$C$76,D270),P270*G270*(1+H270)*(1+I270))</f>
        <v>63532.36</v>
      </c>
      <c r="R270" s="9" t="n">
        <f aca="false">IF(A270&lt;=3,SUMIFS(Data_Q1!$F$5:$F$76,Data_Q1!$A$5:$A$76,A270,Data_Q1!$B$5:$B$76,C270,Data_Q1!$C$5:$C$76,D270),P270*L270*INDEX(Reforecast!$D$12:$D$17,MATCH(C270,Reforecast!$A$12:$A$17,0)))</f>
        <v>41689.34</v>
      </c>
      <c r="S270" s="9" t="n">
        <f aca="false">IF(A270&lt;=3,SUMIFS(Data_Q1!$G$5:$G$76,Data_Q1!$A$5:$A$76,A270,Data_Q1!$B$5:$B$76,C270,Data_Q1!$C$5:$C$76,D270),P270*N270)</f>
        <v>1324.09</v>
      </c>
    </row>
    <row r="271" customFormat="false" ht="15" hidden="false" customHeight="false" outlineLevel="0" collapsed="false">
      <c r="A271" s="0" t="n">
        <f aca="false">MOD(ROW()-5,12)+1</f>
        <v>3</v>
      </c>
      <c r="B271" s="0" t="n">
        <f aca="false">INT((ROW()-5)/12)+1</f>
        <v>23</v>
      </c>
      <c r="C271" s="0" t="str">
        <f aca="false">INDEX(Data_Base!$A$5:$A$28,B271)</f>
        <v>Cheese &amp; Dairy</v>
      </c>
      <c r="D271" s="0" t="str">
        <f aca="false">INDEX(Data_Base!$B$5:$B$28,B271)</f>
        <v>Hotels &amp; Institutions</v>
      </c>
      <c r="E271" s="26" t="n">
        <f aca="false">INDEX(Data_Base!$B$32:$M$37,MATCH(C271,Data_Base!$A$32:$A$37,0),A271)</f>
        <v>0.079009</v>
      </c>
      <c r="F271" s="25" t="n">
        <f aca="false">INDEX(Data_Base!$C$5:$C$28,B271)*(1+INDEX(Assumptions!$B$19:$B$22,MATCH(D271,Assumptions!$A$19:$A$22,0)))*E271</f>
        <v>519.73147317</v>
      </c>
      <c r="G271" s="24" t="n">
        <f aca="false">INDEX(Data_Base!$D$5:$D$28,B271)/INDEX(Data_Base!$C$5:$C$28,B271)</f>
        <v>128.056285889759</v>
      </c>
      <c r="H271" s="27" t="n">
        <f aca="false">IF(A271&gt;=Assumptions!$C$37,INDEX(Assumptions!$B$10:$B$15,MATCH(C271,Assumptions!$A$10:$A$15,0)),0)</f>
        <v>0.015</v>
      </c>
      <c r="I271" s="27" t="n">
        <f aca="false">IF(AND(A271&gt;=Assumptions!$C$37,INDEX(Assumptions!$C$19:$C$22,MATCH(D271,Assumptions!$A$19:$A$22,0))=1),INDEX(Assumptions!$D$10:$D$15,MATCH(C271,Assumptions!$A$10:$A$15,0)),0)</f>
        <v>0</v>
      </c>
      <c r="J271" s="9" t="n">
        <f aca="false">F271*G271*(1+H271)</f>
        <v>67553.2053458755</v>
      </c>
      <c r="K271" s="9" t="n">
        <f aca="false">J271*(1+I271)</f>
        <v>67553.2053458755</v>
      </c>
      <c r="L271" s="24" t="n">
        <f aca="false">INDEX(Data_Base!$E$5:$E$28,B271)/INDEX(Data_Base!$C$5:$C$28,B271)*(1+INDEX(Assumptions!$C$10:$C$15,MATCH(C271,Assumptions!$A$10:$A$15,0)))</f>
        <v>85.2074970981115</v>
      </c>
      <c r="M271" s="9" t="n">
        <f aca="false">F271*L271</f>
        <v>44285.01799193</v>
      </c>
      <c r="N271" s="24" t="n">
        <f aca="false">INDEX(Data_Base!$F$5:$F$28,B271)/INDEX(Data_Base!$C$5:$C$28,B271)*(1+Assumptions!$C$38)</f>
        <v>2.70574530938124</v>
      </c>
      <c r="O271" s="9" t="n">
        <f aca="false">F271*N271</f>
        <v>1406.26099566753</v>
      </c>
      <c r="P271" s="25" t="n">
        <f aca="false">IF(A271&lt;=3,SUMIFS(Data_Q1!$D$5:$D$76,Data_Q1!$A$5:$A$76,A271,Data_Q1!$B$5:$B$76,C271,Data_Q1!$C$5:$C$76,D271),F271*INDEX(Reforecast!$D$6:$D$9,MATCH(D271,Reforecast!$A$6:$A$9,0)))</f>
        <v>522.8</v>
      </c>
      <c r="Q271" s="9" t="n">
        <f aca="false">IF(A271&lt;=3,SUMIFS(Data_Q1!$E$5:$E$76,Data_Q1!$A$5:$A$76,A271,Data_Q1!$B$5:$B$76,C271,Data_Q1!$C$5:$C$76,D271),P271*G271*(1+H271)*(1+I271))</f>
        <v>67878.65</v>
      </c>
      <c r="R271" s="9" t="n">
        <f aca="false">IF(A271&lt;=3,SUMIFS(Data_Q1!$F$5:$F$76,Data_Q1!$A$5:$A$76,A271,Data_Q1!$B$5:$B$76,C271,Data_Q1!$C$5:$C$76,D271),P271*L271*INDEX(Reforecast!$D$12:$D$17,MATCH(C271,Reforecast!$A$12:$A$17,0)))</f>
        <v>45043.72</v>
      </c>
      <c r="S271" s="9" t="n">
        <f aca="false">IF(A271&lt;=3,SUMIFS(Data_Q1!$G$5:$G$76,Data_Q1!$A$5:$A$76,A271,Data_Q1!$B$5:$B$76,C271,Data_Q1!$C$5:$C$76,D271),P271*N271)</f>
        <v>1414.67</v>
      </c>
    </row>
    <row r="272" customFormat="false" ht="15" hidden="false" customHeight="false" outlineLevel="0" collapsed="false">
      <c r="A272" s="0" t="n">
        <f aca="false">MOD(ROW()-5,12)+1</f>
        <v>4</v>
      </c>
      <c r="B272" s="0" t="n">
        <f aca="false">INT((ROW()-5)/12)+1</f>
        <v>23</v>
      </c>
      <c r="C272" s="0" t="str">
        <f aca="false">INDEX(Data_Base!$A$5:$A$28,B272)</f>
        <v>Cheese &amp; Dairy</v>
      </c>
      <c r="D272" s="0" t="str">
        <f aca="false">INDEX(Data_Base!$B$5:$B$28,B272)</f>
        <v>Hotels &amp; Institutions</v>
      </c>
      <c r="E272" s="26" t="n">
        <f aca="false">INDEX(Data_Base!$B$32:$M$37,MATCH(C272,Data_Base!$A$32:$A$37,0),A272)</f>
        <v>0.079471</v>
      </c>
      <c r="F272" s="25" t="n">
        <f aca="false">INDEX(Data_Base!$C$5:$C$28,B272)*(1+INDEX(Assumptions!$B$19:$B$22,MATCH(D272,Assumptions!$A$19:$A$22,0)))*E272</f>
        <v>522.77056923</v>
      </c>
      <c r="G272" s="24" t="n">
        <f aca="false">INDEX(Data_Base!$D$5:$D$28,B272)/INDEX(Data_Base!$C$5:$C$28,B272)</f>
        <v>128.056285889759</v>
      </c>
      <c r="H272" s="27" t="n">
        <f aca="false">IF(A272&gt;=Assumptions!$C$37,INDEX(Assumptions!$B$10:$B$15,MATCH(C272,Assumptions!$A$10:$A$15,0)),0)</f>
        <v>0.015</v>
      </c>
      <c r="I272" s="27" t="n">
        <f aca="false">IF(AND(A272&gt;=Assumptions!$C$37,INDEX(Assumptions!$C$19:$C$22,MATCH(D272,Assumptions!$A$19:$A$22,0))=1),INDEX(Assumptions!$D$10:$D$15,MATCH(C272,Assumptions!$A$10:$A$15,0)),0)</f>
        <v>0</v>
      </c>
      <c r="J272" s="9" t="n">
        <f aca="false">F272*G272*(1+H272)</f>
        <v>67948.2183300899</v>
      </c>
      <c r="K272" s="9" t="n">
        <f aca="false">J272*(1+I272)</f>
        <v>67948.2183300899</v>
      </c>
      <c r="L272" s="24" t="n">
        <f aca="false">INDEX(Data_Base!$E$5:$E$28,B272)/INDEX(Data_Base!$C$5:$C$28,B272)*(1+INDEX(Assumptions!$C$10:$C$15,MATCH(C272,Assumptions!$A$10:$A$15,0)))</f>
        <v>85.2074970981115</v>
      </c>
      <c r="M272" s="9" t="n">
        <f aca="false">F272*L272</f>
        <v>44543.9717606433</v>
      </c>
      <c r="N272" s="24" t="n">
        <f aca="false">INDEX(Data_Base!$F$5:$F$28,B272)/INDEX(Data_Base!$C$5:$C$28,B272)*(1+Assumptions!$C$38)</f>
        <v>2.70574530938124</v>
      </c>
      <c r="O272" s="9" t="n">
        <f aca="false">F272*N272</f>
        <v>1414.48401557663</v>
      </c>
      <c r="P272" s="25" t="n">
        <f aca="false">IF(A272&lt;=3,SUMIFS(Data_Q1!$D$5:$D$76,Data_Q1!$A$5:$A$76,A272,Data_Q1!$B$5:$B$76,C272,Data_Q1!$C$5:$C$76,D272),F272*INDEX(Reforecast!$D$6:$D$9,MATCH(D272,Reforecast!$A$6:$A$9,0)))</f>
        <v>523.381363143496</v>
      </c>
      <c r="Q272" s="9" t="n">
        <f aca="false">IF(A272&lt;=3,SUMIFS(Data_Q1!$E$5:$E$76,Data_Q1!$A$5:$A$76,A272,Data_Q1!$B$5:$B$76,C272,Data_Q1!$C$5:$C$76,D272),P272*G272*(1+H272)*(1+I272))</f>
        <v>68027.6075700964</v>
      </c>
      <c r="R272" s="9" t="n">
        <f aca="false">IF(A272&lt;=3,SUMIFS(Data_Q1!$F$5:$F$76,Data_Q1!$A$5:$A$76,A272,Data_Q1!$B$5:$B$76,C272,Data_Q1!$C$5:$C$76,D272),P272*L272*INDEX(Reforecast!$D$12:$D$17,MATCH(C272,Reforecast!$A$12:$A$17,0)))</f>
        <v>44701.8793875189</v>
      </c>
      <c r="S272" s="9" t="n">
        <f aca="false">IF(A272&lt;=3,SUMIFS(Data_Q1!$G$5:$G$76,Data_Q1!$A$5:$A$76,A272,Data_Q1!$B$5:$B$76,C272,Data_Q1!$C$5:$C$76,D272),P272*N272)</f>
        <v>1416.13666834307</v>
      </c>
    </row>
    <row r="273" customFormat="false" ht="15" hidden="false" customHeight="false" outlineLevel="0" collapsed="false">
      <c r="A273" s="0" t="n">
        <f aca="false">MOD(ROW()-5,12)+1</f>
        <v>5</v>
      </c>
      <c r="B273" s="0" t="n">
        <f aca="false">INT((ROW()-5)/12)+1</f>
        <v>23</v>
      </c>
      <c r="C273" s="0" t="str">
        <f aca="false">INDEX(Data_Base!$A$5:$A$28,B273)</f>
        <v>Cheese &amp; Dairy</v>
      </c>
      <c r="D273" s="0" t="str">
        <f aca="false">INDEX(Data_Base!$B$5:$B$28,B273)</f>
        <v>Hotels &amp; Institutions</v>
      </c>
      <c r="E273" s="26" t="n">
        <f aca="false">INDEX(Data_Base!$B$32:$M$37,MATCH(C273,Data_Base!$A$32:$A$37,0),A273)</f>
        <v>0.079118</v>
      </c>
      <c r="F273" s="25" t="n">
        <f aca="false">INDEX(Data_Base!$C$5:$C$28,B273)*(1+INDEX(Assumptions!$B$19:$B$22,MATCH(D273,Assumptions!$A$19:$A$22,0)))*E273</f>
        <v>520.44848934</v>
      </c>
      <c r="G273" s="24" t="n">
        <f aca="false">INDEX(Data_Base!$D$5:$D$28,B273)/INDEX(Data_Base!$C$5:$C$28,B273)</f>
        <v>128.056285889759</v>
      </c>
      <c r="H273" s="27" t="n">
        <f aca="false">IF(A273&gt;=Assumptions!$C$37,INDEX(Assumptions!$B$10:$B$15,MATCH(C273,Assumptions!$A$10:$A$15,0)),0)</f>
        <v>0.015</v>
      </c>
      <c r="I273" s="27" t="n">
        <f aca="false">IF(AND(A273&gt;=Assumptions!$C$37,INDEX(Assumptions!$C$19:$C$22,MATCH(D273,Assumptions!$A$19:$A$22,0))=1),INDEX(Assumptions!$D$10:$D$15,MATCH(C273,Assumptions!$A$10:$A$15,0)),0)</f>
        <v>0</v>
      </c>
      <c r="J273" s="9" t="n">
        <f aca="false">F273*G273*(1+H273)</f>
        <v>67646.4010499434</v>
      </c>
      <c r="K273" s="9" t="n">
        <f aca="false">J273*(1+I273)</f>
        <v>67646.4010499434</v>
      </c>
      <c r="L273" s="24" t="n">
        <f aca="false">INDEX(Data_Base!$E$5:$E$28,B273)/INDEX(Data_Base!$C$5:$C$28,B273)*(1+INDEX(Assumptions!$C$10:$C$15,MATCH(C273,Assumptions!$A$10:$A$15,0)))</f>
        <v>85.2074970981115</v>
      </c>
      <c r="M273" s="9" t="n">
        <f aca="false">F273*L273</f>
        <v>44346.1131451545</v>
      </c>
      <c r="N273" s="24" t="n">
        <f aca="false">INDEX(Data_Base!$F$5:$F$28,B273)/INDEX(Data_Base!$C$5:$C$28,B273)*(1+Assumptions!$C$38)</f>
        <v>2.70574530938124</v>
      </c>
      <c r="O273" s="9" t="n">
        <f aca="false">F273*N273</f>
        <v>1408.20105880626</v>
      </c>
      <c r="P273" s="25" t="n">
        <f aca="false">IF(A273&lt;=3,SUMIFS(Data_Q1!$D$5:$D$76,Data_Q1!$A$5:$A$76,A273,Data_Q1!$B$5:$B$76,C273,Data_Q1!$C$5:$C$76,D273),F273*INDEX(Reforecast!$D$6:$D$9,MATCH(D273,Reforecast!$A$6:$A$9,0)))</f>
        <v>521.056570185188</v>
      </c>
      <c r="Q273" s="9" t="n">
        <f aca="false">IF(A273&lt;=3,SUMIFS(Data_Q1!$E$5:$E$76,Data_Q1!$A$5:$A$76,A273,Data_Q1!$B$5:$B$76,C273,Data_Q1!$C$5:$C$76,D273),P273*G273*(1+H273)*(1+I273))</f>
        <v>67725.4376531173</v>
      </c>
      <c r="R273" s="9" t="n">
        <f aca="false">IF(A273&lt;=3,SUMIFS(Data_Q1!$F$5:$F$76,Data_Q1!$A$5:$A$76,A273,Data_Q1!$B$5:$B$76,C273,Data_Q1!$C$5:$C$76,D273),P273*L273*INDEX(Reforecast!$D$12:$D$17,MATCH(C273,Reforecast!$A$12:$A$17,0)))</f>
        <v>44503.319366583</v>
      </c>
      <c r="S273" s="9" t="n">
        <f aca="false">IF(A273&lt;=3,SUMIFS(Data_Q1!$G$5:$G$76,Data_Q1!$A$5:$A$76,A273,Data_Q1!$B$5:$B$76,C273,Data_Q1!$C$5:$C$76,D273),P273*N273)</f>
        <v>1409.84637070085</v>
      </c>
    </row>
    <row r="274" customFormat="false" ht="15" hidden="false" customHeight="false" outlineLevel="0" collapsed="false">
      <c r="A274" s="0" t="n">
        <f aca="false">MOD(ROW()-5,12)+1</f>
        <v>6</v>
      </c>
      <c r="B274" s="0" t="n">
        <f aca="false">INT((ROW()-5)/12)+1</f>
        <v>23</v>
      </c>
      <c r="C274" s="0" t="str">
        <f aca="false">INDEX(Data_Base!$A$5:$A$28,B274)</f>
        <v>Cheese &amp; Dairy</v>
      </c>
      <c r="D274" s="0" t="str">
        <f aca="false">INDEX(Data_Base!$B$5:$B$28,B274)</f>
        <v>Hotels &amp; Institutions</v>
      </c>
      <c r="E274" s="26" t="n">
        <f aca="false">INDEX(Data_Base!$B$32:$M$37,MATCH(C274,Data_Base!$A$32:$A$37,0),A274)</f>
        <v>0.079145</v>
      </c>
      <c r="F274" s="25" t="n">
        <f aca="false">INDEX(Data_Base!$C$5:$C$28,B274)*(1+INDEX(Assumptions!$B$19:$B$22,MATCH(D274,Assumptions!$A$19:$A$22,0)))*E274</f>
        <v>520.62609885</v>
      </c>
      <c r="G274" s="24" t="n">
        <f aca="false">INDEX(Data_Base!$D$5:$D$28,B274)/INDEX(Data_Base!$C$5:$C$28,B274)</f>
        <v>128.056285889759</v>
      </c>
      <c r="H274" s="27" t="n">
        <f aca="false">IF(A274&gt;=Assumptions!$C$37,INDEX(Assumptions!$B$10:$B$15,MATCH(C274,Assumptions!$A$10:$A$15,0)),0)</f>
        <v>0.015</v>
      </c>
      <c r="I274" s="27" t="n">
        <f aca="false">IF(AND(A274&gt;=Assumptions!$C$37,INDEX(Assumptions!$C$19:$C$22,MATCH(D274,Assumptions!$A$19:$A$22,0))=1),INDEX(Assumptions!$D$10:$D$15,MATCH(C274,Assumptions!$A$10:$A$15,0)),0)</f>
        <v>0</v>
      </c>
      <c r="J274" s="9" t="n">
        <f aca="false">F274*G274*(1+H274)</f>
        <v>67669.4862243456</v>
      </c>
      <c r="K274" s="9" t="n">
        <f aca="false">J274*(1+I274)</f>
        <v>67669.4862243456</v>
      </c>
      <c r="L274" s="24" t="n">
        <f aca="false">INDEX(Data_Base!$E$5:$E$28,B274)/INDEX(Data_Base!$C$5:$C$28,B274)*(1+INDEX(Assumptions!$C$10:$C$15,MATCH(C274,Assumptions!$A$10:$A$15,0)))</f>
        <v>85.2074970981115</v>
      </c>
      <c r="M274" s="9" t="n">
        <f aca="false">F274*L274</f>
        <v>44361.2468069625</v>
      </c>
      <c r="N274" s="24" t="n">
        <f aca="false">INDEX(Data_Base!$F$5:$F$28,B274)/INDEX(Data_Base!$C$5:$C$28,B274)*(1+Assumptions!$C$38)</f>
        <v>2.70574530938124</v>
      </c>
      <c r="O274" s="9" t="n">
        <f aca="false">F274*N274</f>
        <v>1408.68162490484</v>
      </c>
      <c r="P274" s="25" t="n">
        <f aca="false">IF(A274&lt;=3,SUMIFS(Data_Q1!$D$5:$D$76,Data_Q1!$A$5:$A$76,A274,Data_Q1!$B$5:$B$76,C274,Data_Q1!$C$5:$C$76,D274),F274*INDEX(Reforecast!$D$6:$D$9,MATCH(D274,Reforecast!$A$6:$A$9,0)))</f>
        <v>521.234387210328</v>
      </c>
      <c r="Q274" s="9" t="n">
        <f aca="false">IF(A274&lt;=3,SUMIFS(Data_Q1!$E$5:$E$76,Data_Q1!$A$5:$A$76,A274,Data_Q1!$B$5:$B$76,C274,Data_Q1!$C$5:$C$76,D274),P274*G274*(1+H274)*(1+I274))</f>
        <v>67748.5497997418</v>
      </c>
      <c r="R274" s="9" t="n">
        <f aca="false">IF(A274&lt;=3,SUMIFS(Data_Q1!$F$5:$F$76,Data_Q1!$A$5:$A$76,A274,Data_Q1!$B$5:$B$76,C274,Data_Q1!$C$5:$C$76,D274),P274*L274*INDEX(Reforecast!$D$12:$D$17,MATCH(C274,Reforecast!$A$12:$A$17,0)))</f>
        <v>44518.5066769662</v>
      </c>
      <c r="S274" s="9" t="n">
        <f aca="false">IF(A274&lt;=3,SUMIFS(Data_Q1!$G$5:$G$76,Data_Q1!$A$5:$A$76,A274,Data_Q1!$B$5:$B$76,C274,Data_Q1!$C$5:$C$76,D274),P274*N274)</f>
        <v>1410.32749828255</v>
      </c>
    </row>
    <row r="275" customFormat="false" ht="15" hidden="false" customHeight="false" outlineLevel="0" collapsed="false">
      <c r="A275" s="0" t="n">
        <f aca="false">MOD(ROW()-5,12)+1</f>
        <v>7</v>
      </c>
      <c r="B275" s="0" t="n">
        <f aca="false">INT((ROW()-5)/12)+1</f>
        <v>23</v>
      </c>
      <c r="C275" s="0" t="str">
        <f aca="false">INDEX(Data_Base!$A$5:$A$28,B275)</f>
        <v>Cheese &amp; Dairy</v>
      </c>
      <c r="D275" s="0" t="str">
        <f aca="false">INDEX(Data_Base!$B$5:$B$28,B275)</f>
        <v>Hotels &amp; Institutions</v>
      </c>
      <c r="E275" s="26" t="n">
        <f aca="false">INDEX(Data_Base!$B$32:$M$37,MATCH(C275,Data_Base!$A$32:$A$37,0),A275)</f>
        <v>0.078846</v>
      </c>
      <c r="F275" s="25" t="n">
        <f aca="false">INDEX(Data_Base!$C$5:$C$28,B275)*(1+INDEX(Assumptions!$B$19:$B$22,MATCH(D275,Assumptions!$A$19:$A$22,0)))*E275</f>
        <v>518.65923798</v>
      </c>
      <c r="G275" s="24" t="n">
        <f aca="false">INDEX(Data_Base!$D$5:$D$28,B275)/INDEX(Data_Base!$C$5:$C$28,B275)</f>
        <v>128.056285889759</v>
      </c>
      <c r="H275" s="27" t="n">
        <f aca="false">IF(A275&gt;=Assumptions!$C$37,INDEX(Assumptions!$B$10:$B$15,MATCH(C275,Assumptions!$A$10:$A$15,0)),0)</f>
        <v>0.015</v>
      </c>
      <c r="I275" s="27" t="n">
        <f aca="false">IF(AND(A275&gt;=Assumptions!$C$37,INDEX(Assumptions!$C$19:$C$22,MATCH(D275,Assumptions!$A$19:$A$22,0))=1),INDEX(Assumptions!$D$10:$D$15,MATCH(C275,Assumptions!$A$10:$A$15,0)),0)</f>
        <v>0</v>
      </c>
      <c r="J275" s="9" t="n">
        <f aca="false">F275*G275*(1+H275)</f>
        <v>67413.8392930034</v>
      </c>
      <c r="K275" s="9" t="n">
        <f aca="false">J275*(1+I275)</f>
        <v>67413.8392930034</v>
      </c>
      <c r="L275" s="24" t="n">
        <f aca="false">INDEX(Data_Base!$E$5:$E$28,B275)/INDEX(Data_Base!$C$5:$C$28,B275)*(1+INDEX(Assumptions!$C$10:$C$15,MATCH(C275,Assumptions!$A$10:$A$15,0)))</f>
        <v>85.2074970981115</v>
      </c>
      <c r="M275" s="9" t="n">
        <f aca="false">F275*L275</f>
        <v>44193.6555150896</v>
      </c>
      <c r="N275" s="24" t="n">
        <f aca="false">INDEX(Data_Base!$F$5:$F$28,B275)/INDEX(Data_Base!$C$5:$C$28,B275)*(1+Assumptions!$C$38)</f>
        <v>2.70574530938124</v>
      </c>
      <c r="O275" s="9" t="n">
        <f aca="false">F275*N275</f>
        <v>1403.35980033163</v>
      </c>
      <c r="P275" s="25" t="n">
        <f aca="false">IF(A275&lt;=3,SUMIFS(Data_Q1!$D$5:$D$76,Data_Q1!$A$5:$A$76,A275,Data_Q1!$B$5:$B$76,C275,Data_Q1!$C$5:$C$76,D275),F275*INDEX(Reforecast!$D$6:$D$9,MATCH(D275,Reforecast!$A$6:$A$9,0)))</f>
        <v>519.2652283023</v>
      </c>
      <c r="Q275" s="9" t="n">
        <f aca="false">IF(A275&lt;=3,SUMIFS(Data_Q1!$E$5:$E$76,Data_Q1!$A$5:$A$76,A275,Data_Q1!$B$5:$B$76,C275,Data_Q1!$C$5:$C$76,D275),P275*G275*(1+H275)*(1+I275))</f>
        <v>67492.6041760116</v>
      </c>
      <c r="R275" s="9" t="n">
        <f aca="false">IF(A275&lt;=3,SUMIFS(Data_Q1!$F$5:$F$76,Data_Q1!$A$5:$A$76,A275,Data_Q1!$B$5:$B$76,C275,Data_Q1!$C$5:$C$76,D275),P275*L275*INDEX(Reforecast!$D$12:$D$17,MATCH(C275,Reforecast!$A$12:$A$17,0)))</f>
        <v>44350.3212767967</v>
      </c>
      <c r="S275" s="9" t="n">
        <f aca="false">IF(A275&lt;=3,SUMIFS(Data_Q1!$G$5:$G$76,Data_Q1!$A$5:$A$76,A275,Data_Q1!$B$5:$B$76,C275,Data_Q1!$C$5:$C$76,D275),P275*N275)</f>
        <v>1404.99945580373</v>
      </c>
    </row>
    <row r="276" customFormat="false" ht="15" hidden="false" customHeight="false" outlineLevel="0" collapsed="false">
      <c r="A276" s="0" t="n">
        <f aca="false">MOD(ROW()-5,12)+1</f>
        <v>8</v>
      </c>
      <c r="B276" s="0" t="n">
        <f aca="false">INT((ROW()-5)/12)+1</f>
        <v>23</v>
      </c>
      <c r="C276" s="0" t="str">
        <f aca="false">INDEX(Data_Base!$A$5:$A$28,B276)</f>
        <v>Cheese &amp; Dairy</v>
      </c>
      <c r="D276" s="0" t="str">
        <f aca="false">INDEX(Data_Base!$B$5:$B$28,B276)</f>
        <v>Hotels &amp; Institutions</v>
      </c>
      <c r="E276" s="26" t="n">
        <f aca="false">INDEX(Data_Base!$B$32:$M$37,MATCH(C276,Data_Base!$A$32:$A$37,0),A276)</f>
        <v>0.078493</v>
      </c>
      <c r="F276" s="25" t="n">
        <f aca="false">INDEX(Data_Base!$C$5:$C$28,B276)*(1+INDEX(Assumptions!$B$19:$B$22,MATCH(D276,Assumptions!$A$19:$A$22,0)))*E276</f>
        <v>516.33715809</v>
      </c>
      <c r="G276" s="24" t="n">
        <f aca="false">INDEX(Data_Base!$D$5:$D$28,B276)/INDEX(Data_Base!$C$5:$C$28,B276)</f>
        <v>128.056285889759</v>
      </c>
      <c r="H276" s="27" t="n">
        <f aca="false">IF(A276&gt;=Assumptions!$C$37,INDEX(Assumptions!$B$10:$B$15,MATCH(C276,Assumptions!$A$10:$A$15,0)),0)</f>
        <v>0.015</v>
      </c>
      <c r="I276" s="27" t="n">
        <f aca="false">IF(AND(A276&gt;=Assumptions!$C$37,INDEX(Assumptions!$C$19:$C$22,MATCH(D276,Assumptions!$A$19:$A$22,0))=1),INDEX(Assumptions!$D$10:$D$15,MATCH(C276,Assumptions!$A$10:$A$15,0)),0)</f>
        <v>0</v>
      </c>
      <c r="J276" s="9" t="n">
        <f aca="false">F276*G276*(1+H276)</f>
        <v>67112.0220128569</v>
      </c>
      <c r="K276" s="9" t="n">
        <f aca="false">J276*(1+I276)</f>
        <v>67112.0220128569</v>
      </c>
      <c r="L276" s="24" t="n">
        <f aca="false">INDEX(Data_Base!$E$5:$E$28,B276)/INDEX(Data_Base!$C$5:$C$28,B276)*(1+INDEX(Assumptions!$C$10:$C$15,MATCH(C276,Assumptions!$A$10:$A$15,0)))</f>
        <v>85.2074970981115</v>
      </c>
      <c r="M276" s="9" t="n">
        <f aca="false">F276*L276</f>
        <v>43995.7968996008</v>
      </c>
      <c r="N276" s="24" t="n">
        <f aca="false">INDEX(Data_Base!$F$5:$F$28,B276)/INDEX(Data_Base!$C$5:$C$28,B276)*(1+Assumptions!$C$38)</f>
        <v>2.70574530938124</v>
      </c>
      <c r="O276" s="9" t="n">
        <f aca="false">F276*N276</f>
        <v>1397.07684356126</v>
      </c>
      <c r="P276" s="25" t="n">
        <f aca="false">IF(A276&lt;=3,SUMIFS(Data_Q1!$D$5:$D$76,Data_Q1!$A$5:$A$76,A276,Data_Q1!$B$5:$B$76,C276,Data_Q1!$C$5:$C$76,D276),F276*INDEX(Reforecast!$D$6:$D$9,MATCH(D276,Reforecast!$A$6:$A$9,0)))</f>
        <v>516.940435343993</v>
      </c>
      <c r="Q276" s="9" t="n">
        <f aca="false">IF(A276&lt;=3,SUMIFS(Data_Q1!$E$5:$E$76,Data_Q1!$A$5:$A$76,A276,Data_Q1!$B$5:$B$76,C276,Data_Q1!$C$5:$C$76,D276),P276*G276*(1+H276)*(1+I276))</f>
        <v>67190.4342590326</v>
      </c>
      <c r="R276" s="9" t="n">
        <f aca="false">IF(A276&lt;=3,SUMIFS(Data_Q1!$F$5:$F$76,Data_Q1!$A$5:$A$76,A276,Data_Q1!$B$5:$B$76,C276,Data_Q1!$C$5:$C$76,D276),P276*L276*INDEX(Reforecast!$D$12:$D$17,MATCH(C276,Reforecast!$A$12:$A$17,0)))</f>
        <v>44151.7612558609</v>
      </c>
      <c r="S276" s="9" t="n">
        <f aca="false">IF(A276&lt;=3,SUMIFS(Data_Q1!$G$5:$G$76,Data_Q1!$A$5:$A$76,A276,Data_Q1!$B$5:$B$76,C276,Data_Q1!$C$5:$C$76,D276),P276*N276)</f>
        <v>1398.7091581615</v>
      </c>
    </row>
    <row r="277" customFormat="false" ht="15" hidden="false" customHeight="false" outlineLevel="0" collapsed="false">
      <c r="A277" s="0" t="n">
        <f aca="false">MOD(ROW()-5,12)+1</f>
        <v>9</v>
      </c>
      <c r="B277" s="0" t="n">
        <f aca="false">INT((ROW()-5)/12)+1</f>
        <v>23</v>
      </c>
      <c r="C277" s="0" t="str">
        <f aca="false">INDEX(Data_Base!$A$5:$A$28,B277)</f>
        <v>Cheese &amp; Dairy</v>
      </c>
      <c r="D277" s="0" t="str">
        <f aca="false">INDEX(Data_Base!$B$5:$B$28,B277)</f>
        <v>Hotels &amp; Institutions</v>
      </c>
      <c r="E277" s="26" t="n">
        <f aca="false">INDEX(Data_Base!$B$32:$M$37,MATCH(C277,Data_Base!$A$32:$A$37,0),A277)</f>
        <v>0.083274</v>
      </c>
      <c r="F277" s="25" t="n">
        <f aca="false">INDEX(Data_Base!$C$5:$C$28,B277)*(1+INDEX(Assumptions!$B$19:$B$22,MATCH(D277,Assumptions!$A$19:$A$22,0)))*E277</f>
        <v>547.78719762</v>
      </c>
      <c r="G277" s="24" t="n">
        <f aca="false">INDEX(Data_Base!$D$5:$D$28,B277)/INDEX(Data_Base!$C$5:$C$28,B277)</f>
        <v>128.056285889759</v>
      </c>
      <c r="H277" s="27" t="n">
        <f aca="false">IF(A277&gt;=Assumptions!$C$37,INDEX(Assumptions!$B$10:$B$15,MATCH(C277,Assumptions!$A$10:$A$15,0)),0)</f>
        <v>0.015</v>
      </c>
      <c r="I277" s="27" t="n">
        <f aca="false">IF(AND(A277&gt;=Assumptions!$C$37,INDEX(Assumptions!$C$19:$C$22,MATCH(D277,Assumptions!$A$19:$A$22,0))=1),INDEX(Assumptions!$D$10:$D$15,MATCH(C277,Assumptions!$A$10:$A$15,0)),0)</f>
        <v>0</v>
      </c>
      <c r="J277" s="9" t="n">
        <f aca="false">F277*G277*(1+H277)</f>
        <v>71199.8078949542</v>
      </c>
      <c r="K277" s="9" t="n">
        <f aca="false">J277*(1+I277)</f>
        <v>71199.8078949542</v>
      </c>
      <c r="L277" s="24" t="n">
        <f aca="false">INDEX(Data_Base!$E$5:$E$28,B277)/INDEX(Data_Base!$C$5:$C$28,B277)*(1+INDEX(Assumptions!$C$10:$C$15,MATCH(C277,Assumptions!$A$10:$A$15,0)))</f>
        <v>85.2074970981115</v>
      </c>
      <c r="M277" s="9" t="n">
        <f aca="false">F277*L277</f>
        <v>46675.5760515888</v>
      </c>
      <c r="N277" s="24" t="n">
        <f aca="false">INDEX(Data_Base!$F$5:$F$28,B277)/INDEX(Data_Base!$C$5:$C$28,B277)*(1+Assumptions!$C$38)</f>
        <v>2.70574530938124</v>
      </c>
      <c r="O277" s="9" t="n">
        <f aca="false">F277*N277</f>
        <v>1482.17264049941</v>
      </c>
      <c r="P277" s="25" t="n">
        <f aca="false">IF(A277&lt;=3,SUMIFS(Data_Q1!$D$5:$D$76,Data_Q1!$A$5:$A$76,A277,Data_Q1!$B$5:$B$76,C277,Data_Q1!$C$5:$C$76,D277),F277*INDEX(Reforecast!$D$6:$D$9,MATCH(D277,Reforecast!$A$6:$A$9,0)))</f>
        <v>548.427220425205</v>
      </c>
      <c r="Q277" s="9" t="n">
        <f aca="false">IF(A277&lt;=3,SUMIFS(Data_Q1!$E$5:$E$76,Data_Q1!$A$5:$A$76,A277,Data_Q1!$B$5:$B$76,C277,Data_Q1!$C$5:$C$76,D277),P277*G277*(1+H277)*(1+I277))</f>
        <v>71282.9962224234</v>
      </c>
      <c r="R277" s="9" t="n">
        <f aca="false">IF(A277&lt;=3,SUMIFS(Data_Q1!$F$5:$F$76,Data_Q1!$A$5:$A$76,A277,Data_Q1!$B$5:$B$76,C277,Data_Q1!$C$5:$C$76,D277),P277*L277*INDEX(Reforecast!$D$12:$D$17,MATCH(C277,Reforecast!$A$12:$A$17,0)))</f>
        <v>46841.040179641</v>
      </c>
      <c r="S277" s="9" t="n">
        <f aca="false">IF(A277&lt;=3,SUMIFS(Data_Q1!$G$5:$G$76,Data_Q1!$A$5:$A$76,A277,Data_Q1!$B$5:$B$76,C277,Data_Q1!$C$5:$C$76,D277),P277*N277)</f>
        <v>1483.90437920249</v>
      </c>
    </row>
    <row r="278" customFormat="false" ht="15" hidden="false" customHeight="false" outlineLevel="0" collapsed="false">
      <c r="A278" s="0" t="n">
        <f aca="false">MOD(ROW()-5,12)+1</f>
        <v>10</v>
      </c>
      <c r="B278" s="0" t="n">
        <f aca="false">INT((ROW()-5)/12)+1</f>
        <v>23</v>
      </c>
      <c r="C278" s="0" t="str">
        <f aca="false">INDEX(Data_Base!$A$5:$A$28,B278)</f>
        <v>Cheese &amp; Dairy</v>
      </c>
      <c r="D278" s="0" t="str">
        <f aca="false">INDEX(Data_Base!$B$5:$B$28,B278)</f>
        <v>Hotels &amp; Institutions</v>
      </c>
      <c r="E278" s="26" t="n">
        <f aca="false">INDEX(Data_Base!$B$32:$M$37,MATCH(C278,Data_Base!$A$32:$A$37,0),A278)</f>
        <v>0.087078</v>
      </c>
      <c r="F278" s="25" t="n">
        <f aca="false">INDEX(Data_Base!$C$5:$C$28,B278)*(1+INDEX(Assumptions!$B$19:$B$22,MATCH(D278,Assumptions!$A$19:$A$22,0)))*E278</f>
        <v>572.81040414</v>
      </c>
      <c r="G278" s="24" t="n">
        <f aca="false">INDEX(Data_Base!$D$5:$D$28,B278)/INDEX(Data_Base!$C$5:$C$28,B278)</f>
        <v>128.056285889759</v>
      </c>
      <c r="H278" s="27" t="n">
        <f aca="false">IF(A278&gt;=Assumptions!$C$37,INDEX(Assumptions!$B$10:$B$15,MATCH(C278,Assumptions!$A$10:$A$15,0)),0)</f>
        <v>0.015</v>
      </c>
      <c r="I278" s="27" t="n">
        <f aca="false">IF(AND(A278&gt;=Assumptions!$C$37,INDEX(Assumptions!$C$19:$C$22,MATCH(D278,Assumptions!$A$19:$A$22,0))=1),INDEX(Assumptions!$D$10:$D$15,MATCH(C278,Assumptions!$A$10:$A$15,0)),0)</f>
        <v>0</v>
      </c>
      <c r="J278" s="9" t="n">
        <f aca="false">F278*G278*(1+H278)</f>
        <v>74452.2524662779</v>
      </c>
      <c r="K278" s="9" t="n">
        <f aca="false">J278*(1+I278)</f>
        <v>74452.2524662779</v>
      </c>
      <c r="L278" s="24" t="n">
        <f aca="false">INDEX(Data_Base!$E$5:$E$28,B278)/INDEX(Data_Base!$C$5:$C$28,B278)*(1+INDEX(Assumptions!$C$10:$C$15,MATCH(C278,Assumptions!$A$10:$A$15,0)))</f>
        <v>85.2074970981115</v>
      </c>
      <c r="M278" s="9" t="n">
        <f aca="false">F278*L278</f>
        <v>48807.7408485271</v>
      </c>
      <c r="N278" s="24" t="n">
        <f aca="false">INDEX(Data_Base!$F$5:$F$28,B278)/INDEX(Data_Base!$C$5:$C$28,B278)*(1+Assumptions!$C$38)</f>
        <v>2.70574530938124</v>
      </c>
      <c r="O278" s="9" t="n">
        <f aca="false">F278*N278</f>
        <v>1549.87906416658</v>
      </c>
      <c r="P278" s="25" t="n">
        <f aca="false">IF(A278&lt;=3,SUMIFS(Data_Q1!$D$5:$D$76,Data_Q1!$A$5:$A$76,A278,Data_Q1!$B$5:$B$76,C278,Data_Q1!$C$5:$C$76,D278),F278*INDEX(Reforecast!$D$6:$D$9,MATCH(D278,Reforecast!$A$6:$A$9,0)))</f>
        <v>573.479663522661</v>
      </c>
      <c r="Q278" s="9" t="n">
        <f aca="false">IF(A278&lt;=3,SUMIFS(Data_Q1!$E$5:$E$76,Data_Q1!$A$5:$A$76,A278,Data_Q1!$B$5:$B$76,C278,Data_Q1!$C$5:$C$76,D278),P278*G278*(1+H278)*(1+I278))</f>
        <v>74539.2408801809</v>
      </c>
      <c r="R278" s="9" t="n">
        <f aca="false">IF(A278&lt;=3,SUMIFS(Data_Q1!$F$5:$F$76,Data_Q1!$A$5:$A$76,A278,Data_Q1!$B$5:$B$76,C278,Data_Q1!$C$5:$C$76,D278),P278*L278*INDEX(Reforecast!$D$12:$D$17,MATCH(C278,Reforecast!$A$12:$A$17,0)))</f>
        <v>48980.7634647402</v>
      </c>
      <c r="S278" s="9" t="n">
        <f aca="false">IF(A278&lt;=3,SUMIFS(Data_Q1!$G$5:$G$76,Data_Q1!$A$5:$A$76,A278,Data_Q1!$B$5:$B$76,C278,Data_Q1!$C$5:$C$76,D278),P278*N278)</f>
        <v>1551.68990960197</v>
      </c>
    </row>
    <row r="279" customFormat="false" ht="15" hidden="false" customHeight="false" outlineLevel="0" collapsed="false">
      <c r="A279" s="0" t="n">
        <f aca="false">MOD(ROW()-5,12)+1</f>
        <v>11</v>
      </c>
      <c r="B279" s="0" t="n">
        <f aca="false">INT((ROW()-5)/12)+1</f>
        <v>23</v>
      </c>
      <c r="C279" s="0" t="str">
        <f aca="false">INDEX(Data_Base!$A$5:$A$28,B279)</f>
        <v>Cheese &amp; Dairy</v>
      </c>
      <c r="D279" s="0" t="str">
        <f aca="false">INDEX(Data_Base!$B$5:$B$28,B279)</f>
        <v>Hotels &amp; Institutions</v>
      </c>
      <c r="E279" s="26" t="n">
        <f aca="false">INDEX(Data_Base!$B$32:$M$37,MATCH(C279,Data_Base!$A$32:$A$37,0),A279)</f>
        <v>0.095338</v>
      </c>
      <c r="F279" s="25" t="n">
        <f aca="false">INDEX(Data_Base!$C$5:$C$28,B279)*(1+INDEX(Assumptions!$B$19:$B$22,MATCH(D279,Assumptions!$A$19:$A$22,0)))*E279</f>
        <v>627.14575794</v>
      </c>
      <c r="G279" s="24" t="n">
        <f aca="false">INDEX(Data_Base!$D$5:$D$28,B279)/INDEX(Data_Base!$C$5:$C$28,B279)</f>
        <v>128.056285889759</v>
      </c>
      <c r="H279" s="27" t="n">
        <f aca="false">IF(A279&gt;=Assumptions!$C$37,INDEX(Assumptions!$B$10:$B$15,MATCH(C279,Assumptions!$A$10:$A$15,0)),0)</f>
        <v>0.015</v>
      </c>
      <c r="I279" s="27" t="n">
        <f aca="false">IF(AND(A279&gt;=Assumptions!$C$37,INDEX(Assumptions!$C$19:$C$22,MATCH(D279,Assumptions!$A$19:$A$22,0))=1),INDEX(Assumptions!$D$10:$D$15,MATCH(C279,Assumptions!$A$10:$A$15,0)),0)</f>
        <v>0</v>
      </c>
      <c r="J279" s="9" t="n">
        <f aca="false">F279*G279*(1+H279)</f>
        <v>81514.6058204139</v>
      </c>
      <c r="K279" s="9" t="n">
        <f aca="false">J279*(1+I279)</f>
        <v>81514.6058204139</v>
      </c>
      <c r="L279" s="24" t="n">
        <f aca="false">INDEX(Data_Base!$E$5:$E$28,B279)/INDEX(Data_Base!$C$5:$C$28,B279)*(1+INDEX(Assumptions!$C$10:$C$15,MATCH(C279,Assumptions!$A$10:$A$15,0)))</f>
        <v>85.2074970981115</v>
      </c>
      <c r="M279" s="9" t="n">
        <f aca="false">F279*L279</f>
        <v>53437.5203497655</v>
      </c>
      <c r="N279" s="24" t="n">
        <f aca="false">INDEX(Data_Base!$F$5:$F$28,B279)/INDEX(Data_Base!$C$5:$C$28,B279)*(1+Assumptions!$C$38)</f>
        <v>2.70574530938124</v>
      </c>
      <c r="O279" s="9" t="n">
        <f aca="false">F279*N279</f>
        <v>1696.8966928445</v>
      </c>
      <c r="P279" s="25" t="n">
        <f aca="false">IF(A279&lt;=3,SUMIFS(Data_Q1!$D$5:$D$76,Data_Q1!$A$5:$A$76,A279,Data_Q1!$B$5:$B$76,C279,Data_Q1!$C$5:$C$76,D279),F279*INDEX(Reforecast!$D$6:$D$9,MATCH(D279,Reforecast!$A$6:$A$9,0)))</f>
        <v>627.878501583906</v>
      </c>
      <c r="Q279" s="9" t="n">
        <f aca="false">IF(A279&lt;=3,SUMIFS(Data_Q1!$E$5:$E$76,Data_Q1!$A$5:$A$76,A279,Data_Q1!$B$5:$B$76,C279,Data_Q1!$C$5:$C$76,D279),P279*G279*(1+H279)*(1+I279))</f>
        <v>81609.8457364051</v>
      </c>
      <c r="R279" s="9" t="n">
        <f aca="false">IF(A279&lt;=3,SUMIFS(Data_Q1!$F$5:$F$76,Data_Q1!$A$5:$A$76,A279,Data_Q1!$B$5:$B$76,C279,Data_Q1!$C$5:$C$76,D279),P279*L279*INDEX(Reforecast!$D$12:$D$17,MATCH(C279,Reforecast!$A$12:$A$17,0)))</f>
        <v>53626.955456044</v>
      </c>
      <c r="S279" s="9" t="n">
        <f aca="false">IF(A279&lt;=3,SUMIFS(Data_Q1!$G$5:$G$76,Data_Q1!$A$5:$A$76,A279,Data_Q1!$B$5:$B$76,C279,Data_Q1!$C$5:$C$76,D279),P279*N279)</f>
        <v>1698.87931052197</v>
      </c>
    </row>
    <row r="280" customFormat="false" ht="15" hidden="false" customHeight="false" outlineLevel="0" collapsed="false">
      <c r="A280" s="0" t="n">
        <f aca="false">MOD(ROW()-5,12)+1</f>
        <v>12</v>
      </c>
      <c r="B280" s="0" t="n">
        <f aca="false">INT((ROW()-5)/12)+1</f>
        <v>23</v>
      </c>
      <c r="C280" s="0" t="str">
        <f aca="false">INDEX(Data_Base!$A$5:$A$28,B280)</f>
        <v>Cheese &amp; Dairy</v>
      </c>
      <c r="D280" s="0" t="str">
        <f aca="false">INDEX(Data_Base!$B$5:$B$28,B280)</f>
        <v>Hotels &amp; Institutions</v>
      </c>
      <c r="E280" s="26" t="n">
        <f aca="false">INDEX(Data_Base!$B$32:$M$37,MATCH(C280,Data_Base!$A$32:$A$37,0),A280)</f>
        <v>0.10759</v>
      </c>
      <c r="F280" s="25" t="n">
        <f aca="false">INDEX(Data_Base!$C$5:$C$28,B280)*(1+INDEX(Assumptions!$B$19:$B$22,MATCH(D280,Assumptions!$A$19:$A$22,0)))*E280</f>
        <v>707.7410067</v>
      </c>
      <c r="G280" s="24" t="n">
        <f aca="false">INDEX(Data_Base!$D$5:$D$28,B280)/INDEX(Data_Base!$C$5:$C$28,B280)</f>
        <v>128.056285889759</v>
      </c>
      <c r="H280" s="27" t="n">
        <f aca="false">IF(A280&gt;=Assumptions!$C$37,INDEX(Assumptions!$B$10:$B$15,MATCH(C280,Assumptions!$A$10:$A$15,0)),0)</f>
        <v>0.015</v>
      </c>
      <c r="I280" s="27" t="n">
        <f aca="false">IF(AND(A280&gt;=Assumptions!$C$37,INDEX(Assumptions!$C$19:$C$22,MATCH(D280,Assumptions!$A$19:$A$22,0))=1),INDEX(Assumptions!$D$10:$D$15,MATCH(C280,Assumptions!$A$10:$A$15,0)),0)</f>
        <v>0</v>
      </c>
      <c r="J280" s="9" t="n">
        <f aca="false">F280*G280*(1+H280)</f>
        <v>91990.1449602292</v>
      </c>
      <c r="K280" s="9" t="n">
        <f aca="false">J280*(1+I280)</f>
        <v>91990.1449602292</v>
      </c>
      <c r="L280" s="24" t="n">
        <f aca="false">INDEX(Data_Base!$E$5:$E$28,B280)/INDEX(Data_Base!$C$5:$C$28,B280)*(1+INDEX(Assumptions!$C$10:$C$15,MATCH(C280,Assumptions!$A$10:$A$15,0)))</f>
        <v>85.2074970981115</v>
      </c>
      <c r="M280" s="9" t="n">
        <f aca="false">F280*L280</f>
        <v>60304.8397746048</v>
      </c>
      <c r="N280" s="24" t="n">
        <f aca="false">INDEX(Data_Base!$F$5:$F$28,B280)/INDEX(Data_Base!$C$5:$C$28,B280)*(1+Assumptions!$C$38)</f>
        <v>2.70574530938124</v>
      </c>
      <c r="O280" s="9" t="n">
        <f aca="false">F280*N280</f>
        <v>1914.96690913528</v>
      </c>
      <c r="P280" s="25" t="n">
        <f aca="false">IF(A280&lt;=3,SUMIFS(Data_Q1!$D$5:$D$76,Data_Q1!$A$5:$A$76,A280,Data_Q1!$B$5:$B$76,C280,Data_Q1!$C$5:$C$76,D280),F280*INDEX(Reforecast!$D$6:$D$9,MATCH(D280,Reforecast!$A$6:$A$9,0)))</f>
        <v>708.567916102839</v>
      </c>
      <c r="Q280" s="9" t="n">
        <f aca="false">IF(A280&lt;=3,SUMIFS(Data_Q1!$E$5:$E$76,Data_Q1!$A$5:$A$76,A280,Data_Q1!$B$5:$B$76,C280,Data_Q1!$C$5:$C$76,D280),P280*G280*(1+H280)*(1+I280))</f>
        <v>92097.6242713275</v>
      </c>
      <c r="R280" s="9" t="n">
        <f aca="false">IF(A280&lt;=3,SUMIFS(Data_Q1!$F$5:$F$76,Data_Q1!$A$5:$A$76,A280,Data_Q1!$B$5:$B$76,C280,Data_Q1!$C$5:$C$76,D280),P280*L280*INDEX(Reforecast!$D$12:$D$17,MATCH(C280,Reforecast!$A$12:$A$17,0)))</f>
        <v>60518.6194121523</v>
      </c>
      <c r="S280" s="9" t="n">
        <f aca="false">IF(A280&lt;=3,SUMIFS(Data_Q1!$G$5:$G$76,Data_Q1!$A$5:$A$76,A280,Data_Q1!$B$5:$B$76,C280,Data_Q1!$C$5:$C$76,D280),P280*N280)</f>
        <v>1917.2043153733</v>
      </c>
    </row>
    <row r="281" customFormat="false" ht="15" hidden="false" customHeight="false" outlineLevel="0" collapsed="false">
      <c r="A281" s="0" t="n">
        <f aca="false">MOD(ROW()-5,12)+1</f>
        <v>1</v>
      </c>
      <c r="B281" s="0" t="n">
        <f aca="false">INT((ROW()-5)/12)+1</f>
        <v>24</v>
      </c>
      <c r="C281" s="0" t="str">
        <f aca="false">INDEX(Data_Base!$A$5:$A$28,B281)</f>
        <v>Cheese &amp; Dairy</v>
      </c>
      <c r="D281" s="0" t="str">
        <f aca="false">INDEX(Data_Base!$B$5:$B$28,B281)</f>
        <v>Online Direct</v>
      </c>
      <c r="E281" s="26" t="n">
        <f aca="false">INDEX(Data_Base!$B$32:$M$37,MATCH(C281,Data_Base!$A$32:$A$37,0),A281)</f>
        <v>0.078139</v>
      </c>
      <c r="F281" s="25" t="n">
        <f aca="false">INDEX(Data_Base!$C$5:$C$28,B281)*(1+INDEX(Assumptions!$B$19:$B$22,MATCH(D281,Assumptions!$A$19:$A$22,0)))*E281</f>
        <v>265.45537358</v>
      </c>
      <c r="G281" s="24" t="n">
        <f aca="false">INDEX(Data_Base!$D$5:$D$28,B281)/INDEX(Data_Base!$C$5:$C$28,B281)</f>
        <v>150.943831191386</v>
      </c>
      <c r="H281" s="27" t="n">
        <f aca="false">IF(A281&gt;=Assumptions!$C$37,INDEX(Assumptions!$B$10:$B$15,MATCH(C281,Assumptions!$A$10:$A$15,0)),0)</f>
        <v>0</v>
      </c>
      <c r="I281" s="27" t="n">
        <f aca="false">IF(AND(A281&gt;=Assumptions!$C$37,INDEX(Assumptions!$C$19:$C$22,MATCH(D281,Assumptions!$A$19:$A$22,0))=1),INDEX(Assumptions!$D$10:$D$15,MATCH(C281,Assumptions!$A$10:$A$15,0)),0)</f>
        <v>0</v>
      </c>
      <c r="J281" s="9" t="n">
        <f aca="false">F281*G281*(1+H281)</f>
        <v>40068.8510985058</v>
      </c>
      <c r="K281" s="9" t="n">
        <f aca="false">J281*(1+I281)</f>
        <v>40068.8510985058</v>
      </c>
      <c r="L281" s="24" t="n">
        <f aca="false">INDEX(Data_Base!$E$5:$E$28,B281)/INDEX(Data_Base!$C$5:$C$28,B281)*(1+INDEX(Assumptions!$C$10:$C$15,MATCH(C281,Assumptions!$A$10:$A$15,0)))</f>
        <v>85.2009613754776</v>
      </c>
      <c r="M281" s="9" t="n">
        <f aca="false">F281*L281</f>
        <v>22617.0530313026</v>
      </c>
      <c r="N281" s="24" t="n">
        <f aca="false">INDEX(Data_Base!$F$5:$F$28,B281)/INDEX(Data_Base!$C$5:$C$28,B281)*(1+Assumptions!$C$38)</f>
        <v>11.5446791246961</v>
      </c>
      <c r="O281" s="9" t="n">
        <f aca="false">F281*N281</f>
        <v>3064.59710990742</v>
      </c>
      <c r="P281" s="25" t="n">
        <f aca="false">IF(A281&lt;=3,SUMIFS(Data_Q1!$D$5:$D$76,Data_Q1!$A$5:$A$76,A281,Data_Q1!$B$5:$B$76,C281,Data_Q1!$C$5:$C$76,D281),F281*INDEX(Reforecast!$D$6:$D$9,MATCH(D281,Reforecast!$A$6:$A$9,0)))</f>
        <v>267.6</v>
      </c>
      <c r="Q281" s="9" t="n">
        <f aca="false">IF(A281&lt;=3,SUMIFS(Data_Q1!$E$5:$E$76,Data_Q1!$A$5:$A$76,A281,Data_Q1!$B$5:$B$76,C281,Data_Q1!$C$5:$C$76,D281),P281*G281*(1+H281)*(1+I281))</f>
        <v>40519.79</v>
      </c>
      <c r="R281" s="9" t="n">
        <f aca="false">IF(A281&lt;=3,SUMIFS(Data_Q1!$F$5:$F$76,Data_Q1!$A$5:$A$76,A281,Data_Q1!$B$5:$B$76,C281,Data_Q1!$C$5:$C$76,D281),P281*L281*INDEX(Reforecast!$D$12:$D$17,MATCH(C281,Reforecast!$A$12:$A$17,0)))</f>
        <v>22865.77</v>
      </c>
      <c r="S281" s="9" t="n">
        <f aca="false">IF(A281&lt;=3,SUMIFS(Data_Q1!$G$5:$G$76,Data_Q1!$A$5:$A$76,A281,Data_Q1!$B$5:$B$76,C281,Data_Q1!$C$5:$C$76,D281),P281*N281)</f>
        <v>3089.08</v>
      </c>
    </row>
    <row r="282" customFormat="false" ht="15" hidden="false" customHeight="false" outlineLevel="0" collapsed="false">
      <c r="A282" s="0" t="n">
        <f aca="false">MOD(ROW()-5,12)+1</f>
        <v>2</v>
      </c>
      <c r="B282" s="0" t="n">
        <f aca="false">INT((ROW()-5)/12)+1</f>
        <v>24</v>
      </c>
      <c r="C282" s="0" t="str">
        <f aca="false">INDEX(Data_Base!$A$5:$A$28,B282)</f>
        <v>Cheese &amp; Dairy</v>
      </c>
      <c r="D282" s="0" t="str">
        <f aca="false">INDEX(Data_Base!$B$5:$B$28,B282)</f>
        <v>Online Direct</v>
      </c>
      <c r="E282" s="26" t="n">
        <f aca="false">INDEX(Data_Base!$B$32:$M$37,MATCH(C282,Data_Base!$A$32:$A$37,0),A282)</f>
        <v>0.074499</v>
      </c>
      <c r="F282" s="25" t="n">
        <f aca="false">INDEX(Data_Base!$C$5:$C$28,B282)*(1+INDEX(Assumptions!$B$19:$B$22,MATCH(D282,Assumptions!$A$19:$A$22,0)))*E282</f>
        <v>253.08949278</v>
      </c>
      <c r="G282" s="24" t="n">
        <f aca="false">INDEX(Data_Base!$D$5:$D$28,B282)/INDEX(Data_Base!$C$5:$C$28,B282)</f>
        <v>150.943831191386</v>
      </c>
      <c r="H282" s="27" t="n">
        <f aca="false">IF(A282&gt;=Assumptions!$C$37,INDEX(Assumptions!$B$10:$B$15,MATCH(C282,Assumptions!$A$10:$A$15,0)),0)</f>
        <v>0.015</v>
      </c>
      <c r="I282" s="27" t="n">
        <f aca="false">IF(AND(A282&gt;=Assumptions!$C$37,INDEX(Assumptions!$C$19:$C$22,MATCH(D282,Assumptions!$A$19:$A$22,0))=1),INDEX(Assumptions!$D$10:$D$15,MATCH(C282,Assumptions!$A$10:$A$15,0)),0)</f>
        <v>0</v>
      </c>
      <c r="J282" s="9" t="n">
        <f aca="false">F282*G282*(1+H282)</f>
        <v>38775.3321396153</v>
      </c>
      <c r="K282" s="9" t="n">
        <f aca="false">J282*(1+I282)</f>
        <v>38775.3321396153</v>
      </c>
      <c r="L282" s="24" t="n">
        <f aca="false">INDEX(Data_Base!$E$5:$E$28,B282)/INDEX(Data_Base!$C$5:$C$28,B282)*(1+INDEX(Assumptions!$C$10:$C$15,MATCH(C282,Assumptions!$A$10:$A$15,0)))</f>
        <v>85.2009613754776</v>
      </c>
      <c r="M282" s="9" t="n">
        <f aca="false">F282*L282</f>
        <v>21563.468098888</v>
      </c>
      <c r="N282" s="24" t="n">
        <f aca="false">INDEX(Data_Base!$F$5:$F$28,B282)/INDEX(Data_Base!$C$5:$C$28,B282)*(1+Assumptions!$C$38)</f>
        <v>11.5446791246961</v>
      </c>
      <c r="O282" s="9" t="n">
        <f aca="false">F282*N282</f>
        <v>2921.83698397718</v>
      </c>
      <c r="P282" s="25" t="n">
        <f aca="false">IF(A282&lt;=3,SUMIFS(Data_Q1!$D$5:$D$76,Data_Q1!$A$5:$A$76,A282,Data_Q1!$B$5:$B$76,C282,Data_Q1!$C$5:$C$76,D282),F282*INDEX(Reforecast!$D$6:$D$9,MATCH(D282,Reforecast!$A$6:$A$9,0)))</f>
        <v>252.5</v>
      </c>
      <c r="Q282" s="9" t="n">
        <f aca="false">IF(A282&lt;=3,SUMIFS(Data_Q1!$E$5:$E$76,Data_Q1!$A$5:$A$76,A282,Data_Q1!$B$5:$B$76,C282,Data_Q1!$C$5:$C$76,D282),P282*G282*(1+H282)*(1+I282))</f>
        <v>38536.33</v>
      </c>
      <c r="R282" s="9" t="n">
        <f aca="false">IF(A282&lt;=3,SUMIFS(Data_Q1!$F$5:$F$76,Data_Q1!$A$5:$A$76,A282,Data_Q1!$B$5:$B$76,C282,Data_Q1!$C$5:$C$76,D282),P282*L282*INDEX(Reforecast!$D$12:$D$17,MATCH(C282,Reforecast!$A$12:$A$17,0)))</f>
        <v>21620.89</v>
      </c>
      <c r="S282" s="9" t="n">
        <f aca="false">IF(A282&lt;=3,SUMIFS(Data_Q1!$G$5:$G$76,Data_Q1!$A$5:$A$76,A282,Data_Q1!$B$5:$B$76,C282,Data_Q1!$C$5:$C$76,D282),P282*N282)</f>
        <v>2915.02</v>
      </c>
    </row>
    <row r="283" customFormat="false" ht="15" hidden="false" customHeight="false" outlineLevel="0" collapsed="false">
      <c r="A283" s="0" t="n">
        <f aca="false">MOD(ROW()-5,12)+1</f>
        <v>3</v>
      </c>
      <c r="B283" s="0" t="n">
        <f aca="false">INT((ROW()-5)/12)+1</f>
        <v>24</v>
      </c>
      <c r="C283" s="0" t="str">
        <f aca="false">INDEX(Data_Base!$A$5:$A$28,B283)</f>
        <v>Cheese &amp; Dairy</v>
      </c>
      <c r="D283" s="0" t="str">
        <f aca="false">INDEX(Data_Base!$B$5:$B$28,B283)</f>
        <v>Online Direct</v>
      </c>
      <c r="E283" s="26" t="n">
        <f aca="false">INDEX(Data_Base!$B$32:$M$37,MATCH(C283,Data_Base!$A$32:$A$37,0),A283)</f>
        <v>0.079009</v>
      </c>
      <c r="F283" s="25" t="n">
        <f aca="false">INDEX(Data_Base!$C$5:$C$28,B283)*(1+INDEX(Assumptions!$B$19:$B$22,MATCH(D283,Assumptions!$A$19:$A$22,0)))*E283</f>
        <v>268.41095498</v>
      </c>
      <c r="G283" s="24" t="n">
        <f aca="false">INDEX(Data_Base!$D$5:$D$28,B283)/INDEX(Data_Base!$C$5:$C$28,B283)</f>
        <v>150.943831191386</v>
      </c>
      <c r="H283" s="27" t="n">
        <f aca="false">IF(A283&gt;=Assumptions!$C$37,INDEX(Assumptions!$B$10:$B$15,MATCH(C283,Assumptions!$A$10:$A$15,0)),0)</f>
        <v>0.015</v>
      </c>
      <c r="I283" s="27" t="n">
        <f aca="false">IF(AND(A283&gt;=Assumptions!$C$37,INDEX(Assumptions!$C$19:$C$22,MATCH(D283,Assumptions!$A$19:$A$22,0))=1),INDEX(Assumptions!$D$10:$D$15,MATCH(C283,Assumptions!$A$10:$A$15,0)),0)</f>
        <v>0</v>
      </c>
      <c r="J283" s="9" t="n">
        <f aca="false">F283*G283*(1+H283)</f>
        <v>41122.7025465961</v>
      </c>
      <c r="K283" s="9" t="n">
        <f aca="false">J283*(1+I283)</f>
        <v>41122.7025465961</v>
      </c>
      <c r="L283" s="24" t="n">
        <f aca="false">INDEX(Data_Base!$E$5:$E$28,B283)/INDEX(Data_Base!$C$5:$C$28,B283)*(1+INDEX(Assumptions!$C$10:$C$15,MATCH(C283,Assumptions!$A$10:$A$15,0)))</f>
        <v>85.2009613754776</v>
      </c>
      <c r="M283" s="9" t="n">
        <f aca="false">F283*L283</f>
        <v>22868.871408006</v>
      </c>
      <c r="N283" s="24" t="n">
        <f aca="false">INDEX(Data_Base!$F$5:$F$28,B283)/INDEX(Data_Base!$C$5:$C$28,B283)*(1+Assumptions!$C$38)</f>
        <v>11.5446791246961</v>
      </c>
      <c r="O283" s="9" t="n">
        <f aca="false">F283*N283</f>
        <v>3098.71834879734</v>
      </c>
      <c r="P283" s="25" t="n">
        <f aca="false">IF(A283&lt;=3,SUMIFS(Data_Q1!$D$5:$D$76,Data_Q1!$A$5:$A$76,A283,Data_Q1!$B$5:$B$76,C283,Data_Q1!$C$5:$C$76,D283),F283*INDEX(Reforecast!$D$6:$D$9,MATCH(D283,Reforecast!$A$6:$A$9,0)))</f>
        <v>271.5</v>
      </c>
      <c r="Q283" s="9" t="n">
        <f aca="false">IF(A283&lt;=3,SUMIFS(Data_Q1!$E$5:$E$76,Data_Q1!$A$5:$A$76,A283,Data_Q1!$B$5:$B$76,C283,Data_Q1!$C$5:$C$76,D283),P283*G283*(1+H283)*(1+I283))</f>
        <v>41538.02</v>
      </c>
      <c r="R283" s="9" t="n">
        <f aca="false">IF(A283&lt;=3,SUMIFS(Data_Q1!$F$5:$F$76,Data_Q1!$A$5:$A$76,A283,Data_Q1!$B$5:$B$76,C283,Data_Q1!$C$5:$C$76,D283),P283*L283*INDEX(Reforecast!$D$12:$D$17,MATCH(C283,Reforecast!$A$12:$A$17,0)))</f>
        <v>23146.91</v>
      </c>
      <c r="S283" s="9" t="n">
        <f aca="false">IF(A283&lt;=3,SUMIFS(Data_Q1!$G$5:$G$76,Data_Q1!$A$5:$A$76,A283,Data_Q1!$B$5:$B$76,C283,Data_Q1!$C$5:$C$76,D283),P283*N283)</f>
        <v>3134.28</v>
      </c>
    </row>
    <row r="284" customFormat="false" ht="15" hidden="false" customHeight="false" outlineLevel="0" collapsed="false">
      <c r="A284" s="0" t="n">
        <f aca="false">MOD(ROW()-5,12)+1</f>
        <v>4</v>
      </c>
      <c r="B284" s="0" t="n">
        <f aca="false">INT((ROW()-5)/12)+1</f>
        <v>24</v>
      </c>
      <c r="C284" s="0" t="str">
        <f aca="false">INDEX(Data_Base!$A$5:$A$28,B284)</f>
        <v>Cheese &amp; Dairy</v>
      </c>
      <c r="D284" s="0" t="str">
        <f aca="false">INDEX(Data_Base!$B$5:$B$28,B284)</f>
        <v>Online Direct</v>
      </c>
      <c r="E284" s="26" t="n">
        <f aca="false">INDEX(Data_Base!$B$32:$M$37,MATCH(C284,Data_Base!$A$32:$A$37,0),A284)</f>
        <v>0.079471</v>
      </c>
      <c r="F284" s="25" t="n">
        <f aca="false">INDEX(Data_Base!$C$5:$C$28,B284)*(1+INDEX(Assumptions!$B$19:$B$22,MATCH(D284,Assumptions!$A$19:$A$22,0)))*E284</f>
        <v>269.98047062</v>
      </c>
      <c r="G284" s="24" t="n">
        <f aca="false">INDEX(Data_Base!$D$5:$D$28,B284)/INDEX(Data_Base!$C$5:$C$28,B284)</f>
        <v>150.943831191386</v>
      </c>
      <c r="H284" s="27" t="n">
        <f aca="false">IF(A284&gt;=Assumptions!$C$37,INDEX(Assumptions!$B$10:$B$15,MATCH(C284,Assumptions!$A$10:$A$15,0)),0)</f>
        <v>0.015</v>
      </c>
      <c r="I284" s="27" t="n">
        <f aca="false">IF(AND(A284&gt;=Assumptions!$C$37,INDEX(Assumptions!$C$19:$C$22,MATCH(D284,Assumptions!$A$19:$A$22,0))=1),INDEX(Assumptions!$D$10:$D$15,MATCH(C284,Assumptions!$A$10:$A$15,0)),0)</f>
        <v>0</v>
      </c>
      <c r="J284" s="9" t="n">
        <f aca="false">F284*G284*(1+H284)</f>
        <v>41363.1648809697</v>
      </c>
      <c r="K284" s="9" t="n">
        <f aca="false">J284*(1+I284)</f>
        <v>41363.1648809697</v>
      </c>
      <c r="L284" s="24" t="n">
        <f aca="false">INDEX(Data_Base!$E$5:$E$28,B284)/INDEX(Data_Base!$C$5:$C$28,B284)*(1+INDEX(Assumptions!$C$10:$C$15,MATCH(C284,Assumptions!$A$10:$A$15,0)))</f>
        <v>85.2009613754776</v>
      </c>
      <c r="M284" s="9" t="n">
        <f aca="false">F284*L284</f>
        <v>23002.5956494279</v>
      </c>
      <c r="N284" s="24" t="n">
        <f aca="false">INDEX(Data_Base!$F$5:$F$28,B284)/INDEX(Data_Base!$C$5:$C$28,B284)*(1+Assumptions!$C$38)</f>
        <v>11.5446791246961</v>
      </c>
      <c r="O284" s="9" t="n">
        <f aca="false">F284*N284</f>
        <v>3116.83790324234</v>
      </c>
      <c r="P284" s="25" t="n">
        <f aca="false">IF(A284&lt;=3,SUMIFS(Data_Q1!$D$5:$D$76,Data_Q1!$A$5:$A$76,A284,Data_Q1!$B$5:$B$76,C284,Data_Q1!$C$5:$C$76,D284),F284*INDEX(Reforecast!$D$6:$D$9,MATCH(D284,Reforecast!$A$6:$A$9,0)))</f>
        <v>270.615455729001</v>
      </c>
      <c r="Q284" s="9" t="n">
        <f aca="false">IF(A284&lt;=3,SUMIFS(Data_Q1!$E$5:$E$76,Data_Q1!$A$5:$A$76,A284,Data_Q1!$B$5:$B$76,C284,Data_Q1!$C$5:$C$76,D284),P284*G284*(1+H284)*(1+I284))</f>
        <v>41460.4496723483</v>
      </c>
      <c r="R284" s="9" t="n">
        <f aca="false">IF(A284&lt;=3,SUMIFS(Data_Q1!$F$5:$F$76,Data_Q1!$A$5:$A$76,A284,Data_Q1!$B$5:$B$76,C284,Data_Q1!$C$5:$C$76,D284),P284*L284*INDEX(Reforecast!$D$12:$D$17,MATCH(C284,Reforecast!$A$12:$A$17,0)))</f>
        <v>23111.4296937925</v>
      </c>
      <c r="S284" s="9" t="n">
        <f aca="false">IF(A284&lt;=3,SUMIFS(Data_Q1!$G$5:$G$76,Data_Q1!$A$5:$A$76,A284,Data_Q1!$B$5:$B$76,C284,Data_Q1!$C$5:$C$76,D284),P284*N284)</f>
        <v>3124.16860257471</v>
      </c>
    </row>
    <row r="285" customFormat="false" ht="15" hidden="false" customHeight="false" outlineLevel="0" collapsed="false">
      <c r="A285" s="0" t="n">
        <f aca="false">MOD(ROW()-5,12)+1</f>
        <v>5</v>
      </c>
      <c r="B285" s="0" t="n">
        <f aca="false">INT((ROW()-5)/12)+1</f>
        <v>24</v>
      </c>
      <c r="C285" s="0" t="str">
        <f aca="false">INDEX(Data_Base!$A$5:$A$28,B285)</f>
        <v>Cheese &amp; Dairy</v>
      </c>
      <c r="D285" s="0" t="str">
        <f aca="false">INDEX(Data_Base!$B$5:$B$28,B285)</f>
        <v>Online Direct</v>
      </c>
      <c r="E285" s="26" t="n">
        <f aca="false">INDEX(Data_Base!$B$32:$M$37,MATCH(C285,Data_Base!$A$32:$A$37,0),A285)</f>
        <v>0.079118</v>
      </c>
      <c r="F285" s="25" t="n">
        <f aca="false">INDEX(Data_Base!$C$5:$C$28,B285)*(1+INDEX(Assumptions!$B$19:$B$22,MATCH(D285,Assumptions!$A$19:$A$22,0)))*E285</f>
        <v>268.78125196</v>
      </c>
      <c r="G285" s="24" t="n">
        <f aca="false">INDEX(Data_Base!$D$5:$D$28,B285)/INDEX(Data_Base!$C$5:$C$28,B285)</f>
        <v>150.943831191386</v>
      </c>
      <c r="H285" s="27" t="n">
        <f aca="false">IF(A285&gt;=Assumptions!$C$37,INDEX(Assumptions!$B$10:$B$15,MATCH(C285,Assumptions!$A$10:$A$15,0)),0)</f>
        <v>0.015</v>
      </c>
      <c r="I285" s="27" t="n">
        <f aca="false">IF(AND(A285&gt;=Assumptions!$C$37,INDEX(Assumptions!$C$19:$C$22,MATCH(D285,Assumptions!$A$19:$A$22,0))=1),INDEX(Assumptions!$D$10:$D$15,MATCH(C285,Assumptions!$A$10:$A$15,0)),0)</f>
        <v>0</v>
      </c>
      <c r="J285" s="9" t="n">
        <f aca="false">F285*G285*(1+H285)</f>
        <v>41179.4350021085</v>
      </c>
      <c r="K285" s="9" t="n">
        <f aca="false">J285*(1+I285)</f>
        <v>41179.4350021085</v>
      </c>
      <c r="L285" s="24" t="n">
        <f aca="false">INDEX(Data_Base!$E$5:$E$28,B285)/INDEX(Data_Base!$C$5:$C$28,B285)*(1+INDEX(Assumptions!$C$10:$C$15,MATCH(C285,Assumptions!$A$10:$A$15,0)))</f>
        <v>85.2009613754776</v>
      </c>
      <c r="M285" s="9" t="n">
        <f aca="false">F285*L285</f>
        <v>22900.4210666965</v>
      </c>
      <c r="N285" s="24" t="n">
        <f aca="false">INDEX(Data_Base!$F$5:$F$28,B285)/INDEX(Data_Base!$C$5:$C$28,B285)*(1+Assumptions!$C$38)</f>
        <v>11.5446791246961</v>
      </c>
      <c r="O285" s="9" t="n">
        <f aca="false">F285*N285</f>
        <v>3102.99330861229</v>
      </c>
      <c r="P285" s="25" t="n">
        <f aca="false">IF(A285&lt;=3,SUMIFS(Data_Q1!$D$5:$D$76,Data_Q1!$A$5:$A$76,A285,Data_Q1!$B$5:$B$76,C285,Data_Q1!$C$5:$C$76,D285),F285*INDEX(Reforecast!$D$6:$D$9,MATCH(D285,Reforecast!$A$6:$A$9,0)))</f>
        <v>269.413416546502</v>
      </c>
      <c r="Q285" s="9" t="n">
        <f aca="false">IF(A285&lt;=3,SUMIFS(Data_Q1!$E$5:$E$76,Data_Q1!$A$5:$A$76,A285,Data_Q1!$B$5:$B$76,C285,Data_Q1!$C$5:$C$76,D285),P285*G285*(1+H285)*(1+I285))</f>
        <v>41276.2876669081</v>
      </c>
      <c r="R285" s="9" t="n">
        <f aca="false">IF(A285&lt;=3,SUMIFS(Data_Q1!$F$5:$F$76,Data_Q1!$A$5:$A$76,A285,Data_Q1!$B$5:$B$76,C285,Data_Q1!$C$5:$C$76,D285),P285*L285*INDEX(Reforecast!$D$12:$D$17,MATCH(C285,Reforecast!$A$12:$A$17,0)))</f>
        <v>23008.7716841801</v>
      </c>
      <c r="S285" s="9" t="n">
        <f aca="false">IF(A285&lt;=3,SUMIFS(Data_Q1!$G$5:$G$76,Data_Q1!$A$5:$A$76,A285,Data_Q1!$B$5:$B$76,C285,Data_Q1!$C$5:$C$76,D285),P285*N285)</f>
        <v>3110.29144591745</v>
      </c>
    </row>
    <row r="286" customFormat="false" ht="15" hidden="false" customHeight="false" outlineLevel="0" collapsed="false">
      <c r="A286" s="0" t="n">
        <f aca="false">MOD(ROW()-5,12)+1</f>
        <v>6</v>
      </c>
      <c r="B286" s="0" t="n">
        <f aca="false">INT((ROW()-5)/12)+1</f>
        <v>24</v>
      </c>
      <c r="C286" s="0" t="str">
        <f aca="false">INDEX(Data_Base!$A$5:$A$28,B286)</f>
        <v>Cheese &amp; Dairy</v>
      </c>
      <c r="D286" s="0" t="str">
        <f aca="false">INDEX(Data_Base!$B$5:$B$28,B286)</f>
        <v>Online Direct</v>
      </c>
      <c r="E286" s="26" t="n">
        <f aca="false">INDEX(Data_Base!$B$32:$M$37,MATCH(C286,Data_Base!$A$32:$A$37,0),A286)</f>
        <v>0.079145</v>
      </c>
      <c r="F286" s="25" t="n">
        <f aca="false">INDEX(Data_Base!$C$5:$C$28,B286)*(1+INDEX(Assumptions!$B$19:$B$22,MATCH(D286,Assumptions!$A$19:$A$22,0)))*E286</f>
        <v>268.8729769</v>
      </c>
      <c r="G286" s="24" t="n">
        <f aca="false">INDEX(Data_Base!$D$5:$D$28,B286)/INDEX(Data_Base!$C$5:$C$28,B286)</f>
        <v>150.943831191386</v>
      </c>
      <c r="H286" s="27" t="n">
        <f aca="false">IF(A286&gt;=Assumptions!$C$37,INDEX(Assumptions!$B$10:$B$15,MATCH(C286,Assumptions!$A$10:$A$15,0)),0)</f>
        <v>0.015</v>
      </c>
      <c r="I286" s="27" t="n">
        <f aca="false">IF(AND(A286&gt;=Assumptions!$C$37,INDEX(Assumptions!$C$19:$C$22,MATCH(D286,Assumptions!$A$19:$A$22,0))=1),INDEX(Assumptions!$D$10:$D$15,MATCH(C286,Assumptions!$A$10:$A$15,0)),0)</f>
        <v>0</v>
      </c>
      <c r="J286" s="9" t="n">
        <f aca="false">F286*G286*(1+H286)</f>
        <v>41193.4879956758</v>
      </c>
      <c r="K286" s="9" t="n">
        <f aca="false">J286*(1+I286)</f>
        <v>41193.4879956758</v>
      </c>
      <c r="L286" s="24" t="n">
        <f aca="false">INDEX(Data_Base!$E$5:$E$28,B286)/INDEX(Data_Base!$C$5:$C$28,B286)*(1+INDEX(Assumptions!$C$10:$C$15,MATCH(C286,Assumptions!$A$10:$A$15,0)))</f>
        <v>85.2009613754776</v>
      </c>
      <c r="M286" s="9" t="n">
        <f aca="false">F286*L286</f>
        <v>22908.2361197666</v>
      </c>
      <c r="N286" s="24" t="n">
        <f aca="false">INDEX(Data_Base!$F$5:$F$28,B286)/INDEX(Data_Base!$C$5:$C$28,B286)*(1+Assumptions!$C$38)</f>
        <v>11.5446791246961</v>
      </c>
      <c r="O286" s="9" t="n">
        <f aca="false">F286*N286</f>
        <v>3104.05224361232</v>
      </c>
      <c r="P286" s="25" t="n">
        <f aca="false">IF(A286&lt;=3,SUMIFS(Data_Q1!$D$5:$D$76,Data_Q1!$A$5:$A$76,A286,Data_Q1!$B$5:$B$76,C286,Data_Q1!$C$5:$C$76,D286),F286*INDEX(Reforecast!$D$6:$D$9,MATCH(D286,Reforecast!$A$6:$A$9,0)))</f>
        <v>269.505357220518</v>
      </c>
      <c r="Q286" s="9" t="n">
        <f aca="false">IF(A286&lt;=3,SUMIFS(Data_Q1!$E$5:$E$76,Data_Q1!$A$5:$A$76,A286,Data_Q1!$B$5:$B$76,C286,Data_Q1!$C$5:$C$76,D286),P286*G286*(1+H286)*(1+I286))</f>
        <v>41290.37371265</v>
      </c>
      <c r="R286" s="9" t="n">
        <f aca="false">IF(A286&lt;=3,SUMIFS(Data_Q1!$F$5:$F$76,Data_Q1!$A$5:$A$76,A286,Data_Q1!$B$5:$B$76,C286,Data_Q1!$C$5:$C$76,D286),P286*L286*INDEX(Reforecast!$D$12:$D$17,MATCH(C286,Reforecast!$A$12:$A$17,0)))</f>
        <v>23016.6237132439</v>
      </c>
      <c r="S286" s="9" t="n">
        <f aca="false">IF(A286&lt;=3,SUMIFS(Data_Q1!$G$5:$G$76,Data_Q1!$A$5:$A$76,A286,Data_Q1!$B$5:$B$76,C286,Data_Q1!$C$5:$C$76,D286),P286*N286)</f>
        <v>3111.35287149747</v>
      </c>
    </row>
    <row r="287" customFormat="false" ht="15" hidden="false" customHeight="false" outlineLevel="0" collapsed="false">
      <c r="A287" s="0" t="n">
        <f aca="false">MOD(ROW()-5,12)+1</f>
        <v>7</v>
      </c>
      <c r="B287" s="0" t="n">
        <f aca="false">INT((ROW()-5)/12)+1</f>
        <v>24</v>
      </c>
      <c r="C287" s="0" t="str">
        <f aca="false">INDEX(Data_Base!$A$5:$A$28,B287)</f>
        <v>Cheese &amp; Dairy</v>
      </c>
      <c r="D287" s="0" t="str">
        <f aca="false">INDEX(Data_Base!$B$5:$B$28,B287)</f>
        <v>Online Direct</v>
      </c>
      <c r="E287" s="26" t="n">
        <f aca="false">INDEX(Data_Base!$B$32:$M$37,MATCH(C287,Data_Base!$A$32:$A$37,0),A287)</f>
        <v>0.078846</v>
      </c>
      <c r="F287" s="25" t="n">
        <f aca="false">INDEX(Data_Base!$C$5:$C$28,B287)*(1+INDEX(Assumptions!$B$19:$B$22,MATCH(D287,Assumptions!$A$19:$A$22,0)))*E287</f>
        <v>267.85720812</v>
      </c>
      <c r="G287" s="24" t="n">
        <f aca="false">INDEX(Data_Base!$D$5:$D$28,B287)/INDEX(Data_Base!$C$5:$C$28,B287)</f>
        <v>150.943831191386</v>
      </c>
      <c r="H287" s="27" t="n">
        <f aca="false">IF(A287&gt;=Assumptions!$C$37,INDEX(Assumptions!$B$10:$B$15,MATCH(C287,Assumptions!$A$10:$A$15,0)),0)</f>
        <v>0.015</v>
      </c>
      <c r="I287" s="27" t="n">
        <f aca="false">IF(AND(A287&gt;=Assumptions!$C$37,INDEX(Assumptions!$C$19:$C$22,MATCH(D287,Assumptions!$A$19:$A$22,0))=1),INDEX(Assumptions!$D$10:$D$15,MATCH(C287,Assumptions!$A$10:$A$15,0)),0)</f>
        <v>0</v>
      </c>
      <c r="J287" s="9" t="n">
        <f aca="false">F287*G287*(1+H287)</f>
        <v>41037.8641039491</v>
      </c>
      <c r="K287" s="9" t="n">
        <f aca="false">J287*(1+I287)</f>
        <v>41037.8641039491</v>
      </c>
      <c r="L287" s="24" t="n">
        <f aca="false">INDEX(Data_Base!$E$5:$E$28,B287)/INDEX(Data_Base!$C$5:$C$28,B287)*(1+INDEX(Assumptions!$C$10:$C$15,MATCH(C287,Assumptions!$A$10:$A$15,0)))</f>
        <v>85.2009613754776</v>
      </c>
      <c r="M287" s="9" t="n">
        <f aca="false">F287*L287</f>
        <v>22821.6916431754</v>
      </c>
      <c r="N287" s="24" t="n">
        <f aca="false">INDEX(Data_Base!$F$5:$F$28,B287)/INDEX(Data_Base!$C$5:$C$28,B287)*(1+Assumptions!$C$38)</f>
        <v>11.5446791246961</v>
      </c>
      <c r="O287" s="9" t="n">
        <f aca="false">F287*N287</f>
        <v>3092.32551898234</v>
      </c>
      <c r="P287" s="25" t="n">
        <f aca="false">IF(A287&lt;=3,SUMIFS(Data_Q1!$D$5:$D$76,Data_Q1!$A$5:$A$76,A287,Data_Q1!$B$5:$B$76,C287,Data_Q1!$C$5:$C$76,D287),F287*INDEX(Reforecast!$D$6:$D$9,MATCH(D287,Reforecast!$A$6:$A$9,0)))</f>
        <v>268.48719938605</v>
      </c>
      <c r="Q287" s="9" t="n">
        <f aca="false">IF(A287&lt;=3,SUMIFS(Data_Q1!$E$5:$E$76,Data_Q1!$A$5:$A$76,A287,Data_Q1!$B$5:$B$76,C287,Data_Q1!$C$5:$C$76,D287),P287*G287*(1+H287)*(1+I287))</f>
        <v>41134.3837986935</v>
      </c>
      <c r="R287" s="9" t="n">
        <f aca="false">IF(A287&lt;=3,SUMIFS(Data_Q1!$F$5:$F$76,Data_Q1!$A$5:$A$76,A287,Data_Q1!$B$5:$B$76,C287,Data_Q1!$C$5:$C$76,D287),P287*L287*INDEX(Reforecast!$D$12:$D$17,MATCH(C287,Reforecast!$A$12:$A$17,0)))</f>
        <v>22929.6697617592</v>
      </c>
      <c r="S287" s="9" t="n">
        <f aca="false">IF(A287&lt;=3,SUMIFS(Data_Q1!$G$5:$G$76,Data_Q1!$A$5:$A$76,A287,Data_Q1!$B$5:$B$76,C287,Data_Q1!$C$5:$C$76,D287),P287*N287)</f>
        <v>3099.59856600024</v>
      </c>
    </row>
    <row r="288" customFormat="false" ht="15" hidden="false" customHeight="false" outlineLevel="0" collapsed="false">
      <c r="A288" s="0" t="n">
        <f aca="false">MOD(ROW()-5,12)+1</f>
        <v>8</v>
      </c>
      <c r="B288" s="0" t="n">
        <f aca="false">INT((ROW()-5)/12)+1</f>
        <v>24</v>
      </c>
      <c r="C288" s="0" t="str">
        <f aca="false">INDEX(Data_Base!$A$5:$A$28,B288)</f>
        <v>Cheese &amp; Dairy</v>
      </c>
      <c r="D288" s="0" t="str">
        <f aca="false">INDEX(Data_Base!$B$5:$B$28,B288)</f>
        <v>Online Direct</v>
      </c>
      <c r="E288" s="26" t="n">
        <f aca="false">INDEX(Data_Base!$B$32:$M$37,MATCH(C288,Data_Base!$A$32:$A$37,0),A288)</f>
        <v>0.078493</v>
      </c>
      <c r="F288" s="25" t="n">
        <f aca="false">INDEX(Data_Base!$C$5:$C$28,B288)*(1+INDEX(Assumptions!$B$19:$B$22,MATCH(D288,Assumptions!$A$19:$A$22,0)))*E288</f>
        <v>266.65798946</v>
      </c>
      <c r="G288" s="24" t="n">
        <f aca="false">INDEX(Data_Base!$D$5:$D$28,B288)/INDEX(Data_Base!$C$5:$C$28,B288)</f>
        <v>150.943831191386</v>
      </c>
      <c r="H288" s="27" t="n">
        <f aca="false">IF(A288&gt;=Assumptions!$C$37,INDEX(Assumptions!$B$10:$B$15,MATCH(C288,Assumptions!$A$10:$A$15,0)),0)</f>
        <v>0.015</v>
      </c>
      <c r="I288" s="27" t="n">
        <f aca="false">IF(AND(A288&gt;=Assumptions!$C$37,INDEX(Assumptions!$C$19:$C$22,MATCH(D288,Assumptions!$A$19:$A$22,0))=1),INDEX(Assumptions!$D$10:$D$15,MATCH(C288,Assumptions!$A$10:$A$15,0)),0)</f>
        <v>0</v>
      </c>
      <c r="J288" s="9" t="n">
        <f aca="false">F288*G288*(1+H288)</f>
        <v>40854.1342250879</v>
      </c>
      <c r="K288" s="9" t="n">
        <f aca="false">J288*(1+I288)</f>
        <v>40854.1342250879</v>
      </c>
      <c r="L288" s="24" t="n">
        <f aca="false">INDEX(Data_Base!$E$5:$E$28,B288)/INDEX(Data_Base!$C$5:$C$28,B288)*(1+INDEX(Assumptions!$C$10:$C$15,MATCH(C288,Assumptions!$A$10:$A$15,0)))</f>
        <v>85.2009613754776</v>
      </c>
      <c r="M288" s="9" t="n">
        <f aca="false">F288*L288</f>
        <v>22719.517060444</v>
      </c>
      <c r="N288" s="24" t="n">
        <f aca="false">INDEX(Data_Base!$F$5:$F$28,B288)/INDEX(Data_Base!$C$5:$C$28,B288)*(1+Assumptions!$C$38)</f>
        <v>11.5446791246961</v>
      </c>
      <c r="O288" s="9" t="n">
        <f aca="false">F288*N288</f>
        <v>3078.48092435229</v>
      </c>
      <c r="P288" s="25" t="n">
        <f aca="false">IF(A288&lt;=3,SUMIFS(Data_Q1!$D$5:$D$76,Data_Q1!$A$5:$A$76,A288,Data_Q1!$B$5:$B$76,C288,Data_Q1!$C$5:$C$76,D288),F288*INDEX(Reforecast!$D$6:$D$9,MATCH(D288,Reforecast!$A$6:$A$9,0)))</f>
        <v>267.285160203552</v>
      </c>
      <c r="Q288" s="9" t="n">
        <f aca="false">IF(A288&lt;=3,SUMIFS(Data_Q1!$E$5:$E$76,Data_Q1!$A$5:$A$76,A288,Data_Q1!$B$5:$B$76,C288,Data_Q1!$C$5:$C$76,D288),P288*G288*(1+H288)*(1+I288))</f>
        <v>40950.2217932533</v>
      </c>
      <c r="R288" s="9" t="n">
        <f aca="false">IF(A288&lt;=3,SUMIFS(Data_Q1!$F$5:$F$76,Data_Q1!$A$5:$A$76,A288,Data_Q1!$B$5:$B$76,C288,Data_Q1!$C$5:$C$76,D288),P288*L288*INDEX(Reforecast!$D$12:$D$17,MATCH(C288,Reforecast!$A$12:$A$17,0)))</f>
        <v>22827.0117521467</v>
      </c>
      <c r="S288" s="9" t="n">
        <f aca="false">IF(A288&lt;=3,SUMIFS(Data_Q1!$G$5:$G$76,Data_Q1!$A$5:$A$76,A288,Data_Q1!$B$5:$B$76,C288,Data_Q1!$C$5:$C$76,D288),P288*N288)</f>
        <v>3085.72140934299</v>
      </c>
    </row>
    <row r="289" customFormat="false" ht="15" hidden="false" customHeight="false" outlineLevel="0" collapsed="false">
      <c r="A289" s="0" t="n">
        <f aca="false">MOD(ROW()-5,12)+1</f>
        <v>9</v>
      </c>
      <c r="B289" s="0" t="n">
        <f aca="false">INT((ROW()-5)/12)+1</f>
        <v>24</v>
      </c>
      <c r="C289" s="0" t="str">
        <f aca="false">INDEX(Data_Base!$A$5:$A$28,B289)</f>
        <v>Cheese &amp; Dairy</v>
      </c>
      <c r="D289" s="0" t="str">
        <f aca="false">INDEX(Data_Base!$B$5:$B$28,B289)</f>
        <v>Online Direct</v>
      </c>
      <c r="E289" s="26" t="n">
        <f aca="false">INDEX(Data_Base!$B$32:$M$37,MATCH(C289,Data_Base!$A$32:$A$37,0),A289)</f>
        <v>0.083274</v>
      </c>
      <c r="F289" s="25" t="n">
        <f aca="false">INDEX(Data_Base!$C$5:$C$28,B289)*(1+INDEX(Assumptions!$B$19:$B$22,MATCH(D289,Assumptions!$A$19:$A$22,0)))*E289</f>
        <v>282.90009828</v>
      </c>
      <c r="G289" s="24" t="n">
        <f aca="false">INDEX(Data_Base!$D$5:$D$28,B289)/INDEX(Data_Base!$C$5:$C$28,B289)</f>
        <v>150.943831191386</v>
      </c>
      <c r="H289" s="27" t="n">
        <f aca="false">IF(A289&gt;=Assumptions!$C$37,INDEX(Assumptions!$B$10:$B$15,MATCH(C289,Assumptions!$A$10:$A$15,0)),0)</f>
        <v>0.015</v>
      </c>
      <c r="I289" s="27" t="n">
        <f aca="false">IF(AND(A289&gt;=Assumptions!$C$37,INDEX(Assumptions!$C$19:$C$22,MATCH(D289,Assumptions!$A$19:$A$22,0))=1),INDEX(Assumptions!$D$10:$D$15,MATCH(C289,Assumptions!$A$10:$A$15,0)),0)</f>
        <v>0</v>
      </c>
      <c r="J289" s="9" t="n">
        <f aca="false">F289*G289*(1+H289)</f>
        <v>43342.5550489848</v>
      </c>
      <c r="K289" s="9" t="n">
        <f aca="false">J289*(1+I289)</f>
        <v>43342.5550489848</v>
      </c>
      <c r="L289" s="24" t="n">
        <f aca="false">INDEX(Data_Base!$E$5:$E$28,B289)/INDEX(Data_Base!$C$5:$C$28,B289)*(1+INDEX(Assumptions!$C$10:$C$15,MATCH(C289,Assumptions!$A$10:$A$15,0)))</f>
        <v>85.2009613754776</v>
      </c>
      <c r="M289" s="9" t="n">
        <f aca="false">F289*L289</f>
        <v>24103.3603466731</v>
      </c>
      <c r="N289" s="24" t="n">
        <f aca="false">INDEX(Data_Base!$F$5:$F$28,B289)/INDEX(Data_Base!$C$5:$C$28,B289)*(1+Assumptions!$C$38)</f>
        <v>11.5446791246961</v>
      </c>
      <c r="O289" s="9" t="n">
        <f aca="false">F289*N289</f>
        <v>3265.99085898758</v>
      </c>
      <c r="P289" s="25" t="n">
        <f aca="false">IF(A289&lt;=3,SUMIFS(Data_Q1!$D$5:$D$76,Data_Q1!$A$5:$A$76,A289,Data_Q1!$B$5:$B$76,C289,Data_Q1!$C$5:$C$76,D289),F289*INDEX(Reforecast!$D$6:$D$9,MATCH(D289,Reforecast!$A$6:$A$9,0)))</f>
        <v>283.565469924586</v>
      </c>
      <c r="Q289" s="9" t="n">
        <f aca="false">IF(A289&lt;=3,SUMIFS(Data_Q1!$E$5:$E$76,Data_Q1!$A$5:$A$76,A289,Data_Q1!$B$5:$B$76,C289,Data_Q1!$C$5:$C$76,D289),P289*G289*(1+H289)*(1+I289))</f>
        <v>43444.4953003628</v>
      </c>
      <c r="R289" s="9" t="n">
        <f aca="false">IF(A289&lt;=3,SUMIFS(Data_Q1!$F$5:$F$76,Data_Q1!$A$5:$A$76,A289,Data_Q1!$B$5:$B$76,C289,Data_Q1!$C$5:$C$76,D289),P289*L289*INDEX(Reforecast!$D$12:$D$17,MATCH(C289,Reforecast!$A$12:$A$17,0)))</f>
        <v>24217.4025282289</v>
      </c>
      <c r="S289" s="9" t="n">
        <f aca="false">IF(A289&lt;=3,SUMIFS(Data_Q1!$G$5:$G$76,Data_Q1!$A$5:$A$76,A289,Data_Q1!$B$5:$B$76,C289,Data_Q1!$C$5:$C$76,D289),P289*N289)</f>
        <v>3273.672361123</v>
      </c>
    </row>
    <row r="290" customFormat="false" ht="15" hidden="false" customHeight="false" outlineLevel="0" collapsed="false">
      <c r="A290" s="0" t="n">
        <f aca="false">MOD(ROW()-5,12)+1</f>
        <v>10</v>
      </c>
      <c r="B290" s="0" t="n">
        <f aca="false">INT((ROW()-5)/12)+1</f>
        <v>24</v>
      </c>
      <c r="C290" s="0" t="str">
        <f aca="false">INDEX(Data_Base!$A$5:$A$28,B290)</f>
        <v>Cheese &amp; Dairy</v>
      </c>
      <c r="D290" s="0" t="str">
        <f aca="false">INDEX(Data_Base!$B$5:$B$28,B290)</f>
        <v>Online Direct</v>
      </c>
      <c r="E290" s="26" t="n">
        <f aca="false">INDEX(Data_Base!$B$32:$M$37,MATCH(C290,Data_Base!$A$32:$A$37,0),A290)</f>
        <v>0.087078</v>
      </c>
      <c r="F290" s="25" t="n">
        <f aca="false">INDEX(Data_Base!$C$5:$C$28,B290)*(1+INDEX(Assumptions!$B$19:$B$22,MATCH(D290,Assumptions!$A$19:$A$22,0)))*E290</f>
        <v>295.82312316</v>
      </c>
      <c r="G290" s="24" t="n">
        <f aca="false">INDEX(Data_Base!$D$5:$D$28,B290)/INDEX(Data_Base!$C$5:$C$28,B290)</f>
        <v>150.943831191386</v>
      </c>
      <c r="H290" s="27" t="n">
        <f aca="false">IF(A290&gt;=Assumptions!$C$37,INDEX(Assumptions!$B$10:$B$15,MATCH(C290,Assumptions!$A$10:$A$15,0)),0)</f>
        <v>0.015</v>
      </c>
      <c r="I290" s="27" t="n">
        <f aca="false">IF(AND(A290&gt;=Assumptions!$C$37,INDEX(Assumptions!$C$19:$C$22,MATCH(D290,Assumptions!$A$19:$A$22,0))=1),INDEX(Assumptions!$D$10:$D$15,MATCH(C290,Assumptions!$A$10:$A$15,0)),0)</f>
        <v>0</v>
      </c>
      <c r="J290" s="9" t="n">
        <f aca="false">F290*G290*(1+H290)</f>
        <v>45322.4656982432</v>
      </c>
      <c r="K290" s="9" t="n">
        <f aca="false">J290*(1+I290)</f>
        <v>45322.4656982432</v>
      </c>
      <c r="L290" s="24" t="n">
        <f aca="false">INDEX(Data_Base!$E$5:$E$28,B290)/INDEX(Data_Base!$C$5:$C$28,B290)*(1+INDEX(Assumptions!$C$10:$C$15,MATCH(C290,Assumptions!$A$10:$A$15,0)))</f>
        <v>85.2009613754776</v>
      </c>
      <c r="M290" s="9" t="n">
        <f aca="false">F290*L290</f>
        <v>25204.4144903283</v>
      </c>
      <c r="N290" s="24" t="n">
        <f aca="false">INDEX(Data_Base!$F$5:$F$28,B290)/INDEX(Data_Base!$C$5:$C$28,B290)*(1+Assumptions!$C$38)</f>
        <v>11.5446791246961</v>
      </c>
      <c r="O290" s="9" t="n">
        <f aca="false">F290*N290</f>
        <v>3415.18303454765</v>
      </c>
      <c r="P290" s="25" t="n">
        <f aca="false">IF(A290&lt;=3,SUMIFS(Data_Q1!$D$5:$D$76,Data_Q1!$A$5:$A$76,A290,Data_Q1!$B$5:$B$76,C290,Data_Q1!$C$5:$C$76,D290),F290*INDEX(Reforecast!$D$6:$D$9,MATCH(D290,Reforecast!$A$6:$A$9,0)))</f>
        <v>296.518889330321</v>
      </c>
      <c r="Q290" s="9" t="n">
        <f aca="false">IF(A290&lt;=3,SUMIFS(Data_Q1!$E$5:$E$76,Data_Q1!$A$5:$A$76,A290,Data_Q1!$B$5:$B$76,C290,Data_Q1!$C$5:$C$76,D290),P290*G290*(1+H290)*(1+I290))</f>
        <v>45429.0626337751</v>
      </c>
      <c r="R290" s="9" t="n">
        <f aca="false">IF(A290&lt;=3,SUMIFS(Data_Q1!$F$5:$F$76,Data_Q1!$A$5:$A$76,A290,Data_Q1!$B$5:$B$76,C290,Data_Q1!$C$5:$C$76,D290),P290*L290*INDEX(Reforecast!$D$12:$D$17,MATCH(C290,Reforecast!$A$12:$A$17,0)))</f>
        <v>25323.6661785565</v>
      </c>
      <c r="S290" s="9" t="n">
        <f aca="false">IF(A290&lt;=3,SUMIFS(Data_Q1!$G$5:$G$76,Data_Q1!$A$5:$A$76,A290,Data_Q1!$B$5:$B$76,C290,Data_Q1!$C$5:$C$76,D290),P290*N290)</f>
        <v>3423.21543172982</v>
      </c>
    </row>
    <row r="291" customFormat="false" ht="15" hidden="false" customHeight="false" outlineLevel="0" collapsed="false">
      <c r="A291" s="0" t="n">
        <f aca="false">MOD(ROW()-5,12)+1</f>
        <v>11</v>
      </c>
      <c r="B291" s="0" t="n">
        <f aca="false">INT((ROW()-5)/12)+1</f>
        <v>24</v>
      </c>
      <c r="C291" s="0" t="str">
        <f aca="false">INDEX(Data_Base!$A$5:$A$28,B291)</f>
        <v>Cheese &amp; Dairy</v>
      </c>
      <c r="D291" s="0" t="str">
        <f aca="false">INDEX(Data_Base!$B$5:$B$28,B291)</f>
        <v>Online Direct</v>
      </c>
      <c r="E291" s="26" t="n">
        <f aca="false">INDEX(Data_Base!$B$32:$M$37,MATCH(C291,Data_Base!$A$32:$A$37,0),A291)</f>
        <v>0.095338</v>
      </c>
      <c r="F291" s="25" t="n">
        <f aca="false">INDEX(Data_Base!$C$5:$C$28,B291)*(1+INDEX(Assumptions!$B$19:$B$22,MATCH(D291,Assumptions!$A$19:$A$22,0)))*E291</f>
        <v>323.88416036</v>
      </c>
      <c r="G291" s="24" t="n">
        <f aca="false">INDEX(Data_Base!$D$5:$D$28,B291)/INDEX(Data_Base!$C$5:$C$28,B291)</f>
        <v>150.943831191386</v>
      </c>
      <c r="H291" s="27" t="n">
        <f aca="false">IF(A291&gt;=Assumptions!$C$37,INDEX(Assumptions!$B$10:$B$15,MATCH(C291,Assumptions!$A$10:$A$15,0)),0)</f>
        <v>0.015</v>
      </c>
      <c r="I291" s="27" t="n">
        <f aca="false">IF(AND(A291&gt;=Assumptions!$C$37,INDEX(Assumptions!$C$19:$C$22,MATCH(D291,Assumptions!$A$19:$A$22,0))=1),INDEX(Assumptions!$D$10:$D$15,MATCH(C291,Assumptions!$A$10:$A$15,0)),0)</f>
        <v>0</v>
      </c>
      <c r="J291" s="9" t="n">
        <f aca="false">F291*G291*(1+H291)</f>
        <v>49621.6407673477</v>
      </c>
      <c r="K291" s="9" t="n">
        <f aca="false">J291*(1+I291)</f>
        <v>49621.6407673477</v>
      </c>
      <c r="L291" s="24" t="n">
        <f aca="false">INDEX(Data_Base!$E$5:$E$28,B291)/INDEX(Data_Base!$C$5:$C$28,B291)*(1+INDEX(Assumptions!$C$10:$C$15,MATCH(C291,Assumptions!$A$10:$A$15,0)))</f>
        <v>85.2009613754776</v>
      </c>
      <c r="M291" s="9" t="n">
        <f aca="false">F291*L291</f>
        <v>27595.2418369614</v>
      </c>
      <c r="N291" s="24" t="n">
        <f aca="false">INDEX(Data_Base!$F$5:$F$28,B291)/INDEX(Data_Base!$C$5:$C$28,B291)*(1+Assumptions!$C$38)</f>
        <v>11.5446791246961</v>
      </c>
      <c r="O291" s="9" t="n">
        <f aca="false">F291*N291</f>
        <v>3739.13870492781</v>
      </c>
      <c r="P291" s="25" t="n">
        <f aca="false">IF(A291&lt;=3,SUMIFS(Data_Q1!$D$5:$D$76,Data_Q1!$A$5:$A$76,A291,Data_Q1!$B$5:$B$76,C291,Data_Q1!$C$5:$C$76,D291),F291*INDEX(Reforecast!$D$6:$D$9,MATCH(D291,Reforecast!$A$6:$A$9,0)))</f>
        <v>324.645925158756</v>
      </c>
      <c r="Q291" s="9" t="n">
        <f aca="false">IF(A291&lt;=3,SUMIFS(Data_Q1!$E$5:$E$76,Data_Q1!$A$5:$A$76,A291,Data_Q1!$B$5:$B$76,C291,Data_Q1!$C$5:$C$76,D291),P291*G291*(1+H291)*(1+I291))</f>
        <v>49738.3492199965</v>
      </c>
      <c r="R291" s="9" t="n">
        <f aca="false">IF(A291&lt;=3,SUMIFS(Data_Q1!$F$5:$F$76,Data_Q1!$A$5:$A$76,A291,Data_Q1!$B$5:$B$76,C291,Data_Q1!$C$5:$C$76,D291),P291*L291*INDEX(Reforecast!$D$12:$D$17,MATCH(C291,Reforecast!$A$12:$A$17,0)))</f>
        <v>27725.8054403089</v>
      </c>
      <c r="S291" s="9" t="n">
        <f aca="false">IF(A291&lt;=3,SUMIFS(Data_Q1!$G$5:$G$76,Data_Q1!$A$5:$A$76,A291,Data_Q1!$B$5:$B$76,C291,Data_Q1!$C$5:$C$76,D291),P291*N291)</f>
        <v>3747.93303509793</v>
      </c>
    </row>
    <row r="292" customFormat="false" ht="15" hidden="false" customHeight="false" outlineLevel="0" collapsed="false">
      <c r="A292" s="0" t="n">
        <f aca="false">MOD(ROW()-5,12)+1</f>
        <v>12</v>
      </c>
      <c r="B292" s="0" t="n">
        <f aca="false">INT((ROW()-5)/12)+1</f>
        <v>24</v>
      </c>
      <c r="C292" s="0" t="str">
        <f aca="false">INDEX(Data_Base!$A$5:$A$28,B292)</f>
        <v>Cheese &amp; Dairy</v>
      </c>
      <c r="D292" s="0" t="str">
        <f aca="false">INDEX(Data_Base!$B$5:$B$28,B292)</f>
        <v>Online Direct</v>
      </c>
      <c r="E292" s="26" t="n">
        <f aca="false">INDEX(Data_Base!$B$32:$M$37,MATCH(C292,Data_Base!$A$32:$A$37,0),A292)</f>
        <v>0.10759</v>
      </c>
      <c r="F292" s="25" t="n">
        <f aca="false">INDEX(Data_Base!$C$5:$C$28,B292)*(1+INDEX(Assumptions!$B$19:$B$22,MATCH(D292,Assumptions!$A$19:$A$22,0)))*E292</f>
        <v>365.5068998</v>
      </c>
      <c r="G292" s="24" t="n">
        <f aca="false">INDEX(Data_Base!$D$5:$D$28,B292)/INDEX(Data_Base!$C$5:$C$28,B292)</f>
        <v>150.943831191386</v>
      </c>
      <c r="H292" s="27" t="n">
        <f aca="false">IF(A292&gt;=Assumptions!$C$37,INDEX(Assumptions!$B$10:$B$15,MATCH(C292,Assumptions!$A$10:$A$15,0)),0)</f>
        <v>0.015</v>
      </c>
      <c r="I292" s="27" t="n">
        <f aca="false">IF(AND(A292&gt;=Assumptions!$C$37,INDEX(Assumptions!$C$19:$C$22,MATCH(D292,Assumptions!$A$19:$A$22,0))=1),INDEX(Assumptions!$D$10:$D$15,MATCH(C292,Assumptions!$A$10:$A$15,0)),0)</f>
        <v>0</v>
      </c>
      <c r="J292" s="9" t="n">
        <f aca="false">F292*G292*(1+H292)</f>
        <v>55998.5769594385</v>
      </c>
      <c r="K292" s="9" t="n">
        <f aca="false">J292*(1+I292)</f>
        <v>55998.5769594385</v>
      </c>
      <c r="L292" s="24" t="n">
        <f aca="false">INDEX(Data_Base!$E$5:$E$28,B292)/INDEX(Data_Base!$C$5:$C$28,B292)*(1+INDEX(Assumptions!$C$10:$C$15,MATCH(C292,Assumptions!$A$10:$A$15,0)))</f>
        <v>85.2009613754776</v>
      </c>
      <c r="M292" s="9" t="n">
        <f aca="false">F292*L292</f>
        <v>31141.5392523304</v>
      </c>
      <c r="N292" s="24" t="n">
        <f aca="false">INDEX(Data_Base!$F$5:$F$28,B292)/INDEX(Data_Base!$C$5:$C$28,B292)*(1+Assumptions!$C$38)</f>
        <v>11.5446791246961</v>
      </c>
      <c r="O292" s="9" t="n">
        <f aca="false">F292*N292</f>
        <v>4219.65987605344</v>
      </c>
      <c r="P292" s="25" t="n">
        <f aca="false">IF(A292&lt;=3,SUMIFS(Data_Q1!$D$5:$D$76,Data_Q1!$A$5:$A$76,A292,Data_Q1!$B$5:$B$76,C292,Data_Q1!$C$5:$C$76,D292),F292*INDEX(Reforecast!$D$6:$D$9,MATCH(D292,Reforecast!$A$6:$A$9,0)))</f>
        <v>366.366559900884</v>
      </c>
      <c r="Q292" s="9" t="n">
        <f aca="false">IF(A292&lt;=3,SUMIFS(Data_Q1!$E$5:$E$76,Data_Q1!$A$5:$A$76,A292,Data_Q1!$B$5:$B$76,C292,Data_Q1!$C$5:$C$76,D292),P292*G292*(1+H292)*(1+I292))</f>
        <v>56130.2837544256</v>
      </c>
      <c r="R292" s="9" t="n">
        <f aca="false">IF(A292&lt;=3,SUMIFS(Data_Q1!$F$5:$F$76,Data_Q1!$A$5:$A$76,A292,Data_Q1!$B$5:$B$76,C292,Data_Q1!$C$5:$C$76,D292),P292*L292*INDEX(Reforecast!$D$12:$D$17,MATCH(C292,Reforecast!$A$12:$A$17,0)))</f>
        <v>31288.8817399446</v>
      </c>
      <c r="S292" s="9" t="n">
        <f aca="false">IF(A292&lt;=3,SUMIFS(Data_Q1!$G$5:$G$76,Data_Q1!$A$5:$A$76,A292,Data_Q1!$B$5:$B$76,C292,Data_Q1!$C$5:$C$76,D292),P292*N292)</f>
        <v>4229.58437607445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5" customFormat="false" ht="15" hidden="false" customHeight="false" outlineLevel="0" collapsed="false">
      <c r="A5" s="3" t="s">
        <v>21</v>
      </c>
      <c r="B5" s="4" t="s">
        <v>176</v>
      </c>
      <c r="C5" s="18" t="n">
        <f aca="false">COLUMN()-2</f>
        <v>1</v>
      </c>
      <c r="D5" s="18" t="n">
        <f aca="false">COLUMN()-2</f>
        <v>2</v>
      </c>
      <c r="E5" s="18" t="n">
        <f aca="false">COLUMN()-2</f>
        <v>3</v>
      </c>
      <c r="F5" s="18" t="n">
        <f aca="false">COLUMN()-2</f>
        <v>4</v>
      </c>
      <c r="G5" s="18" t="n">
        <f aca="false">COLUMN()-2</f>
        <v>5</v>
      </c>
      <c r="H5" s="18" t="n">
        <f aca="false">COLUMN()-2</f>
        <v>6</v>
      </c>
      <c r="I5" s="18" t="n">
        <f aca="false">COLUMN()-2</f>
        <v>7</v>
      </c>
      <c r="J5" s="18" t="n">
        <f aca="false">COLUMN()-2</f>
        <v>8</v>
      </c>
      <c r="K5" s="18" t="n">
        <f aca="false">COLUMN()-2</f>
        <v>9</v>
      </c>
      <c r="L5" s="18" t="n">
        <f aca="false">COLUMN()-2</f>
        <v>10</v>
      </c>
      <c r="M5" s="18" t="n">
        <f aca="false">COLUMN()-2</f>
        <v>11</v>
      </c>
      <c r="N5" s="18" t="n">
        <f aca="false">COLUMN()-2</f>
        <v>12</v>
      </c>
      <c r="O5" s="5" t="s">
        <v>177</v>
      </c>
    </row>
    <row r="6" customFormat="false" ht="15" hidden="false" customHeight="false" outlineLevel="0" collapsed="false">
      <c r="A6" s="0" t="s">
        <v>59</v>
      </c>
      <c r="B6" s="9" t="n">
        <f aca="false">INDEX(Data_Base!$B$41:$B$44,MATCH($A6,Data_Base!$A$41:$A$44,0))/12*(1+INDEX(Assumptions!$B$26:$B$29,MATCH($A6,Assumptions!$A$26:$A$29,0)))</f>
        <v>207083.188375</v>
      </c>
      <c r="C6" s="9" t="n">
        <f aca="false">$B6+SUMPRODUCT((Assumptions!$A$33:$A$34=$A6)*(Assumptions!$D$33:$D$34&lt;=C$5)*Assumptions!$B$33:$B$34*Assumptions!$C$33:$C$34)/12</f>
        <v>207083.188375</v>
      </c>
      <c r="D6" s="9" t="n">
        <f aca="false">$B6+SUMPRODUCT((Assumptions!$A$33:$A$34=$A6)*(Assumptions!$D$33:$D$34&lt;=D$5)*Assumptions!$B$33:$B$34*Assumptions!$C$33:$C$34)/12</f>
        <v>207083.188375</v>
      </c>
      <c r="E6" s="9" t="n">
        <f aca="false">$B6+SUMPRODUCT((Assumptions!$A$33:$A$34=$A6)*(Assumptions!$D$33:$D$34&lt;=E$5)*Assumptions!$B$33:$B$34*Assumptions!$C$33:$C$34)/12</f>
        <v>207083.188375</v>
      </c>
      <c r="F6" s="9" t="n">
        <f aca="false">$B6+SUMPRODUCT((Assumptions!$A$33:$A$34=$A6)*(Assumptions!$D$33:$D$34&lt;=F$5)*Assumptions!$B$33:$B$34*Assumptions!$C$33:$C$34)/12</f>
        <v>214999.855041667</v>
      </c>
      <c r="G6" s="9" t="n">
        <f aca="false">$B6+SUMPRODUCT((Assumptions!$A$33:$A$34=$A6)*(Assumptions!$D$33:$D$34&lt;=G$5)*Assumptions!$B$33:$B$34*Assumptions!$C$33:$C$34)/12</f>
        <v>214999.855041667</v>
      </c>
      <c r="H6" s="9" t="n">
        <f aca="false">$B6+SUMPRODUCT((Assumptions!$A$33:$A$34=$A6)*(Assumptions!$D$33:$D$34&lt;=H$5)*Assumptions!$B$33:$B$34*Assumptions!$C$33:$C$34)/12</f>
        <v>214999.855041667</v>
      </c>
      <c r="I6" s="9" t="n">
        <f aca="false">$B6+SUMPRODUCT((Assumptions!$A$33:$A$34=$A6)*(Assumptions!$D$33:$D$34&lt;=I$5)*Assumptions!$B$33:$B$34*Assumptions!$C$33:$C$34)/12</f>
        <v>214999.855041667</v>
      </c>
      <c r="J6" s="9" t="n">
        <f aca="false">$B6+SUMPRODUCT((Assumptions!$A$33:$A$34=$A6)*(Assumptions!$D$33:$D$34&lt;=J$5)*Assumptions!$B$33:$B$34*Assumptions!$C$33:$C$34)/12</f>
        <v>214999.855041667</v>
      </c>
      <c r="K6" s="9" t="n">
        <f aca="false">$B6+SUMPRODUCT((Assumptions!$A$33:$A$34=$A6)*(Assumptions!$D$33:$D$34&lt;=K$5)*Assumptions!$B$33:$B$34*Assumptions!$C$33:$C$34)/12</f>
        <v>214999.855041667</v>
      </c>
      <c r="L6" s="9" t="n">
        <f aca="false">$B6+SUMPRODUCT((Assumptions!$A$33:$A$34=$A6)*(Assumptions!$D$33:$D$34&lt;=L$5)*Assumptions!$B$33:$B$34*Assumptions!$C$33:$C$34)/12</f>
        <v>214999.855041667</v>
      </c>
      <c r="M6" s="9" t="n">
        <f aca="false">$B6+SUMPRODUCT((Assumptions!$A$33:$A$34=$A6)*(Assumptions!$D$33:$D$34&lt;=M$5)*Assumptions!$B$33:$B$34*Assumptions!$C$33:$C$34)/12</f>
        <v>214999.855041667</v>
      </c>
      <c r="N6" s="9" t="n">
        <f aca="false">$B6+SUMPRODUCT((Assumptions!$A$33:$A$34=$A6)*(Assumptions!$D$33:$D$34&lt;=N$5)*Assumptions!$B$33:$B$34*Assumptions!$C$33:$C$34)/12</f>
        <v>214999.855041667</v>
      </c>
      <c r="O6" s="22" t="n">
        <f aca="false">SUM(C6:N6)</f>
        <v>2556248.2605</v>
      </c>
    </row>
    <row r="7" customFormat="false" ht="15" hidden="false" customHeight="false" outlineLevel="0" collapsed="false">
      <c r="A7" s="0" t="s">
        <v>60</v>
      </c>
      <c r="B7" s="9" t="n">
        <f aca="false">INDEX(Data_Base!$B$41:$B$44,MATCH($A7,Data_Base!$A$41:$A$44,0))/12*(1+INDEX(Assumptions!$B$26:$B$29,MATCH($A7,Assumptions!$A$26:$A$29,0)))</f>
        <v>308631.660816667</v>
      </c>
      <c r="C7" s="9" t="n">
        <f aca="false">$B7+SUMPRODUCT((Assumptions!$A$33:$A$34=$A7)*(Assumptions!$D$33:$D$34&lt;=C$5)*Assumptions!$B$33:$B$34*Assumptions!$C$33:$C$34)/12</f>
        <v>308631.660816667</v>
      </c>
      <c r="D7" s="9" t="n">
        <f aca="false">$B7+SUMPRODUCT((Assumptions!$A$33:$A$34=$A7)*(Assumptions!$D$33:$D$34&lt;=D$5)*Assumptions!$B$33:$B$34*Assumptions!$C$33:$C$34)/12</f>
        <v>308631.660816667</v>
      </c>
      <c r="E7" s="9" t="n">
        <f aca="false">$B7+SUMPRODUCT((Assumptions!$A$33:$A$34=$A7)*(Assumptions!$D$33:$D$34&lt;=E$5)*Assumptions!$B$33:$B$34*Assumptions!$C$33:$C$34)/12</f>
        <v>319964.99415</v>
      </c>
      <c r="F7" s="9" t="n">
        <f aca="false">$B7+SUMPRODUCT((Assumptions!$A$33:$A$34=$A7)*(Assumptions!$D$33:$D$34&lt;=F$5)*Assumptions!$B$33:$B$34*Assumptions!$C$33:$C$34)/12</f>
        <v>319964.99415</v>
      </c>
      <c r="G7" s="9" t="n">
        <f aca="false">$B7+SUMPRODUCT((Assumptions!$A$33:$A$34=$A7)*(Assumptions!$D$33:$D$34&lt;=G$5)*Assumptions!$B$33:$B$34*Assumptions!$C$33:$C$34)/12</f>
        <v>319964.99415</v>
      </c>
      <c r="H7" s="9" t="n">
        <f aca="false">$B7+SUMPRODUCT((Assumptions!$A$33:$A$34=$A7)*(Assumptions!$D$33:$D$34&lt;=H$5)*Assumptions!$B$33:$B$34*Assumptions!$C$33:$C$34)/12</f>
        <v>319964.99415</v>
      </c>
      <c r="I7" s="9" t="n">
        <f aca="false">$B7+SUMPRODUCT((Assumptions!$A$33:$A$34=$A7)*(Assumptions!$D$33:$D$34&lt;=I$5)*Assumptions!$B$33:$B$34*Assumptions!$C$33:$C$34)/12</f>
        <v>319964.99415</v>
      </c>
      <c r="J7" s="9" t="n">
        <f aca="false">$B7+SUMPRODUCT((Assumptions!$A$33:$A$34=$A7)*(Assumptions!$D$33:$D$34&lt;=J$5)*Assumptions!$B$33:$B$34*Assumptions!$C$33:$C$34)/12</f>
        <v>319964.99415</v>
      </c>
      <c r="K7" s="9" t="n">
        <f aca="false">$B7+SUMPRODUCT((Assumptions!$A$33:$A$34=$A7)*(Assumptions!$D$33:$D$34&lt;=K$5)*Assumptions!$B$33:$B$34*Assumptions!$C$33:$C$34)/12</f>
        <v>319964.99415</v>
      </c>
      <c r="L7" s="9" t="n">
        <f aca="false">$B7+SUMPRODUCT((Assumptions!$A$33:$A$34=$A7)*(Assumptions!$D$33:$D$34&lt;=L$5)*Assumptions!$B$33:$B$34*Assumptions!$C$33:$C$34)/12</f>
        <v>319964.99415</v>
      </c>
      <c r="M7" s="9" t="n">
        <f aca="false">$B7+SUMPRODUCT((Assumptions!$A$33:$A$34=$A7)*(Assumptions!$D$33:$D$34&lt;=M$5)*Assumptions!$B$33:$B$34*Assumptions!$C$33:$C$34)/12</f>
        <v>319964.99415</v>
      </c>
      <c r="N7" s="9" t="n">
        <f aca="false">$B7+SUMPRODUCT((Assumptions!$A$33:$A$34=$A7)*(Assumptions!$D$33:$D$34&lt;=N$5)*Assumptions!$B$33:$B$34*Assumptions!$C$33:$C$34)/12</f>
        <v>319964.99415</v>
      </c>
      <c r="O7" s="22" t="n">
        <f aca="false">SUM(C7:N7)</f>
        <v>3816913.26313333</v>
      </c>
    </row>
    <row r="8" customFormat="false" ht="15" hidden="false" customHeight="false" outlineLevel="0" collapsed="false">
      <c r="A8" s="0" t="s">
        <v>61</v>
      </c>
      <c r="B8" s="9" t="n">
        <f aca="false">INDEX(Data_Base!$B$41:$B$44,MATCH($A8,Data_Base!$A$41:$A$44,0))/12*(1+INDEX(Assumptions!$B$26:$B$29,MATCH($A8,Assumptions!$A$26:$A$29,0)))</f>
        <v>186244.219758333</v>
      </c>
      <c r="C8" s="9" t="n">
        <f aca="false">$B8+SUMPRODUCT((Assumptions!$A$33:$A$34=$A8)*(Assumptions!$D$33:$D$34&lt;=C$5)*Assumptions!$B$33:$B$34*Assumptions!$C$33:$C$34)/12</f>
        <v>186244.219758333</v>
      </c>
      <c r="D8" s="9" t="n">
        <f aca="false">$B8+SUMPRODUCT((Assumptions!$A$33:$A$34=$A8)*(Assumptions!$D$33:$D$34&lt;=D$5)*Assumptions!$B$33:$B$34*Assumptions!$C$33:$C$34)/12</f>
        <v>186244.219758333</v>
      </c>
      <c r="E8" s="9" t="n">
        <f aca="false">$B8+SUMPRODUCT((Assumptions!$A$33:$A$34=$A8)*(Assumptions!$D$33:$D$34&lt;=E$5)*Assumptions!$B$33:$B$34*Assumptions!$C$33:$C$34)/12</f>
        <v>186244.219758333</v>
      </c>
      <c r="F8" s="9" t="n">
        <f aca="false">$B8+SUMPRODUCT((Assumptions!$A$33:$A$34=$A8)*(Assumptions!$D$33:$D$34&lt;=F$5)*Assumptions!$B$33:$B$34*Assumptions!$C$33:$C$34)/12</f>
        <v>186244.219758333</v>
      </c>
      <c r="G8" s="9" t="n">
        <f aca="false">$B8+SUMPRODUCT((Assumptions!$A$33:$A$34=$A8)*(Assumptions!$D$33:$D$34&lt;=G$5)*Assumptions!$B$33:$B$34*Assumptions!$C$33:$C$34)/12</f>
        <v>186244.219758333</v>
      </c>
      <c r="H8" s="9" t="n">
        <f aca="false">$B8+SUMPRODUCT((Assumptions!$A$33:$A$34=$A8)*(Assumptions!$D$33:$D$34&lt;=H$5)*Assumptions!$B$33:$B$34*Assumptions!$C$33:$C$34)/12</f>
        <v>186244.219758333</v>
      </c>
      <c r="I8" s="9" t="n">
        <f aca="false">$B8+SUMPRODUCT((Assumptions!$A$33:$A$34=$A8)*(Assumptions!$D$33:$D$34&lt;=I$5)*Assumptions!$B$33:$B$34*Assumptions!$C$33:$C$34)/12</f>
        <v>186244.219758333</v>
      </c>
      <c r="J8" s="9" t="n">
        <f aca="false">$B8+SUMPRODUCT((Assumptions!$A$33:$A$34=$A8)*(Assumptions!$D$33:$D$34&lt;=J$5)*Assumptions!$B$33:$B$34*Assumptions!$C$33:$C$34)/12</f>
        <v>186244.219758333</v>
      </c>
      <c r="K8" s="9" t="n">
        <f aca="false">$B8+SUMPRODUCT((Assumptions!$A$33:$A$34=$A8)*(Assumptions!$D$33:$D$34&lt;=K$5)*Assumptions!$B$33:$B$34*Assumptions!$C$33:$C$34)/12</f>
        <v>186244.219758333</v>
      </c>
      <c r="L8" s="9" t="n">
        <f aca="false">$B8+SUMPRODUCT((Assumptions!$A$33:$A$34=$A8)*(Assumptions!$D$33:$D$34&lt;=L$5)*Assumptions!$B$33:$B$34*Assumptions!$C$33:$C$34)/12</f>
        <v>186244.219758333</v>
      </c>
      <c r="M8" s="9" t="n">
        <f aca="false">$B8+SUMPRODUCT((Assumptions!$A$33:$A$34=$A8)*(Assumptions!$D$33:$D$34&lt;=M$5)*Assumptions!$B$33:$B$34*Assumptions!$C$33:$C$34)/12</f>
        <v>186244.219758333</v>
      </c>
      <c r="N8" s="9" t="n">
        <f aca="false">$B8+SUMPRODUCT((Assumptions!$A$33:$A$34=$A8)*(Assumptions!$D$33:$D$34&lt;=N$5)*Assumptions!$B$33:$B$34*Assumptions!$C$33:$C$34)/12</f>
        <v>186244.219758333</v>
      </c>
      <c r="O8" s="22" t="n">
        <f aca="false">SUM(C8:N8)</f>
        <v>2234930.6371</v>
      </c>
    </row>
    <row r="9" customFormat="false" ht="15" hidden="false" customHeight="false" outlineLevel="0" collapsed="false">
      <c r="A9" s="0" t="s">
        <v>62</v>
      </c>
      <c r="B9" s="9" t="n">
        <f aca="false">INDEX(Data_Base!$B$41:$B$44,MATCH($A9,Data_Base!$A$41:$A$44,0))/12*(1+INDEX(Assumptions!$B$26:$B$29,MATCH($A9,Assumptions!$A$26:$A$29,0)))</f>
        <v>62291.0241</v>
      </c>
      <c r="C9" s="9" t="n">
        <f aca="false">$B9+SUMPRODUCT((Assumptions!$A$33:$A$34=$A9)*(Assumptions!$D$33:$D$34&lt;=C$5)*Assumptions!$B$33:$B$34*Assumptions!$C$33:$C$34)/12</f>
        <v>62291.0241</v>
      </c>
      <c r="D9" s="9" t="n">
        <f aca="false">$B9+SUMPRODUCT((Assumptions!$A$33:$A$34=$A9)*(Assumptions!$D$33:$D$34&lt;=D$5)*Assumptions!$B$33:$B$34*Assumptions!$C$33:$C$34)/12</f>
        <v>62291.0241</v>
      </c>
      <c r="E9" s="9" t="n">
        <f aca="false">$B9+SUMPRODUCT((Assumptions!$A$33:$A$34=$A9)*(Assumptions!$D$33:$D$34&lt;=E$5)*Assumptions!$B$33:$B$34*Assumptions!$C$33:$C$34)/12</f>
        <v>62291.0241</v>
      </c>
      <c r="F9" s="9" t="n">
        <f aca="false">$B9+SUMPRODUCT((Assumptions!$A$33:$A$34=$A9)*(Assumptions!$D$33:$D$34&lt;=F$5)*Assumptions!$B$33:$B$34*Assumptions!$C$33:$C$34)/12</f>
        <v>62291.0241</v>
      </c>
      <c r="G9" s="9" t="n">
        <f aca="false">$B9+SUMPRODUCT((Assumptions!$A$33:$A$34=$A9)*(Assumptions!$D$33:$D$34&lt;=G$5)*Assumptions!$B$33:$B$34*Assumptions!$C$33:$C$34)/12</f>
        <v>62291.0241</v>
      </c>
      <c r="H9" s="9" t="n">
        <f aca="false">$B9+SUMPRODUCT((Assumptions!$A$33:$A$34=$A9)*(Assumptions!$D$33:$D$34&lt;=H$5)*Assumptions!$B$33:$B$34*Assumptions!$C$33:$C$34)/12</f>
        <v>62291.0241</v>
      </c>
      <c r="I9" s="9" t="n">
        <f aca="false">$B9+SUMPRODUCT((Assumptions!$A$33:$A$34=$A9)*(Assumptions!$D$33:$D$34&lt;=I$5)*Assumptions!$B$33:$B$34*Assumptions!$C$33:$C$34)/12</f>
        <v>62291.0241</v>
      </c>
      <c r="J9" s="9" t="n">
        <f aca="false">$B9+SUMPRODUCT((Assumptions!$A$33:$A$34=$A9)*(Assumptions!$D$33:$D$34&lt;=J$5)*Assumptions!$B$33:$B$34*Assumptions!$C$33:$C$34)/12</f>
        <v>62291.0241</v>
      </c>
      <c r="K9" s="9" t="n">
        <f aca="false">$B9+SUMPRODUCT((Assumptions!$A$33:$A$34=$A9)*(Assumptions!$D$33:$D$34&lt;=K$5)*Assumptions!$B$33:$B$34*Assumptions!$C$33:$C$34)/12</f>
        <v>62291.0241</v>
      </c>
      <c r="L9" s="9" t="n">
        <f aca="false">$B9+SUMPRODUCT((Assumptions!$A$33:$A$34=$A9)*(Assumptions!$D$33:$D$34&lt;=L$5)*Assumptions!$B$33:$B$34*Assumptions!$C$33:$C$34)/12</f>
        <v>62291.0241</v>
      </c>
      <c r="M9" s="9" t="n">
        <f aca="false">$B9+SUMPRODUCT((Assumptions!$A$33:$A$34=$A9)*(Assumptions!$D$33:$D$34&lt;=M$5)*Assumptions!$B$33:$B$34*Assumptions!$C$33:$C$34)/12</f>
        <v>62291.0241</v>
      </c>
      <c r="N9" s="9" t="n">
        <f aca="false">$B9+SUMPRODUCT((Assumptions!$A$33:$A$34=$A9)*(Assumptions!$D$33:$D$34&lt;=N$5)*Assumptions!$B$33:$B$34*Assumptions!$C$33:$C$34)/12</f>
        <v>62291.0241</v>
      </c>
      <c r="O9" s="22" t="n">
        <f aca="false">SUM(C9:N9)</f>
        <v>747492.2892</v>
      </c>
    </row>
    <row r="10" customFormat="false" ht="15" hidden="false" customHeight="false" outlineLevel="0" collapsed="false">
      <c r="A10" s="4" t="s">
        <v>178</v>
      </c>
      <c r="C10" s="22" t="n">
        <f aca="false">SUM(C6:C9)</f>
        <v>764250.09305</v>
      </c>
      <c r="D10" s="22" t="n">
        <f aca="false">SUM(D6:D9)</f>
        <v>764250.09305</v>
      </c>
      <c r="E10" s="22" t="n">
        <f aca="false">SUM(E6:E9)</f>
        <v>775583.426383333</v>
      </c>
      <c r="F10" s="22" t="n">
        <f aca="false">SUM(F6:F9)</f>
        <v>783500.09305</v>
      </c>
      <c r="G10" s="22" t="n">
        <f aca="false">SUM(G6:G9)</f>
        <v>783500.09305</v>
      </c>
      <c r="H10" s="22" t="n">
        <f aca="false">SUM(H6:H9)</f>
        <v>783500.09305</v>
      </c>
      <c r="I10" s="22" t="n">
        <f aca="false">SUM(I6:I9)</f>
        <v>783500.09305</v>
      </c>
      <c r="J10" s="22" t="n">
        <f aca="false">SUM(J6:J9)</f>
        <v>783500.09305</v>
      </c>
      <c r="K10" s="22" t="n">
        <f aca="false">SUM(K6:K9)</f>
        <v>783500.09305</v>
      </c>
      <c r="L10" s="22" t="n">
        <f aca="false">SUM(L6:L9)</f>
        <v>783500.09305</v>
      </c>
      <c r="M10" s="22" t="n">
        <f aca="false">SUM(M6:M9)</f>
        <v>783500.09305</v>
      </c>
      <c r="N10" s="22" t="n">
        <f aca="false">SUM(N6:N9)</f>
        <v>783500.09305</v>
      </c>
      <c r="O10" s="22" t="n">
        <f aca="false">SUM(O6:O9)</f>
        <v>9355584.44993333</v>
      </c>
    </row>
    <row r="12" customFormat="false" ht="15" hidden="false" customHeight="false" outlineLevel="0" collapsed="false">
      <c r="A12" s="3" t="s">
        <v>22</v>
      </c>
      <c r="B12" s="4" t="s">
        <v>176</v>
      </c>
    </row>
    <row r="13" customFormat="false" ht="15" hidden="false" customHeight="false" outlineLevel="0" collapsed="false">
      <c r="A13" s="0" t="s">
        <v>59</v>
      </c>
      <c r="B13" s="9" t="n">
        <f aca="false">INDEX(Data_Base!$B$41:$B$44,MATCH($A13,Data_Base!$A$41:$A$44,0))/12*(1+IF(INDEX(Assumptions!$C$26:$C$29,MATCH($A13,Assumptions!$A$26:$A$29,0))="",INDEX(Assumptions!$B$26:$B$29,MATCH($A13,Assumptions!$A$26:$A$29,0)),MIN(INDEX(Assumptions!$B$26:$B$29,MATCH($A13,Assumptions!$A$26:$A$29,0)),INDEX(Assumptions!$C$26:$C$29,MATCH($A13,Assumptions!$A$26:$A$29,0)))))*(1-N(INDEX(Assumptions!$D$26:$D$29,MATCH($A13,Assumptions!$A$26:$A$29,0))))</f>
        <v>207083.188375</v>
      </c>
      <c r="C13" s="9" t="n">
        <f aca="false">$B13+SUMPRODUCT((Assumptions!$A$33:$A$34=$A13)*(Assumptions!$F$33:$F$34&lt;=C$5)*Assumptions!$B$33:$B$34*Assumptions!$C$33:$C$34)/12</f>
        <v>207083.188375</v>
      </c>
      <c r="D13" s="9" t="n">
        <f aca="false">$B13+SUMPRODUCT((Assumptions!$A$33:$A$34=$A13)*(Assumptions!$F$33:$F$34&lt;=D$5)*Assumptions!$B$33:$B$34*Assumptions!$C$33:$C$34)/12</f>
        <v>207083.188375</v>
      </c>
      <c r="E13" s="9" t="n">
        <f aca="false">$B13+SUMPRODUCT((Assumptions!$A$33:$A$34=$A13)*(Assumptions!$F$33:$F$34&lt;=E$5)*Assumptions!$B$33:$B$34*Assumptions!$C$33:$C$34)/12</f>
        <v>207083.188375</v>
      </c>
      <c r="F13" s="9" t="n">
        <f aca="false">$B13+SUMPRODUCT((Assumptions!$A$33:$A$34=$A13)*(Assumptions!$F$33:$F$34&lt;=F$5)*Assumptions!$B$33:$B$34*Assumptions!$C$33:$C$34)/12</f>
        <v>207083.188375</v>
      </c>
      <c r="G13" s="9" t="n">
        <f aca="false">$B13+SUMPRODUCT((Assumptions!$A$33:$A$34=$A13)*(Assumptions!$F$33:$F$34&lt;=G$5)*Assumptions!$B$33:$B$34*Assumptions!$C$33:$C$34)/12</f>
        <v>207083.188375</v>
      </c>
      <c r="H13" s="9" t="n">
        <f aca="false">$B13+SUMPRODUCT((Assumptions!$A$33:$A$34=$A13)*(Assumptions!$F$33:$F$34&lt;=H$5)*Assumptions!$B$33:$B$34*Assumptions!$C$33:$C$34)/12</f>
        <v>207083.188375</v>
      </c>
      <c r="I13" s="9" t="n">
        <f aca="false">$B13+SUMPRODUCT((Assumptions!$A$33:$A$34=$A13)*(Assumptions!$F$33:$F$34&lt;=I$5)*Assumptions!$B$33:$B$34*Assumptions!$C$33:$C$34)/12</f>
        <v>214999.855041667</v>
      </c>
      <c r="J13" s="9" t="n">
        <f aca="false">$B13+SUMPRODUCT((Assumptions!$A$33:$A$34=$A13)*(Assumptions!$F$33:$F$34&lt;=J$5)*Assumptions!$B$33:$B$34*Assumptions!$C$33:$C$34)/12</f>
        <v>214999.855041667</v>
      </c>
      <c r="K13" s="9" t="n">
        <f aca="false">$B13+SUMPRODUCT((Assumptions!$A$33:$A$34=$A13)*(Assumptions!$F$33:$F$34&lt;=K$5)*Assumptions!$B$33:$B$34*Assumptions!$C$33:$C$34)/12</f>
        <v>214999.855041667</v>
      </c>
      <c r="L13" s="9" t="n">
        <f aca="false">$B13+SUMPRODUCT((Assumptions!$A$33:$A$34=$A13)*(Assumptions!$F$33:$F$34&lt;=L$5)*Assumptions!$B$33:$B$34*Assumptions!$C$33:$C$34)/12</f>
        <v>214999.855041667</v>
      </c>
      <c r="M13" s="9" t="n">
        <f aca="false">$B13+SUMPRODUCT((Assumptions!$A$33:$A$34=$A13)*(Assumptions!$F$33:$F$34&lt;=M$5)*Assumptions!$B$33:$B$34*Assumptions!$C$33:$C$34)/12</f>
        <v>214999.855041667</v>
      </c>
      <c r="N13" s="9" t="n">
        <f aca="false">$B13+SUMPRODUCT((Assumptions!$A$33:$A$34=$A13)*(Assumptions!$F$33:$F$34&lt;=N$5)*Assumptions!$B$33:$B$34*Assumptions!$C$33:$C$34)/12</f>
        <v>214999.855041667</v>
      </c>
      <c r="O13" s="22" t="n">
        <f aca="false">SUM(C13:N13)</f>
        <v>2532498.2605</v>
      </c>
    </row>
    <row r="14" customFormat="false" ht="15" hidden="false" customHeight="false" outlineLevel="0" collapsed="false">
      <c r="A14" s="0" t="s">
        <v>60</v>
      </c>
      <c r="B14" s="9" t="n">
        <f aca="false">INDEX(Data_Base!$B$41:$B$44,MATCH($A14,Data_Base!$A$41:$A$44,0))/12*(1+IF(INDEX(Assumptions!$C$26:$C$29,MATCH($A14,Assumptions!$A$26:$A$29,0))="",INDEX(Assumptions!$B$26:$B$29,MATCH($A14,Assumptions!$A$26:$A$29,0)),MIN(INDEX(Assumptions!$B$26:$B$29,MATCH($A14,Assumptions!$A$26:$A$29,0)),INDEX(Assumptions!$C$26:$C$29,MATCH($A14,Assumptions!$A$26:$A$29,0)))))*(1-N(INDEX(Assumptions!$D$26:$D$29,MATCH($A14,Assumptions!$A$26:$A$29,0))))</f>
        <v>299372.710992167</v>
      </c>
      <c r="C14" s="9" t="n">
        <f aca="false">$B14+SUMPRODUCT((Assumptions!$A$33:$A$34=$A14)*(Assumptions!$F$33:$F$34&lt;=C$5)*Assumptions!$B$33:$B$34*Assumptions!$C$33:$C$34)/12</f>
        <v>299372.710992167</v>
      </c>
      <c r="D14" s="9" t="n">
        <f aca="false">$B14+SUMPRODUCT((Assumptions!$A$33:$A$34=$A14)*(Assumptions!$F$33:$F$34&lt;=D$5)*Assumptions!$B$33:$B$34*Assumptions!$C$33:$C$34)/12</f>
        <v>299372.710992167</v>
      </c>
      <c r="E14" s="9" t="n">
        <f aca="false">$B14+SUMPRODUCT((Assumptions!$A$33:$A$34=$A14)*(Assumptions!$F$33:$F$34&lt;=E$5)*Assumptions!$B$33:$B$34*Assumptions!$C$33:$C$34)/12</f>
        <v>310706.0443255</v>
      </c>
      <c r="F14" s="9" t="n">
        <f aca="false">$B14+SUMPRODUCT((Assumptions!$A$33:$A$34=$A14)*(Assumptions!$F$33:$F$34&lt;=F$5)*Assumptions!$B$33:$B$34*Assumptions!$C$33:$C$34)/12</f>
        <v>310706.0443255</v>
      </c>
      <c r="G14" s="9" t="n">
        <f aca="false">$B14+SUMPRODUCT((Assumptions!$A$33:$A$34=$A14)*(Assumptions!$F$33:$F$34&lt;=G$5)*Assumptions!$B$33:$B$34*Assumptions!$C$33:$C$34)/12</f>
        <v>310706.0443255</v>
      </c>
      <c r="H14" s="9" t="n">
        <f aca="false">$B14+SUMPRODUCT((Assumptions!$A$33:$A$34=$A14)*(Assumptions!$F$33:$F$34&lt;=H$5)*Assumptions!$B$33:$B$34*Assumptions!$C$33:$C$34)/12</f>
        <v>310706.0443255</v>
      </c>
      <c r="I14" s="9" t="n">
        <f aca="false">$B14+SUMPRODUCT((Assumptions!$A$33:$A$34=$A14)*(Assumptions!$F$33:$F$34&lt;=I$5)*Assumptions!$B$33:$B$34*Assumptions!$C$33:$C$34)/12</f>
        <v>310706.0443255</v>
      </c>
      <c r="J14" s="9" t="n">
        <f aca="false">$B14+SUMPRODUCT((Assumptions!$A$33:$A$34=$A14)*(Assumptions!$F$33:$F$34&lt;=J$5)*Assumptions!$B$33:$B$34*Assumptions!$C$33:$C$34)/12</f>
        <v>310706.0443255</v>
      </c>
      <c r="K14" s="9" t="n">
        <f aca="false">$B14+SUMPRODUCT((Assumptions!$A$33:$A$34=$A14)*(Assumptions!$F$33:$F$34&lt;=K$5)*Assumptions!$B$33:$B$34*Assumptions!$C$33:$C$34)/12</f>
        <v>310706.0443255</v>
      </c>
      <c r="L14" s="9" t="n">
        <f aca="false">$B14+SUMPRODUCT((Assumptions!$A$33:$A$34=$A14)*(Assumptions!$F$33:$F$34&lt;=L$5)*Assumptions!$B$33:$B$34*Assumptions!$C$33:$C$34)/12</f>
        <v>310706.0443255</v>
      </c>
      <c r="M14" s="9" t="n">
        <f aca="false">$B14+SUMPRODUCT((Assumptions!$A$33:$A$34=$A14)*(Assumptions!$F$33:$F$34&lt;=M$5)*Assumptions!$B$33:$B$34*Assumptions!$C$33:$C$34)/12</f>
        <v>310706.0443255</v>
      </c>
      <c r="N14" s="9" t="n">
        <f aca="false">$B14+SUMPRODUCT((Assumptions!$A$33:$A$34=$A14)*(Assumptions!$F$33:$F$34&lt;=N$5)*Assumptions!$B$33:$B$34*Assumptions!$C$33:$C$34)/12</f>
        <v>310706.0443255</v>
      </c>
      <c r="O14" s="22" t="n">
        <f aca="false">SUM(C14:N14)</f>
        <v>3705805.86523933</v>
      </c>
    </row>
    <row r="15" customFormat="false" ht="15" hidden="false" customHeight="false" outlineLevel="0" collapsed="false">
      <c r="A15" s="0" t="s">
        <v>61</v>
      </c>
      <c r="B15" s="9" t="n">
        <f aca="false">INDEX(Data_Base!$B$41:$B$44,MATCH($A15,Data_Base!$A$41:$A$44,0))/12*(1+IF(INDEX(Assumptions!$C$26:$C$29,MATCH($A15,Assumptions!$A$26:$A$29,0))="",INDEX(Assumptions!$B$26:$B$29,MATCH($A15,Assumptions!$A$26:$A$29,0)),MIN(INDEX(Assumptions!$B$26:$B$29,MATCH($A15,Assumptions!$A$26:$A$29,0)),INDEX(Assumptions!$C$26:$C$29,MATCH($A15,Assumptions!$A$26:$A$29,0)))))*(1-N(INDEX(Assumptions!$D$26:$D$29,MATCH($A15,Assumptions!$A$26:$A$29,0))))</f>
        <v>186244.219758333</v>
      </c>
      <c r="C15" s="9" t="n">
        <f aca="false">$B15+SUMPRODUCT((Assumptions!$A$33:$A$34=$A15)*(Assumptions!$F$33:$F$34&lt;=C$5)*Assumptions!$B$33:$B$34*Assumptions!$C$33:$C$34)/12</f>
        <v>186244.219758333</v>
      </c>
      <c r="D15" s="9" t="n">
        <f aca="false">$B15+SUMPRODUCT((Assumptions!$A$33:$A$34=$A15)*(Assumptions!$F$33:$F$34&lt;=D$5)*Assumptions!$B$33:$B$34*Assumptions!$C$33:$C$34)/12</f>
        <v>186244.219758333</v>
      </c>
      <c r="E15" s="9" t="n">
        <f aca="false">$B15+SUMPRODUCT((Assumptions!$A$33:$A$34=$A15)*(Assumptions!$F$33:$F$34&lt;=E$5)*Assumptions!$B$33:$B$34*Assumptions!$C$33:$C$34)/12</f>
        <v>186244.219758333</v>
      </c>
      <c r="F15" s="9" t="n">
        <f aca="false">$B15+SUMPRODUCT((Assumptions!$A$33:$A$34=$A15)*(Assumptions!$F$33:$F$34&lt;=F$5)*Assumptions!$B$33:$B$34*Assumptions!$C$33:$C$34)/12</f>
        <v>186244.219758333</v>
      </c>
      <c r="G15" s="9" t="n">
        <f aca="false">$B15+SUMPRODUCT((Assumptions!$A$33:$A$34=$A15)*(Assumptions!$F$33:$F$34&lt;=G$5)*Assumptions!$B$33:$B$34*Assumptions!$C$33:$C$34)/12</f>
        <v>186244.219758333</v>
      </c>
      <c r="H15" s="9" t="n">
        <f aca="false">$B15+SUMPRODUCT((Assumptions!$A$33:$A$34=$A15)*(Assumptions!$F$33:$F$34&lt;=H$5)*Assumptions!$B$33:$B$34*Assumptions!$C$33:$C$34)/12</f>
        <v>186244.219758333</v>
      </c>
      <c r="I15" s="9" t="n">
        <f aca="false">$B15+SUMPRODUCT((Assumptions!$A$33:$A$34=$A15)*(Assumptions!$F$33:$F$34&lt;=I$5)*Assumptions!$B$33:$B$34*Assumptions!$C$33:$C$34)/12</f>
        <v>186244.219758333</v>
      </c>
      <c r="J15" s="9" t="n">
        <f aca="false">$B15+SUMPRODUCT((Assumptions!$A$33:$A$34=$A15)*(Assumptions!$F$33:$F$34&lt;=J$5)*Assumptions!$B$33:$B$34*Assumptions!$C$33:$C$34)/12</f>
        <v>186244.219758333</v>
      </c>
      <c r="K15" s="9" t="n">
        <f aca="false">$B15+SUMPRODUCT((Assumptions!$A$33:$A$34=$A15)*(Assumptions!$F$33:$F$34&lt;=K$5)*Assumptions!$B$33:$B$34*Assumptions!$C$33:$C$34)/12</f>
        <v>186244.219758333</v>
      </c>
      <c r="L15" s="9" t="n">
        <f aca="false">$B15+SUMPRODUCT((Assumptions!$A$33:$A$34=$A15)*(Assumptions!$F$33:$F$34&lt;=L$5)*Assumptions!$B$33:$B$34*Assumptions!$C$33:$C$34)/12</f>
        <v>186244.219758333</v>
      </c>
      <c r="M15" s="9" t="n">
        <f aca="false">$B15+SUMPRODUCT((Assumptions!$A$33:$A$34=$A15)*(Assumptions!$F$33:$F$34&lt;=M$5)*Assumptions!$B$33:$B$34*Assumptions!$C$33:$C$34)/12</f>
        <v>186244.219758333</v>
      </c>
      <c r="N15" s="9" t="n">
        <f aca="false">$B15+SUMPRODUCT((Assumptions!$A$33:$A$34=$A15)*(Assumptions!$F$33:$F$34&lt;=N$5)*Assumptions!$B$33:$B$34*Assumptions!$C$33:$C$34)/12</f>
        <v>186244.219758333</v>
      </c>
      <c r="O15" s="22" t="n">
        <f aca="false">SUM(C15:N15)</f>
        <v>2234930.6371</v>
      </c>
    </row>
    <row r="16" customFormat="false" ht="15" hidden="false" customHeight="false" outlineLevel="0" collapsed="false">
      <c r="A16" s="0" t="s">
        <v>62</v>
      </c>
      <c r="B16" s="9" t="n">
        <f aca="false">INDEX(Data_Base!$B$41:$B$44,MATCH($A16,Data_Base!$A$41:$A$44,0))/12*(1+IF(INDEX(Assumptions!$C$26:$C$29,MATCH($A16,Assumptions!$A$26:$A$29,0))="",INDEX(Assumptions!$B$26:$B$29,MATCH($A16,Assumptions!$A$26:$A$29,0)),MIN(INDEX(Assumptions!$B$26:$B$29,MATCH($A16,Assumptions!$A$26:$A$29,0)),INDEX(Assumptions!$C$26:$C$29,MATCH($A16,Assumptions!$A$26:$A$29,0)))))*(1-N(INDEX(Assumptions!$D$26:$D$29,MATCH($A16,Assumptions!$A$26:$A$29,0))))</f>
        <v>60560.717875</v>
      </c>
      <c r="C16" s="9" t="n">
        <f aca="false">$B16+SUMPRODUCT((Assumptions!$A$33:$A$34=$A16)*(Assumptions!$F$33:$F$34&lt;=C$5)*Assumptions!$B$33:$B$34*Assumptions!$C$33:$C$34)/12</f>
        <v>60560.717875</v>
      </c>
      <c r="D16" s="9" t="n">
        <f aca="false">$B16+SUMPRODUCT((Assumptions!$A$33:$A$34=$A16)*(Assumptions!$F$33:$F$34&lt;=D$5)*Assumptions!$B$33:$B$34*Assumptions!$C$33:$C$34)/12</f>
        <v>60560.717875</v>
      </c>
      <c r="E16" s="9" t="n">
        <f aca="false">$B16+SUMPRODUCT((Assumptions!$A$33:$A$34=$A16)*(Assumptions!$F$33:$F$34&lt;=E$5)*Assumptions!$B$33:$B$34*Assumptions!$C$33:$C$34)/12</f>
        <v>60560.717875</v>
      </c>
      <c r="F16" s="9" t="n">
        <f aca="false">$B16+SUMPRODUCT((Assumptions!$A$33:$A$34=$A16)*(Assumptions!$F$33:$F$34&lt;=F$5)*Assumptions!$B$33:$B$34*Assumptions!$C$33:$C$34)/12</f>
        <v>60560.717875</v>
      </c>
      <c r="G16" s="9" t="n">
        <f aca="false">$B16+SUMPRODUCT((Assumptions!$A$33:$A$34=$A16)*(Assumptions!$F$33:$F$34&lt;=G$5)*Assumptions!$B$33:$B$34*Assumptions!$C$33:$C$34)/12</f>
        <v>60560.717875</v>
      </c>
      <c r="H16" s="9" t="n">
        <f aca="false">$B16+SUMPRODUCT((Assumptions!$A$33:$A$34=$A16)*(Assumptions!$F$33:$F$34&lt;=H$5)*Assumptions!$B$33:$B$34*Assumptions!$C$33:$C$34)/12</f>
        <v>60560.717875</v>
      </c>
      <c r="I16" s="9" t="n">
        <f aca="false">$B16+SUMPRODUCT((Assumptions!$A$33:$A$34=$A16)*(Assumptions!$F$33:$F$34&lt;=I$5)*Assumptions!$B$33:$B$34*Assumptions!$C$33:$C$34)/12</f>
        <v>60560.717875</v>
      </c>
      <c r="J16" s="9" t="n">
        <f aca="false">$B16+SUMPRODUCT((Assumptions!$A$33:$A$34=$A16)*(Assumptions!$F$33:$F$34&lt;=J$5)*Assumptions!$B$33:$B$34*Assumptions!$C$33:$C$34)/12</f>
        <v>60560.717875</v>
      </c>
      <c r="K16" s="9" t="n">
        <f aca="false">$B16+SUMPRODUCT((Assumptions!$A$33:$A$34=$A16)*(Assumptions!$F$33:$F$34&lt;=K$5)*Assumptions!$B$33:$B$34*Assumptions!$C$33:$C$34)/12</f>
        <v>60560.717875</v>
      </c>
      <c r="L16" s="9" t="n">
        <f aca="false">$B16+SUMPRODUCT((Assumptions!$A$33:$A$34=$A16)*(Assumptions!$F$33:$F$34&lt;=L$5)*Assumptions!$B$33:$B$34*Assumptions!$C$33:$C$34)/12</f>
        <v>60560.717875</v>
      </c>
      <c r="M16" s="9" t="n">
        <f aca="false">$B16+SUMPRODUCT((Assumptions!$A$33:$A$34=$A16)*(Assumptions!$F$33:$F$34&lt;=M$5)*Assumptions!$B$33:$B$34*Assumptions!$C$33:$C$34)/12</f>
        <v>60560.717875</v>
      </c>
      <c r="N16" s="9" t="n">
        <f aca="false">$B16+SUMPRODUCT((Assumptions!$A$33:$A$34=$A16)*(Assumptions!$F$33:$F$34&lt;=N$5)*Assumptions!$B$33:$B$34*Assumptions!$C$33:$C$34)/12</f>
        <v>60560.717875</v>
      </c>
      <c r="O16" s="22" t="n">
        <f aca="false">SUM(C16:N16)</f>
        <v>726728.6145</v>
      </c>
    </row>
    <row r="17" customFormat="false" ht="15" hidden="false" customHeight="false" outlineLevel="0" collapsed="false">
      <c r="A17" s="4" t="s">
        <v>179</v>
      </c>
      <c r="C17" s="22" t="n">
        <f aca="false">SUM(C13:C16)</f>
        <v>753260.8370005</v>
      </c>
      <c r="D17" s="22" t="n">
        <f aca="false">SUM(D13:D16)</f>
        <v>753260.8370005</v>
      </c>
      <c r="E17" s="22" t="n">
        <f aca="false">SUM(E13:E16)</f>
        <v>764594.170333833</v>
      </c>
      <c r="F17" s="22" t="n">
        <f aca="false">SUM(F13:F16)</f>
        <v>764594.170333833</v>
      </c>
      <c r="G17" s="22" t="n">
        <f aca="false">SUM(G13:G16)</f>
        <v>764594.170333833</v>
      </c>
      <c r="H17" s="22" t="n">
        <f aca="false">SUM(H13:H16)</f>
        <v>764594.170333833</v>
      </c>
      <c r="I17" s="22" t="n">
        <f aca="false">SUM(I13:I16)</f>
        <v>772510.8370005</v>
      </c>
      <c r="J17" s="22" t="n">
        <f aca="false">SUM(J13:J16)</f>
        <v>772510.8370005</v>
      </c>
      <c r="K17" s="22" t="n">
        <f aca="false">SUM(K13:K16)</f>
        <v>772510.8370005</v>
      </c>
      <c r="L17" s="22" t="n">
        <f aca="false">SUM(L13:L16)</f>
        <v>772510.8370005</v>
      </c>
      <c r="M17" s="22" t="n">
        <f aca="false">SUM(M13:M16)</f>
        <v>772510.8370005</v>
      </c>
      <c r="N17" s="22" t="n">
        <f aca="false">SUM(N13:N16)</f>
        <v>772510.8370005</v>
      </c>
      <c r="O17" s="22" t="n">
        <f aca="false">SUM(O13:O16)</f>
        <v>9199963.37733933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3" customFormat="false" ht="15" hidden="false" customHeight="false" outlineLevel="0" collapsed="false">
      <c r="A3" s="0" t="s">
        <v>182</v>
      </c>
    </row>
    <row r="4" customFormat="false" ht="15" hidden="false" customHeight="false" outlineLevel="0" collapsed="false">
      <c r="A4" s="6" t="s">
        <v>36</v>
      </c>
      <c r="B4" s="6" t="s">
        <v>47</v>
      </c>
      <c r="C4" s="6" t="s">
        <v>162</v>
      </c>
      <c r="D4" s="6" t="s">
        <v>16</v>
      </c>
      <c r="E4" s="6" t="s">
        <v>89</v>
      </c>
      <c r="F4" s="6" t="s">
        <v>90</v>
      </c>
    </row>
    <row r="5" customFormat="false" ht="15" hidden="false" customHeight="false" outlineLevel="0" collapsed="false">
      <c r="A5" s="0" t="s">
        <v>40</v>
      </c>
      <c r="B5" s="0" t="s">
        <v>50</v>
      </c>
      <c r="C5" s="9" t="n">
        <v>30330</v>
      </c>
      <c r="D5" s="9" t="n">
        <v>5946419.5</v>
      </c>
      <c r="E5" s="9" t="n">
        <v>4537406.55</v>
      </c>
      <c r="F5" s="9" t="n">
        <v>79426.71</v>
      </c>
    </row>
    <row r="6" customFormat="false" ht="15" hidden="false" customHeight="false" outlineLevel="0" collapsed="false">
      <c r="A6" s="0" t="s">
        <v>40</v>
      </c>
      <c r="B6" s="0" t="s">
        <v>51</v>
      </c>
      <c r="C6" s="9" t="n">
        <v>23267</v>
      </c>
      <c r="D6" s="9" t="n">
        <v>3970437.35</v>
      </c>
      <c r="E6" s="9" t="n">
        <v>3490187</v>
      </c>
      <c r="F6" s="9" t="n">
        <v>60760.51</v>
      </c>
    </row>
    <row r="7" customFormat="false" ht="15" hidden="false" customHeight="false" outlineLevel="0" collapsed="false">
      <c r="A7" s="0" t="s">
        <v>40</v>
      </c>
      <c r="B7" s="0" t="s">
        <v>52</v>
      </c>
      <c r="C7" s="9" t="n">
        <v>12425</v>
      </c>
      <c r="D7" s="9" t="n">
        <v>2315741.38</v>
      </c>
      <c r="E7" s="9" t="n">
        <v>1860564.17</v>
      </c>
      <c r="F7" s="9" t="n">
        <v>32564.33</v>
      </c>
    </row>
    <row r="8" customFormat="false" ht="15" hidden="false" customHeight="false" outlineLevel="0" collapsed="false">
      <c r="A8" s="0" t="s">
        <v>40</v>
      </c>
      <c r="B8" s="0" t="s">
        <v>53</v>
      </c>
      <c r="C8" s="9" t="n">
        <v>5522</v>
      </c>
      <c r="D8" s="9" t="n">
        <v>1216631.26</v>
      </c>
      <c r="E8" s="9" t="n">
        <v>828771.37</v>
      </c>
      <c r="F8" s="9" t="n">
        <v>61300.5</v>
      </c>
    </row>
    <row r="9" customFormat="false" ht="15" hidden="false" customHeight="false" outlineLevel="0" collapsed="false">
      <c r="A9" s="0" t="s">
        <v>41</v>
      </c>
      <c r="B9" s="0" t="s">
        <v>50</v>
      </c>
      <c r="C9" s="9" t="n">
        <v>27166</v>
      </c>
      <c r="D9" s="9" t="n">
        <v>3348735.99</v>
      </c>
      <c r="E9" s="9" t="n">
        <v>2340919.66</v>
      </c>
      <c r="F9" s="9" t="n">
        <v>70780.49</v>
      </c>
    </row>
    <row r="10" customFormat="false" ht="15" hidden="false" customHeight="false" outlineLevel="0" collapsed="false">
      <c r="A10" s="0" t="s">
        <v>41</v>
      </c>
      <c r="B10" s="0" t="s">
        <v>51</v>
      </c>
      <c r="C10" s="9" t="n">
        <v>20788</v>
      </c>
      <c r="D10" s="9" t="n">
        <v>2231026.66</v>
      </c>
      <c r="E10" s="9" t="n">
        <v>1792339.3</v>
      </c>
      <c r="F10" s="9" t="n">
        <v>54279.46</v>
      </c>
    </row>
    <row r="11" customFormat="false" ht="15" hidden="false" customHeight="false" outlineLevel="0" collapsed="false">
      <c r="A11" s="0" t="s">
        <v>41</v>
      </c>
      <c r="B11" s="0" t="s">
        <v>52</v>
      </c>
      <c r="C11" s="9" t="n">
        <v>11135</v>
      </c>
      <c r="D11" s="9" t="n">
        <v>1305772.87</v>
      </c>
      <c r="E11" s="9" t="n">
        <v>959160.35</v>
      </c>
      <c r="F11" s="9" t="n">
        <v>29075.01</v>
      </c>
    </row>
    <row r="12" customFormat="false" ht="15" hidden="false" customHeight="false" outlineLevel="0" collapsed="false">
      <c r="A12" s="0" t="s">
        <v>41</v>
      </c>
      <c r="B12" s="0" t="s">
        <v>53</v>
      </c>
      <c r="C12" s="9" t="n">
        <v>4933</v>
      </c>
      <c r="D12" s="9" t="n">
        <v>680424.01</v>
      </c>
      <c r="E12" s="9" t="n">
        <v>425191.97</v>
      </c>
      <c r="F12" s="9" t="n">
        <v>54906.7</v>
      </c>
    </row>
    <row r="13" customFormat="false" ht="15" hidden="false" customHeight="false" outlineLevel="0" collapsed="false">
      <c r="A13" s="0" t="s">
        <v>42</v>
      </c>
      <c r="B13" s="0" t="s">
        <v>50</v>
      </c>
      <c r="C13" s="9" t="n">
        <v>38384</v>
      </c>
      <c r="D13" s="9" t="n">
        <v>4189810.62</v>
      </c>
      <c r="E13" s="9" t="n">
        <v>3011463.81</v>
      </c>
      <c r="F13" s="9" t="n">
        <v>100453.05</v>
      </c>
    </row>
    <row r="14" customFormat="false" ht="15" hidden="false" customHeight="false" outlineLevel="0" collapsed="false">
      <c r="A14" s="0" t="s">
        <v>42</v>
      </c>
      <c r="B14" s="0" t="s">
        <v>51</v>
      </c>
      <c r="C14" s="9" t="n">
        <v>29199</v>
      </c>
      <c r="D14" s="9" t="n">
        <v>2773633.34</v>
      </c>
      <c r="E14" s="9" t="n">
        <v>2293506.77</v>
      </c>
      <c r="F14" s="9" t="n">
        <v>76288.24</v>
      </c>
    </row>
    <row r="15" customFormat="false" ht="15" hidden="false" customHeight="false" outlineLevel="0" collapsed="false">
      <c r="A15" s="0" t="s">
        <v>42</v>
      </c>
      <c r="B15" s="0" t="s">
        <v>52</v>
      </c>
      <c r="C15" s="9" t="n">
        <v>15694</v>
      </c>
      <c r="D15" s="9" t="n">
        <v>1624699.59</v>
      </c>
      <c r="E15" s="9" t="n">
        <v>1229499.08</v>
      </c>
      <c r="F15" s="9" t="n">
        <v>40948.35</v>
      </c>
    </row>
    <row r="16" customFormat="false" ht="15" hidden="false" customHeight="false" outlineLevel="0" collapsed="false">
      <c r="A16" s="0" t="s">
        <v>42</v>
      </c>
      <c r="B16" s="0" t="s">
        <v>53</v>
      </c>
      <c r="C16" s="9" t="n">
        <v>6968</v>
      </c>
      <c r="D16" s="9" t="n">
        <v>851881.49</v>
      </c>
      <c r="E16" s="9" t="n">
        <v>546396.43</v>
      </c>
      <c r="F16" s="9" t="n">
        <v>77493.11</v>
      </c>
    </row>
    <row r="17" customFormat="false" ht="15" hidden="false" customHeight="false" outlineLevel="0" collapsed="false">
      <c r="A17" s="0" t="s">
        <v>43</v>
      </c>
      <c r="B17" s="0" t="s">
        <v>50</v>
      </c>
      <c r="C17" s="9" t="n">
        <v>13756</v>
      </c>
      <c r="D17" s="9" t="n">
        <v>2809002.68</v>
      </c>
      <c r="E17" s="9" t="n">
        <v>2068943.62</v>
      </c>
      <c r="F17" s="9" t="n">
        <v>36043.3</v>
      </c>
    </row>
    <row r="18" customFormat="false" ht="15" hidden="false" customHeight="false" outlineLevel="0" collapsed="false">
      <c r="A18" s="0" t="s">
        <v>43</v>
      </c>
      <c r="B18" s="0" t="s">
        <v>51</v>
      </c>
      <c r="C18" s="9" t="n">
        <v>10554</v>
      </c>
      <c r="D18" s="9" t="n">
        <v>1880409.11</v>
      </c>
      <c r="E18" s="9" t="n">
        <v>1588200.07</v>
      </c>
      <c r="F18" s="9" t="n">
        <v>27705.19</v>
      </c>
    </row>
    <row r="19" customFormat="false" ht="15" hidden="false" customHeight="false" outlineLevel="0" collapsed="false">
      <c r="A19" s="0" t="s">
        <v>43</v>
      </c>
      <c r="B19" s="0" t="s">
        <v>52</v>
      </c>
      <c r="C19" s="9" t="n">
        <v>5596</v>
      </c>
      <c r="D19" s="9" t="n">
        <v>1086930.71</v>
      </c>
      <c r="E19" s="9" t="n">
        <v>842790.5</v>
      </c>
      <c r="F19" s="9" t="n">
        <v>14695.93</v>
      </c>
    </row>
    <row r="20" customFormat="false" ht="15" hidden="false" customHeight="false" outlineLevel="0" collapsed="false">
      <c r="A20" s="0" t="s">
        <v>43</v>
      </c>
      <c r="B20" s="0" t="s">
        <v>53</v>
      </c>
      <c r="C20" s="9" t="n">
        <v>2485</v>
      </c>
      <c r="D20" s="9" t="n">
        <v>569514</v>
      </c>
      <c r="E20" s="9" t="n">
        <v>374204.69</v>
      </c>
      <c r="F20" s="9" t="n">
        <v>27648.14</v>
      </c>
    </row>
    <row r="21" customFormat="false" ht="15" hidden="false" customHeight="false" outlineLevel="0" collapsed="false">
      <c r="A21" s="0" t="s">
        <v>44</v>
      </c>
      <c r="B21" s="0" t="s">
        <v>50</v>
      </c>
      <c r="C21" s="9" t="n">
        <v>11393</v>
      </c>
      <c r="D21" s="9" t="n">
        <v>1889138.44</v>
      </c>
      <c r="E21" s="9" t="n">
        <v>1094571.64</v>
      </c>
      <c r="F21" s="9" t="n">
        <v>29615.8</v>
      </c>
    </row>
    <row r="22" customFormat="false" ht="15" hidden="false" customHeight="false" outlineLevel="0" collapsed="false">
      <c r="A22" s="0" t="s">
        <v>44</v>
      </c>
      <c r="B22" s="0" t="s">
        <v>51</v>
      </c>
      <c r="C22" s="9" t="n">
        <v>8592</v>
      </c>
      <c r="D22" s="9" t="n">
        <v>1239804.36</v>
      </c>
      <c r="E22" s="9" t="n">
        <v>825602.96</v>
      </c>
      <c r="F22" s="9" t="n">
        <v>22384.43</v>
      </c>
    </row>
    <row r="23" customFormat="false" ht="15" hidden="false" customHeight="false" outlineLevel="0" collapsed="false">
      <c r="A23" s="0" t="s">
        <v>44</v>
      </c>
      <c r="B23" s="0" t="s">
        <v>52</v>
      </c>
      <c r="C23" s="9" t="n">
        <v>4688</v>
      </c>
      <c r="D23" s="9" t="n">
        <v>736506.36</v>
      </c>
      <c r="E23" s="9" t="n">
        <v>449723.73</v>
      </c>
      <c r="F23" s="9" t="n">
        <v>12207.03</v>
      </c>
    </row>
    <row r="24" customFormat="false" ht="15" hidden="false" customHeight="false" outlineLevel="0" collapsed="false">
      <c r="A24" s="0" t="s">
        <v>44</v>
      </c>
      <c r="B24" s="0" t="s">
        <v>53</v>
      </c>
      <c r="C24" s="9" t="n">
        <v>2072</v>
      </c>
      <c r="D24" s="9" t="n">
        <v>384012.49</v>
      </c>
      <c r="E24" s="9" t="n">
        <v>198847.2</v>
      </c>
      <c r="F24" s="9" t="n">
        <v>23028.45</v>
      </c>
    </row>
    <row r="25" customFormat="false" ht="15" hidden="false" customHeight="false" outlineLevel="0" collapsed="false">
      <c r="A25" s="0" t="s">
        <v>45</v>
      </c>
      <c r="B25" s="0" t="s">
        <v>50</v>
      </c>
      <c r="C25" s="9" t="n">
        <v>15956</v>
      </c>
      <c r="D25" s="9" t="n">
        <v>2147184.96</v>
      </c>
      <c r="E25" s="9" t="n">
        <v>1331395.39</v>
      </c>
      <c r="F25" s="9" t="n">
        <v>41567.04</v>
      </c>
    </row>
    <row r="26" customFormat="false" ht="15" hidden="false" customHeight="false" outlineLevel="0" collapsed="false">
      <c r="A26" s="0" t="s">
        <v>45</v>
      </c>
      <c r="B26" s="0" t="s">
        <v>51</v>
      </c>
      <c r="C26" s="9" t="n">
        <v>12069</v>
      </c>
      <c r="D26" s="9" t="n">
        <v>1412634.42</v>
      </c>
      <c r="E26" s="9" t="n">
        <v>1008966.15</v>
      </c>
      <c r="F26" s="9" t="n">
        <v>31612.06</v>
      </c>
    </row>
    <row r="27" customFormat="false" ht="15" hidden="false" customHeight="false" outlineLevel="0" collapsed="false">
      <c r="A27" s="0" t="s">
        <v>45</v>
      </c>
      <c r="B27" s="0" t="s">
        <v>52</v>
      </c>
      <c r="C27" s="9" t="n">
        <v>6513</v>
      </c>
      <c r="D27" s="9" t="n">
        <v>834030.59</v>
      </c>
      <c r="E27" s="9" t="n">
        <v>544074.93</v>
      </c>
      <c r="F27" s="9" t="n">
        <v>16944.73</v>
      </c>
    </row>
    <row r="28" customFormat="false" ht="15" hidden="false" customHeight="false" outlineLevel="0" collapsed="false">
      <c r="A28" s="0" t="s">
        <v>45</v>
      </c>
      <c r="B28" s="0" t="s">
        <v>53</v>
      </c>
      <c r="C28" s="9" t="n">
        <v>2879</v>
      </c>
      <c r="D28" s="9" t="n">
        <v>434567.29</v>
      </c>
      <c r="E28" s="9" t="n">
        <v>240483.89</v>
      </c>
      <c r="F28" s="9" t="n">
        <v>31958.78</v>
      </c>
    </row>
    <row r="30" customFormat="false" ht="15" hidden="false" customHeight="false" outlineLevel="0" collapsed="false">
      <c r="A30" s="0" t="s">
        <v>183</v>
      </c>
    </row>
    <row r="31" customFormat="false" ht="15" hidden="false" customHeight="false" outlineLevel="0" collapsed="false">
      <c r="A31" s="6" t="s">
        <v>36</v>
      </c>
      <c r="B31" s="6" t="s">
        <v>184</v>
      </c>
      <c r="C31" s="6" t="s">
        <v>185</v>
      </c>
      <c r="D31" s="6" t="s">
        <v>186</v>
      </c>
      <c r="E31" s="6" t="s">
        <v>187</v>
      </c>
      <c r="F31" s="6" t="s">
        <v>188</v>
      </c>
      <c r="G31" s="6" t="s">
        <v>189</v>
      </c>
      <c r="H31" s="6" t="s">
        <v>190</v>
      </c>
      <c r="I31" s="6" t="s">
        <v>191</v>
      </c>
      <c r="J31" s="6" t="s">
        <v>192</v>
      </c>
      <c r="K31" s="6" t="s">
        <v>193</v>
      </c>
      <c r="L31" s="6" t="s">
        <v>194</v>
      </c>
      <c r="M31" s="6" t="s">
        <v>195</v>
      </c>
    </row>
    <row r="32" customFormat="false" ht="15" hidden="false" customHeight="false" outlineLevel="0" collapsed="false">
      <c r="A32" s="0" t="s">
        <v>40</v>
      </c>
      <c r="B32" s="26" t="n">
        <v>0.071097</v>
      </c>
      <c r="C32" s="26" t="n">
        <v>0.071356</v>
      </c>
      <c r="D32" s="26" t="n">
        <v>0.076229</v>
      </c>
      <c r="E32" s="26" t="n">
        <v>0.082956</v>
      </c>
      <c r="F32" s="26" t="n">
        <v>0.090704</v>
      </c>
      <c r="G32" s="26" t="n">
        <v>0.098481</v>
      </c>
      <c r="H32" s="26" t="n">
        <v>0.098998</v>
      </c>
      <c r="I32" s="26" t="n">
        <v>0.095376</v>
      </c>
      <c r="J32" s="26" t="n">
        <v>0.08195</v>
      </c>
      <c r="K32" s="26" t="n">
        <v>0.079492</v>
      </c>
      <c r="L32" s="26" t="n">
        <v>0.075165</v>
      </c>
      <c r="M32" s="26" t="n">
        <v>0.078196</v>
      </c>
    </row>
    <row r="33" customFormat="false" ht="15" hidden="false" customHeight="false" outlineLevel="0" collapsed="false">
      <c r="A33" s="0" t="s">
        <v>44</v>
      </c>
      <c r="B33" s="26" t="n">
        <v>0.074415</v>
      </c>
      <c r="C33" s="26" t="n">
        <v>0.07034</v>
      </c>
      <c r="D33" s="26" t="n">
        <v>0.073631</v>
      </c>
      <c r="E33" s="26" t="n">
        <v>0.078373</v>
      </c>
      <c r="F33" s="26" t="n">
        <v>0.07853</v>
      </c>
      <c r="G33" s="26" t="n">
        <v>0.077668</v>
      </c>
      <c r="H33" s="26" t="n">
        <v>0.077824</v>
      </c>
      <c r="I33" s="26" t="n">
        <v>0.078608</v>
      </c>
      <c r="J33" s="26" t="n">
        <v>0.082292</v>
      </c>
      <c r="K33" s="26" t="n">
        <v>0.090246</v>
      </c>
      <c r="L33" s="26" t="n">
        <v>0.102865</v>
      </c>
      <c r="M33" s="26" t="n">
        <v>0.115208</v>
      </c>
    </row>
    <row r="34" customFormat="false" ht="15" hidden="false" customHeight="false" outlineLevel="0" collapsed="false">
      <c r="A34" s="0" t="s">
        <v>45</v>
      </c>
      <c r="B34" s="26" t="n">
        <v>0.078139</v>
      </c>
      <c r="C34" s="26" t="n">
        <v>0.074499</v>
      </c>
      <c r="D34" s="26" t="n">
        <v>0.079009</v>
      </c>
      <c r="E34" s="26" t="n">
        <v>0.079471</v>
      </c>
      <c r="F34" s="26" t="n">
        <v>0.079118</v>
      </c>
      <c r="G34" s="26" t="n">
        <v>0.079145</v>
      </c>
      <c r="H34" s="26" t="n">
        <v>0.078846</v>
      </c>
      <c r="I34" s="26" t="n">
        <v>0.078493</v>
      </c>
      <c r="J34" s="26" t="n">
        <v>0.083274</v>
      </c>
      <c r="K34" s="26" t="n">
        <v>0.087078</v>
      </c>
      <c r="L34" s="26" t="n">
        <v>0.095338</v>
      </c>
      <c r="M34" s="26" t="n">
        <v>0.10759</v>
      </c>
    </row>
    <row r="35" customFormat="false" ht="15" hidden="false" customHeight="false" outlineLevel="0" collapsed="false">
      <c r="A35" s="0" t="s">
        <v>41</v>
      </c>
      <c r="B35" s="26" t="n">
        <v>0.079526</v>
      </c>
      <c r="C35" s="26" t="n">
        <v>0.075153</v>
      </c>
      <c r="D35" s="26" t="n">
        <v>0.078854</v>
      </c>
      <c r="E35" s="26" t="n">
        <v>0.08213</v>
      </c>
      <c r="F35" s="26" t="n">
        <v>0.087534</v>
      </c>
      <c r="G35" s="26" t="n">
        <v>0.086224</v>
      </c>
      <c r="H35" s="26" t="n">
        <v>0.086781</v>
      </c>
      <c r="I35" s="26" t="n">
        <v>0.086895</v>
      </c>
      <c r="J35" s="26" t="n">
        <v>0.082228</v>
      </c>
      <c r="K35" s="26" t="n">
        <v>0.080672</v>
      </c>
      <c r="L35" s="26" t="n">
        <v>0.082768</v>
      </c>
      <c r="M35" s="26" t="n">
        <v>0.091235</v>
      </c>
    </row>
    <row r="36" customFormat="false" ht="15" hidden="false" customHeight="false" outlineLevel="0" collapsed="false">
      <c r="A36" s="0" t="s">
        <v>42</v>
      </c>
      <c r="B36" s="26" t="n">
        <v>0.081573</v>
      </c>
      <c r="C36" s="26" t="n">
        <v>0.080162</v>
      </c>
      <c r="D36" s="26" t="n">
        <v>0.082529</v>
      </c>
      <c r="E36" s="26" t="n">
        <v>0.082529</v>
      </c>
      <c r="F36" s="26" t="n">
        <v>0.08394</v>
      </c>
      <c r="G36" s="26" t="n">
        <v>0.085199</v>
      </c>
      <c r="H36" s="26" t="n">
        <v>0.084674</v>
      </c>
      <c r="I36" s="26" t="n">
        <v>0.083415</v>
      </c>
      <c r="J36" s="26" t="n">
        <v>0.081374</v>
      </c>
      <c r="K36" s="26" t="n">
        <v>0.080908</v>
      </c>
      <c r="L36" s="26" t="n">
        <v>0.083077</v>
      </c>
      <c r="M36" s="26" t="n">
        <v>0.09062</v>
      </c>
    </row>
    <row r="37" customFormat="false" ht="15" hidden="false" customHeight="false" outlineLevel="0" collapsed="false">
      <c r="A37" s="0" t="s">
        <v>43</v>
      </c>
      <c r="B37" s="26" t="n">
        <v>0.066916</v>
      </c>
      <c r="C37" s="26" t="n">
        <v>0.065437</v>
      </c>
      <c r="D37" s="26" t="n">
        <v>0.075363</v>
      </c>
      <c r="E37" s="26" t="n">
        <v>0.082561</v>
      </c>
      <c r="F37" s="26" t="n">
        <v>0.103135</v>
      </c>
      <c r="G37" s="26" t="n">
        <v>0.107112</v>
      </c>
      <c r="H37" s="26" t="n">
        <v>0.100013</v>
      </c>
      <c r="I37" s="26" t="n">
        <v>0.091632</v>
      </c>
      <c r="J37" s="26" t="n">
        <v>0.083054</v>
      </c>
      <c r="K37" s="26" t="n">
        <v>0.074903</v>
      </c>
      <c r="L37" s="26" t="n">
        <v>0.070105</v>
      </c>
      <c r="M37" s="26" t="n">
        <v>0.079769</v>
      </c>
    </row>
    <row r="39" customFormat="false" ht="15" hidden="false" customHeight="false" outlineLevel="0" collapsed="false">
      <c r="A39" s="0" t="s">
        <v>196</v>
      </c>
    </row>
    <row r="40" customFormat="false" ht="15" hidden="false" customHeight="false" outlineLevel="0" collapsed="false">
      <c r="A40" s="6" t="s">
        <v>55</v>
      </c>
      <c r="B40" s="6" t="s">
        <v>197</v>
      </c>
    </row>
    <row r="41" customFormat="false" ht="15" hidden="false" customHeight="false" outlineLevel="0" collapsed="false">
      <c r="A41" s="0" t="s">
        <v>59</v>
      </c>
      <c r="B41" s="9" t="n">
        <v>2366665.01</v>
      </c>
    </row>
    <row r="42" customFormat="false" ht="15" hidden="false" customHeight="false" outlineLevel="0" collapsed="false">
      <c r="A42" s="0" t="s">
        <v>60</v>
      </c>
      <c r="B42" s="9" t="n">
        <v>3493943.33</v>
      </c>
    </row>
    <row r="43" customFormat="false" ht="15" hidden="false" customHeight="false" outlineLevel="0" collapsed="false">
      <c r="A43" s="0" t="s">
        <v>61</v>
      </c>
      <c r="B43" s="9" t="n">
        <v>2169835.57</v>
      </c>
    </row>
    <row r="44" customFormat="false" ht="15" hidden="false" customHeight="false" outlineLevel="0" collapsed="false">
      <c r="A44" s="0" t="s">
        <v>62</v>
      </c>
      <c r="B44" s="9" t="n">
        <v>692122.49</v>
      </c>
    </row>
    <row r="46" customFormat="false" ht="15" hidden="false" customHeight="false" outlineLevel="0" collapsed="false">
      <c r="A46" s="0" t="s">
        <v>198</v>
      </c>
    </row>
    <row r="47" customFormat="false" ht="15" hidden="false" customHeight="false" outlineLevel="0" collapsed="false">
      <c r="A47" s="6" t="s">
        <v>199</v>
      </c>
      <c r="B47" s="6" t="s">
        <v>200</v>
      </c>
    </row>
    <row r="48" customFormat="false" ht="15" hidden="false" customHeight="false" outlineLevel="0" collapsed="false">
      <c r="A48" s="0" t="s">
        <v>117</v>
      </c>
      <c r="B48" s="9" t="n">
        <v>4501878.38</v>
      </c>
    </row>
    <row r="49" customFormat="false" ht="15" hidden="false" customHeight="false" outlineLevel="0" collapsed="false">
      <c r="A49" s="0" t="s">
        <v>118</v>
      </c>
      <c r="B49" s="9" t="n">
        <v>1715054.62</v>
      </c>
    </row>
    <row r="50" customFormat="false" ht="15" hidden="false" customHeight="false" outlineLevel="0" collapsed="false">
      <c r="A50" s="0" t="s">
        <v>121</v>
      </c>
      <c r="B50" s="9" t="n">
        <v>2903700.3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6" t="s">
        <v>159</v>
      </c>
      <c r="B4" s="6" t="s">
        <v>36</v>
      </c>
      <c r="C4" s="6" t="s">
        <v>47</v>
      </c>
      <c r="D4" s="6" t="s">
        <v>162</v>
      </c>
      <c r="E4" s="6" t="s">
        <v>16</v>
      </c>
      <c r="F4" s="6" t="s">
        <v>89</v>
      </c>
      <c r="G4" s="6" t="s">
        <v>90</v>
      </c>
    </row>
    <row r="5" customFormat="false" ht="15" hidden="false" customHeight="false" outlineLevel="0" collapsed="false">
      <c r="A5" s="0" t="n">
        <v>1</v>
      </c>
      <c r="B5" s="0" t="s">
        <v>40</v>
      </c>
      <c r="C5" s="0" t="s">
        <v>50</v>
      </c>
      <c r="D5" s="24" t="n">
        <v>2113.9</v>
      </c>
      <c r="E5" s="24" t="n">
        <v>414351.28</v>
      </c>
      <c r="F5" s="24" t="n">
        <v>343878.6</v>
      </c>
      <c r="G5" s="24" t="n">
        <v>5757.1</v>
      </c>
    </row>
    <row r="6" customFormat="false" ht="15" hidden="false" customHeight="false" outlineLevel="0" collapsed="false">
      <c r="A6" s="0" t="n">
        <v>2</v>
      </c>
      <c r="B6" s="0" t="s">
        <v>40</v>
      </c>
      <c r="C6" s="0" t="s">
        <v>50</v>
      </c>
      <c r="D6" s="24" t="n">
        <v>2073.6</v>
      </c>
      <c r="E6" s="24" t="n">
        <v>430449.14</v>
      </c>
      <c r="F6" s="24" t="n">
        <v>337875.04</v>
      </c>
      <c r="G6" s="24" t="n">
        <v>5647.46</v>
      </c>
    </row>
    <row r="7" customFormat="false" ht="15" hidden="false" customHeight="false" outlineLevel="0" collapsed="false">
      <c r="A7" s="0" t="n">
        <v>3</v>
      </c>
      <c r="B7" s="0" t="s">
        <v>40</v>
      </c>
      <c r="C7" s="0" t="s">
        <v>50</v>
      </c>
      <c r="D7" s="24" t="n">
        <v>2259.5</v>
      </c>
      <c r="E7" s="24" t="n">
        <v>466595.31</v>
      </c>
      <c r="F7" s="24" t="n">
        <v>367982.65</v>
      </c>
      <c r="G7" s="24" t="n">
        <v>6153.82</v>
      </c>
    </row>
    <row r="8" customFormat="false" ht="15" hidden="false" customHeight="false" outlineLevel="0" collapsed="false">
      <c r="A8" s="0" t="n">
        <v>1</v>
      </c>
      <c r="B8" s="0" t="s">
        <v>40</v>
      </c>
      <c r="C8" s="0" t="s">
        <v>51</v>
      </c>
      <c r="D8" s="24" t="n">
        <v>1891.3</v>
      </c>
      <c r="E8" s="24" t="n">
        <v>322683.7</v>
      </c>
      <c r="F8" s="24" t="n">
        <v>309919.83</v>
      </c>
      <c r="G8" s="24" t="n">
        <v>5136.58</v>
      </c>
    </row>
    <row r="9" customFormat="false" ht="15" hidden="false" customHeight="false" outlineLevel="0" collapsed="false">
      <c r="A9" s="0" t="n">
        <v>2</v>
      </c>
      <c r="B9" s="0" t="s">
        <v>40</v>
      </c>
      <c r="C9" s="0" t="s">
        <v>51</v>
      </c>
      <c r="D9" s="24" t="n">
        <v>1913.3</v>
      </c>
      <c r="E9" s="24" t="n">
        <v>340066.07</v>
      </c>
      <c r="F9" s="24" t="n">
        <v>311115.01</v>
      </c>
      <c r="G9" s="24" t="n">
        <v>5196.32</v>
      </c>
    </row>
    <row r="10" customFormat="false" ht="15" hidden="false" customHeight="false" outlineLevel="0" collapsed="false">
      <c r="A10" s="0" t="n">
        <v>3</v>
      </c>
      <c r="B10" s="0" t="s">
        <v>40</v>
      </c>
      <c r="C10" s="0" t="s">
        <v>51</v>
      </c>
      <c r="D10" s="24" t="n">
        <v>2067.9</v>
      </c>
      <c r="E10" s="24" t="n">
        <v>366073.23</v>
      </c>
      <c r="F10" s="24" t="n">
        <v>337965.49</v>
      </c>
      <c r="G10" s="24" t="n">
        <v>5616.12</v>
      </c>
    </row>
    <row r="11" customFormat="false" ht="15" hidden="false" customHeight="false" outlineLevel="0" collapsed="false">
      <c r="A11" s="0" t="n">
        <v>1</v>
      </c>
      <c r="B11" s="0" t="s">
        <v>40</v>
      </c>
      <c r="C11" s="0" t="s">
        <v>52</v>
      </c>
      <c r="D11" s="24" t="n">
        <v>884.2</v>
      </c>
      <c r="E11" s="24" t="n">
        <v>164570.7</v>
      </c>
      <c r="F11" s="24" t="n">
        <v>144224.28</v>
      </c>
      <c r="G11" s="24" t="n">
        <v>2409.98</v>
      </c>
    </row>
    <row r="12" customFormat="false" ht="15" hidden="false" customHeight="false" outlineLevel="0" collapsed="false">
      <c r="A12" s="0" t="n">
        <v>2</v>
      </c>
      <c r="B12" s="0" t="s">
        <v>40</v>
      </c>
      <c r="C12" s="0" t="s">
        <v>52</v>
      </c>
      <c r="D12" s="24" t="n">
        <v>899.6</v>
      </c>
      <c r="E12" s="24" t="n">
        <v>178060.91</v>
      </c>
      <c r="F12" s="24" t="n">
        <v>146323.69</v>
      </c>
      <c r="G12" s="24" t="n">
        <v>2452.04</v>
      </c>
    </row>
    <row r="13" customFormat="false" ht="15" hidden="false" customHeight="false" outlineLevel="0" collapsed="false">
      <c r="A13" s="0" t="n">
        <v>3</v>
      </c>
      <c r="B13" s="0" t="s">
        <v>40</v>
      </c>
      <c r="C13" s="0" t="s">
        <v>52</v>
      </c>
      <c r="D13" s="24" t="n">
        <v>955.3</v>
      </c>
      <c r="E13" s="24" t="n">
        <v>186970.42</v>
      </c>
      <c r="F13" s="24" t="n">
        <v>156093.91</v>
      </c>
      <c r="G13" s="24" t="n">
        <v>2603.85</v>
      </c>
    </row>
    <row r="14" customFormat="false" ht="15" hidden="false" customHeight="false" outlineLevel="0" collapsed="false">
      <c r="A14" s="0" t="n">
        <v>1</v>
      </c>
      <c r="B14" s="0" t="s">
        <v>40</v>
      </c>
      <c r="C14" s="0" t="s">
        <v>53</v>
      </c>
      <c r="D14" s="24" t="n">
        <v>464</v>
      </c>
      <c r="E14" s="24" t="n">
        <v>102558.65</v>
      </c>
      <c r="F14" s="24" t="n">
        <v>76594.94</v>
      </c>
      <c r="G14" s="24" t="n">
        <v>5357.42</v>
      </c>
    </row>
    <row r="15" customFormat="false" ht="15" hidden="false" customHeight="false" outlineLevel="0" collapsed="false">
      <c r="A15" s="0" t="n">
        <v>2</v>
      </c>
      <c r="B15" s="0" t="s">
        <v>40</v>
      </c>
      <c r="C15" s="0" t="s">
        <v>53</v>
      </c>
      <c r="D15" s="24" t="n">
        <v>471.1</v>
      </c>
      <c r="E15" s="24" t="n">
        <v>108010.93</v>
      </c>
      <c r="F15" s="24" t="n">
        <v>77387.49</v>
      </c>
      <c r="G15" s="24" t="n">
        <v>5439.18</v>
      </c>
    </row>
    <row r="16" customFormat="false" ht="15" hidden="false" customHeight="false" outlineLevel="0" collapsed="false">
      <c r="A16" s="0" t="n">
        <v>3</v>
      </c>
      <c r="B16" s="0" t="s">
        <v>40</v>
      </c>
      <c r="C16" s="0" t="s">
        <v>53</v>
      </c>
      <c r="D16" s="24" t="n">
        <v>494.6</v>
      </c>
      <c r="E16" s="24" t="n">
        <v>113985.42</v>
      </c>
      <c r="F16" s="24" t="n">
        <v>80911.84</v>
      </c>
      <c r="G16" s="24" t="n">
        <v>5709.83</v>
      </c>
    </row>
    <row r="17" customFormat="false" ht="15" hidden="false" customHeight="false" outlineLevel="0" collapsed="false">
      <c r="A17" s="0" t="n">
        <v>1</v>
      </c>
      <c r="B17" s="0" t="s">
        <v>41</v>
      </c>
      <c r="C17" s="0" t="s">
        <v>50</v>
      </c>
      <c r="D17" s="24" t="n">
        <v>2088.8</v>
      </c>
      <c r="E17" s="24" t="n">
        <v>257391.01</v>
      </c>
      <c r="F17" s="24" t="n">
        <v>187409.43</v>
      </c>
      <c r="G17" s="24" t="n">
        <v>5659.89</v>
      </c>
    </row>
    <row r="18" customFormat="false" ht="15" hidden="false" customHeight="false" outlineLevel="0" collapsed="false">
      <c r="A18" s="0" t="n">
        <v>2</v>
      </c>
      <c r="B18" s="0" t="s">
        <v>41</v>
      </c>
      <c r="C18" s="0" t="s">
        <v>50</v>
      </c>
      <c r="D18" s="24" t="n">
        <v>2012.1</v>
      </c>
      <c r="E18" s="24" t="n">
        <v>255183.1</v>
      </c>
      <c r="F18" s="24" t="n">
        <v>179676.08</v>
      </c>
      <c r="G18" s="24" t="n">
        <v>5452.07</v>
      </c>
    </row>
    <row r="19" customFormat="false" ht="15" hidden="false" customHeight="false" outlineLevel="0" collapsed="false">
      <c r="A19" s="0" t="n">
        <v>3</v>
      </c>
      <c r="B19" s="0" t="s">
        <v>41</v>
      </c>
      <c r="C19" s="0" t="s">
        <v>50</v>
      </c>
      <c r="D19" s="24" t="n">
        <v>2104.6</v>
      </c>
      <c r="E19" s="24" t="n">
        <v>264810.65</v>
      </c>
      <c r="F19" s="24" t="n">
        <v>188337.25</v>
      </c>
      <c r="G19" s="24" t="n">
        <v>5702.78</v>
      </c>
    </row>
    <row r="20" customFormat="false" ht="15" hidden="false" customHeight="false" outlineLevel="0" collapsed="false">
      <c r="A20" s="0" t="n">
        <v>1</v>
      </c>
      <c r="B20" s="0" t="s">
        <v>41</v>
      </c>
      <c r="C20" s="0" t="s">
        <v>51</v>
      </c>
      <c r="D20" s="24" t="n">
        <v>1897.1</v>
      </c>
      <c r="E20" s="24" t="n">
        <v>203052.8</v>
      </c>
      <c r="F20" s="24" t="n">
        <v>167325.68</v>
      </c>
      <c r="G20" s="24" t="n">
        <v>5151.78</v>
      </c>
    </row>
    <row r="21" customFormat="false" ht="15" hidden="false" customHeight="false" outlineLevel="0" collapsed="false">
      <c r="A21" s="0" t="n">
        <v>2</v>
      </c>
      <c r="B21" s="0" t="s">
        <v>41</v>
      </c>
      <c r="C21" s="0" t="s">
        <v>51</v>
      </c>
      <c r="D21" s="24" t="n">
        <v>1779.7</v>
      </c>
      <c r="E21" s="24" t="n">
        <v>195636.16</v>
      </c>
      <c r="F21" s="24" t="n">
        <v>158142.62</v>
      </c>
      <c r="G21" s="24" t="n">
        <v>4832.76</v>
      </c>
    </row>
    <row r="22" customFormat="false" ht="15" hidden="false" customHeight="false" outlineLevel="0" collapsed="false">
      <c r="A22" s="0" t="n">
        <v>3</v>
      </c>
      <c r="B22" s="0" t="s">
        <v>41</v>
      </c>
      <c r="C22" s="0" t="s">
        <v>51</v>
      </c>
      <c r="D22" s="24" t="n">
        <v>1870.4</v>
      </c>
      <c r="E22" s="24" t="n">
        <v>205202.48</v>
      </c>
      <c r="F22" s="24" t="n">
        <v>165627.49</v>
      </c>
      <c r="G22" s="24" t="n">
        <v>5079.06</v>
      </c>
    </row>
    <row r="23" customFormat="false" ht="15" hidden="false" customHeight="false" outlineLevel="0" collapsed="false">
      <c r="A23" s="0" t="n">
        <v>1</v>
      </c>
      <c r="B23" s="0" t="s">
        <v>41</v>
      </c>
      <c r="C23" s="0" t="s">
        <v>52</v>
      </c>
      <c r="D23" s="24" t="n">
        <v>888.2</v>
      </c>
      <c r="E23" s="24" t="n">
        <v>103934.03</v>
      </c>
      <c r="F23" s="24" t="n">
        <v>78295.64</v>
      </c>
      <c r="G23" s="24" t="n">
        <v>2411.87</v>
      </c>
    </row>
    <row r="24" customFormat="false" ht="15" hidden="false" customHeight="false" outlineLevel="0" collapsed="false">
      <c r="A24" s="0" t="n">
        <v>2</v>
      </c>
      <c r="B24" s="0" t="s">
        <v>41</v>
      </c>
      <c r="C24" s="0" t="s">
        <v>52</v>
      </c>
      <c r="D24" s="24" t="n">
        <v>838.4</v>
      </c>
      <c r="E24" s="24" t="n">
        <v>100175.32</v>
      </c>
      <c r="F24" s="24" t="n">
        <v>74331.56</v>
      </c>
      <c r="G24" s="24" t="n">
        <v>2276.64</v>
      </c>
    </row>
    <row r="25" customFormat="false" ht="15" hidden="false" customHeight="false" outlineLevel="0" collapsed="false">
      <c r="A25" s="0" t="n">
        <v>3</v>
      </c>
      <c r="B25" s="0" t="s">
        <v>41</v>
      </c>
      <c r="C25" s="0" t="s">
        <v>52</v>
      </c>
      <c r="D25" s="24" t="n">
        <v>882</v>
      </c>
      <c r="E25" s="24" t="n">
        <v>106053.22</v>
      </c>
      <c r="F25" s="24" t="n">
        <v>78330.09</v>
      </c>
      <c r="G25" s="24" t="n">
        <v>2395.09</v>
      </c>
    </row>
    <row r="26" customFormat="false" ht="15" hidden="false" customHeight="false" outlineLevel="0" collapsed="false">
      <c r="A26" s="0" t="n">
        <v>1</v>
      </c>
      <c r="B26" s="0" t="s">
        <v>41</v>
      </c>
      <c r="C26" s="0" t="s">
        <v>53</v>
      </c>
      <c r="D26" s="24" t="n">
        <v>455.8</v>
      </c>
      <c r="E26" s="24" t="n">
        <v>63046.8</v>
      </c>
      <c r="F26" s="24" t="n">
        <v>40674.94</v>
      </c>
      <c r="G26" s="24" t="n">
        <v>5275.89</v>
      </c>
    </row>
    <row r="27" customFormat="false" ht="15" hidden="false" customHeight="false" outlineLevel="0" collapsed="false">
      <c r="A27" s="0" t="n">
        <v>2</v>
      </c>
      <c r="B27" s="0" t="s">
        <v>41</v>
      </c>
      <c r="C27" s="0" t="s">
        <v>53</v>
      </c>
      <c r="D27" s="24" t="n">
        <v>440.1</v>
      </c>
      <c r="E27" s="24" t="n">
        <v>62116.01</v>
      </c>
      <c r="F27" s="24" t="n">
        <v>39119.7</v>
      </c>
      <c r="G27" s="24" t="n">
        <v>5094.93</v>
      </c>
    </row>
    <row r="28" customFormat="false" ht="15" hidden="false" customHeight="false" outlineLevel="0" collapsed="false">
      <c r="A28" s="0" t="n">
        <v>3</v>
      </c>
      <c r="B28" s="0" t="s">
        <v>41</v>
      </c>
      <c r="C28" s="0" t="s">
        <v>53</v>
      </c>
      <c r="D28" s="24" t="n">
        <v>457.2</v>
      </c>
      <c r="E28" s="24" t="n">
        <v>64769.05</v>
      </c>
      <c r="F28" s="24" t="n">
        <v>40471.47</v>
      </c>
      <c r="G28" s="24" t="n">
        <v>5292.12</v>
      </c>
    </row>
    <row r="29" customFormat="false" ht="15" hidden="false" customHeight="false" outlineLevel="0" collapsed="false">
      <c r="A29" s="0" t="n">
        <v>1</v>
      </c>
      <c r="B29" s="0" t="s">
        <v>42</v>
      </c>
      <c r="C29" s="0" t="s">
        <v>50</v>
      </c>
      <c r="D29" s="24" t="n">
        <v>3022.3</v>
      </c>
      <c r="E29" s="24" t="n">
        <v>329038.23</v>
      </c>
      <c r="F29" s="24" t="n">
        <v>242057.84</v>
      </c>
      <c r="G29" s="24" t="n">
        <v>8225.8</v>
      </c>
    </row>
    <row r="30" customFormat="false" ht="15" hidden="false" customHeight="false" outlineLevel="0" collapsed="false">
      <c r="A30" s="0" t="n">
        <v>2</v>
      </c>
      <c r="B30" s="0" t="s">
        <v>42</v>
      </c>
      <c r="C30" s="0" t="s">
        <v>50</v>
      </c>
      <c r="D30" s="24" t="n">
        <v>3029.9</v>
      </c>
      <c r="E30" s="24" t="n">
        <v>336431.97</v>
      </c>
      <c r="F30" s="24" t="n">
        <v>243481.94</v>
      </c>
      <c r="G30" s="24" t="n">
        <v>8246.48</v>
      </c>
    </row>
    <row r="31" customFormat="false" ht="15" hidden="false" customHeight="false" outlineLevel="0" collapsed="false">
      <c r="A31" s="0" t="n">
        <v>3</v>
      </c>
      <c r="B31" s="0" t="s">
        <v>42</v>
      </c>
      <c r="C31" s="0" t="s">
        <v>50</v>
      </c>
      <c r="D31" s="24" t="n">
        <v>3132.6</v>
      </c>
      <c r="E31" s="24" t="n">
        <v>348466.53</v>
      </c>
      <c r="F31" s="24" t="n">
        <v>252169.93</v>
      </c>
      <c r="G31" s="24" t="n">
        <v>8526.07</v>
      </c>
    </row>
    <row r="32" customFormat="false" ht="15" hidden="false" customHeight="false" outlineLevel="0" collapsed="false">
      <c r="A32" s="0" t="n">
        <v>1</v>
      </c>
      <c r="B32" s="0" t="s">
        <v>42</v>
      </c>
      <c r="C32" s="0" t="s">
        <v>51</v>
      </c>
      <c r="D32" s="24" t="n">
        <v>2834.6</v>
      </c>
      <c r="E32" s="24" t="n">
        <v>269740.94</v>
      </c>
      <c r="F32" s="24" t="n">
        <v>229701.27</v>
      </c>
      <c r="G32" s="24" t="n">
        <v>7702.17</v>
      </c>
    </row>
    <row r="33" customFormat="false" ht="15" hidden="false" customHeight="false" outlineLevel="0" collapsed="false">
      <c r="A33" s="0" t="n">
        <v>2</v>
      </c>
      <c r="B33" s="0" t="s">
        <v>42</v>
      </c>
      <c r="C33" s="0" t="s">
        <v>51</v>
      </c>
      <c r="D33" s="24" t="n">
        <v>2708.6</v>
      </c>
      <c r="E33" s="24" t="n">
        <v>262255.84</v>
      </c>
      <c r="F33" s="24" t="n">
        <v>216221.72</v>
      </c>
      <c r="G33" s="24" t="n">
        <v>7359.92</v>
      </c>
    </row>
    <row r="34" customFormat="false" ht="15" hidden="false" customHeight="false" outlineLevel="0" collapsed="false">
      <c r="A34" s="0" t="n">
        <v>3</v>
      </c>
      <c r="B34" s="0" t="s">
        <v>42</v>
      </c>
      <c r="C34" s="0" t="s">
        <v>51</v>
      </c>
      <c r="D34" s="24" t="n">
        <v>2809.6</v>
      </c>
      <c r="E34" s="24" t="n">
        <v>272167.98</v>
      </c>
      <c r="F34" s="24" t="n">
        <v>227936.22</v>
      </c>
      <c r="G34" s="24" t="n">
        <v>7634.31</v>
      </c>
    </row>
    <row r="35" customFormat="false" ht="15" hidden="false" customHeight="false" outlineLevel="0" collapsed="false">
      <c r="A35" s="0" t="n">
        <v>1</v>
      </c>
      <c r="B35" s="0" t="s">
        <v>42</v>
      </c>
      <c r="C35" s="0" t="s">
        <v>52</v>
      </c>
      <c r="D35" s="24" t="n">
        <v>1307.9</v>
      </c>
      <c r="E35" s="24" t="n">
        <v>135279.81</v>
      </c>
      <c r="F35" s="24" t="n">
        <v>104469.81</v>
      </c>
      <c r="G35" s="24" t="n">
        <v>3548.96</v>
      </c>
    </row>
    <row r="36" customFormat="false" ht="15" hidden="false" customHeight="false" outlineLevel="0" collapsed="false">
      <c r="A36" s="0" t="n">
        <v>2</v>
      </c>
      <c r="B36" s="0" t="s">
        <v>42</v>
      </c>
      <c r="C36" s="0" t="s">
        <v>52</v>
      </c>
      <c r="D36" s="24" t="n">
        <v>1257.4</v>
      </c>
      <c r="E36" s="24" t="n">
        <v>132608.16</v>
      </c>
      <c r="F36" s="24" t="n">
        <v>100860.84</v>
      </c>
      <c r="G36" s="24" t="n">
        <v>3412.13</v>
      </c>
    </row>
    <row r="37" customFormat="false" ht="15" hidden="false" customHeight="false" outlineLevel="0" collapsed="false">
      <c r="A37" s="0" t="n">
        <v>3</v>
      </c>
      <c r="B37" s="0" t="s">
        <v>42</v>
      </c>
      <c r="C37" s="0" t="s">
        <v>52</v>
      </c>
      <c r="D37" s="24" t="n">
        <v>1312.8</v>
      </c>
      <c r="E37" s="24" t="n">
        <v>138280.69</v>
      </c>
      <c r="F37" s="24" t="n">
        <v>104643.46</v>
      </c>
      <c r="G37" s="24" t="n">
        <v>3562.33</v>
      </c>
    </row>
    <row r="38" customFormat="false" ht="15" hidden="false" customHeight="false" outlineLevel="0" collapsed="false">
      <c r="A38" s="0" t="n">
        <v>1</v>
      </c>
      <c r="B38" s="0" t="s">
        <v>42</v>
      </c>
      <c r="C38" s="0" t="s">
        <v>53</v>
      </c>
      <c r="D38" s="24" t="n">
        <v>678.5</v>
      </c>
      <c r="E38" s="24" t="n">
        <v>82798.32</v>
      </c>
      <c r="F38" s="24" t="n">
        <v>54720.04</v>
      </c>
      <c r="G38" s="24" t="n">
        <v>7847.05</v>
      </c>
    </row>
    <row r="39" customFormat="false" ht="15" hidden="false" customHeight="false" outlineLevel="0" collapsed="false">
      <c r="A39" s="0" t="n">
        <v>2</v>
      </c>
      <c r="B39" s="0" t="s">
        <v>42</v>
      </c>
      <c r="C39" s="0" t="s">
        <v>53</v>
      </c>
      <c r="D39" s="24" t="n">
        <v>665.4</v>
      </c>
      <c r="E39" s="24" t="n">
        <v>83152.91</v>
      </c>
      <c r="F39" s="24" t="n">
        <v>53951.96</v>
      </c>
      <c r="G39" s="24" t="n">
        <v>7696.16</v>
      </c>
    </row>
    <row r="40" customFormat="false" ht="15" hidden="false" customHeight="false" outlineLevel="0" collapsed="false">
      <c r="A40" s="0" t="n">
        <v>3</v>
      </c>
      <c r="B40" s="0" t="s">
        <v>42</v>
      </c>
      <c r="C40" s="0" t="s">
        <v>53</v>
      </c>
      <c r="D40" s="24" t="n">
        <v>679.1</v>
      </c>
      <c r="E40" s="24" t="n">
        <v>84722.87</v>
      </c>
      <c r="F40" s="24" t="n">
        <v>54544.92</v>
      </c>
      <c r="G40" s="24" t="n">
        <v>7854.7</v>
      </c>
    </row>
    <row r="41" customFormat="false" ht="15" hidden="false" customHeight="false" outlineLevel="0" collapsed="false">
      <c r="A41" s="0" t="n">
        <v>1</v>
      </c>
      <c r="B41" s="0" t="s">
        <v>43</v>
      </c>
      <c r="C41" s="0" t="s">
        <v>50</v>
      </c>
      <c r="D41" s="24" t="n">
        <v>917.8</v>
      </c>
      <c r="E41" s="24" t="n">
        <v>187515.4</v>
      </c>
      <c r="F41" s="24" t="n">
        <v>143838.53</v>
      </c>
      <c r="G41" s="24" t="n">
        <v>2500.98</v>
      </c>
    </row>
    <row r="42" customFormat="false" ht="15" hidden="false" customHeight="false" outlineLevel="0" collapsed="false">
      <c r="A42" s="0" t="n">
        <v>2</v>
      </c>
      <c r="B42" s="0" t="s">
        <v>43</v>
      </c>
      <c r="C42" s="0" t="s">
        <v>50</v>
      </c>
      <c r="D42" s="24" t="n">
        <v>876.7</v>
      </c>
      <c r="E42" s="24" t="n">
        <v>187658.21</v>
      </c>
      <c r="F42" s="24" t="n">
        <v>136683.75</v>
      </c>
      <c r="G42" s="24" t="n">
        <v>2389.08</v>
      </c>
    </row>
    <row r="43" customFormat="false" ht="15" hidden="false" customHeight="false" outlineLevel="0" collapsed="false">
      <c r="A43" s="0" t="n">
        <v>3</v>
      </c>
      <c r="B43" s="0" t="s">
        <v>43</v>
      </c>
      <c r="C43" s="0" t="s">
        <v>50</v>
      </c>
      <c r="D43" s="24" t="n">
        <v>1037.7</v>
      </c>
      <c r="E43" s="24" t="n">
        <v>221678.31</v>
      </c>
      <c r="F43" s="24" t="n">
        <v>162424.29</v>
      </c>
      <c r="G43" s="24" t="n">
        <v>2827.6</v>
      </c>
    </row>
    <row r="44" customFormat="false" ht="15" hidden="false" customHeight="false" outlineLevel="0" collapsed="false">
      <c r="A44" s="0" t="n">
        <v>1</v>
      </c>
      <c r="B44" s="0" t="s">
        <v>43</v>
      </c>
      <c r="C44" s="0" t="s">
        <v>51</v>
      </c>
      <c r="D44" s="24" t="n">
        <v>817.3</v>
      </c>
      <c r="E44" s="24" t="n">
        <v>145197.59</v>
      </c>
      <c r="F44" s="24" t="n">
        <v>126067.38</v>
      </c>
      <c r="G44" s="24" t="n">
        <v>2231.18</v>
      </c>
    </row>
    <row r="45" customFormat="false" ht="15" hidden="false" customHeight="false" outlineLevel="0" collapsed="false">
      <c r="A45" s="0" t="n">
        <v>2</v>
      </c>
      <c r="B45" s="0" t="s">
        <v>43</v>
      </c>
      <c r="C45" s="0" t="s">
        <v>51</v>
      </c>
      <c r="D45" s="24" t="n">
        <v>792.6</v>
      </c>
      <c r="E45" s="24" t="n">
        <v>145473.01</v>
      </c>
      <c r="F45" s="24" t="n">
        <v>124087.18</v>
      </c>
      <c r="G45" s="24" t="n">
        <v>2164</v>
      </c>
    </row>
    <row r="46" customFormat="false" ht="15" hidden="false" customHeight="false" outlineLevel="0" collapsed="false">
      <c r="A46" s="0" t="n">
        <v>3</v>
      </c>
      <c r="B46" s="0" t="s">
        <v>43</v>
      </c>
      <c r="C46" s="0" t="s">
        <v>51</v>
      </c>
      <c r="D46" s="24" t="n">
        <v>908.5</v>
      </c>
      <c r="E46" s="24" t="n">
        <v>166464.74</v>
      </c>
      <c r="F46" s="24" t="n">
        <v>141440.13</v>
      </c>
      <c r="G46" s="24" t="n">
        <v>2480.34</v>
      </c>
    </row>
    <row r="47" customFormat="false" ht="15" hidden="false" customHeight="false" outlineLevel="0" collapsed="false">
      <c r="A47" s="0" t="n">
        <v>1</v>
      </c>
      <c r="B47" s="0" t="s">
        <v>43</v>
      </c>
      <c r="C47" s="0" t="s">
        <v>52</v>
      </c>
      <c r="D47" s="24" t="n">
        <v>387.2</v>
      </c>
      <c r="E47" s="24" t="n">
        <v>75121.72</v>
      </c>
      <c r="F47" s="24" t="n">
        <v>60411.45</v>
      </c>
      <c r="G47" s="24" t="n">
        <v>1057.46</v>
      </c>
    </row>
    <row r="48" customFormat="false" ht="15" hidden="false" customHeight="false" outlineLevel="0" collapsed="false">
      <c r="A48" s="0" t="n">
        <v>2</v>
      </c>
      <c r="B48" s="0" t="s">
        <v>43</v>
      </c>
      <c r="C48" s="0" t="s">
        <v>52</v>
      </c>
      <c r="D48" s="24" t="n">
        <v>378.1</v>
      </c>
      <c r="E48" s="24" t="n">
        <v>76741.81</v>
      </c>
      <c r="F48" s="24" t="n">
        <v>59246.61</v>
      </c>
      <c r="G48" s="24" t="n">
        <v>1032.6</v>
      </c>
    </row>
    <row r="49" customFormat="false" ht="15" hidden="false" customHeight="false" outlineLevel="0" collapsed="false">
      <c r="A49" s="0" t="n">
        <v>3</v>
      </c>
      <c r="B49" s="0" t="s">
        <v>43</v>
      </c>
      <c r="C49" s="0" t="s">
        <v>52</v>
      </c>
      <c r="D49" s="24" t="n">
        <v>424.1</v>
      </c>
      <c r="E49" s="24" t="n">
        <v>86445.39</v>
      </c>
      <c r="F49" s="24" t="n">
        <v>66453.74</v>
      </c>
      <c r="G49" s="24" t="n">
        <v>1158.33</v>
      </c>
    </row>
    <row r="50" customFormat="false" ht="15" hidden="false" customHeight="false" outlineLevel="0" collapsed="false">
      <c r="A50" s="0" t="n">
        <v>1</v>
      </c>
      <c r="B50" s="0" t="s">
        <v>43</v>
      </c>
      <c r="C50" s="0" t="s">
        <v>53</v>
      </c>
      <c r="D50" s="24" t="n">
        <v>198.9</v>
      </c>
      <c r="E50" s="24" t="n">
        <v>45690.08</v>
      </c>
      <c r="F50" s="24" t="n">
        <v>30936.56</v>
      </c>
      <c r="G50" s="24" t="n">
        <v>2301.08</v>
      </c>
    </row>
    <row r="51" customFormat="false" ht="15" hidden="false" customHeight="false" outlineLevel="0" collapsed="false">
      <c r="A51" s="0" t="n">
        <v>2</v>
      </c>
      <c r="B51" s="0" t="s">
        <v>43</v>
      </c>
      <c r="C51" s="0" t="s">
        <v>53</v>
      </c>
      <c r="D51" s="24" t="n">
        <v>191.9</v>
      </c>
      <c r="E51" s="24" t="n">
        <v>45431.36</v>
      </c>
      <c r="F51" s="24" t="n">
        <v>30013.4</v>
      </c>
      <c r="G51" s="24" t="n">
        <v>2220.72</v>
      </c>
    </row>
    <row r="52" customFormat="false" ht="15" hidden="false" customHeight="false" outlineLevel="0" collapsed="false">
      <c r="A52" s="0" t="n">
        <v>3</v>
      </c>
      <c r="B52" s="0" t="s">
        <v>43</v>
      </c>
      <c r="C52" s="0" t="s">
        <v>53</v>
      </c>
      <c r="D52" s="24" t="n">
        <v>216.5</v>
      </c>
      <c r="E52" s="24" t="n">
        <v>50912.93</v>
      </c>
      <c r="F52" s="24" t="n">
        <v>33739.2</v>
      </c>
      <c r="G52" s="24" t="n">
        <v>2504.57</v>
      </c>
    </row>
    <row r="53" customFormat="false" ht="15" hidden="false" customHeight="false" outlineLevel="0" collapsed="false">
      <c r="A53" s="0" t="n">
        <v>1</v>
      </c>
      <c r="B53" s="0" t="s">
        <v>44</v>
      </c>
      <c r="C53" s="0" t="s">
        <v>50</v>
      </c>
      <c r="D53" s="24" t="n">
        <v>835</v>
      </c>
      <c r="E53" s="24" t="n">
        <v>138155.72</v>
      </c>
      <c r="F53" s="24" t="n">
        <v>81679.56</v>
      </c>
      <c r="G53" s="24" t="n">
        <v>2257.41</v>
      </c>
    </row>
    <row r="54" customFormat="false" ht="15" hidden="false" customHeight="false" outlineLevel="0" collapsed="false">
      <c r="A54" s="0" t="n">
        <v>2</v>
      </c>
      <c r="B54" s="0" t="s">
        <v>44</v>
      </c>
      <c r="C54" s="0" t="s">
        <v>50</v>
      </c>
      <c r="D54" s="24" t="n">
        <v>761.7</v>
      </c>
      <c r="E54" s="24" t="n">
        <v>129140</v>
      </c>
      <c r="F54" s="24" t="n">
        <v>74589.73</v>
      </c>
      <c r="G54" s="24" t="n">
        <v>2059.16</v>
      </c>
    </row>
    <row r="55" customFormat="false" ht="15" hidden="false" customHeight="false" outlineLevel="0" collapsed="false">
      <c r="A55" s="0" t="n">
        <v>3</v>
      </c>
      <c r="B55" s="0" t="s">
        <v>44</v>
      </c>
      <c r="C55" s="0" t="s">
        <v>50</v>
      </c>
      <c r="D55" s="24" t="n">
        <v>817.6</v>
      </c>
      <c r="E55" s="24" t="n">
        <v>138577.66</v>
      </c>
      <c r="F55" s="24" t="n">
        <v>80300.49</v>
      </c>
      <c r="G55" s="24" t="n">
        <v>2210.25</v>
      </c>
    </row>
    <row r="56" customFormat="false" ht="15" hidden="false" customHeight="false" outlineLevel="0" collapsed="false">
      <c r="A56" s="0" t="n">
        <v>1</v>
      </c>
      <c r="B56" s="0" t="s">
        <v>44</v>
      </c>
      <c r="C56" s="0" t="s">
        <v>51</v>
      </c>
      <c r="D56" s="24" t="n">
        <v>717.3</v>
      </c>
      <c r="E56" s="24" t="n">
        <v>103703.26</v>
      </c>
      <c r="F56" s="24" t="n">
        <v>70163.8</v>
      </c>
      <c r="G56" s="24" t="n">
        <v>1943.62</v>
      </c>
    </row>
    <row r="57" customFormat="false" ht="15" hidden="false" customHeight="false" outlineLevel="0" collapsed="false">
      <c r="A57" s="0" t="n">
        <v>2</v>
      </c>
      <c r="B57" s="0" t="s">
        <v>44</v>
      </c>
      <c r="C57" s="0" t="s">
        <v>51</v>
      </c>
      <c r="D57" s="24" t="n">
        <v>684.6</v>
      </c>
      <c r="E57" s="24" t="n">
        <v>100706.82</v>
      </c>
      <c r="F57" s="24" t="n">
        <v>67167.23</v>
      </c>
      <c r="G57" s="24" t="n">
        <v>1854.82</v>
      </c>
    </row>
    <row r="58" customFormat="false" ht="15" hidden="false" customHeight="false" outlineLevel="0" collapsed="false">
      <c r="A58" s="0" t="n">
        <v>3</v>
      </c>
      <c r="B58" s="0" t="s">
        <v>44</v>
      </c>
      <c r="C58" s="0" t="s">
        <v>51</v>
      </c>
      <c r="D58" s="24" t="n">
        <v>733.9</v>
      </c>
      <c r="E58" s="24" t="n">
        <v>108307.95</v>
      </c>
      <c r="F58" s="24" t="n">
        <v>72077.85</v>
      </c>
      <c r="G58" s="24" t="n">
        <v>1988.38</v>
      </c>
    </row>
    <row r="59" customFormat="false" ht="15" hidden="false" customHeight="false" outlineLevel="0" collapsed="false">
      <c r="A59" s="0" t="n">
        <v>1</v>
      </c>
      <c r="B59" s="0" t="s">
        <v>44</v>
      </c>
      <c r="C59" s="0" t="s">
        <v>52</v>
      </c>
      <c r="D59" s="24" t="n">
        <v>353.3</v>
      </c>
      <c r="E59" s="24" t="n">
        <v>55585.57</v>
      </c>
      <c r="F59" s="24" t="n">
        <v>34692.98</v>
      </c>
      <c r="G59" s="24" t="n">
        <v>956.81</v>
      </c>
    </row>
    <row r="60" customFormat="false" ht="15" hidden="false" customHeight="false" outlineLevel="0" collapsed="false">
      <c r="A60" s="0" t="n">
        <v>2</v>
      </c>
      <c r="B60" s="0" t="s">
        <v>44</v>
      </c>
      <c r="C60" s="0" t="s">
        <v>52</v>
      </c>
      <c r="D60" s="24" t="n">
        <v>337.9</v>
      </c>
      <c r="E60" s="24" t="n">
        <v>54177.76</v>
      </c>
      <c r="F60" s="24" t="n">
        <v>33195.6</v>
      </c>
      <c r="G60" s="24" t="n">
        <v>915.1</v>
      </c>
    </row>
    <row r="61" customFormat="false" ht="15" hidden="false" customHeight="false" outlineLevel="0" collapsed="false">
      <c r="A61" s="0" t="n">
        <v>3</v>
      </c>
      <c r="B61" s="0" t="s">
        <v>44</v>
      </c>
      <c r="C61" s="0" t="s">
        <v>52</v>
      </c>
      <c r="D61" s="24" t="n">
        <v>349.3</v>
      </c>
      <c r="E61" s="24" t="n">
        <v>56181.03</v>
      </c>
      <c r="F61" s="24" t="n">
        <v>34300.75</v>
      </c>
      <c r="G61" s="24" t="n">
        <v>946.03</v>
      </c>
    </row>
    <row r="62" customFormat="false" ht="15" hidden="false" customHeight="false" outlineLevel="0" collapsed="false">
      <c r="A62" s="0" t="n">
        <v>1</v>
      </c>
      <c r="B62" s="0" t="s">
        <v>44</v>
      </c>
      <c r="C62" s="0" t="s">
        <v>53</v>
      </c>
      <c r="D62" s="24" t="n">
        <v>183.5</v>
      </c>
      <c r="E62" s="24" t="n">
        <v>34070.11</v>
      </c>
      <c r="F62" s="24" t="n">
        <v>17901.59</v>
      </c>
      <c r="G62" s="24" t="n">
        <v>2120.73</v>
      </c>
    </row>
    <row r="63" customFormat="false" ht="15" hidden="false" customHeight="false" outlineLevel="0" collapsed="false">
      <c r="A63" s="0" t="n">
        <v>2</v>
      </c>
      <c r="B63" s="0" t="s">
        <v>44</v>
      </c>
      <c r="C63" s="0" t="s">
        <v>53</v>
      </c>
      <c r="D63" s="24" t="n">
        <v>170.4</v>
      </c>
      <c r="E63" s="24" t="n">
        <v>32283.25</v>
      </c>
      <c r="F63" s="24" t="n">
        <v>16483.67</v>
      </c>
      <c r="G63" s="24" t="n">
        <v>1969.54</v>
      </c>
    </row>
    <row r="64" customFormat="false" ht="15" hidden="false" customHeight="false" outlineLevel="0" collapsed="false">
      <c r="A64" s="0" t="n">
        <v>3</v>
      </c>
      <c r="B64" s="0" t="s">
        <v>44</v>
      </c>
      <c r="C64" s="0" t="s">
        <v>53</v>
      </c>
      <c r="D64" s="24" t="n">
        <v>179.9</v>
      </c>
      <c r="E64" s="24" t="n">
        <v>34118.62</v>
      </c>
      <c r="F64" s="24" t="n">
        <v>17466.4</v>
      </c>
      <c r="G64" s="24" t="n">
        <v>2078.87</v>
      </c>
    </row>
    <row r="65" customFormat="false" ht="15" hidden="false" customHeight="false" outlineLevel="0" collapsed="false">
      <c r="A65" s="0" t="n">
        <v>1</v>
      </c>
      <c r="B65" s="0" t="s">
        <v>45</v>
      </c>
      <c r="C65" s="0" t="s">
        <v>50</v>
      </c>
      <c r="D65" s="24" t="n">
        <v>1221.8</v>
      </c>
      <c r="E65" s="24" t="n">
        <v>164157.41</v>
      </c>
      <c r="F65" s="24" t="n">
        <v>104550.28</v>
      </c>
      <c r="G65" s="24" t="n">
        <v>3310.12</v>
      </c>
    </row>
    <row r="66" customFormat="false" ht="15" hidden="false" customHeight="false" outlineLevel="0" collapsed="false">
      <c r="A66" s="0" t="n">
        <v>2</v>
      </c>
      <c r="B66" s="0" t="s">
        <v>45</v>
      </c>
      <c r="C66" s="0" t="s">
        <v>50</v>
      </c>
      <c r="D66" s="24" t="n">
        <v>1145.1</v>
      </c>
      <c r="E66" s="24" t="n">
        <v>156198.68</v>
      </c>
      <c r="F66" s="24" t="n">
        <v>97140.85</v>
      </c>
      <c r="G66" s="24" t="n">
        <v>3102.33</v>
      </c>
    </row>
    <row r="67" customFormat="false" ht="15" hidden="false" customHeight="false" outlineLevel="0" collapsed="false">
      <c r="A67" s="0" t="n">
        <v>3</v>
      </c>
      <c r="B67" s="0" t="s">
        <v>45</v>
      </c>
      <c r="C67" s="0" t="s">
        <v>50</v>
      </c>
      <c r="D67" s="24" t="n">
        <v>1227.7</v>
      </c>
      <c r="E67" s="24" t="n">
        <v>168132.7</v>
      </c>
      <c r="F67" s="24" t="n">
        <v>104462.63</v>
      </c>
      <c r="G67" s="24" t="n">
        <v>3326.15</v>
      </c>
    </row>
    <row r="68" customFormat="false" ht="15" hidden="false" customHeight="false" outlineLevel="0" collapsed="false">
      <c r="A68" s="0" t="n">
        <v>1</v>
      </c>
      <c r="B68" s="0" t="s">
        <v>45</v>
      </c>
      <c r="C68" s="0" t="s">
        <v>51</v>
      </c>
      <c r="D68" s="24" t="n">
        <v>1085.1</v>
      </c>
      <c r="E68" s="24" t="n">
        <v>127195.69</v>
      </c>
      <c r="F68" s="24" t="n">
        <v>92951.95</v>
      </c>
      <c r="G68" s="24" t="n">
        <v>2955.97</v>
      </c>
    </row>
    <row r="69" customFormat="false" ht="15" hidden="false" customHeight="false" outlineLevel="0" collapsed="false">
      <c r="A69" s="0" t="n">
        <v>2</v>
      </c>
      <c r="B69" s="0" t="s">
        <v>45</v>
      </c>
      <c r="C69" s="0" t="s">
        <v>51</v>
      </c>
      <c r="D69" s="24" t="n">
        <v>1043.4</v>
      </c>
      <c r="E69" s="24" t="n">
        <v>124083.7</v>
      </c>
      <c r="F69" s="24" t="n">
        <v>88840.51</v>
      </c>
      <c r="G69" s="24" t="n">
        <v>2842.23</v>
      </c>
    </row>
    <row r="70" customFormat="false" ht="15" hidden="false" customHeight="false" outlineLevel="0" collapsed="false">
      <c r="A70" s="0" t="n">
        <v>3</v>
      </c>
      <c r="B70" s="0" t="s">
        <v>45</v>
      </c>
      <c r="C70" s="0" t="s">
        <v>51</v>
      </c>
      <c r="D70" s="24" t="n">
        <v>1101.6</v>
      </c>
      <c r="E70" s="24" t="n">
        <v>131046.86</v>
      </c>
      <c r="F70" s="24" t="n">
        <v>94070.33</v>
      </c>
      <c r="G70" s="24" t="n">
        <v>3000.68</v>
      </c>
    </row>
    <row r="71" customFormat="false" ht="15" hidden="false" customHeight="false" outlineLevel="0" collapsed="false">
      <c r="A71" s="0" t="n">
        <v>1</v>
      </c>
      <c r="B71" s="0" t="s">
        <v>45</v>
      </c>
      <c r="C71" s="0" t="s">
        <v>52</v>
      </c>
      <c r="D71" s="24" t="n">
        <v>521.6</v>
      </c>
      <c r="E71" s="24" t="n">
        <v>66755.59</v>
      </c>
      <c r="F71" s="24" t="n">
        <v>44949.07</v>
      </c>
      <c r="G71" s="24" t="n">
        <v>1411.39</v>
      </c>
    </row>
    <row r="72" customFormat="false" ht="15" hidden="false" customHeight="false" outlineLevel="0" collapsed="false">
      <c r="A72" s="0" t="n">
        <v>2</v>
      </c>
      <c r="B72" s="0" t="s">
        <v>45</v>
      </c>
      <c r="C72" s="0" t="s">
        <v>52</v>
      </c>
      <c r="D72" s="24" t="n">
        <v>489.4</v>
      </c>
      <c r="E72" s="24" t="n">
        <v>63532.36</v>
      </c>
      <c r="F72" s="24" t="n">
        <v>41689.34</v>
      </c>
      <c r="G72" s="24" t="n">
        <v>1324.09</v>
      </c>
    </row>
    <row r="73" customFormat="false" ht="15" hidden="false" customHeight="false" outlineLevel="0" collapsed="false">
      <c r="A73" s="0" t="n">
        <v>3</v>
      </c>
      <c r="B73" s="0" t="s">
        <v>45</v>
      </c>
      <c r="C73" s="0" t="s">
        <v>52</v>
      </c>
      <c r="D73" s="24" t="n">
        <v>522.8</v>
      </c>
      <c r="E73" s="24" t="n">
        <v>67878.65</v>
      </c>
      <c r="F73" s="24" t="n">
        <v>45043.72</v>
      </c>
      <c r="G73" s="24" t="n">
        <v>1414.67</v>
      </c>
    </row>
    <row r="74" customFormat="false" ht="15" hidden="false" customHeight="false" outlineLevel="0" collapsed="false">
      <c r="A74" s="0" t="n">
        <v>1</v>
      </c>
      <c r="B74" s="0" t="s">
        <v>45</v>
      </c>
      <c r="C74" s="0" t="s">
        <v>53</v>
      </c>
      <c r="D74" s="24" t="n">
        <v>267.6</v>
      </c>
      <c r="E74" s="24" t="n">
        <v>40519.79</v>
      </c>
      <c r="F74" s="24" t="n">
        <v>22865.77</v>
      </c>
      <c r="G74" s="24" t="n">
        <v>3089.08</v>
      </c>
    </row>
    <row r="75" customFormat="false" ht="15" hidden="false" customHeight="false" outlineLevel="0" collapsed="false">
      <c r="A75" s="0" t="n">
        <v>2</v>
      </c>
      <c r="B75" s="0" t="s">
        <v>45</v>
      </c>
      <c r="C75" s="0" t="s">
        <v>53</v>
      </c>
      <c r="D75" s="24" t="n">
        <v>252.5</v>
      </c>
      <c r="E75" s="24" t="n">
        <v>38536.33</v>
      </c>
      <c r="F75" s="24" t="n">
        <v>21620.89</v>
      </c>
      <c r="G75" s="24" t="n">
        <v>2915.02</v>
      </c>
    </row>
    <row r="76" customFormat="false" ht="15" hidden="false" customHeight="false" outlineLevel="0" collapsed="false">
      <c r="A76" s="0" t="n">
        <v>3</v>
      </c>
      <c r="B76" s="0" t="s">
        <v>45</v>
      </c>
      <c r="C76" s="0" t="s">
        <v>53</v>
      </c>
      <c r="D76" s="24" t="n">
        <v>271.5</v>
      </c>
      <c r="E76" s="24" t="n">
        <v>41538.02</v>
      </c>
      <c r="F76" s="24" t="n">
        <v>23146.91</v>
      </c>
      <c r="G76" s="24" t="n">
        <v>3134.28</v>
      </c>
    </row>
    <row r="79" customFormat="false" ht="15" hidden="false" customHeight="false" outlineLevel="0" collapsed="false">
      <c r="A79" s="6" t="s">
        <v>159</v>
      </c>
      <c r="B79" s="6" t="s">
        <v>55</v>
      </c>
      <c r="C79" s="6" t="s">
        <v>92</v>
      </c>
    </row>
    <row r="80" customFormat="false" ht="15" hidden="false" customHeight="false" outlineLevel="0" collapsed="false">
      <c r="A80" s="0" t="n">
        <v>1</v>
      </c>
      <c r="B80" s="0" t="s">
        <v>59</v>
      </c>
      <c r="C80" s="24" t="n">
        <v>209034.54</v>
      </c>
    </row>
    <row r="81" customFormat="false" ht="15" hidden="false" customHeight="false" outlineLevel="0" collapsed="false">
      <c r="A81" s="0" t="n">
        <v>1</v>
      </c>
      <c r="B81" s="0" t="s">
        <v>60</v>
      </c>
      <c r="C81" s="24" t="n">
        <v>312816.08</v>
      </c>
    </row>
    <row r="82" customFormat="false" ht="15" hidden="false" customHeight="false" outlineLevel="0" collapsed="false">
      <c r="A82" s="0" t="n">
        <v>1</v>
      </c>
      <c r="B82" s="0" t="s">
        <v>61</v>
      </c>
      <c r="C82" s="24" t="n">
        <v>188063.25</v>
      </c>
    </row>
    <row r="83" customFormat="false" ht="15" hidden="false" customHeight="false" outlineLevel="0" collapsed="false">
      <c r="A83" s="0" t="n">
        <v>1</v>
      </c>
      <c r="B83" s="0" t="s">
        <v>62</v>
      </c>
      <c r="C83" s="24" t="n">
        <v>60980.75</v>
      </c>
    </row>
    <row r="84" customFormat="false" ht="15" hidden="false" customHeight="false" outlineLevel="0" collapsed="false">
      <c r="A84" s="0" t="n">
        <v>2</v>
      </c>
      <c r="B84" s="0" t="s">
        <v>59</v>
      </c>
      <c r="C84" s="24" t="n">
        <v>206766.75</v>
      </c>
    </row>
    <row r="85" customFormat="false" ht="15" hidden="false" customHeight="false" outlineLevel="0" collapsed="false">
      <c r="A85" s="0" t="n">
        <v>2</v>
      </c>
      <c r="B85" s="0" t="s">
        <v>60</v>
      </c>
      <c r="C85" s="24" t="n">
        <v>317161.93</v>
      </c>
    </row>
    <row r="86" customFormat="false" ht="15" hidden="false" customHeight="false" outlineLevel="0" collapsed="false">
      <c r="A86" s="0" t="n">
        <v>2</v>
      </c>
      <c r="B86" s="0" t="s">
        <v>61</v>
      </c>
      <c r="C86" s="24" t="n">
        <v>185869.08</v>
      </c>
    </row>
    <row r="87" customFormat="false" ht="15" hidden="false" customHeight="false" outlineLevel="0" collapsed="false">
      <c r="A87" s="0" t="n">
        <v>2</v>
      </c>
      <c r="B87" s="0" t="s">
        <v>62</v>
      </c>
      <c r="C87" s="24" t="n">
        <v>59724.43</v>
      </c>
    </row>
    <row r="88" customFormat="false" ht="15" hidden="false" customHeight="false" outlineLevel="0" collapsed="false">
      <c r="A88" s="0" t="n">
        <v>3</v>
      </c>
      <c r="B88" s="0" t="s">
        <v>59</v>
      </c>
      <c r="C88" s="24" t="n">
        <v>204685.67</v>
      </c>
    </row>
    <row r="89" customFormat="false" ht="15" hidden="false" customHeight="false" outlineLevel="0" collapsed="false">
      <c r="A89" s="0" t="n">
        <v>3</v>
      </c>
      <c r="B89" s="0" t="s">
        <v>60</v>
      </c>
      <c r="C89" s="24" t="n">
        <v>330972.48</v>
      </c>
    </row>
    <row r="90" customFormat="false" ht="15" hidden="false" customHeight="false" outlineLevel="0" collapsed="false">
      <c r="A90" s="0" t="n">
        <v>3</v>
      </c>
      <c r="B90" s="0" t="s">
        <v>61</v>
      </c>
      <c r="C90" s="24" t="n">
        <v>185700.75</v>
      </c>
    </row>
    <row r="91" customFormat="false" ht="15" hidden="false" customHeight="false" outlineLevel="0" collapsed="false">
      <c r="A91" s="0" t="n">
        <v>3</v>
      </c>
      <c r="B91" s="0" t="s">
        <v>62</v>
      </c>
      <c r="C91" s="24" t="n">
        <v>61086.33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15" hidden="false" customHeight="false" outlineLevel="0" collapsed="false">
      <c r="A4" s="6" t="s">
        <v>205</v>
      </c>
      <c r="B4" s="6" t="s">
        <v>206</v>
      </c>
      <c r="C4" s="6" t="s">
        <v>207</v>
      </c>
      <c r="D4" s="6" t="s">
        <v>208</v>
      </c>
    </row>
    <row r="5" customFormat="false" ht="15" hidden="false" customHeight="false" outlineLevel="0" collapsed="false">
      <c r="A5" s="0" t="s">
        <v>209</v>
      </c>
      <c r="B5" s="28" t="n">
        <f aca="false">ABS(SUM(Data_Base!B32:M32)-1)+ABS(SUM(Data_Base!B33:M33)-1)+ABS(SUM(Data_Base!B34:M34)-1)+ABS(SUM(Data_Base!B35:M35)-1)+ABS(SUM(Data_Base!B36:M36)-1)+ABS(SUM(Data_Base!B37:M37)-1)</f>
        <v>0</v>
      </c>
      <c r="C5" s="29" t="n">
        <v>1E-009</v>
      </c>
      <c r="D5" s="0" t="str">
        <f aca="false">IF(ABS(B5)&lt;=C5,"PASS","FAIL")</f>
        <v>PASS</v>
      </c>
    </row>
    <row r="6" customFormat="false" ht="15" hidden="false" customHeight="false" outlineLevel="0" collapsed="false">
      <c r="A6" s="0" t="s">
        <v>210</v>
      </c>
      <c r="B6" s="28" t="n">
        <f aca="false">SUM(Build!$F$5:$F$292)-SUMPRODUCT(SUMIFS(Data_Base!$C$5:$C$28,Data_Base!$B$5:$B$28,Assumptions!$A$19:$A$22),1+Assumptions!$B$19:$B$22)</f>
        <v>0</v>
      </c>
      <c r="C6" s="29" t="n">
        <v>1E-006</v>
      </c>
      <c r="D6" s="0" t="str">
        <f aca="false">IF(ABS(B6)&lt;=C6,"PASS","FAIL")</f>
        <v>PASS</v>
      </c>
    </row>
    <row r="7" customFormat="false" ht="15" hidden="false" customHeight="false" outlineLevel="0" collapsed="false">
      <c r="A7" s="0" t="s">
        <v>211</v>
      </c>
      <c r="B7" s="28" t="n">
        <f aca="false">SUMIFS(Build!$J$5:$J$292,Build!$A$5:$A$292,"&lt;"&amp;Assumptions!C37)-SUMPRODUCT((Build!$A$5:$A$292&lt;Assumptions!C37)*Build!$F$5:$F$292*Build!$G$5:$G$292)</f>
        <v>0</v>
      </c>
      <c r="C7" s="29" t="n">
        <v>0.01</v>
      </c>
      <c r="D7" s="0" t="str">
        <f aca="false">IF(ABS(B7)&lt;=C7,"PASS","FAIL")</f>
        <v>PASS</v>
      </c>
    </row>
    <row r="8" customFormat="false" ht="15" hidden="false" customHeight="false" outlineLevel="0" collapsed="false">
      <c r="A8" s="0" t="s">
        <v>212</v>
      </c>
      <c r="B8" s="28" t="n">
        <f aca="false">Statements!O6-Consolidation!E6</f>
        <v>0</v>
      </c>
      <c r="C8" s="29" t="n">
        <v>0.01</v>
      </c>
      <c r="D8" s="0" t="str">
        <f aca="false">IF(ABS(B8)&lt;=C8,"PASS","FAIL")</f>
        <v>PASS</v>
      </c>
    </row>
    <row r="9" customFormat="false" ht="15" hidden="false" customHeight="false" outlineLevel="0" collapsed="false">
      <c r="A9" s="0" t="s">
        <v>213</v>
      </c>
      <c r="B9" s="28" t="n">
        <f aca="false">Statements!O10-Consolidation!E10</f>
        <v>0</v>
      </c>
      <c r="C9" s="29" t="n">
        <v>0.01</v>
      </c>
      <c r="D9" s="0" t="str">
        <f aca="false">IF(ABS(B9)&lt;=C9,"PASS","FAIL")</f>
        <v>PASS</v>
      </c>
    </row>
    <row r="10" customFormat="false" ht="15" hidden="false" customHeight="false" outlineLevel="0" collapsed="false">
      <c r="A10" s="0" t="s">
        <v>214</v>
      </c>
      <c r="B10" s="28" t="n">
        <f aca="false">Statements!O11-Consolidation!E11</f>
        <v>0</v>
      </c>
      <c r="C10" s="29" t="n">
        <v>0.01</v>
      </c>
      <c r="D10" s="0" t="str">
        <f aca="false">IF(ABS(B10)&lt;=C10,"PASS","FAIL")</f>
        <v>PASS</v>
      </c>
    </row>
    <row r="11" customFormat="false" ht="15" hidden="false" customHeight="false" outlineLevel="0" collapsed="false">
      <c r="A11" s="0" t="s">
        <v>215</v>
      </c>
      <c r="B11" s="28" t="n">
        <f aca="false">SUMPRODUCT(ABS(Statements!B33:N33))</f>
        <v>0</v>
      </c>
      <c r="C11" s="29" t="n">
        <v>0.01</v>
      </c>
      <c r="D11" s="0" t="str">
        <f aca="false">IF(ABS(B11)&lt;=C11,"PASS","FAIL")</f>
        <v>PASS</v>
      </c>
    </row>
    <row r="12" customFormat="false" ht="15" hidden="false" customHeight="false" outlineLevel="0" collapsed="false">
      <c r="A12" s="0" t="s">
        <v>216</v>
      </c>
      <c r="B12" s="28" t="n">
        <f aca="false">SUMPRODUCT(ABS(Statements!C45:N45))</f>
        <v>0</v>
      </c>
      <c r="C12" s="29" t="n">
        <v>0.01</v>
      </c>
      <c r="D12" s="0" t="str">
        <f aca="false">IF(ABS(B12)&lt;=C12,"PASS","FAIL")</f>
        <v>PASS</v>
      </c>
    </row>
    <row r="13" customFormat="false" ht="15" hidden="false" customHeight="false" outlineLevel="0" collapsed="false">
      <c r="A13" s="0" t="s">
        <v>217</v>
      </c>
      <c r="B13" s="28" t="n">
        <f aca="false">-MIN(0,MIN(Statements!C30:N30))</f>
        <v>-0</v>
      </c>
      <c r="C13" s="29" t="n">
        <v>0.01</v>
      </c>
      <c r="D13" s="0" t="str">
        <f aca="false">IF(ABS(B13)&lt;=C13,"PASS","FAIL")</f>
        <v>PASS</v>
      </c>
    </row>
    <row r="14" customFormat="false" ht="15" hidden="false" customHeight="false" outlineLevel="0" collapsed="false">
      <c r="A14" s="0" t="s">
        <v>218</v>
      </c>
      <c r="B14" s="28" t="n">
        <f aca="false">MAX(0,Assumptions!C42-MIN(Statements!C23:N23))</f>
        <v>0</v>
      </c>
      <c r="C14" s="29" t="n">
        <v>0.01</v>
      </c>
      <c r="D14" s="0" t="str">
        <f aca="false">IF(ABS(B14)&lt;=C14,"PASS","FAIL")</f>
        <v>PASS</v>
      </c>
    </row>
    <row r="15" customFormat="false" ht="15" hidden="false" customHeight="false" outlineLevel="0" collapsed="false">
      <c r="A15" s="0" t="s">
        <v>219</v>
      </c>
      <c r="B15" s="28" t="n">
        <f aca="false">Statements!O31-Statements!B31-Statements!O17</f>
        <v>0</v>
      </c>
      <c r="C15" s="29" t="n">
        <v>0.01</v>
      </c>
      <c r="D15" s="0" t="str">
        <f aca="false">IF(ABS(B15)&lt;=C15,"PASS","FAIL")</f>
        <v>PASS</v>
      </c>
    </row>
    <row r="16" customFormat="false" ht="15" hidden="false" customHeight="false" outlineLevel="0" collapsed="false">
      <c r="A16" s="0" t="s">
        <v>220</v>
      </c>
      <c r="B16" s="28" t="n">
        <f aca="false">Consolidation!D11+Consolidation!B24-Consolidation!E11</f>
        <v>0</v>
      </c>
      <c r="C16" s="29" t="n">
        <v>0.01</v>
      </c>
      <c r="D16" s="0" t="str">
        <f aca="false">IF(ABS(B16)&lt;=C16,"PASS","FAIL")</f>
        <v>PASS</v>
      </c>
    </row>
    <row r="17" customFormat="false" ht="15" hidden="false" customHeight="false" outlineLevel="0" collapsed="false">
      <c r="A17" s="0" t="s">
        <v>221</v>
      </c>
      <c r="B17" s="28" t="n">
        <f aca="false">SUMIFS(Build!$Q$5:$Q$292,Build!$A$5:$A$292,"&lt;=3")-SUM(Data_Q1!E5:E76)</f>
        <v>0</v>
      </c>
      <c r="C17" s="29" t="n">
        <v>0.01</v>
      </c>
      <c r="D17" s="0" t="str">
        <f aca="false">IF(ABS(B17)&lt;=C17,"PASS","FAIL")</f>
        <v>PASS</v>
      </c>
    </row>
    <row r="18" customFormat="false" ht="15" hidden="false" customHeight="false" outlineLevel="0" collapsed="false">
      <c r="A18" s="0" t="s">
        <v>222</v>
      </c>
      <c r="B18" s="28" t="n">
        <f aca="false">SUM(Reforecast!C20:C23)-SUM(Data_Q1!C80:C91)</f>
        <v>0</v>
      </c>
      <c r="C18" s="29" t="n">
        <v>0.01</v>
      </c>
      <c r="D18" s="0" t="str">
        <f aca="false">IF(ABS(B18)&lt;=C18,"PASS","FAIL")</f>
        <v>PASS</v>
      </c>
    </row>
    <row r="19" customFormat="false" ht="15" hidden="false" customHeight="false" outlineLevel="0" collapsed="false">
      <c r="A19" s="0" t="s">
        <v>223</v>
      </c>
      <c r="B19" s="28" t="n">
        <f aca="false">Reforecast!B37-Reforecast!D30</f>
        <v>0</v>
      </c>
      <c r="C19" s="29" t="n">
        <v>0.01</v>
      </c>
      <c r="D19" s="0" t="str">
        <f aca="false">IF(ABS(B19)&lt;=C19,"PASS","FAIL")</f>
        <v>PASS</v>
      </c>
    </row>
    <row r="21" customFormat="false" ht="15" hidden="false" customHeight="false" outlineLevel="0" collapsed="false">
      <c r="A21" s="0" t="s">
        <v>28</v>
      </c>
      <c r="B21" s="30" t="n">
        <f aca="false">COUNTIF(D5:D19,"PASS")</f>
        <v>15</v>
      </c>
      <c r="C21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2026-10-23T11:27:09Z</dcterms:created>
  <dc:creator>openpyxl</dc:creator>
  <dc:description/>
  <dc:language>en-US</dc:language>
  <cp:lastModifiedBy/>
  <dcterms:modified xsi:type="dcterms:W3CDTF">2026-10-23T11:27:09Z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