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04d154b6f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c59244755114810"/>
    <x:sheet xmlns:r="http://schemas.openxmlformats.org/officeDocument/2006/relationships" name="Forecast" sheetId="2" r:id="Ra474f43c608a449c"/>
    <x:sheet xmlns:r="http://schemas.openxmlformats.org/officeDocument/2006/relationships" name="Capital plan" sheetId="3" r:id="R30d88876aeb14a08"/>
    <x:sheet xmlns:r="http://schemas.openxmlformats.org/officeDocument/2006/relationships" name="Assumptions" sheetId="4" r:id="Rc73b0472b30c40f3"/>
    <x:sheet xmlns:r="http://schemas.openxmlformats.org/officeDocument/2006/relationships" name="Checks" sheetId="5" r:id="R4ee3dae711e04a90"/>
    <x:sheet xmlns:r="http://schemas.openxmlformats.org/officeDocument/2006/relationships" name="Municipal data" sheetId="6" r:id="R4b1a4d9ac4514a25"/>
    <x:sheet xmlns:r="http://schemas.openxmlformats.org/officeDocument/2006/relationships" name="Asset data" sheetId="7" r:id="R7f1737ac045b4f1e"/>
    <x:sheet xmlns:r="http://schemas.openxmlformats.org/officeDocument/2006/relationships" name="ReadMe" sheetId="8" r:id="R9f83b76a8e90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"/>
    <x:numFmt numFmtId="201" formatCode="#,##0"/>
    <x:numFmt numFmtId="202" formatCode="$#,##0;($#,##0);-"/>
    <x:numFmt numFmtId="203" formatCode="0.0%"/>
    <x:numFmt numFmtId="204" formatCode="$0.00,,,&quot;B&quot;"/>
    <x:numFmt numFmtId="205" formatCode="$0.00,,,&quot;B&quot;;($0.00,,,&quot;B&quot;);-"/>
    <x:numFmt numFmtId="206" formatCode="$#,##0"/>
    <x:numFmt numFmtId="207" formatCode="$0.0,,,&quot;B&quot;"/>
    <x:numFmt numFmtId="208" formatCode="$0.0,,,&quot;B&quot;;($0.0,,,&quot;B&quot;);-"/>
    <x:numFmt numFmtId="209" formatCode="#,##0.00;(#,##0.00);-"/>
  </x:numFmts>
  <x:fonts count="17">
    <x:font>
      <x:sz val="11"/>
      <x:name val="Carlito"/>
    </x:font>
    <x:font>
      <x:b/>
      <x:sz val="9"/>
      <x:color rgb="FFFFFFFF"/>
      <x:name val="Arial"/>
    </x:font>
    <x:font>
      <x:b/>
      <x:sz val="9"/>
      <x:color rgb="FF1F2937"/>
      <x:name val="Arial"/>
    </x:font>
    <x:font>
      <x:sz val="9"/>
      <x:color rgb="FF1F2937"/>
      <x:name val="Arial"/>
    </x:font>
    <x:font>
      <x:sz val="10"/>
      <x:color rgb="FF1F2937"/>
      <x:name val="Arial"/>
    </x:font>
    <x:font>
      <x:b/>
      <x:sz val="16"/>
      <x:color rgb="FF183A61"/>
      <x:name val="Arial"/>
    </x:font>
    <x:font>
      <x:i/>
      <x:sz val="9"/>
      <x:color rgb="FF5F6B7A"/>
      <x:name val="Arial"/>
    </x:font>
    <x:font>
      <x:b/>
      <x:sz val="11"/>
      <x:color rgb="FF0000FF"/>
      <x:name val="Arial"/>
    </x:font>
    <x:font>
      <x:b/>
      <x:sz val="11"/>
      <x:color rgb="FF008000"/>
      <x:name val="Arial"/>
    </x:font>
    <x:font>
      <x:b/>
      <x:sz val="10"/>
      <x:color rgb="FF1F2937"/>
      <x:name val="Arial"/>
    </x:font>
    <x:font>
      <x:b/>
      <x:sz val="10"/>
      <x:color rgb="FF008000"/>
      <x:name val="Arial"/>
    </x:font>
    <x:font>
      <x:sz val="10"/>
      <x:color rgb="FF0000FF"/>
      <x:name val="Arial"/>
    </x:font>
    <x:font>
      <x:b/>
      <x:sz val="8"/>
      <x:color rgb="FF5F6B7A"/>
      <x:name val="Arial"/>
    </x:font>
    <x:font>
      <x:b/>
      <x:sz val="15"/>
      <x:color rgb="FF183A61"/>
      <x:name val="Arial"/>
    </x:font>
    <x:font>
      <x:sz val="8"/>
      <x:color rgb="FF5F6B7A"/>
      <x:name val="Arial"/>
    </x:font>
    <x:font>
      <x:b/>
      <x:sz val="10"/>
      <x:color rgb="FFFFFFFF"/>
      <x:name val="Arial"/>
    </x:font>
    <x:font>
      <x:b/>
      <x:sz val="10"/>
      <x:color rgb="FF183A6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74F78"/>
      </x:patternFill>
    </x:fill>
    <x:fill>
      <x:patternFill patternType="solid">
        <x:fgColor rgb="FFFFF2CC"/>
      </x:patternFill>
    </x:fill>
    <x:fill>
      <x:patternFill patternType="solid">
        <x:fgColor rgb="FFDCEAF2"/>
      </x:patternFill>
    </x:fill>
    <x:fill>
      <x:patternFill patternType="solid">
        <x:fgColor rgb="FFF3F7FA"/>
      </x:patternFill>
    </x:fill>
    <x:fill>
      <x:patternFill patternType="solid">
        <x:fgColor rgb="FF183A61"/>
      </x:patternFill>
    </x:fill>
  </x:fills>
  <x:borders count="19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183A61"/>
      </x:bottom>
    </x:border>
    <x:border>
      <x:bottom style="thin">
        <x:color rgb="FFC9D5E0"/>
      </x:bottom>
    </x:border>
    <x:border>
      <x:left style="thin">
        <x:color rgb="FFC9D5E0"/>
      </x:left>
      <x:top style="thin">
        <x:color rgb="FFC9D5E0"/>
      </x:top>
    </x:border>
    <x:border>
      <x:top style="thin">
        <x:color rgb="FFC9D5E0"/>
      </x:top>
    </x:border>
    <x:border>
      <x:right style="thin">
        <x:color rgb="FFC9D5E0"/>
      </x:right>
      <x:top style="thin">
        <x:color rgb="FFC9D5E0"/>
      </x:top>
    </x:border>
    <x:border>
      <x:left style="thin">
        <x:color rgb="FFC9D5E0"/>
      </x:left>
    </x:border>
    <x:border>
      <x:right style="thin">
        <x:color rgb="FFC9D5E0"/>
      </x:right>
    </x:border>
    <x:border>
      <x:left style="thin">
        <x:color rgb="FFC9D5E0"/>
      </x:left>
      <x:bottom style="thin">
        <x:color rgb="FFC9D5E0"/>
      </x:bottom>
    </x:border>
    <x:border>
      <x:right style="thin">
        <x:color rgb="FFC9D5E0"/>
      </x:right>
      <x:bottom style="thin">
        <x:color rgb="FFC9D5E0"/>
      </x:bottom>
    </x:border>
    <x:border>
      <x:left style="thin">
        <x:color rgb="FFC9D5E0"/>
      </x:left>
      <x:right style="thin">
        <x:color rgb="FFC9D5E0"/>
      </x:right>
      <x:top style="thin">
        <x:color rgb="FFC9D5E0"/>
      </x:top>
    </x:border>
    <x:border>
      <x:left style="thin">
        <x:color rgb="FFC9D5E0"/>
      </x:left>
      <x:right style="thin">
        <x:color rgb="FFC9D5E0"/>
      </x:right>
    </x:border>
    <x:border>
      <x:left style="thin">
        <x:color rgb="FFC9D5E0"/>
      </x:left>
      <x:right style="thin">
        <x:color rgb="FFC9D5E0"/>
      </x:right>
      <x:bottom style="thin">
        <x:color rgb="FFC9D5E0"/>
      </x:bottom>
    </x:border>
    <x:border>
      <x:left style="thin">
        <x:color rgb="FF183A61"/>
      </x:left>
      <x:top style="thin">
        <x:color rgb="FF183A61"/>
      </x:top>
      <x:bottom style="thin">
        <x:color rgb="FF183A61"/>
      </x:bottom>
    </x:border>
    <x:border>
      <x:top style="thin">
        <x:color rgb="FF183A61"/>
      </x:top>
      <x:bottom style="thin">
        <x:color rgb="FF183A61"/>
      </x:bottom>
    </x:border>
    <x:border>
      <x:right style="thin">
        <x:color rgb="FF183A61"/>
      </x:right>
      <x:top style="thin">
        <x:color rgb="FF183A61"/>
      </x:top>
      <x:bottom style="thin">
        <x:color rgb="FF183A61"/>
      </x:bottom>
    </x:border>
    <x:border>
      <x:top style="thin">
        <x:color rgb="FFC9D5E0"/>
      </x:top>
      <x:bottom style="thin">
        <x:color rgb="FFC9D5E0"/>
      </x:bottom>
    </x:border>
    <x:border>
      <x:bottom style="double">
        <x:color rgb="FF183A61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3" fontId="10" fillId="4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3" fontId="11" fillId="0" borderId="3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12" fillId="5" borderId="4" xfId="0" applyNumberFormat="1" applyFont="1" applyFill="1" applyBorder="1" applyAlignment="1">
      <x:alignment vertical="center"/>
    </x:xf>
    <x:xf numFmtId="0" fontId="12" fillId="5" borderId="5" xfId="0" applyNumberFormat="1" applyFont="1" applyFill="1" applyBorder="1" applyAlignment="1">
      <x:alignment vertical="center"/>
    </x:xf>
    <x:xf numFmtId="0" fontId="12" fillId="5" borderId="6" xfId="0" applyNumberFormat="1" applyFont="1" applyFill="1" applyBorder="1" applyAlignment="1">
      <x:alignment vertical="center"/>
    </x:xf>
    <x:xf numFmtId="0" fontId="13" fillId="5" borderId="7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0" fontId="13" fillId="5" borderId="8" xfId="0" applyNumberFormat="1" applyFont="1" applyFill="1" applyBorder="1" applyAlignment="1">
      <x:alignment vertical="center"/>
    </x:xf>
    <x:xf numFmtId="204" fontId="13" fillId="5" borderId="7" xfId="0" applyNumberFormat="1" applyFont="1" applyFill="1" applyBorder="1" applyAlignment="1">
      <x:alignment vertical="center"/>
    </x:xf>
    <x:xf numFmtId="204" fontId="13" fillId="5" borderId="0" xfId="0" applyNumberFormat="1" applyFont="1" applyFill="1" applyBorder="1" applyAlignment="1">
      <x:alignment vertical="center"/>
    </x:xf>
    <x:xf numFmtId="204" fontId="13" fillId="5" borderId="8" xfId="0" applyNumberFormat="1" applyFont="1" applyFill="1" applyBorder="1" applyAlignment="1">
      <x:alignment vertical="center"/>
    </x:xf>
    <x:xf numFmtId="0" fontId="14" fillId="5" borderId="9" xfId="0" applyNumberFormat="1" applyFont="1" applyFill="1" applyBorder="1" applyAlignment="1">
      <x:alignment vertical="center"/>
    </x:xf>
    <x:xf numFmtId="0" fontId="14" fillId="5" borderId="3" xfId="0" applyNumberFormat="1" applyFont="1" applyFill="1" applyBorder="1" applyAlignment="1">
      <x:alignment vertical="center"/>
    </x:xf>
    <x:xf numFmtId="0" fontId="14" fillId="5" borderId="10" xfId="0" applyNumberFormat="1" applyFont="1" applyFill="1" applyBorder="1" applyAlignment="1">
      <x:alignment vertical="center"/>
    </x:xf>
    <x:xf numFmtId="0" fontId="14" fillId="5" borderId="9" xfId="0" applyNumberFormat="1" applyFont="1" applyFill="1" applyBorder="1" applyAlignment="1">
      <x:alignment vertical="center" wrapText="1"/>
    </x:xf>
    <x:xf numFmtId="0" fontId="14" fillId="5" borderId="3" xfId="0" applyNumberFormat="1" applyFont="1" applyFill="1" applyBorder="1" applyAlignment="1">
      <x:alignment vertical="center" wrapText="1"/>
    </x:xf>
    <x:xf numFmtId="0" fontId="14" fillId="5" borderId="10" xfId="0" applyNumberFormat="1" applyFont="1" applyFill="1" applyBorder="1" applyAlignment="1">
      <x:alignment vertical="center" wrapText="1"/>
    </x:xf>
    <x:xf numFmtId="205" fontId="13" fillId="5" borderId="7" xfId="0" applyNumberFormat="1" applyFont="1" applyFill="1" applyBorder="1" applyAlignment="1">
      <x:alignment vertical="center"/>
    </x:xf>
    <x:xf numFmtId="205" fontId="13" fillId="5" borderId="0" xfId="0" applyNumberFormat="1" applyFont="1" applyFill="1" applyBorder="1" applyAlignment="1">
      <x:alignment vertical="center"/>
    </x:xf>
    <x:xf numFmtId="205" fontId="13" fillId="5" borderId="8" xfId="0" applyNumberFormat="1" applyFont="1" applyFill="1" applyBorder="1" applyAlignment="1">
      <x:alignment vertical="center"/>
    </x:xf>
    <x:xf numFmtId="203" fontId="13" fillId="5" borderId="7" xfId="0" applyNumberFormat="1" applyFont="1" applyFill="1" applyBorder="1" applyAlignment="1">
      <x:alignment vertical="center"/>
    </x:xf>
    <x:xf numFmtId="203" fontId="13" fillId="5" borderId="0" xfId="0" applyNumberFormat="1" applyFont="1" applyFill="1" applyBorder="1" applyAlignment="1">
      <x:alignment vertical="center"/>
    </x:xf>
    <x:xf numFmtId="203" fontId="13" fillId="5" borderId="8" xfId="0" applyNumberFormat="1" applyFont="1" applyFill="1" applyBorder="1" applyAlignment="1">
      <x:alignment vertical="center"/>
    </x:xf>
    <x:xf numFmtId="206" fontId="13" fillId="5" borderId="7" xfId="0" applyNumberFormat="1" applyFont="1" applyFill="1" applyBorder="1" applyAlignment="1">
      <x:alignment vertical="center"/>
    </x:xf>
    <x:xf numFmtId="206" fontId="13" fillId="5" borderId="0" xfId="0" applyNumberFormat="1" applyFont="1" applyFill="1" applyBorder="1" applyAlignment="1">
      <x:alignment vertical="center"/>
    </x:xf>
    <x:xf numFmtId="206" fontId="13" fillId="5" borderId="8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0" fontId="12" fillId="5" borderId="11" xfId="0" applyNumberFormat="1" applyFont="1" applyFill="1" applyBorder="1" applyAlignment="1">
      <x:alignment vertical="center"/>
    </x:xf>
    <x:xf numFmtId="0" fontId="13" fillId="5" borderId="12" xfId="0" applyNumberFormat="1" applyFont="1" applyFill="1" applyBorder="1" applyAlignment="1">
      <x:alignment vertical="center"/>
    </x:xf>
    <x:xf numFmtId="203" fontId="13" fillId="5" borderId="12" xfId="0" applyNumberFormat="1" applyFont="1" applyFill="1" applyBorder="1" applyAlignment="1">
      <x:alignment vertical="center"/>
    </x:xf>
    <x:xf numFmtId="0" fontId="14" fillId="5" borderId="13" xfId="0" applyNumberFormat="1" applyFont="1" applyFill="1" applyBorder="1" applyAlignment="1">
      <x:alignment vertical="center"/>
    </x:xf>
    <x:xf numFmtId="0" fontId="14" fillId="5" borderId="13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 applyAlignment="1">
      <x:alignment vertical="center"/>
    </x:xf>
    <x:xf numFmtId="0" fontId="15" fillId="6" borderId="14" xfId="0" applyNumberFormat="1" applyFont="1" applyFill="1" applyBorder="1" applyAlignment="1">
      <x:alignment vertical="center"/>
    </x:xf>
    <x:xf numFmtId="0" fontId="15" fillId="6" borderId="15" xfId="0" applyNumberFormat="1" applyFont="1" applyFill="1" applyBorder="1" applyAlignment="1">
      <x:alignment vertical="center"/>
    </x:xf>
    <x:xf numFmtId="0" fontId="15" fillId="6" borderId="16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206" fontId="4" fillId="0" borderId="17" xfId="0" applyNumberFormat="1" applyFont="1" applyFill="1" applyBorder="1" applyAlignment="1">
      <x:alignment vertical="center"/>
    </x:xf>
    <x:xf numFmtId="202" fontId="4" fillId="0" borderId="17" xfId="0" applyNumberFormat="1" applyFont="1" applyFill="1" applyBorder="1" applyAlignment="1">
      <x:alignment vertical="center"/>
    </x:xf>
    <x:xf numFmtId="203" fontId="4" fillId="0" borderId="17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207" fontId="4" fillId="0" borderId="0" xfId="0" applyNumberFormat="1" applyFont="1" applyFill="1" applyBorder="1" applyAlignment="1">
      <x:alignment vertical="center"/>
    </x:xf>
    <x:xf numFmtId="208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vertical="center"/>
    </x:xf>
    <x:xf numFmtId="202" fontId="16" fillId="4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9" fillId="0" borderId="18" xfId="0" applyNumberFormat="1" applyFont="1" applyFill="1" applyBorder="1" applyAlignment="1">
      <x:alignment vertical="center"/>
    </x:xf>
    <x:xf numFmtId="202" fontId="9" fillId="0" borderId="18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3" fontId="9" fillId="0" borderId="18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0" fontId="9" fillId="0" borderId="17" xfId="0" applyNumberFormat="1" applyFont="1" applyFill="1" applyBorder="1" applyAlignment="1">
      <x:alignment vertical="center"/>
    </x:xf>
    <x:xf numFmtId="202" fontId="9" fillId="0" borderId="17" xfId="0" applyNumberFormat="1" applyFont="1" applyFill="1" applyBorder="1" applyAlignment="1">
      <x:alignment vertical="center"/>
    </x:xf>
    <x:xf numFmtId="203" fontId="9" fillId="0" borderId="17" xfId="0" applyNumberFormat="1" applyFont="1" applyFill="1" applyBorder="1" applyAlignment="1">
      <x:alignment vertical="center"/>
    </x:xf>
    <x:xf numFmtId="209" fontId="4" fillId="0" borderId="0" xfId="0" applyNumberFormat="1" applyFont="1" applyFill="1" applyBorder="1" applyAlignment="1">
      <x:alignment vertical="center"/>
    </x:xf>
    <x:xf numFmtId="209" fontId="4" fillId="0" borderId="3" xfId="0" applyNumberFormat="1" applyFont="1" applyFill="1" applyBorder="1" applyAlignment="1">
      <x:alignment vertical="center"/>
    </x:xf>
    <x:xf numFmtId="209" fontId="4" fillId="0" borderId="1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31a773163458b" /><Relationship Type="http://schemas.openxmlformats.org/officeDocument/2006/relationships/theme" Target="/xl/theme/theme1.xml" Id="R866dfa3ff2394ca3" /><Relationship Type="http://schemas.openxmlformats.org/officeDocument/2006/relationships/sharedStrings" Target="/xl/sharedStrings.xml" Id="R603b86d6a5324c70" /><Relationship Type="http://schemas.openxmlformats.org/officeDocument/2006/relationships/worksheet" Target="/xl/worksheets/sheet1.xml" Id="R6c59244755114810" /><Relationship Type="http://schemas.openxmlformats.org/officeDocument/2006/relationships/worksheet" Target="/xl/worksheets/sheet2.xml" Id="Ra474f43c608a449c" /><Relationship Type="http://schemas.openxmlformats.org/officeDocument/2006/relationships/worksheet" Target="/xl/worksheets/sheet3.xml" Id="R30d88876aeb14a08" /><Relationship Type="http://schemas.openxmlformats.org/officeDocument/2006/relationships/worksheet" Target="/xl/worksheets/sheet4.xml" Id="Rc73b0472b30c40f3" /><Relationship Type="http://schemas.openxmlformats.org/officeDocument/2006/relationships/worksheet" Target="/xl/worksheets/sheet5.xml" Id="R4ee3dae711e04a90" /><Relationship Type="http://schemas.openxmlformats.org/officeDocument/2006/relationships/worksheet" Target="/xl/worksheets/sheet6.xml" Id="R4b1a4d9ac4514a25" /><Relationship Type="http://schemas.openxmlformats.org/officeDocument/2006/relationships/worksheet" Target="/xl/worksheets/sheet7.xml" Id="R7f1737ac045b4f1e" /><Relationship Type="http://schemas.openxmlformats.org/officeDocument/2006/relationships/worksheet" Target="/xl/worksheets/sheet8.xml" Id="R9f83b76a8e9045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c64ff3b064490b" /><Relationship Type="http://schemas.openxmlformats.org/officeDocument/2006/relationships/chart" Target="/xl/drawings/charts/chart2.xml" Id="Rd73921e8378e497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21da6a7dba248e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ec4098c2d4540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expenses ($ billions)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83A61"/>
              </a:solidFill>
              <a:prstDash val="solid"/>
            </a:ln>
          </c:spPr>
          <c:marker>
            <c:symbol val="none"/>
          </c:marker>
          <c:cat>
            <c:strRef>
              <c:f>'Dashboard'!$C$31:$C$36</c:f>
              <c:strCache>
                <c:ptCount val="0"/>
              </c:strCache>
            </c:strRef>
          </c:cat>
          <c:val>
            <c:numRef>
              <c:f>'Dashboard'!$D$31:$D$36</c:f>
              <c:numCache>
                <c:formatCode>$0.0,,,"B"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</c:v>
          </c:tx>
          <c:spPr>
            <a:ln xmlns:a="http://schemas.openxmlformats.org/drawingml/2006/main" w="19050">
              <a:solidFill>
                <a:srgbClr val="007C78"/>
              </a:solidFill>
              <a:prstDash val="solid"/>
            </a:ln>
          </c:spPr>
          <c:marker>
            <c:symbol val="none"/>
          </c:marker>
          <c:cat>
            <c:strRef>
              <c:f>'Dashboard'!$C$31:$C$36</c:f>
              <c:strCache>
                <c:ptCount val="0"/>
              </c:strCache>
            </c:strRef>
          </c:cat>
          <c:val>
            <c:numRef>
              <c:f>'Dashboard'!$E$31:$E$36</c:f>
              <c:numCache>
                <c:formatCode>$0.0,,,"B"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,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Financial position ($ billions)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financial assets</c:v>
          </c:tx>
          <c:spPr>
            <a:ln xmlns:a="http://schemas.openxmlformats.org/drawingml/2006/main" w="19050">
              <a:solidFill>
                <a:srgbClr val="007C78"/>
              </a:solidFill>
              <a:prstDash val="solid"/>
            </a:ln>
          </c:spPr>
          <c:marker>
            <c:symbol val="none"/>
          </c:marker>
          <c:cat>
            <c:strRef>
              <c:f>'Dashboard'!$K$31:$K$36</c:f>
              <c:strCache>
                <c:ptCount val="0"/>
              </c:strCache>
            </c:strRef>
          </c:cat>
          <c:val>
            <c:numRef>
              <c:f>'Dashboard'!$L$31:$L$36</c:f>
              <c:numCache>
                <c:formatCode>$0.0,,,"B";($0.0,,,"B");-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Statutory reserves</c:v>
          </c:tx>
          <c:spPr>
            <a:ln xmlns:a="http://schemas.openxmlformats.org/drawingml/2006/main" w="19050">
              <a:solidFill>
                <a:srgbClr val="3B82A0"/>
              </a:solidFill>
              <a:prstDash val="solid"/>
            </a:ln>
          </c:spPr>
          <c:marker>
            <c:symbol val="none"/>
          </c:marker>
          <c:cat>
            <c:strRef>
              <c:f>'Dashboard'!$K$31:$K$36</c:f>
              <c:strCache>
                <c:ptCount val="0"/>
              </c:strCache>
            </c:strRef>
          </c:cat>
          <c:val>
            <c:numRef>
              <c:f>'Dashboard'!$M$31:$M$36</c:f>
              <c:numCache>
                <c:formatCode>$0.0,,,"B";($0.0,,,"B");-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Closing debt</c:v>
          </c:tx>
          <c:spPr>
            <a:ln xmlns:a="http://schemas.openxmlformats.org/drawingml/2006/main" w="19050">
              <a:solidFill>
                <a:srgbClr val="183A61"/>
              </a:solidFill>
              <a:prstDash val="solid"/>
            </a:ln>
          </c:spPr>
          <c:marker>
            <c:symbol val="none"/>
          </c:marker>
          <c:cat>
            <c:strRef>
              <c:f>'Dashboard'!$K$31:$K$36</c:f>
              <c:strCache>
                <c:ptCount val="0"/>
              </c:strCache>
            </c:strRef>
          </c:cat>
          <c:val>
            <c:numRef>
              <c:f>'Dashboard'!$N$31:$N$36</c:f>
              <c:numCache>
                <c:formatCode>$0.0,,,"B";($0.0,,,"B");-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,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Surplus and capital additions ($ billions)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Annual surplus</c:v>
          </c:tx>
          <c:spPr>
            <a:ln xmlns:a="http://schemas.openxmlformats.org/drawingml/2006/main" w="19050">
              <a:solidFill>
                <a:srgbClr val="007C78"/>
              </a:solidFill>
              <a:prstDash val="solid"/>
            </a:ln>
          </c:spPr>
          <c:marker>
            <c:symbol val="none"/>
          </c:marker>
          <c:cat>
            <c:strRef>
              <c:f>'Forecast'!$C$43:$C$48</c:f>
              <c:strCache>
                <c:ptCount val="0"/>
              </c:strCache>
            </c:strRef>
          </c:cat>
          <c:val>
            <c:numRef>
              <c:f>'Forecast'!$D$43:$D$48</c:f>
              <c:numCache>
                <c:formatCode>$0.0,,,"B"</c:formatCode>
                <c:ptCount val="0"/>
              </c:numCache>
            </c:numRef>
          </c:val>
          <c:smooth val="0"/>
        </c:ser>
        <c:ser>
          <c:idx val="1"/>
          <c:order val="1"/>
          <c:tx>
            <c:v>Capital additions</c:v>
          </c:tx>
          <c:spPr>
            <a:ln xmlns:a="http://schemas.openxmlformats.org/drawingml/2006/main" w="19050">
              <a:solidFill>
                <a:srgbClr val="183A61"/>
              </a:solidFill>
              <a:prstDash val="solid"/>
            </a:ln>
          </c:spPr>
          <c:marker>
            <c:symbol val="none"/>
          </c:marker>
          <c:cat>
            <c:strRef>
              <c:f>'Forecast'!$C$43:$C$48</c:f>
              <c:strCache>
                <c:ptCount val="0"/>
              </c:strCache>
            </c:strRef>
          </c:cat>
          <c:val>
            <c:numRef>
              <c:f>'Forecast'!$E$43:$E$48</c:f>
              <c:numCache>
                <c:formatCode>$0.0,,,"B"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,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Book cost and estimated replacement value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Historical cost</c:v>
          </c:tx>
          <c:spPr>
            <a:solidFill xmlns:a="http://schemas.openxmlformats.org/drawingml/2006/main">
              <a:srgbClr val="183A61"/>
            </a:solidFill>
          </c:spPr>
          <c:cat>
            <c:strRef>
              <c:f>'Capital plan'!$C$35:$C$44</c:f>
              <c:strCache>
                <c:ptCount val="0"/>
              </c:strCache>
            </c:strRef>
          </c:cat>
          <c:val>
            <c:numRef>
              <c:f>'Capital plan'!$D$35:$D$44</c:f>
              <c:numCache>
                <c:formatCode>$0.0,,,"B"</c:formatCode>
                <c:ptCount val="0"/>
              </c:numCache>
            </c:numRef>
          </c:val>
        </c:ser>
        <c:ser>
          <c:idx val="1"/>
          <c:order val="1"/>
          <c:tx>
            <c:v>Current replacement value</c:v>
          </c:tx>
          <c:spPr>
            <a:solidFill xmlns:a="http://schemas.openxmlformats.org/drawingml/2006/main">
              <a:srgbClr val="007C78"/>
            </a:solidFill>
          </c:spPr>
          <c:cat>
            <c:strRef>
              <c:f>'Capital plan'!$C$35:$C$44</c:f>
              <c:strCache>
                <c:ptCount val="0"/>
              </c:strCache>
            </c:strRef>
          </c:cat>
          <c:val>
            <c:numRef>
              <c:f>'Capital plan'!$E$35:$E$44</c:f>
              <c:numCache>
                <c:formatCode>$0.0,,,"B"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,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37</xdr:row>
      <xdr:rowOff>0</xdr:rowOff>
    </xdr:from>
    <xdr:to>
      <xdr:col>10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c64ff3b064490b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18</xdr:col>
      <xdr:colOff>0</xdr:colOff>
      <xdr:row>54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3921e8378e497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</xdr:col>
      <xdr:colOff>0</xdr:colOff>
      <xdr:row>49</xdr:row>
      <xdr:rowOff>0</xdr:rowOff>
    </xdr:from>
    <xdr:to>
      <xdr:col>10</xdr:col>
      <xdr:colOff>0</xdr:colOff>
      <xdr:row>66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1da6a7dba248e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33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c4098c2d4540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unicipalFinanceData" displayName="MunicipalFinanceData" ref="A1:CO969" headerRowCount="1" totalsRowCount="0" totalsRowShown="0">
  <x:tableColumns count="93">
    <x:tableColumn id="1" name="Selection year key"/>
    <x:tableColumn id="2" name="Municipality ID"/>
    <x:tableColumn id="3" name="Municipality"/>
    <x:tableColumn id="4" name="Source municipality name"/>
    <x:tableColumn id="5" name="Type"/>
    <x:tableColumn id="6" name="Regional district"/>
    <x:tableColumn id="7" name="Year"/>
    <x:tableColumn id="8" name="Population estimate"/>
    <x:tableColumn id="9" name="Population band"/>
    <x:tableColumn id="10" name="Total revenue"/>
    <x:tableColumn id="11" name="Total expenses"/>
    <x:tableColumn id="12" name="Annual surplus"/>
    <x:tableColumn id="13" name="Operating margin"/>
    <x:tableColumn id="14" name="Taxation revenue"/>
    <x:tableColumn id="15" name="Sale of services"/>
    <x:tableColumn id="16" name="Government transfers"/>
    <x:tableColumn id="17" name="Investment and other revenue"/>
    <x:tableColumn id="18" name="Operating expense before amortization and interest"/>
    <x:tableColumn id="19" name="Amortization"/>
    <x:tableColumn id="20" name="Cash and investments"/>
    <x:tableColumn id="21" name="Total liabilities"/>
    <x:tableColumn id="22" name="Net financial assets (debt)"/>
    <x:tableColumn id="23" name="Statutory reserves"/>
    <x:tableColumn id="24" name="Opening debt"/>
    <x:tableColumn id="25" name="New debt"/>
    <x:tableColumn id="26" name="Debt repayment"/>
    <x:tableColumn id="27" name="Closing debt"/>
    <x:tableColumn id="28" name="Interest expense"/>
    <x:tableColumn id="29" name="Actual debt servicing"/>
    <x:tableColumn id="30" name="Liability servicing limit"/>
    <x:tableColumn id="31" name="Debt servicing capacity"/>
    <x:tableColumn id="32" name="Revenue for servicing limit"/>
    <x:tableColumn id="33" name="TCA historical cost"/>
    <x:tableColumn id="34" name="TCA accumulated amortization"/>
    <x:tableColumn id="35" name="TCA net book value"/>
    <x:tableColumn id="36" name="TCA additions"/>
    <x:tableColumn id="37" name="TCA replacement value"/>
    <x:tableColumn id="38" name="Replacement-value amortization"/>
    <x:tableColumn id="39" name="Asset condition ratio"/>
    <x:tableColumn id="40" name="Capital additions / replacement value"/>
    <x:tableColumn id="41" name="Taxes imposed and outstanding"/>
    <x:tableColumn id="42" name="Total taxes collected"/>
    <x:tableColumn id="43" name="Tax collection rate"/>
    <x:tableColumn id="44" name="Revenue per resident"/>
    <x:tableColumn id="45" name="Expense per resident"/>
    <x:tableColumn id="46" name="Net financial assets per resident"/>
    <x:tableColumn id="47" name="Reserves per resident"/>
    <x:tableColumn id="48" name="Debt per resident"/>
    <x:tableColumn id="49" name="Cash / liabilities"/>
    <x:tableColumn id="50" name="Debt service headroom / limit"/>
    <x:tableColumn id="51" name="peer median revenue per capita"/>
    <x:tableColumn id="52" name="bc median revenue per capita"/>
    <x:tableColumn id="53" name="peer median expense per capita"/>
    <x:tableColumn id="54" name="bc median expense per capita"/>
    <x:tableColumn id="55" name="peer median net financial assets per capita"/>
    <x:tableColumn id="56" name="bc median net financial assets per capita"/>
    <x:tableColumn id="57" name="peer median reserves per capita"/>
    <x:tableColumn id="58" name="bc median reserves per capita"/>
    <x:tableColumn id="59" name="peer median debt per capita"/>
    <x:tableColumn id="60" name="bc median debt per capita"/>
    <x:tableColumn id="61" name="peer median cash to liabilities"/>
    <x:tableColumn id="62" name="bc median cash to liabilities"/>
    <x:tableColumn id="63" name="peer median capital reinvestment rate"/>
    <x:tableColumn id="64" name="bc median capital reinvestment rate"/>
    <x:tableColumn id="65" name="peer median asset condition ratio"/>
    <x:tableColumn id="66" name="bc median asset condition ratio"/>
    <x:tableColumn id="67" name="peer median debt service headroom pct"/>
    <x:tableColumn id="68" name="bc median debt service headroom pct"/>
    <x:tableColumn id="69" name="peer median tax collection rate"/>
    <x:tableColumn id="70" name="bc median tax collection rate"/>
    <x:tableColumn id="71" name="peer median operating margin"/>
    <x:tableColumn id="72" name="bc median operating margin"/>
    <x:tableColumn id="73" name="federal transfers"/>
    <x:tableColumn id="74" name="provincial transfers"/>
    <x:tableColumn id="75" name="regional transfers"/>
    <x:tableColumn id="76" name="investment income"/>
    <x:tableColumn id="77" name="government business income"/>
    <x:tableColumn id="78" name="developer contributions"/>
    <x:tableColumn id="79" name="gain on sale assets"/>
    <x:tableColumn id="80" name="other revenue"/>
    <x:tableColumn id="81" name="general government expense"/>
    <x:tableColumn id="82" name="protective services expense"/>
    <x:tableColumn id="83" name="solid waste expense"/>
    <x:tableColumn id="84" name="health social housing expense"/>
    <x:tableColumn id="85" name="development services expense"/>
    <x:tableColumn id="86" name="transportation expense"/>
    <x:tableColumn id="87" name="parks recreation expense"/>
    <x:tableColumn id="88" name="water expense"/>
    <x:tableColumn id="89" name="sewer expense"/>
    <x:tableColumn id="90" name="other services expense"/>
    <x:tableColumn id="91" name="asset retirement accretion"/>
    <x:tableColumn id="92" name="loss on disposition"/>
    <x:tableColumn id="93" name="other adjustments expen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CategoryData" displayName="AssetCategoryData" ref="A1:M1933" headerRowCount="1" totalsRowCount="0" totalsRowShown="0">
  <x:tableColumns count="13">
    <x:tableColumn id="1" name="Selection asset key"/>
    <x:tableColumn id="2" name="Municipality ID"/>
    <x:tableColumn id="3" name="Municipality"/>
    <x:tableColumn id="4" name="Asset category"/>
    <x:tableColumn id="5" name="Historical cost"/>
    <x:tableColumn id="6" name="Accumulated amortization"/>
    <x:tableColumn id="7" name="Net book value"/>
    <x:tableColumn id="8" name="2024 additions"/>
    <x:tableColumn id="9" name="Current replacement value"/>
    <x:tableColumn id="10" name="Replacement-value amortization"/>
    <x:tableColumn id="11" name="Net book value ratio"/>
    <x:tableColumn id="12" name="Asset condition ratio"/>
    <x:tableColumn id="13" name="Asset management pl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bdef3d38d64e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6a86e2deaf447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fc9cc3860074c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2f853221fbbb41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784060fcaec5495c" /></Relationships>
</file>

<file path=xl/worksheets/sheet1.xml><?xml version="1.0" encoding="utf-8"?>
<x:worksheet xmlns:x="http://schemas.openxmlformats.org/spreadsheetml/2006/main">
  <x:sheetPr>
    <x:tabColor rgb="FF183A6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4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</x:cols>
  <x:sheetData>
    <x:row r="2">
      <x:c r="C2" s="15" t="str">
        <x:v>B.C. local-government finance model</x:v>
      </x:c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3">
      <x:c r="C3" s="16" t="str">
        <x:v>Six years of standardized municipal filings. Select a municipality to compare results and plan forward.</x:v>
      </x:c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</x:row>
    <x:row r="4"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</x:row>
    <x:row r="5"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</x:row>
    <x:row r="6">
      <x:c r="C6" s="14" t="str">
        <x:v>Municipality</x:v>
      </x:c>
      <x:c r="D6" s="19" t="str">
        <x:v>Vancouver</x:v>
      </x:c>
      <x:c r="E6" s="14"/>
      <x:c r="F6" s="14" t="str">
        <x:v>Planning case</x:v>
      </x:c>
      <x:c r="G6" s="20" t="str">
        <x:f>'Assumptions'!$G$6</x:f>
        <x:v>Base</x:v>
      </x:c>
      <x:c r="H6" s="14"/>
      <x:c r="I6" s="14" t="str">
        <x:v>Latest actual</x:v>
      </x:c>
      <x:c r="J6" s="14" t="n">
        <x:v>2024</x:v>
      </x:c>
      <x:c r="K6" s="14"/>
      <x:c r="L6" s="16" t="str">
        <x:v>Comparable group: same municipality type and population band</x:v>
      </x:c>
      <x:c r="M6" s="14"/>
      <x:c r="N6" s="14"/>
      <x:c r="O6" s="14"/>
      <x:c r="P6" s="14"/>
      <x:c r="Q6" s="14"/>
      <x:c r="R6" s="14"/>
    </x:row>
    <x:row r="7"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</x:row>
    <x:row r="8">
      <x:c r="C8" s="42" t="str">
        <x:v>2024 revenue</x:v>
      </x:c>
      <x:c r="D8" s="43" t="str">
        <x:v>2024 revenue</x:v>
      </x:c>
      <x:c r="E8" s="44" t="str">
        <x:v>2024 revenue</x:v>
      </x:c>
      <x:c r="F8" s="42" t="str">
        <x:v>2024 annual surplus</x:v>
      </x:c>
      <x:c r="G8" s="43" t="str">
        <x:v>2024 annual surplus</x:v>
      </x:c>
      <x:c r="H8" s="44" t="str">
        <x:v>2024 annual surplus</x:v>
      </x:c>
      <x:c r="I8" s="42" t="str">
        <x:v>Operating margin</x:v>
      </x:c>
      <x:c r="J8" s="43" t="str">
        <x:v>Operating margin</x:v>
      </x:c>
      <x:c r="K8" s="44" t="str">
        <x:v>Operating margin</x:v>
      </x:c>
      <x:c r="L8" s="42" t="str">
        <x:v>Reserves per resident</x:v>
      </x:c>
      <x:c r="M8" s="43" t="str">
        <x:v>Reserves per resident</x:v>
      </x:c>
      <x:c r="N8" s="44" t="str">
        <x:v>Reserves per resident</x:v>
      </x:c>
      <x:c r="O8" s="42" t="str">
        <x:v>Capital reinvestment</x:v>
      </x:c>
      <x:c r="P8" s="43" t="str">
        <x:v>Capital reinvestment</x:v>
      </x:c>
      <x:c r="Q8" s="44" t="str">
        <x:v>Capital reinvestment</x:v>
      </x:c>
      <x:c r="R8" s="69" t="str">
        <x:v>Debt headroom</x:v>
      </x:c>
    </x:row>
    <x:row r="9">
      <x:c r="C9" s="48" t="n">
        <x:f>IF(COUNTIFS('Municipal data'!$A$2:$A$969,$D$6&amp;"|2024",'Municipal data'!$J$2:$J$969,"&gt;=-1E+307")=0,"n.a.",SUMIFS('Municipal data'!$J$2:$J$969,'Municipal data'!$A$2:$A$969,$D$6&amp;"|2024"))</x:f>
        <x:v>3164278000</x:v>
      </x:c>
      <x:c r="D9" s="49"/>
      <x:c r="E9" s="50"/>
      <x:c r="F9" s="57" t="n">
        <x:f>IF(COUNTIFS('Municipal data'!$A$2:$A$969,$D$6&amp;"|2024",'Municipal data'!$L$2:$L$969,"&gt;=-1E+307")=0,"n.a.",SUMIFS('Municipal data'!$L$2:$L$969,'Municipal data'!$A$2:$A$969,$D$6&amp;"|2024"))</x:f>
        <x:v>860634000</x:v>
      </x:c>
      <x:c r="G9" s="58"/>
      <x:c r="H9" s="59"/>
      <x:c r="I9" s="60" t="n">
        <x:f>IF(COUNTIFS('Municipal data'!$A$2:$A$969,$D$6&amp;"|2024",'Municipal data'!$M$2:$M$969,"&gt;=-1E+307")=0,"n.a.",SUMIFS('Municipal data'!$M$2:$M$969,'Municipal data'!$A$2:$A$969,$D$6&amp;"|2024"))</x:f>
        <x:v>0.27198431996177325</x:v>
      </x:c>
      <x:c r="J9" s="61"/>
      <x:c r="K9" s="62"/>
      <x:c r="L9" s="63" t="n">
        <x:f>IF(COUNTIFS('Municipal data'!$A$2:$A$969,$D$6&amp;"|2024",'Municipal data'!$AU$2:$AU$969,"&gt;=-1E+307")=0,"n.a.",SUMIFS('Municipal data'!$AU$2:$AU$969,'Municipal data'!$A$2:$A$969,$D$6&amp;"|2024"))</x:f>
        <x:v>2045.6489449941994</x:v>
      </x:c>
      <x:c r="M9" s="64"/>
      <x:c r="N9" s="65"/>
      <x:c r="O9" s="60" t="n">
        <x:f>IF(COUNTIFS('Municipal data'!$A$2:$A$969,$D$6&amp;"|2024",'Municipal data'!$AN$2:$AN$969,"&gt;=-1E+307")=0,"n.a.",SUMIFS('Municipal data'!$AN$2:$AN$969,'Municipal data'!$A$2:$A$969,$D$6&amp;"|2024"))</x:f>
        <x:v>0.025378934003535983</x:v>
      </x:c>
      <x:c r="P9" s="61"/>
      <x:c r="Q9" s="62"/>
      <x:c r="R9" s="71" t="n">
        <x:f>IF(COUNTIFS('Municipal data'!$A$2:$A$969,$D$6&amp;"|2024",'Municipal data'!$AX$2:$AX$969,"&gt;=-1E+307")=0,"n.a.",SUMIFS('Municipal data'!$AX$2:$AX$969,'Municipal data'!$A$2:$A$969,$D$6&amp;"|2024"))</x:f>
        <x:v>0.7225099711891247</x:v>
      </x:c>
    </x:row>
    <x:row r="10">
      <x:c r="C10" s="48"/>
      <x:c r="D10" s="49"/>
      <x:c r="E10" s="50"/>
      <x:c r="F10" s="57"/>
      <x:c r="G10" s="58"/>
      <x:c r="H10" s="59"/>
      <x:c r="I10" s="60"/>
      <x:c r="J10" s="61"/>
      <x:c r="K10" s="62"/>
      <x:c r="L10" s="63"/>
      <x:c r="M10" s="64"/>
      <x:c r="N10" s="65"/>
      <x:c r="O10" s="60"/>
      <x:c r="P10" s="61"/>
      <x:c r="Q10" s="62"/>
      <x:c r="R10" s="71"/>
    </x:row>
    <x:row r="11">
      <x:c r="C11" s="54" t="str">
        <x:v>Standardized revenue schedule</x:v>
      </x:c>
      <x:c r="D11" s="55" t="str">
        <x:v>Standardized revenue schedule</x:v>
      </x:c>
      <x:c r="E11" s="56" t="str">
        <x:v>Standardized revenue schedule</x:v>
      </x:c>
      <x:c r="F11" s="54" t="str">
        <x:v>Revenue less consolidated expenses</x:v>
      </x:c>
      <x:c r="G11" s="55" t="str">
        <x:v>Revenue less consolidated expenses</x:v>
      </x:c>
      <x:c r="H11" s="56" t="str">
        <x:v>Revenue less consolidated expenses</x:v>
      </x:c>
      <x:c r="I11" s="54" t="str">
        <x:v>Annual surplus / revenue</x:v>
      </x:c>
      <x:c r="J11" s="55" t="str">
        <x:v>Annual surplus / revenue</x:v>
      </x:c>
      <x:c r="K11" s="56" t="str">
        <x:v>Annual surplus / revenue</x:v>
      </x:c>
      <x:c r="L11" s="54" t="str">
        <x:v>Water, sewer and other statutory reserves</x:v>
      </x:c>
      <x:c r="M11" s="55" t="str">
        <x:v>Water, sewer and other statutory reserves</x:v>
      </x:c>
      <x:c r="N11" s="56" t="str">
        <x:v>Water, sewer and other statutory reserves</x:v>
      </x:c>
      <x:c r="O11" s="54" t="str">
        <x:v>Asset additions / estimated replacement value</x:v>
      </x:c>
      <x:c r="P11" s="55" t="str">
        <x:v>Asset additions / estimated replacement value</x:v>
      </x:c>
      <x:c r="Q11" s="56" t="str">
        <x:v>Asset additions / estimated replacement value</x:v>
      </x:c>
      <x:c r="R11" s="73" t="str">
        <x:v>Available capacity / servicing limit</x:v>
      </x:c>
    </x:row>
    <x:row r="12"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</x:row>
    <x:row r="13"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>
      <x:c r="C14" s="76" t="str">
        <x:v>2024 benchmark</x:v>
      </x:c>
      <x:c r="D14" s="77" t="str">
        <x:v>2024 benchmark</x:v>
      </x:c>
      <x:c r="E14" s="77" t="str">
        <x:v>2024 benchmark</x:v>
      </x:c>
      <x:c r="F14" s="77" t="str">
        <x:v>2024 benchmark</x:v>
      </x:c>
      <x:c r="G14" s="77" t="str">
        <x:v>2024 benchmark</x:v>
      </x:c>
      <x:c r="H14" s="77" t="str">
        <x:v>2024 benchmark</x:v>
      </x:c>
      <x:c r="I14" s="77" t="str">
        <x:v>2024 benchmark</x:v>
      </x:c>
      <x:c r="J14" s="77" t="str">
        <x:v>2024 benchmark</x:v>
      </x:c>
      <x:c r="K14" s="77" t="str">
        <x:v>2024 benchmark</x:v>
      </x:c>
      <x:c r="L14" s="77" t="str">
        <x:v>2024 benchmark</x:v>
      </x:c>
      <x:c r="M14" s="77" t="str">
        <x:v>2024 benchmark</x:v>
      </x:c>
      <x:c r="N14" s="77" t="str">
        <x:v>2024 benchmark</x:v>
      </x:c>
      <x:c r="O14" s="77" t="str">
        <x:v>2024 benchmark</x:v>
      </x:c>
      <x:c r="P14" s="77" t="str">
        <x:v>2024 benchmark</x:v>
      </x:c>
      <x:c r="Q14" s="77" t="str">
        <x:v>2024 benchmark</x:v>
      </x:c>
      <x:c r="R14" s="78" t="str">
        <x:v>2024 benchmark</x:v>
      </x:c>
    </x:row>
    <x:row r="15"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</x:row>
    <x:row r="16">
      <x:c r="C16" s="6" t="str">
        <x:v>Metric</x:v>
      </x:c>
      <x:c r="D16" s="6" t="str">
        <x:v>Municipality</x:v>
      </x:c>
      <x:c r="E16" s="6" t="str">
        <x:v>Comparable municipalities</x:v>
      </x:c>
      <x:c r="F16" s="6" t="str">
        <x:v>B.C. median</x:v>
      </x:c>
      <x:c r="G16" s="6" t="str">
        <x:v>Difference from peer</x:v>
      </x:c>
      <x:c r="H16" s="6" t="str">
        <x:v>Interpretation</x:v>
      </x:c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</x:row>
    <x:row r="17">
      <x:c r="C17" s="31" t="str">
        <x:v>Revenue per resident</x:v>
      </x:c>
      <x:c r="D17" s="82" t="n">
        <x:f>IF(COUNTIFS('Municipal data'!$A$2:$A$969,$D$6&amp;"|2024",'Municipal data'!$AR$2:$AR$969,"&gt;=-1E+307")=0,"n.a.",SUMIFS('Municipal data'!$AR$2:$AR$969,'Municipal data'!$A$2:$A$969,$D$6&amp;"|2024"))</x:f>
        <x:v>4359.8428169495355</x:v>
      </x:c>
      <x:c r="E17" s="82" t="n">
        <x:f>IF(COUNTIFS('Municipal data'!$A$2:$A$969,$D$6&amp;"|2024",'Municipal data'!$AY$2:$AY$969,"&gt;=-1E+307")=0,"n.a.",SUMIFS('Municipal data'!$AY$2:$AY$969,'Municipal data'!$A$2:$A$969,$D$6&amp;"|2024"))</x:f>
        <x:v>3003.390678329474</x:v>
      </x:c>
      <x:c r="F17" s="82" t="n">
        <x:f>IF(COUNTIFS('Municipal data'!$A$2:$A$969,$D$6&amp;"|2024",'Municipal data'!$AZ$2:$AZ$969,"&gt;=-1E+307")=0,"n.a.",SUMIFS('Municipal data'!$AZ$2:$AZ$969,'Municipal data'!$A$2:$A$969,$D$6&amp;"|2024"))</x:f>
        <x:v>3546.5079302077975</x:v>
      </x:c>
      <x:c r="G17" s="82" t="n">
        <x:f>IF(OR(NOT(ISNUMBER(D17)),NOT(ISNUMBER(E17))),"n.a.",D17-E17)</x:f>
        <x:v>1356.4521386200613</x:v>
      </x:c>
      <x:c r="H17" s="87" t="str">
        <x:v>Scale and service mix affect this measure</x:v>
      </x:c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</x:row>
    <x:row r="18">
      <x:c r="C18" s="83" t="str">
        <x:v>Expense per resident</x:v>
      </x:c>
      <x:c r="D18" s="84" t="n">
        <x:f>IF(COUNTIFS('Municipal data'!$A$2:$A$969,$D$6&amp;"|2024",'Municipal data'!$AS$2:$AS$969,"&gt;=-1E+307")=0,"n.a.",SUMIFS('Municipal data'!$AS$2:$AS$969,'Municipal data'!$A$2:$A$969,$D$6&amp;"|2024"))</x:f>
        <x:v>3174.033933241294</x:v>
      </x:c>
      <x:c r="E18" s="84" t="n">
        <x:f>IF(COUNTIFS('Municipal data'!$A$2:$A$969,$D$6&amp;"|2024",'Municipal data'!$BA$2:$BA$969,"&gt;=-1E+307")=0,"n.a.",SUMIFS('Municipal data'!$BA$2:$BA$969,'Municipal data'!$A$2:$A$969,$D$6&amp;"|2024"))</x:f>
        <x:v>2379.369597210911</x:v>
      </x:c>
      <x:c r="F18" s="84" t="n">
        <x:f>IF(COUNTIFS('Municipal data'!$A$2:$A$969,$D$6&amp;"|2024",'Municipal data'!$BB$2:$BB$969,"&gt;=-1E+307")=0,"n.a.",SUMIFS('Municipal data'!$BB$2:$BB$969,'Municipal data'!$A$2:$A$969,$D$6&amp;"|2024"))</x:f>
        <x:v>2783.665107049771</x:v>
      </x:c>
      <x:c r="G18" s="84" t="n">
        <x:f>IF(OR(NOT(ISNUMBER(D18)),NOT(ISNUMBER(E18))),"n.a.",D18-E18)</x:f>
        <x:v>794.6643360303833</x:v>
      </x:c>
      <x:c r="H18" s="88" t="str">
        <x:v>Higher or lower is not inherently better</x:v>
      </x:c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</x:row>
    <x:row r="19">
      <x:c r="C19" s="83" t="str">
        <x:v>Net financial assets per resident</x:v>
      </x:c>
      <x:c r="D19" s="85" t="n">
        <x:f>IF(COUNTIFS('Municipal data'!$A$2:$A$969,$D$6&amp;"|2024",'Municipal data'!$AT$2:$AT$969,"&gt;=-1E+307")=0,"n.a.",SUMIFS('Municipal data'!$AT$2:$AT$969,'Municipal data'!$A$2:$A$969,$D$6&amp;"|2024"))</x:f>
        <x:v>2052.765446183268</x:v>
      </x:c>
      <x:c r="E19" s="85" t="n">
        <x:f>IF(COUNTIFS('Municipal data'!$A$2:$A$969,$D$6&amp;"|2024",'Municipal data'!$BC$2:$BC$969,"&gt;=-1E+307")=0,"n.a.",SUMIFS('Municipal data'!$BC$2:$BC$969,'Municipal data'!$A$2:$A$969,$D$6&amp;"|2024"))</x:f>
        <x:v>2052.765446183268</x:v>
      </x:c>
      <x:c r="F19" s="85" t="n">
        <x:f>IF(COUNTIFS('Municipal data'!$A$2:$A$969,$D$6&amp;"|2024",'Municipal data'!$BD$2:$BD$969,"&gt;=-1E+307")=0,"n.a.",SUMIFS('Municipal data'!$BD$2:$BD$969,'Municipal data'!$A$2:$A$969,$D$6&amp;"|2024"))</x:f>
        <x:v>2437.8724475115623</x:v>
      </x:c>
      <x:c r="G19" s="85" t="n">
        <x:f>IF(OR(NOT(ISNUMBER(D19)),NOT(ISNUMBER(E19))),"n.a.",D19-E19)</x:f>
        <x:v>0</x:v>
      </x:c>
      <x:c r="H19" s="88" t="str">
        <x:v>Positive values indicate net financial assets</x:v>
      </x:c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>
      <x:c r="C20" s="83" t="str">
        <x:v>Reserves per resident</x:v>
      </x:c>
      <x:c r="D20" s="84" t="n">
        <x:f>IF(COUNTIFS('Municipal data'!$A$2:$A$969,$D$6&amp;"|2024",'Municipal data'!$AU$2:$AU$969,"&gt;=-1E+307")=0,"n.a.",SUMIFS('Municipal data'!$AU$2:$AU$969,'Municipal data'!$A$2:$A$969,$D$6&amp;"|2024"))</x:f>
        <x:v>2045.6489449941994</x:v>
      </x:c>
      <x:c r="E20" s="84" t="n">
        <x:f>IF(COUNTIFS('Municipal data'!$A$2:$A$969,$D$6&amp;"|2024",'Municipal data'!$BE$2:$BE$969,"&gt;=-1E+307")=0,"n.a.",SUMIFS('Municipal data'!$BE$2:$BE$969,'Municipal data'!$A$2:$A$969,$D$6&amp;"|2024"))</x:f>
        <x:v>1093.3312652075697</x:v>
      </x:c>
      <x:c r="F20" s="84" t="n">
        <x:f>IF(COUNTIFS('Municipal data'!$A$2:$A$969,$D$6&amp;"|2024",'Municipal data'!$BF$2:$BF$969,"&gt;=-1E+307")=0,"n.a.",SUMIFS('Municipal data'!$BF$2:$BF$969,'Municipal data'!$A$2:$A$969,$D$6&amp;"|2024"))</x:f>
        <x:v>1604.3462673977224</x:v>
      </x:c>
      <x:c r="G20" s="84" t="n">
        <x:f>IF(OR(NOT(ISNUMBER(D20)),NOT(ISNUMBER(E20))),"n.a.",D20-E20)</x:f>
        <x:v>952.3176797866297</x:v>
      </x:c>
      <x:c r="H20" s="88" t="str">
        <x:v>Restricted and statutory reserve position</x:v>
      </x:c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</x:row>
    <x:row r="21">
      <x:c r="C21" s="83" t="str">
        <x:v>Debt per resident</x:v>
      </x:c>
      <x:c r="D21" s="84" t="n">
        <x:f>IF(COUNTIFS('Municipal data'!$A$2:$A$969,$D$6&amp;"|2024",'Municipal data'!$AV$2:$AV$969,"&gt;=-1E+307")=0,"n.a.",SUMIFS('Municipal data'!$AV$2:$AV$969,'Municipal data'!$A$2:$A$969,$D$6&amp;"|2024"))</x:f>
        <x:v>1416.3697439161838</x:v>
      </x:c>
      <x:c r="E21" s="84" t="n">
        <x:f>IF(COUNTIFS('Municipal data'!$A$2:$A$969,$D$6&amp;"|2024",'Municipal data'!$BG$2:$BG$969,"&gt;=-1E+307")=0,"n.a.",SUMIFS('Municipal data'!$BG$2:$BG$969,'Municipal data'!$A$2:$A$969,$D$6&amp;"|2024"))</x:f>
        <x:v>312.26099706744867</x:v>
      </x:c>
      <x:c r="F21" s="84" t="n">
        <x:f>IF(COUNTIFS('Municipal data'!$A$2:$A$969,$D$6&amp;"|2024",'Municipal data'!$BH$2:$BH$969,"&gt;=-1E+307")=0,"n.a.",SUMIFS('Municipal data'!$BH$2:$BH$969,'Municipal data'!$A$2:$A$969,$D$6&amp;"|2024"))</x:f>
        <x:v>518.5374381567245</x:v>
      </x:c>
      <x:c r="G21" s="84" t="n">
        <x:f>IF(OR(NOT(ISNUMBER(D21)),NOT(ISNUMBER(E21))),"n.a.",D21-E21)</x:f>
        <x:v>1104.108746848735</x:v>
      </x:c>
      <x:c r="H21" s="88" t="str">
        <x:v>Long-term debt at year end</x:v>
      </x:c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>
      <x:c r="C22" s="83" t="str">
        <x:v>Capital additions / replacement value</x:v>
      </x:c>
      <x:c r="D22" s="86" t="n">
        <x:f>IF(COUNTIFS('Municipal data'!$A$2:$A$969,$D$6&amp;"|2024",'Municipal data'!$AN$2:$AN$969,"&gt;=-1E+307")=0,"n.a.",SUMIFS('Municipal data'!$AN$2:$AN$969,'Municipal data'!$A$2:$A$969,$D$6&amp;"|2024"))</x:f>
        <x:v>0.025378934003535983</x:v>
      </x:c>
      <x:c r="E22" s="86" t="n">
        <x:f>IF(COUNTIFS('Municipal data'!$A$2:$A$969,$D$6&amp;"|2024",'Municipal data'!$BK$2:$BK$969,"&gt;=-1E+307")=0,"n.a.",SUMIFS('Municipal data'!$BK$2:$BK$969,'Municipal data'!$A$2:$A$969,$D$6&amp;"|2024"))</x:f>
        <x:v>0.025378934003535983</x:v>
      </x:c>
      <x:c r="F22" s="86" t="n">
        <x:f>IF(COUNTIFS('Municipal data'!$A$2:$A$969,$D$6&amp;"|2024",'Municipal data'!$BL$2:$BL$969,"&gt;=-1E+307")=0,"n.a.",SUMIFS('Municipal data'!$BL$2:$BL$969,'Municipal data'!$A$2:$A$969,$D$6&amp;"|2024"))</x:f>
        <x:v>0.02529861000232605</x:v>
      </x:c>
      <x:c r="G22" s="86" t="n">
        <x:f>IF(OR(NOT(ISNUMBER(D22)),NOT(ISNUMBER(E22))),"n.a.",D22-E22)</x:f>
        <x:v>0</x:v>
      </x:c>
      <x:c r="H22" s="88" t="str">
        <x:v>Current-year additions, not an adopted asset target</x:v>
      </x:c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C23" s="83" t="str">
        <x:v>Asset condition ratio</x:v>
      </x:c>
      <x:c r="D23" s="86" t="n">
        <x:f>IF(COUNTIFS('Municipal data'!$A$2:$A$969,$D$6&amp;"|2024",'Municipal data'!$AM$2:$AM$969,"&gt;=-1E+307")=0,"n.a.",SUMIFS('Municipal data'!$AM$2:$AM$969,'Municipal data'!$A$2:$A$969,$D$6&amp;"|2024"))</x:f>
        <x:v>0.6261533421992247</x:v>
      </x:c>
      <x:c r="E23" s="86" t="n">
        <x:f>IF(COUNTIFS('Municipal data'!$A$2:$A$969,$D$6&amp;"|2024",'Municipal data'!$BM$2:$BM$969,"&gt;=-1E+307")=0,"n.a.",SUMIFS('Municipal data'!$BM$2:$BM$969,'Municipal data'!$A$2:$A$969,$D$6&amp;"|2024"))</x:f>
        <x:v>0.9802497344746216</x:v>
      </x:c>
      <x:c r="F23" s="86" t="n">
        <x:f>IF(COUNTIFS('Municipal data'!$A$2:$A$969,$D$6&amp;"|2024",'Municipal data'!$BN$2:$BN$969,"&gt;=-1E+307")=0,"n.a.",SUMIFS('Municipal data'!$BN$2:$BN$969,'Municipal data'!$A$2:$A$969,$D$6&amp;"|2024"))</x:f>
        <x:v>0.9815511712696461</x:v>
      </x:c>
      <x:c r="G23" s="86" t="n">
        <x:f>IF(OR(NOT(ISNUMBER(D23)),NOT(ISNUMBER(E23))),"n.a.",D23-E23)</x:f>
        <x:v>-0.3540963922753969</x:v>
      </x:c>
      <x:c r="H23" s="88" t="str">
        <x:v>1 less replacement-value amortization / replacement value</x:v>
      </x:c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C24" s="83" t="str">
        <x:v>Debt service headroom / limit</x:v>
      </x:c>
      <x:c r="D24" s="86" t="n">
        <x:f>IF(COUNTIFS('Municipal data'!$A$2:$A$969,$D$6&amp;"|2024",'Municipal data'!$AX$2:$AX$969,"&gt;=-1E+307")=0,"n.a.",SUMIFS('Municipal data'!$AX$2:$AX$969,'Municipal data'!$A$2:$A$969,$D$6&amp;"|2024"))</x:f>
        <x:v>0.7225099711891247</x:v>
      </x:c>
      <x:c r="E24" s="86" t="n">
        <x:f>IF(COUNTIFS('Municipal data'!$A$2:$A$969,$D$6&amp;"|2024",'Municipal data'!$BO$2:$BO$969,"&gt;=-1E+307")=0,"n.a.",SUMIFS('Municipal data'!$BO$2:$BO$969,'Municipal data'!$A$2:$A$969,$D$6&amp;"|2024"))</x:f>
        <x:v>0.9023585311053542</x:v>
      </x:c>
      <x:c r="F24" s="86" t="n">
        <x:f>IF(COUNTIFS('Municipal data'!$A$2:$A$969,$D$6&amp;"|2024",'Municipal data'!$BP$2:$BP$969,"&gt;=-1E+307")=0,"n.a.",SUMIFS('Municipal data'!$BP$2:$BP$969,'Municipal data'!$A$2:$A$969,$D$6&amp;"|2024"))</x:f>
        <x:v>0.8619101997275483</x:v>
      </x:c>
      <x:c r="G24" s="86" t="n">
        <x:f>IF(OR(NOT(ISNUMBER(D24)),NOT(ISNUMBER(E24))),"n.a.",D24-E24)</x:f>
        <x:v>-0.1798485599162295</x:v>
      </x:c>
      <x:c r="H24" s="88" t="str">
        <x:v>Available statutory capacity relative to the limit</x:v>
      </x:c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C25" s="83" t="str">
        <x:v>Tax collection rate</x:v>
      </x:c>
      <x:c r="D25" s="86" t="n">
        <x:f>IF(COUNTIFS('Municipal data'!$A$2:$A$969,$D$6&amp;"|2024",'Municipal data'!$AQ$2:$AQ$969,"&gt;=-1E+307")=0,"n.a.",SUMIFS('Municipal data'!$AQ$2:$AQ$969,'Municipal data'!$A$2:$A$969,$D$6&amp;"|2024"))</x:f>
        <x:v>0.9187822962034475</x:v>
      </x:c>
      <x:c r="E25" s="86" t="n">
        <x:f>IF(COUNTIFS('Municipal data'!$A$2:$A$969,$D$6&amp;"|2024",'Municipal data'!$BQ$2:$BQ$969,"&gt;=-1E+307")=0,"n.a.",SUMIFS('Municipal data'!$BQ$2:$BQ$969,'Municipal data'!$A$2:$A$969,$D$6&amp;"|2024"))</x:f>
        <x:v>0.9669710895067201</x:v>
      </x:c>
      <x:c r="F25" s="86" t="n">
        <x:f>IF(COUNTIFS('Municipal data'!$A$2:$A$969,$D$6&amp;"|2024",'Municipal data'!$BR$2:$BR$969,"&gt;=-1E+307")=0,"n.a.",SUMIFS('Municipal data'!$BR$2:$BR$969,'Municipal data'!$A$2:$A$969,$D$6&amp;"|2024"))</x:f>
        <x:v>0.9623635142836453</x:v>
      </x:c>
      <x:c r="G25" s="86" t="n">
        <x:f>IF(OR(NOT(ISNUMBER(D25)),NOT(ISNUMBER(E25))),"n.a.",D25-E25)</x:f>
        <x:v>-0.048188793303272526</x:v>
      </x:c>
      <x:c r="H25" s="88" t="str">
        <x:v>Total collections / taxes imposed and outstanding</x:v>
      </x:c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C28" s="76" t="str">
        <x:v>Six-year trend</x:v>
      </x:c>
      <x:c r="D28" s="77" t="str">
        <x:v>Six-year trend</x:v>
      </x:c>
      <x:c r="E28" s="77" t="str">
        <x:v>Six-year trend</x:v>
      </x:c>
      <x:c r="F28" s="77" t="str">
        <x:v>Six-year trend</x:v>
      </x:c>
      <x:c r="G28" s="77" t="str">
        <x:v>Six-year trend</x:v>
      </x:c>
      <x:c r="H28" s="77" t="str">
        <x:v>Six-year trend</x:v>
      </x:c>
      <x:c r="I28" s="77" t="str">
        <x:v>Six-year trend</x:v>
      </x:c>
      <x:c r="J28" s="77" t="str">
        <x:v>Six-year trend</x:v>
      </x:c>
      <x:c r="K28" s="77" t="str">
        <x:v>Six-year trend</x:v>
      </x:c>
      <x:c r="L28" s="77" t="str">
        <x:v>Six-year trend</x:v>
      </x:c>
      <x:c r="M28" s="77" t="str">
        <x:v>Six-year trend</x:v>
      </x:c>
      <x:c r="N28" s="77" t="str">
        <x:v>Six-year trend</x:v>
      </x:c>
      <x:c r="O28" s="77" t="str">
        <x:v>Six-year trend</x:v>
      </x:c>
      <x:c r="P28" s="77" t="str">
        <x:v>Six-year trend</x:v>
      </x:c>
      <x:c r="Q28" s="77" t="str">
        <x:v>Six-year trend</x:v>
      </x:c>
      <x:c r="R28" s="78" t="str">
        <x:v>Six-year trend</x:v>
      </x:c>
    </x:row>
    <x:row r="29"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C30" s="6" t="str">
        <x:v>Year</x:v>
      </x:c>
      <x:c r="D30" s="6" t="str">
        <x:v>Revenue</x:v>
      </x:c>
      <x:c r="E30" s="6" t="str">
        <x:v>Expenses</x:v>
      </x:c>
      <x:c r="F30" s="14"/>
      <x:c r="G30" s="14"/>
      <x:c r="H30" s="14"/>
      <x:c r="I30" s="14"/>
      <x:c r="J30" s="14"/>
      <x:c r="K30" s="6" t="str">
        <x:v>Year</x:v>
      </x:c>
      <x:c r="L30" s="6" t="str">
        <x:v>Net financial assets</x:v>
      </x:c>
      <x:c r="M30" s="6" t="str">
        <x:v>Statutory reserves</x:v>
      </x:c>
      <x:c r="N30" s="6" t="str">
        <x:v>Closing debt</x:v>
      </x:c>
      <x:c r="O30" s="14"/>
      <x:c r="P30" s="14"/>
      <x:c r="Q30" s="14"/>
      <x:c r="R30" s="14"/>
    </x:row>
    <x:row r="31">
      <x:c r="C31" s="14" t="n">
        <x:v>2019</x:v>
      </x:c>
      <x:c r="D31" s="89" t="n">
        <x:f>IF(COUNTIFS('Municipal data'!$A$2:$A$969,$D$6&amp;"|"&amp;C31,'Municipal data'!$J$2:$J$969,"&gt;=-1E+307")=0,"n.a.",SUMIFS('Municipal data'!$J$2:$J$969,'Municipal data'!$A$2:$A$969,$D$6&amp;"|"&amp;C31))</x:f>
        <x:v>1973893000</x:v>
      </x:c>
      <x:c r="E31" s="89" t="n">
        <x:f>IF(COUNTIFS('Municipal data'!$A$2:$A$969,$D$6&amp;"|"&amp;C31,'Municipal data'!$K$2:$K$969,"&gt;=-1E+307")=0,"n.a.",SUMIFS('Municipal data'!$K$2:$K$969,'Municipal data'!$A$2:$A$969,$D$6&amp;"|"&amp;C31))</x:f>
        <x:v>1673170000</x:v>
      </x:c>
      <x:c r="F31" s="14"/>
      <x:c r="G31" s="14"/>
      <x:c r="H31" s="14"/>
      <x:c r="I31" s="14"/>
      <x:c r="J31" s="14"/>
      <x:c r="K31" s="14" t="n">
        <x:v>2019</x:v>
      </x:c>
      <x:c r="L31" s="90" t="n">
        <x:f>IF(COUNTIFS('Municipal data'!$A$2:$A$969,$D$6&amp;"|"&amp;K31,'Municipal data'!$V$2:$V$969,"&gt;=-1E+307")=0,"n.a.",SUMIFS('Municipal data'!$V$2:$V$969,'Municipal data'!$A$2:$A$969,$D$6&amp;"|"&amp;K31))</x:f>
        <x:v>649767000</x:v>
      </x:c>
      <x:c r="M31" s="90" t="n">
        <x:f>IF(COUNTIFS('Municipal data'!$A$2:$A$969,$D$6&amp;"|"&amp;K31,'Municipal data'!$W$2:$W$969,"&gt;=-1E+307")=0,"n.a.",SUMIFS('Municipal data'!$W$2:$W$969,'Municipal data'!$A$2:$A$969,$D$6&amp;"|"&amp;K31))</x:f>
        <x:v>0</x:v>
      </x:c>
      <x:c r="N31" s="90" t="n">
        <x:f>IF(COUNTIFS('Municipal data'!$A$2:$A$969,$D$6&amp;"|"&amp;K31,'Municipal data'!$AA$2:$AA$969,"&gt;=-1E+307")=0,"n.a.",SUMIFS('Municipal data'!$AA$2:$AA$969,'Municipal data'!$A$2:$A$969,$D$6&amp;"|"&amp;K31))</x:f>
        <x:v>1096332000</x:v>
      </x:c>
      <x:c r="O31" s="14"/>
      <x:c r="P31" s="14"/>
      <x:c r="Q31" s="14"/>
      <x:c r="R31" s="14"/>
    </x:row>
    <x:row r="32">
      <x:c r="C32" s="14" t="n">
        <x:v>2020</x:v>
      </x:c>
      <x:c r="D32" s="89" t="n">
        <x:f>IF(COUNTIFS('Municipal data'!$A$2:$A$969,$D$6&amp;"|"&amp;C32,'Municipal data'!$J$2:$J$969,"&gt;=-1E+307")=0,"n.a.",SUMIFS('Municipal data'!$J$2:$J$969,'Municipal data'!$A$2:$A$969,$D$6&amp;"|"&amp;C32))</x:f>
        <x:v>1858187000</x:v>
      </x:c>
      <x:c r="E32" s="89" t="n">
        <x:f>IF(COUNTIFS('Municipal data'!$A$2:$A$969,$D$6&amp;"|"&amp;C32,'Municipal data'!$K$2:$K$969,"&gt;=-1E+307")=0,"n.a.",SUMIFS('Municipal data'!$K$2:$K$969,'Municipal data'!$A$2:$A$969,$D$6&amp;"|"&amp;C32))</x:f>
        <x:v>1629210000</x:v>
      </x:c>
      <x:c r="F32" s="14"/>
      <x:c r="G32" s="14"/>
      <x:c r="H32" s="14"/>
      <x:c r="I32" s="14"/>
      <x:c r="J32" s="14"/>
      <x:c r="K32" s="14" t="n">
        <x:v>2020</x:v>
      </x:c>
      <x:c r="L32" s="90" t="n">
        <x:f>IF(COUNTIFS('Municipal data'!$A$2:$A$969,$D$6&amp;"|"&amp;K32,'Municipal data'!$V$2:$V$969,"&gt;=-1E+307")=0,"n.a.",SUMIFS('Municipal data'!$V$2:$V$969,'Municipal data'!$A$2:$A$969,$D$6&amp;"|"&amp;K32))</x:f>
        <x:v>737955000</x:v>
      </x:c>
      <x:c r="M32" s="90" t="n">
        <x:f>IF(COUNTIFS('Municipal data'!$A$2:$A$969,$D$6&amp;"|"&amp;K32,'Municipal data'!$W$2:$W$969,"&gt;=-1E+307")=0,"n.a.",SUMIFS('Municipal data'!$W$2:$W$969,'Municipal data'!$A$2:$A$969,$D$6&amp;"|"&amp;K32))</x:f>
        <x:v>0</x:v>
      </x:c>
      <x:c r="N32" s="90" t="n">
        <x:f>IF(COUNTIFS('Municipal data'!$A$2:$A$969,$D$6&amp;"|"&amp;K32,'Municipal data'!$AA$2:$AA$969,"&gt;=-1E+307")=0,"n.a.",SUMIFS('Municipal data'!$AA$2:$AA$969,'Municipal data'!$A$2:$A$969,$D$6&amp;"|"&amp;K32))</x:f>
        <x:v>1070839000</x:v>
      </x:c>
      <x:c r="O32" s="14"/>
      <x:c r="P32" s="14"/>
      <x:c r="Q32" s="14"/>
      <x:c r="R32" s="14"/>
    </x:row>
    <x:row r="33">
      <x:c r="C33" s="14" t="n">
        <x:v>2021</x:v>
      </x:c>
      <x:c r="D33" s="89" t="n">
        <x:f>IF(COUNTIFS('Municipal data'!$A$2:$A$969,$D$6&amp;"|"&amp;C33,'Municipal data'!$J$2:$J$969,"&gt;=-1E+307")=0,"n.a.",SUMIFS('Municipal data'!$J$2:$J$969,'Municipal data'!$A$2:$A$969,$D$6&amp;"|"&amp;C33))</x:f>
        <x:v>2350223000</x:v>
      </x:c>
      <x:c r="E33" s="89" t="n">
        <x:f>IF(COUNTIFS('Municipal data'!$A$2:$A$969,$D$6&amp;"|"&amp;C33,'Municipal data'!$K$2:$K$969,"&gt;=-1E+307")=0,"n.a.",SUMIFS('Municipal data'!$K$2:$K$969,'Municipal data'!$A$2:$A$969,$D$6&amp;"|"&amp;C33))</x:f>
        <x:v>1766815000</x:v>
      </x:c>
      <x:c r="F33" s="14"/>
      <x:c r="G33" s="14"/>
      <x:c r="H33" s="14"/>
      <x:c r="I33" s="14"/>
      <x:c r="J33" s="14"/>
      <x:c r="K33" s="14" t="n">
        <x:v>2021</x:v>
      </x:c>
      <x:c r="L33" s="90" t="n">
        <x:f>IF(COUNTIFS('Municipal data'!$A$2:$A$969,$D$6&amp;"|"&amp;K33,'Municipal data'!$V$2:$V$969,"&gt;=-1E+307")=0,"n.a.",SUMIFS('Municipal data'!$V$2:$V$969,'Municipal data'!$A$2:$A$969,$D$6&amp;"|"&amp;K33))</x:f>
        <x:v>940011000</x:v>
      </x:c>
      <x:c r="M33" s="90" t="n">
        <x:f>IF(COUNTIFS('Municipal data'!$A$2:$A$969,$D$6&amp;"|"&amp;K33,'Municipal data'!$W$2:$W$969,"&gt;=-1E+307")=0,"n.a.",SUMIFS('Municipal data'!$W$2:$W$969,'Municipal data'!$A$2:$A$969,$D$6&amp;"|"&amp;K33))</x:f>
        <x:v>0</x:v>
      </x:c>
      <x:c r="N33" s="90" t="n">
        <x:f>IF(COUNTIFS('Municipal data'!$A$2:$A$969,$D$6&amp;"|"&amp;K33,'Municipal data'!$AA$2:$AA$969,"&gt;=-1E+307")=0,"n.a.",SUMIFS('Municipal data'!$AA$2:$AA$969,'Municipal data'!$A$2:$A$969,$D$6&amp;"|"&amp;K33))</x:f>
        <x:v>1020964000</x:v>
      </x:c>
      <x:c r="O33" s="14"/>
      <x:c r="P33" s="14"/>
      <x:c r="Q33" s="14"/>
      <x:c r="R33" s="14"/>
    </x:row>
    <x:row r="34">
      <x:c r="C34" s="14" t="n">
        <x:v>2022</x:v>
      </x:c>
      <x:c r="D34" s="89" t="n">
        <x:f>IF(COUNTIFS('Municipal data'!$A$2:$A$969,$D$6&amp;"|"&amp;C34,'Municipal data'!$J$2:$J$969,"&gt;=-1E+307")=0,"n.a.",SUMIFS('Municipal data'!$J$2:$J$969,'Municipal data'!$A$2:$A$969,$D$6&amp;"|"&amp;C34))</x:f>
        <x:v>2452279000</x:v>
      </x:c>
      <x:c r="E34" s="89" t="n">
        <x:f>IF(COUNTIFS('Municipal data'!$A$2:$A$969,$D$6&amp;"|"&amp;C34,'Municipal data'!$K$2:$K$969,"&gt;=-1E+307")=0,"n.a.",SUMIFS('Municipal data'!$K$2:$K$969,'Municipal data'!$A$2:$A$969,$D$6&amp;"|"&amp;C34))</x:f>
        <x:v>1899831000</x:v>
      </x:c>
      <x:c r="F34" s="14"/>
      <x:c r="G34" s="14"/>
      <x:c r="H34" s="14"/>
      <x:c r="I34" s="14"/>
      <x:c r="J34" s="14"/>
      <x:c r="K34" s="14" t="n">
        <x:v>2022</x:v>
      </x:c>
      <x:c r="L34" s="90" t="n">
        <x:f>IF(COUNTIFS('Municipal data'!$A$2:$A$969,$D$6&amp;"|"&amp;K34,'Municipal data'!$V$2:$V$969,"&gt;=-1E+307")=0,"n.a.",SUMIFS('Municipal data'!$V$2:$V$969,'Municipal data'!$A$2:$A$969,$D$6&amp;"|"&amp;K34))</x:f>
        <x:v>1247630000</x:v>
      </x:c>
      <x:c r="M34" s="90" t="n">
        <x:f>IF(COUNTIFS('Municipal data'!$A$2:$A$969,$D$6&amp;"|"&amp;K34,'Municipal data'!$W$2:$W$969,"&gt;=-1E+307")=0,"n.a.",SUMIFS('Municipal data'!$W$2:$W$969,'Municipal data'!$A$2:$A$969,$D$6&amp;"|"&amp;K34))</x:f>
        <x:v>949274000</x:v>
      </x:c>
      <x:c r="N34" s="90" t="n">
        <x:f>IF(COUNTIFS('Municipal data'!$A$2:$A$969,$D$6&amp;"|"&amp;K34,'Municipal data'!$AA$2:$AA$969,"&gt;=-1E+307")=0,"n.a.",SUMIFS('Municipal data'!$AA$2:$AA$969,'Municipal data'!$A$2:$A$969,$D$6&amp;"|"&amp;K34))</x:f>
        <x:v>1019598000</x:v>
      </x:c>
      <x:c r="O34" s="14"/>
      <x:c r="P34" s="14"/>
      <x:c r="Q34" s="14"/>
      <x:c r="R34" s="14"/>
    </x:row>
    <x:row r="35">
      <x:c r="C35" s="14" t="n">
        <x:v>2023</x:v>
      </x:c>
      <x:c r="D35" s="89" t="n">
        <x:f>IF(COUNTIFS('Municipal data'!$A$2:$A$969,$D$6&amp;"|"&amp;C35,'Municipal data'!$J$2:$J$969,"&gt;=-1E+307")=0,"n.a.",SUMIFS('Municipal data'!$J$2:$J$969,'Municipal data'!$A$2:$A$969,$D$6&amp;"|"&amp;C35))</x:f>
        <x:v>2618136000</x:v>
      </x:c>
      <x:c r="E35" s="89" t="n">
        <x:f>IF(COUNTIFS('Municipal data'!$A$2:$A$969,$D$6&amp;"|"&amp;C35,'Municipal data'!$K$2:$K$969,"&gt;=-1E+307")=0,"n.a.",SUMIFS('Municipal data'!$K$2:$K$969,'Municipal data'!$A$2:$A$969,$D$6&amp;"|"&amp;C35))</x:f>
        <x:v>2084128000</x:v>
      </x:c>
      <x:c r="F35" s="14"/>
      <x:c r="G35" s="14"/>
      <x:c r="H35" s="14"/>
      <x:c r="I35" s="14"/>
      <x:c r="J35" s="14"/>
      <x:c r="K35" s="14" t="n">
        <x:v>2023</x:v>
      </x:c>
      <x:c r="L35" s="90" t="n">
        <x:f>IF(COUNTIFS('Municipal data'!$A$2:$A$969,$D$6&amp;"|"&amp;K35,'Municipal data'!$V$2:$V$969,"&gt;=-1E+307")=0,"n.a.",SUMIFS('Municipal data'!$V$2:$V$969,'Municipal data'!$A$2:$A$969,$D$6&amp;"|"&amp;K35))</x:f>
        <x:v>1413521000</x:v>
      </x:c>
      <x:c r="M35" s="90" t="n">
        <x:f>IF(COUNTIFS('Municipal data'!$A$2:$A$969,$D$6&amp;"|"&amp;K35,'Municipal data'!$W$2:$W$969,"&gt;=-1E+307")=0,"n.a.",SUMIFS('Municipal data'!$W$2:$W$969,'Municipal data'!$A$2:$A$969,$D$6&amp;"|"&amp;K35))</x:f>
        <x:v>1380443000</x:v>
      </x:c>
      <x:c r="N35" s="90" t="n">
        <x:f>IF(COUNTIFS('Municipal data'!$A$2:$A$969,$D$6&amp;"|"&amp;K35,'Municipal data'!$AA$2:$AA$969,"&gt;=-1E+307")=0,"n.a.",SUMIFS('Municipal data'!$AA$2:$AA$969,'Municipal data'!$A$2:$A$969,$D$6&amp;"|"&amp;K35))</x:f>
        <x:v>1006953000</x:v>
      </x:c>
      <x:c r="O35" s="14"/>
      <x:c r="P35" s="14"/>
      <x:c r="Q35" s="14"/>
      <x:c r="R35" s="14"/>
    </x:row>
    <x:row r="36">
      <x:c r="C36" s="14" t="n">
        <x:v>2024</x:v>
      </x:c>
      <x:c r="D36" s="89" t="n">
        <x:f>IF(COUNTIFS('Municipal data'!$A$2:$A$969,$D$6&amp;"|"&amp;C36,'Municipal data'!$J$2:$J$969,"&gt;=-1E+307")=0,"n.a.",SUMIFS('Municipal data'!$J$2:$J$969,'Municipal data'!$A$2:$A$969,$D$6&amp;"|"&amp;C36))</x:f>
        <x:v>3164278000</x:v>
      </x:c>
      <x:c r="E36" s="89" t="n">
        <x:f>IF(COUNTIFS('Municipal data'!$A$2:$A$969,$D$6&amp;"|"&amp;C36,'Municipal data'!$K$2:$K$969,"&gt;=-1E+307")=0,"n.a.",SUMIFS('Municipal data'!$K$2:$K$969,'Municipal data'!$A$2:$A$969,$D$6&amp;"|"&amp;C36))</x:f>
        <x:v>2303644000</x:v>
      </x:c>
      <x:c r="F36" s="14"/>
      <x:c r="G36" s="14"/>
      <x:c r="H36" s="14"/>
      <x:c r="I36" s="14"/>
      <x:c r="J36" s="14"/>
      <x:c r="K36" s="14" t="n">
        <x:v>2024</x:v>
      </x:c>
      <x:c r="L36" s="90" t="n">
        <x:f>IF(COUNTIFS('Municipal data'!$A$2:$A$969,$D$6&amp;"|"&amp;K36,'Municipal data'!$V$2:$V$969,"&gt;=-1E+307")=0,"n.a.",SUMIFS('Municipal data'!$V$2:$V$969,'Municipal data'!$A$2:$A$969,$D$6&amp;"|"&amp;K36))</x:f>
        <x:v>1489852000</x:v>
      </x:c>
      <x:c r="M36" s="90" t="n">
        <x:f>IF(COUNTIFS('Municipal data'!$A$2:$A$969,$D$6&amp;"|"&amp;K36,'Municipal data'!$W$2:$W$969,"&gt;=-1E+307")=0,"n.a.",SUMIFS('Municipal data'!$W$2:$W$969,'Municipal data'!$A$2:$A$969,$D$6&amp;"|"&amp;K36))</x:f>
        <x:v>1484687000</x:v>
      </x:c>
      <x:c r="N36" s="90" t="n">
        <x:f>IF(COUNTIFS('Municipal data'!$A$2:$A$969,$D$6&amp;"|"&amp;K36,'Municipal data'!$AA$2:$AA$969,"&gt;=-1E+307")=0,"n.a.",SUMIFS('Municipal data'!$AA$2:$AA$969,'Municipal data'!$A$2:$A$969,$D$6&amp;"|"&amp;K36))</x:f>
        <x:v>1027970000</x:v>
      </x:c>
      <x:c r="O36" s="14"/>
      <x:c r="P36" s="14"/>
      <x:c r="Q36" s="14"/>
      <x:c r="R36" s="14"/>
    </x:row>
    <x:row r="37"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>
      <x:c r="C57" s="76" t="str">
        <x:v>What the numbers support</x:v>
      </x:c>
      <x:c r="D57" s="77" t="str">
        <x:v>What the numbers support</x:v>
      </x:c>
      <x:c r="E57" s="77" t="str">
        <x:v>What the numbers support</x:v>
      </x:c>
      <x:c r="F57" s="77" t="str">
        <x:v>What the numbers support</x:v>
      </x:c>
      <x:c r="G57" s="77" t="str">
        <x:v>What the numbers support</x:v>
      </x:c>
      <x:c r="H57" s="77" t="str">
        <x:v>What the numbers support</x:v>
      </x:c>
      <x:c r="I57" s="77" t="str">
        <x:v>What the numbers support</x:v>
      </x:c>
      <x:c r="J57" s="77" t="str">
        <x:v>What the numbers support</x:v>
      </x:c>
      <x:c r="K57" s="77" t="str">
        <x:v>What the numbers support</x:v>
      </x:c>
      <x:c r="L57" s="77" t="str">
        <x:v>What the numbers support</x:v>
      </x:c>
      <x:c r="M57" s="77" t="str">
        <x:v>What the numbers support</x:v>
      </x:c>
      <x:c r="N57" s="77" t="str">
        <x:v>What the numbers support</x:v>
      </x:c>
      <x:c r="O57" s="77" t="str">
        <x:v>What the numbers support</x:v>
      </x:c>
      <x:c r="P57" s="77" t="str">
        <x:v>What the numbers support</x:v>
      </x:c>
      <x:c r="Q57" s="77" t="str">
        <x:v>What the numbers support</x:v>
      </x:c>
      <x:c r="R57" s="78" t="str">
        <x:v>What the numbers support</x:v>
      </x:c>
    </x:row>
    <x:row r="58"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>
      <x:c r="C59" s="92" t="str">
        <x:v>Use the benchmark to frame questions, not to label performance. Service responsibilities, accounting choices and infrastructure age differ across municipalities.</x:v>
      </x:c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</x:row>
    <x:row r="60">
      <x:c r="C60" s="92" t="str">
        <x:v>The Forecast carries the selected municipality into a five-year illustrative operating, capital, reserves and debt scenario. The Capital plan shows the 2024 asset-category evidence behind the opening position.</x:v>
      </x:c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</x:row>
    <x:row r="61"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</x:sheetData>
  <x:mergeCells>
    <x:mergeCell ref="C2:R2"/>
    <x:mergeCell ref="C3:R3"/>
    <x:mergeCell ref="L6:R6"/>
    <x:mergeCell ref="C8:E8"/>
    <x:mergeCell ref="C9:E10"/>
    <x:mergeCell ref="C11:E11"/>
    <x:mergeCell ref="F8:H8"/>
    <x:mergeCell ref="F9:H10"/>
    <x:mergeCell ref="F11:H11"/>
    <x:mergeCell ref="I8:K8"/>
    <x:mergeCell ref="I9:K10"/>
    <x:mergeCell ref="I11:K11"/>
    <x:mergeCell ref="L8:N8"/>
    <x:mergeCell ref="L9:N10"/>
    <x:mergeCell ref="L11:N11"/>
    <x:mergeCell ref="O8:Q8"/>
    <x:mergeCell ref="O9:Q10"/>
    <x:mergeCell ref="O11:Q11"/>
    <x:mergeCell ref="R9:R10"/>
    <x:mergeCell ref="C14:R14"/>
    <x:mergeCell ref="C28:R28"/>
    <x:mergeCell ref="C57:R57"/>
    <x:mergeCell ref="C59:R59"/>
    <x:mergeCell ref="C60:R60"/>
  </x:mergeCells>
  <x:dataValidations count="1">
    <x:dataValidation type="list" sqref="D6">
      <x:formula1>'Municipal data'!$CQ$2:$CQ$162</x:formula1>
    </x:dataValidation>
  </x:dataValidations>
  <x:pageMargins left="0.7" right="0.7" top="0.75" bottom="0.75" header="0.3" footer="0.3"/>
  <x:drawing xmlns:r="http://schemas.openxmlformats.org/officeDocument/2006/relationships" r:id="Rbabdef3d38d64e76"/>
</x:worksheet>
</file>

<file path=xl/worksheets/sheet2.xml><?xml version="1.0" encoding="utf-8"?>
<x:worksheet xmlns:x="http://schemas.openxmlformats.org/spreadsheetml/2006/main">
  <x:sheetPr>
    <x:tabColor rgb="FF183A6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3" max="3" width="4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" hidden="0" customWidth="1"/>
  </x:cols>
  <x:sheetData>
    <x:row r="2">
      <x:c r="C2" s="15" t="str">
        <x:v>Five-year municipal financial outlook</x:v>
      </x:c>
      <x:c r="D2" s="14"/>
      <x:c r="E2" s="14"/>
      <x:c r="F2" s="14"/>
      <x:c r="G2" s="14"/>
      <x:c r="H2" s="14"/>
      <x:c r="I2" s="14"/>
      <x:c r="J2" s="14"/>
    </x:row>
    <x:row r="3">
      <x:c r="C3" s="16" t="str">
        <x:v>Illustrative scenario linked to the selected municipality and the active assumptions.</x:v>
      </x:c>
      <x:c r="D3" s="14"/>
      <x:c r="E3" s="14"/>
      <x:c r="F3" s="14"/>
      <x:c r="G3" s="14"/>
      <x:c r="H3" s="14"/>
      <x:c r="I3" s="14"/>
      <x:c r="J3" s="14"/>
    </x:row>
    <x:row r="4">
      <x:c r="C4" s="17"/>
      <x:c r="D4" s="17"/>
      <x:c r="E4" s="17"/>
      <x:c r="F4" s="17"/>
      <x:c r="G4" s="17"/>
      <x:c r="H4" s="17"/>
      <x:c r="I4" s="17"/>
      <x:c r="J4" s="17"/>
    </x:row>
    <x:row r="5">
      <x:c r="C5" s="14"/>
      <x:c r="D5" s="14"/>
      <x:c r="E5" s="14"/>
      <x:c r="F5" s="14"/>
      <x:c r="G5" s="14"/>
      <x:c r="H5" s="14"/>
      <x:c r="I5" s="14"/>
      <x:c r="J5" s="14"/>
    </x:row>
    <x:row r="6">
      <x:c r="C6" s="14" t="str">
        <x:v>Municipality</x:v>
      </x:c>
      <x:c r="D6" s="20" t="str">
        <x:f>'Dashboard'!$D$6</x:f>
        <x:v>Vancouver</x:v>
      </x:c>
      <x:c r="E6" s="14"/>
      <x:c r="F6" s="14" t="str">
        <x:v>Case selected</x:v>
      </x:c>
      <x:c r="G6" s="20" t="str">
        <x:f>'Assumptions'!$G$6</x:f>
        <x:v>Base</x:v>
      </x:c>
      <x:c r="H6" s="14"/>
      <x:c r="I6" s="14"/>
      <x:c r="J6" s="14"/>
    </x:row>
    <x:row r="7">
      <x:c r="C7" s="14"/>
      <x:c r="D7" s="14"/>
      <x:c r="E7" s="14"/>
      <x:c r="F7" s="14"/>
      <x:c r="G7" s="14"/>
      <x:c r="H7" s="14"/>
      <x:c r="I7" s="14"/>
      <x:c r="J7" s="14"/>
    </x:row>
    <x:row r="8">
      <x:c r="C8" s="6" t="str">
        <x:v>Metric</x:v>
      </x:c>
      <x:c r="D8" s="6" t="n">
        <x:v>2024</x:v>
      </x:c>
      <x:c r="E8" s="6" t="n">
        <x:v>2025</x:v>
      </x:c>
      <x:c r="F8" s="6" t="n">
        <x:v>2026</x:v>
      </x:c>
      <x:c r="G8" s="6" t="n">
        <x:v>2027</x:v>
      </x:c>
      <x:c r="H8" s="6" t="n">
        <x:v>2028</x:v>
      </x:c>
      <x:c r="I8" s="6" t="n">
        <x:v>2029</x:v>
      </x:c>
      <x:c r="J8" s="14"/>
    </x:row>
    <x:row r="9">
      <x:c r="C9" s="93" t="str">
        <x:v>Revenue</x:v>
      </x:c>
      <x:c r="D9" s="93"/>
      <x:c r="E9" s="93"/>
      <x:c r="F9" s="93"/>
      <x:c r="G9" s="93"/>
      <x:c r="H9" s="93"/>
      <x:c r="I9" s="93"/>
      <x:c r="J9" s="14"/>
    </x:row>
    <x:row r="10">
      <x:c r="C10" s="14" t="str">
        <x:v>  Taxation</x:v>
      </x:c>
      <x:c r="D10" s="80" t="n">
        <x:f>IF(COUNTIFS('Municipal data'!$A$2:$A$969,$D$6&amp;"|2024",'Municipal data'!$N$2:$N$969,"&gt;=-1E+307")=0,"n.a.",SUMIFS('Municipal data'!$N$2:$N$969,'Municipal data'!$A$2:$A$969,$D$6&amp;"|2024"))</x:f>
        <x:v>1271706000</x:v>
      </x:c>
      <x:c r="E10" s="80" t="n">
        <x:f>D10*(1+'Assumptions'!E$10)</x:f>
        <x:v>1335291300</x:v>
      </x:c>
      <x:c r="F10" s="80" t="n">
        <x:f>E10*(1+'Assumptions'!F$10)</x:f>
        <x:v>1402055865</x:v>
      </x:c>
      <x:c r="G10" s="80" t="n">
        <x:f>F10*(1+'Assumptions'!G$10)</x:f>
        <x:v>1472158658.25</x:v>
      </x:c>
      <x:c r="H10" s="80" t="n">
        <x:f>G10*(1+'Assumptions'!H$10)</x:f>
        <x:v>1545766591.1625001</x:v>
      </x:c>
      <x:c r="I10" s="80" t="n">
        <x:f>H10*(1+'Assumptions'!I$10)</x:f>
        <x:v>1623054920.7206252</x:v>
      </x:c>
      <x:c r="J10" s="14"/>
    </x:row>
    <x:row r="11">
      <x:c r="C11" s="14" t="str">
        <x:v>  Sale of services</x:v>
      </x:c>
      <x:c r="D11" s="80" t="n">
        <x:f>IF(COUNTIFS('Municipal data'!$A$2:$A$969,$D$6&amp;"|2024",'Municipal data'!$O$2:$O$969,"&gt;=-1E+307")=0,"n.a.",SUMIFS('Municipal data'!$O$2:$O$969,'Municipal data'!$A$2:$A$969,$D$6&amp;"|2024"))</x:f>
        <x:v>1082556000</x:v>
      </x:c>
      <x:c r="E11" s="80" t="n">
        <x:f>D11*(1+'Assumptions'!E$14)</x:f>
        <x:v>1120445460</x:v>
      </x:c>
      <x:c r="F11" s="80" t="n">
        <x:f>E11*(1+'Assumptions'!F$14)</x:f>
        <x:v>1159661051.1</x:v>
      </x:c>
      <x:c r="G11" s="80" t="n">
        <x:f>F11*(1+'Assumptions'!G$14)</x:f>
        <x:v>1200249187.8884997</x:v>
      </x:c>
      <x:c r="H11" s="80" t="n">
        <x:f>G11*(1+'Assumptions'!H$14)</x:f>
        <x:v>1242257909.4645972</x:v>
      </x:c>
      <x:c r="I11" s="80" t="n">
        <x:f>H11*(1+'Assumptions'!I$14)</x:f>
        <x:v>1285736936.2958581</x:v>
      </x:c>
      <x:c r="J11" s="14"/>
    </x:row>
    <x:row r="12">
      <x:c r="C12" s="14" t="str">
        <x:v>  Government transfers</x:v>
      </x:c>
      <x:c r="D12" s="80" t="n">
        <x:f>IF(COUNTIFS('Municipal data'!$A$2:$A$969,$D$6&amp;"|2024",'Municipal data'!$P$2:$P$969,"&gt;=-1E+307")=0,"n.a.",SUMIFS('Municipal data'!$P$2:$P$969,'Municipal data'!$A$2:$A$969,$D$6&amp;"|2024"))</x:f>
        <x:v>143862000</x:v>
      </x:c>
      <x:c r="E12" s="80" t="n">
        <x:f>D12*(1+'Assumptions'!E$18)</x:f>
        <x:v>146739240</x:v>
      </x:c>
      <x:c r="F12" s="80" t="n">
        <x:f>E12*(1+'Assumptions'!F$18)</x:f>
        <x:v>149674024.8</x:v>
      </x:c>
      <x:c r="G12" s="80" t="n">
        <x:f>F12*(1+'Assumptions'!G$18)</x:f>
        <x:v>152667505.296</x:v>
      </x:c>
      <x:c r="H12" s="80" t="n">
        <x:f>G12*(1+'Assumptions'!H$18)</x:f>
        <x:v>155720855.40192002</x:v>
      </x:c>
      <x:c r="I12" s="80" t="n">
        <x:f>H12*(1+'Assumptions'!I$18)</x:f>
        <x:v>158835272.50995842</x:v>
      </x:c>
      <x:c r="J12" s="14"/>
    </x:row>
    <x:row r="13">
      <x:c r="C13" s="14" t="str">
        <x:v>  Investment and other revenue</x:v>
      </x:c>
      <x:c r="D13" s="80" t="n">
        <x:f>IF(COUNTIFS('Municipal data'!$A$2:$A$969,$D$6&amp;"|2024",'Municipal data'!$Q$2:$Q$969,"&gt;=-1E+307")=0,"n.a.",SUMIFS('Municipal data'!$Q$2:$Q$969,'Municipal data'!$A$2:$A$969,$D$6&amp;"|2024"))</x:f>
        <x:v>666154000</x:v>
      </x:c>
      <x:c r="E13" s="80" t="n">
        <x:f>D13*(1+'Assumptions'!E$22)</x:f>
        <x:v>679477080</x:v>
      </x:c>
      <x:c r="F13" s="80" t="n">
        <x:f>E13*(1+'Assumptions'!F$22)</x:f>
        <x:v>693066621.6</x:v>
      </x:c>
      <x:c r="G13" s="80" t="n">
        <x:f>F13*(1+'Assumptions'!G$22)</x:f>
        <x:v>706927954.0320001</x:v>
      </x:c>
      <x:c r="H13" s="80" t="n">
        <x:f>G13*(1+'Assumptions'!H$22)</x:f>
        <x:v>721066513.11264</x:v>
      </x:c>
      <x:c r="I13" s="80" t="n">
        <x:f>H13*(1+'Assumptions'!I$22)</x:f>
        <x:v>735487843.3748928</x:v>
      </x:c>
      <x:c r="J13" s="14"/>
    </x:row>
    <x:row r="14">
      <x:c r="C14" s="97" t="str">
        <x:v>Total revenue</x:v>
      </x:c>
      <x:c r="D14" s="98" t="n">
        <x:f>IF(COUNTIFS('Municipal data'!$A$2:$A$969,$D$6&amp;"|2024",'Municipal data'!$J$2:$J$969,"&gt;=-1E+307")=0,"n.a.",SUMIFS('Municipal data'!$J$2:$J$969,'Municipal data'!$A$2:$A$969,$D$6&amp;"|2024"))</x:f>
        <x:v>3164278000</x:v>
      </x:c>
      <x:c r="E14" s="98" t="n">
        <x:f>SUM(E10:E13)</x:f>
        <x:v>3281953080</x:v>
      </x:c>
      <x:c r="F14" s="98" t="n">
        <x:f>SUM(F10:F13)</x:f>
        <x:v>3404457562.5</x:v>
      </x:c>
      <x:c r="G14" s="98" t="n">
        <x:f>SUM(G10:G13)</x:f>
        <x:v>3532003305.4665</x:v>
      </x:c>
      <x:c r="H14" s="98" t="n">
        <x:f>SUM(H10:H13)</x:f>
        <x:v>3664811869.141657</x:v>
      </x:c>
      <x:c r="I14" s="98" t="n">
        <x:f>SUM(I10:I13)</x:f>
        <x:v>3803114972.9013343</x:v>
      </x:c>
      <x:c r="J14" s="14"/>
    </x:row>
    <x:row r="15">
      <x:c r="C15" s="93" t="str">
        <x:v>Expenses</x:v>
      </x:c>
      <x:c r="D15" s="94"/>
      <x:c r="E15" s="94"/>
      <x:c r="F15" s="94"/>
      <x:c r="G15" s="94"/>
      <x:c r="H15" s="94"/>
      <x:c r="I15" s="94"/>
      <x:c r="J15" s="14"/>
    </x:row>
    <x:row r="16">
      <x:c r="C16" s="14" t="str">
        <x:v>  Operating expense before amortization and interest</x:v>
      </x:c>
      <x:c r="D16" s="80" t="n">
        <x:f>IF(COUNTIFS('Municipal data'!$A$2:$A$969,$D$6&amp;"|2024",'Municipal data'!$R$2:$R$969,"&gt;=-1E+307")=0,"n.a.",SUMIFS('Municipal data'!$R$2:$R$969,'Municipal data'!$A$2:$A$969,$D$6&amp;"|2024"))</x:f>
        <x:v>2042043000</x:v>
      </x:c>
      <x:c r="E16" s="80" t="n">
        <x:f>D16*(1+'Assumptions'!E$26)</x:f>
        <x:v>2133934934.9999998</x:v>
      </x:c>
      <x:c r="F16" s="80" t="n">
        <x:f>E16*(1+'Assumptions'!F$26)</x:f>
        <x:v>2229962007.075</x:v>
      </x:c>
      <x:c r="G16" s="80" t="n">
        <x:f>F16*(1+'Assumptions'!G$26)</x:f>
        <x:v>2330310297.3933744</x:v>
      </x:c>
      <x:c r="H16" s="80" t="n">
        <x:f>G16*(1+'Assumptions'!H$26)</x:f>
        <x:v>2435174260.7760763</x:v>
      </x:c>
      <x:c r="I16" s="80" t="n">
        <x:f>H16*(1+'Assumptions'!I$26)</x:f>
        <x:v>2544757102.5109997</x:v>
      </x:c>
      <x:c r="J16" s="14"/>
    </x:row>
    <x:row r="17">
      <x:c r="C17" s="14" t="str">
        <x:v>  Amortization</x:v>
      </x:c>
      <x:c r="D17" s="80" t="n">
        <x:f>IF(COUNTIFS('Municipal data'!$A$2:$A$969,$D$6&amp;"|2024",'Municipal data'!$S$2:$S$969,"&gt;=-1E+307")=0,"n.a.",SUMIFS('Municipal data'!$S$2:$S$969,'Municipal data'!$A$2:$A$969,$D$6&amp;"|2024"))</x:f>
        <x:v>227348000</x:v>
      </x:c>
      <x:c r="E17" s="80" t="n">
        <x:f>E24</x:f>
        <x:v>223125925</x:v>
      </x:c>
      <x:c r="F17" s="80" t="n">
        <x:f>F24</x:f>
        <x:v>226472813.875</x:v>
      </x:c>
      <x:c r="G17" s="80" t="n">
        <x:f>G24</x:f>
        <x:v>229869906.08312503</x:v>
      </x:c>
      <x:c r="H17" s="80" t="n">
        <x:f>H24</x:f>
        <x:v>233317954.67437193</x:v>
      </x:c>
      <x:c r="I17" s="80" t="n">
        <x:f>I24</x:f>
        <x:v>236817723.9944875</x:v>
      </x:c>
      <x:c r="J17" s="14"/>
    </x:row>
    <x:row r="18">
      <x:c r="C18" s="14" t="str">
        <x:v>  Interest expense</x:v>
      </x:c>
      <x:c r="D18" s="80" t="n">
        <x:f>IF(COUNTIFS('Municipal data'!$A$2:$A$969,$D$6&amp;"|2024",'Municipal data'!$AB$2:$AB$969,"&gt;=-1E+307")=0,"n.a.",SUMIFS('Municipal data'!$AB$2:$AB$969,'Municipal data'!$A$2:$A$969,$D$6&amp;"|2024"))</x:f>
        <x:v>34253000</x:v>
      </x:c>
      <x:c r="E18" s="80" t="n">
        <x:f>E31</x:f>
        <x:v>43079118.2175</x:v>
      </x:c>
      <x:c r="F18" s="80" t="n">
        <x:f>F31</x:f>
        <x:v>41925742.32836251</x:v>
      </x:c>
      <x:c r="G18" s="80" t="n">
        <x:f>G31</x:f>
        <x:v>40899030.813879944</x:v>
      </x:c>
      <x:c r="H18" s="80" t="n">
        <x:f>H31</x:f>
        <x:v>39989366.438632786</x:v>
      </x:c>
      <x:c r="I18" s="80" t="n">
        <x:f>I31</x:f>
        <x:v>39187909.08475334</x:v>
      </x:c>
      <x:c r="J18" s="14"/>
    </x:row>
    <x:row r="19">
      <x:c r="C19" s="97" t="str">
        <x:v>Total expenses</x:v>
      </x:c>
      <x:c r="D19" s="98" t="n">
        <x:f>IF(COUNTIFS('Municipal data'!$A$2:$A$969,$D$6&amp;"|2024",'Municipal data'!$K$2:$K$969,"&gt;=-1E+307")=0,"n.a.",SUMIFS('Municipal data'!$K$2:$K$969,'Municipal data'!$A$2:$A$969,$D$6&amp;"|2024"))</x:f>
        <x:v>2303644000</x:v>
      </x:c>
      <x:c r="E19" s="98" t="n">
        <x:f>SUM(E16:E18)</x:f>
        <x:v>2400139978.2175</x:v>
      </x:c>
      <x:c r="F19" s="98" t="n">
        <x:f>SUM(F16:F18)</x:f>
        <x:v>2498360563.2783623</x:v>
      </x:c>
      <x:c r="G19" s="98" t="n">
        <x:f>SUM(G16:G18)</x:f>
        <x:v>2601079234.2903795</x:v>
      </x:c>
      <x:c r="H19" s="98" t="n">
        <x:f>SUM(H16:H18)</x:f>
        <x:v>2708481581.889081</x:v>
      </x:c>
      <x:c r="I19" s="98" t="n">
        <x:f>SUM(I16:I18)</x:f>
        <x:v>2820762735.5902405</x:v>
      </x:c>
      <x:c r="J19" s="14"/>
    </x:row>
    <x:row r="20">
      <x:c r="C20" s="97" t="str">
        <x:v>Annual surplus</x:v>
      </x:c>
      <x:c r="D20" s="98" t="n">
        <x:f>IF(COUNTIFS('Municipal data'!$A$2:$A$969,$D$6&amp;"|2024",'Municipal data'!$L$2:$L$969,"&gt;=-1E+307")=0,"n.a.",SUMIFS('Municipal data'!$L$2:$L$969,'Municipal data'!$A$2:$A$969,$D$6&amp;"|2024"))</x:f>
        <x:v>860634000</x:v>
      </x:c>
      <x:c r="E20" s="98" t="n">
        <x:f>E14-E19</x:f>
        <x:v>881813101.7824998</x:v>
      </x:c>
      <x:c r="F20" s="98" t="n">
        <x:f>F14-F19</x:f>
        <x:v>906096999.2216377</x:v>
      </x:c>
      <x:c r="G20" s="98" t="n">
        <x:f>G14-G19</x:f>
        <x:v>930924071.1761203</x:v>
      </x:c>
      <x:c r="H20" s="98" t="n">
        <x:f>H14-H19</x:f>
        <x:v>956330287.2525759</x:v>
      </x:c>
      <x:c r="I20" s="98" t="n">
        <x:f>I14-I19</x:f>
        <x:v>982352237.3110938</x:v>
      </x:c>
      <x:c r="J20" s="14"/>
    </x:row>
    <x:row r="21">
      <x:c r="C21" s="93" t="str">
        <x:v>Capital</x:v>
      </x:c>
      <x:c r="D21" s="94"/>
      <x:c r="E21" s="94"/>
      <x:c r="F21" s="94"/>
      <x:c r="G21" s="94"/>
      <x:c r="H21" s="94"/>
      <x:c r="I21" s="94"/>
      <x:c r="J21" s="14"/>
    </x:row>
    <x:row r="22">
      <x:c r="C22" s="14" t="str">
        <x:v>  Opening tangible capital assets</x:v>
      </x:c>
      <x:c r="D22" s="80" t="n">
        <x:f>D25-D23+D24</x:f>
        <x:v>8273262000</x:v>
      </x:c>
      <x:c r="E22" s="80" t="n">
        <x:f>D25</x:f>
        <x:v>8925037000</x:v>
      </x:c>
      <x:c r="F22" s="80" t="n">
        <x:f>E25</x:f>
        <x:v>9058912555</x:v>
      </x:c>
      <x:c r="G22" s="80" t="n">
        <x:f>F25</x:f>
        <x:v>9194796243.325</x:v>
      </x:c>
      <x:c r="H22" s="80" t="n">
        <x:f>G25</x:f>
        <x:v>9332718186.974876</x:v>
      </x:c>
      <x:c r="I22" s="80" t="n">
        <x:f>H25</x:f>
        <x:v>9472708959.7795</x:v>
      </x:c>
      <x:c r="J22" s="14"/>
    </x:row>
    <x:row r="23">
      <x:c r="C23" s="14" t="str">
        <x:v>  Capital additions</x:v>
      </x:c>
      <x:c r="D23" s="80" t="n">
        <x:f>IF(COUNTIFS('Municipal data'!$A$2:$A$969,$D$6&amp;"|2024",'Municipal data'!$AJ$2:$AJ$969,"&gt;=-1E+307")=0,"n.a.",SUMIFS('Municipal data'!$AJ$2:$AJ$969,'Municipal data'!$A$2:$A$969,$D$6&amp;"|2024"))</x:f>
        <x:v>879123000</x:v>
      </x:c>
      <x:c r="E23" s="80" t="n">
        <x:f>E22*'Assumptions'!E$30</x:f>
        <x:v>357001480</x:v>
      </x:c>
      <x:c r="F23" s="80" t="n">
        <x:f>F22*'Assumptions'!F$30</x:f>
        <x:v>362356502.2</x:v>
      </x:c>
      <x:c r="G23" s="80" t="n">
        <x:f>G22*'Assumptions'!G$30</x:f>
        <x:v>367791849.73300004</x:v>
      </x:c>
      <x:c r="H23" s="80" t="n">
        <x:f>H22*'Assumptions'!H$30</x:f>
        <x:v>373308727.4789951</x:v>
      </x:c>
      <x:c r="I23" s="80" t="n">
        <x:f>I22*'Assumptions'!I$30</x:f>
        <x:v>378908358.39118</x:v>
      </x:c>
      <x:c r="J23" s="14"/>
    </x:row>
    <x:row r="24">
      <x:c r="C24" s="14" t="str">
        <x:v>  Amortization</x:v>
      </x:c>
      <x:c r="D24" s="80" t="n">
        <x:f>IF(COUNTIFS('Municipal data'!$A$2:$A$969,$D$6&amp;"|2024",'Municipal data'!$S$2:$S$969,"&gt;=-1E+307")=0,"n.a.",SUMIFS('Municipal data'!$S$2:$S$969,'Municipal data'!$A$2:$A$969,$D$6&amp;"|2024"))</x:f>
        <x:v>227348000</x:v>
      </x:c>
      <x:c r="E24" s="80" t="n">
        <x:f>E22*'Assumptions'!E$54</x:f>
        <x:v>223125925</x:v>
      </x:c>
      <x:c r="F24" s="80" t="n">
        <x:f>F22*'Assumptions'!F$54</x:f>
        <x:v>226472813.875</x:v>
      </x:c>
      <x:c r="G24" s="80" t="n">
        <x:f>G22*'Assumptions'!G$54</x:f>
        <x:v>229869906.08312503</x:v>
      </x:c>
      <x:c r="H24" s="80" t="n">
        <x:f>H22*'Assumptions'!H$54</x:f>
        <x:v>233317954.67437193</x:v>
      </x:c>
      <x:c r="I24" s="80" t="n">
        <x:f>I22*'Assumptions'!I$54</x:f>
        <x:v>236817723.9944875</x:v>
      </x:c>
      <x:c r="J24" s="14"/>
    </x:row>
    <x:row r="25">
      <x:c r="C25" s="97" t="str">
        <x:v>Closing tangible capital assets</x:v>
      </x:c>
      <x:c r="D25" s="98" t="n">
        <x:f>IF(COUNTIFS('Municipal data'!$A$2:$A$969,$D$6&amp;"|2024",'Municipal data'!$AI$2:$AI$969,"&gt;=-1E+307")=0,"n.a.",SUMIFS('Municipal data'!$AI$2:$AI$969,'Municipal data'!$A$2:$A$969,$D$6&amp;"|2024"))</x:f>
        <x:v>8925037000</x:v>
      </x:c>
      <x:c r="E25" s="98" t="n">
        <x:f>E22+E23-E24</x:f>
        <x:v>9058912555</x:v>
      </x:c>
      <x:c r="F25" s="98" t="n">
        <x:f>F22+F23-F24</x:f>
        <x:v>9194796243.325</x:v>
      </x:c>
      <x:c r="G25" s="98" t="n">
        <x:f>G22+G23-G24</x:f>
        <x:v>9332718186.974876</x:v>
      </x:c>
      <x:c r="H25" s="98" t="n">
        <x:f>H22+H23-H24</x:f>
        <x:v>9472708959.7795</x:v>
      </x:c>
      <x:c r="I25" s="98" t="n">
        <x:f>I22+I23-I24</x:f>
        <x:v>9614799594.176191</x:v>
      </x:c>
      <x:c r="J25" s="14"/>
    </x:row>
    <x:row r="26">
      <x:c r="C26" s="93" t="str">
        <x:v>Debt</x:v>
      </x:c>
      <x:c r="D26" s="94"/>
      <x:c r="E26" s="94"/>
      <x:c r="F26" s="94"/>
      <x:c r="G26" s="94"/>
      <x:c r="H26" s="94"/>
      <x:c r="I26" s="94"/>
      <x:c r="J26" s="14"/>
    </x:row>
    <x:row r="27">
      <x:c r="C27" s="14" t="str">
        <x:v>  Opening debt</x:v>
      </x:c>
      <x:c r="D27" s="80" t="n">
        <x:f>IF(COUNTIFS('Municipal data'!$A$2:$A$969,$D$6&amp;"|2024",'Municipal data'!$X$2:$X$969,"&gt;=-1E+307")=0,"n.a.",SUMIFS('Municipal data'!$X$2:$X$969,'Municipal data'!$A$2:$A$969,$D$6&amp;"|2024"))</x:f>
        <x:v>1006953000</x:v>
      </x:c>
      <x:c r="E27" s="80" t="n">
        <x:f>D30</x:f>
        <x:v>1027970000</x:v>
      </x:c>
      <x:c r="F27" s="80" t="n">
        <x:f>E30</x:f>
        <x:v>999282622</x:v>
      </x:c>
      <x:c r="G27" s="80" t="n">
        <x:f>F30</x:f>
        <x:v>973693487.57</x:v>
      </x:c>
      <x:c r="H27" s="80" t="n">
        <x:f>G30</x:f>
        <x:v>950966786.02435</x:v>
      </x:c>
      <x:c r="I27" s="80" t="n">
        <x:f>H30</x:f>
        <x:v>930885752.2642514</x:v>
      </x:c>
      <x:c r="J27" s="14"/>
    </x:row>
    <x:row r="28">
      <x:c r="C28" s="14" t="str">
        <x:v>  New debt</x:v>
      </x:c>
      <x:c r="D28" s="80" t="n">
        <x:f>IF(COUNTIFS('Municipal data'!$A$2:$A$969,$D$6&amp;"|2024",'Municipal data'!$Y$2:$Y$969,"&gt;=-1E+307")=0,"n.a.",SUMIFS('Municipal data'!$Y$2:$Y$969,'Municipal data'!$A$2:$A$969,$D$6&amp;"|2024"))</x:f>
        <x:v>132364000</x:v>
      </x:c>
      <x:c r="E28" s="80" t="n">
        <x:f>E23*'Assumptions'!E$34</x:f>
        <x:v>53550222</x:v>
      </x:c>
      <x:c r="F28" s="80" t="n">
        <x:f>F23*'Assumptions'!F$34</x:f>
        <x:v>54353475.33</x:v>
      </x:c>
      <x:c r="G28" s="80" t="n">
        <x:f>G23*'Assumptions'!G$34</x:f>
        <x:v>55168777.45995001</x:v>
      </x:c>
      <x:c r="H28" s="80" t="n">
        <x:f>H23*'Assumptions'!H$34</x:f>
        <x:v>55996309.12184926</x:v>
      </x:c>
      <x:c r="I28" s="80" t="n">
        <x:f>I23*'Assumptions'!I$34</x:f>
        <x:v>56836253.758677</x:v>
      </x:c>
      <x:c r="J28" s="14"/>
    </x:row>
    <x:row r="29">
      <x:c r="C29" s="14" t="str">
        <x:v>  Debt repayment</x:v>
      </x:c>
      <x:c r="D29" s="80" t="n">
        <x:f>IF(COUNTIFS('Municipal data'!$A$2:$A$969,$D$6&amp;"|2024",'Municipal data'!$Z$2:$Z$969,"&gt;=-1E+307")=0,"n.a.",SUMIFS('Municipal data'!$Z$2:$Z$969,'Municipal data'!$A$2:$A$969,$D$6&amp;"|2024"))</x:f>
        <x:v>111311000</x:v>
      </x:c>
      <x:c r="E29" s="80" t="n">
        <x:f>E27*'Assumptions'!E$46</x:f>
        <x:v>82237600</x:v>
      </x:c>
      <x:c r="F29" s="80" t="n">
        <x:f>F27*'Assumptions'!F$46</x:f>
        <x:v>79942609.76</x:v>
      </x:c>
      <x:c r="G29" s="80" t="n">
        <x:f>G27*'Assumptions'!G$46</x:f>
        <x:v>77895479.0056</x:v>
      </x:c>
      <x:c r="H29" s="80" t="n">
        <x:f>H27*'Assumptions'!H$46</x:f>
        <x:v>76077342.88194801</x:v>
      </x:c>
      <x:c r="I29" s="80" t="n">
        <x:f>I27*'Assumptions'!I$46</x:f>
        <x:v>74470860.18114011</x:v>
      </x:c>
      <x:c r="J29" s="14"/>
    </x:row>
    <x:row r="30">
      <x:c r="C30" s="97" t="str">
        <x:v>Closing debt</x:v>
      </x:c>
      <x:c r="D30" s="98" t="n">
        <x:f>IF(COUNTIFS('Municipal data'!$A$2:$A$969,$D$6&amp;"|2024",'Municipal data'!$AA$2:$AA$969,"&gt;=-1E+307")=0,"n.a.",SUMIFS('Municipal data'!$AA$2:$AA$969,'Municipal data'!$A$2:$A$969,$D$6&amp;"|2024"))</x:f>
        <x:v>1027970000</x:v>
      </x:c>
      <x:c r="E30" s="98" t="n">
        <x:f>E27+E28-E29</x:f>
        <x:v>999282622</x:v>
      </x:c>
      <x:c r="F30" s="98" t="n">
        <x:f>F27+F28-F29</x:f>
        <x:v>973693487.57</x:v>
      </x:c>
      <x:c r="G30" s="98" t="n">
        <x:f>G27+G28-G29</x:f>
        <x:v>950966786.02435</x:v>
      </x:c>
      <x:c r="H30" s="98" t="n">
        <x:f>H27+H28-H29</x:f>
        <x:v>930885752.2642514</x:v>
      </x:c>
      <x:c r="I30" s="98" t="n">
        <x:f>I27+I28-I29</x:f>
        <x:v>913251145.8417883</x:v>
      </x:c>
      <x:c r="J30" s="14"/>
    </x:row>
    <x:row r="31">
      <x:c r="C31" s="14" t="str">
        <x:v>  Interest expense</x:v>
      </x:c>
      <x:c r="D31" s="80" t="n">
        <x:f>IF(COUNTIFS('Municipal data'!$A$2:$A$969,$D$6&amp;"|2024",'Municipal data'!$AB$2:$AB$969,"&gt;=-1E+307")=0,"n.a.",SUMIFS('Municipal data'!$AB$2:$AB$969,'Municipal data'!$A$2:$A$969,$D$6&amp;"|2024"))</x:f>
        <x:v>34253000</x:v>
      </x:c>
      <x:c r="E31" s="80" t="n">
        <x:f>AVERAGE(E27,E30)*'Assumptions'!E$50</x:f>
        <x:v>43079118.2175</x:v>
      </x:c>
      <x:c r="F31" s="80" t="n">
        <x:f>AVERAGE(F27,F30)*'Assumptions'!F$50</x:f>
        <x:v>41925742.32836251</x:v>
      </x:c>
      <x:c r="G31" s="80" t="n">
        <x:f>AVERAGE(G27,G30)*'Assumptions'!G$50</x:f>
        <x:v>40899030.813879944</x:v>
      </x:c>
      <x:c r="H31" s="80" t="n">
        <x:f>AVERAGE(H27,H30)*'Assumptions'!H$50</x:f>
        <x:v>39989366.438632786</x:v>
      </x:c>
      <x:c r="I31" s="80" t="n">
        <x:f>AVERAGE(I27,I30)*'Assumptions'!I$50</x:f>
        <x:v>39187909.08475334</x:v>
      </x:c>
      <x:c r="J31" s="14"/>
    </x:row>
    <x:row r="32">
      <x:c r="C32" s="97" t="str">
        <x:v>Debt service</x:v>
      </x:c>
      <x:c r="D32" s="98" t="n">
        <x:f>IF(COUNTIFS('Municipal data'!$A$2:$A$969,$D$6&amp;"|2024",'Municipal data'!$AC$2:$AC$969,"&gt;=-1E+307")=0,"n.a.",SUMIFS('Municipal data'!$AC$2:$AC$969,'Municipal data'!$A$2:$A$969,$D$6&amp;"|2024"))</x:f>
        <x:v>145564000</x:v>
      </x:c>
      <x:c r="E32" s="98" t="n">
        <x:f>E29+E31</x:f>
        <x:v>125316718.2175</x:v>
      </x:c>
      <x:c r="F32" s="98" t="n">
        <x:f>F29+F31</x:f>
        <x:v>121868352.08836251</x:v>
      </x:c>
      <x:c r="G32" s="98" t="n">
        <x:f>G29+G31</x:f>
        <x:v>118794509.81947994</x:v>
      </x:c>
      <x:c r="H32" s="98" t="n">
        <x:f>H29+H31</x:f>
        <x:v>116066709.3205808</x:v>
      </x:c>
      <x:c r="I32" s="98" t="n">
        <x:f>I29+I31</x:f>
        <x:v>113658769.26589346</x:v>
      </x:c>
      <x:c r="J32" s="14"/>
    </x:row>
    <x:row r="33">
      <x:c r="C33" s="97" t="str">
        <x:v>Liability servicing limit</x:v>
      </x:c>
      <x:c r="D33" s="98" t="n">
        <x:f>IF(COUNTIFS('Municipal data'!$A$2:$A$969,$D$6&amp;"|2024",'Municipal data'!$AD$2:$AD$969,"&gt;=-1E+307")=0,"n.a.",SUMIFS('Municipal data'!$AD$2:$AD$969,'Municipal data'!$A$2:$A$969,$D$6&amp;"|2024"))</x:f>
        <x:v>636181645</x:v>
      </x:c>
      <x:c r="E33" s="98" t="n">
        <x:f>E14*($D$33/$D$14)</x:f>
        <x:v>659840351.9688271</x:v>
      </x:c>
      <x:c r="F33" s="98" t="n">
        <x:f>F14*($D$33/$D$14)</x:f>
        <x:v>684470015.733112</x:v>
      </x:c>
      <x:c r="G33" s="98" t="n">
        <x:f>G14*($D$33/$D$14)</x:f>
        <x:v>710113230.57491</x:v>
      </x:c>
      <x:c r="H33" s="98" t="n">
        <x:f>H14*($D$33/$D$14)</x:f>
        <x:v>736814541.4296923</x:v>
      </x:c>
      <x:c r="I33" s="98" t="n">
        <x:f>I14*($D$33/$D$14)</x:f>
        <x:v>764620535.7381687</x:v>
      </x:c>
      <x:c r="J33" s="14"/>
    </x:row>
    <x:row r="34">
      <x:c r="C34" s="97" t="str">
        <x:v>Debt service headroom</x:v>
      </x:c>
      <x:c r="D34" s="98" t="n">
        <x:f>IF(COUNTIFS('Municipal data'!$A$2:$A$969,$D$6&amp;"|2024",'Municipal data'!$AE$2:$AE$969,"&gt;=-1E+307")=0,"n.a.",SUMIFS('Municipal data'!$AE$2:$AE$969,'Municipal data'!$A$2:$A$969,$D$6&amp;"|2024"))</x:f>
        <x:v>459647582</x:v>
      </x:c>
      <x:c r="E34" s="98" t="n">
        <x:f>E33-E32</x:f>
        <x:v>534523633.75132716</x:v>
      </x:c>
      <x:c r="F34" s="98" t="n">
        <x:f>F33-F32</x:f>
        <x:v>562601663.6447494</x:v>
      </x:c>
      <x:c r="G34" s="98" t="n">
        <x:f>G33-G32</x:f>
        <x:v>591318720.7554301</x:v>
      </x:c>
      <x:c r="H34" s="98" t="n">
        <x:f>H33-H32</x:f>
        <x:v>620747832.1091114</x:v>
      </x:c>
      <x:c r="I34" s="98" t="n">
        <x:f>I33-I32</x:f>
        <x:v>650961766.4722753</x:v>
      </x:c>
      <x:c r="J34" s="14"/>
    </x:row>
    <x:row r="35">
      <x:c r="C35" s="93" t="str">
        <x:v>Reserves</x:v>
      </x:c>
      <x:c r="D35" s="94"/>
      <x:c r="E35" s="94"/>
      <x:c r="F35" s="94"/>
      <x:c r="G35" s="94"/>
      <x:c r="H35" s="94"/>
      <x:c r="I35" s="94"/>
      <x:c r="J35" s="14"/>
    </x:row>
    <x:row r="36">
      <x:c r="C36" s="14" t="str">
        <x:v>  Opening reserves</x:v>
      </x:c>
      <x:c r="D36" s="80"/>
      <x:c r="E36" s="80" t="n">
        <x:f>D39</x:f>
        <x:v>1484687000</x:v>
      </x:c>
      <x:c r="F36" s="80" t="n">
        <x:f>E39</x:f>
        <x:v>1818493106.89125</x:v>
      </x:c>
      <x:c r="G36" s="80" t="n">
        <x:f>F39</x:f>
        <x:v>2162834655.8420687</x:v>
      </x:c>
      <x:c r="H36" s="80" t="n">
        <x:f>G39</x:f>
        <x:v>2517959136.510229</x:v>
      </x:c>
      <x:c r="I36" s="80" t="n">
        <x:f>H39</x:f>
        <x:v>2884131661.8928185</x:v>
      </x:c>
      <x:c r="J36" s="14"/>
    </x:row>
    <x:row r="37">
      <x:c r="C37" s="14" t="str">
        <x:v>  Transfer to reserves</x:v>
      </x:c>
      <x:c r="D37" s="80"/>
      <x:c r="E37" s="80" t="n">
        <x:f>MAX(0,E20)*'Assumptions'!E$42</x:f>
        <x:v>440906550.8912499</x:v>
      </x:c>
      <x:c r="F37" s="80" t="n">
        <x:f>MAX(0,F20)*'Assumptions'!F$42</x:f>
        <x:v>453048499.61081886</x:v>
      </x:c>
      <x:c r="G37" s="80" t="n">
        <x:f>MAX(0,G20)*'Assumptions'!G$42</x:f>
        <x:v>465462035.58806014</x:v>
      </x:c>
      <x:c r="H37" s="80" t="n">
        <x:f>MAX(0,H20)*'Assumptions'!H$42</x:f>
        <x:v>478165143.62628794</x:v>
      </x:c>
      <x:c r="I37" s="80" t="n">
        <x:f>MAX(0,I20)*'Assumptions'!I$42</x:f>
        <x:v>491176118.6555469</x:v>
      </x:c>
      <x:c r="J37" s="14"/>
    </x:row>
    <x:row r="38">
      <x:c r="C38" s="14" t="str">
        <x:v>  Capital funded from reserves</x:v>
      </x:c>
      <x:c r="D38" s="80"/>
      <x:c r="E38" s="80" t="n">
        <x:f>E23*'Assumptions'!E$38</x:f>
        <x:v>107100444</x:v>
      </x:c>
      <x:c r="F38" s="80" t="n">
        <x:f>F23*'Assumptions'!F$38</x:f>
        <x:v>108706950.66</x:v>
      </x:c>
      <x:c r="G38" s="80" t="n">
        <x:f>G23*'Assumptions'!G$38</x:f>
        <x:v>110337554.91990001</x:v>
      </x:c>
      <x:c r="H38" s="80" t="n">
        <x:f>H23*'Assumptions'!H$38</x:f>
        <x:v>111992618.24369852</x:v>
      </x:c>
      <x:c r="I38" s="80" t="n">
        <x:f>I23*'Assumptions'!I$38</x:f>
        <x:v>113672507.517354</x:v>
      </x:c>
      <x:c r="J38" s="14"/>
    </x:row>
    <x:row r="39">
      <x:c r="C39" s="97" t="str">
        <x:v>Closing reserves</x:v>
      </x:c>
      <x:c r="D39" s="98" t="n">
        <x:f>IF(COUNTIFS('Municipal data'!$A$2:$A$969,$D$6&amp;"|2024",'Municipal data'!$W$2:$W$969,"&gt;=-1E+307")=0,"n.a.",SUMIFS('Municipal data'!$W$2:$W$969,'Municipal data'!$A$2:$A$969,$D$6&amp;"|2024"))</x:f>
        <x:v>1484687000</x:v>
      </x:c>
      <x:c r="E39" s="98" t="n">
        <x:f>E36+E37-E38</x:f>
        <x:v>1818493106.89125</x:v>
      </x:c>
      <x:c r="F39" s="98" t="n">
        <x:f>F36+F37-F38</x:f>
        <x:v>2162834655.8420687</x:v>
      </x:c>
      <x:c r="G39" s="98" t="n">
        <x:f>G36+G37-G38</x:f>
        <x:v>2517959136.510229</x:v>
      </x:c>
      <x:c r="H39" s="98" t="n">
        <x:f>H36+H37-H38</x:f>
        <x:v>2884131661.8928185</x:v>
      </x:c>
      <x:c r="I39" s="98" t="n">
        <x:f>I36+I37-I38</x:f>
        <x:v>3261635273.0310116</x:v>
      </x:c>
      <x:c r="J39" s="14"/>
    </x:row>
    <x:row r="40">
      <x:c r="C40" s="14"/>
      <x:c r="D40" s="14"/>
      <x:c r="E40" s="14"/>
      <x:c r="F40" s="14"/>
      <x:c r="G40" s="14"/>
      <x:c r="H40" s="14"/>
      <x:c r="I40" s="14"/>
      <x:c r="J40" s="14"/>
    </x:row>
    <x:row r="41">
      <x:c r="C41" s="14"/>
      <x:c r="D41" s="14"/>
      <x:c r="E41" s="14"/>
      <x:c r="F41" s="14"/>
      <x:c r="G41" s="14"/>
      <x:c r="H41" s="14"/>
      <x:c r="I41" s="14"/>
      <x:c r="J41" s="14"/>
    </x:row>
    <x:row r="42">
      <x:c r="C42" s="14" t="str">
        <x:v>Year</x:v>
      </x:c>
      <x:c r="D42" s="14" t="str">
        <x:v>Annual surplus</x:v>
      </x:c>
      <x:c r="E42" s="14" t="str">
        <x:v>Capital additions</x:v>
      </x:c>
      <x:c r="F42" s="14"/>
      <x:c r="G42" s="14"/>
      <x:c r="H42" s="14"/>
      <x:c r="I42" s="14"/>
      <x:c r="J42" s="14"/>
    </x:row>
    <x:row r="43">
      <x:c r="C43" s="14" t="n">
        <x:v>2024</x:v>
      </x:c>
      <x:c r="D43" s="14" t="n">
        <x:f>D20</x:f>
        <x:v>860634000</x:v>
      </x:c>
      <x:c r="E43" s="14" t="n">
        <x:f>D23</x:f>
        <x:v>879123000</x:v>
      </x:c>
      <x:c r="F43" s="14"/>
      <x:c r="G43" s="14"/>
      <x:c r="H43" s="14"/>
      <x:c r="I43" s="14"/>
      <x:c r="J43" s="14"/>
    </x:row>
    <x:row r="44">
      <x:c r="C44" s="14" t="n">
        <x:v>2025</x:v>
      </x:c>
      <x:c r="D44" s="14" t="n">
        <x:f>E20</x:f>
        <x:v>881813101.7824998</x:v>
      </x:c>
      <x:c r="E44" s="14" t="n">
        <x:f>E23</x:f>
        <x:v>357001480</x:v>
      </x:c>
      <x:c r="F44" s="14"/>
      <x:c r="G44" s="14"/>
      <x:c r="H44" s="14"/>
      <x:c r="I44" s="14"/>
      <x:c r="J44" s="14"/>
    </x:row>
    <x:row r="45">
      <x:c r="C45" s="14" t="n">
        <x:v>2026</x:v>
      </x:c>
      <x:c r="D45" s="14" t="n">
        <x:f>F20</x:f>
        <x:v>906096999.2216377</x:v>
      </x:c>
      <x:c r="E45" s="14" t="n">
        <x:f>F23</x:f>
        <x:v>362356502.2</x:v>
      </x:c>
      <x:c r="F45" s="14"/>
      <x:c r="G45" s="14"/>
      <x:c r="H45" s="14"/>
      <x:c r="I45" s="14"/>
      <x:c r="J45" s="14"/>
    </x:row>
    <x:row r="46">
      <x:c r="C46" s="14" t="n">
        <x:v>2027</x:v>
      </x:c>
      <x:c r="D46" s="14" t="n">
        <x:f>G20</x:f>
        <x:v>930924071.1761203</x:v>
      </x:c>
      <x:c r="E46" s="14" t="n">
        <x:f>G23</x:f>
        <x:v>367791849.73300004</x:v>
      </x:c>
      <x:c r="F46" s="14"/>
      <x:c r="G46" s="14"/>
      <x:c r="H46" s="14"/>
      <x:c r="I46" s="14"/>
      <x:c r="J46" s="14"/>
    </x:row>
    <x:row r="47">
      <x:c r="C47" s="14" t="n">
        <x:v>2028</x:v>
      </x:c>
      <x:c r="D47" s="14" t="n">
        <x:f>H20</x:f>
        <x:v>956330287.2525759</x:v>
      </x:c>
      <x:c r="E47" s="14" t="n">
        <x:f>H23</x:f>
        <x:v>373308727.4789951</x:v>
      </x:c>
      <x:c r="F47" s="14"/>
      <x:c r="G47" s="14"/>
      <x:c r="H47" s="14"/>
      <x:c r="I47" s="14"/>
      <x:c r="J47" s="14"/>
    </x:row>
    <x:row r="48">
      <x:c r="C48" s="14" t="n">
        <x:v>2029</x:v>
      </x:c>
      <x:c r="D48" s="14" t="n">
        <x:f>I20</x:f>
        <x:v>982352237.3110938</x:v>
      </x:c>
      <x:c r="E48" s="14" t="n">
        <x:f>I23</x:f>
        <x:v>378908358.39118</x:v>
      </x:c>
      <x:c r="F48" s="14"/>
      <x:c r="G48" s="14"/>
      <x:c r="H48" s="14"/>
      <x:c r="I48" s="14"/>
      <x:c r="J48" s="14"/>
    </x:row>
    <x:row r="49">
      <x:c r="C49" s="14"/>
      <x:c r="D49" s="14"/>
      <x:c r="E49" s="14"/>
      <x:c r="F49" s="14"/>
      <x:c r="G49" s="14"/>
      <x:c r="H49" s="14"/>
      <x:c r="I49" s="14"/>
      <x:c r="J49" s="14"/>
    </x:row>
    <x:row r="50">
      <x:c r="C50" s="14"/>
      <x:c r="D50" s="14"/>
      <x:c r="E50" s="14"/>
      <x:c r="F50" s="14"/>
      <x:c r="G50" s="14"/>
      <x:c r="H50" s="14"/>
      <x:c r="I50" s="14"/>
      <x:c r="J50" s="14"/>
    </x:row>
    <x:row r="51">
      <x:c r="C51" s="14"/>
      <x:c r="D51" s="14"/>
      <x:c r="E51" s="14"/>
      <x:c r="F51" s="14"/>
      <x:c r="G51" s="14"/>
      <x:c r="H51" s="14"/>
      <x:c r="I51" s="14"/>
      <x:c r="J51" s="14"/>
    </x:row>
    <x:row r="52">
      <x:c r="C52" s="14"/>
      <x:c r="D52" s="14"/>
      <x:c r="E52" s="14"/>
      <x:c r="F52" s="14"/>
      <x:c r="G52" s="14"/>
      <x:c r="H52" s="14"/>
      <x:c r="I52" s="14"/>
      <x:c r="J52" s="14"/>
    </x:row>
    <x:row r="53">
      <x:c r="C53" s="14"/>
      <x:c r="D53" s="14"/>
      <x:c r="E53" s="14"/>
      <x:c r="F53" s="14"/>
      <x:c r="G53" s="14"/>
      <x:c r="H53" s="14"/>
      <x:c r="I53" s="14"/>
      <x:c r="J53" s="14"/>
    </x:row>
    <x:row r="54">
      <x:c r="C54" s="14"/>
      <x:c r="D54" s="14"/>
      <x:c r="E54" s="14"/>
      <x:c r="F54" s="14"/>
      <x:c r="G54" s="14"/>
      <x:c r="H54" s="14"/>
      <x:c r="I54" s="14"/>
      <x:c r="J54" s="14"/>
    </x:row>
    <x:row r="55">
      <x:c r="C55" s="14"/>
      <x:c r="D55" s="14"/>
      <x:c r="E55" s="14"/>
      <x:c r="F55" s="14"/>
      <x:c r="G55" s="14"/>
      <x:c r="H55" s="14"/>
      <x:c r="I55" s="14"/>
      <x:c r="J55" s="14"/>
    </x:row>
    <x:row r="56">
      <x:c r="C56" s="14"/>
      <x:c r="D56" s="14"/>
      <x:c r="E56" s="14"/>
      <x:c r="F56" s="14"/>
      <x:c r="G56" s="14"/>
      <x:c r="H56" s="14"/>
      <x:c r="I56" s="14"/>
      <x:c r="J56" s="14"/>
    </x:row>
    <x:row r="57">
      <x:c r="C57" s="14"/>
      <x:c r="D57" s="14"/>
      <x:c r="E57" s="14"/>
      <x:c r="F57" s="14"/>
      <x:c r="G57" s="14"/>
      <x:c r="H57" s="14"/>
      <x:c r="I57" s="14"/>
      <x:c r="J57" s="14"/>
    </x:row>
    <x:row r="58">
      <x:c r="C58" s="14"/>
      <x:c r="D58" s="14"/>
      <x:c r="E58" s="14"/>
      <x:c r="F58" s="14"/>
      <x:c r="G58" s="14"/>
      <x:c r="H58" s="14"/>
      <x:c r="I58" s="14"/>
      <x:c r="J58" s="14"/>
    </x:row>
    <x:row r="59">
      <x:c r="C59" s="14"/>
      <x:c r="D59" s="14"/>
      <x:c r="E59" s="14"/>
      <x:c r="F59" s="14"/>
      <x:c r="G59" s="14"/>
      <x:c r="H59" s="14"/>
      <x:c r="I59" s="14"/>
      <x:c r="J59" s="14"/>
    </x:row>
    <x:row r="60">
      <x:c r="C60" s="14"/>
      <x:c r="D60" s="14"/>
      <x:c r="E60" s="14"/>
      <x:c r="F60" s="14"/>
      <x:c r="G60" s="14"/>
      <x:c r="H60" s="14"/>
      <x:c r="I60" s="14"/>
      <x:c r="J60" s="14"/>
    </x:row>
    <x:row r="61">
      <x:c r="C61" s="14"/>
      <x:c r="D61" s="14"/>
      <x:c r="E61" s="14"/>
      <x:c r="F61" s="14"/>
      <x:c r="G61" s="14"/>
      <x:c r="H61" s="14"/>
      <x:c r="I61" s="14"/>
      <x:c r="J61" s="14"/>
    </x:row>
    <x:row r="62">
      <x:c r="C62" s="14"/>
      <x:c r="D62" s="14"/>
      <x:c r="E62" s="14"/>
      <x:c r="F62" s="14"/>
      <x:c r="G62" s="14"/>
      <x:c r="H62" s="14"/>
      <x:c r="I62" s="14"/>
      <x:c r="J62" s="14"/>
    </x:row>
    <x:row r="63">
      <x:c r="C63" s="14"/>
      <x:c r="D63" s="14"/>
      <x:c r="E63" s="14"/>
      <x:c r="F63" s="14"/>
      <x:c r="G63" s="14"/>
      <x:c r="H63" s="14"/>
      <x:c r="I63" s="14"/>
      <x:c r="J63" s="14"/>
    </x:row>
    <x:row r="64">
      <x:c r="C64" s="14"/>
      <x:c r="D64" s="14"/>
      <x:c r="E64" s="14"/>
      <x:c r="F64" s="14"/>
      <x:c r="G64" s="14"/>
      <x:c r="H64" s="14"/>
      <x:c r="I64" s="14"/>
      <x:c r="J64" s="14"/>
    </x:row>
    <x:row r="65">
      <x:c r="C65" s="14"/>
      <x:c r="D65" s="14"/>
      <x:c r="E65" s="14"/>
      <x:c r="F65" s="14"/>
      <x:c r="G65" s="14"/>
      <x:c r="H65" s="14"/>
      <x:c r="I65" s="14"/>
      <x:c r="J65" s="14"/>
    </x:row>
    <x:row r="66">
      <x:c r="C66" s="14"/>
      <x:c r="D66" s="14"/>
      <x:c r="E66" s="14"/>
      <x:c r="F66" s="14"/>
      <x:c r="G66" s="14"/>
      <x:c r="H66" s="14"/>
      <x:c r="I66" s="14"/>
      <x:c r="J66" s="14"/>
    </x:row>
  </x:sheetData>
  <x:mergeCells>
    <x:mergeCell ref="C2:J2"/>
    <x:mergeCell ref="C3:J3"/>
  </x:mergeCells>
  <x:conditionalFormatting sqref="E34:I34">
    <x:cfRule type="cellIs" dxfId="0" priority="1" operator="lessThan">
      <x:formula>0</x:formula>
    </x:cfRule>
  </x:conditionalFormatting>
  <x:conditionalFormatting sqref="E39:I39"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6a86e2deaf44751"/>
</x:worksheet>
</file>

<file path=xl/worksheets/sheet3.xml><?xml version="1.0" encoding="utf-8"?>
<x:worksheet xmlns:x="http://schemas.openxmlformats.org/spreadsheetml/2006/main">
  <x:sheetPr>
    <x:tabColor rgb="FF183A61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  <x:col min="13" max="13" width="16" hidden="0" customWidth="1"/>
    <x:col min="14" max="14" width="16" hidden="0" customWidth="1"/>
  </x:cols>
  <x:sheetData>
    <x:row r="2">
      <x:c r="C2" s="15" t="str">
        <x:v>Tangible capital assets</x:v>
      </x:c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>
      <x:c r="C3" s="16" t="str">
        <x:v>2024 asset-category evidence and five-year capital outlook for the selected municipality.</x:v>
      </x:c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</x:row>
    <x:row r="4"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</x:row>
    <x:row r="6">
      <x:c r="C6" s="14" t="str">
        <x:v>Municipality</x:v>
      </x:c>
      <x:c r="D6" s="20" t="str">
        <x:f>'Dashboard'!$D$6</x:f>
        <x:v>Vancouver</x:v>
      </x:c>
      <x:c r="E6" s="14"/>
      <x:c r="F6" s="14" t="str">
        <x:v>Estimated replacement value</x:v>
      </x:c>
      <x:c r="G6" s="99" t="n">
        <x:f>IF(COUNTIFS('Municipal data'!$A$2:$A$969,$D$6&amp;"|2024",'Municipal data'!$AK$2:$AK$969,"&gt;=-1E+307")=0,"n.a.",SUMIFS('Municipal data'!$AK$2:$AK$969,'Municipal data'!$A$2:$A$969,$D$6&amp;"|2024"))</x:f>
        <x:v>34639871000</x:v>
      </x:c>
      <x:c r="H6" s="14"/>
      <x:c r="I6" s="14" t="str">
        <x:v>Asset condition ratio</x:v>
      </x:c>
      <x:c r="J6" s="81" t="n">
        <x:f>IF(COUNTIFS('Municipal data'!$A$2:$A$969,$D$6&amp;"|2024",'Municipal data'!$AM$2:$AM$969,"&gt;=-1E+307")=0,"n.a.",SUMIFS('Municipal data'!$AM$2:$AM$969,'Municipal data'!$A$2:$A$969,$D$6&amp;"|2024"))</x:f>
        <x:v>0.6261533421992247</x:v>
      </x:c>
      <x:c r="K6" s="14"/>
      <x:c r="L6" s="14" t="str">
        <x:v>2024 reinvestment</x:v>
      </x:c>
      <x:c r="M6" s="81" t="n">
        <x:f>IF(COUNTIFS('Municipal data'!$A$2:$A$969,$D$6&amp;"|2024",'Municipal data'!$AN$2:$AN$969,"&gt;=-1E+307")=0,"n.a.",SUMIFS('Municipal data'!$AN$2:$AN$969,'Municipal data'!$A$2:$A$969,$D$6&amp;"|2024"))</x:f>
        <x:v>0.025378934003535983</x:v>
      </x:c>
      <x:c r="N6" s="14"/>
    </x:row>
    <x:row r="7"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</x:row>
    <x:row r="8"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</x:row>
    <x:row r="9">
      <x:c r="C9" s="6" t="str">
        <x:v>Asset category</x:v>
      </x:c>
      <x:c r="D9" s="6" t="str">
        <x:v>Historical cost</x:v>
      </x:c>
      <x:c r="E9" s="6" t="str">
        <x:v>Accumulated amortization</x:v>
      </x:c>
      <x:c r="F9" s="6" t="str">
        <x:v>Net book value</x:v>
      </x:c>
      <x:c r="G9" s="6" t="str">
        <x:v>Current replacement value</x:v>
      </x:c>
      <x:c r="H9" s="6" t="str">
        <x:v>Replacement-value amortization</x:v>
      </x:c>
      <x:c r="I9" s="6" t="str">
        <x:v>2024 additions</x:v>
      </x:c>
      <x:c r="J9" s="6" t="str">
        <x:v>Net book value ratio</x:v>
      </x:c>
      <x:c r="K9" s="6" t="str">
        <x:v>Asset condition ratio</x:v>
      </x:c>
      <x:c r="L9" s="6" t="str">
        <x:v>Asset management plan</x:v>
      </x:c>
      <x:c r="M9" s="14"/>
      <x:c r="N9" s="14"/>
    </x:row>
    <x:row r="10">
      <x:c r="C10" s="31" t="str">
        <x:v>Land</x:v>
      </x:c>
      <x:c r="D10" s="102" t="n">
        <x:f>IF(COUNTIFS('Asset data'!$A$2:$A$1933,$D$6&amp;"|Land",'Asset data'!$E$2:$E$1933,"&gt;=-1E+307")=0,"n.a.",SUMIFS('Asset data'!$E$2:$E$1933,'Asset data'!$A$2:$A$1933,$D$6&amp;"|Land"))</x:f>
        <x:v>2821570000</x:v>
      </x:c>
      <x:c r="E10" s="102" t="n">
        <x:f>IF(COUNTIFS('Asset data'!$A$2:$A$1933,$D$6&amp;"|Land",'Asset data'!$F$2:$F$1933,"&gt;=-1E+307")=0,"n.a.",SUMIFS('Asset data'!$F$2:$F$1933,'Asset data'!$A$2:$A$1933,$D$6&amp;"|Land"))</x:f>
        <x:v>0</x:v>
      </x:c>
      <x:c r="F10" s="102" t="n">
        <x:f>IF(COUNTIFS('Asset data'!$A$2:$A$1933,$D$6&amp;"|Land",'Asset data'!$G$2:$G$1933,"&gt;=-1E+307")=0,"n.a.",SUMIFS('Asset data'!$G$2:$G$1933,'Asset data'!$A$2:$A$1933,$D$6&amp;"|Land"))</x:f>
        <x:v>2821570000</x:v>
      </x:c>
      <x:c r="G10" s="102" t="n">
        <x:f>IF(COUNTIFS('Asset data'!$A$2:$A$1933,$D$6&amp;"|Land",'Asset data'!$I$2:$I$1933,"&gt;=-1E+307")=0,"n.a.",SUMIFS('Asset data'!$I$2:$I$1933,'Asset data'!$A$2:$A$1933,$D$6&amp;"|Land"))</x:f>
        <x:v>2821570000</x:v>
      </x:c>
      <x:c r="H10" s="102" t="n">
        <x:f>IF(COUNTIFS('Asset data'!$A$2:$A$1933,$D$6&amp;"|Land",'Asset data'!$J$2:$J$1933,"&gt;=-1E+307")=0,"n.a.",SUMIFS('Asset data'!$J$2:$J$1933,'Asset data'!$A$2:$A$1933,$D$6&amp;"|Land"))</x:f>
        <x:v>0</x:v>
      </x:c>
      <x:c r="I10" s="102" t="n">
        <x:f>IF(COUNTIFS('Asset data'!$A$2:$A$1933,$D$6&amp;"|Land",'Asset data'!$H$2:$H$1933,"&gt;=-1E+307")=0,"n.a.",SUMIFS('Asset data'!$H$2:$H$1933,'Asset data'!$A$2:$A$1933,$D$6&amp;"|Land"))</x:f>
        <x:v>199637000</x:v>
      </x:c>
      <x:c r="J10" s="103" t="n">
        <x:f>IF(AND(ISNUMBER(D10),D10&lt;&gt;0,ISNUMBER(F10)),F10/D10,"n.a.")</x:f>
        <x:v>1</x:v>
      </x:c>
      <x:c r="K10" s="103" t="n">
        <x:f>IF(AND(ISNUMBER(G10),G10&lt;&gt;0,ISNUMBER(H10)),1-H10/G10,"n.a.")</x:f>
        <x:v>1</x:v>
      </x:c>
      <x:c r="L10" s="31" t="str">
        <x:f>IF(COUNTIFS('Asset data'!$A$2:$A$1933,$D$6&amp;"|Land",'Asset data'!$M$2:$M$1933,"Yes")&gt;0,"Yes",IF(COUNTIFS('Asset data'!$A$2:$A$1933,$D$6&amp;"|Land",'Asset data'!$M$2:$M$1933,"In_Progress")&gt;0,"In progress","N/A"))</x:f>
        <x:v>N/A</x:v>
      </x:c>
      <x:c r="M10" s="14"/>
      <x:c r="N10" s="14"/>
    </x:row>
    <x:row r="11">
      <x:c r="C11" s="83" t="str">
        <x:v>Buildings</x:v>
      </x:c>
      <x:c r="D11" s="85" t="n">
        <x:f>IF(COUNTIFS('Asset data'!$A$2:$A$1933,$D$6&amp;"|Buildings",'Asset data'!$E$2:$E$1933,"&gt;=-1E+307")=0,"n.a.",SUMIFS('Asset data'!$E$2:$E$1933,'Asset data'!$A$2:$A$1933,$D$6&amp;"|Buildings"))</x:f>
        <x:v>2557785000</x:v>
      </x:c>
      <x:c r="E11" s="85" t="n">
        <x:f>IF(COUNTIFS('Asset data'!$A$2:$A$1933,$D$6&amp;"|Buildings",'Asset data'!$F$2:$F$1933,"&gt;=-1E+307")=0,"n.a.",SUMIFS('Asset data'!$F$2:$F$1933,'Asset data'!$A$2:$A$1933,$D$6&amp;"|Buildings"))</x:f>
        <x:v>871528000</x:v>
      </x:c>
      <x:c r="F11" s="85" t="n">
        <x:f>IF(COUNTIFS('Asset data'!$A$2:$A$1933,$D$6&amp;"|Buildings",'Asset data'!$G$2:$G$1933,"&gt;=-1E+307")=0,"n.a.",SUMIFS('Asset data'!$G$2:$G$1933,'Asset data'!$A$2:$A$1933,$D$6&amp;"|Buildings"))</x:f>
        <x:v>1686257000</x:v>
      </x:c>
      <x:c r="G11" s="85" t="n">
        <x:f>IF(COUNTIFS('Asset data'!$A$2:$A$1933,$D$6&amp;"|Buildings",'Asset data'!$I$2:$I$1933,"&gt;=-1E+307")=0,"n.a.",SUMIFS('Asset data'!$I$2:$I$1933,'Asset data'!$A$2:$A$1933,$D$6&amp;"|Buildings"))</x:f>
        <x:v>8200000000</x:v>
      </x:c>
      <x:c r="H11" s="85" t="n">
        <x:f>IF(COUNTIFS('Asset data'!$A$2:$A$1933,$D$6&amp;"|Buildings",'Asset data'!$J$2:$J$1933,"&gt;=-1E+307")=0,"n.a.",SUMIFS('Asset data'!$J$2:$J$1933,'Asset data'!$A$2:$A$1933,$D$6&amp;"|Buildings"))</x:f>
        <x:v>2800000000</x:v>
      </x:c>
      <x:c r="I11" s="85" t="n">
        <x:f>IF(COUNTIFS('Asset data'!$A$2:$A$1933,$D$6&amp;"|Buildings",'Asset data'!$H$2:$H$1933,"&gt;=-1E+307")=0,"n.a.",SUMIFS('Asset data'!$H$2:$H$1933,'Asset data'!$A$2:$A$1933,$D$6&amp;"|Buildings"))</x:f>
        <x:v>177109000</x:v>
      </x:c>
      <x:c r="J11" s="86" t="n">
        <x:f>IF(AND(ISNUMBER(D11),D11&lt;&gt;0,ISNUMBER(F11)),F11/D11,"n.a.")</x:f>
        <x:v>0.6592645589836519</x:v>
      </x:c>
      <x:c r="K11" s="86" t="n">
        <x:f>IF(AND(ISNUMBER(G11),G11&lt;&gt;0,ISNUMBER(H11)),1-H11/G11,"n.a.")</x:f>
        <x:v>0.6585365853658536</x:v>
      </x:c>
      <x:c r="L11" s="83" t="str">
        <x:f>IF(COUNTIFS('Asset data'!$A$2:$A$1933,$D$6&amp;"|Buildings",'Asset data'!$M$2:$M$1933,"Yes")&gt;0,"Yes",IF(COUNTIFS('Asset data'!$A$2:$A$1933,$D$6&amp;"|Buildings",'Asset data'!$M$2:$M$1933,"In_Progress")&gt;0,"In progress","N/A"))</x:f>
        <x:v>In progress</x:v>
      </x:c>
      <x:c r="M11" s="14"/>
      <x:c r="N11" s="14"/>
    </x:row>
    <x:row r="12">
      <x:c r="C12" s="83" t="str">
        <x:v>Fleet</x:v>
      </x:c>
      <x:c r="D12" s="85" t="n">
        <x:f>IF(COUNTIFS('Asset data'!$A$2:$A$1933,$D$6&amp;"|Fleet",'Asset data'!$E$2:$E$1933,"&gt;=-1E+307")=0,"n.a.",SUMIFS('Asset data'!$E$2:$E$1933,'Asset data'!$A$2:$A$1933,$D$6&amp;"|Fleet"))</x:f>
        <x:v>538805000</x:v>
      </x:c>
      <x:c r="E12" s="85" t="n">
        <x:f>IF(COUNTIFS('Asset data'!$A$2:$A$1933,$D$6&amp;"|Fleet",'Asset data'!$F$2:$F$1933,"&gt;=-1E+307")=0,"n.a.",SUMIFS('Asset data'!$F$2:$F$1933,'Asset data'!$A$2:$A$1933,$D$6&amp;"|Fleet"))</x:f>
        <x:v>329075000</x:v>
      </x:c>
      <x:c r="F12" s="85" t="n">
        <x:f>IF(COUNTIFS('Asset data'!$A$2:$A$1933,$D$6&amp;"|Fleet",'Asset data'!$G$2:$G$1933,"&gt;=-1E+307")=0,"n.a.",SUMIFS('Asset data'!$G$2:$G$1933,'Asset data'!$A$2:$A$1933,$D$6&amp;"|Fleet"))</x:f>
        <x:v>209730000</x:v>
      </x:c>
      <x:c r="G12" s="85" t="n">
        <x:f>IF(COUNTIFS('Asset data'!$A$2:$A$1933,$D$6&amp;"|Fleet",'Asset data'!$I$2:$I$1933,"&gt;=-1E+307")=0,"n.a.",SUMIFS('Asset data'!$I$2:$I$1933,'Asset data'!$A$2:$A$1933,$D$6&amp;"|Fleet"))</x:f>
        <x:v>800000000</x:v>
      </x:c>
      <x:c r="H12" s="85" t="n">
        <x:f>IF(COUNTIFS('Asset data'!$A$2:$A$1933,$D$6&amp;"|Fleet",'Asset data'!$J$2:$J$1933,"&gt;=-1E+307")=0,"n.a.",SUMIFS('Asset data'!$J$2:$J$1933,'Asset data'!$A$2:$A$1933,$D$6&amp;"|Fleet"))</x:f>
        <x:v>500000000</x:v>
      </x:c>
      <x:c r="I12" s="85" t="n">
        <x:f>IF(COUNTIFS('Asset data'!$A$2:$A$1933,$D$6&amp;"|Fleet",'Asset data'!$H$2:$H$1933,"&gt;=-1E+307")=0,"n.a.",SUMIFS('Asset data'!$H$2:$H$1933,'Asset data'!$A$2:$A$1933,$D$6&amp;"|Fleet"))</x:f>
        <x:v>61544000</x:v>
      </x:c>
      <x:c r="J12" s="86" t="n">
        <x:f>IF(AND(ISNUMBER(D12),D12&lt;&gt;0,ISNUMBER(F12)),F12/D12,"n.a.")</x:f>
        <x:v>0.3892502853536994</x:v>
      </x:c>
      <x:c r="K12" s="86" t="n">
        <x:f>IF(AND(ISNUMBER(G12),G12&lt;&gt;0,ISNUMBER(H12)),1-H12/G12,"n.a.")</x:f>
        <x:v>0.375</x:v>
      </x:c>
      <x:c r="L12" s="83" t="str">
        <x:f>IF(COUNTIFS('Asset data'!$A$2:$A$1933,$D$6&amp;"|Fleet",'Asset data'!$M$2:$M$1933,"Yes")&gt;0,"Yes",IF(COUNTIFS('Asset data'!$A$2:$A$1933,$D$6&amp;"|Fleet",'Asset data'!$M$2:$M$1933,"In_Progress")&gt;0,"In progress","N/A"))</x:f>
        <x:v>Yes</x:v>
      </x:c>
      <x:c r="M12" s="14"/>
      <x:c r="N12" s="14"/>
    </x:row>
    <x:row r="13">
      <x:c r="C13" s="83" t="str">
        <x:v>Parks and Recreation</x:v>
      </x:c>
      <x:c r="D13" s="85" t="n">
        <x:f>IF(COUNTIFS('Asset data'!$A$2:$A$1933,$D$6&amp;"|Parks and Recreation",'Asset data'!$E$2:$E$1933,"&gt;=-1E+307")=0,"n.a.",SUMIFS('Asset data'!$E$2:$E$1933,'Asset data'!$A$2:$A$1933,$D$6&amp;"|Parks and Recreation"))</x:f>
        <x:v>394561000</x:v>
      </x:c>
      <x:c r="E13" s="85" t="n">
        <x:f>IF(COUNTIFS('Asset data'!$A$2:$A$1933,$D$6&amp;"|Parks and Recreation",'Asset data'!$F$2:$F$1933,"&gt;=-1E+307")=0,"n.a.",SUMIFS('Asset data'!$F$2:$F$1933,'Asset data'!$A$2:$A$1933,$D$6&amp;"|Parks and Recreation"))</x:f>
        <x:v>242828000</x:v>
      </x:c>
      <x:c r="F13" s="85" t="n">
        <x:f>IF(COUNTIFS('Asset data'!$A$2:$A$1933,$D$6&amp;"|Parks and Recreation",'Asset data'!$G$2:$G$1933,"&gt;=-1E+307")=0,"n.a.",SUMIFS('Asset data'!$G$2:$G$1933,'Asset data'!$A$2:$A$1933,$D$6&amp;"|Parks and Recreation"))</x:f>
        <x:v>151733000</x:v>
      </x:c>
      <x:c r="G13" s="85" t="n">
        <x:f>IF(COUNTIFS('Asset data'!$A$2:$A$1933,$D$6&amp;"|Parks and Recreation",'Asset data'!$I$2:$I$1933,"&gt;=-1E+307")=0,"n.a.",SUMIFS('Asset data'!$I$2:$I$1933,'Asset data'!$A$2:$A$1933,$D$6&amp;"|Parks and Recreation"))</x:f>
        <x:v>1300000000</x:v>
      </x:c>
      <x:c r="H13" s="85" t="n">
        <x:f>IF(COUNTIFS('Asset data'!$A$2:$A$1933,$D$6&amp;"|Parks and Recreation",'Asset data'!$J$2:$J$1933,"&gt;=-1E+307")=0,"n.a.",SUMIFS('Asset data'!$J$2:$J$1933,'Asset data'!$A$2:$A$1933,$D$6&amp;"|Parks and Recreation"))</x:f>
        <x:v>800000000</x:v>
      </x:c>
      <x:c r="I13" s="85" t="n">
        <x:f>IF(COUNTIFS('Asset data'!$A$2:$A$1933,$D$6&amp;"|Parks and Recreation",'Asset data'!$H$2:$H$1933,"&gt;=-1E+307")=0,"n.a.",SUMIFS('Asset data'!$H$2:$H$1933,'Asset data'!$A$2:$A$1933,$D$6&amp;"|Parks and Recreation"))</x:f>
        <x:v>20509000</x:v>
      </x:c>
      <x:c r="J13" s="86" t="n">
        <x:f>IF(AND(ISNUMBER(D13),D13&lt;&gt;0,ISNUMBER(F13)),F13/D13,"n.a.")</x:f>
        <x:v>0.38456157603006885</x:v>
      </x:c>
      <x:c r="K13" s="86" t="n">
        <x:f>IF(AND(ISNUMBER(G13),G13&lt;&gt;0,ISNUMBER(H13)),1-H13/G13,"n.a.")</x:f>
        <x:v>0.3846153846153846</x:v>
      </x:c>
      <x:c r="L13" s="83" t="str">
        <x:f>IF(COUNTIFS('Asset data'!$A$2:$A$1933,$D$6&amp;"|Parks and Recreation",'Asset data'!$M$2:$M$1933,"Yes")&gt;0,"Yes",IF(COUNTIFS('Asset data'!$A$2:$A$1933,$D$6&amp;"|Parks and Recreation",'Asset data'!$M$2:$M$1933,"In_Progress")&gt;0,"In progress","N/A"))</x:f>
        <x:v>In progress</x:v>
      </x:c>
      <x:c r="M13" s="14"/>
      <x:c r="N13" s="14"/>
    </x:row>
    <x:row r="14">
      <x:c r="C14" s="83" t="str">
        <x:v>Water System</x:v>
      </x:c>
      <x:c r="D14" s="85" t="n">
        <x:f>IF(COUNTIFS('Asset data'!$A$2:$A$1933,$D$6&amp;"|Water System",'Asset data'!$E$2:$E$1933,"&gt;=-1E+307")=0,"n.a.",SUMIFS('Asset data'!$E$2:$E$1933,'Asset data'!$A$2:$A$1933,$D$6&amp;"|Water System"))</x:f>
        <x:v>994749000</x:v>
      </x:c>
      <x:c r="E14" s="85" t="n">
        <x:f>IF(COUNTIFS('Asset data'!$A$2:$A$1933,$D$6&amp;"|Water System",'Asset data'!$F$2:$F$1933,"&gt;=-1E+307")=0,"n.a.",SUMIFS('Asset data'!$F$2:$F$1933,'Asset data'!$A$2:$A$1933,$D$6&amp;"|Water System"))</x:f>
        <x:v>268598000</x:v>
      </x:c>
      <x:c r="F14" s="85" t="n">
        <x:f>IF(COUNTIFS('Asset data'!$A$2:$A$1933,$D$6&amp;"|Water System",'Asset data'!$G$2:$G$1933,"&gt;=-1E+307")=0,"n.a.",SUMIFS('Asset data'!$G$2:$G$1933,'Asset data'!$A$2:$A$1933,$D$6&amp;"|Water System"))</x:f>
        <x:v>726151000</x:v>
      </x:c>
      <x:c r="G14" s="85" t="n">
        <x:f>IF(COUNTIFS('Asset data'!$A$2:$A$1933,$D$6&amp;"|Water System",'Asset data'!$I$2:$I$1933,"&gt;=-1E+307")=0,"n.a.",SUMIFS('Asset data'!$I$2:$I$1933,'Asset data'!$A$2:$A$1933,$D$6&amp;"|Water System"))</x:f>
        <x:v>3700000000</x:v>
      </x:c>
      <x:c r="H14" s="85" t="n">
        <x:f>IF(COUNTIFS('Asset data'!$A$2:$A$1933,$D$6&amp;"|Water System",'Asset data'!$J$2:$J$1933,"&gt;=-1E+307")=0,"n.a.",SUMIFS('Asset data'!$J$2:$J$1933,'Asset data'!$A$2:$A$1933,$D$6&amp;"|Water System"))</x:f>
        <x:v>1000000000</x:v>
      </x:c>
      <x:c r="I14" s="85" t="n">
        <x:f>IF(COUNTIFS('Asset data'!$A$2:$A$1933,$D$6&amp;"|Water System",'Asset data'!$H$2:$H$1933,"&gt;=-1E+307")=0,"n.a.",SUMIFS('Asset data'!$H$2:$H$1933,'Asset data'!$A$2:$A$1933,$D$6&amp;"|Water System"))</x:f>
        <x:v>41997000</x:v>
      </x:c>
      <x:c r="J14" s="86" t="n">
        <x:f>IF(AND(ISNUMBER(D14),D14&lt;&gt;0,ISNUMBER(F14)),F14/D14,"n.a.")</x:f>
        <x:v>0.7299841467546084</x:v>
      </x:c>
      <x:c r="K14" s="86" t="n">
        <x:f>IF(AND(ISNUMBER(G14),G14&lt;&gt;0,ISNUMBER(H14)),1-H14/G14,"n.a.")</x:f>
        <x:v>0.7297297297297297</x:v>
      </x:c>
      <x:c r="L14" s="83" t="str">
        <x:f>IF(COUNTIFS('Asset data'!$A$2:$A$1933,$D$6&amp;"|Water System",'Asset data'!$M$2:$M$1933,"Yes")&gt;0,"Yes",IF(COUNTIFS('Asset data'!$A$2:$A$1933,$D$6&amp;"|Water System",'Asset data'!$M$2:$M$1933,"In_Progress")&gt;0,"In progress","N/A"))</x:f>
        <x:v>Yes</x:v>
      </x:c>
      <x:c r="M14" s="14"/>
      <x:c r="N14" s="14"/>
    </x:row>
    <x:row r="15">
      <x:c r="C15" s="83" t="str">
        <x:v>Sewer System</x:v>
      </x:c>
      <x:c r="D15" s="85" t="n">
        <x:f>IF(COUNTIFS('Asset data'!$A$2:$A$1933,$D$6&amp;"|Sewer System",'Asset data'!$E$2:$E$1933,"&gt;=-1E+307")=0,"n.a.",SUMIFS('Asset data'!$E$2:$E$1933,'Asset data'!$A$2:$A$1933,$D$6&amp;"|Sewer System"))</x:f>
        <x:v>1959293000</x:v>
      </x:c>
      <x:c r="E15" s="85" t="n">
        <x:f>IF(COUNTIFS('Asset data'!$A$2:$A$1933,$D$6&amp;"|Sewer System",'Asset data'!$F$2:$F$1933,"&gt;=-1E+307")=0,"n.a.",SUMIFS('Asset data'!$F$2:$F$1933,'Asset data'!$A$2:$A$1933,$D$6&amp;"|Sewer System"))</x:f>
        <x:v>529296000</x:v>
      </x:c>
      <x:c r="F15" s="85" t="n">
        <x:f>IF(COUNTIFS('Asset data'!$A$2:$A$1933,$D$6&amp;"|Sewer System",'Asset data'!$G$2:$G$1933,"&gt;=-1E+307")=0,"n.a.",SUMIFS('Asset data'!$G$2:$G$1933,'Asset data'!$A$2:$A$1933,$D$6&amp;"|Sewer System"))</x:f>
        <x:v>1429997000</x:v>
      </x:c>
      <x:c r="G15" s="85" t="n">
        <x:f>IF(COUNTIFS('Asset data'!$A$2:$A$1933,$D$6&amp;"|Sewer System",'Asset data'!$I$2:$I$1933,"&gt;=-1E+307")=0,"n.a.",SUMIFS('Asset data'!$I$2:$I$1933,'Asset data'!$A$2:$A$1933,$D$6&amp;"|Sewer System"))</x:f>
        <x:v>7300000000</x:v>
      </x:c>
      <x:c r="H15" s="85" t="n">
        <x:f>IF(COUNTIFS('Asset data'!$A$2:$A$1933,$D$6&amp;"|Sewer System",'Asset data'!$J$2:$J$1933,"&gt;=-1E+307")=0,"n.a.",SUMIFS('Asset data'!$J$2:$J$1933,'Asset data'!$A$2:$A$1933,$D$6&amp;"|Sewer System"))</x:f>
        <x:v>2000000000</x:v>
      </x:c>
      <x:c r="I15" s="85" t="n">
        <x:f>IF(COUNTIFS('Asset data'!$A$2:$A$1933,$D$6&amp;"|Sewer System",'Asset data'!$H$2:$H$1933,"&gt;=-1E+307")=0,"n.a.",SUMIFS('Asset data'!$H$2:$H$1933,'Asset data'!$A$2:$A$1933,$D$6&amp;"|Sewer System"))</x:f>
        <x:v>119763000</x:v>
      </x:c>
      <x:c r="J15" s="86" t="n">
        <x:f>IF(AND(ISNUMBER(D15),D15&lt;&gt;0,ISNUMBER(F15)),F15/D15,"n.a.")</x:f>
        <x:v>0.7298535747333349</x:v>
      </x:c>
      <x:c r="K15" s="86" t="n">
        <x:f>IF(AND(ISNUMBER(G15),G15&lt;&gt;0,ISNUMBER(H15)),1-H15/G15,"n.a.")</x:f>
        <x:v>0.726027397260274</x:v>
      </x:c>
      <x:c r="L15" s="83" t="str">
        <x:f>IF(COUNTIFS('Asset data'!$A$2:$A$1933,$D$6&amp;"|Sewer System",'Asset data'!$M$2:$M$1933,"Yes")&gt;0,"Yes",IF(COUNTIFS('Asset data'!$A$2:$A$1933,$D$6&amp;"|Sewer System",'Asset data'!$M$2:$M$1933,"In_Progress")&gt;0,"In progress","N/A"))</x:f>
        <x:v>Yes</x:v>
      </x:c>
      <x:c r="M15" s="14"/>
      <x:c r="N15" s="14"/>
    </x:row>
    <x:row r="16">
      <x:c r="C16" s="83" t="str">
        <x:v>Drainage System</x:v>
      </x:c>
      <x:c r="D16" s="85" t="n">
        <x:f>IF(COUNTIFS('Asset data'!$A$2:$A$1933,$D$6&amp;"|Drainage System",'Asset data'!$E$2:$E$1933,"&gt;=-1E+307")=0,"n.a.",SUMIFS('Asset data'!$E$2:$E$1933,'Asset data'!$A$2:$A$1933,$D$6&amp;"|Drainage System"))</x:f>
        <x:v>0</x:v>
      </x:c>
      <x:c r="E16" s="85" t="n">
        <x:f>IF(COUNTIFS('Asset data'!$A$2:$A$1933,$D$6&amp;"|Drainage System",'Asset data'!$F$2:$F$1933,"&gt;=-1E+307")=0,"n.a.",SUMIFS('Asset data'!$F$2:$F$1933,'Asset data'!$A$2:$A$1933,$D$6&amp;"|Drainage System"))</x:f>
        <x:v>0</x:v>
      </x:c>
      <x:c r="F16" s="85" t="n">
        <x:f>IF(COUNTIFS('Asset data'!$A$2:$A$1933,$D$6&amp;"|Drainage System",'Asset data'!$G$2:$G$1933,"&gt;=-1E+307")=0,"n.a.",SUMIFS('Asset data'!$G$2:$G$1933,'Asset data'!$A$2:$A$1933,$D$6&amp;"|Drainage System"))</x:f>
        <x:v>0</x:v>
      </x:c>
      <x:c r="G16" s="85" t="n">
        <x:f>IF(COUNTIFS('Asset data'!$A$2:$A$1933,$D$6&amp;"|Drainage System",'Asset data'!$I$2:$I$1933,"&gt;=-1E+307")=0,"n.a.",SUMIFS('Asset data'!$I$2:$I$1933,'Asset data'!$A$2:$A$1933,$D$6&amp;"|Drainage System"))</x:f>
        <x:v>0</x:v>
      </x:c>
      <x:c r="H16" s="85" t="n">
        <x:f>IF(COUNTIFS('Asset data'!$A$2:$A$1933,$D$6&amp;"|Drainage System",'Asset data'!$J$2:$J$1933,"&gt;=-1E+307")=0,"n.a.",SUMIFS('Asset data'!$J$2:$J$1933,'Asset data'!$A$2:$A$1933,$D$6&amp;"|Drainage System"))</x:f>
        <x:v>0</x:v>
      </x:c>
      <x:c r="I16" s="85" t="n">
        <x:f>IF(COUNTIFS('Asset data'!$A$2:$A$1933,$D$6&amp;"|Drainage System",'Asset data'!$H$2:$H$1933,"&gt;=-1E+307")=0,"n.a.",SUMIFS('Asset data'!$H$2:$H$1933,'Asset data'!$A$2:$A$1933,$D$6&amp;"|Drainage System"))</x:f>
        <x:v>0</x:v>
      </x:c>
      <x:c r="J16" s="86" t="str">
        <x:f>IF(AND(ISNUMBER(D16),D16&lt;&gt;0,ISNUMBER(F16)),F16/D16,"n.a.")</x:f>
        <x:v>n.a.</x:v>
      </x:c>
      <x:c r="K16" s="86" t="str">
        <x:f>IF(AND(ISNUMBER(G16),G16&lt;&gt;0,ISNUMBER(H16)),1-H16/G16,"n.a.")</x:f>
        <x:v>n.a.</x:v>
      </x:c>
      <x:c r="L16" s="83" t="str">
        <x:f>IF(COUNTIFS('Asset data'!$A$2:$A$1933,$D$6&amp;"|Drainage System",'Asset data'!$M$2:$M$1933,"Yes")&gt;0,"Yes",IF(COUNTIFS('Asset data'!$A$2:$A$1933,$D$6&amp;"|Drainage System",'Asset data'!$M$2:$M$1933,"In_Progress")&gt;0,"In progress","N/A"))</x:f>
        <x:v>N/A</x:v>
      </x:c>
      <x:c r="M16" s="14"/>
      <x:c r="N16" s="14"/>
    </x:row>
    <x:row r="17">
      <x:c r="C17" s="83" t="str">
        <x:v>Transportation System</x:v>
      </x:c>
      <x:c r="D17" s="85" t="n">
        <x:f>IF(COUNTIFS('Asset data'!$A$2:$A$1933,$D$6&amp;"|Transportation System",'Asset data'!$E$2:$E$1933,"&gt;=-1E+307")=0,"n.a.",SUMIFS('Asset data'!$E$2:$E$1933,'Asset data'!$A$2:$A$1933,$D$6&amp;"|Transportation System"))</x:f>
        <x:v>3673079000</x:v>
      </x:c>
      <x:c r="E17" s="85" t="n">
        <x:f>IF(COUNTIFS('Asset data'!$A$2:$A$1933,$D$6&amp;"|Transportation System",'Asset data'!$F$2:$F$1933,"&gt;=-1E+307")=0,"n.a.",SUMIFS('Asset data'!$F$2:$F$1933,'Asset data'!$A$2:$A$1933,$D$6&amp;"|Transportation System"))</x:f>
        <x:v>2249500000</x:v>
      </x:c>
      <x:c r="F17" s="85" t="n">
        <x:f>IF(COUNTIFS('Asset data'!$A$2:$A$1933,$D$6&amp;"|Transportation System",'Asset data'!$G$2:$G$1933,"&gt;=-1E+307")=0,"n.a.",SUMIFS('Asset data'!$G$2:$G$1933,'Asset data'!$A$2:$A$1933,$D$6&amp;"|Transportation System"))</x:f>
        <x:v>1423579000</x:v>
      </x:c>
      <x:c r="G17" s="85" t="n">
        <x:f>IF(COUNTIFS('Asset data'!$A$2:$A$1933,$D$6&amp;"|Transportation System",'Asset data'!$I$2:$I$1933,"&gt;=-1E+307")=0,"n.a.",SUMIFS('Asset data'!$I$2:$I$1933,'Asset data'!$A$2:$A$1933,$D$6&amp;"|Transportation System"))</x:f>
        <x:v>9500000000</x:v>
      </x:c>
      <x:c r="H17" s="85" t="n">
        <x:f>IF(COUNTIFS('Asset data'!$A$2:$A$1933,$D$6&amp;"|Transportation System",'Asset data'!$J$2:$J$1933,"&gt;=-1E+307")=0,"n.a.",SUMIFS('Asset data'!$J$2:$J$1933,'Asset data'!$A$2:$A$1933,$D$6&amp;"|Transportation System"))</x:f>
        <x:v>5300000000</x:v>
      </x:c>
      <x:c r="I17" s="85" t="n">
        <x:f>IF(COUNTIFS('Asset data'!$A$2:$A$1933,$D$6&amp;"|Transportation System",'Asset data'!$H$2:$H$1933,"&gt;=-1E+307")=0,"n.a.",SUMIFS('Asset data'!$H$2:$H$1933,'Asset data'!$A$2:$A$1933,$D$6&amp;"|Transportation System"))</x:f>
        <x:v>93769000</x:v>
      </x:c>
      <x:c r="J17" s="86" t="n">
        <x:f>IF(AND(ISNUMBER(D17),D17&lt;&gt;0,ISNUMBER(F17)),F17/D17,"n.a.")</x:f>
        <x:v>0.38757102692318895</x:v>
      </x:c>
      <x:c r="K17" s="86" t="n">
        <x:f>IF(AND(ISNUMBER(G17),G17&lt;&gt;0,ISNUMBER(H17)),1-H17/G17,"n.a.")</x:f>
        <x:v>0.4421052631578948</x:v>
      </x:c>
      <x:c r="L17" s="83" t="str">
        <x:f>IF(COUNTIFS('Asset data'!$A$2:$A$1933,$D$6&amp;"|Transportation System",'Asset data'!$M$2:$M$1933,"Yes")&gt;0,"Yes",IF(COUNTIFS('Asset data'!$A$2:$A$1933,$D$6&amp;"|Transportation System",'Asset data'!$M$2:$M$1933,"In_Progress")&gt;0,"In progress","N/A"))</x:f>
        <x:v>In progress</x:v>
      </x:c>
      <x:c r="M17" s="14"/>
      <x:c r="N17" s="14"/>
    </x:row>
    <x:row r="18">
      <x:c r="C18" s="83" t="str">
        <x:v>Other Engineering Systems</x:v>
      </x:c>
      <x:c r="D18" s="85" t="n">
        <x:f>IF(COUNTIFS('Asset data'!$A$2:$A$1933,$D$6&amp;"|Other Engineering Systems",'Asset data'!$E$2:$E$1933,"&gt;=-1E+307")=0,"n.a.",SUMIFS('Asset data'!$E$2:$E$1933,'Asset data'!$A$2:$A$1933,$D$6&amp;"|Other Engineering Systems"))</x:f>
        <x:v>190284000</x:v>
      </x:c>
      <x:c r="E18" s="85" t="n">
        <x:f>IF(COUNTIFS('Asset data'!$A$2:$A$1933,$D$6&amp;"|Other Engineering Systems",'Asset data'!$F$2:$F$1933,"&gt;=-1E+307")=0,"n.a.",SUMIFS('Asset data'!$F$2:$F$1933,'Asset data'!$A$2:$A$1933,$D$6&amp;"|Other Engineering Systems"))</x:f>
        <x:v>47225000</x:v>
      </x:c>
      <x:c r="F18" s="85" t="n">
        <x:f>IF(COUNTIFS('Asset data'!$A$2:$A$1933,$D$6&amp;"|Other Engineering Systems",'Asset data'!$G$2:$G$1933,"&gt;=-1E+307")=0,"n.a.",SUMIFS('Asset data'!$G$2:$G$1933,'Asset data'!$A$2:$A$1933,$D$6&amp;"|Other Engineering Systems"))</x:f>
        <x:v>143059000</x:v>
      </x:c>
      <x:c r="G18" s="85" t="n">
        <x:f>IF(COUNTIFS('Asset data'!$A$2:$A$1933,$D$6&amp;"|Other Engineering Systems",'Asset data'!$I$2:$I$1933,"&gt;=-1E+307")=0,"n.a.",SUMIFS('Asset data'!$I$2:$I$1933,'Asset data'!$A$2:$A$1933,$D$6&amp;"|Other Engineering Systems"))</x:f>
        <x:v>245000000</x:v>
      </x:c>
      <x:c r="H18" s="85" t="n">
        <x:f>IF(COUNTIFS('Asset data'!$A$2:$A$1933,$D$6&amp;"|Other Engineering Systems",'Asset data'!$J$2:$J$1933,"&gt;=-1E+307")=0,"n.a.",SUMIFS('Asset data'!$J$2:$J$1933,'Asset data'!$A$2:$A$1933,$D$6&amp;"|Other Engineering Systems"))</x:f>
        <x:v>130000000</x:v>
      </x:c>
      <x:c r="I18" s="85" t="n">
        <x:f>IF(COUNTIFS('Asset data'!$A$2:$A$1933,$D$6&amp;"|Other Engineering Systems",'Asset data'!$H$2:$H$1933,"&gt;=-1E+307")=0,"n.a.",SUMIFS('Asset data'!$H$2:$H$1933,'Asset data'!$A$2:$A$1933,$D$6&amp;"|Other Engineering Systems"))</x:f>
        <x:v>14325000</x:v>
      </x:c>
      <x:c r="J18" s="86" t="n">
        <x:f>IF(AND(ISNUMBER(D18),D18&lt;&gt;0,ISNUMBER(F18)),F18/D18,"n.a.")</x:f>
        <x:v>0.751818334699712</x:v>
      </x:c>
      <x:c r="K18" s="86" t="n">
        <x:f>IF(AND(ISNUMBER(G18),G18&lt;&gt;0,ISNUMBER(H18)),1-H18/G18,"n.a.")</x:f>
        <x:v>0.4693877551020408</x:v>
      </x:c>
      <x:c r="L18" s="83" t="str">
        <x:f>IF(COUNTIFS('Asset data'!$A$2:$A$1933,$D$6&amp;"|Other Engineering Systems",'Asset data'!$M$2:$M$1933,"Yes")&gt;0,"Yes",IF(COUNTIFS('Asset data'!$A$2:$A$1933,$D$6&amp;"|Other Engineering Systems",'Asset data'!$M$2:$M$1933,"In_Progress")&gt;0,"In progress","N/A"))</x:f>
        <x:v>Yes</x:v>
      </x:c>
      <x:c r="M18" s="14"/>
      <x:c r="N18" s="14"/>
    </x:row>
    <x:row r="19">
      <x:c r="C19" s="83" t="str">
        <x:v>Other Tangible Capital Assets</x:v>
      </x:c>
      <x:c r="D19" s="85" t="n">
        <x:f>IF(COUNTIFS('Asset data'!$A$2:$A$1933,$D$6&amp;"|Other Tangible Capital Assets",'Asset data'!$E$2:$E$1933,"&gt;=-1E+307")=0,"n.a.",SUMIFS('Asset data'!$E$2:$E$1933,'Asset data'!$A$2:$A$1933,$D$6&amp;"|Other Tangible Capital Assets"))</x:f>
        <x:v>445203000</x:v>
      </x:c>
      <x:c r="E19" s="85" t="n">
        <x:f>IF(COUNTIFS('Asset data'!$A$2:$A$1933,$D$6&amp;"|Other Tangible Capital Assets",'Asset data'!$F$2:$F$1933,"&gt;=-1E+307")=0,"n.a.",SUMIFS('Asset data'!$F$2:$F$1933,'Asset data'!$A$2:$A$1933,$D$6&amp;"|Other Tangible Capital Assets"))</x:f>
        <x:v>345543000</x:v>
      </x:c>
      <x:c r="F19" s="85" t="n">
        <x:f>IF(COUNTIFS('Asset data'!$A$2:$A$1933,$D$6&amp;"|Other Tangible Capital Assets",'Asset data'!$G$2:$G$1933,"&gt;=-1E+307")=0,"n.a.",SUMIFS('Asset data'!$G$2:$G$1933,'Asset data'!$A$2:$A$1933,$D$6&amp;"|Other Tangible Capital Assets"))</x:f>
        <x:v>99660000</x:v>
      </x:c>
      <x:c r="G19" s="85" t="n">
        <x:f>IF(COUNTIFS('Asset data'!$A$2:$A$1933,$D$6&amp;"|Other Tangible Capital Assets",'Asset data'!$I$2:$I$1933,"&gt;=-1E+307")=0,"n.a.",SUMIFS('Asset data'!$I$2:$I$1933,'Asset data'!$A$2:$A$1933,$D$6&amp;"|Other Tangible Capital Assets"))</x:f>
        <x:v>540000000</x:v>
      </x:c>
      <x:c r="H19" s="85" t="n">
        <x:f>IF(COUNTIFS('Asset data'!$A$2:$A$1933,$D$6&amp;"|Other Tangible Capital Assets",'Asset data'!$J$2:$J$1933,"&gt;=-1E+307")=0,"n.a.",SUMIFS('Asset data'!$J$2:$J$1933,'Asset data'!$A$2:$A$1933,$D$6&amp;"|Other Tangible Capital Assets"))</x:f>
        <x:v>420000000</x:v>
      </x:c>
      <x:c r="I19" s="85" t="n">
        <x:f>IF(COUNTIFS('Asset data'!$A$2:$A$1933,$D$6&amp;"|Other Tangible Capital Assets",'Asset data'!$H$2:$H$1933,"&gt;=-1E+307")=0,"n.a.",SUMIFS('Asset data'!$H$2:$H$1933,'Asset data'!$A$2:$A$1933,$D$6&amp;"|Other Tangible Capital Assets"))</x:f>
        <x:v>32238000</x:v>
      </x:c>
      <x:c r="J19" s="86" t="n">
        <x:f>IF(AND(ISNUMBER(D19),D19&lt;&gt;0,ISNUMBER(F19)),F19/D19,"n.a.")</x:f>
        <x:v>0.22385293899636796</x:v>
      </x:c>
      <x:c r="K19" s="86" t="n">
        <x:f>IF(AND(ISNUMBER(G19),G19&lt;&gt;0,ISNUMBER(H19)),1-H19/G19,"n.a.")</x:f>
        <x:v>0.2222222222222222</x:v>
      </x:c>
      <x:c r="L19" s="83" t="str">
        <x:f>IF(COUNTIFS('Asset data'!$A$2:$A$1933,$D$6&amp;"|Other Tangible Capital Assets",'Asset data'!$M$2:$M$1933,"Yes")&gt;0,"Yes",IF(COUNTIFS('Asset data'!$A$2:$A$1933,$D$6&amp;"|Other Tangible Capital Assets",'Asset data'!$M$2:$M$1933,"In_Progress")&gt;0,"In progress","N/A"))</x:f>
        <x:v>N/A</x:v>
      </x:c>
      <x:c r="M19" s="14"/>
      <x:c r="N19" s="14"/>
    </x:row>
    <x:row r="20">
      <x:c r="C20" s="83" t="str">
        <x:v>Work In Progress</x:v>
      </x:c>
      <x:c r="D20" s="85" t="n">
        <x:f>IF(COUNTIFS('Asset data'!$A$2:$A$1933,$D$6&amp;"|Work In Progress",'Asset data'!$E$2:$E$1933,"&gt;=-1E+307")=0,"n.a.",SUMIFS('Asset data'!$E$2:$E$1933,'Asset data'!$A$2:$A$1933,$D$6&amp;"|Work In Progress"))</x:f>
        <x:v>233301000</x:v>
      </x:c>
      <x:c r="E20" s="85" t="n">
        <x:f>IF(COUNTIFS('Asset data'!$A$2:$A$1933,$D$6&amp;"|Work In Progress",'Asset data'!$F$2:$F$1933,"&gt;=-1E+307")=0,"n.a.",SUMIFS('Asset data'!$F$2:$F$1933,'Asset data'!$A$2:$A$1933,$D$6&amp;"|Work In Progress"))</x:f>
        <x:v>0</x:v>
      </x:c>
      <x:c r="F20" s="85" t="n">
        <x:f>IF(COUNTIFS('Asset data'!$A$2:$A$1933,$D$6&amp;"|Work In Progress",'Asset data'!$G$2:$G$1933,"&gt;=-1E+307")=0,"n.a.",SUMIFS('Asset data'!$G$2:$G$1933,'Asset data'!$A$2:$A$1933,$D$6&amp;"|Work In Progress"))</x:f>
        <x:v>233301000</x:v>
      </x:c>
      <x:c r="G20" s="85" t="n">
        <x:f>IF(COUNTIFS('Asset data'!$A$2:$A$1933,$D$6&amp;"|Work In Progress",'Asset data'!$I$2:$I$1933,"&gt;=-1E+307")=0,"n.a.",SUMIFS('Asset data'!$I$2:$I$1933,'Asset data'!$A$2:$A$1933,$D$6&amp;"|Work In Progress"))</x:f>
        <x:v>233301000</x:v>
      </x:c>
      <x:c r="H20" s="85" t="n">
        <x:f>IF(COUNTIFS('Asset data'!$A$2:$A$1933,$D$6&amp;"|Work In Progress",'Asset data'!$J$2:$J$1933,"&gt;=-1E+307")=0,"n.a.",SUMIFS('Asset data'!$J$2:$J$1933,'Asset data'!$A$2:$A$1933,$D$6&amp;"|Work In Progress"))</x:f>
        <x:v>0</x:v>
      </x:c>
      <x:c r="I20" s="85" t="n">
        <x:f>IF(COUNTIFS('Asset data'!$A$2:$A$1933,$D$6&amp;"|Work In Progress",'Asset data'!$H$2:$H$1933,"&gt;=-1E+307")=0,"n.a.",SUMIFS('Asset data'!$H$2:$H$1933,'Asset data'!$A$2:$A$1933,$D$6&amp;"|Work In Progress"))</x:f>
        <x:v>118232000</x:v>
      </x:c>
      <x:c r="J20" s="86" t="n">
        <x:f>IF(AND(ISNUMBER(D20),D20&lt;&gt;0,ISNUMBER(F20)),F20/D20,"n.a.")</x:f>
        <x:v>1</x:v>
      </x:c>
      <x:c r="K20" s="86" t="n">
        <x:f>IF(AND(ISNUMBER(G20),G20&lt;&gt;0,ISNUMBER(H20)),1-H20/G20,"n.a.")</x:f>
        <x:v>1</x:v>
      </x:c>
      <x:c r="L20" s="83" t="str">
        <x:f>IF(COUNTIFS('Asset data'!$A$2:$A$1933,$D$6&amp;"|Work In Progress",'Asset data'!$M$2:$M$1933,"Yes")&gt;0,"Yes",IF(COUNTIFS('Asset data'!$A$2:$A$1933,$D$6&amp;"|Work In Progress",'Asset data'!$M$2:$M$1933,"In_Progress")&gt;0,"In progress","N/A"))</x:f>
        <x:v>N/A</x:v>
      </x:c>
      <x:c r="M20" s="14"/>
      <x:c r="N20" s="14"/>
    </x:row>
    <x:row r="21">
      <x:c r="C21" s="104" t="str">
        <x:v>Total TCA</x:v>
      </x:c>
      <x:c r="D21" s="105" t="n">
        <x:f>IF(COUNTIFS('Asset data'!$A$2:$A$1933,$D$6&amp;"|Total TCA",'Asset data'!$E$2:$E$1933,"&gt;=-1E+307")=0,"n.a.",SUMIFS('Asset data'!$E$2:$E$1933,'Asset data'!$A$2:$A$1933,$D$6&amp;"|Total TCA"))</x:f>
        <x:v>13808630000</x:v>
      </x:c>
      <x:c r="E21" s="105" t="n">
        <x:f>IF(COUNTIFS('Asset data'!$A$2:$A$1933,$D$6&amp;"|Total TCA",'Asset data'!$F$2:$F$1933,"&gt;=-1E+307")=0,"n.a.",SUMIFS('Asset data'!$F$2:$F$1933,'Asset data'!$A$2:$A$1933,$D$6&amp;"|Total TCA"))</x:f>
        <x:v>4883593000</x:v>
      </x:c>
      <x:c r="F21" s="105" t="n">
        <x:f>IF(COUNTIFS('Asset data'!$A$2:$A$1933,$D$6&amp;"|Total TCA",'Asset data'!$G$2:$G$1933,"&gt;=-1E+307")=0,"n.a.",SUMIFS('Asset data'!$G$2:$G$1933,'Asset data'!$A$2:$A$1933,$D$6&amp;"|Total TCA"))</x:f>
        <x:v>8925037000</x:v>
      </x:c>
      <x:c r="G21" s="105" t="n">
        <x:f>IF(COUNTIFS('Asset data'!$A$2:$A$1933,$D$6&amp;"|Total TCA",'Asset data'!$I$2:$I$1933,"&gt;=-1E+307")=0,"n.a.",SUMIFS('Asset data'!$I$2:$I$1933,'Asset data'!$A$2:$A$1933,$D$6&amp;"|Total TCA"))</x:f>
        <x:v>34639871000</x:v>
      </x:c>
      <x:c r="H21" s="105" t="n">
        <x:f>IF(COUNTIFS('Asset data'!$A$2:$A$1933,$D$6&amp;"|Total TCA",'Asset data'!$J$2:$J$1933,"&gt;=-1E+307")=0,"n.a.",SUMIFS('Asset data'!$J$2:$J$1933,'Asset data'!$A$2:$A$1933,$D$6&amp;"|Total TCA"))</x:f>
        <x:v>12950000000</x:v>
      </x:c>
      <x:c r="I21" s="105" t="n">
        <x:f>IF(COUNTIFS('Asset data'!$A$2:$A$1933,$D$6&amp;"|Total TCA",'Asset data'!$H$2:$H$1933,"&gt;=-1E+307")=0,"n.a.",SUMIFS('Asset data'!$H$2:$H$1933,'Asset data'!$A$2:$A$1933,$D$6&amp;"|Total TCA"))</x:f>
        <x:v>879123000</x:v>
      </x:c>
      <x:c r="J21" s="106" t="n">
        <x:f>IF(AND(ISNUMBER(D21),D21&lt;&gt;0,ISNUMBER(F21)),F21/D21,"n.a.")</x:f>
        <x:v>0.6463376164036548</x:v>
      </x:c>
      <x:c r="K21" s="106" t="n">
        <x:f>IF(AND(ISNUMBER(G21),G21&lt;&gt;0,ISNUMBER(H21)),1-H21/G21,"n.a.")</x:f>
        <x:v>0.6261533421992247</x:v>
      </x:c>
      <x:c r="L21" s="104" t="str">
        <x:f>IF(COUNTIFS('Asset data'!$A$2:$A$1933,$D$6&amp;"|Total TCA",'Asset data'!$M$2:$M$1933,"Yes")&gt;0,"Yes",IF(COUNTIFS('Asset data'!$A$2:$A$1933,$D$6&amp;"|Total TCA",'Asset data'!$M$2:$M$1933,"In_Progress")&gt;0,"In progress","N/A"))</x:f>
        <x:v>N/A</x:v>
      </x:c>
      <x:c r="M21" s="14"/>
      <x:c r="N21" s="14"/>
    </x:row>
    <x:row r="22"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</x:row>
    <x:row r="23"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</x:row>
    <x:row r="24">
      <x:c r="C24" s="76" t="str">
        <x:v>Five-year capital outlook</x:v>
      </x:c>
      <x:c r="D24" s="77" t="str">
        <x:v>Five-year capital outlook</x:v>
      </x:c>
      <x:c r="E24" s="77" t="str">
        <x:v>Five-year capital outlook</x:v>
      </x:c>
      <x:c r="F24" s="77" t="str">
        <x:v>Five-year capital outlook</x:v>
      </x:c>
      <x:c r="G24" s="77" t="str">
        <x:v>Five-year capital outlook</x:v>
      </x:c>
      <x:c r="H24" s="77" t="str">
        <x:v>Five-year capital outlook</x:v>
      </x:c>
      <x:c r="I24" s="77" t="str">
        <x:v>Five-year capital outlook</x:v>
      </x:c>
      <x:c r="J24" s="77" t="str">
        <x:v>Five-year capital outlook</x:v>
      </x:c>
      <x:c r="K24" s="77" t="str">
        <x:v>Five-year capital outlook</x:v>
      </x:c>
      <x:c r="L24" s="77" t="str">
        <x:v>Five-year capital outlook</x:v>
      </x:c>
      <x:c r="M24" s="77" t="str">
        <x:v>Five-year capital outlook</x:v>
      </x:c>
      <x:c r="N24" s="78" t="str">
        <x:v>Five-year capital outlook</x:v>
      </x:c>
    </x:row>
    <x:row r="25"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</x:row>
    <x:row r="26">
      <x:c r="C26" s="6" t="str">
        <x:v>Metric</x:v>
      </x:c>
      <x:c r="D26" s="6" t="n">
        <x:v>2024</x:v>
      </x:c>
      <x:c r="E26" s="6" t="n">
        <x:v>2025</x:v>
      </x:c>
      <x:c r="F26" s="6" t="n">
        <x:v>2026</x:v>
      </x:c>
      <x:c r="G26" s="6" t="n">
        <x:v>2027</x:v>
      </x:c>
      <x:c r="H26" s="6" t="n">
        <x:v>2028</x:v>
      </x:c>
      <x:c r="I26" s="6" t="n">
        <x:v>2029</x:v>
      </x:c>
      <x:c r="J26" s="14"/>
      <x:c r="K26" s="14"/>
      <x:c r="L26" s="14"/>
      <x:c r="M26" s="14"/>
      <x:c r="N26" s="14"/>
    </x:row>
    <x:row r="27">
      <x:c r="C27" s="31" t="str">
        <x:v>Opening replacement value</x:v>
      </x:c>
      <x:c r="D27" s="102" t="n">
        <x:f>IF(COUNTIFS('Municipal data'!$A$2:$A$969,$D$6&amp;"|2024",'Municipal data'!$AK$2:$AK$969,"&gt;=-1E+307")=0,"n.a.",SUMIFS('Municipal data'!$AK$2:$AK$969,'Municipal data'!$A$2:$A$969,$D$6&amp;"|2024"))</x:f>
        <x:v>34639871000</x:v>
      </x:c>
      <x:c r="E27" s="102" t="n">
        <x:f>D30</x:f>
        <x:v>34639871000</x:v>
      </x:c>
      <x:c r="F27" s="102" t="n">
        <x:f>E30</x:f>
        <x:v>35679067130</x:v>
      </x:c>
      <x:c r="G27" s="102" t="n">
        <x:f>F30</x:f>
        <x:v>36749439143.9</x:v>
      </x:c>
      <x:c r="H27" s="102" t="n">
        <x:f>G30</x:f>
        <x:v>37851922318.217</x:v>
      </x:c>
      <x:c r="I27" s="102" t="n">
        <x:f>H30</x:f>
        <x:v>38987479987.76351</x:v>
      </x:c>
      <x:c r="J27" s="14"/>
      <x:c r="K27" s="14"/>
      <x:c r="L27" s="14"/>
      <x:c r="M27" s="14"/>
      <x:c r="N27" s="14"/>
    </x:row>
    <x:row r="28">
      <x:c r="C28" s="83" t="str">
        <x:v>Replacement value inflation</x:v>
      </x:c>
      <x:c r="D28" s="86"/>
      <x:c r="E28" s="86" t="n">
        <x:f>'Assumptions'!E$58</x:f>
        <x:v>0.03</x:v>
      </x:c>
      <x:c r="F28" s="86" t="n">
        <x:f>'Assumptions'!F$58</x:f>
        <x:v>0.03</x:v>
      </x:c>
      <x:c r="G28" s="86" t="n">
        <x:f>'Assumptions'!G$58</x:f>
        <x:v>0.03</x:v>
      </x:c>
      <x:c r="H28" s="86" t="n">
        <x:f>'Assumptions'!H$58</x:f>
        <x:v>0.03</x:v>
      </x:c>
      <x:c r="I28" s="86" t="n">
        <x:f>'Assumptions'!I$58</x:f>
        <x:v>0.03</x:v>
      </x:c>
      <x:c r="J28" s="14"/>
      <x:c r="K28" s="14"/>
      <x:c r="L28" s="14"/>
      <x:c r="M28" s="14"/>
      <x:c r="N28" s="14"/>
    </x:row>
    <x:row r="29">
      <x:c r="C29" s="83" t="str">
        <x:v>Capital additions</x:v>
      </x:c>
      <x:c r="D29" s="85" t="n">
        <x:f>IF(COUNTIFS('Municipal data'!$A$2:$A$969,$D$6&amp;"|2024",'Municipal data'!$AJ$2:$AJ$969,"&gt;=-1E+307")=0,"n.a.",SUMIFS('Municipal data'!$AJ$2:$AJ$969,'Municipal data'!$A$2:$A$969,$D$6&amp;"|2024"))</x:f>
        <x:v>879123000</x:v>
      </x:c>
      <x:c r="E29" s="85" t="n">
        <x:f>'Forecast'!E23</x:f>
        <x:v>357001480</x:v>
      </x:c>
      <x:c r="F29" s="85" t="n">
        <x:f>'Forecast'!F23</x:f>
        <x:v>362356502.2</x:v>
      </x:c>
      <x:c r="G29" s="85" t="n">
        <x:f>'Forecast'!G23</x:f>
        <x:v>367791849.73300004</x:v>
      </x:c>
      <x:c r="H29" s="85" t="n">
        <x:f>'Forecast'!H23</x:f>
        <x:v>373308727.4789951</x:v>
      </x:c>
      <x:c r="I29" s="85" t="n">
        <x:f>'Forecast'!I23</x:f>
        <x:v>378908358.39118</x:v>
      </x:c>
      <x:c r="J29" s="14"/>
      <x:c r="K29" s="14"/>
      <x:c r="L29" s="14"/>
      <x:c r="M29" s="14"/>
      <x:c r="N29" s="14"/>
    </x:row>
    <x:row r="30">
      <x:c r="C30" s="104" t="str">
        <x:v>Closing replacement value</x:v>
      </x:c>
      <x:c r="D30" s="105" t="n">
        <x:f>D27</x:f>
        <x:v>34639871000</x:v>
      </x:c>
      <x:c r="E30" s="105" t="n">
        <x:f>E27*(1+E28)</x:f>
        <x:v>35679067130</x:v>
      </x:c>
      <x:c r="F30" s="105" t="n">
        <x:f>F27*(1+F28)</x:f>
        <x:v>36749439143.9</x:v>
      </x:c>
      <x:c r="G30" s="105" t="n">
        <x:f>G27*(1+G28)</x:f>
        <x:v>37851922318.217</x:v>
      </x:c>
      <x:c r="H30" s="105" t="n">
        <x:f>H27*(1+H28)</x:f>
        <x:v>38987479987.76351</x:v>
      </x:c>
      <x:c r="I30" s="105" t="n">
        <x:f>I27*(1+I28)</x:f>
        <x:v>40157104387.396416</x:v>
      </x:c>
      <x:c r="J30" s="14"/>
      <x:c r="K30" s="14"/>
      <x:c r="L30" s="14"/>
      <x:c r="M30" s="14"/>
      <x:c r="N30" s="14"/>
    </x:row>
    <x:row r="31">
      <x:c r="C31" s="104" t="str">
        <x:v>Capital additions / opening replacement value</x:v>
      </x:c>
      <x:c r="D31" s="106" t="n">
        <x:f>D29/D27</x:f>
        <x:v>0.025378934003535983</x:v>
      </x:c>
      <x:c r="E31" s="106" t="n">
        <x:f>E29/E27</x:f>
        <x:v>0.010306085724164504</x:v>
      </x:c>
      <x:c r="F31" s="106" t="n">
        <x:f>F29/F27</x:f>
        <x:v>0.010155997097113564</x:v>
      </x:c>
      <x:c r="G31" s="106" t="n">
        <x:f>G29/G27</x:f>
        <x:v>0.010008094226767251</x:v>
      </x:c>
      <x:c r="H31" s="106" t="n">
        <x:f>H29/H27</x:f>
        <x:v>0.009862345281717243</x:v>
      </x:c>
      <x:c r="I31" s="106" t="n">
        <x:f>I29/I27</x:f>
        <x:v>0.009718718894119419</x:v>
      </x:c>
      <x:c r="J31" s="14"/>
      <x:c r="K31" s="14"/>
      <x:c r="L31" s="14"/>
      <x:c r="M31" s="14"/>
      <x:c r="N31" s="14"/>
    </x:row>
    <x:row r="32"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</x:row>
    <x:row r="33"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</x:row>
    <x:row r="34">
      <x:c r="C34" s="14" t="str">
        <x:v>Asset category</x:v>
      </x:c>
      <x:c r="D34" s="14" t="str">
        <x:v>Historical cost</x:v>
      </x:c>
      <x:c r="E34" s="14" t="str">
        <x:v>Current replacement value</x:v>
      </x:c>
      <x:c r="F34" s="14" t="str">
        <x:v>2024 additions</x:v>
      </x:c>
      <x:c r="G34" s="14"/>
      <x:c r="H34" s="14"/>
      <x:c r="I34" s="14"/>
      <x:c r="J34" s="14"/>
      <x:c r="K34" s="14"/>
      <x:c r="L34" s="14"/>
      <x:c r="M34" s="14"/>
      <x:c r="N34" s="14"/>
    </x:row>
    <x:row r="35">
      <x:c r="C35" s="14" t="str">
        <x:f>C10</x:f>
        <x:v>Land</x:v>
      </x:c>
      <x:c r="D35" s="14" t="n">
        <x:f>D10</x:f>
        <x:v>2821570000</x:v>
      </x:c>
      <x:c r="E35" s="14" t="n">
        <x:f>G10</x:f>
        <x:v>2821570000</x:v>
      </x:c>
      <x:c r="F35" s="14" t="n">
        <x:f>I10</x:f>
        <x:v>199637000</x:v>
      </x:c>
      <x:c r="G35" s="14"/>
      <x:c r="H35" s="14"/>
      <x:c r="I35" s="14"/>
      <x:c r="J35" s="14"/>
      <x:c r="K35" s="14"/>
      <x:c r="L35" s="14"/>
      <x:c r="M35" s="14"/>
      <x:c r="N35" s="14"/>
    </x:row>
    <x:row r="36">
      <x:c r="C36" s="14" t="str">
        <x:f>C11</x:f>
        <x:v>Buildings</x:v>
      </x:c>
      <x:c r="D36" s="14" t="n">
        <x:f>D11</x:f>
        <x:v>2557785000</x:v>
      </x:c>
      <x:c r="E36" s="14" t="n">
        <x:f>G11</x:f>
        <x:v>8200000000</x:v>
      </x:c>
      <x:c r="F36" s="14" t="n">
        <x:f>I11</x:f>
        <x:v>177109000</x:v>
      </x:c>
      <x:c r="G36" s="14"/>
      <x:c r="H36" s="14"/>
      <x:c r="I36" s="14"/>
      <x:c r="J36" s="14"/>
      <x:c r="K36" s="14"/>
      <x:c r="L36" s="14"/>
      <x:c r="M36" s="14"/>
      <x:c r="N36" s="14"/>
    </x:row>
    <x:row r="37">
      <x:c r="C37" s="14" t="str">
        <x:f>C12</x:f>
        <x:v>Fleet</x:v>
      </x:c>
      <x:c r="D37" s="14" t="n">
        <x:f>D12</x:f>
        <x:v>538805000</x:v>
      </x:c>
      <x:c r="E37" s="14" t="n">
        <x:f>G12</x:f>
        <x:v>800000000</x:v>
      </x:c>
      <x:c r="F37" s="14" t="n">
        <x:f>I12</x:f>
        <x:v>61544000</x:v>
      </x:c>
      <x:c r="G37" s="14"/>
      <x:c r="H37" s="14"/>
      <x:c r="I37" s="14"/>
      <x:c r="J37" s="14"/>
      <x:c r="K37" s="14"/>
      <x:c r="L37" s="14"/>
      <x:c r="M37" s="14"/>
      <x:c r="N37" s="14"/>
    </x:row>
    <x:row r="38">
      <x:c r="C38" s="14" t="str">
        <x:f>C13</x:f>
        <x:v>Parks and Recreation</x:v>
      </x:c>
      <x:c r="D38" s="14" t="n">
        <x:f>D13</x:f>
        <x:v>394561000</x:v>
      </x:c>
      <x:c r="E38" s="14" t="n">
        <x:f>G13</x:f>
        <x:v>1300000000</x:v>
      </x:c>
      <x:c r="F38" s="14" t="n">
        <x:f>I13</x:f>
        <x:v>20509000</x:v>
      </x:c>
      <x:c r="G38" s="14"/>
      <x:c r="H38" s="14"/>
      <x:c r="I38" s="14"/>
      <x:c r="J38" s="14"/>
      <x:c r="K38" s="14"/>
      <x:c r="L38" s="14"/>
      <x:c r="M38" s="14"/>
      <x:c r="N38" s="14"/>
    </x:row>
    <x:row r="39">
      <x:c r="C39" s="14" t="str">
        <x:f>C14</x:f>
        <x:v>Water System</x:v>
      </x:c>
      <x:c r="D39" s="14" t="n">
        <x:f>D14</x:f>
        <x:v>994749000</x:v>
      </x:c>
      <x:c r="E39" s="14" t="n">
        <x:f>G14</x:f>
        <x:v>3700000000</x:v>
      </x:c>
      <x:c r="F39" s="14" t="n">
        <x:f>I14</x:f>
        <x:v>41997000</x:v>
      </x:c>
      <x:c r="G39" s="14"/>
      <x:c r="H39" s="14"/>
      <x:c r="I39" s="14"/>
      <x:c r="J39" s="14"/>
      <x:c r="K39" s="14"/>
      <x:c r="L39" s="14"/>
      <x:c r="M39" s="14"/>
      <x:c r="N39" s="14"/>
    </x:row>
    <x:row r="40">
      <x:c r="C40" s="14" t="str">
        <x:f>C15</x:f>
        <x:v>Sewer System</x:v>
      </x:c>
      <x:c r="D40" s="14" t="n">
        <x:f>D15</x:f>
        <x:v>1959293000</x:v>
      </x:c>
      <x:c r="E40" s="14" t="n">
        <x:f>G15</x:f>
        <x:v>7300000000</x:v>
      </x:c>
      <x:c r="F40" s="14" t="n">
        <x:f>I15</x:f>
        <x:v>119763000</x:v>
      </x:c>
      <x:c r="G40" s="14"/>
      <x:c r="H40" s="14"/>
      <x:c r="I40" s="14"/>
      <x:c r="J40" s="14"/>
      <x:c r="K40" s="14"/>
      <x:c r="L40" s="14"/>
      <x:c r="M40" s="14"/>
      <x:c r="N40" s="14"/>
    </x:row>
    <x:row r="41">
      <x:c r="C41" s="14" t="str">
        <x:f>C16</x:f>
        <x:v>Drainage System</x:v>
      </x:c>
      <x:c r="D41" s="14" t="n">
        <x:f>D16</x:f>
        <x:v>0</x:v>
      </x:c>
      <x:c r="E41" s="14" t="n">
        <x:f>G16</x:f>
        <x:v>0</x:v>
      </x:c>
      <x:c r="F41" s="14" t="n">
        <x:f>I16</x:f>
        <x:v>0</x:v>
      </x:c>
      <x:c r="G41" s="14"/>
      <x:c r="H41" s="14"/>
      <x:c r="I41" s="14"/>
      <x:c r="J41" s="14"/>
      <x:c r="K41" s="14"/>
      <x:c r="L41" s="14"/>
      <x:c r="M41" s="14"/>
      <x:c r="N41" s="14"/>
    </x:row>
    <x:row r="42">
      <x:c r="C42" s="14" t="str">
        <x:f>C17</x:f>
        <x:v>Transportation System</x:v>
      </x:c>
      <x:c r="D42" s="14" t="n">
        <x:f>D17</x:f>
        <x:v>3673079000</x:v>
      </x:c>
      <x:c r="E42" s="14" t="n">
        <x:f>G17</x:f>
        <x:v>9500000000</x:v>
      </x:c>
      <x:c r="F42" s="14" t="n">
        <x:f>I17</x:f>
        <x:v>93769000</x:v>
      </x:c>
      <x:c r="G42" s="14"/>
      <x:c r="H42" s="14"/>
      <x:c r="I42" s="14"/>
      <x:c r="J42" s="14"/>
      <x:c r="K42" s="14"/>
      <x:c r="L42" s="14"/>
      <x:c r="M42" s="14"/>
      <x:c r="N42" s="14"/>
    </x:row>
    <x:row r="43">
      <x:c r="C43" s="14" t="str">
        <x:f>C18</x:f>
        <x:v>Other Engineering Systems</x:v>
      </x:c>
      <x:c r="D43" s="14" t="n">
        <x:f>D18</x:f>
        <x:v>190284000</x:v>
      </x:c>
      <x:c r="E43" s="14" t="n">
        <x:f>G18</x:f>
        <x:v>245000000</x:v>
      </x:c>
      <x:c r="F43" s="14" t="n">
        <x:f>I18</x:f>
        <x:v>14325000</x:v>
      </x:c>
      <x:c r="G43" s="14"/>
      <x:c r="H43" s="14"/>
      <x:c r="I43" s="14"/>
      <x:c r="J43" s="14"/>
      <x:c r="K43" s="14"/>
      <x:c r="L43" s="14"/>
      <x:c r="M43" s="14"/>
      <x:c r="N43" s="14"/>
    </x:row>
    <x:row r="44">
      <x:c r="C44" s="14" t="str">
        <x:f>C19</x:f>
        <x:v>Other Tangible Capital Assets</x:v>
      </x:c>
      <x:c r="D44" s="14" t="n">
        <x:f>D19</x:f>
        <x:v>445203000</x:v>
      </x:c>
      <x:c r="E44" s="14" t="n">
        <x:f>G19</x:f>
        <x:v>540000000</x:v>
      </x:c>
      <x:c r="F44" s="14" t="n">
        <x:f>I19</x:f>
        <x:v>32238000</x:v>
      </x:c>
      <x:c r="G44" s="14"/>
      <x:c r="H44" s="14"/>
      <x:c r="I44" s="14"/>
      <x:c r="J44" s="14"/>
      <x:c r="K44" s="14"/>
      <x:c r="L44" s="14"/>
      <x:c r="M44" s="14"/>
      <x:c r="N44" s="14"/>
    </x:row>
    <x:row r="45"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</x:row>
    <x:row r="46"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</x:row>
    <x:row r="47"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</x:row>
    <x:row r="48"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</x:row>
  </x:sheetData>
  <x:mergeCells>
    <x:mergeCell ref="C2:N2"/>
    <x:mergeCell ref="C3:N3"/>
    <x:mergeCell ref="C24:N24"/>
  </x:mergeCells>
  <x:pageMargins left="0.7" right="0.7" top="0.75" bottom="0.75" header="0.3" footer="0.3"/>
  <x:drawing xmlns:r="http://schemas.openxmlformats.org/officeDocument/2006/relationships" r:id="R0fc9cc3860074c42"/>
</x:worksheet>
</file>

<file path=xl/worksheets/sheet4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4" hidden="0" customWidth="1"/>
  </x:cols>
  <x:sheetData>
    <x:row r="2">
      <x:c r="C2" s="15" t="str">
        <x:v>Municipal planning assumptions</x:v>
      </x:c>
      <x:c r="D2" s="14"/>
      <x:c r="E2" s="14"/>
      <x:c r="F2" s="14"/>
      <x:c r="G2" s="14"/>
      <x:c r="H2" s="14"/>
      <x:c r="I2" s="14"/>
      <x:c r="J2" s="14"/>
    </x:row>
    <x:row r="3">
      <x:c r="C3" s="16" t="str">
        <x:v>Illustrative planning scenarios. Historical results remain unchanged.</x:v>
      </x:c>
      <x:c r="D3" s="14"/>
      <x:c r="E3" s="14"/>
      <x:c r="F3" s="14"/>
      <x:c r="G3" s="14"/>
      <x:c r="H3" s="14"/>
      <x:c r="I3" s="14"/>
      <x:c r="J3" s="14"/>
    </x:row>
    <x:row r="4">
      <x:c r="C4" s="17"/>
      <x:c r="D4" s="17"/>
      <x:c r="E4" s="17"/>
      <x:c r="F4" s="17"/>
      <x:c r="G4" s="17"/>
      <x:c r="H4" s="17"/>
      <x:c r="I4" s="17"/>
      <x:c r="J4" s="17"/>
    </x:row>
    <x:row r="5">
      <x:c r="C5" s="14"/>
      <x:c r="D5" s="14"/>
      <x:c r="E5" s="14"/>
      <x:c r="F5" s="14"/>
      <x:c r="G5" s="14"/>
      <x:c r="H5" s="14"/>
      <x:c r="I5" s="14"/>
      <x:c r="J5" s="14"/>
    </x:row>
    <x:row r="6">
      <x:c r="C6" s="14" t="str">
        <x:v>Case selector</x:v>
      </x:c>
      <x:c r="D6" s="19" t="n">
        <x:v>1</x:v>
      </x:c>
      <x:c r="E6" s="14"/>
      <x:c r="F6" s="14" t="str">
        <x:v>Selected case</x:v>
      </x:c>
      <x:c r="G6" s="20" t="str">
        <x:f>CHOOSE($D$6,"Base","Upside","Downside")</x:f>
        <x:v>Base</x:v>
      </x:c>
      <x:c r="H6" s="14"/>
      <x:c r="I6" s="14"/>
      <x:c r="J6" s="14"/>
    </x:row>
    <x:row r="7">
      <x:c r="C7" s="16" t="str">
        <x:v>Key</x:v>
      </x:c>
      <x:c r="D7" s="16" t="str">
        <x:v>1 = Base</x:v>
      </x:c>
      <x:c r="E7" s="16" t="str">
        <x:v>2 = Upside</x:v>
      </x:c>
      <x:c r="F7" s="16" t="str">
        <x:v>3 = Downside</x:v>
      </x:c>
      <x:c r="G7" s="16"/>
      <x:c r="H7" s="16"/>
      <x:c r="I7" s="16"/>
      <x:c r="J7" s="16"/>
    </x:row>
    <x:row r="8">
      <x:c r="C8" s="14"/>
      <x:c r="D8" s="14"/>
      <x:c r="E8" s="14"/>
      <x:c r="F8" s="14"/>
      <x:c r="G8" s="14"/>
      <x:c r="H8" s="14"/>
      <x:c r="I8" s="14"/>
      <x:c r="J8" s="14"/>
    </x:row>
    <x:row r="9">
      <x:c r="C9" s="6" t="str">
        <x:v>Driver</x:v>
      </x:c>
      <x:c r="D9" s="6" t="str">
        <x:v>Case</x:v>
      </x:c>
      <x:c r="E9" s="6" t="n">
        <x:v>2025</x:v>
      </x:c>
      <x:c r="F9" s="6" t="n">
        <x:v>2026</x:v>
      </x:c>
      <x:c r="G9" s="6" t="n">
        <x:v>2027</x:v>
      </x:c>
      <x:c r="H9" s="6" t="n">
        <x:v>2028</x:v>
      </x:c>
      <x:c r="I9" s="6" t="n">
        <x:v>2029</x:v>
      </x:c>
      <x:c r="J9" s="6" t="str">
        <x:v>Purpose</x:v>
      </x:c>
    </x:row>
    <x:row r="10">
      <x:c r="C10" s="26" t="str">
        <x:v>Tax revenue growth</x:v>
      </x:c>
      <x:c r="D10" s="26" t="str">
        <x:v>Active</x:v>
      </x:c>
      <x:c r="E10" s="29" t="n">
        <x:f>CHOOSE($D$6,E11,E12,E13)</x:f>
        <x:v>0.05</x:v>
      </x:c>
      <x:c r="F10" s="29" t="n">
        <x:f>CHOOSE($D$6,F11,F12,F13)</x:f>
        <x:v>0.05</x:v>
      </x:c>
      <x:c r="G10" s="29" t="n">
        <x:f>CHOOSE($D$6,G11,G12,G13)</x:f>
        <x:v>0.05</x:v>
      </x:c>
      <x:c r="H10" s="29" t="n">
        <x:f>CHOOSE($D$6,H11,H12,H13)</x:f>
        <x:v>0.05</x:v>
      </x:c>
      <x:c r="I10" s="29" t="n">
        <x:f>CHOOSE($D$6,I11,I12,I13)</x:f>
        <x:v>0.05</x:v>
      </x:c>
      <x:c r="J10" s="26" t="str">
        <x:v>Property-tax and grants-in-lieu growth</x:v>
      </x:c>
    </x:row>
    <x:row r="11">
      <x:c r="C11" s="14"/>
      <x:c r="D11" s="14" t="str">
        <x:v>Base</x:v>
      </x:c>
      <x:c r="E11" s="30" t="n">
        <x:v>0.05</x:v>
      </x:c>
      <x:c r="F11" s="30" t="n">
        <x:v>0.05</x:v>
      </x:c>
      <x:c r="G11" s="30" t="n">
        <x:v>0.05</x:v>
      </x:c>
      <x:c r="H11" s="30" t="n">
        <x:v>0.05</x:v>
      </x:c>
      <x:c r="I11" s="30" t="n">
        <x:v>0.05</x:v>
      </x:c>
      <x:c r="J11" s="14"/>
    </x:row>
    <x:row r="12">
      <x:c r="C12" s="14"/>
      <x:c r="D12" s="14" t="str">
        <x:v>Upside</x:v>
      </x:c>
      <x:c r="E12" s="30" t="n">
        <x:v>0.06</x:v>
      </x:c>
      <x:c r="F12" s="30" t="n">
        <x:v>0.06</x:v>
      </x:c>
      <x:c r="G12" s="30" t="n">
        <x:v>0.06</x:v>
      </x:c>
      <x:c r="H12" s="30" t="n">
        <x:v>0.06</x:v>
      </x:c>
      <x:c r="I12" s="30" t="n">
        <x:v>0.06</x:v>
      </x:c>
      <x:c r="J12" s="14"/>
    </x:row>
    <x:row r="13">
      <x:c r="C13" s="31"/>
      <x:c r="D13" s="31" t="str">
        <x:v>Downside</x:v>
      </x:c>
      <x:c r="E13" s="32" t="n">
        <x:v>0.04</x:v>
      </x:c>
      <x:c r="F13" s="32" t="n">
        <x:v>0.04</x:v>
      </x:c>
      <x:c r="G13" s="32" t="n">
        <x:v>0.04</x:v>
      </x:c>
      <x:c r="H13" s="32" t="n">
        <x:v>0.04</x:v>
      </x:c>
      <x:c r="I13" s="32" t="n">
        <x:v>0.04</x:v>
      </x:c>
      <x:c r="J13" s="31"/>
    </x:row>
    <x:row r="14">
      <x:c r="C14" s="26" t="str">
        <x:v>Service revenue growth</x:v>
      </x:c>
      <x:c r="D14" s="26" t="str">
        <x:v>Active</x:v>
      </x:c>
      <x:c r="E14" s="29" t="n">
        <x:f>CHOOSE($D$6,E15,E16,E17)</x:f>
        <x:v>0.035</x:v>
      </x:c>
      <x:c r="F14" s="29" t="n">
        <x:f>CHOOSE($D$6,F15,F16,F17)</x:f>
        <x:v>0.035</x:v>
      </x:c>
      <x:c r="G14" s="29" t="n">
        <x:f>CHOOSE($D$6,G15,G16,G17)</x:f>
        <x:v>0.035</x:v>
      </x:c>
      <x:c r="H14" s="29" t="n">
        <x:f>CHOOSE($D$6,H15,H16,H17)</x:f>
        <x:v>0.035</x:v>
      </x:c>
      <x:c r="I14" s="29" t="n">
        <x:f>CHOOSE($D$6,I15,I16,I17)</x:f>
        <x:v>0.035</x:v>
      </x:c>
      <x:c r="J14" s="26" t="str">
        <x:v>User fees and sale-of-services growth</x:v>
      </x:c>
    </x:row>
    <x:row r="15">
      <x:c r="C15" s="14"/>
      <x:c r="D15" s="14" t="str">
        <x:v>Base</x:v>
      </x:c>
      <x:c r="E15" s="30" t="n">
        <x:v>0.035</x:v>
      </x:c>
      <x:c r="F15" s="30" t="n">
        <x:v>0.035</x:v>
      </x:c>
      <x:c r="G15" s="30" t="n">
        <x:v>0.035</x:v>
      </x:c>
      <x:c r="H15" s="30" t="n">
        <x:v>0.035</x:v>
      </x:c>
      <x:c r="I15" s="30" t="n">
        <x:v>0.035</x:v>
      </x:c>
      <x:c r="J15" s="14"/>
    </x:row>
    <x:row r="16">
      <x:c r="C16" s="14"/>
      <x:c r="D16" s="14" t="str">
        <x:v>Upside</x:v>
      </x:c>
      <x:c r="E16" s="30" t="n">
        <x:v>0.045</x:v>
      </x:c>
      <x:c r="F16" s="30" t="n">
        <x:v>0.045</x:v>
      </x:c>
      <x:c r="G16" s="30" t="n">
        <x:v>0.045</x:v>
      </x:c>
      <x:c r="H16" s="30" t="n">
        <x:v>0.045</x:v>
      </x:c>
      <x:c r="I16" s="30" t="n">
        <x:v>0.045</x:v>
      </x:c>
      <x:c r="J16" s="14"/>
    </x:row>
    <x:row r="17">
      <x:c r="C17" s="31"/>
      <x:c r="D17" s="31" t="str">
        <x:v>Downside</x:v>
      </x:c>
      <x:c r="E17" s="32" t="n">
        <x:v>0.02</x:v>
      </x:c>
      <x:c r="F17" s="32" t="n">
        <x:v>0.02</x:v>
      </x:c>
      <x:c r="G17" s="32" t="n">
        <x:v>0.02</x:v>
      </x:c>
      <x:c r="H17" s="32" t="n">
        <x:v>0.02</x:v>
      </x:c>
      <x:c r="I17" s="32" t="n">
        <x:v>0.02</x:v>
      </x:c>
      <x:c r="J17" s="31"/>
    </x:row>
    <x:row r="18">
      <x:c r="C18" s="26" t="str">
        <x:v>Government transfer growth</x:v>
      </x:c>
      <x:c r="D18" s="26" t="str">
        <x:v>Active</x:v>
      </x:c>
      <x:c r="E18" s="29" t="n">
        <x:f>CHOOSE($D$6,E19,E20,E21)</x:f>
        <x:v>0.02</x:v>
      </x:c>
      <x:c r="F18" s="29" t="n">
        <x:f>CHOOSE($D$6,F19,F20,F21)</x:f>
        <x:v>0.02</x:v>
      </x:c>
      <x:c r="G18" s="29" t="n">
        <x:f>CHOOSE($D$6,G19,G20,G21)</x:f>
        <x:v>0.02</x:v>
      </x:c>
      <x:c r="H18" s="29" t="n">
        <x:f>CHOOSE($D$6,H19,H20,H21)</x:f>
        <x:v>0.02</x:v>
      </x:c>
      <x:c r="I18" s="29" t="n">
        <x:f>CHOOSE($D$6,I19,I20,I21)</x:f>
        <x:v>0.02</x:v>
      </x:c>
      <x:c r="J18" s="26" t="str">
        <x:v>Federal, provincial and regional transfers</x:v>
      </x:c>
    </x:row>
    <x:row r="19">
      <x:c r="C19" s="14"/>
      <x:c r="D19" s="14" t="str">
        <x:v>Base</x:v>
      </x:c>
      <x:c r="E19" s="30" t="n">
        <x:v>0.02</x:v>
      </x:c>
      <x:c r="F19" s="30" t="n">
        <x:v>0.02</x:v>
      </x:c>
      <x:c r="G19" s="30" t="n">
        <x:v>0.02</x:v>
      </x:c>
      <x:c r="H19" s="30" t="n">
        <x:v>0.02</x:v>
      </x:c>
      <x:c r="I19" s="30" t="n">
        <x:v>0.02</x:v>
      </x:c>
      <x:c r="J19" s="14"/>
    </x:row>
    <x:row r="20">
      <x:c r="C20" s="14"/>
      <x:c r="D20" s="14" t="str">
        <x:v>Upside</x:v>
      </x:c>
      <x:c r="E20" s="30" t="n">
        <x:v>0.04</x:v>
      </x:c>
      <x:c r="F20" s="30" t="n">
        <x:v>0.04</x:v>
      </x:c>
      <x:c r="G20" s="30" t="n">
        <x:v>0.04</x:v>
      </x:c>
      <x:c r="H20" s="30" t="n">
        <x:v>0.04</x:v>
      </x:c>
      <x:c r="I20" s="30" t="n">
        <x:v>0.04</x:v>
      </x:c>
      <x:c r="J20" s="14"/>
    </x:row>
    <x:row r="21">
      <x:c r="C21" s="31"/>
      <x:c r="D21" s="31" t="str">
        <x:v>Downside</x:v>
      </x:c>
      <x:c r="E21" s="32" t="n">
        <x:v>-0.02</x:v>
      </x:c>
      <x:c r="F21" s="32" t="n">
        <x:v>-0.02</x:v>
      </x:c>
      <x:c r="G21" s="32" t="n">
        <x:v>-0.02</x:v>
      </x:c>
      <x:c r="H21" s="32" t="n">
        <x:v>-0.02</x:v>
      </x:c>
      <x:c r="I21" s="32" t="n">
        <x:v>-0.02</x:v>
      </x:c>
      <x:c r="J21" s="31"/>
    </x:row>
    <x:row r="22">
      <x:c r="C22" s="26" t="str">
        <x:v>Investment and other revenue growth</x:v>
      </x:c>
      <x:c r="D22" s="26" t="str">
        <x:v>Active</x:v>
      </x:c>
      <x:c r="E22" s="29" t="n">
        <x:f>CHOOSE($D$6,E23,E24,E25)</x:f>
        <x:v>0.02</x:v>
      </x:c>
      <x:c r="F22" s="29" t="n">
        <x:f>CHOOSE($D$6,F23,F24,F25)</x:f>
        <x:v>0.02</x:v>
      </x:c>
      <x:c r="G22" s="29" t="n">
        <x:f>CHOOSE($D$6,G23,G24,G25)</x:f>
        <x:v>0.02</x:v>
      </x:c>
      <x:c r="H22" s="29" t="n">
        <x:f>CHOOSE($D$6,H23,H24,H25)</x:f>
        <x:v>0.02</x:v>
      </x:c>
      <x:c r="I22" s="29" t="n">
        <x:f>CHOOSE($D$6,I23,I24,I25)</x:f>
        <x:v>0.02</x:v>
      </x:c>
      <x:c r="J22" s="26" t="str">
        <x:v>Investment, developer and other revenue</x:v>
      </x:c>
    </x:row>
    <x:row r="23">
      <x:c r="C23" s="14"/>
      <x:c r="D23" s="14" t="str">
        <x:v>Base</x:v>
      </x:c>
      <x:c r="E23" s="30" t="n">
        <x:v>0.02</x:v>
      </x:c>
      <x:c r="F23" s="30" t="n">
        <x:v>0.02</x:v>
      </x:c>
      <x:c r="G23" s="30" t="n">
        <x:v>0.02</x:v>
      </x:c>
      <x:c r="H23" s="30" t="n">
        <x:v>0.02</x:v>
      </x:c>
      <x:c r="I23" s="30" t="n">
        <x:v>0.02</x:v>
      </x:c>
      <x:c r="J23" s="14"/>
    </x:row>
    <x:row r="24">
      <x:c r="C24" s="14"/>
      <x:c r="D24" s="14" t="str">
        <x:v>Upside</x:v>
      </x:c>
      <x:c r="E24" s="30" t="n">
        <x:v>0.035</x:v>
      </x:c>
      <x:c r="F24" s="30" t="n">
        <x:v>0.035</x:v>
      </x:c>
      <x:c r="G24" s="30" t="n">
        <x:v>0.035</x:v>
      </x:c>
      <x:c r="H24" s="30" t="n">
        <x:v>0.035</x:v>
      </x:c>
      <x:c r="I24" s="30" t="n">
        <x:v>0.035</x:v>
      </x:c>
      <x:c r="J24" s="14"/>
    </x:row>
    <x:row r="25">
      <x:c r="C25" s="31"/>
      <x:c r="D25" s="31" t="str">
        <x:v>Downside</x:v>
      </x:c>
      <x:c r="E25" s="32" t="n">
        <x:v>-0.03</x:v>
      </x:c>
      <x:c r="F25" s="32" t="n">
        <x:v>-0.03</x:v>
      </x:c>
      <x:c r="G25" s="32" t="n">
        <x:v>-0.03</x:v>
      </x:c>
      <x:c r="H25" s="32" t="n">
        <x:v>-0.03</x:v>
      </x:c>
      <x:c r="I25" s="32" t="n">
        <x:v>-0.03</x:v>
      </x:c>
      <x:c r="J25" s="31"/>
    </x:row>
    <x:row r="26">
      <x:c r="C26" s="26" t="str">
        <x:v>Cash operating expense growth</x:v>
      </x:c>
      <x:c r="D26" s="26" t="str">
        <x:v>Active</x:v>
      </x:c>
      <x:c r="E26" s="29" t="n">
        <x:f>CHOOSE($D$6,E27,E28,E29)</x:f>
        <x:v>0.045</x:v>
      </x:c>
      <x:c r="F26" s="29" t="n">
        <x:f>CHOOSE($D$6,F27,F28,F29)</x:f>
        <x:v>0.045</x:v>
      </x:c>
      <x:c r="G26" s="29" t="n">
        <x:f>CHOOSE($D$6,G27,G28,G29)</x:f>
        <x:v>0.045</x:v>
      </x:c>
      <x:c r="H26" s="29" t="n">
        <x:f>CHOOSE($D$6,H27,H28,H29)</x:f>
        <x:v>0.045</x:v>
      </x:c>
      <x:c r="I26" s="29" t="n">
        <x:f>CHOOSE($D$6,I27,I28,I29)</x:f>
        <x:v>0.045</x:v>
      </x:c>
      <x:c r="J26" s="26" t="str">
        <x:v>Expense before amortization and debt interest</x:v>
      </x:c>
    </x:row>
    <x:row r="27">
      <x:c r="C27" s="14"/>
      <x:c r="D27" s="14" t="str">
        <x:v>Base</x:v>
      </x:c>
      <x:c r="E27" s="30" t="n">
        <x:v>0.045</x:v>
      </x:c>
      <x:c r="F27" s="30" t="n">
        <x:v>0.045</x:v>
      </x:c>
      <x:c r="G27" s="30" t="n">
        <x:v>0.045</x:v>
      </x:c>
      <x:c r="H27" s="30" t="n">
        <x:v>0.045</x:v>
      </x:c>
      <x:c r="I27" s="30" t="n">
        <x:v>0.045</x:v>
      </x:c>
      <x:c r="J27" s="14"/>
    </x:row>
    <x:row r="28">
      <x:c r="C28" s="14"/>
      <x:c r="D28" s="14" t="str">
        <x:v>Upside</x:v>
      </x:c>
      <x:c r="E28" s="30" t="n">
        <x:v>0.038</x:v>
      </x:c>
      <x:c r="F28" s="30" t="n">
        <x:v>0.038</x:v>
      </x:c>
      <x:c r="G28" s="30" t="n">
        <x:v>0.038</x:v>
      </x:c>
      <x:c r="H28" s="30" t="n">
        <x:v>0.038</x:v>
      </x:c>
      <x:c r="I28" s="30" t="n">
        <x:v>0.038</x:v>
      </x:c>
      <x:c r="J28" s="14"/>
    </x:row>
    <x:row r="29">
      <x:c r="C29" s="31"/>
      <x:c r="D29" s="31" t="str">
        <x:v>Downside</x:v>
      </x:c>
      <x:c r="E29" s="32" t="n">
        <x:v>0.055</x:v>
      </x:c>
      <x:c r="F29" s="32" t="n">
        <x:v>0.055</x:v>
      </x:c>
      <x:c r="G29" s="32" t="n">
        <x:v>0.055</x:v>
      </x:c>
      <x:c r="H29" s="32" t="n">
        <x:v>0.055</x:v>
      </x:c>
      <x:c r="I29" s="32" t="n">
        <x:v>0.055</x:v>
      </x:c>
      <x:c r="J29" s="31"/>
    </x:row>
    <x:row r="30">
      <x:c r="C30" s="26" t="str">
        <x:v>Capital additions / opening TCA</x:v>
      </x:c>
      <x:c r="D30" s="26" t="str">
        <x:v>Active</x:v>
      </x:c>
      <x:c r="E30" s="29" t="n">
        <x:f>CHOOSE($D$6,E31,E32,E33)</x:f>
        <x:v>0.04</x:v>
      </x:c>
      <x:c r="F30" s="29" t="n">
        <x:f>CHOOSE($D$6,F31,F32,F33)</x:f>
        <x:v>0.04</x:v>
      </x:c>
      <x:c r="G30" s="29" t="n">
        <x:f>CHOOSE($D$6,G31,G32,G33)</x:f>
        <x:v>0.04</x:v>
      </x:c>
      <x:c r="H30" s="29" t="n">
        <x:f>CHOOSE($D$6,H31,H32,H33)</x:f>
        <x:v>0.04</x:v>
      </x:c>
      <x:c r="I30" s="29" t="n">
        <x:f>CHOOSE($D$6,I31,I32,I33)</x:f>
        <x:v>0.04</x:v>
      </x:c>
      <x:c r="J30" s="26" t="str">
        <x:v>Capital program as a share of opening asset cost</x:v>
      </x:c>
    </x:row>
    <x:row r="31">
      <x:c r="C31" s="14"/>
      <x:c r="D31" s="14" t="str">
        <x:v>Base</x:v>
      </x:c>
      <x:c r="E31" s="30" t="n">
        <x:v>0.04</x:v>
      </x:c>
      <x:c r="F31" s="30" t="n">
        <x:v>0.04</x:v>
      </x:c>
      <x:c r="G31" s="30" t="n">
        <x:v>0.04</x:v>
      </x:c>
      <x:c r="H31" s="30" t="n">
        <x:v>0.04</x:v>
      </x:c>
      <x:c r="I31" s="30" t="n">
        <x:v>0.04</x:v>
      </x:c>
      <x:c r="J31" s="14"/>
    </x:row>
    <x:row r="32">
      <x:c r="C32" s="14"/>
      <x:c r="D32" s="14" t="str">
        <x:v>Upside</x:v>
      </x:c>
      <x:c r="E32" s="30" t="n">
        <x:v>0.05</x:v>
      </x:c>
      <x:c r="F32" s="30" t="n">
        <x:v>0.05</x:v>
      </x:c>
      <x:c r="G32" s="30" t="n">
        <x:v>0.05</x:v>
      </x:c>
      <x:c r="H32" s="30" t="n">
        <x:v>0.05</x:v>
      </x:c>
      <x:c r="I32" s="30" t="n">
        <x:v>0.05</x:v>
      </x:c>
      <x:c r="J32" s="14"/>
    </x:row>
    <x:row r="33">
      <x:c r="C33" s="31"/>
      <x:c r="D33" s="31" t="str">
        <x:v>Downside</x:v>
      </x:c>
      <x:c r="E33" s="32" t="n">
        <x:v>0.03</x:v>
      </x:c>
      <x:c r="F33" s="32" t="n">
        <x:v>0.03</x:v>
      </x:c>
      <x:c r="G33" s="32" t="n">
        <x:v>0.03</x:v>
      </x:c>
      <x:c r="H33" s="32" t="n">
        <x:v>0.03</x:v>
      </x:c>
      <x:c r="I33" s="32" t="n">
        <x:v>0.03</x:v>
      </x:c>
      <x:c r="J33" s="31"/>
    </x:row>
    <x:row r="34">
      <x:c r="C34" s="26" t="str">
        <x:v>Debt funding / capital additions</x:v>
      </x:c>
      <x:c r="D34" s="26" t="str">
        <x:v>Active</x:v>
      </x:c>
      <x:c r="E34" s="29" t="n">
        <x:f>CHOOSE($D$6,E35,E36,E37)</x:f>
        <x:v>0.15</x:v>
      </x:c>
      <x:c r="F34" s="29" t="n">
        <x:f>CHOOSE($D$6,F35,F36,F37)</x:f>
        <x:v>0.15</x:v>
      </x:c>
      <x:c r="G34" s="29" t="n">
        <x:f>CHOOSE($D$6,G35,G36,G37)</x:f>
        <x:v>0.15</x:v>
      </x:c>
      <x:c r="H34" s="29" t="n">
        <x:f>CHOOSE($D$6,H35,H36,H37)</x:f>
        <x:v>0.15</x:v>
      </x:c>
      <x:c r="I34" s="29" t="n">
        <x:f>CHOOSE($D$6,I35,I36,I37)</x:f>
        <x:v>0.15</x:v>
      </x:c>
      <x:c r="J34" s="26" t="str">
        <x:v>Share of capital additions funded by new debt</x:v>
      </x:c>
    </x:row>
    <x:row r="35">
      <x:c r="C35" s="14"/>
      <x:c r="D35" s="14" t="str">
        <x:v>Base</x:v>
      </x:c>
      <x:c r="E35" s="30" t="n">
        <x:v>0.15</x:v>
      </x:c>
      <x:c r="F35" s="30" t="n">
        <x:v>0.15</x:v>
      </x:c>
      <x:c r="G35" s="30" t="n">
        <x:v>0.15</x:v>
      </x:c>
      <x:c r="H35" s="30" t="n">
        <x:v>0.15</x:v>
      </x:c>
      <x:c r="I35" s="30" t="n">
        <x:v>0.15</x:v>
      </x:c>
      <x:c r="J35" s="14"/>
    </x:row>
    <x:row r="36">
      <x:c r="C36" s="14"/>
      <x:c r="D36" s="14" t="str">
        <x:v>Upside</x:v>
      </x:c>
      <x:c r="E36" s="30" t="n">
        <x:v>0.1</x:v>
      </x:c>
      <x:c r="F36" s="30" t="n">
        <x:v>0.1</x:v>
      </x:c>
      <x:c r="G36" s="30" t="n">
        <x:v>0.1</x:v>
      </x:c>
      <x:c r="H36" s="30" t="n">
        <x:v>0.1</x:v>
      </x:c>
      <x:c r="I36" s="30" t="n">
        <x:v>0.1</x:v>
      </x:c>
      <x:c r="J36" s="14"/>
    </x:row>
    <x:row r="37">
      <x:c r="C37" s="31"/>
      <x:c r="D37" s="31" t="str">
        <x:v>Downside</x:v>
      </x:c>
      <x:c r="E37" s="32" t="n">
        <x:v>0.25</x:v>
      </x:c>
      <x:c r="F37" s="32" t="n">
        <x:v>0.25</x:v>
      </x:c>
      <x:c r="G37" s="32" t="n">
        <x:v>0.25</x:v>
      </x:c>
      <x:c r="H37" s="32" t="n">
        <x:v>0.25</x:v>
      </x:c>
      <x:c r="I37" s="32" t="n">
        <x:v>0.25</x:v>
      </x:c>
      <x:c r="J37" s="31"/>
    </x:row>
    <x:row r="38">
      <x:c r="C38" s="26" t="str">
        <x:v>Reserve funding / capital additions</x:v>
      </x:c>
      <x:c r="D38" s="26" t="str">
        <x:v>Active</x:v>
      </x:c>
      <x:c r="E38" s="29" t="n">
        <x:f>CHOOSE($D$6,E39,E40,E41)</x:f>
        <x:v>0.3</x:v>
      </x:c>
      <x:c r="F38" s="29" t="n">
        <x:f>CHOOSE($D$6,F39,F40,F41)</x:f>
        <x:v>0.3</x:v>
      </x:c>
      <x:c r="G38" s="29" t="n">
        <x:f>CHOOSE($D$6,G39,G40,G41)</x:f>
        <x:v>0.3</x:v>
      </x:c>
      <x:c r="H38" s="29" t="n">
        <x:f>CHOOSE($D$6,H39,H40,H41)</x:f>
        <x:v>0.3</x:v>
      </x:c>
      <x:c r="I38" s="29" t="n">
        <x:f>CHOOSE($D$6,I39,I40,I41)</x:f>
        <x:v>0.3</x:v>
      </x:c>
      <x:c r="J38" s="26" t="str">
        <x:v>Share of capital additions funded from reserves</x:v>
      </x:c>
    </x:row>
    <x:row r="39">
      <x:c r="C39" s="14"/>
      <x:c r="D39" s="14" t="str">
        <x:v>Base</x:v>
      </x:c>
      <x:c r="E39" s="30" t="n">
        <x:v>0.3</x:v>
      </x:c>
      <x:c r="F39" s="30" t="n">
        <x:v>0.3</x:v>
      </x:c>
      <x:c r="G39" s="30" t="n">
        <x:v>0.3</x:v>
      </x:c>
      <x:c r="H39" s="30" t="n">
        <x:v>0.3</x:v>
      </x:c>
      <x:c r="I39" s="30" t="n">
        <x:v>0.3</x:v>
      </x:c>
      <x:c r="J39" s="14"/>
    </x:row>
    <x:row r="40">
      <x:c r="C40" s="14"/>
      <x:c r="D40" s="14" t="str">
        <x:v>Upside</x:v>
      </x:c>
      <x:c r="E40" s="30" t="n">
        <x:v>0.35</x:v>
      </x:c>
      <x:c r="F40" s="30" t="n">
        <x:v>0.35</x:v>
      </x:c>
      <x:c r="G40" s="30" t="n">
        <x:v>0.35</x:v>
      </x:c>
      <x:c r="H40" s="30" t="n">
        <x:v>0.35</x:v>
      </x:c>
      <x:c r="I40" s="30" t="n">
        <x:v>0.35</x:v>
      </x:c>
      <x:c r="J40" s="14"/>
    </x:row>
    <x:row r="41">
      <x:c r="C41" s="31"/>
      <x:c r="D41" s="31" t="str">
        <x:v>Downside</x:v>
      </x:c>
      <x:c r="E41" s="32" t="n">
        <x:v>0.2</x:v>
      </x:c>
      <x:c r="F41" s="32" t="n">
        <x:v>0.2</x:v>
      </x:c>
      <x:c r="G41" s="32" t="n">
        <x:v>0.2</x:v>
      </x:c>
      <x:c r="H41" s="32" t="n">
        <x:v>0.2</x:v>
      </x:c>
      <x:c r="I41" s="32" t="n">
        <x:v>0.2</x:v>
      </x:c>
      <x:c r="J41" s="31"/>
    </x:row>
    <x:row r="42">
      <x:c r="C42" s="26" t="str">
        <x:v>Surplus transferred to reserves</x:v>
      </x:c>
      <x:c r="D42" s="26" t="str">
        <x:v>Active</x:v>
      </x:c>
      <x:c r="E42" s="29" t="n">
        <x:f>CHOOSE($D$6,E43,E44,E45)</x:f>
        <x:v>0.5</x:v>
      </x:c>
      <x:c r="F42" s="29" t="n">
        <x:f>CHOOSE($D$6,F43,F44,F45)</x:f>
        <x:v>0.5</x:v>
      </x:c>
      <x:c r="G42" s="29" t="n">
        <x:f>CHOOSE($D$6,G43,G44,G45)</x:f>
        <x:v>0.5</x:v>
      </x:c>
      <x:c r="H42" s="29" t="n">
        <x:f>CHOOSE($D$6,H43,H44,H45)</x:f>
        <x:v>0.5</x:v>
      </x:c>
      <x:c r="I42" s="29" t="n">
        <x:f>CHOOSE($D$6,I43,I44,I45)</x:f>
        <x:v>0.5</x:v>
      </x:c>
      <x:c r="J42" s="26" t="str">
        <x:v>Share of positive annual surplus transferred to reserves</x:v>
      </x:c>
    </x:row>
    <x:row r="43">
      <x:c r="C43" s="14"/>
      <x:c r="D43" s="14" t="str">
        <x:v>Base</x:v>
      </x:c>
      <x:c r="E43" s="30" t="n">
        <x:v>0.5</x:v>
      </x:c>
      <x:c r="F43" s="30" t="n">
        <x:v>0.5</x:v>
      </x:c>
      <x:c r="G43" s="30" t="n">
        <x:v>0.5</x:v>
      </x:c>
      <x:c r="H43" s="30" t="n">
        <x:v>0.5</x:v>
      </x:c>
      <x:c r="I43" s="30" t="n">
        <x:v>0.5</x:v>
      </x:c>
      <x:c r="J43" s="14"/>
    </x:row>
    <x:row r="44">
      <x:c r="C44" s="14"/>
      <x:c r="D44" s="14" t="str">
        <x:v>Upside</x:v>
      </x:c>
      <x:c r="E44" s="30" t="n">
        <x:v>0.6</x:v>
      </x:c>
      <x:c r="F44" s="30" t="n">
        <x:v>0.6</x:v>
      </x:c>
      <x:c r="G44" s="30" t="n">
        <x:v>0.6</x:v>
      </x:c>
      <x:c r="H44" s="30" t="n">
        <x:v>0.6</x:v>
      </x:c>
      <x:c r="I44" s="30" t="n">
        <x:v>0.6</x:v>
      </x:c>
      <x:c r="J44" s="14"/>
    </x:row>
    <x:row r="45">
      <x:c r="C45" s="31"/>
      <x:c r="D45" s="31" t="str">
        <x:v>Downside</x:v>
      </x:c>
      <x:c r="E45" s="32" t="n">
        <x:v>0.35</x:v>
      </x:c>
      <x:c r="F45" s="32" t="n">
        <x:v>0.35</x:v>
      </x:c>
      <x:c r="G45" s="32" t="n">
        <x:v>0.35</x:v>
      </x:c>
      <x:c r="H45" s="32" t="n">
        <x:v>0.35</x:v>
      </x:c>
      <x:c r="I45" s="32" t="n">
        <x:v>0.35</x:v>
      </x:c>
      <x:c r="J45" s="31"/>
    </x:row>
    <x:row r="46">
      <x:c r="C46" s="26" t="str">
        <x:v>Debt repayment / opening debt</x:v>
      </x:c>
      <x:c r="D46" s="26" t="str">
        <x:v>Active</x:v>
      </x:c>
      <x:c r="E46" s="29" t="n">
        <x:f>CHOOSE($D$6,E47,E48,E49)</x:f>
        <x:v>0.08</x:v>
      </x:c>
      <x:c r="F46" s="29" t="n">
        <x:f>CHOOSE($D$6,F47,F48,F49)</x:f>
        <x:v>0.08</x:v>
      </x:c>
      <x:c r="G46" s="29" t="n">
        <x:f>CHOOSE($D$6,G47,G48,G49)</x:f>
        <x:v>0.08</x:v>
      </x:c>
      <x:c r="H46" s="29" t="n">
        <x:f>CHOOSE($D$6,H47,H48,H49)</x:f>
        <x:v>0.08</x:v>
      </x:c>
      <x:c r="I46" s="29" t="n">
        <x:f>CHOOSE($D$6,I47,I48,I49)</x:f>
        <x:v>0.08</x:v>
      </x:c>
      <x:c r="J46" s="26" t="str">
        <x:v>Scheduled annual debt reduction</x:v>
      </x:c>
    </x:row>
    <x:row r="47">
      <x:c r="C47" s="14"/>
      <x:c r="D47" s="14" t="str">
        <x:v>Base</x:v>
      </x:c>
      <x:c r="E47" s="30" t="n">
        <x:v>0.08</x:v>
      </x:c>
      <x:c r="F47" s="30" t="n">
        <x:v>0.08</x:v>
      </x:c>
      <x:c r="G47" s="30" t="n">
        <x:v>0.08</x:v>
      </x:c>
      <x:c r="H47" s="30" t="n">
        <x:v>0.08</x:v>
      </x:c>
      <x:c r="I47" s="30" t="n">
        <x:v>0.08</x:v>
      </x:c>
      <x:c r="J47" s="14"/>
    </x:row>
    <x:row r="48">
      <x:c r="C48" s="14"/>
      <x:c r="D48" s="14" t="str">
        <x:v>Upside</x:v>
      </x:c>
      <x:c r="E48" s="30" t="n">
        <x:v>0.1</x:v>
      </x:c>
      <x:c r="F48" s="30" t="n">
        <x:v>0.1</x:v>
      </x:c>
      <x:c r="G48" s="30" t="n">
        <x:v>0.1</x:v>
      </x:c>
      <x:c r="H48" s="30" t="n">
        <x:v>0.1</x:v>
      </x:c>
      <x:c r="I48" s="30" t="n">
        <x:v>0.1</x:v>
      </x:c>
      <x:c r="J48" s="14"/>
    </x:row>
    <x:row r="49">
      <x:c r="C49" s="31"/>
      <x:c r="D49" s="31" t="str">
        <x:v>Downside</x:v>
      </x:c>
      <x:c r="E49" s="32" t="n">
        <x:v>0.06</x:v>
      </x:c>
      <x:c r="F49" s="32" t="n">
        <x:v>0.06</x:v>
      </x:c>
      <x:c r="G49" s="32" t="n">
        <x:v>0.06</x:v>
      </x:c>
      <x:c r="H49" s="32" t="n">
        <x:v>0.06</x:v>
      </x:c>
      <x:c r="I49" s="32" t="n">
        <x:v>0.06</x:v>
      </x:c>
      <x:c r="J49" s="31"/>
    </x:row>
    <x:row r="50">
      <x:c r="C50" s="26" t="str">
        <x:v>Interest rate</x:v>
      </x:c>
      <x:c r="D50" s="26" t="str">
        <x:v>Active</x:v>
      </x:c>
      <x:c r="E50" s="29" t="n">
        <x:f>CHOOSE($D$6,E51,E52,E53)</x:f>
        <x:v>0.0425</x:v>
      </x:c>
      <x:c r="F50" s="29" t="n">
        <x:f>CHOOSE($D$6,F51,F52,F53)</x:f>
        <x:v>0.0425</x:v>
      </x:c>
      <x:c r="G50" s="29" t="n">
        <x:f>CHOOSE($D$6,G51,G52,G53)</x:f>
        <x:v>0.0425</x:v>
      </x:c>
      <x:c r="H50" s="29" t="n">
        <x:f>CHOOSE($D$6,H51,H52,H53)</x:f>
        <x:v>0.0425</x:v>
      </x:c>
      <x:c r="I50" s="29" t="n">
        <x:f>CHOOSE($D$6,I51,I52,I53)</x:f>
        <x:v>0.0425</x:v>
      </x:c>
      <x:c r="J50" s="26" t="str">
        <x:v>Applied to average debt</x:v>
      </x:c>
    </x:row>
    <x:row r="51">
      <x:c r="C51" s="14"/>
      <x:c r="D51" s="14" t="str">
        <x:v>Base</x:v>
      </x:c>
      <x:c r="E51" s="30" t="n">
        <x:v>0.0425</x:v>
      </x:c>
      <x:c r="F51" s="30" t="n">
        <x:v>0.0425</x:v>
      </x:c>
      <x:c r="G51" s="30" t="n">
        <x:v>0.0425</x:v>
      </x:c>
      <x:c r="H51" s="30" t="n">
        <x:v>0.0425</x:v>
      </x:c>
      <x:c r="I51" s="30" t="n">
        <x:v>0.0425</x:v>
      </x:c>
      <x:c r="J51" s="14"/>
    </x:row>
    <x:row r="52">
      <x:c r="C52" s="14"/>
      <x:c r="D52" s="14" t="str">
        <x:v>Upside</x:v>
      </x:c>
      <x:c r="E52" s="30" t="n">
        <x:v>0.0375</x:v>
      </x:c>
      <x:c r="F52" s="30" t="n">
        <x:v>0.0375</x:v>
      </x:c>
      <x:c r="G52" s="30" t="n">
        <x:v>0.0375</x:v>
      </x:c>
      <x:c r="H52" s="30" t="n">
        <x:v>0.0375</x:v>
      </x:c>
      <x:c r="I52" s="30" t="n">
        <x:v>0.0375</x:v>
      </x:c>
      <x:c r="J52" s="14"/>
    </x:row>
    <x:row r="53">
      <x:c r="C53" s="31"/>
      <x:c r="D53" s="31" t="str">
        <x:v>Downside</x:v>
      </x:c>
      <x:c r="E53" s="32" t="n">
        <x:v>0.0525</x:v>
      </x:c>
      <x:c r="F53" s="32" t="n">
        <x:v>0.0525</x:v>
      </x:c>
      <x:c r="G53" s="32" t="n">
        <x:v>0.0525</x:v>
      </x:c>
      <x:c r="H53" s="32" t="n">
        <x:v>0.0525</x:v>
      </x:c>
      <x:c r="I53" s="32" t="n">
        <x:v>0.0525</x:v>
      </x:c>
      <x:c r="J53" s="31"/>
    </x:row>
    <x:row r="54">
      <x:c r="C54" s="26" t="str">
        <x:v>Amortization / opening TCA</x:v>
      </x:c>
      <x:c r="D54" s="26" t="str">
        <x:v>Active</x:v>
      </x:c>
      <x:c r="E54" s="29" t="n">
        <x:f>CHOOSE($D$6,E55,E56,E57)</x:f>
        <x:v>0.025</x:v>
      </x:c>
      <x:c r="F54" s="29" t="n">
        <x:f>CHOOSE($D$6,F55,F56,F57)</x:f>
        <x:v>0.025</x:v>
      </x:c>
      <x:c r="G54" s="29" t="n">
        <x:f>CHOOSE($D$6,G55,G56,G57)</x:f>
        <x:v>0.025</x:v>
      </x:c>
      <x:c r="H54" s="29" t="n">
        <x:f>CHOOSE($D$6,H55,H56,H57)</x:f>
        <x:v>0.025</x:v>
      </x:c>
      <x:c r="I54" s="29" t="n">
        <x:f>CHOOSE($D$6,I55,I56,I57)</x:f>
        <x:v>0.025</x:v>
      </x:c>
      <x:c r="J54" s="26" t="str">
        <x:v>Book amortization assumption</x:v>
      </x:c>
    </x:row>
    <x:row r="55">
      <x:c r="C55" s="14"/>
      <x:c r="D55" s="14" t="str">
        <x:v>Base</x:v>
      </x:c>
      <x:c r="E55" s="30" t="n">
        <x:v>0.025</x:v>
      </x:c>
      <x:c r="F55" s="30" t="n">
        <x:v>0.025</x:v>
      </x:c>
      <x:c r="G55" s="30" t="n">
        <x:v>0.025</x:v>
      </x:c>
      <x:c r="H55" s="30" t="n">
        <x:v>0.025</x:v>
      </x:c>
      <x:c r="I55" s="30" t="n">
        <x:v>0.025</x:v>
      </x:c>
      <x:c r="J55" s="14"/>
    </x:row>
    <x:row r="56">
      <x:c r="C56" s="14"/>
      <x:c r="D56" s="14" t="str">
        <x:v>Upside</x:v>
      </x:c>
      <x:c r="E56" s="30" t="n">
        <x:v>0.024</x:v>
      </x:c>
      <x:c r="F56" s="30" t="n">
        <x:v>0.024</x:v>
      </x:c>
      <x:c r="G56" s="30" t="n">
        <x:v>0.024</x:v>
      </x:c>
      <x:c r="H56" s="30" t="n">
        <x:v>0.024</x:v>
      </x:c>
      <x:c r="I56" s="30" t="n">
        <x:v>0.024</x:v>
      </x:c>
      <x:c r="J56" s="14"/>
    </x:row>
    <x:row r="57">
      <x:c r="C57" s="31"/>
      <x:c r="D57" s="31" t="str">
        <x:v>Downside</x:v>
      </x:c>
      <x:c r="E57" s="32" t="n">
        <x:v>0.027</x:v>
      </x:c>
      <x:c r="F57" s="32" t="n">
        <x:v>0.027</x:v>
      </x:c>
      <x:c r="G57" s="32" t="n">
        <x:v>0.027</x:v>
      </x:c>
      <x:c r="H57" s="32" t="n">
        <x:v>0.027</x:v>
      </x:c>
      <x:c r="I57" s="32" t="n">
        <x:v>0.027</x:v>
      </x:c>
      <x:c r="J57" s="31"/>
    </x:row>
    <x:row r="58">
      <x:c r="C58" s="26" t="str">
        <x:v>Replacement value inflation</x:v>
      </x:c>
      <x:c r="D58" s="26" t="str">
        <x:v>Active</x:v>
      </x:c>
      <x:c r="E58" s="29" t="n">
        <x:f>CHOOSE($D$6,E59,E60,E61)</x:f>
        <x:v>0.03</x:v>
      </x:c>
      <x:c r="F58" s="29" t="n">
        <x:f>CHOOSE($D$6,F59,F60,F61)</x:f>
        <x:v>0.03</x:v>
      </x:c>
      <x:c r="G58" s="29" t="n">
        <x:f>CHOOSE($D$6,G59,G60,G61)</x:f>
        <x:v>0.03</x:v>
      </x:c>
      <x:c r="H58" s="29" t="n">
        <x:f>CHOOSE($D$6,H59,H60,H61)</x:f>
        <x:v>0.03</x:v>
      </x:c>
      <x:c r="I58" s="29" t="n">
        <x:f>CHOOSE($D$6,I59,I60,I61)</x:f>
        <x:v>0.03</x:v>
      </x:c>
      <x:c r="J58" s="26" t="str">
        <x:v>Escalation applied in the capital outlook</x:v>
      </x:c>
    </x:row>
    <x:row r="59">
      <x:c r="C59" s="14"/>
      <x:c r="D59" s="14" t="str">
        <x:v>Base</x:v>
      </x:c>
      <x:c r="E59" s="30" t="n">
        <x:v>0.03</x:v>
      </x:c>
      <x:c r="F59" s="30" t="n">
        <x:v>0.03</x:v>
      </x:c>
      <x:c r="G59" s="30" t="n">
        <x:v>0.03</x:v>
      </x:c>
      <x:c r="H59" s="30" t="n">
        <x:v>0.03</x:v>
      </x:c>
      <x:c r="I59" s="30" t="n">
        <x:v>0.03</x:v>
      </x:c>
      <x:c r="J59" s="14"/>
    </x:row>
    <x:row r="60">
      <x:c r="C60" s="14"/>
      <x:c r="D60" s="14" t="str">
        <x:v>Upside</x:v>
      </x:c>
      <x:c r="E60" s="30" t="n">
        <x:v>0.025</x:v>
      </x:c>
      <x:c r="F60" s="30" t="n">
        <x:v>0.025</x:v>
      </x:c>
      <x:c r="G60" s="30" t="n">
        <x:v>0.025</x:v>
      </x:c>
      <x:c r="H60" s="30" t="n">
        <x:v>0.025</x:v>
      </x:c>
      <x:c r="I60" s="30" t="n">
        <x:v>0.025</x:v>
      </x:c>
      <x:c r="J60" s="14"/>
    </x:row>
    <x:row r="61">
      <x:c r="C61" s="31"/>
      <x:c r="D61" s="31" t="str">
        <x:v>Downside</x:v>
      </x:c>
      <x:c r="E61" s="32" t="n">
        <x:v>0.04</x:v>
      </x:c>
      <x:c r="F61" s="32" t="n">
        <x:v>0.04</x:v>
      </x:c>
      <x:c r="G61" s="32" t="n">
        <x:v>0.04</x:v>
      </x:c>
      <x:c r="H61" s="32" t="n">
        <x:v>0.04</x:v>
      </x:c>
      <x:c r="I61" s="32" t="n">
        <x:v>0.04</x:v>
      </x:c>
      <x:c r="J61" s="31"/>
    </x:row>
    <x:row r="62">
      <x:c r="C62" s="14"/>
      <x:c r="D62" s="14"/>
      <x:c r="E62" s="14"/>
      <x:c r="F62" s="14"/>
      <x:c r="G62" s="14"/>
      <x:c r="H62" s="14"/>
      <x:c r="I62" s="14"/>
      <x:c r="J62" s="14"/>
    </x:row>
    <x:row r="63">
      <x:c r="C63" s="14"/>
      <x:c r="D63" s="14"/>
      <x:c r="E63" s="14"/>
      <x:c r="F63" s="14"/>
      <x:c r="G63" s="14"/>
      <x:c r="H63" s="14"/>
      <x:c r="I63" s="14"/>
      <x:c r="J63" s="14"/>
    </x:row>
    <x:row r="64">
      <x:c r="C64" s="14"/>
      <x:c r="D64" s="14"/>
      <x:c r="E64" s="14"/>
      <x:c r="F64" s="14"/>
      <x:c r="G64" s="14"/>
      <x:c r="H64" s="14"/>
      <x:c r="I64" s="14"/>
      <x:c r="J64" s="14"/>
    </x:row>
  </x:sheetData>
  <x:mergeCells>
    <x:mergeCell ref="C2:J2"/>
    <x:mergeCell ref="C3:J3"/>
  </x:mergeCells>
  <x:dataValidations count="1">
    <x:dataValidation type="list" sqref="D6">
      <x:formula1>"1,2,3"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798AA"/>
  </x:sheetPr>
  <x:sheetViews>
    <x:sheetView showGridLines="0" workbookViewId="0"/>
  </x:sheetViews>
  <x:sheetFormatPr defaultRowHeight="15"/>
  <x:cols>
    <x:col min="3" max="3" width="4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5" hidden="0" customWidth="1"/>
    <x:col min="10" max="10" width="15" hidden="0" customWidth="1"/>
  </x:cols>
  <x:sheetData>
    <x:row r="2">
      <x:c r="C2" s="15" t="str">
        <x:v>Model checks</x:v>
      </x:c>
      <x:c r="D2" s="14"/>
      <x:c r="E2" s="14"/>
      <x:c r="F2" s="14"/>
      <x:c r="G2" s="14"/>
      <x:c r="H2" s="14"/>
      <x:c r="I2" s="14"/>
      <x:c r="J2" s="14"/>
    </x:row>
    <x:row r="3">
      <x:c r="C3" s="16" t="str">
        <x:v>Terminal reconciliations. No output or assumption depends on this sheet.</x:v>
      </x:c>
      <x:c r="D3" s="14"/>
      <x:c r="E3" s="14"/>
      <x:c r="F3" s="14"/>
      <x:c r="G3" s="14"/>
      <x:c r="H3" s="14"/>
      <x:c r="I3" s="14"/>
      <x:c r="J3" s="14"/>
    </x:row>
    <x:row r="4">
      <x:c r="C4" s="17"/>
      <x:c r="D4" s="17"/>
      <x:c r="E4" s="17"/>
      <x:c r="F4" s="17"/>
      <x:c r="G4" s="17"/>
      <x:c r="H4" s="17"/>
      <x:c r="I4" s="17"/>
      <x:c r="J4" s="17"/>
    </x:row>
    <x:row r="5">
      <x:c r="C5" s="14"/>
      <x:c r="D5" s="14"/>
      <x:c r="E5" s="14"/>
      <x:c r="F5" s="14"/>
      <x:c r="G5" s="14"/>
      <x:c r="H5" s="14"/>
      <x:c r="I5" s="14"/>
      <x:c r="J5" s="14"/>
    </x:row>
    <x:row r="6">
      <x:c r="C6" s="6" t="str">
        <x:v>Check</x:v>
      </x:c>
      <x:c r="D6" s="6" t="str">
        <x:v>Expected</x:v>
      </x:c>
      <x:c r="E6" s="6" t="str">
        <x:v>Actual</x:v>
      </x:c>
      <x:c r="F6" s="6" t="str">
        <x:v>Difference</x:v>
      </x:c>
      <x:c r="G6" s="6" t="str">
        <x:v>Tolerance</x:v>
      </x:c>
      <x:c r="H6" s="6" t="str">
        <x:v>Status</x:v>
      </x:c>
      <x:c r="I6" s="14"/>
      <x:c r="J6" s="14"/>
    </x:row>
    <x:row r="7">
      <x:c r="C7" s="31" t="str">
        <x:v>Municipalities in 2024</x:v>
      </x:c>
      <x:c r="D7" s="108" t="n">
        <x:v>161</x:v>
      </x:c>
      <x:c r="E7" s="108" t="n">
        <x:f>COUNTIFS('Municipal data'!$G$2:$G$969,2024)</x:f>
        <x:v>161</x:v>
      </x:c>
      <x:c r="F7" s="108" t="n">
        <x:f>E7-D7</x:f>
        <x:v>0</x:v>
      </x:c>
      <x:c r="G7" s="108" t="n">
        <x:v>0</x:v>
      </x:c>
      <x:c r="H7" s="31" t="str">
        <x:f>IF(ABS(F7)&lt;=G7,"PASS","FAIL")</x:f>
        <x:v>PASS</x:v>
      </x:c>
      <x:c r="I7" s="14"/>
      <x:c r="J7" s="14"/>
    </x:row>
    <x:row r="8">
      <x:c r="C8" s="83" t="str">
        <x:v>Municipality-year rows</x:v>
      </x:c>
      <x:c r="D8" s="109" t="n">
        <x:v>968</x:v>
      </x:c>
      <x:c r="E8" s="109" t="n">
        <x:f>COUNTA('Municipal data'!$A$2:$A$969)</x:f>
        <x:v>968</x:v>
      </x:c>
      <x:c r="F8" s="109" t="n">
        <x:f>E8-D8</x:f>
        <x:v>0</x:v>
      </x:c>
      <x:c r="G8" s="109" t="n">
        <x:v>0</x:v>
      </x:c>
      <x:c r="H8" s="83" t="str">
        <x:f>IF(ABS(F8)&lt;=G8,"PASS","FAIL")</x:f>
        <x:v>PASS</x:v>
      </x:c>
      <x:c r="I8" s="14"/>
      <x:c r="J8" s="14"/>
    </x:row>
    <x:row r="9">
      <x:c r="C9" s="83" t="str">
        <x:v>2024 revenue components tie</x:v>
      </x:c>
      <x:c r="D9" s="109" t="n">
        <x:v>0</x:v>
      </x:c>
      <x:c r="E9" s="109" t="n">
        <x:f>SUM(IF(COUNTIFS('Municipal data'!$A$2:$A$969,'Dashboard'!$D$6&amp;"|2024",'Municipal data'!$N$2:$N$969,"&gt;=-1E+307")=0,"n.a.",SUMIFS('Municipal data'!$N$2:$N$969,'Municipal data'!$A$2:$A$969,'Dashboard'!$D$6&amp;"|2024")),IF(COUNTIFS('Municipal data'!$A$2:$A$969,'Dashboard'!$D$6&amp;"|2024",'Municipal data'!$O$2:$O$969,"&gt;=-1E+307")=0,"n.a.",SUMIFS('Municipal data'!$O$2:$O$969,'Municipal data'!$A$2:$A$969,'Dashboard'!$D$6&amp;"|2024")),IF(COUNTIFS('Municipal data'!$A$2:$A$969,'Dashboard'!$D$6&amp;"|2024",'Municipal data'!$P$2:$P$969,"&gt;=-1E+307")=0,"n.a.",SUMIFS('Municipal data'!$P$2:$P$969,'Municipal data'!$A$2:$A$969,'Dashboard'!$D$6&amp;"|2024")),IF(COUNTIFS('Municipal data'!$A$2:$A$969,'Dashboard'!$D$6&amp;"|2024",'Municipal data'!$Q$2:$Q$969,"&gt;=-1E+307")=0,"n.a.",SUMIFS('Municipal data'!$Q$2:$Q$969,'Municipal data'!$A$2:$A$969,'Dashboard'!$D$6&amp;"|2024")))-IF(COUNTIFS('Municipal data'!$A$2:$A$969,'Dashboard'!$D$6&amp;"|2024",'Municipal data'!$J$2:$J$969,"&gt;=-1E+307")=0,"n.a.",SUMIFS('Municipal data'!$J$2:$J$969,'Municipal data'!$A$2:$A$969,'Dashboard'!$D$6&amp;"|2024"))</x:f>
        <x:v>0</x:v>
      </x:c>
      <x:c r="F9" s="109" t="n">
        <x:f>E9-D9</x:f>
        <x:v>0</x:v>
      </x:c>
      <x:c r="G9" s="109" t="n">
        <x:v>0.01</x:v>
      </x:c>
      <x:c r="H9" s="83" t="str">
        <x:f>IF(ABS(F9)&lt;=G9,"PASS","FAIL")</x:f>
        <x:v>PASS</x:v>
      </x:c>
      <x:c r="I9" s="14"/>
      <x:c r="J9" s="14"/>
    </x:row>
    <x:row r="10">
      <x:c r="C10" s="83" t="str">
        <x:v>2024 asset categories tie to Total TCA</x:v>
      </x:c>
      <x:c r="D10" s="109" t="n">
        <x:v>0</x:v>
      </x:c>
      <x:c r="E10" s="109" t="n">
        <x:f>SUM('Capital plan'!D10:D20)-'Capital plan'!D21</x:f>
        <x:v>0</x:v>
      </x:c>
      <x:c r="F10" s="109" t="n">
        <x:f>E10-D10</x:f>
        <x:v>0</x:v>
      </x:c>
      <x:c r="G10" s="109" t="n">
        <x:v>0.01</x:v>
      </x:c>
      <x:c r="H10" s="83" t="str">
        <x:f>IF(ABS(F10)&lt;=G10,"PASS","FAIL")</x:f>
        <x:v>PASS</x:v>
      </x:c>
      <x:c r="I10" s="14"/>
      <x:c r="J10" s="14"/>
    </x:row>
    <x:row r="11">
      <x:c r="C11" s="83" t="str">
        <x:v>Forecast debt roll-forward</x:v>
      </x:c>
      <x:c r="D11" s="109" t="n">
        <x:v>0</x:v>
      </x:c>
      <x:c r="E11" s="109" t="n">
        <x:f>MAX(ABS('Forecast'!E30-('Forecast'!E27+'Forecast'!E28-'Forecast'!E29)),ABS('Forecast'!F30-('Forecast'!F27+'Forecast'!F28-'Forecast'!F29)),ABS('Forecast'!G30-('Forecast'!G27+'Forecast'!G28-'Forecast'!G29)),ABS('Forecast'!H30-('Forecast'!H27+'Forecast'!H28-'Forecast'!H29)),ABS('Forecast'!I30-('Forecast'!I27+'Forecast'!I28-'Forecast'!I29)))</x:f>
        <x:v>0</x:v>
      </x:c>
      <x:c r="F11" s="109" t="n">
        <x:f>E11-D11</x:f>
        <x:v>0</x:v>
      </x:c>
      <x:c r="G11" s="109" t="n">
        <x:v>0.01</x:v>
      </x:c>
      <x:c r="H11" s="83" t="str">
        <x:f>IF(ABS(F11)&lt;=G11,"PASS","FAIL")</x:f>
        <x:v>PASS</x:v>
      </x:c>
      <x:c r="I11" s="14"/>
      <x:c r="J11" s="14"/>
    </x:row>
    <x:row r="12">
      <x:c r="C12" s="83" t="str">
        <x:v>Forecast TCA roll-forward</x:v>
      </x:c>
      <x:c r="D12" s="109" t="n">
        <x:v>0</x:v>
      </x:c>
      <x:c r="E12" s="109" t="n">
        <x:f>MAX(ABS('Forecast'!E25-('Forecast'!E22+'Forecast'!E23-'Forecast'!E24)),ABS('Forecast'!F25-('Forecast'!F22+'Forecast'!F23-'Forecast'!F24)),ABS('Forecast'!G25-('Forecast'!G22+'Forecast'!G23-'Forecast'!G24)),ABS('Forecast'!H25-('Forecast'!H22+'Forecast'!H23-'Forecast'!H24)),ABS('Forecast'!I25-('Forecast'!I22+'Forecast'!I23-'Forecast'!I24)))</x:f>
        <x:v>0</x:v>
      </x:c>
      <x:c r="F12" s="109" t="n">
        <x:f>E12-D12</x:f>
        <x:v>0</x:v>
      </x:c>
      <x:c r="G12" s="109" t="n">
        <x:v>0.01</x:v>
      </x:c>
      <x:c r="H12" s="83" t="str">
        <x:f>IF(ABS(F12)&lt;=G12,"PASS","FAIL")</x:f>
        <x:v>PASS</x:v>
      </x:c>
      <x:c r="I12" s="14"/>
      <x:c r="J12" s="14"/>
    </x:row>
    <x:row r="13">
      <x:c r="C13" s="83" t="str">
        <x:v>Forecast reserves roll-forward</x:v>
      </x:c>
      <x:c r="D13" s="109" t="n">
        <x:v>0</x:v>
      </x:c>
      <x:c r="E13" s="109" t="n">
        <x:f>MAX(ABS('Forecast'!E39-('Forecast'!E36+'Forecast'!E37-'Forecast'!E38)),ABS('Forecast'!F39-('Forecast'!F36+'Forecast'!F37-'Forecast'!F38)),ABS('Forecast'!G39-('Forecast'!G36+'Forecast'!G37-'Forecast'!G38)),ABS('Forecast'!H39-('Forecast'!H36+'Forecast'!H37-'Forecast'!H38)),ABS('Forecast'!I39-('Forecast'!I36+'Forecast'!I37-'Forecast'!I38)))</x:f>
        <x:v>0</x:v>
      </x:c>
      <x:c r="F13" s="109" t="n">
        <x:f>E13-D13</x:f>
        <x:v>0</x:v>
      </x:c>
      <x:c r="G13" s="109" t="n">
        <x:v>0.01</x:v>
      </x:c>
      <x:c r="H13" s="83" t="str">
        <x:f>IF(ABS(F13)&lt;=G13,"PASS","FAIL")</x:f>
        <x:v>PASS</x:v>
      </x:c>
      <x:c r="I13" s="14"/>
      <x:c r="J13" s="14"/>
    </x:row>
    <x:row r="14">
      <x:c r="C14" s="14"/>
      <x:c r="D14" s="14"/>
      <x:c r="E14" s="14"/>
      <x:c r="F14" s="14"/>
      <x:c r="G14" s="14"/>
      <x:c r="H14" s="14"/>
      <x:c r="I14" s="14"/>
      <x:c r="J14" s="14"/>
    </x:row>
    <x:row r="15">
      <x:c r="C15" s="14"/>
      <x:c r="D15" s="14"/>
      <x:c r="E15" s="14"/>
      <x:c r="F15" s="14"/>
      <x:c r="G15" s="14"/>
      <x:c r="H15" s="14"/>
      <x:c r="I15" s="14"/>
      <x:c r="J15" s="14"/>
    </x:row>
    <x:row r="16">
      <x:c r="C16" s="76" t="str">
        <x:v>Source limitations</x:v>
      </x:c>
      <x:c r="D16" s="77" t="str">
        <x:v>Source limitations</x:v>
      </x:c>
      <x:c r="E16" s="77" t="str">
        <x:v>Source limitations</x:v>
      </x:c>
      <x:c r="F16" s="77" t="str">
        <x:v>Source limitations</x:v>
      </x:c>
      <x:c r="G16" s="77" t="str">
        <x:v>Source limitations</x:v>
      </x:c>
      <x:c r="H16" s="77" t="str">
        <x:v>Source limitations</x:v>
      </x:c>
      <x:c r="I16" s="77" t="str">
        <x:v>Source limitations</x:v>
      </x:c>
      <x:c r="J16" s="78" t="str">
        <x:v>Source limitations</x:v>
      </x:c>
    </x:row>
    <x:row r="17">
      <x:c r="C17" s="14"/>
      <x:c r="D17" s="14"/>
      <x:c r="E17" s="14"/>
      <x:c r="F17" s="14"/>
      <x:c r="G17" s="14"/>
      <x:c r="H17" s="14"/>
      <x:c r="I17" s="14"/>
      <x:c r="J17" s="14"/>
    </x:row>
    <x:row r="18">
      <x:c r="C18" s="110" t="str">
        <x:v>The Province reviews submitted data but does not guarantee accuracy or validity. Confirm material figures with the relevant local government before relying on them.</x:v>
      </x:c>
      <x:c r="D18" s="110"/>
      <x:c r="E18" s="110"/>
      <x:c r="F18" s="110"/>
      <x:c r="G18" s="110"/>
      <x:c r="H18" s="110"/>
      <x:c r="I18" s="110"/>
      <x:c r="J18" s="110"/>
    </x:row>
    <x:row r="19">
      <x:c r="C19" s="110" t="str">
        <x:v>The five-year outlook is an illustrative planning model. It is not an adopted financial plan, tax-rate bylaw or debt authorization.</x:v>
      </x:c>
      <x:c r="D19" s="110"/>
      <x:c r="E19" s="110"/>
      <x:c r="F19" s="110"/>
      <x:c r="G19" s="110"/>
      <x:c r="H19" s="110"/>
      <x:c r="I19" s="110"/>
      <x:c r="J19" s="110"/>
    </x:row>
    <x:row r="20">
      <x:c r="C20" s="14"/>
      <x:c r="D20" s="14"/>
      <x:c r="E20" s="14"/>
      <x:c r="F20" s="14"/>
      <x:c r="G20" s="14"/>
      <x:c r="H20" s="14"/>
      <x:c r="I20" s="14"/>
      <x:c r="J20" s="14"/>
    </x:row>
    <x:row r="21">
      <x:c r="C21" s="14"/>
      <x:c r="D21" s="14"/>
      <x:c r="E21" s="14"/>
      <x:c r="F21" s="14"/>
      <x:c r="G21" s="14"/>
      <x:c r="H21" s="14"/>
      <x:c r="I21" s="14"/>
      <x:c r="J21" s="14"/>
    </x:row>
    <x:row r="22">
      <x:c r="C22" s="14"/>
      <x:c r="D22" s="14"/>
      <x:c r="E22" s="14"/>
      <x:c r="F22" s="14"/>
      <x:c r="G22" s="14"/>
      <x:c r="H22" s="14"/>
      <x:c r="I22" s="14"/>
      <x:c r="J22" s="14"/>
    </x:row>
    <x:row r="23">
      <x:c r="C23" s="14"/>
      <x:c r="D23" s="14"/>
      <x:c r="E23" s="14"/>
      <x:c r="F23" s="14"/>
      <x:c r="G23" s="14"/>
      <x:c r="H23" s="14"/>
      <x:c r="I23" s="14"/>
      <x:c r="J23" s="14"/>
    </x:row>
    <x:row r="24">
      <x:c r="C24" s="14"/>
      <x:c r="D24" s="14"/>
      <x:c r="E24" s="14"/>
      <x:c r="F24" s="14"/>
      <x:c r="G24" s="14"/>
      <x:c r="H24" s="14"/>
      <x:c r="I24" s="14"/>
      <x:c r="J24" s="14"/>
    </x:row>
    <x:row r="25">
      <x:c r="C25" s="14"/>
      <x:c r="D25" s="14"/>
      <x:c r="E25" s="14"/>
      <x:c r="F25" s="14"/>
      <x:c r="G25" s="14"/>
      <x:c r="H25" s="14"/>
      <x:c r="I25" s="14"/>
      <x:c r="J25" s="14"/>
    </x:row>
    <x:row r="26">
      <x:c r="C26" s="14"/>
      <x:c r="D26" s="14"/>
      <x:c r="E26" s="14"/>
      <x:c r="F26" s="14"/>
      <x:c r="G26" s="14"/>
      <x:c r="H26" s="14"/>
      <x:c r="I26" s="14"/>
      <x:c r="J26" s="14"/>
    </x:row>
    <x:row r="27">
      <x:c r="C27" s="14"/>
      <x:c r="D27" s="14"/>
      <x:c r="E27" s="14"/>
      <x:c r="F27" s="14"/>
      <x:c r="G27" s="14"/>
      <x:c r="H27" s="14"/>
      <x:c r="I27" s="14"/>
      <x:c r="J27" s="14"/>
    </x:row>
    <x:row r="28">
      <x:c r="C28" s="14"/>
      <x:c r="D28" s="14"/>
      <x:c r="E28" s="14"/>
      <x:c r="F28" s="14"/>
      <x:c r="G28" s="14"/>
      <x:c r="H28" s="14"/>
      <x:c r="I28" s="14"/>
      <x:c r="J28" s="14"/>
    </x:row>
    <x:row r="29">
      <x:c r="C29" s="14"/>
      <x:c r="D29" s="14"/>
      <x:c r="E29" s="14"/>
      <x:c r="F29" s="14"/>
      <x:c r="G29" s="14"/>
      <x:c r="H29" s="14"/>
      <x:c r="I29" s="14"/>
      <x:c r="J29" s="14"/>
    </x:row>
    <x:row r="30">
      <x:c r="C30" s="14"/>
      <x:c r="D30" s="14"/>
      <x:c r="E30" s="14"/>
      <x:c r="F30" s="14"/>
      <x:c r="G30" s="14"/>
      <x:c r="H30" s="14"/>
      <x:c r="I30" s="14"/>
      <x:c r="J30" s="14"/>
    </x:row>
    <x:row r="31">
      <x:c r="C31" s="14"/>
      <x:c r="D31" s="14"/>
      <x:c r="E31" s="14"/>
      <x:c r="F31" s="14"/>
      <x:c r="G31" s="14"/>
      <x:c r="H31" s="14"/>
      <x:c r="I31" s="14"/>
      <x:c r="J31" s="14"/>
    </x:row>
    <x:row r="32">
      <x:c r="C32" s="14"/>
      <x:c r="D32" s="14"/>
      <x:c r="E32" s="14"/>
      <x:c r="F32" s="14"/>
      <x:c r="G32" s="14"/>
      <x:c r="H32" s="14"/>
      <x:c r="I32" s="14"/>
      <x:c r="J32" s="14"/>
    </x:row>
    <x:row r="33">
      <x:c r="C33" s="14"/>
      <x:c r="D33" s="14"/>
      <x:c r="E33" s="14"/>
      <x:c r="F33" s="14"/>
      <x:c r="G33" s="14"/>
      <x:c r="H33" s="14"/>
      <x:c r="I33" s="14"/>
      <x:c r="J33" s="14"/>
    </x:row>
    <x:row r="34">
      <x:c r="C34" s="14"/>
      <x:c r="D34" s="14"/>
      <x:c r="E34" s="14"/>
      <x:c r="F34" s="14"/>
      <x:c r="G34" s="14"/>
      <x:c r="H34" s="14"/>
      <x:c r="I34" s="14"/>
      <x:c r="J34" s="14"/>
    </x:row>
  </x:sheetData>
  <x:mergeCells>
    <x:mergeCell ref="C2:J2"/>
    <x:mergeCell ref="C3:J3"/>
    <x:mergeCell ref="C16:J16"/>
    <x:mergeCell ref="C18:J18"/>
    <x:mergeCell ref="C19:J19"/>
  </x:mergeCells>
  <x:conditionalFormatting sqref="H7:H13">
    <x:cfRule type="containsText" dxfId="2" priority="1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798AA"/>
  </x:sheetPr>
  <x:sheetViews>
    <x:sheetView workbookViewId="0">
      <x:pane xSplit="3" ySplit="1" topLeftCell="D2" activePane="bottomRigh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30" hidden="0" customWidth="1"/>
  </x:cols>
  <x:sheetData>
    <x:row r="1">
      <x:c r="A1" s="7" t="str">
        <x:v>Selection year key</x:v>
      </x:c>
      <x:c r="B1" s="7" t="str">
        <x:v>Municipality ID</x:v>
      </x:c>
      <x:c r="C1" s="7" t="str">
        <x:v>Municipality</x:v>
      </x:c>
      <x:c r="D1" s="7" t="str">
        <x:v>Source municipality name</x:v>
      </x:c>
      <x:c r="E1" s="7" t="str">
        <x:v>Type</x:v>
      </x:c>
      <x:c r="F1" s="7" t="str">
        <x:v>Regional district</x:v>
      </x:c>
      <x:c r="G1" s="7" t="str">
        <x:v>Year</x:v>
      </x:c>
      <x:c r="H1" s="7" t="str">
        <x:v>Population estimate</x:v>
      </x:c>
      <x:c r="I1" s="7" t="str">
        <x:v>Population band</x:v>
      </x:c>
      <x:c r="J1" s="7" t="str">
        <x:v>Total revenue</x:v>
      </x:c>
      <x:c r="K1" s="7" t="str">
        <x:v>Total expenses</x:v>
      </x:c>
      <x:c r="L1" s="7" t="str">
        <x:v>Annual surplus</x:v>
      </x:c>
      <x:c r="M1" s="7" t="str">
        <x:v>Operating margin</x:v>
      </x:c>
      <x:c r="N1" s="7" t="str">
        <x:v>Taxation revenue</x:v>
      </x:c>
      <x:c r="O1" s="7" t="str">
        <x:v>Sale of services</x:v>
      </x:c>
      <x:c r="P1" s="7" t="str">
        <x:v>Government transfers</x:v>
      </x:c>
      <x:c r="Q1" s="7" t="str">
        <x:v>Investment and other revenue</x:v>
      </x:c>
      <x:c r="R1" s="7" t="str">
        <x:v>Operating expense before amortization and interest</x:v>
      </x:c>
      <x:c r="S1" s="7" t="str">
        <x:v>Amortization</x:v>
      </x:c>
      <x:c r="T1" s="7" t="str">
        <x:v>Cash and investments</x:v>
      </x:c>
      <x:c r="U1" s="7" t="str">
        <x:v>Total liabilities</x:v>
      </x:c>
      <x:c r="V1" s="7" t="str">
        <x:v>Net financial assets (debt)</x:v>
      </x:c>
      <x:c r="W1" s="7" t="str">
        <x:v>Statutory reserves</x:v>
      </x:c>
      <x:c r="X1" s="7" t="str">
        <x:v>Opening debt</x:v>
      </x:c>
      <x:c r="Y1" s="7" t="str">
        <x:v>New debt</x:v>
      </x:c>
      <x:c r="Z1" s="7" t="str">
        <x:v>Debt repayment</x:v>
      </x:c>
      <x:c r="AA1" s="7" t="str">
        <x:v>Closing debt</x:v>
      </x:c>
      <x:c r="AB1" s="7" t="str">
        <x:v>Interest expense</x:v>
      </x:c>
      <x:c r="AC1" s="7" t="str">
        <x:v>Actual debt servicing</x:v>
      </x:c>
      <x:c r="AD1" s="7" t="str">
        <x:v>Liability servicing limit</x:v>
      </x:c>
      <x:c r="AE1" s="7" t="str">
        <x:v>Debt servicing capacity</x:v>
      </x:c>
      <x:c r="AF1" s="7" t="str">
        <x:v>Revenue for servicing limit</x:v>
      </x:c>
      <x:c r="AG1" s="7" t="str">
        <x:v>TCA historical cost</x:v>
      </x:c>
      <x:c r="AH1" s="7" t="str">
        <x:v>TCA accumulated amortization</x:v>
      </x:c>
      <x:c r="AI1" s="7" t="str">
        <x:v>TCA net book value</x:v>
      </x:c>
      <x:c r="AJ1" s="7" t="str">
        <x:v>TCA additions</x:v>
      </x:c>
      <x:c r="AK1" s="7" t="str">
        <x:v>TCA replacement value</x:v>
      </x:c>
      <x:c r="AL1" s="7" t="str">
        <x:v>Replacement-value amortization</x:v>
      </x:c>
      <x:c r="AM1" s="7" t="str">
        <x:v>Asset condition ratio</x:v>
      </x:c>
      <x:c r="AN1" s="7" t="str">
        <x:v>Capital additions / replacement value</x:v>
      </x:c>
      <x:c r="AO1" s="7" t="str">
        <x:v>Taxes imposed and outstanding</x:v>
      </x:c>
      <x:c r="AP1" s="7" t="str">
        <x:v>Total taxes collected</x:v>
      </x:c>
      <x:c r="AQ1" s="7" t="str">
        <x:v>Tax collection rate</x:v>
      </x:c>
      <x:c r="AR1" s="7" t="str">
        <x:v>Revenue per resident</x:v>
      </x:c>
      <x:c r="AS1" s="7" t="str">
        <x:v>Expense per resident</x:v>
      </x:c>
      <x:c r="AT1" s="7" t="str">
        <x:v>Net financial assets per resident</x:v>
      </x:c>
      <x:c r="AU1" s="7" t="str">
        <x:v>Reserves per resident</x:v>
      </x:c>
      <x:c r="AV1" s="7" t="str">
        <x:v>Debt per resident</x:v>
      </x:c>
      <x:c r="AW1" s="7" t="str">
        <x:v>Cash / liabilities</x:v>
      </x:c>
      <x:c r="AX1" s="7" t="str">
        <x:v>Debt service headroom / limit</x:v>
      </x:c>
      <x:c r="AY1" s="7" t="str">
        <x:v>peer median revenue per capita</x:v>
      </x:c>
      <x:c r="AZ1" s="7" t="str">
        <x:v>bc median revenue per capita</x:v>
      </x:c>
      <x:c r="BA1" s="7" t="str">
        <x:v>peer median expense per capita</x:v>
      </x:c>
      <x:c r="BB1" s="7" t="str">
        <x:v>bc median expense per capita</x:v>
      </x:c>
      <x:c r="BC1" s="7" t="str">
        <x:v>peer median net financial assets per capita</x:v>
      </x:c>
      <x:c r="BD1" s="7" t="str">
        <x:v>bc median net financial assets per capita</x:v>
      </x:c>
      <x:c r="BE1" s="7" t="str">
        <x:v>peer median reserves per capita</x:v>
      </x:c>
      <x:c r="BF1" s="7" t="str">
        <x:v>bc median reserves per capita</x:v>
      </x:c>
      <x:c r="BG1" s="7" t="str">
        <x:v>peer median debt per capita</x:v>
      </x:c>
      <x:c r="BH1" s="7" t="str">
        <x:v>bc median debt per capita</x:v>
      </x:c>
      <x:c r="BI1" s="7" t="str">
        <x:v>peer median cash to liabilities</x:v>
      </x:c>
      <x:c r="BJ1" s="7" t="str">
        <x:v>bc median cash to liabilities</x:v>
      </x:c>
      <x:c r="BK1" s="7" t="str">
        <x:v>peer median capital reinvestment rate</x:v>
      </x:c>
      <x:c r="BL1" s="7" t="str">
        <x:v>bc median capital reinvestment rate</x:v>
      </x:c>
      <x:c r="BM1" s="7" t="str">
        <x:v>peer median asset condition ratio</x:v>
      </x:c>
      <x:c r="BN1" s="7" t="str">
        <x:v>bc median asset condition ratio</x:v>
      </x:c>
      <x:c r="BO1" s="7" t="str">
        <x:v>peer median debt service headroom pct</x:v>
      </x:c>
      <x:c r="BP1" s="7" t="str">
        <x:v>bc median debt service headroom pct</x:v>
      </x:c>
      <x:c r="BQ1" s="7" t="str">
        <x:v>peer median tax collection rate</x:v>
      </x:c>
      <x:c r="BR1" s="7" t="str">
        <x:v>bc median tax collection rate</x:v>
      </x:c>
      <x:c r="BS1" s="7" t="str">
        <x:v>peer median operating margin</x:v>
      </x:c>
      <x:c r="BT1" s="7" t="str">
        <x:v>bc median operating margin</x:v>
      </x:c>
      <x:c r="BU1" s="7" t="str">
        <x:v>federal transfers</x:v>
      </x:c>
      <x:c r="BV1" s="7" t="str">
        <x:v>provincial transfers</x:v>
      </x:c>
      <x:c r="BW1" s="7" t="str">
        <x:v>regional transfers</x:v>
      </x:c>
      <x:c r="BX1" s="7" t="str">
        <x:v>investment income</x:v>
      </x:c>
      <x:c r="BY1" s="7" t="str">
        <x:v>government business income</x:v>
      </x:c>
      <x:c r="BZ1" s="7" t="str">
        <x:v>developer contributions</x:v>
      </x:c>
      <x:c r="CA1" s="7" t="str">
        <x:v>gain on sale assets</x:v>
      </x:c>
      <x:c r="CB1" s="7" t="str">
        <x:v>other revenue</x:v>
      </x:c>
      <x:c r="CC1" s="7" t="str">
        <x:v>general government expense</x:v>
      </x:c>
      <x:c r="CD1" s="7" t="str">
        <x:v>protective services expense</x:v>
      </x:c>
      <x:c r="CE1" s="7" t="str">
        <x:v>solid waste expense</x:v>
      </x:c>
      <x:c r="CF1" s="7" t="str">
        <x:v>health social housing expense</x:v>
      </x:c>
      <x:c r="CG1" s="7" t="str">
        <x:v>development services expense</x:v>
      </x:c>
      <x:c r="CH1" s="7" t="str">
        <x:v>transportation expense</x:v>
      </x:c>
      <x:c r="CI1" s="7" t="str">
        <x:v>parks recreation expense</x:v>
      </x:c>
      <x:c r="CJ1" s="7" t="str">
        <x:v>water expense</x:v>
      </x:c>
      <x:c r="CK1" s="7" t="str">
        <x:v>sewer expense</x:v>
      </x:c>
      <x:c r="CL1" s="7" t="str">
        <x:v>other services expense</x:v>
      </x:c>
      <x:c r="CM1" s="7" t="str">
        <x:v>asset retirement accretion</x:v>
      </x:c>
      <x:c r="CN1" s="7" t="str">
        <x:v>loss on disposition</x:v>
      </x:c>
      <x:c r="CO1" s="7" t="str">
        <x:v>other adjustments expense</x:v>
      </x:c>
      <x:c r="CP1" s="8"/>
      <x:c r="CQ1" s="7" t="str">
        <x:v>Municipality selector list</x:v>
      </x:c>
    </x:row>
    <x:row r="2">
      <x:c r="A2" s="8" t="str">
        <x:v>100 Mile House|2019</x:v>
      </x:c>
      <x:c r="B2" s="8" t="str">
        <x:v>100-mile-house-d</x:v>
      </x:c>
      <x:c r="C2" s="8" t="str">
        <x:v>100 Mile House</x:v>
      </x:c>
      <x:c r="D2" s="8" t="str">
        <x:v>100 Mile House</x:v>
      </x:c>
      <x:c r="E2" s="8" t="str">
        <x:v>D</x:v>
      </x:c>
      <x:c r="F2" s="8" t="str">
        <x:v>CAR</x:v>
      </x:c>
      <x:c r="G2" s="9" t="n">
        <x:v>2019</x:v>
      </x:c>
      <x:c r="H2" s="10" t="n">
        <x:v>2019</x:v>
      </x:c>
      <x:c r="I2" s="8" t="str">
        <x:v>Under 5,000</x:v>
      </x:c>
      <x:c r="J2" s="11" t="n">
        <x:v>9825686</x:v>
      </x:c>
      <x:c r="K2" s="11" t="n">
        <x:v>6542068</x:v>
      </x:c>
      <x:c r="L2" s="11" t="n">
        <x:v>3283618</x:v>
      </x:c>
      <x:c r="M2" s="12" t="n">
        <x:v>0.3341871498844966</x:v>
      </x:c>
      <x:c r="N2" s="11" t="n">
        <x:v>3072768</x:v>
      </x:c>
      <x:c r="O2" s="11" t="n">
        <x:v>1474865</x:v>
      </x:c>
      <x:c r="P2" s="11" t="n">
        <x:v>2583600</x:v>
      </x:c>
      <x:c r="Q2" s="11" t="n">
        <x:v>2694453</x:v>
      </x:c>
      <x:c r="R2" s="11" t="n">
        <x:v>5243498</x:v>
      </x:c>
      <x:c r="S2" s="11" t="n">
        <x:v>1231439</x:v>
      </x:c>
      <x:c r="T2" s="11" t="n">
        <x:v>13607758</x:v>
      </x:c>
      <x:c r="U2" s="11" t="n">
        <x:v>2620228</x:v>
      </x:c>
      <x:c r="V2" s="11" t="n">
        <x:v>12708227</x:v>
      </x:c>
      <x:c r="W2" s="11" t="n">
        <x:v>11914045</x:v>
      </x:c>
      <x:c r="X2" s="11" t="n">
        <x:v>1396752</x:v>
      </x:c>
      <x:c r="Y2" s="11" t="n">
        <x:v>0</x:v>
      </x:c>
      <x:c r="Z2" s="11" t="n">
        <x:v>1275179</x:v>
      </x:c>
      <x:c r="AA2" s="11" t="n">
        <x:v>77230</x:v>
      </x:c>
      <x:c r="AB2" s="11" t="n">
        <x:v>67131</x:v>
      </x:c>
      <x:c r="AC2" s="11" t="n">
        <x:v>1342310</x:v>
      </x:c>
      <x:c r="AD2" s="11" t="n">
        <x:v>1621709</x:v>
      </x:c>
      <x:c r="AE2" s="11" t="n">
        <x:v>279399</x:v>
      </x:c>
      <x:c r="AF2" s="11" t="n">
        <x:v>6486834</x:v>
      </x:c>
      <x:c r="AG2" s="11" t="n">
        <x:v>59738422</x:v>
      </x:c>
      <x:c r="AH2" s="11" t="n">
        <x:v>23974755</x:v>
      </x:c>
      <x:c r="AI2" s="11" t="n">
        <x:v>35763667</x:v>
      </x:c>
      <x:c r="AJ2" s="11" t="n">
        <x:v>3371108</x:v>
      </x:c>
      <x:c r="AK2" s="11" t="n">
        <x:v>8315007</x:v>
      </x:c>
      <x:c r="AL2" s="11" t="n">
        <x:v>0</x:v>
      </x:c>
      <x:c r="AM2" s="12" t="n">
        <x:v>1</x:v>
      </x:c>
      <x:c r="AN2" s="12" t="n">
        <x:v>0.40542455346098927</x:v>
      </x:c>
      <x:c r="AO2" s="11" t="n">
        <x:v>5400219</x:v>
      </x:c>
      <x:c r="AP2" s="11" t="n">
        <x:v>5344444</x:v>
      </x:c>
      <x:c r="AQ2" s="12" t="n">
        <x:v>0.9896717151656257</x:v>
      </x:c>
      <x:c r="AR2" s="11" t="n">
        <x:v>4866.610203070827</x:v>
      </x:c>
      <x:c r="AS2" s="11" t="n">
        <x:v>3240.251609707776</x:v>
      </x:c>
      <x:c r="AT2" s="11" t="n">
        <x:v>6294.3174839029225</x:v>
      </x:c>
      <x:c r="AU2" s="11" t="n">
        <x:v>5900.963348192175</x:v>
      </x:c>
      <x:c r="AV2" s="11" t="n">
        <x:v>38.251609707776126</x:v>
      </x:c>
      <x:c r="AW2" s="11" t="n">
        <x:v>5.193348823079519</x:v>
      </x:c>
      <x:c r="AX2" s="12" t="n">
        <x:v>0.17228676661472558</x:v>
      </x:c>
      <x:c r="AY2" s="11"/>
      <x:c r="AZ2" s="11"/>
      <x:c r="BA2" s="11"/>
      <x:c r="BB2" s="11"/>
      <x:c r="BC2" s="11"/>
      <x:c r="BD2" s="11"/>
      <x:c r="BE2" s="11"/>
      <x:c r="BF2" s="11"/>
      <x:c r="BG2" s="11"/>
      <x:c r="BH2" s="11"/>
      <x:c r="BI2" s="11"/>
      <x:c r="BJ2" s="11"/>
      <x:c r="BK2" s="12"/>
      <x:c r="BL2" s="12"/>
      <x:c r="BM2" s="12"/>
      <x:c r="BN2" s="12"/>
      <x:c r="BO2" s="12"/>
      <x:c r="BP2" s="12"/>
      <x:c r="BQ2" s="12"/>
      <x:c r="BR2" s="12"/>
      <x:c r="BS2" s="12"/>
      <x:c r="BT2" s="12"/>
      <x:c r="BU2" s="11" t="n">
        <x:v>0</x:v>
      </x:c>
      <x:c r="BV2" s="11" t="n">
        <x:v>2136844</x:v>
      </x:c>
      <x:c r="BW2" s="11" t="n">
        <x:v>446756</x:v>
      </x:c>
      <x:c r="BX2" s="11" t="n">
        <x:v>288672</x:v>
      </x:c>
      <x:c r="BY2" s="11" t="n">
        <x:v>735827</x:v>
      </x:c>
      <x:c r="BZ2" s="11" t="n">
        <x:v>0</x:v>
      </x:c>
      <x:c r="CA2" s="11" t="n">
        <x:v>1055</x:v>
      </x:c>
      <x:c r="CB2" s="11" t="n">
        <x:v>1668899</x:v>
      </x:c>
      <x:c r="CC2" s="11" t="n">
        <x:v>2052239</x:v>
      </x:c>
      <x:c r="CD2" s="11" t="n">
        <x:v>676565</x:v>
      </x:c>
      <x:c r="CE2" s="11" t="n">
        <x:v>129164</x:v>
      </x:c>
      <x:c r="CF2" s="11" t="n">
        <x:v>29142</x:v>
      </x:c>
      <x:c r="CG2" s="11" t="n">
        <x:v>418669</x:v>
      </x:c>
      <x:c r="CH2" s="11" t="n">
        <x:v>1175011</x:v>
      </x:c>
      <x:c r="CI2" s="11" t="n">
        <x:v>111087</x:v>
      </x:c>
      <x:c r="CJ2" s="11" t="n">
        <x:v>377162</x:v>
      </x:c>
      <x:c r="CK2" s="11" t="n">
        <x:v>341590</x:v>
      </x:c>
      <x:c r="CL2" s="11" t="n">
        <x:v>0</x:v>
      </x:c>
      <x:c r="CM2" s="11"/>
      <x:c r="CN2" s="11" t="n">
        <x:v>0</x:v>
      </x:c>
      <x:c r="CO2" s="11" t="n">
        <x:v>0</x:v>
      </x:c>
      <x:c r="CP2" s="8"/>
      <x:c r="CQ2" s="8" t="str">
        <x:v>100 Mile House</x:v>
      </x:c>
    </x:row>
    <x:row r="3">
      <x:c r="A3" s="8" t="str">
        <x:v>100 Mile House|2020</x:v>
      </x:c>
      <x:c r="B3" s="8" t="str">
        <x:v>100-mile-house-d</x:v>
      </x:c>
      <x:c r="C3" s="8" t="str">
        <x:v>100 Mile House</x:v>
      </x:c>
      <x:c r="D3" s="8" t="str">
        <x:v>100 Mile House</x:v>
      </x:c>
      <x:c r="E3" s="8" t="str">
        <x:v>D</x:v>
      </x:c>
      <x:c r="F3" s="8" t="str">
        <x:v>CAR</x:v>
      </x:c>
      <x:c r="G3" s="9" t="n">
        <x:v>2020</x:v>
      </x:c>
      <x:c r="H3" s="10" t="n">
        <x:v>2012</x:v>
      </x:c>
      <x:c r="I3" s="8" t="str">
        <x:v>Under 5,000</x:v>
      </x:c>
      <x:c r="J3" s="11" t="n">
        <x:v>8659279</x:v>
      </x:c>
      <x:c r="K3" s="11" t="n">
        <x:v>5551516</x:v>
      </x:c>
      <x:c r="L3" s="11" t="n">
        <x:v>3107763</x:v>
      </x:c>
      <x:c r="M3" s="12" t="n">
        <x:v>0.35889396796199774</x:v>
      </x:c>
      <x:c r="N3" s="11" t="n">
        <x:v>3142829</x:v>
      </x:c>
      <x:c r="O3" s="11" t="n">
        <x:v>1404708</x:v>
      </x:c>
      <x:c r="P3" s="11" t="n">
        <x:v>2079918</x:v>
      </x:c>
      <x:c r="Q3" s="11" t="n">
        <x:v>2031824</x:v>
      </x:c>
      <x:c r="R3" s="11" t="n">
        <x:v>4071750</x:v>
      </x:c>
      <x:c r="S3" s="11" t="n">
        <x:v>1461608</x:v>
      </x:c>
      <x:c r="T3" s="11" t="n">
        <x:v>14941418</x:v>
      </x:c>
      <x:c r="U3" s="11" t="n">
        <x:v>3032079</x:v>
      </x:c>
      <x:c r="V3" s="11" t="n">
        <x:v>15536669</x:v>
      </x:c>
      <x:c r="W3" s="11" t="n">
        <x:v>12077591</x:v>
      </x:c>
      <x:c r="X3" s="11" t="n">
        <x:v>77230</x:v>
      </x:c>
      <x:c r="Y3" s="11" t="n">
        <x:v>0</x:v>
      </x:c>
      <x:c r="Z3" s="11" t="n">
        <x:v>12637</x:v>
      </x:c>
      <x:c r="AA3" s="11" t="n">
        <x:v>49656</x:v>
      </x:c>
      <x:c r="AB3" s="11" t="n">
        <x:v>18158</x:v>
      </x:c>
      <x:c r="AC3" s="11" t="n">
        <x:v>30795</x:v>
      </x:c>
      <x:c r="AD3" s="11" t="n">
        <x:v>1240678</x:v>
      </x:c>
      <x:c r="AE3" s="11" t="n">
        <x:v>1209883</x:v>
      </x:c>
      <x:c r="AF3" s="11" t="n">
        <x:v>4962712</x:v>
      </x:c>
      <x:c r="AG3" s="11" t="n">
        <x:v>61171690</x:v>
      </x:c>
      <x:c r="AH3" s="11" t="n">
        <x:v>25138097</x:v>
      </x:c>
      <x:c r="AI3" s="11" t="n">
        <x:v>36033593</x:v>
      </x:c>
      <x:c r="AJ3" s="11" t="n">
        <x:v>1784403</x:v>
      </x:c>
      <x:c r="AK3" s="11" t="n">
        <x:v>2173346</x:v>
      </x:c>
      <x:c r="AL3" s="11" t="n">
        <x:v>0</x:v>
      </x:c>
      <x:c r="AM3" s="12" t="n">
        <x:v>1</x:v>
      </x:c>
      <x:c r="AN3" s="12" t="n">
        <x:v>0.8210395399536015</x:v>
      </x:c>
      <x:c r="AO3" s="11" t="n">
        <x:v>5226415</x:v>
      </x:c>
      <x:c r="AP3" s="11" t="n">
        <x:v>5157406</x:v>
      </x:c>
      <x:c r="AQ3" s="12" t="n">
        <x:v>0.98679611167502</x:v>
      </x:c>
      <x:c r="AR3" s="11" t="n">
        <x:v>4303.816600397614</x:v>
      </x:c>
      <x:c r="AS3" s="11" t="n">
        <x:v>2759.202783300199</x:v>
      </x:c>
      <x:c r="AT3" s="11" t="n">
        <x:v>7722.002485089463</x:v>
      </x:c>
      <x:c r="AU3" s="11" t="n">
        <x:v>6002.778827037773</x:v>
      </x:c>
      <x:c r="AV3" s="11" t="n">
        <x:v>24.679920477137177</x:v>
      </x:c>
      <x:c r="AW3" s="11" t="n">
        <x:v>4.927779916024615</x:v>
      </x:c>
      <x:c r="AX3" s="12" t="n">
        <x:v>0.9751788941207953</x:v>
      </x:c>
      <x:c r="AY3" s="11"/>
      <x:c r="AZ3" s="11"/>
      <x:c r="BA3" s="11"/>
      <x:c r="BB3" s="11"/>
      <x:c r="BC3" s="11"/>
      <x:c r="BD3" s="11"/>
      <x:c r="BE3" s="11"/>
      <x:c r="BF3" s="11"/>
      <x:c r="BG3" s="11"/>
      <x:c r="BH3" s="11"/>
      <x:c r="BI3" s="11"/>
      <x:c r="BJ3" s="11"/>
      <x:c r="BK3" s="12"/>
      <x:c r="BL3" s="12"/>
      <x:c r="BM3" s="12"/>
      <x:c r="BN3" s="12"/>
      <x:c r="BO3" s="12"/>
      <x:c r="BP3" s="12"/>
      <x:c r="BQ3" s="12"/>
      <x:c r="BR3" s="12"/>
      <x:c r="BS3" s="12"/>
      <x:c r="BT3" s="12"/>
      <x:c r="BU3" s="11" t="n">
        <x:v>16347</x:v>
      </x:c>
      <x:c r="BV3" s="11" t="n">
        <x:v>1542168</x:v>
      </x:c>
      <x:c r="BW3" s="11" t="n">
        <x:v>521403</x:v>
      </x:c>
      <x:c r="BX3" s="11" t="n">
        <x:v>148610</x:v>
      </x:c>
      <x:c r="BY3" s="11" t="n">
        <x:v>1612428</x:v>
      </x:c>
      <x:c r="BZ3" s="11" t="n">
        <x:v>0</x:v>
      </x:c>
      <x:c r="CA3" s="11" t="n">
        <x:v>3474</x:v>
      </x:c>
      <x:c r="CB3" s="11" t="n">
        <x:v>267312</x:v>
      </x:c>
      <x:c r="CC3" s="11" t="n">
        <x:v>837941</x:v>
      </x:c>
      <x:c r="CD3" s="11" t="n">
        <x:v>662178</x:v>
      </x:c>
      <x:c r="CE3" s="11" t="n">
        <x:v>108774</x:v>
      </x:c>
      <x:c r="CF3" s="11" t="n">
        <x:v>25592</x:v>
      </x:c>
      <x:c r="CG3" s="11" t="n">
        <x:v>588555</x:v>
      </x:c>
      <x:c r="CH3" s="11" t="n">
        <x:v>1100566</x:v>
      </x:c>
      <x:c r="CI3" s="11" t="n">
        <x:v>86655</x:v>
      </x:c>
      <x:c r="CJ3" s="11" t="n">
        <x:v>330885</x:v>
      </x:c>
      <x:c r="CK3" s="11" t="n">
        <x:v>329261</x:v>
      </x:c>
      <x:c r="CL3" s="11" t="n">
        <x:v>0</x:v>
      </x:c>
      <x:c r="CM3" s="11"/>
      <x:c r="CN3" s="11" t="n">
        <x:v>19501</x:v>
      </x:c>
      <x:c r="CO3" s="11" t="n">
        <x:v>0</x:v>
      </x:c>
      <x:c r="CP3" s="8"/>
      <x:c r="CQ3" s="8" t="str">
        <x:v>Abbotsford</x:v>
      </x:c>
    </x:row>
    <x:row r="4">
      <x:c r="A4" s="8" t="str">
        <x:v>100 Mile House|2021</x:v>
      </x:c>
      <x:c r="B4" s="8" t="str">
        <x:v>100-mile-house-d</x:v>
      </x:c>
      <x:c r="C4" s="8" t="str">
        <x:v>100 Mile House</x:v>
      </x:c>
      <x:c r="D4" s="8" t="str">
        <x:v>100 Mile House</x:v>
      </x:c>
      <x:c r="E4" s="8" t="str">
        <x:v>D</x:v>
      </x:c>
      <x:c r="F4" s="8" t="str">
        <x:v>CAR</x:v>
      </x:c>
      <x:c r="G4" s="9" t="n">
        <x:v>2021</x:v>
      </x:c>
      <x:c r="H4" s="10" t="n">
        <x:v>2016</x:v>
      </x:c>
      <x:c r="I4" s="8" t="str">
        <x:v>Under 5,000</x:v>
      </x:c>
      <x:c r="J4" s="11" t="n">
        <x:v>8692670</x:v>
      </x:c>
      <x:c r="K4" s="11" t="n">
        <x:v>6048436</x:v>
      </x:c>
      <x:c r="L4" s="11" t="n">
        <x:v>2644234</x:v>
      </x:c>
      <x:c r="M4" s="12" t="n">
        <x:v>0.3041912323831458</x:v>
      </x:c>
      <x:c r="N4" s="11" t="n">
        <x:v>3157660</x:v>
      </x:c>
      <x:c r="O4" s="11" t="n">
        <x:v>1230930</x:v>
      </x:c>
      <x:c r="P4" s="11" t="n">
        <x:v>1635703</x:v>
      </x:c>
      <x:c r="Q4" s="11" t="n">
        <x:v>2668377</x:v>
      </x:c>
      <x:c r="R4" s="11" t="n">
        <x:v>4549403</x:v>
      </x:c>
      <x:c r="S4" s="11" t="n">
        <x:v>1493519</x:v>
      </x:c>
      <x:c r="T4" s="11" t="n">
        <x:v>18059084</x:v>
      </x:c>
      <x:c r="U4" s="11" t="n">
        <x:v>3607461</x:v>
      </x:c>
      <x:c r="V4" s="11" t="n">
        <x:v>16002512</x:v>
      </x:c>
      <x:c r="W4" s="11" t="n">
        <x:v>14730990</x:v>
      </x:c>
      <x:c r="X4" s="11" t="n">
        <x:v>49656</x:v>
      </x:c>
      <x:c r="Y4" s="11" t="n">
        <x:v>0</x:v>
      </x:c>
      <x:c r="Z4" s="11" t="n">
        <x:v>5278</x:v>
      </x:c>
      <x:c r="AA4" s="11" t="n">
        <x:v>38135</x:v>
      </x:c>
      <x:c r="AB4" s="11" t="n">
        <x:v>5514</x:v>
      </x:c>
      <x:c r="AC4" s="11" t="n">
        <x:v>10792</x:v>
      </x:c>
      <x:c r="AD4" s="11" t="n">
        <x:v>1180864</x:v>
      </x:c>
      <x:c r="AE4" s="11" t="n">
        <x:v>1170072</x:v>
      </x:c>
      <x:c r="AF4" s="11" t="n">
        <x:v>4723454</x:v>
      </x:c>
      <x:c r="AG4" s="11" t="n">
        <x:v>64722115</x:v>
      </x:c>
      <x:c r="AH4" s="11" t="n">
        <x:v>26503506</x:v>
      </x:c>
      <x:c r="AI4" s="11" t="n">
        <x:v>38218609</x:v>
      </x:c>
      <x:c r="AJ4" s="11" t="n">
        <x:v>3678534</x:v>
      </x:c>
      <x:c r="AK4" s="11" t="n">
        <x:v>4301667</x:v>
      </x:c>
      <x:c r="AL4" s="11" t="n">
        <x:v>0</x:v>
      </x:c>
      <x:c r="AM4" s="12" t="n">
        <x:v>1</x:v>
      </x:c>
      <x:c r="AN4" s="12" t="n">
        <x:v>0.8551415067693524</x:v>
      </x:c>
      <x:c r="AO4" s="11" t="n">
        <x:v>5602247</x:v>
      </x:c>
      <x:c r="AP4" s="11" t="n">
        <x:v>5513075</x:v>
      </x:c>
      <x:c r="AQ4" s="12" t="n">
        <x:v>0.9840828153417727</x:v>
      </x:c>
      <x:c r="AR4" s="11" t="n">
        <x:v>4311.840277777777</x:v>
      </x:c>
      <x:c r="AS4" s="11" t="n">
        <x:v>3000.21626984127</x:v>
      </x:c>
      <x:c r="AT4" s="11" t="n">
        <x:v>7937.753968253968</x:v>
      </x:c>
      <x:c r="AU4" s="11" t="n">
        <x:v>7307.038690476191</x:v>
      </x:c>
      <x:c r="AV4" s="11" t="n">
        <x:v>18.916170634920636</x:v>
      </x:c>
      <x:c r="AW4" s="11" t="n">
        <x:v>5.006037210104281</x:v>
      </x:c>
      <x:c r="AX4" s="12" t="n">
        <x:v>0.9908609289469406</x:v>
      </x:c>
      <x:c r="AY4" s="11"/>
      <x:c r="AZ4" s="11"/>
      <x:c r="BA4" s="11"/>
      <x:c r="BB4" s="11"/>
      <x:c r="BC4" s="11"/>
      <x:c r="BD4" s="11"/>
      <x:c r="BE4" s="11"/>
      <x:c r="BF4" s="11"/>
      <x:c r="BG4" s="11"/>
      <x:c r="BH4" s="11"/>
      <x:c r="BI4" s="11"/>
      <x:c r="BJ4" s="11"/>
      <x:c r="BK4" s="12"/>
      <x:c r="BL4" s="12"/>
      <x:c r="BM4" s="12"/>
      <x:c r="BN4" s="12"/>
      <x:c r="BO4" s="12"/>
      <x:c r="BP4" s="12"/>
      <x:c r="BQ4" s="12"/>
      <x:c r="BR4" s="12"/>
      <x:c r="BS4" s="12"/>
      <x:c r="BT4" s="12"/>
      <x:c r="BU4" s="11" t="n">
        <x:v>14220</x:v>
      </x:c>
      <x:c r="BV4" s="11" t="n">
        <x:v>1070363</x:v>
      </x:c>
      <x:c r="BW4" s="11" t="n">
        <x:v>551120</x:v>
      </x:c>
      <x:c r="BX4" s="11" t="n">
        <x:v>109557</x:v>
      </x:c>
      <x:c r="BY4" s="11" t="n">
        <x:v>1196737</x:v>
      </x:c>
      <x:c r="BZ4" s="11" t="n">
        <x:v>1133768</x:v>
      </x:c>
      <x:c r="CA4" s="11" t="n">
        <x:v>14666</x:v>
      </x:c>
      <x:c r="CB4" s="11" t="n">
        <x:v>213649</x:v>
      </x:c>
      <x:c r="CC4" s="11" t="n">
        <x:v>942337</x:v>
      </x:c>
      <x:c r="CD4" s="11" t="n">
        <x:v>821450</x:v>
      </x:c>
      <x:c r="CE4" s="11" t="n">
        <x:v>115331</x:v>
      </x:c>
      <x:c r="CF4" s="11" t="n">
        <x:v>39096</x:v>
      </x:c>
      <x:c r="CG4" s="11" t="n">
        <x:v>631863</x:v>
      </x:c>
      <x:c r="CH4" s="11" t="n">
        <x:v>1222655</x:v>
      </x:c>
      <x:c r="CI4" s="11" t="n">
        <x:v>127920</x:v>
      </x:c>
      <x:c r="CJ4" s="11" t="n">
        <x:v>382800</x:v>
      </x:c>
      <x:c r="CK4" s="11" t="n">
        <x:v>266187</x:v>
      </x:c>
      <x:c r="CL4" s="11" t="n">
        <x:v>0</x:v>
      </x:c>
      <x:c r="CM4" s="11"/>
      <x:c r="CN4" s="11" t="n">
        <x:v>0</x:v>
      </x:c>
      <x:c r="CO4" s="11" t="n">
        <x:v>5278</x:v>
      </x:c>
      <x:c r="CP4" s="8"/>
      <x:c r="CQ4" s="8" t="str">
        <x:v>Alert Bay</x:v>
      </x:c>
    </x:row>
    <x:row r="5">
      <x:c r="A5" s="8" t="str">
        <x:v>100 Mile House|2022</x:v>
      </x:c>
      <x:c r="B5" s="8" t="str">
        <x:v>100-mile-house-d</x:v>
      </x:c>
      <x:c r="C5" s="8" t="str">
        <x:v>100 Mile House</x:v>
      </x:c>
      <x:c r="D5" s="8" t="str">
        <x:v>100 Mile House</x:v>
      </x:c>
      <x:c r="E5" s="8" t="str">
        <x:v>D</x:v>
      </x:c>
      <x:c r="F5" s="8" t="str">
        <x:v>CAR</x:v>
      </x:c>
      <x:c r="G5" s="9" t="n">
        <x:v>2022</x:v>
      </x:c>
      <x:c r="H5" s="10" t="n">
        <x:v>2026</x:v>
      </x:c>
      <x:c r="I5" s="8" t="str">
        <x:v>Under 5,000</x:v>
      </x:c>
      <x:c r="J5" s="11" t="n">
        <x:v>8564550</x:v>
      </x:c>
      <x:c r="K5" s="11" t="n">
        <x:v>6527624</x:v>
      </x:c>
      <x:c r="L5" s="11" t="n">
        <x:v>2036926</x:v>
      </x:c>
      <x:c r="M5" s="12" t="n">
        <x:v>0.2378322270288573</x:v>
      </x:c>
      <x:c r="N5" s="11" t="n">
        <x:v>3015003</x:v>
      </x:c>
      <x:c r="O5" s="11" t="n">
        <x:v>1168318</x:v>
      </x:c>
      <x:c r="P5" s="11" t="n">
        <x:v>2532222</x:v>
      </x:c>
      <x:c r="Q5" s="11" t="n">
        <x:v>1849007</x:v>
      </x:c>
      <x:c r="R5" s="11" t="n">
        <x:v>4883755</x:v>
      </x:c>
      <x:c r="S5" s="11" t="n">
        <x:v>1636460</x:v>
      </x:c>
      <x:c r="T5" s="11" t="n">
        <x:v>16969220</x:v>
      </x:c>
      <x:c r="U5" s="11" t="n">
        <x:v>3472711</x:v>
      </x:c>
      <x:c r="V5" s="11" t="n">
        <x:v>15355530</x:v>
      </x:c>
      <x:c r="W5" s="11" t="n">
        <x:v>15361537</x:v>
      </x:c>
      <x:c r="X5" s="11" t="n">
        <x:v>38135</x:v>
      </x:c>
      <x:c r="Y5" s="11" t="n">
        <x:v>0</x:v>
      </x:c>
      <x:c r="Z5" s="11" t="n">
        <x:v>5278</x:v>
      </x:c>
      <x:c r="AA5" s="11" t="n">
        <x:v>26038</x:v>
      </x:c>
      <x:c r="AB5" s="11" t="n">
        <x:v>7409</x:v>
      </x:c>
      <x:c r="AC5" s="11" t="n">
        <x:v>12687</x:v>
      </x:c>
      <x:c r="AD5" s="11" t="n">
        <x:v>1244475</x:v>
      </x:c>
      <x:c r="AE5" s="11" t="n">
        <x:v>1222838</x:v>
      </x:c>
      <x:c r="AF5" s="11" t="n">
        <x:v>4977898</x:v>
      </x:c>
      <x:c r="AG5" s="11" t="n">
        <x:v>68577975</x:v>
      </x:c>
      <x:c r="AH5" s="11" t="n">
        <x:v>28103918</x:v>
      </x:c>
      <x:c r="AI5" s="11" t="n">
        <x:v>40474057</x:v>
      </x:c>
      <x:c r="AJ5" s="11" t="n">
        <x:v>3957800</x:v>
      </x:c>
      <x:c r="AK5" s="11" t="n">
        <x:v>4687182</x:v>
      </x:c>
      <x:c r="AL5" s="11" t="n">
        <x:v>0</x:v>
      </x:c>
      <x:c r="AM5" s="12" t="n">
        <x:v>1</x:v>
      </x:c>
      <x:c r="AN5" s="12" t="n">
        <x:v>0.844387949945191</x:v>
      </x:c>
      <x:c r="AO5" s="11" t="n">
        <x:v>5450827</x:v>
      </x:c>
      <x:c r="AP5" s="11" t="n">
        <x:v>5349698</x:v>
      </x:c>
      <x:c r="AQ5" s="12" t="n">
        <x:v>0.9814470354681959</x:v>
      </x:c>
      <x:c r="AR5" s="11" t="n">
        <x:v>4227.319842053307</x:v>
      </x:c>
      <x:c r="AS5" s="11" t="n">
        <x:v>3221.9269496544916</x:v>
      </x:c>
      <x:c r="AT5" s="11" t="n">
        <x:v>7579.234945705824</x:v>
      </x:c>
      <x:c r="AU5" s="11" t="n">
        <x:v>7582.199901283317</x:v>
      </x:c>
      <x:c r="AV5" s="11" t="n">
        <x:v>12.851924975320829</x:v>
      </x:c>
      <x:c r="AW5" s="11" t="n">
        <x:v>4.886447504557679</x:v>
      </x:c>
      <x:c r="AX5" s="12" t="n">
        <x:v>0.9826135518993954</x:v>
      </x:c>
      <x:c r="AY5" s="11"/>
      <x:c r="AZ5" s="11"/>
      <x:c r="BA5" s="11"/>
      <x:c r="BB5" s="11"/>
      <x:c r="BC5" s="11"/>
      <x:c r="BD5" s="11"/>
      <x:c r="BE5" s="11"/>
      <x:c r="BF5" s="11"/>
      <x:c r="BG5" s="11"/>
      <x:c r="BH5" s="11"/>
      <x:c r="BI5" s="11"/>
      <x:c r="BJ5" s="11"/>
      <x:c r="BK5" s="12"/>
      <x:c r="BL5" s="12"/>
      <x:c r="BM5" s="12"/>
      <x:c r="BN5" s="12"/>
      <x:c r="BO5" s="12"/>
      <x:c r="BP5" s="12"/>
      <x:c r="BQ5" s="12"/>
      <x:c r="BR5" s="12"/>
      <x:c r="BS5" s="12"/>
      <x:c r="BT5" s="12"/>
      <x:c r="BU5" s="11" t="n">
        <x:v>40778</x:v>
      </x:c>
      <x:c r="BV5" s="11" t="n">
        <x:v>1953284</x:v>
      </x:c>
      <x:c r="BW5" s="11" t="n">
        <x:v>538160</x:v>
      </x:c>
      <x:c r="BX5" s="11" t="n">
        <x:v>349111</x:v>
      </x:c>
      <x:c r="BY5" s="11" t="n">
        <x:v>665340</x:v>
      </x:c>
      <x:c r="BZ5" s="11" t="n">
        <x:v>389400</x:v>
      </x:c>
      <x:c r="CA5" s="11" t="n">
        <x:v>184109</x:v>
      </x:c>
      <x:c r="CB5" s="11" t="n">
        <x:v>261047</x:v>
      </x:c>
      <x:c r="CC5" s="11" t="n">
        <x:v>1076178</x:v>
      </x:c>
      <x:c r="CD5" s="11" t="n">
        <x:v>763297</x:v>
      </x:c>
      <x:c r="CE5" s="11" t="n">
        <x:v>112199</x:v>
      </x:c>
      <x:c r="CF5" s="11" t="n">
        <x:v>34981</x:v>
      </x:c>
      <x:c r="CG5" s="11" t="n">
        <x:v>594746</x:v>
      </x:c>
      <x:c r="CH5" s="11" t="n">
        <x:v>1390454</x:v>
      </x:c>
      <x:c r="CI5" s="11" t="n">
        <x:v>126143</x:v>
      </x:c>
      <x:c r="CJ5" s="11" t="n">
        <x:v>484814</x:v>
      </x:c>
      <x:c r="CK5" s="11" t="n">
        <x:v>303072</x:v>
      </x:c>
      <x:c r="CL5" s="11" t="n">
        <x:v>0</x:v>
      </x:c>
      <x:c r="CM5" s="11"/>
      <x:c r="CN5" s="11" t="n">
        <x:v>0</x:v>
      </x:c>
      <x:c r="CO5" s="11" t="n">
        <x:v>5280</x:v>
      </x:c>
      <x:c r="CP5" s="8"/>
      <x:c r="CQ5" s="8" t="str">
        <x:v>Anmore</x:v>
      </x:c>
    </x:row>
    <x:row r="6">
      <x:c r="A6" s="8" t="str">
        <x:v>100 Mile House|2023</x:v>
      </x:c>
      <x:c r="B6" s="8" t="str">
        <x:v>100-mile-house-d</x:v>
      </x:c>
      <x:c r="C6" s="8" t="str">
        <x:v>100 Mile House</x:v>
      </x:c>
      <x:c r="D6" s="8" t="str">
        <x:v>100 Mile House</x:v>
      </x:c>
      <x:c r="E6" s="8" t="str">
        <x:v>D</x:v>
      </x:c>
      <x:c r="F6" s="8" t="str">
        <x:v>CAR</x:v>
      </x:c>
      <x:c r="G6" s="9" t="n">
        <x:v>2023</x:v>
      </x:c>
      <x:c r="H6" s="10" t="n">
        <x:v>2083</x:v>
      </x:c>
      <x:c r="I6" s="8" t="str">
        <x:v>Under 5,000</x:v>
      </x:c>
      <x:c r="J6" s="11" t="n">
        <x:v>8705333</x:v>
      </x:c>
      <x:c r="K6" s="11" t="n">
        <x:v>6748188</x:v>
      </x:c>
      <x:c r="L6" s="11" t="n">
        <x:v>1957145</x:v>
      </x:c>
      <x:c r="M6" s="12" t="n">
        <x:v>0.22482138247899305</x:v>
      </x:c>
      <x:c r="N6" s="11" t="n">
        <x:v>3138612</x:v>
      </x:c>
      <x:c r="O6" s="11" t="n">
        <x:v>1569199</x:v>
      </x:c>
      <x:c r="P6" s="11" t="n">
        <x:v>2989878</x:v>
      </x:c>
      <x:c r="Q6" s="11" t="n">
        <x:v>1007644</x:v>
      </x:c>
      <x:c r="R6" s="11" t="n">
        <x:v>4897304</x:v>
      </x:c>
      <x:c r="S6" s="11" t="n">
        <x:v>1846957</x:v>
      </x:c>
      <x:c r="T6" s="11" t="n">
        <x:v>19156595</x:v>
      </x:c>
      <x:c r="U6" s="11" t="n">
        <x:v>2504166</x:v>
      </x:c>
      <x:c r="V6" s="11" t="n">
        <x:v>17931096</x:v>
      </x:c>
      <x:c r="W6" s="11" t="n">
        <x:v>16863872</x:v>
      </x:c>
      <x:c r="X6" s="11" t="n">
        <x:v>26038</x:v>
      </x:c>
      <x:c r="Y6" s="11" t="n">
        <x:v>0</x:v>
      </x:c>
      <x:c r="Z6" s="11" t="n">
        <x:v>5278</x:v>
      </x:c>
      <x:c r="AA6" s="11" t="n">
        <x:v>13336</x:v>
      </x:c>
      <x:c r="AB6" s="11" t="n">
        <x:v>3927</x:v>
      </x:c>
      <x:c r="AC6" s="11" t="n">
        <x:v>9205</x:v>
      </x:c>
      <x:c r="AD6" s="11" t="n">
        <x:v>1447291</x:v>
      </x:c>
      <x:c r="AE6" s="11" t="n">
        <x:v>1438086</x:v>
      </x:c>
      <x:c r="AF6" s="11" t="n">
        <x:v>5789162</x:v>
      </x:c>
      <x:c r="AG6" s="11" t="n">
        <x:v>70959253</x:v>
      </x:c>
      <x:c r="AH6" s="11" t="n">
        <x:v>30001211</x:v>
      </x:c>
      <x:c r="AI6" s="11" t="n">
        <x:v>40958042</x:v>
      </x:c>
      <x:c r="AJ6" s="11" t="n">
        <x:v>2126824</x:v>
      </x:c>
      <x:c r="AK6" s="11" t="n">
        <x:v>3978488</x:v>
      </x:c>
      <x:c r="AL6" s="11" t="n">
        <x:v>0</x:v>
      </x:c>
      <x:c r="AM6" s="12" t="n">
        <x:v>1</x:v>
      </x:c>
      <x:c r="AN6" s="12" t="n">
        <x:v>0.5345809764915717</x:v>
      </x:c>
      <x:c r="AO6" s="11" t="n">
        <x:v>5887993</x:v>
      </x:c>
      <x:c r="AP6" s="11" t="n">
        <x:v>5664296</x:v>
      </x:c>
      <x:c r="AQ6" s="12" t="n">
        <x:v>0.9620079371697623</x:v>
      </x:c>
      <x:c r="AR6" s="11" t="n">
        <x:v>4179.22851656265</x:v>
      </x:c>
      <x:c r="AS6" s="11" t="n">
        <x:v>3239.648583773404</x:v>
      </x:c>
      <x:c r="AT6" s="11" t="n">
        <x:v>8608.303408545367</x:v>
      </x:c>
      <x:c r="AU6" s="11" t="n">
        <x:v>8095.953912626021</x:v>
      </x:c>
      <x:c r="AV6" s="11" t="n">
        <x:v>6.402304368698992</x:v>
      </x:c>
      <x:c r="AW6" s="11" t="n">
        <x:v>7.649890222932505</x:v>
      </x:c>
      <x:c r="AX6" s="12" t="n">
        <x:v>0.9936398416075275</x:v>
      </x:c>
      <x:c r="AY6" s="11"/>
      <x:c r="AZ6" s="11"/>
      <x:c r="BA6" s="11"/>
      <x:c r="BB6" s="11"/>
      <x:c r="BC6" s="11"/>
      <x:c r="BD6" s="11"/>
      <x:c r="BE6" s="11"/>
      <x:c r="BF6" s="11"/>
      <x:c r="BG6" s="11"/>
      <x:c r="BH6" s="11"/>
      <x:c r="BI6" s="11"/>
      <x:c r="BJ6" s="11"/>
      <x:c r="BK6" s="12"/>
      <x:c r="BL6" s="12"/>
      <x:c r="BM6" s="12"/>
      <x:c r="BN6" s="12"/>
      <x:c r="BO6" s="12"/>
      <x:c r="BP6" s="12"/>
      <x:c r="BQ6" s="12"/>
      <x:c r="BR6" s="12"/>
      <x:c r="BS6" s="12"/>
      <x:c r="BT6" s="12"/>
      <x:c r="BU6" s="11" t="n">
        <x:v>207500</x:v>
      </x:c>
      <x:c r="BV6" s="11" t="n">
        <x:v>2225223</x:v>
      </x:c>
      <x:c r="BW6" s="11" t="n">
        <x:v>557155</x:v>
      </x:c>
      <x:c r="BX6" s="11" t="n">
        <x:v>1004644</x:v>
      </x:c>
      <x:c r="BY6" s="11" t="n">
        <x:v>0</x:v>
      </x:c>
      <x:c r="BZ6" s="11" t="n">
        <x:v>3000</x:v>
      </x:c>
      <x:c r="CA6" s="11" t="n">
        <x:v>0</x:v>
      </x:c>
      <x:c r="CB6" s="11" t="n">
        <x:v>0</x:v>
      </x:c>
      <x:c r="CC6" s="11" t="n">
        <x:v>981176</x:v>
      </x:c>
      <x:c r="CD6" s="11" t="n">
        <x:v>746542</x:v>
      </x:c>
      <x:c r="CE6" s="11" t="n">
        <x:v>127752</x:v>
      </x:c>
      <x:c r="CF6" s="11" t="n">
        <x:v>0</x:v>
      </x:c>
      <x:c r="CG6" s="11" t="n">
        <x:v>616960</x:v>
      </x:c>
      <x:c r="CH6" s="11" t="n">
        <x:v>1367718</x:v>
      </x:c>
      <x:c r="CI6" s="11" t="n">
        <x:v>141508</x:v>
      </x:c>
      <x:c r="CJ6" s="11" t="n">
        <x:v>564248</x:v>
      </x:c>
      <x:c r="CK6" s="11" t="n">
        <x:v>263495</x:v>
      </x:c>
      <x:c r="CL6" s="11" t="n">
        <x:v>32527</x:v>
      </x:c>
      <x:c r="CM6" s="11" t="n">
        <x:v>41687</x:v>
      </x:c>
      <x:c r="CN6" s="11" t="n">
        <x:v>17618</x:v>
      </x:c>
      <x:c r="CO6" s="11" t="n">
        <x:v>0</x:v>
      </x:c>
      <x:c r="CP6" s="8"/>
      <x:c r="CQ6" s="8" t="str">
        <x:v>Armstrong</x:v>
      </x:c>
    </x:row>
    <x:row r="7">
      <x:c r="A7" s="8" t="str">
        <x:v>100 Mile House|2024</x:v>
      </x:c>
      <x:c r="B7" s="8" t="str">
        <x:v>100-mile-house-d</x:v>
      </x:c>
      <x:c r="C7" s="8" t="str">
        <x:v>100 Mile House</x:v>
      </x:c>
      <x:c r="D7" s="8" t="str">
        <x:v>100 Mile House</x:v>
      </x:c>
      <x:c r="E7" s="8" t="str">
        <x:v>D</x:v>
      </x:c>
      <x:c r="F7" s="8" t="str">
        <x:v>CAR</x:v>
      </x:c>
      <x:c r="G7" s="9" t="n">
        <x:v>2024</x:v>
      </x:c>
      <x:c r="H7" s="10" t="n">
        <x:v>2083</x:v>
      </x:c>
      <x:c r="I7" s="8" t="str">
        <x:v>Under 5,000</x:v>
      </x:c>
      <x:c r="J7" s="11" t="n">
        <x:v>7942355</x:v>
      </x:c>
      <x:c r="K7" s="11" t="n">
        <x:v>7235974</x:v>
      </x:c>
      <x:c r="L7" s="11" t="n">
        <x:v>706381</x:v>
      </x:c>
      <x:c r="M7" s="12" t="n">
        <x:v>0.08893848235189689</x:v>
      </x:c>
      <x:c r="N7" s="11" t="n">
        <x:v>3195706</x:v>
      </x:c>
      <x:c r="O7" s="11" t="n">
        <x:v>2293313</x:v>
      </x:c>
      <x:c r="P7" s="11" t="n">
        <x:v>1430830</x:v>
      </x:c>
      <x:c r="Q7" s="11" t="n">
        <x:v>1022506</x:v>
      </x:c>
      <x:c r="R7" s="11" t="n">
        <x:v>5371647</x:v>
      </x:c>
      <x:c r="S7" s="11" t="n">
        <x:v>1860712</x:v>
      </x:c>
      <x:c r="T7" s="11" t="n">
        <x:v>18530754</x:v>
      </x:c>
      <x:c r="U7" s="11" t="n">
        <x:v>2441445</x:v>
      </x:c>
      <x:c r="V7" s="11" t="n">
        <x:v>17586134</x:v>
      </x:c>
      <x:c r="W7" s="11" t="n">
        <x:v>15647339</x:v>
      </x:c>
      <x:c r="X7" s="11" t="n">
        <x:v>13337</x:v>
      </x:c>
      <x:c r="Y7" s="11" t="n">
        <x:v>0</x:v>
      </x:c>
      <x:c r="Z7" s="11" t="n">
        <x:v>5278</x:v>
      </x:c>
      <x:c r="AA7" s="11" t="n">
        <x:v>0</x:v>
      </x:c>
      <x:c r="AB7" s="11" t="n">
        <x:v>3615</x:v>
      </x:c>
      <x:c r="AC7" s="11" t="n">
        <x:v>8893</x:v>
      </x:c>
      <x:c r="AD7" s="11" t="n">
        <x:v>1666470</x:v>
      </x:c>
      <x:c r="AE7" s="11" t="n">
        <x:v>1657577</x:v>
      </x:c>
      <x:c r="AF7" s="11" t="n">
        <x:v>6665880</x:v>
      </x:c>
      <x:c r="AG7" s="11" t="n">
        <x:v>73302743</x:v>
      </x:c>
      <x:c r="AH7" s="11" t="n">
        <x:v>30885193</x:v>
      </x:c>
      <x:c r="AI7" s="11" t="n">
        <x:v>42417550</x:v>
      </x:c>
      <x:c r="AJ7" s="11" t="n">
        <x:v>3338540</x:v>
      </x:c>
      <x:c r="AK7" s="11" t="n">
        <x:v>176317528</x:v>
      </x:c>
      <x:c r="AL7" s="11" t="n">
        <x:v>4471702</x:v>
      </x:c>
      <x:c r="AM7" s="12" t="n">
        <x:v>0.974638358133061</x:v>
      </x:c>
      <x:c r="AN7" s="12" t="n">
        <x:v>0.0189348162821339</x:v>
      </x:c>
      <x:c r="AO7" s="11" t="n">
        <x:v>6313425</x:v>
      </x:c>
      <x:c r="AP7" s="11" t="n">
        <x:v>6099793</x:v>
      </x:c>
      <x:c r="AQ7" s="12" t="n">
        <x:v>0.9661622653314168</x:v>
      </x:c>
      <x:c r="AR7" s="11" t="n">
        <x:v>3812.940470475276</x:v>
      </x:c>
      <x:c r="AS7" s="11" t="n">
        <x:v>3473.8233317330773</x:v>
      </x:c>
      <x:c r="AT7" s="11" t="n">
        <x:v>8442.695151224196</x:v>
      </x:c>
      <x:c r="AU7" s="11" t="n">
        <x:v>7511.924627940471</x:v>
      </x:c>
      <x:c r="AV7" s="11" t="n">
        <x:v>0</x:v>
      </x:c>
      <x:c r="AW7" s="11" t="n">
        <x:v>7.590076368707876</x:v>
      </x:c>
      <x:c r="AX7" s="12" t="n">
        <x:v>0.9946635703012956</x:v>
      </x:c>
      <x:c r="AY7" s="11" t="n">
        <x:v>4486.511144130758</x:v>
      </x:c>
      <x:c r="AZ7" s="11" t="n">
        <x:v>3546.5079302077975</x:v>
      </x:c>
      <x:c r="BA7" s="11" t="n">
        <x:v>3557.844717668488</x:v>
      </x:c>
      <x:c r="BB7" s="11" t="n">
        <x:v>2783.665107049771</x:v>
      </x:c>
      <x:c r="BC7" s="11" t="n">
        <x:v>5496.677373974208</x:v>
      </x:c>
      <x:c r="BD7" s="11" t="n">
        <x:v>2437.8724475115623</x:v>
      </x:c>
      <x:c r="BE7" s="11" t="n">
        <x:v>3386.4506393861893</x:v>
      </x:c>
      <x:c r="BF7" s="11" t="n">
        <x:v>1604.3462673977224</x:v>
      </x:c>
      <x:c r="BG7" s="11" t="n">
        <x:v>624.7436119532265</x:v>
      </x:c>
      <x:c r="BH7" s="11" t="n">
        <x:v>518.5374381567245</x:v>
      </x:c>
      <x:c r="BI7" s="11" t="n">
        <x:v>3.324657351485151</x:v>
      </x:c>
      <x:c r="BJ7" s="11" t="n">
        <x:v>1.7099330852451193</x:v>
      </x:c>
      <x:c r="BK7" s="12" t="n">
        <x:v>0.02521828600111612</x:v>
      </x:c>
      <x:c r="BL7" s="12" t="n">
        <x:v>0.02529861000232605</x:v>
      </x:c>
      <x:c r="BM7" s="12" t="n">
        <x:v>0.9816336034641139</x:v>
      </x:c>
      <x:c r="BN7" s="12" t="n">
        <x:v>0.9815511712696461</x:v>
      </x:c>
      <x:c r="BO7" s="12" t="n">
        <x:v>0.8531878894527055</x:v>
      </x:c>
      <x:c r="BP7" s="12" t="n">
        <x:v>0.8619101997275483</x:v>
      </x:c>
      <x:c r="BQ7" s="12" t="n">
        <x:v>0.9614729661922712</x:v>
      </x:c>
      <x:c r="BR7" s="12" t="n">
        <x:v>0.9623635142836453</x:v>
      </x:c>
      <x:c r="BS7" s="12" t="n">
        <x:v>0.23352896680225554</x:v>
      </x:c>
      <x:c r="BT7" s="12" t="n">
        <x:v>0.19976549769108282</x:v>
      </x:c>
      <x:c r="BU7" s="11" t="n">
        <x:v>151201</x:v>
      </x:c>
      <x:c r="BV7" s="11" t="n">
        <x:v>1150703</x:v>
      </x:c>
      <x:c r="BW7" s="11" t="n">
        <x:v>128926</x:v>
      </x:c>
      <x:c r="BX7" s="11" t="n">
        <x:v>982855</x:v>
      </x:c>
      <x:c r="BY7" s="11" t="n">
        <x:v>0</x:v>
      </x:c>
      <x:c r="BZ7" s="11" t="n">
        <x:v>13846</x:v>
      </x:c>
      <x:c r="CA7" s="11" t="n">
        <x:v>25805</x:v>
      </x:c>
      <x:c r="CB7" s="11" t="n">
        <x:v>0</x:v>
      </x:c>
      <x:c r="CC7" s="11" t="n">
        <x:v>1171774</x:v>
      </x:c>
      <x:c r="CD7" s="11" t="n">
        <x:v>762724</x:v>
      </x:c>
      <x:c r="CE7" s="11" t="n">
        <x:v>132598</x:v>
      </x:c>
      <x:c r="CF7" s="11" t="n">
        <x:v>0</x:v>
      </x:c>
      <x:c r="CG7" s="11" t="n">
        <x:v>380190</x:v>
      </x:c>
      <x:c r="CH7" s="11" t="n">
        <x:v>1439756</x:v>
      </x:c>
      <x:c r="CI7" s="11" t="n">
        <x:v>190018</x:v>
      </x:c>
      <x:c r="CJ7" s="11" t="n">
        <x:v>688128</x:v>
      </x:c>
      <x:c r="CK7" s="11" t="n">
        <x:v>376261</x:v>
      </x:c>
      <x:c r="CL7" s="11" t="n">
        <x:v>121402</x:v>
      </x:c>
      <x:c r="CM7" s="11" t="n">
        <x:v>39510</x:v>
      </x:c>
      <x:c r="CN7" s="11" t="n">
        <x:v>72901</x:v>
      </x:c>
      <x:c r="CO7" s="11" t="n">
        <x:v>0</x:v>
      </x:c>
      <x:c r="CP7" s="8"/>
      <x:c r="CQ7" s="8" t="str">
        <x:v>Ashcroft</x:v>
      </x:c>
    </x:row>
    <x:row r="8">
      <x:c r="A8" s="8" t="str">
        <x:v>Abbotsford|2019</x:v>
      </x:c>
      <x:c r="B8" s="8" t="str">
        <x:v>abbotsford-c</x:v>
      </x:c>
      <x:c r="C8" s="8" t="str">
        <x:v>Abbotsford</x:v>
      </x:c>
      <x:c r="D8" s="8" t="str">
        <x:v>Abbotsford</x:v>
      </x:c>
      <x:c r="E8" s="8" t="str">
        <x:v>C</x:v>
      </x:c>
      <x:c r="F8" s="8" t="str">
        <x:v>FVR</x:v>
      </x:c>
      <x:c r="G8" s="9" t="n">
        <x:v>2019</x:v>
      </x:c>
      <x:c r="H8" s="10" t="n">
        <x:v>158457</x:v>
      </x:c>
      <x:c r="I8" s="8" t="str">
        <x:v>100,000 and over</x:v>
      </x:c>
      <x:c r="J8" s="11" t="n">
        <x:v>305720000</x:v>
      </x:c>
      <x:c r="K8" s="11" t="n">
        <x:v>244201000</x:v>
      </x:c>
      <x:c r="L8" s="11" t="n">
        <x:v>61519000</x:v>
      </x:c>
      <x:c r="M8" s="12" t="n">
        <x:v>0.20122661258668062</x:v>
      </x:c>
      <x:c r="N8" s="11" t="n">
        <x:v>152032000</x:v>
      </x:c>
      <x:c r="O8" s="11" t="n">
        <x:v>90482000</x:v>
      </x:c>
      <x:c r="P8" s="11" t="n">
        <x:v>25832000</x:v>
      </x:c>
      <x:c r="Q8" s="11" t="n">
        <x:v>37374000</x:v>
      </x:c>
      <x:c r="R8" s="11" t="n">
        <x:v>201700000</x:v>
      </x:c>
      <x:c r="S8" s="11" t="n">
        <x:v>38251000</x:v>
      </x:c>
      <x:c r="T8" s="11" t="n">
        <x:v>498953000</x:v>
      </x:c>
      <x:c r="U8" s="11" t="n">
        <x:v>271773000</x:v>
      </x:c>
      <x:c r="V8" s="11" t="n">
        <x:v>270178000</x:v>
      </x:c>
      <x:c r="W8" s="11" t="n">
        <x:v>224232000</x:v>
      </x:c>
      <x:c r="X8" s="11" t="n">
        <x:v>55325000</x:v>
      </x:c>
      <x:c r="Y8" s="11" t="n">
        <x:v>0</x:v>
      </x:c>
      <x:c r="Z8" s="11" t="n">
        <x:v>2328000</x:v>
      </x:c>
      <x:c r="AA8" s="11" t="n">
        <x:v>51810000</x:v>
      </x:c>
      <x:c r="AB8" s="11" t="n">
        <x:v>4250000</x:v>
      </x:c>
      <x:c r="AC8" s="11" t="n">
        <x:v>6578000</x:v>
      </x:c>
      <x:c r="AD8" s="11" t="n">
        <x:v>64425000</x:v>
      </x:c>
      <x:c r="AE8" s="11" t="n">
        <x:v>57847000</x:v>
      </x:c>
      <x:c r="AF8" s="11" t="n">
        <x:v>257700000</x:v>
      </x:c>
      <x:c r="AG8" s="11" t="n">
        <x:v>2399793000</x:v>
      </x:c>
      <x:c r="AH8" s="11" t="n">
        <x:v>960226000</x:v>
      </x:c>
      <x:c r="AI8" s="11" t="n">
        <x:v>1439567000</x:v>
      </x:c>
      <x:c r="AJ8" s="11" t="n">
        <x:v>55381000</x:v>
      </x:c>
      <x:c r="AK8" s="11" t="n">
        <x:v>499674000</x:v>
      </x:c>
      <x:c r="AL8" s="11" t="n">
        <x:v>0</x:v>
      </x:c>
      <x:c r="AM8" s="12" t="n">
        <x:v>1</x:v>
      </x:c>
      <x:c r="AN8" s="12" t="n">
        <x:v>0.11083426394008894</x:v>
      </x:c>
      <x:c r="AO8" s="11" t="n">
        <x:v>234626000</x:v>
      </x:c>
      <x:c r="AP8" s="11" t="n">
        <x:v>228887000</x:v>
      </x:c>
      <x:c r="AQ8" s="12" t="n">
        <x:v>0.9755397952486085</x:v>
      </x:c>
      <x:c r="AR8" s="11" t="n">
        <x:v>1929.356229134718</x:v>
      </x:c>
      <x:c r="AS8" s="11" t="n">
        <x:v>1541.118410672927</x:v>
      </x:c>
      <x:c r="AT8" s="11" t="n">
        <x:v>1705.05563023407</x:v>
      </x:c>
      <x:c r="AU8" s="11" t="n">
        <x:v>1415.096840152218</x:v>
      </x:c>
      <x:c r="AV8" s="11" t="n">
        <x:v>326.9656752305042</x:v>
      </x:c>
      <x:c r="AW8" s="11" t="n">
        <x:v>1.8359182111541617</x:v>
      </x:c>
      <x:c r="AX8" s="12" t="n">
        <x:v>0.8978967792006208</x:v>
      </x:c>
      <x:c r="AY8" s="11"/>
      <x:c r="AZ8" s="11"/>
      <x:c r="BA8" s="11"/>
      <x:c r="BB8" s="11"/>
      <x:c r="BC8" s="11"/>
      <x:c r="BD8" s="11"/>
      <x:c r="BE8" s="11"/>
      <x:c r="BF8" s="11"/>
      <x:c r="BG8" s="11"/>
      <x:c r="BH8" s="11"/>
      <x:c r="BI8" s="11"/>
      <x:c r="BJ8" s="11"/>
      <x:c r="BK8" s="12"/>
      <x:c r="BL8" s="12"/>
      <x:c r="BM8" s="12"/>
      <x:c r="BN8" s="12"/>
      <x:c r="BO8" s="12"/>
      <x:c r="BP8" s="12"/>
      <x:c r="BQ8" s="12"/>
      <x:c r="BR8" s="12"/>
      <x:c r="BS8" s="12"/>
      <x:c r="BT8" s="12"/>
      <x:c r="BU8" s="11" t="n">
        <x:v>12001000</x:v>
      </x:c>
      <x:c r="BV8" s="11" t="n">
        <x:v>13831000</x:v>
      </x:c>
      <x:c r="BW8" s="11" t="n">
        <x:v>0</x:v>
      </x:c>
      <x:c r="BX8" s="11" t="n">
        <x:v>9618000</x:v>
      </x:c>
      <x:c r="BY8" s="11" t="n">
        <x:v>0</x:v>
      </x:c>
      <x:c r="BZ8" s="11" t="n">
        <x:v>23239000</x:v>
      </x:c>
      <x:c r="CA8" s="11" t="n">
        <x:v>653000</x:v>
      </x:c>
      <x:c r="CB8" s="11" t="n">
        <x:v>3864000</x:v>
      </x:c>
      <x:c r="CC8" s="11" t="n">
        <x:v>16427000</x:v>
      </x:c>
      <x:c r="CD8" s="11" t="n">
        <x:v>76897000</x:v>
      </x:c>
      <x:c r="CE8" s="11" t="n">
        <x:v>8683000</x:v>
      </x:c>
      <x:c r="CF8" s="11" t="n">
        <x:v>510000</x:v>
      </x:c>
      <x:c r="CG8" s="11" t="n">
        <x:v>3631000</x:v>
      </x:c>
      <x:c r="CH8" s="11" t="n">
        <x:v>32367000</x:v>
      </x:c>
      <x:c r="CI8" s="11" t="n">
        <x:v>38241000</x:v>
      </x:c>
      <x:c r="CJ8" s="11" t="n">
        <x:v>10445000</x:v>
      </x:c>
      <x:c r="CK8" s="11" t="n">
        <x:v>8026000</x:v>
      </x:c>
      <x:c r="CL8" s="11" t="n">
        <x:v>10722000</x:v>
      </x:c>
      <x:c r="CM8" s="11"/>
      <x:c r="CN8" s="11" t="n">
        <x:v>0</x:v>
      </x:c>
      <x:c r="CO8" s="11" t="n">
        <x:v>1000</x:v>
      </x:c>
      <x:c r="CP8" s="8"/>
      <x:c r="CQ8" s="8" t="str">
        <x:v>Barriere</x:v>
      </x:c>
    </x:row>
    <x:row r="9">
      <x:c r="A9" s="8" t="str">
        <x:v>Abbotsford|2020</x:v>
      </x:c>
      <x:c r="B9" s="8" t="str">
        <x:v>abbotsford-c</x:v>
      </x:c>
      <x:c r="C9" s="8" t="str">
        <x:v>Abbotsford</x:v>
      </x:c>
      <x:c r="D9" s="8" t="str">
        <x:v>Abbotsford</x:v>
      </x:c>
      <x:c r="E9" s="8" t="str">
        <x:v>C</x:v>
      </x:c>
      <x:c r="F9" s="8" t="str">
        <x:v>FVR</x:v>
      </x:c>
      <x:c r="G9" s="9" t="n">
        <x:v>2020</x:v>
      </x:c>
      <x:c r="H9" s="10" t="n">
        <x:v>161581</x:v>
      </x:c>
      <x:c r="I9" s="8" t="str">
        <x:v>100,000 and over</x:v>
      </x:c>
      <x:c r="J9" s="11" t="n">
        <x:v>305147000</x:v>
      </x:c>
      <x:c r="K9" s="11" t="n">
        <x:v>266866000</x:v>
      </x:c>
      <x:c r="L9" s="11" t="n">
        <x:v>38281000</x:v>
      </x:c>
      <x:c r="M9" s="12" t="n">
        <x:v>0.12545101213513488</x:v>
      </x:c>
      <x:c r="N9" s="11" t="n">
        <x:v>158120000</x:v>
      </x:c>
      <x:c r="O9" s="11" t="n">
        <x:v>78997000</x:v>
      </x:c>
      <x:c r="P9" s="11" t="n">
        <x:v>29881000</x:v>
      </x:c>
      <x:c r="Q9" s="11" t="n">
        <x:v>38149000</x:v>
      </x:c>
      <x:c r="R9" s="11" t="n">
        <x:v>225054000</x:v>
      </x:c>
      <x:c r="S9" s="11" t="n">
        <x:v>37562000</x:v>
      </x:c>
      <x:c r="T9" s="11" t="n">
        <x:v>558499000</x:v>
      </x:c>
      <x:c r="U9" s="11" t="n">
        <x:v>285609000</x:v>
      </x:c>
      <x:c r="V9" s="11" t="n">
        <x:v>312885000</x:v>
      </x:c>
      <x:c r="W9" s="11" t="n">
        <x:v>254200000</x:v>
      </x:c>
      <x:c r="X9" s="11" t="n">
        <x:v>51675000</x:v>
      </x:c>
      <x:c r="Y9" s="11" t="n">
        <x:v>0</x:v>
      </x:c>
      <x:c r="Z9" s="11" t="n">
        <x:v>2543000</x:v>
      </x:c>
      <x:c r="AA9" s="11" t="n">
        <x:v>47804000</x:v>
      </x:c>
      <x:c r="AB9" s="11" t="n">
        <x:v>4250000</x:v>
      </x:c>
      <x:c r="AC9" s="11" t="n">
        <x:v>6793000</x:v>
      </x:c>
      <x:c r="AD9" s="11" t="n">
        <x:v>62154586</x:v>
      </x:c>
      <x:c r="AE9" s="11" t="n">
        <x:v>55361586</x:v>
      </x:c>
      <x:c r="AF9" s="11" t="n">
        <x:v>248618343</x:v>
      </x:c>
      <x:c r="AG9" s="11" t="n">
        <x:v>2427385000</x:v>
      </x:c>
      <x:c r="AH9" s="11" t="n">
        <x:v>992325000</x:v>
      </x:c>
      <x:c r="AI9" s="11" t="n">
        <x:v>1435060000</x:v>
      </x:c>
      <x:c r="AJ9" s="11" t="n">
        <x:v>56169000</x:v>
      </x:c>
      <x:c r="AK9" s="11" t="n">
        <x:v>483710000</x:v>
      </x:c>
      <x:c r="AL9" s="11" t="n">
        <x:v>0</x:v>
      </x:c>
      <x:c r="AM9" s="12" t="n">
        <x:v>1</x:v>
      </x:c>
      <x:c r="AN9" s="12" t="n">
        <x:v>0.11612122966240103</x:v>
      </x:c>
      <x:c r="AO9" s="11" t="n">
        <x:v>231787000</x:v>
      </x:c>
      <x:c r="AP9" s="11" t="n">
        <x:v>226422000</x:v>
      </x:c>
      <x:c r="AQ9" s="12" t="n">
        <x:v>0.9768537493474613</x:v>
      </x:c>
      <x:c r="AR9" s="11" t="n">
        <x:v>1888.5079310067397</x:v>
      </x:c>
      <x:c r="AS9" s="11" t="n">
        <x:v>1651.5926996367148</x:v>
      </x:c>
      <x:c r="AT9" s="11" t="n">
        <x:v>1936.397224921247</x:v>
      </x:c>
      <x:c r="AU9" s="11" t="n">
        <x:v>1573.204770362852</x:v>
      </x:c>
      <x:c r="AV9" s="11" t="n">
        <x:v>295.85161621725325</x:v>
      </x:c>
      <x:c r="AW9" s="11" t="n">
        <x:v>1.955467089622526</x:v>
      </x:c>
      <x:c r="AX9" s="12" t="n">
        <x:v>0.8907079841220404</x:v>
      </x:c>
      <x:c r="AY9" s="11"/>
      <x:c r="AZ9" s="11"/>
      <x:c r="BA9" s="11"/>
      <x:c r="BB9" s="11"/>
      <x:c r="BC9" s="11"/>
      <x:c r="BD9" s="11"/>
      <x:c r="BE9" s="11"/>
      <x:c r="BF9" s="11"/>
      <x:c r="BG9" s="11"/>
      <x:c r="BH9" s="11"/>
      <x:c r="BI9" s="11"/>
      <x:c r="BJ9" s="11"/>
      <x:c r="BK9" s="12"/>
      <x:c r="BL9" s="12"/>
      <x:c r="BM9" s="12"/>
      <x:c r="BN9" s="12"/>
      <x:c r="BO9" s="12"/>
      <x:c r="BP9" s="12"/>
      <x:c r="BQ9" s="12"/>
      <x:c r="BR9" s="12"/>
      <x:c r="BS9" s="12"/>
      <x:c r="BT9" s="12"/>
      <x:c r="BU9" s="11" t="n">
        <x:v>6397000</x:v>
      </x:c>
      <x:c r="BV9" s="11" t="n">
        <x:v>23484000</x:v>
      </x:c>
      <x:c r="BW9" s="11" t="n">
        <x:v>0</x:v>
      </x:c>
      <x:c r="BX9" s="11" t="n">
        <x:v>10224000</x:v>
      </x:c>
      <x:c r="BY9" s="11" t="n">
        <x:v>0</x:v>
      </x:c>
      <x:c r="BZ9" s="11" t="n">
        <x:v>27925000</x:v>
      </x:c>
      <x:c r="CA9" s="11" t="n">
        <x:v>0</x:v>
      </x:c>
      <x:c r="CB9" s="11" t="n">
        <x:v>0</x:v>
      </x:c>
      <x:c r="CC9" s="11" t="n">
        <x:v>18466000</x:v>
      </x:c>
      <x:c r="CD9" s="11" t="n">
        <x:v>82152000</x:v>
      </x:c>
      <x:c r="CE9" s="11" t="n">
        <x:v>9865000</x:v>
      </x:c>
      <x:c r="CF9" s="11" t="n">
        <x:v>1129000</x:v>
      </x:c>
      <x:c r="CG9" s="11" t="n">
        <x:v>3503000</x:v>
      </x:c>
      <x:c r="CH9" s="11" t="n">
        <x:v>30699000</x:v>
      </x:c>
      <x:c r="CI9" s="11" t="n">
        <x:v>31586000</x:v>
      </x:c>
      <x:c r="CJ9" s="11" t="n">
        <x:v>10861000</x:v>
      </x:c>
      <x:c r="CK9" s="11" t="n">
        <x:v>8397000</x:v>
      </x:c>
      <x:c r="CL9" s="11" t="n">
        <x:v>10623000</x:v>
      </x:c>
      <x:c r="CM9" s="11"/>
      <x:c r="CN9" s="11" t="n">
        <x:v>22023000</x:v>
      </x:c>
      <x:c r="CO9" s="11" t="n">
        <x:v>0</x:v>
      </x:c>
      <x:c r="CP9" s="8"/>
      <x:c r="CQ9" s="8" t="str">
        <x:v>Belcarra</x:v>
      </x:c>
    </x:row>
    <x:row r="10">
      <x:c r="A10" s="8" t="str">
        <x:v>Abbotsford|2021</x:v>
      </x:c>
      <x:c r="B10" s="8" t="str">
        <x:v>abbotsford-c</x:v>
      </x:c>
      <x:c r="C10" s="8" t="str">
        <x:v>Abbotsford</x:v>
      </x:c>
      <x:c r="D10" s="8" t="str">
        <x:v>Abbotsford</x:v>
      </x:c>
      <x:c r="E10" s="8" t="str">
        <x:v>C</x:v>
      </x:c>
      <x:c r="F10" s="8" t="str">
        <x:v>FVR</x:v>
      </x:c>
      <x:c r="G10" s="9" t="n">
        <x:v>2021</x:v>
      </x:c>
      <x:c r="H10" s="10" t="n">
        <x:v>165070</x:v>
      </x:c>
      <x:c r="I10" s="8" t="str">
        <x:v>100,000 and over</x:v>
      </x:c>
      <x:c r="J10" s="11" t="n">
        <x:v>324358000</x:v>
      </x:c>
      <x:c r="K10" s="11" t="n">
        <x:v>271325000</x:v>
      </x:c>
      <x:c r="L10" s="11" t="n">
        <x:v>53033000</x:v>
      </x:c>
      <x:c r="M10" s="12" t="n">
        <x:v>0.16350143976717085</x:v>
      </x:c>
      <x:c r="N10" s="11" t="n">
        <x:v>163829000</x:v>
      </x:c>
      <x:c r="O10" s="11" t="n">
        <x:v>97940000</x:v>
      </x:c>
      <x:c r="P10" s="11" t="n">
        <x:v>38646000</x:v>
      </x:c>
      <x:c r="Q10" s="11" t="n">
        <x:v>23943000</x:v>
      </x:c>
      <x:c r="R10" s="11" t="n">
        <x:v>224308000</x:v>
      </x:c>
      <x:c r="S10" s="11" t="n">
        <x:v>42767000</x:v>
      </x:c>
      <x:c r="T10" s="11" t="n">
        <x:v>617689000</x:v>
      </x:c>
      <x:c r="U10" s="11" t="n">
        <x:v>320720000</x:v>
      </x:c>
      <x:c r="V10" s="11" t="n">
        <x:v>349105000</x:v>
      </x:c>
      <x:c r="W10" s="11" t="n">
        <x:v>279234000</x:v>
      </x:c>
      <x:c r="X10" s="11" t="n">
        <x:v>47804000</x:v>
      </x:c>
      <x:c r="Y10" s="11" t="n">
        <x:v>0</x:v>
      </x:c>
      <x:c r="Z10" s="11" t="n">
        <x:v>2365000</x:v>
      </x:c>
      <x:c r="AA10" s="11" t="n">
        <x:v>43965000</x:v>
      </x:c>
      <x:c r="AB10" s="11" t="n">
        <x:v>4250000</x:v>
      </x:c>
      <x:c r="AC10" s="11" t="n">
        <x:v>6615000</x:v>
      </x:c>
      <x:c r="AD10" s="11" t="n">
        <x:v>68066276</x:v>
      </x:c>
      <x:c r="AE10" s="11" t="n">
        <x:v>61451276</x:v>
      </x:c>
      <x:c r="AF10" s="11" t="n">
        <x:v>272265105</x:v>
      </x:c>
      <x:c r="AG10" s="11" t="n">
        <x:v>2479090000</x:v>
      </x:c>
      <x:c r="AH10" s="11" t="n">
        <x:v>1027586000</x:v>
      </x:c>
      <x:c r="AI10" s="11" t="n">
        <x:v>1451504000</x:v>
      </x:c>
      <x:c r="AJ10" s="11" t="n">
        <x:v>60881000</x:v>
      </x:c>
      <x:c r="AK10" s="11" t="n">
        <x:v>503954000</x:v>
      </x:c>
      <x:c r="AL10" s="11" t="n">
        <x:v>0</x:v>
      </x:c>
      <x:c r="AM10" s="12" t="n">
        <x:v>1</x:v>
      </x:c>
      <x:c r="AN10" s="12" t="n">
        <x:v>0.12080666092540192</x:v>
      </x:c>
      <x:c r="AO10" s="11" t="n">
        <x:v>257786000</x:v>
      </x:c>
      <x:c r="AP10" s="11" t="n">
        <x:v>252990000</x:v>
      </x:c>
      <x:c r="AQ10" s="12" t="n">
        <x:v>0.981395421008123</x:v>
      </x:c>
      <x:c r="AR10" s="11" t="n">
        <x:v>1964.9724359362694</x:v>
      </x:c>
      <x:c r="AS10" s="11" t="n">
        <x:v>1643.6966135578846</x:v>
      </x:c>
      <x:c r="AT10" s="11" t="n">
        <x:v>2114.8906524504755</x:v>
      </x:c>
      <x:c r="AU10" s="11" t="n">
        <x:v>1691.6096201611438</x:v>
      </x:c>
      <x:c r="AV10" s="11" t="n">
        <x:v>266.3415520688193</x:v>
      </x:c>
      <x:c r="AW10" s="11" t="n">
        <x:v>1.9259447493140434</x:v>
      </x:c>
      <x:c r="AX10" s="12" t="n">
        <x:v>0.9028153090085316</x:v>
      </x:c>
      <x:c r="AY10" s="11"/>
      <x:c r="AZ10" s="11"/>
      <x:c r="BA10" s="11"/>
      <x:c r="BB10" s="11"/>
      <x:c r="BC10" s="11"/>
      <x:c r="BD10" s="11"/>
      <x:c r="BE10" s="11"/>
      <x:c r="BF10" s="11"/>
      <x:c r="BG10" s="11"/>
      <x:c r="BH10" s="11"/>
      <x:c r="BI10" s="11"/>
      <x:c r="BJ10" s="11"/>
      <x:c r="BK10" s="12"/>
      <x:c r="BL10" s="12"/>
      <x:c r="BM10" s="12"/>
      <x:c r="BN10" s="12"/>
      <x:c r="BO10" s="12"/>
      <x:c r="BP10" s="12"/>
      <x:c r="BQ10" s="12"/>
      <x:c r="BR10" s="12"/>
      <x:c r="BS10" s="12"/>
      <x:c r="BT10" s="12"/>
      <x:c r="BU10" s="11" t="n">
        <x:v>15867000</x:v>
      </x:c>
      <x:c r="BV10" s="11" t="n">
        <x:v>22671000</x:v>
      </x:c>
      <x:c r="BW10" s="11" t="n">
        <x:v>108000</x:v>
      </x:c>
      <x:c r="BX10" s="11" t="n">
        <x:v>9040000</x:v>
      </x:c>
      <x:c r="BY10" s="11" t="n">
        <x:v>0</x:v>
      </x:c>
      <x:c r="BZ10" s="11" t="n">
        <x:v>14903000</x:v>
      </x:c>
      <x:c r="CA10" s="11" t="n">
        <x:v>0</x:v>
      </x:c>
      <x:c r="CB10" s="11" t="n">
        <x:v>0</x:v>
      </x:c>
      <x:c r="CC10" s="11" t="n">
        <x:v>18812000</x:v>
      </x:c>
      <x:c r="CD10" s="11" t="n">
        <x:v>100111000</x:v>
      </x:c>
      <x:c r="CE10" s="11" t="n">
        <x:v>10903000</x:v>
      </x:c>
      <x:c r="CF10" s="11" t="n">
        <x:v>2226000</x:v>
      </x:c>
      <x:c r="CG10" s="11" t="n">
        <x:v>3223000</x:v>
      </x:c>
      <x:c r="CH10" s="11" t="n">
        <x:v>31435000</x:v>
      </x:c>
      <x:c r="CI10" s="11" t="n">
        <x:v>33909000</x:v>
      </x:c>
      <x:c r="CJ10" s="11" t="n">
        <x:v>10201000</x:v>
      </x:c>
      <x:c r="CK10" s="11" t="n">
        <x:v>8431000</x:v>
      </x:c>
      <x:c r="CL10" s="11" t="n">
        <x:v>11175000</x:v>
      </x:c>
      <x:c r="CM10" s="11"/>
      <x:c r="CN10" s="11" t="n">
        <x:v>-1868000</x:v>
      </x:c>
      <x:c r="CO10" s="11" t="n">
        <x:v>0</x:v>
      </x:c>
      <x:c r="CP10" s="8"/>
      <x:c r="CQ10" s="8" t="str">
        <x:v>Bowen Island</x:v>
      </x:c>
    </x:row>
    <x:row r="11">
      <x:c r="A11" s="8" t="str">
        <x:v>Abbotsford|2022</x:v>
      </x:c>
      <x:c r="B11" s="8" t="str">
        <x:v>abbotsford-c</x:v>
      </x:c>
      <x:c r="C11" s="8" t="str">
        <x:v>Abbotsford</x:v>
      </x:c>
      <x:c r="D11" s="8" t="str">
        <x:v>Abbotsford</x:v>
      </x:c>
      <x:c r="E11" s="8" t="str">
        <x:v>C</x:v>
      </x:c>
      <x:c r="F11" s="8" t="str">
        <x:v>FVR</x:v>
      </x:c>
      <x:c r="G11" s="9" t="n">
        <x:v>2022</x:v>
      </x:c>
      <x:c r="H11" s="10" t="n">
        <x:v>168478</x:v>
      </x:c>
      <x:c r="I11" s="8" t="str">
        <x:v>100,000 and over</x:v>
      </x:c>
      <x:c r="J11" s="11" t="n">
        <x:v>348515000</x:v>
      </x:c>
      <x:c r="K11" s="11" t="n">
        <x:v>293584000</x:v>
      </x:c>
      <x:c r="L11" s="11" t="n">
        <x:v>54931000</x:v>
      </x:c>
      <x:c r="M11" s="12" t="n">
        <x:v>0.157614449880206</x:v>
      </x:c>
      <x:c r="N11" s="11" t="n">
        <x:v>173268000</x:v>
      </x:c>
      <x:c r="O11" s="11" t="n">
        <x:v>114012000</x:v>
      </x:c>
      <x:c r="P11" s="11" t="n">
        <x:v>40235000</x:v>
      </x:c>
      <x:c r="Q11" s="11" t="n">
        <x:v>21000000</x:v>
      </x:c>
      <x:c r="R11" s="11" t="n">
        <x:v>247436000</x:v>
      </x:c>
      <x:c r="S11" s="11" t="n">
        <x:v>41898000</x:v>
      </x:c>
      <x:c r="T11" s="11" t="n">
        <x:v>646833000</x:v>
      </x:c>
      <x:c r="U11" s="11" t="n">
        <x:v>343825000</x:v>
      </x:c>
      <x:c r="V11" s="11" t="n">
        <x:v>359515000</x:v>
      </x:c>
      <x:c r="W11" s="11" t="n">
        <x:v>291357000</x:v>
      </x:c>
      <x:c r="X11" s="11" t="n">
        <x:v>43965000</x:v>
      </x:c>
      <x:c r="Y11" s="11" t="n">
        <x:v>0</x:v>
      </x:c>
      <x:c r="Z11" s="11" t="n">
        <x:v>2316000</x:v>
      </x:c>
      <x:c r="AA11" s="11" t="n">
        <x:v>39972000</x:v>
      </x:c>
      <x:c r="AB11" s="11" t="n">
        <x:v>4250000</x:v>
      </x:c>
      <x:c r="AC11" s="11" t="n">
        <x:v>6566000</x:v>
      </x:c>
      <x:c r="AD11" s="11" t="n">
        <x:v>74609750</x:v>
      </x:c>
      <x:c r="AE11" s="11" t="n">
        <x:v>64821750</x:v>
      </x:c>
      <x:c r="AF11" s="11" t="n">
        <x:v>298439000</x:v>
      </x:c>
      <x:c r="AG11" s="11" t="n">
        <x:v>2559654000</x:v>
      </x:c>
      <x:c r="AH11" s="11" t="n">
        <x:v>1065762000</x:v>
      </x:c>
      <x:c r="AI11" s="11" t="n">
        <x:v>1493892000</x:v>
      </x:c>
      <x:c r="AJ11" s="11" t="n">
        <x:v>85181000</x:v>
      </x:c>
      <x:c r="AK11" s="11" t="n">
        <x:v>551952000</x:v>
      </x:c>
      <x:c r="AL11" s="11" t="n">
        <x:v>0</x:v>
      </x:c>
      <x:c r="AM11" s="12" t="n">
        <x:v>1</x:v>
      </x:c>
      <x:c r="AN11" s="12" t="n">
        <x:v>0.1543268255210598</x:v>
      </x:c>
      <x:c r="AO11" s="11" t="n">
        <x:v>273758000</x:v>
      </x:c>
      <x:c r="AP11" s="11" t="n">
        <x:v>267503000</x:v>
      </x:c>
      <x:c r="AQ11" s="12" t="n">
        <x:v>0.9771513526545343</x:v>
      </x:c>
      <x:c r="AR11" s="11" t="n">
        <x:v>2068.608364296822</x:v>
      </x:c>
      <x:c r="AS11" s="11" t="n">
        <x:v>1742.5657949405856</x:v>
      </x:c>
      <x:c r="AT11" s="11" t="n">
        <x:v>2133.8987879723168</x:v>
      </x:c>
      <x:c r="AU11" s="11" t="n">
        <x:v>1729.3474518928288</x:v>
      </x:c>
      <x:c r="AV11" s="11" t="n">
        <x:v>237.25352865062501</x:v>
      </x:c>
      <x:c r="AW11" s="11" t="n">
        <x:v>1.8812855377008653</x:v>
      </x:c>
      <x:c r="AX11" s="12" t="n">
        <x:v>0.8688107117367369</x:v>
      </x:c>
      <x:c r="AY11" s="11"/>
      <x:c r="AZ11" s="11"/>
      <x:c r="BA11" s="11"/>
      <x:c r="BB11" s="11"/>
      <x:c r="BC11" s="11"/>
      <x:c r="BD11" s="11"/>
      <x:c r="BE11" s="11"/>
      <x:c r="BF11" s="11"/>
      <x:c r="BG11" s="11"/>
      <x:c r="BH11" s="11"/>
      <x:c r="BI11" s="11"/>
      <x:c r="BJ11" s="11"/>
      <x:c r="BK11" s="12"/>
      <x:c r="BL11" s="12"/>
      <x:c r="BM11" s="12"/>
      <x:c r="BN11" s="12"/>
      <x:c r="BO11" s="12"/>
      <x:c r="BP11" s="12"/>
      <x:c r="BQ11" s="12"/>
      <x:c r="BR11" s="12"/>
      <x:c r="BS11" s="12"/>
      <x:c r="BT11" s="12"/>
      <x:c r="BU11" s="11" t="n">
        <x:v>1435000</x:v>
      </x:c>
      <x:c r="BV11" s="11" t="n">
        <x:v>31799000</x:v>
      </x:c>
      <x:c r="BW11" s="11" t="n">
        <x:v>7001000</x:v>
      </x:c>
      <x:c r="BX11" s="11" t="n">
        <x:v>10168000</x:v>
      </x:c>
      <x:c r="BY11" s="11" t="n">
        <x:v>0</x:v>
      </x:c>
      <x:c r="BZ11" s="11" t="n">
        <x:v>10644000</x:v>
      </x:c>
      <x:c r="CA11" s="11" t="n">
        <x:v>188000</x:v>
      </x:c>
      <x:c r="CB11" s="11" t="n">
        <x:v>0</x:v>
      </x:c>
      <x:c r="CC11" s="11" t="n">
        <x:v>21978000</x:v>
      </x:c>
      <x:c r="CD11" s="11" t="n">
        <x:v>89077000</x:v>
      </x:c>
      <x:c r="CE11" s="11" t="n">
        <x:v>10100000</x:v>
      </x:c>
      <x:c r="CF11" s="11" t="n">
        <x:v>3066000</x:v>
      </x:c>
      <x:c r="CG11" s="11" t="n">
        <x:v>3675000</x:v>
      </x:c>
      <x:c r="CH11" s="11" t="n">
        <x:v>55371000</x:v>
      </x:c>
      <x:c r="CI11" s="11" t="n">
        <x:v>36877000</x:v>
      </x:c>
      <x:c r="CJ11" s="11" t="n">
        <x:v>11014000</x:v>
      </x:c>
      <x:c r="CK11" s="11" t="n">
        <x:v>9341000</x:v>
      </x:c>
      <x:c r="CL11" s="11" t="n">
        <x:v>11187000</x:v>
      </x:c>
      <x:c r="CM11" s="11"/>
      <x:c r="CN11" s="11" t="n">
        <x:v>0</x:v>
      </x:c>
      <x:c r="CO11" s="11" t="n">
        <x:v>0</x:v>
      </x:c>
      <x:c r="CP11" s="8"/>
      <x:c r="CQ11" s="8" t="str">
        <x:v>Burnaby</x:v>
      </x:c>
    </x:row>
    <x:row r="12">
      <x:c r="A12" s="8" t="str">
        <x:v>Abbotsford|2023</x:v>
      </x:c>
      <x:c r="B12" s="8" t="str">
        <x:v>abbotsford-c</x:v>
      </x:c>
      <x:c r="C12" s="8" t="str">
        <x:v>Abbotsford</x:v>
      </x:c>
      <x:c r="D12" s="8" t="str">
        <x:v>Abbotsford</x:v>
      </x:c>
      <x:c r="E12" s="8" t="str">
        <x:v>C</x:v>
      </x:c>
      <x:c r="F12" s="8" t="str">
        <x:v>FVR</x:v>
      </x:c>
      <x:c r="G12" s="9" t="n">
        <x:v>2023</x:v>
      </x:c>
      <x:c r="H12" s="10" t="n">
        <x:v>175589</x:v>
      </x:c>
      <x:c r="I12" s="8" t="str">
        <x:v>100,000 and over</x:v>
      </x:c>
      <x:c r="J12" s="11" t="n">
        <x:v>390769000</x:v>
      </x:c>
      <x:c r="K12" s="11" t="n">
        <x:v>307667000</x:v>
      </x:c>
      <x:c r="L12" s="11" t="n">
        <x:v>83102000</x:v>
      </x:c>
      <x:c r="M12" s="12" t="n">
        <x:v>0.21266272401341968</x:v>
      </x:c>
      <x:c r="N12" s="11" t="n">
        <x:v>187277000</x:v>
      </x:c>
      <x:c r="O12" s="11" t="n">
        <x:v>111247000</x:v>
      </x:c>
      <x:c r="P12" s="11" t="n">
        <x:v>62042000</x:v>
      </x:c>
      <x:c r="Q12" s="11" t="n">
        <x:v>30203000</x:v>
      </x:c>
      <x:c r="R12" s="11" t="n">
        <x:v>263208000</x:v>
      </x:c>
      <x:c r="S12" s="11" t="n">
        <x:v>40207000</x:v>
      </x:c>
      <x:c r="T12" s="11" t="n">
        <x:v>780043000</x:v>
      </x:c>
      <x:c r="U12" s="11" t="n">
        <x:v>466758000</x:v>
      </x:c>
      <x:c r="V12" s="11" t="n">
        <x:v>379968000</x:v>
      </x:c>
      <x:c r="W12" s="11" t="n">
        <x:v>309669000</x:v>
      </x:c>
      <x:c r="X12" s="11" t="n">
        <x:v>39972000</x:v>
      </x:c>
      <x:c r="Y12" s="11" t="n">
        <x:v>0</x:v>
      </x:c>
      <x:c r="Z12" s="11" t="n">
        <x:v>2521000</x:v>
      </x:c>
      <x:c r="AA12" s="11" t="n">
        <x:v>35784000</x:v>
      </x:c>
      <x:c r="AB12" s="11" t="n">
        <x:v>4252000</x:v>
      </x:c>
      <x:c r="AC12" s="11" t="n">
        <x:v>6773000</x:v>
      </x:c>
      <x:c r="AD12" s="11" t="n">
        <x:v>79591750</x:v>
      </x:c>
      <x:c r="AE12" s="11" t="n">
        <x:v>69510350</x:v>
      </x:c>
      <x:c r="AF12" s="11" t="n">
        <x:v>318367000</x:v>
      </x:c>
      <x:c r="AG12" s="11" t="n">
        <x:v>2659431000</x:v>
      </x:c>
      <x:c r="AH12" s="11" t="n">
        <x:v>1104640000</x:v>
      </x:c>
      <x:c r="AI12" s="11" t="n">
        <x:v>1554791000</x:v>
      </x:c>
      <x:c r="AJ12" s="11" t="n">
        <x:v>101378000</x:v>
      </x:c>
      <x:c r="AK12" s="11" t="n">
        <x:v>638703000</x:v>
      </x:c>
      <x:c r="AL12" s="11" t="n">
        <x:v>0</x:v>
      </x:c>
      <x:c r="AM12" s="12" t="n">
        <x:v>1</x:v>
      </x:c>
      <x:c r="AN12" s="12" t="n">
        <x:v>0.15872479070867054</x:v>
      </x:c>
      <x:c r="AO12" s="11" t="n">
        <x:v>300163000</x:v>
      </x:c>
      <x:c r="AP12" s="11" t="n">
        <x:v>22994000</x:v>
      </x:c>
      <x:c r="AQ12" s="12" t="n">
        <x:v>0.07660504459243811</x:v>
      </x:c>
      <x:c r="AR12" s="11" t="n">
        <x:v>2225.4753999396316</x:v>
      </x:c>
      <x:c r="AS12" s="11" t="n">
        <x:v>1752.199739163615</x:v>
      </x:c>
      <x:c r="AT12" s="11" t="n">
        <x:v>2163.9624350044705</x:v>
      </x:c>
      <x:c r="AU12" s="11" t="n">
        <x:v>1763.6013645501712</x:v>
      </x:c>
      <x:c r="AV12" s="11" t="n">
        <x:v>203.7940873289329</x:v>
      </x:c>
      <x:c r="AW12" s="11" t="n">
        <x:v>1.6711936378165988</x:v>
      </x:c>
      <x:c r="AX12" s="12" t="n">
        <x:v>0.8733361183791034</x:v>
      </x:c>
      <x:c r="AY12" s="11"/>
      <x:c r="AZ12" s="11"/>
      <x:c r="BA12" s="11"/>
      <x:c r="BB12" s="11"/>
      <x:c r="BC12" s="11"/>
      <x:c r="BD12" s="11"/>
      <x:c r="BE12" s="11"/>
      <x:c r="BF12" s="11"/>
      <x:c r="BG12" s="11"/>
      <x:c r="BH12" s="11"/>
      <x:c r="BI12" s="11"/>
      <x:c r="BJ12" s="11"/>
      <x:c r="BK12" s="12"/>
      <x:c r="BL12" s="12"/>
      <x:c r="BM12" s="12"/>
      <x:c r="BN12" s="12"/>
      <x:c r="BO12" s="12"/>
      <x:c r="BP12" s="12"/>
      <x:c r="BQ12" s="12"/>
      <x:c r="BR12" s="12"/>
      <x:c r="BS12" s="12"/>
      <x:c r="BT12" s="12"/>
      <x:c r="BU12" s="11" t="n">
        <x:v>8425000</x:v>
      </x:c>
      <x:c r="BV12" s="11" t="n">
        <x:v>46368000</x:v>
      </x:c>
      <x:c r="BW12" s="11" t="n">
        <x:v>7249000</x:v>
      </x:c>
      <x:c r="BX12" s="11" t="n">
        <x:v>19501000</x:v>
      </x:c>
      <x:c r="BY12" s="11" t="n">
        <x:v>0</x:v>
      </x:c>
      <x:c r="BZ12" s="11" t="n">
        <x:v>9551000</x:v>
      </x:c>
      <x:c r="CA12" s="11" t="n">
        <x:v>1151000</x:v>
      </x:c>
      <x:c r="CB12" s="11" t="n">
        <x:v>0</x:v>
      </x:c>
      <x:c r="CC12" s="11" t="n">
        <x:v>27801000</x:v>
      </x:c>
      <x:c r="CD12" s="11" t="n">
        <x:v>99867000</x:v>
      </x:c>
      <x:c r="CE12" s="11" t="n">
        <x:v>10193000</x:v>
      </x:c>
      <x:c r="CF12" s="11" t="n">
        <x:v>3024000</x:v>
      </x:c>
      <x:c r="CG12" s="11" t="n">
        <x:v>4316000</x:v>
      </x:c>
      <x:c r="CH12" s="11" t="n">
        <x:v>41662000</x:v>
      </x:c>
      <x:c r="CI12" s="11" t="n">
        <x:v>40236000</x:v>
      </x:c>
      <x:c r="CJ12" s="11" t="n">
        <x:v>16021000</x:v>
      </x:c>
      <x:c r="CK12" s="11" t="n">
        <x:v>11722000</x:v>
      </x:c>
      <x:c r="CL12" s="11" t="n">
        <x:v>12585000</x:v>
      </x:c>
      <x:c r="CM12" s="11" t="n">
        <x:v>33000</x:v>
      </x:c>
      <x:c r="CN12" s="11" t="n">
        <x:v>0</x:v>
      </x:c>
      <x:c r="CO12" s="11" t="n">
        <x:v>0</x:v>
      </x:c>
      <x:c r="CP12" s="8"/>
      <x:c r="CQ12" s="8" t="str">
        <x:v>Burns Lake</x:v>
      </x:c>
    </x:row>
    <x:row r="13">
      <x:c r="A13" s="8" t="str">
        <x:v>Abbotsford|2024</x:v>
      </x:c>
      <x:c r="B13" s="8" t="str">
        <x:v>abbotsford-c</x:v>
      </x:c>
      <x:c r="C13" s="8" t="str">
        <x:v>Abbotsford</x:v>
      </x:c>
      <x:c r="D13" s="8" t="str">
        <x:v>Abbotsford</x:v>
      </x:c>
      <x:c r="E13" s="8" t="str">
        <x:v>C</x:v>
      </x:c>
      <x:c r="F13" s="8" t="str">
        <x:v>FVR</x:v>
      </x:c>
      <x:c r="G13" s="9" t="n">
        <x:v>2024</x:v>
      </x:c>
      <x:c r="H13" s="10" t="n">
        <x:v>175589</x:v>
      </x:c>
      <x:c r="I13" s="8" t="str">
        <x:v>100,000 and over</x:v>
      </x:c>
      <x:c r="J13" s="11" t="n">
        <x:v>421880000</x:v>
      </x:c>
      <x:c r="K13" s="11" t="n">
        <x:v>355648000</x:v>
      </x:c>
      <x:c r="L13" s="11" t="n">
        <x:v>66232000</x:v>
      </x:c>
      <x:c r="M13" s="12" t="n">
        <x:v>0.15699250971840334</x:v>
      </x:c>
      <x:c r="N13" s="11" t="n">
        <x:v>200014000</x:v>
      </x:c>
      <x:c r="O13" s="11" t="n">
        <x:v>121396000</x:v>
      </x:c>
      <x:c r="P13" s="11" t="n">
        <x:v>39940000</x:v>
      </x:c>
      <x:c r="Q13" s="11" t="n">
        <x:v>60530000</x:v>
      </x:c>
      <x:c r="R13" s="11" t="n">
        <x:v>313250000</x:v>
      </x:c>
      <x:c r="S13" s="11" t="n">
        <x:v>38214000</x:v>
      </x:c>
      <x:c r="T13" s="11" t="n">
        <x:v>824233000</x:v>
      </x:c>
      <x:c r="U13" s="11" t="n">
        <x:v>503881000</x:v>
      </x:c>
      <x:c r="V13" s="11" t="n">
        <x:v>382393000</x:v>
      </x:c>
      <x:c r="W13" s="11" t="n">
        <x:v>319753000</x:v>
      </x:c>
      <x:c r="X13" s="11" t="n">
        <x:v>35784000</x:v>
      </x:c>
      <x:c r="Y13" s="11" t="n">
        <x:v>0</x:v>
      </x:c>
      <x:c r="Z13" s="11" t="n">
        <x:v>2482000</x:v>
      </x:c>
      <x:c r="AA13" s="11" t="n">
        <x:v>31436000</x:v>
      </x:c>
      <x:c r="AB13" s="11" t="n">
        <x:v>4184000</x:v>
      </x:c>
      <x:c r="AC13" s="11" t="n">
        <x:v>6666000</x:v>
      </x:c>
      <x:c r="AD13" s="11" t="n">
        <x:v>86928750</x:v>
      </x:c>
      <x:c r="AE13" s="11" t="n">
        <x:v>76983150</x:v>
      </x:c>
      <x:c r="AF13" s="11" t="n">
        <x:v>347715000</x:v>
      </x:c>
      <x:c r="AG13" s="11" t="n">
        <x:v>2758390000</x:v>
      </x:c>
      <x:c r="AH13" s="11" t="n">
        <x:v>1141498000</x:v>
      </x:c>
      <x:c r="AI13" s="11" t="n">
        <x:v>1616892000</x:v>
      </x:c>
      <x:c r="AJ13" s="11" t="n">
        <x:v>100669000</x:v>
      </x:c>
      <x:c r="AK13" s="11" t="n">
        <x:v>4514715000</x:v>
      </x:c>
      <x:c r="AL13" s="11" t="n">
        <x:v>29599000</x:v>
      </x:c>
      <x:c r="AM13" s="12" t="n">
        <x:v>0.9934438829472071</x:v>
      </x:c>
      <x:c r="AN13" s="12" t="n">
        <x:v>0.022297974512233885</x:v>
      </x:c>
      <x:c r="AO13" s="11" t="n">
        <x:v>321159560</x:v>
      </x:c>
      <x:c r="AP13" s="11" t="n">
        <x:v>311378736</x:v>
      </x:c>
      <x:c r="AQ13" s="12" t="n">
        <x:v>0.9695452814793992</x:v>
      </x:c>
      <x:c r="AR13" s="11" t="n">
        <x:v>2402.656202837308</x:v>
      </x:c>
      <x:c r="AS13" s="11" t="n">
        <x:v>2025.4571755633895</x:v>
      </x:c>
      <x:c r="AT13" s="11" t="n">
        <x:v>2177.773095125549</x:v>
      </x:c>
      <x:c r="AU13" s="11" t="n">
        <x:v>1821.0309301835537</x:v>
      </x:c>
      <x:c r="AV13" s="11" t="n">
        <x:v>179.0317161097791</x:v>
      </x:c>
      <x:c r="AW13" s="11" t="n">
        <x:v>1.6357691597817738</x:v>
      </x:c>
      <x:c r="AX13" s="12" t="n">
        <x:v>0.8855890600060394</x:v>
      </x:c>
      <x:c r="AY13" s="11" t="n">
        <x:v>3003.390678329474</x:v>
      </x:c>
      <x:c r="AZ13" s="11" t="n">
        <x:v>3546.5079302077975</x:v>
      </x:c>
      <x:c r="BA13" s="11" t="n">
        <x:v>2379.369597210911</x:v>
      </x:c>
      <x:c r="BB13" s="11" t="n">
        <x:v>2783.665107049771</x:v>
      </x:c>
      <x:c r="BC13" s="11" t="n">
        <x:v>2052.765446183268</x:v>
      </x:c>
      <x:c r="BD13" s="11" t="n">
        <x:v>2437.8724475115623</x:v>
      </x:c>
      <x:c r="BE13" s="11" t="n">
        <x:v>1093.3312652075697</x:v>
      </x:c>
      <x:c r="BF13" s="11" t="n">
        <x:v>1604.3462673977224</x:v>
      </x:c>
      <x:c r="BG13" s="11" t="n">
        <x:v>312.26099706744867</x:v>
      </x:c>
      <x:c r="BH13" s="11" t="n">
        <x:v>518.5374381567245</x:v>
      </x:c>
      <x:c r="BI13" s="11" t="n">
        <x:v>1.6357691597817738</x:v>
      </x:c>
      <x:c r="BJ13" s="11" t="n">
        <x:v>1.7099330852451193</x:v>
      </x:c>
      <x:c r="BK13" s="12" t="n">
        <x:v>0.025378934003535983</x:v>
      </x:c>
      <x:c r="BL13" s="12" t="n">
        <x:v>0.02529861000232605</x:v>
      </x:c>
      <x:c r="BM13" s="12" t="n">
        <x:v>0.9802497344746216</x:v>
      </x:c>
      <x:c r="BN13" s="12" t="n">
        <x:v>0.9815511712696461</x:v>
      </x:c>
      <x:c r="BO13" s="12" t="n">
        <x:v>0.9023585311053542</x:v>
      </x:c>
      <x:c r="BP13" s="12" t="n">
        <x:v>0.8619101997275483</x:v>
      </x:c>
      <x:c r="BQ13" s="12" t="n">
        <x:v>0.9669710895067201</x:v>
      </x:c>
      <x:c r="BR13" s="12" t="n">
        <x:v>0.9623635142836453</x:v>
      </x:c>
      <x:c r="BS13" s="12" t="n">
        <x:v>0.27009754429306687</x:v>
      </x:c>
      <x:c r="BT13" s="12" t="n">
        <x:v>0.19976549769108282</x:v>
      </x:c>
      <x:c r="BU13" s="11" t="n">
        <x:v>18923000</x:v>
      </x:c>
      <x:c r="BV13" s="11" t="n">
        <x:v>21017000</x:v>
      </x:c>
      <x:c r="BW13" s="11" t="n">
        <x:v>0</x:v>
      </x:c>
      <x:c r="BX13" s="11" t="n">
        <x:v>25999000</x:v>
      </x:c>
      <x:c r="BY13" s="11" t="n">
        <x:v>0</x:v>
      </x:c>
      <x:c r="BZ13" s="11" t="n">
        <x:v>33507000</x:v>
      </x:c>
      <x:c r="CA13" s="11" t="n">
        <x:v>1024000</x:v>
      </x:c>
      <x:c r="CB13" s="11" t="n">
        <x:v>0</x:v>
      </x:c>
      <x:c r="CC13" s="11" t="n">
        <x:v>28548000</x:v>
      </x:c>
      <x:c r="CD13" s="11" t="n">
        <x:v>111034000</x:v>
      </x:c>
      <x:c r="CE13" s="11" t="n">
        <x:v>9667000</x:v>
      </x:c>
      <x:c r="CF13" s="11" t="n">
        <x:v>387000</x:v>
      </x:c>
      <x:c r="CG13" s="11" t="n">
        <x:v>5108000</x:v>
      </x:c>
      <x:c r="CH13" s="11" t="n">
        <x:v>79733000</x:v>
      </x:c>
      <x:c r="CI13" s="11" t="n">
        <x:v>42859000</x:v>
      </x:c>
      <x:c r="CJ13" s="11" t="n">
        <x:v>15091000</x:v>
      </x:c>
      <x:c r="CK13" s="11" t="n">
        <x:v>10459000</x:v>
      </x:c>
      <x:c r="CL13" s="11" t="n">
        <x:v>14461000</x:v>
      </x:c>
      <x:c r="CM13" s="11" t="n">
        <x:v>87000</x:v>
      </x:c>
      <x:c r="CN13" s="11" t="n">
        <x:v>0</x:v>
      </x:c>
      <x:c r="CO13" s="11" t="n">
        <x:v>0</x:v>
      </x:c>
      <x:c r="CP13" s="8"/>
      <x:c r="CQ13" s="8" t="str">
        <x:v>Cache Creek</x:v>
      </x:c>
    </x:row>
    <x:row r="14">
      <x:c r="A14" s="8" t="str">
        <x:v>Alert Bay|2019</x:v>
      </x:c>
      <x:c r="B14" s="8" t="str">
        <x:v>alert-bay-v</x:v>
      </x:c>
      <x:c r="C14" s="8" t="str">
        <x:v>Alert Bay</x:v>
      </x:c>
      <x:c r="D14" s="8" t="str">
        <x:v>Alert Bay</x:v>
      </x:c>
      <x:c r="E14" s="8" t="str">
        <x:v>V</x:v>
      </x:c>
      <x:c r="F14" s="8" t="str">
        <x:v>MW</x:v>
      </x:c>
      <x:c r="G14" s="9" t="n">
        <x:v>2019</x:v>
      </x:c>
      <x:c r="H14" s="10" t="n">
        <x:v>473</x:v>
      </x:c>
      <x:c r="I14" s="8" t="str">
        <x:v>Under 5,000</x:v>
      </x:c>
      <x:c r="J14" s="11" t="n">
        <x:v>1913948</x:v>
      </x:c>
      <x:c r="K14" s="11" t="n">
        <x:v>1637211</x:v>
      </x:c>
      <x:c r="L14" s="11" t="n">
        <x:v>276737</x:v>
      </x:c>
      <x:c r="M14" s="12" t="n">
        <x:v>0.14458961267495252</x:v>
      </x:c>
      <x:c r="N14" s="11" t="n">
        <x:v>450544</x:v>
      </x:c>
      <x:c r="O14" s="11" t="n">
        <x:v>754269</x:v>
      </x:c>
      <x:c r="P14" s="11" t="n">
        <x:v>663024</x:v>
      </x:c>
      <x:c r="Q14" s="11" t="n">
        <x:v>46111</x:v>
      </x:c>
      <x:c r="R14" s="11" t="n">
        <x:v>1240313</x:v>
      </x:c>
      <x:c r="S14" s="11" t="n">
        <x:v>351778</x:v>
      </x:c>
      <x:c r="T14" s="11" t="n">
        <x:v>2394534</x:v>
      </x:c>
      <x:c r="U14" s="11" t="n">
        <x:v>1207596</x:v>
      </x:c>
      <x:c r="V14" s="11" t="n">
        <x:v>1414752</x:v>
      </x:c>
      <x:c r="W14" s="11" t="n">
        <x:v>149380</x:v>
      </x:c>
      <x:c r="X14" s="11" t="n">
        <x:v>421239</x:v>
      </x:c>
      <x:c r="Y14" s="11" t="n">
        <x:v>0</x:v>
      </x:c>
      <x:c r="Z14" s="11" t="n">
        <x:v>35291</x:v>
      </x:c>
      <x:c r="AA14" s="11" t="n">
        <x:v>367090</x:v>
      </x:c>
      <x:c r="AB14" s="11" t="n">
        <x:v>45120</x:v>
      </x:c>
      <x:c r="AC14" s="11" t="n">
        <x:v>80411</x:v>
      </x:c>
      <x:c r="AD14" s="11" t="n">
        <x:v>415475</x:v>
      </x:c>
      <x:c r="AE14" s="11" t="n">
        <x:v>334169</x:v>
      </x:c>
      <x:c r="AF14" s="11" t="n">
        <x:v>1661899</x:v>
      </x:c>
      <x:c r="AG14" s="11" t="n">
        <x:v>12979305</x:v>
      </x:c>
      <x:c r="AH14" s="11" t="n">
        <x:v>6623872</x:v>
      </x:c>
      <x:c r="AI14" s="11" t="n">
        <x:v>6355433</x:v>
      </x:c>
      <x:c r="AJ14" s="11" t="n">
        <x:v>222687</x:v>
      </x:c>
      <x:c r="AK14" s="11" t="n">
        <x:v>362518</x:v>
      </x:c>
      <x:c r="AL14" s="11" t="n">
        <x:v>0</x:v>
      </x:c>
      <x:c r="AM14" s="12" t="n">
        <x:v>1</x:v>
      </x:c>
      <x:c r="AN14" s="12" t="n">
        <x:v>0.6142784634142304</x:v>
      </x:c>
      <x:c r="AO14" s="11" t="n">
        <x:v>632246</x:v>
      </x:c>
      <x:c r="AP14" s="11" t="n">
        <x:v>564790</x:v>
      </x:c>
      <x:c r="AQ14" s="12" t="n">
        <x:v>0.893307351885184</x:v>
      </x:c>
      <x:c r="AR14" s="11" t="n">
        <x:v>4046.4016913319238</x:v>
      </x:c>
      <x:c r="AS14" s="11" t="n">
        <x:v>3461.3340380549685</x:v>
      </x:c>
      <x:c r="AT14" s="11" t="n">
        <x:v>2991.019027484144</x:v>
      </x:c>
      <x:c r="AU14" s="11" t="n">
        <x:v>315.8139534883721</x:v>
      </x:c>
      <x:c r="AV14" s="11" t="n">
        <x:v>776.0887949260042</x:v>
      </x:c>
      <x:c r="AW14" s="11" t="n">
        <x:v>1.9828932855027674</x:v>
      </x:c>
      <x:c r="AX14" s="12" t="n">
        <x:v>0.8043059149166617</x:v>
      </x:c>
      <x:c r="AY14" s="11"/>
      <x:c r="AZ14" s="11"/>
      <x:c r="BA14" s="11"/>
      <x:c r="BB14" s="11"/>
      <x:c r="BC14" s="11"/>
      <x:c r="BD14" s="11"/>
      <x:c r="BE14" s="11"/>
      <x:c r="BF14" s="11"/>
      <x:c r="BG14" s="11"/>
      <x:c r="BH14" s="11"/>
      <x:c r="BI14" s="11"/>
      <x:c r="BJ14" s="11"/>
      <x:c r="BK14" s="12"/>
      <x:c r="BL14" s="12"/>
      <x:c r="BM14" s="12"/>
      <x:c r="BN14" s="12"/>
      <x:c r="BO14" s="12"/>
      <x:c r="BP14" s="12"/>
      <x:c r="BQ14" s="12"/>
      <x:c r="BR14" s="12"/>
      <x:c r="BS14" s="12"/>
      <x:c r="BT14" s="12"/>
      <x:c r="BU14" s="11" t="n">
        <x:v>0</x:v>
      </x:c>
      <x:c r="BV14" s="11" t="n">
        <x:v>657933</x:v>
      </x:c>
      <x:c r="BW14" s="11" t="n">
        <x:v>5091</x:v>
      </x:c>
      <x:c r="BX14" s="11" t="n">
        <x:v>46111</x:v>
      </x:c>
      <x:c r="BY14" s="11" t="n">
        <x:v>0</x:v>
      </x:c>
      <x:c r="BZ14" s="11" t="n">
        <x:v>0</x:v>
      </x:c>
      <x:c r="CA14" s="11" t="n">
        <x:v>0</x:v>
      </x:c>
      <x:c r="CB14" s="11" t="n">
        <x:v>0</x:v>
      </x:c>
      <x:c r="CC14" s="11" t="n">
        <x:v>432296</x:v>
      </x:c>
      <x:c r="CD14" s="11" t="n">
        <x:v>50269</x:v>
      </x:c>
      <x:c r="CE14" s="11" t="n">
        <x:v>161122</x:v>
      </x:c>
      <x:c r="CF14" s="11" t="n">
        <x:v>0</x:v>
      </x:c>
      <x:c r="CG14" s="11" t="n">
        <x:v>74738</x:v>
      </x:c>
      <x:c r="CH14" s="11" t="n">
        <x:v>155589</x:v>
      </x:c>
      <x:c r="CI14" s="11" t="n">
        <x:v>62338</x:v>
      </x:c>
      <x:c r="CJ14" s="11" t="n">
        <x:v>38956</x:v>
      </x:c>
      <x:c r="CK14" s="11" t="n">
        <x:v>134257</x:v>
      </x:c>
      <x:c r="CL14" s="11" t="n">
        <x:v>175868</x:v>
      </x:c>
      <x:c r="CM14" s="11"/>
      <x:c r="CN14" s="11" t="n">
        <x:v>0</x:v>
      </x:c>
      <x:c r="CO14" s="11" t="n">
        <x:v>0</x:v>
      </x:c>
      <x:c r="CP14" s="8"/>
      <x:c r="CQ14" s="8" t="str">
        <x:v>Campbell River</x:v>
      </x:c>
    </x:row>
    <x:row r="15">
      <x:c r="A15" s="8" t="str">
        <x:v>Alert Bay|2020</x:v>
      </x:c>
      <x:c r="B15" s="8" t="str">
        <x:v>alert-bay-v</x:v>
      </x:c>
      <x:c r="C15" s="8" t="str">
        <x:v>Alert Bay</x:v>
      </x:c>
      <x:c r="D15" s="8" t="str">
        <x:v>Alert Bay</x:v>
      </x:c>
      <x:c r="E15" s="8" t="str">
        <x:v>V</x:v>
      </x:c>
      <x:c r="F15" s="8" t="str">
        <x:v>MW</x:v>
      </x:c>
      <x:c r="G15" s="9" t="n">
        <x:v>2020</x:v>
      </x:c>
      <x:c r="H15" s="10" t="n">
        <x:v>441</x:v>
      </x:c>
      <x:c r="I15" s="8" t="str">
        <x:v>Under 5,000</x:v>
      </x:c>
      <x:c r="J15" s="11" t="n">
        <x:v>2216644</x:v>
      </x:c>
      <x:c r="K15" s="11" t="n">
        <x:v>1659729</x:v>
      </x:c>
      <x:c r="L15" s="11" t="n">
        <x:v>556915</x:v>
      </x:c>
      <x:c r="M15" s="12" t="n">
        <x:v>0.2512424187194696</x:v>
      </x:c>
      <x:c r="N15" s="11" t="n">
        <x:v>447704</x:v>
      </x:c>
      <x:c r="O15" s="11" t="n">
        <x:v>722056</x:v>
      </x:c>
      <x:c r="P15" s="11" t="n">
        <x:v>994458</x:v>
      </x:c>
      <x:c r="Q15" s="11" t="n">
        <x:v>52426</x:v>
      </x:c>
      <x:c r="R15" s="11" t="n">
        <x:v>1261291</x:v>
      </x:c>
      <x:c r="S15" s="11" t="n">
        <x:v>353318</x:v>
      </x:c>
      <x:c r="T15" s="11" t="n">
        <x:v>2618157</x:v>
      </x:c>
      <x:c r="U15" s="11" t="n">
        <x:v>876479</x:v>
      </x:c>
      <x:c r="V15" s="11" t="n">
        <x:v>1955661</x:v>
      </x:c>
      <x:c r="W15" s="11" t="n">
        <x:v>184380</x:v>
      </x:c>
      <x:c r="X15" s="11" t="n">
        <x:v>367090</x:v>
      </x:c>
      <x:c r="Y15" s="11" t="n">
        <x:v>0</x:v>
      </x:c>
      <x:c r="Z15" s="11" t="n">
        <x:v>35291</x:v>
      </x:c>
      <x:c r="AA15" s="11" t="n">
        <x:v>311047</x:v>
      </x:c>
      <x:c r="AB15" s="11" t="n">
        <x:v>45120</x:v>
      </x:c>
      <x:c r="AC15" s="11" t="n">
        <x:v>80411</x:v>
      </x:c>
      <x:c r="AD15" s="11" t="n">
        <x:v>413859</x:v>
      </x:c>
      <x:c r="AE15" s="11" t="n">
        <x:v>330521</x:v>
      </x:c>
      <x:c r="AF15" s="11" t="n">
        <x:v>1655434</x:v>
      </x:c>
      <x:c r="AG15" s="11" t="n">
        <x:v>13348480</x:v>
      </x:c>
      <x:c r="AH15" s="11" t="n">
        <x:v>6977190</x:v>
      </x:c>
      <x:c r="AI15" s="11" t="n">
        <x:v>6371290</x:v>
      </x:c>
      <x:c r="AJ15" s="11" t="n">
        <x:v>369175</x:v>
      </x:c>
      <x:c r="AK15" s="11" t="n">
        <x:v>185981</x:v>
      </x:c>
      <x:c r="AL15" s="11" t="n">
        <x:v>0</x:v>
      </x:c>
      <x:c r="AM15" s="12" t="n">
        <x:v>1</x:v>
      </x:c>
      <x:c r="AN15" s="12" t="n">
        <x:v>1.9850145982654142</x:v>
      </x:c>
      <x:c r="AO15" s="11" t="n">
        <x:v>655169</x:v>
      </x:c>
      <x:c r="AP15" s="11" t="n">
        <x:v>610534</x:v>
      </x:c>
      <x:c r="AQ15" s="12" t="n">
        <x:v>0.9318725397569176</x:v>
      </x:c>
      <x:c r="AR15" s="11" t="n">
        <x:v>5026.403628117914</x:v>
      </x:c>
      <x:c r="AS15" s="11" t="n">
        <x:v>3763.5578231292516</x:v>
      </x:c>
      <x:c r="AT15" s="11" t="n">
        <x:v>4434.60544217687</x:v>
      </x:c>
      <x:c r="AU15" s="11" t="n">
        <x:v>418.0952380952381</x:v>
      </x:c>
      <x:c r="AV15" s="11" t="n">
        <x:v>705.3219954648526</x:v>
      </x:c>
      <x:c r="AW15" s="11" t="n">
        <x:v>2.9871303248566137</x:v>
      </x:c>
      <x:c r="AX15" s="12" t="n">
        <x:v>0.7986319012030667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  <x:c r="BI15" s="11"/>
      <x:c r="BJ15" s="11"/>
      <x:c r="BK15" s="12"/>
      <x:c r="BL15" s="12"/>
      <x:c r="BM15" s="12"/>
      <x:c r="BN15" s="12"/>
      <x:c r="BO15" s="12"/>
      <x:c r="BP15" s="12"/>
      <x:c r="BQ15" s="12"/>
      <x:c r="BR15" s="12"/>
      <x:c r="BS15" s="12"/>
      <x:c r="BT15" s="12"/>
      <x:c r="BU15" s="11" t="n">
        <x:v>174125</x:v>
      </x:c>
      <x:c r="BV15" s="11" t="n">
        <x:v>808784</x:v>
      </x:c>
      <x:c r="BW15" s="11" t="n">
        <x:v>11549</x:v>
      </x:c>
      <x:c r="BX15" s="11" t="n">
        <x:v>52426</x:v>
      </x:c>
      <x:c r="BY15" s="11" t="n">
        <x:v>0</x:v>
      </x:c>
      <x:c r="BZ15" s="11" t="n">
        <x:v>0</x:v>
      </x:c>
      <x:c r="CA15" s="11" t="n">
        <x:v>0</x:v>
      </x:c>
      <x:c r="CB15" s="11" t="n">
        <x:v>0</x:v>
      </x:c>
      <x:c r="CC15" s="11" t="n">
        <x:v>472410</x:v>
      </x:c>
      <x:c r="CD15" s="11" t="n">
        <x:v>59358</x:v>
      </x:c>
      <x:c r="CE15" s="11" t="n">
        <x:v>194915</x:v>
      </x:c>
      <x:c r="CF15" s="11" t="n">
        <x:v>0</x:v>
      </x:c>
      <x:c r="CG15" s="11" t="n">
        <x:v>78334</x:v>
      </x:c>
      <x:c r="CH15" s="11" t="n">
        <x:v>156208</x:v>
      </x:c>
      <x:c r="CI15" s="11" t="n">
        <x:v>35515</x:v>
      </x:c>
      <x:c r="CJ15" s="11" t="n">
        <x:v>41216</x:v>
      </x:c>
      <x:c r="CK15" s="11" t="n">
        <x:v>138523</x:v>
      </x:c>
      <x:c r="CL15" s="11" t="n">
        <x:v>129932</x:v>
      </x:c>
      <x:c r="CM15" s="11"/>
      <x:c r="CN15" s="11" t="n">
        <x:v>0</x:v>
      </x:c>
      <x:c r="CO15" s="11" t="n">
        <x:v>0</x:v>
      </x:c>
      <x:c r="CP15" s="8"/>
      <x:c r="CQ15" s="8" t="str">
        <x:v>Canal Flats</x:v>
      </x:c>
    </x:row>
    <x:row r="16">
      <x:c r="A16" s="8" t="str">
        <x:v>Alert Bay|2021</x:v>
      </x:c>
      <x:c r="B16" s="8" t="str">
        <x:v>alert-bay-v</x:v>
      </x:c>
      <x:c r="C16" s="8" t="str">
        <x:v>Alert Bay</x:v>
      </x:c>
      <x:c r="D16" s="8" t="str">
        <x:v>Alert Bay</x:v>
      </x:c>
      <x:c r="E16" s="8" t="str">
        <x:v>V</x:v>
      </x:c>
      <x:c r="F16" s="8" t="str">
        <x:v>MW</x:v>
      </x:c>
      <x:c r="G16" s="9" t="n">
        <x:v>2021</x:v>
      </x:c>
      <x:c r="H16" s="10" t="n">
        <x:v>434</x:v>
      </x:c>
      <x:c r="I16" s="8" t="str">
        <x:v>Under 5,000</x:v>
      </x:c>
      <x:c r="J16" s="11" t="n">
        <x:v>1759721</x:v>
      </x:c>
      <x:c r="K16" s="11" t="n">
        <x:v>1647703</x:v>
      </x:c>
      <x:c r="L16" s="11" t="n">
        <x:v>112018</x:v>
      </x:c>
      <x:c r="M16" s="12" t="n">
        <x:v>0.06365668193992116</x:v>
      </x:c>
      <x:c r="N16" s="11" t="n">
        <x:v>447466</x:v>
      </x:c>
      <x:c r="O16" s="11" t="n">
        <x:v>742075</x:v>
      </x:c>
      <x:c r="P16" s="11" t="n">
        <x:v>521805</x:v>
      </x:c>
      <x:c r="Q16" s="11" t="n">
        <x:v>48375</x:v>
      </x:c>
      <x:c r="R16" s="11" t="n">
        <x:v>1263303</x:v>
      </x:c>
      <x:c r="S16" s="11" t="n">
        <x:v>330207</x:v>
      </x:c>
      <x:c r="T16" s="11" t="n">
        <x:v>3296427</x:v>
      </x:c>
      <x:c r="U16" s="11" t="n">
        <x:v>1136098</x:v>
      </x:c>
      <x:c r="V16" s="11" t="n">
        <x:v>2366837</x:v>
      </x:c>
      <x:c r="W16" s="11" t="n">
        <x:v>219380</x:v>
      </x:c>
      <x:c r="X16" s="11" t="n">
        <x:v>311047</x:v>
      </x:c>
      <x:c r="Y16" s="11" t="n">
        <x:v>0</x:v>
      </x:c>
      <x:c r="Z16" s="11" t="n">
        <x:v>39119</x:v>
      </x:c>
      <x:c r="AA16" s="11" t="n">
        <x:v>252460</x:v>
      </x:c>
      <x:c r="AB16" s="11" t="n">
        <x:v>54193</x:v>
      </x:c>
      <x:c r="AC16" s="11" t="n">
        <x:v>93312</x:v>
      </x:c>
      <x:c r="AD16" s="11" t="n">
        <x:v>415567</x:v>
      </x:c>
      <x:c r="AE16" s="11" t="n">
        <x:v>319256</x:v>
      </x:c>
      <x:c r="AF16" s="11" t="n">
        <x:v>1662266</x:v>
      </x:c>
      <x:c r="AG16" s="11" t="n">
        <x:v>13379943</x:v>
      </x:c>
      <x:c r="AH16" s="11" t="n">
        <x:v>7307397</x:v>
      </x:c>
      <x:c r="AI16" s="11" t="n">
        <x:v>6072546</x:v>
      </x:c>
      <x:c r="AJ16" s="11" t="n">
        <x:v>31463</x:v>
      </x:c>
      <x:c r="AK16" s="11" t="n">
        <x:v>217444</x:v>
      </x:c>
      <x:c r="AL16" s="11" t="n">
        <x:v>0</x:v>
      </x:c>
      <x:c r="AM16" s="12" t="n">
        <x:v>1</x:v>
      </x:c>
      <x:c r="AN16" s="12" t="n">
        <x:v>0.14469472599841798</x:v>
      </x:c>
      <x:c r="AO16" s="11" t="n">
        <x:v>673785</x:v>
      </x:c>
      <x:c r="AP16" s="11" t="n">
        <x:v>624087</x:v>
      </x:c>
      <x:c r="AQ16" s="12" t="n">
        <x:v>0.9262405663527683</x:v>
      </x:c>
      <x:c r="AR16" s="11" t="n">
        <x:v>4054.65668202765</x:v>
      </x:c>
      <x:c r="AS16" s="11" t="n">
        <x:v>3796.5506912442397</x:v>
      </x:c>
      <x:c r="AT16" s="11" t="n">
        <x:v>5453.541474654377</x:v>
      </x:c>
      <x:c r="AU16" s="11" t="n">
        <x:v>505.48387096774195</x:v>
      </x:c>
      <x:c r="AV16" s="11" t="n">
        <x:v>581.705069124424</x:v>
      </x:c>
      <x:c r="AW16" s="11" t="n">
        <x:v>2.9015340225931214</x:v>
      </x:c>
      <x:c r="AX16" s="12" t="n">
        <x:v>0.7682419441389716</x:v>
      </x:c>
      <x:c r="AY16" s="11"/>
      <x:c r="AZ16" s="11"/>
      <x:c r="BA16" s="11"/>
      <x:c r="BB16" s="11"/>
      <x:c r="BC16" s="11"/>
      <x:c r="BD16" s="11"/>
      <x:c r="BE16" s="11"/>
      <x:c r="BF16" s="11"/>
      <x:c r="BG16" s="11"/>
      <x:c r="BH16" s="11"/>
      <x:c r="BI16" s="11"/>
      <x:c r="BJ16" s="11"/>
      <x:c r="BK16" s="12"/>
      <x:c r="BL16" s="12"/>
      <x:c r="BM16" s="12"/>
      <x:c r="BN16" s="12"/>
      <x:c r="BO16" s="12"/>
      <x:c r="BP16" s="12"/>
      <x:c r="BQ16" s="12"/>
      <x:c r="BR16" s="12"/>
      <x:c r="BS16" s="12"/>
      <x:c r="BT16" s="12"/>
      <x:c r="BU16" s="11" t="n">
        <x:v>0</x:v>
      </x:c>
      <x:c r="BV16" s="11" t="n">
        <x:v>516823</x:v>
      </x:c>
      <x:c r="BW16" s="11" t="n">
        <x:v>4982</x:v>
      </x:c>
      <x:c r="BX16" s="11" t="n">
        <x:v>48375</x:v>
      </x:c>
      <x:c r="BY16" s="11" t="n">
        <x:v>0</x:v>
      </x:c>
      <x:c r="BZ16" s="11" t="n">
        <x:v>0</x:v>
      </x:c>
      <x:c r="CA16" s="11" t="n">
        <x:v>0</x:v>
      </x:c>
      <x:c r="CB16" s="11" t="n">
        <x:v>0</x:v>
      </x:c>
      <x:c r="CC16" s="11" t="n">
        <x:v>412127</x:v>
      </x:c>
      <x:c r="CD16" s="11" t="n">
        <x:v>57470</x:v>
      </x:c>
      <x:c r="CE16" s="11" t="n">
        <x:v>182534</x:v>
      </x:c>
      <x:c r="CF16" s="11" t="n">
        <x:v>0</x:v>
      </x:c>
      <x:c r="CG16" s="11" t="n">
        <x:v>71130</x:v>
      </x:c>
      <x:c r="CH16" s="11" t="n">
        <x:v>214348</x:v>
      </x:c>
      <x:c r="CI16" s="11" t="n">
        <x:v>44685</x:v>
      </x:c>
      <x:c r="CJ16" s="11" t="n">
        <x:v>35311</x:v>
      </x:c>
      <x:c r="CK16" s="11" t="n">
        <x:v>164116</x:v>
      </x:c>
      <x:c r="CL16" s="11" t="n">
        <x:v>135775</x:v>
      </x:c>
      <x:c r="CM16" s="11"/>
      <x:c r="CN16" s="11" t="n">
        <x:v>0</x:v>
      </x:c>
      <x:c r="CO16" s="11" t="n">
        <x:v>0</x:v>
      </x:c>
      <x:c r="CP16" s="8"/>
      <x:c r="CQ16" s="8" t="str">
        <x:v>Castlegar</x:v>
      </x:c>
    </x:row>
    <x:row r="17">
      <x:c r="A17" s="8" t="str">
        <x:v>Alert Bay|2022</x:v>
      </x:c>
      <x:c r="B17" s="8" t="str">
        <x:v>alert-bay-v</x:v>
      </x:c>
      <x:c r="C17" s="8" t="str">
        <x:v>Alert Bay</x:v>
      </x:c>
      <x:c r="D17" s="8" t="str">
        <x:v>Alert Bay</x:v>
      </x:c>
      <x:c r="E17" s="8" t="str">
        <x:v>V</x:v>
      </x:c>
      <x:c r="F17" s="8" t="str">
        <x:v>MW</x:v>
      </x:c>
      <x:c r="G17" s="9" t="n">
        <x:v>2022</x:v>
      </x:c>
      <x:c r="H17" s="10" t="n">
        <x:v>466</x:v>
      </x:c>
      <x:c r="I17" s="8" t="str">
        <x:v>Under 5,000</x:v>
      </x:c>
      <x:c r="J17" s="11" t="n">
        <x:v>2255783</x:v>
      </x:c>
      <x:c r="K17" s="11" t="n">
        <x:v>1830057</x:v>
      </x:c>
      <x:c r="L17" s="11" t="n">
        <x:v>425726</x:v>
      </x:c>
      <x:c r="M17" s="12" t="n">
        <x:v>0.1887264865459133</x:v>
      </x:c>
      <x:c r="N17" s="11" t="n">
        <x:v>505010</x:v>
      </x:c>
      <x:c r="O17" s="11" t="n">
        <x:v>779622</x:v>
      </x:c>
      <x:c r="P17" s="11" t="n">
        <x:v>883213</x:v>
      </x:c>
      <x:c r="Q17" s="11" t="n">
        <x:v>87938</x:v>
      </x:c>
      <x:c r="R17" s="11" t="n">
        <x:v>1457503</x:v>
      </x:c>
      <x:c r="S17" s="11" t="n">
        <x:v>317634</x:v>
      </x:c>
      <x:c r="T17" s="11" t="n">
        <x:v>3683284</x:v>
      </x:c>
      <x:c r="U17" s="11" t="n">
        <x:v>1077235</x:v>
      </x:c>
      <x:c r="V17" s="11" t="n">
        <x:v>2903661</x:v>
      </x:c>
      <x:c r="W17" s="11" t="n">
        <x:v>254380</x:v>
      </x:c>
      <x:c r="X17" s="11" t="n">
        <x:v>252460</x:v>
      </x:c>
      <x:c r="Y17" s="11" t="n">
        <x:v>0</x:v>
      </x:c>
      <x:c r="Z17" s="11" t="n">
        <x:v>39119</x:v>
      </x:c>
      <x:c r="AA17" s="11" t="n">
        <x:v>192115</x:v>
      </x:c>
      <x:c r="AB17" s="11" t="n">
        <x:v>54920</x:v>
      </x:c>
      <x:c r="AC17" s="11" t="n">
        <x:v>94039</x:v>
      </x:c>
      <x:c r="AD17" s="11" t="n">
        <x:v>468066</x:v>
      </x:c>
      <x:c r="AE17" s="11" t="n">
        <x:v>370956</x:v>
      </x:c>
      <x:c r="AF17" s="11" t="n">
        <x:v>1872264</x:v>
      </x:c>
      <x:c r="AG17" s="11" t="n">
        <x:v>13599835</x:v>
      </x:c>
      <x:c r="AH17" s="11" t="n">
        <x:v>7625031</x:v>
      </x:c>
      <x:c r="AI17" s="11" t="n">
        <x:v>5974804</x:v>
      </x:c>
      <x:c r="AJ17" s="11" t="n">
        <x:v>219892</x:v>
      </x:c>
      <x:c r="AK17" s="11" t="n">
        <x:v>353220</x:v>
      </x:c>
      <x:c r="AL17" s="11" t="n">
        <x:v>0</x:v>
      </x:c>
      <x:c r="AM17" s="12" t="n">
        <x:v>1</x:v>
      </x:c>
      <x:c r="AN17" s="12" t="n">
        <x:v>0.6225355302644244</x:v>
      </x:c>
      <x:c r="AO17" s="11" t="n">
        <x:v>802684</x:v>
      </x:c>
      <x:c r="AP17" s="11" t="n">
        <x:v>712165</x:v>
      </x:c>
      <x:c r="AQ17" s="12" t="n">
        <x:v>0.8872295947097488</x:v>
      </x:c>
      <x:c r="AR17" s="11" t="n">
        <x:v>4840.7360515021455</x:v>
      </x:c>
      <x:c r="AS17" s="11" t="n">
        <x:v>3927.1609442060085</x:v>
      </x:c>
      <x:c r="AT17" s="11" t="n">
        <x:v>6231.032188841202</x:v>
      </x:c>
      <x:c r="AU17" s="11" t="n">
        <x:v>545.8798283261802</x:v>
      </x:c>
      <x:c r="AV17" s="11" t="n">
        <x:v>412.2639484978541</x:v>
      </x:c>
      <x:c r="AW17" s="11" t="n">
        <x:v>3.4192019382957293</x:v>
      </x:c>
      <x:c r="AX17" s="12" t="n">
        <x:v>0.7925292586942867</x:v>
      </x:c>
      <x:c r="AY17" s="11"/>
      <x:c r="AZ17" s="11"/>
      <x:c r="BA17" s="11"/>
      <x:c r="BB17" s="11"/>
      <x:c r="BC17" s="11"/>
      <x:c r="BD17" s="11"/>
      <x:c r="BE17" s="11"/>
      <x:c r="BF17" s="11"/>
      <x:c r="BG17" s="11"/>
      <x:c r="BH17" s="11"/>
      <x:c r="BI17" s="11"/>
      <x:c r="BJ17" s="11"/>
      <x:c r="BK17" s="12"/>
      <x:c r="BL17" s="12"/>
      <x:c r="BM17" s="12"/>
      <x:c r="BN17" s="12"/>
      <x:c r="BO17" s="12"/>
      <x:c r="BP17" s="12"/>
      <x:c r="BQ17" s="12"/>
      <x:c r="BR17" s="12"/>
      <x:c r="BS17" s="12"/>
      <x:c r="BT17" s="12"/>
      <x:c r="BU17" s="11" t="n">
        <x:v>50242</x:v>
      </x:c>
      <x:c r="BV17" s="11" t="n">
        <x:v>815108</x:v>
      </x:c>
      <x:c r="BW17" s="11" t="n">
        <x:v>17863</x:v>
      </x:c>
      <x:c r="BX17" s="11" t="n">
        <x:v>87938</x:v>
      </x:c>
      <x:c r="BY17" s="11" t="n">
        <x:v>0</x:v>
      </x:c>
      <x:c r="BZ17" s="11" t="n">
        <x:v>0</x:v>
      </x:c>
      <x:c r="CA17" s="11" t="n">
        <x:v>0</x:v>
      </x:c>
      <x:c r="CB17" s="11" t="n">
        <x:v>0</x:v>
      </x:c>
      <x:c r="CC17" s="11" t="n">
        <x:v>464177</x:v>
      </x:c>
      <x:c r="CD17" s="11" t="n">
        <x:v>33997</x:v>
      </x:c>
      <x:c r="CE17" s="11" t="n">
        <x:v>200336</x:v>
      </x:c>
      <x:c r="CF17" s="11" t="n">
        <x:v>0</x:v>
      </x:c>
      <x:c r="CG17" s="11" t="n">
        <x:v>137090</x:v>
      </x:c>
      <x:c r="CH17" s="11" t="n">
        <x:v>254988</x:v>
      </x:c>
      <x:c r="CI17" s="11" t="n">
        <x:v>52927</x:v>
      </x:c>
      <x:c r="CJ17" s="11" t="n">
        <x:v>56552</x:v>
      </x:c>
      <x:c r="CK17" s="11" t="n">
        <x:v>174452</x:v>
      </x:c>
      <x:c r="CL17" s="11" t="n">
        <x:v>137904</x:v>
      </x:c>
      <x:c r="CM17" s="11"/>
      <x:c r="CN17" s="11" t="n">
        <x:v>0</x:v>
      </x:c>
      <x:c r="CO17" s="11" t="n">
        <x:v>0</x:v>
      </x:c>
      <x:c r="CP17" s="8"/>
      <x:c r="CQ17" s="8" t="str">
        <x:v>Central Saanich</x:v>
      </x:c>
    </x:row>
    <x:row r="18">
      <x:c r="A18" s="8" t="str">
        <x:v>Alert Bay|2023</x:v>
      </x:c>
      <x:c r="B18" s="8" t="str">
        <x:v>alert-bay-v</x:v>
      </x:c>
      <x:c r="C18" s="8" t="str">
        <x:v>Alert Bay</x:v>
      </x:c>
      <x:c r="D18" s="8" t="str">
        <x:v>Alert Bay</x:v>
      </x:c>
      <x:c r="E18" s="8" t="str">
        <x:v>V</x:v>
      </x:c>
      <x:c r="F18" s="8" t="str">
        <x:v>MW</x:v>
      </x:c>
      <x:c r="G18" s="9" t="n">
        <x:v>2023</x:v>
      </x:c>
      <x:c r="H18" s="10" t="n">
        <x:v>463</x:v>
      </x:c>
      <x:c r="I18" s="8" t="str">
        <x:v>Under 5,000</x:v>
      </x:c>
      <x:c r="J18" s="11" t="n">
        <x:v>2962979</x:v>
      </x:c>
      <x:c r="K18" s="11" t="n">
        <x:v>2252793</x:v>
      </x:c>
      <x:c r="L18" s="11" t="n">
        <x:v>710186</x:v>
      </x:c>
      <x:c r="M18" s="12" t="n">
        <x:v>0.23968647769693946</x:v>
      </x:c>
      <x:c r="N18" s="11" t="n">
        <x:v>541509</x:v>
      </x:c>
      <x:c r="O18" s="11" t="n">
        <x:v>823226</x:v>
      </x:c>
      <x:c r="P18" s="11" t="n">
        <x:v>1401922</x:v>
      </x:c>
      <x:c r="Q18" s="11" t="n">
        <x:v>196322</x:v>
      </x:c>
      <x:c r="R18" s="11" t="n">
        <x:v>1827628</x:v>
      </x:c>
      <x:c r="S18" s="11" t="n">
        <x:v>367373</x:v>
      </x:c>
      <x:c r="T18" s="11" t="n">
        <x:v>4473978</x:v>
      </x:c>
      <x:c r="U18" s="11" t="n">
        <x:v>2431217</x:v>
      </x:c>
      <x:c r="V18" s="11" t="n">
        <x:v>2284092</x:v>
      </x:c>
      <x:c r="W18" s="11" t="n">
        <x:v>972514</x:v>
      </x:c>
      <x:c r="X18" s="11" t="n">
        <x:v>192115</x:v>
      </x:c>
      <x:c r="Y18" s="11" t="n">
        <x:v>0</x:v>
      </x:c>
      <x:c r="Z18" s="11" t="n">
        <x:v>39119</x:v>
      </x:c>
      <x:c r="AA18" s="11" t="n">
        <x:v>129959</x:v>
      </x:c>
      <x:c r="AB18" s="11" t="n">
        <x:v>57792</x:v>
      </x:c>
      <x:c r="AC18" s="11" t="n">
        <x:v>96911</x:v>
      </x:c>
      <x:c r="AD18" s="11" t="n">
        <x:v>479359</x:v>
      </x:c>
      <x:c r="AE18" s="11" t="n">
        <x:v>382448</x:v>
      </x:c>
      <x:c r="AF18" s="11" t="n">
        <x:v>1917434</x:v>
      </x:c>
      <x:c r="AG18" s="11" t="n">
        <x:v>15274046</x:v>
      </x:c>
      <x:c r="AH18" s="11" t="n">
        <x:v>7992404</x:v>
      </x:c>
      <x:c r="AI18" s="11" t="n">
        <x:v>7281642</x:v>
      </x:c>
      <x:c r="AJ18" s="11" t="n">
        <x:v>318022</x:v>
      </x:c>
      <x:c r="AK18" s="11" t="n">
        <x:v>275374</x:v>
      </x:c>
      <x:c r="AL18" s="11" t="n">
        <x:v>0</x:v>
      </x:c>
      <x:c r="AM18" s="12" t="n">
        <x:v>1</x:v>
      </x:c>
      <x:c r="AN18" s="12" t="n">
        <x:v>1.1548730090712993</x:v>
      </x:c>
      <x:c r="AO18" s="11" t="n">
        <x:v>862717</x:v>
      </x:c>
      <x:c r="AP18" s="11" t="n">
        <x:v>789446</x:v>
      </x:c>
      <x:c r="AQ18" s="12" t="n">
        <x:v>0.915069483967512</x:v>
      </x:c>
      <x:c r="AR18" s="11" t="n">
        <x:v>6399.5226781857455</x:v>
      </x:c>
      <x:c r="AS18" s="11" t="n">
        <x:v>4865.643628509719</x:v>
      </x:c>
      <x:c r="AT18" s="11" t="n">
        <x:v>4933.244060475162</x:v>
      </x:c>
      <x:c r="AU18" s="11" t="n">
        <x:v>2100.4622030237583</x:v>
      </x:c>
      <x:c r="AV18" s="11" t="n">
        <x:v>280.6889848812095</x:v>
      </x:c>
      <x:c r="AW18" s="11" t="n">
        <x:v>1.8402215844986276</x:v>
      </x:c>
      <x:c r="AX18" s="12" t="n">
        <x:v>0.7978321049568278</x:v>
      </x:c>
      <x:c r="AY18" s="11"/>
      <x:c r="AZ18" s="11"/>
      <x:c r="BA18" s="11"/>
      <x:c r="BB18" s="11"/>
      <x:c r="BC18" s="11"/>
      <x:c r="BD18" s="11"/>
      <x:c r="BE18" s="11"/>
      <x:c r="BF18" s="11"/>
      <x:c r="BG18" s="11"/>
      <x:c r="BH18" s="11"/>
      <x:c r="BI18" s="11"/>
      <x:c r="BJ18" s="11"/>
      <x:c r="BK18" s="12"/>
      <x:c r="BL18" s="12"/>
      <x:c r="BM18" s="12"/>
      <x:c r="BN18" s="12"/>
      <x:c r="BO18" s="12"/>
      <x:c r="BP18" s="12"/>
      <x:c r="BQ18" s="12"/>
      <x:c r="BR18" s="12"/>
      <x:c r="BS18" s="12"/>
      <x:c r="BT18" s="12"/>
      <x:c r="BU18" s="11" t="n">
        <x:v>0</x:v>
      </x:c>
      <x:c r="BV18" s="11" t="n">
        <x:v>1389375</x:v>
      </x:c>
      <x:c r="BW18" s="11" t="n">
        <x:v>12547</x:v>
      </x:c>
      <x:c r="BX18" s="11" t="n">
        <x:v>196322</x:v>
      </x:c>
      <x:c r="BY18" s="11" t="n">
        <x:v>0</x:v>
      </x:c>
      <x:c r="BZ18" s="11" t="n">
        <x:v>0</x:v>
      </x:c>
      <x:c r="CA18" s="11" t="n">
        <x:v>0</x:v>
      </x:c>
      <x:c r="CB18" s="11" t="n">
        <x:v>0</x:v>
      </x:c>
      <x:c r="CC18" s="11" t="n">
        <x:v>465859</x:v>
      </x:c>
      <x:c r="CD18" s="11" t="n">
        <x:v>33432</x:v>
      </x:c>
      <x:c r="CE18" s="11" t="n">
        <x:v>335897</x:v>
      </x:c>
      <x:c r="CF18" s="11" t="n">
        <x:v>0</x:v>
      </x:c>
      <x:c r="CG18" s="11" t="n">
        <x:v>143595</x:v>
      </x:c>
      <x:c r="CH18" s="11" t="n">
        <x:v>171502</x:v>
      </x:c>
      <x:c r="CI18" s="11" t="n">
        <x:v>65107</x:v>
      </x:c>
      <x:c r="CJ18" s="11" t="n">
        <x:v>50009</x:v>
      </x:c>
      <x:c r="CK18" s="11" t="n">
        <x:v>166551</x:v>
      </x:c>
      <x:c r="CL18" s="11" t="n">
        <x:v>453468</x:v>
      </x:c>
      <x:c r="CM18" s="11" t="n">
        <x:v>0</x:v>
      </x:c>
      <x:c r="CN18" s="11" t="n">
        <x:v>0</x:v>
      </x:c>
      <x:c r="CO18" s="11" t="n">
        <x:v>0</x:v>
      </x:c>
      <x:c r="CP18" s="8"/>
      <x:c r="CQ18" s="8" t="str">
        <x:v>Chase</x:v>
      </x:c>
    </x:row>
    <x:row r="19">
      <x:c r="A19" s="8" t="str">
        <x:v>Alert Bay|2024</x:v>
      </x:c>
      <x:c r="B19" s="8" t="str">
        <x:v>alert-bay-v</x:v>
      </x:c>
      <x:c r="C19" s="8" t="str">
        <x:v>Alert Bay</x:v>
      </x:c>
      <x:c r="D19" s="8" t="str">
        <x:v>Alert Bay</x:v>
      </x:c>
      <x:c r="E19" s="8" t="str">
        <x:v>V</x:v>
      </x:c>
      <x:c r="F19" s="8" t="str">
        <x:v>MW</x:v>
      </x:c>
      <x:c r="G19" s="9" t="n">
        <x:v>2024</x:v>
      </x:c>
      <x:c r="H19" s="10" t="n">
        <x:v>463</x:v>
      </x:c>
      <x:c r="I19" s="8" t="str">
        <x:v>Under 5,000</x:v>
      </x:c>
      <x:c r="J19" s="11" t="n">
        <x:v>2708429</x:v>
      </x:c>
      <x:c r="K19" s="11" t="n">
        <x:v>2127219</x:v>
      </x:c>
      <x:c r="L19" s="11" t="n">
        <x:v>581210</x:v>
      </x:c>
      <x:c r="M19" s="12" t="n">
        <x:v>0.21459303529832238</x:v>
      </x:c>
      <x:c r="N19" s="11" t="n">
        <x:v>537383</x:v>
      </x:c>
      <x:c r="O19" s="11" t="n">
        <x:v>895852</x:v>
      </x:c>
      <x:c r="P19" s="11" t="n">
        <x:v>1054694</x:v>
      </x:c>
      <x:c r="Q19" s="11" t="n">
        <x:v>220500</x:v>
      </x:c>
      <x:c r="R19" s="11" t="n">
        <x:v>1665808</x:v>
      </x:c>
      <x:c r="S19" s="11" t="n">
        <x:v>403232</x:v>
      </x:c>
      <x:c r="T19" s="11" t="n">
        <x:v>4691492</x:v>
      </x:c>
      <x:c r="U19" s="11" t="n">
        <x:v>2232617</x:v>
      </x:c>
      <x:c r="V19" s="11" t="n">
        <x:v>2728959</x:v>
      </x:c>
      <x:c r="W19" s="11" t="n">
        <x:v>1057512</x:v>
      </x:c>
      <x:c r="X19" s="11" t="n">
        <x:v>129959</x:v>
      </x:c>
      <x:c r="Y19" s="11" t="n">
        <x:v>0</x:v>
      </x:c>
      <x:c r="Z19" s="11" t="n">
        <x:v>39119</x:v>
      </x:c>
      <x:c r="AA19" s="11" t="n">
        <x:v>65940</x:v>
      </x:c>
      <x:c r="AB19" s="11" t="n">
        <x:v>58179</x:v>
      </x:c>
      <x:c r="AC19" s="11" t="n">
        <x:v>97298</x:v>
      </x:c>
      <x:c r="AD19" s="11" t="n">
        <x:v>510660</x:v>
      </x:c>
      <x:c r="AE19" s="11" t="n">
        <x:v>410636</x:v>
      </x:c>
      <x:c r="AF19" s="11" t="n">
        <x:v>2042640</x:v>
      </x:c>
      <x:c r="AG19" s="11" t="n">
        <x:v>15814884</x:v>
      </x:c>
      <x:c r="AH19" s="11" t="n">
        <x:v>8395636</x:v>
      </x:c>
      <x:c r="AI19" s="11" t="n">
        <x:v>7419248</x:v>
      </x:c>
      <x:c r="AJ19" s="11" t="n">
        <x:v>508290</x:v>
      </x:c>
      <x:c r="AK19" s="11" t="n">
        <x:v>31702564</x:v>
      </x:c>
      <x:c r="AL19" s="11" t="n">
        <x:v>744828</x:v>
      </x:c>
      <x:c r="AM19" s="12" t="n">
        <x:v>0.9765057488725517</x:v>
      </x:c>
      <x:c r="AN19" s="12" t="n">
        <x:v>0.016033088049282072</x:v>
      </x:c>
      <x:c r="AO19" s="11" t="n">
        <x:v>888072</x:v>
      </x:c>
      <x:c r="AP19" s="11" t="n">
        <x:v>813352</x:v>
      </x:c>
      <x:c r="AQ19" s="12" t="n">
        <x:v>0.915862677800899</x:v>
      </x:c>
      <x:c r="AR19" s="11" t="n">
        <x:v>5849.738660907127</x:v>
      </x:c>
      <x:c r="AS19" s="11" t="n">
        <x:v>4594.425485961123</x:v>
      </x:c>
      <x:c r="AT19" s="11" t="n">
        <x:v>5894.079913606912</x:v>
      </x:c>
      <x:c r="AU19" s="11" t="n">
        <x:v>2284.0431965442763</x:v>
      </x:c>
      <x:c r="AV19" s="11" t="n">
        <x:v>142.41900647948165</x:v>
      </x:c>
      <x:c r="AW19" s="11" t="n">
        <x:v>2.1013420573255512</x:v>
      </x:c>
      <x:c r="AX19" s="12" t="n">
        <x:v>0.8041279912270395</x:v>
      </x:c>
      <x:c r="AY19" s="11" t="n">
        <x:v>4648.097865362712</x:v>
      </x:c>
      <x:c r="AZ19" s="11" t="n">
        <x:v>3546.5079302077975</x:v>
      </x:c>
      <x:c r="BA19" s="11" t="n">
        <x:v>3428.422456291105</x:v>
      </x:c>
      <x:c r="BB19" s="11" t="n">
        <x:v>2783.665107049771</x:v>
      </x:c>
      <x:c r="BC19" s="11" t="n">
        <x:v>5030.364110900993</x:v>
      </x:c>
      <x:c r="BD19" s="11" t="n">
        <x:v>2437.8724475115623</x:v>
      </x:c>
      <x:c r="BE19" s="11" t="n">
        <x:v>2420.45</x:v>
      </x:c>
      <x:c r="BF19" s="11" t="n">
        <x:v>1604.3462673977224</x:v>
      </x:c>
      <x:c r="BG19" s="11" t="n">
        <x:v>224.31236112962716</x:v>
      </x:c>
      <x:c r="BH19" s="11" t="n">
        <x:v>518.5374381567245</x:v>
      </x:c>
      <x:c r="BI19" s="11" t="n">
        <x:v>2.204313821553219</x:v>
      </x:c>
      <x:c r="BJ19" s="11" t="n">
        <x:v>1.7099330852451193</x:v>
      </x:c>
      <x:c r="BK19" s="12" t="n">
        <x:v>0.030042455998363887</x:v>
      </x:c>
      <x:c r="BL19" s="12" t="n">
        <x:v>0.02529861000232605</x:v>
      </x:c>
      <x:c r="BM19" s="12" t="n">
        <x:v>0.9786113537119745</x:v>
      </x:c>
      <x:c r="BN19" s="12" t="n">
        <x:v>0.9815511712696461</x:v>
      </x:c>
      <x:c r="BO19" s="12" t="n">
        <x:v>0.9039920521842442</x:v>
      </x:c>
      <x:c r="BP19" s="12" t="n">
        <x:v>0.8619101997275483</x:v>
      </x:c>
      <x:c r="BQ19" s="12" t="n">
        <x:v>0.9333160528846489</x:v>
      </x:c>
      <x:c r="BR19" s="12" t="n">
        <x:v>0.9623635142836453</x:v>
      </x:c>
      <x:c r="BS19" s="12" t="n">
        <x:v>0.20869205825466772</x:v>
      </x:c>
      <x:c r="BT19" s="12" t="n">
        <x:v>0.19976549769108282</x:v>
      </x:c>
      <x:c r="BU19" s="11" t="n">
        <x:v>330559</x:v>
      </x:c>
      <x:c r="BV19" s="11" t="n">
        <x:v>705855</x:v>
      </x:c>
      <x:c r="BW19" s="11" t="n">
        <x:v>18280</x:v>
      </x:c>
      <x:c r="BX19" s="11" t="n">
        <x:v>220500</x:v>
      </x:c>
      <x:c r="BY19" s="11" t="n">
        <x:v>0</x:v>
      </x:c>
      <x:c r="BZ19" s="11" t="n">
        <x:v>0</x:v>
      </x:c>
      <x:c r="CA19" s="11" t="n">
        <x:v>0</x:v>
      </x:c>
      <x:c r="CB19" s="11" t="n">
        <x:v>0</x:v>
      </x:c>
      <x:c r="CC19" s="11" t="n">
        <x:v>480010</x:v>
      </x:c>
      <x:c r="CD19" s="11" t="n">
        <x:v>65117</x:v>
      </x:c>
      <x:c r="CE19" s="11" t="n">
        <x:v>202397</x:v>
      </x:c>
      <x:c r="CF19" s="11" t="n">
        <x:v>0</x:v>
      </x:c>
      <x:c r="CG19" s="11" t="n">
        <x:v>235778</x:v>
      </x:c>
      <x:c r="CH19" s="11" t="n">
        <x:v>145185</x:v>
      </x:c>
      <x:c r="CI19" s="11" t="n">
        <x:v>78800</x:v>
      </x:c>
      <x:c r="CJ19" s="11" t="n">
        <x:v>78788</x:v>
      </x:c>
      <x:c r="CK19" s="11" t="n">
        <x:v>150954</x:v>
      </x:c>
      <x:c r="CL19" s="11" t="n">
        <x:v>286958</x:v>
      </x:c>
      <x:c r="CM19" s="11" t="n">
        <x:v>0</x:v>
      </x:c>
      <x:c r="CN19" s="11" t="n">
        <x:v>0</x:v>
      </x:c>
      <x:c r="CO19" s="11" t="n">
        <x:v>0</x:v>
      </x:c>
      <x:c r="CP19" s="8"/>
      <x:c r="CQ19" s="8" t="str">
        <x:v>Chetwynd</x:v>
      </x:c>
    </x:row>
    <x:row r="20">
      <x:c r="A20" s="8" t="str">
        <x:v>Anmore|2019</x:v>
      </x:c>
      <x:c r="B20" s="8" t="str">
        <x:v>anmore-v</x:v>
      </x:c>
      <x:c r="C20" s="8" t="str">
        <x:v>Anmore</x:v>
      </x:c>
      <x:c r="D20" s="8" t="str">
        <x:v>Anmore</x:v>
      </x:c>
      <x:c r="E20" s="8" t="str">
        <x:v>V</x:v>
      </x:c>
      <x:c r="F20" s="8" t="str">
        <x:v>GVR</x:v>
      </x:c>
      <x:c r="G20" s="9" t="n">
        <x:v>2019</x:v>
      </x:c>
      <x:c r="H20" s="10" t="n">
        <x:v>2515</x:v>
      </x:c>
      <x:c r="I20" s="8" t="str">
        <x:v>Under 5,000</x:v>
      </x:c>
      <x:c r="J20" s="11" t="n">
        <x:v>4740333</x:v>
      </x:c>
      <x:c r="K20" s="11" t="n">
        <x:v>3538477</x:v>
      </x:c>
      <x:c r="L20" s="11" t="n">
        <x:v>1201856</x:v>
      </x:c>
      <x:c r="M20" s="12" t="n">
        <x:v>0.25353830627510765</x:v>
      </x:c>
      <x:c r="N20" s="11" t="n">
        <x:v>2360944</x:v>
      </x:c>
      <x:c r="O20" s="11" t="n">
        <x:v>1198418</x:v>
      </x:c>
      <x:c r="P20" s="11" t="n">
        <x:v>763741</x:v>
      </x:c>
      <x:c r="Q20" s="11" t="n">
        <x:v>417230</x:v>
      </x:c>
      <x:c r="R20" s="11" t="n">
        <x:v>2541741</x:v>
      </x:c>
      <x:c r="S20" s="11" t="n">
        <x:v>996736</x:v>
      </x:c>
      <x:c r="T20" s="11" t="n">
        <x:v>12187658</x:v>
      </x:c>
      <x:c r="U20" s="11" t="n">
        <x:v>4275948</x:v>
      </x:c>
      <x:c r="V20" s="11" t="n">
        <x:v>8637444</x:v>
      </x:c>
      <x:c r="W20" s="11" t="n">
        <x:v>6458424</x:v>
      </x:c>
      <x:c r="X20" s="11" t="n">
        <x:v>0</x:v>
      </x:c>
      <x:c r="Y20" s="11" t="n">
        <x:v>0</x:v>
      </x:c>
      <x:c r="Z20" s="11" t="n">
        <x:v>0</x:v>
      </x:c>
      <x:c r="AA20" s="11" t="n">
        <x:v>0</x:v>
      </x:c>
      <x:c r="AB20" s="11" t="n">
        <x:v>0</x:v>
      </x:c>
      <x:c r="AC20" s="11" t="n">
        <x:v>0</x:v>
      </x:c>
      <x:c r="AD20" s="11" t="n">
        <x:v>1129924</x:v>
      </x:c>
      <x:c r="AE20" s="11" t="n">
        <x:v>1129924</x:v>
      </x:c>
      <x:c r="AF20" s="11" t="n">
        <x:v>4519696</x:v>
      </x:c>
      <x:c r="AG20" s="11" t="n">
        <x:v>73837562</x:v>
      </x:c>
      <x:c r="AH20" s="11" t="n">
        <x:v>14705318</x:v>
      </x:c>
      <x:c r="AI20" s="11" t="n">
        <x:v>59132244</x:v>
      </x:c>
      <x:c r="AJ20" s="11" t="n">
        <x:v>166964</x:v>
      </x:c>
      <x:c r="AK20" s="11" t="n">
        <x:v>37790548</x:v>
      </x:c>
      <x:c r="AL20" s="11" t="n">
        <x:v>0</x:v>
      </x:c>
      <x:c r="AM20" s="12" t="n">
        <x:v>1</x:v>
      </x:c>
      <x:c r="AN20" s="12" t="n">
        <x:v>0.004418141806252717</x:v>
      </x:c>
      <x:c r="AO20" s="11" t="n">
        <x:v>5936186</x:v>
      </x:c>
      <x:c r="AP20" s="11" t="n">
        <x:v>5634561</x:v>
      </x:c>
      <x:c r="AQ20" s="12" t="n">
        <x:v>0.9491887552040991</x:v>
      </x:c>
      <x:c r="AR20" s="11" t="n">
        <x:v>1884.824254473161</x:v>
      </x:c>
      <x:c r="AS20" s="11" t="n">
        <x:v>1406.9491053677932</x:v>
      </x:c>
      <x:c r="AT20" s="11" t="n">
        <x:v>3434.3713717693836</x:v>
      </x:c>
      <x:c r="AU20" s="11" t="n">
        <x:v>2567.961829025845</x:v>
      </x:c>
      <x:c r="AV20" s="11" t="n">
        <x:v>0</x:v>
      </x:c>
      <x:c r="AW20" s="11" t="n">
        <x:v>2.8502820894922016</x:v>
      </x:c>
      <x:c r="AX20" s="12" t="n">
        <x:v>1</x:v>
      </x:c>
      <x:c r="AY20" s="11"/>
      <x:c r="AZ20" s="11"/>
      <x:c r="BA20" s="11"/>
      <x:c r="BB20" s="11"/>
      <x:c r="BC20" s="11"/>
      <x:c r="BD20" s="11"/>
      <x:c r="BE20" s="11"/>
      <x:c r="BF20" s="11"/>
      <x:c r="BG20" s="11"/>
      <x:c r="BH20" s="11"/>
      <x:c r="BI20" s="11"/>
      <x:c r="BJ20" s="11"/>
      <x:c r="BK20" s="12"/>
      <x:c r="BL20" s="12"/>
      <x:c r="BM20" s="12"/>
      <x:c r="BN20" s="12"/>
      <x:c r="BO20" s="12"/>
      <x:c r="BP20" s="12"/>
      <x:c r="BQ20" s="12"/>
      <x:c r="BR20" s="12"/>
      <x:c r="BS20" s="12"/>
      <x:c r="BT20" s="12"/>
      <x:c r="BU20" s="11" t="n">
        <x:v>0</x:v>
      </x:c>
      <x:c r="BV20" s="11" t="n">
        <x:v>396925</x:v>
      </x:c>
      <x:c r="BW20" s="11" t="n">
        <x:v>366816</x:v>
      </x:c>
      <x:c r="BX20" s="11" t="n">
        <x:v>240042</x:v>
      </x:c>
      <x:c r="BY20" s="11" t="n">
        <x:v>0</x:v>
      </x:c>
      <x:c r="BZ20" s="11" t="n">
        <x:v>177188</x:v>
      </x:c>
      <x:c r="CA20" s="11" t="n">
        <x:v>0</x:v>
      </x:c>
      <x:c r="CB20" s="11" t="n">
        <x:v>0</x:v>
      </x:c>
      <x:c r="CC20" s="11" t="n">
        <x:v>967222</x:v>
      </x:c>
      <x:c r="CD20" s="11" t="n">
        <x:v>168858</x:v>
      </x:c>
      <x:c r="CE20" s="11" t="n">
        <x:v>175582</x:v>
      </x:c>
      <x:c r="CF20" s="11" t="n">
        <x:v>0</x:v>
      </x:c>
      <x:c r="CG20" s="11" t="n">
        <x:v>260623</x:v>
      </x:c>
      <x:c r="CH20" s="11" t="n">
        <x:v>333045</x:v>
      </x:c>
      <x:c r="CI20" s="11" t="n">
        <x:v>0</x:v>
      </x:c>
      <x:c r="CJ20" s="11" t="n">
        <x:v>597330</x:v>
      </x:c>
      <x:c r="CK20" s="11" t="n">
        <x:v>0</x:v>
      </x:c>
      <x:c r="CL20" s="11" t="n">
        <x:v>0</x:v>
      </x:c>
      <x:c r="CM20" s="11"/>
      <x:c r="CN20" s="11" t="n">
        <x:v>39081</x:v>
      </x:c>
      <x:c r="CO20" s="11" t="n">
        <x:v>0</x:v>
      </x:c>
      <x:c r="CP20" s="8"/>
      <x:c r="CQ20" s="8" t="str">
        <x:v>Chilliwack</x:v>
      </x:c>
    </x:row>
    <x:row r="21">
      <x:c r="A21" s="8" t="str">
        <x:v>Anmore|2020</x:v>
      </x:c>
      <x:c r="B21" s="8" t="str">
        <x:v>anmore-v</x:v>
      </x:c>
      <x:c r="C21" s="8" t="str">
        <x:v>Anmore</x:v>
      </x:c>
      <x:c r="D21" s="8" t="str">
        <x:v>Anmore</x:v>
      </x:c>
      <x:c r="E21" s="8" t="str">
        <x:v>V</x:v>
      </x:c>
      <x:c r="F21" s="8" t="str">
        <x:v>GVR</x:v>
      </x:c>
      <x:c r="G21" s="9" t="n">
        <x:v>2020</x:v>
      </x:c>
      <x:c r="H21" s="10" t="n">
        <x:v>2412</x:v>
      </x:c>
      <x:c r="I21" s="8" t="str">
        <x:v>Under 5,000</x:v>
      </x:c>
      <x:c r="J21" s="11" t="n">
        <x:v>5713310</x:v>
      </x:c>
      <x:c r="K21" s="11" t="n">
        <x:v>4173007</x:v>
      </x:c>
      <x:c r="L21" s="11" t="n">
        <x:v>1540303</x:v>
      </x:c>
      <x:c r="M21" s="12" t="n">
        <x:v>0.26959905903933096</x:v>
      </x:c>
      <x:c r="N21" s="11" t="n">
        <x:v>2516820</x:v>
      </x:c>
      <x:c r="O21" s="11" t="n">
        <x:v>1145258</x:v>
      </x:c>
      <x:c r="P21" s="11" t="n">
        <x:v>1836154</x:v>
      </x:c>
      <x:c r="Q21" s="11" t="n">
        <x:v>215078</x:v>
      </x:c>
      <x:c r="R21" s="11" t="n">
        <x:v>2776452</x:v>
      </x:c>
      <x:c r="S21" s="11" t="n">
        <x:v>1396555</x:v>
      </x:c>
      <x:c r="T21" s="11" t="n">
        <x:v>13234805</x:v>
      </x:c>
      <x:c r="U21" s="11" t="n">
        <x:v>4839174</x:v>
      </x:c>
      <x:c r="V21" s="11" t="n">
        <x:v>9780066</x:v>
      </x:c>
      <x:c r="W21" s="11" t="n">
        <x:v>7142305</x:v>
      </x:c>
      <x:c r="X21" s="11" t="n">
        <x:v>0</x:v>
      </x:c>
      <x:c r="Y21" s="11" t="n">
        <x:v>0</x:v>
      </x:c>
      <x:c r="Z21" s="11" t="n">
        <x:v>0</x:v>
      </x:c>
      <x:c r="AA21" s="11" t="n">
        <x:v>0</x:v>
      </x:c>
      <x:c r="AB21" s="11" t="n">
        <x:v>0</x:v>
      </x:c>
      <x:c r="AC21" s="11" t="n">
        <x:v>0</x:v>
      </x:c>
      <x:c r="AD21" s="11" t="n">
        <x:v>1053756</x:v>
      </x:c>
      <x:c r="AE21" s="11" t="n">
        <x:v>1053756</x:v>
      </x:c>
      <x:c r="AF21" s="11" t="n">
        <x:v>4215024</x:v>
      </x:c>
      <x:c r="AG21" s="11" t="n">
        <x:v>73509862</x:v>
      </x:c>
      <x:c r="AH21" s="11" t="n">
        <x:v>14023610</x:v>
      </x:c>
      <x:c r="AI21" s="11" t="n">
        <x:v>59486252</x:v>
      </x:c>
      <x:c r="AJ21" s="11" t="n">
        <x:v>1775434</x:v>
      </x:c>
      <x:c r="AK21" s="11" t="n">
        <x:v>58501685</x:v>
      </x:c>
      <x:c r="AL21" s="11" t="n">
        <x:v>887465</x:v>
      </x:c>
      <x:c r="AM21" s="12" t="n">
        <x:v>0.9848300950647831</x:v>
      </x:c>
      <x:c r="AN21" s="12" t="n">
        <x:v>0.030348425006903646</x:v>
      </x:c>
      <x:c r="AO21" s="11" t="n">
        <x:v>6413533</x:v>
      </x:c>
      <x:c r="AP21" s="11" t="n">
        <x:v>6008768</x:v>
      </x:c>
      <x:c r="AQ21" s="12" t="n">
        <x:v>0.9368889191027785</x:v>
      </x:c>
      <x:c r="AR21" s="11" t="n">
        <x:v>2368.7023217247097</x:v>
      </x:c>
      <x:c r="AS21" s="11" t="n">
        <x:v>1730.1024046434495</x:v>
      </x:c>
      <x:c r="AT21" s="11" t="n">
        <x:v>4054.7537313432836</x:v>
      </x:c>
      <x:c r="AU21" s="11" t="n">
        <x:v>2961.1546434494194</x:v>
      </x:c>
      <x:c r="AV21" s="11" t="n">
        <x:v>0</x:v>
      </x:c>
      <x:c r="AW21" s="11" t="n">
        <x:v>2.7349305893939753</x:v>
      </x:c>
      <x:c r="AX21" s="12" t="n">
        <x:v>1</x:v>
      </x:c>
      <x:c r="AY21" s="11"/>
      <x:c r="AZ21" s="11"/>
      <x:c r="BA21" s="11"/>
      <x:c r="BB21" s="11"/>
      <x:c r="BC21" s="11"/>
      <x:c r="BD21" s="11"/>
      <x:c r="BE21" s="11"/>
      <x:c r="BF21" s="11"/>
      <x:c r="BG21" s="11"/>
      <x:c r="BH21" s="11"/>
      <x:c r="BI21" s="11"/>
      <x:c r="BJ21" s="11"/>
      <x:c r="BK21" s="12"/>
      <x:c r="BL21" s="12"/>
      <x:c r="BM21" s="12"/>
      <x:c r="BN21" s="12"/>
      <x:c r="BO21" s="12"/>
      <x:c r="BP21" s="12"/>
      <x:c r="BQ21" s="12"/>
      <x:c r="BR21" s="12"/>
      <x:c r="BS21" s="12"/>
      <x:c r="BT21" s="12"/>
      <x:c r="BU21" s="11" t="n">
        <x:v>61738</x:v>
      </x:c>
      <x:c r="BV21" s="11" t="n">
        <x:v>1248841</x:v>
      </x:c>
      <x:c r="BW21" s="11" t="n">
        <x:v>525575</x:v>
      </x:c>
      <x:c r="BX21" s="11" t="n">
        <x:v>162560</x:v>
      </x:c>
      <x:c r="BY21" s="11" t="n">
        <x:v>0</x:v>
      </x:c>
      <x:c r="BZ21" s="11" t="n">
        <x:v>52518</x:v>
      </x:c>
      <x:c r="CA21" s="11" t="n">
        <x:v>0</x:v>
      </x:c>
      <x:c r="CB21" s="11" t="n">
        <x:v>0</x:v>
      </x:c>
      <x:c r="CC21" s="11" t="n">
        <x:v>1023730</x:v>
      </x:c>
      <x:c r="CD21" s="11" t="n">
        <x:v>189186</x:v>
      </x:c>
      <x:c r="CE21" s="11" t="n">
        <x:v>204998</x:v>
      </x:c>
      <x:c r="CF21" s="11" t="n">
        <x:v>0</x:v>
      </x:c>
      <x:c r="CG21" s="11" t="n">
        <x:v>237121</x:v>
      </x:c>
      <x:c r="CH21" s="11" t="n">
        <x:v>433174</x:v>
      </x:c>
      <x:c r="CI21" s="11" t="n">
        <x:v>0</x:v>
      </x:c>
      <x:c r="CJ21" s="11" t="n">
        <x:v>663372</x:v>
      </x:c>
      <x:c r="CK21" s="11" t="n">
        <x:v>0</x:v>
      </x:c>
      <x:c r="CL21" s="11" t="n">
        <x:v>0</x:v>
      </x:c>
      <x:c r="CM21" s="11"/>
      <x:c r="CN21" s="11" t="n">
        <x:v>24871</x:v>
      </x:c>
      <x:c r="CO21" s="11" t="n">
        <x:v>0</x:v>
      </x:c>
      <x:c r="CP21" s="8"/>
      <x:c r="CQ21" s="8" t="str">
        <x:v>Clearwater</x:v>
      </x:c>
    </x:row>
    <x:row r="22">
      <x:c r="A22" s="8" t="str">
        <x:v>Anmore|2021</x:v>
      </x:c>
      <x:c r="B22" s="8" t="str">
        <x:v>anmore-v</x:v>
      </x:c>
      <x:c r="C22" s="8" t="str">
        <x:v>Anmore</x:v>
      </x:c>
      <x:c r="D22" s="8" t="str">
        <x:v>Anmore</x:v>
      </x:c>
      <x:c r="E22" s="8" t="str">
        <x:v>V</x:v>
      </x:c>
      <x:c r="F22" s="8" t="str">
        <x:v>MVRD</x:v>
      </x:c>
      <x:c r="G22" s="9" t="n">
        <x:v>2021</x:v>
      </x:c>
      <x:c r="H22" s="10" t="n">
        <x:v>2632</x:v>
      </x:c>
      <x:c r="I22" s="8" t="str">
        <x:v>Under 5,000</x:v>
      </x:c>
      <x:c r="J22" s="11" t="n">
        <x:v>5914880</x:v>
      </x:c>
      <x:c r="K22" s="11" t="n">
        <x:v>4011434</x:v>
      </x:c>
      <x:c r="L22" s="11" t="n">
        <x:v>1903446</x:v>
      </x:c>
      <x:c r="M22" s="12" t="n">
        <x:v>0.32180635955420905</x:v>
      </x:c>
      <x:c r="N22" s="11" t="n">
        <x:v>2592650</x:v>
      </x:c>
      <x:c r="O22" s="11" t="n">
        <x:v>1302082</x:v>
      </x:c>
      <x:c r="P22" s="11" t="n">
        <x:v>796906</x:v>
      </x:c>
      <x:c r="Q22" s="11" t="n">
        <x:v>1223242</x:v>
      </x:c>
      <x:c r="R22" s="11" t="n">
        <x:v>2933839</x:v>
      </x:c>
      <x:c r="S22" s="11" t="n">
        <x:v>1077595</x:v>
      </x:c>
      <x:c r="T22" s="11" t="n">
        <x:v>15780723</x:v>
      </x:c>
      <x:c r="U22" s="11" t="n">
        <x:v>4543791</x:v>
      </x:c>
      <x:c r="V22" s="11" t="n">
        <x:v>12189193</x:v>
      </x:c>
      <x:c r="W22" s="11" t="n">
        <x:v>8259208</x:v>
      </x:c>
      <x:c r="X22" s="11" t="n">
        <x:v>0</x:v>
      </x:c>
      <x:c r="Y22" s="11" t="n">
        <x:v>0</x:v>
      </x:c>
      <x:c r="Z22" s="11" t="n">
        <x:v>0</x:v>
      </x:c>
      <x:c r="AA22" s="11" t="n">
        <x:v>0</x:v>
      </x:c>
      <x:c r="AB22" s="11" t="n">
        <x:v>0</x:v>
      </x:c>
      <x:c r="AC22" s="11" t="n">
        <x:v>0</x:v>
      </x:c>
      <x:c r="AD22" s="11" t="n">
        <x:v>1149320</x:v>
      </x:c>
      <x:c r="AE22" s="11" t="n">
        <x:v>1149320</x:v>
      </x:c>
      <x:c r="AF22" s="11" t="n">
        <x:v>4597281</x:v>
      </x:c>
      <x:c r="AG22" s="11" t="n">
        <x:v>73909419</x:v>
      </x:c>
      <x:c r="AH22" s="11" t="n">
        <x:v>14894471</x:v>
      </x:c>
      <x:c r="AI22" s="11" t="n">
        <x:v>59014948</x:v>
      </x:c>
      <x:c r="AJ22" s="11" t="n">
        <x:v>606290</x:v>
      </x:c>
      <x:c r="AK22" s="11" t="n">
        <x:v>55447430</x:v>
      </x:c>
      <x:c r="AL22" s="11" t="n">
        <x:v>1076029</x:v>
      </x:c>
      <x:c r="AM22" s="12" t="n">
        <x:v>0.9805937083107369</x:v>
      </x:c>
      <x:c r="AN22" s="12" t="n">
        <x:v>0.010934501382661018</x:v>
      </x:c>
      <x:c r="AO22" s="11" t="n">
        <x:v>6981926</x:v>
      </x:c>
      <x:c r="AP22" s="11" t="n">
        <x:v>6782650</x:v>
      </x:c>
      <x:c r="AQ22" s="12" t="n">
        <x:v>0.9714583053443993</x:v>
      </x:c>
      <x:c r="AR22" s="11" t="n">
        <x:v>2247.2948328267476</x:v>
      </x:c>
      <x:c r="AS22" s="11" t="n">
        <x:v>1524.1010638297873</x:v>
      </x:c>
      <x:c r="AT22" s="11" t="n">
        <x:v>4631.1523556231</x:v>
      </x:c>
      <x:c r="AU22" s="11" t="n">
        <x:v>3137.996960486322</x:v>
      </x:c>
      <x:c r="AV22" s="11" t="n">
        <x:v>0</x:v>
      </x:c>
      <x:c r="AW22" s="11" t="n">
        <x:v>3.4730301195631577</x:v>
      </x:c>
      <x:c r="AX22" s="12" t="n">
        <x:v>1</x:v>
      </x:c>
      <x:c r="AY22" s="11"/>
      <x:c r="AZ22" s="11"/>
      <x:c r="BA22" s="11"/>
      <x:c r="BB22" s="11"/>
      <x:c r="BC22" s="11"/>
      <x:c r="BD22" s="11"/>
      <x:c r="BE22" s="11"/>
      <x:c r="BF22" s="11"/>
      <x:c r="BG22" s="11"/>
      <x:c r="BH22" s="11"/>
      <x:c r="BI22" s="11"/>
      <x:c r="BJ22" s="11"/>
      <x:c r="BK22" s="12"/>
      <x:c r="BL22" s="12"/>
      <x:c r="BM22" s="12"/>
      <x:c r="BN22" s="12"/>
      <x:c r="BO22" s="12"/>
      <x:c r="BP22" s="12"/>
      <x:c r="BQ22" s="12"/>
      <x:c r="BR22" s="12"/>
      <x:c r="BS22" s="12"/>
      <x:c r="BT22" s="12"/>
      <x:c r="BU22" s="11" t="n">
        <x:v>0</x:v>
      </x:c>
      <x:c r="BV22" s="11" t="n">
        <x:v>356110</x:v>
      </x:c>
      <x:c r="BW22" s="11" t="n">
        <x:v>440796</x:v>
      </x:c>
      <x:c r="BX22" s="11" t="n">
        <x:v>85326</x:v>
      </x:c>
      <x:c r="BY22" s="11" t="n">
        <x:v>0</x:v>
      </x:c>
      <x:c r="BZ22" s="11" t="n">
        <x:v>1093500</x:v>
      </x:c>
      <x:c r="CA22" s="11" t="n">
        <x:v>44416</x:v>
      </x:c>
      <x:c r="CB22" s="11" t="n">
        <x:v>0</x:v>
      </x:c>
      <x:c r="CC22" s="11" t="n">
        <x:v>1138867</x:v>
      </x:c>
      <x:c r="CD22" s="11" t="n">
        <x:v>245057</x:v>
      </x:c>
      <x:c r="CE22" s="11" t="n">
        <x:v>200660</x:v>
      </x:c>
      <x:c r="CF22" s="11" t="n">
        <x:v>0</x:v>
      </x:c>
      <x:c r="CG22" s="11" t="n">
        <x:v>223899</x:v>
      </x:c>
      <x:c r="CH22" s="11" t="n">
        <x:v>488791</x:v>
      </x:c>
      <x:c r="CI22" s="11" t="n">
        <x:v>0</x:v>
      </x:c>
      <x:c r="CJ22" s="11" t="n">
        <x:v>636565</x:v>
      </x:c>
      <x:c r="CK22" s="11" t="n">
        <x:v>0</x:v>
      </x:c>
      <x:c r="CL22" s="11" t="n">
        <x:v>0</x:v>
      </x:c>
      <x:c r="CM22" s="11"/>
      <x:c r="CN22" s="11" t="n">
        <x:v>0</x:v>
      </x:c>
      <x:c r="CO22" s="11" t="n">
        <x:v>0</x:v>
      </x:c>
      <x:c r="CP22" s="8"/>
      <x:c r="CQ22" s="8" t="str">
        <x:v>Clinton</x:v>
      </x:c>
    </x:row>
    <x:row r="23">
      <x:c r="A23" s="8" t="str">
        <x:v>Anmore|2022</x:v>
      </x:c>
      <x:c r="B23" s="8" t="str">
        <x:v>anmore-v</x:v>
      </x:c>
      <x:c r="C23" s="8" t="str">
        <x:v>Anmore</x:v>
      </x:c>
      <x:c r="D23" s="8" t="str">
        <x:v>Anmore</x:v>
      </x:c>
      <x:c r="E23" s="8" t="str">
        <x:v>V</x:v>
      </x:c>
      <x:c r="F23" s="8" t="str">
        <x:v>MVRD</x:v>
      </x:c>
      <x:c r="G23" s="9" t="n">
        <x:v>2022</x:v>
      </x:c>
      <x:c r="H23" s="10" t="n">
        <x:v>2485</x:v>
      </x:c>
      <x:c r="I23" s="8" t="str">
        <x:v>Under 5,000</x:v>
      </x:c>
      <x:c r="J23" s="11" t="n">
        <x:v>7206378</x:v>
      </x:c>
      <x:c r="K23" s="11" t="n">
        <x:v>3966962</x:v>
      </x:c>
      <x:c r="L23" s="11" t="n">
        <x:v>3239416</x:v>
      </x:c>
      <x:c r="M23" s="12" t="n">
        <x:v>0.4495206884790112</x:v>
      </x:c>
      <x:c r="N23" s="11" t="n">
        <x:v>2669828</x:v>
      </x:c>
      <x:c r="O23" s="11" t="n">
        <x:v>1409069</x:v>
      </x:c>
      <x:c r="P23" s="11" t="n">
        <x:v>2848611</x:v>
      </x:c>
      <x:c r="Q23" s="11" t="n">
        <x:v>278870</x:v>
      </x:c>
      <x:c r="R23" s="11" t="n">
        <x:v>2895827</x:v>
      </x:c>
      <x:c r="S23" s="11" t="n">
        <x:v>1071135</x:v>
      </x:c>
      <x:c r="T23" s="11" t="n">
        <x:v>16848672</x:v>
      </x:c>
      <x:c r="U23" s="11" t="n">
        <x:v>7155494</x:v>
      </x:c>
      <x:c r="V23" s="11" t="n">
        <x:v>12786035</x:v>
      </x:c>
      <x:c r="W23" s="11" t="n">
        <x:v>8428209</x:v>
      </x:c>
      <x:c r="X23" s="11" t="n">
        <x:v>0</x:v>
      </x:c>
      <x:c r="Y23" s="11" t="n">
        <x:v>0</x:v>
      </x:c>
      <x:c r="Z23" s="11" t="n">
        <x:v>0</x:v>
      </x:c>
      <x:c r="AA23" s="11" t="n">
        <x:v>0</x:v>
      </x:c>
      <x:c r="AB23" s="11" t="n">
        <x:v>0</x:v>
      </x:c>
      <x:c r="AC23" s="11" t="n">
        <x:v>0</x:v>
      </x:c>
      <x:c r="AD23" s="11" t="n">
        <x:v>1203442</x:v>
      </x:c>
      <x:c r="AE23" s="11" t="n">
        <x:v>1203442</x:v>
      </x:c>
      <x:c r="AF23" s="11" t="n">
        <x:v>4813767</x:v>
      </x:c>
      <x:c r="AG23" s="11" t="n">
        <x:v>77628027</x:v>
      </x:c>
      <x:c r="AH23" s="11" t="n">
        <x:v>15965603</x:v>
      </x:c>
      <x:c r="AI23" s="11" t="n">
        <x:v>61662424</x:v>
      </x:c>
      <x:c r="AJ23" s="11" t="n">
        <x:v>3718611</x:v>
      </x:c>
      <x:c r="AK23" s="11" t="n">
        <x:v>61662423</x:v>
      </x:c>
      <x:c r="AL23" s="11" t="n">
        <x:v>1071135</x:v>
      </x:c>
      <x:c r="AM23" s="12" t="n">
        <x:v>0.9826290478400436</x:v>
      </x:c>
      <x:c r="AN23" s="12" t="n">
        <x:v>0.060305950027296204</x:v>
      </x:c>
      <x:c r="AO23" s="11" t="n">
        <x:v>6926009</x:v>
      </x:c>
      <x:c r="AP23" s="11" t="n">
        <x:v>6720230</x:v>
      </x:c>
      <x:c r="AQ23" s="12" t="n">
        <x:v>0.9702889499566056</x:v>
      </x:c>
      <x:c r="AR23" s="11" t="n">
        <x:v>2899.9509054325954</x:v>
      </x:c>
      <x:c r="AS23" s="11" t="n">
        <x:v>1596.3629778672032</x:v>
      </x:c>
      <x:c r="AT23" s="11" t="n">
        <x:v>5145.285714285715</x:v>
      </x:c>
      <x:c r="AU23" s="11" t="n">
        <x:v>3391.6334004024143</x:v>
      </x:c>
      <x:c r="AV23" s="11" t="n">
        <x:v>0</x:v>
      </x:c>
      <x:c r="AW23" s="11" t="n">
        <x:v>2.3546483303598604</x:v>
      </x:c>
      <x:c r="AX23" s="12" t="n">
        <x:v>1</x:v>
      </x:c>
      <x:c r="AY23" s="11"/>
      <x:c r="AZ23" s="11"/>
      <x:c r="BA23" s="11"/>
      <x:c r="BB23" s="11"/>
      <x:c r="BC23" s="11"/>
      <x:c r="BD23" s="11"/>
      <x:c r="BE23" s="11"/>
      <x:c r="BF23" s="11"/>
      <x:c r="BG23" s="11"/>
      <x:c r="BH23" s="11"/>
      <x:c r="BI23" s="11"/>
      <x:c r="BJ23" s="11"/>
      <x:c r="BK23" s="12"/>
      <x:c r="BL23" s="12"/>
      <x:c r="BM23" s="12"/>
      <x:c r="BN23" s="12"/>
      <x:c r="BO23" s="12"/>
      <x:c r="BP23" s="12"/>
      <x:c r="BQ23" s="12"/>
      <x:c r="BR23" s="12"/>
      <x:c r="BS23" s="12"/>
      <x:c r="BT23" s="12"/>
      <x:c r="BU23" s="11" t="n">
        <x:v>0</x:v>
      </x:c>
      <x:c r="BV23" s="11" t="n">
        <x:v>456000</x:v>
      </x:c>
      <x:c r="BW23" s="11" t="n">
        <x:v>2392611</x:v>
      </x:c>
      <x:c r="BX23" s="11" t="n">
        <x:v>278870</x:v>
      </x:c>
      <x:c r="BY23" s="11" t="n">
        <x:v>0</x:v>
      </x:c>
      <x:c r="BZ23" s="11" t="n">
        <x:v>0</x:v>
      </x:c>
      <x:c r="CA23" s="11" t="n">
        <x:v>0</x:v>
      </x:c>
      <x:c r="CB23" s="11" t="n">
        <x:v>0</x:v>
      </x:c>
      <x:c r="CC23" s="11" t="n">
        <x:v>1177075</x:v>
      </x:c>
      <x:c r="CD23" s="11" t="n">
        <x:v>252526</x:v>
      </x:c>
      <x:c r="CE23" s="11" t="n">
        <x:v>214482</x:v>
      </x:c>
      <x:c r="CF23" s="11" t="n">
        <x:v>0</x:v>
      </x:c>
      <x:c r="CG23" s="11" t="n">
        <x:v>93165</x:v>
      </x:c>
      <x:c r="CH23" s="11" t="n">
        <x:v>585180</x:v>
      </x:c>
      <x:c r="CI23" s="11" t="n">
        <x:v>0</x:v>
      </x:c>
      <x:c r="CJ23" s="11" t="n">
        <x:v>573399</x:v>
      </x:c>
      <x:c r="CK23" s="11" t="n">
        <x:v>0</x:v>
      </x:c>
      <x:c r="CL23" s="11" t="n">
        <x:v>0</x:v>
      </x:c>
      <x:c r="CM23" s="11"/>
      <x:c r="CN23" s="11" t="n">
        <x:v>0</x:v>
      </x:c>
      <x:c r="CO23" s="11" t="n">
        <x:v>0</x:v>
      </x:c>
      <x:c r="CP23" s="8"/>
      <x:c r="CQ23" s="8" t="str">
        <x:v>Coldstream</x:v>
      </x:c>
    </x:row>
    <x:row r="24">
      <x:c r="A24" s="8" t="str">
        <x:v>Anmore|2023</x:v>
      </x:c>
      <x:c r="B24" s="8" t="str">
        <x:v>anmore-v</x:v>
      </x:c>
      <x:c r="C24" s="8" t="str">
        <x:v>Anmore</x:v>
      </x:c>
      <x:c r="D24" s="8" t="str">
        <x:v>Anmore</x:v>
      </x:c>
      <x:c r="E24" s="8" t="str">
        <x:v>V</x:v>
      </x:c>
      <x:c r="F24" s="8" t="str">
        <x:v>MVRD</x:v>
      </x:c>
      <x:c r="G24" s="9" t="n">
        <x:v>2023</x:v>
      </x:c>
      <x:c r="H24" s="10" t="n">
        <x:v>2533</x:v>
      </x:c>
      <x:c r="I24" s="8" t="str">
        <x:v>Under 5,000</x:v>
      </x:c>
      <x:c r="J24" s="11" t="n">
        <x:v>9263209</x:v>
      </x:c>
      <x:c r="K24" s="11" t="n">
        <x:v>4342651</x:v>
      </x:c>
      <x:c r="L24" s="11" t="n">
        <x:v>4920558</x:v>
      </x:c>
      <x:c r="M24" s="12" t="n">
        <x:v>0.5311936716530956</x:v>
      </x:c>
      <x:c r="N24" s="11" t="n">
        <x:v>2890637</x:v>
      </x:c>
      <x:c r="O24" s="11" t="n">
        <x:v>1396627</x:v>
      </x:c>
      <x:c r="P24" s="11" t="n">
        <x:v>3901665</x:v>
      </x:c>
      <x:c r="Q24" s="11" t="n">
        <x:v>1074280</x:v>
      </x:c>
      <x:c r="R24" s="11" t="n">
        <x:v>3188798</x:v>
      </x:c>
      <x:c r="S24" s="11" t="n">
        <x:v>1153853</x:v>
      </x:c>
      <x:c r="T24" s="11" t="n">
        <x:v>15609983</x:v>
      </x:c>
      <x:c r="U24" s="11" t="n">
        <x:v>9185794</x:v>
      </x:c>
      <x:c r="V24" s="11" t="n">
        <x:v>9252250</x:v>
      </x:c>
      <x:c r="W24" s="11" t="n">
        <x:v>8302495</x:v>
      </x:c>
      <x:c r="X24" s="11" t="n">
        <x:v>0</x:v>
      </x:c>
      <x:c r="Y24" s="11" t="n">
        <x:v>2500000</x:v>
      </x:c>
      <x:c r="Z24" s="11" t="n">
        <x:v>0</x:v>
      </x:c>
      <x:c r="AA24" s="11" t="n">
        <x:v>2500000</x:v>
      </x:c>
      <x:c r="AB24" s="11" t="n">
        <x:v>0</x:v>
      </x:c>
      <x:c r="AC24" s="11" t="n">
        <x:v>0</x:v>
      </x:c>
      <x:c r="AD24" s="11" t="n">
        <x:v>1317886</x:v>
      </x:c>
      <x:c r="AE24" s="11" t="n">
        <x:v>1317886</x:v>
      </x:c>
      <x:c r="AF24" s="11" t="n">
        <x:v>5271544</x:v>
      </x:c>
      <x:c r="AG24" s="11" t="n">
        <x:v>87187302</x:v>
      </x:c>
      <x:c r="AH24" s="11" t="n">
        <x:v>17110592</x:v>
      </x:c>
      <x:c r="AI24" s="11" t="n">
        <x:v>70076710</x:v>
      </x:c>
      <x:c r="AJ24" s="11" t="n">
        <x:v>9602077</x:v>
      </x:c>
      <x:c r="AK24" s="11" t="n">
        <x:v>49117013</x:v>
      </x:c>
      <x:c r="AL24" s="11" t="n">
        <x:v>0</x:v>
      </x:c>
      <x:c r="AM24" s="12" t="n">
        <x:v>1</x:v>
      </x:c>
      <x:c r="AN24" s="12" t="n">
        <x:v>0.19549391165134575</x:v>
      </x:c>
      <x:c r="AO24" s="11" t="n">
        <x:v>7466037</x:v>
      </x:c>
      <x:c r="AP24" s="11" t="n">
        <x:v>7182188</x:v>
      </x:c>
      <x:c r="AQ24" s="12" t="n">
        <x:v>0.9619813027982583</x:v>
      </x:c>
      <x:c r="AR24" s="11" t="n">
        <x:v>3657.011054086064</x:v>
      </x:c>
      <x:c r="AS24" s="11" t="n">
        <x:v>1714.4299249901303</x:v>
      </x:c>
      <x:c r="AT24" s="11" t="n">
        <x:v>3652.6845637583892</x:v>
      </x:c>
      <x:c r="AU24" s="11" t="n">
        <x:v>3277.731938412949</x:v>
      </x:c>
      <x:c r="AV24" s="11" t="n">
        <x:v>986.9719699960522</x:v>
      </x:c>
      <x:c r="AW24" s="11" t="n">
        <x:v>1.6993613181397276</x:v>
      </x:c>
      <x:c r="AX24" s="12" t="n">
        <x:v>1</x:v>
      </x:c>
      <x:c r="AY24" s="11"/>
      <x:c r="AZ24" s="11"/>
      <x:c r="BA24" s="11"/>
      <x:c r="BB24" s="11"/>
      <x:c r="BC24" s="11"/>
      <x:c r="BD24" s="11"/>
      <x:c r="BE24" s="11"/>
      <x:c r="BF24" s="11"/>
      <x:c r="BG24" s="11"/>
      <x:c r="BH24" s="11"/>
      <x:c r="BI24" s="11"/>
      <x:c r="BJ24" s="11"/>
      <x:c r="BK24" s="12"/>
      <x:c r="BL24" s="12"/>
      <x:c r="BM24" s="12"/>
      <x:c r="BN24" s="12"/>
      <x:c r="BO24" s="12"/>
      <x:c r="BP24" s="12"/>
      <x:c r="BQ24" s="12"/>
      <x:c r="BR24" s="12"/>
      <x:c r="BS24" s="12"/>
      <x:c r="BT24" s="12"/>
      <x:c r="BU24" s="11" t="n">
        <x:v>1395994</x:v>
      </x:c>
      <x:c r="BV24" s="11" t="n">
        <x:v>2090000</x:v>
      </x:c>
      <x:c r="BW24" s="11" t="n">
        <x:v>415671</x:v>
      </x:c>
      <x:c r="BX24" s="11" t="n">
        <x:v>624280</x:v>
      </x:c>
      <x:c r="BY24" s="11" t="n">
        <x:v>0</x:v>
      </x:c>
      <x:c r="BZ24" s="11" t="n">
        <x:v>450000</x:v>
      </x:c>
      <x:c r="CA24" s="11" t="n">
        <x:v>0</x:v>
      </x:c>
      <x:c r="CB24" s="11" t="n">
        <x:v>0</x:v>
      </x:c>
      <x:c r="CC24" s="11" t="n">
        <x:v>1249508</x:v>
      </x:c>
      <x:c r="CD24" s="11" t="n">
        <x:v>277453</x:v>
      </x:c>
      <x:c r="CE24" s="11" t="n">
        <x:v>235830</x:v>
      </x:c>
      <x:c r="CF24" s="11" t="n">
        <x:v>0</x:v>
      </x:c>
      <x:c r="CG24" s="11" t="n">
        <x:v>119222</x:v>
      </x:c>
      <x:c r="CH24" s="11" t="n">
        <x:v>664239</x:v>
      </x:c>
      <x:c r="CI24" s="11" t="n">
        <x:v>0</x:v>
      </x:c>
      <x:c r="CJ24" s="11" t="n">
        <x:v>638085</x:v>
      </x:c>
      <x:c r="CK24" s="11" t="n">
        <x:v>0</x:v>
      </x:c>
      <x:c r="CL24" s="11" t="n">
        <x:v>0</x:v>
      </x:c>
      <x:c r="CM24" s="11" t="n">
        <x:v>0</x:v>
      </x:c>
      <x:c r="CN24" s="11" t="n">
        <x:v>4461</x:v>
      </x:c>
      <x:c r="CO24" s="11" t="n">
        <x:v>0</x:v>
      </x:c>
      <x:c r="CP24" s="8"/>
      <x:c r="CQ24" s="8" t="str">
        <x:v>Colwood</x:v>
      </x:c>
    </x:row>
    <x:row r="25">
      <x:c r="A25" s="8" t="str">
        <x:v>Anmore|2024</x:v>
      </x:c>
      <x:c r="B25" s="8" t="str">
        <x:v>anmore-v</x:v>
      </x:c>
      <x:c r="C25" s="8" t="str">
        <x:v>Anmore</x:v>
      </x:c>
      <x:c r="D25" s="8" t="str">
        <x:v>Anmore</x:v>
      </x:c>
      <x:c r="E25" s="8" t="str">
        <x:v>V</x:v>
      </x:c>
      <x:c r="F25" s="8" t="str">
        <x:v>MVRD</x:v>
      </x:c>
      <x:c r="G25" s="9" t="n">
        <x:v>2024</x:v>
      </x:c>
      <x:c r="H25" s="10" t="n">
        <x:v>2533</x:v>
      </x:c>
      <x:c r="I25" s="8" t="str">
        <x:v>Under 5,000</x:v>
      </x:c>
      <x:c r="J25" s="11" t="n">
        <x:v>7540763</x:v>
      </x:c>
      <x:c r="K25" s="11" t="n">
        <x:v>5163979</x:v>
      </x:c>
      <x:c r="L25" s="11" t="n">
        <x:v>2376784</x:v>
      </x:c>
      <x:c r="M25" s="12" t="n">
        <x:v>0.3151914468071732</x:v>
      </x:c>
      <x:c r="N25" s="11" t="n">
        <x:v>3154395</x:v>
      </x:c>
      <x:c r="O25" s="11" t="n">
        <x:v>1742974</x:v>
      </x:c>
      <x:c r="P25" s="11" t="n">
        <x:v>1862730</x:v>
      </x:c>
      <x:c r="Q25" s="11" t="n">
        <x:v>780664</x:v>
      </x:c>
      <x:c r="R25" s="11" t="n">
        <x:v>3540976</x:v>
      </x:c>
      <x:c r="S25" s="11" t="n">
        <x:v>1499260</x:v>
      </x:c>
      <x:c r="T25" s="11" t="n">
        <x:v>16476469</x:v>
      </x:c>
      <x:c r="U25" s="11" t="n">
        <x:v>7667449</x:v>
      </x:c>
      <x:c r="V25" s="11" t="n">
        <x:v>10812567</x:v>
      </x:c>
      <x:c r="W25" s="11" t="n">
        <x:v>9030048</x:v>
      </x:c>
      <x:c r="X25" s="11" t="n">
        <x:v>2500000</x:v>
      </x:c>
      <x:c r="Y25" s="11" t="n">
        <x:v>0</x:v>
      </x:c>
      <x:c r="Z25" s="11" t="n">
        <x:v>62496</x:v>
      </x:c>
      <x:c r="AA25" s="11" t="n">
        <x:v>2436997</x:v>
      </x:c>
      <x:c r="AB25" s="11" t="n">
        <x:v>123743</x:v>
      </x:c>
      <x:c r="AC25" s="11" t="n">
        <x:v>186239</x:v>
      </x:c>
      <x:c r="AD25" s="11" t="n">
        <x:v>1482232</x:v>
      </x:c>
      <x:c r="AE25" s="11" t="n">
        <x:v>1295993</x:v>
      </x:c>
      <x:c r="AF25" s="11" t="n">
        <x:v>5928926</x:v>
      </x:c>
      <x:c r="AG25" s="11" t="n">
        <x:v>89505104</x:v>
      </x:c>
      <x:c r="AH25" s="11" t="n">
        <x:v>18609851</x:v>
      </x:c>
      <x:c r="AI25" s="11" t="n">
        <x:v>70895253</x:v>
      </x:c>
      <x:c r="AJ25" s="11" t="n">
        <x:v>2317801</x:v>
      </x:c>
      <x:c r="AK25" s="11" t="n">
        <x:v>112640548</x:v>
      </x:c>
      <x:c r="AL25" s="11" t="n">
        <x:v>1906000</x:v>
      </x:c>
      <x:c r="AM25" s="12" t="n">
        <x:v>0.9830789175493003</x:v>
      </x:c>
      <x:c r="AN25" s="12" t="n">
        <x:v>0.020576968428811265</x:v>
      </x:c>
      <x:c r="AO25" s="11" t="n">
        <x:v>8091410</x:v>
      </x:c>
      <x:c r="AP25" s="11" t="n">
        <x:v>7681340</x:v>
      </x:c>
      <x:c r="AQ25" s="12" t="n">
        <x:v>0.949320328595387</x:v>
      </x:c>
      <x:c r="AR25" s="11" t="n">
        <x:v>2977.0086853533357</x:v>
      </x:c>
      <x:c r="AS25" s="11" t="n">
        <x:v>2038.6810106592973</x:v>
      </x:c>
      <x:c r="AT25" s="11" t="n">
        <x:v>4268.680221081721</x:v>
      </x:c>
      <x:c r="AU25" s="11" t="n">
        <x:v>3564.9617054875644</x:v>
      </x:c>
      <x:c r="AV25" s="11" t="n">
        <x:v>962.0990919857876</x:v>
      </x:c>
      <x:c r="AW25" s="11" t="n">
        <x:v>2.148885372436126</x:v>
      </x:c>
      <x:c r="AX25" s="12" t="n">
        <x:v>0.8743523281105792</x:v>
      </x:c>
      <x:c r="AY25" s="11" t="n">
        <x:v>4648.097865362712</x:v>
      </x:c>
      <x:c r="AZ25" s="11" t="n">
        <x:v>3546.5079302077975</x:v>
      </x:c>
      <x:c r="BA25" s="11" t="n">
        <x:v>3428.422456291105</x:v>
      </x:c>
      <x:c r="BB25" s="11" t="n">
        <x:v>2783.665107049771</x:v>
      </x:c>
      <x:c r="BC25" s="11" t="n">
        <x:v>5030.364110900993</x:v>
      </x:c>
      <x:c r="BD25" s="11" t="n">
        <x:v>2437.8724475115623</x:v>
      </x:c>
      <x:c r="BE25" s="11" t="n">
        <x:v>2420.45</x:v>
      </x:c>
      <x:c r="BF25" s="11" t="n">
        <x:v>1604.3462673977224</x:v>
      </x:c>
      <x:c r="BG25" s="11" t="n">
        <x:v>224.31236112962716</x:v>
      </x:c>
      <x:c r="BH25" s="11" t="n">
        <x:v>518.5374381567245</x:v>
      </x:c>
      <x:c r="BI25" s="11" t="n">
        <x:v>2.204313821553219</x:v>
      </x:c>
      <x:c r="BJ25" s="11" t="n">
        <x:v>1.7099330852451193</x:v>
      </x:c>
      <x:c r="BK25" s="12" t="n">
        <x:v>0.030042455998363887</x:v>
      </x:c>
      <x:c r="BL25" s="12" t="n">
        <x:v>0.02529861000232605</x:v>
      </x:c>
      <x:c r="BM25" s="12" t="n">
        <x:v>0.9786113537119745</x:v>
      </x:c>
      <x:c r="BN25" s="12" t="n">
        <x:v>0.9815511712696461</x:v>
      </x:c>
      <x:c r="BO25" s="12" t="n">
        <x:v>0.9039920521842442</x:v>
      </x:c>
      <x:c r="BP25" s="12" t="n">
        <x:v>0.8619101997275483</x:v>
      </x:c>
      <x:c r="BQ25" s="12" t="n">
        <x:v>0.9333160528846489</x:v>
      </x:c>
      <x:c r="BR25" s="12" t="n">
        <x:v>0.9623635142836453</x:v>
      </x:c>
      <x:c r="BS25" s="12" t="n">
        <x:v>0.20869205825466772</x:v>
      </x:c>
      <x:c r="BT25" s="12" t="n">
        <x:v>0.19976549769108282</x:v>
      </x:c>
      <x:c r="BU25" s="11" t="n">
        <x:v>835175</x:v>
      </x:c>
      <x:c r="BV25" s="11" t="n">
        <x:v>401400</x:v>
      </x:c>
      <x:c r="BW25" s="11" t="n">
        <x:v>626155</x:v>
      </x:c>
      <x:c r="BX25" s="11" t="n">
        <x:v>630664</x:v>
      </x:c>
      <x:c r="BY25" s="11" t="n">
        <x:v>0</x:v>
      </x:c>
      <x:c r="BZ25" s="11" t="n">
        <x:v>150000</x:v>
      </x:c>
      <x:c r="CA25" s="11" t="n">
        <x:v>0</x:v>
      </x:c>
      <x:c r="CB25" s="11" t="n">
        <x:v>0</x:v>
      </x:c>
      <x:c r="CC25" s="11" t="n">
        <x:v>1661908</x:v>
      </x:c>
      <x:c r="CD25" s="11" t="n">
        <x:v>191896</x:v>
      </x:c>
      <x:c r="CE25" s="11" t="n">
        <x:v>254887</x:v>
      </x:c>
      <x:c r="CF25" s="11" t="n">
        <x:v>0</x:v>
      </x:c>
      <x:c r="CG25" s="11" t="n">
        <x:v>288471</x:v>
      </x:c>
      <x:c r="CH25" s="11" t="n">
        <x:v>629698</x:v>
      </x:c>
      <x:c r="CI25" s="11" t="n">
        <x:v>0</x:v>
      </x:c>
      <x:c r="CJ25" s="11" t="n">
        <x:v>637859</x:v>
      </x:c>
      <x:c r="CK25" s="11" t="n">
        <x:v>0</x:v>
      </x:c>
      <x:c r="CL25" s="11" t="n">
        <x:v>0</x:v>
      </x:c>
      <x:c r="CM25" s="11" t="n">
        <x:v>0</x:v>
      </x:c>
      <x:c r="CN25" s="11" t="n">
        <x:v>0</x:v>
      </x:c>
      <x:c r="CO25" s="11" t="n">
        <x:v>0</x:v>
      </x:c>
      <x:c r="CP25" s="8"/>
      <x:c r="CQ25" s="8" t="str">
        <x:v>Comox</x:v>
      </x:c>
    </x:row>
    <x:row r="26">
      <x:c r="A26" s="8" t="str">
        <x:v>Armstrong|2019</x:v>
      </x:c>
      <x:c r="B26" s="8" t="str">
        <x:v>armstrong-c</x:v>
      </x:c>
      <x:c r="C26" s="8" t="str">
        <x:v>Armstrong</x:v>
      </x:c>
      <x:c r="D26" s="8" t="str">
        <x:v>Armstrong</x:v>
      </x:c>
      <x:c r="E26" s="8" t="str">
        <x:v>C</x:v>
      </x:c>
      <x:c r="F26" s="8" t="str">
        <x:v>NOK</x:v>
      </x:c>
      <x:c r="G26" s="9" t="n">
        <x:v>2019</x:v>
      </x:c>
      <x:c r="H26" s="10" t="n">
        <x:v>5499</x:v>
      </x:c>
      <x:c r="I26" s="8" t="str">
        <x:v>5,000 to 19,999</x:v>
      </x:c>
      <x:c r="J26" s="11" t="n">
        <x:v>7744737</x:v>
      </x:c>
      <x:c r="K26" s="11" t="n">
        <x:v>6662701</x:v>
      </x:c>
      <x:c r="L26" s="11" t="n">
        <x:v>1082036</x:v>
      </x:c>
      <x:c r="M26" s="12" t="n">
        <x:v>0.1397124266453464</x:v>
      </x:c>
      <x:c r="N26" s="11" t="n">
        <x:v>2917289</x:v>
      </x:c>
      <x:c r="O26" s="11" t="n">
        <x:v>3314663</x:v>
      </x:c>
      <x:c r="P26" s="11" t="n">
        <x:v>1315916</x:v>
      </x:c>
      <x:c r="Q26" s="11" t="n">
        <x:v>196869</x:v>
      </x:c>
      <x:c r="R26" s="11" t="n">
        <x:v>5314545</x:v>
      </x:c>
      <x:c r="S26" s="11" t="n">
        <x:v>1318306</x:v>
      </x:c>
      <x:c r="T26" s="11" t="n">
        <x:v>8494855</x:v>
      </x:c>
      <x:c r="U26" s="11" t="n">
        <x:v>2647453</x:v>
      </x:c>
      <x:c r="V26" s="11" t="n">
        <x:v>7105264</x:v>
      </x:c>
      <x:c r="W26" s="11" t="n">
        <x:v>6300147</x:v>
      </x:c>
      <x:c r="X26" s="11" t="n">
        <x:v>932338</x:v>
      </x:c>
      <x:c r="Y26" s="11" t="n">
        <x:v>0</x:v>
      </x:c>
      <x:c r="Z26" s="11" t="n">
        <x:v>76686</x:v>
      </x:c>
      <x:c r="AA26" s="11" t="n">
        <x:v>846510</x:v>
      </x:c>
      <x:c r="AB26" s="11" t="n">
        <x:v>29850</x:v>
      </x:c>
      <x:c r="AC26" s="11" t="n">
        <x:v>106536</x:v>
      </x:c>
      <x:c r="AD26" s="11" t="n">
        <x:v>1749130</x:v>
      </x:c>
      <x:c r="AE26" s="11" t="n">
        <x:v>1642594</x:v>
      </x:c>
      <x:c r="AF26" s="11" t="n">
        <x:v>6996518</x:v>
      </x:c>
      <x:c r="AG26" s="11" t="n">
        <x:v>74363691</x:v>
      </x:c>
      <x:c r="AH26" s="11" t="n">
        <x:v>28248524</x:v>
      </x:c>
      <x:c r="AI26" s="11" t="n">
        <x:v>46115167</x:v>
      </x:c>
      <x:c r="AJ26" s="11" t="n">
        <x:v>1854036</x:v>
      </x:c>
      <x:c r="AK26" s="11" t="n">
        <x:v>1556927</x:v>
      </x:c>
      <x:c r="AL26" s="11" t="n">
        <x:v>0</x:v>
      </x:c>
      <x:c r="AM26" s="12" t="n">
        <x:v>1</x:v>
      </x:c>
      <x:c r="AN26" s="12" t="n">
        <x:v>1.190830398599292</x:v>
      </x:c>
      <x:c r="AO26" s="11" t="n">
        <x:v>5794043</x:v>
      </x:c>
      <x:c r="AP26" s="11" t="n">
        <x:v>5604970</x:v>
      </x:c>
      <x:c r="AQ26" s="12" t="n">
        <x:v>0.9673676912649768</x:v>
      </x:c>
      <x:c r="AR26" s="11" t="n">
        <x:v>1408.3900709219859</x:v>
      </x:c>
      <x:c r="AS26" s="11" t="n">
        <x:v>1211.6204764502636</x:v>
      </x:c>
      <x:c r="AT26" s="11" t="n">
        <x:v>1292.1011092925987</x:v>
      </x:c>
      <x:c r="AU26" s="11" t="n">
        <x:v>1145.6895799236224</x:v>
      </x:c>
      <x:c r="AV26" s="11" t="n">
        <x:v>153.93889798145116</x:v>
      </x:c>
      <x:c r="AW26" s="11" t="n">
        <x:v>3.2086896349057</x:v>
      </x:c>
      <x:c r="AX26" s="12" t="n">
        <x:v>0.9390920057399964</x:v>
      </x:c>
      <x:c r="AY26" s="11"/>
      <x:c r="AZ26" s="11"/>
      <x:c r="BA26" s="11"/>
      <x:c r="BB26" s="11"/>
      <x:c r="BC26" s="11"/>
      <x:c r="BD26" s="11"/>
      <x:c r="BE26" s="11"/>
      <x:c r="BF26" s="11"/>
      <x:c r="BG26" s="11"/>
      <x:c r="BH26" s="11"/>
      <x:c r="BI26" s="11"/>
      <x:c r="BJ26" s="11"/>
      <x:c r="BK26" s="12"/>
      <x:c r="BL26" s="12"/>
      <x:c r="BM26" s="12"/>
      <x:c r="BN26" s="12"/>
      <x:c r="BO26" s="12"/>
      <x:c r="BP26" s="12"/>
      <x:c r="BQ26" s="12"/>
      <x:c r="BR26" s="12"/>
      <x:c r="BS26" s="12"/>
      <x:c r="BT26" s="12"/>
      <x:c r="BU26" s="11" t="n">
        <x:v>0</x:v>
      </x:c>
      <x:c r="BV26" s="11" t="n">
        <x:v>777647</x:v>
      </x:c>
      <x:c r="BW26" s="11" t="n">
        <x:v>538269</x:v>
      </x:c>
      <x:c r="BX26" s="11" t="n">
        <x:v>187869</x:v>
      </x:c>
      <x:c r="BY26" s="11" t="n">
        <x:v>0</x:v>
      </x:c>
      <x:c r="BZ26" s="11" t="n">
        <x:v>9000</x:v>
      </x:c>
      <x:c r="CA26" s="11" t="n">
        <x:v>0</x:v>
      </x:c>
      <x:c r="CB26" s="11" t="n">
        <x:v>0</x:v>
      </x:c>
      <x:c r="CC26" s="11" t="n">
        <x:v>738155</x:v>
      </x:c>
      <x:c r="CD26" s="11" t="n">
        <x:v>1100089</x:v>
      </x:c>
      <x:c r="CE26" s="11" t="n">
        <x:v>200959</x:v>
      </x:c>
      <x:c r="CF26" s="11" t="n">
        <x:v>24778</x:v>
      </x:c>
      <x:c r="CG26" s="11" t="n">
        <x:v>123724</x:v>
      </x:c>
      <x:c r="CH26" s="11" t="n">
        <x:v>778649</x:v>
      </x:c>
      <x:c r="CI26" s="11" t="n">
        <x:v>1002487</x:v>
      </x:c>
      <x:c r="CJ26" s="11" t="n">
        <x:v>635231</x:v>
      </x:c>
      <x:c r="CK26" s="11" t="n">
        <x:v>675889</x:v>
      </x:c>
      <x:c r="CL26" s="11" t="n">
        <x:v>64434</x:v>
      </x:c>
      <x:c r="CM26" s="11"/>
      <x:c r="CN26" s="11" t="n">
        <x:v>0</x:v>
      </x:c>
      <x:c r="CO26" s="11" t="n">
        <x:v>0</x:v>
      </x:c>
      <x:c r="CP26" s="8"/>
      <x:c r="CQ26" s="8" t="str">
        <x:v>Coquitlam</x:v>
      </x:c>
    </x:row>
    <x:row r="27">
      <x:c r="A27" s="8" t="str">
        <x:v>Armstrong|2020</x:v>
      </x:c>
      <x:c r="B27" s="8" t="str">
        <x:v>armstrong-c</x:v>
      </x:c>
      <x:c r="C27" s="8" t="str">
        <x:v>Armstrong</x:v>
      </x:c>
      <x:c r="D27" s="8" t="str">
        <x:v>Armstrong</x:v>
      </x:c>
      <x:c r="E27" s="8" t="str">
        <x:v>C</x:v>
      </x:c>
      <x:c r="F27" s="8" t="str">
        <x:v>NOK</x:v>
      </x:c>
      <x:c r="G27" s="9" t="n">
        <x:v>2020</x:v>
      </x:c>
      <x:c r="H27" s="10" t="n">
        <x:v>5433</x:v>
      </x:c>
      <x:c r="I27" s="8" t="str">
        <x:v>5,000 to 19,999</x:v>
      </x:c>
      <x:c r="J27" s="11" t="n">
        <x:v>10915595</x:v>
      </x:c>
      <x:c r="K27" s="11" t="n">
        <x:v>7301481</x:v>
      </x:c>
      <x:c r="L27" s="11" t="n">
        <x:v>3614114</x:v>
      </x:c>
      <x:c r="M27" s="12" t="n">
        <x:v>0.33109638091189714</x:v>
      </x:c>
      <x:c r="N27" s="11" t="n">
        <x:v>3090497</x:v>
      </x:c>
      <x:c r="O27" s="11" t="n">
        <x:v>3434756</x:v>
      </x:c>
      <x:c r="P27" s="11" t="n">
        <x:v>2519066</x:v>
      </x:c>
      <x:c r="Q27" s="11" t="n">
        <x:v>1871276</x:v>
      </x:c>
      <x:c r="R27" s="11" t="n">
        <x:v>5898262</x:v>
      </x:c>
      <x:c r="S27" s="11" t="n">
        <x:v>1373369</x:v>
      </x:c>
      <x:c r="T27" s="11" t="n">
        <x:v>10522607</x:v>
      </x:c>
      <x:c r="U27" s="11" t="n">
        <x:v>3572366</x:v>
      </x:c>
      <x:c r="V27" s="11" t="n">
        <x:v>8484981</x:v>
      </x:c>
      <x:c r="W27" s="11" t="n">
        <x:v>6710748</x:v>
      </x:c>
      <x:c r="X27" s="11" t="n">
        <x:v>846510</x:v>
      </x:c>
      <x:c r="Y27" s="11" t="n">
        <x:v>0</x:v>
      </x:c>
      <x:c r="Z27" s="11" t="n">
        <x:v>54185</x:v>
      </x:c>
      <x:c r="AA27" s="11" t="n">
        <x:v>781427</x:v>
      </x:c>
      <x:c r="AB27" s="11" t="n">
        <x:v>29850</x:v>
      </x:c>
      <x:c r="AC27" s="11" t="n">
        <x:v>84035</x:v>
      </x:c>
      <x:c r="AD27" s="11" t="n">
        <x:v>1811713</x:v>
      </x:c>
      <x:c r="AE27" s="11" t="n">
        <x:v>1727678</x:v>
      </x:c>
      <x:c r="AF27" s="11" t="n">
        <x:v>7246851</x:v>
      </x:c>
      <x:c r="AG27" s="11" t="n">
        <x:v>77687154</x:v>
      </x:c>
      <x:c r="AH27" s="11" t="n">
        <x:v>29348753</x:v>
      </x:c>
      <x:c r="AI27" s="11" t="n">
        <x:v>48338401</x:v>
      </x:c>
      <x:c r="AJ27" s="11" t="n">
        <x:v>3615670</x:v>
      </x:c>
      <x:c r="AK27" s="11" t="n">
        <x:v>1556927</x:v>
      </x:c>
      <x:c r="AL27" s="11" t="n">
        <x:v>0</x:v>
      </x:c>
      <x:c r="AM27" s="12" t="n">
        <x:v>1</x:v>
      </x:c>
      <x:c r="AN27" s="12" t="n">
        <x:v>2.3223118360719543</x:v>
      </x:c>
      <x:c r="AO27" s="11" t="n">
        <x:v>6215954</x:v>
      </x:c>
      <x:c r="AP27" s="11" t="n">
        <x:v>6085701</x:v>
      </x:c>
      <x:c r="AQ27" s="12" t="n">
        <x:v>0.9790453726008912</x:v>
      </x:c>
      <x:c r="AR27" s="11" t="n">
        <x:v>2009.1284741395177</x:v>
      </x:c>
      <x:c r="AS27" s="11" t="n">
        <x:v>1343.9133075648813</x:v>
      </x:c>
      <x:c r="AT27" s="11" t="n">
        <x:v>1561.7487575924904</x:v>
      </x:c>
      <x:c r="AU27" s="11" t="n">
        <x:v>1235.1827719491994</x:v>
      </x:c>
      <x:c r="AV27" s="11" t="n">
        <x:v>143.8297441560832</x:v>
      </x:c>
      <x:c r="AW27" s="11" t="n">
        <x:v>2.945556810248446</x:v>
      </x:c>
      <x:c r="AX27" s="12" t="n">
        <x:v>0.9536157216954341</x:v>
      </x:c>
      <x:c r="AY27" s="11"/>
      <x:c r="AZ27" s="11"/>
      <x:c r="BA27" s="11"/>
      <x:c r="BB27" s="11"/>
      <x:c r="BC27" s="11"/>
      <x:c r="BD27" s="11"/>
      <x:c r="BE27" s="11"/>
      <x:c r="BF27" s="11"/>
      <x:c r="BG27" s="11"/>
      <x:c r="BH27" s="11"/>
      <x:c r="BI27" s="11"/>
      <x:c r="BJ27" s="11"/>
      <x:c r="BK27" s="12"/>
      <x:c r="BL27" s="12"/>
      <x:c r="BM27" s="12"/>
      <x:c r="BN27" s="12"/>
      <x:c r="BO27" s="12"/>
      <x:c r="BP27" s="12"/>
      <x:c r="BQ27" s="12"/>
      <x:c r="BR27" s="12"/>
      <x:c r="BS27" s="12"/>
      <x:c r="BT27" s="12"/>
      <x:c r="BU27" s="11" t="n">
        <x:v>270486</x:v>
      </x:c>
      <x:c r="BV27" s="11" t="n">
        <x:v>2248580</x:v>
      </x:c>
      <x:c r="BW27" s="11" t="n">
        <x:v>0</x:v>
      </x:c>
      <x:c r="BX27" s="11" t="n">
        <x:v>141892</x:v>
      </x:c>
      <x:c r="BY27" s="11" t="n">
        <x:v>0</x:v>
      </x:c>
      <x:c r="BZ27" s="11" t="n">
        <x:v>1721884</x:v>
      </x:c>
      <x:c r="CA27" s="11" t="n">
        <x:v>7500</x:v>
      </x:c>
      <x:c r="CB27" s="11" t="n">
        <x:v>0</x:v>
      </x:c>
      <x:c r="CC27" s="11" t="n">
        <x:v>800680</x:v>
      </x:c>
      <x:c r="CD27" s="11" t="n">
        <x:v>1199764</x:v>
      </x:c>
      <x:c r="CE27" s="11" t="n">
        <x:v>206957</x:v>
      </x:c>
      <x:c r="CF27" s="11" t="n">
        <x:v>15362</x:v>
      </x:c>
      <x:c r="CG27" s="11" t="n">
        <x:v>183813</x:v>
      </x:c>
      <x:c r="CH27" s="11" t="n">
        <x:v>747391</x:v>
      </x:c>
      <x:c r="CI27" s="11" t="n">
        <x:v>788089</x:v>
      </x:c>
      <x:c r="CJ27" s="11" t="n">
        <x:v>711165</x:v>
      </x:c>
      <x:c r="CK27" s="11" t="n">
        <x:v>1207771</x:v>
      </x:c>
      <x:c r="CL27" s="11" t="n">
        <x:v>48052</x:v>
      </x:c>
      <x:c r="CM27" s="11"/>
      <x:c r="CN27" s="11" t="n">
        <x:v>19068</x:v>
      </x:c>
      <x:c r="CO27" s="11" t="n">
        <x:v>0</x:v>
      </x:c>
      <x:c r="CP27" s="8"/>
      <x:c r="CQ27" s="8" t="str">
        <x:v>Courtenay</x:v>
      </x:c>
    </x:row>
    <x:row r="28">
      <x:c r="A28" s="8" t="str">
        <x:v>Armstrong|2021</x:v>
      </x:c>
      <x:c r="B28" s="8" t="str">
        <x:v>armstrong-c</x:v>
      </x:c>
      <x:c r="C28" s="8" t="str">
        <x:v>Armstrong</x:v>
      </x:c>
      <x:c r="D28" s="8" t="str">
        <x:v>Armstrong</x:v>
      </x:c>
      <x:c r="E28" s="8" t="str">
        <x:v>C</x:v>
      </x:c>
      <x:c r="F28" s="8" t="str">
        <x:v>NOK</x:v>
      </x:c>
      <x:c r="G28" s="9" t="n">
        <x:v>2021</x:v>
      </x:c>
      <x:c r="H28" s="10" t="n">
        <x:v>5529</x:v>
      </x:c>
      <x:c r="I28" s="8" t="str">
        <x:v>5,000 to 19,999</x:v>
      </x:c>
      <x:c r="J28" s="11" t="n">
        <x:v>9023584</x:v>
      </x:c>
      <x:c r="K28" s="11" t="n">
        <x:v>7176629</x:v>
      </x:c>
      <x:c r="L28" s="11" t="n">
        <x:v>1846955</x:v>
      </x:c>
      <x:c r="M28" s="12" t="n">
        <x:v>0.20468086738041116</x:v>
      </x:c>
      <x:c r="N28" s="11" t="n">
        <x:v>3273690</x:v>
      </x:c>
      <x:c r="O28" s="11" t="n">
        <x:v>4236702</x:v>
      </x:c>
      <x:c r="P28" s="11" t="n">
        <x:v>1204116</x:v>
      </x:c>
      <x:c r="Q28" s="11" t="n">
        <x:v>309076</x:v>
      </x:c>
      <x:c r="R28" s="11" t="n">
        <x:v>5769785</x:v>
      </x:c>
      <x:c r="S28" s="11" t="n">
        <x:v>1376994</x:v>
      </x:c>
      <x:c r="T28" s="11" t="n">
        <x:v>11171415</x:v>
      </x:c>
      <x:c r="U28" s="11" t="n">
        <x:v>3067393</x:v>
      </x:c>
      <x:c r="V28" s="11" t="n">
        <x:v>10129234</x:v>
      </x:c>
      <x:c r="W28" s="11" t="n">
        <x:v>7721080</x:v>
      </x:c>
      <x:c r="X28" s="11" t="n">
        <x:v>781427</x:v>
      </x:c>
      <x:c r="Y28" s="11" t="n">
        <x:v>0</x:v>
      </x:c>
      <x:c r="Z28" s="11" t="n">
        <x:v>54186</x:v>
      </x:c>
      <x:c r="AA28" s="11" t="n">
        <x:v>714522</x:v>
      </x:c>
      <x:c r="AB28" s="11" t="n">
        <x:v>29850</x:v>
      </x:c>
      <x:c r="AC28" s="11" t="n">
        <x:v>84036</x:v>
      </x:c>
      <x:c r="AD28" s="11" t="n">
        <x:v>2093517</x:v>
      </x:c>
      <x:c r="AE28" s="11" t="n">
        <x:v>2009481</x:v>
      </x:c>
      <x:c r="AF28" s="11" t="n">
        <x:v>8374069</x:v>
      </x:c>
      <x:c r="AG28" s="11" t="n">
        <x:v>79282917</x:v>
      </x:c>
      <x:c r="AH28" s="11" t="n">
        <x:v>30725749</x:v>
      </x:c>
      <x:c r="AI28" s="11" t="n">
        <x:v>48557168</x:v>
      </x:c>
      <x:c r="AJ28" s="11" t="n">
        <x:v>1595760</x:v>
      </x:c>
      <x:c r="AK28" s="11" t="n">
        <x:v>2194629</x:v>
      </x:c>
      <x:c r="AL28" s="11" t="n">
        <x:v>0</x:v>
      </x:c>
      <x:c r="AM28" s="12" t="n">
        <x:v>1</x:v>
      </x:c>
      <x:c r="AN28" s="12" t="n">
        <x:v>0.7271206203873183</x:v>
      </x:c>
      <x:c r="AO28" s="11" t="n">
        <x:v>6429150</x:v>
      </x:c>
      <x:c r="AP28" s="11" t="n">
        <x:v>6235678</x:v>
      </x:c>
      <x:c r="AQ28" s="12" t="n">
        <x:v>0.9699070639198027</x:v>
      </x:c>
      <x:c r="AR28" s="11" t="n">
        <x:v>1632.0463013203112</x:v>
      </x:c>
      <x:c r="AS28" s="11" t="n">
        <x:v>1297.997648761078</x:v>
      </x:c>
      <x:c r="AT28" s="11" t="n">
        <x:v>1832.0191716404413</x:v>
      </x:c>
      <x:c r="AU28" s="11" t="n">
        <x:v>1396.4695243262797</x:v>
      </x:c>
      <x:c r="AV28" s="11" t="n">
        <x:v>129.2316874660879</x:v>
      </x:c>
      <x:c r="AW28" s="11" t="n">
        <x:v>3.641990119948764</x:v>
      </x:c>
      <x:c r="AX28" s="12" t="n">
        <x:v>0.9598589359436775</x:v>
      </x:c>
      <x:c r="AY28" s="11"/>
      <x:c r="AZ28" s="11"/>
      <x:c r="BA28" s="11"/>
      <x:c r="BB28" s="11"/>
      <x:c r="BC28" s="11"/>
      <x:c r="BD28" s="11"/>
      <x:c r="BE28" s="11"/>
      <x:c r="BF28" s="11"/>
      <x:c r="BG28" s="11"/>
      <x:c r="BH28" s="11"/>
      <x:c r="BI28" s="11"/>
      <x:c r="BJ28" s="11"/>
      <x:c r="BK28" s="12"/>
      <x:c r="BL28" s="12"/>
      <x:c r="BM28" s="12"/>
      <x:c r="BN28" s="12"/>
      <x:c r="BO28" s="12"/>
      <x:c r="BP28" s="12"/>
      <x:c r="BQ28" s="12"/>
      <x:c r="BR28" s="12"/>
      <x:c r="BS28" s="12"/>
      <x:c r="BT28" s="12"/>
      <x:c r="BU28" s="11" t="n">
        <x:v>0</x:v>
      </x:c>
      <x:c r="BV28" s="11" t="n">
        <x:v>650673</x:v>
      </x:c>
      <x:c r="BW28" s="11" t="n">
        <x:v>553443</x:v>
      </x:c>
      <x:c r="BX28" s="11" t="n">
        <x:v>123594</x:v>
      </x:c>
      <x:c r="BY28" s="11" t="n">
        <x:v>0</x:v>
      </x:c>
      <x:c r="BZ28" s="11" t="n">
        <x:v>20120</x:v>
      </x:c>
      <x:c r="CA28" s="11" t="n">
        <x:v>0</x:v>
      </x:c>
      <x:c r="CB28" s="11" t="n">
        <x:v>165362</x:v>
      </x:c>
      <x:c r="CC28" s="11" t="n">
        <x:v>634559</x:v>
      </x:c>
      <x:c r="CD28" s="11" t="n">
        <x:v>1494218</x:v>
      </x:c>
      <x:c r="CE28" s="11" t="n">
        <x:v>296092</x:v>
      </x:c>
      <x:c r="CF28" s="11" t="n">
        <x:v>14116</x:v>
      </x:c>
      <x:c r="CG28" s="11" t="n">
        <x:v>117353</x:v>
      </x:c>
      <x:c r="CH28" s="11" t="n">
        <x:v>800587</x:v>
      </x:c>
      <x:c r="CI28" s="11" t="n">
        <x:v>919278</x:v>
      </x:c>
      <x:c r="CJ28" s="11" t="n">
        <x:v>675380</x:v>
      </x:c>
      <x:c r="CK28" s="11" t="n">
        <x:v>802607</x:v>
      </x:c>
      <x:c r="CL28" s="11" t="n">
        <x:v>45445</x:v>
      </x:c>
      <x:c r="CM28" s="11"/>
      <x:c r="CN28" s="11" t="n">
        <x:v>0</x:v>
      </x:c>
      <x:c r="CO28" s="11" t="n">
        <x:v>0</x:v>
      </x:c>
      <x:c r="CP28" s="8"/>
      <x:c r="CQ28" s="8" t="str">
        <x:v>Cranbrook</x:v>
      </x:c>
    </x:row>
    <x:row r="29">
      <x:c r="A29" s="8" t="str">
        <x:v>Armstrong|2022</x:v>
      </x:c>
      <x:c r="B29" s="8" t="str">
        <x:v>armstrong-c</x:v>
      </x:c>
      <x:c r="C29" s="8" t="str">
        <x:v>Armstrong</x:v>
      </x:c>
      <x:c r="D29" s="8" t="str">
        <x:v>Armstrong</x:v>
      </x:c>
      <x:c r="E29" s="8" t="str">
        <x:v>C</x:v>
      </x:c>
      <x:c r="F29" s="8" t="str">
        <x:v>NOK</x:v>
      </x:c>
      <x:c r="G29" s="9" t="n">
        <x:v>2022</x:v>
      </x:c>
      <x:c r="H29" s="10" t="n">
        <x:v>5677</x:v>
      </x:c>
      <x:c r="I29" s="8" t="str">
        <x:v>5,000 to 19,999</x:v>
      </x:c>
      <x:c r="J29" s="11" t="n">
        <x:v>9333227</x:v>
      </x:c>
      <x:c r="K29" s="11" t="n">
        <x:v>8360290</x:v>
      </x:c>
      <x:c r="L29" s="11" t="n">
        <x:v>972937</x:v>
      </x:c>
      <x:c r="M29" s="12" t="n">
        <x:v>0.10424443764198599</x:v>
      </x:c>
      <x:c r="N29" s="11" t="n">
        <x:v>3433125</x:v>
      </x:c>
      <x:c r="O29" s="11" t="n">
        <x:v>4460041</x:v>
      </x:c>
      <x:c r="P29" s="11" t="n">
        <x:v>1179428</x:v>
      </x:c>
      <x:c r="Q29" s="11" t="n">
        <x:v>260633</x:v>
      </x:c>
      <x:c r="R29" s="11" t="n">
        <x:v>6724032</x:v>
      </x:c>
      <x:c r="S29" s="11" t="n">
        <x:v>1568891</x:v>
      </x:c>
      <x:c r="T29" s="11" t="n">
        <x:v>11414080</x:v>
      </x:c>
      <x:c r="U29" s="11" t="n">
        <x:v>6815508</x:v>
      </x:c>
      <x:c r="V29" s="11" t="n">
        <x:v>7125349</x:v>
      </x:c>
      <x:c r="W29" s="11" t="n">
        <x:v>9194275</x:v>
      </x:c>
      <x:c r="X29" s="11" t="n">
        <x:v>714522</x:v>
      </x:c>
      <x:c r="Y29" s="11" t="n">
        <x:v>0</x:v>
      </x:c>
      <x:c r="Z29" s="11" t="n">
        <x:v>38186</x:v>
      </x:c>
      <x:c r="AA29" s="11" t="n">
        <x:v>661728</x:v>
      </x:c>
      <x:c r="AB29" s="11" t="n">
        <x:v>67367</x:v>
      </x:c>
      <x:c r="AC29" s="11" t="n">
        <x:v>105553</x:v>
      </x:c>
      <x:c r="AD29" s="11" t="n">
        <x:v>2216648</x:v>
      </x:c>
      <x:c r="AE29" s="11" t="n">
        <x:v>1753095</x:v>
      </x:c>
      <x:c r="AF29" s="11" t="n">
        <x:v>8866593</x:v>
      </x:c>
      <x:c r="AG29" s="11" t="n">
        <x:v>84780705</x:v>
      </x:c>
      <x:c r="AH29" s="11" t="n">
        <x:v>32250373</x:v>
      </x:c>
      <x:c r="AI29" s="11" t="n">
        <x:v>52530332</x:v>
      </x:c>
      <x:c r="AJ29" s="11" t="n">
        <x:v>5901479</x:v>
      </x:c>
      <x:c r="AK29" s="11" t="n">
        <x:v>5953129</x:v>
      </x:c>
      <x:c r="AL29" s="11" t="n">
        <x:v>0</x:v>
      </x:c>
      <x:c r="AM29" s="12" t="n">
        <x:v>1</x:v>
      </x:c>
      <x:c r="AN29" s="12" t="n">
        <x:v>0.9913238903440527</x:v>
      </x:c>
      <x:c r="AO29" s="11" t="n">
        <x:v>6914829</x:v>
      </x:c>
      <x:c r="AP29" s="11" t="n">
        <x:v>6696166</x:v>
      </x:c>
      <x:c r="AQ29" s="12" t="n">
        <x:v>0.9683776706553409</x:v>
      </x:c>
      <x:c r="AR29" s="11" t="n">
        <x:v>1644.042099700546</x:v>
      </x:c>
      <x:c r="AS29" s="11" t="n">
        <x:v>1472.6598555575129</x:v>
      </x:c>
      <x:c r="AT29" s="11" t="n">
        <x:v>1255.125770653514</x:v>
      </x:c>
      <x:c r="AU29" s="11" t="n">
        <x:v>1619.565791791439</x:v>
      </x:c>
      <x:c r="AV29" s="11" t="n">
        <x:v>116.56297340144442</x:v>
      </x:c>
      <x:c r="AW29" s="11" t="n">
        <x:v>1.6747218255777852</x:v>
      </x:c>
      <x:c r="AX29" s="12" t="n">
        <x:v>0.7908765848253759</x:v>
      </x:c>
      <x:c r="AY29" s="11"/>
      <x:c r="AZ29" s="11"/>
      <x:c r="BA29" s="11"/>
      <x:c r="BB29" s="11"/>
      <x:c r="BC29" s="11"/>
      <x:c r="BD29" s="11"/>
      <x:c r="BE29" s="11"/>
      <x:c r="BF29" s="11"/>
      <x:c r="BG29" s="11"/>
      <x:c r="BH29" s="11"/>
      <x:c r="BI29" s="11"/>
      <x:c r="BJ29" s="11"/>
      <x:c r="BK29" s="12"/>
      <x:c r="BL29" s="12"/>
      <x:c r="BM29" s="12"/>
      <x:c r="BN29" s="12"/>
      <x:c r="BO29" s="12"/>
      <x:c r="BP29" s="12"/>
      <x:c r="BQ29" s="12"/>
      <x:c r="BR29" s="12"/>
      <x:c r="BS29" s="12"/>
      <x:c r="BT29" s="12"/>
      <x:c r="BU29" s="11" t="n">
        <x:v>330958</x:v>
      </x:c>
      <x:c r="BV29" s="11" t="n">
        <x:v>848470</x:v>
      </x:c>
      <x:c r="BW29" s="11" t="n">
        <x:v>0</x:v>
      </x:c>
      <x:c r="BX29" s="11" t="n">
        <x:v>252033</x:v>
      </x:c>
      <x:c r="BY29" s="11" t="n">
        <x:v>0</x:v>
      </x:c>
      <x:c r="BZ29" s="11" t="n">
        <x:v>0</x:v>
      </x:c>
      <x:c r="CA29" s="11" t="n">
        <x:v>0</x:v>
      </x:c>
      <x:c r="CB29" s="11" t="n">
        <x:v>8600</x:v>
      </x:c>
      <x:c r="CC29" s="11" t="n">
        <x:v>713645</x:v>
      </x:c>
      <x:c r="CD29" s="11" t="n">
        <x:v>1394411</x:v>
      </x:c>
      <x:c r="CE29" s="11" t="n">
        <x:v>339332</x:v>
      </x:c>
      <x:c r="CF29" s="11" t="n">
        <x:v>8351</x:v>
      </x:c>
      <x:c r="CG29" s="11" t="n">
        <x:v>112843</x:v>
      </x:c>
      <x:c r="CH29" s="11" t="n">
        <x:v>919423</x:v>
      </x:c>
      <x:c r="CI29" s="11" t="n">
        <x:v>987211</x:v>
      </x:c>
      <x:c r="CJ29" s="11" t="n">
        <x:v>1343011</x:v>
      </x:c>
      <x:c r="CK29" s="11" t="n">
        <x:v>863746</x:v>
      </x:c>
      <x:c r="CL29" s="11" t="n">
        <x:v>0</x:v>
      </x:c>
      <x:c r="CM29" s="11"/>
      <x:c r="CN29" s="11" t="n">
        <x:v>109426</x:v>
      </x:c>
      <x:c r="CO29" s="11" t="n">
        <x:v>0</x:v>
      </x:c>
      <x:c r="CP29" s="8"/>
      <x:c r="CQ29" s="8" t="str">
        <x:v>Creston</x:v>
      </x:c>
    </x:row>
    <x:row r="30">
      <x:c r="A30" s="8" t="str">
        <x:v>Armstrong|2023</x:v>
      </x:c>
      <x:c r="B30" s="8" t="str">
        <x:v>armstrong-c</x:v>
      </x:c>
      <x:c r="C30" s="8" t="str">
        <x:v>Armstrong</x:v>
      </x:c>
      <x:c r="D30" s="8" t="str">
        <x:v>Armstrong</x:v>
      </x:c>
      <x:c r="E30" s="8" t="str">
        <x:v>C</x:v>
      </x:c>
      <x:c r="F30" s="8" t="str">
        <x:v>NOK</x:v>
      </x:c>
      <x:c r="G30" s="9" t="n">
        <x:v>2023</x:v>
      </x:c>
      <x:c r="H30" s="10" t="n">
        <x:v>5899</x:v>
      </x:c>
      <x:c r="I30" s="8" t="str">
        <x:v>5,000 to 19,999</x:v>
      </x:c>
      <x:c r="J30" s="11" t="n">
        <x:v>13660120</x:v>
      </x:c>
      <x:c r="K30" s="11" t="n">
        <x:v>8885044</x:v>
      </x:c>
      <x:c r="L30" s="11" t="n">
        <x:v>4775076</x:v>
      </x:c>
      <x:c r="M30" s="12" t="n">
        <x:v>0.3495632542027449</x:v>
      </x:c>
      <x:c r="N30" s="11" t="n">
        <x:v>3774511</x:v>
      </x:c>
      <x:c r="O30" s="11" t="n">
        <x:v>4631396</x:v>
      </x:c>
      <x:c r="P30" s="11" t="n">
        <x:v>4390524</x:v>
      </x:c>
      <x:c r="Q30" s="11" t="n">
        <x:v>863689</x:v>
      </x:c>
      <x:c r="R30" s="11" t="n">
        <x:v>7462391</x:v>
      </x:c>
      <x:c r="S30" s="11" t="n">
        <x:v>1300069</x:v>
      </x:c>
      <x:c r="T30" s="11" t="n">
        <x:v>28844410</x:v>
      </x:c>
      <x:c r="U30" s="11" t="n">
        <x:v>23430181</x:v>
      </x:c>
      <x:c r="V30" s="11" t="n">
        <x:v>8591138</x:v>
      </x:c>
      <x:c r="W30" s="11" t="n">
        <x:v>11419953</x:v>
      </x:c>
      <x:c r="X30" s="11" t="n">
        <x:v>661728</x:v>
      </x:c>
      <x:c r="Y30" s="11" t="n">
        <x:v>2000000</x:v>
      </x:c>
      <x:c r="Z30" s="11" t="n">
        <x:v>38185</x:v>
      </x:c>
      <x:c r="AA30" s="11" t="n">
        <x:v>4606975</x:v>
      </x:c>
      <x:c r="AB30" s="11" t="n">
        <x:v>122584</x:v>
      </x:c>
      <x:c r="AC30" s="11" t="n">
        <x:v>-1839231</x:v>
      </x:c>
      <x:c r="AD30" s="11" t="n">
        <x:v>2393798</x:v>
      </x:c>
      <x:c r="AE30" s="11" t="n">
        <x:v>4233029</x:v>
      </x:c>
      <x:c r="AF30" s="11" t="n">
        <x:v>9575191</x:v>
      </x:c>
      <x:c r="AG30" s="11" t="n">
        <x:v>88236543</x:v>
      </x:c>
      <x:c r="AH30" s="11" t="n">
        <x:v>33315960</x:v>
      </x:c>
      <x:c r="AI30" s="11" t="n">
        <x:v>54920583</x:v>
      </x:c>
      <x:c r="AJ30" s="11" t="n">
        <x:v>3715759</x:v>
      </x:c>
      <x:c r="AK30" s="11" t="n">
        <x:v>2231536</x:v>
      </x:c>
      <x:c r="AL30" s="11" t="n">
        <x:v>0</x:v>
      </x:c>
      <x:c r="AM30" s="12" t="n">
        <x:v>1</x:v>
      </x:c>
      <x:c r="AN30" s="12" t="n">
        <x:v>1.6651127295280022</x:v>
      </x:c>
      <x:c r="AO30" s="11" t="n">
        <x:v>7588172</x:v>
      </x:c>
      <x:c r="AP30" s="11" t="n">
        <x:v>7416902</x:v>
      </x:c>
      <x:c r="AQ30" s="12" t="n">
        <x:v>0.9774293466199765</x:v>
      </x:c>
      <x:c r="AR30" s="11" t="n">
        <x:v>2315.6670622139345</x:v>
      </x:c>
      <x:c r="AS30" s="11" t="n">
        <x:v>1506.1949482963214</x:v>
      </x:c>
      <x:c r="AT30" s="11" t="n">
        <x:v>1456.3719274453297</x:v>
      </x:c>
      <x:c r="AU30" s="11" t="n">
        <x:v>1935.9133751483303</x:v>
      </x:c>
      <x:c r="AV30" s="11" t="n">
        <x:v>780.9755890828955</x:v>
      </x:c>
      <x:c r="AW30" s="11" t="n">
        <x:v>1.2310792648166056</x:v>
      </x:c>
      <x:c r="AX30" s="12" t="n">
        <x:v>1.7683317472902893</x:v>
      </x:c>
      <x:c r="AY30" s="11"/>
      <x:c r="AZ30" s="11"/>
      <x:c r="BA30" s="11"/>
      <x:c r="BB30" s="11"/>
      <x:c r="BC30" s="11"/>
      <x:c r="BD30" s="11"/>
      <x:c r="BE30" s="11"/>
      <x:c r="BF30" s="11"/>
      <x:c r="BG30" s="11"/>
      <x:c r="BH30" s="11"/>
      <x:c r="BI30" s="11"/>
      <x:c r="BJ30" s="11"/>
      <x:c r="BK30" s="12"/>
      <x:c r="BL30" s="12"/>
      <x:c r="BM30" s="12"/>
      <x:c r="BN30" s="12"/>
      <x:c r="BO30" s="12"/>
      <x:c r="BP30" s="12"/>
      <x:c r="BQ30" s="12"/>
      <x:c r="BR30" s="12"/>
      <x:c r="BS30" s="12"/>
      <x:c r="BT30" s="12"/>
      <x:c r="BU30" s="11" t="n">
        <x:v>0</x:v>
      </x:c>
      <x:c r="BV30" s="11" t="n">
        <x:v>4094925</x:v>
      </x:c>
      <x:c r="BW30" s="11" t="n">
        <x:v>295599</x:v>
      </x:c>
      <x:c r="BX30" s="11" t="n">
        <x:v>617252</x:v>
      </x:c>
      <x:c r="BY30" s="11" t="n">
        <x:v>0</x:v>
      </x:c>
      <x:c r="BZ30" s="11" t="n">
        <x:v>198383</x:v>
      </x:c>
      <x:c r="CA30" s="11" t="n">
        <x:v>46454</x:v>
      </x:c>
      <x:c r="CB30" s="11" t="n">
        <x:v>1600</x:v>
      </x:c>
      <x:c r="CC30" s="11" t="n">
        <x:v>926043</x:v>
      </x:c>
      <x:c r="CD30" s="11" t="n">
        <x:v>1781522</x:v>
      </x:c>
      <x:c r="CE30" s="11" t="n">
        <x:v>342560</x:v>
      </x:c>
      <x:c r="CF30" s="11" t="n">
        <x:v>0</x:v>
      </x:c>
      <x:c r="CG30" s="11" t="n">
        <x:v>364202</x:v>
      </x:c>
      <x:c r="CH30" s="11" t="n">
        <x:v>965082</x:v>
      </x:c>
      <x:c r="CI30" s="11" t="n">
        <x:v>1068429</x:v>
      </x:c>
      <x:c r="CJ30" s="11" t="n">
        <x:v>848147</x:v>
      </x:c>
      <x:c r="CK30" s="11" t="n">
        <x:v>1189031</x:v>
      </x:c>
      <x:c r="CL30" s="11" t="n">
        <x:v>59618</x:v>
      </x:c>
      <x:c r="CM30" s="11" t="n">
        <x:v>40341</x:v>
      </x:c>
      <x:c r="CN30" s="11" t="n">
        <x:v>0</x:v>
      </x:c>
      <x:c r="CO30" s="11" t="n">
        <x:v>0</x:v>
      </x:c>
      <x:c r="CP30" s="8"/>
      <x:c r="CQ30" s="8" t="str">
        <x:v>Cumberland</x:v>
      </x:c>
    </x:row>
    <x:row r="31">
      <x:c r="A31" s="8" t="str">
        <x:v>Armstrong|2024</x:v>
      </x:c>
      <x:c r="B31" s="8" t="str">
        <x:v>armstrong-c</x:v>
      </x:c>
      <x:c r="C31" s="8" t="str">
        <x:v>Armstrong</x:v>
      </x:c>
      <x:c r="D31" s="8" t="str">
        <x:v>Armstrong</x:v>
      </x:c>
      <x:c r="E31" s="8" t="str">
        <x:v>C</x:v>
      </x:c>
      <x:c r="F31" s="8" t="str">
        <x:v>NOK</x:v>
      </x:c>
      <x:c r="G31" s="9" t="n">
        <x:v>2024</x:v>
      </x:c>
      <x:c r="H31" s="10" t="n">
        <x:v>5899</x:v>
      </x:c>
      <x:c r="I31" s="8" t="str">
        <x:v>5,000 to 19,999</x:v>
      </x:c>
      <x:c r="J31" s="11" t="n">
        <x:v>11115894</x:v>
      </x:c>
      <x:c r="K31" s="11" t="n">
        <x:v>9013631</x:v>
      </x:c>
      <x:c r="L31" s="11" t="n">
        <x:v>2102263</x:v>
      </x:c>
      <x:c r="M31" s="12" t="n">
        <x:v>0.18912226043177455</x:v>
      </x:c>
      <x:c r="N31" s="11" t="n">
        <x:v>4088217</x:v>
      </x:c>
      <x:c r="O31" s="11" t="n">
        <x:v>4394163</x:v>
      </x:c>
      <x:c r="P31" s="11" t="n">
        <x:v>1682252</x:v>
      </x:c>
      <x:c r="Q31" s="11" t="n">
        <x:v>951262</x:v>
      </x:c>
      <x:c r="R31" s="11" t="n">
        <x:v>7338285</x:v>
      </x:c>
      <x:c r="S31" s="11" t="n">
        <x:v>1439707</x:v>
      </x:c>
      <x:c r="T31" s="11" t="n">
        <x:v>31010513</x:v>
      </x:c>
      <x:c r="U31" s="11" t="n">
        <x:v>24205820</x:v>
      </x:c>
      <x:c r="V31" s="11" t="n">
        <x:v>9874103</x:v>
      </x:c>
      <x:c r="W31" s="11" t="n">
        <x:v>13769122</x:v>
      </x:c>
      <x:c r="X31" s="11" t="n">
        <x:v>4606975</x:v>
      </x:c>
      <x:c r="Y31" s="11" t="n">
        <x:v>0</x:v>
      </x:c>
      <x:c r="Z31" s="11" t="n">
        <x:v>113154</x:v>
      </x:c>
      <x:c r="AA31" s="11" t="n">
        <x:v>4475220</x:v>
      </x:c>
      <x:c r="AB31" s="11" t="n">
        <x:v>235639</x:v>
      </x:c>
      <x:c r="AC31" s="11" t="n">
        <x:v>348793</x:v>
      </x:c>
      <x:c r="AD31" s="11" t="n">
        <x:v>2472432</x:v>
      </x:c>
      <x:c r="AE31" s="11" t="n">
        <x:v>2123639</x:v>
      </x:c>
      <x:c r="AF31" s="11" t="n">
        <x:v>9889728</x:v>
      </x:c>
      <x:c r="AG31" s="11" t="n">
        <x:v>90054897</x:v>
      </x:c>
      <x:c r="AH31" s="11" t="n">
        <x:v>34260052</x:v>
      </x:c>
      <x:c r="AI31" s="11" t="n">
        <x:v>55794845</x:v>
      </x:c>
      <x:c r="AJ31" s="11" t="n">
        <x:v>2359607</x:v>
      </x:c>
      <x:c r="AK31" s="11" t="n">
        <x:v>211677072</x:v>
      </x:c>
      <x:c r="AL31" s="11" t="n">
        <x:v>3694000</x:v>
      </x:c>
      <x:c r="AM31" s="12" t="n">
        <x:v>0.982548889376172</x:v>
      </x:c>
      <x:c r="AN31" s="12" t="n">
        <x:v>0.011147201620400343</x:v>
      </x:c>
      <x:c r="AO31" s="11" t="n">
        <x:v>8008631</x:v>
      </x:c>
      <x:c r="AP31" s="11" t="n">
        <x:v>7855914</x:v>
      </x:c>
      <x:c r="AQ31" s="12" t="n">
        <x:v>0.9809309481233435</x:v>
      </x:c>
      <x:c r="AR31" s="11" t="n">
        <x:v>1884.369215121207</x:v>
      </x:c>
      <x:c r="AS31" s="11" t="n">
        <x:v>1527.9930496694355</x:v>
      </x:c>
      <x:c r="AT31" s="11" t="n">
        <x:v>1673.860484827937</x:v>
      </x:c>
      <x:c r="AU31" s="11" t="n">
        <x:v>2334.1451093405663</x:v>
      </x:c>
      <x:c r="AV31" s="11" t="n">
        <x:v>758.6404475334803</x:v>
      </x:c>
      <x:c r="AW31" s="11" t="n">
        <x:v>1.2811180534268205</x:v>
      </x:c>
      <x:c r="AX31" s="12" t="n">
        <x:v>0.8589271615963553</x:v>
      </x:c>
      <x:c r="AY31" s="11" t="n">
        <x:v>3601.3561989291247</x:v>
      </x:c>
      <x:c r="AZ31" s="11" t="n">
        <x:v>3546.5079302077975</x:v>
      </x:c>
      <x:c r="BA31" s="11" t="n">
        <x:v>2957.8976990295423</x:v>
      </x:c>
      <x:c r="BB31" s="11" t="n">
        <x:v>2783.665107049771</x:v>
      </x:c>
      <x:c r="BC31" s="11" t="n">
        <x:v>1917.0647247750476</x:v>
      </x:c>
      <x:c r="BD31" s="11" t="n">
        <x:v>2437.8724475115623</x:v>
      </x:c>
      <x:c r="BE31" s="11" t="n">
        <x:v>987.5598464714869</x:v>
      </x:c>
      <x:c r="BF31" s="11" t="n">
        <x:v>1604.3462673977224</x:v>
      </x:c>
      <x:c r="BG31" s="11" t="n">
        <x:v>936.3446522221191</x:v>
      </x:c>
      <x:c r="BH31" s="11" t="n">
        <x:v>518.5374381567245</x:v>
      </x:c>
      <x:c r="BI31" s="11" t="n">
        <x:v>1.3967465323081123</x:v>
      </x:c>
      <x:c r="BJ31" s="11" t="n">
        <x:v>1.7099330852451193</x:v>
      </x:c>
      <x:c r="BK31" s="12" t="n">
        <x:v>0.018327243000235003</x:v>
      </x:c>
      <x:c r="BL31" s="12" t="n">
        <x:v>0.02529861000232605</x:v>
      </x:c>
      <x:c r="BM31" s="12" t="n">
        <x:v>0.982034678745671</x:v>
      </x:c>
      <x:c r="BN31" s="12" t="n">
        <x:v>0.9815511712696461</x:v>
      </x:c>
      <x:c r="BO31" s="12" t="n">
        <x:v>0.7988058564062199</x:v>
      </x:c>
      <x:c r="BP31" s="12" t="n">
        <x:v>0.8619101997275483</x:v>
      </x:c>
      <x:c r="BQ31" s="12" t="n">
        <x:v>0.970292410805516</x:v>
      </x:c>
      <x:c r="BR31" s="12" t="n">
        <x:v>0.9623635142836453</x:v>
      </x:c>
      <x:c r="BS31" s="12" t="n">
        <x:v>0.19624174475580758</x:v>
      </x:c>
      <x:c r="BT31" s="12" t="n">
        <x:v>0.19976549769108282</x:v>
      </x:c>
      <x:c r="BU31" s="11" t="n">
        <x:v>305788</x:v>
      </x:c>
      <x:c r="BV31" s="11" t="n">
        <x:v>1341464</x:v>
      </x:c>
      <x:c r="BW31" s="11" t="n">
        <x:v>35000</x:v>
      </x:c>
      <x:c r="BX31" s="11" t="n">
        <x:v>789849</x:v>
      </x:c>
      <x:c r="BY31" s="11" t="n">
        <x:v>0</x:v>
      </x:c>
      <x:c r="BZ31" s="11" t="n">
        <x:v>113288</x:v>
      </x:c>
      <x:c r="CA31" s="11" t="n">
        <x:v>29025</x:v>
      </x:c>
      <x:c r="CB31" s="11" t="n">
        <x:v>19100</x:v>
      </x:c>
      <x:c r="CC31" s="11" t="n">
        <x:v>935874</x:v>
      </x:c>
      <x:c r="CD31" s="11" t="n">
        <x:v>1685017</x:v>
      </x:c>
      <x:c r="CE31" s="11" t="n">
        <x:v>359250</x:v>
      </x:c>
      <x:c r="CF31" s="11" t="n">
        <x:v>0</x:v>
      </x:c>
      <x:c r="CG31" s="11" t="n">
        <x:v>568304</x:v>
      </x:c>
      <x:c r="CH31" s="11" t="n">
        <x:v>805574</x:v>
      </x:c>
      <x:c r="CI31" s="11" t="n">
        <x:v>1077010</x:v>
      </x:c>
      <x:c r="CJ31" s="11" t="n">
        <x:v>933964</x:v>
      </x:c>
      <x:c r="CK31" s="11" t="n">
        <x:v>1087166</x:v>
      </x:c>
      <x:c r="CL31" s="11" t="n">
        <x:v>62409</x:v>
      </x:c>
      <x:c r="CM31" s="11" t="n">
        <x:v>37549</x:v>
      </x:c>
      <x:c r="CN31" s="11" t="n">
        <x:v>21807</x:v>
      </x:c>
      <x:c r="CO31" s="11" t="n">
        <x:v>0</x:v>
      </x:c>
      <x:c r="CP31" s="8"/>
      <x:c r="CQ31" s="8" t="str">
        <x:v>Daajing Giids</x:v>
      </x:c>
    </x:row>
    <x:row r="32">
      <x:c r="A32" s="8" t="str">
        <x:v>Ashcroft|2019</x:v>
      </x:c>
      <x:c r="B32" s="8" t="str">
        <x:v>ashcroft-v</x:v>
      </x:c>
      <x:c r="C32" s="8" t="str">
        <x:v>Ashcroft</x:v>
      </x:c>
      <x:c r="D32" s="8" t="str">
        <x:v>Ashcroft</x:v>
      </x:c>
      <x:c r="E32" s="8" t="str">
        <x:v>V</x:v>
      </x:c>
      <x:c r="F32" s="8" t="str">
        <x:v>TNR</x:v>
      </x:c>
      <x:c r="G32" s="9" t="n">
        <x:v>2019</x:v>
      </x:c>
      <x:c r="H32" s="10" t="n">
        <x:v>1575</x:v>
      </x:c>
      <x:c r="I32" s="8" t="str">
        <x:v>Under 5,000</x:v>
      </x:c>
      <x:c r="J32" s="11" t="n">
        <x:v>8049701</x:v>
      </x:c>
      <x:c r="K32" s="11" t="n">
        <x:v>3102891</x:v>
      </x:c>
      <x:c r="L32" s="11" t="n">
        <x:v>4946810</x:v>
      </x:c>
      <x:c r="M32" s="12" t="n">
        <x:v>0.6145333845319224</x:v>
      </x:c>
      <x:c r="N32" s="11" t="n">
        <x:v>1500680</x:v>
      </x:c>
      <x:c r="O32" s="11" t="n">
        <x:v>1096114</x:v>
      </x:c>
      <x:c r="P32" s="11" t="n">
        <x:v>5363783</x:v>
      </x:c>
      <x:c r="Q32" s="11" t="n">
        <x:v>89124</x:v>
      </x:c>
      <x:c r="R32" s="11" t="n">
        <x:v>2806063</x:v>
      </x:c>
      <x:c r="S32" s="11" t="n">
        <x:v>287435</x:v>
      </x:c>
      <x:c r="T32" s="11" t="n">
        <x:v>3712613</x:v>
      </x:c>
      <x:c r="U32" s="11" t="n">
        <x:v>1773084</x:v>
      </x:c>
      <x:c r="V32" s="11" t="n">
        <x:v>3653018</x:v>
      </x:c>
      <x:c r="W32" s="11" t="n">
        <x:v>2056794</x:v>
      </x:c>
      <x:c r="X32" s="11" t="n">
        <x:v>382190</x:v>
      </x:c>
      <x:c r="Y32" s="11" t="n">
        <x:v>1000000</x:v>
      </x:c>
      <x:c r="Z32" s="11" t="n">
        <x:v>14401</x:v>
      </x:c>
      <x:c r="AA32" s="11" t="n">
        <x:v>1367789</x:v>
      </x:c>
      <x:c r="AB32" s="11" t="n">
        <x:v>9393</x:v>
      </x:c>
      <x:c r="AC32" s="11" t="n">
        <x:v>23794</x:v>
      </x:c>
      <x:c r="AD32" s="11" t="n">
        <x:v>829614</x:v>
      </x:c>
      <x:c r="AE32" s="11" t="n">
        <x:v>499055</x:v>
      </x:c>
      <x:c r="AF32" s="11" t="n">
        <x:v>3318457</x:v>
      </x:c>
      <x:c r="AG32" s="11" t="n">
        <x:v>29027326</x:v>
      </x:c>
      <x:c r="AH32" s="11" t="n">
        <x:v>14416364</x:v>
      </x:c>
      <x:c r="AI32" s="11" t="n">
        <x:v>14610962</x:v>
      </x:c>
      <x:c r="AJ32" s="11" t="n">
        <x:v>5620488</x:v>
      </x:c>
      <x:c r="AK32" s="11" t="n">
        <x:v>60788848</x:v>
      </x:c>
      <x:c r="AL32" s="11" t="n">
        <x:v>913775</x:v>
      </x:c>
      <x:c r="AM32" s="12" t="n">
        <x:v>0.9849680487447303</x:v>
      </x:c>
      <x:c r="AN32" s="12" t="n">
        <x:v>0.09245919580512531</x:v>
      </x:c>
      <x:c r="AO32" s="11" t="n">
        <x:v>2611536</x:v>
      </x:c>
      <x:c r="AP32" s="11" t="n">
        <x:v>2387557</x:v>
      </x:c>
      <x:c r="AQ32" s="12" t="n">
        <x:v>0.914234764521722</x:v>
      </x:c>
      <x:c r="AR32" s="11" t="n">
        <x:v>5110.92126984127</x:v>
      </x:c>
      <x:c r="AS32" s="11" t="n">
        <x:v>1970.0895238095238</x:v>
      </x:c>
      <x:c r="AT32" s="11" t="n">
        <x:v>2319.376507936508</x:v>
      </x:c>
      <x:c r="AU32" s="11" t="n">
        <x:v>1305.9009523809523</x:v>
      </x:c>
      <x:c r="AV32" s="11" t="n">
        <x:v>868.4374603174604</x:v>
      </x:c>
      <x:c r="AW32" s="11" t="n">
        <x:v>2.0938731611136303</x:v>
      </x:c>
      <x:c r="AX32" s="12" t="n">
        <x:v>0.6015508417167502</x:v>
      </x:c>
      <x:c r="AY32" s="11"/>
      <x:c r="AZ32" s="11"/>
      <x:c r="BA32" s="11"/>
      <x:c r="BB32" s="11"/>
      <x:c r="BC32" s="11"/>
      <x:c r="BD32" s="11"/>
      <x:c r="BE32" s="11"/>
      <x:c r="BF32" s="11"/>
      <x:c r="BG32" s="11"/>
      <x:c r="BH32" s="11"/>
      <x:c r="BI32" s="11"/>
      <x:c r="BJ32" s="11"/>
      <x:c r="BK32" s="12"/>
      <x:c r="BL32" s="12"/>
      <x:c r="BM32" s="12"/>
      <x:c r="BN32" s="12"/>
      <x:c r="BO32" s="12"/>
      <x:c r="BP32" s="12"/>
      <x:c r="BQ32" s="12"/>
      <x:c r="BR32" s="12"/>
      <x:c r="BS32" s="12"/>
      <x:c r="BT32" s="12"/>
      <x:c r="BU32" s="11" t="n">
        <x:v>4595333</x:v>
      </x:c>
      <x:c r="BV32" s="11" t="n">
        <x:v>432339</x:v>
      </x:c>
      <x:c r="BW32" s="11" t="n">
        <x:v>336111</x:v>
      </x:c>
      <x:c r="BX32" s="11" t="n">
        <x:v>58934</x:v>
      </x:c>
      <x:c r="BY32" s="11" t="n">
        <x:v>0</x:v>
      </x:c>
      <x:c r="BZ32" s="11" t="n">
        <x:v>30190</x:v>
      </x:c>
      <x:c r="CA32" s="11" t="n">
        <x:v>0</x:v>
      </x:c>
      <x:c r="CB32" s="11" t="n">
        <x:v>0</x:v>
      </x:c>
      <x:c r="CC32" s="11" t="n">
        <x:v>209913</x:v>
      </x:c>
      <x:c r="CD32" s="11" t="n">
        <x:v>154943</x:v>
      </x:c>
      <x:c r="CE32" s="11" t="n">
        <x:v>153096</x:v>
      </x:c>
      <x:c r="CF32" s="11" t="n">
        <x:v>17914</x:v>
      </x:c>
      <x:c r="CG32" s="11" t="n">
        <x:v>199601</x:v>
      </x:c>
      <x:c r="CH32" s="11" t="n">
        <x:v>533534</x:v>
      </x:c>
      <x:c r="CI32" s="11" t="n">
        <x:v>734365</x:v>
      </x:c>
      <x:c r="CJ32" s="11" t="n">
        <x:v>406058</x:v>
      </x:c>
      <x:c r="CK32" s="11" t="n">
        <x:v>406032</x:v>
      </x:c>
      <x:c r="CL32" s="11" t="n">
        <x:v>0</x:v>
      </x:c>
      <x:c r="CM32" s="11"/>
      <x:c r="CN32" s="11" t="n">
        <x:v>0</x:v>
      </x:c>
      <x:c r="CO32" s="11" t="n">
        <x:v>0</x:v>
      </x:c>
      <x:c r="CP32" s="8"/>
      <x:c r="CQ32" s="8" t="str">
        <x:v>Dawson Creek</x:v>
      </x:c>
    </x:row>
    <x:row r="33">
      <x:c r="A33" s="8" t="str">
        <x:v>Ashcroft|2020</x:v>
      </x:c>
      <x:c r="B33" s="8" t="str">
        <x:v>ashcroft-v</x:v>
      </x:c>
      <x:c r="C33" s="8" t="str">
        <x:v>Ashcroft</x:v>
      </x:c>
      <x:c r="D33" s="8" t="str">
        <x:v>Ashcroft</x:v>
      </x:c>
      <x:c r="E33" s="8" t="str">
        <x:v>V</x:v>
      </x:c>
      <x:c r="F33" s="8" t="str">
        <x:v>TNR</x:v>
      </x:c>
      <x:c r="G33" s="9" t="n">
        <x:v>2020</x:v>
      </x:c>
      <x:c r="H33" s="10" t="n">
        <x:v>1559</x:v>
      </x:c>
      <x:c r="I33" s="8" t="str">
        <x:v>Under 5,000</x:v>
      </x:c>
      <x:c r="J33" s="11" t="n">
        <x:v>4856334</x:v>
      </x:c>
      <x:c r="K33" s="11" t="n">
        <x:v>3369144</x:v>
      </x:c>
      <x:c r="L33" s="11" t="n">
        <x:v>1487190</x:v>
      </x:c>
      <x:c r="M33" s="12" t="n">
        <x:v>0.30623717396702943</x:v>
      </x:c>
      <x:c r="N33" s="11" t="n">
        <x:v>1497379</x:v>
      </x:c>
      <x:c r="O33" s="11" t="n">
        <x:v>1220298</x:v>
      </x:c>
      <x:c r="P33" s="11" t="n">
        <x:v>2092640</x:v>
      </x:c>
      <x:c r="Q33" s="11" t="n">
        <x:v>46017</x:v>
      </x:c>
      <x:c r="R33" s="11" t="n">
        <x:v>2847695</x:v>
      </x:c>
      <x:c r="S33" s="11" t="n">
        <x:v>514509</x:v>
      </x:c>
      <x:c r="T33" s="11" t="n">
        <x:v>4702696</x:v>
      </x:c>
      <x:c r="U33" s="11" t="n">
        <x:v>734326</x:v>
      </x:c>
      <x:c r="V33" s="11" t="n">
        <x:v>4604600</x:v>
      </x:c>
      <x:c r="W33" s="11" t="n">
        <x:v>2253707</x:v>
      </x:c>
      <x:c r="X33" s="11" t="n">
        <x:v>1367789</x:v>
      </x:c>
      <x:c r="Y33" s="11" t="n">
        <x:v>0</x:v>
      </x:c>
      <x:c r="Z33" s="11" t="n">
        <x:v>1367789</x:v>
      </x:c>
      <x:c r="AA33" s="11" t="n">
        <x:v>0</x:v>
      </x:c>
      <x:c r="AB33" s="11" t="n">
        <x:v>6940</x:v>
      </x:c>
      <x:c r="AC33" s="11" t="n">
        <x:v>1374729</x:v>
      </x:c>
      <x:c r="AD33" s="11" t="n">
        <x:v>860154</x:v>
      </x:c>
      <x:c r="AE33" s="11" t="n">
        <x:v>-841158</x:v>
      </x:c>
      <x:c r="AF33" s="11" t="n">
        <x:v>3440616</x:v>
      </x:c>
      <x:c r="AG33" s="11" t="n">
        <x:v>30147407</x:v>
      </x:c>
      <x:c r="AH33" s="11" t="n">
        <x:v>14912644</x:v>
      </x:c>
      <x:c r="AI33" s="11" t="n">
        <x:v>15234763</x:v>
      </x:c>
      <x:c r="AJ33" s="11" t="n">
        <x:v>1138310</x:v>
      </x:c>
      <x:c r="AK33" s="11" t="n">
        <x:v>63836171</x:v>
      </x:c>
      <x:c r="AL33" s="11" t="n">
        <x:v>1317759</x:v>
      </x:c>
      <x:c r="AM33" s="12" t="n">
        <x:v>0.9793571735372412</x:v>
      </x:c>
      <x:c r="AN33" s="12" t="n">
        <x:v>0.0178317399394146</x:v>
      </x:c>
      <x:c r="AO33" s="11" t="n">
        <x:v>2712204</x:v>
      </x:c>
      <x:c r="AP33" s="11" t="n">
        <x:v>2549574</x:v>
      </x:c>
      <x:c r="AQ33" s="12" t="n">
        <x:v>0.9400376962794834</x:v>
      </x:c>
      <x:c r="AR33" s="11" t="n">
        <x:v>3115.0314304041053</x:v>
      </x:c>
      <x:c r="AS33" s="11" t="n">
        <x:v>2161.093008338679</x:v>
      </x:c>
      <x:c r="AT33" s="11" t="n">
        <x:v>2953.5599743425273</x:v>
      </x:c>
      <x:c r="AU33" s="11" t="n">
        <x:v>1445.6106478511867</x:v>
      </x:c>
      <x:c r="AV33" s="11" t="n">
        <x:v>0</x:v>
      </x:c>
      <x:c r="AW33" s="11" t="n">
        <x:v>6.404098452186086</x:v>
      </x:c>
      <x:c r="AX33" s="12" t="n">
        <x:v>-0.9779155825584721</x:v>
      </x:c>
      <x:c r="AY33" s="11"/>
      <x:c r="AZ33" s="11"/>
      <x:c r="BA33" s="11"/>
      <x:c r="BB33" s="11"/>
      <x:c r="BC33" s="11"/>
      <x:c r="BD33" s="11"/>
      <x:c r="BE33" s="11"/>
      <x:c r="BF33" s="11"/>
      <x:c r="BG33" s="11"/>
      <x:c r="BH33" s="11"/>
      <x:c r="BI33" s="11"/>
      <x:c r="BJ33" s="11"/>
      <x:c r="BK33" s="12"/>
      <x:c r="BL33" s="12"/>
      <x:c r="BM33" s="12"/>
      <x:c r="BN33" s="12"/>
      <x:c r="BO33" s="12"/>
      <x:c r="BP33" s="12"/>
      <x:c r="BQ33" s="12"/>
      <x:c r="BR33" s="12"/>
      <x:c r="BS33" s="12"/>
      <x:c r="BT33" s="12"/>
      <x:c r="BU33" s="11" t="n">
        <x:v>120735</x:v>
      </x:c>
      <x:c r="BV33" s="11" t="n">
        <x:v>1535704</x:v>
      </x:c>
      <x:c r="BW33" s="11" t="n">
        <x:v>436201</x:v>
      </x:c>
      <x:c r="BX33" s="11" t="n">
        <x:v>46017</x:v>
      </x:c>
      <x:c r="BY33" s="11" t="n">
        <x:v>0</x:v>
      </x:c>
      <x:c r="BZ33" s="11" t="n">
        <x:v>0</x:v>
      </x:c>
      <x:c r="CA33" s="11" t="n">
        <x:v>0</x:v>
      </x:c>
      <x:c r="CB33" s="11" t="n">
        <x:v>0</x:v>
      </x:c>
      <x:c r="CC33" s="11" t="n">
        <x:v>233492</x:v>
      </x:c>
      <x:c r="CD33" s="11" t="n">
        <x:v>119714</x:v>
      </x:c>
      <x:c r="CE33" s="11" t="n">
        <x:v>108554</x:v>
      </x:c>
      <x:c r="CF33" s="11" t="n">
        <x:v>0</x:v>
      </x:c>
      <x:c r="CG33" s="11" t="n">
        <x:v>144810</x:v>
      </x:c>
      <x:c r="CH33" s="11" t="n">
        <x:v>563896</x:v>
      </x:c>
      <x:c r="CI33" s="11" t="n">
        <x:v>760340</x:v>
      </x:c>
      <x:c r="CJ33" s="11" t="n">
        <x:v>563722</x:v>
      </x:c>
      <x:c r="CK33" s="11" t="n">
        <x:v>342585</x:v>
      </x:c>
      <x:c r="CL33" s="11" t="n">
        <x:v>17522</x:v>
      </x:c>
      <x:c r="CM33" s="11"/>
      <x:c r="CN33" s="11" t="n">
        <x:v>0</x:v>
      </x:c>
      <x:c r="CO33" s="11" t="n">
        <x:v>0</x:v>
      </x:c>
      <x:c r="CP33" s="8"/>
      <x:c r="CQ33" s="8" t="str">
        <x:v>Delta</x:v>
      </x:c>
    </x:row>
    <x:row r="34">
      <x:c r="A34" s="8" t="str">
        <x:v>Ashcroft|2021</x:v>
      </x:c>
      <x:c r="B34" s="8" t="str">
        <x:v>ashcroft-v</x:v>
      </x:c>
      <x:c r="C34" s="8" t="str">
        <x:v>Ashcroft</x:v>
      </x:c>
      <x:c r="D34" s="8" t="str">
        <x:v>Ashcroft</x:v>
      </x:c>
      <x:c r="E34" s="8" t="str">
        <x:v>V</x:v>
      </x:c>
      <x:c r="F34" s="8" t="str">
        <x:v>TNR</x:v>
      </x:c>
      <x:c r="G34" s="9" t="n">
        <x:v>2021</x:v>
      </x:c>
      <x:c r="H34" s="10" t="n">
        <x:v>1578</x:v>
      </x:c>
      <x:c r="I34" s="8" t="str">
        <x:v>Under 5,000</x:v>
      </x:c>
      <x:c r="J34" s="11" t="n">
        <x:v>5168508</x:v>
      </x:c>
      <x:c r="K34" s="11" t="n">
        <x:v>3725708</x:v>
      </x:c>
      <x:c r="L34" s="11" t="n">
        <x:v>1442800</x:v>
      </x:c>
      <x:c r="M34" s="12" t="n">
        <x:v>0.2791521266872374</x:v>
      </x:c>
      <x:c r="N34" s="11" t="n">
        <x:v>1541797</x:v>
      </x:c>
      <x:c r="O34" s="11" t="n">
        <x:v>1543690</x:v>
      </x:c>
      <x:c r="P34" s="11" t="n">
        <x:v>2058671</x:v>
      </x:c>
      <x:c r="Q34" s="11" t="n">
        <x:v>24350</x:v>
      </x:c>
      <x:c r="R34" s="11" t="n">
        <x:v>3148599</x:v>
      </x:c>
      <x:c r="S34" s="11" t="n">
        <x:v>577109</x:v>
      </x:c>
      <x:c r="T34" s="11" t="n">
        <x:v>4101426</x:v>
      </x:c>
      <x:c r="U34" s="11" t="n">
        <x:v>782121</x:v>
      </x:c>
      <x:c r="V34" s="11" t="n">
        <x:v>4170521</x:v>
      </x:c>
      <x:c r="W34" s="11" t="n">
        <x:v>2100786</x:v>
      </x:c>
      <x:c r="X34" s="11" t="n">
        <x:v>0</x:v>
      </x:c>
      <x:c r="Y34" s="11" t="n">
        <x:v>0</x:v>
      </x:c>
      <x:c r="Z34" s="11" t="n">
        <x:v>0</x:v>
      </x:c>
      <x:c r="AA34" s="11" t="n">
        <x:v>0</x:v>
      </x:c>
      <x:c r="AB34" s="11" t="n">
        <x:v>0</x:v>
      </x:c>
      <x:c r="AC34" s="11" t="n">
        <x:v>0</x:v>
      </x:c>
      <x:c r="AD34" s="11" t="n">
        <x:v>959980</x:v>
      </x:c>
      <x:c r="AE34" s="11" t="n">
        <x:v>959980</x:v>
      </x:c>
      <x:c r="AF34" s="11" t="n">
        <x:v>3839920</x:v>
      </x:c>
      <x:c r="AG34" s="11" t="n">
        <x:v>32543980</x:v>
      </x:c>
      <x:c r="AH34" s="11" t="n">
        <x:v>15441755</x:v>
      </x:c>
      <x:c r="AI34" s="11" t="n">
        <x:v>17102225</x:v>
      </x:c>
      <x:c r="AJ34" s="11" t="n">
        <x:v>2444573</x:v>
      </x:c>
      <x:c r="AK34" s="11" t="n">
        <x:v>1614600</x:v>
      </x:c>
      <x:c r="AL34" s="11" t="n">
        <x:v>0</x:v>
      </x:c>
      <x:c r="AM34" s="12" t="n">
        <x:v>1</x:v>
      </x:c>
      <x:c r="AN34" s="12" t="n">
        <x:v>1.5140424873033569</x:v>
      </x:c>
      <x:c r="AO34" s="11" t="n">
        <x:v>2759739</x:v>
      </x:c>
      <x:c r="AP34" s="11" t="n">
        <x:v>2566332</x:v>
      </x:c>
      <x:c r="AQ34" s="12" t="n">
        <x:v>0.9299183727156807</x:v>
      </x:c>
      <x:c r="AR34" s="11" t="n">
        <x:v>3275.3536121673005</x:v>
      </x:c>
      <x:c r="AS34" s="11" t="n">
        <x:v>2361.0316856780737</x:v>
      </x:c>
      <x:c r="AT34" s="11" t="n">
        <x:v>2642.9157160963246</x:v>
      </x:c>
      <x:c r="AU34" s="11" t="n">
        <x:v>1331.2965779467681</x:v>
      </x:c>
      <x:c r="AV34" s="11" t="n">
        <x:v>0</x:v>
      </x:c>
      <x:c r="AW34" s="11" t="n">
        <x:v>5.243978872834255</x:v>
      </x:c>
      <x:c r="AX34" s="12" t="n">
        <x:v>1</x:v>
      </x:c>
      <x:c r="AY34" s="11"/>
      <x:c r="AZ34" s="11"/>
      <x:c r="BA34" s="11"/>
      <x:c r="BB34" s="11"/>
      <x:c r="BC34" s="11"/>
      <x:c r="BD34" s="11"/>
      <x:c r="BE34" s="11"/>
      <x:c r="BF34" s="11"/>
      <x:c r="BG34" s="11"/>
      <x:c r="BH34" s="11"/>
      <x:c r="BI34" s="11"/>
      <x:c r="BJ34" s="11"/>
      <x:c r="BK34" s="12"/>
      <x:c r="BL34" s="12"/>
      <x:c r="BM34" s="12"/>
      <x:c r="BN34" s="12"/>
      <x:c r="BO34" s="12"/>
      <x:c r="BP34" s="12"/>
      <x:c r="BQ34" s="12"/>
      <x:c r="BR34" s="12"/>
      <x:c r="BS34" s="12"/>
      <x:c r="BT34" s="12"/>
      <x:c r="BU34" s="11" t="n">
        <x:v>299754</x:v>
      </x:c>
      <x:c r="BV34" s="11" t="n">
        <x:v>1443564</x:v>
      </x:c>
      <x:c r="BW34" s="11" t="n">
        <x:v>315353</x:v>
      </x:c>
      <x:c r="BX34" s="11" t="n">
        <x:v>24350</x:v>
      </x:c>
      <x:c r="BY34" s="11" t="n">
        <x:v>0</x:v>
      </x:c>
      <x:c r="BZ34" s="11" t="n">
        <x:v>0</x:v>
      </x:c>
      <x:c r="CA34" s="11" t="n">
        <x:v>0</x:v>
      </x:c>
      <x:c r="CB34" s="11" t="n">
        <x:v>0</x:v>
      </x:c>
      <x:c r="CC34" s="11" t="n">
        <x:v>397811</x:v>
      </x:c>
      <x:c r="CD34" s="11" t="n">
        <x:v>218257</x:v>
      </x:c>
      <x:c r="CE34" s="11" t="n">
        <x:v>144729</x:v>
      </x:c>
      <x:c r="CF34" s="11" t="n">
        <x:v>0</x:v>
      </x:c>
      <x:c r="CG34" s="11" t="n">
        <x:v>114963</x:v>
      </x:c>
      <x:c r="CH34" s="11" t="n">
        <x:v>643895</x:v>
      </x:c>
      <x:c r="CI34" s="11" t="n">
        <x:v>759152</x:v>
      </x:c>
      <x:c r="CJ34" s="11" t="n">
        <x:v>496743</x:v>
      </x:c>
      <x:c r="CK34" s="11" t="n">
        <x:v>354369</x:v>
      </x:c>
      <x:c r="CL34" s="11" t="n">
        <x:v>18680</x:v>
      </x:c>
      <x:c r="CM34" s="11"/>
      <x:c r="CN34" s="11" t="n">
        <x:v>0</x:v>
      </x:c>
      <x:c r="CO34" s="11" t="n">
        <x:v>0</x:v>
      </x:c>
      <x:c r="CP34" s="8"/>
      <x:c r="CQ34" s="8" t="str">
        <x:v>Duncan</x:v>
      </x:c>
    </x:row>
    <x:row r="35">
      <x:c r="A35" s="8" t="str">
        <x:v>Ashcroft|2022</x:v>
      </x:c>
      <x:c r="B35" s="8" t="str">
        <x:v>ashcroft-v</x:v>
      </x:c>
      <x:c r="C35" s="8" t="str">
        <x:v>Ashcroft</x:v>
      </x:c>
      <x:c r="D35" s="8" t="str">
        <x:v>Ashcroft</x:v>
      </x:c>
      <x:c r="E35" s="8" t="str">
        <x:v>V</x:v>
      </x:c>
      <x:c r="F35" s="8" t="str">
        <x:v>TNR</x:v>
      </x:c>
      <x:c r="G35" s="9" t="n">
        <x:v>2022</x:v>
      </x:c>
      <x:c r="H35" s="10" t="n">
        <x:v>1703</x:v>
      </x:c>
      <x:c r="I35" s="8" t="str">
        <x:v>Under 5,000</x:v>
      </x:c>
      <x:c r="J35" s="11" t="n">
        <x:v>5149783</x:v>
      </x:c>
      <x:c r="K35" s="11" t="n">
        <x:v>3900278</x:v>
      </x:c>
      <x:c r="L35" s="11" t="n">
        <x:v>1249505</x:v>
      </x:c>
      <x:c r="M35" s="12" t="n">
        <x:v>0.24263255364352246</x:v>
      </x:c>
      <x:c r="N35" s="11" t="n">
        <x:v>1733372</x:v>
      </x:c>
      <x:c r="O35" s="11" t="n">
        <x:v>1434374</x:v>
      </x:c>
      <x:c r="P35" s="11" t="n">
        <x:v>1890445</x:v>
      </x:c>
      <x:c r="Q35" s="11" t="n">
        <x:v>91592</x:v>
      </x:c>
      <x:c r="R35" s="11" t="n">
        <x:v>3286683</x:v>
      </x:c>
      <x:c r="S35" s="11" t="n">
        <x:v>613595</x:v>
      </x:c>
      <x:c r="T35" s="11" t="n">
        <x:v>4774880</x:v>
      </x:c>
      <x:c r="U35" s="11" t="n">
        <x:v>622241</x:v>
      </x:c>
      <x:c r="V35" s="11" t="n">
        <x:v>4857592</x:v>
      </x:c>
      <x:c r="W35" s="11" t="n">
        <x:v>2331387</x:v>
      </x:c>
      <x:c r="X35" s="11" t="n">
        <x:v>0</x:v>
      </x:c>
      <x:c r="Y35" s="11" t="n">
        <x:v>0</x:v>
      </x:c>
      <x:c r="Z35" s="11" t="n">
        <x:v>0</x:v>
      </x:c>
      <x:c r="AA35" s="11" t="n">
        <x:v>0</x:v>
      </x:c>
      <x:c r="AB35" s="11" t="n">
        <x:v>0</x:v>
      </x:c>
      <x:c r="AC35" s="11" t="n">
        <x:v>0</x:v>
      </x:c>
      <x:c r="AD35" s="11" t="n">
        <x:v>950085</x:v>
      </x:c>
      <x:c r="AE35" s="11" t="n">
        <x:v>950085</x:v>
      </x:c>
      <x:c r="AF35" s="11" t="n">
        <x:v>3800338</x:v>
      </x:c>
      <x:c r="AG35" s="11" t="n">
        <x:v>33705175</x:v>
      </x:c>
      <x:c r="AH35" s="11" t="n">
        <x:v>16055350</x:v>
      </x:c>
      <x:c r="AI35" s="11" t="n">
        <x:v>17649825</x:v>
      </x:c>
      <x:c r="AJ35" s="11" t="n">
        <x:v>1161195</x:v>
      </x:c>
      <x:c r="AK35" s="11" t="n">
        <x:v>66458816</x:v>
      </x:c>
      <x:c r="AL35" s="11" t="n">
        <x:v>1252587</x:v>
      </x:c>
      <x:c r="AM35" s="12" t="n">
        <x:v>0.9811524328089143</x:v>
      </x:c>
      <x:c r="AN35" s="12" t="n">
        <x:v>0.01747239974904157</x:v>
      </x:c>
      <x:c r="AO35" s="11" t="n">
        <x:v>3114393</x:v>
      </x:c>
      <x:c r="AP35" s="11" t="n">
        <x:v>2856560</x:v>
      </x:c>
      <x:c r="AQ35" s="12" t="n">
        <x:v>0.9172124391494587</x:v>
      </x:c>
      <x:c r="AR35" s="11" t="n">
        <x:v>3023.947739283617</x:v>
      </x:c>
      <x:c r="AS35" s="11" t="n">
        <x:v>2290.2395772166765</x:v>
      </x:c>
      <x:c r="AT35" s="11" t="n">
        <x:v>2852.373458602466</x:v>
      </x:c>
      <x:c r="AU35" s="11" t="n">
        <x:v>1368.9882560187905</x:v>
      </x:c>
      <x:c r="AV35" s="11" t="n">
        <x:v>0</x:v>
      </x:c>
      <x:c r="AW35" s="11" t="n">
        <x:v>7.673682704932655</x:v>
      </x:c>
      <x:c r="AX35" s="12" t="n">
        <x:v>1</x:v>
      </x:c>
      <x:c r="AY35" s="11"/>
      <x:c r="AZ35" s="11"/>
      <x:c r="BA35" s="11"/>
      <x:c r="BB35" s="11"/>
      <x:c r="BC35" s="11"/>
      <x:c r="BD35" s="11"/>
      <x:c r="BE35" s="11"/>
      <x:c r="BF35" s="11"/>
      <x:c r="BG35" s="11"/>
      <x:c r="BH35" s="11"/>
      <x:c r="BI35" s="11"/>
      <x:c r="BJ35" s="11"/>
      <x:c r="BK35" s="12"/>
      <x:c r="BL35" s="12"/>
      <x:c r="BM35" s="12"/>
      <x:c r="BN35" s="12"/>
      <x:c r="BO35" s="12"/>
      <x:c r="BP35" s="12"/>
      <x:c r="BQ35" s="12"/>
      <x:c r="BR35" s="12"/>
      <x:c r="BS35" s="12"/>
      <x:c r="BT35" s="12"/>
      <x:c r="BU35" s="11" t="n">
        <x:v>248228</x:v>
      </x:c>
      <x:c r="BV35" s="11" t="n">
        <x:v>1247204</x:v>
      </x:c>
      <x:c r="BW35" s="11" t="n">
        <x:v>395013</x:v>
      </x:c>
      <x:c r="BX35" s="11" t="n">
        <x:v>91592</x:v>
      </x:c>
      <x:c r="BY35" s="11" t="n">
        <x:v>0</x:v>
      </x:c>
      <x:c r="BZ35" s="11" t="n">
        <x:v>0</x:v>
      </x:c>
      <x:c r="CA35" s="11" t="n">
        <x:v>0</x:v>
      </x:c>
      <x:c r="CB35" s="11" t="n">
        <x:v>0</x:v>
      </x:c>
      <x:c r="CC35" s="11" t="n">
        <x:v>339464</x:v>
      </x:c>
      <x:c r="CD35" s="11" t="n">
        <x:v>195138</x:v>
      </x:c>
      <x:c r="CE35" s="11" t="n">
        <x:v>152805</x:v>
      </x:c>
      <x:c r="CF35" s="11" t="n">
        <x:v>0</x:v>
      </x:c>
      <x:c r="CG35" s="11" t="n">
        <x:v>110693</x:v>
      </x:c>
      <x:c r="CH35" s="11" t="n">
        <x:v>695142</x:v>
      </x:c>
      <x:c r="CI35" s="11" t="n">
        <x:v>863101</x:v>
      </x:c>
      <x:c r="CJ35" s="11" t="n">
        <x:v>533644</x:v>
      </x:c>
      <x:c r="CK35" s="11" t="n">
        <x:v>375849</x:v>
      </x:c>
      <x:c r="CL35" s="11" t="n">
        <x:v>20847</x:v>
      </x:c>
      <x:c r="CM35" s="11"/>
      <x:c r="CN35" s="11" t="n">
        <x:v>0</x:v>
      </x:c>
      <x:c r="CO35" s="11" t="n">
        <x:v>0</x:v>
      </x:c>
      <x:c r="CP35" s="8"/>
      <x:c r="CQ35" s="8" t="str">
        <x:v>Elkford</x:v>
      </x:c>
    </x:row>
    <x:row r="36">
      <x:c r="A36" s="8" t="str">
        <x:v>Ashcroft|2023</x:v>
      </x:c>
      <x:c r="B36" s="8" t="str">
        <x:v>ashcroft-v</x:v>
      </x:c>
      <x:c r="C36" s="8" t="str">
        <x:v>Ashcroft</x:v>
      </x:c>
      <x:c r="D36" s="8" t="str">
        <x:v>Ashcroft</x:v>
      </x:c>
      <x:c r="E36" s="8" t="str">
        <x:v>V</x:v>
      </x:c>
      <x:c r="F36" s="8" t="str">
        <x:v>TNR</x:v>
      </x:c>
      <x:c r="G36" s="9" t="n">
        <x:v>2023</x:v>
      </x:c>
      <x:c r="H36" s="10" t="n">
        <x:v>1747</x:v>
      </x:c>
      <x:c r="I36" s="8" t="str">
        <x:v>Under 5,000</x:v>
      </x:c>
      <x:c r="J36" s="11" t="n">
        <x:v>6611025</x:v>
      </x:c>
      <x:c r="K36" s="11" t="n">
        <x:v>4135489</x:v>
      </x:c>
      <x:c r="L36" s="11" t="n">
        <x:v>2475536</x:v>
      </x:c>
      <x:c r="M36" s="12" t="n">
        <x:v>0.37445570089358304</x:v>
      </x:c>
      <x:c r="N36" s="11" t="n">
        <x:v>1923138</x:v>
      </x:c>
      <x:c r="O36" s="11" t="n">
        <x:v>1491558</x:v>
      </x:c>
      <x:c r="P36" s="11" t="n">
        <x:v>2910147</x:v>
      </x:c>
      <x:c r="Q36" s="11" t="n">
        <x:v>286182</x:v>
      </x:c>
      <x:c r="R36" s="11" t="n">
        <x:v>3477802</x:v>
      </x:c>
      <x:c r="S36" s="11" t="n">
        <x:v>657687</x:v>
      </x:c>
      <x:c r="T36" s="11" t="n">
        <x:v>5560641</x:v>
      </x:c>
      <x:c r="U36" s="11" t="n">
        <x:v>993471</x:v>
      </x:c>
      <x:c r="V36" s="11" t="n">
        <x:v>5658404</x:v>
      </x:c>
      <x:c r="W36" s="11" t="n">
        <x:v>2608310</x:v>
      </x:c>
      <x:c r="X36" s="11" t="n">
        <x:v>0</x:v>
      </x:c>
      <x:c r="Y36" s="11" t="n">
        <x:v>0</x:v>
      </x:c>
      <x:c r="Z36" s="11" t="n">
        <x:v>0</x:v>
      </x:c>
      <x:c r="AA36" s="11" t="n">
        <x:v>0</x:v>
      </x:c>
      <x:c r="AB36" s="11" t="n">
        <x:v>0</x:v>
      </x:c>
      <x:c r="AC36" s="11" t="n">
        <x:v>0</x:v>
      </x:c>
      <x:c r="AD36" s="11" t="n">
        <x:v>1028970</x:v>
      </x:c>
      <x:c r="AE36" s="11" t="n">
        <x:v>1028970</x:v>
      </x:c>
      <x:c r="AF36" s="11" t="n">
        <x:v>4115878</x:v>
      </x:c>
      <x:c r="AG36" s="11" t="n">
        <x:v>36024497</x:v>
      </x:c>
      <x:c r="AH36" s="11" t="n">
        <x:v>16680764</x:v>
      </x:c>
      <x:c r="AI36" s="11" t="n">
        <x:v>19343733</x:v>
      </x:c>
      <x:c r="AJ36" s="11" t="n">
        <x:v>2126277</x:v>
      </x:c>
      <x:c r="AK36" s="11" t="n">
        <x:v>69601080</x:v>
      </x:c>
      <x:c r="AL36" s="11" t="n">
        <x:v>1365021</x:v>
      </x:c>
      <x:c r="AM36" s="12" t="n">
        <x:v>0.9803879336355126</x:v>
      </x:c>
      <x:c r="AN36" s="12" t="n">
        <x:v>0.030549482852852285</x:v>
      </x:c>
      <x:c r="AO36" s="11" t="n">
        <x:v>3509090</x:v>
      </x:c>
      <x:c r="AP36" s="11" t="n">
        <x:v>3225768</x:v>
      </x:c>
      <x:c r="AQ36" s="12" t="n">
        <x:v>0.9192605490312303</x:v>
      </x:c>
      <x:c r="AR36" s="11" t="n">
        <x:v>3784.215798511734</x:v>
      </x:c>
      <x:c r="AS36" s="11" t="n">
        <x:v>2367.1946193474528</x:v>
      </x:c>
      <x:c r="AT36" s="11" t="n">
        <x:v>3238.926159129937</x:v>
      </x:c>
      <x:c r="AU36" s="11" t="n">
        <x:v>1493.0223239839725</x:v>
      </x:c>
      <x:c r="AV36" s="11" t="n">
        <x:v>0</x:v>
      </x:c>
      <x:c r="AW36" s="11" t="n">
        <x:v>5.597185021002123</x:v>
      </x:c>
      <x:c r="AX36" s="12" t="n">
        <x:v>1</x:v>
      </x:c>
      <x:c r="AY36" s="11"/>
      <x:c r="AZ36" s="11"/>
      <x:c r="BA36" s="11"/>
      <x:c r="BB36" s="11"/>
      <x:c r="BC36" s="11"/>
      <x:c r="BD36" s="11"/>
      <x:c r="BE36" s="11"/>
      <x:c r="BF36" s="11"/>
      <x:c r="BG36" s="11"/>
      <x:c r="BH36" s="11"/>
      <x:c r="BI36" s="11"/>
      <x:c r="BJ36" s="11"/>
      <x:c r="BK36" s="12"/>
      <x:c r="BL36" s="12"/>
      <x:c r="BM36" s="12"/>
      <x:c r="BN36" s="12"/>
      <x:c r="BO36" s="12"/>
      <x:c r="BP36" s="12"/>
      <x:c r="BQ36" s="12"/>
      <x:c r="BR36" s="12"/>
      <x:c r="BS36" s="12"/>
      <x:c r="BT36" s="12"/>
      <x:c r="BU36" s="11" t="n">
        <x:v>132611</x:v>
      </x:c>
      <x:c r="BV36" s="11" t="n">
        <x:v>2370142</x:v>
      </x:c>
      <x:c r="BW36" s="11" t="n">
        <x:v>407394</x:v>
      </x:c>
      <x:c r="BX36" s="11" t="n">
        <x:v>286182</x:v>
      </x:c>
      <x:c r="BY36" s="11" t="n">
        <x:v>0</x:v>
      </x:c>
      <x:c r="BZ36" s="11" t="n">
        <x:v>0</x:v>
      </x:c>
      <x:c r="CA36" s="11" t="n">
        <x:v>0</x:v>
      </x:c>
      <x:c r="CB36" s="11" t="n">
        <x:v>0</x:v>
      </x:c>
      <x:c r="CC36" s="11" t="n">
        <x:v>327659</x:v>
      </x:c>
      <x:c r="CD36" s="11" t="n">
        <x:v>181017</x:v>
      </x:c>
      <x:c r="CE36" s="11" t="n">
        <x:v>140965</x:v>
      </x:c>
      <x:c r="CF36" s="11" t="n">
        <x:v>0</x:v>
      </x:c>
      <x:c r="CG36" s="11" t="n">
        <x:v>105347</x:v>
      </x:c>
      <x:c r="CH36" s="11" t="n">
        <x:v>752426</x:v>
      </x:c>
      <x:c r="CI36" s="11" t="n">
        <x:v>936163</x:v>
      </x:c>
      <x:c r="CJ36" s="11" t="n">
        <x:v>555258</x:v>
      </x:c>
      <x:c r="CK36" s="11" t="n">
        <x:v>449486</x:v>
      </x:c>
      <x:c r="CL36" s="11" t="n">
        <x:v>21970</x:v>
      </x:c>
      <x:c r="CM36" s="11" t="n">
        <x:v>7511</x:v>
      </x:c>
      <x:c r="CN36" s="11" t="n">
        <x:v>0</x:v>
      </x:c>
      <x:c r="CO36" s="11" t="n">
        <x:v>0</x:v>
      </x:c>
      <x:c r="CP36" s="8"/>
      <x:c r="CQ36" s="8" t="str">
        <x:v>Enderby</x:v>
      </x:c>
    </x:row>
    <x:row r="37">
      <x:c r="A37" s="8" t="str">
        <x:v>Ashcroft|2024</x:v>
      </x:c>
      <x:c r="B37" s="8" t="str">
        <x:v>ashcroft-v</x:v>
      </x:c>
      <x:c r="C37" s="8" t="str">
        <x:v>Ashcroft</x:v>
      </x:c>
      <x:c r="D37" s="8" t="str">
        <x:v>Ashcroft</x:v>
      </x:c>
      <x:c r="E37" s="8" t="str">
        <x:v>V</x:v>
      </x:c>
      <x:c r="F37" s="8" t="str">
        <x:v>TNR</x:v>
      </x:c>
      <x:c r="G37" s="9" t="n">
        <x:v>2024</x:v>
      </x:c>
      <x:c r="H37" s="10" t="n">
        <x:v>1747</x:v>
      </x:c>
      <x:c r="I37" s="8" t="str">
        <x:v>Under 5,000</x:v>
      </x:c>
      <x:c r="J37" s="11" t="n">
        <x:v>5144200</x:v>
      </x:c>
      <x:c r="K37" s="11" t="n">
        <x:v>4448637</x:v>
      </x:c>
      <x:c r="L37" s="11" t="n">
        <x:v>695563</x:v>
      </x:c>
      <x:c r="M37" s="12" t="n">
        <x:v>0.13521305547995802</x:v>
      </x:c>
      <x:c r="N37" s="11" t="n">
        <x:v>2066172</x:v>
      </x:c>
      <x:c r="O37" s="11" t="n">
        <x:v>1366509</x:v>
      </x:c>
      <x:c r="P37" s="11" t="n">
        <x:v>1378604</x:v>
      </x:c>
      <x:c r="Q37" s="11" t="n">
        <x:v>332915</x:v>
      </x:c>
      <x:c r="R37" s="11" t="n">
        <x:v>3734964</x:v>
      </x:c>
      <x:c r="S37" s="11" t="n">
        <x:v>713673</x:v>
      </x:c>
      <x:c r="T37" s="11" t="n">
        <x:v>7284473</x:v>
      </x:c>
      <x:c r="U37" s="11" t="n">
        <x:v>1238117</x:v>
      </x:c>
      <x:c r="V37" s="11" t="n">
        <x:v>6646148</x:v>
      </x:c>
      <x:c r="W37" s="11" t="n">
        <x:v>3019872</x:v>
      </x:c>
      <x:c r="X37" s="11" t="n">
        <x:v>0</x:v>
      </x:c>
      <x:c r="Y37" s="11" t="n">
        <x:v>0</x:v>
      </x:c>
      <x:c r="Z37" s="11" t="n">
        <x:v>0</x:v>
      </x:c>
      <x:c r="AA37" s="11" t="n">
        <x:v>0</x:v>
      </x:c>
      <x:c r="AB37" s="11" t="n">
        <x:v>0</x:v>
      </x:c>
      <x:c r="AC37" s="11" t="n">
        <x:v>0</x:v>
      </x:c>
      <x:c r="AD37" s="11" t="n">
        <x:v>1054724</x:v>
      </x:c>
      <x:c r="AE37" s="11" t="n">
        <x:v>1054724</x:v>
      </x:c>
      <x:c r="AF37" s="11" t="n">
        <x:v>4218896</x:v>
      </x:c>
      <x:c r="AG37" s="11" t="n">
        <x:v>36340661</x:v>
      </x:c>
      <x:c r="AH37" s="11" t="n">
        <x:v>17394435</x:v>
      </x:c>
      <x:c r="AI37" s="11" t="n">
        <x:v>18946226</x:v>
      </x:c>
      <x:c r="AJ37" s="11" t="n">
        <x:v>316166</x:v>
      </x:c>
      <x:c r="AK37" s="11" t="n">
        <x:v>69731911</x:v>
      </x:c>
      <x:c r="AL37" s="11" t="n">
        <x:v>4170174</x:v>
      </x:c>
      <x:c r="AM37" s="12" t="n">
        <x:v>0.9401970498126747</x:v>
      </x:c>
      <x:c r="AN37" s="12" t="n">
        <x:v>0.004534021733607731</x:v>
      </x:c>
      <x:c r="AO37" s="11" t="n">
        <x:v>3699936</x:v>
      </x:c>
      <x:c r="AP37" s="11" t="n">
        <x:v>3391829</x:v>
      </x:c>
      <x:c r="AQ37" s="12" t="n">
        <x:v>0.9167263974295772</x:v>
      </x:c>
      <x:c r="AR37" s="11" t="n">
        <x:v>2944.5907269605036</x:v>
      </x:c>
      <x:c r="AS37" s="11" t="n">
        <x:v>2546.4436176302233</x:v>
      </x:c>
      <x:c r="AT37" s="11" t="n">
        <x:v>3804.3205495134516</x:v>
      </x:c>
      <x:c r="AU37" s="11" t="n">
        <x:v>1728.6044647967944</x:v>
      </x:c>
      <x:c r="AV37" s="11" t="n">
        <x:v>0</x:v>
      </x:c>
      <x:c r="AW37" s="11" t="n">
        <x:v>5.8835093937002725</x:v>
      </x:c>
      <x:c r="AX37" s="12" t="n">
        <x:v>1</x:v>
      </x:c>
      <x:c r="AY37" s="11" t="n">
        <x:v>4648.097865362712</x:v>
      </x:c>
      <x:c r="AZ37" s="11" t="n">
        <x:v>3546.5079302077975</x:v>
      </x:c>
      <x:c r="BA37" s="11" t="n">
        <x:v>3428.422456291105</x:v>
      </x:c>
      <x:c r="BB37" s="11" t="n">
        <x:v>2783.665107049771</x:v>
      </x:c>
      <x:c r="BC37" s="11" t="n">
        <x:v>5030.364110900993</x:v>
      </x:c>
      <x:c r="BD37" s="11" t="n">
        <x:v>2437.8724475115623</x:v>
      </x:c>
      <x:c r="BE37" s="11" t="n">
        <x:v>2420.45</x:v>
      </x:c>
      <x:c r="BF37" s="11" t="n">
        <x:v>1604.3462673977224</x:v>
      </x:c>
      <x:c r="BG37" s="11" t="n">
        <x:v>224.31236112962716</x:v>
      </x:c>
      <x:c r="BH37" s="11" t="n">
        <x:v>518.5374381567245</x:v>
      </x:c>
      <x:c r="BI37" s="11" t="n">
        <x:v>2.204313821553219</x:v>
      </x:c>
      <x:c r="BJ37" s="11" t="n">
        <x:v>1.7099330852451193</x:v>
      </x:c>
      <x:c r="BK37" s="12" t="n">
        <x:v>0.030042455998363887</x:v>
      </x:c>
      <x:c r="BL37" s="12" t="n">
        <x:v>0.02529861000232605</x:v>
      </x:c>
      <x:c r="BM37" s="12" t="n">
        <x:v>0.9786113537119745</x:v>
      </x:c>
      <x:c r="BN37" s="12" t="n">
        <x:v>0.9815511712696461</x:v>
      </x:c>
      <x:c r="BO37" s="12" t="n">
        <x:v>0.9039920521842442</x:v>
      </x:c>
      <x:c r="BP37" s="12" t="n">
        <x:v>0.8619101997275483</x:v>
      </x:c>
      <x:c r="BQ37" s="12" t="n">
        <x:v>0.9333160528846489</x:v>
      </x:c>
      <x:c r="BR37" s="12" t="n">
        <x:v>0.9623635142836453</x:v>
      </x:c>
      <x:c r="BS37" s="12" t="n">
        <x:v>0.20869205825466772</x:v>
      </x:c>
      <x:c r="BT37" s="12" t="n">
        <x:v>0.19976549769108282</x:v>
      </x:c>
      <x:c r="BU37" s="11" t="n">
        <x:v>0</x:v>
      </x:c>
      <x:c r="BV37" s="11" t="n">
        <x:v>902092</x:v>
      </x:c>
      <x:c r="BW37" s="11" t="n">
        <x:v>476512</x:v>
      </x:c>
      <x:c r="BX37" s="11" t="n">
        <x:v>332915</x:v>
      </x:c>
      <x:c r="BY37" s="11" t="n">
        <x:v>0</x:v>
      </x:c>
      <x:c r="BZ37" s="11" t="n">
        <x:v>0</x:v>
      </x:c>
      <x:c r="CA37" s="11" t="n">
        <x:v>0</x:v>
      </x:c>
      <x:c r="CB37" s="11" t="n">
        <x:v>0</x:v>
      </x:c>
      <x:c r="CC37" s="11" t="n">
        <x:v>426216</x:v>
      </x:c>
      <x:c r="CD37" s="11" t="n">
        <x:v>190606</x:v>
      </x:c>
      <x:c r="CE37" s="11" t="n">
        <x:v>148067</x:v>
      </x:c>
      <x:c r="CF37" s="11" t="n">
        <x:v>0</x:v>
      </x:c>
      <x:c r="CG37" s="11" t="n">
        <x:v>171058</x:v>
      </x:c>
      <x:c r="CH37" s="11" t="n">
        <x:v>753640</x:v>
      </x:c>
      <x:c r="CI37" s="11" t="n">
        <x:v>959858</x:v>
      </x:c>
      <x:c r="CJ37" s="11" t="n">
        <x:v>582012</x:v>
      </x:c>
      <x:c r="CK37" s="11" t="n">
        <x:v>470428</x:v>
      </x:c>
      <x:c r="CL37" s="11" t="n">
        <x:v>25568</x:v>
      </x:c>
      <x:c r="CM37" s="11" t="n">
        <x:v>7511</x:v>
      </x:c>
      <x:c r="CN37" s="11" t="n">
        <x:v>0</x:v>
      </x:c>
      <x:c r="CO37" s="11" t="n">
        <x:v>0</x:v>
      </x:c>
      <x:c r="CP37" s="8"/>
      <x:c r="CQ37" s="8" t="str">
        <x:v>Esquimalt</x:v>
      </x:c>
    </x:row>
    <x:row r="38">
      <x:c r="A38" s="8" t="str">
        <x:v>Barriere|2019</x:v>
      </x:c>
      <x:c r="B38" s="8" t="str">
        <x:v>barriere-d</x:v>
      </x:c>
      <x:c r="C38" s="8" t="str">
        <x:v>Barriere</x:v>
      </x:c>
      <x:c r="D38" s="8" t="str">
        <x:v>Barriere</x:v>
      </x:c>
      <x:c r="E38" s="8" t="str">
        <x:v>D</x:v>
      </x:c>
      <x:c r="F38" s="8" t="str">
        <x:v>TNR</x:v>
      </x:c>
      <x:c r="G38" s="9" t="n">
        <x:v>2019</x:v>
      </x:c>
      <x:c r="H38" s="10" t="n">
        <x:v>1867</x:v>
      </x:c>
      <x:c r="I38" s="8" t="str">
        <x:v>Under 5,000</x:v>
      </x:c>
      <x:c r="J38" s="11" t="n">
        <x:v>2908432</x:v>
      </x:c>
      <x:c r="K38" s="11" t="n">
        <x:v>3372426</x:v>
      </x:c>
      <x:c r="L38" s="11" t="n">
        <x:v>-463994</x:v>
      </x:c>
      <x:c r="M38" s="12" t="n">
        <x:v>-0.1595340719673006</x:v>
      </x:c>
      <x:c r="N38" s="11" t="n">
        <x:v>940609</x:v>
      </x:c>
      <x:c r="O38" s="11" t="n">
        <x:v>848310</x:v>
      </x:c>
      <x:c r="P38" s="11" t="n">
        <x:v>473603</x:v>
      </x:c>
      <x:c r="Q38" s="11" t="n">
        <x:v>645910</x:v>
      </x:c>
      <x:c r="R38" s="11" t="n">
        <x:v>2661827</x:v>
      </x:c>
      <x:c r="S38" s="11" t="n">
        <x:v>710599</x:v>
      </x:c>
      <x:c r="T38" s="11" t="n">
        <x:v>3325984</x:v>
      </x:c>
      <x:c r="U38" s="11" t="n">
        <x:v>1229032</x:v>
      </x:c>
      <x:c r="V38" s="11" t="n">
        <x:v>2792037</x:v>
      </x:c>
      <x:c r="W38" s="11" t="n">
        <x:v>1604027</x:v>
      </x:c>
      <x:c r="X38" s="11" t="n">
        <x:v>0</x:v>
      </x:c>
      <x:c r="Y38" s="11" t="n">
        <x:v>0</x:v>
      </x:c>
      <x:c r="Z38" s="11" t="n">
        <x:v>0</x:v>
      </x:c>
      <x:c r="AA38" s="11" t="n">
        <x:v>0</x:v>
      </x:c>
      <x:c r="AB38" s="11" t="n">
        <x:v>0</x:v>
      </x:c>
      <x:c r="AC38" s="11" t="n">
        <x:v>0</x:v>
      </x:c>
      <x:c r="AD38" s="11" t="n">
        <x:v>571710</x:v>
      </x:c>
      <x:c r="AE38" s="11" t="n">
        <x:v>571710</x:v>
      </x:c>
      <x:c r="AF38" s="11" t="n">
        <x:v>2286839</x:v>
      </x:c>
      <x:c r="AG38" s="11" t="n">
        <x:v>32935761</x:v>
      </x:c>
      <x:c r="AH38" s="11" t="n">
        <x:v>6309446</x:v>
      </x:c>
      <x:c r="AI38" s="11" t="n">
        <x:v>26626315</x:v>
      </x:c>
      <x:c r="AJ38" s="11" t="n">
        <x:v>475725</x:v>
      </x:c>
      <x:c r="AK38" s="11" t="n">
        <x:v>4945629</x:v>
      </x:c>
      <x:c r="AL38" s="11" t="n">
        <x:v>0</x:v>
      </x:c>
      <x:c r="AM38" s="12" t="n">
        <x:v>1</x:v>
      </x:c>
      <x:c r="AN38" s="12" t="n">
        <x:v>0.09619100017409313</x:v>
      </x:c>
      <x:c r="AO38" s="11" t="n">
        <x:v>2081820</x:v>
      </x:c>
      <x:c r="AP38" s="11" t="n">
        <x:v>1867810</x:v>
      </x:c>
      <x:c r="AQ38" s="12" t="n">
        <x:v>0.8972005264624223</x:v>
      </x:c>
      <x:c r="AR38" s="11" t="n">
        <x:v>1557.8103910016068</x:v>
      </x:c>
      <x:c r="AS38" s="11" t="n">
        <x:v>1806.3342260310658</x:v>
      </x:c>
      <x:c r="AT38" s="11" t="n">
        <x:v>1495.467059453669</x:v>
      </x:c>
      <x:c r="AU38" s="11" t="n">
        <x:v>859.1467595072309</x:v>
      </x:c>
      <x:c r="AV38" s="11" t="n">
        <x:v>0</x:v>
      </x:c>
      <x:c r="AW38" s="11" t="n">
        <x:v>2.706181775576226</x:v>
      </x:c>
      <x:c r="AX38" s="12" t="n">
        <x:v>1</x:v>
      </x:c>
      <x:c r="AY38" s="11"/>
      <x:c r="AZ38" s="11"/>
      <x:c r="BA38" s="11"/>
      <x:c r="BB38" s="11"/>
      <x:c r="BC38" s="11"/>
      <x:c r="BD38" s="11"/>
      <x:c r="BE38" s="11"/>
      <x:c r="BF38" s="11"/>
      <x:c r="BG38" s="11"/>
      <x:c r="BH38" s="11"/>
      <x:c r="BI38" s="11"/>
      <x:c r="BJ38" s="11"/>
      <x:c r="BK38" s="12"/>
      <x:c r="BL38" s="12"/>
      <x:c r="BM38" s="12"/>
      <x:c r="BN38" s="12"/>
      <x:c r="BO38" s="12"/>
      <x:c r="BP38" s="12"/>
      <x:c r="BQ38" s="12"/>
      <x:c r="BR38" s="12"/>
      <x:c r="BS38" s="12"/>
      <x:c r="BT38" s="12"/>
      <x:c r="BU38" s="11" t="n">
        <x:v>0</x:v>
      </x:c>
      <x:c r="BV38" s="11" t="n">
        <x:v>473603</x:v>
      </x:c>
      <x:c r="BW38" s="11" t="n">
        <x:v>0</x:v>
      </x:c>
      <x:c r="BX38" s="11" t="n">
        <x:v>45032</x:v>
      </x:c>
      <x:c r="BY38" s="11" t="n">
        <x:v>0</x:v>
      </x:c>
      <x:c r="BZ38" s="11" t="n">
        <x:v>0</x:v>
      </x:c>
      <x:c r="CA38" s="11" t="n">
        <x:v>600878</x:v>
      </x:c>
      <x:c r="CB38" s="11" t="n">
        <x:v>0</x:v>
      </x:c>
      <x:c r="CC38" s="11" t="n">
        <x:v>637964</x:v>
      </x:c>
      <x:c r="CD38" s="11" t="n">
        <x:v>186198</x:v>
      </x:c>
      <x:c r="CE38" s="11" t="n">
        <x:v>131349</x:v>
      </x:c>
      <x:c r="CF38" s="11" t="n">
        <x:v>0</x:v>
      </x:c>
      <x:c r="CG38" s="11" t="n">
        <x:v>265503</x:v>
      </x:c>
      <x:c r="CH38" s="11" t="n">
        <x:v>433229</x:v>
      </x:c>
      <x:c r="CI38" s="11" t="n">
        <x:v>119043</x:v>
      </x:c>
      <x:c r="CJ38" s="11" t="n">
        <x:v>651432</x:v>
      </x:c>
      <x:c r="CK38" s="11" t="n">
        <x:v>237109</x:v>
      </x:c>
      <x:c r="CL38" s="11" t="n">
        <x:v>0</x:v>
      </x:c>
      <x:c r="CM38" s="11"/>
      <x:c r="CN38" s="11" t="n">
        <x:v>0</x:v>
      </x:c>
      <x:c r="CO38" s="11" t="n">
        <x:v>0</x:v>
      </x:c>
      <x:c r="CP38" s="8"/>
      <x:c r="CQ38" s="8" t="str">
        <x:v>Fernie</x:v>
      </x:c>
    </x:row>
    <x:row r="39">
      <x:c r="A39" s="8" t="str">
        <x:v>Barriere|2020</x:v>
      </x:c>
      <x:c r="B39" s="8" t="str">
        <x:v>barriere-d</x:v>
      </x:c>
      <x:c r="C39" s="8" t="str">
        <x:v>Barriere</x:v>
      </x:c>
      <x:c r="D39" s="8" t="str">
        <x:v>Barriere</x:v>
      </x:c>
      <x:c r="E39" s="8" t="str">
        <x:v>D</x:v>
      </x:c>
      <x:c r="F39" s="8" t="str">
        <x:v>TNR</x:v>
      </x:c>
      <x:c r="G39" s="9" t="n">
        <x:v>2020</x:v>
      </x:c>
      <x:c r="H39" s="10" t="n">
        <x:v>1881</x:v>
      </x:c>
      <x:c r="I39" s="8" t="str">
        <x:v>Under 5,000</x:v>
      </x:c>
      <x:c r="J39" s="11" t="n">
        <x:v>3418452</x:v>
      </x:c>
      <x:c r="K39" s="11" t="n">
        <x:v>2884071</x:v>
      </x:c>
      <x:c r="L39" s="11" t="n">
        <x:v>534381</x:v>
      </x:c>
      <x:c r="M39" s="12" t="n">
        <x:v>0.15632251089089447</x:v>
      </x:c>
      <x:c r="N39" s="11" t="n">
        <x:v>928923</x:v>
      </x:c>
      <x:c r="O39" s="11" t="n">
        <x:v>1204612</x:v>
      </x:c>
      <x:c r="P39" s="11" t="n">
        <x:v>1256795</x:v>
      </x:c>
      <x:c r="Q39" s="11" t="n">
        <x:v>28122</x:v>
      </x:c>
      <x:c r="R39" s="11" t="n">
        <x:v>2282938</x:v>
      </x:c>
      <x:c r="S39" s="11" t="n">
        <x:v>601133</x:v>
      </x:c>
      <x:c r="T39" s="11" t="n">
        <x:v>3577633</x:v>
      </x:c>
      <x:c r="U39" s="11" t="n">
        <x:v>1113242</x:v>
      </x:c>
      <x:c r="V39" s="11" t="n">
        <x:v>3181980</x:v>
      </x:c>
      <x:c r="W39" s="11" t="n">
        <x:v>1476979</x:v>
      </x:c>
      <x:c r="X39" s="11" t="n">
        <x:v>0</x:v>
      </x:c>
      <x:c r="Y39" s="11" t="n">
        <x:v>0</x:v>
      </x:c>
      <x:c r="Z39" s="11" t="n">
        <x:v>0</x:v>
      </x:c>
      <x:c r="AA39" s="11" t="n">
        <x:v>0</x:v>
      </x:c>
      <x:c r="AB39" s="11" t="n">
        <x:v>0</x:v>
      </x:c>
      <x:c r="AC39" s="11" t="n">
        <x:v>0</x:v>
      </x:c>
      <x:c r="AD39" s="11" t="n">
        <x:v>654521</x:v>
      </x:c>
      <x:c r="AE39" s="11" t="n">
        <x:v>654521</x:v>
      </x:c>
      <x:c r="AF39" s="11" t="n">
        <x:v>2618085</x:v>
      </x:c>
      <x:c r="AG39" s="11" t="n">
        <x:v>33550585</x:v>
      </x:c>
      <x:c r="AH39" s="11" t="n">
        <x:v>6910580</x:v>
      </x:c>
      <x:c r="AI39" s="11" t="n">
        <x:v>26640005</x:v>
      </x:c>
      <x:c r="AJ39" s="11" t="n">
        <x:v>614824</x:v>
      </x:c>
      <x:c r="AK39" s="11" t="n">
        <x:v>4945629</x:v>
      </x:c>
      <x:c r="AL39" s="11" t="n">
        <x:v>0</x:v>
      </x:c>
      <x:c r="AM39" s="12" t="n">
        <x:v>1</x:v>
      </x:c>
      <x:c r="AN39" s="12" t="n">
        <x:v>0.12431664405073652</x:v>
      </x:c>
      <x:c r="AO39" s="11" t="n">
        <x:v>1982466</x:v>
      </x:c>
      <x:c r="AP39" s="11" t="n">
        <x:v>1755678</x:v>
      </x:c>
      <x:c r="AQ39" s="12" t="n">
        <x:v>0.8856030822218388</x:v>
      </x:c>
      <x:c r="AR39" s="11" t="n">
        <x:v>1817.358851674641</x:v>
      </x:c>
      <x:c r="AS39" s="11" t="n">
        <x:v>1533.2647527910685</x:v>
      </x:c>
      <x:c r="AT39" s="11" t="n">
        <x:v>1691.6427432216906</x:v>
      </x:c>
      <x:c r="AU39" s="11" t="n">
        <x:v>785.2094630515683</x:v>
      </x:c>
      <x:c r="AV39" s="11" t="n">
        <x:v>0</x:v>
      </x:c>
      <x:c r="AW39" s="11" t="n">
        <x:v>3.2137064537629736</x:v>
      </x:c>
      <x:c r="AX39" s="12" t="n">
        <x:v>1</x:v>
      </x:c>
      <x:c r="AY39" s="11"/>
      <x:c r="AZ39" s="11"/>
      <x:c r="BA39" s="11"/>
      <x:c r="BB39" s="11"/>
      <x:c r="BC39" s="11"/>
      <x:c r="BD39" s="11"/>
      <x:c r="BE39" s="11"/>
      <x:c r="BF39" s="11"/>
      <x:c r="BG39" s="11"/>
      <x:c r="BH39" s="11"/>
      <x:c r="BI39" s="11"/>
      <x:c r="BJ39" s="11"/>
      <x:c r="BK39" s="12"/>
      <x:c r="BL39" s="12"/>
      <x:c r="BM39" s="12"/>
      <x:c r="BN39" s="12"/>
      <x:c r="BO39" s="12"/>
      <x:c r="BP39" s="12"/>
      <x:c r="BQ39" s="12"/>
      <x:c r="BR39" s="12"/>
      <x:c r="BS39" s="12"/>
      <x:c r="BT39" s="12"/>
      <x:c r="BU39" s="11" t="n">
        <x:v>0</x:v>
      </x:c>
      <x:c r="BV39" s="11" t="n">
        <x:v>1194758</x:v>
      </x:c>
      <x:c r="BW39" s="11" t="n">
        <x:v>62037</x:v>
      </x:c>
      <x:c r="BX39" s="11" t="n">
        <x:v>28122</x:v>
      </x:c>
      <x:c r="BY39" s="11" t="n">
        <x:v>0</x:v>
      </x:c>
      <x:c r="BZ39" s="11" t="n">
        <x:v>0</x:v>
      </x:c>
      <x:c r="CA39" s="11" t="n">
        <x:v>0</x:v>
      </x:c>
      <x:c r="CB39" s="11" t="n">
        <x:v>0</x:v>
      </x:c>
      <x:c r="CC39" s="11" t="n">
        <x:v>631362</x:v>
      </x:c>
      <x:c r="CD39" s="11" t="n">
        <x:v>146394</x:v>
      </x:c>
      <x:c r="CE39" s="11" t="n">
        <x:v>158323</x:v>
      </x:c>
      <x:c r="CF39" s="11" t="n">
        <x:v>0</x:v>
      </x:c>
      <x:c r="CG39" s="11" t="n">
        <x:v>34701</x:v>
      </x:c>
      <x:c r="CH39" s="11" t="n">
        <x:v>359055</x:v>
      </x:c>
      <x:c r="CI39" s="11" t="n">
        <x:v>148178</x:v>
      </x:c>
      <x:c r="CJ39" s="11" t="n">
        <x:v>571706</x:v>
      </x:c>
      <x:c r="CK39" s="11" t="n">
        <x:v>233219</x:v>
      </x:c>
      <x:c r="CL39" s="11" t="n">
        <x:v>0</x:v>
      </x:c>
      <x:c r="CM39" s="11"/>
      <x:c r="CN39" s="11" t="n">
        <x:v>0</x:v>
      </x:c>
      <x:c r="CO39" s="11" t="n">
        <x:v>0</x:v>
      </x:c>
      <x:c r="CP39" s="8"/>
      <x:c r="CQ39" s="8" t="str">
        <x:v>Fort St. James</x:v>
      </x:c>
    </x:row>
    <x:row r="40">
      <x:c r="A40" s="8" t="str">
        <x:v>Barriere|2021</x:v>
      </x:c>
      <x:c r="B40" s="8" t="str">
        <x:v>barriere-d</x:v>
      </x:c>
      <x:c r="C40" s="8" t="str">
        <x:v>Barriere</x:v>
      </x:c>
      <x:c r="D40" s="8" t="str">
        <x:v>Barriere</x:v>
      </x:c>
      <x:c r="E40" s="8" t="str">
        <x:v>D</x:v>
      </x:c>
      <x:c r="F40" s="8" t="str">
        <x:v>TNR</x:v>
      </x:c>
      <x:c r="G40" s="9" t="n">
        <x:v>2021</x:v>
      </x:c>
      <x:c r="H40" s="10" t="n">
        <x:v>1892</x:v>
      </x:c>
      <x:c r="I40" s="8" t="str">
        <x:v>Under 5,000</x:v>
      </x:c>
      <x:c r="J40" s="11" t="n">
        <x:v>4245482</x:v>
      </x:c>
      <x:c r="K40" s="11" t="n">
        <x:v>3677646</x:v>
      </x:c>
      <x:c r="L40" s="11" t="n">
        <x:v>567836</x:v>
      </x:c>
      <x:c r="M40" s="12" t="n">
        <x:v>0.13375065540261388</x:v>
      </x:c>
      <x:c r="N40" s="11" t="n">
        <x:v>986547</x:v>
      </x:c>
      <x:c r="O40" s="11" t="n">
        <x:v>2107277</x:v>
      </x:c>
      <x:c r="P40" s="11" t="n">
        <x:v>1120383</x:v>
      </x:c>
      <x:c r="Q40" s="11" t="n">
        <x:v>31275</x:v>
      </x:c>
      <x:c r="R40" s="11" t="n">
        <x:v>3043164</x:v>
      </x:c>
      <x:c r="S40" s="11" t="n">
        <x:v>634482</x:v>
      </x:c>
      <x:c r="T40" s="11" t="n">
        <x:v>3775238</x:v>
      </x:c>
      <x:c r="U40" s="11" t="n">
        <x:v>913126</x:v>
      </x:c>
      <x:c r="V40" s="11" t="n">
        <x:v>3443799</x:v>
      </x:c>
      <x:c r="W40" s="11" t="n">
        <x:v>2209183</x:v>
      </x:c>
      <x:c r="X40" s="11" t="n">
        <x:v>0</x:v>
      </x:c>
      <x:c r="Y40" s="11" t="n">
        <x:v>0</x:v>
      </x:c>
      <x:c r="Z40" s="11" t="n">
        <x:v>0</x:v>
      </x:c>
      <x:c r="AA40" s="11" t="n">
        <x:v>0</x:v>
      </x:c>
      <x:c r="AB40" s="11" t="n">
        <x:v>0</x:v>
      </x:c>
      <x:c r="AC40" s="11" t="n">
        <x:v>0</x:v>
      </x:c>
      <x:c r="AD40" s="11" t="n">
        <x:v>897162</x:v>
      </x:c>
      <x:c r="AE40" s="11" t="n">
        <x:v>897162</x:v>
      </x:c>
      <x:c r="AF40" s="11" t="n">
        <x:v>3588649</x:v>
      </x:c>
      <x:c r="AG40" s="11" t="n">
        <x:v>34616859</x:v>
      </x:c>
      <x:c r="AH40" s="11" t="n">
        <x:v>7545062</x:v>
      </x:c>
      <x:c r="AI40" s="11" t="n">
        <x:v>27071797</x:v>
      </x:c>
      <x:c r="AJ40" s="11" t="n">
        <x:v>1066274</x:v>
      </x:c>
      <x:c r="AK40" s="11" t="n">
        <x:v>4945629</x:v>
      </x:c>
      <x:c r="AL40" s="11" t="n">
        <x:v>0</x:v>
      </x:c>
      <x:c r="AM40" s="12" t="n">
        <x:v>1</x:v>
      </x:c>
      <x:c r="AN40" s="12" t="n">
        <x:v>0.2155992695772368</x:v>
      </x:c>
      <x:c r="AO40" s="11" t="n">
        <x:v>2222326</x:v>
      </x:c>
      <x:c r="AP40" s="11" t="n">
        <x:v>1955993</x:v>
      </x:c>
      <x:c r="AQ40" s="12" t="n">
        <x:v>0.8801557467266279</x:v>
      </x:c>
      <x:c r="AR40" s="11" t="n">
        <x:v>2243.9122621564484</x:v>
      </x:c>
      <x:c r="AS40" s="11" t="n">
        <x:v>1943.7875264270613</x:v>
      </x:c>
      <x:c r="AT40" s="11" t="n">
        <x:v>1820.1897463002115</x:v>
      </x:c>
      <x:c r="AU40" s="11" t="n">
        <x:v>1167.644291754757</x:v>
      </x:c>
      <x:c r="AV40" s="11" t="n">
        <x:v>0</x:v>
      </x:c>
      <x:c r="AW40" s="11" t="n">
        <x:v>4.1344108042044585</x:v>
      </x:c>
      <x:c r="AX40" s="12" t="n">
        <x:v>1</x:v>
      </x:c>
      <x:c r="AY40" s="11"/>
      <x:c r="AZ40" s="11"/>
      <x:c r="BA40" s="11"/>
      <x:c r="BB40" s="11"/>
      <x:c r="BC40" s="11"/>
      <x:c r="BD40" s="11"/>
      <x:c r="BE40" s="11"/>
      <x:c r="BF40" s="11"/>
      <x:c r="BG40" s="11"/>
      <x:c r="BH40" s="11"/>
      <x:c r="BI40" s="11"/>
      <x:c r="BJ40" s="11"/>
      <x:c r="BK40" s="12"/>
      <x:c r="BL40" s="12"/>
      <x:c r="BM40" s="12"/>
      <x:c r="BN40" s="12"/>
      <x:c r="BO40" s="12"/>
      <x:c r="BP40" s="12"/>
      <x:c r="BQ40" s="12"/>
      <x:c r="BR40" s="12"/>
      <x:c r="BS40" s="12"/>
      <x:c r="BT40" s="12"/>
      <x:c r="BU40" s="11" t="n">
        <x:v>0</x:v>
      </x:c>
      <x:c r="BV40" s="11" t="n">
        <x:v>1120383</x:v>
      </x:c>
      <x:c r="BW40" s="11" t="n">
        <x:v>0</x:v>
      </x:c>
      <x:c r="BX40" s="11" t="n">
        <x:v>31275</x:v>
      </x:c>
      <x:c r="BY40" s="11" t="n">
        <x:v>0</x:v>
      </x:c>
      <x:c r="BZ40" s="11" t="n">
        <x:v>0</x:v>
      </x:c>
      <x:c r="CA40" s="11" t="n">
        <x:v>0</x:v>
      </x:c>
      <x:c r="CB40" s="11" t="n">
        <x:v>0</x:v>
      </x:c>
      <x:c r="CC40" s="11" t="n">
        <x:v>832340</x:v>
      </x:c>
      <x:c r="CD40" s="11" t="n">
        <x:v>283810</x:v>
      </x:c>
      <x:c r="CE40" s="11" t="n">
        <x:v>179022</x:v>
      </x:c>
      <x:c r="CF40" s="11" t="n">
        <x:v>0</x:v>
      </x:c>
      <x:c r="CG40" s="11" t="n">
        <x:v>59230</x:v>
      </x:c>
      <x:c r="CH40" s="11" t="n">
        <x:v>415909</x:v>
      </x:c>
      <x:c r="CI40" s="11" t="n">
        <x:v>320143</x:v>
      </x:c>
      <x:c r="CJ40" s="11" t="n">
        <x:v>655449</x:v>
      </x:c>
      <x:c r="CK40" s="11" t="n">
        <x:v>297261</x:v>
      </x:c>
      <x:c r="CL40" s="11" t="n">
        <x:v>0</x:v>
      </x:c>
      <x:c r="CM40" s="11"/>
      <x:c r="CN40" s="11" t="n">
        <x:v>0</x:v>
      </x:c>
      <x:c r="CO40" s="11" t="n">
        <x:v>0</x:v>
      </x:c>
      <x:c r="CP40" s="8"/>
      <x:c r="CQ40" s="8" t="str">
        <x:v>Fort St. John</x:v>
      </x:c>
    </x:row>
    <x:row r="41">
      <x:c r="A41" s="8" t="str">
        <x:v>Barriere|2022</x:v>
      </x:c>
      <x:c r="B41" s="8" t="str">
        <x:v>barriere-d</x:v>
      </x:c>
      <x:c r="C41" s="8" t="str">
        <x:v>Barriere</x:v>
      </x:c>
      <x:c r="D41" s="8" t="str">
        <x:v>Barriere</x:v>
      </x:c>
      <x:c r="E41" s="8" t="str">
        <x:v>D</x:v>
      </x:c>
      <x:c r="F41" s="8" t="str">
        <x:v>TNR</x:v>
      </x:c>
      <x:c r="G41" s="9" t="n">
        <x:v>2022</x:v>
      </x:c>
      <x:c r="H41" s="10" t="n">
        <x:v>1913</x:v>
      </x:c>
      <x:c r="I41" s="8" t="str">
        <x:v>Under 5,000</x:v>
      </x:c>
      <x:c r="J41" s="11" t="n">
        <x:v>3457229</x:v>
      </x:c>
      <x:c r="K41" s="11" t="n">
        <x:v>3507323</x:v>
      </x:c>
      <x:c r="L41" s="11" t="n">
        <x:v>-50094</x:v>
      </x:c>
      <x:c r="M41" s="12" t="n">
        <x:v>-0.01448963895651691</x:v>
      </x:c>
      <x:c r="N41" s="11" t="n">
        <x:v>1043497</x:v>
      </x:c>
      <x:c r="O41" s="11" t="n">
        <x:v>1330327</x:v>
      </x:c>
      <x:c r="P41" s="11" t="n">
        <x:v>1046850</x:v>
      </x:c>
      <x:c r="Q41" s="11" t="n">
        <x:v>36555</x:v>
      </x:c>
      <x:c r="R41" s="11" t="n">
        <x:v>2859461</x:v>
      </x:c>
      <x:c r="S41" s="11" t="n">
        <x:v>647862</x:v>
      </x:c>
      <x:c r="T41" s="11" t="n">
        <x:v>4163928</x:v>
      </x:c>
      <x:c r="U41" s="11" t="n">
        <x:v>1683965</x:v>
      </x:c>
      <x:c r="V41" s="11" t="n">
        <x:v>3177405</x:v>
      </x:c>
      <x:c r="W41" s="11" t="n">
        <x:v>2122573</x:v>
      </x:c>
      <x:c r="X41" s="11" t="n">
        <x:v>0</x:v>
      </x:c>
      <x:c r="Y41" s="11" t="n">
        <x:v>0</x:v>
      </x:c>
      <x:c r="Z41" s="11" t="n">
        <x:v>0</x:v>
      </x:c>
      <x:c r="AA41" s="11" t="n">
        <x:v>0</x:v>
      </x:c>
      <x:c r="AB41" s="11" t="n">
        <x:v>0</x:v>
      </x:c>
      <x:c r="AC41" s="11" t="n">
        <x:v>0</x:v>
      </x:c>
      <x:c r="AD41" s="11" t="n">
        <x:v>746114</x:v>
      </x:c>
      <x:c r="AE41" s="11" t="n">
        <x:v>746114</x:v>
      </x:c>
      <x:c r="AF41" s="11" t="n">
        <x:v>2984454</x:v>
      </x:c>
      <x:c r="AG41" s="11" t="n">
        <x:v>35468271</x:v>
      </x:c>
      <x:c r="AH41" s="11" t="n">
        <x:v>8075616</x:v>
      </x:c>
      <x:c r="AI41" s="11" t="n">
        <x:v>27392655</x:v>
      </x:c>
      <x:c r="AJ41" s="11" t="n">
        <x:v>851412</x:v>
      </x:c>
      <x:c r="AK41" s="11" t="n">
        <x:v>4945629</x:v>
      </x:c>
      <x:c r="AL41" s="11" t="n">
        <x:v>0</x:v>
      </x:c>
      <x:c r="AM41" s="12" t="n">
        <x:v>1</x:v>
      </x:c>
      <x:c r="AN41" s="12" t="n">
        <x:v>0.1721544418313626</x:v>
      </x:c>
      <x:c r="AO41" s="11" t="n">
        <x:v>2645180</x:v>
      </x:c>
      <x:c r="AP41" s="11" t="n">
        <x:v>2338822</x:v>
      </x:c>
      <x:c r="AQ41" s="12" t="n">
        <x:v>0.8841825509039083</x:v>
      </x:c>
      <x:c r="AR41" s="11" t="n">
        <x:v>1807.228959749085</x:v>
      </x:c>
      <x:c r="AS41" s="11" t="n">
        <x:v>1833.4150548876112</x:v>
      </x:c>
      <x:c r="AT41" s="11" t="n">
        <x:v>1660.9539989545217</x:v>
      </x:c>
      <x:c r="AU41" s="11" t="n">
        <x:v>1109.5520125457397</x:v>
      </x:c>
      <x:c r="AV41" s="11" t="n">
        <x:v>0</x:v>
      </x:c>
      <x:c r="AW41" s="11" t="n">
        <x:v>2.4726927222359136</x:v>
      </x:c>
      <x:c r="AX41" s="12" t="n">
        <x:v>1</x:v>
      </x:c>
      <x:c r="AY41" s="11"/>
      <x:c r="AZ41" s="11"/>
      <x:c r="BA41" s="11"/>
      <x:c r="BB41" s="11"/>
      <x:c r="BC41" s="11"/>
      <x:c r="BD41" s="11"/>
      <x:c r="BE41" s="11"/>
      <x:c r="BF41" s="11"/>
      <x:c r="BG41" s="11"/>
      <x:c r="BH41" s="11"/>
      <x:c r="BI41" s="11"/>
      <x:c r="BJ41" s="11"/>
      <x:c r="BK41" s="12"/>
      <x:c r="BL41" s="12"/>
      <x:c r="BM41" s="12"/>
      <x:c r="BN41" s="12"/>
      <x:c r="BO41" s="12"/>
      <x:c r="BP41" s="12"/>
      <x:c r="BQ41" s="12"/>
      <x:c r="BR41" s="12"/>
      <x:c r="BS41" s="12"/>
      <x:c r="BT41" s="12"/>
      <x:c r="BU41" s="11" t="n">
        <x:v>331678</x:v>
      </x:c>
      <x:c r="BV41" s="11" t="n">
        <x:v>715172</x:v>
      </x:c>
      <x:c r="BW41" s="11" t="n">
        <x:v>0</x:v>
      </x:c>
      <x:c r="BX41" s="11" t="n">
        <x:v>36555</x:v>
      </x:c>
      <x:c r="BY41" s="11" t="n">
        <x:v>0</x:v>
      </x:c>
      <x:c r="BZ41" s="11" t="n">
        <x:v>0</x:v>
      </x:c>
      <x:c r="CA41" s="11" t="n">
        <x:v>0</x:v>
      </x:c>
      <x:c r="CB41" s="11" t="n">
        <x:v>0</x:v>
      </x:c>
      <x:c r="CC41" s="11" t="n">
        <x:v>1098552</x:v>
      </x:c>
      <x:c r="CD41" s="11" t="n">
        <x:v>158645</x:v>
      </x:c>
      <x:c r="CE41" s="11" t="n">
        <x:v>175822</x:v>
      </x:c>
      <x:c r="CF41" s="11" t="n">
        <x:v>0</x:v>
      </x:c>
      <x:c r="CG41" s="11" t="n">
        <x:v>46339</x:v>
      </x:c>
      <x:c r="CH41" s="11" t="n">
        <x:v>367146</x:v>
      </x:c>
      <x:c r="CI41" s="11" t="n">
        <x:v>332483</x:v>
      </x:c>
      <x:c r="CJ41" s="11" t="n">
        <x:v>429542</x:v>
      </x:c>
      <x:c r="CK41" s="11" t="n">
        <x:v>250932</x:v>
      </x:c>
      <x:c r="CL41" s="11" t="n">
        <x:v>0</x:v>
      </x:c>
      <x:c r="CM41" s="11"/>
      <x:c r="CN41" s="11" t="n">
        <x:v>0</x:v>
      </x:c>
      <x:c r="CO41" s="11" t="n">
        <x:v>0</x:v>
      </x:c>
      <x:c r="CP41" s="8"/>
      <x:c r="CQ41" s="8" t="str">
        <x:v>Fraser Lake</x:v>
      </x:c>
    </x:row>
    <x:row r="42">
      <x:c r="A42" s="8" t="str">
        <x:v>Barriere|2023</x:v>
      </x:c>
      <x:c r="B42" s="8" t="str">
        <x:v>barriere-d</x:v>
      </x:c>
      <x:c r="C42" s="8" t="str">
        <x:v>Barriere</x:v>
      </x:c>
      <x:c r="D42" s="8" t="str">
        <x:v>Barriere</x:v>
      </x:c>
      <x:c r="E42" s="8" t="str">
        <x:v>D</x:v>
      </x:c>
      <x:c r="F42" s="8" t="str">
        <x:v>TNR</x:v>
      </x:c>
      <x:c r="G42" s="9" t="n">
        <x:v>2023</x:v>
      </x:c>
      <x:c r="H42" s="10" t="n">
        <x:v>1982</x:v>
      </x:c>
      <x:c r="I42" s="8" t="str">
        <x:v>Under 5,000</x:v>
      </x:c>
      <x:c r="J42" s="11" t="n">
        <x:v>5961751</x:v>
      </x:c>
      <x:c r="K42" s="11" t="n">
        <x:v>3480129</x:v>
      </x:c>
      <x:c r="L42" s="11" t="n">
        <x:v>2481622</x:v>
      </x:c>
      <x:c r="M42" s="12" t="n">
        <x:v>0.4162572371774668</x:v>
      </x:c>
      <x:c r="N42" s="11" t="n">
        <x:v>1082241</x:v>
      </x:c>
      <x:c r="O42" s="11" t="n">
        <x:v>1256133</x:v>
      </x:c>
      <x:c r="P42" s="11" t="n">
        <x:v>3569215</x:v>
      </x:c>
      <x:c r="Q42" s="11" t="n">
        <x:v>54162</x:v>
      </x:c>
      <x:c r="R42" s="11" t="n">
        <x:v>2856709</x:v>
      </x:c>
      <x:c r="S42" s="11" t="n">
        <x:v>623420</x:v>
      </x:c>
      <x:c r="T42" s="11" t="n">
        <x:v>4706918</x:v>
      </x:c>
      <x:c r="U42" s="11" t="n">
        <x:v>1233539</x:v>
      </x:c>
      <x:c r="V42" s="11" t="n">
        <x:v>4432345</x:v>
      </x:c>
      <x:c r="W42" s="11" t="n">
        <x:v>891584</x:v>
      </x:c>
      <x:c r="X42" s="11" t="n">
        <x:v>0</x:v>
      </x:c>
      <x:c r="Y42" s="11" t="n">
        <x:v>0</x:v>
      </x:c>
      <x:c r="Z42" s="11" t="n">
        <x:v>0</x:v>
      </x:c>
      <x:c r="AA42" s="11" t="n">
        <x:v>0</x:v>
      </x:c>
      <x:c r="AB42" s="11" t="n">
        <x:v>0</x:v>
      </x:c>
      <x:c r="AC42" s="11" t="n">
        <x:v>0</x:v>
      </x:c>
      <x:c r="AD42" s="11" t="n">
        <x:v>705603</x:v>
      </x:c>
      <x:c r="AE42" s="11" t="n">
        <x:v>705603</x:v>
      </x:c>
      <x:c r="AF42" s="11" t="n">
        <x:v>2822411</x:v>
      </x:c>
      <x:c r="AG42" s="11" t="n">
        <x:v>37461592</x:v>
      </x:c>
      <x:c r="AH42" s="11" t="n">
        <x:v>8847513</x:v>
      </x:c>
      <x:c r="AI42" s="11" t="n">
        <x:v>28614079</x:v>
      </x:c>
      <x:c r="AJ42" s="11" t="n">
        <x:v>1934899</x:v>
      </x:c>
      <x:c r="AK42" s="11" t="n">
        <x:v>4945629</x:v>
      </x:c>
      <x:c r="AL42" s="11" t="n">
        <x:v>0</x:v>
      </x:c>
      <x:c r="AM42" s="12" t="n">
        <x:v>1</x:v>
      </x:c>
      <x:c r="AN42" s="12" t="n">
        <x:v>0.39123415848621074</x:v>
      </x:c>
      <x:c r="AO42" s="11" t="n">
        <x:v>2676390</x:v>
      </x:c>
      <x:c r="AP42" s="11" t="n">
        <x:v>2355029</x:v>
      </x:c>
      <x:c r="AQ42" s="12" t="n">
        <x:v>0.8799274395734553</x:v>
      </x:c>
      <x:c r="AR42" s="11" t="n">
        <x:v>3007.9470232088797</x:v>
      </x:c>
      <x:c r="AS42" s="11" t="n">
        <x:v>1755.8673057517658</x:v>
      </x:c>
      <x:c r="AT42" s="11" t="n">
        <x:v>2236.2991927346116</x:v>
      </x:c>
      <x:c r="AU42" s="11" t="n">
        <x:v>449.84056508577197</x:v>
      </x:c>
      <x:c r="AV42" s="11" t="n">
        <x:v>0</x:v>
      </x:c>
      <x:c r="AW42" s="11" t="n">
        <x:v>3.8157836922869888</x:v>
      </x:c>
      <x:c r="AX42" s="12" t="n">
        <x:v>1</x:v>
      </x:c>
      <x:c r="AY42" s="11"/>
      <x:c r="AZ42" s="11"/>
      <x:c r="BA42" s="11"/>
      <x:c r="BB42" s="11"/>
      <x:c r="BC42" s="11"/>
      <x:c r="BD42" s="11"/>
      <x:c r="BE42" s="11"/>
      <x:c r="BF42" s="11"/>
      <x:c r="BG42" s="11"/>
      <x:c r="BH42" s="11"/>
      <x:c r="BI42" s="11"/>
      <x:c r="BJ42" s="11"/>
      <x:c r="BK42" s="12"/>
      <x:c r="BL42" s="12"/>
      <x:c r="BM42" s="12"/>
      <x:c r="BN42" s="12"/>
      <x:c r="BO42" s="12"/>
      <x:c r="BP42" s="12"/>
      <x:c r="BQ42" s="12"/>
      <x:c r="BR42" s="12"/>
      <x:c r="BS42" s="12"/>
      <x:c r="BT42" s="12"/>
      <x:c r="BU42" s="11" t="n">
        <x:v>0</x:v>
      </x:c>
      <x:c r="BV42" s="11" t="n">
        <x:v>3243052</x:v>
      </x:c>
      <x:c r="BW42" s="11" t="n">
        <x:v>326163</x:v>
      </x:c>
      <x:c r="BX42" s="11" t="n">
        <x:v>53037</x:v>
      </x:c>
      <x:c r="BY42" s="11" t="n">
        <x:v>0</x:v>
      </x:c>
      <x:c r="BZ42" s="11" t="n">
        <x:v>1125</x:v>
      </x:c>
      <x:c r="CA42" s="11" t="n">
        <x:v>0</x:v>
      </x:c>
      <x:c r="CB42" s="11" t="n">
        <x:v>0</x:v>
      </x:c>
      <x:c r="CC42" s="11" t="n">
        <x:v>1100173</x:v>
      </x:c>
      <x:c r="CD42" s="11" t="n">
        <x:v>296195</x:v>
      </x:c>
      <x:c r="CE42" s="11" t="n">
        <x:v>198829</x:v>
      </x:c>
      <x:c r="CF42" s="11" t="n">
        <x:v>0</x:v>
      </x:c>
      <x:c r="CG42" s="11" t="n">
        <x:v>49393</x:v>
      </x:c>
      <x:c r="CH42" s="11" t="n">
        <x:v>458255</x:v>
      </x:c>
      <x:c r="CI42" s="11" t="n">
        <x:v>209153</x:v>
      </x:c>
      <x:c r="CJ42" s="11" t="n">
        <x:v>315242</x:v>
      </x:c>
      <x:c r="CK42" s="11" t="n">
        <x:v>219422</x:v>
      </x:c>
      <x:c r="CL42" s="11" t="n">
        <x:v>10047</x:v>
      </x:c>
      <x:c r="CM42" s="11" t="n">
        <x:v>0</x:v>
      </x:c>
      <x:c r="CN42" s="11" t="n">
        <x:v>0</x:v>
      </x:c>
      <x:c r="CO42" s="11" t="n">
        <x:v>0</x:v>
      </x:c>
      <x:c r="CP42" s="8"/>
      <x:c r="CQ42" s="8" t="str">
        <x:v>Fruitvale</x:v>
      </x:c>
    </x:row>
    <x:row r="43">
      <x:c r="A43" s="8" t="str">
        <x:v>Barriere|2024</x:v>
      </x:c>
      <x:c r="B43" s="8" t="str">
        <x:v>barriere-d</x:v>
      </x:c>
      <x:c r="C43" s="8" t="str">
        <x:v>Barriere</x:v>
      </x:c>
      <x:c r="D43" s="8" t="str">
        <x:v>Barriere</x:v>
      </x:c>
      <x:c r="E43" s="8" t="str">
        <x:v>D</x:v>
      </x:c>
      <x:c r="F43" s="8" t="str">
        <x:v>TNR</x:v>
      </x:c>
      <x:c r="G43" s="9" t="n">
        <x:v>2024</x:v>
      </x:c>
      <x:c r="H43" s="10" t="n">
        <x:v>1982</x:v>
      </x:c>
      <x:c r="I43" s="8" t="str">
        <x:v>Under 5,000</x:v>
      </x:c>
      <x:c r="J43" s="11"/>
      <x:c r="K43" s="11"/>
      <x:c r="L43" s="11"/>
      <x:c r="M43" s="12"/>
      <x:c r="N43" s="11"/>
      <x:c r="O43" s="11"/>
      <x:c r="P43" s="11" t="n">
        <x:v>0</x:v>
      </x:c>
      <x:c r="Q43" s="11" t="n">
        <x:v>0</x:v>
      </x:c>
      <x:c r="R43" s="11"/>
      <x:c r="S43" s="11"/>
      <x:c r="T43" s="11"/>
      <x:c r="U43" s="11"/>
      <x:c r="V43" s="11"/>
      <x:c r="W43" s="11" t="n">
        <x:v>0</x:v>
      </x:c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2"/>
      <x:c r="AN43" s="12"/>
      <x:c r="AO43" s="11"/>
      <x:c r="AP43" s="11"/>
      <x:c r="AQ43" s="12"/>
      <x:c r="AR43" s="11"/>
      <x:c r="AS43" s="11"/>
      <x:c r="AT43" s="11"/>
      <x:c r="AU43" s="11" t="n">
        <x:v>0</x:v>
      </x:c>
      <x:c r="AV43" s="11"/>
      <x:c r="AW43" s="11"/>
      <x:c r="AX43" s="12"/>
      <x:c r="AY43" s="11" t="n">
        <x:v>4486.511144130758</x:v>
      </x:c>
      <x:c r="AZ43" s="11" t="n">
        <x:v>3546.5079302077975</x:v>
      </x:c>
      <x:c r="BA43" s="11" t="n">
        <x:v>3557.844717668488</x:v>
      </x:c>
      <x:c r="BB43" s="11" t="n">
        <x:v>2783.665107049771</x:v>
      </x:c>
      <x:c r="BC43" s="11" t="n">
        <x:v>5496.677373974208</x:v>
      </x:c>
      <x:c r="BD43" s="11" t="n">
        <x:v>2437.8724475115623</x:v>
      </x:c>
      <x:c r="BE43" s="11" t="n">
        <x:v>3386.4506393861893</x:v>
      </x:c>
      <x:c r="BF43" s="11" t="n">
        <x:v>1604.3462673977224</x:v>
      </x:c>
      <x:c r="BG43" s="11" t="n">
        <x:v>624.7436119532265</x:v>
      </x:c>
      <x:c r="BH43" s="11" t="n">
        <x:v>518.5374381567245</x:v>
      </x:c>
      <x:c r="BI43" s="11" t="n">
        <x:v>3.324657351485151</x:v>
      </x:c>
      <x:c r="BJ43" s="11" t="n">
        <x:v>1.7099330852451193</x:v>
      </x:c>
      <x:c r="BK43" s="12" t="n">
        <x:v>0.02521828600111612</x:v>
      </x:c>
      <x:c r="BL43" s="12" t="n">
        <x:v>0.02529861000232605</x:v>
      </x:c>
      <x:c r="BM43" s="12" t="n">
        <x:v>0.9816336034641139</x:v>
      </x:c>
      <x:c r="BN43" s="12" t="n">
        <x:v>0.9815511712696461</x:v>
      </x:c>
      <x:c r="BO43" s="12" t="n">
        <x:v>0.8531878894527055</x:v>
      </x:c>
      <x:c r="BP43" s="12" t="n">
        <x:v>0.8619101997275483</x:v>
      </x:c>
      <x:c r="BQ43" s="12" t="n">
        <x:v>0.9614729661922712</x:v>
      </x:c>
      <x:c r="BR43" s="12" t="n">
        <x:v>0.9623635142836453</x:v>
      </x:c>
      <x:c r="BS43" s="12" t="n">
        <x:v>0.23352896680225554</x:v>
      </x:c>
      <x:c r="BT43" s="12" t="n">
        <x:v>0.19976549769108282</x:v>
      </x:c>
      <x:c r="BU43" s="11"/>
      <x:c r="BV43" s="11"/>
      <x:c r="BW43" s="11"/>
      <x:c r="BX43" s="11"/>
      <x:c r="BY43" s="11"/>
      <x:c r="BZ43" s="11"/>
      <x:c r="CA43" s="11"/>
      <x:c r="CB43" s="11"/>
      <x:c r="CC43" s="11"/>
      <x:c r="CD43" s="11"/>
      <x:c r="CE43" s="11"/>
      <x:c r="CF43" s="11"/>
      <x:c r="CG43" s="11"/>
      <x:c r="CH43" s="11"/>
      <x:c r="CI43" s="11"/>
      <x:c r="CJ43" s="11"/>
      <x:c r="CK43" s="11"/>
      <x:c r="CL43" s="11"/>
      <x:c r="CM43" s="11"/>
      <x:c r="CN43" s="11"/>
      <x:c r="CO43" s="11"/>
      <x:c r="CP43" s="8"/>
      <x:c r="CQ43" s="8" t="str">
        <x:v>Gibsons</x:v>
      </x:c>
    </x:row>
    <x:row r="44">
      <x:c r="A44" s="8" t="str">
        <x:v>Belcarra|2019</x:v>
      </x:c>
      <x:c r="B44" s="8" t="str">
        <x:v>belcarra-v</x:v>
      </x:c>
      <x:c r="C44" s="8" t="str">
        <x:v>Belcarra</x:v>
      </x:c>
      <x:c r="D44" s="8" t="str">
        <x:v>Belcarra</x:v>
      </x:c>
      <x:c r="E44" s="8" t="str">
        <x:v>V</x:v>
      </x:c>
      <x:c r="F44" s="8" t="str">
        <x:v>GVR</x:v>
      </x:c>
      <x:c r="G44" s="9" t="n">
        <x:v>2019</x:v>
      </x:c>
      <x:c r="H44" s="10" t="n">
        <x:v>693</x:v>
      </x:c>
      <x:c r="I44" s="8" t="str">
        <x:v>Under 5,000</x:v>
      </x:c>
      <x:c r="J44" s="11" t="n">
        <x:v>2055620</x:v>
      </x:c>
      <x:c r="K44" s="11" t="n">
        <x:v>1912899</x:v>
      </x:c>
      <x:c r="L44" s="11" t="n">
        <x:v>142721</x:v>
      </x:c>
      <x:c r="M44" s="12" t="n">
        <x:v>0.06942966112413773</x:v>
      </x:c>
      <x:c r="N44" s="11" t="n">
        <x:v>989977</x:v>
      </x:c>
      <x:c r="O44" s="11" t="n">
        <x:v>515054</x:v>
      </x:c>
      <x:c r="P44" s="11" t="n">
        <x:v>444807</x:v>
      </x:c>
      <x:c r="Q44" s="11" t="n">
        <x:v>105782</x:v>
      </x:c>
      <x:c r="R44" s="11" t="n">
        <x:v>1477818</x:v>
      </x:c>
      <x:c r="S44" s="11" t="n">
        <x:v>306282</x:v>
      </x:c>
      <x:c r="T44" s="11" t="n">
        <x:v>1912134</x:v>
      </x:c>
      <x:c r="U44" s="11" t="n">
        <x:v>4187710</x:v>
      </x:c>
      <x:c r="V44" s="11" t="n">
        <x:v>-2125043</x:v>
      </x:c>
      <x:c r="W44" s="11" t="n">
        <x:v>1164717</x:v>
      </x:c>
      <x:c r="X44" s="11" t="n">
        <x:v>3733956</x:v>
      </x:c>
      <x:c r="Y44" s="11" t="n">
        <x:v>0</x:v>
      </x:c>
      <x:c r="Z44" s="11" t="n">
        <x:v>106645</x:v>
      </x:c>
      <x:c r="AA44" s="11" t="n">
        <x:v>3599016</x:v>
      </x:c>
      <x:c r="AB44" s="11" t="n">
        <x:v>128799</x:v>
      </x:c>
      <x:c r="AC44" s="11" t="n">
        <x:v>235444</x:v>
      </x:c>
      <x:c r="AD44" s="11" t="n">
        <x:v>459750</x:v>
      </x:c>
      <x:c r="AE44" s="11" t="n">
        <x:v>224306</x:v>
      </x:c>
      <x:c r="AF44" s="11" t="n">
        <x:v>1839001</x:v>
      </x:c>
      <x:c r="AG44" s="11" t="n">
        <x:v>14264988</x:v>
      </x:c>
      <x:c r="AH44" s="11" t="n">
        <x:v>3196100</x:v>
      </x:c>
      <x:c r="AI44" s="11" t="n">
        <x:v>11068888</x:v>
      </x:c>
      <x:c r="AJ44" s="11" t="n">
        <x:v>74808</x:v>
      </x:c>
      <x:c r="AK44" s="11" t="n">
        <x:v>341987</x:v>
      </x:c>
      <x:c r="AL44" s="11" t="n">
        <x:v>0</x:v>
      </x:c>
      <x:c r="AM44" s="12" t="n">
        <x:v>1</x:v>
      </x:c>
      <x:c r="AN44" s="12" t="n">
        <x:v>0.21874515697965127</x:v>
      </x:c>
      <x:c r="AO44" s="11" t="n">
        <x:v>2389308</x:v>
      </x:c>
      <x:c r="AP44" s="11" t="n">
        <x:v>2374338</x:v>
      </x:c>
      <x:c r="AQ44" s="12" t="n">
        <x:v>0.9937345875877032</x:v>
      </x:c>
      <x:c r="AR44" s="11" t="n">
        <x:v>2966.2626262626263</x:v>
      </x:c>
      <x:c r="AS44" s="11" t="n">
        <x:v>2760.316017316017</x:v>
      </x:c>
      <x:c r="AT44" s="11" t="n">
        <x:v>-3066.4401154401153</x:v>
      </x:c>
      <x:c r="AU44" s="11" t="n">
        <x:v>1680.6883116883116</x:v>
      </x:c>
      <x:c r="AV44" s="11" t="n">
        <x:v>5193.385281385282</x:v>
      </x:c>
      <x:c r="AW44" s="11" t="n">
        <x:v>0.45660611646938304</x:v>
      </x:c>
      <x:c r="AX44" s="12" t="n">
        <x:v>0.4878868950516585</x:v>
      </x:c>
      <x:c r="AY44" s="11"/>
      <x:c r="AZ44" s="11"/>
      <x:c r="BA44" s="11"/>
      <x:c r="BB44" s="11"/>
      <x:c r="BC44" s="11"/>
      <x:c r="BD44" s="11"/>
      <x:c r="BE44" s="11"/>
      <x:c r="BF44" s="11"/>
      <x:c r="BG44" s="11"/>
      <x:c r="BH44" s="11"/>
      <x:c r="BI44" s="11"/>
      <x:c r="BJ44" s="11"/>
      <x:c r="BK44" s="12"/>
      <x:c r="BL44" s="12"/>
      <x:c r="BM44" s="12"/>
      <x:c r="BN44" s="12"/>
      <x:c r="BO44" s="12"/>
      <x:c r="BP44" s="12"/>
      <x:c r="BQ44" s="12"/>
      <x:c r="BR44" s="12"/>
      <x:c r="BS44" s="12"/>
      <x:c r="BT44" s="12"/>
      <x:c r="BU44" s="11" t="n">
        <x:v>114196</x:v>
      </x:c>
      <x:c r="BV44" s="11" t="n">
        <x:v>256483</x:v>
      </x:c>
      <x:c r="BW44" s="11" t="n">
        <x:v>74128</x:v>
      </x:c>
      <x:c r="BX44" s="11" t="n">
        <x:v>64676</x:v>
      </x:c>
      <x:c r="BY44" s="11" t="n">
        <x:v>0</x:v>
      </x:c>
      <x:c r="BZ44" s="11" t="n">
        <x:v>0</x:v>
      </x:c>
      <x:c r="CA44" s="11" t="n">
        <x:v>0</x:v>
      </x:c>
      <x:c r="CB44" s="11" t="n">
        <x:v>41106</x:v>
      </x:c>
      <x:c r="CC44" s="11" t="n">
        <x:v>697702</x:v>
      </x:c>
      <x:c r="CD44" s="11" t="n">
        <x:v>73830</x:v>
      </x:c>
      <x:c r="CE44" s="11" t="n">
        <x:v>115927</x:v>
      </x:c>
      <x:c r="CF44" s="11" t="n">
        <x:v>0</x:v>
      </x:c>
      <x:c r="CG44" s="11" t="n">
        <x:v>76332</x:v>
      </x:c>
      <x:c r="CH44" s="11" t="n">
        <x:v>280310</x:v>
      </x:c>
      <x:c r="CI44" s="11" t="n">
        <x:v>0</x:v>
      </x:c>
      <x:c r="CJ44" s="11" t="n">
        <x:v>345137</x:v>
      </x:c>
      <x:c r="CK44" s="11" t="n">
        <x:v>0</x:v>
      </x:c>
      <x:c r="CL44" s="11" t="n">
        <x:v>5049</x:v>
      </x:c>
      <x:c r="CM44" s="11"/>
      <x:c r="CN44" s="11" t="n">
        <x:v>12330</x:v>
      </x:c>
      <x:c r="CO44" s="11" t="n">
        <x:v>0</x:v>
      </x:c>
      <x:c r="CP44" s="8"/>
      <x:c r="CQ44" s="8" t="str">
        <x:v>Gold River</x:v>
      </x:c>
    </x:row>
    <x:row r="45">
      <x:c r="A45" s="8" t="str">
        <x:v>Belcarra|2020</x:v>
      </x:c>
      <x:c r="B45" s="8" t="str">
        <x:v>belcarra-v</x:v>
      </x:c>
      <x:c r="C45" s="8" t="str">
        <x:v>Belcarra</x:v>
      </x:c>
      <x:c r="D45" s="8" t="str">
        <x:v>Belcarra</x:v>
      </x:c>
      <x:c r="E45" s="8" t="str">
        <x:v>V</x:v>
      </x:c>
      <x:c r="F45" s="8" t="str">
        <x:v>GVR</x:v>
      </x:c>
      <x:c r="G45" s="9" t="n">
        <x:v>2020</x:v>
      </x:c>
      <x:c r="H45" s="10" t="n">
        <x:v>673</x:v>
      </x:c>
      <x:c r="I45" s="8" t="str">
        <x:v>Under 5,000</x:v>
      </x:c>
      <x:c r="J45" s="11" t="n">
        <x:v>2485811</x:v>
      </x:c>
      <x:c r="K45" s="11" t="n">
        <x:v>2080419</x:v>
      </x:c>
      <x:c r="L45" s="11" t="n">
        <x:v>405392</x:v>
      </x:c>
      <x:c r="M45" s="12" t="n">
        <x:v>0.1630823904150396</x:v>
      </x:c>
      <x:c r="N45" s="11" t="n">
        <x:v>1097018</x:v>
      </x:c>
      <x:c r="O45" s="11" t="n">
        <x:v>536132</x:v>
      </x:c>
      <x:c r="P45" s="11" t="n">
        <x:v>782959</x:v>
      </x:c>
      <x:c r="Q45" s="11" t="n">
        <x:v>69702</x:v>
      </x:c>
      <x:c r="R45" s="11" t="n">
        <x:v>1639585</x:v>
      </x:c>
      <x:c r="S45" s="11" t="n">
        <x:v>312035</x:v>
      </x:c>
      <x:c r="T45" s="11" t="n">
        <x:v>2420056</x:v>
      </x:c>
      <x:c r="U45" s="11" t="n">
        <x:v>3962107</x:v>
      </x:c>
      <x:c r="V45" s="11" t="n">
        <x:v>-1430370</x:v>
      </x:c>
      <x:c r="W45" s="11" t="n">
        <x:v>1502344</x:v>
      </x:c>
      <x:c r="X45" s="11" t="n">
        <x:v>3590915</x:v>
      </x:c>
      <x:c r="Y45" s="11" t="n">
        <x:v>0</x:v>
      </x:c>
      <x:c r="Z45" s="11" t="n">
        <x:v>106645</x:v>
      </x:c>
      <x:c r="AA45" s="11" t="n">
        <x:v>3449202</x:v>
      </x:c>
      <x:c r="AB45" s="11" t="n">
        <x:v>128799</x:v>
      </x:c>
      <x:c r="AC45" s="11" t="n">
        <x:v>235444</x:v>
      </x:c>
      <x:c r="AD45" s="11" t="n">
        <x:v>481376</x:v>
      </x:c>
      <x:c r="AE45" s="11" t="n">
        <x:v>245932</x:v>
      </x:c>
      <x:c r="AF45" s="11" t="n">
        <x:v>1925504</x:v>
      </x:c>
      <x:c r="AG45" s="11" t="n">
        <x:v>14312427</x:v>
      </x:c>
      <x:c r="AH45" s="11" t="n">
        <x:v>3508135</x:v>
      </x:c>
      <x:c r="AI45" s="11" t="n">
        <x:v>10804292</x:v>
      </x:c>
      <x:c r="AJ45" s="11" t="n">
        <x:v>47439</x:v>
      </x:c>
      <x:c r="AK45" s="11" t="n">
        <x:v>363330</x:v>
      </x:c>
      <x:c r="AL45" s="11" t="n">
        <x:v>0</x:v>
      </x:c>
      <x:c r="AM45" s="12" t="n">
        <x:v>1</x:v>
      </x:c>
      <x:c r="AN45" s="12" t="n">
        <x:v>0.13056725291057716</x:v>
      </x:c>
      <x:c r="AO45" s="11" t="n">
        <x:v>2417260</x:v>
      </x:c>
      <x:c r="AP45" s="11" t="n">
        <x:v>2402202</x:v>
      </x:c>
      <x:c r="AQ45" s="12" t="n">
        <x:v>0.9937706328653103</x:v>
      </x:c>
      <x:c r="AR45" s="11" t="n">
        <x:v>3693.627043090639</x:v>
      </x:c>
      <x:c r="AS45" s="11" t="n">
        <x:v>3091.2615156017832</x:v>
      </x:c>
      <x:c r="AT45" s="11" t="n">
        <x:v>-2125.3640416047547</x:v>
      </x:c>
      <x:c r="AU45" s="11" t="n">
        <x:v>2232.309063893016</x:v>
      </x:c>
      <x:c r="AV45" s="11" t="n">
        <x:v>5125.11441307578</x:v>
      </x:c>
      <x:c r="AW45" s="11" t="n">
        <x:v>0.6108002635971215</x:v>
      </x:c>
      <x:c r="AX45" s="12" t="n">
        <x:v>0.5108937711892575</x:v>
      </x:c>
      <x:c r="AY45" s="11"/>
      <x:c r="AZ45" s="11"/>
      <x:c r="BA45" s="11"/>
      <x:c r="BB45" s="11"/>
      <x:c r="BC45" s="11"/>
      <x:c r="BD45" s="11"/>
      <x:c r="BE45" s="11"/>
      <x:c r="BF45" s="11"/>
      <x:c r="BG45" s="11"/>
      <x:c r="BH45" s="11"/>
      <x:c r="BI45" s="11"/>
      <x:c r="BJ45" s="11"/>
      <x:c r="BK45" s="12"/>
      <x:c r="BL45" s="12"/>
      <x:c r="BM45" s="12"/>
      <x:c r="BN45" s="12"/>
      <x:c r="BO45" s="12"/>
      <x:c r="BP45" s="12"/>
      <x:c r="BQ45" s="12"/>
      <x:c r="BR45" s="12"/>
      <x:c r="BS45" s="12"/>
      <x:c r="BT45" s="12"/>
      <x:c r="BU45" s="11" t="n">
        <x:v>57049</x:v>
      </x:c>
      <x:c r="BV45" s="11" t="n">
        <x:v>647720</x:v>
      </x:c>
      <x:c r="BW45" s="11" t="n">
        <x:v>78190</x:v>
      </x:c>
      <x:c r="BX45" s="11" t="n">
        <x:v>69702</x:v>
      </x:c>
      <x:c r="BY45" s="11" t="n">
        <x:v>0</x:v>
      </x:c>
      <x:c r="BZ45" s="11" t="n">
        <x:v>0</x:v>
      </x:c>
      <x:c r="CA45" s="11" t="n">
        <x:v>0</x:v>
      </x:c>
      <x:c r="CB45" s="11" t="n">
        <x:v>0</x:v>
      </x:c>
      <x:c r="CC45" s="11" t="n">
        <x:v>754908</x:v>
      </x:c>
      <x:c r="CD45" s="11" t="n">
        <x:v>96440</x:v>
      </x:c>
      <x:c r="CE45" s="11" t="n">
        <x:v>117389</x:v>
      </x:c>
      <x:c r="CF45" s="11" t="n">
        <x:v>0</x:v>
      </x:c>
      <x:c r="CG45" s="11" t="n">
        <x:v>141308</x:v>
      </x:c>
      <x:c r="CH45" s="11" t="n">
        <x:v>337542</x:v>
      </x:c>
      <x:c r="CI45" s="11" t="n">
        <x:v>5703</x:v>
      </x:c>
      <x:c r="CJ45" s="11" t="n">
        <x:v>311791</x:v>
      </x:c>
      <x:c r="CK45" s="11" t="n">
        <x:v>0</x:v>
      </x:c>
      <x:c r="CL45" s="11" t="n">
        <x:v>3303</x:v>
      </x:c>
      <x:c r="CM45" s="11"/>
      <x:c r="CN45" s="11" t="n">
        <x:v>0</x:v>
      </x:c>
      <x:c r="CO45" s="11" t="n">
        <x:v>0</x:v>
      </x:c>
      <x:c r="CP45" s="8"/>
      <x:c r="CQ45" s="8" t="str">
        <x:v>Golden</x:v>
      </x:c>
    </x:row>
    <x:row r="46">
      <x:c r="A46" s="8" t="str">
        <x:v>Belcarra|2021</x:v>
      </x:c>
      <x:c r="B46" s="8" t="str">
        <x:v>belcarra-v</x:v>
      </x:c>
      <x:c r="C46" s="8" t="str">
        <x:v>Belcarra</x:v>
      </x:c>
      <x:c r="D46" s="8" t="str">
        <x:v>Belcarra</x:v>
      </x:c>
      <x:c r="E46" s="8" t="str">
        <x:v>V</x:v>
      </x:c>
      <x:c r="F46" s="8" t="str">
        <x:v>MVRD</x:v>
      </x:c>
      <x:c r="G46" s="9" t="n">
        <x:v>2021</x:v>
      </x:c>
      <x:c r="H46" s="10" t="n">
        <x:v>678</x:v>
      </x:c>
      <x:c r="I46" s="8" t="str">
        <x:v>Under 5,000</x:v>
      </x:c>
      <x:c r="J46" s="11" t="n">
        <x:v>2339581</x:v>
      </x:c>
      <x:c r="K46" s="11" t="n">
        <x:v>2124393</x:v>
      </x:c>
      <x:c r="L46" s="11" t="n">
        <x:v>215188</x:v>
      </x:c>
      <x:c r="M46" s="12" t="n">
        <x:v>0.09197715317400851</x:v>
      </x:c>
      <x:c r="N46" s="11" t="n">
        <x:v>1172197</x:v>
      </x:c>
      <x:c r="O46" s="11" t="n">
        <x:v>539309</x:v>
      </x:c>
      <x:c r="P46" s="11" t="n">
        <x:v>556343</x:v>
      </x:c>
      <x:c r="Q46" s="11" t="n">
        <x:v>71732</x:v>
      </x:c>
      <x:c r="R46" s="11" t="n">
        <x:v>1690929</x:v>
      </x:c>
      <x:c r="S46" s="11" t="n">
        <x:v>304665</x:v>
      </x:c>
      <x:c r="T46" s="11" t="n">
        <x:v>2749046</x:v>
      </x:c>
      <x:c r="U46" s="11" t="n">
        <x:v>3899498</x:v>
      </x:c>
      <x:c r="V46" s="11" t="n">
        <x:v>-964342</x:v>
      </x:c>
      <x:c r="W46" s="11" t="n">
        <x:v>1947914</x:v>
      </x:c>
      <x:c r="X46" s="11" t="n">
        <x:v>3449202</x:v>
      </x:c>
      <x:c r="Y46" s="11" t="n">
        <x:v>0</x:v>
      </x:c>
      <x:c r="Z46" s="11" t="n">
        <x:v>106645</x:v>
      </x:c>
      <x:c r="AA46" s="11" t="n">
        <x:v>3301843</x:v>
      </x:c>
      <x:c r="AB46" s="11" t="n">
        <x:v>128799</x:v>
      </x:c>
      <x:c r="AC46" s="11" t="n">
        <x:v>235444</x:v>
      </x:c>
      <x:c r="AD46" s="11" t="n">
        <x:v>500740</x:v>
      </x:c>
      <x:c r="AE46" s="11" t="n">
        <x:v>265296</x:v>
      </x:c>
      <x:c r="AF46" s="11" t="n">
        <x:v>2002960</x:v>
      </x:c>
      <x:c r="AG46" s="11" t="n">
        <x:v>14351647</x:v>
      </x:c>
      <x:c r="AH46" s="11" t="n">
        <x:v>3790442</x:v>
      </x:c>
      <x:c r="AI46" s="11" t="n">
        <x:v>10561205</x:v>
      </x:c>
      <x:c r="AJ46" s="11" t="n">
        <x:v>98590</x:v>
      </x:c>
      <x:c r="AK46" s="11" t="n">
        <x:v>21936318</x:v>
      </x:c>
      <x:c r="AL46" s="11" t="n">
        <x:v>0</x:v>
      </x:c>
      <x:c r="AM46" s="12" t="n">
        <x:v>1</x:v>
      </x:c>
      <x:c r="AN46" s="12" t="n">
        <x:v>0.004494373212496281</x:v>
      </x:c>
      <x:c r="AO46" s="11" t="n">
        <x:v>2563290</x:v>
      </x:c>
      <x:c r="AP46" s="11" t="n">
        <x:v>2546392</x:v>
      </x:c>
      <x:c r="AQ46" s="12" t="n">
        <x:v>0.9934076908972453</x:v>
      </x:c>
      <x:c r="AR46" s="11" t="n">
        <x:v>3450.7094395280237</x:v>
      </x:c>
      <x:c r="AS46" s="11" t="n">
        <x:v>3133.3230088495575</x:v>
      </x:c>
      <x:c r="AT46" s="11" t="n">
        <x:v>-1422.3333333333333</x:v>
      </x:c>
      <x:c r="AU46" s="11" t="n">
        <x:v>2873.029498525074</x:v>
      </x:c>
      <x:c r="AV46" s="11" t="n">
        <x:v>4869.974926253687</x:v>
      </x:c>
      <x:c r="AW46" s="11" t="n">
        <x:v>0.70497433259358</x:v>
      </x:c>
      <x:c r="AX46" s="12" t="n">
        <x:v>0.5298078843311899</x:v>
      </x:c>
      <x:c r="AY46" s="11"/>
      <x:c r="AZ46" s="11"/>
      <x:c r="BA46" s="11"/>
      <x:c r="BB46" s="11"/>
      <x:c r="BC46" s="11"/>
      <x:c r="BD46" s="11"/>
      <x:c r="BE46" s="11"/>
      <x:c r="BF46" s="11"/>
      <x:c r="BG46" s="11"/>
      <x:c r="BH46" s="11"/>
      <x:c r="BI46" s="11"/>
      <x:c r="BJ46" s="11"/>
      <x:c r="BK46" s="12"/>
      <x:c r="BL46" s="12"/>
      <x:c r="BM46" s="12"/>
      <x:c r="BN46" s="12"/>
      <x:c r="BO46" s="12"/>
      <x:c r="BP46" s="12"/>
      <x:c r="BQ46" s="12"/>
      <x:c r="BR46" s="12"/>
      <x:c r="BS46" s="12"/>
      <x:c r="BT46" s="12"/>
      <x:c r="BU46" s="11" t="n">
        <x:v>116941</x:v>
      </x:c>
      <x:c r="BV46" s="11" t="n">
        <x:v>260436</x:v>
      </x:c>
      <x:c r="BW46" s="11" t="n">
        <x:v>178966</x:v>
      </x:c>
      <x:c r="BX46" s="11" t="n">
        <x:v>71732</x:v>
      </x:c>
      <x:c r="BY46" s="11" t="n">
        <x:v>0</x:v>
      </x:c>
      <x:c r="BZ46" s="11" t="n">
        <x:v>0</x:v>
      </x:c>
      <x:c r="CA46" s="11" t="n">
        <x:v>0</x:v>
      </x:c>
      <x:c r="CB46" s="11" t="n">
        <x:v>0</x:v>
      </x:c>
      <x:c r="CC46" s="11" t="n">
        <x:v>698404</x:v>
      </x:c>
      <x:c r="CD46" s="11" t="n">
        <x:v>124771</x:v>
      </x:c>
      <x:c r="CE46" s="11" t="n">
        <x:v>147037</x:v>
      </x:c>
      <x:c r="CF46" s="11" t="n">
        <x:v>0</x:v>
      </x:c>
      <x:c r="CG46" s="11" t="n">
        <x:v>94130</x:v>
      </x:c>
      <x:c r="CH46" s="11" t="n">
        <x:v>318515</x:v>
      </x:c>
      <x:c r="CI46" s="11" t="n">
        <x:v>91</x:v>
      </x:c>
      <x:c r="CJ46" s="11" t="n">
        <x:v>397884</x:v>
      </x:c>
      <x:c r="CK46" s="11" t="n">
        <x:v>0</x:v>
      </x:c>
      <x:c r="CL46" s="11" t="n">
        <x:v>1884</x:v>
      </x:c>
      <x:c r="CM46" s="11"/>
      <x:c r="CN46" s="11" t="n">
        <x:v>37012</x:v>
      </x:c>
      <x:c r="CO46" s="11" t="n">
        <x:v>0</x:v>
      </x:c>
      <x:c r="CP46" s="8"/>
      <x:c r="CQ46" s="8" t="str">
        <x:v>Grand Forks</x:v>
      </x:c>
    </x:row>
    <x:row r="47">
      <x:c r="A47" s="8" t="str">
        <x:v>Belcarra|2022</x:v>
      </x:c>
      <x:c r="B47" s="8" t="str">
        <x:v>belcarra-v</x:v>
      </x:c>
      <x:c r="C47" s="8" t="str">
        <x:v>Belcarra</x:v>
      </x:c>
      <x:c r="D47" s="8" t="str">
        <x:v>Belcarra</x:v>
      </x:c>
      <x:c r="E47" s="8" t="str">
        <x:v>V</x:v>
      </x:c>
      <x:c r="F47" s="8" t="str">
        <x:v>MVRD</x:v>
      </x:c>
      <x:c r="G47" s="9" t="n">
        <x:v>2022</x:v>
      </x:c>
      <x:c r="H47" s="10" t="n">
        <x:v>716</x:v>
      </x:c>
      <x:c r="I47" s="8" t="str">
        <x:v>Under 5,000</x:v>
      </x:c>
      <x:c r="J47" s="11" t="n">
        <x:v>2552114</x:v>
      </x:c>
      <x:c r="K47" s="11" t="n">
        <x:v>2221815</x:v>
      </x:c>
      <x:c r="L47" s="11" t="n">
        <x:v>330299</x:v>
      </x:c>
      <x:c r="M47" s="12" t="n">
        <x:v>0.12942172645892777</x:v>
      </x:c>
      <x:c r="N47" s="11" t="n">
        <x:v>1219691</x:v>
      </x:c>
      <x:c r="O47" s="11" t="n">
        <x:v>666282</x:v>
      </x:c>
      <x:c r="P47" s="11" t="n">
        <x:v>551651</x:v>
      </x:c>
      <x:c r="Q47" s="11" t="n">
        <x:v>114490</x:v>
      </x:c>
      <x:c r="R47" s="11" t="n">
        <x:v>1784314</x:v>
      </x:c>
      <x:c r="S47" s="11" t="n">
        <x:v>303456</x:v>
      </x:c>
      <x:c r="T47" s="11" t="n">
        <x:v>3098578</x:v>
      </x:c>
      <x:c r="U47" s="11" t="n">
        <x:v>3848884</x:v>
      </x:c>
      <x:c r="V47" s="11" t="n">
        <x:v>-598098</x:v>
      </x:c>
      <x:c r="W47" s="11" t="n">
        <x:v>2174532</x:v>
      </x:c>
      <x:c r="X47" s="11" t="n">
        <x:v>3301843</x:v>
      </x:c>
      <x:c r="Y47" s="11" t="n">
        <x:v>0</x:v>
      </x:c>
      <x:c r="Z47" s="11" t="n">
        <x:v>106645</x:v>
      </x:c>
      <x:c r="AA47" s="11" t="n">
        <x:v>3150134</x:v>
      </x:c>
      <x:c r="AB47" s="11" t="n">
        <x:v>134045</x:v>
      </x:c>
      <x:c r="AC47" s="11" t="n">
        <x:v>240690</x:v>
      </x:c>
      <x:c r="AD47" s="11" t="n">
        <x:v>571374</x:v>
      </x:c>
      <x:c r="AE47" s="11" t="n">
        <x:v>330684</x:v>
      </x:c>
      <x:c r="AF47" s="11" t="n">
        <x:v>2285494</x:v>
      </x:c>
      <x:c r="AG47" s="11" t="n">
        <x:v>14592988</x:v>
      </x:c>
      <x:c r="AH47" s="11" t="n">
        <x:v>4086997</x:v>
      </x:c>
      <x:c r="AI47" s="11" t="n">
        <x:v>10505991</x:v>
      </x:c>
      <x:c r="AJ47" s="11" t="n">
        <x:v>248242</x:v>
      </x:c>
      <x:c r="AK47" s="11" t="n">
        <x:v>23284509</x:v>
      </x:c>
      <x:c r="AL47" s="11" t="n">
        <x:v>1132100</x:v>
      </x:c>
      <x:c r="AM47" s="12" t="n">
        <x:v>0.9513796919660191</x:v>
      </x:c>
      <x:c r="AN47" s="12" t="n">
        <x:v>0.010661251220715026</x:v>
      </x:c>
      <x:c r="AO47" s="11" t="n">
        <x:v>2823386</x:v>
      </x:c>
      <x:c r="AP47" s="11" t="n">
        <x:v>2821531</x:v>
      </x:c>
      <x:c r="AQ47" s="12" t="n">
        <x:v>0.9993429874625716</x:v>
      </x:c>
      <x:c r="AR47" s="11" t="n">
        <x:v>3564.405027932961</x:v>
      </x:c>
      <x:c r="AS47" s="11" t="n">
        <x:v>3103.0935754189945</x:v>
      </x:c>
      <x:c r="AT47" s="11" t="n">
        <x:v>-835.3324022346369</x:v>
      </x:c>
      <x:c r="AU47" s="11" t="n">
        <x:v>3037.0558659217877</x:v>
      </x:c>
      <x:c r="AV47" s="11" t="n">
        <x:v>4399.628491620112</x:v>
      </x:c>
      <x:c r="AW47" s="11" t="n">
        <x:v>0.8050588170493057</x:v>
      </x:c>
      <x:c r="AX47" s="12" t="n">
        <x:v>0.5787522708418654</x:v>
      </x:c>
      <x:c r="AY47" s="11"/>
      <x:c r="AZ47" s="11"/>
      <x:c r="BA47" s="11"/>
      <x:c r="BB47" s="11"/>
      <x:c r="BC47" s="11"/>
      <x:c r="BD47" s="11"/>
      <x:c r="BE47" s="11"/>
      <x:c r="BF47" s="11"/>
      <x:c r="BG47" s="11"/>
      <x:c r="BH47" s="11"/>
      <x:c r="BI47" s="11"/>
      <x:c r="BJ47" s="11"/>
      <x:c r="BK47" s="12"/>
      <x:c r="BL47" s="12"/>
      <x:c r="BM47" s="12"/>
      <x:c r="BN47" s="12"/>
      <x:c r="BO47" s="12"/>
      <x:c r="BP47" s="12"/>
      <x:c r="BQ47" s="12"/>
      <x:c r="BR47" s="12"/>
      <x:c r="BS47" s="12"/>
      <x:c r="BT47" s="12"/>
      <x:c r="BU47" s="11" t="n">
        <x:v>59891</x:v>
      </x:c>
      <x:c r="BV47" s="11" t="n">
        <x:v>330095</x:v>
      </x:c>
      <x:c r="BW47" s="11" t="n">
        <x:v>161665</x:v>
      </x:c>
      <x:c r="BX47" s="11" t="n">
        <x:v>114490</x:v>
      </x:c>
      <x:c r="BY47" s="11" t="n">
        <x:v>0</x:v>
      </x:c>
      <x:c r="BZ47" s="11" t="n">
        <x:v>0</x:v>
      </x:c>
      <x:c r="CA47" s="11" t="n">
        <x:v>0</x:v>
      </x:c>
      <x:c r="CB47" s="11" t="n">
        <x:v>0</x:v>
      </x:c>
      <x:c r="CC47" s="11" t="n">
        <x:v>652249</x:v>
      </x:c>
      <x:c r="CD47" s="11" t="n">
        <x:v>99405</x:v>
      </x:c>
      <x:c r="CE47" s="11" t="n">
        <x:v>160344</x:v>
      </x:c>
      <x:c r="CF47" s="11" t="n">
        <x:v>0</x:v>
      </x:c>
      <x:c r="CG47" s="11" t="n">
        <x:v>148769</x:v>
      </x:c>
      <x:c r="CH47" s="11" t="n">
        <x:v>377605</x:v>
      </x:c>
      <x:c r="CI47" s="11" t="n">
        <x:v>978</x:v>
      </x:c>
      <x:c r="CJ47" s="11" t="n">
        <x:v>475732</x:v>
      </x:c>
      <x:c r="CK47" s="11" t="n">
        <x:v>0</x:v>
      </x:c>
      <x:c r="CL47" s="11" t="n">
        <x:v>3277</x:v>
      </x:c>
      <x:c r="CM47" s="11"/>
      <x:c r="CN47" s="11" t="n">
        <x:v>0</x:v>
      </x:c>
      <x:c r="CO47" s="11" t="n">
        <x:v>0</x:v>
      </x:c>
      <x:c r="CP47" s="8"/>
      <x:c r="CQ47" s="8" t="str">
        <x:v>Granisle</x:v>
      </x:c>
    </x:row>
    <x:row r="48">
      <x:c r="A48" s="8" t="str">
        <x:v>Belcarra|2023</x:v>
      </x:c>
      <x:c r="B48" s="8" t="str">
        <x:v>belcarra-v</x:v>
      </x:c>
      <x:c r="C48" s="8" t="str">
        <x:v>Belcarra</x:v>
      </x:c>
      <x:c r="D48" s="8" t="str">
        <x:v>Belcarra</x:v>
      </x:c>
      <x:c r="E48" s="8" t="str">
        <x:v>V</x:v>
      </x:c>
      <x:c r="F48" s="8" t="str">
        <x:v>MVRD</x:v>
      </x:c>
      <x:c r="G48" s="9" t="n">
        <x:v>2023</x:v>
      </x:c>
      <x:c r="H48" s="10" t="n">
        <x:v>729</x:v>
      </x:c>
      <x:c r="I48" s="8" t="str">
        <x:v>Under 5,000</x:v>
      </x:c>
      <x:c r="J48" s="11" t="n">
        <x:v>3618533</x:v>
      </x:c>
      <x:c r="K48" s="11" t="n">
        <x:v>2507634</x:v>
      </x:c>
      <x:c r="L48" s="11" t="n">
        <x:v>1110899</x:v>
      </x:c>
      <x:c r="M48" s="12" t="n">
        <x:v>0.30700258917080486</x:v>
      </x:c>
      <x:c r="N48" s="11" t="n">
        <x:v>1290160</x:v>
      </x:c>
      <x:c r="O48" s="11" t="n">
        <x:v>769436</x:v>
      </x:c>
      <x:c r="P48" s="11" t="n">
        <x:v>1329802</x:v>
      </x:c>
      <x:c r="Q48" s="11" t="n">
        <x:v>229135</x:v>
      </x:c>
      <x:c r="R48" s="11" t="n">
        <x:v>2050216</x:v>
      </x:c>
      <x:c r="S48" s="11" t="n">
        <x:v>306857</x:v>
      </x:c>
      <x:c r="T48" s="11" t="n">
        <x:v>4088372</x:v>
      </x:c>
      <x:c r="U48" s="11" t="n">
        <x:v>3735373</x:v>
      </x:c>
      <x:c r="V48" s="11" t="n">
        <x:v>593414</x:v>
      </x:c>
      <x:c r="W48" s="11" t="n">
        <x:v>3210860</x:v>
      </x:c>
      <x:c r="X48" s="11" t="n">
        <x:v>3150134</x:v>
      </x:c>
      <x:c r="Y48" s="11" t="n">
        <x:v>0</x:v>
      </x:c>
      <x:c r="Z48" s="11" t="n">
        <x:v>119002</x:v>
      </x:c>
      <x:c r="AA48" s="11" t="n">
        <x:v>2984969</x:v>
      </x:c>
      <x:c r="AB48" s="11" t="n">
        <x:v>150561</x:v>
      </x:c>
      <x:c r="AC48" s="11" t="n">
        <x:v>269563</x:v>
      </x:c>
      <x:c r="AD48" s="11" t="n">
        <x:v>625392</x:v>
      </x:c>
      <x:c r="AE48" s="11" t="n">
        <x:v>355829</x:v>
      </x:c>
      <x:c r="AF48" s="11" t="n">
        <x:v>2501568</x:v>
      </x:c>
      <x:c r="AG48" s="11" t="n">
        <x:v>14734961</x:v>
      </x:c>
      <x:c r="AH48" s="11" t="n">
        <x:v>4305931</x:v>
      </x:c>
      <x:c r="AI48" s="11" t="n">
        <x:v>10429030</x:v>
      </x:c>
      <x:c r="AJ48" s="11" t="n">
        <x:v>295603</x:v>
      </x:c>
      <x:c r="AK48" s="11" t="n">
        <x:v>21885401</x:v>
      </x:c>
      <x:c r="AL48" s="11" t="n">
        <x:v>575737</x:v>
      </x:c>
      <x:c r="AM48" s="12" t="n">
        <x:v>0.9736931025389939</x:v>
      </x:c>
      <x:c r="AN48" s="12" t="n">
        <x:v>0.013506857836417984</x:v>
      </x:c>
      <x:c r="AO48" s="11" t="n">
        <x:v>3154556</x:v>
      </x:c>
      <x:c r="AP48" s="11" t="n">
        <x:v>3123987</x:v>
      </x:c>
      <x:c r="AQ48" s="12" t="n">
        <x:v>0.9903095712994159</x:v>
      </x:c>
      <x:c r="AR48" s="11" t="n">
        <x:v>4963.694101508916</x:v>
      </x:c>
      <x:c r="AS48" s="11" t="n">
        <x:v>3439.8271604938273</x:v>
      </x:c>
      <x:c r="AT48" s="11" t="n">
        <x:v>814.0109739368999</x:v>
      </x:c>
      <x:c r="AU48" s="11" t="n">
        <x:v>4404.471879286694</x:v>
      </x:c>
      <x:c r="AV48" s="11" t="n">
        <x:v>4094.60768175583</x:v>
      </x:c>
      <x:c r="AW48" s="11" t="n">
        <x:v>1.094501673594578</x:v>
      </x:c>
      <x:c r="AX48" s="12" t="n">
        <x:v>0.5689695423030675</x:v>
      </x:c>
      <x:c r="AY48" s="11"/>
      <x:c r="AZ48" s="11"/>
      <x:c r="BA48" s="11"/>
      <x:c r="BB48" s="11"/>
      <x:c r="BC48" s="11"/>
      <x:c r="BD48" s="11"/>
      <x:c r="BE48" s="11"/>
      <x:c r="BF48" s="11"/>
      <x:c r="BG48" s="11"/>
      <x:c r="BH48" s="11"/>
      <x:c r="BI48" s="11"/>
      <x:c r="BJ48" s="11"/>
      <x:c r="BK48" s="12"/>
      <x:c r="BL48" s="12"/>
      <x:c r="BM48" s="12"/>
      <x:c r="BN48" s="12"/>
      <x:c r="BO48" s="12"/>
      <x:c r="BP48" s="12"/>
      <x:c r="BQ48" s="12"/>
      <x:c r="BR48" s="12"/>
      <x:c r="BS48" s="12"/>
      <x:c r="BT48" s="12"/>
      <x:c r="BU48" s="11" t="n">
        <x:v>62973</x:v>
      </x:c>
      <x:c r="BV48" s="11" t="n">
        <x:v>1021284</x:v>
      </x:c>
      <x:c r="BW48" s="11" t="n">
        <x:v>245545</x:v>
      </x:c>
      <x:c r="BX48" s="11" t="n">
        <x:v>229135</x:v>
      </x:c>
      <x:c r="BY48" s="11" t="n">
        <x:v>0</x:v>
      </x:c>
      <x:c r="BZ48" s="11" t="n">
        <x:v>0</x:v>
      </x:c>
      <x:c r="CA48" s="11" t="n">
        <x:v>0</x:v>
      </x:c>
      <x:c r="CB48" s="11" t="n">
        <x:v>0</x:v>
      </x:c>
      <x:c r="CC48" s="11" t="n">
        <x:v>686336</x:v>
      </x:c>
      <x:c r="CD48" s="11" t="n">
        <x:v>106756</x:v>
      </x:c>
      <x:c r="CE48" s="11" t="n">
        <x:v>199720</x:v>
      </x:c>
      <x:c r="CF48" s="11" t="n">
        <x:v>0</x:v>
      </x:c>
      <x:c r="CG48" s="11" t="n">
        <x:v>194233</x:v>
      </x:c>
      <x:c r="CH48" s="11" t="n">
        <x:v>376896</x:v>
      </x:c>
      <x:c r="CI48" s="11" t="n">
        <x:v>17164</x:v>
      </x:c>
      <x:c r="CJ48" s="11" t="n">
        <x:v>547126</x:v>
      </x:c>
      <x:c r="CK48" s="11" t="n">
        <x:v>0</x:v>
      </x:c>
      <x:c r="CL48" s="11" t="n">
        <x:v>6839</x:v>
      </x:c>
      <x:c r="CM48" s="11" t="n">
        <x:v>0</x:v>
      </x:c>
      <x:c r="CN48" s="11" t="n">
        <x:v>65707</x:v>
      </x:c>
      <x:c r="CO48" s="11" t="n">
        <x:v>0</x:v>
      </x:c>
      <x:c r="CP48" s="8"/>
      <x:c r="CQ48" s="8" t="str">
        <x:v>Greenwood</x:v>
      </x:c>
    </x:row>
    <x:row r="49">
      <x:c r="A49" s="8" t="str">
        <x:v>Belcarra|2024</x:v>
      </x:c>
      <x:c r="B49" s="8" t="str">
        <x:v>belcarra-v</x:v>
      </x:c>
      <x:c r="C49" s="8" t="str">
        <x:v>Belcarra</x:v>
      </x:c>
      <x:c r="D49" s="8" t="str">
        <x:v>Belcarra</x:v>
      </x:c>
      <x:c r="E49" s="8" t="str">
        <x:v>V</x:v>
      </x:c>
      <x:c r="F49" s="8" t="str">
        <x:v>MVRD</x:v>
      </x:c>
      <x:c r="G49" s="9" t="n">
        <x:v>2024</x:v>
      </x:c>
      <x:c r="H49" s="10" t="n">
        <x:v>729</x:v>
      </x:c>
      <x:c r="I49" s="8" t="str">
        <x:v>Under 5,000</x:v>
      </x:c>
      <x:c r="J49" s="11" t="n">
        <x:v>3242083</x:v>
      </x:c>
      <x:c r="K49" s="11" t="n">
        <x:v>2537176</x:v>
      </x:c>
      <x:c r="L49" s="11" t="n">
        <x:v>704907</x:v>
      </x:c>
      <x:c r="M49" s="12" t="n">
        <x:v>0.21742410666229087</x:v>
      </x:c>
      <x:c r="N49" s="11" t="n">
        <x:v>1390116</x:v>
      </x:c>
      <x:c r="O49" s="11" t="n">
        <x:v>807593</x:v>
      </x:c>
      <x:c r="P49" s="11" t="n">
        <x:v>783426</x:v>
      </x:c>
      <x:c r="Q49" s="11" t="n">
        <x:v>260948</x:v>
      </x:c>
      <x:c r="R49" s="11" t="n">
        <x:v>2091219</x:v>
      </x:c>
      <x:c r="S49" s="11" t="n">
        <x:v>295396</x:v>
      </x:c>
      <x:c r="T49" s="11" t="n">
        <x:v>4276014</x:v>
      </x:c>
      <x:c r="U49" s="11" t="n">
        <x:v>3723227</x:v>
      </x:c>
      <x:c r="V49" s="11" t="n">
        <x:v>940978</x:v>
      </x:c>
      <x:c r="W49" s="11" t="n">
        <x:v>3400333</x:v>
      </x:c>
      <x:c r="X49" s="11" t="n">
        <x:v>2984969</x:v>
      </x:c>
      <x:c r="Y49" s="11" t="n">
        <x:v>0</x:v>
      </x:c>
      <x:c r="Z49" s="11" t="n">
        <x:v>119002</x:v>
      </x:c>
      <x:c r="AA49" s="11" t="n">
        <x:v>2813955</x:v>
      </x:c>
      <x:c r="AB49" s="11" t="n">
        <x:v>150561</x:v>
      </x:c>
      <x:c r="AC49" s="11" t="n">
        <x:v>269563</x:v>
      </x:c>
      <x:c r="AD49" s="11" t="n">
        <x:v>673811</x:v>
      </x:c>
      <x:c r="AE49" s="11" t="n">
        <x:v>404248</x:v>
      </x:c>
      <x:c r="AF49" s="11" t="n">
        <x:v>2695245</x:v>
      </x:c>
      <x:c r="AG49" s="11" t="n">
        <x:v>15322061</x:v>
      </x:c>
      <x:c r="AH49" s="11" t="n">
        <x:v>4583513</x:v>
      </x:c>
      <x:c r="AI49" s="11" t="n">
        <x:v>10738548</x:v>
      </x:c>
      <x:c r="AJ49" s="11" t="n">
        <x:v>612408</x:v>
      </x:c>
      <x:c r="AK49" s="11" t="n">
        <x:v>22487952</x:v>
      </x:c>
      <x:c r="AL49" s="11" t="n">
        <x:v>601923</x:v>
      </x:c>
      <x:c r="AM49" s="12" t="n">
        <x:v>0.9732335341164016</x:v>
      </x:c>
      <x:c r="AN49" s="12" t="n">
        <x:v>0.027232715544750364</x:v>
      </x:c>
      <x:c r="AO49" s="11" t="n">
        <x:v>3511696</x:v>
      </x:c>
      <x:c r="AP49" s="11" t="n">
        <x:v>3398713</x:v>
      </x:c>
      <x:c r="AQ49" s="12" t="n">
        <x:v>0.9678266569771415</x:v>
      </x:c>
      <x:c r="AR49" s="11" t="n">
        <x:v>4447.3017832647465</x:v>
      </x:c>
      <x:c r="AS49" s="11" t="n">
        <x:v>3480.3511659807955</x:v>
      </x:c>
      <x:c r="AT49" s="11" t="n">
        <x:v>1290.7791495198903</x:v>
      </x:c>
      <x:c r="AU49" s="11" t="n">
        <x:v>4664.379972565158</x:v>
      </x:c>
      <x:c r="AV49" s="11" t="n">
        <x:v>3860.0205761316874</x:v>
      </x:c>
      <x:c r="AW49" s="11" t="n">
        <x:v>1.148469862299559</x:v>
      </x:c>
      <x:c r="AX49" s="12" t="n">
        <x:v>0.5999427139064218</x:v>
      </x:c>
      <x:c r="AY49" s="11" t="n">
        <x:v>4648.097865362712</x:v>
      </x:c>
      <x:c r="AZ49" s="11" t="n">
        <x:v>3546.5079302077975</x:v>
      </x:c>
      <x:c r="BA49" s="11" t="n">
        <x:v>3428.422456291105</x:v>
      </x:c>
      <x:c r="BB49" s="11" t="n">
        <x:v>2783.665107049771</x:v>
      </x:c>
      <x:c r="BC49" s="11" t="n">
        <x:v>5030.364110900993</x:v>
      </x:c>
      <x:c r="BD49" s="11" t="n">
        <x:v>2437.8724475115623</x:v>
      </x:c>
      <x:c r="BE49" s="11" t="n">
        <x:v>2420.45</x:v>
      </x:c>
      <x:c r="BF49" s="11" t="n">
        <x:v>1604.3462673977224</x:v>
      </x:c>
      <x:c r="BG49" s="11" t="n">
        <x:v>224.31236112962716</x:v>
      </x:c>
      <x:c r="BH49" s="11" t="n">
        <x:v>518.5374381567245</x:v>
      </x:c>
      <x:c r="BI49" s="11" t="n">
        <x:v>2.204313821553219</x:v>
      </x:c>
      <x:c r="BJ49" s="11" t="n">
        <x:v>1.7099330852451193</x:v>
      </x:c>
      <x:c r="BK49" s="12" t="n">
        <x:v>0.030042455998363887</x:v>
      </x:c>
      <x:c r="BL49" s="12" t="n">
        <x:v>0.02529861000232605</x:v>
      </x:c>
      <x:c r="BM49" s="12" t="n">
        <x:v>0.9786113537119745</x:v>
      </x:c>
      <x:c r="BN49" s="12" t="n">
        <x:v>0.9815511712696461</x:v>
      </x:c>
      <x:c r="BO49" s="12" t="n">
        <x:v>0.9039920521842442</x:v>
      </x:c>
      <x:c r="BP49" s="12" t="n">
        <x:v>0.8619101997275483</x:v>
      </x:c>
      <x:c r="BQ49" s="12" t="n">
        <x:v>0.9333160528846489</x:v>
      </x:c>
      <x:c r="BR49" s="12" t="n">
        <x:v>0.9623635142836453</x:v>
      </x:c>
      <x:c r="BS49" s="12" t="n">
        <x:v>0.20869205825466772</x:v>
      </x:c>
      <x:c r="BT49" s="12" t="n">
        <x:v>0.19976549769108282</x:v>
      </x:c>
      <x:c r="BU49" s="11" t="n">
        <x:v>65632</x:v>
      </x:c>
      <x:c r="BV49" s="11" t="n">
        <x:v>469633</x:v>
      </x:c>
      <x:c r="BW49" s="11" t="n">
        <x:v>248161</x:v>
      </x:c>
      <x:c r="BX49" s="11" t="n">
        <x:v>260948</x:v>
      </x:c>
      <x:c r="BY49" s="11" t="n">
        <x:v>0</x:v>
      </x:c>
      <x:c r="BZ49" s="11" t="n">
        <x:v>0</x:v>
      </x:c>
      <x:c r="CA49" s="11" t="n">
        <x:v>0</x:v>
      </x:c>
      <x:c r="CB49" s="11" t="n">
        <x:v>0</x:v>
      </x:c>
      <x:c r="CC49" s="11" t="n">
        <x:v>718784</x:v>
      </x:c>
      <x:c r="CD49" s="11" t="n">
        <x:v>127284</x:v>
      </x:c>
      <x:c r="CE49" s="11" t="n">
        <x:v>223098</x:v>
      </x:c>
      <x:c r="CF49" s="11" t="n">
        <x:v>0</x:v>
      </x:c>
      <x:c r="CG49" s="11" t="n">
        <x:v>165105</x:v>
      </x:c>
      <x:c r="CH49" s="11" t="n">
        <x:v>421144</x:v>
      </x:c>
      <x:c r="CI49" s="11" t="n">
        <x:v>51</x:v>
      </x:c>
      <x:c r="CJ49" s="11" t="n">
        <x:v>571507</x:v>
      </x:c>
      <x:c r="CK49" s="11" t="n">
        <x:v>0</x:v>
      </x:c>
      <x:c r="CL49" s="11" t="n">
        <x:v>7313</x:v>
      </x:c>
      <x:c r="CM49" s="11" t="n">
        <x:v>0</x:v>
      </x:c>
      <x:c r="CN49" s="11" t="n">
        <x:v>7494</x:v>
      </x:c>
      <x:c r="CO49" s="11" t="n">
        <x:v>0</x:v>
      </x:c>
      <x:c r="CP49" s="8"/>
      <x:c r="CQ49" s="8" t="str">
        <x:v>Harrison Hot Springs</x:v>
      </x:c>
    </x:row>
    <x:row r="50">
      <x:c r="A50" s="8" t="str">
        <x:v>Bowen Island|2019</x:v>
      </x:c>
      <x:c r="B50" s="8" t="str">
        <x:v>bowen-island-d</x:v>
      </x:c>
      <x:c r="C50" s="8" t="str">
        <x:v>Bowen Island</x:v>
      </x:c>
      <x:c r="D50" s="8" t="str">
        <x:v>Bowen Island</x:v>
      </x:c>
      <x:c r="E50" s="8" t="str">
        <x:v>D</x:v>
      </x:c>
      <x:c r="F50" s="8" t="str">
        <x:v>GVR</x:v>
      </x:c>
      <x:c r="G50" s="9" t="n">
        <x:v>2019</x:v>
      </x:c>
      <x:c r="H50" s="10" t="n">
        <x:v>3957</x:v>
      </x:c>
      <x:c r="I50" s="8" t="str">
        <x:v>Under 5,000</x:v>
      </x:c>
      <x:c r="J50" s="11" t="n">
        <x:v>10338020</x:v>
      </x:c>
      <x:c r="K50" s="11" t="n">
        <x:v>9054894</x:v>
      </x:c>
      <x:c r="L50" s="11" t="n">
        <x:v>1283126</x:v>
      </x:c>
      <x:c r="M50" s="12" t="n">
        <x:v>0.12411719071930602</x:v>
      </x:c>
      <x:c r="N50" s="11" t="n">
        <x:v>6491675</x:v>
      </x:c>
      <x:c r="O50" s="11" t="n">
        <x:v>1703683</x:v>
      </x:c>
      <x:c r="P50" s="11" t="n">
        <x:v>1091418</x:v>
      </x:c>
      <x:c r="Q50" s="11" t="n">
        <x:v>1051244</x:v>
      </x:c>
      <x:c r="R50" s="11" t="n">
        <x:v>7312416</x:v>
      </x:c>
      <x:c r="S50" s="11" t="n">
        <x:v>1639294</x:v>
      </x:c>
      <x:c r="T50" s="11" t="n">
        <x:v>12603968</x:v>
      </x:c>
      <x:c r="U50" s="11" t="n">
        <x:v>6215643</x:v>
      </x:c>
      <x:c r="V50" s="11" t="n">
        <x:v>7284050</x:v>
      </x:c>
      <x:c r="W50" s="11" t="n">
        <x:v>6228449</x:v>
      </x:c>
      <x:c r="X50" s="11" t="n">
        <x:v>2076319</x:v>
      </x:c>
      <x:c r="Y50" s="11" t="n">
        <x:v>0</x:v>
      </x:c>
      <x:c r="Z50" s="11" t="n">
        <x:v>78649</x:v>
      </x:c>
      <x:c r="AA50" s="11" t="n">
        <x:v>1979397</x:v>
      </x:c>
      <x:c r="AB50" s="11" t="n">
        <x:v>103184</x:v>
      </x:c>
      <x:c r="AC50" s="11" t="n">
        <x:v>181833</x:v>
      </x:c>
      <x:c r="AD50" s="11" t="n">
        <x:v>2270243</x:v>
      </x:c>
      <x:c r="AE50" s="11" t="n">
        <x:v>2088410</x:v>
      </x:c>
      <x:c r="AF50" s="11" t="n">
        <x:v>9080973</x:v>
      </x:c>
      <x:c r="AG50" s="11" t="n">
        <x:v>84716086</x:v>
      </x:c>
      <x:c r="AH50" s="11" t="n">
        <x:v>23848470</x:v>
      </x:c>
      <x:c r="AI50" s="11" t="n">
        <x:v>60867616</x:v>
      </x:c>
      <x:c r="AJ50" s="11" t="n">
        <x:v>3774804</x:v>
      </x:c>
      <x:c r="AK50" s="11" t="n">
        <x:v>26964255</x:v>
      </x:c>
      <x:c r="AL50" s="11" t="n">
        <x:v>0</x:v>
      </x:c>
      <x:c r="AM50" s="12" t="n">
        <x:v>1</x:v>
      </x:c>
      <x:c r="AN50" s="12" t="n">
        <x:v>0.13999289058792835</x:v>
      </x:c>
      <x:c r="AO50" s="11" t="n">
        <x:v>10966633</x:v>
      </x:c>
      <x:c r="AP50" s="11" t="n">
        <x:v>10619170</x:v>
      </x:c>
      <x:c r="AQ50" s="12" t="n">
        <x:v>0.9683163465030699</x:v>
      </x:c>
      <x:c r="AR50" s="11" t="n">
        <x:v>2612.5903462218853</x:v>
      </x:c>
      <x:c r="AS50" s="11" t="n">
        <x:v>2288.3229719484457</x:v>
      </x:c>
      <x:c r="AT50" s="11" t="n">
        <x:v>1840.8011119535001</x:v>
      </x:c>
      <x:c r="AU50" s="11" t="n">
        <x:v>1574.0331058882991</x:v>
      </x:c>
      <x:c r="AV50" s="11" t="n">
        <x:v>500.226686884003</x:v>
      </x:c>
      <x:c r="AW50" s="11" t="n">
        <x:v>2.0277818401088994</x:v>
      </x:c>
      <x:c r="AX50" s="12" t="n">
        <x:v>0.9199059307748113</x:v>
      </x:c>
      <x:c r="AY50" s="11"/>
      <x:c r="AZ50" s="11"/>
      <x:c r="BA50" s="11"/>
      <x:c r="BB50" s="11"/>
      <x:c r="BC50" s="11"/>
      <x:c r="BD50" s="11"/>
      <x:c r="BE50" s="11"/>
      <x:c r="BF50" s="11"/>
      <x:c r="BG50" s="11"/>
      <x:c r="BH50" s="11"/>
      <x:c r="BI50" s="11"/>
      <x:c r="BJ50" s="11"/>
      <x:c r="BK50" s="12"/>
      <x:c r="BL50" s="12"/>
      <x:c r="BM50" s="12"/>
      <x:c r="BN50" s="12"/>
      <x:c r="BO50" s="12"/>
      <x:c r="BP50" s="12"/>
      <x:c r="BQ50" s="12"/>
      <x:c r="BR50" s="12"/>
      <x:c r="BS50" s="12"/>
      <x:c r="BT50" s="12"/>
      <x:c r="BU50" s="11" t="n">
        <x:v>254167</x:v>
      </x:c>
      <x:c r="BV50" s="11" t="n">
        <x:v>837251</x:v>
      </x:c>
      <x:c r="BW50" s="11" t="n">
        <x:v>0</x:v>
      </x:c>
      <x:c r="BX50" s="11" t="n">
        <x:v>338819</x:v>
      </x:c>
      <x:c r="BY50" s="11" t="n">
        <x:v>0</x:v>
      </x:c>
      <x:c r="BZ50" s="11" t="n">
        <x:v>571387</x:v>
      </x:c>
      <x:c r="CA50" s="11" t="n">
        <x:v>0</x:v>
      </x:c>
      <x:c r="CB50" s="11" t="n">
        <x:v>141038</x:v>
      </x:c>
      <x:c r="CC50" s="11" t="n">
        <x:v>1624763</x:v>
      </x:c>
      <x:c r="CD50" s="11" t="n">
        <x:v>806737</x:v>
      </x:c>
      <x:c r="CE50" s="11" t="n">
        <x:v>1000510</x:v>
      </x:c>
      <x:c r="CF50" s="11" t="n">
        <x:v>0</x:v>
      </x:c>
      <x:c r="CG50" s="11" t="n">
        <x:v>716906</x:v>
      </x:c>
      <x:c r="CH50" s="11" t="n">
        <x:v>873484</x:v>
      </x:c>
      <x:c r="CI50" s="11" t="n">
        <x:v>1202194</x:v>
      </x:c>
      <x:c r="CJ50" s="11" t="n">
        <x:v>823317</x:v>
      </x:c>
      <x:c r="CK50" s="11" t="n">
        <x:v>207489</x:v>
      </x:c>
      <x:c r="CL50" s="11" t="n">
        <x:v>160200</x:v>
      </x:c>
      <x:c r="CM50" s="11"/>
      <x:c r="CN50" s="11" t="n">
        <x:v>0</x:v>
      </x:c>
      <x:c r="CO50" s="11" t="n">
        <x:v>0</x:v>
      </x:c>
      <x:c r="CP50" s="8"/>
      <x:c r="CQ50" s="8" t="str">
        <x:v>Hazelton</x:v>
      </x:c>
    </x:row>
    <x:row r="51">
      <x:c r="A51" s="8" t="str">
        <x:v>Bowen Island|2020</x:v>
      </x:c>
      <x:c r="B51" s="8" t="str">
        <x:v>bowen-island-d</x:v>
      </x:c>
      <x:c r="C51" s="8" t="str">
        <x:v>Bowen Island</x:v>
      </x:c>
      <x:c r="D51" s="8" t="str">
        <x:v>Bowen Island</x:v>
      </x:c>
      <x:c r="E51" s="8" t="str">
        <x:v>D</x:v>
      </x:c>
      <x:c r="F51" s="8" t="str">
        <x:v>GVR</x:v>
      </x:c>
      <x:c r="G51" s="9" t="n">
        <x:v>2020</x:v>
      </x:c>
      <x:c r="H51" s="10" t="n">
        <x:v>3982</x:v>
      </x:c>
      <x:c r="I51" s="8" t="str">
        <x:v>Under 5,000</x:v>
      </x:c>
      <x:c r="J51" s="11" t="n">
        <x:v>19059642</x:v>
      </x:c>
      <x:c r="K51" s="11" t="n">
        <x:v>9575778</x:v>
      </x:c>
      <x:c r="L51" s="11" t="n">
        <x:v>9483864</x:v>
      </x:c>
      <x:c r="M51" s="12" t="n">
        <x:v>0.49758877947445185</x:v>
      </x:c>
      <x:c r="N51" s="11" t="n">
        <x:v>7184031</x:v>
      </x:c>
      <x:c r="O51" s="11" t="n">
        <x:v>1741649</x:v>
      </x:c>
      <x:c r="P51" s="11" t="n">
        <x:v>5401368</x:v>
      </x:c>
      <x:c r="Q51" s="11" t="n">
        <x:v>4732594</x:v>
      </x:c>
      <x:c r="R51" s="11" t="n">
        <x:v>7725880</x:v>
      </x:c>
      <x:c r="S51" s="11" t="n">
        <x:v>1752443</x:v>
      </x:c>
      <x:c r="T51" s="11" t="n">
        <x:v>14224540</x:v>
      </x:c>
      <x:c r="U51" s="11" t="n">
        <x:v>7849637</x:v>
      </x:c>
      <x:c r="V51" s="11" t="n">
        <x:v>8443644</x:v>
      </x:c>
      <x:c r="W51" s="11" t="n">
        <x:v>5280127</x:v>
      </x:c>
      <x:c r="X51" s="11" t="n">
        <x:v>1979397</x:v>
      </x:c>
      <x:c r="Y51" s="11" t="n">
        <x:v>2533000</x:v>
      </x:c>
      <x:c r="Z51" s="11" t="n">
        <x:v>107904</x:v>
      </x:c>
      <x:c r="AA51" s="11" t="n">
        <x:v>4404493</x:v>
      </x:c>
      <x:c r="AB51" s="11" t="n">
        <x:v>97455</x:v>
      </x:c>
      <x:c r="AC51" s="11" t="n">
        <x:v>205359</x:v>
      </x:c>
      <x:c r="AD51" s="11" t="n">
        <x:v>2517728</x:v>
      </x:c>
      <x:c r="AE51" s="11" t="n">
        <x:v>2312369</x:v>
      </x:c>
      <x:c r="AF51" s="11" t="n">
        <x:v>10070912</x:v>
      </x:c>
      <x:c r="AG51" s="11" t="n">
        <x:v>94612148</x:v>
      </x:c>
      <x:c r="AH51" s="11" t="n">
        <x:v>25378014</x:v>
      </x:c>
      <x:c r="AI51" s="11" t="n">
        <x:v>69234134</x:v>
      </x:c>
      <x:c r="AJ51" s="11" t="n">
        <x:v>10299644</x:v>
      </x:c>
      <x:c r="AK51" s="11" t="n">
        <x:v>37121494</x:v>
      </x:c>
      <x:c r="AL51" s="11" t="n">
        <x:v>0</x:v>
      </x:c>
      <x:c r="AM51" s="12" t="n">
        <x:v>1</x:v>
      </x:c>
      <x:c r="AN51" s="12" t="n">
        <x:v>0.2774576906845398</x:v>
      </x:c>
      <x:c r="AO51" s="11" t="n">
        <x:v>11675806</x:v>
      </x:c>
      <x:c r="AP51" s="11" t="n">
        <x:v>11355591</x:v>
      </x:c>
      <x:c r="AQ51" s="12" t="n">
        <x:v>0.972574484365362</x:v>
      </x:c>
      <x:c r="AR51" s="11" t="n">
        <x:v>4786.449522852838</x:v>
      </x:c>
      <x:c r="AS51" s="11" t="n">
        <x:v>2404.7659467604217</x:v>
      </x:c>
      <x:c r="AT51" s="11" t="n">
        <x:v>2120.453038674033</x:v>
      </x:c>
      <x:c r="AU51" s="11" t="n">
        <x:v>1325.9987443495731</x:v>
      </x:c>
      <x:c r="AV51" s="11" t="n">
        <x:v>1106.1007031642391</x:v>
      </x:c>
      <x:c r="AW51" s="11" t="n">
        <x:v>1.8121271085529178</x:v>
      </x:c>
      <x:c r="AX51" s="12" t="n">
        <x:v>0.9184347951804166</x:v>
      </x:c>
      <x:c r="AY51" s="11"/>
      <x:c r="AZ51" s="11"/>
      <x:c r="BA51" s="11"/>
      <x:c r="BB51" s="11"/>
      <x:c r="BC51" s="11"/>
      <x:c r="BD51" s="11"/>
      <x:c r="BE51" s="11"/>
      <x:c r="BF51" s="11"/>
      <x:c r="BG51" s="11"/>
      <x:c r="BH51" s="11"/>
      <x:c r="BI51" s="11"/>
      <x:c r="BJ51" s="11"/>
      <x:c r="BK51" s="12"/>
      <x:c r="BL51" s="12"/>
      <x:c r="BM51" s="12"/>
      <x:c r="BN51" s="12"/>
      <x:c r="BO51" s="12"/>
      <x:c r="BP51" s="12"/>
      <x:c r="BQ51" s="12"/>
      <x:c r="BR51" s="12"/>
      <x:c r="BS51" s="12"/>
      <x:c r="BT51" s="12"/>
      <x:c r="BU51" s="11" t="n">
        <x:v>1786970</x:v>
      </x:c>
      <x:c r="BV51" s="11" t="n">
        <x:v>3614398</x:v>
      </x:c>
      <x:c r="BW51" s="11" t="n">
        <x:v>0</x:v>
      </x:c>
      <x:c r="BX51" s="11" t="n">
        <x:v>446678</x:v>
      </x:c>
      <x:c r="BY51" s="11" t="n">
        <x:v>0</x:v>
      </x:c>
      <x:c r="BZ51" s="11" t="n">
        <x:v>3206120</x:v>
      </x:c>
      <x:c r="CA51" s="11" t="n">
        <x:v>808977</x:v>
      </x:c>
      <x:c r="CB51" s="11" t="n">
        <x:v>270819</x:v>
      </x:c>
      <x:c r="CC51" s="11" t="n">
        <x:v>1710843</x:v>
      </x:c>
      <x:c r="CD51" s="11" t="n">
        <x:v>977738</x:v>
      </x:c>
      <x:c r="CE51" s="11" t="n">
        <x:v>1380121</x:v>
      </x:c>
      <x:c r="CF51" s="11" t="n">
        <x:v>0</x:v>
      </x:c>
      <x:c r="CG51" s="11" t="n">
        <x:v>734868</x:v>
      </x:c>
      <x:c r="CH51" s="11" t="n">
        <x:v>822801</x:v>
      </x:c>
      <x:c r="CI51" s="11" t="n">
        <x:v>1134378</x:v>
      </x:c>
      <x:c r="CJ51" s="11" t="n">
        <x:v>686617</x:v>
      </x:c>
      <x:c r="CK51" s="11" t="n">
        <x:v>173531</x:v>
      </x:c>
      <x:c r="CL51" s="11" t="n">
        <x:v>202438</x:v>
      </x:c>
      <x:c r="CM51" s="11"/>
      <x:c r="CN51" s="11" t="n">
        <x:v>0</x:v>
      </x:c>
      <x:c r="CO51" s="11" t="n">
        <x:v>0</x:v>
      </x:c>
      <x:c r="CP51" s="8"/>
      <x:c r="CQ51" s="8" t="str">
        <x:v>Highlands</x:v>
      </x:c>
    </x:row>
    <x:row r="52">
      <x:c r="A52" s="8" t="str">
        <x:v>Bowen Island|2021</x:v>
      </x:c>
      <x:c r="B52" s="8" t="str">
        <x:v>bowen-island-d</x:v>
      </x:c>
      <x:c r="C52" s="8" t="str">
        <x:v>Bowen Island</x:v>
      </x:c>
      <x:c r="D52" s="8" t="str">
        <x:v>Bowen Island</x:v>
      </x:c>
      <x:c r="E52" s="8" t="str">
        <x:v>D</x:v>
      </x:c>
      <x:c r="F52" s="8" t="str">
        <x:v>MVRD</x:v>
      </x:c>
      <x:c r="G52" s="9" t="n">
        <x:v>2021</x:v>
      </x:c>
      <x:c r="H52" s="10" t="n">
        <x:v>4222</x:v>
      </x:c>
      <x:c r="I52" s="8" t="str">
        <x:v>Under 5,000</x:v>
      </x:c>
      <x:c r="J52" s="11" t="n">
        <x:v>12611421</x:v>
      </x:c>
      <x:c r="K52" s="11" t="n">
        <x:v>9817370</x:v>
      </x:c>
      <x:c r="L52" s="11" t="n">
        <x:v>2794051</x:v>
      </x:c>
      <x:c r="M52" s="12" t="n">
        <x:v>0.22154926078512485</x:v>
      </x:c>
      <x:c r="N52" s="11" t="n">
        <x:v>7880471</x:v>
      </x:c>
      <x:c r="O52" s="11" t="n">
        <x:v>2341288</x:v>
      </x:c>
      <x:c r="P52" s="11" t="n">
        <x:v>1648796</x:v>
      </x:c>
      <x:c r="Q52" s="11" t="n">
        <x:v>740866</x:v>
      </x:c>
      <x:c r="R52" s="11" t="n">
        <x:v>7913588</x:v>
      </x:c>
      <x:c r="S52" s="11" t="n">
        <x:v>1783825</x:v>
      </x:c>
      <x:c r="T52" s="11" t="n">
        <x:v>13679602</x:v>
      </x:c>
      <x:c r="U52" s="11" t="n">
        <x:v>11936138</x:v>
      </x:c>
      <x:c r="V52" s="11" t="n">
        <x:v>4326961</x:v>
      </x:c>
      <x:c r="W52" s="11" t="n">
        <x:v>5242683</x:v>
      </x:c>
      <x:c r="X52" s="11" t="n">
        <x:v>4448923</x:v>
      </x:c>
      <x:c r="Y52" s="11" t="n">
        <x:v>1500000</x:v>
      </x:c>
      <x:c r="Z52" s="11" t="n">
        <x:v>109273</x:v>
      </x:c>
      <x:c r="AA52" s="11" t="n">
        <x:v>5839650</x:v>
      </x:c>
      <x:c r="AB52" s="11" t="n">
        <x:v>119957</x:v>
      </x:c>
      <x:c r="AC52" s="11" t="n">
        <x:v>229230</x:v>
      </x:c>
      <x:c r="AD52" s="11" t="n">
        <x:v>2699404</x:v>
      </x:c>
      <x:c r="AE52" s="11" t="n">
        <x:v>1992626</x:v>
      </x:c>
      <x:c r="AF52" s="11" t="n">
        <x:v>10797615</x:v>
      </x:c>
      <x:c r="AG52" s="11" t="n">
        <x:v>102682648</x:v>
      </x:c>
      <x:c r="AH52" s="11" t="n">
        <x:v>26573984</x:v>
      </x:c>
      <x:c r="AI52" s="11" t="n">
        <x:v>76108664</x:v>
      </x:c>
      <x:c r="AJ52" s="11" t="n">
        <x:v>8694477</x:v>
      </x:c>
      <x:c r="AK52" s="11" t="n">
        <x:v>42018516</x:v>
      </x:c>
      <x:c r="AL52" s="11" t="n">
        <x:v>0</x:v>
      </x:c>
      <x:c r="AM52" s="12" t="n">
        <x:v>1</x:v>
      </x:c>
      <x:c r="AN52" s="12" t="n">
        <x:v>0.20692013492337522</x:v>
      </x:c>
      <x:c r="AO52" s="11" t="n">
        <x:v>13058465</x:v>
      </x:c>
      <x:c r="AP52" s="11" t="n">
        <x:v>12764137</x:v>
      </x:c>
      <x:c r="AQ52" s="12" t="n">
        <x:v>0.9774607505552911</x:v>
      </x:c>
      <x:c r="AR52" s="11" t="n">
        <x:v>2987.072714353387</x:v>
      </x:c>
      <x:c r="AS52" s="11" t="n">
        <x:v>2325.2889625769776</x:v>
      </x:c>
      <x:c r="AT52" s="11" t="n">
        <x:v>1024.8604926575083</x:v>
      </x:c>
      <x:c r="AU52" s="11" t="n">
        <x:v>1241.7534343912837</x:v>
      </x:c>
      <x:c r="AV52" s="11" t="n">
        <x:v>1383.147797252487</x:v>
      </x:c>
      <x:c r="AW52" s="11" t="n">
        <x:v>1.1460660056041578</x:v>
      </x:c>
      <x:c r="AX52" s="12" t="n">
        <x:v>0.7381725743904951</x:v>
      </x:c>
      <x:c r="AY52" s="11"/>
      <x:c r="AZ52" s="11"/>
      <x:c r="BA52" s="11"/>
      <x:c r="BB52" s="11"/>
      <x:c r="BC52" s="11"/>
      <x:c r="BD52" s="11"/>
      <x:c r="BE52" s="11"/>
      <x:c r="BF52" s="11"/>
      <x:c r="BG52" s="11"/>
      <x:c r="BH52" s="11"/>
      <x:c r="BI52" s="11"/>
      <x:c r="BJ52" s="11"/>
      <x:c r="BK52" s="12"/>
      <x:c r="BL52" s="12"/>
      <x:c r="BM52" s="12"/>
      <x:c r="BN52" s="12"/>
      <x:c r="BO52" s="12"/>
      <x:c r="BP52" s="12"/>
      <x:c r="BQ52" s="12"/>
      <x:c r="BR52" s="12"/>
      <x:c r="BS52" s="12"/>
      <x:c r="BT52" s="12"/>
      <x:c r="BU52" s="11" t="n">
        <x:v>165569</x:v>
      </x:c>
      <x:c r="BV52" s="11" t="n">
        <x:v>1483227</x:v>
      </x:c>
      <x:c r="BW52" s="11" t="n">
        <x:v>0</x:v>
      </x:c>
      <x:c r="BX52" s="11" t="n">
        <x:v>-8777</x:v>
      </x:c>
      <x:c r="BY52" s="11" t="n">
        <x:v>0</x:v>
      </x:c>
      <x:c r="BZ52" s="11" t="n">
        <x:v>293484</x:v>
      </x:c>
      <x:c r="CA52" s="11" t="n">
        <x:v>308407</x:v>
      </x:c>
      <x:c r="CB52" s="11" t="n">
        <x:v>147752</x:v>
      </x:c>
      <x:c r="CC52" s="11" t="n">
        <x:v>1889897</x:v>
      </x:c>
      <x:c r="CD52" s="11" t="n">
        <x:v>731566</x:v>
      </x:c>
      <x:c r="CE52" s="11" t="n">
        <x:v>1389626</x:v>
      </x:c>
      <x:c r="CF52" s="11" t="n">
        <x:v>0</x:v>
      </x:c>
      <x:c r="CG52" s="11" t="n">
        <x:v>681636</x:v>
      </x:c>
      <x:c r="CH52" s="11" t="n">
        <x:v>956013</x:v>
      </x:c>
      <x:c r="CI52" s="11" t="n">
        <x:v>1280156</x:v>
      </x:c>
      <x:c r="CJ52" s="11" t="n">
        <x:v>839832</x:v>
      </x:c>
      <x:c r="CK52" s="11" t="n">
        <x:v>264819</x:v>
      </x:c>
      <x:c r="CL52" s="11" t="n">
        <x:v>0</x:v>
      </x:c>
      <x:c r="CM52" s="11"/>
      <x:c r="CN52" s="11" t="n">
        <x:v>0</x:v>
      </x:c>
      <x:c r="CO52" s="11" t="n">
        <x:v>0</x:v>
      </x:c>
      <x:c r="CP52" s="8"/>
      <x:c r="CQ52" s="8" t="str">
        <x:v>Hope</x:v>
      </x:c>
    </x:row>
    <x:row r="53">
      <x:c r="A53" s="8" t="str">
        <x:v>Bowen Island|2022</x:v>
      </x:c>
      <x:c r="B53" s="8" t="str">
        <x:v>bowen-island-d</x:v>
      </x:c>
      <x:c r="C53" s="8" t="str">
        <x:v>Bowen Island</x:v>
      </x:c>
      <x:c r="D53" s="8" t="str">
        <x:v>Bowen Island</x:v>
      </x:c>
      <x:c r="E53" s="8" t="str">
        <x:v>D</x:v>
      </x:c>
      <x:c r="F53" s="8" t="str">
        <x:v>MVRD</x:v>
      </x:c>
      <x:c r="G53" s="9" t="n">
        <x:v>2022</x:v>
      </x:c>
      <x:c r="H53" s="10" t="n">
        <x:v>4058</x:v>
      </x:c>
      <x:c r="I53" s="8" t="str">
        <x:v>Under 5,000</x:v>
      </x:c>
      <x:c r="J53" s="11" t="n">
        <x:v>16392421</x:v>
      </x:c>
      <x:c r="K53" s="11" t="n">
        <x:v>11253187</x:v>
      </x:c>
      <x:c r="L53" s="11" t="n">
        <x:v>5139234</x:v>
      </x:c>
      <x:c r="M53" s="12" t="n">
        <x:v>0.31351281180491886</x:v>
      </x:c>
      <x:c r="N53" s="11" t="n">
        <x:v>8610504</x:v>
      </x:c>
      <x:c r="O53" s="11" t="n">
        <x:v>2676343</x:v>
      </x:c>
      <x:c r="P53" s="11" t="n">
        <x:v>4005254</x:v>
      </x:c>
      <x:c r="Q53" s="11" t="n">
        <x:v>1100320</x:v>
      </x:c>
      <x:c r="R53" s="11" t="n">
        <x:v>8713830</x:v>
      </x:c>
      <x:c r="S53" s="11" t="n">
        <x:v>2269137</x:v>
      </x:c>
      <x:c r="T53" s="11" t="n">
        <x:v>15190833</x:v>
      </x:c>
      <x:c r="U53" s="11" t="n">
        <x:v>18437862</x:v>
      </x:c>
      <x:c r="V53" s="11" t="n">
        <x:v>-159663</x:v>
      </x:c>
      <x:c r="W53" s="11" t="n">
        <x:v>4557449</x:v>
      </x:c>
      <x:c r="X53" s="11" t="n">
        <x:v>5839650</x:v>
      </x:c>
      <x:c r="Y53" s="11" t="n">
        <x:v>8335530</x:v>
      </x:c>
      <x:c r="Z53" s="11" t="n">
        <x:v>1670774</x:v>
      </x:c>
      <x:c r="AA53" s="11" t="n">
        <x:v>12499259</x:v>
      </x:c>
      <x:c r="AB53" s="11" t="n">
        <x:v>270220</x:v>
      </x:c>
      <x:c r="AC53" s="11" t="n">
        <x:v>1940994</x:v>
      </x:c>
      <x:c r="AD53" s="11" t="n">
        <x:v>3048159</x:v>
      </x:c>
      <x:c r="AE53" s="11" t="n">
        <x:v>1107165</x:v>
      </x:c>
      <x:c r="AF53" s="11" t="n">
        <x:v>12192635</x:v>
      </x:c>
      <x:c r="AG53" s="11" t="n">
        <x:v>113540736</x:v>
      </x:c>
      <x:c r="AH53" s="11" t="n">
        <x:v>27869478</x:v>
      </x:c>
      <x:c r="AI53" s="11" t="n">
        <x:v>85671258</x:v>
      </x:c>
      <x:c r="AJ53" s="11" t="n">
        <x:v>11831732</x:v>
      </x:c>
      <x:c r="AK53" s="11" t="n">
        <x:v>46195353</x:v>
      </x:c>
      <x:c r="AL53" s="11" t="n">
        <x:v>0</x:v>
      </x:c>
      <x:c r="AM53" s="12" t="n">
        <x:v>1</x:v>
      </x:c>
      <x:c r="AN53" s="12" t="n">
        <x:v>0.25612385730659964</x:v>
      </x:c>
      <x:c r="AO53" s="11" t="n">
        <x:v>14510905</x:v>
      </x:c>
      <x:c r="AP53" s="11" t="n">
        <x:v>14037999</x:v>
      </x:c>
      <x:c r="AQ53" s="12" t="n">
        <x:v>0.9674103028033055</x:v>
      </x:c>
      <x:c r="AR53" s="11" t="n">
        <x:v>4039.5320354854607</x:v>
      </x:c>
      <x:c r="AS53" s="11" t="n">
        <x:v>2773.086988664367</x:v>
      </x:c>
      <x:c r="AT53" s="11" t="n">
        <x:v>-39.34524396254312</x:v>
      </x:c>
      <x:c r="AU53" s="11" t="n">
        <x:v>1123.0776244455396</x:v>
      </x:c>
      <x:c r="AV53" s="11" t="n">
        <x:v>3080.1525381961555</x:v>
      </x:c>
      <x:c r="AW53" s="11" t="n">
        <x:v>0.8238934102012478</x:v>
      </x:c>
      <x:c r="AX53" s="12" t="n">
        <x:v>0.3632241625190812</x:v>
      </x:c>
      <x:c r="AY53" s="11"/>
      <x:c r="AZ53" s="11"/>
      <x:c r="BA53" s="11"/>
      <x:c r="BB53" s="11"/>
      <x:c r="BC53" s="11"/>
      <x:c r="BD53" s="11"/>
      <x:c r="BE53" s="11"/>
      <x:c r="BF53" s="11"/>
      <x:c r="BG53" s="11"/>
      <x:c r="BH53" s="11"/>
      <x:c r="BI53" s="11"/>
      <x:c r="BJ53" s="11"/>
      <x:c r="BK53" s="12"/>
      <x:c r="BL53" s="12"/>
      <x:c r="BM53" s="12"/>
      <x:c r="BN53" s="12"/>
      <x:c r="BO53" s="12"/>
      <x:c r="BP53" s="12"/>
      <x:c r="BQ53" s="12"/>
      <x:c r="BR53" s="12"/>
      <x:c r="BS53" s="12"/>
      <x:c r="BT53" s="12"/>
      <x:c r="BU53" s="11" t="n">
        <x:v>2007212</x:v>
      </x:c>
      <x:c r="BV53" s="11" t="n">
        <x:v>1998042</x:v>
      </x:c>
      <x:c r="BW53" s="11" t="n">
        <x:v>0</x:v>
      </x:c>
      <x:c r="BX53" s="11" t="n">
        <x:v>29361</x:v>
      </x:c>
      <x:c r="BY53" s="11" t="n">
        <x:v>0</x:v>
      </x:c>
      <x:c r="BZ53" s="11" t="n">
        <x:v>741385</x:v>
      </x:c>
      <x:c r="CA53" s="11" t="n">
        <x:v>0</x:v>
      </x:c>
      <x:c r="CB53" s="11" t="n">
        <x:v>329574</x:v>
      </x:c>
      <x:c r="CC53" s="11" t="n">
        <x:v>2311800</x:v>
      </x:c>
      <x:c r="CD53" s="11" t="n">
        <x:v>895240</x:v>
      </x:c>
      <x:c r="CE53" s="11" t="n">
        <x:v>1384731</x:v>
      </x:c>
      <x:c r="CF53" s="11" t="n">
        <x:v>0</x:v>
      </x:c>
      <x:c r="CG53" s="11" t="n">
        <x:v>692492</x:v>
      </x:c>
      <x:c r="CH53" s="11" t="n">
        <x:v>1373171</x:v>
      </x:c>
      <x:c r="CI53" s="11" t="n">
        <x:v>1051020</x:v>
      </x:c>
      <x:c r="CJ53" s="11" t="n">
        <x:v>982787</x:v>
      </x:c>
      <x:c r="CK53" s="11" t="n">
        <x:v>292809</x:v>
      </x:c>
      <x:c r="CL53" s="11" t="n">
        <x:v>0</x:v>
      </x:c>
      <x:c r="CM53" s="11"/>
      <x:c r="CN53" s="11" t="n">
        <x:v>0</x:v>
      </x:c>
      <x:c r="CO53" s="11" t="n">
        <x:v>0</x:v>
      </x:c>
      <x:c r="CP53" s="8"/>
      <x:c r="CQ53" s="8" t="str">
        <x:v>Houston</x:v>
      </x:c>
    </x:row>
    <x:row r="54">
      <x:c r="A54" s="8" t="str">
        <x:v>Bowen Island|2023</x:v>
      </x:c>
      <x:c r="B54" s="8" t="str">
        <x:v>bowen-island-d</x:v>
      </x:c>
      <x:c r="C54" s="8" t="str">
        <x:v>Bowen Island</x:v>
      </x:c>
      <x:c r="D54" s="8" t="str">
        <x:v>Bowen Island</x:v>
      </x:c>
      <x:c r="E54" s="8" t="str">
        <x:v>D</x:v>
      </x:c>
      <x:c r="F54" s="8" t="str">
        <x:v>MVRD</x:v>
      </x:c>
      <x:c r="G54" s="9" t="n">
        <x:v>2023</x:v>
      </x:c>
      <x:c r="H54" s="10" t="n">
        <x:v>4181</x:v>
      </x:c>
      <x:c r="I54" s="8" t="str">
        <x:v>Under 5,000</x:v>
      </x:c>
      <x:c r="J54" s="11" t="n">
        <x:v>26526833</x:v>
      </x:c>
      <x:c r="K54" s="11" t="n">
        <x:v>11689500</x:v>
      </x:c>
      <x:c r="L54" s="11" t="n">
        <x:v>14837333</x:v>
      </x:c>
      <x:c r="M54" s="12" t="n">
        <x:v>0.5593329968941261</x:v>
      </x:c>
      <x:c r="N54" s="11" t="n">
        <x:v>9575799</x:v>
      </x:c>
      <x:c r="O54" s="11" t="n">
        <x:v>2682468</x:v>
      </x:c>
      <x:c r="P54" s="11" t="n">
        <x:v>7745707</x:v>
      </x:c>
      <x:c r="Q54" s="11" t="n">
        <x:v>6522859</x:v>
      </x:c>
      <x:c r="R54" s="11" t="n">
        <x:v>9181844</x:v>
      </x:c>
      <x:c r="S54" s="11" t="n">
        <x:v>2037796</x:v>
      </x:c>
      <x:c r="T54" s="11" t="n">
        <x:v>13441689</x:v>
      </x:c>
      <x:c r="U54" s="11" t="n">
        <x:v>16900609</x:v>
      </x:c>
      <x:c r="V54" s="11" t="n">
        <x:v>706909</x:v>
      </x:c>
      <x:c r="W54" s="11" t="n">
        <x:v>7696107</x:v>
      </x:c>
      <x:c r="X54" s="11" t="n">
        <x:v>12499259</x:v>
      </x:c>
      <x:c r="Y54" s="11" t="n">
        <x:v>0</x:v>
      </x:c>
      <x:c r="Z54" s="11" t="n">
        <x:v>418483</x:v>
      </x:c>
      <x:c r="AA54" s="11" t="n">
        <x:v>12072978</x:v>
      </x:c>
      <x:c r="AB54" s="11" t="n">
        <x:v>469860</x:v>
      </x:c>
      <x:c r="AC54" s="11" t="n">
        <x:v>888343</x:v>
      </x:c>
      <x:c r="AD54" s="11" t="n">
        <x:v>3458273</x:v>
      </x:c>
      <x:c r="AE54" s="11" t="n">
        <x:v>2224797</x:v>
      </x:c>
      <x:c r="AF54" s="11" t="n">
        <x:v>13833090</x:v>
      </x:c>
      <x:c r="AG54" s="11" t="n">
        <x:v>129268267</x:v>
      </x:c>
      <x:c r="AH54" s="11" t="n">
        <x:v>29574773</x:v>
      </x:c>
      <x:c r="AI54" s="11" t="n">
        <x:v>99693494</x:v>
      </x:c>
      <x:c r="AJ54" s="11" t="n">
        <x:v>15822610</x:v>
      </x:c>
      <x:c r="AK54" s="11" t="n">
        <x:v>57006371</x:v>
      </x:c>
      <x:c r="AL54" s="11" t="n">
        <x:v>0</x:v>
      </x:c>
      <x:c r="AM54" s="12" t="n">
        <x:v>1</x:v>
      </x:c>
      <x:c r="AN54" s="12" t="n">
        <x:v>0.27755862585955526</x:v>
      </x:c>
      <x:c r="AO54" s="11" t="n">
        <x:v>16286757</x:v>
      </x:c>
      <x:c r="AP54" s="11" t="n">
        <x:v>15792414</x:v>
      </x:c>
      <x:c r="AQ54" s="12" t="n">
        <x:v>0.969647548618795</x:v>
      </x:c>
      <x:c r="AR54" s="11" t="n">
        <x:v>6344.614446304712</x:v>
      </x:c>
      <x:c r="AS54" s="11" t="n">
        <x:v>2795.862233915331</x:v>
      </x:c>
      <x:c r="AT54" s="11" t="n">
        <x:v>169.07653671370485</x:v>
      </x:c>
      <x:c r="AU54" s="11" t="n">
        <x:v>1840.733556565415</x:v>
      </x:c>
      <x:c r="AV54" s="11" t="n">
        <x:v>2887.5814398469265</x:v>
      </x:c>
      <x:c r="AW54" s="11" t="n">
        <x:v>0.7953375526290206</x:v>
      </x:c>
      <x:c r="AX54" s="12" t="n">
        <x:v>0.6433260185069253</x:v>
      </x:c>
      <x:c r="AY54" s="11"/>
      <x:c r="AZ54" s="11"/>
      <x:c r="BA54" s="11"/>
      <x:c r="BB54" s="11"/>
      <x:c r="BC54" s="11"/>
      <x:c r="BD54" s="11"/>
      <x:c r="BE54" s="11"/>
      <x:c r="BF54" s="11"/>
      <x:c r="BG54" s="11"/>
      <x:c r="BH54" s="11"/>
      <x:c r="BI54" s="11"/>
      <x:c r="BJ54" s="11"/>
      <x:c r="BK54" s="12"/>
      <x:c r="BL54" s="12"/>
      <x:c r="BM54" s="12"/>
      <x:c r="BN54" s="12"/>
      <x:c r="BO54" s="12"/>
      <x:c r="BP54" s="12"/>
      <x:c r="BQ54" s="12"/>
      <x:c r="BR54" s="12"/>
      <x:c r="BS54" s="12"/>
      <x:c r="BT54" s="12"/>
      <x:c r="BU54" s="11" t="n">
        <x:v>2517962</x:v>
      </x:c>
      <x:c r="BV54" s="11" t="n">
        <x:v>5227745</x:v>
      </x:c>
      <x:c r="BW54" s="11" t="n">
        <x:v>0</x:v>
      </x:c>
      <x:c r="BX54" s="11" t="n">
        <x:v>838115</x:v>
      </x:c>
      <x:c r="BY54" s="11" t="n">
        <x:v>0</x:v>
      </x:c>
      <x:c r="BZ54" s="11" t="n">
        <x:v>5286238</x:v>
      </x:c>
      <x:c r="CA54" s="11" t="n">
        <x:v>90000</x:v>
      </x:c>
      <x:c r="CB54" s="11" t="n">
        <x:v>308506</x:v>
      </x:c>
      <x:c r="CC54" s="11" t="n">
        <x:v>2512741</x:v>
      </x:c>
      <x:c r="CD54" s="11" t="n">
        <x:v>935032</x:v>
      </x:c>
      <x:c r="CE54" s="11" t="n">
        <x:v>1399119</x:v>
      </x:c>
      <x:c r="CF54" s="11" t="n">
        <x:v>0</x:v>
      </x:c>
      <x:c r="CG54" s="11" t="n">
        <x:v>710743</x:v>
      </x:c>
      <x:c r="CH54" s="11" t="n">
        <x:v>1432825</x:v>
      </x:c>
      <x:c r="CI54" s="11" t="n">
        <x:v>1166349</x:v>
      </x:c>
      <x:c r="CJ54" s="11" t="n">
        <x:v>1187740</x:v>
      </x:c>
      <x:c r="CK54" s="11" t="n">
        <x:v>307155</x:v>
      </x:c>
      <x:c r="CL54" s="11" t="n">
        <x:v>0</x:v>
      </x:c>
      <x:c r="CM54" s="11" t="n">
        <x:v>0</x:v>
      </x:c>
      <x:c r="CN54" s="11" t="n">
        <x:v>0</x:v>
      </x:c>
      <x:c r="CO54" s="11" t="n">
        <x:v>0</x:v>
      </x:c>
      <x:c r="CP54" s="8"/>
      <x:c r="CQ54" s="8" t="str">
        <x:v>Hudson's Hope</x:v>
      </x:c>
    </x:row>
    <x:row r="55">
      <x:c r="A55" s="8" t="str">
        <x:v>Bowen Island|2024</x:v>
      </x:c>
      <x:c r="B55" s="8" t="str">
        <x:v>bowen-island-d</x:v>
      </x:c>
      <x:c r="C55" s="8" t="str">
        <x:v>Bowen Island</x:v>
      </x:c>
      <x:c r="D55" s="8" t="str">
        <x:v>Bowen Island</x:v>
      </x:c>
      <x:c r="E55" s="8" t="str">
        <x:v>D</x:v>
      </x:c>
      <x:c r="F55" s="8" t="str">
        <x:v>MVRD</x:v>
      </x:c>
      <x:c r="G55" s="9" t="n">
        <x:v>2024</x:v>
      </x:c>
      <x:c r="H55" s="10" t="n">
        <x:v>4181</x:v>
      </x:c>
      <x:c r="I55" s="8" t="str">
        <x:v>Under 5,000</x:v>
      </x:c>
      <x:c r="J55" s="11" t="n">
        <x:v>16969581</x:v>
      </x:c>
      <x:c r="K55" s="11" t="n">
        <x:v>12625661</x:v>
      </x:c>
      <x:c r="L55" s="11" t="n">
        <x:v>4343920</x:v>
      </x:c>
      <x:c r="M55" s="12" t="n">
        <x:v>0.2559827493678247</x:v>
      </x:c>
      <x:c r="N55" s="11" t="n">
        <x:v>10598738</x:v>
      </x:c>
      <x:c r="O55" s="11" t="n">
        <x:v>2474238</x:v>
      </x:c>
      <x:c r="P55" s="11" t="n">
        <x:v>1903228</x:v>
      </x:c>
      <x:c r="Q55" s="11" t="n">
        <x:v>1993377</x:v>
      </x:c>
      <x:c r="R55" s="11" t="n">
        <x:v>9988290</x:v>
      </x:c>
      <x:c r="S55" s="11" t="n">
        <x:v>2166340</x:v>
      </x:c>
      <x:c r="T55" s="11" t="n">
        <x:v>15548768</x:v>
      </x:c>
      <x:c r="U55" s="11" t="n">
        <x:v>18461318</x:v>
      </x:c>
      <x:c r="V55" s="11" t="n">
        <x:v>-245281</x:v>
      </x:c>
      <x:c r="W55" s="11" t="n">
        <x:v>7765720</x:v>
      </x:c>
      <x:c r="X55" s="11" t="n">
        <x:v>12072978</x:v>
      </x:c>
      <x:c r="Y55" s="11" t="n">
        <x:v>500805</x:v>
      </x:c>
      <x:c r="Z55" s="11" t="n">
        <x:v>470045</x:v>
      </x:c>
      <x:c r="AA55" s="11" t="n">
        <x:v>12088448</x:v>
      </x:c>
      <x:c r="AB55" s="11" t="n">
        <x:v>471031</x:v>
      </x:c>
      <x:c r="AC55" s="11" t="n">
        <x:v>941076</x:v>
      </x:c>
      <x:c r="AD55" s="11" t="n">
        <x:v>3604125</x:v>
      </x:c>
      <x:c r="AE55" s="11" t="n">
        <x:v>2136898</x:v>
      </x:c>
      <x:c r="AF55" s="11" t="n">
        <x:v>14416501</x:v>
      </x:c>
      <x:c r="AG55" s="11" t="n">
        <x:v>136397405</x:v>
      </x:c>
      <x:c r="AH55" s="11" t="n">
        <x:v>31500828</x:v>
      </x:c>
      <x:c r="AI55" s="11" t="n">
        <x:v>104896577</x:v>
      </x:c>
      <x:c r="AJ55" s="11" t="n">
        <x:v>7374422</x:v>
      </x:c>
      <x:c r="AK55" s="11" t="n">
        <x:v>268938616</x:v>
      </x:c>
      <x:c r="AL55" s="11" t="n">
        <x:v>3387250</x:v>
      </x:c>
      <x:c r="AM55" s="12" t="n">
        <x:v>0.9874051184973749</x:v>
      </x:c>
      <x:c r="AN55" s="12" t="n">
        <x:v>0.027420465345147756</x:v>
      </x:c>
      <x:c r="AO55" s="11" t="n">
        <x:v>17463441</x:v>
      </x:c>
      <x:c r="AP55" s="11" t="n">
        <x:v>16790562</x:v>
      </x:c>
      <x:c r="AQ55" s="12" t="n">
        <x:v>0.9614692774465239</x:v>
      </x:c>
      <x:c r="AR55" s="11" t="n">
        <x:v>4058.7373834011</x:v>
      </x:c>
      <x:c r="AS55" s="11" t="n">
        <x:v>3019.7706290361157</x:v>
      </x:c>
      <x:c r="AT55" s="11" t="n">
        <x:v>-58.66563023200192</x:v>
      </x:c>
      <x:c r="AU55" s="11" t="n">
        <x:v>1857.3834011002152</x:v>
      </x:c>
      <x:c r="AV55" s="11" t="n">
        <x:v>2891.2815116000957</x:v>
      </x:c>
      <x:c r="AW55" s="11" t="n">
        <x:v>0.8422349910228512</x:v>
      </x:c>
      <x:c r="AX55" s="12" t="n">
        <x:v>0.5929034092879687</x:v>
      </x:c>
      <x:c r="AY55" s="11" t="n">
        <x:v>4486.511144130758</x:v>
      </x:c>
      <x:c r="AZ55" s="11" t="n">
        <x:v>3546.5079302077975</x:v>
      </x:c>
      <x:c r="BA55" s="11" t="n">
        <x:v>3557.844717668488</x:v>
      </x:c>
      <x:c r="BB55" s="11" t="n">
        <x:v>2783.665107049771</x:v>
      </x:c>
      <x:c r="BC55" s="11" t="n">
        <x:v>5496.677373974208</x:v>
      </x:c>
      <x:c r="BD55" s="11" t="n">
        <x:v>2437.8724475115623</x:v>
      </x:c>
      <x:c r="BE55" s="11" t="n">
        <x:v>3386.4506393861893</x:v>
      </x:c>
      <x:c r="BF55" s="11" t="n">
        <x:v>1604.3462673977224</x:v>
      </x:c>
      <x:c r="BG55" s="11" t="n">
        <x:v>624.7436119532265</x:v>
      </x:c>
      <x:c r="BH55" s="11" t="n">
        <x:v>518.5374381567245</x:v>
      </x:c>
      <x:c r="BI55" s="11" t="n">
        <x:v>3.324657351485151</x:v>
      </x:c>
      <x:c r="BJ55" s="11" t="n">
        <x:v>1.7099330852451193</x:v>
      </x:c>
      <x:c r="BK55" s="12" t="n">
        <x:v>0.02521828600111612</x:v>
      </x:c>
      <x:c r="BL55" s="12" t="n">
        <x:v>0.02529861000232605</x:v>
      </x:c>
      <x:c r="BM55" s="12" t="n">
        <x:v>0.9816336034641139</x:v>
      </x:c>
      <x:c r="BN55" s="12" t="n">
        <x:v>0.9815511712696461</x:v>
      </x:c>
      <x:c r="BO55" s="12" t="n">
        <x:v>0.8531878894527055</x:v>
      </x:c>
      <x:c r="BP55" s="12" t="n">
        <x:v>0.8619101997275483</x:v>
      </x:c>
      <x:c r="BQ55" s="12" t="n">
        <x:v>0.9614729661922712</x:v>
      </x:c>
      <x:c r="BR55" s="12" t="n">
        <x:v>0.9623635142836453</x:v>
      </x:c>
      <x:c r="BS55" s="12" t="n">
        <x:v>0.23352896680225554</x:v>
      </x:c>
      <x:c r="BT55" s="12" t="n">
        <x:v>0.19976549769108282</x:v>
      </x:c>
      <x:c r="BU55" s="11" t="n">
        <x:v>578463</x:v>
      </x:c>
      <x:c r="BV55" s="11" t="n">
        <x:v>1228855</x:v>
      </x:c>
      <x:c r="BW55" s="11" t="n">
        <x:v>95910</x:v>
      </x:c>
      <x:c r="BX55" s="11" t="n">
        <x:v>796854</x:v>
      </x:c>
      <x:c r="BY55" s="11" t="n">
        <x:v>0</x:v>
      </x:c>
      <x:c r="BZ55" s="11" t="n">
        <x:v>1116385</x:v>
      </x:c>
      <x:c r="CA55" s="11" t="n">
        <x:v>2477</x:v>
      </x:c>
      <x:c r="CB55" s="11" t="n">
        <x:v>77661</x:v>
      </x:c>
      <x:c r="CC55" s="11" t="n">
        <x:v>2746924</x:v>
      </x:c>
      <x:c r="CD55" s="11" t="n">
        <x:v>993444</x:v>
      </x:c>
      <x:c r="CE55" s="11" t="n">
        <x:v>1396395</x:v>
      </x:c>
      <x:c r="CF55" s="11" t="n">
        <x:v>0</x:v>
      </x:c>
      <x:c r="CG55" s="11" t="n">
        <x:v>742013</x:v>
      </x:c>
      <x:c r="CH55" s="11" t="n">
        <x:v>1628021</x:v>
      </x:c>
      <x:c r="CI55" s="11" t="n">
        <x:v>1397447</x:v>
      </x:c>
      <x:c r="CJ55" s="11" t="n">
        <x:v>1280189</x:v>
      </x:c>
      <x:c r="CK55" s="11" t="n">
        <x:v>274888</x:v>
      </x:c>
      <x:c r="CL55" s="11" t="n">
        <x:v>0</x:v>
      </x:c>
      <x:c r="CM55" s="11" t="n">
        <x:v>0</x:v>
      </x:c>
      <x:c r="CN55" s="11" t="n">
        <x:v>0</x:v>
      </x:c>
      <x:c r="CO55" s="11" t="n">
        <x:v>0</x:v>
      </x:c>
      <x:c r="CP55" s="8"/>
      <x:c r="CQ55" s="8" t="str">
        <x:v>Invermere</x:v>
      </x:c>
    </x:row>
    <x:row r="56">
      <x:c r="A56" s="8" t="str">
        <x:v>Burnaby|2019</x:v>
      </x:c>
      <x:c r="B56" s="8" t="str">
        <x:v>burnaby-c</x:v>
      </x:c>
      <x:c r="C56" s="8" t="str">
        <x:v>Burnaby</x:v>
      </x:c>
      <x:c r="D56" s="8" t="str">
        <x:v>Burnaby</x:v>
      </x:c>
      <x:c r="E56" s="8" t="str">
        <x:v>C</x:v>
      </x:c>
      <x:c r="F56" s="8" t="str">
        <x:v>GVR</x:v>
      </x:c>
      <x:c r="G56" s="9" t="n">
        <x:v>2019</x:v>
      </x:c>
      <x:c r="H56" s="10" t="n">
        <x:v>253007</x:v>
      </x:c>
      <x:c r="I56" s="8" t="str">
        <x:v>100,000 and over</x:v>
      </x:c>
      <x:c r="J56" s="11" t="n">
        <x:v>585922077</x:v>
      </x:c>
      <x:c r="K56" s="11" t="n">
        <x:v>472987764</x:v>
      </x:c>
      <x:c r="L56" s="11" t="n">
        <x:v>112934313</x:v>
      </x:c>
      <x:c r="M56" s="12" t="n">
        <x:v>0.1927463009727145</x:v>
      </x:c>
      <x:c r="N56" s="11" t="n">
        <x:v>303534244</x:v>
      </x:c>
      <x:c r="O56" s="11" t="n">
        <x:v>122498768</x:v>
      </x:c>
      <x:c r="P56" s="11" t="n">
        <x:v>30765664</x:v>
      </x:c>
      <x:c r="Q56" s="11" t="n">
        <x:v>129123401</x:v>
      </x:c>
      <x:c r="R56" s="11" t="n">
        <x:v>408026749</x:v>
      </x:c>
      <x:c r="S56" s="11" t="n">
        <x:v>64961015</x:v>
      </x:c>
      <x:c r="T56" s="11" t="n">
        <x:v>1777692583</x:v>
      </x:c>
      <x:c r="U56" s="11" t="n">
        <x:v>375563778</x:v>
      </x:c>
      <x:c r="V56" s="11" t="n">
        <x:v>1610701108</x:v>
      </x:c>
      <x:c r="W56" s="11" t="n">
        <x:v>1494731973</x:v>
      </x:c>
      <x:c r="X56" s="11" t="n">
        <x:v>0</x:v>
      </x:c>
      <x:c r="Y56" s="11" t="n">
        <x:v>0</x:v>
      </x:c>
      <x:c r="Z56" s="11" t="n">
        <x:v>0</x:v>
      </x:c>
      <x:c r="AA56" s="11" t="n">
        <x:v>0</x:v>
      </x:c>
      <x:c r="AB56" s="11" t="n">
        <x:v>0</x:v>
      </x:c>
      <x:c r="AC56" s="11" t="n">
        <x:v>0</x:v>
      </x:c>
      <x:c r="AD56" s="11" t="n">
        <x:v>135201172</x:v>
      </x:c>
      <x:c r="AE56" s="11" t="n">
        <x:v>135201172</x:v>
      </x:c>
      <x:c r="AF56" s="11" t="n">
        <x:v>540804689</x:v>
      </x:c>
      <x:c r="AG56" s="11" t="n">
        <x:v>4052634020</x:v>
      </x:c>
      <x:c r="AH56" s="11" t="n">
        <x:v>1141179431</x:v>
      </x:c>
      <x:c r="AI56" s="11" t="n">
        <x:v>2911454589</x:v>
      </x:c>
      <x:c r="AJ56" s="11" t="n">
        <x:v>132547977</x:v>
      </x:c>
      <x:c r="AK56" s="11" t="n">
        <x:v>1783884301</x:v>
      </x:c>
      <x:c r="AL56" s="11" t="n">
        <x:v>0</x:v>
      </x:c>
      <x:c r="AM56" s="12" t="n">
        <x:v>1</x:v>
      </x:c>
      <x:c r="AN56" s="12" t="n">
        <x:v>0.07430301221087993</x:v>
      </x:c>
      <x:c r="AO56" s="11" t="n">
        <x:v>553461415</x:v>
      </x:c>
      <x:c r="AP56" s="11" t="n">
        <x:v>546693784</x:v>
      </x:c>
      <x:c r="AQ56" s="12" t="n">
        <x:v>0.9877721719769751</x:v>
      </x:c>
      <x:c r="AR56" s="11" t="n">
        <x:v>2315.8334631057637</x:v>
      </x:c>
      <x:c r="AS56" s="11" t="n">
        <x:v>1869.4651294232965</x:v>
      </x:c>
      <x:c r="AT56" s="11" t="n">
        <x:v>6366.231400712233</x:v>
      </x:c>
      <x:c r="AU56" s="11" t="n">
        <x:v>5907.8680550340505</x:v>
      </x:c>
      <x:c r="AV56" s="11" t="n">
        <x:v>0</x:v>
      </x:c>
      <x:c r="AW56" s="11" t="n">
        <x:v>4.733397327257689</x:v>
      </x:c>
      <x:c r="AX56" s="12" t="n">
        <x:v>1</x:v>
      </x:c>
      <x:c r="AY56" s="11"/>
      <x:c r="AZ56" s="11"/>
      <x:c r="BA56" s="11"/>
      <x:c r="BB56" s="11"/>
      <x:c r="BC56" s="11"/>
      <x:c r="BD56" s="11"/>
      <x:c r="BE56" s="11"/>
      <x:c r="BF56" s="11"/>
      <x:c r="BG56" s="11"/>
      <x:c r="BH56" s="11"/>
      <x:c r="BI56" s="11"/>
      <x:c r="BJ56" s="11"/>
      <x:c r="BK56" s="12"/>
      <x:c r="BL56" s="12"/>
      <x:c r="BM56" s="12"/>
      <x:c r="BN56" s="12"/>
      <x:c r="BO56" s="12"/>
      <x:c r="BP56" s="12"/>
      <x:c r="BQ56" s="12"/>
      <x:c r="BR56" s="12"/>
      <x:c r="BS56" s="12"/>
      <x:c r="BT56" s="12"/>
      <x:c r="BU56" s="11" t="n">
        <x:v>3560695</x:v>
      </x:c>
      <x:c r="BV56" s="11" t="n">
        <x:v>17104133</x:v>
      </x:c>
      <x:c r="BW56" s="11" t="n">
        <x:v>10100836</x:v>
      </x:c>
      <x:c r="BX56" s="11" t="n">
        <x:v>56666253</x:v>
      </x:c>
      <x:c r="BY56" s="11" t="n">
        <x:v>0</x:v>
      </x:c>
      <x:c r="BZ56" s="11" t="n">
        <x:v>16631761</x:v>
      </x:c>
      <x:c r="CA56" s="11" t="n">
        <x:v>418186</x:v>
      </x:c>
      <x:c r="CB56" s="11" t="n">
        <x:v>55407201</x:v>
      </x:c>
      <x:c r="CC56" s="11" t="n">
        <x:v>75375997</x:v>
      </x:c>
      <x:c r="CD56" s="11" t="n">
        <x:v>112906833</x:v>
      </x:c>
      <x:c r="CE56" s="11" t="n">
        <x:v>18369898</x:v>
      </x:c>
      <x:c r="CF56" s="11" t="n">
        <x:v>306811</x:v>
      </x:c>
      <x:c r="CG56" s="11" t="n">
        <x:v>6550952</x:v>
      </x:c>
      <x:c r="CH56" s="11" t="n">
        <x:v>24824679</x:v>
      </x:c>
      <x:c r="CI56" s="11" t="n">
        <x:v>98924615</x:v>
      </x:c>
      <x:c r="CJ56" s="11" t="n">
        <x:v>36594428</x:v>
      </x:c>
      <x:c r="CK56" s="11" t="n">
        <x:v>33279522</x:v>
      </x:c>
      <x:c r="CL56" s="11" t="n">
        <x:v>0</x:v>
      </x:c>
      <x:c r="CM56" s="11"/>
      <x:c r="CN56" s="11" t="n">
        <x:v>893014</x:v>
      </x:c>
      <x:c r="CO56" s="11" t="n">
        <x:v>0</x:v>
      </x:c>
      <x:c r="CP56" s="8"/>
      <x:c r="CQ56" s="8" t="str">
        <x:v>Kamloops</x:v>
      </x:c>
    </x:row>
    <x:row r="57">
      <x:c r="A57" s="8" t="str">
        <x:v>Burnaby|2020</x:v>
      </x:c>
      <x:c r="B57" s="8" t="str">
        <x:v>burnaby-c</x:v>
      </x:c>
      <x:c r="C57" s="8" t="str">
        <x:v>Burnaby</x:v>
      </x:c>
      <x:c r="D57" s="8" t="str">
        <x:v>Burnaby</x:v>
      </x:c>
      <x:c r="E57" s="8" t="str">
        <x:v>C</x:v>
      </x:c>
      <x:c r="F57" s="8" t="str">
        <x:v>GVR</x:v>
      </x:c>
      <x:c r="G57" s="9" t="n">
        <x:v>2020</x:v>
      </x:c>
      <x:c r="H57" s="10" t="n">
        <x:v>257926</x:v>
      </x:c>
      <x:c r="I57" s="8" t="str">
        <x:v>100,000 and over</x:v>
      </x:c>
      <x:c r="J57" s="11" t="n">
        <x:v>619355536</x:v>
      </x:c>
      <x:c r="K57" s="11" t="n">
        <x:v>480314323</x:v>
      </x:c>
      <x:c r="L57" s="11" t="n">
        <x:v>139041213</x:v>
      </x:c>
      <x:c r="M57" s="12" t="n">
        <x:v>0.22449337241412823</x:v>
      </x:c>
      <x:c r="N57" s="11" t="n">
        <x:v>306603981</x:v>
      </x:c>
      <x:c r="O57" s="11" t="n">
        <x:v>107363048</x:v>
      </x:c>
      <x:c r="P57" s="11" t="n">
        <x:v>28051301</x:v>
      </x:c>
      <x:c r="Q57" s="11" t="n">
        <x:v>177337206</x:v>
      </x:c>
      <x:c r="R57" s="11" t="n">
        <x:v>411690966</x:v>
      </x:c>
      <x:c r="S57" s="11" t="n">
        <x:v>68623357</x:v>
      </x:c>
      <x:c r="T57" s="11" t="n">
        <x:v>1884996964</x:v>
      </x:c>
      <x:c r="U57" s="11" t="n">
        <x:v>461560977</x:v>
      </x:c>
      <x:c r="V57" s="11" t="n">
        <x:v>1652459461</x:v>
      </x:c>
      <x:c r="W57" s="11" t="n">
        <x:v>602610917</x:v>
      </x:c>
      <x:c r="X57" s="11" t="n">
        <x:v>0</x:v>
      </x:c>
      <x:c r="Y57" s="11" t="n">
        <x:v>0</x:v>
      </x:c>
      <x:c r="Z57" s="11" t="n">
        <x:v>0</x:v>
      </x:c>
      <x:c r="AA57" s="11" t="n">
        <x:v>0</x:v>
      </x:c>
      <x:c r="AB57" s="11" t="n">
        <x:v>0</x:v>
      </x:c>
      <x:c r="AC57" s="11" t="n">
        <x:v>0</x:v>
      </x:c>
      <x:c r="AD57" s="11" t="n">
        <x:v>130773374</x:v>
      </x:c>
      <x:c r="AE57" s="11" t="n">
        <x:v>130773374</x:v>
      </x:c>
      <x:c r="AF57" s="11" t="n">
        <x:v>523093496</x:v>
      </x:c>
      <x:c r="AG57" s="11" t="n">
        <x:v>4202326453</x:v>
      </x:c>
      <x:c r="AH57" s="11" t="n">
        <x:v>1194025334</x:v>
      </x:c>
      <x:c r="AI57" s="11" t="n">
        <x:v>3008301119</x:v>
      </x:c>
      <x:c r="AJ57" s="11" t="n">
        <x:v>169998727</x:v>
      </x:c>
      <x:c r="AK57" s="11" t="n">
        <x:v>1866266569</x:v>
      </x:c>
      <x:c r="AL57" s="11" t="n">
        <x:v>0</x:v>
      </x:c>
      <x:c r="AM57" s="12" t="n">
        <x:v>1</x:v>
      </x:c>
      <x:c r="AN57" s="12" t="n">
        <x:v>0.09109027071684099</x:v>
      </x:c>
      <x:c r="AO57" s="11" t="n">
        <x:v>495310370</x:v>
      </x:c>
      <x:c r="AP57" s="11" t="n">
        <x:v>483882544</x:v>
      </x:c>
      <x:c r="AQ57" s="12" t="n">
        <x:v>0.9769279492371622</x:v>
      </x:c>
      <x:c r="AR57" s="11" t="n">
        <x:v>2401.2915952637577</x:v>
      </x:c>
      <x:c r="AS57" s="11" t="n">
        <x:v>1862.2175468932949</x:v>
      </x:c>
      <x:c r="AT57" s="11" t="n">
        <x:v>6406.719217915216</x:v>
      </x:c>
      <x:c r="AU57" s="11" t="n">
        <x:v>2336.371350697487</x:v>
      </x:c>
      <x:c r="AV57" s="11" t="n">
        <x:v>0</x:v>
      </x:c>
      <x:c r="AW57" s="11" t="n">
        <x:v>4.083960858762113</x:v>
      </x:c>
      <x:c r="AX57" s="12" t="n">
        <x:v>1</x:v>
      </x:c>
      <x:c r="AY57" s="11"/>
      <x:c r="AZ57" s="11"/>
      <x:c r="BA57" s="11"/>
      <x:c r="BB57" s="11"/>
      <x:c r="BC57" s="11"/>
      <x:c r="BD57" s="11"/>
      <x:c r="BE57" s="11"/>
      <x:c r="BF57" s="11"/>
      <x:c r="BG57" s="11"/>
      <x:c r="BH57" s="11"/>
      <x:c r="BI57" s="11"/>
      <x:c r="BJ57" s="11"/>
      <x:c r="BK57" s="12"/>
      <x:c r="BL57" s="12"/>
      <x:c r="BM57" s="12"/>
      <x:c r="BN57" s="12"/>
      <x:c r="BO57" s="12"/>
      <x:c r="BP57" s="12"/>
      <x:c r="BQ57" s="12"/>
      <x:c r="BR57" s="12"/>
      <x:c r="BS57" s="12"/>
      <x:c r="BT57" s="12"/>
      <x:c r="BU57" s="11" t="n">
        <x:v>1189889</x:v>
      </x:c>
      <x:c r="BV57" s="11" t="n">
        <x:v>16827341</x:v>
      </x:c>
      <x:c r="BW57" s="11" t="n">
        <x:v>10034071</x:v>
      </x:c>
      <x:c r="BX57" s="11" t="n">
        <x:v>51984393</x:v>
      </x:c>
      <x:c r="BY57" s="11" t="n">
        <x:v>0</x:v>
      </x:c>
      <x:c r="BZ57" s="11" t="n">
        <x:v>36763786</x:v>
      </x:c>
      <x:c r="CA57" s="11" t="n">
        <x:v>34648508</x:v>
      </x:c>
      <x:c r="CB57" s="11" t="n">
        <x:v>53940519</x:v>
      </x:c>
      <x:c r="CC57" s="11" t="n">
        <x:v>68517509</x:v>
      </x:c>
      <x:c r="CD57" s="11" t="n">
        <x:v>120277532</x:v>
      </x:c>
      <x:c r="CE57" s="11" t="n">
        <x:v>20485111</x:v>
      </x:c>
      <x:c r="CF57" s="11" t="n">
        <x:v>612491</x:v>
      </x:c>
      <x:c r="CG57" s="11" t="n">
        <x:v>7351756</x:v>
      </x:c>
      <x:c r="CH57" s="11" t="n">
        <x:v>27207923</x:v>
      </x:c>
      <x:c r="CI57" s="11" t="n">
        <x:v>90037700</x:v>
      </x:c>
      <x:c r="CJ57" s="11" t="n">
        <x:v>38124363</x:v>
      </x:c>
      <x:c r="CK57" s="11" t="n">
        <x:v>35957653</x:v>
      </x:c>
      <x:c r="CL57" s="11" t="n">
        <x:v>0</x:v>
      </x:c>
      <x:c r="CM57" s="11"/>
      <x:c r="CN57" s="11" t="n">
        <x:v>3118928</x:v>
      </x:c>
      <x:c r="CO57" s="11" t="n">
        <x:v>0</x:v>
      </x:c>
      <x:c r="CP57" s="8"/>
      <x:c r="CQ57" s="8" t="str">
        <x:v>Kaslo</x:v>
      </x:c>
    </x:row>
    <x:row r="58">
      <x:c r="A58" s="8" t="str">
        <x:v>Burnaby|2021</x:v>
      </x:c>
      <x:c r="B58" s="8" t="str">
        <x:v>burnaby-c</x:v>
      </x:c>
      <x:c r="C58" s="8" t="str">
        <x:v>Burnaby</x:v>
      </x:c>
      <x:c r="D58" s="8" t="str">
        <x:v>Burnaby</x:v>
      </x:c>
      <x:c r="E58" s="8" t="str">
        <x:v>C</x:v>
      </x:c>
      <x:c r="F58" s="8" t="str">
        <x:v>MVRD</x:v>
      </x:c>
      <x:c r="G58" s="9" t="n">
        <x:v>2021</x:v>
      </x:c>
      <x:c r="H58" s="10" t="n">
        <x:v>260918</x:v>
      </x:c>
      <x:c r="I58" s="8" t="str">
        <x:v>100,000 and over</x:v>
      </x:c>
      <x:c r="J58" s="11" t="n">
        <x:v>954515394</x:v>
      </x:c>
      <x:c r="K58" s="11" t="n">
        <x:v>522157286</x:v>
      </x:c>
      <x:c r="L58" s="11" t="n">
        <x:v>432358108</x:v>
      </x:c>
      <x:c r="M58" s="12" t="n">
        <x:v>0.4529608539765468</x:v>
      </x:c>
      <x:c r="N58" s="11" t="n">
        <x:v>321606805</x:v>
      </x:c>
      <x:c r="O58" s="11" t="n">
        <x:v>116849718</x:v>
      </x:c>
      <x:c r="P58" s="11" t="n">
        <x:v>21644029</x:v>
      </x:c>
      <x:c r="Q58" s="11" t="n">
        <x:v>494414842</x:v>
      </x:c>
      <x:c r="R58" s="11" t="n">
        <x:v>448523146</x:v>
      </x:c>
      <x:c r="S58" s="11" t="n">
        <x:v>73634140</x:v>
      </x:c>
      <x:c r="T58" s="11" t="n">
        <x:v>2021565206</x:v>
      </x:c>
      <x:c r="U58" s="11" t="n">
        <x:v>431421246</x:v>
      </x:c>
      <x:c r="V58" s="11" t="n">
        <x:v>1917089305</x:v>
      </x:c>
      <x:c r="W58" s="11" t="n">
        <x:v>602550525</x:v>
      </x:c>
      <x:c r="X58" s="11" t="n">
        <x:v>0</x:v>
      </x:c>
      <x:c r="Y58" s="11" t="n">
        <x:v>0</x:v>
      </x:c>
      <x:c r="Z58" s="11" t="n">
        <x:v>0</x:v>
      </x:c>
      <x:c r="AA58" s="11" t="n">
        <x:v>0</x:v>
      </x:c>
      <x:c r="AB58" s="11" t="n">
        <x:v>0</x:v>
      </x:c>
      <x:c r="AC58" s="11" t="n">
        <x:v>0</x:v>
      </x:c>
      <x:c r="AD58" s="11" t="n">
        <x:v>136089644</x:v>
      </x:c>
      <x:c r="AE58" s="11" t="n">
        <x:v>136089644</x:v>
      </x:c>
      <x:c r="AF58" s="11" t="n">
        <x:v>544358576</x:v>
      </x:c>
      <x:c r="AG58" s="11" t="n">
        <x:v>4425659340</x:v>
      </x:c>
      <x:c r="AH58" s="11" t="n">
        <x:v>1249624748</x:v>
      </x:c>
      <x:c r="AI58" s="11" t="n">
        <x:v>3176034592</x:v>
      </x:c>
      <x:c r="AJ58" s="11" t="n">
        <x:v>242200447</x:v>
      </x:c>
      <x:c r="AK58" s="11" t="n">
        <x:v>1961246269</x:v>
      </x:c>
      <x:c r="AL58" s="11" t="n">
        <x:v>0</x:v>
      </x:c>
      <x:c r="AM58" s="12" t="n">
        <x:v>1</x:v>
      </x:c>
      <x:c r="AN58" s="12" t="n">
        <x:v>0.12349313333480202</x:v>
      </x:c>
      <x:c r="AO58" s="11" t="n">
        <x:v>587849535</x:v>
      </x:c>
      <x:c r="AP58" s="11" t="n">
        <x:v>581418637</x:v>
      </x:c>
      <x:c r="AQ58" s="12" t="n">
        <x:v>0.9890602992481741</x:v>
      </x:c>
      <x:c r="AR58" s="11" t="n">
        <x:v>3658.2964532918386</x:v>
      </x:c>
      <x:c r="AS58" s="11" t="n">
        <x:v>2001.2313677093953</x:v>
      </x:c>
      <x:c r="AT58" s="11" t="n">
        <x:v>7347.478154056063</x:v>
      </x:c>
      <x:c r="AU58" s="11" t="n">
        <x:v>2309.348243509455</x:v>
      </x:c>
      <x:c r="AV58" s="11" t="n">
        <x:v>0</x:v>
      </x:c>
      <x:c r="AW58" s="11" t="n">
        <x:v>4.6858267290804685</x:v>
      </x:c>
      <x:c r="AX58" s="12" t="n">
        <x:v>1</x:v>
      </x:c>
      <x:c r="AY58" s="11"/>
      <x:c r="AZ58" s="11"/>
      <x:c r="BA58" s="11"/>
      <x:c r="BB58" s="11"/>
      <x:c r="BC58" s="11"/>
      <x:c r="BD58" s="11"/>
      <x:c r="BE58" s="11"/>
      <x:c r="BF58" s="11"/>
      <x:c r="BG58" s="11"/>
      <x:c r="BH58" s="11"/>
      <x:c r="BI58" s="11"/>
      <x:c r="BJ58" s="11"/>
      <x:c r="BK58" s="12"/>
      <x:c r="BL58" s="12"/>
      <x:c r="BM58" s="12"/>
      <x:c r="BN58" s="12"/>
      <x:c r="BO58" s="12"/>
      <x:c r="BP58" s="12"/>
      <x:c r="BQ58" s="12"/>
      <x:c r="BR58" s="12"/>
      <x:c r="BS58" s="12"/>
      <x:c r="BT58" s="12"/>
      <x:c r="BU58" s="11" t="n">
        <x:v>1586000</x:v>
      </x:c>
      <x:c r="BV58" s="11" t="n">
        <x:v>11802639</x:v>
      </x:c>
      <x:c r="BW58" s="11" t="n">
        <x:v>8255390</x:v>
      </x:c>
      <x:c r="BX58" s="11" t="n">
        <x:v>42263976</x:v>
      </x:c>
      <x:c r="BY58" s="11" t="n">
        <x:v>0</x:v>
      </x:c>
      <x:c r="BZ58" s="11" t="n">
        <x:v>367774525</x:v>
      </x:c>
      <x:c r="CA58" s="11" t="n">
        <x:v>23450072</x:v>
      </x:c>
      <x:c r="CB58" s="11" t="n">
        <x:v>60926269</x:v>
      </x:c>
      <x:c r="CC58" s="11" t="n">
        <x:v>83604230</x:v>
      </x:c>
      <x:c r="CD58" s="11" t="n">
        <x:v>131097541</x:v>
      </x:c>
      <x:c r="CE58" s="11" t="n">
        <x:v>20854384</x:v>
      </x:c>
      <x:c r="CF58" s="11" t="n">
        <x:v>558954</x:v>
      </x:c>
      <x:c r="CG58" s="11" t="n">
        <x:v>8926738</x:v>
      </x:c>
      <x:c r="CH58" s="11" t="n">
        <x:v>26283514</x:v>
      </x:c>
      <x:c r="CI58" s="11" t="n">
        <x:v>98693477</x:v>
      </x:c>
      <x:c r="CJ58" s="11" t="n">
        <x:v>39818071</x:v>
      </x:c>
      <x:c r="CK58" s="11" t="n">
        <x:v>38034244</x:v>
      </x:c>
      <x:c r="CL58" s="11" t="n">
        <x:v>0</x:v>
      </x:c>
      <x:c r="CM58" s="11"/>
      <x:c r="CN58" s="11" t="n">
        <x:v>651993</x:v>
      </x:c>
      <x:c r="CO58" s="11" t="n">
        <x:v>0</x:v>
      </x:c>
      <x:c r="CP58" s="8"/>
      <x:c r="CQ58" s="8" t="str">
        <x:v>Kelowna</x:v>
      </x:c>
    </x:row>
    <x:row r="59">
      <x:c r="A59" s="8" t="str">
        <x:v>Burnaby|2022</x:v>
      </x:c>
      <x:c r="B59" s="8" t="str">
        <x:v>burnaby-c</x:v>
      </x:c>
      <x:c r="C59" s="8" t="str">
        <x:v>Burnaby</x:v>
      </x:c>
      <x:c r="D59" s="8" t="str">
        <x:v>Burnaby</x:v>
      </x:c>
      <x:c r="E59" s="8" t="str">
        <x:v>C</x:v>
      </x:c>
      <x:c r="F59" s="8" t="str">
        <x:v>MVRD</x:v>
      </x:c>
      <x:c r="G59" s="9" t="n">
        <x:v>2022</x:v>
      </x:c>
      <x:c r="H59" s="10" t="n">
        <x:v>270264</x:v>
      </x:c>
      <x:c r="I59" s="8" t="str">
        <x:v>100,000 and over</x:v>
      </x:c>
      <x:c r="J59" s="11" t="n">
        <x:v>989114043</x:v>
      </x:c>
      <x:c r="K59" s="11" t="n">
        <x:v>585812386</x:v>
      </x:c>
      <x:c r="L59" s="11" t="n">
        <x:v>403301657</x:v>
      </x:c>
      <x:c r="M59" s="12" t="n">
        <x:v>0.4077403003770719</x:v>
      </x:c>
      <x:c r="N59" s="11" t="n">
        <x:v>340966120</x:v>
      </x:c>
      <x:c r="O59" s="11" t="n">
        <x:v>131947031</x:v>
      </x:c>
      <x:c r="P59" s="11" t="n">
        <x:v>41765263</x:v>
      </x:c>
      <x:c r="Q59" s="11" t="n">
        <x:v>474435629</x:v>
      </x:c>
      <x:c r="R59" s="11" t="n">
        <x:v>510536296</x:v>
      </x:c>
      <x:c r="S59" s="11" t="n">
        <x:v>75276090</x:v>
      </x:c>
      <x:c r="T59" s="11" t="n">
        <x:v>2206434933</x:v>
      </x:c>
      <x:c r="U59" s="11" t="n">
        <x:v>471614609</x:v>
      </x:c>
      <x:c r="V59" s="11" t="n">
        <x:v>2131174931</x:v>
      </x:c>
      <x:c r="W59" s="11" t="n">
        <x:v>574429932</x:v>
      </x:c>
      <x:c r="X59" s="11" t="n">
        <x:v>0</x:v>
      </x:c>
      <x:c r="Y59" s="11" t="n">
        <x:v>0</x:v>
      </x:c>
      <x:c r="Z59" s="11" t="n">
        <x:v>0</x:v>
      </x:c>
      <x:c r="AA59" s="11" t="n">
        <x:v>0</x:v>
      </x:c>
      <x:c r="AB59" s="11" t="n">
        <x:v>0</x:v>
      </x:c>
      <x:c r="AC59" s="11" t="n">
        <x:v>0</x:v>
      </x:c>
      <x:c r="AD59" s="11" t="n">
        <x:v>157806090</x:v>
      </x:c>
      <x:c r="AE59" s="11" t="n">
        <x:v>157806090</x:v>
      </x:c>
      <x:c r="AF59" s="11" t="n">
        <x:v>631224359</x:v>
      </x:c>
      <x:c r="AG59" s="11" t="n">
        <x:v>4675479548</x:v>
      </x:c>
      <x:c r="AH59" s="11" t="n">
        <x:v>1311047091</x:v>
      </x:c>
      <x:c r="AI59" s="11" t="n">
        <x:v>3364432457</x:v>
      </x:c>
      <x:c r="AJ59" s="11" t="n">
        <x:v>275735815</x:v>
      </x:c>
      <x:c r="AK59" s="11" t="n">
        <x:v>2041647549</x:v>
      </x:c>
      <x:c r="AL59" s="11" t="n">
        <x:v>0</x:v>
      </x:c>
      <x:c r="AM59" s="12" t="n">
        <x:v>1</x:v>
      </x:c>
      <x:c r="AN59" s="12" t="n">
        <x:v>0.13505554136170836</x:v>
      </x:c>
      <x:c r="AO59" s="11" t="n">
        <x:v>615959215</x:v>
      </x:c>
      <x:c r="AP59" s="11" t="n">
        <x:v>607267133</x:v>
      </x:c>
      <x:c r="AQ59" s="12" t="n">
        <x:v>0.9858885429614037</x:v>
      </x:c>
      <x:c r="AR59" s="11" t="n">
        <x:v>3659.8068666193058</x:v>
      </x:c>
      <x:c r="AS59" s="11" t="n">
        <x:v>2167.5561155018795</x:v>
      </x:c>
      <x:c r="AT59" s="11" t="n">
        <x:v>7885.530189000385</x:v>
      </x:c>
      <x:c r="AU59" s="11" t="n">
        <x:v>2125.4400586093598</x:v>
      </x:c>
      <x:c r="AV59" s="11" t="n">
        <x:v>0</x:v>
      </x:c>
      <x:c r="AW59" s="11" t="n">
        <x:v>4.6784702825013635</x:v>
      </x:c>
      <x:c r="AX59" s="12" t="n">
        <x:v>1</x:v>
      </x:c>
      <x:c r="AY59" s="11"/>
      <x:c r="AZ59" s="11"/>
      <x:c r="BA59" s="11"/>
      <x:c r="BB59" s="11"/>
      <x:c r="BC59" s="11"/>
      <x:c r="BD59" s="11"/>
      <x:c r="BE59" s="11"/>
      <x:c r="BF59" s="11"/>
      <x:c r="BG59" s="11"/>
      <x:c r="BH59" s="11"/>
      <x:c r="BI59" s="11"/>
      <x:c r="BJ59" s="11"/>
      <x:c r="BK59" s="12"/>
      <x:c r="BL59" s="12"/>
      <x:c r="BM59" s="12"/>
      <x:c r="BN59" s="12"/>
      <x:c r="BO59" s="12"/>
      <x:c r="BP59" s="12"/>
      <x:c r="BQ59" s="12"/>
      <x:c r="BR59" s="12"/>
      <x:c r="BS59" s="12"/>
      <x:c r="BT59" s="12"/>
      <x:c r="BU59" s="11" t="n">
        <x:v>13802534</x:v>
      </x:c>
      <x:c r="BV59" s="11" t="n">
        <x:v>16268512</x:v>
      </x:c>
      <x:c r="BW59" s="11" t="n">
        <x:v>11694217</x:v>
      </x:c>
      <x:c r="BX59" s="11" t="n">
        <x:v>62946483</x:v>
      </x:c>
      <x:c r="BY59" s="11" t="n">
        <x:v>0</x:v>
      </x:c>
      <x:c r="BZ59" s="11" t="n">
        <x:v>314866584</x:v>
      </x:c>
      <x:c r="CA59" s="11" t="n">
        <x:v>3757196</x:v>
      </x:c>
      <x:c r="CB59" s="11" t="n">
        <x:v>92865366</x:v>
      </x:c>
      <x:c r="CC59" s="11" t="n">
        <x:v>109637051</x:v>
      </x:c>
      <x:c r="CD59" s="11" t="n">
        <x:v>135633202</x:v>
      </x:c>
      <x:c r="CE59" s="11" t="n">
        <x:v>21476419</x:v>
      </x:c>
      <x:c r="CF59" s="11" t="n">
        <x:v>586795</x:v>
      </x:c>
      <x:c r="CG59" s="11" t="n">
        <x:v>10415266</x:v>
      </x:c>
      <x:c r="CH59" s="11" t="n">
        <x:v>28920117</x:v>
      </x:c>
      <x:c r="CI59" s="11" t="n">
        <x:v>113205201</x:v>
      </x:c>
      <x:c r="CJ59" s="11" t="n">
        <x:v>40990749</x:v>
      </x:c>
      <x:c r="CK59" s="11" t="n">
        <x:v>38079910</x:v>
      </x:c>
      <x:c r="CL59" s="11" t="n">
        <x:v>0</x:v>
      </x:c>
      <x:c r="CM59" s="11"/>
      <x:c r="CN59" s="11" t="n">
        <x:v>11591586</x:v>
      </x:c>
      <x:c r="CO59" s="11" t="n">
        <x:v>0</x:v>
      </x:c>
      <x:c r="CP59" s="8"/>
      <x:c r="CQ59" s="8" t="str">
        <x:v>Kent</x:v>
      </x:c>
    </x:row>
    <x:row r="60">
      <x:c r="A60" s="8" t="str">
        <x:v>Burnaby|2023</x:v>
      </x:c>
      <x:c r="B60" s="8" t="str">
        <x:v>burnaby-c</x:v>
      </x:c>
      <x:c r="C60" s="8" t="str">
        <x:v>Burnaby</x:v>
      </x:c>
      <x:c r="D60" s="8" t="str">
        <x:v>Burnaby</x:v>
      </x:c>
      <x:c r="E60" s="8" t="str">
        <x:v>C</x:v>
      </x:c>
      <x:c r="F60" s="8" t="str">
        <x:v>MVRD</x:v>
      </x:c>
      <x:c r="G60" s="9" t="n">
        <x:v>2023</x:v>
      </x:c>
      <x:c r="H60" s="10" t="n">
        <x:v>279948</x:v>
      </x:c>
      <x:c r="I60" s="8" t="str">
        <x:v>100,000 and over</x:v>
      </x:c>
      <x:c r="J60" s="11" t="n">
        <x:v>864869965</x:v>
      </x:c>
      <x:c r="K60" s="11" t="n">
        <x:v>623110858</x:v>
      </x:c>
      <x:c r="L60" s="11" t="n">
        <x:v>241759107</x:v>
      </x:c>
      <x:c r="M60" s="12" t="n">
        <x:v>0.27953231905792914</x:v>
      </x:c>
      <x:c r="N60" s="11" t="n">
        <x:v>359758119</x:v>
      </x:c>
      <x:c r="O60" s="11" t="n">
        <x:v>250140202</x:v>
      </x:c>
      <x:c r="P60" s="11" t="n">
        <x:v>57564736</x:v>
      </x:c>
      <x:c r="Q60" s="11" t="n">
        <x:v>197406908</x:v>
      </x:c>
      <x:c r="R60" s="11" t="n">
        <x:v>544599816</x:v>
      </x:c>
      <x:c r="S60" s="11" t="n">
        <x:v>78511042</x:v>
      </x:c>
      <x:c r="T60" s="11" t="n">
        <x:v>2242938806</x:v>
      </x:c>
      <x:c r="U60" s="11" t="n">
        <x:v>488383820</x:v>
      </x:c>
      <x:c r="V60" s="11" t="n">
        <x:v>2159946311</x:v>
      </x:c>
      <x:c r="W60" s="11" t="n">
        <x:v>610928832</x:v>
      </x:c>
      <x:c r="X60" s="11" t="n">
        <x:v>0</x:v>
      </x:c>
      <x:c r="Y60" s="11" t="n">
        <x:v>0</x:v>
      </x:c>
      <x:c r="Z60" s="11" t="n">
        <x:v>0</x:v>
      </x:c>
      <x:c r="AA60" s="11" t="n">
        <x:v>0</x:v>
      </x:c>
      <x:c r="AB60" s="11" t="n">
        <x:v>0</x:v>
      </x:c>
      <x:c r="AC60" s="11" t="n">
        <x:v>0</x:v>
      </x:c>
      <x:c r="AD60" s="11" t="n">
        <x:v>175794142</x:v>
      </x:c>
      <x:c r="AE60" s="11" t="n">
        <x:v>175794142</x:v>
      </x:c>
      <x:c r="AF60" s="11" t="n">
        <x:v>703176567</x:v>
      </x:c>
      <x:c r="AG60" s="11" t="n">
        <x:v>4948724586</x:v>
      </x:c>
      <x:c r="AH60" s="11" t="n">
        <x:v>1375630007</x:v>
      </x:c>
      <x:c r="AI60" s="11" t="n">
        <x:v>3573094579</x:v>
      </x:c>
      <x:c r="AJ60" s="11" t="n">
        <x:v>282513314</x:v>
      </x:c>
      <x:c r="AK60" s="11" t="n">
        <x:v>2167866313</x:v>
      </x:c>
      <x:c r="AL60" s="11" t="n">
        <x:v>0</x:v>
      </x:c>
      <x:c r="AM60" s="12" t="n">
        <x:v>1</x:v>
      </x:c>
      <x:c r="AN60" s="12" t="n">
        <x:v>0.13031860512147733</x:v>
      </x:c>
      <x:c r="AO60" s="11" t="n">
        <x:v>663937302</x:v>
      </x:c>
      <x:c r="AP60" s="11" t="n">
        <x:v>653045291</x:v>
      </x:c>
      <x:c r="AQ60" s="12" t="n">
        <x:v>0.983594819921716</x:v>
      </x:c>
      <x:c r="AR60" s="11" t="n">
        <x:v>3089.395048366125</x:v>
      </x:c>
      <x:c r="AS60" s="11" t="n">
        <x:v>2225.8092860102593</x:v>
      </x:c>
      <x:c r="AT60" s="11" t="n">
        <x:v>7715.526851415263</x:v>
      </x:c>
      <x:c r="AU60" s="11" t="n">
        <x:v>2182.2939688799347</x:v>
      </x:c>
      <x:c r="AV60" s="11" t="n">
        <x:v>0</x:v>
      </x:c>
      <x:c r="AW60" s="11" t="n">
        <x:v>4.592573943174449</x:v>
      </x:c>
      <x:c r="AX60" s="12" t="n">
        <x:v>1</x:v>
      </x:c>
      <x:c r="AY60" s="11"/>
      <x:c r="AZ60" s="11"/>
      <x:c r="BA60" s="11"/>
      <x:c r="BB60" s="11"/>
      <x:c r="BC60" s="11"/>
      <x:c r="BD60" s="11"/>
      <x:c r="BE60" s="11"/>
      <x:c r="BF60" s="11"/>
      <x:c r="BG60" s="11"/>
      <x:c r="BH60" s="11"/>
      <x:c r="BI60" s="11"/>
      <x:c r="BJ60" s="11"/>
      <x:c r="BK60" s="12"/>
      <x:c r="BL60" s="12"/>
      <x:c r="BM60" s="12"/>
      <x:c r="BN60" s="12"/>
      <x:c r="BO60" s="12"/>
      <x:c r="BP60" s="12"/>
      <x:c r="BQ60" s="12"/>
      <x:c r="BR60" s="12"/>
      <x:c r="BS60" s="12"/>
      <x:c r="BT60" s="12"/>
      <x:c r="BU60" s="11" t="n">
        <x:v>5192273</x:v>
      </x:c>
      <x:c r="BV60" s="11" t="n">
        <x:v>46091356</x:v>
      </x:c>
      <x:c r="BW60" s="11" t="n">
        <x:v>6281107</x:v>
      </x:c>
      <x:c r="BX60" s="11" t="n">
        <x:v>90777246</x:v>
      </x:c>
      <x:c r="BY60" s="11" t="n">
        <x:v>0</x:v>
      </x:c>
      <x:c r="BZ60" s="11" t="n">
        <x:v>97464096</x:v>
      </x:c>
      <x:c r="CA60" s="11" t="n">
        <x:v>9165566</x:v>
      </x:c>
      <x:c r="CB60" s="11" t="n">
        <x:v>0</x:v>
      </x:c>
      <x:c r="CC60" s="11" t="n">
        <x:v>122564476</x:v>
      </x:c>
      <x:c r="CD60" s="11" t="n">
        <x:v>145212509</x:v>
      </x:c>
      <x:c r="CE60" s="11" t="n">
        <x:v>22982589</x:v>
      </x:c>
      <x:c r="CF60" s="11" t="n">
        <x:v>653065</x:v>
      </x:c>
      <x:c r="CG60" s="11" t="n">
        <x:v>11236360</x:v>
      </x:c>
      <x:c r="CH60" s="11" t="n">
        <x:v>30522815</x:v>
      </x:c>
      <x:c r="CI60" s="11" t="n">
        <x:v>126054006</x:v>
      </x:c>
      <x:c r="CJ60" s="11" t="n">
        <x:v>42593772</x:v>
      </x:c>
      <x:c r="CK60" s="11" t="n">
        <x:v>41180318</x:v>
      </x:c>
      <x:c r="CL60" s="11" t="n">
        <x:v>0</x:v>
      </x:c>
      <x:c r="CM60" s="11" t="n">
        <x:v>103917</x:v>
      </x:c>
      <x:c r="CN60" s="11" t="n">
        <x:v>1495989</x:v>
      </x:c>
      <x:c r="CO60" s="11" t="n">
        <x:v>0</x:v>
      </x:c>
      <x:c r="CP60" s="8"/>
      <x:c r="CQ60" s="8" t="str">
        <x:v>Keremeos</x:v>
      </x:c>
    </x:row>
    <x:row r="61">
      <x:c r="A61" s="8" t="str">
        <x:v>Burnaby|2024</x:v>
      </x:c>
      <x:c r="B61" s="8" t="str">
        <x:v>burnaby-c</x:v>
      </x:c>
      <x:c r="C61" s="8" t="str">
        <x:v>Burnaby</x:v>
      </x:c>
      <x:c r="D61" s="8" t="str">
        <x:v>Burnaby</x:v>
      </x:c>
      <x:c r="E61" s="8" t="str">
        <x:v>C</x:v>
      </x:c>
      <x:c r="F61" s="8" t="str">
        <x:v>MVRD</x:v>
      </x:c>
      <x:c r="G61" s="9" t="n">
        <x:v>2024</x:v>
      </x:c>
      <x:c r="H61" s="10" t="n">
        <x:v>279948</x:v>
      </x:c>
      <x:c r="I61" s="8" t="str">
        <x:v>100,000 and over</x:v>
      </x:c>
      <x:c r="J61" s="11" t="n">
        <x:v>977425314</x:v>
      </x:c>
      <x:c r="K61" s="11" t="n">
        <x:v>666099760</x:v>
      </x:c>
      <x:c r="L61" s="11" t="n">
        <x:v>311325554</x:v>
      </x:c>
      <x:c r="M61" s="12" t="n">
        <x:v>0.3185159515932079</x:v>
      </x:c>
      <x:c r="N61" s="11" t="n">
        <x:v>381984552</x:v>
      </x:c>
      <x:c r="O61" s="11" t="n">
        <x:v>225369432</x:v>
      </x:c>
      <x:c r="P61" s="11" t="n">
        <x:v>48400916</x:v>
      </x:c>
      <x:c r="Q61" s="11" t="n">
        <x:v>321670414</x:v>
      </x:c>
      <x:c r="R61" s="11" t="n">
        <x:v>578120775</x:v>
      </x:c>
      <x:c r="S61" s="11" t="n">
        <x:v>87978985</x:v>
      </x:c>
      <x:c r="T61" s="11" t="n">
        <x:v>2215283071</x:v>
      </x:c>
      <x:c r="U61" s="11" t="n">
        <x:v>572579804</x:v>
      </x:c>
      <x:c r="V61" s="11" t="n">
        <x:v>2101833906</x:v>
      </x:c>
      <x:c r="W61" s="11" t="n">
        <x:v>515892520</x:v>
      </x:c>
      <x:c r="X61" s="11" t="n">
        <x:v>0</x:v>
      </x:c>
      <x:c r="Y61" s="11" t="n">
        <x:v>0</x:v>
      </x:c>
      <x:c r="Z61" s="11" t="n">
        <x:v>0</x:v>
      </x:c>
      <x:c r="AA61" s="11" t="n">
        <x:v>0</x:v>
      </x:c>
      <x:c r="AB61" s="11" t="n">
        <x:v>0</x:v>
      </x:c>
      <x:c r="AC61" s="11" t="n">
        <x:v>0</x:v>
      </x:c>
      <x:c r="AD61" s="11" t="n">
        <x:v>177393128</x:v>
      </x:c>
      <x:c r="AE61" s="11" t="n">
        <x:v>177393128</x:v>
      </x:c>
      <x:c r="AF61" s="11" t="n">
        <x:v>709572513</x:v>
      </x:c>
      <x:c r="AG61" s="11" t="n">
        <x:v>5380087868</x:v>
      </x:c>
      <x:c r="AH61" s="11" t="n">
        <x:v>1437798311</x:v>
      </x:c>
      <x:c r="AI61" s="11" t="n">
        <x:v>3942289557</x:v>
      </x:c>
      <x:c r="AJ61" s="11" t="n">
        <x:v>461039449</x:v>
      </x:c>
      <x:c r="AK61" s="11" t="n">
        <x:v>10333556649</x:v>
      </x:c>
      <x:c r="AL61" s="11" t="n">
        <x:v>206006645</x:v>
      </x:c>
      <x:c r="AM61" s="12" t="n">
        <x:v>0.9800643038987031</x:v>
      </x:c>
      <x:c r="AN61" s="12" t="n">
        <x:v>0.044615756671215014</x:v>
      </x:c>
      <x:c r="AO61" s="11" t="n">
        <x:v>721356654</x:v>
      </x:c>
      <x:c r="AP61" s="11" t="n">
        <x:v>709141202</x:v>
      </x:c>
      <x:c r="AQ61" s="12" t="n">
        <x:v>0.9830660021887038</x:v>
      </x:c>
      <x:c r="AR61" s="11" t="n">
        <x:v>3491.4531055767497</x:v>
      </x:c>
      <x:c r="AS61" s="11" t="n">
        <x:v>2379.369597210911</x:v>
      </x:c>
      <x:c r="AT61" s="11" t="n">
        <x:v>7507.943996742252</x:v>
      </x:c>
      <x:c r="AU61" s="11" t="n">
        <x:v>1842.8155228828211</x:v>
      </x:c>
      <x:c r="AV61" s="11" t="n">
        <x:v>0</x:v>
      </x:c>
      <x:c r="AW61" s="11" t="n">
        <x:v>3.8689507655076145</x:v>
      </x:c>
      <x:c r="AX61" s="12" t="n">
        <x:v>1</x:v>
      </x:c>
      <x:c r="AY61" s="11" t="n">
        <x:v>3003.390678329474</x:v>
      </x:c>
      <x:c r="AZ61" s="11" t="n">
        <x:v>3546.5079302077975</x:v>
      </x:c>
      <x:c r="BA61" s="11" t="n">
        <x:v>2379.369597210911</x:v>
      </x:c>
      <x:c r="BB61" s="11" t="n">
        <x:v>2783.665107049771</x:v>
      </x:c>
      <x:c r="BC61" s="11" t="n">
        <x:v>2052.765446183268</x:v>
      </x:c>
      <x:c r="BD61" s="11" t="n">
        <x:v>2437.8724475115623</x:v>
      </x:c>
      <x:c r="BE61" s="11" t="n">
        <x:v>1093.3312652075697</x:v>
      </x:c>
      <x:c r="BF61" s="11" t="n">
        <x:v>1604.3462673977224</x:v>
      </x:c>
      <x:c r="BG61" s="11" t="n">
        <x:v>312.26099706744867</x:v>
      </x:c>
      <x:c r="BH61" s="11" t="n">
        <x:v>518.5374381567245</x:v>
      </x:c>
      <x:c r="BI61" s="11" t="n">
        <x:v>1.6357691597817738</x:v>
      </x:c>
      <x:c r="BJ61" s="11" t="n">
        <x:v>1.7099330852451193</x:v>
      </x:c>
      <x:c r="BK61" s="12" t="n">
        <x:v>0.025378934003535983</x:v>
      </x:c>
      <x:c r="BL61" s="12" t="n">
        <x:v>0.02529861000232605</x:v>
      </x:c>
      <x:c r="BM61" s="12" t="n">
        <x:v>0.9802497344746216</x:v>
      </x:c>
      <x:c r="BN61" s="12" t="n">
        <x:v>0.9815511712696461</x:v>
      </x:c>
      <x:c r="BO61" s="12" t="n">
        <x:v>0.9023585311053542</x:v>
      </x:c>
      <x:c r="BP61" s="12" t="n">
        <x:v>0.8619101997275483</x:v>
      </x:c>
      <x:c r="BQ61" s="12" t="n">
        <x:v>0.9669710895067201</x:v>
      </x:c>
      <x:c r="BR61" s="12" t="n">
        <x:v>0.9623635142836453</x:v>
      </x:c>
      <x:c r="BS61" s="12" t="n">
        <x:v>0.27009754429306687</x:v>
      </x:c>
      <x:c r="BT61" s="12" t="n">
        <x:v>0.19976549769108282</x:v>
      </x:c>
      <x:c r="BU61" s="11" t="n">
        <x:v>9604784</x:v>
      </x:c>
      <x:c r="BV61" s="11" t="n">
        <x:v>28603337</x:v>
      </x:c>
      <x:c r="BW61" s="11" t="n">
        <x:v>10192795</x:v>
      </x:c>
      <x:c r="BX61" s="11" t="n">
        <x:v>99707529</x:v>
      </x:c>
      <x:c r="BY61" s="11" t="n">
        <x:v>0</x:v>
      </x:c>
      <x:c r="BZ61" s="11" t="n">
        <x:v>218581055</x:v>
      </x:c>
      <x:c r="CA61" s="11" t="n">
        <x:v>3381830</x:v>
      </x:c>
      <x:c r="CB61" s="11" t="n">
        <x:v>0</x:v>
      </x:c>
      <x:c r="CC61" s="11" t="n">
        <x:v>106808669</x:v>
      </x:c>
      <x:c r="CD61" s="11" t="n">
        <x:v>158760541</x:v>
      </x:c>
      <x:c r="CE61" s="11" t="n">
        <x:v>23961581</x:v>
      </x:c>
      <x:c r="CF61" s="11" t="n">
        <x:v>663538</x:v>
      </x:c>
      <x:c r="CG61" s="11" t="n">
        <x:v>14649556</x:v>
      </x:c>
      <x:c r="CH61" s="11" t="n">
        <x:v>35343904</x:v>
      </x:c>
      <x:c r="CI61" s="11" t="n">
        <x:v>137091647</x:v>
      </x:c>
      <x:c r="CJ61" s="11" t="n">
        <x:v>45125487</x:v>
      </x:c>
      <x:c r="CK61" s="11" t="n">
        <x:v>51937196</x:v>
      </x:c>
      <x:c r="CL61" s="11" t="n">
        <x:v>0</x:v>
      </x:c>
      <x:c r="CM61" s="11" t="n">
        <x:v>46926</x:v>
      </x:c>
      <x:c r="CN61" s="11" t="n">
        <x:v>3731730</x:v>
      </x:c>
      <x:c r="CO61" s="11" t="n">
        <x:v>0</x:v>
      </x:c>
      <x:c r="CP61" s="8"/>
      <x:c r="CQ61" s="8" t="str">
        <x:v>Kimberley</x:v>
      </x:c>
    </x:row>
    <x:row r="62">
      <x:c r="A62" s="8" t="str">
        <x:v>Burns Lake|2019</x:v>
      </x:c>
      <x:c r="B62" s="8" t="str">
        <x:v>burns-lake-v</x:v>
      </x:c>
      <x:c r="C62" s="8" t="str">
        <x:v>Burns Lake</x:v>
      </x:c>
      <x:c r="D62" s="8" t="str">
        <x:v>Burns Lake</x:v>
      </x:c>
      <x:c r="E62" s="8" t="str">
        <x:v>V</x:v>
      </x:c>
      <x:c r="F62" s="8" t="str">
        <x:v>BUL</x:v>
      </x:c>
      <x:c r="G62" s="9" t="n">
        <x:v>2019</x:v>
      </x:c>
      <x:c r="H62" s="10" t="n">
        <x:v>1871</x:v>
      </x:c>
      <x:c r="I62" s="8" t="str">
        <x:v>Under 5,000</x:v>
      </x:c>
      <x:c r="J62" s="11" t="n">
        <x:v>10151324</x:v>
      </x:c>
      <x:c r="K62" s="11" t="n">
        <x:v>4744885</x:v>
      </x:c>
      <x:c r="L62" s="11" t="n">
        <x:v>5406439</x:v>
      </x:c>
      <x:c r="M62" s="12" t="n">
        <x:v>0.5325846165485408</x:v>
      </x:c>
      <x:c r="N62" s="11" t="n">
        <x:v>1906886</x:v>
      </x:c>
      <x:c r="O62" s="11" t="n">
        <x:v>1162765</x:v>
      </x:c>
      <x:c r="P62" s="11" t="n">
        <x:v>5545996</x:v>
      </x:c>
      <x:c r="Q62" s="11" t="n">
        <x:v>1535677</x:v>
      </x:c>
      <x:c r="R62" s="11" t="n">
        <x:v>3792856</x:v>
      </x:c>
      <x:c r="S62" s="11" t="n">
        <x:v>940730</x:v>
      </x:c>
      <x:c r="T62" s="11" t="n">
        <x:v>8481136</x:v>
      </x:c>
      <x:c r="U62" s="11" t="n">
        <x:v>908126</x:v>
      </x:c>
      <x:c r="V62" s="11" t="n">
        <x:v>18030997</x:v>
      </x:c>
      <x:c r="W62" s="11" t="n">
        <x:v>3459559</x:v>
      </x:c>
      <x:c r="X62" s="11" t="n">
        <x:v>206322</x:v>
      </x:c>
      <x:c r="Y62" s="11" t="n">
        <x:v>187262</x:v>
      </x:c>
      <x:c r="Z62" s="11" t="n">
        <x:v>98761</x:v>
      </x:c>
      <x:c r="AA62" s="11" t="n">
        <x:v>279592</x:v>
      </x:c>
      <x:c r="AB62" s="11" t="n">
        <x:v>11299</x:v>
      </x:c>
      <x:c r="AC62" s="11" t="n">
        <x:v>110060</x:v>
      </x:c>
      <x:c r="AD62" s="11" t="n">
        <x:v>1018418</x:v>
      </x:c>
      <x:c r="AE62" s="11" t="n">
        <x:v>770903</x:v>
      </x:c>
      <x:c r="AF62" s="11" t="n">
        <x:v>4073673</x:v>
      </x:c>
      <x:c r="AG62" s="11" t="n">
        <x:v>35250142</x:v>
      </x:c>
      <x:c r="AH62" s="11" t="n">
        <x:v>14730545</x:v>
      </x:c>
      <x:c r="AI62" s="11" t="n">
        <x:v>20519597</x:v>
      </x:c>
      <x:c r="AJ62" s="11" t="n">
        <x:v>2735621</x:v>
      </x:c>
      <x:c r="AK62" s="11" t="n">
        <x:v>505211</x:v>
      </x:c>
      <x:c r="AL62" s="11" t="n">
        <x:v>0</x:v>
      </x:c>
      <x:c r="AM62" s="12" t="n">
        <x:v>1</x:v>
      </x:c>
      <x:c r="AN62" s="12" t="n">
        <x:v>5.414808862039821</x:v>
      </x:c>
      <x:c r="AO62" s="11" t="n">
        <x:v>3421557</x:v>
      </x:c>
      <x:c r="AP62" s="11" t="n">
        <x:v>3162389</x:v>
      </x:c>
      <x:c r="AQ62" s="12" t="n">
        <x:v>0.9242543672369041</x:v>
      </x:c>
      <x:c r="AR62" s="11" t="n">
        <x:v>5425.61411010155</x:v>
      </x:c>
      <x:c r="AS62" s="11" t="n">
        <x:v>2536.015499732763</x:v>
      </x:c>
      <x:c r="AT62" s="11" t="n">
        <x:v>9637.090860502405</x:v>
      </x:c>
      <x:c r="AU62" s="11" t="n">
        <x:v>1849.0427578834847</x:v>
      </x:c>
      <x:c r="AV62" s="11" t="n">
        <x:v>149.43452699091395</x:v>
      </x:c>
      <x:c r="AW62" s="11" t="n">
        <x:v>9.33916218674501</x:v>
      </x:c>
      <x:c r="AX62" s="12" t="n">
        <x:v>0.756961287015744</x:v>
      </x:c>
      <x:c r="AY62" s="11"/>
      <x:c r="AZ62" s="11"/>
      <x:c r="BA62" s="11"/>
      <x:c r="BB62" s="11"/>
      <x:c r="BC62" s="11"/>
      <x:c r="BD62" s="11"/>
      <x:c r="BE62" s="11"/>
      <x:c r="BF62" s="11"/>
      <x:c r="BG62" s="11"/>
      <x:c r="BH62" s="11"/>
      <x:c r="BI62" s="11"/>
      <x:c r="BJ62" s="11"/>
      <x:c r="BK62" s="12"/>
      <x:c r="BL62" s="12"/>
      <x:c r="BM62" s="12"/>
      <x:c r="BN62" s="12"/>
      <x:c r="BO62" s="12"/>
      <x:c r="BP62" s="12"/>
      <x:c r="BQ62" s="12"/>
      <x:c r="BR62" s="12"/>
      <x:c r="BS62" s="12"/>
      <x:c r="BT62" s="12"/>
      <x:c r="BU62" s="11" t="n">
        <x:v>0</x:v>
      </x:c>
      <x:c r="BV62" s="11" t="n">
        <x:v>4563394</x:v>
      </x:c>
      <x:c r="BW62" s="11" t="n">
        <x:v>982602</x:v>
      </x:c>
      <x:c r="BX62" s="11" t="n">
        <x:v>200395</x:v>
      </x:c>
      <x:c r="BY62" s="11" t="n">
        <x:v>739514</x:v>
      </x:c>
      <x:c r="BZ62" s="11" t="n">
        <x:v>0</x:v>
      </x:c>
      <x:c r="CA62" s="11" t="n">
        <x:v>283646</x:v>
      </x:c>
      <x:c r="CB62" s="11" t="n">
        <x:v>312122</x:v>
      </x:c>
      <x:c r="CC62" s="11" t="n">
        <x:v>658262</x:v>
      </x:c>
      <x:c r="CD62" s="11" t="n">
        <x:v>403252</x:v>
      </x:c>
      <x:c r="CE62" s="11" t="n">
        <x:v>72237</x:v>
      </x:c>
      <x:c r="CF62" s="11" t="n">
        <x:v>16941</x:v>
      </x:c>
      <x:c r="CG62" s="11" t="n">
        <x:v>218528</x:v>
      </x:c>
      <x:c r="CH62" s="11" t="n">
        <x:v>857008</x:v>
      </x:c>
      <x:c r="CI62" s="11" t="n">
        <x:v>785189</x:v>
      </x:c>
      <x:c r="CJ62" s="11" t="n">
        <x:v>322389</x:v>
      </x:c>
      <x:c r="CK62" s="11" t="n">
        <x:v>377854</x:v>
      </x:c>
      <x:c r="CL62" s="11" t="n">
        <x:v>0</x:v>
      </x:c>
      <x:c r="CM62" s="11"/>
      <x:c r="CN62" s="11" t="n">
        <x:v>92495</x:v>
      </x:c>
      <x:c r="CO62" s="11" t="n">
        <x:v>0</x:v>
      </x:c>
      <x:c r="CP62" s="8"/>
      <x:c r="CQ62" s="8" t="str">
        <x:v>Kitimat</x:v>
      </x:c>
    </x:row>
    <x:row r="63">
      <x:c r="A63" s="8" t="str">
        <x:v>Burns Lake|2020</x:v>
      </x:c>
      <x:c r="B63" s="8" t="str">
        <x:v>burns-lake-v</x:v>
      </x:c>
      <x:c r="C63" s="8" t="str">
        <x:v>Burns Lake</x:v>
      </x:c>
      <x:c r="D63" s="8" t="str">
        <x:v>Burns Lake</x:v>
      </x:c>
      <x:c r="E63" s="8" t="str">
        <x:v>V</x:v>
      </x:c>
      <x:c r="F63" s="8" t="str">
        <x:v>BUL</x:v>
      </x:c>
      <x:c r="G63" s="9" t="n">
        <x:v>2020</x:v>
      </x:c>
      <x:c r="H63" s="10" t="n">
        <x:v>1869</x:v>
      </x:c>
      <x:c r="I63" s="8" t="str">
        <x:v>Under 5,000</x:v>
      </x:c>
      <x:c r="J63" s="11" t="n">
        <x:v>9663725</x:v>
      </x:c>
      <x:c r="K63" s="11" t="n">
        <x:v>4774983</x:v>
      </x:c>
      <x:c r="L63" s="11" t="n">
        <x:v>4888742</x:v>
      </x:c>
      <x:c r="M63" s="12" t="n">
        <x:v>0.5058858773402596</x:v>
      </x:c>
      <x:c r="N63" s="11" t="n">
        <x:v>1945386</x:v>
      </x:c>
      <x:c r="O63" s="11" t="n">
        <x:v>1278386</x:v>
      </x:c>
      <x:c r="P63" s="11" t="n">
        <x:v>6567707</x:v>
      </x:c>
      <x:c r="Q63" s="11" t="n">
        <x:v>-127754</x:v>
      </x:c>
      <x:c r="R63" s="11" t="n">
        <x:v>3966719</x:v>
      </x:c>
      <x:c r="S63" s="11" t="n">
        <x:v>803888</x:v>
      </x:c>
      <x:c r="T63" s="11" t="n">
        <x:v>8493359</x:v>
      </x:c>
      <x:c r="U63" s="11" t="n">
        <x:v>1381883</x:v>
      </x:c>
      <x:c r="V63" s="11" t="n">
        <x:v>17513662</x:v>
      </x:c>
      <x:c r="W63" s="11" t="n">
        <x:v>3219039</x:v>
      </x:c>
      <x:c r="X63" s="11" t="n">
        <x:v>279592</x:v>
      </x:c>
      <x:c r="Y63" s="11" t="n">
        <x:v>297163</x:v>
      </x:c>
      <x:c r="Z63" s="11" t="n">
        <x:v>62808</x:v>
      </x:c>
      <x:c r="AA63" s="11" t="n">
        <x:v>513947</x:v>
      </x:c>
      <x:c r="AB63" s="11" t="n">
        <x:v>4376</x:v>
      </x:c>
      <x:c r="AC63" s="11" t="n">
        <x:v>67184</x:v>
      </x:c>
      <x:c r="AD63" s="11" t="n">
        <x:v>1006318</x:v>
      </x:c>
      <x:c r="AE63" s="11" t="n">
        <x:v>939134</x:v>
      </x:c>
      <x:c r="AF63" s="11" t="n">
        <x:v>4025273</x:v>
      </x:c>
      <x:c r="AG63" s="11" t="n">
        <x:v>41414548</x:v>
      </x:c>
      <x:c r="AH63" s="11" t="n">
        <x:v>15507408</x:v>
      </x:c>
      <x:c r="AI63" s="11" t="n">
        <x:v>25907140</x:v>
      </x:c>
      <x:c r="AJ63" s="11" t="n">
        <x:v>6191431</x:v>
      </x:c>
      <x:c r="AK63" s="11" t="n">
        <x:v>4847475</x:v>
      </x:c>
      <x:c r="AL63" s="11" t="n">
        <x:v>0</x:v>
      </x:c>
      <x:c r="AM63" s="12" t="n">
        <x:v>1</x:v>
      </x:c>
      <x:c r="AN63" s="12" t="n">
        <x:v>1.2772486706996942</x:v>
      </x:c>
      <x:c r="AO63" s="11" t="n">
        <x:v>3353384</x:v>
      </x:c>
      <x:c r="AP63" s="11" t="n">
        <x:v>2991308</x:v>
      </x:c>
      <x:c r="AQ63" s="12" t="n">
        <x:v>0.8920266811078004</x:v>
      </x:c>
      <x:c r="AR63" s="11" t="n">
        <x:v>5170.532370251472</x:v>
      </x:c>
      <x:c r="AS63" s="11" t="n">
        <x:v>2554.833065810594</x:v>
      </x:c>
      <x:c r="AT63" s="11" t="n">
        <x:v>9370.605671482075</x:v>
      </x:c>
      <x:c r="AU63" s="11" t="n">
        <x:v>1722.3322632423756</x:v>
      </x:c>
      <x:c r="AV63" s="11" t="n">
        <x:v>274.98501872659176</x:v>
      </x:c>
      <x:c r="AW63" s="11" t="n">
        <x:v>6.1462214963206</x:v>
      </x:c>
      <x:c r="AX63" s="12" t="n">
        <x:v>0.933237803557126</x:v>
      </x:c>
      <x:c r="AY63" s="11"/>
      <x:c r="AZ63" s="11"/>
      <x:c r="BA63" s="11"/>
      <x:c r="BB63" s="11"/>
      <x:c r="BC63" s="11"/>
      <x:c r="BD63" s="11"/>
      <x:c r="BE63" s="11"/>
      <x:c r="BF63" s="11"/>
      <x:c r="BG63" s="11"/>
      <x:c r="BH63" s="11"/>
      <x:c r="BI63" s="11"/>
      <x:c r="BJ63" s="11"/>
      <x:c r="BK63" s="12"/>
      <x:c r="BL63" s="12"/>
      <x:c r="BM63" s="12"/>
      <x:c r="BN63" s="12"/>
      <x:c r="BO63" s="12"/>
      <x:c r="BP63" s="12"/>
      <x:c r="BQ63" s="12"/>
      <x:c r="BR63" s="12"/>
      <x:c r="BS63" s="12"/>
      <x:c r="BT63" s="12"/>
      <x:c r="BU63" s="11" t="n">
        <x:v>0</x:v>
      </x:c>
      <x:c r="BV63" s="11" t="n">
        <x:v>5041630</x:v>
      </x:c>
      <x:c r="BW63" s="11" t="n">
        <x:v>1526077</x:v>
      </x:c>
      <x:c r="BX63" s="11" t="n">
        <x:v>168696</x:v>
      </x:c>
      <x:c r="BY63" s="11" t="n">
        <x:v>-405936</x:v>
      </x:c>
      <x:c r="BZ63" s="11" t="n">
        <x:v>0</x:v>
      </x:c>
      <x:c r="CA63" s="11" t="n">
        <x:v>0</x:v>
      </x:c>
      <x:c r="CB63" s="11" t="n">
        <x:v>109486</x:v>
      </x:c>
      <x:c r="CC63" s="11" t="n">
        <x:v>608052</x:v>
      </x:c>
      <x:c r="CD63" s="11" t="n">
        <x:v>383312</x:v>
      </x:c>
      <x:c r="CE63" s="11" t="n">
        <x:v>55446</x:v>
      </x:c>
      <x:c r="CF63" s="11" t="n">
        <x:v>0</x:v>
      </x:c>
      <x:c r="CG63" s="11" t="n">
        <x:v>327913</x:v>
      </x:c>
      <x:c r="CH63" s="11" t="n">
        <x:v>974756</x:v>
      </x:c>
      <x:c r="CI63" s="11" t="n">
        <x:v>889641</x:v>
      </x:c>
      <x:c r="CJ63" s="11" t="n">
        <x:v>424995</x:v>
      </x:c>
      <x:c r="CK63" s="11" t="n">
        <x:v>290294</x:v>
      </x:c>
      <x:c r="CL63" s="11" t="n">
        <x:v>16686</x:v>
      </x:c>
      <x:c r="CM63" s="11"/>
      <x:c r="CN63" s="11" t="n">
        <x:v>0</x:v>
      </x:c>
      <x:c r="CO63" s="11" t="n">
        <x:v>0</x:v>
      </x:c>
      <x:c r="CP63" s="8"/>
      <x:c r="CQ63" s="8" t="str">
        <x:v>Ladysmith</x:v>
      </x:c>
    </x:row>
    <x:row r="64">
      <x:c r="A64" s="8" t="str">
        <x:v>Burns Lake|2021</x:v>
      </x:c>
      <x:c r="B64" s="8" t="str">
        <x:v>burns-lake-v</x:v>
      </x:c>
      <x:c r="C64" s="8" t="str">
        <x:v>Burns Lake</x:v>
      </x:c>
      <x:c r="D64" s="8" t="str">
        <x:v>Burns Lake</x:v>
      </x:c>
      <x:c r="E64" s="8" t="str">
        <x:v>V</x:v>
      </x:c>
      <x:c r="F64" s="8" t="str">
        <x:v>BUL</x:v>
      </x:c>
      <x:c r="G64" s="9" t="n">
        <x:v>2021</x:v>
      </x:c>
      <x:c r="H64" s="10" t="n">
        <x:v>1880</x:v>
      </x:c>
      <x:c r="I64" s="8" t="str">
        <x:v>Under 5,000</x:v>
      </x:c>
      <x:c r="J64" s="11" t="n">
        <x:v>10974650</x:v>
      </x:c>
      <x:c r="K64" s="11" t="n">
        <x:v>5283271</x:v>
      </x:c>
      <x:c r="L64" s="11" t="n">
        <x:v>5691379</x:v>
      </x:c>
      <x:c r="M64" s="12" t="n">
        <x:v>0.5185932125398076</x:v>
      </x:c>
      <x:c r="N64" s="11" t="n">
        <x:v>2046348</x:v>
      </x:c>
      <x:c r="O64" s="11" t="n">
        <x:v>1490207</x:v>
      </x:c>
      <x:c r="P64" s="11" t="n">
        <x:v>3103353</x:v>
      </x:c>
      <x:c r="Q64" s="11" t="n">
        <x:v>4334742</x:v>
      </x:c>
      <x:c r="R64" s="11" t="n">
        <x:v>4290562</x:v>
      </x:c>
      <x:c r="S64" s="11" t="n">
        <x:v>987967</x:v>
      </x:c>
      <x:c r="T64" s="11" t="n">
        <x:v>8686910</x:v>
      </x:c>
      <x:c r="U64" s="11" t="n">
        <x:v>2062052</x:v>
      </x:c>
      <x:c r="V64" s="11" t="n">
        <x:v>22289430</x:v>
      </x:c>
      <x:c r="W64" s="11" t="n">
        <x:v>2634431</x:v>
      </x:c>
      <x:c r="X64" s="11" t="n">
        <x:v>513947</x:v>
      </x:c>
      <x:c r="Y64" s="11" t="n">
        <x:v>87469</x:v>
      </x:c>
      <x:c r="Z64" s="11" t="n">
        <x:v>68218</x:v>
      </x:c>
      <x:c r="AA64" s="11" t="n">
        <x:v>533198</x:v>
      </x:c>
      <x:c r="AB64" s="11" t="n">
        <x:v>4742</x:v>
      </x:c>
      <x:c r="AC64" s="11" t="n">
        <x:v>72960</x:v>
      </x:c>
      <x:c r="AD64" s="11" t="n">
        <x:v>1059597</x:v>
      </x:c>
      <x:c r="AE64" s="11" t="n">
        <x:v>986637</x:v>
      </x:c>
      <x:c r="AF64" s="11" t="n">
        <x:v>4238387</x:v>
      </x:c>
      <x:c r="AG64" s="11" t="n">
        <x:v>43699931</x:v>
      </x:c>
      <x:c r="AH64" s="11" t="n">
        <x:v>16487233</x:v>
      </x:c>
      <x:c r="AI64" s="11" t="n">
        <x:v>27212698</x:v>
      </x:c>
      <x:c r="AJ64" s="11" t="n">
        <x:v>2293525</x:v>
      </x:c>
      <x:c r="AK64" s="11" t="n">
        <x:v>564680</x:v>
      </x:c>
      <x:c r="AL64" s="11" t="n">
        <x:v>0</x:v>
      </x:c>
      <x:c r="AM64" s="12" t="n">
        <x:v>1</x:v>
      </x:c>
      <x:c r="AN64" s="12" t="n">
        <x:v>4.061636679181129</x:v>
      </x:c>
      <x:c r="AO64" s="11" t="n">
        <x:v>3718386</x:v>
      </x:c>
      <x:c r="AP64" s="11" t="n">
        <x:v>3337421</x:v>
      </x:c>
      <x:c r="AQ64" s="12" t="n">
        <x:v>0.8975456017745334</x:v>
      </x:c>
      <x:c r="AR64" s="11" t="n">
        <x:v>5837.579787234043</x:v>
      </x:c>
      <x:c r="AS64" s="11" t="n">
        <x:v>2810.2505319148936</x:v>
      </x:c>
      <x:c r="AT64" s="11" t="n">
        <x:v>11856.079787234043</x:v>
      </x:c>
      <x:c r="AU64" s="11" t="n">
        <x:v>1401.293085106383</x:v>
      </x:c>
      <x:c r="AV64" s="11" t="n">
        <x:v>283.6159574468085</x:v>
      </x:c>
      <x:c r="AW64" s="11" t="n">
        <x:v>4.212750211924821</x:v>
      </x:c>
      <x:c r="AX64" s="12" t="n">
        <x:v>0.931143632909493</x:v>
      </x:c>
      <x:c r="AY64" s="11"/>
      <x:c r="AZ64" s="11"/>
      <x:c r="BA64" s="11"/>
      <x:c r="BB64" s="11"/>
      <x:c r="BC64" s="11"/>
      <x:c r="BD64" s="11"/>
      <x:c r="BE64" s="11"/>
      <x:c r="BF64" s="11"/>
      <x:c r="BG64" s="11"/>
      <x:c r="BH64" s="11"/>
      <x:c r="BI64" s="11"/>
      <x:c r="BJ64" s="11"/>
      <x:c r="BK64" s="12"/>
      <x:c r="BL64" s="12"/>
      <x:c r="BM64" s="12"/>
      <x:c r="BN64" s="12"/>
      <x:c r="BO64" s="12"/>
      <x:c r="BP64" s="12"/>
      <x:c r="BQ64" s="12"/>
      <x:c r="BR64" s="12"/>
      <x:c r="BS64" s="12"/>
      <x:c r="BT64" s="12"/>
      <x:c r="BU64" s="11" t="n">
        <x:v>27786</x:v>
      </x:c>
      <x:c r="BV64" s="11" t="n">
        <x:v>2238570</x:v>
      </x:c>
      <x:c r="BW64" s="11" t="n">
        <x:v>836997</x:v>
      </x:c>
      <x:c r="BX64" s="11" t="n">
        <x:v>92868</x:v>
      </x:c>
      <x:c r="BY64" s="11" t="n">
        <x:v>4163731</x:v>
      </x:c>
      <x:c r="BZ64" s="11" t="n">
        <x:v>0</x:v>
      </x:c>
      <x:c r="CA64" s="11" t="n">
        <x:v>0</x:v>
      </x:c>
      <x:c r="CB64" s="11" t="n">
        <x:v>78143</x:v>
      </x:c>
      <x:c r="CC64" s="11" t="n">
        <x:v>798946</x:v>
      </x:c>
      <x:c r="CD64" s="11" t="n">
        <x:v>351723</x:v>
      </x:c>
      <x:c r="CE64" s="11" t="n">
        <x:v>61847</x:v>
      </x:c>
      <x:c r="CF64" s="11" t="n">
        <x:v>0</x:v>
      </x:c>
      <x:c r="CG64" s="11" t="n">
        <x:v>343593</x:v>
      </x:c>
      <x:c r="CH64" s="11" t="n">
        <x:v>907258</x:v>
      </x:c>
      <x:c r="CI64" s="11" t="n">
        <x:v>844866</x:v>
      </x:c>
      <x:c r="CJ64" s="11" t="n">
        <x:v>628157</x:v>
      </x:c>
      <x:c r="CK64" s="11" t="n">
        <x:v>335442</x:v>
      </x:c>
      <x:c r="CL64" s="11" t="n">
        <x:v>23472</x:v>
      </x:c>
      <x:c r="CM64" s="11"/>
      <x:c r="CN64" s="11" t="n">
        <x:v>0</x:v>
      </x:c>
      <x:c r="CO64" s="11" t="n">
        <x:v>0</x:v>
      </x:c>
      <x:c r="CP64" s="8"/>
      <x:c r="CQ64" s="8" t="str">
        <x:v>Lake Country</x:v>
      </x:c>
    </x:row>
    <x:row r="65">
      <x:c r="A65" s="8" t="str">
        <x:v>Burns Lake|2022</x:v>
      </x:c>
      <x:c r="B65" s="8" t="str">
        <x:v>burns-lake-v</x:v>
      </x:c>
      <x:c r="C65" s="8" t="str">
        <x:v>Burns Lake</x:v>
      </x:c>
      <x:c r="D65" s="8" t="str">
        <x:v>Burns Lake</x:v>
      </x:c>
      <x:c r="E65" s="8" t="str">
        <x:v>V</x:v>
      </x:c>
      <x:c r="F65" s="8" t="str">
        <x:v>BUL</x:v>
      </x:c>
      <x:c r="G65" s="9" t="n">
        <x:v>2022</x:v>
      </x:c>
      <x:c r="H65" s="10" t="n">
        <x:v>1887</x:v>
      </x:c>
      <x:c r="I65" s="8" t="str">
        <x:v>Under 5,000</x:v>
      </x:c>
      <x:c r="J65" s="11" t="n">
        <x:v>8769831</x:v>
      </x:c>
      <x:c r="K65" s="11" t="n">
        <x:v>5454542</x:v>
      </x:c>
      <x:c r="L65" s="11" t="n">
        <x:v>3315289</x:v>
      </x:c>
      <x:c r="M65" s="12" t="n">
        <x:v>0.3780333965386562</x:v>
      </x:c>
      <x:c r="N65" s="11" t="n">
        <x:v>2264755</x:v>
      </x:c>
      <x:c r="O65" s="11" t="n">
        <x:v>1536504</x:v>
      </x:c>
      <x:c r="P65" s="11" t="n">
        <x:v>2688945</x:v>
      </x:c>
      <x:c r="Q65" s="11" t="n">
        <x:v>2279627</x:v>
      </x:c>
      <x:c r="R65" s="11" t="n">
        <x:v>4472092</x:v>
      </x:c>
      <x:c r="S65" s="11" t="n">
        <x:v>971042</x:v>
      </x:c>
      <x:c r="T65" s="11" t="n">
        <x:v>9553805</x:v>
      </x:c>
      <x:c r="U65" s="11" t="n">
        <x:v>1347055</x:v>
      </x:c>
      <x:c r="V65" s="11" t="n">
        <x:v>22756935</x:v>
      </x:c>
      <x:c r="W65" s="11" t="n">
        <x:v>1905052</x:v>
      </x:c>
      <x:c r="X65" s="11" t="n">
        <x:v>533198</x:v>
      </x:c>
      <x:c r="Y65" s="11" t="n">
        <x:v>123080</x:v>
      </x:c>
      <x:c r="Z65" s="11" t="n">
        <x:v>127963</x:v>
      </x:c>
      <x:c r="AA65" s="11" t="n">
        <x:v>528315</x:v>
      </x:c>
      <x:c r="AB65" s="11" t="n">
        <x:v>11408</x:v>
      </x:c>
      <x:c r="AC65" s="11" t="n">
        <x:v>139371</x:v>
      </x:c>
      <x:c r="AD65" s="11" t="n">
        <x:v>1568136</x:v>
      </x:c>
      <x:c r="AE65" s="11" t="n">
        <x:v>1263190</x:v>
      </x:c>
      <x:c r="AF65" s="11" t="n">
        <x:v>6272543</x:v>
      </x:c>
      <x:c r="AG65" s="11" t="n">
        <x:v>45975486</x:v>
      </x:c>
      <x:c r="AH65" s="11" t="n">
        <x:v>16948614</x:v>
      </x:c>
      <x:c r="AI65" s="11" t="n">
        <x:v>29026872</x:v>
      </x:c>
      <x:c r="AJ65" s="11" t="n">
        <x:v>2869825</x:v>
      </x:c>
      <x:c r="AK65" s="11" t="n">
        <x:v>1890414</x:v>
      </x:c>
      <x:c r="AL65" s="11" t="n">
        <x:v>0</x:v>
      </x:c>
      <x:c r="AM65" s="12" t="n">
        <x:v>1</x:v>
      </x:c>
      <x:c r="AN65" s="12" t="n">
        <x:v>1.5180933911830954</x:v>
      </x:c>
      <x:c r="AO65" s="11" t="n">
        <x:v>4037071</x:v>
      </x:c>
      <x:c r="AP65" s="11" t="n">
        <x:v>3379872</x:v>
      </x:c>
      <x:c r="AQ65" s="12" t="n">
        <x:v>0.8372089566916212</x:v>
      </x:c>
      <x:c r="AR65" s="11" t="n">
        <x:v>4647.499205087441</x:v>
      </x:c>
      <x:c r="AS65" s="11" t="n">
        <x:v>2890.5892951775304</x:v>
      </x:c>
      <x:c r="AT65" s="11" t="n">
        <x:v>12059.848966613672</x:v>
      </x:c>
      <x:c r="AU65" s="11" t="n">
        <x:v>1009.5665076841548</x:v>
      </x:c>
      <x:c r="AV65" s="11" t="n">
        <x:v>279.9761526232114</x:v>
      </x:c>
      <x:c r="AW65" s="11" t="n">
        <x:v>7.092364454309586</x:v>
      </x:c>
      <x:c r="AX65" s="12" t="n">
        <x:v>0.805535999428621</x:v>
      </x:c>
      <x:c r="AY65" s="11"/>
      <x:c r="AZ65" s="11"/>
      <x:c r="BA65" s="11"/>
      <x:c r="BB65" s="11"/>
      <x:c r="BC65" s="11"/>
      <x:c r="BD65" s="11"/>
      <x:c r="BE65" s="11"/>
      <x:c r="BF65" s="11"/>
      <x:c r="BG65" s="11"/>
      <x:c r="BH65" s="11"/>
      <x:c r="BI65" s="11"/>
      <x:c r="BJ65" s="11"/>
      <x:c r="BK65" s="12"/>
      <x:c r="BL65" s="12"/>
      <x:c r="BM65" s="12"/>
      <x:c r="BN65" s="12"/>
      <x:c r="BO65" s="12"/>
      <x:c r="BP65" s="12"/>
      <x:c r="BQ65" s="12"/>
      <x:c r="BR65" s="12"/>
      <x:c r="BS65" s="12"/>
      <x:c r="BT65" s="12"/>
      <x:c r="BU65" s="11" t="n">
        <x:v>113710</x:v>
      </x:c>
      <x:c r="BV65" s="11" t="n">
        <x:v>1723694</x:v>
      </x:c>
      <x:c r="BW65" s="11" t="n">
        <x:v>851541</x:v>
      </x:c>
      <x:c r="BX65" s="11" t="n">
        <x:v>180362</x:v>
      </x:c>
      <x:c r="BY65" s="11" t="n">
        <x:v>458343</x:v>
      </x:c>
      <x:c r="BZ65" s="11" t="n">
        <x:v>0</x:v>
      </x:c>
      <x:c r="CA65" s="11" t="n">
        <x:v>0</x:v>
      </x:c>
      <x:c r="CB65" s="11" t="n">
        <x:v>1640922</x:v>
      </x:c>
      <x:c r="CC65" s="11" t="n">
        <x:v>867942</x:v>
      </x:c>
      <x:c r="CD65" s="11" t="n">
        <x:v>409292</x:v>
      </x:c>
      <x:c r="CE65" s="11" t="n">
        <x:v>66368</x:v>
      </x:c>
      <x:c r="CF65" s="11" t="n">
        <x:v>0</x:v>
      </x:c>
      <x:c r="CG65" s="11" t="n">
        <x:v>371996</x:v>
      </x:c>
      <x:c r="CH65" s="11" t="n">
        <x:v>877994</x:v>
      </x:c>
      <x:c r="CI65" s="11" t="n">
        <x:v>908127</x:v>
      </x:c>
      <x:c r="CJ65" s="11" t="n">
        <x:v>522941</x:v>
      </x:c>
      <x:c r="CK65" s="11" t="n">
        <x:v>354155</x:v>
      </x:c>
      <x:c r="CL65" s="11" t="n">
        <x:v>20075</x:v>
      </x:c>
      <x:c r="CM65" s="11"/>
      <x:c r="CN65" s="11" t="n">
        <x:v>84610</x:v>
      </x:c>
      <x:c r="CO65" s="11" t="n">
        <x:v>0</x:v>
      </x:c>
      <x:c r="CP65" s="8"/>
      <x:c r="CQ65" s="8" t="str">
        <x:v>Lake Cowichan</x:v>
      </x:c>
    </x:row>
    <x:row r="66">
      <x:c r="A66" s="8" t="str">
        <x:v>Burns Lake|2023</x:v>
      </x:c>
      <x:c r="B66" s="8" t="str">
        <x:v>burns-lake-v</x:v>
      </x:c>
      <x:c r="C66" s="8" t="str">
        <x:v>Burns Lake</x:v>
      </x:c>
      <x:c r="D66" s="8" t="str">
        <x:v>Burns Lake</x:v>
      </x:c>
      <x:c r="E66" s="8" t="str">
        <x:v>V</x:v>
      </x:c>
      <x:c r="F66" s="8" t="str">
        <x:v>BUL</x:v>
      </x:c>
      <x:c r="G66" s="9" t="n">
        <x:v>2023</x:v>
      </x:c>
      <x:c r="H66" s="10" t="n">
        <x:v>1932</x:v>
      </x:c>
      <x:c r="I66" s="8" t="str">
        <x:v>Under 5,000</x:v>
      </x:c>
      <x:c r="J66" s="11" t="n">
        <x:v>11129627</x:v>
      </x:c>
      <x:c r="K66" s="11" t="n">
        <x:v>6339470</x:v>
      </x:c>
      <x:c r="L66" s="11" t="n">
        <x:v>4790157</x:v>
      </x:c>
      <x:c r="M66" s="12" t="n">
        <x:v>0.43039690368778755</x:v>
      </x:c>
      <x:c r="N66" s="11" t="n">
        <x:v>2476665</x:v>
      </x:c>
      <x:c r="O66" s="11" t="n">
        <x:v>2046991</x:v>
      </x:c>
      <x:c r="P66" s="11" t="n">
        <x:v>4197671</x:v>
      </x:c>
      <x:c r="Q66" s="11" t="n">
        <x:v>2408300</x:v>
      </x:c>
      <x:c r="R66" s="11" t="n">
        <x:v>5111783</x:v>
      </x:c>
      <x:c r="S66" s="11" t="n">
        <x:v>1202378</x:v>
      </x:c>
      <x:c r="T66" s="11" t="n">
        <x:v>10644736</x:v>
      </x:c>
      <x:c r="U66" s="11" t="n">
        <x:v>3178360</x:v>
      </x:c>
      <x:c r="V66" s="11" t="n">
        <x:v>24053990</x:v>
      </x:c>
      <x:c r="W66" s="11" t="n">
        <x:v>1645970</x:v>
      </x:c>
      <x:c r="X66" s="11" t="n">
        <x:v>528315</x:v>
      </x:c>
      <x:c r="Y66" s="11" t="n">
        <x:v>0</x:v>
      </x:c>
      <x:c r="Z66" s="11" t="n">
        <x:v>88001</x:v>
      </x:c>
      <x:c r="AA66" s="11" t="n">
        <x:v>440314</x:v>
      </x:c>
      <x:c r="AB66" s="11" t="n">
        <x:v>25309</x:v>
      </x:c>
      <x:c r="AC66" s="11" t="n">
        <x:v>113310</x:v>
      </x:c>
      <x:c r="AD66" s="11" t="n">
        <x:v>1673532</x:v>
      </x:c>
      <x:c r="AE66" s="11" t="n">
        <x:v>1390207</x:v>
      </x:c>
      <x:c r="AF66" s="11" t="n">
        <x:v>6694128</x:v>
      </x:c>
      <x:c r="AG66" s="11" t="n">
        <x:v>50503466</x:v>
      </x:c>
      <x:c r="AH66" s="11" t="n">
        <x:v>18058048</x:v>
      </x:c>
      <x:c r="AI66" s="11" t="n">
        <x:v>32445418</x:v>
      </x:c>
      <x:c r="AJ66" s="11" t="n">
        <x:v>4464624</x:v>
      </x:c>
      <x:c r="AK66" s="11" t="n">
        <x:v>2665131</x:v>
      </x:c>
      <x:c r="AL66" s="11" t="n">
        <x:v>0</x:v>
      </x:c>
      <x:c r="AM66" s="12" t="n">
        <x:v>1</x:v>
      </x:c>
      <x:c r="AN66" s="12" t="n">
        <x:v>1.6751987050542732</x:v>
      </x:c>
      <x:c r="AO66" s="11" t="n">
        <x:v>4543223</x:v>
      </x:c>
      <x:c r="AP66" s="11" t="n">
        <x:v>4202713</x:v>
      </x:c>
      <x:c r="AQ66" s="12" t="n">
        <x:v>0.925051004540169</x:v>
      </x:c>
      <x:c r="AR66" s="11" t="n">
        <x:v>5760.676501035196</x:v>
      </x:c>
      <x:c r="AS66" s="11" t="n">
        <x:v>3281.29917184265</x:v>
      </x:c>
      <x:c r="AT66" s="11" t="n">
        <x:v>12450.305383022775</x:v>
      </x:c>
      <x:c r="AU66" s="11" t="n">
        <x:v>851.9513457556936</x:v>
      </x:c>
      <x:c r="AV66" s="11" t="n">
        <x:v>227.90579710144928</x:v>
      </x:c>
      <x:c r="AW66" s="11" t="n">
        <x:v>3.3491284813551645</x:v>
      </x:c>
      <x:c r="AX66" s="12" t="n">
        <x:v>0.8307023707942244</x:v>
      </x:c>
      <x:c r="AY66" s="11"/>
      <x:c r="AZ66" s="11"/>
      <x:c r="BA66" s="11"/>
      <x:c r="BB66" s="11"/>
      <x:c r="BC66" s="11"/>
      <x:c r="BD66" s="11"/>
      <x:c r="BE66" s="11"/>
      <x:c r="BF66" s="11"/>
      <x:c r="BG66" s="11"/>
      <x:c r="BH66" s="11"/>
      <x:c r="BI66" s="11"/>
      <x:c r="BJ66" s="11"/>
      <x:c r="BK66" s="12"/>
      <x:c r="BL66" s="12"/>
      <x:c r="BM66" s="12"/>
      <x:c r="BN66" s="12"/>
      <x:c r="BO66" s="12"/>
      <x:c r="BP66" s="12"/>
      <x:c r="BQ66" s="12"/>
      <x:c r="BR66" s="12"/>
      <x:c r="BS66" s="12"/>
      <x:c r="BT66" s="12"/>
      <x:c r="BU66" s="11" t="n">
        <x:v>583727</x:v>
      </x:c>
      <x:c r="BV66" s="11" t="n">
        <x:v>3233161</x:v>
      </x:c>
      <x:c r="BW66" s="11" t="n">
        <x:v>380783</x:v>
      </x:c>
      <x:c r="BX66" s="11" t="n">
        <x:v>536507</x:v>
      </x:c>
      <x:c r="BY66" s="11" t="n">
        <x:v>742828</x:v>
      </x:c>
      <x:c r="BZ66" s="11" t="n">
        <x:v>0</x:v>
      </x:c>
      <x:c r="CA66" s="11" t="n">
        <x:v>0</x:v>
      </x:c>
      <x:c r="CB66" s="11" t="n">
        <x:v>1128965</x:v>
      </x:c>
      <x:c r="CC66" s="11" t="n">
        <x:v>765532</x:v>
      </x:c>
      <x:c r="CD66" s="11" t="n">
        <x:v>654970</x:v>
      </x:c>
      <x:c r="CE66" s="11" t="n">
        <x:v>66085</x:v>
      </x:c>
      <x:c r="CF66" s="11" t="n">
        <x:v>0</x:v>
      </x:c>
      <x:c r="CG66" s="11" t="n">
        <x:v>573807</x:v>
      </x:c>
      <x:c r="CH66" s="11" t="n">
        <x:v>1047455</x:v>
      </x:c>
      <x:c r="CI66" s="11" t="n">
        <x:v>1065446</x:v>
      </x:c>
      <x:c r="CJ66" s="11" t="n">
        <x:v>521632</x:v>
      </x:c>
      <x:c r="CK66" s="11" t="n">
        <x:v>408702</x:v>
      </x:c>
      <x:c r="CL66" s="11" t="n">
        <x:v>29211</x:v>
      </x:c>
      <x:c r="CM66" s="11" t="n">
        <x:v>4252</x:v>
      </x:c>
      <x:c r="CN66" s="11" t="n">
        <x:v>0</x:v>
      </x:c>
      <x:c r="CO66" s="11" t="n">
        <x:v>0</x:v>
      </x:c>
      <x:c r="CP66" s="8"/>
      <x:c r="CQ66" s="8" t="str">
        <x:v>Langford</x:v>
      </x:c>
    </x:row>
    <x:row r="67">
      <x:c r="A67" s="8" t="str">
        <x:v>Burns Lake|2024</x:v>
      </x:c>
      <x:c r="B67" s="8" t="str">
        <x:v>burns-lake-v</x:v>
      </x:c>
      <x:c r="C67" s="8" t="str">
        <x:v>Burns Lake</x:v>
      </x:c>
      <x:c r="D67" s="8" t="str">
        <x:v>Burns Lake</x:v>
      </x:c>
      <x:c r="E67" s="8" t="str">
        <x:v>V</x:v>
      </x:c>
      <x:c r="F67" s="8" t="str">
        <x:v>BUL</x:v>
      </x:c>
      <x:c r="G67" s="9" t="n">
        <x:v>2024</x:v>
      </x:c>
      <x:c r="H67" s="10" t="n">
        <x:v>1932</x:v>
      </x:c>
      <x:c r="I67" s="8" t="str">
        <x:v>Under 5,000</x:v>
      </x:c>
      <x:c r="J67" s="11" t="n">
        <x:v>14359788</x:v>
      </x:c>
      <x:c r="K67" s="11" t="n">
        <x:v>6902724</x:v>
      </x:c>
      <x:c r="L67" s="11" t="n">
        <x:v>7457064</x:v>
      </x:c>
      <x:c r="M67" s="12" t="n">
        <x:v>0.519301816990613</x:v>
      </x:c>
      <x:c r="N67" s="11" t="n">
        <x:v>2459029</x:v>
      </x:c>
      <x:c r="O67" s="11" t="n">
        <x:v>2336712</x:v>
      </x:c>
      <x:c r="P67" s="11" t="n">
        <x:v>8514138</x:v>
      </x:c>
      <x:c r="Q67" s="11" t="n">
        <x:v>1049909</x:v>
      </x:c>
      <x:c r="R67" s="11" t="n">
        <x:v>5608390</x:v>
      </x:c>
      <x:c r="S67" s="11" t="n">
        <x:v>1279955</x:v>
      </x:c>
      <x:c r="T67" s="11" t="n">
        <x:v>9573723</x:v>
      </x:c>
      <x:c r="U67" s="11" t="n">
        <x:v>2182577</x:v>
      </x:c>
      <x:c r="V67" s="11" t="n">
        <x:v>25274763</x:v>
      </x:c>
      <x:c r="W67" s="11" t="n">
        <x:v>3085139</x:v>
      </x:c>
      <x:c r="X67" s="11" t="n">
        <x:v>440314</x:v>
      </x:c>
      <x:c r="Y67" s="11" t="n">
        <x:v>0</x:v>
      </x:c>
      <x:c r="Z67" s="11" t="n">
        <x:v>440314</x:v>
      </x:c>
      <x:c r="AA67" s="11" t="n">
        <x:v>0</x:v>
      </x:c>
      <x:c r="AB67" s="11" t="n">
        <x:v>14379</x:v>
      </x:c>
      <x:c r="AC67" s="11" t="n">
        <x:v>454693</x:v>
      </x:c>
      <x:c r="AD67" s="11" t="n">
        <x:v>1461266</x:v>
      </x:c>
      <x:c r="AE67" s="11" t="n">
        <x:v>1006573</x:v>
      </x:c>
      <x:c r="AF67" s="11" t="n">
        <x:v>5845065</x:v>
      </x:c>
      <x:c r="AG67" s="11" t="n">
        <x:v>59452018</x:v>
      </x:c>
      <x:c r="AH67" s="11" t="n">
        <x:v>19338002</x:v>
      </x:c>
      <x:c r="AI67" s="11" t="n">
        <x:v>40114016</x:v>
      </x:c>
      <x:c r="AJ67" s="11" t="n">
        <x:v>8950050</x:v>
      </x:c>
      <x:c r="AK67" s="11" t="n">
        <x:v>139952696</x:v>
      </x:c>
      <x:c r="AL67" s="11" t="n">
        <x:v>4980000</x:v>
      </x:c>
      <x:c r="AM67" s="12" t="n">
        <x:v>0.9644165482885731</x:v>
      </x:c>
      <x:c r="AN67" s="12" t="n">
        <x:v>0.06395053654414774</x:v>
      </x:c>
      <x:c r="AO67" s="11" t="n">
        <x:v>4361385</x:v>
      </x:c>
      <x:c r="AP67" s="11" t="n">
        <x:v>3899201</x:v>
      </x:c>
      <x:c r="AQ67" s="12" t="n">
        <x:v>0.8940281584863524</x:v>
      </x:c>
      <x:c r="AR67" s="11" t="n">
        <x:v>7432.60248447205</x:v>
      </x:c>
      <x:c r="AS67" s="11" t="n">
        <x:v>3572.8385093167703</x:v>
      </x:c>
      <x:c r="AT67" s="11" t="n">
        <x:v>13082.175465838509</x:v>
      </x:c>
      <x:c r="AU67" s="11" t="n">
        <x:v>1596.8628364389233</x:v>
      </x:c>
      <x:c r="AV67" s="11" t="n">
        <x:v>0</x:v>
      </x:c>
      <x:c r="AW67" s="11" t="n">
        <x:v>4.386430810917553</x:v>
      </x:c>
      <x:c r="AX67" s="12" t="n">
        <x:v>0.6888362556851387</x:v>
      </x:c>
      <x:c r="AY67" s="11" t="n">
        <x:v>4648.097865362712</x:v>
      </x:c>
      <x:c r="AZ67" s="11" t="n">
        <x:v>3546.5079302077975</x:v>
      </x:c>
      <x:c r="BA67" s="11" t="n">
        <x:v>3428.422456291105</x:v>
      </x:c>
      <x:c r="BB67" s="11" t="n">
        <x:v>2783.665107049771</x:v>
      </x:c>
      <x:c r="BC67" s="11" t="n">
        <x:v>5030.364110900993</x:v>
      </x:c>
      <x:c r="BD67" s="11" t="n">
        <x:v>2437.8724475115623</x:v>
      </x:c>
      <x:c r="BE67" s="11" t="n">
        <x:v>2420.45</x:v>
      </x:c>
      <x:c r="BF67" s="11" t="n">
        <x:v>1604.3462673977224</x:v>
      </x:c>
      <x:c r="BG67" s="11" t="n">
        <x:v>224.31236112962716</x:v>
      </x:c>
      <x:c r="BH67" s="11" t="n">
        <x:v>518.5374381567245</x:v>
      </x:c>
      <x:c r="BI67" s="11" t="n">
        <x:v>2.204313821553219</x:v>
      </x:c>
      <x:c r="BJ67" s="11" t="n">
        <x:v>1.7099330852451193</x:v>
      </x:c>
      <x:c r="BK67" s="12" t="n">
        <x:v>0.030042455998363887</x:v>
      </x:c>
      <x:c r="BL67" s="12" t="n">
        <x:v>0.02529861000232605</x:v>
      </x:c>
      <x:c r="BM67" s="12" t="n">
        <x:v>0.9786113537119745</x:v>
      </x:c>
      <x:c r="BN67" s="12" t="n">
        <x:v>0.9815511712696461</x:v>
      </x:c>
      <x:c r="BO67" s="12" t="n">
        <x:v>0.9039920521842442</x:v>
      </x:c>
      <x:c r="BP67" s="12" t="n">
        <x:v>0.8619101997275483</x:v>
      </x:c>
      <x:c r="BQ67" s="12" t="n">
        <x:v>0.9333160528846489</x:v>
      </x:c>
      <x:c r="BR67" s="12" t="n">
        <x:v>0.9623635142836453</x:v>
      </x:c>
      <x:c r="BS67" s="12" t="n">
        <x:v>0.20869205825466772</x:v>
      </x:c>
      <x:c r="BT67" s="12" t="n">
        <x:v>0.19976549769108282</x:v>
      </x:c>
      <x:c r="BU67" s="11" t="n">
        <x:v>3009088</x:v>
      </x:c>
      <x:c r="BV67" s="11" t="n">
        <x:v>4813896</x:v>
      </x:c>
      <x:c r="BW67" s="11" t="n">
        <x:v>691154</x:v>
      </x:c>
      <x:c r="BX67" s="11" t="n">
        <x:v>492124</x:v>
      </x:c>
      <x:c r="BY67" s="11" t="n">
        <x:v>-230788</x:v>
      </x:c>
      <x:c r="BZ67" s="11" t="n">
        <x:v>788573</x:v>
      </x:c>
      <x:c r="CA67" s="11" t="n">
        <x:v>0</x:v>
      </x:c>
      <x:c r="CB67" s="11" t="n">
        <x:v>0</x:v>
      </x:c>
      <x:c r="CC67" s="11" t="n">
        <x:v>954611</x:v>
      </x:c>
      <x:c r="CD67" s="11" t="n">
        <x:v>548644</x:v>
      </x:c>
      <x:c r="CE67" s="11" t="n">
        <x:v>60586</x:v>
      </x:c>
      <x:c r="CF67" s="11" t="n">
        <x:v>114162</x:v>
      </x:c>
      <x:c r="CG67" s="11" t="n">
        <x:v>552713</x:v>
      </x:c>
      <x:c r="CH67" s="11" t="n">
        <x:v>1187026</x:v>
      </x:c>
      <x:c r="CI67" s="11" t="n">
        <x:v>1216957</x:v>
      </x:c>
      <x:c r="CJ67" s="11" t="n">
        <x:v>519863</x:v>
      </x:c>
      <x:c r="CK67" s="11" t="n">
        <x:v>425399</x:v>
      </x:c>
      <x:c r="CL67" s="11" t="n">
        <x:v>34809</x:v>
      </x:c>
      <x:c r="CM67" s="11" t="n">
        <x:v>6502</x:v>
      </x:c>
      <x:c r="CN67" s="11" t="n">
        <x:v>1497</x:v>
      </x:c>
      <x:c r="CO67" s="11" t="n">
        <x:v>0</x:v>
      </x:c>
      <x:c r="CP67" s="8"/>
      <x:c r="CQ67" s="8" t="str">
        <x:v>Langley (City)</x:v>
      </x:c>
    </x:row>
    <x:row r="68">
      <x:c r="A68" s="8" t="str">
        <x:v>Cache Creek|2019</x:v>
      </x:c>
      <x:c r="B68" s="8" t="str">
        <x:v>cache-creek-v</x:v>
      </x:c>
      <x:c r="C68" s="8" t="str">
        <x:v>Cache Creek</x:v>
      </x:c>
      <x:c r="D68" s="8" t="str">
        <x:v>Cache Creek</x:v>
      </x:c>
      <x:c r="E68" s="8" t="str">
        <x:v>V</x:v>
      </x:c>
      <x:c r="F68" s="8" t="str">
        <x:v>TNR</x:v>
      </x:c>
      <x:c r="G68" s="9" t="n">
        <x:v>2019</x:v>
      </x:c>
      <x:c r="H68" s="10" t="n">
        <x:v>1052</x:v>
      </x:c>
      <x:c r="I68" s="8" t="str">
        <x:v>Under 5,000</x:v>
      </x:c>
      <x:c r="J68" s="11" t="n">
        <x:v>3344615</x:v>
      </x:c>
      <x:c r="K68" s="11" t="n">
        <x:v>2822825</x:v>
      </x:c>
      <x:c r="L68" s="11" t="n">
        <x:v>521790</x:v>
      </x:c>
      <x:c r="M68" s="12" t="n">
        <x:v>0.1560089875815303</x:v>
      </x:c>
      <x:c r="N68" s="11" t="n">
        <x:v>803066</x:v>
      </x:c>
      <x:c r="O68" s="11" t="n">
        <x:v>508997</x:v>
      </x:c>
      <x:c r="P68" s="11" t="n">
        <x:v>1945077</x:v>
      </x:c>
      <x:c r="Q68" s="11" t="n">
        <x:v>87475</x:v>
      </x:c>
      <x:c r="R68" s="11" t="n">
        <x:v>2221177</x:v>
      </x:c>
      <x:c r="S68" s="11" t="n">
        <x:v>601648</x:v>
      </x:c>
      <x:c r="T68" s="11" t="n">
        <x:v>2535139</x:v>
      </x:c>
      <x:c r="U68" s="11" t="n">
        <x:v>624339</x:v>
      </x:c>
      <x:c r="V68" s="11" t="n">
        <x:v>2860524</x:v>
      </x:c>
      <x:c r="W68" s="11" t="n">
        <x:v>10383</x:v>
      </x:c>
      <x:c r="X68" s="11" t="n">
        <x:v>0</x:v>
      </x:c>
      <x:c r="Y68" s="11" t="n">
        <x:v>0</x:v>
      </x:c>
      <x:c r="Z68" s="11" t="n">
        <x:v>0</x:v>
      </x:c>
      <x:c r="AA68" s="11" t="n">
        <x:v>0</x:v>
      </x:c>
      <x:c r="AB68" s="11" t="n">
        <x:v>0</x:v>
      </x:c>
      <x:c r="AC68" s="11" t="n">
        <x:v>0</x:v>
      </x:c>
      <x:c r="AD68" s="11" t="n">
        <x:v>445289</x:v>
      </x:c>
      <x:c r="AE68" s="11" t="n">
        <x:v>445289</x:v>
      </x:c>
      <x:c r="AF68" s="11" t="n">
        <x:v>1781157</x:v>
      </x:c>
      <x:c r="AG68" s="11" t="n">
        <x:v>23529811</x:v>
      </x:c>
      <x:c r="AH68" s="11" t="n">
        <x:v>9770825</x:v>
      </x:c>
      <x:c r="AI68" s="11" t="n">
        <x:v>13758986</x:v>
      </x:c>
      <x:c r="AJ68" s="11" t="n">
        <x:v>1596176</x:v>
      </x:c>
      <x:c r="AK68" s="11" t="n">
        <x:v>35565970</x:v>
      </x:c>
      <x:c r="AL68" s="11" t="n">
        <x:v>807500</x:v>
      </x:c>
      <x:c r="AM68" s="12" t="n">
        <x:v>0.9772957127276438</x:v>
      </x:c>
      <x:c r="AN68" s="12" t="n">
        <x:v>0.04487930457119544</x:v>
      </x:c>
      <x:c r="AO68" s="11" t="n">
        <x:v>1635062</x:v>
      </x:c>
      <x:c r="AP68" s="11" t="n">
        <x:v>1589862</x:v>
      </x:c>
      <x:c r="AQ68" s="12" t="n">
        <x:v>0.9723557883431944</x:v>
      </x:c>
      <x:c r="AR68" s="11" t="n">
        <x:v>3179.291825095057</x:v>
      </x:c>
      <x:c r="AS68" s="11" t="n">
        <x:v>2683.2937262357414</x:v>
      </x:c>
      <x:c r="AT68" s="11" t="n">
        <x:v>2719.1292775665397</x:v>
      </x:c>
      <x:c r="AU68" s="11" t="n">
        <x:v>9.86977186311787</x:v>
      </x:c>
      <x:c r="AV68" s="11" t="n">
        <x:v>0</x:v>
      </x:c>
      <x:c r="AW68" s="11" t="n">
        <x:v>4.060516802570398</x:v>
      </x:c>
      <x:c r="AX68" s="12" t="n">
        <x:v>1</x:v>
      </x:c>
      <x:c r="AY68" s="11"/>
      <x:c r="AZ68" s="11"/>
      <x:c r="BA68" s="11"/>
      <x:c r="BB68" s="11"/>
      <x:c r="BC68" s="11"/>
      <x:c r="BD68" s="11"/>
      <x:c r="BE68" s="11"/>
      <x:c r="BF68" s="11"/>
      <x:c r="BG68" s="11"/>
      <x:c r="BH68" s="11"/>
      <x:c r="BI68" s="11"/>
      <x:c r="BJ68" s="11"/>
      <x:c r="BK68" s="12"/>
      <x:c r="BL68" s="12"/>
      <x:c r="BM68" s="12"/>
      <x:c r="BN68" s="12"/>
      <x:c r="BO68" s="12"/>
      <x:c r="BP68" s="12"/>
      <x:c r="BQ68" s="12"/>
      <x:c r="BR68" s="12"/>
      <x:c r="BS68" s="12"/>
      <x:c r="BT68" s="12"/>
      <x:c r="BU68" s="11" t="n">
        <x:v>1354647</x:v>
      </x:c>
      <x:c r="BV68" s="11" t="n">
        <x:v>582030</x:v>
      </x:c>
      <x:c r="BW68" s="11" t="n">
        <x:v>8400</x:v>
      </x:c>
      <x:c r="BX68" s="11" t="n">
        <x:v>78307</x:v>
      </x:c>
      <x:c r="BY68" s="11" t="n">
        <x:v>0</x:v>
      </x:c>
      <x:c r="BZ68" s="11" t="n">
        <x:v>0</x:v>
      </x:c>
      <x:c r="CA68" s="11" t="n">
        <x:v>9168</x:v>
      </x:c>
      <x:c r="CB68" s="11" t="n">
        <x:v>0</x:v>
      </x:c>
      <x:c r="CC68" s="11" t="n">
        <x:v>619572</x:v>
      </x:c>
      <x:c r="CD68" s="11" t="n">
        <x:v>67792</x:v>
      </x:c>
      <x:c r="CE68" s="11" t="n">
        <x:v>206449</x:v>
      </x:c>
      <x:c r="CF68" s="11" t="n">
        <x:v>8700</x:v>
      </x:c>
      <x:c r="CG68" s="11" t="n">
        <x:v>31369</x:v>
      </x:c>
      <x:c r="CH68" s="11" t="n">
        <x:v>431975</x:v>
      </x:c>
      <x:c r="CI68" s="11" t="n">
        <x:v>286157</x:v>
      </x:c>
      <x:c r="CJ68" s="11" t="n">
        <x:v>266919</x:v>
      </x:c>
      <x:c r="CK68" s="11" t="n">
        <x:v>302244</x:v>
      </x:c>
      <x:c r="CL68" s="11" t="n">
        <x:v>0</x:v>
      </x:c>
      <x:c r="CM68" s="11"/>
      <x:c r="CN68" s="11" t="n">
        <x:v>0</x:v>
      </x:c>
      <x:c r="CO68" s="11" t="n">
        <x:v>0</x:v>
      </x:c>
      <x:c r="CP68" s="8"/>
      <x:c r="CQ68" s="8" t="str">
        <x:v>Langley (District)</x:v>
      </x:c>
    </x:row>
    <x:row r="69">
      <x:c r="A69" s="8" t="str">
        <x:v>Cache Creek|2020</x:v>
      </x:c>
      <x:c r="B69" s="8" t="str">
        <x:v>cache-creek-v</x:v>
      </x:c>
      <x:c r="C69" s="8" t="str">
        <x:v>Cache Creek</x:v>
      </x:c>
      <x:c r="D69" s="8" t="str">
        <x:v>Cache Creek</x:v>
      </x:c>
      <x:c r="E69" s="8" t="str">
        <x:v>V</x:v>
      </x:c>
      <x:c r="F69" s="8" t="str">
        <x:v>TNR</x:v>
      </x:c>
      <x:c r="G69" s="9" t="n">
        <x:v>2020</x:v>
      </x:c>
      <x:c r="H69" s="10" t="n">
        <x:v>1058</x:v>
      </x:c>
      <x:c r="I69" s="8" t="str">
        <x:v>Under 5,000</x:v>
      </x:c>
      <x:c r="J69" s="11" t="n">
        <x:v>3047340</x:v>
      </x:c>
      <x:c r="K69" s="11" t="n">
        <x:v>3131972</x:v>
      </x:c>
      <x:c r="L69" s="11" t="n">
        <x:v>-84632</x:v>
      </x:c>
      <x:c r="M69" s="12" t="n">
        <x:v>-0.027772417912015068</x:v>
      </x:c>
      <x:c r="N69" s="11" t="n">
        <x:v>780180</x:v>
      </x:c>
      <x:c r="O69" s="11" t="n">
        <x:v>614375</x:v>
      </x:c>
      <x:c r="P69" s="11" t="n">
        <x:v>1622694</x:v>
      </x:c>
      <x:c r="Q69" s="11" t="n">
        <x:v>30091</x:v>
      </x:c>
      <x:c r="R69" s="11" t="n">
        <x:v>2519857</x:v>
      </x:c>
      <x:c r="S69" s="11" t="n">
        <x:v>612115</x:v>
      </x:c>
      <x:c r="T69" s="11" t="n">
        <x:v>3111187</x:v>
      </x:c>
      <x:c r="U69" s="11" t="n">
        <x:v>384047</x:v>
      </x:c>
      <x:c r="V69" s="11" t="n">
        <x:v>2933698</x:v>
      </x:c>
      <x:c r="W69" s="11" t="n">
        <x:v>10383</x:v>
      </x:c>
      <x:c r="X69" s="11" t="n">
        <x:v>0</x:v>
      </x:c>
      <x:c r="Y69" s="11" t="n">
        <x:v>0</x:v>
      </x:c>
      <x:c r="Z69" s="11" t="n">
        <x:v>0</x:v>
      </x:c>
      <x:c r="AA69" s="11" t="n">
        <x:v>0</x:v>
      </x:c>
      <x:c r="AB69" s="11" t="n">
        <x:v>0</x:v>
      </x:c>
      <x:c r="AC69" s="11" t="n">
        <x:v>0</x:v>
      </x:c>
      <x:c r="AD69" s="11" t="n">
        <x:v>456794</x:v>
      </x:c>
      <x:c r="AE69" s="11" t="n">
        <x:v>456794</x:v>
      </x:c>
      <x:c r="AF69" s="11" t="n">
        <x:v>1827177</x:v>
      </x:c>
      <x:c r="AG69" s="11" t="n">
        <x:v>23972180</x:v>
      </x:c>
      <x:c r="AH69" s="11" t="n">
        <x:v>10382940</x:v>
      </x:c>
      <x:c r="AI69" s="11" t="n">
        <x:v>13589240</x:v>
      </x:c>
      <x:c r="AJ69" s="11" t="n">
        <x:v>488193</x:v>
      </x:c>
      <x:c r="AK69" s="11" t="n">
        <x:v>35619052</x:v>
      </x:c>
      <x:c r="AL69" s="11" t="n">
        <x:v>647500</x:v>
      </x:c>
      <x:c r="AM69" s="12" t="n">
        <x:v>0.9818215263000262</x:v>
      </x:c>
      <x:c r="AN69" s="12" t="n">
        <x:v>0.013705951522797407</x:v>
      </x:c>
      <x:c r="AO69" s="11" t="n">
        <x:v>1369407</x:v>
      </x:c>
      <x:c r="AP69" s="11" t="n">
        <x:v>1352403</x:v>
      </x:c>
      <x:c r="AQ69" s="12" t="n">
        <x:v>0.987582946487056</x:v>
      </x:c>
      <x:c r="AR69" s="11" t="n">
        <x:v>2880.2835538752365</x:v>
      </x:c>
      <x:c r="AS69" s="11" t="n">
        <x:v>2960.275992438563</x:v>
      </x:c>
      <x:c r="AT69" s="11" t="n">
        <x:v>2772.8714555765596</x:v>
      </x:c>
      <x:c r="AU69" s="11" t="n">
        <x:v>9.813799621928167</x:v>
      </x:c>
      <x:c r="AV69" s="11" t="n">
        <x:v>0</x:v>
      </x:c>
      <x:c r="AW69" s="11" t="n">
        <x:v>8.101057943428799</x:v>
      </x:c>
      <x:c r="AX69" s="12" t="n">
        <x:v>1</x:v>
      </x:c>
      <x:c r="AY69" s="11"/>
      <x:c r="AZ69" s="11"/>
      <x:c r="BA69" s="11"/>
      <x:c r="BB69" s="11"/>
      <x:c r="BC69" s="11"/>
      <x:c r="BD69" s="11"/>
      <x:c r="BE69" s="11"/>
      <x:c r="BF69" s="11"/>
      <x:c r="BG69" s="11"/>
      <x:c r="BH69" s="11"/>
      <x:c r="BI69" s="11"/>
      <x:c r="BJ69" s="11"/>
      <x:c r="BK69" s="12"/>
      <x:c r="BL69" s="12"/>
      <x:c r="BM69" s="12"/>
      <x:c r="BN69" s="12"/>
      <x:c r="BO69" s="12"/>
      <x:c r="BP69" s="12"/>
      <x:c r="BQ69" s="12"/>
      <x:c r="BR69" s="12"/>
      <x:c r="BS69" s="12"/>
      <x:c r="BT69" s="12"/>
      <x:c r="BU69" s="11" t="n">
        <x:v>95679</x:v>
      </x:c>
      <x:c r="BV69" s="11" t="n">
        <x:v>1527015</x:v>
      </x:c>
      <x:c r="BW69" s="11" t="n">
        <x:v>0</x:v>
      </x:c>
      <x:c r="BX69" s="11" t="n">
        <x:v>30091</x:v>
      </x:c>
      <x:c r="BY69" s="11" t="n">
        <x:v>0</x:v>
      </x:c>
      <x:c r="BZ69" s="11" t="n">
        <x:v>0</x:v>
      </x:c>
      <x:c r="CA69" s="11" t="n">
        <x:v>0</x:v>
      </x:c>
      <x:c r="CB69" s="11" t="n">
        <x:v>0</x:v>
      </x:c>
      <x:c r="CC69" s="11" t="n">
        <x:v>571599</x:v>
      </x:c>
      <x:c r="CD69" s="11" t="n">
        <x:v>68989</x:v>
      </x:c>
      <x:c r="CE69" s="11" t="n">
        <x:v>206793</x:v>
      </x:c>
      <x:c r="CF69" s="11" t="n">
        <x:v>5585</x:v>
      </x:c>
      <x:c r="CG69" s="11" t="n">
        <x:v>103096</x:v>
      </x:c>
      <x:c r="CH69" s="11" t="n">
        <x:v>827862</x:v>
      </x:c>
      <x:c r="CI69" s="11" t="n">
        <x:v>168103</x:v>
      </x:c>
      <x:c r="CJ69" s="11" t="n">
        <x:v>250687</x:v>
      </x:c>
      <x:c r="CK69" s="11" t="n">
        <x:v>271309</x:v>
      </x:c>
      <x:c r="CL69" s="11" t="n">
        <x:v>0</x:v>
      </x:c>
      <x:c r="CM69" s="11"/>
      <x:c r="CN69" s="11" t="n">
        <x:v>45834</x:v>
      </x:c>
      <x:c r="CO69" s="11" t="n">
        <x:v>0</x:v>
      </x:c>
      <x:c r="CP69" s="8"/>
      <x:c r="CQ69" s="8" t="str">
        <x:v>Lantzville</x:v>
      </x:c>
    </x:row>
    <x:row r="70">
      <x:c r="A70" s="8" t="str">
        <x:v>Cache Creek|2021</x:v>
      </x:c>
      <x:c r="B70" s="8" t="str">
        <x:v>cache-creek-v</x:v>
      </x:c>
      <x:c r="C70" s="8" t="str">
        <x:v>Cache Creek</x:v>
      </x:c>
      <x:c r="D70" s="8" t="str">
        <x:v>Cache Creek</x:v>
      </x:c>
      <x:c r="E70" s="8" t="str">
        <x:v>V</x:v>
      </x:c>
      <x:c r="F70" s="8" t="str">
        <x:v>TNR</x:v>
      </x:c>
      <x:c r="G70" s="9" t="n">
        <x:v>2021</x:v>
      </x:c>
      <x:c r="H70" s="10" t="n">
        <x:v>1064</x:v>
      </x:c>
      <x:c r="I70" s="8" t="str">
        <x:v>Under 5,000</x:v>
      </x:c>
      <x:c r="J70" s="11" t="n">
        <x:v>3475015</x:v>
      </x:c>
      <x:c r="K70" s="11" t="n">
        <x:v>2582887</x:v>
      </x:c>
      <x:c r="L70" s="11" t="n">
        <x:v>892128</x:v>
      </x:c>
      <x:c r="M70" s="12" t="n">
        <x:v>0.25672637384299063</x:v>
      </x:c>
      <x:c r="N70" s="11" t="n">
        <x:v>901823</x:v>
      </x:c>
      <x:c r="O70" s="11" t="n">
        <x:v>962388</x:v>
      </x:c>
      <x:c r="P70" s="11" t="n">
        <x:v>1593761</x:v>
      </x:c>
      <x:c r="Q70" s="11" t="n">
        <x:v>17043</x:v>
      </x:c>
      <x:c r="R70" s="11" t="n">
        <x:v>1955921</x:v>
      </x:c>
      <x:c r="S70" s="11" t="n">
        <x:v>626966</x:v>
      </x:c>
      <x:c r="T70" s="11" t="n">
        <x:v>3179525</x:v>
      </x:c>
      <x:c r="U70" s="11" t="n">
        <x:v>363801</x:v>
      </x:c>
      <x:c r="V70" s="11" t="n">
        <x:v>3290146</x:v>
      </x:c>
      <x:c r="W70" s="11" t="n">
        <x:v>10383</x:v>
      </x:c>
      <x:c r="X70" s="11" t="n">
        <x:v>0</x:v>
      </x:c>
      <x:c r="Y70" s="11" t="n">
        <x:v>0</x:v>
      </x:c>
      <x:c r="Z70" s="11" t="n">
        <x:v>0</x:v>
      </x:c>
      <x:c r="AA70" s="11" t="n">
        <x:v>0</x:v>
      </x:c>
      <x:c r="AB70" s="11" t="n">
        <x:v>0</x:v>
      </x:c>
      <x:c r="AC70" s="11" t="n">
        <x:v>0</x:v>
      </x:c>
      <x:c r="AD70" s="11" t="n">
        <x:v>573195</x:v>
      </x:c>
      <x:c r="AE70" s="11" t="n">
        <x:v>573195</x:v>
      </x:c>
      <x:c r="AF70" s="11" t="n">
        <x:v>2292781</x:v>
      </x:c>
      <x:c r="AG70" s="11" t="n">
        <x:v>25128748</x:v>
      </x:c>
      <x:c r="AH70" s="11" t="n">
        <x:v>11009906</x:v>
      </x:c>
      <x:c r="AI70" s="11" t="n">
        <x:v>14118842</x:v>
      </x:c>
      <x:c r="AJ70" s="11" t="n">
        <x:v>1156568</x:v>
      </x:c>
      <x:c r="AK70" s="11" t="n">
        <x:v>36597783</x:v>
      </x:c>
      <x:c r="AL70" s="11" t="n">
        <x:v>647500</x:v>
      </x:c>
      <x:c r="AM70" s="12" t="n">
        <x:v>0.9823076714783515</x:v>
      </x:c>
      <x:c r="AN70" s="12" t="n">
        <x:v>0.03160213283957665</x:v>
      </x:c>
      <x:c r="AO70" s="11" t="n">
        <x:v>1540884</x:v>
      </x:c>
      <x:c r="AP70" s="11" t="n">
        <x:v>1519685</x:v>
      </x:c>
      <x:c r="AQ70" s="12" t="n">
        <x:v>0.9862423128541798</x:v>
      </x:c>
      <x:c r="AR70" s="11" t="n">
        <x:v>3265.9915413533836</x:v>
      </x:c>
      <x:c r="AS70" s="11" t="n">
        <x:v>2427.5253759398497</x:v>
      </x:c>
      <x:c r="AT70" s="11" t="n">
        <x:v>3092.2424812030076</x:v>
      </x:c>
      <x:c r="AU70" s="11" t="n">
        <x:v>9.75845864661654</x:v>
      </x:c>
      <x:c r="AV70" s="11" t="n">
        <x:v>0</x:v>
      </x:c>
      <x:c r="AW70" s="11" t="n">
        <x:v>8.739736834148339</x:v>
      </x:c>
      <x:c r="AX70" s="12" t="n">
        <x:v>1</x:v>
      </x:c>
      <x:c r="AY70" s="11"/>
      <x:c r="AZ70" s="11"/>
      <x:c r="BA70" s="11"/>
      <x:c r="BB70" s="11"/>
      <x:c r="BC70" s="11"/>
      <x:c r="BD70" s="11"/>
      <x:c r="BE70" s="11"/>
      <x:c r="BF70" s="11"/>
      <x:c r="BG70" s="11"/>
      <x:c r="BH70" s="11"/>
      <x:c r="BI70" s="11"/>
      <x:c r="BJ70" s="11"/>
      <x:c r="BK70" s="12"/>
      <x:c r="BL70" s="12"/>
      <x:c r="BM70" s="12"/>
      <x:c r="BN70" s="12"/>
      <x:c r="BO70" s="12"/>
      <x:c r="BP70" s="12"/>
      <x:c r="BQ70" s="12"/>
      <x:c r="BR70" s="12"/>
      <x:c r="BS70" s="12"/>
      <x:c r="BT70" s="12"/>
      <x:c r="BU70" s="11" t="n">
        <x:v>195942</x:v>
      </x:c>
      <x:c r="BV70" s="11" t="n">
        <x:v>1397819</x:v>
      </x:c>
      <x:c r="BW70" s="11" t="n">
        <x:v>0</x:v>
      </x:c>
      <x:c r="BX70" s="11" t="n">
        <x:v>17043</x:v>
      </x:c>
      <x:c r="BY70" s="11" t="n">
        <x:v>0</x:v>
      </x:c>
      <x:c r="BZ70" s="11" t="n">
        <x:v>0</x:v>
      </x:c>
      <x:c r="CA70" s="11" t="n">
        <x:v>0</x:v>
      </x:c>
      <x:c r="CB70" s="11" t="n">
        <x:v>0</x:v>
      </x:c>
      <x:c r="CC70" s="11" t="n">
        <x:v>615707</x:v>
      </x:c>
      <x:c r="CD70" s="11" t="n">
        <x:v>102841</x:v>
      </x:c>
      <x:c r="CE70" s="11" t="n">
        <x:v>208904</x:v>
      </x:c>
      <x:c r="CF70" s="11" t="n">
        <x:v>9754</x:v>
      </x:c>
      <x:c r="CG70" s="11" t="n">
        <x:v>43868</x:v>
      </x:c>
      <x:c r="CH70" s="11" t="n">
        <x:v>337207</x:v>
      </x:c>
      <x:c r="CI70" s="11" t="n">
        <x:v>140090</x:v>
      </x:c>
      <x:c r="CJ70" s="11" t="n">
        <x:v>200067</x:v>
      </x:c>
      <x:c r="CK70" s="11" t="n">
        <x:v>230216</x:v>
      </x:c>
      <x:c r="CL70" s="11" t="n">
        <x:v>67267</x:v>
      </x:c>
      <x:c r="CM70" s="11"/>
      <x:c r="CN70" s="11" t="n">
        <x:v>0</x:v>
      </x:c>
      <x:c r="CO70" s="11" t="n">
        <x:v>0</x:v>
      </x:c>
      <x:c r="CP70" s="8"/>
      <x:c r="CQ70" s="8" t="str">
        <x:v>Lillooet</x:v>
      </x:c>
    </x:row>
    <x:row r="71">
      <x:c r="A71" s="8" t="str">
        <x:v>Cache Creek|2022</x:v>
      </x:c>
      <x:c r="B71" s="8" t="str">
        <x:v>cache-creek-v</x:v>
      </x:c>
      <x:c r="C71" s="8" t="str">
        <x:v>Cache Creek</x:v>
      </x:c>
      <x:c r="D71" s="8" t="str">
        <x:v>Cache Creek</x:v>
      </x:c>
      <x:c r="E71" s="8" t="str">
        <x:v>V</x:v>
      </x:c>
      <x:c r="F71" s="8" t="str">
        <x:v>TNR</x:v>
      </x:c>
      <x:c r="G71" s="9" t="n">
        <x:v>2022</x:v>
      </x:c>
      <x:c r="H71" s="10" t="n">
        <x:v>1076</x:v>
      </x:c>
      <x:c r="I71" s="8" t="str">
        <x:v>Under 5,000</x:v>
      </x:c>
      <x:c r="J71" s="11" t="n">
        <x:v>4473055</x:v>
      </x:c>
      <x:c r="K71" s="11" t="n">
        <x:v>2970805</x:v>
      </x:c>
      <x:c r="L71" s="11" t="n">
        <x:v>1502250</x:v>
      </x:c>
      <x:c r="M71" s="12" t="n">
        <x:v>0.3358442943357504</x:v>
      </x:c>
      <x:c r="N71" s="11" t="n">
        <x:v>1169745</x:v>
      </x:c>
      <x:c r="O71" s="11" t="n">
        <x:v>1264725</x:v>
      </x:c>
      <x:c r="P71" s="11" t="n">
        <x:v>1973279</x:v>
      </x:c>
      <x:c r="Q71" s="11" t="n">
        <x:v>65306</x:v>
      </x:c>
      <x:c r="R71" s="11" t="n">
        <x:v>2341475</x:v>
      </x:c>
      <x:c r="S71" s="11" t="n">
        <x:v>629330</x:v>
      </x:c>
      <x:c r="T71" s="11" t="n">
        <x:v>3802151</x:v>
      </x:c>
      <x:c r="U71" s="11" t="n">
        <x:v>482046</x:v>
      </x:c>
      <x:c r="V71" s="11" t="n">
        <x:v>4279153</x:v>
      </x:c>
      <x:c r="W71" s="11" t="n">
        <x:v>10383</x:v>
      </x:c>
      <x:c r="X71" s="11" t="n">
        <x:v>0</x:v>
      </x:c>
      <x:c r="Y71" s="11" t="n">
        <x:v>0</x:v>
      </x:c>
      <x:c r="Z71" s="11" t="n">
        <x:v>0</x:v>
      </x:c>
      <x:c r="AA71" s="11" t="n">
        <x:v>0</x:v>
      </x:c>
      <x:c r="AB71" s="11" t="n">
        <x:v>0</x:v>
      </x:c>
      <x:c r="AC71" s="11" t="n">
        <x:v>0</x:v>
      </x:c>
      <x:c r="AD71" s="11" t="n">
        <x:v>754444</x:v>
      </x:c>
      <x:c r="AE71" s="11" t="n">
        <x:v>754444</x:v>
      </x:c>
      <x:c r="AF71" s="11" t="n">
        <x:v>3017776</x:v>
      </x:c>
      <x:c r="AG71" s="11" t="n">
        <x:v>26302286</x:v>
      </x:c>
      <x:c r="AH71" s="11" t="n">
        <x:v>11639236</x:v>
      </x:c>
      <x:c r="AI71" s="11" t="n">
        <x:v>14663050</x:v>
      </x:c>
      <x:c r="AJ71" s="11" t="n">
        <x:v>1396908</x:v>
      </x:c>
      <x:c r="AK71" s="11" t="n">
        <x:v>14663050</x:v>
      </x:c>
      <x:c r="AL71" s="11" t="n">
        <x:v>670000</x:v>
      </x:c>
      <x:c r="AM71" s="12" t="n">
        <x:v>0.9543069143186445</x:v>
      </x:c>
      <x:c r="AN71" s="12" t="n">
        <x:v>0.09526721930294174</x:v>
      </x:c>
      <x:c r="AO71" s="11" t="n">
        <x:v>1889778</x:v>
      </x:c>
      <x:c r="AP71" s="11" t="n">
        <x:v>1821718</x:v>
      </x:c>
      <x:c r="AQ71" s="12" t="n">
        <x:v>0.9639851876781294</x:v>
      </x:c>
      <x:c r="AR71" s="11" t="n">
        <x:v>4157.114312267658</x:v>
      </x:c>
      <x:c r="AS71" s="11" t="n">
        <x:v>2760.971189591078</x:v>
      </x:c>
      <x:c r="AT71" s="11" t="n">
        <x:v>3976.907992565056</x:v>
      </x:c>
      <x:c r="AU71" s="11" t="n">
        <x:v>9.649628252788103</x:v>
      </x:c>
      <x:c r="AV71" s="11" t="n">
        <x:v>0</x:v>
      </x:c>
      <x:c r="AW71" s="11" t="n">
        <x:v>7.8875273314165035</x:v>
      </x:c>
      <x:c r="AX71" s="12" t="n">
        <x:v>1</x:v>
      </x:c>
      <x:c r="AY71" s="11"/>
      <x:c r="AZ71" s="11"/>
      <x:c r="BA71" s="11"/>
      <x:c r="BB71" s="11"/>
      <x:c r="BC71" s="11"/>
      <x:c r="BD71" s="11"/>
      <x:c r="BE71" s="11"/>
      <x:c r="BF71" s="11"/>
      <x:c r="BG71" s="11"/>
      <x:c r="BH71" s="11"/>
      <x:c r="BI71" s="11"/>
      <x:c r="BJ71" s="11"/>
      <x:c r="BK71" s="12"/>
      <x:c r="BL71" s="12"/>
      <x:c r="BM71" s="12"/>
      <x:c r="BN71" s="12"/>
      <x:c r="BO71" s="12"/>
      <x:c r="BP71" s="12"/>
      <x:c r="BQ71" s="12"/>
      <x:c r="BR71" s="12"/>
      <x:c r="BS71" s="12"/>
      <x:c r="BT71" s="12"/>
      <x:c r="BU71" s="11" t="n">
        <x:v>1338725</x:v>
      </x:c>
      <x:c r="BV71" s="11" t="n">
        <x:v>634554</x:v>
      </x:c>
      <x:c r="BW71" s="11" t="n">
        <x:v>0</x:v>
      </x:c>
      <x:c r="BX71" s="11" t="n">
        <x:v>65306</x:v>
      </x:c>
      <x:c r="BY71" s="11" t="n">
        <x:v>0</x:v>
      </x:c>
      <x:c r="BZ71" s="11" t="n">
        <x:v>0</x:v>
      </x:c>
      <x:c r="CA71" s="11" t="n">
        <x:v>0</x:v>
      </x:c>
      <x:c r="CB71" s="11" t="n">
        <x:v>0</x:v>
      </x:c>
      <x:c r="CC71" s="11" t="n">
        <x:v>683388</x:v>
      </x:c>
      <x:c r="CD71" s="11" t="n">
        <x:v>64812</x:v>
      </x:c>
      <x:c r="CE71" s="11" t="n">
        <x:v>331758</x:v>
      </x:c>
      <x:c r="CF71" s="11" t="n">
        <x:v>0</x:v>
      </x:c>
      <x:c r="CG71" s="11" t="n">
        <x:v>46736</x:v>
      </x:c>
      <x:c r="CH71" s="11" t="n">
        <x:v>334071</x:v>
      </x:c>
      <x:c r="CI71" s="11" t="n">
        <x:v>156954</x:v>
      </x:c>
      <x:c r="CJ71" s="11" t="n">
        <x:v>217524</x:v>
      </x:c>
      <x:c r="CK71" s="11" t="n">
        <x:v>272244</x:v>
      </x:c>
      <x:c r="CL71" s="11" t="n">
        <x:v>10615</x:v>
      </x:c>
      <x:c r="CM71" s="11"/>
      <x:c r="CN71" s="11" t="n">
        <x:v>223373</x:v>
      </x:c>
      <x:c r="CO71" s="11" t="n">
        <x:v>0</x:v>
      </x:c>
      <x:c r="CP71" s="8"/>
      <x:c r="CQ71" s="8" t="str">
        <x:v>Lions Bay</x:v>
      </x:c>
    </x:row>
    <x:row r="72">
      <x:c r="A72" s="8" t="str">
        <x:v>Cache Creek|2023</x:v>
      </x:c>
      <x:c r="B72" s="8" t="str">
        <x:v>cache-creek-v</x:v>
      </x:c>
      <x:c r="C72" s="8" t="str">
        <x:v>Cache Creek</x:v>
      </x:c>
      <x:c r="D72" s="8" t="str">
        <x:v>Cache Creek</x:v>
      </x:c>
      <x:c r="E72" s="8" t="str">
        <x:v>V</x:v>
      </x:c>
      <x:c r="F72" s="8" t="str">
        <x:v>TNR</x:v>
      </x:c>
      <x:c r="G72" s="9" t="n">
        <x:v>2023</x:v>
      </x:c>
      <x:c r="H72" s="10" t="n">
        <x:v>1111</x:v>
      </x:c>
      <x:c r="I72" s="8" t="str">
        <x:v>Under 5,000</x:v>
      </x:c>
      <x:c r="J72" s="11" t="n">
        <x:v>5998163</x:v>
      </x:c>
      <x:c r="K72" s="11" t="n">
        <x:v>3690628</x:v>
      </x:c>
      <x:c r="L72" s="11" t="n">
        <x:v>2307535</x:v>
      </x:c>
      <x:c r="M72" s="12" t="n">
        <x:v>0.38470695111153197</x:v>
      </x:c>
      <x:c r="N72" s="11" t="n">
        <x:v>1301274</x:v>
      </x:c>
      <x:c r="O72" s="11" t="n">
        <x:v>1397068</x:v>
      </x:c>
      <x:c r="P72" s="11" t="n">
        <x:v>3049245</x:v>
      </x:c>
      <x:c r="Q72" s="11" t="n">
        <x:v>250576</x:v>
      </x:c>
      <x:c r="R72" s="11" t="n">
        <x:v>3021484</x:v>
      </x:c>
      <x:c r="S72" s="11" t="n">
        <x:v>669144</x:v>
      </x:c>
      <x:c r="T72" s="11" t="n">
        <x:v>5659355</x:v>
      </x:c>
      <x:c r="U72" s="11" t="n">
        <x:v>1415933</x:v>
      </x:c>
      <x:c r="V72" s="11" t="n">
        <x:v>5777441</x:v>
      </x:c>
      <x:c r="W72" s="11" t="n">
        <x:v>10383</x:v>
      </x:c>
      <x:c r="X72" s="11" t="n">
        <x:v>0</x:v>
      </x:c>
      <x:c r="Y72" s="11" t="n">
        <x:v>0</x:v>
      </x:c>
      <x:c r="Z72" s="11" t="n">
        <x:v>0</x:v>
      </x:c>
      <x:c r="AA72" s="11" t="n">
        <x:v>0</x:v>
      </x:c>
      <x:c r="AB72" s="11" t="n">
        <x:v>0</x:v>
      </x:c>
      <x:c r="AC72" s="11" t="n">
        <x:v>0</x:v>
      </x:c>
      <x:c r="AD72" s="11" t="n">
        <x:v>837730</x:v>
      </x:c>
      <x:c r="AE72" s="11" t="n">
        <x:v>837730</x:v>
      </x:c>
      <x:c r="AF72" s="11" t="n">
        <x:v>3350918</x:v>
      </x:c>
      <x:c r="AG72" s="11" t="n">
        <x:v>27361389</x:v>
      </x:c>
      <x:c r="AH72" s="11" t="n">
        <x:v>12339916</x:v>
      </x:c>
      <x:c r="AI72" s="11" t="n">
        <x:v>15021473</x:v>
      </x:c>
      <x:c r="AJ72" s="11" t="n">
        <x:v>1003620</x:v>
      </x:c>
      <x:c r="AK72" s="11" t="n">
        <x:v>15021473</x:v>
      </x:c>
      <x:c r="AL72" s="11" t="n">
        <x:v>670000</x:v>
      </x:c>
      <x:c r="AM72" s="12" t="n">
        <x:v>0.9553971837515536</x:v>
      </x:c>
      <x:c r="AN72" s="12" t="n">
        <x:v>0.06681235588547142</x:v>
      </x:c>
      <x:c r="AO72" s="11" t="n">
        <x:v>2152507</x:v>
      </x:c>
      <x:c r="AP72" s="11" t="n">
        <x:v>2022555</x:v>
      </x:c>
      <x:c r="AQ72" s="12" t="n">
        <x:v>0.9396276063213732</x:v>
      </x:c>
      <x:c r="AR72" s="11" t="n">
        <x:v>5398.886588658866</x:v>
      </x:c>
      <x:c r="AS72" s="11" t="n">
        <x:v>3321.8973897389737</x:v>
      </x:c>
      <x:c r="AT72" s="11" t="n">
        <x:v>5200.216921692169</x:v>
      </x:c>
      <x:c r="AU72" s="11" t="n">
        <x:v>9.345634563456345</x:v>
      </x:c>
      <x:c r="AV72" s="11" t="n">
        <x:v>0</x:v>
      </x:c>
      <x:c r="AW72" s="11" t="n">
        <x:v>3.996908752038409</x:v>
      </x:c>
      <x:c r="AX72" s="12" t="n">
        <x:v>1</x:v>
      </x:c>
      <x:c r="AY72" s="11"/>
      <x:c r="AZ72" s="11"/>
      <x:c r="BA72" s="11"/>
      <x:c r="BB72" s="11"/>
      <x:c r="BC72" s="11"/>
      <x:c r="BD72" s="11"/>
      <x:c r="BE72" s="11"/>
      <x:c r="BF72" s="11"/>
      <x:c r="BG72" s="11"/>
      <x:c r="BH72" s="11"/>
      <x:c r="BI72" s="11"/>
      <x:c r="BJ72" s="11"/>
      <x:c r="BK72" s="12"/>
      <x:c r="BL72" s="12"/>
      <x:c r="BM72" s="12"/>
      <x:c r="BN72" s="12"/>
      <x:c r="BO72" s="12"/>
      <x:c r="BP72" s="12"/>
      <x:c r="BQ72" s="12"/>
      <x:c r="BR72" s="12"/>
      <x:c r="BS72" s="12"/>
      <x:c r="BT72" s="12"/>
      <x:c r="BU72" s="11" t="n">
        <x:v>214098</x:v>
      </x:c>
      <x:c r="BV72" s="11" t="n">
        <x:v>2835147</x:v>
      </x:c>
      <x:c r="BW72" s="11" t="n">
        <x:v>0</x:v>
      </x:c>
      <x:c r="BX72" s="11" t="n">
        <x:v>250576</x:v>
      </x:c>
      <x:c r="BY72" s="11" t="n">
        <x:v>0</x:v>
      </x:c>
      <x:c r="BZ72" s="11" t="n">
        <x:v>0</x:v>
      </x:c>
      <x:c r="CA72" s="11" t="n">
        <x:v>0</x:v>
      </x:c>
      <x:c r="CB72" s="11" t="n">
        <x:v>0</x:v>
      </x:c>
      <x:c r="CC72" s="11" t="n">
        <x:v>581661</x:v>
      </x:c>
      <x:c r="CD72" s="11" t="n">
        <x:v>85991</x:v>
      </x:c>
      <x:c r="CE72" s="11" t="n">
        <x:v>355388</x:v>
      </x:c>
      <x:c r="CF72" s="11" t="n">
        <x:v>0</x:v>
      </x:c>
      <x:c r="CG72" s="11" t="n">
        <x:v>47712</x:v>
      </x:c>
      <x:c r="CH72" s="11" t="n">
        <x:v>1120027</x:v>
      </x:c>
      <x:c r="CI72" s="11" t="n">
        <x:v>131628</x:v>
      </x:c>
      <x:c r="CJ72" s="11" t="n">
        <x:v>259479</x:v>
      </x:c>
      <x:c r="CK72" s="11" t="n">
        <x:v>417582</x:v>
      </x:c>
      <x:c r="CL72" s="11" t="n">
        <x:v>3943</x:v>
      </x:c>
      <x:c r="CM72" s="11" t="n">
        <x:v>18073</x:v>
      </x:c>
      <x:c r="CN72" s="11" t="n">
        <x:v>0</x:v>
      </x:c>
      <x:c r="CO72" s="11" t="n">
        <x:v>0</x:v>
      </x:c>
      <x:c r="CP72" s="8"/>
      <x:c r="CQ72" s="8" t="str">
        <x:v>Logan Lake</x:v>
      </x:c>
    </x:row>
    <x:row r="73">
      <x:c r="A73" s="8" t="str">
        <x:v>Cache Creek|2024</x:v>
      </x:c>
      <x:c r="B73" s="8" t="str">
        <x:v>cache-creek-v</x:v>
      </x:c>
      <x:c r="C73" s="8" t="str">
        <x:v>Cache Creek</x:v>
      </x:c>
      <x:c r="D73" s="8" t="str">
        <x:v>Cache Creek</x:v>
      </x:c>
      <x:c r="E73" s="8" t="str">
        <x:v>V</x:v>
      </x:c>
      <x:c r="F73" s="8" t="str">
        <x:v>TNR</x:v>
      </x:c>
      <x:c r="G73" s="9" t="n">
        <x:v>2024</x:v>
      </x:c>
      <x:c r="H73" s="10" t="n">
        <x:v>1111</x:v>
      </x:c>
      <x:c r="I73" s="8" t="str">
        <x:v>Under 5,000</x:v>
      </x:c>
      <x:c r="J73" s="11" t="n">
        <x:v>6221134</x:v>
      </x:c>
      <x:c r="K73" s="11" t="n">
        <x:v>3308552</x:v>
      </x:c>
      <x:c r="L73" s="11" t="n">
        <x:v>2912582</x:v>
      </x:c>
      <x:c r="M73" s="12" t="n">
        <x:v>0.4681754162504778</x:v>
      </x:c>
      <x:c r="N73" s="11" t="n">
        <x:v>1434438</x:v>
      </x:c>
      <x:c r="O73" s="11" t="n">
        <x:v>1699444</x:v>
      </x:c>
      <x:c r="P73" s="11" t="n">
        <x:v>2752809</x:v>
      </x:c>
      <x:c r="Q73" s="11" t="n">
        <x:v>334443</x:v>
      </x:c>
      <x:c r="R73" s="11" t="n">
        <x:v>2581602</x:v>
      </x:c>
      <x:c r="S73" s="11" t="n">
        <x:v>726950</x:v>
      </x:c>
      <x:c r="T73" s="11" t="n">
        <x:v>6464426</x:v>
      </x:c>
      <x:c r="U73" s="11" t="n">
        <x:v>1172828</x:v>
      </x:c>
      <x:c r="V73" s="11" t="n">
        <x:v>7269226</x:v>
      </x:c>
      <x:c r="W73" s="11" t="n">
        <x:v>1057361</x:v>
      </x:c>
      <x:c r="X73" s="11" t="n">
        <x:v>0</x:v>
      </x:c>
      <x:c r="Y73" s="11" t="n">
        <x:v>0</x:v>
      </x:c>
      <x:c r="Z73" s="11" t="n">
        <x:v>0</x:v>
      </x:c>
      <x:c r="AA73" s="11" t="n">
        <x:v>0</x:v>
      </x:c>
      <x:c r="AB73" s="11" t="n">
        <x:v>0</x:v>
      </x:c>
      <x:c r="AC73" s="11" t="n">
        <x:v>0</x:v>
      </x:c>
      <x:c r="AD73" s="11" t="n">
        <x:v>977381</x:v>
      </x:c>
      <x:c r="AE73" s="11" t="n">
        <x:v>977381</x:v>
      </x:c>
      <x:c r="AF73" s="11" t="n">
        <x:v>3909525</x:v>
      </x:c>
      <x:c r="AG73" s="11" t="n">
        <x:v>29496813</x:v>
      </x:c>
      <x:c r="AH73" s="11" t="n">
        <x:v>13066872</x:v>
      </x:c>
      <x:c r="AI73" s="11" t="n">
        <x:v>16429941</x:v>
      </x:c>
      <x:c r="AJ73" s="11" t="n">
        <x:v>2135424</x:v>
      </x:c>
      <x:c r="AK73" s="11" t="n">
        <x:v>26345066</x:v>
      </x:c>
      <x:c r="AL73" s="11" t="n">
        <x:v>9915125</x:v>
      </x:c>
      <x:c r="AM73" s="12" t="n">
        <x:v>0.6236439491174552</x:v>
      </x:c>
      <x:c r="AN73" s="12" t="n">
        <x:v>0.08105593662206047</x:v>
      </x:c>
      <x:c r="AO73" s="11" t="n">
        <x:v>2462724</x:v>
      </x:c>
      <x:c r="AP73" s="11" t="n">
        <x:v>2111461</x:v>
      </x:c>
      <x:c r="AQ73" s="12" t="n">
        <x:v>0.857368101338193</x:v>
      </x:c>
      <x:c r="AR73" s="11" t="n">
        <x:v>5599.580558055805</x:v>
      </x:c>
      <x:c r="AS73" s="11" t="n">
        <x:v>2977.994599459946</x:v>
      </x:c>
      <x:c r="AT73" s="11" t="n">
        <x:v>6542.957695769577</x:v>
      </x:c>
      <x:c r="AU73" s="11" t="n">
        <x:v>951.7200720072008</x:v>
      </x:c>
      <x:c r="AV73" s="11" t="n">
        <x:v>0</x:v>
      </x:c>
      <x:c r="AW73" s="11" t="n">
        <x:v>5.51182782130031</x:v>
      </x:c>
      <x:c r="AX73" s="12" t="n">
        <x:v>1</x:v>
      </x:c>
      <x:c r="AY73" s="11" t="n">
        <x:v>4648.097865362712</x:v>
      </x:c>
      <x:c r="AZ73" s="11" t="n">
        <x:v>3546.5079302077975</x:v>
      </x:c>
      <x:c r="BA73" s="11" t="n">
        <x:v>3428.422456291105</x:v>
      </x:c>
      <x:c r="BB73" s="11" t="n">
        <x:v>2783.665107049771</x:v>
      </x:c>
      <x:c r="BC73" s="11" t="n">
        <x:v>5030.364110900993</x:v>
      </x:c>
      <x:c r="BD73" s="11" t="n">
        <x:v>2437.8724475115623</x:v>
      </x:c>
      <x:c r="BE73" s="11" t="n">
        <x:v>2420.45</x:v>
      </x:c>
      <x:c r="BF73" s="11" t="n">
        <x:v>1604.3462673977224</x:v>
      </x:c>
      <x:c r="BG73" s="11" t="n">
        <x:v>224.31236112962716</x:v>
      </x:c>
      <x:c r="BH73" s="11" t="n">
        <x:v>518.5374381567245</x:v>
      </x:c>
      <x:c r="BI73" s="11" t="n">
        <x:v>2.204313821553219</x:v>
      </x:c>
      <x:c r="BJ73" s="11" t="n">
        <x:v>1.7099330852451193</x:v>
      </x:c>
      <x:c r="BK73" s="12" t="n">
        <x:v>0.030042455998363887</x:v>
      </x:c>
      <x:c r="BL73" s="12" t="n">
        <x:v>0.02529861000232605</x:v>
      </x:c>
      <x:c r="BM73" s="12" t="n">
        <x:v>0.9786113537119745</x:v>
      </x:c>
      <x:c r="BN73" s="12" t="n">
        <x:v>0.9815511712696461</x:v>
      </x:c>
      <x:c r="BO73" s="12" t="n">
        <x:v>0.9039920521842442</x:v>
      </x:c>
      <x:c r="BP73" s="12" t="n">
        <x:v>0.8619101997275483</x:v>
      </x:c>
      <x:c r="BQ73" s="12" t="n">
        <x:v>0.9333160528846489</x:v>
      </x:c>
      <x:c r="BR73" s="12" t="n">
        <x:v>0.9623635142836453</x:v>
      </x:c>
      <x:c r="BS73" s="12" t="n">
        <x:v>0.20869205825466772</x:v>
      </x:c>
      <x:c r="BT73" s="12" t="n">
        <x:v>0.19976549769108282</x:v>
      </x:c>
      <x:c r="BU73" s="11" t="n">
        <x:v>104734</x:v>
      </x:c>
      <x:c r="BV73" s="11" t="n">
        <x:v>2648075</x:v>
      </x:c>
      <x:c r="BW73" s="11" t="n">
        <x:v>0</x:v>
      </x:c>
      <x:c r="BX73" s="11" t="n">
        <x:v>334443</x:v>
      </x:c>
      <x:c r="BY73" s="11" t="n">
        <x:v>0</x:v>
      </x:c>
      <x:c r="BZ73" s="11" t="n">
        <x:v>0</x:v>
      </x:c>
      <x:c r="CA73" s="11" t="n">
        <x:v>0</x:v>
      </x:c>
      <x:c r="CB73" s="11" t="n">
        <x:v>0</x:v>
      </x:c>
      <x:c r="CC73" s="11" t="n">
        <x:v>767708</x:v>
      </x:c>
      <x:c r="CD73" s="11" t="n">
        <x:v>121282</x:v>
      </x:c>
      <x:c r="CE73" s="11" t="n">
        <x:v>429655</x:v>
      </x:c>
      <x:c r="CF73" s="11" t="n">
        <x:v>0</x:v>
      </x:c>
      <x:c r="CG73" s="11" t="n">
        <x:v>89975</x:v>
      </x:c>
      <x:c r="CH73" s="11" t="n">
        <x:v>374416</x:v>
      </x:c>
      <x:c r="CI73" s="11" t="n">
        <x:v>131949</x:v>
      </x:c>
      <x:c r="CJ73" s="11" t="n">
        <x:v>337507</x:v>
      </x:c>
      <x:c r="CK73" s="11" t="n">
        <x:v>305007</x:v>
      </x:c>
      <x:c r="CL73" s="11" t="n">
        <x:v>5916</x:v>
      </x:c>
      <x:c r="CM73" s="11" t="n">
        <x:v>18187</x:v>
      </x:c>
      <x:c r="CN73" s="11" t="n">
        <x:v>0</x:v>
      </x:c>
      <x:c r="CO73" s="11" t="n">
        <x:v>0</x:v>
      </x:c>
      <x:c r="CP73" s="8"/>
      <x:c r="CQ73" s="8" t="str">
        <x:v>Lumby</x:v>
      </x:c>
    </x:row>
    <x:row r="74">
      <x:c r="A74" s="8" t="str">
        <x:v>Campbell River|2019</x:v>
      </x:c>
      <x:c r="B74" s="8" t="str">
        <x:v>campbell-river-c</x:v>
      </x:c>
      <x:c r="C74" s="8" t="str">
        <x:v>Campbell River</x:v>
      </x:c>
      <x:c r="D74" s="8" t="str">
        <x:v>Campbell River</x:v>
      </x:c>
      <x:c r="E74" s="8" t="str">
        <x:v>C</x:v>
      </x:c>
      <x:c r="F74" s="8" t="str">
        <x:v>STR</x:v>
      </x:c>
      <x:c r="G74" s="9" t="n">
        <x:v>2019</x:v>
      </x:c>
      <x:c r="H74" s="10" t="n">
        <x:v>35849</x:v>
      </x:c>
      <x:c r="I74" s="8" t="str">
        <x:v>20,000 to 99,999</x:v>
      </x:c>
      <x:c r="J74" s="11" t="n">
        <x:v>80659769</x:v>
      </x:c>
      <x:c r="K74" s="11" t="n">
        <x:v>65446255</x:v>
      </x:c>
      <x:c r="L74" s="11" t="n">
        <x:v>15213514</x:v>
      </x:c>
      <x:c r="M74" s="12" t="n">
        <x:v>0.18861340899699328</x:v>
      </x:c>
      <x:c r="N74" s="11" t="n">
        <x:v>35733155</x:v>
      </x:c>
      <x:c r="O74" s="11" t="n">
        <x:v>27305293</x:v>
      </x:c>
      <x:c r="P74" s="11" t="n">
        <x:v>4961948</x:v>
      </x:c>
      <x:c r="Q74" s="11" t="n">
        <x:v>12659373</x:v>
      </x:c>
      <x:c r="R74" s="11" t="n">
        <x:v>55180371</x:v>
      </x:c>
      <x:c r="S74" s="11" t="n">
        <x:v>9740160</x:v>
      </x:c>
      <x:c r="T74" s="11" t="n">
        <x:v>90738076</x:v>
      </x:c>
      <x:c r="U74" s="11" t="n">
        <x:v>53503125</x:v>
      </x:c>
      <x:c r="V74" s="11" t="n">
        <x:v>44849061</x:v>
      </x:c>
      <x:c r="W74" s="11" t="n">
        <x:v>3727514</x:v>
      </x:c>
      <x:c r="X74" s="11" t="n">
        <x:v>13135041</x:v>
      </x:c>
      <x:c r="Y74" s="11" t="n">
        <x:v>0</x:v>
      </x:c>
      <x:c r="Z74" s="11" t="n">
        <x:v>521856</x:v>
      </x:c>
      <x:c r="AA74" s="11" t="n">
        <x:v>12552229</x:v>
      </x:c>
      <x:c r="AB74" s="11" t="n">
        <x:v>525724</x:v>
      </x:c>
      <x:c r="AC74" s="11" t="n">
        <x:v>1047580</x:v>
      </x:c>
      <x:c r="AD74" s="11" t="n">
        <x:v>16469863</x:v>
      </x:c>
      <x:c r="AE74" s="11" t="n">
        <x:v>15422283</x:v>
      </x:c>
      <x:c r="AF74" s="11" t="n">
        <x:v>65879452</x:v>
      </x:c>
      <x:c r="AG74" s="11" t="n">
        <x:v>485578908</x:v>
      </x:c>
      <x:c r="AH74" s="11" t="n">
        <x:v>210992109</x:v>
      </x:c>
      <x:c r="AI74" s="11" t="n">
        <x:v>274586799</x:v>
      </x:c>
      <x:c r="AJ74" s="11" t="n">
        <x:v>25542531</x:v>
      </x:c>
      <x:c r="AK74" s="11" t="n">
        <x:v>45263234</x:v>
      </x:c>
      <x:c r="AL74" s="11" t="n">
        <x:v>0</x:v>
      </x:c>
      <x:c r="AM74" s="12" t="n">
        <x:v>1</x:v>
      </x:c>
      <x:c r="AN74" s="12" t="n">
        <x:v>0.5643107825658238</x:v>
      </x:c>
      <x:c r="AO74" s="11" t="n">
        <x:v>65912944</x:v>
      </x:c>
      <x:c r="AP74" s="11" t="n">
        <x:v>64324647</x:v>
      </x:c>
      <x:c r="AQ74" s="12" t="n">
        <x:v>0.9759031094104976</x:v>
      </x:c>
      <x:c r="AR74" s="11" t="n">
        <x:v>2249.9865826103937</x:v>
      </x:c>
      <x:c r="AS74" s="11" t="n">
        <x:v>1825.6089430667523</x:v>
      </x:c>
      <x:c r="AT74" s="11" t="n">
        <x:v>1251.0547295600993</x:v>
      </x:c>
      <x:c r="AU74" s="11" t="n">
        <x:v>103.97818628134677</x:v>
      </x:c>
      <x:c r="AV74" s="11" t="n">
        <x:v>350.1416775921225</x:v>
      </x:c>
      <x:c r="AW74" s="11" t="n">
        <x:v>1.6959397418375095</x:v>
      </x:c>
      <x:c r="AX74" s="12" t="n">
        <x:v>0.9363941278685803</x:v>
      </x:c>
      <x:c r="AY74" s="11"/>
      <x:c r="AZ74" s="11"/>
      <x:c r="BA74" s="11"/>
      <x:c r="BB74" s="11"/>
      <x:c r="BC74" s="11"/>
      <x:c r="BD74" s="11"/>
      <x:c r="BE74" s="11"/>
      <x:c r="BF74" s="11"/>
      <x:c r="BG74" s="11"/>
      <x:c r="BH74" s="11"/>
      <x:c r="BI74" s="11"/>
      <x:c r="BJ74" s="11"/>
      <x:c r="BK74" s="12"/>
      <x:c r="BL74" s="12"/>
      <x:c r="BM74" s="12"/>
      <x:c r="BN74" s="12"/>
      <x:c r="BO74" s="12"/>
      <x:c r="BP74" s="12"/>
      <x:c r="BQ74" s="12"/>
      <x:c r="BR74" s="12"/>
      <x:c r="BS74" s="12"/>
      <x:c r="BT74" s="12"/>
      <x:c r="BU74" s="11" t="n">
        <x:v>3327614</x:v>
      </x:c>
      <x:c r="BV74" s="11" t="n">
        <x:v>1584334</x:v>
      </x:c>
      <x:c r="BW74" s="11" t="n">
        <x:v>50000</x:v>
      </x:c>
      <x:c r="BX74" s="11" t="n">
        <x:v>1844826</x:v>
      </x:c>
      <x:c r="BY74" s="11" t="n">
        <x:v>0</x:v>
      </x:c>
      <x:c r="BZ74" s="11" t="n">
        <x:v>10476156</x:v>
      </x:c>
      <x:c r="CA74" s="11" t="n">
        <x:v>0</x:v>
      </x:c>
      <x:c r="CB74" s="11" t="n">
        <x:v>338391</x:v>
      </x:c>
      <x:c r="CC74" s="11" t="n">
        <x:v>7663354</x:v>
      </x:c>
      <x:c r="CD74" s="11" t="n">
        <x:v>18173757</x:v>
      </x:c>
      <x:c r="CE74" s="11" t="n">
        <x:v>2590889</x:v>
      </x:c>
      <x:c r="CF74" s="11" t="n">
        <x:v>189994</x:v>
      </x:c>
      <x:c r="CG74" s="11" t="n">
        <x:v>2634950</x:v>
      </x:c>
      <x:c r="CH74" s="11" t="n">
        <x:v>8045251</x:v>
      </x:c>
      <x:c r="CI74" s="11" t="n">
        <x:v>7176015</x:v>
      </x:c>
      <x:c r="CJ74" s="11" t="n">
        <x:v>4833709</x:v>
      </x:c>
      <x:c r="CK74" s="11" t="n">
        <x:v>2836749</x:v>
      </x:c>
      <x:c r="CL74" s="11" t="n">
        <x:v>0</x:v>
      </x:c>
      <x:c r="CM74" s="11"/>
      <x:c r="CN74" s="11" t="n">
        <x:v>1561427</x:v>
      </x:c>
      <x:c r="CO74" s="11" t="n">
        <x:v>0</x:v>
      </x:c>
      <x:c r="CP74" s="8"/>
      <x:c r="CQ74" s="8" t="str">
        <x:v>Lytton</x:v>
      </x:c>
    </x:row>
    <x:row r="75">
      <x:c r="A75" s="8" t="str">
        <x:v>Campbell River|2020</x:v>
      </x:c>
      <x:c r="B75" s="8" t="str">
        <x:v>campbell-river-c</x:v>
      </x:c>
      <x:c r="C75" s="8" t="str">
        <x:v>Campbell River</x:v>
      </x:c>
      <x:c r="D75" s="8" t="str">
        <x:v>Campbell River</x:v>
      </x:c>
      <x:c r="E75" s="8" t="str">
        <x:v>C</x:v>
      </x:c>
      <x:c r="F75" s="8" t="str">
        <x:v>STR</x:v>
      </x:c>
      <x:c r="G75" s="9" t="n">
        <x:v>2020</x:v>
      </x:c>
      <x:c r="H75" s="10" t="n">
        <x:v>36167</x:v>
      </x:c>
      <x:c r="I75" s="8" t="str">
        <x:v>20,000 to 99,999</x:v>
      </x:c>
      <x:c r="J75" s="11" t="n">
        <x:v>80893466</x:v>
      </x:c>
      <x:c r="K75" s="11" t="n">
        <x:v>63366776</x:v>
      </x:c>
      <x:c r="L75" s="11" t="n">
        <x:v>17526690</x:v>
      </x:c>
      <x:c r="M75" s="12" t="n">
        <x:v>0.21666385267754507</x:v>
      </x:c>
      <x:c r="N75" s="11" t="n">
        <x:v>37116850</x:v>
      </x:c>
      <x:c r="O75" s="11" t="n">
        <x:v>25154974</x:v>
      </x:c>
      <x:c r="P75" s="11" t="n">
        <x:v>13423632</x:v>
      </x:c>
      <x:c r="Q75" s="11" t="n">
        <x:v>5198010</x:v>
      </x:c>
      <x:c r="R75" s="11" t="n">
        <x:v>52614814</x:v>
      </x:c>
      <x:c r="S75" s="11" t="n">
        <x:v>10323551</x:v>
      </x:c>
      <x:c r="T75" s="11" t="n">
        <x:v>99280783</x:v>
      </x:c>
      <x:c r="U75" s="11" t="n">
        <x:v>56822868</x:v>
      </x:c>
      <x:c r="V75" s="11" t="n">
        <x:v>51154766</x:v>
      </x:c>
      <x:c r="W75" s="11" t="n">
        <x:v>3477059</x:v>
      </x:c>
      <x:c r="X75" s="11" t="n">
        <x:v>12552229</x:v>
      </x:c>
      <x:c r="Y75" s="11" t="n">
        <x:v>0</x:v>
      </x:c>
      <x:c r="Z75" s="11" t="n">
        <x:v>779937</x:v>
      </x:c>
      <x:c r="AA75" s="11" t="n">
        <x:v>11691943</x:v>
      </x:c>
      <x:c r="AB75" s="11" t="n">
        <x:v>428411</x:v>
      </x:c>
      <x:c r="AC75" s="11" t="n">
        <x:v>1208348</x:v>
      </x:c>
      <x:c r="AD75" s="11" t="n">
        <x:v>15925357</x:v>
      </x:c>
      <x:c r="AE75" s="11" t="n">
        <x:v>14717009</x:v>
      </x:c>
      <x:c r="AF75" s="11" t="n">
        <x:v>63701429</x:v>
      </x:c>
      <x:c r="AG75" s="11" t="n">
        <x:v>506345107</x:v>
      </x:c>
      <x:c r="AH75" s="11" t="n">
        <x:v>220639765</x:v>
      </x:c>
      <x:c r="AI75" s="11" t="n">
        <x:v>285705342</x:v>
      </x:c>
      <x:c r="AJ75" s="11" t="n">
        <x:v>22095440</x:v>
      </x:c>
      <x:c r="AK75" s="11" t="n">
        <x:v>50399399</x:v>
      </x:c>
      <x:c r="AL75" s="11" t="n">
        <x:v>0</x:v>
      </x:c>
      <x:c r="AM75" s="12" t="n">
        <x:v>1</x:v>
      </x:c>
      <x:c r="AN75" s="12" t="n">
        <x:v>0.43840681512888674</x:v>
      </x:c>
      <x:c r="AO75" s="11" t="n">
        <x:v>67513306</x:v>
      </x:c>
      <x:c r="AP75" s="11" t="n">
        <x:v>65868484</x:v>
      </x:c>
      <x:c r="AQ75" s="12" t="n">
        <x:v>0.9756370692319526</x:v>
      </x:c>
      <x:c r="AR75" s="11" t="n">
        <x:v>2236.665081427821</x:v>
      </x:c>
      <x:c r="AS75" s="11" t="n">
        <x:v>1752.0606077363343</x:v>
      </x:c>
      <x:c r="AT75" s="11" t="n">
        <x:v>1414.4044571017778</x:v>
      </x:c>
      <x:c r="AU75" s="11" t="n">
        <x:v>96.13899411065336</x:v>
      </x:c>
      <x:c r="AV75" s="11" t="n">
        <x:v>323.27655044653966</x:v>
      </x:c>
      <x:c r="AW75" s="11" t="n">
        <x:v>1.7471976775265903</x:v>
      </x:c>
      <x:c r="AX75" s="12" t="n">
        <x:v>0.9241242755185959</x:v>
      </x:c>
      <x:c r="AY75" s="11"/>
      <x:c r="AZ75" s="11"/>
      <x:c r="BA75" s="11"/>
      <x:c r="BB75" s="11"/>
      <x:c r="BC75" s="11"/>
      <x:c r="BD75" s="11"/>
      <x:c r="BE75" s="11"/>
      <x:c r="BF75" s="11"/>
      <x:c r="BG75" s="11"/>
      <x:c r="BH75" s="11"/>
      <x:c r="BI75" s="11"/>
      <x:c r="BJ75" s="11"/>
      <x:c r="BK75" s="12"/>
      <x:c r="BL75" s="12"/>
      <x:c r="BM75" s="12"/>
      <x:c r="BN75" s="12"/>
      <x:c r="BO75" s="12"/>
      <x:c r="BP75" s="12"/>
      <x:c r="BQ75" s="12"/>
      <x:c r="BR75" s="12"/>
      <x:c r="BS75" s="12"/>
      <x:c r="BT75" s="12"/>
      <x:c r="BU75" s="11" t="n">
        <x:v>7778104</x:v>
      </x:c>
      <x:c r="BV75" s="11" t="n">
        <x:v>5595528</x:v>
      </x:c>
      <x:c r="BW75" s="11" t="n">
        <x:v>50000</x:v>
      </x:c>
      <x:c r="BX75" s="11" t="n">
        <x:v>921336</x:v>
      </x:c>
      <x:c r="BY75" s="11" t="n">
        <x:v>0</x:v>
      </x:c>
      <x:c r="BZ75" s="11" t="n">
        <x:v>3991202</x:v>
      </x:c>
      <x:c r="CA75" s="11" t="n">
        <x:v>0</x:v>
      </x:c>
      <x:c r="CB75" s="11" t="n">
        <x:v>285472</x:v>
      </x:c>
      <x:c r="CC75" s="11" t="n">
        <x:v>8870627</x:v>
      </x:c>
      <x:c r="CD75" s="11" t="n">
        <x:v>17719006</x:v>
      </x:c>
      <x:c r="CE75" s="11" t="n">
        <x:v>2609372</x:v>
      </x:c>
      <x:c r="CF75" s="11" t="n">
        <x:v>219272</x:v>
      </x:c>
      <x:c r="CG75" s="11" t="n">
        <x:v>2244067</x:v>
      </x:c>
      <x:c r="CH75" s="11" t="n">
        <x:v>7598943</x:v>
      </x:c>
      <x:c r="CI75" s="11" t="n">
        <x:v>6132341</x:v>
      </x:c>
      <x:c r="CJ75" s="11" t="n">
        <x:v>4281471</x:v>
      </x:c>
      <x:c r="CK75" s="11" t="n">
        <x:v>2788966</x:v>
      </x:c>
      <x:c r="CL75" s="11" t="n">
        <x:v>0</x:v>
      </x:c>
      <x:c r="CM75" s="11"/>
      <x:c r="CN75" s="11" t="n">
        <x:v>579160</x:v>
      </x:c>
      <x:c r="CO75" s="11" t="n">
        <x:v>0</x:v>
      </x:c>
      <x:c r="CP75" s="8"/>
      <x:c r="CQ75" s="8" t="str">
        <x:v>Mackenzie</x:v>
      </x:c>
    </x:row>
    <x:row r="76">
      <x:c r="A76" s="8" t="str">
        <x:v>Campbell River|2021</x:v>
      </x:c>
      <x:c r="B76" s="8" t="str">
        <x:v>campbell-river-c</x:v>
      </x:c>
      <x:c r="C76" s="8" t="str">
        <x:v>Campbell River</x:v>
      </x:c>
      <x:c r="D76" s="8" t="str">
        <x:v>Campbell River</x:v>
      </x:c>
      <x:c r="E76" s="8" t="str">
        <x:v>C</x:v>
      </x:c>
      <x:c r="F76" s="8" t="str">
        <x:v>STR</x:v>
      </x:c>
      <x:c r="G76" s="9" t="n">
        <x:v>2021</x:v>
      </x:c>
      <x:c r="H76" s="10" t="n">
        <x:v>36623</x:v>
      </x:c>
      <x:c r="I76" s="8" t="str">
        <x:v>20,000 to 99,999</x:v>
      </x:c>
      <x:c r="J76" s="11" t="n">
        <x:v>78724805</x:v>
      </x:c>
      <x:c r="K76" s="11" t="n">
        <x:v>67766160</x:v>
      </x:c>
      <x:c r="L76" s="11" t="n">
        <x:v>10958645</x:v>
      </x:c>
      <x:c r="M76" s="12" t="n">
        <x:v>0.13920193260561267</x:v>
      </x:c>
      <x:c r="N76" s="11" t="n">
        <x:v>38595055</x:v>
      </x:c>
      <x:c r="O76" s="11" t="n">
        <x:v>28133556</x:v>
      </x:c>
      <x:c r="P76" s="11" t="n">
        <x:v>3586616</x:v>
      </x:c>
      <x:c r="Q76" s="11" t="n">
        <x:v>8409578</x:v>
      </x:c>
      <x:c r="R76" s="11" t="n">
        <x:v>56339554</x:v>
      </x:c>
      <x:c r="S76" s="11" t="n">
        <x:v>11013762</x:v>
      </x:c>
      <x:c r="T76" s="11" t="n">
        <x:v>106981305</x:v>
      </x:c>
      <x:c r="U76" s="11" t="n">
        <x:v>55820140</x:v>
      </x:c>
      <x:c r="V76" s="11" t="n">
        <x:v>57531946</x:v>
      </x:c>
      <x:c r="W76" s="11" t="n">
        <x:v>2752286</x:v>
      </x:c>
      <x:c r="X76" s="11" t="n">
        <x:v>11691943</x:v>
      </x:c>
      <x:c r="Y76" s="11" t="n">
        <x:v>-56433</x:v>
      </x:c>
      <x:c r="Z76" s="11" t="n">
        <x:v>782314</x:v>
      </x:c>
      <x:c r="AA76" s="11" t="n">
        <x:v>10746957</x:v>
      </x:c>
      <x:c r="AB76" s="11" t="n">
        <x:v>412844</x:v>
      </x:c>
      <x:c r="AC76" s="11" t="n">
        <x:v>1195158</x:v>
      </x:c>
      <x:c r="AD76" s="11" t="n">
        <x:v>17303320</x:v>
      </x:c>
      <x:c r="AE76" s="11" t="n">
        <x:v>16108162</x:v>
      </x:c>
      <x:c r="AF76" s="11" t="n">
        <x:v>69213280</x:v>
      </x:c>
      <x:c r="AG76" s="11" t="n">
        <x:v>520935303</x:v>
      </x:c>
      <x:c r="AH76" s="11" t="n">
        <x:v>230610155</x:v>
      </x:c>
      <x:c r="AI76" s="11" t="n">
        <x:v>290325148</x:v>
      </x:c>
      <x:c r="AJ76" s="11" t="n">
        <x:v>16931605</x:v>
      </x:c>
      <x:c r="AK76" s="11" t="n">
        <x:v>34727482</x:v>
      </x:c>
      <x:c r="AL76" s="11" t="n">
        <x:v>0</x:v>
      </x:c>
      <x:c r="AM76" s="12" t="n">
        <x:v>1</x:v>
      </x:c>
      <x:c r="AN76" s="12" t="n">
        <x:v>0.4875563681812577</x:v>
      </x:c>
      <x:c r="AO76" s="11" t="n">
        <x:v>69749166</x:v>
      </x:c>
      <x:c r="AP76" s="11" t="n">
        <x:v>68222788</x:v>
      </x:c>
      <x:c r="AQ76" s="12" t="n">
        <x:v>0.9781161827798772</x:v>
      </x:c>
      <x:c r="AR76" s="11" t="n">
        <x:v>2149.6001146820304</x:v>
      </x:c>
      <x:c r="AS76" s="11" t="n">
        <x:v>1850.371624389045</x:v>
      </x:c>
      <x:c r="AT76" s="11" t="n">
        <x:v>1570.923900281244</x:v>
      </x:c>
      <x:c r="AU76" s="11" t="n">
        <x:v>75.15184446932255</x:v>
      </x:c>
      <x:c r="AV76" s="11" t="n">
        <x:v>293.4482975179532</x:v>
      </x:c>
      <x:c r="AW76" s="11" t="n">
        <x:v>1.9165359492111629</x:v>
      </x:c>
      <x:c r="AX76" s="12" t="n">
        <x:v>0.9309289777915452</x:v>
      </x:c>
      <x:c r="AY76" s="11"/>
      <x:c r="AZ76" s="11"/>
      <x:c r="BA76" s="11"/>
      <x:c r="BB76" s="11"/>
      <x:c r="BC76" s="11"/>
      <x:c r="BD76" s="11"/>
      <x:c r="BE76" s="11"/>
      <x:c r="BF76" s="11"/>
      <x:c r="BG76" s="11"/>
      <x:c r="BH76" s="11"/>
      <x:c r="BI76" s="11"/>
      <x:c r="BJ76" s="11"/>
      <x:c r="BK76" s="12"/>
      <x:c r="BL76" s="12"/>
      <x:c r="BM76" s="12"/>
      <x:c r="BN76" s="12"/>
      <x:c r="BO76" s="12"/>
      <x:c r="BP76" s="12"/>
      <x:c r="BQ76" s="12"/>
      <x:c r="BR76" s="12"/>
      <x:c r="BS76" s="12"/>
      <x:c r="BT76" s="12"/>
      <x:c r="BU76" s="11" t="n">
        <x:v>2078652</x:v>
      </x:c>
      <x:c r="BV76" s="11" t="n">
        <x:v>1457964</x:v>
      </x:c>
      <x:c r="BW76" s="11" t="n">
        <x:v>50000</x:v>
      </x:c>
      <x:c r="BX76" s="11" t="n">
        <x:v>1177820</x:v>
      </x:c>
      <x:c r="BY76" s="11" t="n">
        <x:v>0</x:v>
      </x:c>
      <x:c r="BZ76" s="11" t="n">
        <x:v>6217350</x:v>
      </x:c>
      <x:c r="CA76" s="11" t="n">
        <x:v>0</x:v>
      </x:c>
      <x:c r="CB76" s="11" t="n">
        <x:v>1014408</x:v>
      </x:c>
      <x:c r="CC76" s="11" t="n">
        <x:v>8846123</x:v>
      </x:c>
      <x:c r="CD76" s="11" t="n">
        <x:v>18276907</x:v>
      </x:c>
      <x:c r="CE76" s="11" t="n">
        <x:v>2600238</x:v>
      </x:c>
      <x:c r="CF76" s="11" t="n">
        <x:v>226617</x:v>
      </x:c>
      <x:c r="CG76" s="11" t="n">
        <x:v>2780745</x:v>
      </x:c>
      <x:c r="CH76" s="11" t="n">
        <x:v>5997194</x:v>
      </x:c>
      <x:c r="CI76" s="11" t="n">
        <x:v>7091549</x:v>
      </x:c>
      <x:c r="CJ76" s="11" t="n">
        <x:v>4756253</x:v>
      </x:c>
      <x:c r="CK76" s="11" t="n">
        <x:v>3469240</x:v>
      </x:c>
      <x:c r="CL76" s="11" t="n">
        <x:v>1496857</x:v>
      </x:c>
      <x:c r="CM76" s="11"/>
      <x:c r="CN76" s="11" t="n">
        <x:v>1210675</x:v>
      </x:c>
      <x:c r="CO76" s="11" t="n">
        <x:v>0</x:v>
      </x:c>
      <x:c r="CP76" s="8"/>
      <x:c r="CQ76" s="8" t="str">
        <x:v>Maple Ridge</x:v>
      </x:c>
    </x:row>
    <x:row r="77">
      <x:c r="A77" s="8" t="str">
        <x:v>Campbell River|2022</x:v>
      </x:c>
      <x:c r="B77" s="8" t="str">
        <x:v>campbell-river-c</x:v>
      </x:c>
      <x:c r="C77" s="8" t="str">
        <x:v>Campbell River</x:v>
      </x:c>
      <x:c r="D77" s="8" t="str">
        <x:v>Campbell River</x:v>
      </x:c>
      <x:c r="E77" s="8" t="str">
        <x:v>C</x:v>
      </x:c>
      <x:c r="F77" s="8" t="str">
        <x:v>STR</x:v>
      </x:c>
      <x:c r="G77" s="9" t="n">
        <x:v>2022</x:v>
      </x:c>
      <x:c r="H77" s="10" t="n">
        <x:v>37185</x:v>
      </x:c>
      <x:c r="I77" s="8" t="str">
        <x:v>20,000 to 99,999</x:v>
      </x:c>
      <x:c r="J77" s="11" t="n">
        <x:v>84004139</x:v>
      </x:c>
      <x:c r="K77" s="11" t="n">
        <x:v>75782043</x:v>
      </x:c>
      <x:c r="L77" s="11" t="n">
        <x:v>8222096</x:v>
      </x:c>
      <x:c r="M77" s="12" t="n">
        <x:v>0.09787727245201573</x:v>
      </x:c>
      <x:c r="N77" s="11" t="n">
        <x:v>40595645</x:v>
      </x:c>
      <x:c r="O77" s="11" t="n">
        <x:v>29278304</x:v>
      </x:c>
      <x:c r="P77" s="11" t="n">
        <x:v>9378944</x:v>
      </x:c>
      <x:c r="Q77" s="11" t="n">
        <x:v>4751246</x:v>
      </x:c>
      <x:c r="R77" s="11" t="n">
        <x:v>64010118</x:v>
      </x:c>
      <x:c r="S77" s="11" t="n">
        <x:v>11368854</x:v>
      </x:c>
      <x:c r="T77" s="11" t="n">
        <x:v>110720934</x:v>
      </x:c>
      <x:c r="U77" s="11" t="n">
        <x:v>56209450</x:v>
      </x:c>
      <x:c r="V77" s="11" t="n">
        <x:v>63103722</x:v>
      </x:c>
      <x:c r="W77" s="11" t="n">
        <x:v>3227105</x:v>
      </x:c>
      <x:c r="X77" s="11" t="n">
        <x:v>10746957</x:v>
      </x:c>
      <x:c r="Y77" s="11" t="n">
        <x:v>0</x:v>
      </x:c>
      <x:c r="Z77" s="11" t="n">
        <x:v>784367</x:v>
      </x:c>
      <x:c r="AA77" s="11" t="n">
        <x:v>9812720</x:v>
      </x:c>
      <x:c r="AB77" s="11" t="n">
        <x:v>403071</x:v>
      </x:c>
      <x:c r="AC77" s="11" t="n">
        <x:v>1187438</x:v>
      </x:c>
      <x:c r="AD77" s="11" t="n">
        <x:v>18476259</x:v>
      </x:c>
      <x:c r="AE77" s="11" t="n">
        <x:v>17288821</x:v>
      </x:c>
      <x:c r="AF77" s="11" t="n">
        <x:v>73905034</x:v>
      </x:c>
      <x:c r="AG77" s="11" t="n">
        <x:v>534184045</x:v>
      </x:c>
      <x:c r="AH77" s="11" t="n">
        <x:v>241317274</x:v>
      </x:c>
      <x:c r="AI77" s="11" t="n">
        <x:v>292866771</x:v>
      </x:c>
      <x:c r="AJ77" s="11" t="n">
        <x:v>14070986</x:v>
      </x:c>
      <x:c r="AK77" s="11" t="n">
        <x:v>41604629</x:v>
      </x:c>
      <x:c r="AL77" s="11" t="n">
        <x:v>0</x:v>
      </x:c>
      <x:c r="AM77" s="12" t="n">
        <x:v>1</x:v>
      </x:c>
      <x:c r="AN77" s="12" t="n">
        <x:v>0.3382072220857924</x:v>
      </x:c>
      <x:c r="AO77" s="11" t="n">
        <x:v>72716765</x:v>
      </x:c>
      <x:c r="AP77" s="11" t="n">
        <x:v>71231741</x:v>
      </x:c>
      <x:c r="AQ77" s="12" t="n">
        <x:v>0.9795779693994913</x:v>
      </x:c>
      <x:c r="AR77" s="11" t="n">
        <x:v>2259.086701627</x:v>
      </x:c>
      <x:c r="AS77" s="11" t="n">
        <x:v>2037.9734570391288</x:v>
      </x:c>
      <x:c r="AT77" s="11" t="n">
        <x:v>1697.0208955223882</x:v>
      </x:c>
      <x:c r="AU77" s="11" t="n">
        <x:v>86.78512841199408</x:v>
      </x:c>
      <x:c r="AV77" s="11" t="n">
        <x:v>263.8892026354713</x:v>
      </x:c>
      <x:c r="AW77" s="11" t="n">
        <x:v>1.969792161282489</x:v>
      </x:c>
      <x:c r="AX77" s="12" t="n">
        <x:v>0.935731686809543</x:v>
      </x:c>
      <x:c r="AY77" s="11"/>
      <x:c r="AZ77" s="11"/>
      <x:c r="BA77" s="11"/>
      <x:c r="BB77" s="11"/>
      <x:c r="BC77" s="11"/>
      <x:c r="BD77" s="11"/>
      <x:c r="BE77" s="11"/>
      <x:c r="BF77" s="11"/>
      <x:c r="BG77" s="11"/>
      <x:c r="BH77" s="11"/>
      <x:c r="BI77" s="11"/>
      <x:c r="BJ77" s="11"/>
      <x:c r="BK77" s="12"/>
      <x:c r="BL77" s="12"/>
      <x:c r="BM77" s="12"/>
      <x:c r="BN77" s="12"/>
      <x:c r="BO77" s="12"/>
      <x:c r="BP77" s="12"/>
      <x:c r="BQ77" s="12"/>
      <x:c r="BR77" s="12"/>
      <x:c r="BS77" s="12"/>
      <x:c r="BT77" s="12"/>
      <x:c r="BU77" s="11" t="n">
        <x:v>6905857</x:v>
      </x:c>
      <x:c r="BV77" s="11" t="n">
        <x:v>2423087</x:v>
      </x:c>
      <x:c r="BW77" s="11" t="n">
        <x:v>50000</x:v>
      </x:c>
      <x:c r="BX77" s="11" t="n">
        <x:v>2669532</x:v>
      </x:c>
      <x:c r="BY77" s="11" t="n">
        <x:v>0</x:v>
      </x:c>
      <x:c r="BZ77" s="11" t="n">
        <x:v>1286692</x:v>
      </x:c>
      <x:c r="CA77" s="11" t="n">
        <x:v>18262</x:v>
      </x:c>
      <x:c r="CB77" s="11" t="n">
        <x:v>776760</x:v>
      </x:c>
      <x:c r="CC77" s="11" t="n">
        <x:v>15063692</x:v>
      </x:c>
      <x:c r="CD77" s="11" t="n">
        <x:v>17617759</x:v>
      </x:c>
      <x:c r="CE77" s="11" t="n">
        <x:v>2766081</x:v>
      </x:c>
      <x:c r="CF77" s="11" t="n">
        <x:v>221508</x:v>
      </x:c>
      <x:c r="CG77" s="11" t="n">
        <x:v>2579250</x:v>
      </x:c>
      <x:c r="CH77" s="11" t="n">
        <x:v>6496778</x:v>
      </x:c>
      <x:c r="CI77" s="11" t="n">
        <x:v>7562375</x:v>
      </x:c>
      <x:c r="CJ77" s="11" t="n">
        <x:v>4655255</x:v>
      </x:c>
      <x:c r="CK77" s="11" t="n">
        <x:v>3478476</x:v>
      </x:c>
      <x:c r="CL77" s="11" t="n">
        <x:v>3827208</x:v>
      </x:c>
      <x:c r="CM77" s="11"/>
      <x:c r="CN77" s="11" t="n">
        <x:v>144807</x:v>
      </x:c>
      <x:c r="CO77" s="11" t="n">
        <x:v>0</x:v>
      </x:c>
      <x:c r="CP77" s="8"/>
      <x:c r="CQ77" s="8" t="str">
        <x:v>Masset</x:v>
      </x:c>
    </x:row>
    <x:row r="78">
      <x:c r="A78" s="8" t="str">
        <x:v>Campbell River|2023</x:v>
      </x:c>
      <x:c r="B78" s="8" t="str">
        <x:v>campbell-river-c</x:v>
      </x:c>
      <x:c r="C78" s="8" t="str">
        <x:v>Campbell River</x:v>
      </x:c>
      <x:c r="D78" s="8" t="str">
        <x:v>Campbell River</x:v>
      </x:c>
      <x:c r="E78" s="8" t="str">
        <x:v>C</x:v>
      </x:c>
      <x:c r="F78" s="8" t="str">
        <x:v>STR</x:v>
      </x:c>
      <x:c r="G78" s="9" t="n">
        <x:v>2023</x:v>
      </x:c>
      <x:c r="H78" s="10" t="n">
        <x:v>38658</x:v>
      </x:c>
      <x:c r="I78" s="8" t="str">
        <x:v>20,000 to 99,999</x:v>
      </x:c>
      <x:c r="J78" s="11" t="n">
        <x:v>100556715</x:v>
      </x:c>
      <x:c r="K78" s="11" t="n">
        <x:v>81685959</x:v>
      </x:c>
      <x:c r="L78" s="11" t="n">
        <x:v>18870756</x:v>
      </x:c>
      <x:c r="M78" s="12" t="n">
        <x:v>0.18766281297076978</x:v>
      </x:c>
      <x:c r="N78" s="11" t="n">
        <x:v>45235399</x:v>
      </x:c>
      <x:c r="O78" s="11" t="n">
        <x:v>31157067</x:v>
      </x:c>
      <x:c r="P78" s="11" t="n">
        <x:v>13982384</x:v>
      </x:c>
      <x:c r="Q78" s="11" t="n">
        <x:v>10181865</x:v>
      </x:c>
      <x:c r="R78" s="11" t="n">
        <x:v>69496681</x:v>
      </x:c>
      <x:c r="S78" s="11" t="n">
        <x:v>11788784</x:v>
      </x:c>
      <x:c r="T78" s="11" t="n">
        <x:v>127713587</x:v>
      </x:c>
      <x:c r="U78" s="11" t="n">
        <x:v>69345422</x:v>
      </x:c>
      <x:c r="V78" s="11" t="n">
        <x:v>65454885</x:v>
      </x:c>
      <x:c r="W78" s="11" t="n">
        <x:v>3161690</x:v>
      </x:c>
      <x:c r="X78" s="11" t="n">
        <x:v>9812720</x:v>
      </x:c>
      <x:c r="Y78" s="11" t="n">
        <x:v>0</x:v>
      </x:c>
      <x:c r="Z78" s="11" t="n">
        <x:v>784367</x:v>
      </x:c>
      <x:c r="AA78" s="11" t="n">
        <x:v>8859654</x:v>
      </x:c>
      <x:c r="AB78" s="11" t="n">
        <x:v>400494</x:v>
      </x:c>
      <x:c r="AC78" s="11" t="n">
        <x:v>1184861</x:v>
      </x:c>
      <x:c r="AD78" s="11" t="n">
        <x:v>20708981</x:v>
      </x:c>
      <x:c r="AE78" s="11" t="n">
        <x:v>19524120</x:v>
      </x:c>
      <x:c r="AF78" s="11" t="n">
        <x:v>82835923</x:v>
      </x:c>
      <x:c r="AG78" s="11" t="n">
        <x:v>561320683</x:v>
      </x:c>
      <x:c r="AH78" s="11" t="n">
        <x:v>255841971</x:v>
      </x:c>
      <x:c r="AI78" s="11" t="n">
        <x:v>305478712</x:v>
      </x:c>
      <x:c r="AJ78" s="11" t="n">
        <x:v>19578789</x:v>
      </x:c>
      <x:c r="AK78" s="11" t="n">
        <x:v>1494710163</x:v>
      </x:c>
      <x:c r="AL78" s="11" t="n">
        <x:v>0</x:v>
      </x:c>
      <x:c r="AM78" s="12" t="n">
        <x:v>1</x:v>
      </x:c>
      <x:c r="AN78" s="12" t="n">
        <x:v>0.013098719393667493</x:v>
      </x:c>
      <x:c r="AO78" s="11" t="n">
        <x:v>79815310</x:v>
      </x:c>
      <x:c r="AP78" s="11" t="n">
        <x:v>77912293</x:v>
      </x:c>
      <x:c r="AQ78" s="12" t="n">
        <x:v>0.9761572435163128</x:v>
      </x:c>
      <x:c r="AR78" s="11" t="n">
        <x:v>2601.187723110352</x:v>
      </x:c>
      <x:c r="AS78" s="11" t="n">
        <x:v>2113.041517926432</x:v>
      </x:c>
      <x:c r="AT78" s="11" t="n">
        <x:v>1693.178255471054</x:v>
      </x:c>
      <x:c r="AU78" s="11" t="n">
        <x:v>81.78617621190956</x:v>
      </x:c>
      <x:c r="AV78" s="11" t="n">
        <x:v>229.18035076827564</x:v>
      </x:c>
      <x:c r="AW78" s="11" t="n">
        <x:v>1.841701778092864</x:v>
      </x:c>
      <x:c r="AX78" s="12" t="n">
        <x:v>0.9427851616648835</x:v>
      </x:c>
      <x:c r="AY78" s="11"/>
      <x:c r="AZ78" s="11"/>
      <x:c r="BA78" s="11"/>
      <x:c r="BB78" s="11"/>
      <x:c r="BC78" s="11"/>
      <x:c r="BD78" s="11"/>
      <x:c r="BE78" s="11"/>
      <x:c r="BF78" s="11"/>
      <x:c r="BG78" s="11"/>
      <x:c r="BH78" s="11"/>
      <x:c r="BI78" s="11"/>
      <x:c r="BJ78" s="11"/>
      <x:c r="BK78" s="12"/>
      <x:c r="BL78" s="12"/>
      <x:c r="BM78" s="12"/>
      <x:c r="BN78" s="12"/>
      <x:c r="BO78" s="12"/>
      <x:c r="BP78" s="12"/>
      <x:c r="BQ78" s="12"/>
      <x:c r="BR78" s="12"/>
      <x:c r="BS78" s="12"/>
      <x:c r="BT78" s="12"/>
      <x:c r="BU78" s="11" t="n">
        <x:v>2999509</x:v>
      </x:c>
      <x:c r="BV78" s="11" t="n">
        <x:v>10979996</x:v>
      </x:c>
      <x:c r="BW78" s="11" t="n">
        <x:v>2879</x:v>
      </x:c>
      <x:c r="BX78" s="11" t="n">
        <x:v>5471221</x:v>
      </x:c>
      <x:c r="BY78" s="11" t="n">
        <x:v>0</x:v>
      </x:c>
      <x:c r="BZ78" s="11" t="n">
        <x:v>4195613</x:v>
      </x:c>
      <x:c r="CA78" s="11" t="n">
        <x:v>0</x:v>
      </x:c>
      <x:c r="CB78" s="11" t="n">
        <x:v>515031</x:v>
      </x:c>
      <x:c r="CC78" s="11" t="n">
        <x:v>12028401</x:v>
      </x:c>
      <x:c r="CD78" s="11" t="n">
        <x:v>21912766</x:v>
      </x:c>
      <x:c r="CE78" s="11" t="n">
        <x:v>3337948</x:v>
      </x:c>
      <x:c r="CF78" s="11" t="n">
        <x:v>233521</x:v>
      </x:c>
      <x:c r="CG78" s="11" t="n">
        <x:v>3292808</x:v>
      </x:c>
      <x:c r="CH78" s="11" t="n">
        <x:v>6943050</x:v>
      </x:c>
      <x:c r="CI78" s="11" t="n">
        <x:v>8502437</x:v>
      </x:c>
      <x:c r="CJ78" s="11" t="n">
        <x:v>5043440</x:v>
      </x:c>
      <x:c r="CK78" s="11" t="n">
        <x:v>4572185</x:v>
      </x:c>
      <x:c r="CL78" s="11" t="n">
        <x:v>3473486</x:v>
      </x:c>
      <x:c r="CM78" s="11" t="n">
        <x:v>0</x:v>
      </x:c>
      <x:c r="CN78" s="11" t="n">
        <x:v>557133</x:v>
      </x:c>
      <x:c r="CO78" s="11" t="n">
        <x:v>0</x:v>
      </x:c>
      <x:c r="CP78" s="8"/>
      <x:c r="CQ78" s="8" t="str">
        <x:v>McBride</x:v>
      </x:c>
    </x:row>
    <x:row r="79">
      <x:c r="A79" s="8" t="str">
        <x:v>Campbell River|2024</x:v>
      </x:c>
      <x:c r="B79" s="8" t="str">
        <x:v>campbell-river-c</x:v>
      </x:c>
      <x:c r="C79" s="8" t="str">
        <x:v>Campbell River</x:v>
      </x:c>
      <x:c r="D79" s="8" t="str">
        <x:v>Campbell River</x:v>
      </x:c>
      <x:c r="E79" s="8" t="str">
        <x:v>C</x:v>
      </x:c>
      <x:c r="F79" s="8" t="str">
        <x:v>STR</x:v>
      </x:c>
      <x:c r="G79" s="9" t="n">
        <x:v>2024</x:v>
      </x:c>
      <x:c r="H79" s="10" t="n">
        <x:v>38658</x:v>
      </x:c>
      <x:c r="I79" s="8" t="str">
        <x:v>20,000 to 99,999</x:v>
      </x:c>
      <x:c r="J79" s="11" t="n">
        <x:v>101459015</x:v>
      </x:c>
      <x:c r="K79" s="11" t="n">
        <x:v>84988793</x:v>
      </x:c>
      <x:c r="L79" s="11" t="n">
        <x:v>16470222</x:v>
      </x:c>
      <x:c r="M79" s="12" t="n">
        <x:v>0.16233374629154443</x:v>
      </x:c>
      <x:c r="N79" s="11" t="n">
        <x:v>46883156</x:v>
      </x:c>
      <x:c r="O79" s="11" t="n">
        <x:v>34671347</x:v>
      </x:c>
      <x:c r="P79" s="11" t="n">
        <x:v>7322159</x:v>
      </x:c>
      <x:c r="Q79" s="11" t="n">
        <x:v>12582353</x:v>
      </x:c>
      <x:c r="R79" s="11" t="n">
        <x:v>72360980</x:v>
      </x:c>
      <x:c r="S79" s="11" t="n">
        <x:v>12264275</x:v>
      </x:c>
      <x:c r="T79" s="11" t="n">
        <x:v>135389078</x:v>
      </x:c>
      <x:c r="U79" s="11" t="n">
        <x:v>77181618</x:v>
      </x:c>
      <x:c r="V79" s="11" t="n">
        <x:v>65260518</x:v>
      </x:c>
      <x:c r="W79" s="11" t="n">
        <x:v>3203012</x:v>
      </x:c>
      <x:c r="X79" s="11" t="n">
        <x:v>8859654</x:v>
      </x:c>
      <x:c r="Y79" s="11" t="n">
        <x:v>0</x:v>
      </x:c>
      <x:c r="Z79" s="11" t="n">
        <x:v>715448</x:v>
      </x:c>
      <x:c r="AA79" s="11" t="n">
        <x:v>7990985</x:v>
      </x:c>
      <x:c r="AB79" s="11" t="n">
        <x:v>363538</x:v>
      </x:c>
      <x:c r="AC79" s="11" t="n">
        <x:v>1078986</x:v>
      </x:c>
      <x:c r="AD79" s="11" t="n">
        <x:v>21933016</x:v>
      </x:c>
      <x:c r="AE79" s="11" t="n">
        <x:v>20854030</x:v>
      </x:c>
      <x:c r="AF79" s="11" t="n">
        <x:v>87732062</x:v>
      </x:c>
      <x:c r="AG79" s="11" t="n">
        <x:v>588345756</x:v>
      </x:c>
      <x:c r="AH79" s="11" t="n">
        <x:v>266213805</x:v>
      </x:c>
      <x:c r="AI79" s="11" t="n">
        <x:v>322131951</x:v>
      </x:c>
      <x:c r="AJ79" s="11" t="n">
        <x:v>29294658</x:v>
      </x:c>
      <x:c r="AK79" s="11" t="n">
        <x:v>1470627666</x:v>
      </x:c>
      <x:c r="AL79" s="11" t="n">
        <x:v>273893835</x:v>
      </x:c>
      <x:c r="AM79" s="12" t="n">
        <x:v>0.8137571859062251</x:v>
      </x:c>
      <x:c r="AN79" s="12" t="n">
        <x:v>0.019919833331899253</x:v>
      </x:c>
      <x:c r="AO79" s="11" t="n">
        <x:v>85091506</x:v>
      </x:c>
      <x:c r="AP79" s="11" t="n">
        <x:v>82781858</x:v>
      </x:c>
      <x:c r="AQ79" s="12" t="n">
        <x:v>0.9728568912624487</x:v>
      </x:c>
      <x:c r="AR79" s="11" t="n">
        <x:v>2624.528299446428</x:v>
      </x:c>
      <x:c r="AS79" s="11" t="n">
        <x:v>2198.4787883491126</x:v>
      </x:c>
      <x:c r="AT79" s="11" t="n">
        <x:v>1688.150395778364</x:v>
      </x:c>
      <x:c r="AU79" s="11" t="n">
        <x:v>82.85508820942626</x:v>
      </x:c>
      <x:c r="AV79" s="11" t="n">
        <x:v>206.7097366651146</x:v>
      </x:c>
      <x:c r="AW79" s="11" t="n">
        <x:v>1.7541622151533542</x:v>
      </x:c>
      <x:c r="AX79" s="12" t="n">
        <x:v>0.9508053976707991</x:v>
      </x:c>
      <x:c r="AY79" s="11" t="n">
        <x:v>2823.8160359162957</x:v>
      </x:c>
      <x:c r="AZ79" s="11" t="n">
        <x:v>3546.5079302077975</x:v>
      </x:c>
      <x:c r="BA79" s="11" t="n">
        <x:v>2313.177731087988</x:v>
      </x:c>
      <x:c r="BB79" s="11" t="n">
        <x:v>2783.665107049771</x:v>
      </x:c>
      <x:c r="BC79" s="11" t="n">
        <x:v>1634.933826557682</x:v>
      </x:c>
      <x:c r="BD79" s="11" t="n">
        <x:v>2437.8724475115623</x:v>
      </x:c>
      <x:c r="BE79" s="11" t="n">
        <x:v>1015.8871081440785</x:v>
      </x:c>
      <x:c r="BF79" s="11" t="n">
        <x:v>1604.3462673977224</x:v>
      </x:c>
      <x:c r="BG79" s="11" t="n">
        <x:v>757.3716446138835</x:v>
      </x:c>
      <x:c r="BH79" s="11" t="n">
        <x:v>518.5374381567245</x:v>
      </x:c>
      <x:c r="BI79" s="11" t="n">
        <x:v>1.4428133381403412</x:v>
      </x:c>
      <x:c r="BJ79" s="11" t="n">
        <x:v>1.7099330852451193</x:v>
      </x:c>
      <x:c r="BK79" s="12" t="n">
        <x:v>0.021350493990494074</x:v>
      </x:c>
      <x:c r="BL79" s="12" t="n">
        <x:v>0.02529861000232605</x:v>
      </x:c>
      <x:c r="BM79" s="12" t="n">
        <x:v>0.9847118933607182</x:v>
      </x:c>
      <x:c r="BN79" s="12" t="n">
        <x:v>0.9815511712696461</x:v>
      </x:c>
      <x:c r="BO79" s="12" t="n">
        <x:v>0.8457939120832807</x:v>
      </x:c>
      <x:c r="BP79" s="12" t="n">
        <x:v>0.8619101997275483</x:v>
      </x:c>
      <x:c r="BQ79" s="12" t="n">
        <x:v>0.9744645665293163</x:v>
      </x:c>
      <x:c r="BR79" s="12" t="n">
        <x:v>0.9623635142836453</x:v>
      </x:c>
      <x:c r="BS79" s="12" t="n">
        <x:v>0.16542076645989975</x:v>
      </x:c>
      <x:c r="BT79" s="12" t="n">
        <x:v>0.19976549769108282</x:v>
      </x:c>
      <x:c r="BU79" s="11" t="n">
        <x:v>3887645</x:v>
      </x:c>
      <x:c r="BV79" s="11" t="n">
        <x:v>3354514</x:v>
      </x:c>
      <x:c r="BW79" s="11" t="n">
        <x:v>80000</x:v>
      </x:c>
      <x:c r="BX79" s="11" t="n">
        <x:v>5688076</x:v>
      </x:c>
      <x:c r="BY79" s="11" t="n">
        <x:v>0</x:v>
      </x:c>
      <x:c r="BZ79" s="11" t="n">
        <x:v>5435737</x:v>
      </x:c>
      <x:c r="CA79" s="11" t="n">
        <x:v>1458540</x:v>
      </x:c>
      <x:c r="CB79" s="11" t="n">
        <x:v>0</x:v>
      </x:c>
      <x:c r="CC79" s="11" t="n">
        <x:v>11238715</x:v>
      </x:c>
      <x:c r="CD79" s="11" t="n">
        <x:v>23308160</x:v>
      </x:c>
      <x:c r="CE79" s="11" t="n">
        <x:v>3890346</x:v>
      </x:c>
      <x:c r="CF79" s="11" t="n">
        <x:v>121120</x:v>
      </x:c>
      <x:c r="CG79" s="11" t="n">
        <x:v>4042875</x:v>
      </x:c>
      <x:c r="CH79" s="11" t="n">
        <x:v>6379351</x:v>
      </x:c>
      <x:c r="CI79" s="11" t="n">
        <x:v>9368516</x:v>
      </x:c>
      <x:c r="CJ79" s="11" t="n">
        <x:v>5401161</x:v>
      </x:c>
      <x:c r="CK79" s="11" t="n">
        <x:v>4000236</x:v>
      </x:c>
      <x:c r="CL79" s="11" t="n">
        <x:v>4862070</x:v>
      </x:c>
      <x:c r="CM79" s="11" t="n">
        <x:v>0</x:v>
      </x:c>
      <x:c r="CN79" s="11" t="n">
        <x:v>111968</x:v>
      </x:c>
      <x:c r="CO79" s="11" t="n">
        <x:v>0</x:v>
      </x:c>
      <x:c r="CP79" s="8"/>
      <x:c r="CQ79" s="8" t="str">
        <x:v>Merritt</x:v>
      </x:c>
    </x:row>
    <x:row r="80">
      <x:c r="A80" s="8" t="str">
        <x:v>Canal Flats|2019</x:v>
      </x:c>
      <x:c r="B80" s="8" t="str">
        <x:v>canal-flats-v</x:v>
      </x:c>
      <x:c r="C80" s="8" t="str">
        <x:v>Canal Flats</x:v>
      </x:c>
      <x:c r="D80" s="8" t="str">
        <x:v>Canal Flats</x:v>
      </x:c>
      <x:c r="E80" s="8" t="str">
        <x:v>V</x:v>
      </x:c>
      <x:c r="F80" s="8" t="str">
        <x:v>EKO</x:v>
      </x:c>
      <x:c r="G80" s="9" t="n">
        <x:v>2019</x:v>
      </x:c>
      <x:c r="H80" s="10" t="n">
        <x:v>723</x:v>
      </x:c>
      <x:c r="I80" s="8" t="str">
        <x:v>Under 5,000</x:v>
      </x:c>
      <x:c r="J80" s="11" t="n">
        <x:v>2565688</x:v>
      </x:c>
      <x:c r="K80" s="11" t="n">
        <x:v>3149535</x:v>
      </x:c>
      <x:c r="L80" s="11" t="n">
        <x:v>-583847</x:v>
      </x:c>
      <x:c r="M80" s="12" t="n">
        <x:v>-0.22755962533246443</x:v>
      </x:c>
      <x:c r="N80" s="11" t="n">
        <x:v>1075618</x:v>
      </x:c>
      <x:c r="O80" s="11" t="n">
        <x:v>360096</x:v>
      </x:c>
      <x:c r="P80" s="11" t="n">
        <x:v>1055772</x:v>
      </x:c>
      <x:c r="Q80" s="11" t="n">
        <x:v>74202</x:v>
      </x:c>
      <x:c r="R80" s="11" t="n">
        <x:v>1967545</x:v>
      </x:c>
      <x:c r="S80" s="11" t="n">
        <x:v>1114659</x:v>
      </x:c>
      <x:c r="T80" s="11" t="n">
        <x:v>1211982</x:v>
      </x:c>
      <x:c r="U80" s="11" t="n">
        <x:v>2805268</x:v>
      </x:c>
      <x:c r="V80" s="11" t="n">
        <x:v>-1168137</x:v>
      </x:c>
      <x:c r="W80" s="11" t="n">
        <x:v>145828</x:v>
      </x:c>
      <x:c r="X80" s="11" t="n">
        <x:v>2289157</x:v>
      </x:c>
      <x:c r="Y80" s="11" t="n">
        <x:v>0</x:v>
      </x:c>
      <x:c r="Z80" s="11" t="n">
        <x:v>83509</x:v>
      </x:c>
      <x:c r="AA80" s="11" t="n">
        <x:v>2200804</x:v>
      </x:c>
      <x:c r="AB80" s="11" t="n">
        <x:v>67331</x:v>
      </x:c>
      <x:c r="AC80" s="11" t="n">
        <x:v>150840</x:v>
      </x:c>
      <x:c r="AD80" s="11" t="n">
        <x:v>450332</x:v>
      </x:c>
      <x:c r="AE80" s="11" t="n">
        <x:v>299492</x:v>
      </x:c>
      <x:c r="AF80" s="11" t="n">
        <x:v>1801327</x:v>
      </x:c>
      <x:c r="AG80" s="11" t="n">
        <x:v>48310836</x:v>
      </x:c>
      <x:c r="AH80" s="11" t="n">
        <x:v>15477057</x:v>
      </x:c>
      <x:c r="AI80" s="11" t="n">
        <x:v>32833779</x:v>
      </x:c>
      <x:c r="AJ80" s="11" t="n">
        <x:v>233804</x:v>
      </x:c>
      <x:c r="AK80" s="11" t="n">
        <x:v>939367</x:v>
      </x:c>
      <x:c r="AL80" s="11" t="n">
        <x:v>0</x:v>
      </x:c>
      <x:c r="AM80" s="12" t="n">
        <x:v>1</x:v>
      </x:c>
      <x:c r="AN80" s="12" t="n">
        <x:v>0.24889526670619683</x:v>
      </x:c>
      <x:c r="AO80" s="11" t="n">
        <x:v>1713918</x:v>
      </x:c>
      <x:c r="AP80" s="11" t="n">
        <x:v>1602811</x:v>
      </x:c>
      <x:c r="AQ80" s="12" t="n">
        <x:v>0.935173678087283</x:v>
      </x:c>
      <x:c r="AR80" s="11" t="n">
        <x:v>3548.6694329183956</x:v>
      </x:c>
      <x:c r="AS80" s="11" t="n">
        <x:v>4356.203319502075</x:v>
      </x:c>
      <x:c r="AT80" s="11" t="n">
        <x:v>-1615.680497925311</x:v>
      </x:c>
      <x:c r="AU80" s="11" t="n">
        <x:v>201.6984785615491</x:v>
      </x:c>
      <x:c r="AV80" s="11" t="n">
        <x:v>3043.9889349930845</x:v>
      </x:c>
      <x:c r="AW80" s="11" t="n">
        <x:v>0.43203786590086934</x:v>
      </x:c>
      <x:c r="AX80" s="12" t="n">
        <x:v>0.6650471207908831</x:v>
      </x:c>
      <x:c r="AY80" s="11"/>
      <x:c r="AZ80" s="11"/>
      <x:c r="BA80" s="11"/>
      <x:c r="BB80" s="11"/>
      <x:c r="BC80" s="11"/>
      <x:c r="BD80" s="11"/>
      <x:c r="BE80" s="11"/>
      <x:c r="BF80" s="11"/>
      <x:c r="BG80" s="11"/>
      <x:c r="BH80" s="11"/>
      <x:c r="BI80" s="11"/>
      <x:c r="BJ80" s="11"/>
      <x:c r="BK80" s="12"/>
      <x:c r="BL80" s="12"/>
      <x:c r="BM80" s="12"/>
      <x:c r="BN80" s="12"/>
      <x:c r="BO80" s="12"/>
      <x:c r="BP80" s="12"/>
      <x:c r="BQ80" s="12"/>
      <x:c r="BR80" s="12"/>
      <x:c r="BS80" s="12"/>
      <x:c r="BT80" s="12"/>
      <x:c r="BU80" s="11" t="n">
        <x:v>169961</x:v>
      </x:c>
      <x:c r="BV80" s="11" t="n">
        <x:v>661486</x:v>
      </x:c>
      <x:c r="BW80" s="11" t="n">
        <x:v>224325</x:v>
      </x:c>
      <x:c r="BX80" s="11" t="n">
        <x:v>19546</x:v>
      </x:c>
      <x:c r="BY80" s="11" t="n">
        <x:v>0</x:v>
      </x:c>
      <x:c r="BZ80" s="11" t="n">
        <x:v>40184</x:v>
      </x:c>
      <x:c r="CA80" s="11" t="n">
        <x:v>8497</x:v>
      </x:c>
      <x:c r="CB80" s="11" t="n">
        <x:v>5975</x:v>
      </x:c>
      <x:c r="CC80" s="11" t="n">
        <x:v>443526</x:v>
      </x:c>
      <x:c r="CD80" s="11" t="n">
        <x:v>205657</x:v>
      </x:c>
      <x:c r="CE80" s="11" t="n">
        <x:v>0</x:v>
      </x:c>
      <x:c r="CF80" s="11" t="n">
        <x:v>3962</x:v>
      </x:c>
      <x:c r="CG80" s="11" t="n">
        <x:v>236444</x:v>
      </x:c>
      <x:c r="CH80" s="11" t="n">
        <x:v>352062</x:v>
      </x:c>
      <x:c r="CI80" s="11" t="n">
        <x:v>432388</x:v>
      </x:c>
      <x:c r="CJ80" s="11" t="n">
        <x:v>204945</x:v>
      </x:c>
      <x:c r="CK80" s="11" t="n">
        <x:v>155892</x:v>
      </x:c>
      <x:c r="CL80" s="11" t="n">
        <x:v>0</x:v>
      </x:c>
      <x:c r="CM80" s="11"/>
      <x:c r="CN80" s="11" t="n">
        <x:v>0</x:v>
      </x:c>
      <x:c r="CO80" s="11" t="n">
        <x:v>0</x:v>
      </x:c>
      <x:c r="CP80" s="8"/>
      <x:c r="CQ80" s="8" t="str">
        <x:v>Metchosin</x:v>
      </x:c>
    </x:row>
    <x:row r="81">
      <x:c r="A81" s="8" t="str">
        <x:v>Canal Flats|2020</x:v>
      </x:c>
      <x:c r="B81" s="8" t="str">
        <x:v>canal-flats-v</x:v>
      </x:c>
      <x:c r="C81" s="8" t="str">
        <x:v>Canal Flats</x:v>
      </x:c>
      <x:c r="D81" s="8" t="str">
        <x:v>Canal Flats</x:v>
      </x:c>
      <x:c r="E81" s="8" t="str">
        <x:v>V</x:v>
      </x:c>
      <x:c r="F81" s="8" t="str">
        <x:v>EKO</x:v>
      </x:c>
      <x:c r="G81" s="9" t="n">
        <x:v>2020</x:v>
      </x:c>
      <x:c r="H81" s="10" t="n">
        <x:v>733</x:v>
      </x:c>
      <x:c r="I81" s="8" t="str">
        <x:v>Under 5,000</x:v>
      </x:c>
      <x:c r="J81" s="11" t="n">
        <x:v>3330307</x:v>
      </x:c>
      <x:c r="K81" s="11" t="n">
        <x:v>2963260</x:v>
      </x:c>
      <x:c r="L81" s="11" t="n">
        <x:v>367047</x:v>
      </x:c>
      <x:c r="M81" s="12" t="n">
        <x:v>0.11021416343898625</x:v>
      </x:c>
      <x:c r="N81" s="11" t="n">
        <x:v>1150017</x:v>
      </x:c>
      <x:c r="O81" s="11" t="n">
        <x:v>332809</x:v>
      </x:c>
      <x:c r="P81" s="11" t="n">
        <x:v>1738861</x:v>
      </x:c>
      <x:c r="Q81" s="11" t="n">
        <x:v>108620</x:v>
      </x:c>
      <x:c r="R81" s="11" t="n">
        <x:v>1810022</x:v>
      </x:c>
      <x:c r="S81" s="11" t="n">
        <x:v>1085633</x:v>
      </x:c>
      <x:c r="T81" s="11" t="n">
        <x:v>2770260</x:v>
      </x:c>
      <x:c r="U81" s="11" t="n">
        <x:v>3819774</x:v>
      </x:c>
      <x:c r="V81" s="11" t="n">
        <x:v>-625165</x:v>
      </x:c>
      <x:c r="W81" s="11" t="n">
        <x:v>244600</x:v>
      </x:c>
      <x:c r="X81" s="11" t="n">
        <x:v>2200804</x:v>
      </x:c>
      <x:c r="Y81" s="11" t="n">
        <x:v>0</x:v>
      </x:c>
      <x:c r="Z81" s="11" t="n">
        <x:v>85009</x:v>
      </x:c>
      <x:c r="AA81" s="11" t="n">
        <x:v>2109224</x:v>
      </x:c>
      <x:c r="AB81" s="11" t="n">
        <x:v>67605</x:v>
      </x:c>
      <x:c r="AC81" s="11" t="n">
        <x:v>152614</x:v>
      </x:c>
      <x:c r="AD81" s="11" t="n">
        <x:v>465880</x:v>
      </x:c>
      <x:c r="AE81" s="11" t="n">
        <x:v>313266</x:v>
      </x:c>
      <x:c r="AF81" s="11" t="n">
        <x:v>1863518</x:v>
      </x:c>
      <x:c r="AG81" s="11" t="n">
        <x:v>49223614</x:v>
      </x:c>
      <x:c r="AH81" s="11" t="n">
        <x:v>16562690</x:v>
      </x:c>
      <x:c r="AI81" s="11" t="n">
        <x:v>32660924</x:v>
      </x:c>
      <x:c r="AJ81" s="11" t="n">
        <x:v>912778</x:v>
      </x:c>
      <x:c r="AK81" s="11" t="n">
        <x:v>1170710</x:v>
      </x:c>
      <x:c r="AL81" s="11" t="n">
        <x:v>0</x:v>
      </x:c>
      <x:c r="AM81" s="12" t="n">
        <x:v>1</x:v>
      </x:c>
      <x:c r="AN81" s="12" t="n">
        <x:v>0.7796789982147586</x:v>
      </x:c>
      <x:c r="AO81" s="11" t="n">
        <x:v>1751776</x:v>
      </x:c>
      <x:c r="AP81" s="11" t="n">
        <x:v>1497616</x:v>
      </x:c>
      <x:c r="AQ81" s="12" t="n">
        <x:v>0.8549129569077325</x:v>
      </x:c>
      <x:c r="AR81" s="11" t="n">
        <x:v>4543.3929058663025</x:v>
      </x:c>
      <x:c r="AS81" s="11" t="n">
        <x:v>4042.6466575716236</x:v>
      </x:c>
      <x:c r="AT81" s="11" t="n">
        <x:v>-852.8854024556616</x:v>
      </x:c>
      <x:c r="AU81" s="11" t="n">
        <x:v>333.6971350613915</x:v>
      </x:c>
      <x:c r="AV81" s="11" t="n">
        <x:v>2877.5225102319237</x:v>
      </x:c>
      <x:c r="AW81" s="11" t="n">
        <x:v>0.7252418598587246</x:v>
      </x:c>
      <x:c r="AX81" s="12" t="n">
        <x:v>0.6724177899888383</x:v>
      </x:c>
      <x:c r="AY81" s="11"/>
      <x:c r="AZ81" s="11"/>
      <x:c r="BA81" s="11"/>
      <x:c r="BB81" s="11"/>
      <x:c r="BC81" s="11"/>
      <x:c r="BD81" s="11"/>
      <x:c r="BE81" s="11"/>
      <x:c r="BF81" s="11"/>
      <x:c r="BG81" s="11"/>
      <x:c r="BH81" s="11"/>
      <x:c r="BI81" s="11"/>
      <x:c r="BJ81" s="11"/>
      <x:c r="BK81" s="12"/>
      <x:c r="BL81" s="12"/>
      <x:c r="BM81" s="12"/>
      <x:c r="BN81" s="12"/>
      <x:c r="BO81" s="12"/>
      <x:c r="BP81" s="12"/>
      <x:c r="BQ81" s="12"/>
      <x:c r="BR81" s="12"/>
      <x:c r="BS81" s="12"/>
      <x:c r="BT81" s="12"/>
      <x:c r="BU81" s="11" t="n">
        <x:v>21600</x:v>
      </x:c>
      <x:c r="BV81" s="11" t="n">
        <x:v>1188332</x:v>
      </x:c>
      <x:c r="BW81" s="11" t="n">
        <x:v>528929</x:v>
      </x:c>
      <x:c r="BX81" s="11" t="n">
        <x:v>9887</x:v>
      </x:c>
      <x:c r="BY81" s="11" t="n">
        <x:v>0</x:v>
      </x:c>
      <x:c r="BZ81" s="11" t="n">
        <x:v>73230</x:v>
      </x:c>
      <x:c r="CA81" s="11" t="n">
        <x:v>0</x:v>
      </x:c>
      <x:c r="CB81" s="11" t="n">
        <x:v>25503</x:v>
      </x:c>
      <x:c r="CC81" s="11" t="n">
        <x:v>360037</x:v>
      </x:c>
      <x:c r="CD81" s="11" t="n">
        <x:v>167140</x:v>
      </x:c>
      <x:c r="CE81" s="11" t="n">
        <x:v>0</x:v>
      </x:c>
      <x:c r="CF81" s="11" t="n">
        <x:v>1150</x:v>
      </x:c>
      <x:c r="CG81" s="11" t="n">
        <x:v>259012</x:v>
      </x:c>
      <x:c r="CH81" s="11" t="n">
        <x:v>358334</x:v>
      </x:c>
      <x:c r="CI81" s="11" t="n">
        <x:v>375313</x:v>
      </x:c>
      <x:c r="CJ81" s="11" t="n">
        <x:v>215814</x:v>
      </x:c>
      <x:c r="CK81" s="11" t="n">
        <x:v>140827</x:v>
      </x:c>
      <x:c r="CL81" s="11" t="n">
        <x:v>0</x:v>
      </x:c>
      <x:c r="CM81" s="11"/>
      <x:c r="CN81" s="11" t="n">
        <x:v>0</x:v>
      </x:c>
      <x:c r="CO81" s="11" t="n">
        <x:v>0</x:v>
      </x:c>
      <x:c r="CP81" s="8"/>
      <x:c r="CQ81" s="8" t="str">
        <x:v>Midway</x:v>
      </x:c>
    </x:row>
    <x:row r="82">
      <x:c r="A82" s="8" t="str">
        <x:v>Canal Flats|2021</x:v>
      </x:c>
      <x:c r="B82" s="8" t="str">
        <x:v>canal-flats-v</x:v>
      </x:c>
      <x:c r="C82" s="8" t="str">
        <x:v>Canal Flats</x:v>
      </x:c>
      <x:c r="D82" s="8" t="str">
        <x:v>Canal Flats</x:v>
      </x:c>
      <x:c r="E82" s="8" t="str">
        <x:v>V</x:v>
      </x:c>
      <x:c r="F82" s="8" t="str">
        <x:v>EKO</x:v>
      </x:c>
      <x:c r="G82" s="9" t="n">
        <x:v>2021</x:v>
      </x:c>
      <x:c r="H82" s="10" t="n">
        <x:v>742</x:v>
      </x:c>
      <x:c r="I82" s="8" t="str">
        <x:v>Under 5,000</x:v>
      </x:c>
      <x:c r="J82" s="11" t="n">
        <x:v>3666747</x:v>
      </x:c>
      <x:c r="K82" s="11" t="n">
        <x:v>2874426</x:v>
      </x:c>
      <x:c r="L82" s="11" t="n">
        <x:v>792321</x:v>
      </x:c>
      <x:c r="M82" s="12" t="n">
        <x:v>0.2160828112765893</x:v>
      </x:c>
      <x:c r="N82" s="11" t="n">
        <x:v>1179480</x:v>
      </x:c>
      <x:c r="O82" s="11" t="n">
        <x:v>347686</x:v>
      </x:c>
      <x:c r="P82" s="11" t="n">
        <x:v>1966699</x:v>
      </x:c>
      <x:c r="Q82" s="11" t="n">
        <x:v>172882</x:v>
      </x:c>
      <x:c r="R82" s="11" t="n">
        <x:v>1720693</x:v>
      </x:c>
      <x:c r="S82" s="11" t="n">
        <x:v>1090211</x:v>
      </x:c>
      <x:c r="T82" s="11" t="n">
        <x:v>3435420</x:v>
      </x:c>
      <x:c r="U82" s="11" t="n">
        <x:v>4091055</x:v>
      </x:c>
      <x:c r="V82" s="11" t="n">
        <x:v>-305065</x:v>
      </x:c>
      <x:c r="W82" s="11" t="n">
        <x:v>303181</x:v>
      </x:c>
      <x:c r="X82" s="11" t="n">
        <x:v>2109224</x:v>
      </x:c>
      <x:c r="Y82" s="11" t="n">
        <x:v>700000</x:v>
      </x:c>
      <x:c r="Z82" s="11" t="n">
        <x:v>80871</x:v>
      </x:c>
      <x:c r="AA82" s="11" t="n">
        <x:v>2719990</x:v>
      </x:c>
      <x:c r="AB82" s="11" t="n">
        <x:v>63522</x:v>
      </x:c>
      <x:c r="AC82" s="11" t="n">
        <x:v>144393</x:v>
      </x:c>
      <x:c r="AD82" s="11" t="n">
        <x:v>466421</x:v>
      </x:c>
      <x:c r="AE82" s="11" t="n">
        <x:v>322028</x:v>
      </x:c>
      <x:c r="AF82" s="11" t="n">
        <x:v>1865684</x:v>
      </x:c>
      <x:c r="AG82" s="11" t="n">
        <x:v>50786022</x:v>
      </x:c>
      <x:c r="AH82" s="11" t="n">
        <x:v>17649051</x:v>
      </x:c>
      <x:c r="AI82" s="11" t="n">
        <x:v>33136971</x:v>
      </x:c>
      <x:c r="AJ82" s="11" t="n">
        <x:v>1567721</x:v>
      </x:c>
      <x:c r="AK82" s="11" t="n">
        <x:v>33136971</x:v>
      </x:c>
      <x:c r="AL82" s="11" t="n">
        <x:v>1128000</x:v>
      </x:c>
      <x:c r="AM82" s="12" t="n">
        <x:v>0.9659594716728936</x:v>
      </x:c>
      <x:c r="AN82" s="12" t="n">
        <x:v>0.047310328997783174</x:v>
      </x:c>
      <x:c r="AO82" s="11" t="n">
        <x:v>2074540</x:v>
      </x:c>
      <x:c r="AP82" s="11" t="n">
        <x:v>1985503</x:v>
      </x:c>
      <x:c r="AQ82" s="12" t="n">
        <x:v>0.957081087855621</x:v>
      </x:c>
      <x:c r="AR82" s="11" t="n">
        <x:v>4941.707547169812</x:v>
      </x:c>
      <x:c r="AS82" s="11" t="n">
        <x:v>3873.88948787062</x:v>
      </x:c>
      <x:c r="AT82" s="11" t="n">
        <x:v>-411.1388140161725</x:v>
      </x:c>
      <x:c r="AU82" s="11" t="n">
        <x:v>408.599730458221</x:v>
      </x:c>
      <x:c r="AV82" s="11" t="n">
        <x:v>3665.754716981132</x:v>
      </x:c>
      <x:c r="AW82" s="11" t="n">
        <x:v>0.8397393826286862</x:v>
      </x:c>
      <x:c r="AX82" s="12" t="n">
        <x:v>0.69042345863501</x:v>
      </x:c>
      <x:c r="AY82" s="11"/>
      <x:c r="AZ82" s="11"/>
      <x:c r="BA82" s="11"/>
      <x:c r="BB82" s="11"/>
      <x:c r="BC82" s="11"/>
      <x:c r="BD82" s="11"/>
      <x:c r="BE82" s="11"/>
      <x:c r="BF82" s="11"/>
      <x:c r="BG82" s="11"/>
      <x:c r="BH82" s="11"/>
      <x:c r="BI82" s="11"/>
      <x:c r="BJ82" s="11"/>
      <x:c r="BK82" s="12"/>
      <x:c r="BL82" s="12"/>
      <x:c r="BM82" s="12"/>
      <x:c r="BN82" s="12"/>
      <x:c r="BO82" s="12"/>
      <x:c r="BP82" s="12"/>
      <x:c r="BQ82" s="12"/>
      <x:c r="BR82" s="12"/>
      <x:c r="BS82" s="12"/>
      <x:c r="BT82" s="12"/>
      <x:c r="BU82" s="11" t="n">
        <x:v>0</x:v>
      </x:c>
      <x:c r="BV82" s="11" t="n">
        <x:v>1531738</x:v>
      </x:c>
      <x:c r="BW82" s="11" t="n">
        <x:v>434961</x:v>
      </x:c>
      <x:c r="BX82" s="11" t="n">
        <x:v>4312</x:v>
      </x:c>
      <x:c r="BY82" s="11" t="n">
        <x:v>0</x:v>
      </x:c>
      <x:c r="BZ82" s="11" t="n">
        <x:v>165032</x:v>
      </x:c>
      <x:c r="CA82" s="11" t="n">
        <x:v>3538</x:v>
      </x:c>
      <x:c r="CB82" s="11" t="n">
        <x:v>0</x:v>
      </x:c>
      <x:c r="CC82" s="11" t="n">
        <x:v>350104</x:v>
      </x:c>
      <x:c r="CD82" s="11" t="n">
        <x:v>192936</x:v>
      </x:c>
      <x:c r="CE82" s="11" t="n">
        <x:v>0</x:v>
      </x:c>
      <x:c r="CF82" s="11" t="n">
        <x:v>6713</x:v>
      </x:c>
      <x:c r="CG82" s="11" t="n">
        <x:v>197139</x:v>
      </x:c>
      <x:c r="CH82" s="11" t="n">
        <x:v>256321</x:v>
      </x:c>
      <x:c r="CI82" s="11" t="n">
        <x:v>411298</x:v>
      </x:c>
      <x:c r="CJ82" s="11" t="n">
        <x:v>226527</x:v>
      </x:c>
      <x:c r="CK82" s="11" t="n">
        <x:v>143177</x:v>
      </x:c>
      <x:c r="CL82" s="11" t="n">
        <x:v>0</x:v>
      </x:c>
      <x:c r="CM82" s="11"/>
      <x:c r="CN82" s="11" t="n">
        <x:v>0</x:v>
      </x:c>
      <x:c r="CO82" s="11" t="n">
        <x:v>0</x:v>
      </x:c>
      <x:c r="CP82" s="8"/>
      <x:c r="CQ82" s="8" t="str">
        <x:v>Mission</x:v>
      </x:c>
    </x:row>
    <x:row r="83">
      <x:c r="A83" s="8" t="str">
        <x:v>Canal Flats|2022</x:v>
      </x:c>
      <x:c r="B83" s="8" t="str">
        <x:v>canal-flats-v</x:v>
      </x:c>
      <x:c r="C83" s="8" t="str">
        <x:v>Canal Flats</x:v>
      </x:c>
      <x:c r="D83" s="8" t="str">
        <x:v>Canal Flats</x:v>
      </x:c>
      <x:c r="E83" s="8" t="str">
        <x:v>V</x:v>
      </x:c>
      <x:c r="F83" s="8" t="str">
        <x:v>EKO</x:v>
      </x:c>
      <x:c r="G83" s="9" t="n">
        <x:v>2022</x:v>
      </x:c>
      <x:c r="H83" s="10" t="n">
        <x:v>749</x:v>
      </x:c>
      <x:c r="I83" s="8" t="str">
        <x:v>Under 5,000</x:v>
      </x:c>
      <x:c r="J83" s="11" t="n">
        <x:v>3868894</x:v>
      </x:c>
      <x:c r="K83" s="11" t="n">
        <x:v>3083509</x:v>
      </x:c>
      <x:c r="L83" s="11" t="n">
        <x:v>785385</x:v>
      </x:c>
      <x:c r="M83" s="12" t="n">
        <x:v>0.20299987541659192</x:v>
      </x:c>
      <x:c r="N83" s="11" t="n">
        <x:v>1255131</x:v>
      </x:c>
      <x:c r="O83" s="11" t="n">
        <x:v>373059</x:v>
      </x:c>
      <x:c r="P83" s="11" t="n">
        <x:v>2177445</x:v>
      </x:c>
      <x:c r="Q83" s="11" t="n">
        <x:v>63259</x:v>
      </x:c>
      <x:c r="R83" s="11" t="n">
        <x:v>1911246</x:v>
      </x:c>
      <x:c r="S83" s="11" t="n">
        <x:v>1113657</x:v>
      </x:c>
      <x:c r="T83" s="11" t="n">
        <x:v>2911076</x:v>
      </x:c>
      <x:c r="U83" s="11" t="n">
        <x:v>4129244</x:v>
      </x:c>
      <x:c r="V83" s="11" t="n">
        <x:v>-449477</x:v>
      </x:c>
      <x:c r="W83" s="11" t="n">
        <x:v>390113</x:v>
      </x:c>
      <x:c r="X83" s="11" t="n">
        <x:v>2719990</x:v>
      </x:c>
      <x:c r="Y83" s="11" t="n">
        <x:v>0</x:v>
      </x:c>
      <x:c r="Z83" s="11" t="n">
        <x:v>72970</x:v>
      </x:c>
      <x:c r="AA83" s="11" t="n">
        <x:v>2636806</x:v>
      </x:c>
      <x:c r="AB83" s="11" t="n">
        <x:v>58606</x:v>
      </x:c>
      <x:c r="AC83" s="11" t="n">
        <x:v>131576</x:v>
      </x:c>
      <x:c r="AD83" s="11" t="n">
        <x:v>523754</x:v>
      </x:c>
      <x:c r="AE83" s="11" t="n">
        <x:v>392178</x:v>
      </x:c>
      <x:c r="AF83" s="11" t="n">
        <x:v>2095014</x:v>
      </x:c>
      <x:c r="AG83" s="11" t="n">
        <x:v>52824901</x:v>
      </x:c>
      <x:c r="AH83" s="11" t="n">
        <x:v>18762709</x:v>
      </x:c>
      <x:c r="AI83" s="11" t="n">
        <x:v>34062192</x:v>
      </x:c>
      <x:c r="AJ83" s="11" t="n">
        <x:v>2043862</x:v>
      </x:c>
      <x:c r="AK83" s="11" t="n">
        <x:v>21631230</x:v>
      </x:c>
      <x:c r="AL83" s="11" t="n">
        <x:v>0</x:v>
      </x:c>
      <x:c r="AM83" s="12" t="n">
        <x:v>1</x:v>
      </x:c>
      <x:c r="AN83" s="12" t="n">
        <x:v>0.09448662882323382</x:v>
      </x:c>
      <x:c r="AO83" s="11" t="n">
        <x:v>2050213</x:v>
      </x:c>
      <x:c r="AP83" s="11" t="n">
        <x:v>1953347</x:v>
      </x:c>
      <x:c r="AQ83" s="12" t="n">
        <x:v>0.952753201740502</x:v>
      </x:c>
      <x:c r="AR83" s="11" t="n">
        <x:v>5165.412550066756</x:v>
      </x:c>
      <x:c r="AS83" s="11" t="n">
        <x:v>4116.834445927904</x:v>
      </x:c>
      <x:c r="AT83" s="11" t="n">
        <x:v>-600.1028037383178</x:v>
      </x:c>
      <x:c r="AU83" s="11" t="n">
        <x:v>520.845126835781</x:v>
      </x:c>
      <x:c r="AV83" s="11" t="n">
        <x:v>3520.4352469959945</x:v>
      </x:c>
      <x:c r="AW83" s="11" t="n">
        <x:v>0.704990065978179</x:v>
      </x:c>
      <x:c r="AX83" s="12" t="n">
        <x:v>0.7487828255249602</x:v>
      </x:c>
      <x:c r="AY83" s="11"/>
      <x:c r="AZ83" s="11"/>
      <x:c r="BA83" s="11"/>
      <x:c r="BB83" s="11"/>
      <x:c r="BC83" s="11"/>
      <x:c r="BD83" s="11"/>
      <x:c r="BE83" s="11"/>
      <x:c r="BF83" s="11"/>
      <x:c r="BG83" s="11"/>
      <x:c r="BH83" s="11"/>
      <x:c r="BI83" s="11"/>
      <x:c r="BJ83" s="11"/>
      <x:c r="BK83" s="12"/>
      <x:c r="BL83" s="12"/>
      <x:c r="BM83" s="12"/>
      <x:c r="BN83" s="12"/>
      <x:c r="BO83" s="12"/>
      <x:c r="BP83" s="12"/>
      <x:c r="BQ83" s="12"/>
      <x:c r="BR83" s="12"/>
      <x:c r="BS83" s="12"/>
      <x:c r="BT83" s="12"/>
      <x:c r="BU83" s="11" t="n">
        <x:v>0</x:v>
      </x:c>
      <x:c r="BV83" s="11" t="n">
        <x:v>1292032</x:v>
      </x:c>
      <x:c r="BW83" s="11" t="n">
        <x:v>885413</x:v>
      </x:c>
      <x:c r="BX83" s="11" t="n">
        <x:v>52038</x:v>
      </x:c>
      <x:c r="BY83" s="11" t="n">
        <x:v>0</x:v>
      </x:c>
      <x:c r="BZ83" s="11" t="n">
        <x:v>1578</x:v>
      </x:c>
      <x:c r="CA83" s="11" t="n">
        <x:v>9643</x:v>
      </x:c>
      <x:c r="CB83" s="11" t="n">
        <x:v>0</x:v>
      </x:c>
      <x:c r="CC83" s="11" t="n">
        <x:v>434992</x:v>
      </x:c>
      <x:c r="CD83" s="11" t="n">
        <x:v>179636</x:v>
      </x:c>
      <x:c r="CE83" s="11" t="n">
        <x:v>0</x:v>
      </x:c>
      <x:c r="CF83" s="11" t="n">
        <x:v>8689</x:v>
      </x:c>
      <x:c r="CG83" s="11" t="n">
        <x:v>148691</x:v>
      </x:c>
      <x:c r="CH83" s="11" t="n">
        <x:v>294438</x:v>
      </x:c>
      <x:c r="CI83" s="11" t="n">
        <x:v>504064</x:v>
      </x:c>
      <x:c r="CJ83" s="11" t="n">
        <x:v>245541</x:v>
      </x:c>
      <x:c r="CK83" s="11" t="n">
        <x:v>153801</x:v>
      </x:c>
      <x:c r="CL83" s="11" t="n">
        <x:v>0</x:v>
      </x:c>
      <x:c r="CM83" s="11"/>
      <x:c r="CN83" s="11" t="n">
        <x:v>0</x:v>
      </x:c>
      <x:c r="CO83" s="11" t="n">
        <x:v>0</x:v>
      </x:c>
      <x:c r="CP83" s="8"/>
      <x:c r="CQ83" s="8" t="str">
        <x:v>Montrose</x:v>
      </x:c>
    </x:row>
    <x:row r="84">
      <x:c r="A84" s="8" t="str">
        <x:v>Canal Flats|2023</x:v>
      </x:c>
      <x:c r="B84" s="8" t="str">
        <x:v>canal-flats-v</x:v>
      </x:c>
      <x:c r="C84" s="8" t="str">
        <x:v>Canal Flats</x:v>
      </x:c>
      <x:c r="D84" s="8" t="str">
        <x:v>Canal Flats</x:v>
      </x:c>
      <x:c r="E84" s="8" t="str">
        <x:v>V</x:v>
      </x:c>
      <x:c r="F84" s="8" t="str">
        <x:v>EKO</x:v>
      </x:c>
      <x:c r="G84" s="9" t="n">
        <x:v>2023</x:v>
      </x:c>
      <x:c r="H84" s="10" t="n">
        <x:v>774</x:v>
      </x:c>
      <x:c r="I84" s="8" t="str">
        <x:v>Under 5,000</x:v>
      </x:c>
      <x:c r="J84" s="11" t="n">
        <x:v>4823339</x:v>
      </x:c>
      <x:c r="K84" s="11" t="n">
        <x:v>4800876</x:v>
      </x:c>
      <x:c r="L84" s="11" t="n">
        <x:v>22463</x:v>
      </x:c>
      <x:c r="M84" s="12" t="n">
        <x:v>0.004657147258361894</x:v>
      </x:c>
      <x:c r="N84" s="11" t="n">
        <x:v>1332671</x:v>
      </x:c>
      <x:c r="O84" s="11" t="n">
        <x:v>856782</x:v>
      </x:c>
      <x:c r="P84" s="11" t="n">
        <x:v>2512215</x:v>
      </x:c>
      <x:c r="Q84" s="11" t="n">
        <x:v>121671</x:v>
      </x:c>
      <x:c r="R84" s="11" t="n">
        <x:v>3529034</x:v>
      </x:c>
      <x:c r="S84" s="11" t="n">
        <x:v>1190532</x:v>
      </x:c>
      <x:c r="T84" s="11" t="n">
        <x:v>2905080</x:v>
      </x:c>
      <x:c r="U84" s="11" t="n">
        <x:v>3936981</x:v>
      </x:c>
      <x:c r="V84" s="11" t="n">
        <x:v>-374585</x:v>
      </x:c>
      <x:c r="W84" s="11" t="n">
        <x:v>415081</x:v>
      </x:c>
      <x:c r="X84" s="11" t="n">
        <x:v>2636806</x:v>
      </x:c>
      <x:c r="Y84" s="11" t="n">
        <x:v>0</x:v>
      </x:c>
      <x:c r="Z84" s="11" t="n">
        <x:v>61144</x:v>
      </x:c>
      <x:c r="AA84" s="11" t="n">
        <x:v>2563158</x:v>
      </x:c>
      <x:c r="AB84" s="11" t="n">
        <x:v>81310</x:v>
      </x:c>
      <x:c r="AC84" s="11" t="n">
        <x:v>142454</x:v>
      </x:c>
      <x:c r="AD84" s="11" t="n">
        <x:v>656020</x:v>
      </x:c>
      <x:c r="AE84" s="11" t="n">
        <x:v>513566</x:v>
      </x:c>
      <x:c r="AF84" s="11" t="n">
        <x:v>2624080</x:v>
      </x:c>
      <x:c r="AG84" s="11" t="n">
        <x:v>53827802</x:v>
      </x:c>
      <x:c r="AH84" s="11" t="n">
        <x:v>19821406</x:v>
      </x:c>
      <x:c r="AI84" s="11" t="n">
        <x:v>34006396</x:v>
      </x:c>
      <x:c r="AJ84" s="11" t="n">
        <x:v>2048263</x:v>
      </x:c>
      <x:c r="AK84" s="11" t="n">
        <x:v>34006396</x:v>
      </x:c>
      <x:c r="AL84" s="11" t="n">
        <x:v>0</x:v>
      </x:c>
      <x:c r="AM84" s="12" t="n">
        <x:v>1</x:v>
      </x:c>
      <x:c r="AN84" s="12" t="n">
        <x:v>0.06023169876631443</x:v>
      </x:c>
      <x:c r="AO84" s="11" t="n">
        <x:v>2110418</x:v>
      </x:c>
      <x:c r="AP84" s="11" t="n">
        <x:v>2009755</x:v>
      </x:c>
      <x:c r="AQ84" s="12" t="n">
        <x:v>0.952301866265356</x:v>
      </x:c>
      <x:c r="AR84" s="11" t="n">
        <x:v>6231.704134366925</x:v>
      </x:c>
      <x:c r="AS84" s="11" t="n">
        <x:v>6202.6821705426355</x:v>
      </x:c>
      <x:c r="AT84" s="11" t="n">
        <x:v>-483.95994832041345</x:v>
      </x:c>
      <x:c r="AU84" s="11" t="n">
        <x:v>536.280361757106</x:v>
      </x:c>
      <x:c r="AV84" s="11" t="n">
        <x:v>3311.5736434108526</x:v>
      </x:c>
      <x:c r="AW84" s="11" t="n">
        <x:v>0.737895356873706</x:v>
      </x:c>
      <x:c r="AX84" s="12" t="n">
        <x:v>0.7828511325874211</x:v>
      </x:c>
      <x:c r="AY84" s="11"/>
      <x:c r="AZ84" s="11"/>
      <x:c r="BA84" s="11"/>
      <x:c r="BB84" s="11"/>
      <x:c r="BC84" s="11"/>
      <x:c r="BD84" s="11"/>
      <x:c r="BE84" s="11"/>
      <x:c r="BF84" s="11"/>
      <x:c r="BG84" s="11"/>
      <x:c r="BH84" s="11"/>
      <x:c r="BI84" s="11"/>
      <x:c r="BJ84" s="11"/>
      <x:c r="BK84" s="12"/>
      <x:c r="BL84" s="12"/>
      <x:c r="BM84" s="12"/>
      <x:c r="BN84" s="12"/>
      <x:c r="BO84" s="12"/>
      <x:c r="BP84" s="12"/>
      <x:c r="BQ84" s="12"/>
      <x:c r="BR84" s="12"/>
      <x:c r="BS84" s="12"/>
      <x:c r="BT84" s="12"/>
      <x:c r="BU84" s="11" t="n">
        <x:v>0</x:v>
      </x:c>
      <x:c r="BV84" s="11" t="n">
        <x:v>1865075</x:v>
      </x:c>
      <x:c r="BW84" s="11" t="n">
        <x:v>647140</x:v>
      </x:c>
      <x:c r="BX84" s="11" t="n">
        <x:v>119131</x:v>
      </x:c>
      <x:c r="BY84" s="11" t="n">
        <x:v>0</x:v>
      </x:c>
      <x:c r="BZ84" s="11" t="n">
        <x:v>2540</x:v>
      </x:c>
      <x:c r="CA84" s="11" t="n">
        <x:v>0</x:v>
      </x:c>
      <x:c r="CB84" s="11" t="n">
        <x:v>0</x:v>
      </x:c>
      <x:c r="CC84" s="11" t="n">
        <x:v>603481</x:v>
      </x:c>
      <x:c r="CD84" s="11" t="n">
        <x:v>216505</x:v>
      </x:c>
      <x:c r="CE84" s="11" t="n">
        <x:v>0</x:v>
      </x:c>
      <x:c r="CF84" s="11" t="n">
        <x:v>531</x:v>
      </x:c>
      <x:c r="CG84" s="11" t="n">
        <x:v>172185</x:v>
      </x:c>
      <x:c r="CH84" s="11" t="n">
        <x:v>397735</x:v>
      </x:c>
      <x:c r="CI84" s="11" t="n">
        <x:v>888630</x:v>
      </x:c>
      <x:c r="CJ84" s="11" t="n">
        <x:v>247276</x:v>
      </x:c>
      <x:c r="CK84" s="11" t="n">
        <x:v>170474</x:v>
      </x:c>
      <x:c r="CL84" s="11" t="n">
        <x:v>0</x:v>
      </x:c>
      <x:c r="CM84" s="11" t="n">
        <x:v>0</x:v>
      </x:c>
      <x:c r="CN84" s="11" t="n">
        <x:v>913527</x:v>
      </x:c>
      <x:c r="CO84" s="11" t="n">
        <x:v>0</x:v>
      </x:c>
      <x:c r="CP84" s="8"/>
      <x:c r="CQ84" s="8" t="str">
        <x:v>Nakusp</x:v>
      </x:c>
    </x:row>
    <x:row r="85">
      <x:c r="A85" s="8" t="str">
        <x:v>Canal Flats|2024</x:v>
      </x:c>
      <x:c r="B85" s="8" t="str">
        <x:v>canal-flats-v</x:v>
      </x:c>
      <x:c r="C85" s="8" t="str">
        <x:v>Canal Flats</x:v>
      </x:c>
      <x:c r="D85" s="8" t="str">
        <x:v>Canal Flats</x:v>
      </x:c>
      <x:c r="E85" s="8" t="str">
        <x:v>V</x:v>
      </x:c>
      <x:c r="F85" s="8" t="str">
        <x:v>EKO</x:v>
      </x:c>
      <x:c r="G85" s="9" t="n">
        <x:v>2024</x:v>
      </x:c>
      <x:c r="H85" s="10" t="n">
        <x:v>774</x:v>
      </x:c>
      <x:c r="I85" s="8" t="str">
        <x:v>Under 5,000</x:v>
      </x:c>
      <x:c r="J85" s="11" t="n">
        <x:v>4202382</x:v>
      </x:c>
      <x:c r="K85" s="11" t="n">
        <x:v>5395114</x:v>
      </x:c>
      <x:c r="L85" s="11" t="n">
        <x:v>-1192732</x:v>
      </x:c>
      <x:c r="M85" s="12" t="n">
        <x:v>-0.2838228414266004</x:v>
      </x:c>
      <x:c r="N85" s="11" t="n">
        <x:v>1434534</x:v>
      </x:c>
      <x:c r="O85" s="11" t="n">
        <x:v>611615</x:v>
      </x:c>
      <x:c r="P85" s="11" t="n">
        <x:v>2018402</x:v>
      </x:c>
      <x:c r="Q85" s="11" t="n">
        <x:v>137831</x:v>
      </x:c>
      <x:c r="R85" s="11" t="n">
        <x:v>4148811</x:v>
      </x:c>
      <x:c r="S85" s="11" t="n">
        <x:v>1164993</x:v>
      </x:c>
      <x:c r="T85" s="11" t="n">
        <x:v>3015525</x:v>
      </x:c>
      <x:c r="U85" s="11" t="n">
        <x:v>3769116</x:v>
      </x:c>
      <x:c r="V85" s="11" t="n">
        <x:v>-51782</x:v>
      </x:c>
      <x:c r="W85" s="11" t="n">
        <x:v>464877</x:v>
      </x:c>
      <x:c r="X85" s="11" t="n">
        <x:v>2563158</x:v>
      </x:c>
      <x:c r="Y85" s="11" t="n">
        <x:v>250000</x:v>
      </x:c>
      <x:c r="Z85" s="11" t="n">
        <x:v>61144</x:v>
      </x:c>
      <x:c r="AA85" s="11" t="n">
        <x:v>2737144</x:v>
      </x:c>
      <x:c r="AB85" s="11" t="n">
        <x:v>81310</x:v>
      </x:c>
      <x:c r="AC85" s="11" t="n">
        <x:v>142454</x:v>
      </x:c>
      <x:c r="AD85" s="11" t="n">
        <x:v>631533</x:v>
      </x:c>
      <x:c r="AE85" s="11" t="n">
        <x:v>489079</x:v>
      </x:c>
      <x:c r="AF85" s="11" t="n">
        <x:v>2526131</x:v>
      </x:c>
      <x:c r="AG85" s="11" t="n">
        <x:v>53465965</x:v>
      </x:c>
      <x:c r="AH85" s="11" t="n">
        <x:v>20986399</x:v>
      </x:c>
      <x:c r="AI85" s="11" t="n">
        <x:v>32479566</x:v>
      </x:c>
      <x:c r="AJ85" s="11" t="n">
        <x:v>1516529</x:v>
      </x:c>
      <x:c r="AK85" s="11" t="n">
        <x:v>53465965</x:v>
      </x:c>
      <x:c r="AL85" s="11" t="n">
        <x:v>20986399</x:v>
      </x:c>
      <x:c r="AM85" s="12" t="n">
        <x:v>0.6074811517944172</x:v>
      </x:c>
      <x:c r="AN85" s="12" t="n">
        <x:v>0.028364380966470912</x:v>
      </x:c>
      <x:c r="AO85" s="11" t="n">
        <x:v>2379315</x:v>
      </x:c>
      <x:c r="AP85" s="11" t="n">
        <x:v>2293680</x:v>
      </x:c>
      <x:c r="AQ85" s="12" t="n">
        <x:v>0.9640085486789265</x:v>
      </x:c>
      <x:c r="AR85" s="11" t="n">
        <x:v>5429.434108527132</x:v>
      </x:c>
      <x:c r="AS85" s="11" t="n">
        <x:v>6970.431524547804</x:v>
      </x:c>
      <x:c r="AT85" s="11" t="n">
        <x:v>-66.90180878552971</x:v>
      </x:c>
      <x:c r="AU85" s="11" t="n">
        <x:v>600.6162790697674</x:v>
      </x:c>
      <x:c r="AV85" s="11" t="n">
        <x:v>3536.361757105943</x:v>
      </x:c>
      <x:c r="AW85" s="11" t="n">
        <x:v>0.8000616059574712</x:v>
      </x:c>
      <x:c r="AX85" s="12" t="n">
        <x:v>0.7744314232193725</x:v>
      </x:c>
      <x:c r="AY85" s="11" t="n">
        <x:v>4648.097865362712</x:v>
      </x:c>
      <x:c r="AZ85" s="11" t="n">
        <x:v>3546.5079302077975</x:v>
      </x:c>
      <x:c r="BA85" s="11" t="n">
        <x:v>3428.422456291105</x:v>
      </x:c>
      <x:c r="BB85" s="11" t="n">
        <x:v>2783.665107049771</x:v>
      </x:c>
      <x:c r="BC85" s="11" t="n">
        <x:v>5030.364110900993</x:v>
      </x:c>
      <x:c r="BD85" s="11" t="n">
        <x:v>2437.8724475115623</x:v>
      </x:c>
      <x:c r="BE85" s="11" t="n">
        <x:v>2420.45</x:v>
      </x:c>
      <x:c r="BF85" s="11" t="n">
        <x:v>1604.3462673977224</x:v>
      </x:c>
      <x:c r="BG85" s="11" t="n">
        <x:v>224.31236112962716</x:v>
      </x:c>
      <x:c r="BH85" s="11" t="n">
        <x:v>518.5374381567245</x:v>
      </x:c>
      <x:c r="BI85" s="11" t="n">
        <x:v>2.204313821553219</x:v>
      </x:c>
      <x:c r="BJ85" s="11" t="n">
        <x:v>1.7099330852451193</x:v>
      </x:c>
      <x:c r="BK85" s="12" t="n">
        <x:v>0.030042455998363887</x:v>
      </x:c>
      <x:c r="BL85" s="12" t="n">
        <x:v>0.02529861000232605</x:v>
      </x:c>
      <x:c r="BM85" s="12" t="n">
        <x:v>0.9786113537119745</x:v>
      </x:c>
      <x:c r="BN85" s="12" t="n">
        <x:v>0.9815511712696461</x:v>
      </x:c>
      <x:c r="BO85" s="12" t="n">
        <x:v>0.9039920521842442</x:v>
      </x:c>
      <x:c r="BP85" s="12" t="n">
        <x:v>0.8619101997275483</x:v>
      </x:c>
      <x:c r="BQ85" s="12" t="n">
        <x:v>0.9333160528846489</x:v>
      </x:c>
      <x:c r="BR85" s="12" t="n">
        <x:v>0.9623635142836453</x:v>
      </x:c>
      <x:c r="BS85" s="12" t="n">
        <x:v>0.20869205825466772</x:v>
      </x:c>
      <x:c r="BT85" s="12" t="n">
        <x:v>0.19976549769108282</x:v>
      </x:c>
      <x:c r="BU85" s="11" t="n">
        <x:v>0</x:v>
      </x:c>
      <x:c r="BV85" s="11" t="n">
        <x:v>1394751</x:v>
      </x:c>
      <x:c r="BW85" s="11" t="n">
        <x:v>623651</x:v>
      </x:c>
      <x:c r="BX85" s="11" t="n">
        <x:v>133352</x:v>
      </x:c>
      <x:c r="BY85" s="11" t="n">
        <x:v>0</x:v>
      </x:c>
      <x:c r="BZ85" s="11" t="n">
        <x:v>4479</x:v>
      </x:c>
      <x:c r="CA85" s="11" t="n">
        <x:v>0</x:v>
      </x:c>
      <x:c r="CB85" s="11" t="n">
        <x:v>0</x:v>
      </x:c>
      <x:c r="CC85" s="11" t="n">
        <x:v>637464</x:v>
      </x:c>
      <x:c r="CD85" s="11" t="n">
        <x:v>194408</x:v>
      </x:c>
      <x:c r="CE85" s="11" t="n">
        <x:v>0</x:v>
      </x:c>
      <x:c r="CF85" s="11" t="n">
        <x:v>2129</x:v>
      </x:c>
      <x:c r="CG85" s="11" t="n">
        <x:v>159800</x:v>
      </x:c>
      <x:c r="CH85" s="11" t="n">
        <x:v>293235</x:v>
      </x:c>
      <x:c r="CI85" s="11" t="n">
        <x:v>669980</x:v>
      </x:c>
      <x:c r="CJ85" s="11" t="n">
        <x:v>227607</x:v>
      </x:c>
      <x:c r="CK85" s="11" t="n">
        <x:v>167130</x:v>
      </x:c>
      <x:c r="CL85" s="11" t="n">
        <x:v>0</x:v>
      </x:c>
      <x:c r="CM85" s="11" t="n">
        <x:v>0</x:v>
      </x:c>
      <x:c r="CN85" s="11" t="n">
        <x:v>1878368</x:v>
      </x:c>
      <x:c r="CO85" s="11" t="n">
        <x:v>0</x:v>
      </x:c>
      <x:c r="CP85" s="8"/>
      <x:c r="CQ85" s="8" t="str">
        <x:v>Nanaimo</x:v>
      </x:c>
    </x:row>
    <x:row r="86">
      <x:c r="A86" s="8" t="str">
        <x:v>Castlegar|2019</x:v>
      </x:c>
      <x:c r="B86" s="8" t="str">
        <x:v>castlegar-c</x:v>
      </x:c>
      <x:c r="C86" s="8" t="str">
        <x:v>Castlegar</x:v>
      </x:c>
      <x:c r="D86" s="8" t="str">
        <x:v>Castlegar</x:v>
      </x:c>
      <x:c r="E86" s="8" t="str">
        <x:v>C</x:v>
      </x:c>
      <x:c r="F86" s="8" t="str">
        <x:v>CKO</x:v>
      </x:c>
      <x:c r="G86" s="9" t="n">
        <x:v>2019</x:v>
      </x:c>
      <x:c r="H86" s="10" t="n">
        <x:v>8625</x:v>
      </x:c>
      <x:c r="I86" s="8" t="str">
        <x:v>5,000 to 19,999</x:v>
      </x:c>
      <x:c r="J86" s="11" t="n">
        <x:v>19155388</x:v>
      </x:c>
      <x:c r="K86" s="11" t="n">
        <x:v>17489117</x:v>
      </x:c>
      <x:c r="L86" s="11" t="n">
        <x:v>1666271</x:v>
      </x:c>
      <x:c r="M86" s="12" t="n">
        <x:v>0.08698706598895309</x:v>
      </x:c>
      <x:c r="N86" s="11" t="n">
        <x:v>9945372</x:v>
      </x:c>
      <x:c r="O86" s="11" t="n">
        <x:v>4787906</x:v>
      </x:c>
      <x:c r="P86" s="11" t="n">
        <x:v>3001213</x:v>
      </x:c>
      <x:c r="Q86" s="11" t="n">
        <x:v>1420897</x:v>
      </x:c>
      <x:c r="R86" s="11" t="n">
        <x:v>13838126</x:v>
      </x:c>
      <x:c r="S86" s="11" t="n">
        <x:v>3546118</x:v>
      </x:c>
      <x:c r="T86" s="11" t="n">
        <x:v>12655178</x:v>
      </x:c>
      <x:c r="U86" s="11" t="n">
        <x:v>10413379</x:v>
      </x:c>
      <x:c r="V86" s="11" t="n">
        <x:v>5304076</x:v>
      </x:c>
      <x:c r="W86" s="11" t="n">
        <x:v>2957260</x:v>
      </x:c>
      <x:c r="X86" s="11" t="n">
        <x:v>1487123</x:v>
      </x:c>
      <x:c r="Y86" s="11" t="n">
        <x:v>3118668</x:v>
      </x:c>
      <x:c r="Z86" s="11" t="n">
        <x:v>221544</x:v>
      </x:c>
      <x:c r="AA86" s="11" t="n">
        <x:v>4384247</x:v>
      </x:c>
      <x:c r="AB86" s="11" t="n">
        <x:v>104873</x:v>
      </x:c>
      <x:c r="AC86" s="11" t="n">
        <x:v>326417</x:v>
      </x:c>
      <x:c r="AD86" s="11" t="n">
        <x:v>4055410</x:v>
      </x:c>
      <x:c r="AE86" s="11" t="n">
        <x:v>3728993</x:v>
      </x:c>
      <x:c r="AF86" s="11" t="n">
        <x:v>16221639</x:v>
      </x:c>
      <x:c r="AG86" s="11" t="n">
        <x:v>153488926</x:v>
      </x:c>
      <x:c r="AH86" s="11" t="n">
        <x:v>75981852</x:v>
      </x:c>
      <x:c r="AI86" s="11" t="n">
        <x:v>77507074</x:v>
      </x:c>
      <x:c r="AJ86" s="11" t="n">
        <x:v>4133120</x:v>
      </x:c>
      <x:c r="AK86" s="11" t="n">
        <x:v>15985972</x:v>
      </x:c>
      <x:c r="AL86" s="11" t="n">
        <x:v>0</x:v>
      </x:c>
      <x:c r="AM86" s="12" t="n">
        <x:v>1</x:v>
      </x:c>
      <x:c r="AN86" s="12" t="n">
        <x:v>0.2585466808023935</x:v>
      </x:c>
      <x:c r="AO86" s="11" t="n">
        <x:v>17417791</x:v>
      </x:c>
      <x:c r="AP86" s="11" t="n">
        <x:v>16920180</x:v>
      </x:c>
      <x:c r="AQ86" s="12" t="n">
        <x:v>0.9714308777731918</x:v>
      </x:c>
      <x:c r="AR86" s="11" t="n">
        <x:v>2220.9145507246376</x:v>
      </x:c>
      <x:c r="AS86" s="11" t="n">
        <x:v>2027.7237101449275</x:v>
      </x:c>
      <x:c r="AT86" s="11" t="n">
        <x:v>614.9653333333333</x:v>
      </x:c>
      <x:c r="AU86" s="11" t="n">
        <x:v>342.8707246376812</x:v>
      </x:c>
      <x:c r="AV86" s="11" t="n">
        <x:v>508.31849275362316</x:v>
      </x:c>
      <x:c r="AW86" s="11" t="n">
        <x:v>1.215280650017636</x:v>
      </x:c>
      <x:c r="AX86" s="12" t="n">
        <x:v>0.9195107276452936</x:v>
      </x:c>
      <x:c r="AY86" s="11"/>
      <x:c r="AZ86" s="11"/>
      <x:c r="BA86" s="11"/>
      <x:c r="BB86" s="11"/>
      <x:c r="BC86" s="11"/>
      <x:c r="BD86" s="11"/>
      <x:c r="BE86" s="11"/>
      <x:c r="BF86" s="11"/>
      <x:c r="BG86" s="11"/>
      <x:c r="BH86" s="11"/>
      <x:c r="BI86" s="11"/>
      <x:c r="BJ86" s="11"/>
      <x:c r="BK86" s="12"/>
      <x:c r="BL86" s="12"/>
      <x:c r="BM86" s="12"/>
      <x:c r="BN86" s="12"/>
      <x:c r="BO86" s="12"/>
      <x:c r="BP86" s="12"/>
      <x:c r="BQ86" s="12"/>
      <x:c r="BR86" s="12"/>
      <x:c r="BS86" s="12"/>
      <x:c r="BT86" s="12"/>
      <x:c r="BU86" s="11" t="n">
        <x:v>1144294</x:v>
      </x:c>
      <x:c r="BV86" s="11" t="n">
        <x:v>562873</x:v>
      </x:c>
      <x:c r="BW86" s="11" t="n">
        <x:v>1294046</x:v>
      </x:c>
      <x:c r="BX86" s="11" t="n">
        <x:v>214773</x:v>
      </x:c>
      <x:c r="BY86" s="11" t="n">
        <x:v>0</x:v>
      </x:c>
      <x:c r="BZ86" s="11" t="n">
        <x:v>0</x:v>
      </x:c>
      <x:c r="CA86" s="11" t="n">
        <x:v>0</x:v>
      </x:c>
      <x:c r="CB86" s="11" t="n">
        <x:v>1206124</x:v>
      </x:c>
      <x:c r="CC86" s="11" t="n">
        <x:v>2531079</x:v>
      </x:c>
      <x:c r="CD86" s="11" t="n">
        <x:v>3192275</x:v>
      </x:c>
      <x:c r="CE86" s="11" t="n">
        <x:v>555564</x:v>
      </x:c>
      <x:c r="CF86" s="11" t="n">
        <x:v>185380</x:v>
      </x:c>
      <x:c r="CG86" s="11" t="n">
        <x:v>607668</x:v>
      </x:c>
      <x:c r="CH86" s="11" t="n">
        <x:v>2342539</x:v>
      </x:c>
      <x:c r="CI86" s="11" t="n">
        <x:v>1397811</x:v>
      </x:c>
      <x:c r="CJ86" s="11" t="n">
        <x:v>1032255</x:v>
      </x:c>
      <x:c r="CK86" s="11" t="n">
        <x:v>889484</x:v>
      </x:c>
      <x:c r="CL86" s="11" t="n">
        <x:v>1208944</x:v>
      </x:c>
      <x:c r="CM86" s="11"/>
      <x:c r="CN86" s="11" t="n">
        <x:v>0</x:v>
      </x:c>
      <x:c r="CO86" s="11" t="n">
        <x:v>0</x:v>
      </x:c>
      <x:c r="CP86" s="8"/>
      <x:c r="CQ86" s="8" t="str">
        <x:v>Nelson</x:v>
      </x:c>
    </x:row>
    <x:row r="87">
      <x:c r="A87" s="8" t="str">
        <x:v>Castlegar|2020</x:v>
      </x:c>
      <x:c r="B87" s="8" t="str">
        <x:v>castlegar-c</x:v>
      </x:c>
      <x:c r="C87" s="8" t="str">
        <x:v>Castlegar</x:v>
      </x:c>
      <x:c r="D87" s="8" t="str">
        <x:v>Castlegar</x:v>
      </x:c>
      <x:c r="E87" s="8" t="str">
        <x:v>C</x:v>
      </x:c>
      <x:c r="F87" s="8" t="str">
        <x:v>CKO</x:v>
      </x:c>
      <x:c r="G87" s="9" t="n">
        <x:v>2020</x:v>
      </x:c>
      <x:c r="H87" s="10" t="n">
        <x:v>8600</x:v>
      </x:c>
      <x:c r="I87" s="8" t="str">
        <x:v>5,000 to 19,999</x:v>
      </x:c>
      <x:c r="J87" s="11" t="n">
        <x:v>21659142</x:v>
      </x:c>
      <x:c r="K87" s="11" t="n">
        <x:v>17945460</x:v>
      </x:c>
      <x:c r="L87" s="11" t="n">
        <x:v>3713682</x:v>
      </x:c>
      <x:c r="M87" s="12" t="n">
        <x:v>0.17146025451977737</x:v>
      </x:c>
      <x:c r="N87" s="11" t="n">
        <x:v>10357591</x:v>
      </x:c>
      <x:c r="O87" s="11" t="n">
        <x:v>4344305</x:v>
      </x:c>
      <x:c r="P87" s="11" t="n">
        <x:v>5029263</x:v>
      </x:c>
      <x:c r="Q87" s="11" t="n">
        <x:v>1927983</x:v>
      </x:c>
      <x:c r="R87" s="11" t="n">
        <x:v>13971113</x:v>
      </x:c>
      <x:c r="S87" s="11" t="n">
        <x:v>3839551</x:v>
      </x:c>
      <x:c r="T87" s="11" t="n">
        <x:v>16515693</x:v>
      </x:c>
      <x:c r="U87" s="11" t="n">
        <x:v>12754812</x:v>
      </x:c>
      <x:c r="V87" s="11" t="n">
        <x:v>6681552</x:v>
      </x:c>
      <x:c r="W87" s="11" t="n">
        <x:v>3722647</x:v>
      </x:c>
      <x:c r="X87" s="11" t="n">
        <x:v>4384247</x:v>
      </x:c>
      <x:c r="Y87" s="11" t="n">
        <x:v>2386459</x:v>
      </x:c>
      <x:c r="Z87" s="11" t="n">
        <x:v>250992</x:v>
      </x:c>
      <x:c r="AA87" s="11" t="n">
        <x:v>6519714</x:v>
      </x:c>
      <x:c r="AB87" s="11" t="n">
        <x:v>134796</x:v>
      </x:c>
      <x:c r="AC87" s="11" t="n">
        <x:v>385788</x:v>
      </x:c>
      <x:c r="AD87" s="11" t="n">
        <x:v>3918764</x:v>
      </x:c>
      <x:c r="AE87" s="11" t="n">
        <x:v>3532106</x:v>
      </x:c>
      <x:c r="AF87" s="11" t="n">
        <x:v>15675055</x:v>
      </x:c>
      <x:c r="AG87" s="11" t="n">
        <x:v>159608634</x:v>
      </x:c>
      <x:c r="AH87" s="11" t="n">
        <x:v>79821405</x:v>
      </x:c>
      <x:c r="AI87" s="11" t="n">
        <x:v>79787229</x:v>
      </x:c>
      <x:c r="AJ87" s="11" t="n">
        <x:v>6150477</x:v>
      </x:c>
      <x:c r="AK87" s="11" t="n">
        <x:v>16071352</x:v>
      </x:c>
      <x:c r="AL87" s="11" t="n">
        <x:v>0</x:v>
      </x:c>
      <x:c r="AM87" s="12" t="n">
        <x:v>1</x:v>
      </x:c>
      <x:c r="AN87" s="12" t="n">
        <x:v>0.38269817001083667</x:v>
      </x:c>
      <x:c r="AO87" s="11" t="n">
        <x:v>17659444</x:v>
      </x:c>
      <x:c r="AP87" s="11" t="n">
        <x:v>17217997</x:v>
      </x:c>
      <x:c r="AQ87" s="12" t="n">
        <x:v>0.9750022141127433</x:v>
      </x:c>
      <x:c r="AR87" s="11" t="n">
        <x:v>2518.50488372093</x:v>
      </x:c>
      <x:c r="AS87" s="11" t="n">
        <x:v>2086.681395348837</x:v>
      </x:c>
      <x:c r="AT87" s="11" t="n">
        <x:v>776.9246511627907</x:v>
      </x:c>
      <x:c r="AU87" s="11" t="n">
        <x:v>432.8659302325581</x:v>
      </x:c>
      <x:c r="AV87" s="11" t="n">
        <x:v>758.1062790697674</x:v>
      </x:c>
      <x:c r="AW87" s="11" t="n">
        <x:v>1.2948597752754019</x:v>
      </x:c>
      <x:c r="AX87" s="12" t="n">
        <x:v>0.9013316443654172</x:v>
      </x:c>
      <x:c r="AY87" s="11"/>
      <x:c r="AZ87" s="11"/>
      <x:c r="BA87" s="11"/>
      <x:c r="BB87" s="11"/>
      <x:c r="BC87" s="11"/>
      <x:c r="BD87" s="11"/>
      <x:c r="BE87" s="11"/>
      <x:c r="BF87" s="11"/>
      <x:c r="BG87" s="11"/>
      <x:c r="BH87" s="11"/>
      <x:c r="BI87" s="11"/>
      <x:c r="BJ87" s="11"/>
      <x:c r="BK87" s="12"/>
      <x:c r="BL87" s="12"/>
      <x:c r="BM87" s="12"/>
      <x:c r="BN87" s="12"/>
      <x:c r="BO87" s="12"/>
      <x:c r="BP87" s="12"/>
      <x:c r="BQ87" s="12"/>
      <x:c r="BR87" s="12"/>
      <x:c r="BS87" s="12"/>
      <x:c r="BT87" s="12"/>
      <x:c r="BU87" s="11" t="n">
        <x:v>1181835</x:v>
      </x:c>
      <x:c r="BV87" s="11" t="n">
        <x:v>2740232</x:v>
      </x:c>
      <x:c r="BW87" s="11" t="n">
        <x:v>1107196</x:v>
      </x:c>
      <x:c r="BX87" s="11" t="n">
        <x:v>129891</x:v>
      </x:c>
      <x:c r="BY87" s="11" t="n">
        <x:v>0</x:v>
      </x:c>
      <x:c r="BZ87" s="11" t="n">
        <x:v>214413</x:v>
      </x:c>
      <x:c r="CA87" s="11" t="n">
        <x:v>677729</x:v>
      </x:c>
      <x:c r="CB87" s="11" t="n">
        <x:v>905950</x:v>
      </x:c>
      <x:c r="CC87" s="11" t="n">
        <x:v>2950160</x:v>
      </x:c>
      <x:c r="CD87" s="11" t="n">
        <x:v>2895037</x:v>
      </x:c>
      <x:c r="CE87" s="11" t="n">
        <x:v>605661</x:v>
      </x:c>
      <x:c r="CF87" s="11" t="n">
        <x:v>139586</x:v>
      </x:c>
      <x:c r="CG87" s="11" t="n">
        <x:v>429882</x:v>
      </x:c>
      <x:c r="CH87" s="11" t="n">
        <x:v>2586693</x:v>
      </x:c>
      <x:c r="CI87" s="11" t="n">
        <x:v>1305047</x:v>
      </x:c>
      <x:c r="CJ87" s="11" t="n">
        <x:v>1001946</x:v>
      </x:c>
      <x:c r="CK87" s="11" t="n">
        <x:v>931461</x:v>
      </x:c>
      <x:c r="CL87" s="11" t="n">
        <x:v>1260436</x:v>
      </x:c>
      <x:c r="CM87" s="11"/>
      <x:c r="CN87" s="11" t="n">
        <x:v>0</x:v>
      </x:c>
      <x:c r="CO87" s="11" t="n">
        <x:v>0</x:v>
      </x:c>
      <x:c r="CP87" s="8"/>
      <x:c r="CQ87" s="8" t="str">
        <x:v>New Denver</x:v>
      </x:c>
    </x:row>
    <x:row r="88">
      <x:c r="A88" s="8" t="str">
        <x:v>Castlegar|2021</x:v>
      </x:c>
      <x:c r="B88" s="8" t="str">
        <x:v>castlegar-c</x:v>
      </x:c>
      <x:c r="C88" s="8" t="str">
        <x:v>Castlegar</x:v>
      </x:c>
      <x:c r="D88" s="8" t="str">
        <x:v>Castlegar</x:v>
      </x:c>
      <x:c r="E88" s="8" t="str">
        <x:v>C</x:v>
      </x:c>
      <x:c r="F88" s="8" t="str">
        <x:v>CKO</x:v>
      </x:c>
      <x:c r="G88" s="9" t="n">
        <x:v>2021</x:v>
      </x:c>
      <x:c r="H88" s="10" t="n">
        <x:v>8570</x:v>
      </x:c>
      <x:c r="I88" s="8" t="str">
        <x:v>5,000 to 19,999</x:v>
      </x:c>
      <x:c r="J88" s="11" t="n">
        <x:v>19466527</x:v>
      </x:c>
      <x:c r="K88" s="11" t="n">
        <x:v>19599585</x:v>
      </x:c>
      <x:c r="L88" s="11" t="n">
        <x:v>-133058</x:v>
      </x:c>
      <x:c r="M88" s="12" t="n">
        <x:v>-0.006835220273241344</x:v>
      </x:c>
      <x:c r="N88" s="11" t="n">
        <x:v>10838865</x:v>
      </x:c>
      <x:c r="O88" s="11" t="n">
        <x:v>4900471</x:v>
      </x:c>
      <x:c r="P88" s="11" t="n">
        <x:v>3153837</x:v>
      </x:c>
      <x:c r="Q88" s="11" t="n">
        <x:v>573354</x:v>
      </x:c>
      <x:c r="R88" s="11" t="n">
        <x:v>15404724</x:v>
      </x:c>
      <x:c r="S88" s="11" t="n">
        <x:v>4038057</x:v>
      </x:c>
      <x:c r="T88" s="11" t="n">
        <x:v>17214850</x:v>
      </x:c>
      <x:c r="U88" s="11" t="n">
        <x:v>19012593</x:v>
      </x:c>
      <x:c r="V88" s="11" t="n">
        <x:v>1471130</x:v>
      </x:c>
      <x:c r="W88" s="11" t="n">
        <x:v>3028971</x:v>
      </x:c>
      <x:c r="X88" s="11" t="n">
        <x:v>6519169</x:v>
      </x:c>
      <x:c r="Y88" s="11" t="n">
        <x:v>6738982</x:v>
      </x:c>
      <x:c r="Z88" s="11" t="n">
        <x:v>745598</x:v>
      </x:c>
      <x:c r="AA88" s="11" t="n">
        <x:v>12512553</x:v>
      </x:c>
      <x:c r="AB88" s="11" t="n">
        <x:v>156804</x:v>
      </x:c>
      <x:c r="AC88" s="11" t="n">
        <x:v>902402</x:v>
      </x:c>
      <x:c r="AD88" s="11" t="n">
        <x:v>4044093</x:v>
      </x:c>
      <x:c r="AE88" s="11" t="n">
        <x:v>3141691</x:v>
      </x:c>
      <x:c r="AF88" s="11" t="n">
        <x:v>16176373</x:v>
      </x:c>
      <x:c r="AG88" s="11" t="n">
        <x:v>168549393</x:v>
      </x:c>
      <x:c r="AH88" s="11" t="n">
        <x:v>83766298</x:v>
      </x:c>
      <x:c r="AI88" s="11" t="n">
        <x:v>84783095</x:v>
      </x:c>
      <x:c r="AJ88" s="11" t="n">
        <x:v>9406626</x:v>
      </x:c>
      <x:c r="AK88" s="11" t="n">
        <x:v>16449168</x:v>
      </x:c>
      <x:c r="AL88" s="11" t="n">
        <x:v>0</x:v>
      </x:c>
      <x:c r="AM88" s="12" t="n">
        <x:v>1</x:v>
      </x:c>
      <x:c r="AN88" s="12" t="n">
        <x:v>0.571860291049371</x:v>
      </x:c>
      <x:c r="AO88" s="11" t="n">
        <x:v>18668081</x:v>
      </x:c>
      <x:c r="AP88" s="11" t="n">
        <x:v>18150259</x:v>
      </x:c>
      <x:c r="AQ88" s="12" t="n">
        <x:v>0.9722616373905812</x:v>
      </x:c>
      <x:c r="AR88" s="11" t="n">
        <x:v>2271.4733955659276</x:v>
      </x:c>
      <x:c r="AS88" s="11" t="n">
        <x:v>2286.9994165694284</x:v>
      </x:c>
      <x:c r="AT88" s="11" t="n">
        <x:v>171.66044340723454</x:v>
      </x:c>
      <x:c r="AU88" s="11" t="n">
        <x:v>353.43885647607937</x:v>
      </x:c>
      <x:c r="AV88" s="11" t="n">
        <x:v>1460.0411901983664</x:v>
      </x:c>
      <x:c r="AW88" s="11" t="n">
        <x:v>0.9054446176805026</x:v>
      </x:c>
      <x:c r="AX88" s="12" t="n">
        <x:v>0.77685923642211</x:v>
      </x:c>
      <x:c r="AY88" s="11"/>
      <x:c r="AZ88" s="11"/>
      <x:c r="BA88" s="11"/>
      <x:c r="BB88" s="11"/>
      <x:c r="BC88" s="11"/>
      <x:c r="BD88" s="11"/>
      <x:c r="BE88" s="11"/>
      <x:c r="BF88" s="11"/>
      <x:c r="BG88" s="11"/>
      <x:c r="BH88" s="11"/>
      <x:c r="BI88" s="11"/>
      <x:c r="BJ88" s="11"/>
      <x:c r="BK88" s="12"/>
      <x:c r="BL88" s="12"/>
      <x:c r="BM88" s="12"/>
      <x:c r="BN88" s="12"/>
      <x:c r="BO88" s="12"/>
      <x:c r="BP88" s="12"/>
      <x:c r="BQ88" s="12"/>
      <x:c r="BR88" s="12"/>
      <x:c r="BS88" s="12"/>
      <x:c r="BT88" s="12"/>
      <x:c r="BU88" s="11" t="n">
        <x:v>899060</x:v>
      </x:c>
      <x:c r="BV88" s="11" t="n">
        <x:v>575061</x:v>
      </x:c>
      <x:c r="BW88" s="11" t="n">
        <x:v>1679716</x:v>
      </x:c>
      <x:c r="BX88" s="11" t="n">
        <x:v>126606</x:v>
      </x:c>
      <x:c r="BY88" s="11" t="n">
        <x:v>0</x:v>
      </x:c>
      <x:c r="BZ88" s="11" t="n">
        <x:v>0</x:v>
      </x:c>
      <x:c r="CA88" s="11" t="n">
        <x:v>0</x:v>
      </x:c>
      <x:c r="CB88" s="11" t="n">
        <x:v>446748</x:v>
      </x:c>
      <x:c r="CC88" s="11" t="n">
        <x:v>2810758</x:v>
      </x:c>
      <x:c r="CD88" s="11" t="n">
        <x:v>3028313</x:v>
      </x:c>
      <x:c r="CE88" s="11" t="n">
        <x:v>653136</x:v>
      </x:c>
      <x:c r="CF88" s="11" t="n">
        <x:v>132126</x:v>
      </x:c>
      <x:c r="CG88" s="11" t="n">
        <x:v>575528</x:v>
      </x:c>
      <x:c r="CH88" s="11" t="n">
        <x:v>3431254</x:v>
      </x:c>
      <x:c r="CI88" s="11" t="n">
        <x:v>1380636</x:v>
      </x:c>
      <x:c r="CJ88" s="11" t="n">
        <x:v>1187607</x:v>
      </x:c>
      <x:c r="CK88" s="11" t="n">
        <x:v>928951</x:v>
      </x:c>
      <x:c r="CL88" s="11" t="n">
        <x:v>1433219</x:v>
      </x:c>
      <x:c r="CM88" s="11"/>
      <x:c r="CN88" s="11" t="n">
        <x:v>0</x:v>
      </x:c>
      <x:c r="CO88" s="11" t="n">
        <x:v>0</x:v>
      </x:c>
      <x:c r="CP88" s="8"/>
      <x:c r="CQ88" s="8" t="str">
        <x:v>New Hazelton</x:v>
      </x:c>
    </x:row>
    <x:row r="89">
      <x:c r="A89" s="8" t="str">
        <x:v>Castlegar|2022</x:v>
      </x:c>
      <x:c r="B89" s="8" t="str">
        <x:v>castlegar-c</x:v>
      </x:c>
      <x:c r="C89" s="8" t="str">
        <x:v>Castlegar</x:v>
      </x:c>
      <x:c r="D89" s="8" t="str">
        <x:v>Castlegar</x:v>
      </x:c>
      <x:c r="E89" s="8" t="str">
        <x:v>C</x:v>
      </x:c>
      <x:c r="F89" s="8" t="str">
        <x:v>CKO</x:v>
      </x:c>
      <x:c r="G89" s="9" t="n">
        <x:v>2022</x:v>
      </x:c>
      <x:c r="H89" s="10" t="n">
        <x:v>8744</x:v>
      </x:c>
      <x:c r="I89" s="8" t="str">
        <x:v>5,000 to 19,999</x:v>
      </x:c>
      <x:c r="J89" s="11" t="n">
        <x:v>22045811</x:v>
      </x:c>
      <x:c r="K89" s="11" t="n">
        <x:v>21528749</x:v>
      </x:c>
      <x:c r="L89" s="11" t="n">
        <x:v>517062</x:v>
      </x:c>
      <x:c r="M89" s="12" t="n">
        <x:v>0.02345397953379896</x:v>
      </x:c>
      <x:c r="N89" s="11" t="n">
        <x:v>11655807</x:v>
      </x:c>
      <x:c r="O89" s="11" t="n">
        <x:v>6429307</x:v>
      </x:c>
      <x:c r="P89" s="11" t="n">
        <x:v>2750102</x:v>
      </x:c>
      <x:c r="Q89" s="11" t="n">
        <x:v>1210595</x:v>
      </x:c>
      <x:c r="R89" s="11" t="n">
        <x:v>17306593</x:v>
      </x:c>
      <x:c r="S89" s="11" t="n">
        <x:v>3898674</x:v>
      </x:c>
      <x:c r="T89" s="11" t="n">
        <x:v>20688680</x:v>
      </x:c>
      <x:c r="U89" s="11" t="n">
        <x:v>20013109</x:v>
      </x:c>
      <x:c r="V89" s="11" t="n">
        <x:v>3285466</x:v>
      </x:c>
      <x:c r="W89" s="11" t="n">
        <x:v>3219786</x:v>
      </x:c>
      <x:c r="X89" s="11" t="n">
        <x:v>12512553</x:v>
      </x:c>
      <x:c r="Y89" s="11" t="n">
        <x:v>0</x:v>
      </x:c>
      <x:c r="Z89" s="11" t="n">
        <x:v>347096</x:v>
      </x:c>
      <x:c r="AA89" s="11" t="n">
        <x:v>12156990</x:v>
      </x:c>
      <x:c r="AB89" s="11" t="n">
        <x:v>323482</x:v>
      </x:c>
      <x:c r="AC89" s="11" t="n">
        <x:v>670578</x:v>
      </x:c>
      <x:c r="AD89" s="11" t="n">
        <x:v>4713587</x:v>
      </x:c>
      <x:c r="AE89" s="11" t="n">
        <x:v>4043009</x:v>
      </x:c>
      <x:c r="AF89" s="11" t="n">
        <x:v>18854349</x:v>
      </x:c>
      <x:c r="AG89" s="11" t="n">
        <x:v>169084446</x:v>
      </x:c>
      <x:c r="AH89" s="11" t="n">
        <x:v>85931150</x:v>
      </x:c>
      <x:c r="AI89" s="11" t="n">
        <x:v>83153296</x:v>
      </x:c>
      <x:c r="AJ89" s="11" t="n">
        <x:v>2553191</x:v>
      </x:c>
      <x:c r="AK89" s="11" t="n">
        <x:v>16483568</x:v>
      </x:c>
      <x:c r="AL89" s="11" t="n">
        <x:v>0</x:v>
      </x:c>
      <x:c r="AM89" s="12" t="n">
        <x:v>1</x:v>
      </x:c>
      <x:c r="AN89" s="12" t="n">
        <x:v>0.15489310324075467</x:v>
      </x:c>
      <x:c r="AO89" s="11" t="n">
        <x:v>19761946</x:v>
      </x:c>
      <x:c r="AP89" s="11" t="n">
        <x:v>19083141</x:v>
      </x:c>
      <x:c r="AQ89" s="12" t="n">
        <x:v>0.9656509030031759</x:v>
      </x:c>
      <x:c r="AR89" s="11" t="n">
        <x:v>2521.2501143641352</x:v>
      </x:c>
      <x:c r="AS89" s="11" t="n">
        <x:v>2462.1167657822507</x:v>
      </x:c>
      <x:c r="AT89" s="11" t="n">
        <x:v>375.73947849954254</x:v>
      </x:c>
      <x:c r="AU89" s="11" t="n">
        <x:v>368.22804208600184</x:v>
      </x:c>
      <x:c r="AV89" s="11" t="n">
        <x:v>1390.323650503202</x:v>
      </x:c>
      <x:c r="AW89" s="11" t="n">
        <x:v>1.0337564243516586</x:v>
      </x:c>
      <x:c r="AX89" s="12" t="n">
        <x:v>0.8577350964350504</x:v>
      </x:c>
      <x:c r="AY89" s="11"/>
      <x:c r="AZ89" s="11"/>
      <x:c r="BA89" s="11"/>
      <x:c r="BB89" s="11"/>
      <x:c r="BC89" s="11"/>
      <x:c r="BD89" s="11"/>
      <x:c r="BE89" s="11"/>
      <x:c r="BF89" s="11"/>
      <x:c r="BG89" s="11"/>
      <x:c r="BH89" s="11"/>
      <x:c r="BI89" s="11"/>
      <x:c r="BJ89" s="11"/>
      <x:c r="BK89" s="12"/>
      <x:c r="BL89" s="12"/>
      <x:c r="BM89" s="12"/>
      <x:c r="BN89" s="12"/>
      <x:c r="BO89" s="12"/>
      <x:c r="BP89" s="12"/>
      <x:c r="BQ89" s="12"/>
      <x:c r="BR89" s="12"/>
      <x:c r="BS89" s="12"/>
      <x:c r="BT89" s="12"/>
      <x:c r="BU89" s="11" t="n">
        <x:v>516848</x:v>
      </x:c>
      <x:c r="BV89" s="11" t="n">
        <x:v>1789412</x:v>
      </x:c>
      <x:c r="BW89" s="11" t="n">
        <x:v>443842</x:v>
      </x:c>
      <x:c r="BX89" s="11" t="n">
        <x:v>519361</x:v>
      </x:c>
      <x:c r="BY89" s="11" t="n">
        <x:v>0</x:v>
      </x:c>
      <x:c r="BZ89" s="11" t="n">
        <x:v>206936</x:v>
      </x:c>
      <x:c r="CA89" s="11" t="n">
        <x:v>484298</x:v>
      </x:c>
      <x:c r="CB89" s="11" t="n">
        <x:v>0</x:v>
      </x:c>
      <x:c r="CC89" s="11" t="n">
        <x:v>3578990</x:v>
      </x:c>
      <x:c r="CD89" s="11" t="n">
        <x:v>3267829</x:v>
      </x:c>
      <x:c r="CE89" s="11" t="n">
        <x:v>683859</x:v>
      </x:c>
      <x:c r="CF89" s="11" t="n">
        <x:v>123455</x:v>
      </x:c>
      <x:c r="CG89" s="11" t="n">
        <x:v>536267</x:v>
      </x:c>
      <x:c r="CH89" s="11" t="n">
        <x:v>3622065</x:v>
      </x:c>
      <x:c r="CI89" s="11" t="n">
        <x:v>1436141</x:v>
      </x:c>
      <x:c r="CJ89" s="11" t="n">
        <x:v>1106898</x:v>
      </x:c>
      <x:c r="CK89" s="11" t="n">
        <x:v>1603694</x:v>
      </x:c>
      <x:c r="CL89" s="11" t="n">
        <x:v>1670877</x:v>
      </x:c>
      <x:c r="CM89" s="11"/>
      <x:c r="CN89" s="11" t="n">
        <x:v>0</x:v>
      </x:c>
      <x:c r="CO89" s="11" t="n">
        <x:v>0</x:v>
      </x:c>
      <x:c r="CP89" s="8"/>
      <x:c r="CQ89" s="8" t="str">
        <x:v>New Westminster</x:v>
      </x:c>
    </x:row>
    <x:row r="90">
      <x:c r="A90" s="8" t="str">
        <x:v>Castlegar|2023</x:v>
      </x:c>
      <x:c r="B90" s="8" t="str">
        <x:v>castlegar-c</x:v>
      </x:c>
      <x:c r="C90" s="8" t="str">
        <x:v>Castlegar</x:v>
      </x:c>
      <x:c r="D90" s="8" t="str">
        <x:v>Castlegar</x:v>
      </x:c>
      <x:c r="E90" s="8" t="str">
        <x:v>C</x:v>
      </x:c>
      <x:c r="F90" s="8" t="str">
        <x:v>CKO</x:v>
      </x:c>
      <x:c r="G90" s="9" t="n">
        <x:v>2023</x:v>
      </x:c>
      <x:c r="H90" s="10" t="n">
        <x:v>9042</x:v>
      </x:c>
      <x:c r="I90" s="8" t="str">
        <x:v>5,000 to 19,999</x:v>
      </x:c>
      <x:c r="J90" s="11" t="n">
        <x:v>28124591</x:v>
      </x:c>
      <x:c r="K90" s="11" t="n">
        <x:v>24152981</x:v>
      </x:c>
      <x:c r="L90" s="11" t="n">
        <x:v>3971610</x:v>
      </x:c>
      <x:c r="M90" s="12" t="n">
        <x:v>0.1412148535777818</x:v>
      </x:c>
      <x:c r="N90" s="11" t="n">
        <x:v>12191137</x:v>
      </x:c>
      <x:c r="O90" s="11" t="n">
        <x:v>6831347</x:v>
      </x:c>
      <x:c r="P90" s="11" t="n">
        <x:v>7679987</x:v>
      </x:c>
      <x:c r="Q90" s="11" t="n">
        <x:v>1422120</x:v>
      </x:c>
      <x:c r="R90" s="11" t="n">
        <x:v>19242985</x:v>
      </x:c>
      <x:c r="S90" s="11" t="n">
        <x:v>4414957</x:v>
      </x:c>
      <x:c r="T90" s="11" t="n">
        <x:v>21731147</x:v>
      </x:c>
      <x:c r="U90" s="11" t="n">
        <x:v>20653367</x:v>
      </x:c>
      <x:c r="V90" s="11" t="n">
        <x:v>6094798</x:v>
      </x:c>
      <x:c r="W90" s="11" t="n">
        <x:v>3554928</x:v>
      </x:c>
      <x:c r="X90" s="11" t="n">
        <x:v>12156990</x:v>
      </x:c>
      <x:c r="Y90" s="11" t="n">
        <x:v>0</x:v>
      </x:c>
      <x:c r="Z90" s="11" t="n">
        <x:v>191281</x:v>
      </x:c>
      <x:c r="AA90" s="11" t="n">
        <x:v>11951852</x:v>
      </x:c>
      <x:c r="AB90" s="11" t="n">
        <x:v>495039</x:v>
      </x:c>
      <x:c r="AC90" s="11" t="n">
        <x:v>686320</x:v>
      </x:c>
      <x:c r="AD90" s="11" t="n">
        <x:v>5052554</x:v>
      </x:c>
      <x:c r="AE90" s="11" t="n">
        <x:v>3796454</x:v>
      </x:c>
      <x:c r="AF90" s="11" t="n">
        <x:v>20210215</x:v>
      </x:c>
      <x:c r="AG90" s="11" t="n">
        <x:v>173703693</x:v>
      </x:c>
      <x:c r="AH90" s="11" t="n">
        <x:v>90422300</x:v>
      </x:c>
      <x:c r="AI90" s="11" t="n">
        <x:v>83281393</x:v>
      </x:c>
      <x:c r="AJ90" s="11" t="n">
        <x:v>4239786</x:v>
      </x:c>
      <x:c r="AK90" s="11" t="n">
        <x:v>18153105</x:v>
      </x:c>
      <x:c r="AL90" s="11" t="n">
        <x:v>0</x:v>
      </x:c>
      <x:c r="AM90" s="12" t="n">
        <x:v>1</x:v>
      </x:c>
      <x:c r="AN90" s="12" t="n">
        <x:v>0.23355706916254823</x:v>
      </x:c>
      <x:c r="AO90" s="11" t="n">
        <x:v>21730627</x:v>
      </x:c>
      <x:c r="AP90" s="11" t="n">
        <x:v>20893034</x:v>
      </x:c>
      <x:c r="AQ90" s="12" t="n">
        <x:v>0.9614556450672131</x:v>
      </x:c>
      <x:c r="AR90" s="11" t="n">
        <x:v>3110.4391727493917</x:v>
      </x:c>
      <x:c r="AS90" s="11" t="n">
        <x:v>2671.1989604069895</x:v>
      </x:c>
      <x:c r="AT90" s="11" t="n">
        <x:v>674.0541915505419</x:v>
      </x:c>
      <x:c r="AU90" s="11" t="n">
        <x:v>393.15726609157264</x:v>
      </x:c>
      <x:c r="AV90" s="11" t="n">
        <x:v>1321.8150851581509</x:v>
      </x:c>
      <x:c r="AW90" s="11" t="n">
        <x:v>1.052184227394981</x:v>
      </x:c>
      <x:c r="AX90" s="12" t="n">
        <x:v>0.7513930578475757</x:v>
      </x:c>
      <x:c r="AY90" s="11"/>
      <x:c r="AZ90" s="11"/>
      <x:c r="BA90" s="11"/>
      <x:c r="BB90" s="11"/>
      <x:c r="BC90" s="11"/>
      <x:c r="BD90" s="11"/>
      <x:c r="BE90" s="11"/>
      <x:c r="BF90" s="11"/>
      <x:c r="BG90" s="11"/>
      <x:c r="BH90" s="11"/>
      <x:c r="BI90" s="11"/>
      <x:c r="BJ90" s="11"/>
      <x:c r="BK90" s="12"/>
      <x:c r="BL90" s="12"/>
      <x:c r="BM90" s="12"/>
      <x:c r="BN90" s="12"/>
      <x:c r="BO90" s="12"/>
      <x:c r="BP90" s="12"/>
      <x:c r="BQ90" s="12"/>
      <x:c r="BR90" s="12"/>
      <x:c r="BS90" s="12"/>
      <x:c r="BT90" s="12"/>
      <x:c r="BU90" s="11" t="n">
        <x:v>167333</x:v>
      </x:c>
      <x:c r="BV90" s="11" t="n">
        <x:v>5650823</x:v>
      </x:c>
      <x:c r="BW90" s="11" t="n">
        <x:v>1861831</x:v>
      </x:c>
      <x:c r="BX90" s="11" t="n">
        <x:v>1224823</x:v>
      </x:c>
      <x:c r="BY90" s="11" t="n">
        <x:v>0</x:v>
      </x:c>
      <x:c r="BZ90" s="11" t="n">
        <x:v>192587</x:v>
      </x:c>
      <x:c r="CA90" s="11" t="n">
        <x:v>4710</x:v>
      </x:c>
      <x:c r="CB90" s="11" t="n">
        <x:v>0</x:v>
      </x:c>
      <x:c r="CC90" s="11" t="n">
        <x:v>3779965</x:v>
      </x:c>
      <x:c r="CD90" s="11" t="n">
        <x:v>3690253</x:v>
      </x:c>
      <x:c r="CE90" s="11" t="n">
        <x:v>1280045</x:v>
      </x:c>
      <x:c r="CF90" s="11" t="n">
        <x:v>188766</x:v>
      </x:c>
      <x:c r="CG90" s="11" t="n">
        <x:v>761471</x:v>
      </x:c>
      <x:c r="CH90" s="11" t="n">
        <x:v>3943097</x:v>
      </x:c>
      <x:c r="CI90" s="11" t="n">
        <x:v>1502049</x:v>
      </x:c>
      <x:c r="CJ90" s="11" t="n">
        <x:v>1350242</x:v>
      </x:c>
      <x:c r="CK90" s="11" t="n">
        <x:v>1486466</x:v>
      </x:c>
      <x:c r="CL90" s="11" t="n">
        <x:v>1698778</x:v>
      </x:c>
      <x:c r="CM90" s="11" t="n">
        <x:v>56892</x:v>
      </x:c>
      <x:c r="CN90" s="11" t="n">
        <x:v>0</x:v>
      </x:c>
      <x:c r="CO90" s="11" t="n">
        <x:v>0</x:v>
      </x:c>
      <x:c r="CP90" s="8"/>
      <x:c r="CQ90" s="8" t="str">
        <x:v>North Cowichan</x:v>
      </x:c>
    </x:row>
    <x:row r="91">
      <x:c r="A91" s="8" t="str">
        <x:v>Castlegar|2024</x:v>
      </x:c>
      <x:c r="B91" s="8" t="str">
        <x:v>castlegar-c</x:v>
      </x:c>
      <x:c r="C91" s="8" t="str">
        <x:v>Castlegar</x:v>
      </x:c>
      <x:c r="D91" s="8" t="str">
        <x:v>Castlegar</x:v>
      </x:c>
      <x:c r="E91" s="8" t="str">
        <x:v>C</x:v>
      </x:c>
      <x:c r="F91" s="8" t="str">
        <x:v>CKO</x:v>
      </x:c>
      <x:c r="G91" s="9" t="n">
        <x:v>2024</x:v>
      </x:c>
      <x:c r="H91" s="10" t="n">
        <x:v>9042</x:v>
      </x:c>
      <x:c r="I91" s="8" t="str">
        <x:v>5,000 to 19,999</x:v>
      </x:c>
      <x:c r="J91" s="11" t="n">
        <x:v>28401585</x:v>
      </x:c>
      <x:c r="K91" s="11" t="n">
        <x:v>26118271</x:v>
      </x:c>
      <x:c r="L91" s="11" t="n">
        <x:v>2283314</x:v>
      </x:c>
      <x:c r="M91" s="12" t="n">
        <x:v>0.08039389350981645</x:v>
      </x:c>
      <x:c r="N91" s="11" t="n">
        <x:v>13031654</x:v>
      </x:c>
      <x:c r="O91" s="11" t="n">
        <x:v>7044300</x:v>
      </x:c>
      <x:c r="P91" s="11" t="n">
        <x:v>3693550</x:v>
      </x:c>
      <x:c r="Q91" s="11" t="n">
        <x:v>4632081</x:v>
      </x:c>
      <x:c r="R91" s="11" t="n">
        <x:v>20991639</x:v>
      </x:c>
      <x:c r="S91" s="11" t="n">
        <x:v>4521652</x:v>
      </x:c>
      <x:c r="T91" s="11" t="n">
        <x:v>21385443</x:v>
      </x:c>
      <x:c r="U91" s="11" t="n">
        <x:v>26171405</x:v>
      </x:c>
      <x:c r="V91" s="11" t="n">
        <x:v>2359694</x:v>
      </x:c>
      <x:c r="W91" s="11" t="n">
        <x:v>3822959</x:v>
      </x:c>
      <x:c r="X91" s="11" t="n">
        <x:v>11951852</x:v>
      </x:c>
      <x:c r="Y91" s="11" t="n">
        <x:v>3976032</x:v>
      </x:c>
      <x:c r="Z91" s="11" t="n">
        <x:v>191281</x:v>
      </x:c>
      <x:c r="AA91" s="11" t="n">
        <x:v>15717210</x:v>
      </x:c>
      <x:c r="AB91" s="11" t="n">
        <x:v>604980</x:v>
      </x:c>
      <x:c r="AC91" s="11" t="n">
        <x:v>796261</x:v>
      </x:c>
      <x:c r="AD91" s="11" t="n">
        <x:v>5479801</x:v>
      </x:c>
      <x:c r="AE91" s="11" t="n">
        <x:v>4466722</x:v>
      </x:c>
      <x:c r="AF91" s="11" t="n">
        <x:v>21919205</x:v>
      </x:c>
      <x:c r="AG91" s="11" t="n">
        <x:v>184523584</x:v>
      </x:c>
      <x:c r="AH91" s="11" t="n">
        <x:v>94870247</x:v>
      </x:c>
      <x:c r="AI91" s="11" t="n">
        <x:v>89653337</x:v>
      </x:c>
      <x:c r="AJ91" s="11" t="n">
        <x:v>11063476</x:v>
      </x:c>
      <x:c r="AK91" s="11" t="n">
        <x:v>418113487</x:v>
      </x:c>
      <x:c r="AL91" s="11" t="n">
        <x:v>9985216</x:v>
      </x:c>
      <x:c r="AM91" s="12" t="n">
        <x:v>0.9761184072973949</x:v>
      </x:c>
      <x:c r="AN91" s="12" t="n">
        <x:v>0.026460461917603723</x:v>
      </x:c>
      <x:c r="AO91" s="11" t="n">
        <x:v>22952101</x:v>
      </x:c>
      <x:c r="AP91" s="11" t="n">
        <x:v>22285798</x:v>
      </x:c>
      <x:c r="AQ91" s="12" t="n">
        <x:v>0.9709698471612686</x:v>
      </x:c>
      <x:c r="AR91" s="11" t="n">
        <x:v>3141.0733244857333</x:v>
      </x:c>
      <x:c r="AS91" s="11" t="n">
        <x:v>2888.550210130502</x:v>
      </x:c>
      <x:c r="AT91" s="11" t="n">
        <x:v>260.9703605397036</x:v>
      </x:c>
      <x:c r="AU91" s="11" t="n">
        <x:v>422.80015483300156</x:v>
      </x:c>
      <x:c r="AV91" s="11" t="n">
        <x:v>1738.2448573324486</x:v>
      </x:c>
      <x:c r="AW91" s="11" t="n">
        <x:v>0.8171301082230779</x:v>
      </x:c>
      <x:c r="AX91" s="12" t="n">
        <x:v>0.8151248558113698</x:v>
      </x:c>
      <x:c r="AY91" s="11" t="n">
        <x:v>3601.3561989291247</x:v>
      </x:c>
      <x:c r="AZ91" s="11" t="n">
        <x:v>3546.5079302077975</x:v>
      </x:c>
      <x:c r="BA91" s="11" t="n">
        <x:v>2957.8976990295423</x:v>
      </x:c>
      <x:c r="BB91" s="11" t="n">
        <x:v>2783.665107049771</x:v>
      </x:c>
      <x:c r="BC91" s="11" t="n">
        <x:v>1917.0647247750476</x:v>
      </x:c>
      <x:c r="BD91" s="11" t="n">
        <x:v>2437.8724475115623</x:v>
      </x:c>
      <x:c r="BE91" s="11" t="n">
        <x:v>987.5598464714869</x:v>
      </x:c>
      <x:c r="BF91" s="11" t="n">
        <x:v>1604.3462673977224</x:v>
      </x:c>
      <x:c r="BG91" s="11" t="n">
        <x:v>936.3446522221191</x:v>
      </x:c>
      <x:c r="BH91" s="11" t="n">
        <x:v>518.5374381567245</x:v>
      </x:c>
      <x:c r="BI91" s="11" t="n">
        <x:v>1.3967465323081123</x:v>
      </x:c>
      <x:c r="BJ91" s="11" t="n">
        <x:v>1.7099330852451193</x:v>
      </x:c>
      <x:c r="BK91" s="12" t="n">
        <x:v>0.018327243000235003</x:v>
      </x:c>
      <x:c r="BL91" s="12" t="n">
        <x:v>0.02529861000232605</x:v>
      </x:c>
      <x:c r="BM91" s="12" t="n">
        <x:v>0.982034678745671</x:v>
      </x:c>
      <x:c r="BN91" s="12" t="n">
        <x:v>0.9815511712696461</x:v>
      </x:c>
      <x:c r="BO91" s="12" t="n">
        <x:v>0.7988058564062199</x:v>
      </x:c>
      <x:c r="BP91" s="12" t="n">
        <x:v>0.8619101997275483</x:v>
      </x:c>
      <x:c r="BQ91" s="12" t="n">
        <x:v>0.970292410805516</x:v>
      </x:c>
      <x:c r="BR91" s="12" t="n">
        <x:v>0.9623635142836453</x:v>
      </x:c>
      <x:c r="BS91" s="12" t="n">
        <x:v>0.19624174475580758</x:v>
      </x:c>
      <x:c r="BT91" s="12" t="n">
        <x:v>0.19976549769108282</x:v>
      </x:c>
      <x:c r="BU91" s="11" t="n">
        <x:v>454953</x:v>
      </x:c>
      <x:c r="BV91" s="11" t="n">
        <x:v>2840436</x:v>
      </x:c>
      <x:c r="BW91" s="11" t="n">
        <x:v>398161</x:v>
      </x:c>
      <x:c r="BX91" s="11" t="n">
        <x:v>1089176</x:v>
      </x:c>
      <x:c r="BY91" s="11" t="n">
        <x:v>0</x:v>
      </x:c>
      <x:c r="BZ91" s="11" t="n">
        <x:v>2172270</x:v>
      </x:c>
      <x:c r="CA91" s="11" t="n">
        <x:v>64634</x:v>
      </x:c>
      <x:c r="CB91" s="11" t="n">
        <x:v>1306001</x:v>
      </x:c>
      <x:c r="CC91" s="11" t="n">
        <x:v>3912428</x:v>
      </x:c>
      <x:c r="CD91" s="11" t="n">
        <x:v>4681641</x:v>
      </x:c>
      <x:c r="CE91" s="11" t="n">
        <x:v>1170033</x:v>
      </x:c>
      <x:c r="CF91" s="11" t="n">
        <x:v>179795</x:v>
      </x:c>
      <x:c r="CG91" s="11" t="n">
        <x:v>674852</x:v>
      </x:c>
      <x:c r="CH91" s="11" t="n">
        <x:v>4424362</x:v>
      </x:c>
      <x:c r="CI91" s="11" t="n">
        <x:v>1871201</x:v>
      </x:c>
      <x:c r="CJ91" s="11" t="n">
        <x:v>1431719</x:v>
      </x:c>
      <x:c r="CK91" s="11" t="n">
        <x:v>1579881</x:v>
      </x:c>
      <x:c r="CL91" s="11" t="n">
        <x:v>1670707</x:v>
      </x:c>
      <x:c r="CM91" s="11" t="n">
        <x:v>0</x:v>
      </x:c>
      <x:c r="CN91" s="11" t="n">
        <x:v>0</x:v>
      </x:c>
      <x:c r="CO91" s="11" t="n">
        <x:v>0</x:v>
      </x:c>
      <x:c r="CP91" s="8"/>
      <x:c r="CQ91" s="8" t="str">
        <x:v>North Saanich</x:v>
      </x:c>
    </x:row>
    <x:row r="92">
      <x:c r="A92" s="8" t="str">
        <x:v>Central Saanich|2019</x:v>
      </x:c>
      <x:c r="B92" s="8" t="str">
        <x:v>central-saanich-d</x:v>
      </x:c>
      <x:c r="C92" s="8" t="str">
        <x:v>Central Saanich</x:v>
      </x:c>
      <x:c r="D92" s="8" t="str">
        <x:v>Central Saanich</x:v>
      </x:c>
      <x:c r="E92" s="8" t="str">
        <x:v>D</x:v>
      </x:c>
      <x:c r="F92" s="8" t="str">
        <x:v>CAP</x:v>
      </x:c>
      <x:c r="G92" s="9" t="n">
        <x:v>2019</x:v>
      </x:c>
      <x:c r="H92" s="10" t="n">
        <x:v>18089</x:v>
      </x:c>
      <x:c r="I92" s="8" t="str">
        <x:v>5,000 to 19,999</x:v>
      </x:c>
      <x:c r="J92" s="11" t="n">
        <x:v>32073217</x:v>
      </x:c>
      <x:c r="K92" s="11" t="n">
        <x:v>25442064</x:v>
      </x:c>
      <x:c r="L92" s="11" t="n">
        <x:v>6631153</x:v>
      </x:c>
      <x:c r="M92" s="12" t="n">
        <x:v>0.20675047969151333</x:v>
      </x:c>
      <x:c r="N92" s="11" t="n">
        <x:v>17440454</x:v>
      </x:c>
      <x:c r="O92" s="11" t="n">
        <x:v>8972615</x:v>
      </x:c>
      <x:c r="P92" s="11" t="n">
        <x:v>2032515</x:v>
      </x:c>
      <x:c r="Q92" s="11" t="n">
        <x:v>3627633</x:v>
      </x:c>
      <x:c r="R92" s="11" t="n">
        <x:v>21930111</x:v>
      </x:c>
      <x:c r="S92" s="11" t="n">
        <x:v>3159058</x:v>
      </x:c>
      <x:c r="T92" s="11" t="n">
        <x:v>37499131</x:v>
      </x:c>
      <x:c r="U92" s="11" t="n">
        <x:v>20087027</x:v>
      </x:c>
      <x:c r="V92" s="11" t="n">
        <x:v>21221307</x:v>
      </x:c>
      <x:c r="W92" s="11" t="n">
        <x:v>13152717</x:v>
      </x:c>
      <x:c r="X92" s="11" t="n">
        <x:v>9425488</x:v>
      </x:c>
      <x:c r="Y92" s="11" t="n">
        <x:v>0</x:v>
      </x:c>
      <x:c r="Z92" s="11" t="n">
        <x:v>535783</x:v>
      </x:c>
      <x:c r="AA92" s="11" t="n">
        <x:v>8792427</x:v>
      </x:c>
      <x:c r="AB92" s="11" t="n">
        <x:v>352895</x:v>
      </x:c>
      <x:c r="AC92" s="11" t="n">
        <x:v>888678</x:v>
      </x:c>
      <x:c r="AD92" s="11" t="n">
        <x:v>6962048</x:v>
      </x:c>
      <x:c r="AE92" s="11" t="n">
        <x:v>6073370</x:v>
      </x:c>
      <x:c r="AF92" s="11" t="n">
        <x:v>27848193</x:v>
      </x:c>
      <x:c r="AG92" s="11" t="n">
        <x:v>181219378</x:v>
      </x:c>
      <x:c r="AH92" s="11" t="n">
        <x:v>90520960</x:v>
      </x:c>
      <x:c r="AI92" s="11" t="n">
        <x:v>90698418</x:v>
      </x:c>
      <x:c r="AJ92" s="11" t="n">
        <x:v>5323100</x:v>
      </x:c>
      <x:c r="AK92" s="11" t="n">
        <x:v>30972766</x:v>
      </x:c>
      <x:c r="AL92" s="11" t="n">
        <x:v>0</x:v>
      </x:c>
      <x:c r="AM92" s="12" t="n">
        <x:v>1</x:v>
      </x:c>
      <x:c r="AN92" s="12" t="n">
        <x:v>0.17186388842378494</x:v>
      </x:c>
      <x:c r="AO92" s="11" t="n">
        <x:v>33886253</x:v>
      </x:c>
      <x:c r="AP92" s="11" t="n">
        <x:v>33499034</x:v>
      </x:c>
      <x:c r="AQ92" s="12" t="n">
        <x:v>0.9885729767761576</x:v>
      </x:c>
      <x:c r="AR92" s="11" t="n">
        <x:v>1773.0785007463098</x:v>
      </x:c>
      <x:c r="AS92" s="11" t="n">
        <x:v>1406.493670186301</x:v>
      </x:c>
      <x:c r="AT92" s="11" t="n">
        <x:v>1173.1608712477196</x:v>
      </x:c>
      <x:c r="AU92" s="11" t="n">
        <x:v>727.1113383824423</x:v>
      </x:c>
      <x:c r="AV92" s="11" t="n">
        <x:v>486.06484603902925</x:v>
      </x:c>
      <x:c r="AW92" s="11" t="n">
        <x:v>1.866833304898729</x:v>
      </x:c>
      <x:c r="AX92" s="12" t="n">
        <x:v>0.872353939530437</x:v>
      </x:c>
      <x:c r="AY92" s="11"/>
      <x:c r="AZ92" s="11"/>
      <x:c r="BA92" s="11"/>
      <x:c r="BB92" s="11"/>
      <x:c r="BC92" s="11"/>
      <x:c r="BD92" s="11"/>
      <x:c r="BE92" s="11"/>
      <x:c r="BF92" s="11"/>
      <x:c r="BG92" s="11"/>
      <x:c r="BH92" s="11"/>
      <x:c r="BI92" s="11"/>
      <x:c r="BJ92" s="11"/>
      <x:c r="BK92" s="12"/>
      <x:c r="BL92" s="12"/>
      <x:c r="BM92" s="12"/>
      <x:c r="BN92" s="12"/>
      <x:c r="BO92" s="12"/>
      <x:c r="BP92" s="12"/>
      <x:c r="BQ92" s="12"/>
      <x:c r="BR92" s="12"/>
      <x:c r="BS92" s="12"/>
      <x:c r="BT92" s="12"/>
      <x:c r="BU92" s="11" t="n">
        <x:v>0</x:v>
      </x:c>
      <x:c r="BV92" s="11" t="n">
        <x:v>455318</x:v>
      </x:c>
      <x:c r="BW92" s="11" t="n">
        <x:v>1577197</x:v>
      </x:c>
      <x:c r="BX92" s="11" t="n">
        <x:v>933108</x:v>
      </x:c>
      <x:c r="BY92" s="11" t="n">
        <x:v>0</x:v>
      </x:c>
      <x:c r="BZ92" s="11" t="n">
        <x:v>2521525</x:v>
      </x:c>
      <x:c r="CA92" s="11" t="n">
        <x:v>0</x:v>
      </x:c>
      <x:c r="CB92" s="11" t="n">
        <x:v>173000</x:v>
      </x:c>
      <x:c r="CC92" s="11" t="n">
        <x:v>2256689</x:v>
      </x:c>
      <x:c r="CD92" s="11" t="n">
        <x:v>8584073</x:v>
      </x:c>
      <x:c r="CE92" s="11" t="n">
        <x:v>0</x:v>
      </x:c>
      <x:c r="CF92" s="11" t="n">
        <x:v>0</x:v>
      </x:c>
      <x:c r="CG92" s="11" t="n">
        <x:v>622404</x:v>
      </x:c>
      <x:c r="CH92" s="11" t="n">
        <x:v>2825946</x:v>
      </x:c>
      <x:c r="CI92" s="11" t="n">
        <x:v>2588828</x:v>
      </x:c>
      <x:c r="CJ92" s="11" t="n">
        <x:v>4596299</x:v>
      </x:c>
      <x:c r="CK92" s="11" t="n">
        <x:v>795615</x:v>
      </x:c>
      <x:c r="CL92" s="11" t="n">
        <x:v>0</x:v>
      </x:c>
      <x:c r="CM92" s="11"/>
      <x:c r="CN92" s="11" t="n">
        <x:v>13152</x:v>
      </x:c>
      <x:c r="CO92" s="11" t="n">
        <x:v>0</x:v>
      </x:c>
      <x:c r="CP92" s="8"/>
      <x:c r="CQ92" s="8" t="str">
        <x:v>North Vancouver (City)</x:v>
      </x:c>
    </x:row>
    <x:row r="93">
      <x:c r="A93" s="8" t="str">
        <x:v>Central Saanich|2020</x:v>
      </x:c>
      <x:c r="B93" s="8" t="str">
        <x:v>central-saanich-d</x:v>
      </x:c>
      <x:c r="C93" s="8" t="str">
        <x:v>Central Saanich</x:v>
      </x:c>
      <x:c r="D93" s="8" t="str">
        <x:v>Central Saanich</x:v>
      </x:c>
      <x:c r="E93" s="8" t="str">
        <x:v>D</x:v>
      </x:c>
      <x:c r="F93" s="8" t="str">
        <x:v>CAP</x:v>
      </x:c>
      <x:c r="G93" s="9" t="n">
        <x:v>2020</x:v>
      </x:c>
      <x:c r="H93" s="10" t="n">
        <x:v>18353</x:v>
      </x:c>
      <x:c r="I93" s="8" t="str">
        <x:v>5,000 to 19,999</x:v>
      </x:c>
      <x:c r="J93" s="11" t="n">
        <x:v>34788464</x:v>
      </x:c>
      <x:c r="K93" s="11" t="n">
        <x:v>27015698</x:v>
      </x:c>
      <x:c r="L93" s="11" t="n">
        <x:v>7772766</x:v>
      </x:c>
      <x:c r="M93" s="12" t="n">
        <x:v>0.22342941039305445</x:v>
      </x:c>
      <x:c r="N93" s="11" t="n">
        <x:v>18157240</x:v>
      </x:c>
      <x:c r="O93" s="11" t="n">
        <x:v>9736596</x:v>
      </x:c>
      <x:c r="P93" s="11" t="n">
        <x:v>4837520</x:v>
      </x:c>
      <x:c r="Q93" s="11" t="n">
        <x:v>2057108</x:v>
      </x:c>
      <x:c r="R93" s="11" t="n">
        <x:v>23591568</x:v>
      </x:c>
      <x:c r="S93" s="11" t="n">
        <x:v>3112243</x:v>
      </x:c>
      <x:c r="T93" s="11" t="n">
        <x:v>49154386</x:v>
      </x:c>
      <x:c r="U93" s="11" t="n">
        <x:v>24190229</x:v>
      </x:c>
      <x:c r="V93" s="11" t="n">
        <x:v>29768208</x:v>
      </x:c>
      <x:c r="W93" s="11" t="n">
        <x:v>17432018</x:v>
      </x:c>
      <x:c r="X93" s="11" t="n">
        <x:v>8792427</x:v>
      </x:c>
      <x:c r="Y93" s="11" t="n">
        <x:v>0</x:v>
      </x:c>
      <x:c r="Z93" s="11" t="n">
        <x:v>335363</x:v>
      </x:c>
      <x:c r="AA93" s="11" t="n">
        <x:v>8379098</x:v>
      </x:c>
      <x:c r="AB93" s="11" t="n">
        <x:v>311887</x:v>
      </x:c>
      <x:c r="AC93" s="11" t="n">
        <x:v>647250</x:v>
      </x:c>
      <x:c r="AD93" s="11" t="n">
        <x:v>7345087</x:v>
      </x:c>
      <x:c r="AE93" s="11" t="n">
        <x:v>6697837</x:v>
      </x:c>
      <x:c r="AF93" s="11" t="n">
        <x:v>29380348</x:v>
      </x:c>
      <x:c r="AG93" s="11" t="n">
        <x:v>183640037</x:v>
      </x:c>
      <x:c r="AH93" s="11" t="n">
        <x:v>93633203</x:v>
      </x:c>
      <x:c r="AI93" s="11" t="n">
        <x:v>90006834</x:v>
      </x:c>
      <x:c r="AJ93" s="11" t="n">
        <x:v>2420659</x:v>
      </x:c>
      <x:c r="AK93" s="11" t="n">
        <x:v>30982005</x:v>
      </x:c>
      <x:c r="AL93" s="11" t="n">
        <x:v>0</x:v>
      </x:c>
      <x:c r="AM93" s="12" t="n">
        <x:v>1</x:v>
      </x:c>
      <x:c r="AN93" s="12" t="n">
        <x:v>0.07813112805320378</x:v>
      </x:c>
      <x:c r="AO93" s="11" t="n">
        <x:v>33922852</x:v>
      </x:c>
      <x:c r="AP93" s="11" t="n">
        <x:v>33515869</x:v>
      </x:c>
      <x:c r="AQ93" s="12" t="n">
        <x:v>0.9880026891606873</x:v>
      </x:c>
      <x:c r="AR93" s="11" t="n">
        <x:v>1895.5192066692093</x:v>
      </x:c>
      <x:c r="AS93" s="11" t="n">
        <x:v>1472.0044679343976</x:v>
      </x:c>
      <x:c r="AT93" s="11" t="n">
        <x:v>1621.980493652264</x:v>
      </x:c>
      <x:c r="AU93" s="11" t="n">
        <x:v>949.818449299842</x:v>
      </x:c>
      <x:c r="AV93" s="11" t="n">
        <x:v>456.55195335912384</x:v>
      </x:c>
      <x:c r="AW93" s="11" t="n">
        <x:v>2.0319934135389954</x:v>
      </x:c>
      <x:c r="AX93" s="12" t="n">
        <x:v>0.9118798729000759</x:v>
      </x:c>
      <x:c r="AY93" s="11"/>
      <x:c r="AZ93" s="11"/>
      <x:c r="BA93" s="11"/>
      <x:c r="BB93" s="11"/>
      <x:c r="BC93" s="11"/>
      <x:c r="BD93" s="11"/>
      <x:c r="BE93" s="11"/>
      <x:c r="BF93" s="11"/>
      <x:c r="BG93" s="11"/>
      <x:c r="BH93" s="11"/>
      <x:c r="BI93" s="11"/>
      <x:c r="BJ93" s="11"/>
      <x:c r="BK93" s="12"/>
      <x:c r="BL93" s="12"/>
      <x:c r="BM93" s="12"/>
      <x:c r="BN93" s="12"/>
      <x:c r="BO93" s="12"/>
      <x:c r="BP93" s="12"/>
      <x:c r="BQ93" s="12"/>
      <x:c r="BR93" s="12"/>
      <x:c r="BS93" s="12"/>
      <x:c r="BT93" s="12"/>
      <x:c r="BU93" s="11" t="n">
        <x:v>0</x:v>
      </x:c>
      <x:c r="BV93" s="11" t="n">
        <x:v>3988743</x:v>
      </x:c>
      <x:c r="BW93" s="11" t="n">
        <x:v>848777</x:v>
      </x:c>
      <x:c r="BX93" s="11" t="n">
        <x:v>1065667</x:v>
      </x:c>
      <x:c r="BY93" s="11" t="n">
        <x:v>0</x:v>
      </x:c>
      <x:c r="BZ93" s="11" t="n">
        <x:v>948691</x:v>
      </x:c>
      <x:c r="CA93" s="11" t="n">
        <x:v>0</x:v>
      </x:c>
      <x:c r="CB93" s="11" t="n">
        <x:v>42750</x:v>
      </x:c>
      <x:c r="CC93" s="11" t="n">
        <x:v>2940906</x:v>
      </x:c>
      <x:c r="CD93" s="11" t="n">
        <x:v>8959836</x:v>
      </x:c>
      <x:c r="CE93" s="11" t="n">
        <x:v>0</x:v>
      </x:c>
      <x:c r="CF93" s="11" t="n">
        <x:v>0</x:v>
      </x:c>
      <x:c r="CG93" s="11" t="n">
        <x:v>634296</x:v>
      </x:c>
      <x:c r="CH93" s="11" t="n">
        <x:v>2930554</x:v>
      </x:c>
      <x:c r="CI93" s="11" t="n">
        <x:v>2569981</x:v>
      </x:c>
      <x:c r="CJ93" s="11" t="n">
        <x:v>4972711</x:v>
      </x:c>
      <x:c r="CK93" s="11" t="n">
        <x:v>895171</x:v>
      </x:c>
      <x:c r="CL93" s="11" t="n">
        <x:v>0</x:v>
      </x:c>
      <x:c r="CM93" s="11"/>
      <x:c r="CN93" s="11" t="n">
        <x:v>0</x:v>
      </x:c>
      <x:c r="CO93" s="11" t="n">
        <x:v>0</x:v>
      </x:c>
      <x:c r="CP93" s="8"/>
      <x:c r="CQ93" s="8" t="str">
        <x:v>North Vancouver (District)</x:v>
      </x:c>
    </x:row>
    <x:row r="94">
      <x:c r="A94" s="8" t="str">
        <x:v>Central Saanich|2021</x:v>
      </x:c>
      <x:c r="B94" s="8" t="str">
        <x:v>central-saanich-d</x:v>
      </x:c>
      <x:c r="C94" s="8" t="str">
        <x:v>Central Saanich</x:v>
      </x:c>
      <x:c r="D94" s="8" t="str">
        <x:v>Central Saanich</x:v>
      </x:c>
      <x:c r="E94" s="8" t="str">
        <x:v>D</x:v>
      </x:c>
      <x:c r="F94" s="8" t="str">
        <x:v>CAP</x:v>
      </x:c>
      <x:c r="G94" s="9" t="n">
        <x:v>2021</x:v>
      </x:c>
      <x:c r="H94" s="10" t="n">
        <x:v>18522</x:v>
      </x:c>
      <x:c r="I94" s="8" t="str">
        <x:v>5,000 to 19,999</x:v>
      </x:c>
      <x:c r="J94" s="11" t="n">
        <x:v>34506798</x:v>
      </x:c>
      <x:c r="K94" s="11" t="n">
        <x:v>28938358</x:v>
      </x:c>
      <x:c r="L94" s="11" t="n">
        <x:v>5568440</x:v>
      </x:c>
      <x:c r="M94" s="12" t="n">
        <x:v>0.1613722606194872</x:v>
      </x:c>
      <x:c r="N94" s="11" t="n">
        <x:v>18874993</x:v>
      </x:c>
      <x:c r="O94" s="11" t="n">
        <x:v>11721526</x:v>
      </x:c>
      <x:c r="P94" s="11" t="n">
        <x:v>2342572</x:v>
      </x:c>
      <x:c r="Q94" s="11" t="n">
        <x:v>1567707</x:v>
      </x:c>
      <x:c r="R94" s="11" t="n">
        <x:v>25359245</x:v>
      </x:c>
      <x:c r="S94" s="11" t="n">
        <x:v>3294116</x:v>
      </x:c>
      <x:c r="T94" s="11" t="n">
        <x:v>54319850</x:v>
      </x:c>
      <x:c r="U94" s="11" t="n">
        <x:v>22762131</x:v>
      </x:c>
      <x:c r="V94" s="11" t="n">
        <x:v>35972238</x:v>
      </x:c>
      <x:c r="W94" s="11" t="n">
        <x:v>22090342</x:v>
      </x:c>
      <x:c r="X94" s="11" t="n">
        <x:v>8332691</x:v>
      </x:c>
      <x:c r="Y94" s="11" t="n">
        <x:v>0</x:v>
      </x:c>
      <x:c r="Z94" s="11" t="n">
        <x:v>339102</x:v>
      </x:c>
      <x:c r="AA94" s="11" t="n">
        <x:v>7899341</x:v>
      </x:c>
      <x:c r="AB94" s="11" t="n">
        <x:v>284997</x:v>
      </x:c>
      <x:c r="AC94" s="11" t="n">
        <x:v>624099</x:v>
      </x:c>
      <x:c r="AD94" s="11" t="n">
        <x:v>7806901</x:v>
      </x:c>
      <x:c r="AE94" s="11" t="n">
        <x:v>7182802</x:v>
      </x:c>
      <x:c r="AF94" s="11" t="n">
        <x:v>31227605</x:v>
      </x:c>
      <x:c r="AG94" s="11" t="n">
        <x:v>185426958</x:v>
      </x:c>
      <x:c r="AH94" s="11" t="n">
        <x:v>95989203</x:v>
      </x:c>
      <x:c r="AI94" s="11" t="n">
        <x:v>89437755</x:v>
      </x:c>
      <x:c r="AJ94" s="11" t="n">
        <x:v>2725037</x:v>
      </x:c>
      <x:c r="AK94" s="11" t="n">
        <x:v>31134315</x:v>
      </x:c>
      <x:c r="AL94" s="11" t="n">
        <x:v>0</x:v>
      </x:c>
      <x:c r="AM94" s="12" t="n">
        <x:v>1</x:v>
      </x:c>
      <x:c r="AN94" s="12" t="n">
        <x:v>0.08752519527087717</x:v>
      </x:c>
      <x:c r="AO94" s="11" t="n">
        <x:v>37045718</x:v>
      </x:c>
      <x:c r="AP94" s="11" t="n">
        <x:v>36703783</x:v>
      </x:c>
      <x:c r="AQ94" s="12" t="n">
        <x:v>0.9907699184019054</x:v>
      </x:c>
      <x:c r="AR94" s="11" t="n">
        <x:v>1863.0168448331713</x:v>
      </x:c>
      <x:c r="AS94" s="11" t="n">
        <x:v>1562.377605010258</x:v>
      </x:c>
      <x:c r="AT94" s="11" t="n">
        <x:v>1942.1357304826693</x:v>
      </x:c>
      <x:c r="AU94" s="11" t="n">
        <x:v>1192.6542490011877</x:v>
      </x:c>
      <x:c r="AV94" s="11" t="n">
        <x:v>426.4842349638268</x:v>
      </x:c>
      <x:c r="AW94" s="11" t="n">
        <x:v>2.38641320533653</x:v>
      </x:c>
      <x:c r="AX94" s="12" t="n">
        <x:v>0.9200580358326562</x:v>
      </x:c>
      <x:c r="AY94" s="11"/>
      <x:c r="AZ94" s="11"/>
      <x:c r="BA94" s="11"/>
      <x:c r="BB94" s="11"/>
      <x:c r="BC94" s="11"/>
      <x:c r="BD94" s="11"/>
      <x:c r="BE94" s="11"/>
      <x:c r="BF94" s="11"/>
      <x:c r="BG94" s="11"/>
      <x:c r="BH94" s="11"/>
      <x:c r="BI94" s="11"/>
      <x:c r="BJ94" s="11"/>
      <x:c r="BK94" s="12"/>
      <x:c r="BL94" s="12"/>
      <x:c r="BM94" s="12"/>
      <x:c r="BN94" s="12"/>
      <x:c r="BO94" s="12"/>
      <x:c r="BP94" s="12"/>
      <x:c r="BQ94" s="12"/>
      <x:c r="BR94" s="12"/>
      <x:c r="BS94" s="12"/>
      <x:c r="BT94" s="12"/>
      <x:c r="BU94" s="11" t="n">
        <x:v>0</x:v>
      </x:c>
      <x:c r="BV94" s="11" t="n">
        <x:v>501617</x:v>
      </x:c>
      <x:c r="BW94" s="11" t="n">
        <x:v>1840955</x:v>
      </x:c>
      <x:c r="BX94" s="11" t="n">
        <x:v>284261</x:v>
      </x:c>
      <x:c r="BY94" s="11" t="n">
        <x:v>0</x:v>
      </x:c>
      <x:c r="BZ94" s="11" t="n">
        <x:v>883446</x:v>
      </x:c>
      <x:c r="CA94" s="11" t="n">
        <x:v>400000</x:v>
      </x:c>
      <x:c r="CB94" s="11" t="n">
        <x:v>0</x:v>
      </x:c>
      <x:c r="CC94" s="11" t="n">
        <x:v>2928933</x:v>
      </x:c>
      <x:c r="CD94" s="11" t="n">
        <x:v>9689535</x:v>
      </x:c>
      <x:c r="CE94" s="11" t="n">
        <x:v>0</x:v>
      </x:c>
      <x:c r="CF94" s="11" t="n">
        <x:v>0</x:v>
      </x:c>
      <x:c r="CG94" s="11" t="n">
        <x:v>678076</x:v>
      </x:c>
      <x:c r="CH94" s="11" t="n">
        <x:v>3120722</x:v>
      </x:c>
      <x:c r="CI94" s="11" t="n">
        <x:v>3006597</x:v>
      </x:c>
      <x:c r="CJ94" s="11" t="n">
        <x:v>5280912</x:v>
      </x:c>
      <x:c r="CK94" s="11" t="n">
        <x:v>939467</x:v>
      </x:c>
      <x:c r="CL94" s="11" t="n">
        <x:v>0</x:v>
      </x:c>
      <x:c r="CM94" s="11"/>
      <x:c r="CN94" s="11" t="n">
        <x:v>0</x:v>
      </x:c>
      <x:c r="CO94" s="11" t="n">
        <x:v>0</x:v>
      </x:c>
      <x:c r="CP94" s="8"/>
      <x:c r="CQ94" s="8" t="str">
        <x:v>Northern Rockies</x:v>
      </x:c>
    </x:row>
    <x:row r="95">
      <x:c r="A95" s="8" t="str">
        <x:v>Central Saanich|2022</x:v>
      </x:c>
      <x:c r="B95" s="8" t="str">
        <x:v>central-saanich-d</x:v>
      </x:c>
      <x:c r="C95" s="8" t="str">
        <x:v>Central Saanich</x:v>
      </x:c>
      <x:c r="D95" s="8" t="str">
        <x:v>Central Saanich</x:v>
      </x:c>
      <x:c r="E95" s="8" t="str">
        <x:v>D</x:v>
      </x:c>
      <x:c r="F95" s="8" t="str">
        <x:v>CAP</x:v>
      </x:c>
      <x:c r="G95" s="9" t="n">
        <x:v>2022</x:v>
      </x:c>
      <x:c r="H95" s="10" t="n">
        <x:v>18689</x:v>
      </x:c>
      <x:c r="I95" s="8" t="str">
        <x:v>5,000 to 19,999</x:v>
      </x:c>
      <x:c r="J95" s="11" t="n">
        <x:v>35557016</x:v>
      </x:c>
      <x:c r="K95" s="11" t="n">
        <x:v>29192337</x:v>
      </x:c>
      <x:c r="L95" s="11" t="n">
        <x:v>6364679</x:v>
      </x:c>
      <x:c r="M95" s="12" t="n">
        <x:v>0.17899924448103294</x:v>
      </x:c>
      <x:c r="N95" s="11" t="n">
        <x:v>19869149</x:v>
      </x:c>
      <x:c r="O95" s="11" t="n">
        <x:v>11239787</x:v>
      </x:c>
      <x:c r="P95" s="11" t="n">
        <x:v>2146032</x:v>
      </x:c>
      <x:c r="Q95" s="11" t="n">
        <x:v>2302048</x:v>
      </x:c>
      <x:c r="R95" s="11" t="n">
        <x:v>25957993</x:v>
      </x:c>
      <x:c r="S95" s="11" t="n">
        <x:v>2967547</x:v>
      </x:c>
      <x:c r="T95" s="11" t="n">
        <x:v>58525837</x:v>
      </x:c>
      <x:c r="U95" s="11" t="n">
        <x:v>22887546</x:v>
      </x:c>
      <x:c r="V95" s="11" t="n">
        <x:v>41107390</x:v>
      </x:c>
      <x:c r="W95" s="11" t="n">
        <x:v>25187929</x:v>
      </x:c>
      <x:c r="X95" s="11" t="n">
        <x:v>7899341</x:v>
      </x:c>
      <x:c r="Y95" s="11" t="n">
        <x:v>0</x:v>
      </x:c>
      <x:c r="Z95" s="11" t="n">
        <x:v>344091</x:v>
      </x:c>
      <x:c r="AA95" s="11" t="n">
        <x:v>7446614</x:v>
      </x:c>
      <x:c r="AB95" s="11" t="n">
        <x:v>266797</x:v>
      </x:c>
      <x:c r="AC95" s="11" t="n">
        <x:v>610888</x:v>
      </x:c>
      <x:c r="AD95" s="11" t="n">
        <x:v>8218357</x:v>
      </x:c>
      <x:c r="AE95" s="11" t="n">
        <x:v>7607469</x:v>
      </x:c>
      <x:c r="AF95" s="11" t="n">
        <x:v>32873427</x:v>
      </x:c>
      <x:c r="AG95" s="11" t="n">
        <x:v>189304537</x:v>
      </x:c>
      <x:c r="AH95" s="11" t="n">
        <x:v>98731062</x:v>
      </x:c>
      <x:c r="AI95" s="11" t="n">
        <x:v>90573475</x:v>
      </x:c>
      <x:c r="AJ95" s="11" t="n">
        <x:v>4103267</x:v>
      </x:c>
      <x:c r="AK95" s="11" t="n">
        <x:v>31062503</x:v>
      </x:c>
      <x:c r="AL95" s="11" t="n">
        <x:v>0</x:v>
      </x:c>
      <x:c r="AM95" s="12" t="n">
        <x:v>1</x:v>
      </x:c>
      <x:c r="AN95" s="12" t="n">
        <x:v>0.13209711400269322</x:v>
      </x:c>
      <x:c r="AO95" s="11" t="n">
        <x:v>38627957</x:v>
      </x:c>
      <x:c r="AP95" s="11" t="n">
        <x:v>38178949</x:v>
      </x:c>
      <x:c r="AQ95" s="12" t="n">
        <x:v>0.9883760872986371</x:v>
      </x:c>
      <x:c r="AR95" s="11" t="n">
        <x:v>1902.5638610947617</x:v>
      </x:c>
      <x:c r="AS95" s="11" t="n">
        <x:v>1562.0063673818825</x:v>
      </x:c>
      <x:c r="AT95" s="11" t="n">
        <x:v>2199.5500026753707</x:v>
      </x:c>
      <x:c r="AU95" s="11" t="n">
        <x:v>1347.74086360961</x:v>
      </x:c>
      <x:c r="AV95" s="11" t="n">
        <x:v>398.4490341912355</x:v>
      </x:c>
      <x:c r="AW95" s="11" t="n">
        <x:v>2.5571040687367708</x:v>
      </x:c>
      <x:c r="AX95" s="12" t="n">
        <x:v>0.9256678676772012</x:v>
      </x:c>
      <x:c r="AY95" s="11"/>
      <x:c r="AZ95" s="11"/>
      <x:c r="BA95" s="11"/>
      <x:c r="BB95" s="11"/>
      <x:c r="BC95" s="11"/>
      <x:c r="BD95" s="11"/>
      <x:c r="BE95" s="11"/>
      <x:c r="BF95" s="11"/>
      <x:c r="BG95" s="11"/>
      <x:c r="BH95" s="11"/>
      <x:c r="BI95" s="11"/>
      <x:c r="BJ95" s="11"/>
      <x:c r="BK95" s="12"/>
      <x:c r="BL95" s="12"/>
      <x:c r="BM95" s="12"/>
      <x:c r="BN95" s="12"/>
      <x:c r="BO95" s="12"/>
      <x:c r="BP95" s="12"/>
      <x:c r="BQ95" s="12"/>
      <x:c r="BR95" s="12"/>
      <x:c r="BS95" s="12"/>
      <x:c r="BT95" s="12"/>
      <x:c r="BU95" s="11" t="n">
        <x:v>0</x:v>
      </x:c>
      <x:c r="BV95" s="11" t="n">
        <x:v>1346958</x:v>
      </x:c>
      <x:c r="BW95" s="11" t="n">
        <x:v>799074</x:v>
      </x:c>
      <x:c r="BX95" s="11" t="n">
        <x:v>1447724</x:v>
      </x:c>
      <x:c r="BY95" s="11" t="n">
        <x:v>0</x:v>
      </x:c>
      <x:c r="BZ95" s="11" t="n">
        <x:v>854324</x:v>
      </x:c>
      <x:c r="CA95" s="11" t="n">
        <x:v>0</x:v>
      </x:c>
      <x:c r="CB95" s="11" t="n">
        <x:v>0</x:v>
      </x:c>
      <x:c r="CC95" s="11" t="n">
        <x:v>2928605</x:v>
      </x:c>
      <x:c r="CD95" s="11" t="n">
        <x:v>10297399</x:v>
      </x:c>
      <x:c r="CE95" s="11" t="n">
        <x:v>0</x:v>
      </x:c>
      <x:c r="CF95" s="11" t="n">
        <x:v>0</x:v>
      </x:c>
      <x:c r="CG95" s="11" t="n">
        <x:v>649495</x:v>
      </x:c>
      <x:c r="CH95" s="11" t="n">
        <x:v>2791003</x:v>
      </x:c>
      <x:c r="CI95" s="11" t="n">
        <x:v>3303241</x:v>
      </x:c>
      <x:c r="CJ95" s="11" t="n">
        <x:v>5345540</x:v>
      </x:c>
      <x:c r="CK95" s="11" t="n">
        <x:v>909507</x:v>
      </x:c>
      <x:c r="CL95" s="11" t="n">
        <x:v>0</x:v>
      </x:c>
      <x:c r="CM95" s="11"/>
      <x:c r="CN95" s="11" t="n">
        <x:v>0</x:v>
      </x:c>
      <x:c r="CO95" s="11" t="n">
        <x:v>0</x:v>
      </x:c>
      <x:c r="CP95" s="8"/>
      <x:c r="CQ95" s="8" t="str">
        <x:v>Oak Bay</x:v>
      </x:c>
    </x:row>
    <x:row r="96">
      <x:c r="A96" s="8" t="str">
        <x:v>Central Saanich|2023</x:v>
      </x:c>
      <x:c r="B96" s="8" t="str">
        <x:v>central-saanich-d</x:v>
      </x:c>
      <x:c r="C96" s="8" t="str">
        <x:v>Central Saanich</x:v>
      </x:c>
      <x:c r="D96" s="8" t="str">
        <x:v>Central Saanich</x:v>
      </x:c>
      <x:c r="E96" s="8" t="str">
        <x:v>D</x:v>
      </x:c>
      <x:c r="F96" s="8" t="str">
        <x:v>CAP</x:v>
      </x:c>
      <x:c r="G96" s="9" t="n">
        <x:v>2023</x:v>
      </x:c>
      <x:c r="H96" s="10" t="n">
        <x:v>19326</x:v>
      </x:c>
      <x:c r="I96" s="8" t="str">
        <x:v>5,000 to 19,999</x:v>
      </x:c>
      <x:c r="J96" s="11" t="n">
        <x:v>44020502</x:v>
      </x:c>
      <x:c r="K96" s="11" t="n">
        <x:v>31436197</x:v>
      </x:c>
      <x:c r="L96" s="11" t="n">
        <x:v>12584305</x:v>
      </x:c>
      <x:c r="M96" s="12" t="n">
        <x:v>0.2858737276553548</x:v>
      </x:c>
      <x:c r="N96" s="11" t="n">
        <x:v>20981502</x:v>
      </x:c>
      <x:c r="O96" s="11" t="n">
        <x:v>12475007</x:v>
      </x:c>
      <x:c r="P96" s="11" t="n">
        <x:v>7095865</x:v>
      </x:c>
      <x:c r="Q96" s="11" t="n">
        <x:v>3468128</x:v>
      </x:c>
      <x:c r="R96" s="11" t="n">
        <x:v>28401476</x:v>
      </x:c>
      <x:c r="S96" s="11" t="n">
        <x:v>2767924</x:v>
      </x:c>
      <x:c r="T96" s="11" t="n">
        <x:v>69306230</x:v>
      </x:c>
      <x:c r="U96" s="11" t="n">
        <x:v>24340131</x:v>
      </x:c>
      <x:c r="V96" s="11" t="n">
        <x:v>50994772</x:v>
      </x:c>
      <x:c r="W96" s="11" t="n">
        <x:v>28838870</x:v>
      </x:c>
      <x:c r="X96" s="11" t="n">
        <x:v>7446614</x:v>
      </x:c>
      <x:c r="Y96" s="11" t="n">
        <x:v>0</x:v>
      </x:c>
      <x:c r="Z96" s="11" t="n">
        <x:v>344091</x:v>
      </x:c>
      <x:c r="AA96" s="11" t="n">
        <x:v>6978217</x:v>
      </x:c>
      <x:c r="AB96" s="11" t="n">
        <x:v>266797</x:v>
      </x:c>
      <x:c r="AC96" s="11" t="n">
        <x:v>610888</x:v>
      </x:c>
      <x:c r="AD96" s="11" t="n">
        <x:v>9118161</x:v>
      </x:c>
      <x:c r="AE96" s="11" t="n">
        <x:v>8507273</x:v>
      </x:c>
      <x:c r="AF96" s="11" t="n">
        <x:v>36472643</x:v>
      </x:c>
      <x:c r="AG96" s="11" t="n">
        <x:v>194179770</x:v>
      </x:c>
      <x:c r="AH96" s="11" t="n">
        <x:v>100957835</x:v>
      </x:c>
      <x:c r="AI96" s="11" t="n">
        <x:v>93221935</x:v>
      </x:c>
      <x:c r="AJ96" s="11" t="n">
        <x:v>4722529</x:v>
      </x:c>
      <x:c r="AK96" s="11" t="n">
        <x:v>31529189</x:v>
      </x:c>
      <x:c r="AL96" s="11" t="n">
        <x:v>0</x:v>
      </x:c>
      <x:c r="AM96" s="12" t="n">
        <x:v>1</x:v>
      </x:c>
      <x:c r="AN96" s="12" t="n">
        <x:v>0.14978276161813106</x:v>
      </x:c>
      <x:c r="AO96" s="11" t="n">
        <x:v>41352920</x:v>
      </x:c>
      <x:c r="AP96" s="11" t="n">
        <x:v>40897742</x:v>
      </x:c>
      <x:c r="AQ96" s="12" t="n">
        <x:v>0.9889928450034484</x:v>
      </x:c>
      <x:c r="AR96" s="11" t="n">
        <x:v>2277.7865052261204</x:v>
      </x:c>
      <x:c r="AS96" s="11" t="n">
        <x:v>1626.627186174066</x:v>
      </x:c>
      <x:c r="AT96" s="11" t="n">
        <x:v>2638.661492290179</x:v>
      </x:c>
      <x:c r="AU96" s="11" t="n">
        <x:v>1492.2317085791162</x:v>
      </x:c>
      <x:c r="AV96" s="11" t="n">
        <x:v>361.07921970402566</x:v>
      </x:c>
      <x:c r="AW96" s="11" t="n">
        <x:v>2.8474057925160716</x:v>
      </x:c>
      <x:c r="AX96" s="12" t="n">
        <x:v>0.9330031571059121</x:v>
      </x:c>
      <x:c r="AY96" s="11"/>
      <x:c r="AZ96" s="11"/>
      <x:c r="BA96" s="11"/>
      <x:c r="BB96" s="11"/>
      <x:c r="BC96" s="11"/>
      <x:c r="BD96" s="11"/>
      <x:c r="BE96" s="11"/>
      <x:c r="BF96" s="11"/>
      <x:c r="BG96" s="11"/>
      <x:c r="BH96" s="11"/>
      <x:c r="BI96" s="11"/>
      <x:c r="BJ96" s="11"/>
      <x:c r="BK96" s="12"/>
      <x:c r="BL96" s="12"/>
      <x:c r="BM96" s="12"/>
      <x:c r="BN96" s="12"/>
      <x:c r="BO96" s="12"/>
      <x:c r="BP96" s="12"/>
      <x:c r="BQ96" s="12"/>
      <x:c r="BR96" s="12"/>
      <x:c r="BS96" s="12"/>
      <x:c r="BT96" s="12"/>
      <x:c r="BU96" s="11" t="n">
        <x:v>0</x:v>
      </x:c>
      <x:c r="BV96" s="11" t="n">
        <x:v>6241311</x:v>
      </x:c>
      <x:c r="BW96" s="11" t="n">
        <x:v>854554</x:v>
      </x:c>
      <x:c r="BX96" s="11" t="n">
        <x:v>2778440</x:v>
      </x:c>
      <x:c r="BY96" s="11" t="n">
        <x:v>0</x:v>
      </x:c>
      <x:c r="BZ96" s="11" t="n">
        <x:v>689688</x:v>
      </x:c>
      <x:c r="CA96" s="11" t="n">
        <x:v>0</x:v>
      </x:c>
      <x:c r="CB96" s="11" t="n">
        <x:v>0</x:v>
      </x:c>
      <x:c r="CC96" s="11" t="n">
        <x:v>3553577</x:v>
      </x:c>
      <x:c r="CD96" s="11" t="n">
        <x:v>11109135</x:v>
      </x:c>
      <x:c r="CE96" s="11" t="n">
        <x:v>0</x:v>
      </x:c>
      <x:c r="CF96" s="11" t="n">
        <x:v>0</x:v>
      </x:c>
      <x:c r="CG96" s="11" t="n">
        <x:v>809892</x:v>
      </x:c>
      <x:c r="CH96" s="11" t="n">
        <x:v>3202645</x:v>
      </x:c>
      <x:c r="CI96" s="11" t="n">
        <x:v>3573513</x:v>
      </x:c>
      <x:c r="CJ96" s="11" t="n">
        <x:v>5535808</x:v>
      </x:c>
      <x:c r="CK96" s="11" t="n">
        <x:v>883703</x:v>
      </x:c>
      <x:c r="CL96" s="11" t="n">
        <x:v>0</x:v>
      </x:c>
      <x:c r="CM96" s="11" t="n">
        <x:v>0</x:v>
      </x:c>
      <x:c r="CN96" s="11" t="n">
        <x:v>0</x:v>
      </x:c>
      <x:c r="CO96" s="11" t="n">
        <x:v>0</x:v>
      </x:c>
      <x:c r="CP96" s="8"/>
      <x:c r="CQ96" s="8" t="str">
        <x:v>Oliver</x:v>
      </x:c>
    </x:row>
    <x:row r="97">
      <x:c r="A97" s="8" t="str">
        <x:v>Central Saanich|2024</x:v>
      </x:c>
      <x:c r="B97" s="8" t="str">
        <x:v>central-saanich-d</x:v>
      </x:c>
      <x:c r="C97" s="8" t="str">
        <x:v>Central Saanich</x:v>
      </x:c>
      <x:c r="D97" s="8" t="str">
        <x:v>Central Saanich</x:v>
      </x:c>
      <x:c r="E97" s="8" t="str">
        <x:v>D</x:v>
      </x:c>
      <x:c r="F97" s="8" t="str">
        <x:v>CAP</x:v>
      </x:c>
      <x:c r="G97" s="9" t="n">
        <x:v>2024</x:v>
      </x:c>
      <x:c r="H97" s="10" t="n">
        <x:v>19326</x:v>
      </x:c>
      <x:c r="I97" s="8" t="str">
        <x:v>5,000 to 19,999</x:v>
      </x:c>
      <x:c r="J97" s="11" t="n">
        <x:v>46138944</x:v>
      </x:c>
      <x:c r="K97" s="11" t="n">
        <x:v>33570018</x:v>
      </x:c>
      <x:c r="L97" s="11" t="n">
        <x:v>12568926</x:v>
      </x:c>
      <x:c r="M97" s="12" t="n">
        <x:v>0.27241468725422063</x:v>
      </x:c>
      <x:c r="N97" s="11" t="n">
        <x:v>22599727</x:v>
      </x:c>
      <x:c r="O97" s="11" t="n">
        <x:v>11507377</x:v>
      </x:c>
      <x:c r="P97" s="11" t="n">
        <x:v>7727216</x:v>
      </x:c>
      <x:c r="Q97" s="11" t="n">
        <x:v>4304624</x:v>
      </x:c>
      <x:c r="R97" s="11" t="n">
        <x:v>30405734</x:v>
      </x:c>
      <x:c r="S97" s="11" t="n">
        <x:v>2897487</x:v>
      </x:c>
      <x:c r="T97" s="11" t="n">
        <x:v>63429942</x:v>
      </x:c>
      <x:c r="U97" s="11" t="n">
        <x:v>28229762</x:v>
      </x:c>
      <x:c r="V97" s="11" t="n">
        <x:v>42850674</x:v>
      </x:c>
      <x:c r="W97" s="11" t="n">
        <x:v>19961651</x:v>
      </x:c>
      <x:c r="X97" s="11" t="n">
        <x:v>6978217</x:v>
      </x:c>
      <x:c r="Y97" s="11" t="n">
        <x:v>0</x:v>
      </x:c>
      <x:c r="Z97" s="11" t="n">
        <x:v>344091</x:v>
      </x:c>
      <x:c r="AA97" s="11" t="n">
        <x:v>6493069</x:v>
      </x:c>
      <x:c r="AB97" s="11" t="n">
        <x:v>266797</x:v>
      </x:c>
      <x:c r="AC97" s="11" t="n">
        <x:v>610888</x:v>
      </x:c>
      <x:c r="AD97" s="11" t="n">
        <x:v>9380994</x:v>
      </x:c>
      <x:c r="AE97" s="11" t="n">
        <x:v>8770106</x:v>
      </x:c>
      <x:c r="AF97" s="11" t="n">
        <x:v>37523975</x:v>
      </x:c>
      <x:c r="AG97" s="11" t="n">
        <x:v>216110737</x:v>
      </x:c>
      <x:c r="AH97" s="11" t="n">
        <x:v>102393246</x:v>
      </x:c>
      <x:c r="AI97" s="11" t="n">
        <x:v>113717491</x:v>
      </x:c>
      <x:c r="AJ97" s="11" t="n">
        <x:v>23409077</x:v>
      </x:c>
      <x:c r="AK97" s="11" t="n">
        <x:v>710716394</x:v>
      </x:c>
      <x:c r="AL97" s="11" t="n">
        <x:v>12247120</x:v>
      </x:c>
      <x:c r="AM97" s="12" t="n">
        <x:v>0.9827679224745729</x:v>
      </x:c>
      <x:c r="AN97" s="12" t="n">
        <x:v>0.03293729706761204</x:v>
      </x:c>
      <x:c r="AO97" s="11" t="n">
        <x:v>44694951</x:v>
      </x:c>
      <x:c r="AP97" s="11" t="n">
        <x:v>44148531</x:v>
      </x:c>
      <x:c r="AQ97" s="12" t="n">
        <x:v>0.9877744580142844</x:v>
      </x:c>
      <x:c r="AR97" s="11" t="n">
        <x:v>2387.4026699782676</x:v>
      </x:c>
      <x:c r="AS97" s="11" t="n">
        <x:v>1737.0391182862465</x:v>
      </x:c>
      <x:c r="AT97" s="11" t="n">
        <x:v>2217.25520024837</x:v>
      </x:c>
      <x:c r="AU97" s="11" t="n">
        <x:v>1032.8909758874056</x:v>
      </x:c>
      <x:c r="AV97" s="11" t="n">
        <x:v>335.97583566180276</x:v>
      </x:c>
      <x:c r="AW97" s="11" t="n">
        <x:v>2.2469173491437866</x:v>
      </x:c>
      <x:c r="AX97" s="12" t="n">
        <x:v>0.9348802482977817</x:v>
      </x:c>
      <x:c r="AY97" s="11" t="n">
        <x:v>2567.538946805667</x:v>
      </x:c>
      <x:c r="AZ97" s="11" t="n">
        <x:v>3546.5079302077975</x:v>
      </x:c>
      <x:c r="BA97" s="11" t="n">
        <x:v>2045.0195609464422</x:v>
      </x:c>
      <x:c r="BB97" s="11" t="n">
        <x:v>2783.665107049771</x:v>
      </x:c>
      <x:c r="BC97" s="11" t="n">
        <x:v>2217.25520024837</x:v>
      </x:c>
      <x:c r="BD97" s="11" t="n">
        <x:v>2437.8724475115623</x:v>
      </x:c>
      <x:c r="BE97" s="11" t="n">
        <x:v>799.2304887641933</x:v>
      </x:c>
      <x:c r="BF97" s="11" t="n">
        <x:v>1604.3462673977224</x:v>
      </x:c>
      <x:c r="BG97" s="11" t="n">
        <x:v>386.9249167164944</x:v>
      </x:c>
      <x:c r="BH97" s="11" t="n">
        <x:v>518.5374381567245</x:v>
      </x:c>
      <x:c r="BI97" s="11" t="n">
        <x:v>1.5629948984418691</x:v>
      </x:c>
      <x:c r="BJ97" s="11" t="n">
        <x:v>1.7099330852451193</x:v>
      </x:c>
      <x:c r="BK97" s="12" t="n">
        <x:v>0.04472396775938227</x:v>
      </x:c>
      <x:c r="BL97" s="12" t="n">
        <x:v>0.02529861000232605</x:v>
      </x:c>
      <x:c r="BM97" s="12" t="n">
        <x:v>0.9792813777328785</x:v>
      </x:c>
      <x:c r="BN97" s="12" t="n">
        <x:v>0.9815511712696461</x:v>
      </x:c>
      <x:c r="BO97" s="12" t="n">
        <x:v>0.8510570773833829</x:v>
      </x:c>
      <x:c r="BP97" s="12" t="n">
        <x:v>0.8619101997275483</x:v>
      </x:c>
      <x:c r="BQ97" s="12" t="n">
        <x:v>0.9732053424599786</x:v>
      </x:c>
      <x:c r="BR97" s="12" t="n">
        <x:v>0.9623635142836453</x:v>
      </x:c>
      <x:c r="BS97" s="12" t="n">
        <x:v>0.170495619408603</x:v>
      </x:c>
      <x:c r="BT97" s="12" t="n">
        <x:v>0.19976549769108282</x:v>
      </x:c>
      <x:c r="BU97" s="11" t="n">
        <x:v>855018</x:v>
      </x:c>
      <x:c r="BV97" s="11" t="n">
        <x:v>6872198</x:v>
      </x:c>
      <x:c r="BW97" s="11" t="n">
        <x:v>0</x:v>
      </x:c>
      <x:c r="BX97" s="11" t="n">
        <x:v>3204728</x:v>
      </x:c>
      <x:c r="BY97" s="11" t="n">
        <x:v>0</x:v>
      </x:c>
      <x:c r="BZ97" s="11" t="n">
        <x:v>1099896</x:v>
      </x:c>
      <x:c r="CA97" s="11" t="n">
        <x:v>0</x:v>
      </x:c>
      <x:c r="CB97" s="11" t="n">
        <x:v>0</x:v>
      </x:c>
      <x:c r="CC97" s="11" t="n">
        <x:v>3797414</x:v>
      </x:c>
      <x:c r="CD97" s="11" t="n">
        <x:v>12072697</x:v>
      </x:c>
      <x:c r="CE97" s="11" t="n">
        <x:v>0</x:v>
      </x:c>
      <x:c r="CF97" s="11" t="n">
        <x:v>0</x:v>
      </x:c>
      <x:c r="CG97" s="11" t="n">
        <x:v>1082842</x:v>
      </x:c>
      <x:c r="CH97" s="11" t="n">
        <x:v>3412242</x:v>
      </x:c>
      <x:c r="CI97" s="11" t="n">
        <x:v>3851227</x:v>
      </x:c>
      <x:c r="CJ97" s="11" t="n">
        <x:v>5416992</x:v>
      </x:c>
      <x:c r="CK97" s="11" t="n">
        <x:v>992364</x:v>
      </x:c>
      <x:c r="CL97" s="11" t="n">
        <x:v>0</x:v>
      </x:c>
      <x:c r="CM97" s="11" t="n">
        <x:v>30721</x:v>
      </x:c>
      <x:c r="CN97" s="11" t="n">
        <x:v>16032</x:v>
      </x:c>
      <x:c r="CO97" s="11" t="n">
        <x:v>0</x:v>
      </x:c>
      <x:c r="CP97" s="8"/>
      <x:c r="CQ97" s="8" t="str">
        <x:v>Osoyoos</x:v>
      </x:c>
    </x:row>
    <x:row r="98">
      <x:c r="A98" s="8" t="str">
        <x:v>Chase|2019</x:v>
      </x:c>
      <x:c r="B98" s="8" t="str">
        <x:v>chase-v</x:v>
      </x:c>
      <x:c r="C98" s="8" t="str">
        <x:v>Chase</x:v>
      </x:c>
      <x:c r="D98" s="8" t="str">
        <x:v>Chase</x:v>
      </x:c>
      <x:c r="E98" s="8" t="str">
        <x:v>V</x:v>
      </x:c>
      <x:c r="F98" s="8" t="str">
        <x:v>TNR</x:v>
      </x:c>
      <x:c r="G98" s="9" t="n">
        <x:v>2019</x:v>
      </x:c>
      <x:c r="H98" s="10" t="n">
        <x:v>2478</x:v>
      </x:c>
      <x:c r="I98" s="8" t="str">
        <x:v>Under 5,000</x:v>
      </x:c>
      <x:c r="J98" s="11" t="n">
        <x:v>4076611</x:v>
      </x:c>
      <x:c r="K98" s="11" t="n">
        <x:v>3927199</x:v>
      </x:c>
      <x:c r="L98" s="11" t="n">
        <x:v>149412</x:v>
      </x:c>
      <x:c r="M98" s="12" t="n">
        <x:v>0.03665103194786061</x:v>
      </x:c>
      <x:c r="N98" s="11" t="n">
        <x:v>2076300</x:v>
      </x:c>
      <x:c r="O98" s="11" t="n">
        <x:v>1089757</x:v>
      </x:c>
      <x:c r="P98" s="11" t="n">
        <x:v>811330</x:v>
      </x:c>
      <x:c r="Q98" s="11" t="n">
        <x:v>99224</x:v>
      </x:c>
      <x:c r="R98" s="11" t="n">
        <x:v>2670321</x:v>
      </x:c>
      <x:c r="S98" s="11" t="n">
        <x:v>1170413</x:v>
      </x:c>
      <x:c r="T98" s="11" t="n">
        <x:v>3629036</x:v>
      </x:c>
      <x:c r="U98" s="11" t="n">
        <x:v>2512178</x:v>
      </x:c>
      <x:c r="V98" s="11" t="n">
        <x:v>1464069</x:v>
      </x:c>
      <x:c r="W98" s="11" t="n">
        <x:v>0</x:v>
      </x:c>
      <x:c r="X98" s="11" t="n">
        <x:v>2141589</x:v>
      </x:c>
      <x:c r="Y98" s="11" t="n">
        <x:v>0</x:v>
      </x:c>
      <x:c r="Z98" s="11" t="n">
        <x:v>147050</x:v>
      </x:c>
      <x:c r="AA98" s="11" t="n">
        <x:v>1977503</x:v>
      </x:c>
      <x:c r="AB98" s="11" t="n">
        <x:v>86465</x:v>
      </x:c>
      <x:c r="AC98" s="11" t="n">
        <x:v>233515</x:v>
      </x:c>
      <x:c r="AD98" s="11" t="n">
        <x:v>914615</x:v>
      </x:c>
      <x:c r="AE98" s="11" t="n">
        <x:v>681100</x:v>
      </x:c>
      <x:c r="AF98" s="11" t="n">
        <x:v>3658460</x:v>
      </x:c>
      <x:c r="AG98" s="11" t="n">
        <x:v>47297034</x:v>
      </x:c>
      <x:c r="AH98" s="11" t="n">
        <x:v>15100790</x:v>
      </x:c>
      <x:c r="AI98" s="11" t="n">
        <x:v>32196244</x:v>
      </x:c>
      <x:c r="AJ98" s="11" t="n">
        <x:v>52690</x:v>
      </x:c>
      <x:c r="AK98" s="11" t="n">
        <x:v>7012701</x:v>
      </x:c>
      <x:c r="AL98" s="11" t="n">
        <x:v>0</x:v>
      </x:c>
      <x:c r="AM98" s="12" t="n">
        <x:v>1</x:v>
      </x:c>
      <x:c r="AN98" s="12" t="n">
        <x:v>0.007513510129691826</x:v>
      </x:c>
      <x:c r="AO98" s="11" t="n">
        <x:v>3930281</x:v>
      </x:c>
      <x:c r="AP98" s="11" t="n">
        <x:v>3741919</x:v>
      </x:c>
      <x:c r="AQ98" s="12" t="n">
        <x:v>0.9520741646716864</x:v>
      </x:c>
      <x:c r="AR98" s="11" t="n">
        <x:v>1645.1214689265537</x:v>
      </x:c>
      <x:c r="AS98" s="11" t="n">
        <x:v>1584.826069410815</x:v>
      </x:c>
      <x:c r="AT98" s="11" t="n">
        <x:v>590.8268765133172</x:v>
      </x:c>
      <x:c r="AU98" s="11" t="n">
        <x:v>0</x:v>
      </x:c>
      <x:c r="AV98" s="11" t="n">
        <x:v>798.0238095238095</x:v>
      </x:c>
      <x:c r="AW98" s="11" t="n">
        <x:v>1.4445775737228812</x:v>
      </x:c>
      <x:c r="AX98" s="12" t="n">
        <x:v>0.7446849220710353</x:v>
      </x:c>
      <x:c r="AY98" s="11"/>
      <x:c r="AZ98" s="11"/>
      <x:c r="BA98" s="11"/>
      <x:c r="BB98" s="11"/>
      <x:c r="BC98" s="11"/>
      <x:c r="BD98" s="11"/>
      <x:c r="BE98" s="11"/>
      <x:c r="BF98" s="11"/>
      <x:c r="BG98" s="11"/>
      <x:c r="BH98" s="11"/>
      <x:c r="BI98" s="11"/>
      <x:c r="BJ98" s="11"/>
      <x:c r="BK98" s="12"/>
      <x:c r="BL98" s="12"/>
      <x:c r="BM98" s="12"/>
      <x:c r="BN98" s="12"/>
      <x:c r="BO98" s="12"/>
      <x:c r="BP98" s="12"/>
      <x:c r="BQ98" s="12"/>
      <x:c r="BR98" s="12"/>
      <x:c r="BS98" s="12"/>
      <x:c r="BT98" s="12"/>
      <x:c r="BU98" s="11" t="n">
        <x:v>316843</x:v>
      </x:c>
      <x:c r="BV98" s="11" t="n">
        <x:v>475487</x:v>
      </x:c>
      <x:c r="BW98" s="11" t="n">
        <x:v>19000</x:v>
      </x:c>
      <x:c r="BX98" s="11" t="n">
        <x:v>85090</x:v>
      </x:c>
      <x:c r="BY98" s="11" t="n">
        <x:v>0</x:v>
      </x:c>
      <x:c r="BZ98" s="11" t="n">
        <x:v>0</x:v>
      </x:c>
      <x:c r="CA98" s="11" t="n">
        <x:v>14134</x:v>
      </x:c>
      <x:c r="CB98" s="11" t="n">
        <x:v>0</x:v>
      </x:c>
      <x:c r="CC98" s="11" t="n">
        <x:v>837543</x:v>
      </x:c>
      <x:c r="CD98" s="11" t="n">
        <x:v>239926</x:v>
      </x:c>
      <x:c r="CE98" s="11" t="n">
        <x:v>195623</x:v>
      </x:c>
      <x:c r="CF98" s="11" t="n">
        <x:v>0</x:v>
      </x:c>
      <x:c r="CG98" s="11" t="n">
        <x:v>66793</x:v>
      </x:c>
      <x:c r="CH98" s="11" t="n">
        <x:v>546547</x:v>
      </x:c>
      <x:c r="CI98" s="11" t="n">
        <x:v>366000</x:v>
      </x:c>
      <x:c r="CJ98" s="11" t="n">
        <x:v>329995</x:v>
      </x:c>
      <x:c r="CK98" s="11" t="n">
        <x:v>152166</x:v>
      </x:c>
      <x:c r="CL98" s="11" t="n">
        <x:v>22193</x:v>
      </x:c>
      <x:c r="CM98" s="11"/>
      <x:c r="CN98" s="11" t="n">
        <x:v>0</x:v>
      </x:c>
      <x:c r="CO98" s="11" t="n">
        <x:v>0</x:v>
      </x:c>
      <x:c r="CP98" s="8"/>
      <x:c r="CQ98" s="8" t="str">
        <x:v>Parksville</x:v>
      </x:c>
    </x:row>
    <x:row r="99">
      <x:c r="A99" s="8" t="str">
        <x:v>Chase|2020</x:v>
      </x:c>
      <x:c r="B99" s="8" t="str">
        <x:v>chase-v</x:v>
      </x:c>
      <x:c r="C99" s="8" t="str">
        <x:v>Chase</x:v>
      </x:c>
      <x:c r="D99" s="8" t="str">
        <x:v>Chase</x:v>
      </x:c>
      <x:c r="E99" s="8" t="str">
        <x:v>V</x:v>
      </x:c>
      <x:c r="F99" s="8" t="str">
        <x:v>TNR</x:v>
      </x:c>
      <x:c r="G99" s="9" t="n">
        <x:v>2020</x:v>
      </x:c>
      <x:c r="H99" s="10" t="n">
        <x:v>2497</x:v>
      </x:c>
      <x:c r="I99" s="8" t="str">
        <x:v>Under 5,000</x:v>
      </x:c>
      <x:c r="J99" s="11" t="n">
        <x:v>4918858</x:v>
      </x:c>
      <x:c r="K99" s="11" t="n">
        <x:v>4138990</x:v>
      </x:c>
      <x:c r="L99" s="11" t="n">
        <x:v>779868</x:v>
      </x:c>
      <x:c r="M99" s="12" t="n">
        <x:v>0.15854655694472172</x:v>
      </x:c>
      <x:c r="N99" s="11" t="n">
        <x:v>2148105</x:v>
      </x:c>
      <x:c r="O99" s="11" t="n">
        <x:v>1097910</x:v>
      </x:c>
      <x:c r="P99" s="11" t="n">
        <x:v>1603808</x:v>
      </x:c>
      <x:c r="Q99" s="11" t="n">
        <x:v>69035</x:v>
      </x:c>
      <x:c r="R99" s="11" t="n">
        <x:v>2911130</x:v>
      </x:c>
      <x:c r="S99" s="11" t="n">
        <x:v>1149988</x:v>
      </x:c>
      <x:c r="T99" s="11" t="n">
        <x:v>5742767</x:v>
      </x:c>
      <x:c r="U99" s="11" t="n">
        <x:v>2835760</x:v>
      </x:c>
      <x:c r="V99" s="11" t="n">
        <x:v>3294447</x:v>
      </x:c>
      <x:c r="W99" s="11" t="n">
        <x:v>0</x:v>
      </x:c>
      <x:c r="X99" s="11" t="n">
        <x:v>1977503</x:v>
      </x:c>
      <x:c r="Y99" s="11" t="n">
        <x:v>0</x:v>
      </x:c>
      <x:c r="Z99" s="11" t="n">
        <x:v>90970</x:v>
      </x:c>
      <x:c r="AA99" s="11" t="n">
        <x:v>1886533</x:v>
      </x:c>
      <x:c r="AB99" s="11" t="n">
        <x:v>77872</x:v>
      </x:c>
      <x:c r="AC99" s="11" t="n">
        <x:v>168842</x:v>
      </x:c>
      <x:c r="AD99" s="11" t="n">
        <x:v>936776</x:v>
      </x:c>
      <x:c r="AE99" s="11" t="n">
        <x:v>767934</x:v>
      </x:c>
      <x:c r="AF99" s="11" t="n">
        <x:v>3747105</x:v>
      </x:c>
      <x:c r="AG99" s="11" t="n">
        <x:v>47398663</x:v>
      </x:c>
      <x:c r="AH99" s="11" t="n">
        <x:v>16250778</x:v>
      </x:c>
      <x:c r="AI99" s="11" t="n">
        <x:v>31147885</x:v>
      </x:c>
      <x:c r="AJ99" s="11" t="n">
        <x:v>101629</x:v>
      </x:c>
      <x:c r="AK99" s="11" t="n">
        <x:v>7012701</x:v>
      </x:c>
      <x:c r="AL99" s="11" t="n">
        <x:v>0</x:v>
      </x:c>
      <x:c r="AM99" s="12" t="n">
        <x:v>1</x:v>
      </x:c>
      <x:c r="AN99" s="12" t="n">
        <x:v>0.014492133630109141</x:v>
      </x:c>
      <x:c r="AO99" s="11" t="n">
        <x:v>3877467</x:v>
      </x:c>
      <x:c r="AP99" s="11" t="n">
        <x:v>3679309</x:v>
      </x:c>
      <x:c r="AQ99" s="12" t="n">
        <x:v>0.9488949873719106</x:v>
      </x:c>
      <x:c r="AR99" s="11" t="n">
        <x:v>1969.9070885062074</x:v>
      </x:c>
      <x:c r="AS99" s="11" t="n">
        <x:v>1657.5851021225471</x:v>
      </x:c>
      <x:c r="AT99" s="11" t="n">
        <x:v>1319.3620344413296</x:v>
      </x:c>
      <x:c r="AU99" s="11" t="n">
        <x:v>0</x:v>
      </x:c>
      <x:c r="AV99" s="11" t="n">
        <x:v>755.5198237885462</x:v>
      </x:c>
      <x:c r="AW99" s="11" t="n">
        <x:v>2.0251244816204474</x:v>
      </x:c>
      <x:c r="AX99" s="12" t="n">
        <x:v>0.8197626753887802</x:v>
      </x:c>
      <x:c r="AY99" s="11"/>
      <x:c r="AZ99" s="11"/>
      <x:c r="BA99" s="11"/>
      <x:c r="BB99" s="11"/>
      <x:c r="BC99" s="11"/>
      <x:c r="BD99" s="11"/>
      <x:c r="BE99" s="11"/>
      <x:c r="BF99" s="11"/>
      <x:c r="BG99" s="11"/>
      <x:c r="BH99" s="11"/>
      <x:c r="BI99" s="11"/>
      <x:c r="BJ99" s="11"/>
      <x:c r="BK99" s="12"/>
      <x:c r="BL99" s="12"/>
      <x:c r="BM99" s="12"/>
      <x:c r="BN99" s="12"/>
      <x:c r="BO99" s="12"/>
      <x:c r="BP99" s="12"/>
      <x:c r="BQ99" s="12"/>
      <x:c r="BR99" s="12"/>
      <x:c r="BS99" s="12"/>
      <x:c r="BT99" s="12"/>
      <x:c r="BU99" s="11" t="n">
        <x:v>3650</x:v>
      </x:c>
      <x:c r="BV99" s="11" t="n">
        <x:v>1429765</x:v>
      </x:c>
      <x:c r="BW99" s="11" t="n">
        <x:v>170393</x:v>
      </x:c>
      <x:c r="BX99" s="11" t="n">
        <x:v>69035</x:v>
      </x:c>
      <x:c r="BY99" s="11" t="n">
        <x:v>0</x:v>
      </x:c>
      <x:c r="BZ99" s="11" t="n">
        <x:v>0</x:v>
      </x:c>
      <x:c r="CA99" s="11" t="n">
        <x:v>0</x:v>
      </x:c>
      <x:c r="CB99" s="11" t="n">
        <x:v>0</x:v>
      </x:c>
      <x:c r="CC99" s="11" t="n">
        <x:v>1016239</x:v>
      </x:c>
      <x:c r="CD99" s="11" t="n">
        <x:v>256561</x:v>
      </x:c>
      <x:c r="CE99" s="11" t="n">
        <x:v>210189</x:v>
      </x:c>
      <x:c r="CF99" s="11" t="n">
        <x:v>0</x:v>
      </x:c>
      <x:c r="CG99" s="11" t="n">
        <x:v>45620</x:v>
      </x:c>
      <x:c r="CH99" s="11" t="n">
        <x:v>563223</x:v>
      </x:c>
      <x:c r="CI99" s="11" t="n">
        <x:v>376836</x:v>
      </x:c>
      <x:c r="CJ99" s="11" t="n">
        <x:v>324617</x:v>
      </x:c>
      <x:c r="CK99" s="11" t="n">
        <x:v>186181</x:v>
      </x:c>
      <x:c r="CL99" s="11" t="n">
        <x:v>9536</x:v>
      </x:c>
      <x:c r="CM99" s="11"/>
      <x:c r="CN99" s="11" t="n">
        <x:v>0</x:v>
      </x:c>
      <x:c r="CO99" s="11" t="n">
        <x:v>0</x:v>
      </x:c>
      <x:c r="CP99" s="8"/>
      <x:c r="CQ99" s="8" t="str">
        <x:v>Peachland</x:v>
      </x:c>
    </x:row>
    <x:row r="100">
      <x:c r="A100" s="8" t="str">
        <x:v>Chase|2021</x:v>
      </x:c>
      <x:c r="B100" s="8" t="str">
        <x:v>chase-v</x:v>
      </x:c>
      <x:c r="C100" s="8" t="str">
        <x:v>Chase</x:v>
      </x:c>
      <x:c r="D100" s="8" t="str">
        <x:v>Chase</x:v>
      </x:c>
      <x:c r="E100" s="8" t="str">
        <x:v>V</x:v>
      </x:c>
      <x:c r="F100" s="8" t="str">
        <x:v>TNR</x:v>
      </x:c>
      <x:c r="G100" s="9" t="n">
        <x:v>2021</x:v>
      </x:c>
      <x:c r="H100" s="10" t="n">
        <x:v>2512</x:v>
      </x:c>
      <x:c r="I100" s="8" t="str">
        <x:v>Under 5,000</x:v>
      </x:c>
      <x:c r="J100" s="11" t="n">
        <x:v>4630841</x:v>
      </x:c>
      <x:c r="K100" s="11" t="n">
        <x:v>4182917</x:v>
      </x:c>
      <x:c r="L100" s="11" t="n">
        <x:v>447924</x:v>
      </x:c>
      <x:c r="M100" s="12" t="n">
        <x:v>0.09672627498979128</x:v>
      </x:c>
      <x:c r="N100" s="11" t="n">
        <x:v>2239911</x:v>
      </x:c>
      <x:c r="O100" s="11" t="n">
        <x:v>1249973</x:v>
      </x:c>
      <x:c r="P100" s="11" t="n">
        <x:v>1054208</x:v>
      </x:c>
      <x:c r="Q100" s="11" t="n">
        <x:v>86749</x:v>
      </x:c>
      <x:c r="R100" s="11" t="n">
        <x:v>2968696</x:v>
      </x:c>
      <x:c r="S100" s="11" t="n">
        <x:v>1144077</x:v>
      </x:c>
      <x:c r="T100" s="11" t="n">
        <x:v>6099999</x:v>
      </x:c>
      <x:c r="U100" s="11" t="n">
        <x:v>2569853</x:v>
      </x:c>
      <x:c r="V100" s="11" t="n">
        <x:v>4044237</x:v>
      </x:c>
      <x:c r="W100" s="11" t="n">
        <x:v>0</x:v>
      </x:c>
      <x:c r="X100" s="11" t="n">
        <x:v>1886533</x:v>
      </x:c>
      <x:c r="Y100" s="11" t="n">
        <x:v>0</x:v>
      </x:c>
      <x:c r="Z100" s="11" t="n">
        <x:v>84840</x:v>
      </x:c>
      <x:c r="AA100" s="11" t="n">
        <x:v>1801693</x:v>
      </x:c>
      <x:c r="AB100" s="11" t="n">
        <x:v>70144</x:v>
      </x:c>
      <x:c r="AC100" s="11" t="n">
        <x:v>154984</x:v>
      </x:c>
      <x:c r="AD100" s="11" t="n">
        <x:v>996860</x:v>
      </x:c>
      <x:c r="AE100" s="11" t="n">
        <x:v>841876</x:v>
      </x:c>
      <x:c r="AF100" s="11" t="n">
        <x:v>3987438</x:v>
      </x:c>
      <x:c r="AG100" s="11" t="n">
        <x:v>48172036</x:v>
      </x:c>
      <x:c r="AH100" s="11" t="n">
        <x:v>17394855</x:v>
      </x:c>
      <x:c r="AI100" s="11" t="n">
        <x:v>30777181</x:v>
      </x:c>
      <x:c r="AJ100" s="11" t="n">
        <x:v>779968</x:v>
      </x:c>
      <x:c r="AK100" s="11" t="n">
        <x:v>7006106</x:v>
      </x:c>
      <x:c r="AL100" s="11" t="n">
        <x:v>0</x:v>
      </x:c>
      <x:c r="AM100" s="12" t="n">
        <x:v>1</x:v>
      </x:c>
      <x:c r="AN100" s="12" t="n">
        <x:v>0.11132689114323992</x:v>
      </x:c>
      <x:c r="AO100" s="11" t="n">
        <x:v>4067852</x:v>
      </x:c>
      <x:c r="AP100" s="11" t="n">
        <x:v>3900144</x:v>
      </x:c>
      <x:c r="AQ100" s="12" t="n">
        <x:v>0.9587723447165728</x:v>
      </x:c>
      <x:c r="AR100" s="11" t="n">
        <x:v>1843.4876592356688</x:v>
      </x:c>
      <x:c r="AS100" s="11" t="n">
        <x:v>1665.1739649681529</x:v>
      </x:c>
      <x:c r="AT100" s="11" t="n">
        <x:v>1609.966958598726</x:v>
      </x:c>
      <x:c r="AU100" s="11" t="n">
        <x:v>0</x:v>
      </x:c>
      <x:c r="AV100" s="11" t="n">
        <x:v>717.234474522293</x:v>
      </x:c>
      <x:c r="AW100" s="11" t="n">
        <x:v>2.373676237512418</x:v>
      </x:c>
      <x:c r="AX100" s="12" t="n">
        <x:v>0.8445278173464679</x:v>
      </x:c>
      <x:c r="AY100" s="11"/>
      <x:c r="AZ100" s="11"/>
      <x:c r="BA100" s="11"/>
      <x:c r="BB100" s="11"/>
      <x:c r="BC100" s="11"/>
      <x:c r="BD100" s="11"/>
      <x:c r="BE100" s="11"/>
      <x:c r="BF100" s="11"/>
      <x:c r="BG100" s="11"/>
      <x:c r="BH100" s="11"/>
      <x:c r="BI100" s="11"/>
      <x:c r="BJ100" s="11"/>
      <x:c r="BK100" s="12"/>
      <x:c r="BL100" s="12"/>
      <x:c r="BM100" s="12"/>
      <x:c r="BN100" s="12"/>
      <x:c r="BO100" s="12"/>
      <x:c r="BP100" s="12"/>
      <x:c r="BQ100" s="12"/>
      <x:c r="BR100" s="12"/>
      <x:c r="BS100" s="12"/>
      <x:c r="BT100" s="12"/>
      <x:c r="BU100" s="11" t="n">
        <x:v>0</x:v>
      </x:c>
      <x:c r="BV100" s="11" t="n">
        <x:v>725324</x:v>
      </x:c>
      <x:c r="BW100" s="11" t="n">
        <x:v>328884</x:v>
      </x:c>
      <x:c r="BX100" s="11" t="n">
        <x:v>58693</x:v>
      </x:c>
      <x:c r="BY100" s="11" t="n">
        <x:v>0</x:v>
      </x:c>
      <x:c r="BZ100" s="11" t="n">
        <x:v>0</x:v>
      </x:c>
      <x:c r="CA100" s="11" t="n">
        <x:v>28056</x:v>
      </x:c>
      <x:c r="CB100" s="11" t="n">
        <x:v>0</x:v>
      </x:c>
      <x:c r="CC100" s="11" t="n">
        <x:v>950955</x:v>
      </x:c>
      <x:c r="CD100" s="11" t="n">
        <x:v>354927</x:v>
      </x:c>
      <x:c r="CE100" s="11" t="n">
        <x:v>207168</x:v>
      </x:c>
      <x:c r="CF100" s="11" t="n">
        <x:v>0</x:v>
      </x:c>
      <x:c r="CG100" s="11" t="n">
        <x:v>28960</x:v>
      </x:c>
      <x:c r="CH100" s="11" t="n">
        <x:v>576065</x:v>
      </x:c>
      <x:c r="CI100" s="11" t="n">
        <x:v>374673</x:v>
      </x:c>
      <x:c r="CJ100" s="11" t="n">
        <x:v>370075</x:v>
      </x:c>
      <x:c r="CK100" s="11" t="n">
        <x:v>153194</x:v>
      </x:c>
      <x:c r="CL100" s="11" t="n">
        <x:v>22823</x:v>
      </x:c>
      <x:c r="CM100" s="11"/>
      <x:c r="CN100" s="11" t="n">
        <x:v>0</x:v>
      </x:c>
      <x:c r="CO100" s="11" t="n">
        <x:v>0</x:v>
      </x:c>
      <x:c r="CP100" s="8"/>
      <x:c r="CQ100" s="8" t="str">
        <x:v>Pemberton</x:v>
      </x:c>
    </x:row>
    <x:row r="101">
      <x:c r="A101" s="8" t="str">
        <x:v>Chase|2022</x:v>
      </x:c>
      <x:c r="B101" s="8" t="str">
        <x:v>chase-v</x:v>
      </x:c>
      <x:c r="C101" s="8" t="str">
        <x:v>Chase</x:v>
      </x:c>
      <x:c r="D101" s="8" t="str">
        <x:v>Chase</x:v>
      </x:c>
      <x:c r="E101" s="8" t="str">
        <x:v>V</x:v>
      </x:c>
      <x:c r="F101" s="8" t="str">
        <x:v>TNR</x:v>
      </x:c>
      <x:c r="G101" s="9" t="n">
        <x:v>2022</x:v>
      </x:c>
      <x:c r="H101" s="10" t="n">
        <x:v>2540</x:v>
      </x:c>
      <x:c r="I101" s="8" t="str">
        <x:v>Under 5,000</x:v>
      </x:c>
      <x:c r="J101" s="11" t="n">
        <x:v>4942695</x:v>
      </x:c>
      <x:c r="K101" s="11" t="n">
        <x:v>4349631</x:v>
      </x:c>
      <x:c r="L101" s="11" t="n">
        <x:v>593064</x:v>
      </x:c>
      <x:c r="M101" s="12" t="n">
        <x:v>0.11998798226473614</x:v>
      </x:c>
      <x:c r="N101" s="11" t="n">
        <x:v>2283445</x:v>
      </x:c>
      <x:c r="O101" s="11" t="n">
        <x:v>1290102</x:v>
      </x:c>
      <x:c r="P101" s="11" t="n">
        <x:v>1181625</x:v>
      </x:c>
      <x:c r="Q101" s="11" t="n">
        <x:v>187523</x:v>
      </x:c>
      <x:c r="R101" s="11" t="n">
        <x:v>3112205</x:v>
      </x:c>
      <x:c r="S101" s="11" t="n">
        <x:v>1182468</x:v>
      </x:c>
      <x:c r="T101" s="11" t="n">
        <x:v>6820633</x:v>
      </x:c>
      <x:c r="U101" s="11" t="n">
        <x:v>2936101</x:v>
      </x:c>
      <x:c r="V101" s="11" t="n">
        <x:v>4488841</x:v>
      </x:c>
      <x:c r="W101" s="11" t="n">
        <x:v>2339008</x:v>
      </x:c>
      <x:c r="X101" s="11" t="n">
        <x:v>1801693</x:v>
      </x:c>
      <x:c r="Y101" s="11" t="n">
        <x:v>250000</x:v>
      </x:c>
      <x:c r="Z101" s="11" t="n">
        <x:v>74711</x:v>
      </x:c>
      <x:c r="AA101" s="11" t="n">
        <x:v>1950865</x:v>
      </x:c>
      <x:c r="AB101" s="11" t="n">
        <x:v>54958</x:v>
      </x:c>
      <x:c r="AC101" s="11" t="n">
        <x:v>129669</x:v>
      </x:c>
      <x:c r="AD101" s="11" t="n">
        <x:v>1071238</x:v>
      </x:c>
      <x:c r="AE101" s="11" t="n">
        <x:v>875034</x:v>
      </x:c>
      <x:c r="AF101" s="11" t="n">
        <x:v>4284953</x:v>
      </x:c>
      <x:c r="AG101" s="11" t="n">
        <x:v>49519819</x:v>
      </x:c>
      <x:c r="AH101" s="11" t="n">
        <x:v>18577324</x:v>
      </x:c>
      <x:c r="AI101" s="11" t="n">
        <x:v>30942495</x:v>
      </x:c>
      <x:c r="AJ101" s="11" t="n">
        <x:v>1347782</x:v>
      </x:c>
      <x:c r="AK101" s="11" t="n">
        <x:v>7037951</x:v>
      </x:c>
      <x:c r="AL101" s="11" t="n">
        <x:v>0</x:v>
      </x:c>
      <x:c r="AM101" s="12" t="n">
        <x:v>1</x:v>
      </x:c>
      <x:c r="AN101" s="12" t="n">
        <x:v>0.1915020437056183</x:v>
      </x:c>
      <x:c r="AO101" s="11" t="n">
        <x:v>4222076</x:v>
      </x:c>
      <x:c r="AP101" s="11" t="n">
        <x:v>4084891</x:v>
      </x:c>
      <x:c r="AQ101" s="12" t="n">
        <x:v>0.967507690529493</x:v>
      </x:c>
      <x:c r="AR101" s="11" t="n">
        <x:v>1945.9429133858268</x:v>
      </x:c>
      <x:c r="AS101" s="11" t="n">
        <x:v>1712.4531496062991</x:v>
      </x:c>
      <x:c r="AT101" s="11" t="n">
        <x:v>1767.2602362204725</x:v>
      </x:c>
      <x:c r="AU101" s="11" t="n">
        <x:v>920.8692913385827</x:v>
      </x:c>
      <x:c r="AV101" s="11" t="n">
        <x:v>768.0570866141733</x:v>
      </x:c>
      <x:c r="AW101" s="11" t="n">
        <x:v>2.323023969543282</x:v>
      </x:c>
      <x:c r="AX101" s="12" t="n">
        <x:v>0.8168436892641971</x:v>
      </x:c>
      <x:c r="AY101" s="11"/>
      <x:c r="AZ101" s="11"/>
      <x:c r="BA101" s="11"/>
      <x:c r="BB101" s="11"/>
      <x:c r="BC101" s="11"/>
      <x:c r="BD101" s="11"/>
      <x:c r="BE101" s="11"/>
      <x:c r="BF101" s="11"/>
      <x:c r="BG101" s="11"/>
      <x:c r="BH101" s="11"/>
      <x:c r="BI101" s="11"/>
      <x:c r="BJ101" s="11"/>
      <x:c r="BK101" s="12"/>
      <x:c r="BL101" s="12"/>
      <x:c r="BM101" s="12"/>
      <x:c r="BN101" s="12"/>
      <x:c r="BO101" s="12"/>
      <x:c r="BP101" s="12"/>
      <x:c r="BQ101" s="12"/>
      <x:c r="BR101" s="12"/>
      <x:c r="BS101" s="12"/>
      <x:c r="BT101" s="12"/>
      <x:c r="BU101" s="11" t="n">
        <x:v>0</x:v>
      </x:c>
      <x:c r="BV101" s="11" t="n">
        <x:v>1004134</x:v>
      </x:c>
      <x:c r="BW101" s="11" t="n">
        <x:v>177491</x:v>
      </x:c>
      <x:c r="BX101" s="11" t="n">
        <x:v>187523</x:v>
      </x:c>
      <x:c r="BY101" s="11" t="n">
        <x:v>0</x:v>
      </x:c>
      <x:c r="BZ101" s="11" t="n">
        <x:v>0</x:v>
      </x:c>
      <x:c r="CA101" s="11" t="n">
        <x:v>0</x:v>
      </x:c>
      <x:c r="CB101" s="11" t="n">
        <x:v>0</x:v>
      </x:c>
      <x:c r="CC101" s="11" t="n">
        <x:v>1011071</x:v>
      </x:c>
      <x:c r="CD101" s="11" t="n">
        <x:v>320112</x:v>
      </x:c>
      <x:c r="CE101" s="11" t="n">
        <x:v>199045</x:v>
      </x:c>
      <x:c r="CF101" s="11" t="n">
        <x:v>0</x:v>
      </x:c>
      <x:c r="CG101" s="11" t="n">
        <x:v>46784</x:v>
      </x:c>
      <x:c r="CH101" s="11" t="n">
        <x:v>620148</x:v>
      </x:c>
      <x:c r="CI101" s="11" t="n">
        <x:v>377994</x:v>
      </x:c>
      <x:c r="CJ101" s="11" t="n">
        <x:v>377446</x:v>
      </x:c>
      <x:c r="CK101" s="11" t="n">
        <x:v>204286</x:v>
      </x:c>
      <x:c r="CL101" s="11" t="n">
        <x:v>10277</x:v>
      </x:c>
      <x:c r="CM101" s="11"/>
      <x:c r="CN101" s="11" t="n">
        <x:v>0</x:v>
      </x:c>
      <x:c r="CO101" s="11" t="n">
        <x:v>0</x:v>
      </x:c>
      <x:c r="CP101" s="8"/>
      <x:c r="CQ101" s="8" t="str">
        <x:v>Penticton</x:v>
      </x:c>
    </x:row>
    <x:row r="102">
      <x:c r="A102" s="8" t="str">
        <x:v>Chase|2023</x:v>
      </x:c>
      <x:c r="B102" s="8" t="str">
        <x:v>chase-v</x:v>
      </x:c>
      <x:c r="C102" s="8" t="str">
        <x:v>Chase</x:v>
      </x:c>
      <x:c r="D102" s="8" t="str">
        <x:v>Chase</x:v>
      </x:c>
      <x:c r="E102" s="8" t="str">
        <x:v>V</x:v>
      </x:c>
      <x:c r="F102" s="8" t="str">
        <x:v>TNR</x:v>
      </x:c>
      <x:c r="G102" s="9" t="n">
        <x:v>2023</x:v>
      </x:c>
      <x:c r="H102" s="10" t="n">
        <x:v>2639</x:v>
      </x:c>
      <x:c r="I102" s="8" t="str">
        <x:v>Under 5,000</x:v>
      </x:c>
      <x:c r="J102" s="11" t="n">
        <x:v>6930180</x:v>
      </x:c>
      <x:c r="K102" s="11" t="n">
        <x:v>4746555</x:v>
      </x:c>
      <x:c r="L102" s="11" t="n">
        <x:v>2183625</x:v>
      </x:c>
      <x:c r="M102" s="12" t="n">
        <x:v>0.3150892184618581</x:v>
      </x:c>
      <x:c r="N102" s="11" t="n">
        <x:v>2400323</x:v>
      </x:c>
      <x:c r="O102" s="11" t="n">
        <x:v>1517287</x:v>
      </x:c>
      <x:c r="P102" s="11" t="n">
        <x:v>2482165</x:v>
      </x:c>
      <x:c r="Q102" s="11" t="n">
        <x:v>530405</x:v>
      </x:c>
      <x:c r="R102" s="11" t="n">
        <x:v>3427571</x:v>
      </x:c>
      <x:c r="S102" s="11" t="n">
        <x:v>1233265</x:v>
      </x:c>
      <x:c r="T102" s="11" t="n">
        <x:v>9301301</x:v>
      </x:c>
      <x:c r="U102" s="11" t="n">
        <x:v>3111706</x:v>
      </x:c>
      <x:c r="V102" s="11" t="n">
        <x:v>7117037</x:v>
      </x:c>
      <x:c r="W102" s="11" t="n">
        <x:v>3907593</x:v>
      </x:c>
      <x:c r="X102" s="11" t="n">
        <x:v>1950865</x:v>
      </x:c>
      <x:c r="Y102" s="11" t="n">
        <x:v>0</x:v>
      </x:c>
      <x:c r="Z102" s="11" t="n">
        <x:v>106541</x:v>
      </x:c>
      <x:c r="AA102" s="11" t="n">
        <x:v>1815991</x:v>
      </x:c>
      <x:c r="AB102" s="11" t="n">
        <x:v>85719</x:v>
      </x:c>
      <x:c r="AC102" s="11" t="n">
        <x:v>192260</x:v>
      </x:c>
      <x:c r="AD102" s="11" t="n">
        <x:v>1207340</x:v>
      </x:c>
      <x:c r="AE102" s="11" t="n">
        <x:v>943042</x:v>
      </x:c>
      <x:c r="AF102" s="11" t="n">
        <x:v>4829360</x:v>
      </x:c>
      <x:c r="AG102" s="11" t="n">
        <x:v>50450287</x:v>
      </x:c>
      <x:c r="AH102" s="11" t="n">
        <x:v>19610705</x:v>
      </x:c>
      <x:c r="AI102" s="11" t="n">
        <x:v>30839582</x:v>
      </x:c>
      <x:c r="AJ102" s="11" t="n">
        <x:v>968921</x:v>
      </x:c>
      <x:c r="AK102" s="11" t="n">
        <x:v>73735713</x:v>
      </x:c>
      <x:c r="AL102" s="11" t="n">
        <x:v>1233265</x:v>
      </x:c>
      <x:c r="AM102" s="12" t="n">
        <x:v>0.9832745226183681</x:v>
      </x:c>
      <x:c r="AN102" s="12" t="n">
        <x:v>0.013140457460552393</x:v>
      </x:c>
      <x:c r="AO102" s="11" t="n">
        <x:v>4560986</x:v>
      </x:c>
      <x:c r="AP102" s="11" t="n">
        <x:v>4392262</x:v>
      </x:c>
      <x:c r="AQ102" s="12" t="n">
        <x:v>0.9630071217057014</x:v>
      </x:c>
      <x:c r="AR102" s="11" t="n">
        <x:v>2626.0629026146266</x:v>
      </x:c>
      <x:c r="AS102" s="11" t="n">
        <x:v>1798.6187949981054</x:v>
      </x:c>
      <x:c r="AT102" s="11" t="n">
        <x:v>2696.8688897309585</x:v>
      </x:c>
      <x:c r="AU102" s="11" t="n">
        <x:v>1480.7097385373247</x:v>
      </x:c>
      <x:c r="AV102" s="11" t="n">
        <x:v>688.1360363774157</x:v>
      </x:c>
      <x:c r="AW102" s="11" t="n">
        <x:v>2.9891323280541284</x:v>
      </x:c>
      <x:c r="AX102" s="12" t="n">
        <x:v>0.7810906621167194</x:v>
      </x:c>
      <x:c r="AY102" s="11"/>
      <x:c r="AZ102" s="11"/>
      <x:c r="BA102" s="11"/>
      <x:c r="BB102" s="11"/>
      <x:c r="BC102" s="11"/>
      <x:c r="BD102" s="11"/>
      <x:c r="BE102" s="11"/>
      <x:c r="BF102" s="11"/>
      <x:c r="BG102" s="11"/>
      <x:c r="BH102" s="11"/>
      <x:c r="BI102" s="11"/>
      <x:c r="BJ102" s="11"/>
      <x:c r="BK102" s="12"/>
      <x:c r="BL102" s="12"/>
      <x:c r="BM102" s="12"/>
      <x:c r="BN102" s="12"/>
      <x:c r="BO102" s="12"/>
      <x:c r="BP102" s="12"/>
      <x:c r="BQ102" s="12"/>
      <x:c r="BR102" s="12"/>
      <x:c r="BS102" s="12"/>
      <x:c r="BT102" s="12"/>
      <x:c r="BU102" s="11" t="n">
        <x:v>67534</x:v>
      </x:c>
      <x:c r="BV102" s="11" t="n">
        <x:v>2229832</x:v>
      </x:c>
      <x:c r="BW102" s="11" t="n">
        <x:v>184799</x:v>
      </x:c>
      <x:c r="BX102" s="11" t="n">
        <x:v>493083</x:v>
      </x:c>
      <x:c r="BY102" s="11" t="n">
        <x:v>0</x:v>
      </x:c>
      <x:c r="BZ102" s="11" t="n">
        <x:v>0</x:v>
      </x:c>
      <x:c r="CA102" s="11" t="n">
        <x:v>20322</x:v>
      </x:c>
      <x:c r="CB102" s="11" t="n">
        <x:v>17000</x:v>
      </x:c>
      <x:c r="CC102" s="11" t="n">
        <x:v>981724</x:v>
      </x:c>
      <x:c r="CD102" s="11" t="n">
        <x:v>456519</x:v>
      </x:c>
      <x:c r="CE102" s="11" t="n">
        <x:v>240547</x:v>
      </x:c>
      <x:c r="CF102" s="11" t="n">
        <x:v>0</x:v>
      </x:c>
      <x:c r="CG102" s="11" t="n">
        <x:v>49208</x:v>
      </x:c>
      <x:c r="CH102" s="11" t="n">
        <x:v>624932</x:v>
      </x:c>
      <x:c r="CI102" s="11" t="n">
        <x:v>445995</x:v>
      </x:c>
      <x:c r="CJ102" s="11" t="n">
        <x:v>461681</x:v>
      </x:c>
      <x:c r="CK102" s="11" t="n">
        <x:v>225357</x:v>
      </x:c>
      <x:c r="CL102" s="11" t="n">
        <x:v>15773</x:v>
      </x:c>
      <x:c r="CM102" s="11" t="n">
        <x:v>11554</x:v>
      </x:c>
      <x:c r="CN102" s="11" t="n">
        <x:v>0</x:v>
      </x:c>
      <x:c r="CO102" s="11" t="n">
        <x:v>0</x:v>
      </x:c>
      <x:c r="CP102" s="8"/>
      <x:c r="CQ102" s="8" t="str">
        <x:v>Pitt Meadows</x:v>
      </x:c>
    </x:row>
    <x:row r="103">
      <x:c r="A103" s="8" t="str">
        <x:v>Chase|2024</x:v>
      </x:c>
      <x:c r="B103" s="8" t="str">
        <x:v>chase-v</x:v>
      </x:c>
      <x:c r="C103" s="8" t="str">
        <x:v>Chase</x:v>
      </x:c>
      <x:c r="D103" s="8" t="str">
        <x:v>Chase</x:v>
      </x:c>
      <x:c r="E103" s="8" t="str">
        <x:v>V</x:v>
      </x:c>
      <x:c r="F103" s="8" t="str">
        <x:v>TNR</x:v>
      </x:c>
      <x:c r="G103" s="9" t="n">
        <x:v>2024</x:v>
      </x:c>
      <x:c r="H103" s="10" t="n">
        <x:v>2639</x:v>
      </x:c>
      <x:c r="I103" s="8" t="str">
        <x:v>Under 5,000</x:v>
      </x:c>
      <x:c r="J103" s="11" t="n">
        <x:v>6315104</x:v>
      </x:c>
      <x:c r="K103" s="11" t="n">
        <x:v>5040659</x:v>
      </x:c>
      <x:c r="L103" s="11" t="n">
        <x:v>1274445</x:v>
      </x:c>
      <x:c r="M103" s="12" t="n">
        <x:v>0.2018090280065063</x:v>
      </x:c>
      <x:c r="N103" s="11" t="n">
        <x:v>2671014</x:v>
      </x:c>
      <x:c r="O103" s="11" t="n">
        <x:v>1770427</x:v>
      </x:c>
      <x:c r="P103" s="11" t="n">
        <x:v>1358646</x:v>
      </x:c>
      <x:c r="Q103" s="11" t="n">
        <x:v>515017</x:v>
      </x:c>
      <x:c r="R103" s="11" t="n">
        <x:v>3725312</x:v>
      </x:c>
      <x:c r="S103" s="11" t="n">
        <x:v>1239702</x:v>
      </x:c>
      <x:c r="T103" s="11" t="n">
        <x:v>9654139</x:v>
      </x:c>
      <x:c r="U103" s="11" t="n">
        <x:v>3377506</x:v>
      </x:c>
      <x:c r="V103" s="11" t="n">
        <x:v>7555921</x:v>
      </x:c>
      <x:c r="W103" s="11" t="n">
        <x:v>3564562</x:v>
      </x:c>
      <x:c r="X103" s="11" t="n">
        <x:v>1815991</x:v>
      </x:c>
      <x:c r="Y103" s="11" t="n">
        <x:v>100000</x:v>
      </x:c>
      <x:c r="Z103" s="11" t="n">
        <x:v>111558</x:v>
      </x:c>
      <x:c r="AA103" s="11" t="n">
        <x:v>1773066</x:v>
      </x:c>
      <x:c r="AB103" s="11" t="n">
        <x:v>75645</x:v>
      </x:c>
      <x:c r="AC103" s="11" t="n">
        <x:v>187203</x:v>
      </x:c>
      <x:c r="AD103" s="11" t="n">
        <x:v>1349848</x:v>
      </x:c>
      <x:c r="AE103" s="11" t="n">
        <x:v>1083392</x:v>
      </x:c>
      <x:c r="AF103" s="11" t="n">
        <x:v>5399391</x:v>
      </x:c>
      <x:c r="AG103" s="11" t="n">
        <x:v>52484009</x:v>
      </x:c>
      <x:c r="AH103" s="11" t="n">
        <x:v>20784797</x:v>
      </x:c>
      <x:c r="AI103" s="11" t="n">
        <x:v>31699212</x:v>
      </x:c>
      <x:c r="AJ103" s="11" t="n">
        <x:v>2099331</x:v>
      </x:c>
      <x:c r="AK103" s="11" t="n">
        <x:v>93206610</x:v>
      </x:c>
      <x:c r="AL103" s="11" t="n">
        <x:v>2515104</x:v>
      </x:c>
      <x:c r="AM103" s="12" t="n">
        <x:v>0.973015819371609</x:v>
      </x:c>
      <x:c r="AN103" s="12" t="n">
        <x:v>0.022523413307275097</x:v>
      </x:c>
      <x:c r="AO103" s="11" t="n">
        <x:v>4934274</x:v>
      </x:c>
      <x:c r="AP103" s="11" t="n">
        <x:v>4739903</x:v>
      </x:c>
      <x:c r="AQ103" s="12" t="n">
        <x:v>0.9606079840722263</x:v>
      </x:c>
      <x:c r="AR103" s="11" t="n">
        <x:v>2392.9912845774916</x:v>
      </x:c>
      <x:c r="AS103" s="11" t="n">
        <x:v>1910.064039408867</x:v>
      </x:c>
      <x:c r="AT103" s="11" t="n">
        <x:v>2863.1758241758243</x:v>
      </x:c>
      <x:c r="AU103" s="11" t="n">
        <x:v>1350.724516862448</x:v>
      </x:c>
      <x:c r="AV103" s="11" t="n">
        <x:v>671.8704054566124</x:v>
      </x:c>
      <x:c r="AW103" s="11" t="n">
        <x:v>2.8583632419897995</x:v>
      </x:c>
      <x:c r="AX103" s="12" t="n">
        <x:v>0.8026029597406523</x:v>
      </x:c>
      <x:c r="AY103" s="11" t="n">
        <x:v>4648.097865362712</x:v>
      </x:c>
      <x:c r="AZ103" s="11" t="n">
        <x:v>3546.5079302077975</x:v>
      </x:c>
      <x:c r="BA103" s="11" t="n">
        <x:v>3428.422456291105</x:v>
      </x:c>
      <x:c r="BB103" s="11" t="n">
        <x:v>2783.665107049771</x:v>
      </x:c>
      <x:c r="BC103" s="11" t="n">
        <x:v>5030.364110900993</x:v>
      </x:c>
      <x:c r="BD103" s="11" t="n">
        <x:v>2437.8724475115623</x:v>
      </x:c>
      <x:c r="BE103" s="11" t="n">
        <x:v>2420.45</x:v>
      </x:c>
      <x:c r="BF103" s="11" t="n">
        <x:v>1604.3462673977224</x:v>
      </x:c>
      <x:c r="BG103" s="11" t="n">
        <x:v>224.31236112962716</x:v>
      </x:c>
      <x:c r="BH103" s="11" t="n">
        <x:v>518.5374381567245</x:v>
      </x:c>
      <x:c r="BI103" s="11" t="n">
        <x:v>2.204313821553219</x:v>
      </x:c>
      <x:c r="BJ103" s="11" t="n">
        <x:v>1.7099330852451193</x:v>
      </x:c>
      <x:c r="BK103" s="12" t="n">
        <x:v>0.030042455998363887</x:v>
      </x:c>
      <x:c r="BL103" s="12" t="n">
        <x:v>0.02529861000232605</x:v>
      </x:c>
      <x:c r="BM103" s="12" t="n">
        <x:v>0.9786113537119745</x:v>
      </x:c>
      <x:c r="BN103" s="12" t="n">
        <x:v>0.9815511712696461</x:v>
      </x:c>
      <x:c r="BO103" s="12" t="n">
        <x:v>0.9039920521842442</x:v>
      </x:c>
      <x:c r="BP103" s="12" t="n">
        <x:v>0.8619101997275483</x:v>
      </x:c>
      <x:c r="BQ103" s="12" t="n">
        <x:v>0.9333160528846489</x:v>
      </x:c>
      <x:c r="BR103" s="12" t="n">
        <x:v>0.9623635142836453</x:v>
      </x:c>
      <x:c r="BS103" s="12" t="n">
        <x:v>0.20869205825466772</x:v>
      </x:c>
      <x:c r="BT103" s="12" t="n">
        <x:v>0.19976549769108282</x:v>
      </x:c>
      <x:c r="BU103" s="11" t="n">
        <x:v>491718</x:v>
      </x:c>
      <x:c r="BV103" s="11" t="n">
        <x:v>847928</x:v>
      </x:c>
      <x:c r="BW103" s="11" t="n">
        <x:v>19000</x:v>
      </x:c>
      <x:c r="BX103" s="11" t="n">
        <x:v>506815</x:v>
      </x:c>
      <x:c r="BY103" s="11" t="n">
        <x:v>0</x:v>
      </x:c>
      <x:c r="BZ103" s="11" t="n">
        <x:v>0</x:v>
      </x:c>
      <x:c r="CA103" s="11" t="n">
        <x:v>0</x:v>
      </x:c>
      <x:c r="CB103" s="11" t="n">
        <x:v>8202</x:v>
      </x:c>
      <x:c r="CC103" s="11" t="n">
        <x:v>1111298</x:v>
      </x:c>
      <x:c r="CD103" s="11" t="n">
        <x:v>338252</x:v>
      </x:c>
      <x:c r="CE103" s="11" t="n">
        <x:v>260902</x:v>
      </x:c>
      <x:c r="CF103" s="11" t="n">
        <x:v>0</x:v>
      </x:c>
      <x:c r="CG103" s="11" t="n">
        <x:v>103418</x:v>
      </x:c>
      <x:c r="CH103" s="11" t="n">
        <x:v>610449</x:v>
      </x:c>
      <x:c r="CI103" s="11" t="n">
        <x:v>576539</x:v>
      </x:c>
      <x:c r="CJ103" s="11" t="n">
        <x:v>514061</x:v>
      </x:c>
      <x:c r="CK103" s="11" t="n">
        <x:v>257187</x:v>
      </x:c>
      <x:c r="CL103" s="11" t="n">
        <x:v>23238</x:v>
      </x:c>
      <x:c r="CM103" s="11" t="n">
        <x:v>5613</x:v>
      </x:c>
      <x:c r="CN103" s="11" t="n">
        <x:v>0</x:v>
      </x:c>
      <x:c r="CO103" s="11" t="n">
        <x:v>0</x:v>
      </x:c>
      <x:c r="CP103" s="8"/>
      <x:c r="CQ103" s="8" t="str">
        <x:v>Port Alberni</x:v>
      </x:c>
    </x:row>
    <x:row r="104">
      <x:c r="A104" s="8" t="str">
        <x:v>Chetwynd|2019</x:v>
      </x:c>
      <x:c r="B104" s="8" t="str">
        <x:v>chetwynd-d</x:v>
      </x:c>
      <x:c r="C104" s="8" t="str">
        <x:v>Chetwynd</x:v>
      </x:c>
      <x:c r="D104" s="8" t="str">
        <x:v>Chetwynd</x:v>
      </x:c>
      <x:c r="E104" s="8" t="str">
        <x:v>D</x:v>
      </x:c>
      <x:c r="F104" s="8" t="str">
        <x:v>PEA</x:v>
      </x:c>
      <x:c r="G104" s="9" t="n">
        <x:v>2019</x:v>
      </x:c>
      <x:c r="H104" s="10" t="n">
        <x:v>2645</x:v>
      </x:c>
      <x:c r="I104" s="8" t="str">
        <x:v>Under 5,000</x:v>
      </x:c>
      <x:c r="J104" s="11" t="n">
        <x:v>10234157</x:v>
      </x:c>
      <x:c r="K104" s="11" t="n">
        <x:v>8329596</x:v>
      </x:c>
      <x:c r="L104" s="11" t="n">
        <x:v>1904561</x:v>
      </x:c>
      <x:c r="M104" s="12" t="n">
        <x:v>0.18609847396321944</x:v>
      </x:c>
      <x:c r="N104" s="11" t="n">
        <x:v>3294208</x:v>
      </x:c>
      <x:c r="O104" s="11" t="n">
        <x:v>2546158</x:v>
      </x:c>
      <x:c r="P104" s="11" t="n">
        <x:v>4266039</x:v>
      </x:c>
      <x:c r="Q104" s="11" t="n">
        <x:v>127752</x:v>
      </x:c>
      <x:c r="R104" s="11" t="n">
        <x:v>6440637</x:v>
      </x:c>
      <x:c r="S104" s="11" t="n">
        <x:v>1777521</x:v>
      </x:c>
      <x:c r="T104" s="11" t="n">
        <x:v>7785750</x:v>
      </x:c>
      <x:c r="U104" s="11" t="n">
        <x:v>5812070</x:v>
      </x:c>
      <x:c r="V104" s="11" t="n">
        <x:v>4195662</x:v>
      </x:c>
      <x:c r="W104" s="11" t="n">
        <x:v>2172153</x:v>
      </x:c>
      <x:c r="X104" s="11" t="n">
        <x:v>3955354</x:v>
      </x:c>
      <x:c r="Y104" s="11" t="n">
        <x:v>0</x:v>
      </x:c>
      <x:c r="Z104" s="11" t="n">
        <x:v>152852</x:v>
      </x:c>
      <x:c r="AA104" s="11" t="n">
        <x:v>3794677</x:v>
      </x:c>
      <x:c r="AB104" s="11" t="n">
        <x:v>111438</x:v>
      </x:c>
      <x:c r="AC104" s="11" t="n">
        <x:v>264290</x:v>
      </x:c>
      <x:c r="AD104" s="11" t="n">
        <x:v>2299630</x:v>
      </x:c>
      <x:c r="AE104" s="11" t="n">
        <x:v>2035340</x:v>
      </x:c>
      <x:c r="AF104" s="11" t="n">
        <x:v>9198519</x:v>
      </x:c>
      <x:c r="AG104" s="11" t="n">
        <x:v>77310713</x:v>
      </x:c>
      <x:c r="AH104" s="11" t="n">
        <x:v>25292682</x:v>
      </x:c>
      <x:c r="AI104" s="11" t="n">
        <x:v>52018031</x:v>
      </x:c>
      <x:c r="AJ104" s="11" t="n">
        <x:v>4000720</x:v>
      </x:c>
      <x:c r="AK104" s="11" t="n">
        <x:v>1875544</x:v>
      </x:c>
      <x:c r="AL104" s="11" t="n">
        <x:v>0</x:v>
      </x:c>
      <x:c r="AM104" s="12" t="n">
        <x:v>1</x:v>
      </x:c>
      <x:c r="AN104" s="12" t="n">
        <x:v>2.1330984503695993</x:v>
      </x:c>
      <x:c r="AO104" s="11" t="n">
        <x:v>6483776</x:v>
      </x:c>
      <x:c r="AP104" s="11" t="n">
        <x:v>6242099</x:v>
      </x:c>
      <x:c r="AQ104" s="12" t="n">
        <x:v>0.962725886890602</x:v>
      </x:c>
      <x:c r="AR104" s="11" t="n">
        <x:v>3869.2465028355386</x:v>
      </x:c>
      <x:c r="AS104" s="11" t="n">
        <x:v>3149.1856332703214</x:v>
      </x:c>
      <x:c r="AT104" s="11" t="n">
        <x:v>1586.2616257088846</x:v>
      </x:c>
      <x:c r="AU104" s="11" t="n">
        <x:v>821.2298676748583</x:v>
      </x:c>
      <x:c r="AV104" s="11" t="n">
        <x:v>1434.6604914933837</x:v>
      </x:c>
      <x:c r="AW104" s="11" t="n">
        <x:v>1.339582971299382</x:v>
      </x:c>
      <x:c r="AX104" s="12" t="n">
        <x:v>0.8850728160617143</x:v>
      </x:c>
      <x:c r="AY104" s="11"/>
      <x:c r="AZ104" s="11"/>
      <x:c r="BA104" s="11"/>
      <x:c r="BB104" s="11"/>
      <x:c r="BC104" s="11"/>
      <x:c r="BD104" s="11"/>
      <x:c r="BE104" s="11"/>
      <x:c r="BF104" s="11"/>
      <x:c r="BG104" s="11"/>
      <x:c r="BH104" s="11"/>
      <x:c r="BI104" s="11"/>
      <x:c r="BJ104" s="11"/>
      <x:c r="BK104" s="12"/>
      <x:c r="BL104" s="12"/>
      <x:c r="BM104" s="12"/>
      <x:c r="BN104" s="12"/>
      <x:c r="BO104" s="12"/>
      <x:c r="BP104" s="12"/>
      <x:c r="BQ104" s="12"/>
      <x:c r="BR104" s="12"/>
      <x:c r="BS104" s="12"/>
      <x:c r="BT104" s="12"/>
      <x:c r="BU104" s="11" t="n">
        <x:v>346481</x:v>
      </x:c>
      <x:c r="BV104" s="11" t="n">
        <x:v>3752423</x:v>
      </x:c>
      <x:c r="BW104" s="11" t="n">
        <x:v>167135</x:v>
      </x:c>
      <x:c r="BX104" s="11" t="n">
        <x:v>127752</x:v>
      </x:c>
      <x:c r="BY104" s="11" t="n">
        <x:v>0</x:v>
      </x:c>
      <x:c r="BZ104" s="11" t="n">
        <x:v>0</x:v>
      </x:c>
      <x:c r="CA104" s="11" t="n">
        <x:v>0</x:v>
      </x:c>
      <x:c r="CB104" s="11" t="n">
        <x:v>0</x:v>
      </x:c>
      <x:c r="CC104" s="11" t="n">
        <x:v>1515518</x:v>
      </x:c>
      <x:c r="CD104" s="11" t="n">
        <x:v>427742</x:v>
      </x:c>
      <x:c r="CE104" s="11" t="n">
        <x:v>448224</x:v>
      </x:c>
      <x:c r="CF104" s="11" t="n">
        <x:v>116458</x:v>
      </x:c>
      <x:c r="CG104" s="11" t="n">
        <x:v>678276</x:v>
      </x:c>
      <x:c r="CH104" s="11" t="n">
        <x:v>1576156</x:v>
      </x:c>
      <x:c r="CI104" s="11" t="n">
        <x:v>546417</x:v>
      </x:c>
      <x:c r="CJ104" s="11" t="n">
        <x:v>694828</x:v>
      </x:c>
      <x:c r="CK104" s="11" t="n">
        <x:v>312916</x:v>
      </x:c>
      <x:c r="CL104" s="11" t="n">
        <x:v>0</x:v>
      </x:c>
      <x:c r="CM104" s="11"/>
      <x:c r="CN104" s="11" t="n">
        <x:v>235540</x:v>
      </x:c>
      <x:c r="CO104" s="11" t="n">
        <x:v>0</x:v>
      </x:c>
      <x:c r="CP104" s="8"/>
      <x:c r="CQ104" s="8" t="str">
        <x:v>Port Alice</x:v>
      </x:c>
    </x:row>
    <x:row r="105">
      <x:c r="A105" s="8" t="str">
        <x:v>Chetwynd|2020</x:v>
      </x:c>
      <x:c r="B105" s="8" t="str">
        <x:v>chetwynd-d</x:v>
      </x:c>
      <x:c r="C105" s="8" t="str">
        <x:v>Chetwynd</x:v>
      </x:c>
      <x:c r="D105" s="8" t="str">
        <x:v>Chetwynd</x:v>
      </x:c>
      <x:c r="E105" s="8" t="str">
        <x:v>D</x:v>
      </x:c>
      <x:c r="F105" s="8" t="str">
        <x:v>PEA</x:v>
      </x:c>
      <x:c r="G105" s="9" t="n">
        <x:v>2020</x:v>
      </x:c>
      <x:c r="H105" s="10" t="n">
        <x:v>2657</x:v>
      </x:c>
      <x:c r="I105" s="8" t="str">
        <x:v>Under 5,000</x:v>
      </x:c>
      <x:c r="J105" s="11" t="n">
        <x:v>10973326</x:v>
      </x:c>
      <x:c r="K105" s="11" t="n">
        <x:v>8624040</x:v>
      </x:c>
      <x:c r="L105" s="11" t="n">
        <x:v>2349286</x:v>
      </x:c>
      <x:c r="M105" s="12" t="n">
        <x:v>0.2140906047993106</x:v>
      </x:c>
      <x:c r="N105" s="11" t="n">
        <x:v>3244130</x:v>
      </x:c>
      <x:c r="O105" s="11" t="n">
        <x:v>2712383</x:v>
      </x:c>
      <x:c r="P105" s="11" t="n">
        <x:v>4806132</x:v>
      </x:c>
      <x:c r="Q105" s="11" t="n">
        <x:v>210681</x:v>
      </x:c>
      <x:c r="R105" s="11" t="n">
        <x:v>6696355</x:v>
      </x:c>
      <x:c r="S105" s="11" t="n">
        <x:v>1816247</x:v>
      </x:c>
      <x:c r="T105" s="11" t="n">
        <x:v>10003565</x:v>
      </x:c>
      <x:c r="U105" s="11" t="n">
        <x:v>5492433</x:v>
      </x:c>
      <x:c r="V105" s="11" t="n">
        <x:v>6498348</x:v>
      </x:c>
      <x:c r="W105" s="11" t="n">
        <x:v>2914813</x:v>
      </x:c>
      <x:c r="X105" s="11" t="n">
        <x:v>3785262</x:v>
      </x:c>
      <x:c r="Y105" s="11" t="n">
        <x:v>0</x:v>
      </x:c>
      <x:c r="Z105" s="11" t="n">
        <x:v>156706</x:v>
      </x:c>
      <x:c r="AA105" s="11" t="n">
        <x:v>3615596</x:v>
      </x:c>
      <x:c r="AB105" s="11" t="n">
        <x:v>111438</x:v>
      </x:c>
      <x:c r="AC105" s="11" t="n">
        <x:v>268144</x:v>
      </x:c>
      <x:c r="AD105" s="11" t="n">
        <x:v>2561599</x:v>
      </x:c>
      <x:c r="AE105" s="11" t="n">
        <x:v>2260780</x:v>
      </x:c>
      <x:c r="AF105" s="11" t="n">
        <x:v>10246394</x:v>
      </x:c>
      <x:c r="AG105" s="11" t="n">
        <x:v>78851895</x:v>
      </x:c>
      <x:c r="AH105" s="11" t="n">
        <x:v>26765448</x:v>
      </x:c>
      <x:c r="AI105" s="11" t="n">
        <x:v>52086447</x:v>
      </x:c>
      <x:c r="AJ105" s="11" t="n">
        <x:v>2031607</x:v>
      </x:c>
      <x:c r="AK105" s="11" t="n">
        <x:v>1462356</x:v>
      </x:c>
      <x:c r="AL105" s="11" t="n">
        <x:v>0</x:v>
      </x:c>
      <x:c r="AM105" s="12" t="n">
        <x:v>1</x:v>
      </x:c>
      <x:c r="AN105" s="12" t="n">
        <x:v>1.389269781092976</x:v>
      </x:c>
      <x:c r="AO105" s="11" t="n">
        <x:v>6187218</x:v>
      </x:c>
      <x:c r="AP105" s="11" t="n">
        <x:v>5968757</x:v>
      </x:c>
      <x:c r="AQ105" s="12" t="n">
        <x:v>0.9646915625083842</x:v>
      </x:c>
      <x:c r="AR105" s="11" t="n">
        <x:v>4129.968385397065</x:v>
      </x:c>
      <x:c r="AS105" s="11" t="n">
        <x:v>3245.7809559653747</x:v>
      </x:c>
      <x:c r="AT105" s="11" t="n">
        <x:v>2445.7463304478733</x:v>
      </x:c>
      <x:c r="AU105" s="11" t="n">
        <x:v>1097.0316146029356</x:v>
      </x:c>
      <x:c r="AV105" s="11" t="n">
        <x:v>1360.781332329695</x:v>
      </x:c>
      <x:c r="AW105" s="11" t="n">
        <x:v>1.821335826945909</x:v>
      </x:c>
      <x:c r="AX105" s="12" t="n">
        <x:v>0.882565928546974</x:v>
      </x:c>
      <x:c r="AY105" s="11"/>
      <x:c r="AZ105" s="11"/>
      <x:c r="BA105" s="11"/>
      <x:c r="BB105" s="11"/>
      <x:c r="BC105" s="11"/>
      <x:c r="BD105" s="11"/>
      <x:c r="BE105" s="11"/>
      <x:c r="BF105" s="11"/>
      <x:c r="BG105" s="11"/>
      <x:c r="BH105" s="11"/>
      <x:c r="BI105" s="11"/>
      <x:c r="BJ105" s="11"/>
      <x:c r="BK105" s="12"/>
      <x:c r="BL105" s="12"/>
      <x:c r="BM105" s="12"/>
      <x:c r="BN105" s="12"/>
      <x:c r="BO105" s="12"/>
      <x:c r="BP105" s="12"/>
      <x:c r="BQ105" s="12"/>
      <x:c r="BR105" s="12"/>
      <x:c r="BS105" s="12"/>
      <x:c r="BT105" s="12"/>
      <x:c r="BU105" s="11" t="n">
        <x:v>172795</x:v>
      </x:c>
      <x:c r="BV105" s="11" t="n">
        <x:v>4450637</x:v>
      </x:c>
      <x:c r="BW105" s="11" t="n">
        <x:v>182700</x:v>
      </x:c>
      <x:c r="BX105" s="11" t="n">
        <x:v>120634</x:v>
      </x:c>
      <x:c r="BY105" s="11" t="n">
        <x:v>0</x:v>
      </x:c>
      <x:c r="BZ105" s="11" t="n">
        <x:v>0</x:v>
      </x:c>
      <x:c r="CA105" s="11" t="n">
        <x:v>90047</x:v>
      </x:c>
      <x:c r="CB105" s="11" t="n">
        <x:v>0</x:v>
      </x:c>
      <x:c r="CC105" s="11" t="n">
        <x:v>1575045</x:v>
      </x:c>
      <x:c r="CD105" s="11" t="n">
        <x:v>696990</x:v>
      </x:c>
      <x:c r="CE105" s="11" t="n">
        <x:v>462122</x:v>
      </x:c>
      <x:c r="CF105" s="11" t="n">
        <x:v>98254</x:v>
      </x:c>
      <x:c r="CG105" s="11" t="n">
        <x:v>375852</x:v>
      </x:c>
      <x:c r="CH105" s="11" t="n">
        <x:v>1826272</x:v>
      </x:c>
      <x:c r="CI105" s="11" t="n">
        <x:v>518594</x:v>
      </x:c>
      <x:c r="CJ105" s="11" t="n">
        <x:v>796194</x:v>
      </x:c>
      <x:c r="CK105" s="11" t="n">
        <x:v>311525</x:v>
      </x:c>
      <x:c r="CL105" s="11" t="n">
        <x:v>0</x:v>
      </x:c>
      <x:c r="CM105" s="11"/>
      <x:c r="CN105" s="11" t="n">
        <x:v>146945</x:v>
      </x:c>
      <x:c r="CO105" s="11" t="n">
        <x:v>0</x:v>
      </x:c>
      <x:c r="CP105" s="8"/>
      <x:c r="CQ105" s="8" t="str">
        <x:v>Port Clements</x:v>
      </x:c>
    </x:row>
    <x:row r="106">
      <x:c r="A106" s="8" t="str">
        <x:v>Chetwynd|2021</x:v>
      </x:c>
      <x:c r="B106" s="8" t="str">
        <x:v>chetwynd-d</x:v>
      </x:c>
      <x:c r="C106" s="8" t="str">
        <x:v>Chetwynd</x:v>
      </x:c>
      <x:c r="D106" s="8" t="str">
        <x:v>Chetwynd</x:v>
      </x:c>
      <x:c r="E106" s="8" t="str">
        <x:v>D</x:v>
      </x:c>
      <x:c r="F106" s="8" t="str">
        <x:v>PEA</x:v>
      </x:c>
      <x:c r="G106" s="9" t="n">
        <x:v>2021</x:v>
      </x:c>
      <x:c r="H106" s="10" t="n">
        <x:v>2669</x:v>
      </x:c>
      <x:c r="I106" s="8" t="str">
        <x:v>Under 5,000</x:v>
      </x:c>
      <x:c r="J106" s="11" t="n">
        <x:v>11135313</x:v>
      </x:c>
      <x:c r="K106" s="11" t="n">
        <x:v>8160917</x:v>
      </x:c>
      <x:c r="L106" s="11" t="n">
        <x:v>2974396</x:v>
      </x:c>
      <x:c r="M106" s="12" t="n">
        <x:v>0.26711382068918943</x:v>
      </x:c>
      <x:c r="N106" s="11" t="n">
        <x:v>3298538</x:v>
      </x:c>
      <x:c r="O106" s="11" t="n">
        <x:v>3386219</x:v>
      </x:c>
      <x:c r="P106" s="11" t="n">
        <x:v>4422575</x:v>
      </x:c>
      <x:c r="Q106" s="11" t="n">
        <x:v>27981</x:v>
      </x:c>
      <x:c r="R106" s="11" t="n">
        <x:v>6220086</x:v>
      </x:c>
      <x:c r="S106" s="11" t="n">
        <x:v>1829393</x:v>
      </x:c>
      <x:c r="T106" s="11" t="n">
        <x:v>11464032</x:v>
      </x:c>
      <x:c r="U106" s="11" t="n">
        <x:v>5267310</x:v>
      </x:c>
      <x:c r="V106" s="11" t="n">
        <x:v>7965769</x:v>
      </x:c>
      <x:c r="W106" s="11" t="n">
        <x:v>4398193</x:v>
      </x:c>
      <x:c r="X106" s="11" t="n">
        <x:v>3615596</x:v>
      </x:c>
      <x:c r="Y106" s="11" t="n">
        <x:v>0</x:v>
      </x:c>
      <x:c r="Z106" s="11" t="n">
        <x:v>152853</x:v>
      </x:c>
      <x:c r="AA106" s="11" t="n">
        <x:v>3457755</x:v>
      </x:c>
      <x:c r="AB106" s="11" t="n">
        <x:v>111438</x:v>
      </x:c>
      <x:c r="AC106" s="11" t="n">
        <x:v>264291</x:v>
      </x:c>
      <x:c r="AD106" s="11" t="n">
        <x:v>2478769</x:v>
      </x:c>
      <x:c r="AE106" s="11" t="n">
        <x:v>2178871</x:v>
      </x:c>
      <x:c r="AF106" s="11" t="n">
        <x:v>9915075</x:v>
      </x:c>
      <x:c r="AG106" s="11" t="n">
        <x:v>81957961</x:v>
      </x:c>
      <x:c r="AH106" s="11" t="n">
        <x:v>28410961</x:v>
      </x:c>
      <x:c r="AI106" s="11" t="n">
        <x:v>53547000</x:v>
      </x:c>
      <x:c r="AJ106" s="11" t="n">
        <x:v>3326953</x:v>
      </x:c>
      <x:c r="AK106" s="11" t="n">
        <x:v>2099458</x:v>
      </x:c>
      <x:c r="AL106" s="11" t="n">
        <x:v>0</x:v>
      </x:c>
      <x:c r="AM106" s="12" t="n">
        <x:v>1</x:v>
      </x:c>
      <x:c r="AN106" s="12" t="n">
        <x:v>1.5846723297155743</x:v>
      </x:c>
      <x:c r="AO106" s="11" t="n">
        <x:v>6449794</x:v>
      </x:c>
      <x:c r="AP106" s="11" t="n">
        <x:v>6272749</x:v>
      </x:c>
      <x:c r="AQ106" s="12" t="n">
        <x:v>0.9725502861021608</x:v>
      </x:c>
      <x:c r="AR106" s="11" t="n">
        <x:v>4172.091794679655</x:v>
      </x:c>
      <x:c r="AS106" s="11" t="n">
        <x:v>3057.6684151367554</x:v>
      </x:c>
      <x:c r="AT106" s="11" t="n">
        <x:v>2984.5518920944173</x:v>
      </x:c>
      <x:c r="AU106" s="11" t="n">
        <x:v>1647.8804795803671</x:v>
      </x:c>
      <x:c r="AV106" s="11" t="n">
        <x:v>1295.5245410266018</x:v>
      </x:c>
      <x:c r="AW106" s="11" t="n">
        <x:v>2.1764490793213236</x:v>
      </x:c>
      <x:c r="AX106" s="12" t="n">
        <x:v>0.879013332827706</x:v>
      </x:c>
      <x:c r="AY106" s="11"/>
      <x:c r="AZ106" s="11"/>
      <x:c r="BA106" s="11"/>
      <x:c r="BB106" s="11"/>
      <x:c r="BC106" s="11"/>
      <x:c r="BD106" s="11"/>
      <x:c r="BE106" s="11"/>
      <x:c r="BF106" s="11"/>
      <x:c r="BG106" s="11"/>
      <x:c r="BH106" s="11"/>
      <x:c r="BI106" s="11"/>
      <x:c r="BJ106" s="11"/>
      <x:c r="BK106" s="12"/>
      <x:c r="BL106" s="12"/>
      <x:c r="BM106" s="12"/>
      <x:c r="BN106" s="12"/>
      <x:c r="BO106" s="12"/>
      <x:c r="BP106" s="12"/>
      <x:c r="BQ106" s="12"/>
      <x:c r="BR106" s="12"/>
      <x:c r="BS106" s="12"/>
      <x:c r="BT106" s="12"/>
      <x:c r="BU106" s="11" t="n">
        <x:v>416713</x:v>
      </x:c>
      <x:c r="BV106" s="11" t="n">
        <x:v>3910899</x:v>
      </x:c>
      <x:c r="BW106" s="11" t="n">
        <x:v>94963</x:v>
      </x:c>
      <x:c r="BX106" s="11" t="n">
        <x:v>4988</x:v>
      </x:c>
      <x:c r="BY106" s="11" t="n">
        <x:v>0</x:v>
      </x:c>
      <x:c r="BZ106" s="11" t="n">
        <x:v>0</x:v>
      </x:c>
      <x:c r="CA106" s="11" t="n">
        <x:v>22993</x:v>
      </x:c>
      <x:c r="CB106" s="11" t="n">
        <x:v>0</x:v>
      </x:c>
      <x:c r="CC106" s="11" t="n">
        <x:v>1568473</x:v>
      </x:c>
      <x:c r="CD106" s="11" t="n">
        <x:v>715903</x:v>
      </x:c>
      <x:c r="CE106" s="11" t="n">
        <x:v>425342</x:v>
      </x:c>
      <x:c r="CF106" s="11" t="n">
        <x:v>107846</x:v>
      </x:c>
      <x:c r="CG106" s="11" t="n">
        <x:v>443751</x:v>
      </x:c>
      <x:c r="CH106" s="11" t="n">
        <x:v>1503918</x:v>
      </x:c>
      <x:c r="CI106" s="11" t="n">
        <x:v>567108</x:v>
      </x:c>
      <x:c r="CJ106" s="11" t="n">
        <x:v>701642</x:v>
      </x:c>
      <x:c r="CK106" s="11" t="n">
        <x:v>297541</x:v>
      </x:c>
      <x:c r="CL106" s="11" t="n">
        <x:v>0</x:v>
      </x:c>
      <x:c r="CM106" s="11"/>
      <x:c r="CN106" s="11" t="n">
        <x:v>0</x:v>
      </x:c>
      <x:c r="CO106" s="11" t="n">
        <x:v>0</x:v>
      </x:c>
      <x:c r="CP106" s="8"/>
      <x:c r="CQ106" s="8" t="str">
        <x:v>Port Coquitlam</x:v>
      </x:c>
    </x:row>
    <x:row r="107">
      <x:c r="A107" s="8" t="str">
        <x:v>Chetwynd|2022</x:v>
      </x:c>
      <x:c r="B107" s="8" t="str">
        <x:v>chetwynd-d</x:v>
      </x:c>
      <x:c r="C107" s="8" t="str">
        <x:v>Chetwynd</x:v>
      </x:c>
      <x:c r="D107" s="8" t="str">
        <x:v>Chetwynd</x:v>
      </x:c>
      <x:c r="E107" s="8" t="str">
        <x:v>D</x:v>
      </x:c>
      <x:c r="F107" s="8" t="str">
        <x:v>PEA</x:v>
      </x:c>
      <x:c r="G107" s="9" t="n">
        <x:v>2022</x:v>
      </x:c>
      <x:c r="H107" s="10" t="n">
        <x:v>2647</x:v>
      </x:c>
      <x:c r="I107" s="8" t="str">
        <x:v>Under 5,000</x:v>
      </x:c>
      <x:c r="J107" s="11" t="n">
        <x:v>11342999</x:v>
      </x:c>
      <x:c r="K107" s="11" t="n">
        <x:v>9747300</x:v>
      </x:c>
      <x:c r="L107" s="11" t="n">
        <x:v>1595699</x:v>
      </x:c>
      <x:c r="M107" s="12" t="n">
        <x:v>0.14067699380031684</x:v>
      </x:c>
      <x:c r="N107" s="11" t="n">
        <x:v>3359754</x:v>
      </x:c>
      <x:c r="O107" s="11" t="n">
        <x:v>3400281</x:v>
      </x:c>
      <x:c r="P107" s="11" t="n">
        <x:v>4496418</x:v>
      </x:c>
      <x:c r="Q107" s="11" t="n">
        <x:v>86546</x:v>
      </x:c>
      <x:c r="R107" s="11" t="n">
        <x:v>7809549</x:v>
      </x:c>
      <x:c r="S107" s="11" t="n">
        <x:v>1826313</x:v>
      </x:c>
      <x:c r="T107" s="11" t="n">
        <x:v>11674413</x:v>
      </x:c>
      <x:c r="U107" s="11" t="n">
        <x:v>4923219</x:v>
      </x:c>
      <x:c r="V107" s="11" t="n">
        <x:v>8764561</x:v>
      </x:c>
      <x:c r="W107" s="11" t="n">
        <x:v>4583695</x:v>
      </x:c>
      <x:c r="X107" s="11" t="n">
        <x:v>3457755</x:v>
      </x:c>
      <x:c r="Y107" s="11" t="n">
        <x:v>0</x:v>
      </x:c>
      <x:c r="Z107" s="11" t="n">
        <x:v>174154</x:v>
      </x:c>
      <x:c r="AA107" s="11" t="n">
        <x:v>3259873</x:v>
      </x:c>
      <x:c r="AB107" s="11" t="n">
        <x:v>111438</x:v>
      </x:c>
      <x:c r="AC107" s="11" t="n">
        <x:v>285592</x:v>
      </x:c>
      <x:c r="AD107" s="11" t="n">
        <x:v>2545906</x:v>
      </x:c>
      <x:c r="AE107" s="11" t="n">
        <x:v>2260314</x:v>
      </x:c>
      <x:c r="AF107" s="11" t="n">
        <x:v>10183625</x:v>
      </x:c>
      <x:c r="AG107" s="11" t="n">
        <x:v>84560688</x:v>
      </x:c>
      <x:c r="AH107" s="11" t="n">
        <x:v>30153545</x:v>
      </x:c>
      <x:c r="AI107" s="11" t="n">
        <x:v>54407143</x:v>
      </x:c>
      <x:c r="AJ107" s="11" t="n">
        <x:v>2686456</x:v>
      </x:c>
      <x:c r="AK107" s="11" t="n">
        <x:v>2927943</x:v>
      </x:c>
      <x:c r="AL107" s="11" t="n">
        <x:v>0</x:v>
      </x:c>
      <x:c r="AM107" s="12" t="n">
        <x:v>1</x:v>
      </x:c>
      <x:c r="AN107" s="12" t="n">
        <x:v>0.9175233261030014</x:v>
      </x:c>
      <x:c r="AO107" s="11" t="n">
        <x:v>6390436</x:v>
      </x:c>
      <x:c r="AP107" s="11" t="n">
        <x:v>6142891</x:v>
      </x:c>
      <x:c r="AQ107" s="12" t="n">
        <x:v>0.9612632064541449</x:v>
      </x:c>
      <x:c r="AR107" s="11" t="n">
        <x:v>4285.2281828485075</x:v>
      </x:c>
      <x:c r="AS107" s="11" t="n">
        <x:v>3682.395164336985</x:v>
      </x:c>
      <x:c r="AT107" s="11" t="n">
        <x:v>3311.129958443521</x:v>
      </x:c>
      <x:c r="AU107" s="11" t="n">
        <x:v>1731.6565923687192</x:v>
      </x:c>
      <x:c r="AV107" s="11" t="n">
        <x:v>1231.5349452210048</x:v>
      </x:c>
      <x:c r="AW107" s="11" t="n">
        <x:v>2.3712967064841113</x:v>
      </x:c>
      <x:c r="AX107" s="12" t="n">
        <x:v>0.8878230382425746</x:v>
      </x:c>
      <x:c r="AY107" s="11"/>
      <x:c r="AZ107" s="11"/>
      <x:c r="BA107" s="11"/>
      <x:c r="BB107" s="11"/>
      <x:c r="BC107" s="11"/>
      <x:c r="BD107" s="11"/>
      <x:c r="BE107" s="11"/>
      <x:c r="BF107" s="11"/>
      <x:c r="BG107" s="11"/>
      <x:c r="BH107" s="11"/>
      <x:c r="BI107" s="11"/>
      <x:c r="BJ107" s="11"/>
      <x:c r="BK107" s="12"/>
      <x:c r="BL107" s="12"/>
      <x:c r="BM107" s="12"/>
      <x:c r="BN107" s="12"/>
      <x:c r="BO107" s="12"/>
      <x:c r="BP107" s="12"/>
      <x:c r="BQ107" s="12"/>
      <x:c r="BR107" s="12"/>
      <x:c r="BS107" s="12"/>
      <x:c r="BT107" s="12"/>
      <x:c r="BU107" s="11" t="n">
        <x:v>216639</x:v>
      </x:c>
      <x:c r="BV107" s="11" t="n">
        <x:v>3666597</x:v>
      </x:c>
      <x:c r="BW107" s="11" t="n">
        <x:v>613182</x:v>
      </x:c>
      <x:c r="BX107" s="11" t="n">
        <x:v>86546</x:v>
      </x:c>
      <x:c r="BY107" s="11" t="n">
        <x:v>0</x:v>
      </x:c>
      <x:c r="BZ107" s="11" t="n">
        <x:v>0</x:v>
      </x:c>
      <x:c r="CA107" s="11" t="n">
        <x:v>0</x:v>
      </x:c>
      <x:c r="CB107" s="11" t="n">
        <x:v>0</x:v>
      </x:c>
      <x:c r="CC107" s="11" t="n">
        <x:v>2692755</x:v>
      </x:c>
      <x:c r="CD107" s="11" t="n">
        <x:v>678298</x:v>
      </x:c>
      <x:c r="CE107" s="11" t="n">
        <x:v>451084</x:v>
      </x:c>
      <x:c r="CF107" s="11" t="n">
        <x:v>121064</x:v>
      </x:c>
      <x:c r="CG107" s="11" t="n">
        <x:v>504469</x:v>
      </x:c>
      <x:c r="CH107" s="11" t="n">
        <x:v>1680388</x:v>
      </x:c>
      <x:c r="CI107" s="11" t="n">
        <x:v>731414</x:v>
      </x:c>
      <x:c r="CJ107" s="11" t="n">
        <x:v>739725</x:v>
      </x:c>
      <x:c r="CK107" s="11" t="n">
        <x:v>321790</x:v>
      </x:c>
      <x:c r="CL107" s="11" t="n">
        <x:v>0</x:v>
      </x:c>
      <x:c r="CM107" s="11"/>
      <x:c r="CN107" s="11" t="n">
        <x:v>0</x:v>
      </x:c>
      <x:c r="CO107" s="11" t="n">
        <x:v>0</x:v>
      </x:c>
      <x:c r="CP107" s="8"/>
      <x:c r="CQ107" s="8" t="str">
        <x:v>Port Edward</x:v>
      </x:c>
    </x:row>
    <x:row r="108">
      <x:c r="A108" s="8" t="str">
        <x:v>Chetwynd|2023</x:v>
      </x:c>
      <x:c r="B108" s="8" t="str">
        <x:v>chetwynd-d</x:v>
      </x:c>
      <x:c r="C108" s="8" t="str">
        <x:v>Chetwynd</x:v>
      </x:c>
      <x:c r="D108" s="8" t="str">
        <x:v>Chetwynd</x:v>
      </x:c>
      <x:c r="E108" s="8" t="str">
        <x:v>D</x:v>
      </x:c>
      <x:c r="F108" s="8" t="str">
        <x:v>PEA</x:v>
      </x:c>
      <x:c r="G108" s="9" t="n">
        <x:v>2023</x:v>
      </x:c>
      <x:c r="H108" s="10" t="n">
        <x:v>2692</x:v>
      </x:c>
      <x:c r="I108" s="8" t="str">
        <x:v>Under 5,000</x:v>
      </x:c>
      <x:c r="J108" s="11" t="n">
        <x:v>13697359</x:v>
      </x:c>
      <x:c r="K108" s="11" t="n">
        <x:v>9162544</x:v>
      </x:c>
      <x:c r="L108" s="11" t="n">
        <x:v>4534815</x:v>
      </x:c>
      <x:c r="M108" s="12" t="n">
        <x:v>0.3310722161841564</x:v>
      </x:c>
      <x:c r="N108" s="11" t="n">
        <x:v>3490345</x:v>
      </x:c>
      <x:c r="O108" s="11" t="n">
        <x:v>2379466</x:v>
      </x:c>
      <x:c r="P108" s="11" t="n">
        <x:v>7095480</x:v>
      </x:c>
      <x:c r="Q108" s="11" t="n">
        <x:v>732068</x:v>
      </x:c>
      <x:c r="R108" s="11" t="n">
        <x:v>7131348</x:v>
      </x:c>
      <x:c r="S108" s="11" t="n">
        <x:v>1919758</x:v>
      </x:c>
      <x:c r="T108" s="11" t="n">
        <x:v>14166225</x:v>
      </x:c>
      <x:c r="U108" s="11" t="n">
        <x:v>4506181</x:v>
      </x:c>
      <x:c r="V108" s="11" t="n">
        <x:v>11898312</x:v>
      </x:c>
      <x:c r="W108" s="11" t="n">
        <x:v>3698625</x:v>
      </x:c>
      <x:c r="X108" s="11" t="n">
        <x:v>3259873</x:v>
      </x:c>
      <x:c r="Y108" s="11" t="n">
        <x:v>0</x:v>
      </x:c>
      <x:c r="Z108" s="11" t="n">
        <x:v>156994</x:v>
      </x:c>
      <x:c r="AA108" s="11" t="n">
        <x:v>3073506</x:v>
      </x:c>
      <x:c r="AB108" s="11" t="n">
        <x:v>111438</x:v>
      </x:c>
      <x:c r="AC108" s="11" t="n">
        <x:v>268432</x:v>
      </x:c>
      <x:c r="AD108" s="11" t="n">
        <x:v>2393450</x:v>
      </x:c>
      <x:c r="AE108" s="11" t="n">
        <x:v>2125018</x:v>
      </x:c>
      <x:c r="AF108" s="11" t="n">
        <x:v>9573799</x:v>
      </x:c>
      <x:c r="AG108" s="11" t="n">
        <x:v>87626102</x:v>
      </x:c>
      <x:c r="AH108" s="11" t="n">
        <x:v>31879104</x:v>
      </x:c>
      <x:c r="AI108" s="11" t="n">
        <x:v>55746998</x:v>
      </x:c>
      <x:c r="AJ108" s="11" t="n">
        <x:v>3401423</x:v>
      </x:c>
      <x:c r="AK108" s="11" t="n">
        <x:v>2384703</x:v>
      </x:c>
      <x:c r="AL108" s="11" t="n">
        <x:v>0</x:v>
      </x:c>
      <x:c r="AM108" s="12" t="n">
        <x:v>1</x:v>
      </x:c>
      <x:c r="AN108" s="12" t="n">
        <x:v>1.4263507866598062</x:v>
      </x:c>
      <x:c r="AO108" s="11" t="n">
        <x:v>6721606</x:v>
      </x:c>
      <x:c r="AP108" s="11" t="n">
        <x:v>6272722</x:v>
      </x:c>
      <x:c r="AQ108" s="12" t="n">
        <x:v>0.933217745877994</x:v>
      </x:c>
      <x:c r="AR108" s="11" t="n">
        <x:v>5088.171991084695</x:v>
      </x:c>
      <x:c r="AS108" s="11" t="n">
        <x:v>3403.6196136701337</x:v>
      </x:c>
      <x:c r="AT108" s="11" t="n">
        <x:v>4419.878157503715</x:v>
      </x:c>
      <x:c r="AU108" s="11" t="n">
        <x:v>1373.9320208023773</x:v>
      </x:c>
      <x:c r="AV108" s="11" t="n">
        <x:v>1141.7184249628529</x:v>
      </x:c>
      <x:c r="AW108" s="11" t="n">
        <x:v>3.143731909570432</x:v>
      </x:c>
      <x:c r="AX108" s="12" t="n">
        <x:v>0.8878472497858739</x:v>
      </x:c>
      <x:c r="AY108" s="11"/>
      <x:c r="AZ108" s="11"/>
      <x:c r="BA108" s="11"/>
      <x:c r="BB108" s="11"/>
      <x:c r="BC108" s="11"/>
      <x:c r="BD108" s="11"/>
      <x:c r="BE108" s="11"/>
      <x:c r="BF108" s="11"/>
      <x:c r="BG108" s="11"/>
      <x:c r="BH108" s="11"/>
      <x:c r="BI108" s="11"/>
      <x:c r="BJ108" s="11"/>
      <x:c r="BK108" s="12"/>
      <x:c r="BL108" s="12"/>
      <x:c r="BM108" s="12"/>
      <x:c r="BN108" s="12"/>
      <x:c r="BO108" s="12"/>
      <x:c r="BP108" s="12"/>
      <x:c r="BQ108" s="12"/>
      <x:c r="BR108" s="12"/>
      <x:c r="BS108" s="12"/>
      <x:c r="BT108" s="12"/>
      <x:c r="BU108" s="11" t="n">
        <x:v>264008</x:v>
      </x:c>
      <x:c r="BV108" s="11" t="n">
        <x:v>5189743</x:v>
      </x:c>
      <x:c r="BW108" s="11" t="n">
        <x:v>1641729</x:v>
      </x:c>
      <x:c r="BX108" s="11" t="n">
        <x:v>732068</x:v>
      </x:c>
      <x:c r="BY108" s="11" t="n">
        <x:v>0</x:v>
      </x:c>
      <x:c r="BZ108" s="11" t="n">
        <x:v>0</x:v>
      </x:c>
      <x:c r="CA108" s="11" t="n">
        <x:v>0</x:v>
      </x:c>
      <x:c r="CB108" s="11" t="n">
        <x:v>0</x:v>
      </x:c>
      <x:c r="CC108" s="11" t="n">
        <x:v>1904706</x:v>
      </x:c>
      <x:c r="CD108" s="11" t="n">
        <x:v>632443</x:v>
      </x:c>
      <x:c r="CE108" s="11" t="n">
        <x:v>231785</x:v>
      </x:c>
      <x:c r="CF108" s="11" t="n">
        <x:v>359360</x:v>
      </x:c>
      <x:c r="CG108" s="11" t="n">
        <x:v>532292</x:v>
      </x:c>
      <x:c r="CH108" s="11" t="n">
        <x:v>1610697</x:v>
      </x:c>
      <x:c r="CI108" s="11" t="n">
        <x:v>867365</x:v>
      </x:c>
      <x:c r="CJ108" s="11" t="n">
        <x:v>667981</x:v>
      </x:c>
      <x:c r="CK108" s="11" t="n">
        <x:v>294346</x:v>
      </x:c>
      <x:c r="CL108" s="11" t="n">
        <x:v>0</x:v>
      </x:c>
      <x:c r="CM108" s="11" t="n">
        <x:v>0</x:v>
      </x:c>
      <x:c r="CN108" s="11" t="n">
        <x:v>141811</x:v>
      </x:c>
      <x:c r="CO108" s="11" t="n">
        <x:v>0</x:v>
      </x:c>
      <x:c r="CP108" s="8"/>
      <x:c r="CQ108" s="8" t="str">
        <x:v>Port Hardy</x:v>
      </x:c>
    </x:row>
    <x:row r="109">
      <x:c r="A109" s="8" t="str">
        <x:v>Chetwynd|2024</x:v>
      </x:c>
      <x:c r="B109" s="8" t="str">
        <x:v>chetwynd-d</x:v>
      </x:c>
      <x:c r="C109" s="8" t="str">
        <x:v>Chetwynd</x:v>
      </x:c>
      <x:c r="D109" s="8" t="str">
        <x:v>Chetwynd</x:v>
      </x:c>
      <x:c r="E109" s="8" t="str">
        <x:v>D</x:v>
      </x:c>
      <x:c r="F109" s="8" t="str">
        <x:v>PEA</x:v>
      </x:c>
      <x:c r="G109" s="9" t="n">
        <x:v>2024</x:v>
      </x:c>
      <x:c r="H109" s="10" t="n">
        <x:v>2692</x:v>
      </x:c>
      <x:c r="I109" s="8" t="str">
        <x:v>Under 5,000</x:v>
      </x:c>
      <x:c r="J109" s="11" t="n">
        <x:v>12077688</x:v>
      </x:c>
      <x:c r="K109" s="11" t="n">
        <x:v>9257198</x:v>
      </x:c>
      <x:c r="L109" s="11" t="n">
        <x:v>2820490</x:v>
      </x:c>
      <x:c r="M109" s="12" t="n">
        <x:v>0.23352896680225554</x:v>
      </x:c>
      <x:c r="N109" s="11" t="n">
        <x:v>3686569</x:v>
      </x:c>
      <x:c r="O109" s="11" t="n">
        <x:v>2118045</x:v>
      </x:c>
      <x:c r="P109" s="11" t="n">
        <x:v>5495457</x:v>
      </x:c>
      <x:c r="Q109" s="11" t="n">
        <x:v>777617</x:v>
      </x:c>
      <x:c r="R109" s="11" t="n">
        <x:v>7074831</x:v>
      </x:c>
      <x:c r="S109" s="11" t="n">
        <x:v>2070929</x:v>
      </x:c>
      <x:c r="T109" s="11" t="n">
        <x:v>13130353</x:v>
      </x:c>
      <x:c r="U109" s="11" t="n">
        <x:v>4688656</x:v>
      </x:c>
      <x:c r="V109" s="11" t="n">
        <x:v>12273961</x:v>
      </x:c>
      <x:c r="W109" s="11" t="n">
        <x:v>4132883</x:v>
      </x:c>
      <x:c r="X109" s="11" t="n">
        <x:v>3069090</x:v>
      </x:c>
      <x:c r="Y109" s="11" t="n">
        <x:v>0</x:v>
      </x:c>
      <x:c r="Z109" s="11" t="n">
        <x:v>152852</x:v>
      </x:c>
      <x:c r="AA109" s="11" t="n">
        <x:v>2881038</x:v>
      </x:c>
      <x:c r="AB109" s="11" t="n">
        <x:v>111438</x:v>
      </x:c>
      <x:c r="AC109" s="11" t="n">
        <x:v>264290</x:v>
      </x:c>
      <x:c r="AD109" s="11" t="n">
        <x:v>2528043</x:v>
      </x:c>
      <x:c r="AE109" s="11" t="n">
        <x:v>2263753</x:v>
      </x:c>
      <x:c r="AF109" s="11" t="n">
        <x:v>10112173</x:v>
      </x:c>
      <x:c r="AG109" s="11" t="n">
        <x:v>91490777</x:v>
      </x:c>
      <x:c r="AH109" s="11" t="n">
        <x:v>33374630</x:v>
      </x:c>
      <x:c r="AI109" s="11" t="n">
        <x:v>58116147</x:v>
      </x:c>
      <x:c r="AJ109" s="11" t="n">
        <x:v>4500501</x:v>
      </x:c>
      <x:c r="AK109" s="11" t="n">
        <x:v>315430430</x:v>
      </x:c>
      <x:c r="AL109" s="11" t="n">
        <x:v>4673352</x:v>
      </x:c>
      <x:c r="AM109" s="12" t="n">
        <x:v>0.985184206862984</x:v>
      </x:c>
      <x:c r="AN109" s="12" t="n">
        <x:v>0.014267808594116934</x:v>
      </x:c>
      <x:c r="AO109" s="11" t="n">
        <x:v>7248313</x:v>
      </x:c>
      <x:c r="AP109" s="11" t="n">
        <x:v>6969057</x:v>
      </x:c>
      <x:c r="AQ109" s="12" t="n">
        <x:v>0.9614729661922712</x:v>
      </x:c>
      <x:c r="AR109" s="11" t="n">
        <x:v>4486.511144130758</x:v>
      </x:c>
      <x:c r="AS109" s="11" t="n">
        <x:v>3438.7808320950967</x:v>
      </x:c>
      <x:c r="AT109" s="11" t="n">
        <x:v>4559.420876671619</x:v>
      </x:c>
      <x:c r="AU109" s="11" t="n">
        <x:v>1535.2462852897474</x:v>
      </x:c>
      <x:c r="AV109" s="11" t="n">
        <x:v>1070.2221396731054</x:v>
      </x:c>
      <x:c r="AW109" s="11" t="n">
        <x:v>2.800451344692381</x:v>
      </x:c>
      <x:c r="AX109" s="12" t="n">
        <x:v>0.895456683292175</x:v>
      </x:c>
      <x:c r="AY109" s="11" t="n">
        <x:v>4486.511144130758</x:v>
      </x:c>
      <x:c r="AZ109" s="11" t="n">
        <x:v>3546.5079302077975</x:v>
      </x:c>
      <x:c r="BA109" s="11" t="n">
        <x:v>3557.844717668488</x:v>
      </x:c>
      <x:c r="BB109" s="11" t="n">
        <x:v>2783.665107049771</x:v>
      </x:c>
      <x:c r="BC109" s="11" t="n">
        <x:v>5496.677373974208</x:v>
      </x:c>
      <x:c r="BD109" s="11" t="n">
        <x:v>2437.8724475115623</x:v>
      </x:c>
      <x:c r="BE109" s="11" t="n">
        <x:v>3386.4506393861893</x:v>
      </x:c>
      <x:c r="BF109" s="11" t="n">
        <x:v>1604.3462673977224</x:v>
      </x:c>
      <x:c r="BG109" s="11" t="n">
        <x:v>624.7436119532265</x:v>
      </x:c>
      <x:c r="BH109" s="11" t="n">
        <x:v>518.5374381567245</x:v>
      </x:c>
      <x:c r="BI109" s="11" t="n">
        <x:v>3.324657351485151</x:v>
      </x:c>
      <x:c r="BJ109" s="11" t="n">
        <x:v>1.7099330852451193</x:v>
      </x:c>
      <x:c r="BK109" s="12" t="n">
        <x:v>0.02521828600111612</x:v>
      </x:c>
      <x:c r="BL109" s="12" t="n">
        <x:v>0.02529861000232605</x:v>
      </x:c>
      <x:c r="BM109" s="12" t="n">
        <x:v>0.9816336034641139</x:v>
      </x:c>
      <x:c r="BN109" s="12" t="n">
        <x:v>0.9815511712696461</x:v>
      </x:c>
      <x:c r="BO109" s="12" t="n">
        <x:v>0.8531878894527055</x:v>
      </x:c>
      <x:c r="BP109" s="12" t="n">
        <x:v>0.8619101997275483</x:v>
      </x:c>
      <x:c r="BQ109" s="12" t="n">
        <x:v>0.9614729661922712</x:v>
      </x:c>
      <x:c r="BR109" s="12" t="n">
        <x:v>0.9623635142836453</x:v>
      </x:c>
      <x:c r="BS109" s="12" t="n">
        <x:v>0.23352896680225554</x:v>
      </x:c>
      <x:c r="BT109" s="12" t="n">
        <x:v>0.19976549769108282</x:v>
      </x:c>
      <x:c r="BU109" s="11" t="n">
        <x:v>179675</x:v>
      </x:c>
      <x:c r="BV109" s="11" t="n">
        <x:v>4495666</x:v>
      </x:c>
      <x:c r="BW109" s="11" t="n">
        <x:v>820116</x:v>
      </x:c>
      <x:c r="BX109" s="11" t="n">
        <x:v>777617</x:v>
      </x:c>
      <x:c r="BY109" s="11" t="n">
        <x:v>0</x:v>
      </x:c>
      <x:c r="BZ109" s="11" t="n">
        <x:v>0</x:v>
      </x:c>
      <x:c r="CA109" s="11" t="n">
        <x:v>0</x:v>
      </x:c>
      <x:c r="CB109" s="11" t="n">
        <x:v>0</x:v>
      </x:c>
      <x:c r="CC109" s="11" t="n">
        <x:v>2378640</x:v>
      </x:c>
      <x:c r="CD109" s="11" t="n">
        <x:v>821656</x:v>
      </x:c>
      <x:c r="CE109" s="11" t="n">
        <x:v>263056</x:v>
      </x:c>
      <x:c r="CF109" s="11" t="n">
        <x:v>104983</x:v>
      </x:c>
      <x:c r="CG109" s="11" t="n">
        <x:v>414551</x:v>
      </x:c>
      <x:c r="CH109" s="11" t="n">
        <x:v>1545075</x:v>
      </x:c>
      <x:c r="CI109" s="11" t="n">
        <x:v>654954</x:v>
      </x:c>
      <x:c r="CJ109" s="11" t="n">
        <x:v>655790</x:v>
      </x:c>
      <x:c r="CK109" s="11" t="n">
        <x:v>287141</x:v>
      </x:c>
      <x:c r="CL109" s="11" t="n">
        <x:v>0</x:v>
      </x:c>
      <x:c r="CM109" s="11" t="n">
        <x:v>0</x:v>
      </x:c>
      <x:c r="CN109" s="11" t="n">
        <x:v>60423</x:v>
      </x:c>
      <x:c r="CO109" s="11" t="n">
        <x:v>0</x:v>
      </x:c>
      <x:c r="CP109" s="8"/>
      <x:c r="CQ109" s="8" t="str">
        <x:v>Port McNeill</x:v>
      </x:c>
    </x:row>
    <x:row r="110">
      <x:c r="A110" s="8" t="str">
        <x:v>Chilliwack|2019</x:v>
      </x:c>
      <x:c r="B110" s="8" t="str">
        <x:v>chilliwack-c</x:v>
      </x:c>
      <x:c r="C110" s="8" t="str">
        <x:v>Chilliwack</x:v>
      </x:c>
      <x:c r="D110" s="8" t="str">
        <x:v>Chilliwack</x:v>
      </x:c>
      <x:c r="E110" s="8" t="str">
        <x:v>C</x:v>
      </x:c>
      <x:c r="F110" s="8" t="str">
        <x:v>FVR</x:v>
      </x:c>
      <x:c r="G110" s="9" t="n">
        <x:v>2019</x:v>
      </x:c>
      <x:c r="H110" s="10" t="n">
        <x:v>94534</x:v>
      </x:c>
      <x:c r="I110" s="8" t="str">
        <x:v>20,000 to 99,999</x:v>
      </x:c>
      <x:c r="J110" s="11" t="n">
        <x:v>162937358</x:v>
      </x:c>
      <x:c r="K110" s="11" t="n">
        <x:v>144469235</x:v>
      </x:c>
      <x:c r="L110" s="11" t="n">
        <x:v>18468123</x:v>
      </x:c>
      <x:c r="M110" s="12" t="n">
        <x:v>0.11334492731863248</x:v>
      </x:c>
      <x:c r="N110" s="11" t="n">
        <x:v>85926762</x:v>
      </x:c>
      <x:c r="O110" s="11" t="n">
        <x:v>46067886</x:v>
      </x:c>
      <x:c r="P110" s="11" t="n">
        <x:v>11946060</x:v>
      </x:c>
      <x:c r="Q110" s="11" t="n">
        <x:v>18996650</x:v>
      </x:c>
      <x:c r="R110" s="11" t="n">
        <x:v>121722727</x:v>
      </x:c>
      <x:c r="S110" s="11" t="n">
        <x:v>22725629</x:v>
      </x:c>
      <x:c r="T110" s="11" t="n">
        <x:v>203895179</x:v>
      </x:c>
      <x:c r="U110" s="11" t="n">
        <x:v>123768296</x:v>
      </x:c>
      <x:c r="V110" s="11" t="n">
        <x:v>103968956</x:v>
      </x:c>
      <x:c r="W110" s="11" t="n">
        <x:v>24860949</x:v>
      </x:c>
      <x:c r="X110" s="11" t="n">
        <x:v>2153345</x:v>
      </x:c>
      <x:c r="Y110" s="11" t="n">
        <x:v>0</x:v>
      </x:c>
      <x:c r="Z110" s="11" t="n">
        <x:v>1156932</x:v>
      </x:c>
      <x:c r="AA110" s="11" t="n">
        <x:v>996413</x:v>
      </x:c>
      <x:c r="AB110" s="11" t="n">
        <x:v>20879</x:v>
      </x:c>
      <x:c r="AC110" s="11" t="n">
        <x:v>1177811</x:v>
      </x:c>
      <x:c r="AD110" s="11" t="n">
        <x:v>35428426</x:v>
      </x:c>
      <x:c r="AE110" s="11" t="n">
        <x:v>34250615</x:v>
      </x:c>
      <x:c r="AF110" s="11" t="n">
        <x:v>141713704</x:v>
      </x:c>
      <x:c r="AG110" s="11" t="n">
        <x:v>1198410137</x:v>
      </x:c>
      <x:c r="AH110" s="11" t="n">
        <x:v>402856517</x:v>
      </x:c>
      <x:c r="AI110" s="11" t="n">
        <x:v>795553620</x:v>
      </x:c>
      <x:c r="AJ110" s="11" t="n">
        <x:v>39798215</x:v>
      </x:c>
      <x:c r="AK110" s="11" t="n">
        <x:v>154412388</x:v>
      </x:c>
      <x:c r="AL110" s="11" t="n">
        <x:v>0</x:v>
      </x:c>
      <x:c r="AM110" s="12" t="n">
        <x:v>1</x:v>
      </x:c>
      <x:c r="AN110" s="12" t="n">
        <x:v>0.2577397805673467</x:v>
      </x:c>
      <x:c r="AO110" s="11" t="n">
        <x:v>131146561</x:v>
      </x:c>
      <x:c r="AP110" s="11" t="n">
        <x:v>126731658</x:v>
      </x:c>
      <x:c r="AQ110" s="12" t="n">
        <x:v>0.9663361130758129</x:v>
      </x:c>
      <x:c r="AR110" s="11" t="n">
        <x:v>1723.5847208411788</x:v>
      </x:c>
      <x:c r="AS110" s="11" t="n">
        <x:v>1528.22513592993</x:v>
      </x:c>
      <x:c r="AT110" s="11" t="n">
        <x:v>1099.80489559312</x:v>
      </x:c>
      <x:c r="AU110" s="11" t="n">
        <x:v>262.984206740432</x:v>
      </x:c>
      <x:c r="AV110" s="11" t="n">
        <x:v>10.540260646962997</x:v>
      </x:c>
      <x:c r="AW110" s="11" t="n">
        <x:v>1.6473942486854631</x:v>
      </x:c>
      <x:c r="AX110" s="12" t="n">
        <x:v>0.96675519821287</x:v>
      </x:c>
      <x:c r="AY110" s="11"/>
      <x:c r="AZ110" s="11"/>
      <x:c r="BA110" s="11"/>
      <x:c r="BB110" s="11"/>
      <x:c r="BC110" s="11"/>
      <x:c r="BD110" s="11"/>
      <x:c r="BE110" s="11"/>
      <x:c r="BF110" s="11"/>
      <x:c r="BG110" s="11"/>
      <x:c r="BH110" s="11"/>
      <x:c r="BI110" s="11"/>
      <x:c r="BJ110" s="11"/>
      <x:c r="BK110" s="12"/>
      <x:c r="BL110" s="12"/>
      <x:c r="BM110" s="12"/>
      <x:c r="BN110" s="12"/>
      <x:c r="BO110" s="12"/>
      <x:c r="BP110" s="12"/>
      <x:c r="BQ110" s="12"/>
      <x:c r="BR110" s="12"/>
      <x:c r="BS110" s="12"/>
      <x:c r="BT110" s="12"/>
      <x:c r="BU110" s="11" t="n">
        <x:v>0</x:v>
      </x:c>
      <x:c r="BV110" s="11" t="n">
        <x:v>4865247</x:v>
      </x:c>
      <x:c r="BW110" s="11" t="n">
        <x:v>7080813</x:v>
      </x:c>
      <x:c r="BX110" s="11" t="n">
        <x:v>3515404</x:v>
      </x:c>
      <x:c r="BY110" s="11" t="n">
        <x:v>0</x:v>
      </x:c>
      <x:c r="BZ110" s="11" t="n">
        <x:v>12137498</x:v>
      </x:c>
      <x:c r="CA110" s="11" t="n">
        <x:v>0</x:v>
      </x:c>
      <x:c r="CB110" s="11" t="n">
        <x:v>3343748</x:v>
      </x:c>
      <x:c r="CC110" s="11" t="n">
        <x:v>10016064</x:v>
      </x:c>
      <x:c r="CD110" s="11" t="n">
        <x:v>38540455</x:v>
      </x:c>
      <x:c r="CE110" s="11" t="n">
        <x:v>10681573</x:v>
      </x:c>
      <x:c r="CF110" s="11" t="n">
        <x:v>0</x:v>
      </x:c>
      <x:c r="CG110" s="11" t="n">
        <x:v>7070916</x:v>
      </x:c>
      <x:c r="CH110" s="11" t="n">
        <x:v>18954693</x:v>
      </x:c>
      <x:c r="CI110" s="11" t="n">
        <x:v>19775262</x:v>
      </x:c>
      <x:c r="CJ110" s="11" t="n">
        <x:v>7570070</x:v>
      </x:c>
      <x:c r="CK110" s="11" t="n">
        <x:v>7773089</x:v>
      </x:c>
      <x:c r="CL110" s="11" t="n">
        <x:v>826035</x:v>
      </x:c>
      <x:c r="CM110" s="11"/>
      <x:c r="CN110" s="11" t="n">
        <x:v>535449</x:v>
      </x:c>
      <x:c r="CO110" s="11" t="n">
        <x:v>0</x:v>
      </x:c>
      <x:c r="CP110" s="8"/>
      <x:c r="CQ110" s="8" t="str">
        <x:v>Port Moody</x:v>
      </x:c>
    </x:row>
    <x:row r="111">
      <x:c r="A111" s="8" t="str">
        <x:v>Chilliwack|2020</x:v>
      </x:c>
      <x:c r="B111" s="8" t="str">
        <x:v>chilliwack-c</x:v>
      </x:c>
      <x:c r="C111" s="8" t="str">
        <x:v>Chilliwack</x:v>
      </x:c>
      <x:c r="D111" s="8" t="str">
        <x:v>Chilliwack</x:v>
      </x:c>
      <x:c r="E111" s="8" t="str">
        <x:v>C</x:v>
      </x:c>
      <x:c r="F111" s="8" t="str">
        <x:v>FVR</x:v>
      </x:c>
      <x:c r="G111" s="9" t="n">
        <x:v>2020</x:v>
      </x:c>
      <x:c r="H111" s="10" t="n">
        <x:v>95178</x:v>
      </x:c>
      <x:c r="I111" s="8" t="str">
        <x:v>20,000 to 99,999</x:v>
      </x:c>
      <x:c r="J111" s="11" t="n">
        <x:v>189298040</x:v>
      </x:c>
      <x:c r="K111" s="11" t="n">
        <x:v>147424088</x:v>
      </x:c>
      <x:c r="L111" s="11" t="n">
        <x:v>41873952</x:v>
      </x:c>
      <x:c r="M111" s="12" t="n">
        <x:v>0.22120647419275974</x:v>
      </x:c>
      <x:c r="N111" s="11" t="n">
        <x:v>89439807</x:v>
      </x:c>
      <x:c r="O111" s="11" t="n">
        <x:v>47109138</x:v>
      </x:c>
      <x:c r="P111" s="11" t="n">
        <x:v>13859661</x:v>
      </x:c>
      <x:c r="Q111" s="11" t="n">
        <x:v>38889434</x:v>
      </x:c>
      <x:c r="R111" s="11" t="n">
        <x:v>123975899</x:v>
      </x:c>
      <x:c r="S111" s="11" t="n">
        <x:v>23447370</x:v>
      </x:c>
      <x:c r="T111" s="11" t="n">
        <x:v>205682513</x:v>
      </x:c>
      <x:c r="U111" s="11" t="n">
        <x:v>111590809</x:v>
      </x:c>
      <x:c r="V111" s="11" t="n">
        <x:v>112960041</x:v>
      </x:c>
      <x:c r="W111" s="11" t="n">
        <x:v>29735139</x:v>
      </x:c>
      <x:c r="X111" s="11" t="n">
        <x:v>996412</x:v>
      </x:c>
      <x:c r="Y111" s="11" t="n">
        <x:v>0</x:v>
      </x:c>
      <x:c r="Z111" s="11" t="n">
        <x:v>996412</x:v>
      </x:c>
      <x:c r="AA111" s="11" t="n">
        <x:v>0</x:v>
      </x:c>
      <x:c r="AB111" s="11" t="n">
        <x:v>819</x:v>
      </x:c>
      <x:c r="AC111" s="11" t="n">
        <x:v>997231</x:v>
      </x:c>
      <x:c r="AD111" s="11" t="n">
        <x:v>35661309</x:v>
      </x:c>
      <x:c r="AE111" s="11" t="n">
        <x:v>34664078</x:v>
      </x:c>
      <x:c r="AF111" s="11" t="n">
        <x:v>142645236</x:v>
      </x:c>
      <x:c r="AG111" s="11" t="n">
        <x:v>1250657013</x:v>
      </x:c>
      <x:c r="AH111" s="11" t="n">
        <x:v>423917885</x:v>
      </x:c>
      <x:c r="AI111" s="11" t="n">
        <x:v>826739128</x:v>
      </x:c>
      <x:c r="AJ111" s="11" t="n">
        <x:v>55008519</x:v>
      </x:c>
      <x:c r="AK111" s="11" t="n">
        <x:v>180882758</x:v>
      </x:c>
      <x:c r="AL111" s="11" t="n">
        <x:v>0</x:v>
      </x:c>
      <x:c r="AM111" s="12" t="n">
        <x:v>1</x:v>
      </x:c>
      <x:c r="AN111" s="12" t="n">
        <x:v>0.304111456549109</x:v>
      </x:c>
      <x:c r="AO111" s="11" t="n">
        <x:v>129805425</x:v>
      </x:c>
      <x:c r="AP111" s="11" t="n">
        <x:v>125377377</x:v>
      </x:c>
      <x:c r="AQ111" s="12" t="n">
        <x:v>0.9658870343824227</x:v>
      </x:c>
      <x:c r="AR111" s="11" t="n">
        <x:v>1988.884406060224</x:v>
      </x:c>
      <x:c r="AS111" s="11" t="n">
        <x:v>1548.930299018681</x:v>
      </x:c>
      <x:c r="AT111" s="11" t="n">
        <x:v>1186.8293198007943</x:v>
      </x:c>
      <x:c r="AU111" s="11" t="n">
        <x:v>312.41609405534894</x:v>
      </x:c>
      <x:c r="AV111" s="11" t="n">
        <x:v>0</x:v>
      </x:c>
      <x:c r="AW111" s="11" t="n">
        <x:v>1.8431850691215976</x:v>
      </x:c>
      <x:c r="AX111" s="12" t="n">
        <x:v>0.9720360517332665</x:v>
      </x:c>
      <x:c r="AY111" s="11"/>
      <x:c r="AZ111" s="11"/>
      <x:c r="BA111" s="11"/>
      <x:c r="BB111" s="11"/>
      <x:c r="BC111" s="11"/>
      <x:c r="BD111" s="11"/>
      <x:c r="BE111" s="11"/>
      <x:c r="BF111" s="11"/>
      <x:c r="BG111" s="11"/>
      <x:c r="BH111" s="11"/>
      <x:c r="BI111" s="11"/>
      <x:c r="BJ111" s="11"/>
      <x:c r="BK111" s="12"/>
      <x:c r="BL111" s="12"/>
      <x:c r="BM111" s="12"/>
      <x:c r="BN111" s="12"/>
      <x:c r="BO111" s="12"/>
      <x:c r="BP111" s="12"/>
      <x:c r="BQ111" s="12"/>
      <x:c r="BR111" s="12"/>
      <x:c r="BS111" s="12"/>
      <x:c r="BT111" s="12"/>
      <x:c r="BU111" s="11" t="n">
        <x:v>178069</x:v>
      </x:c>
      <x:c r="BV111" s="11" t="n">
        <x:v>10097988</x:v>
      </x:c>
      <x:c r="BW111" s="11" t="n">
        <x:v>3583604</x:v>
      </x:c>
      <x:c r="BX111" s="11" t="n">
        <x:v>2768944</x:v>
      </x:c>
      <x:c r="BY111" s="11" t="n">
        <x:v>0</x:v>
      </x:c>
      <x:c r="BZ111" s="11" t="n">
        <x:v>34007013</x:v>
      </x:c>
      <x:c r="CA111" s="11" t="n">
        <x:v>213139</x:v>
      </x:c>
      <x:c r="CB111" s="11" t="n">
        <x:v>1900338</x:v>
      </x:c>
      <x:c r="CC111" s="11" t="n">
        <x:v>10074835</x:v>
      </x:c>
      <x:c r="CD111" s="11" t="n">
        <x:v>40672241</x:v>
      </x:c>
      <x:c r="CE111" s="11" t="n">
        <x:v>12263200</x:v>
      </x:c>
      <x:c r="CF111" s="11" t="n">
        <x:v>0</x:v>
      </x:c>
      <x:c r="CG111" s="11" t="n">
        <x:v>7880459</x:v>
      </x:c>
      <x:c r="CH111" s="11" t="n">
        <x:v>17913966</x:v>
      </x:c>
      <x:c r="CI111" s="11" t="n">
        <x:v>19011368</x:v>
      </x:c>
      <x:c r="CJ111" s="11" t="n">
        <x:v>7266022</x:v>
      </x:c>
      <x:c r="CK111" s="11" t="n">
        <x:v>8541676</x:v>
      </x:c>
      <x:c r="CL111" s="11" t="n">
        <x:v>352951</x:v>
      </x:c>
      <x:c r="CM111" s="11"/>
      <x:c r="CN111" s="11" t="n">
        <x:v>0</x:v>
      </x:c>
      <x:c r="CO111" s="11" t="n">
        <x:v>0</x:v>
      </x:c>
      <x:c r="CP111" s="8"/>
      <x:c r="CQ111" s="8" t="str">
        <x:v>Pouce Coupe</x:v>
      </x:c>
    </x:row>
    <x:row r="112">
      <x:c r="A112" s="8" t="str">
        <x:v>Chilliwack|2021</x:v>
      </x:c>
      <x:c r="B112" s="8" t="str">
        <x:v>chilliwack-c</x:v>
      </x:c>
      <x:c r="C112" s="8" t="str">
        <x:v>Chilliwack</x:v>
      </x:c>
      <x:c r="D112" s="8" t="str">
        <x:v>Chilliwack</x:v>
      </x:c>
      <x:c r="E112" s="8" t="str">
        <x:v>C</x:v>
      </x:c>
      <x:c r="F112" s="8" t="str">
        <x:v>FVR</x:v>
      </x:c>
      <x:c r="G112" s="9" t="n">
        <x:v>2021</x:v>
      </x:c>
      <x:c r="H112" s="10" t="n">
        <x:v>95798</x:v>
      </x:c>
      <x:c r="I112" s="8" t="str">
        <x:v>20,000 to 99,999</x:v>
      </x:c>
      <x:c r="J112" s="11" t="n">
        <x:v>190502273</x:v>
      </x:c>
      <x:c r="K112" s="11" t="n">
        <x:v>157895415</x:v>
      </x:c>
      <x:c r="L112" s="11" t="n">
        <x:v>32606858</x:v>
      </x:c>
      <x:c r="M112" s="12" t="n">
        <x:v>0.1711625666534698</x:v>
      </x:c>
      <x:c r="N112" s="11" t="n">
        <x:v>93896664</x:v>
      </x:c>
      <x:c r="O112" s="11" t="n">
        <x:v>50449548</x:v>
      </x:c>
      <x:c r="P112" s="11" t="n">
        <x:v>13486342</x:v>
      </x:c>
      <x:c r="Q112" s="11" t="n">
        <x:v>32669719</x:v>
      </x:c>
      <x:c r="R112" s="11" t="n">
        <x:v>134014075</x:v>
      </x:c>
      <x:c r="S112" s="11" t="n">
        <x:v>23881340</x:v>
      </x:c>
      <x:c r="T112" s="11" t="n">
        <x:v>211867246</x:v>
      </x:c>
      <x:c r="U112" s="11" t="n">
        <x:v>127789495</x:v>
      </x:c>
      <x:c r="V112" s="11" t="n">
        <x:v>107376568</x:v>
      </x:c>
      <x:c r="W112" s="11" t="n">
        <x:v>24884663</x:v>
      </x:c>
      <x:c r="X112" s="11" t="n">
        <x:v>0</x:v>
      </x:c>
      <x:c r="Y112" s="11" t="n">
        <x:v>0</x:v>
      </x:c>
      <x:c r="Z112" s="11" t="n">
        <x:v>0</x:v>
      </x:c>
      <x:c r="AA112" s="11" t="n">
        <x:v>0</x:v>
      </x:c>
      <x:c r="AB112" s="11" t="n">
        <x:v>0</x:v>
      </x:c>
      <x:c r="AC112" s="11" t="n">
        <x:v>0</x:v>
      </x:c>
      <x:c r="AD112" s="11" t="n">
        <x:v>37789957</x:v>
      </x:c>
      <x:c r="AE112" s="11" t="n">
        <x:v>37789957</x:v>
      </x:c>
      <x:c r="AF112" s="11" t="n">
        <x:v>151159827</x:v>
      </x:c>
      <x:c r="AG112" s="11" t="n">
        <x:v>1311116859</x:v>
      </x:c>
      <x:c r="AH112" s="11" t="n">
        <x:v>445176001</x:v>
      </x:c>
      <x:c r="AI112" s="11" t="n">
        <x:v>865940858</x:v>
      </x:c>
      <x:c r="AJ112" s="11" t="n">
        <x:v>64677103</x:v>
      </x:c>
      <x:c r="AK112" s="11" t="n">
        <x:v>182662949</x:v>
      </x:c>
      <x:c r="AL112" s="11" t="n">
        <x:v>0</x:v>
      </x:c>
      <x:c r="AM112" s="12" t="n">
        <x:v>1</x:v>
      </x:c>
      <x:c r="AN112" s="12" t="n">
        <x:v>0.35407893803356916</x:v>
      </x:c>
      <x:c r="AO112" s="11" t="n">
        <x:v>144413120</x:v>
      </x:c>
      <x:c r="AP112" s="11" t="n">
        <x:v>140494180</x:v>
      </x:c>
      <x:c r="AQ112" s="12" t="n">
        <x:v>0.9728629919497619</x:v>
      </x:c>
      <x:c r="AR112" s="11" t="n">
        <x:v>1988.582987118729</x:v>
      </x:c>
      <x:c r="AS112" s="11" t="n">
        <x:v>1648.2120190400635</x:v>
      </x:c>
      <x:c r="AT112" s="11" t="n">
        <x:v>1120.8644021795862</x:v>
      </x:c>
      <x:c r="AU112" s="11" t="n">
        <x:v>259.76182174993215</x:v>
      </x:c>
      <x:c r="AV112" s="11" t="n">
        <x:v>0</x:v>
      </x:c>
      <x:c r="AW112" s="11" t="n">
        <x:v>1.6579394573865402</x:v>
      </x:c>
      <x:c r="AX112" s="12" t="n">
        <x:v>1</x:v>
      </x:c>
      <x:c r="AY112" s="11"/>
      <x:c r="AZ112" s="11"/>
      <x:c r="BA112" s="11"/>
      <x:c r="BB112" s="11"/>
      <x:c r="BC112" s="11"/>
      <x:c r="BD112" s="11"/>
      <x:c r="BE112" s="11"/>
      <x:c r="BF112" s="11"/>
      <x:c r="BG112" s="11"/>
      <x:c r="BH112" s="11"/>
      <x:c r="BI112" s="11"/>
      <x:c r="BJ112" s="11"/>
      <x:c r="BK112" s="12"/>
      <x:c r="BL112" s="12"/>
      <x:c r="BM112" s="12"/>
      <x:c r="BN112" s="12"/>
      <x:c r="BO112" s="12"/>
      <x:c r="BP112" s="12"/>
      <x:c r="BQ112" s="12"/>
      <x:c r="BR112" s="12"/>
      <x:c r="BS112" s="12"/>
      <x:c r="BT112" s="12"/>
      <x:c r="BU112" s="11" t="n">
        <x:v>163492</x:v>
      </x:c>
      <x:c r="BV112" s="11" t="n">
        <x:v>6083691</x:v>
      </x:c>
      <x:c r="BW112" s="11" t="n">
        <x:v>7239159</x:v>
      </x:c>
      <x:c r="BX112" s="11" t="n">
        <x:v>2306452</x:v>
      </x:c>
      <x:c r="BY112" s="11" t="n">
        <x:v>0</x:v>
      </x:c>
      <x:c r="BZ112" s="11" t="n">
        <x:v>27869236</x:v>
      </x:c>
      <x:c r="CA112" s="11" t="n">
        <x:v>0</x:v>
      </x:c>
      <x:c r="CB112" s="11" t="n">
        <x:v>2494031</x:v>
      </x:c>
      <x:c r="CC112" s="11" t="n">
        <x:v>10349856</x:v>
      </x:c>
      <x:c r="CD112" s="11" t="n">
        <x:v>47838521</x:v>
      </x:c>
      <x:c r="CE112" s="11" t="n">
        <x:v>10679803</x:v>
      </x:c>
      <x:c r="CF112" s="11" t="n">
        <x:v>0</x:v>
      </x:c>
      <x:c r="CG112" s="11" t="n">
        <x:v>7879329</x:v>
      </x:c>
      <x:c r="CH112" s="11" t="n">
        <x:v>20120855</x:v>
      </x:c>
      <x:c r="CI112" s="11" t="n">
        <x:v>20267728</x:v>
      </x:c>
      <x:c r="CJ112" s="11" t="n">
        <x:v>6890241</x:v>
      </x:c>
      <x:c r="CK112" s="11" t="n">
        <x:v>8384221</x:v>
      </x:c>
      <x:c r="CL112" s="11" t="n">
        <x:v>348408</x:v>
      </x:c>
      <x:c r="CM112" s="11"/>
      <x:c r="CN112" s="11" t="n">
        <x:v>1255113</x:v>
      </x:c>
      <x:c r="CO112" s="11" t="n">
        <x:v>0</x:v>
      </x:c>
      <x:c r="CP112" s="8"/>
      <x:c r="CQ112" s="8" t="str">
        <x:v>Powell River</x:v>
      </x:c>
    </x:row>
    <x:row r="113">
      <x:c r="A113" s="8" t="str">
        <x:v>Chilliwack|2022</x:v>
      </x:c>
      <x:c r="B113" s="8" t="str">
        <x:v>chilliwack-c</x:v>
      </x:c>
      <x:c r="C113" s="8" t="str">
        <x:v>Chilliwack</x:v>
      </x:c>
      <x:c r="D113" s="8" t="str">
        <x:v>Chilliwack</x:v>
      </x:c>
      <x:c r="E113" s="8" t="str">
        <x:v>C</x:v>
      </x:c>
      <x:c r="F113" s="8" t="str">
        <x:v>FVR</x:v>
      </x:c>
      <x:c r="G113" s="9" t="n">
        <x:v>2022</x:v>
      </x:c>
      <x:c r="H113" s="10" t="n">
        <x:v>97174</x:v>
      </x:c>
      <x:c r="I113" s="8" t="str">
        <x:v>20,000 to 99,999</x:v>
      </x:c>
      <x:c r="J113" s="11" t="n">
        <x:v>191653295</x:v>
      </x:c>
      <x:c r="K113" s="11" t="n">
        <x:v>173818064</x:v>
      </x:c>
      <x:c r="L113" s="11" t="n">
        <x:v>17835231</x:v>
      </x:c>
      <x:c r="M113" s="12" t="n">
        <x:v>0.09305987147259848</x:v>
      </x:c>
      <x:c r="N113" s="11" t="n">
        <x:v>98966271</x:v>
      </x:c>
      <x:c r="O113" s="11" t="n">
        <x:v>57747802</x:v>
      </x:c>
      <x:c r="P113" s="11" t="n">
        <x:v>16952148</x:v>
      </x:c>
      <x:c r="Q113" s="11" t="n">
        <x:v>17987074</x:v>
      </x:c>
      <x:c r="R113" s="11" t="n">
        <x:v>149087321</x:v>
      </x:c>
      <x:c r="S113" s="11" t="n">
        <x:v>24730743</x:v>
      </x:c>
      <x:c r="T113" s="11" t="n">
        <x:v>209963589</x:v>
      </x:c>
      <x:c r="U113" s="11" t="n">
        <x:v>129357247</x:v>
      </x:c>
      <x:c r="V113" s="11" t="n">
        <x:v>105414626</x:v>
      </x:c>
      <x:c r="W113" s="11" t="n">
        <x:v>22960548</x:v>
      </x:c>
      <x:c r="X113" s="11" t="n">
        <x:v>0</x:v>
      </x:c>
      <x:c r="Y113" s="11" t="n">
        <x:v>0</x:v>
      </x:c>
      <x:c r="Z113" s="11" t="n">
        <x:v>0</x:v>
      </x:c>
      <x:c r="AA113" s="11" t="n">
        <x:v>0</x:v>
      </x:c>
      <x:c r="AB113" s="11" t="n">
        <x:v>0</x:v>
      </x:c>
      <x:c r="AC113" s="11" t="n">
        <x:v>0</x:v>
      </x:c>
      <x:c r="AD113" s="11" t="n">
        <x:v>40894599</x:v>
      </x:c>
      <x:c r="AE113" s="11" t="n">
        <x:v>40894599</x:v>
      </x:c>
      <x:c r="AF113" s="11" t="n">
        <x:v>163578396</x:v>
      </x:c>
      <x:c r="AG113" s="11" t="n">
        <x:v>1354660759</x:v>
      </x:c>
      <x:c r="AH113" s="11" t="n">
        <x:v>468452087</x:v>
      </x:c>
      <x:c r="AI113" s="11" t="n">
        <x:v>886208672</x:v>
      </x:c>
      <x:c r="AJ113" s="11" t="n">
        <x:v>47083526</x:v>
      </x:c>
      <x:c r="AK113" s="11" t="n">
        <x:v>198102052</x:v>
      </x:c>
      <x:c r="AL113" s="11" t="n">
        <x:v>0</x:v>
      </x:c>
      <x:c r="AM113" s="12" t="n">
        <x:v>1</x:v>
      </x:c>
      <x:c r="AN113" s="12" t="n">
        <x:v>0.2376730857891366</x:v>
      </x:c>
      <x:c r="AO113" s="11" t="n">
        <x:v>156088006</x:v>
      </x:c>
      <x:c r="AP113" s="11" t="n">
        <x:v>151715018</x:v>
      </x:c>
      <x:c r="AQ113" s="12" t="n">
        <x:v>0.9719838307115026</x:v>
      </x:c>
      <x:c r="AR113" s="11" t="n">
        <x:v>1972.269279848519</x:v>
      </x:c>
      <x:c r="AS113" s="11" t="n">
        <x:v>1788.7301541564616</x:v>
      </x:c>
      <x:c r="AT113" s="11" t="n">
        <x:v>1084.8027867536584</x:v>
      </x:c>
      <x:c r="AU113" s="11" t="n">
        <x:v>236.2828328565254</x:v>
      </x:c>
      <x:c r="AV113" s="11" t="n">
        <x:v>0</x:v>
      </x:c>
      <x:c r="AW113" s="11" t="n">
        <x:v>1.6231296960115424</x:v>
      </x:c>
      <x:c r="AX113" s="12" t="n">
        <x:v>1</x:v>
      </x:c>
      <x:c r="AY113" s="11"/>
      <x:c r="AZ113" s="11"/>
      <x:c r="BA113" s="11"/>
      <x:c r="BB113" s="11"/>
      <x:c r="BC113" s="11"/>
      <x:c r="BD113" s="11"/>
      <x:c r="BE113" s="11"/>
      <x:c r="BF113" s="11"/>
      <x:c r="BG113" s="11"/>
      <x:c r="BH113" s="11"/>
      <x:c r="BI113" s="11"/>
      <x:c r="BJ113" s="11"/>
      <x:c r="BK113" s="12"/>
      <x:c r="BL113" s="12"/>
      <x:c r="BM113" s="12"/>
      <x:c r="BN113" s="12"/>
      <x:c r="BO113" s="12"/>
      <x:c r="BP113" s="12"/>
      <x:c r="BQ113" s="12"/>
      <x:c r="BR113" s="12"/>
      <x:c r="BS113" s="12"/>
      <x:c r="BT113" s="12"/>
      <x:c r="BU113" s="11" t="n">
        <x:v>213948</x:v>
      </x:c>
      <x:c r="BV113" s="11" t="n">
        <x:v>12992646</x:v>
      </x:c>
      <x:c r="BW113" s="11" t="n">
        <x:v>3745554</x:v>
      </x:c>
      <x:c r="BX113" s="11" t="n">
        <x:v>3967252</x:v>
      </x:c>
      <x:c r="BY113" s="11" t="n">
        <x:v>0</x:v>
      </x:c>
      <x:c r="BZ113" s="11" t="n">
        <x:v>14019622</x:v>
      </x:c>
      <x:c r="CA113" s="11" t="n">
        <x:v>200</x:v>
      </x:c>
      <x:c r="CB113" s="11" t="n">
        <x:v>0</x:v>
      </x:c>
      <x:c r="CC113" s="11" t="n">
        <x:v>12666925</x:v>
      </x:c>
      <x:c r="CD113" s="11" t="n">
        <x:v>51966684</x:v>
      </x:c>
      <x:c r="CE113" s="11" t="n">
        <x:v>13132102</x:v>
      </x:c>
      <x:c r="CF113" s="11" t="n">
        <x:v>0</x:v>
      </x:c>
      <x:c r="CG113" s="11" t="n">
        <x:v>6586660</x:v>
      </x:c>
      <x:c r="CH113" s="11" t="n">
        <x:v>20709850</x:v>
      </x:c>
      <x:c r="CI113" s="11" t="n">
        <x:v>22825564</x:v>
      </x:c>
      <x:c r="CJ113" s="11" t="n">
        <x:v>8400746</x:v>
      </x:c>
      <x:c r="CK113" s="11" t="n">
        <x:v>10944792</x:v>
      </x:c>
      <x:c r="CL113" s="11" t="n">
        <x:v>0</x:v>
      </x:c>
      <x:c r="CM113" s="11"/>
      <x:c r="CN113" s="11" t="n">
        <x:v>1853998</x:v>
      </x:c>
      <x:c r="CO113" s="11" t="n">
        <x:v>0</x:v>
      </x:c>
      <x:c r="CP113" s="8"/>
      <x:c r="CQ113" s="8" t="str">
        <x:v>Prince George</x:v>
      </x:c>
    </x:row>
    <x:row r="114">
      <x:c r="A114" s="8" t="str">
        <x:v>Chilliwack|2023</x:v>
      </x:c>
      <x:c r="B114" s="8" t="str">
        <x:v>chilliwack-c</x:v>
      </x:c>
      <x:c r="C114" s="8" t="str">
        <x:v>Chilliwack</x:v>
      </x:c>
      <x:c r="D114" s="8" t="str">
        <x:v>Chilliwack</x:v>
      </x:c>
      <x:c r="E114" s="8" t="str">
        <x:v>C</x:v>
      </x:c>
      <x:c r="F114" s="8" t="str">
        <x:v>FVR</x:v>
      </x:c>
      <x:c r="G114" s="9" t="n">
        <x:v>2023</x:v>
      </x:c>
      <x:c r="H114" s="10" t="n">
        <x:v>100884</x:v>
      </x:c>
      <x:c r="I114" s="8" t="str">
        <x:v>100,000 and over</x:v>
      </x:c>
      <x:c r="J114" s="11" t="n">
        <x:v>223230660</x:v>
      </x:c>
      <x:c r="K114" s="11" t="n">
        <x:v>186800354</x:v>
      </x:c>
      <x:c r="L114" s="11" t="n">
        <x:v>36430306</x:v>
      </x:c>
      <x:c r="M114" s="12" t="n">
        <x:v>0.16319579935838563</x:v>
      </x:c>
      <x:c r="N114" s="11" t="n">
        <x:v>105027207</x:v>
      </x:c>
      <x:c r="O114" s="11" t="n">
        <x:v>66674543</x:v>
      </x:c>
      <x:c r="P114" s="11" t="n">
        <x:v>32556542</x:v>
      </x:c>
      <x:c r="Q114" s="11" t="n">
        <x:v>18972368</x:v>
      </x:c>
      <x:c r="R114" s="11" t="n">
        <x:v>160480849</x:v>
      </x:c>
      <x:c r="S114" s="11" t="n">
        <x:v>26319505</x:v>
      </x:c>
      <x:c r="T114" s="11" t="n">
        <x:v>232877850</x:v>
      </x:c>
      <x:c r="U114" s="11" t="n">
        <x:v>141752688</x:v>
      </x:c>
      <x:c r="V114" s="11" t="n">
        <x:v>118044294</x:v>
      </x:c>
      <x:c r="W114" s="11" t="n">
        <x:v>35173453</x:v>
      </x:c>
      <x:c r="X114" s="11" t="n">
        <x:v>0</x:v>
      </x:c>
      <x:c r="Y114" s="11" t="n">
        <x:v>0</x:v>
      </x:c>
      <x:c r="Z114" s="11" t="n">
        <x:v>0</x:v>
      </x:c>
      <x:c r="AA114" s="11" t="n">
        <x:v>0</x:v>
      </x:c>
      <x:c r="AB114" s="11" t="n">
        <x:v>0</x:v>
      </x:c>
      <x:c r="AC114" s="11" t="n">
        <x:v>0</x:v>
      </x:c>
      <x:c r="AD114" s="11" t="n">
        <x:v>45482754</x:v>
      </x:c>
      <x:c r="AE114" s="11" t="n">
        <x:v>45482754</x:v>
      </x:c>
      <x:c r="AF114" s="11" t="n">
        <x:v>181931016</x:v>
      </x:c>
      <x:c r="AG114" s="11" t="n">
        <x:v>1402000111</x:v>
      </x:c>
      <x:c r="AH114" s="11" t="n">
        <x:v>492665874</x:v>
      </x:c>
      <x:c r="AI114" s="11" t="n">
        <x:v>909334237</x:v>
      </x:c>
      <x:c r="AJ114" s="11" t="n">
        <x:v>38988215</x:v>
      </x:c>
      <x:c r="AK114" s="11" t="n">
        <x:v>185644322</x:v>
      </x:c>
      <x:c r="AL114" s="11" t="n">
        <x:v>0</x:v>
      </x:c>
      <x:c r="AM114" s="12" t="n">
        <x:v>1</x:v>
      </x:c>
      <x:c r="AN114" s="12" t="n">
        <x:v>0.210015661023018</x:v>
      </x:c>
      <x:c r="AO114" s="11" t="n">
        <x:v>165856028</x:v>
      </x:c>
      <x:c r="AP114" s="11" t="n">
        <x:v>162009845</x:v>
      </x:c>
      <x:c r="AQ114" s="12" t="n">
        <x:v>0.9768101102722658</x:v>
      </x:c>
      <x:c r="AR114" s="11" t="n">
        <x:v>2212.745926014036</x:v>
      </x:c>
      <x:c r="AS114" s="11" t="n">
        <x:v>1851.635085841164</x:v>
      </x:c>
      <x:c r="AT114" s="11" t="n">
        <x:v>1170.0992625193292</x:v>
      </x:c>
      <x:c r="AU114" s="11" t="n">
        <x:v>348.6524424091035</x:v>
      </x:c>
      <x:c r="AV114" s="11" t="n">
        <x:v>0</x:v>
      </x:c>
      <x:c r="AW114" s="11" t="n">
        <x:v>1.6428460954475868</x:v>
      </x:c>
      <x:c r="AX114" s="12" t="n">
        <x:v>1</x:v>
      </x:c>
      <x:c r="AY114" s="11"/>
      <x:c r="AZ114" s="11"/>
      <x:c r="BA114" s="11"/>
      <x:c r="BB114" s="11"/>
      <x:c r="BC114" s="11"/>
      <x:c r="BD114" s="11"/>
      <x:c r="BE114" s="11"/>
      <x:c r="BF114" s="11"/>
      <x:c r="BG114" s="11"/>
      <x:c r="BH114" s="11"/>
      <x:c r="BI114" s="11"/>
      <x:c r="BJ114" s="11"/>
      <x:c r="BK114" s="12"/>
      <x:c r="BL114" s="12"/>
      <x:c r="BM114" s="12"/>
      <x:c r="BN114" s="12"/>
      <x:c r="BO114" s="12"/>
      <x:c r="BP114" s="12"/>
      <x:c r="BQ114" s="12"/>
      <x:c r="BR114" s="12"/>
      <x:c r="BS114" s="12"/>
      <x:c r="BT114" s="12"/>
      <x:c r="BU114" s="11" t="n">
        <x:v>139921</x:v>
      </x:c>
      <x:c r="BV114" s="11" t="n">
        <x:v>28509381</x:v>
      </x:c>
      <x:c r="BW114" s="11" t="n">
        <x:v>3907240</x:v>
      </x:c>
      <x:c r="BX114" s="11" t="n">
        <x:v>7288132</x:v>
      </x:c>
      <x:c r="BY114" s="11" t="n">
        <x:v>0</x:v>
      </x:c>
      <x:c r="BZ114" s="11" t="n">
        <x:v>11684236</x:v>
      </x:c>
      <x:c r="CA114" s="11" t="n">
        <x:v>0</x:v>
      </x:c>
      <x:c r="CB114" s="11" t="n">
        <x:v>0</x:v>
      </x:c>
      <x:c r="CC114" s="11" t="n">
        <x:v>13632781</x:v>
      </x:c>
      <x:c r="CD114" s="11" t="n">
        <x:v>55886318</x:v>
      </x:c>
      <x:c r="CE114" s="11" t="n">
        <x:v>13936398</x:v>
      </x:c>
      <x:c r="CF114" s="11" t="n">
        <x:v>0</x:v>
      </x:c>
      <x:c r="CG114" s="11" t="n">
        <x:v>7932214</x:v>
      </x:c>
      <x:c r="CH114" s="11" t="n">
        <x:v>22540205</x:v>
      </x:c>
      <x:c r="CI114" s="11" t="n">
        <x:v>26161425</x:v>
      </x:c>
      <x:c r="CJ114" s="11" t="n">
        <x:v>8790118</x:v>
      </x:c>
      <x:c r="CK114" s="11" t="n">
        <x:v>10822394</x:v>
      </x:c>
      <x:c r="CL114" s="11" t="n">
        <x:v>0</x:v>
      </x:c>
      <x:c r="CM114" s="11" t="n">
        <x:v>477745</x:v>
      </x:c>
      <x:c r="CN114" s="11" t="n">
        <x:v>301251</x:v>
      </x:c>
      <x:c r="CO114" s="11" t="n">
        <x:v>0</x:v>
      </x:c>
      <x:c r="CP114" s="8"/>
      <x:c r="CQ114" s="8" t="str">
        <x:v>Prince Rupert</x:v>
      </x:c>
    </x:row>
    <x:row r="115">
      <x:c r="A115" s="8" t="str">
        <x:v>Chilliwack|2024</x:v>
      </x:c>
      <x:c r="B115" s="8" t="str">
        <x:v>chilliwack-c</x:v>
      </x:c>
      <x:c r="C115" s="8" t="str">
        <x:v>Chilliwack</x:v>
      </x:c>
      <x:c r="D115" s="8" t="str">
        <x:v>Chilliwack</x:v>
      </x:c>
      <x:c r="E115" s="8" t="str">
        <x:v>C</x:v>
      </x:c>
      <x:c r="F115" s="8" t="str">
        <x:v>FVR</x:v>
      </x:c>
      <x:c r="G115" s="9" t="n">
        <x:v>2024</x:v>
      </x:c>
      <x:c r="H115" s="10" t="n">
        <x:v>100884</x:v>
      </x:c>
      <x:c r="I115" s="8" t="str">
        <x:v>100,000 and over</x:v>
      </x:c>
      <x:c r="J115" s="11" t="n">
        <x:v>229809262</x:v>
      </x:c>
      <x:c r="K115" s="11" t="n">
        <x:v>199051570</x:v>
      </x:c>
      <x:c r="L115" s="11" t="n">
        <x:v>30757692</x:v>
      </x:c>
      <x:c r="M115" s="12" t="n">
        <x:v>0.13384008865578273</x:v>
      </x:c>
      <x:c r="N115" s="11" t="n">
        <x:v>116247886</x:v>
      </x:c>
      <x:c r="O115" s="11" t="n">
        <x:v>68558570</x:v>
      </x:c>
      <x:c r="P115" s="11" t="n">
        <x:v>18152226</x:v>
      </x:c>
      <x:c r="Q115" s="11" t="n">
        <x:v>26850580</x:v>
      </x:c>
      <x:c r="R115" s="11" t="n">
        <x:v>171380536</x:v>
      </x:c>
      <x:c r="S115" s="11" t="n">
        <x:v>27671034</x:v>
      </x:c>
      <x:c r="T115" s="11" t="n">
        <x:v>239074729</x:v>
      </x:c>
      <x:c r="U115" s="11" t="n">
        <x:v>153731901</x:v>
      </x:c>
      <x:c r="V115" s="11" t="n">
        <x:v>120208261</x:v>
      </x:c>
      <x:c r="W115" s="11" t="n">
        <x:v>35916213</x:v>
      </x:c>
      <x:c r="X115" s="11" t="n">
        <x:v>0</x:v>
      </x:c>
      <x:c r="Y115" s="11" t="n">
        <x:v>0</x:v>
      </x:c>
      <x:c r="Z115" s="11" t="n">
        <x:v>0</x:v>
      </x:c>
      <x:c r="AA115" s="11" t="n">
        <x:v>0</x:v>
      </x:c>
      <x:c r="AB115" s="11" t="n">
        <x:v>0</x:v>
      </x:c>
      <x:c r="AC115" s="11" t="n">
        <x:v>0</x:v>
      </x:c>
      <x:c r="AD115" s="11" t="n">
        <x:v>48855954</x:v>
      </x:c>
      <x:c r="AE115" s="11" t="n">
        <x:v>48855954</x:v>
      </x:c>
      <x:c r="AF115" s="11" t="n">
        <x:v>195423816</x:v>
      </x:c>
      <x:c r="AG115" s="11" t="n">
        <x:v>1455963150</x:v>
      </x:c>
      <x:c r="AH115" s="11" t="n">
        <x:v>518512864</x:v>
      </x:c>
      <x:c r="AI115" s="11" t="n">
        <x:v>937450286</x:v>
      </x:c>
      <x:c r="AJ115" s="11" t="n">
        <x:v>55437443</x:v>
      </x:c>
      <x:c r="AK115" s="11" t="n">
        <x:v>1581892156</x:v>
      </x:c>
      <x:c r="AL115" s="11" t="n">
        <x:v>2362000</x:v>
      </x:c>
      <x:c r="AM115" s="12" t="n">
        <x:v>0.998506851436717</x:v>
      </x:c>
      <x:c r="AN115" s="12" t="n">
        <x:v>0.03504502047736306</x:v>
      </x:c>
      <x:c r="AO115" s="11" t="n">
        <x:v>187136823</x:v>
      </x:c>
      <x:c r="AP115" s="11" t="n">
        <x:v>179451629</x:v>
      </x:c>
      <x:c r="AQ115" s="12" t="n">
        <x:v>0.9589327537103695</x:v>
      </x:c>
      <x:c r="AR115" s="11" t="n">
        <x:v>2277.955493438008</x:v>
      </x:c>
      <x:c r="AS115" s="11" t="n">
        <x:v>1973.0737282423377</x:v>
      </x:c>
      <x:c r="AT115" s="11" t="n">
        <x:v>1191.549314063677</x:v>
      </x:c>
      <x:c r="AU115" s="11" t="n">
        <x:v>356.01495777328415</x:v>
      </x:c>
      <x:c r="AV115" s="11" t="n">
        <x:v>0</x:v>
      </x:c>
      <x:c r="AW115" s="11" t="n">
        <x:v>1.5551406535979804</x:v>
      </x:c>
      <x:c r="AX115" s="12" t="n">
        <x:v>1</x:v>
      </x:c>
      <x:c r="AY115" s="11" t="n">
        <x:v>3003.390678329474</x:v>
      </x:c>
      <x:c r="AZ115" s="11" t="n">
        <x:v>3546.5079302077975</x:v>
      </x:c>
      <x:c r="BA115" s="11" t="n">
        <x:v>2379.369597210911</x:v>
      </x:c>
      <x:c r="BB115" s="11" t="n">
        <x:v>2783.665107049771</x:v>
      </x:c>
      <x:c r="BC115" s="11" t="n">
        <x:v>2052.765446183268</x:v>
      </x:c>
      <x:c r="BD115" s="11" t="n">
        <x:v>2437.8724475115623</x:v>
      </x:c>
      <x:c r="BE115" s="11" t="n">
        <x:v>1093.3312652075697</x:v>
      </x:c>
      <x:c r="BF115" s="11" t="n">
        <x:v>1604.3462673977224</x:v>
      </x:c>
      <x:c r="BG115" s="11" t="n">
        <x:v>312.26099706744867</x:v>
      </x:c>
      <x:c r="BH115" s="11" t="n">
        <x:v>518.5374381567245</x:v>
      </x:c>
      <x:c r="BI115" s="11" t="n">
        <x:v>1.6357691597817738</x:v>
      </x:c>
      <x:c r="BJ115" s="11" t="n">
        <x:v>1.7099330852451193</x:v>
      </x:c>
      <x:c r="BK115" s="12" t="n">
        <x:v>0.025378934003535983</x:v>
      </x:c>
      <x:c r="BL115" s="12" t="n">
        <x:v>0.02529861000232605</x:v>
      </x:c>
      <x:c r="BM115" s="12" t="n">
        <x:v>0.9802497344746216</x:v>
      </x:c>
      <x:c r="BN115" s="12" t="n">
        <x:v>0.9815511712696461</x:v>
      </x:c>
      <x:c r="BO115" s="12" t="n">
        <x:v>0.9023585311053542</x:v>
      </x:c>
      <x:c r="BP115" s="12" t="n">
        <x:v>0.8619101997275483</x:v>
      </x:c>
      <x:c r="BQ115" s="12" t="n">
        <x:v>0.9669710895067201</x:v>
      </x:c>
      <x:c r="BR115" s="12" t="n">
        <x:v>0.9623635142836453</x:v>
      </x:c>
      <x:c r="BS115" s="12" t="n">
        <x:v>0.27009754429306687</x:v>
      </x:c>
      <x:c r="BT115" s="12" t="n">
        <x:v>0.19976549769108282</x:v>
      </x:c>
      <x:c r="BU115" s="11" t="n">
        <x:v>5425652</x:v>
      </x:c>
      <x:c r="BV115" s="11" t="n">
        <x:v>12588003</x:v>
      </x:c>
      <x:c r="BW115" s="11" t="n">
        <x:v>138571</x:v>
      </x:c>
      <x:c r="BX115" s="11" t="n">
        <x:v>7959831</x:v>
      </x:c>
      <x:c r="BY115" s="11" t="n">
        <x:v>0</x:v>
      </x:c>
      <x:c r="BZ115" s="11" t="n">
        <x:v>18890749</x:v>
      </x:c>
      <x:c r="CA115" s="11" t="n">
        <x:v>0</x:v>
      </x:c>
      <x:c r="CB115" s="11" t="n">
        <x:v>0</x:v>
      </x:c>
      <x:c r="CC115" s="11" t="n">
        <x:v>14657085</x:v>
      </x:c>
      <x:c r="CD115" s="11" t="n">
        <x:v>60021757</x:v>
      </x:c>
      <x:c r="CE115" s="11" t="n">
        <x:v>15583254</x:v>
      </x:c>
      <x:c r="CF115" s="11" t="n">
        <x:v>0</x:v>
      </x:c>
      <x:c r="CG115" s="11" t="n">
        <x:v>9048020</x:v>
      </x:c>
      <x:c r="CH115" s="11" t="n">
        <x:v>23410512</x:v>
      </x:c>
      <x:c r="CI115" s="11" t="n">
        <x:v>27498260</x:v>
      </x:c>
      <x:c r="CJ115" s="11" t="n">
        <x:v>9389077</x:v>
      </x:c>
      <x:c r="CK115" s="11" t="n">
        <x:v>10360845</x:v>
      </x:c>
      <x:c r="CL115" s="11" t="n">
        <x:v>0</x:v>
      </x:c>
      <x:c r="CM115" s="11" t="n">
        <x:v>506982</x:v>
      </x:c>
      <x:c r="CN115" s="11" t="n">
        <x:v>904744</x:v>
      </x:c>
      <x:c r="CO115" s="11" t="n">
        <x:v>0</x:v>
      </x:c>
      <x:c r="CP115" s="8"/>
      <x:c r="CQ115" s="8" t="str">
        <x:v>Princeton</x:v>
      </x:c>
    </x:row>
    <x:row r="116">
      <x:c r="A116" s="8" t="str">
        <x:v>Clearwater|2019</x:v>
      </x:c>
      <x:c r="B116" s="8" t="str">
        <x:v>clearwater-d</x:v>
      </x:c>
      <x:c r="C116" s="8" t="str">
        <x:v>Clearwater</x:v>
      </x:c>
      <x:c r="D116" s="8" t="str">
        <x:v>Clearwater</x:v>
      </x:c>
      <x:c r="E116" s="8" t="str">
        <x:v>D</x:v>
      </x:c>
      <x:c r="F116" s="8" t="str">
        <x:v>TNR</x:v>
      </x:c>
      <x:c r="G116" s="9" t="n">
        <x:v>2019</x:v>
      </x:c>
      <x:c r="H116" s="10" t="n">
        <x:v>2520</x:v>
      </x:c>
      <x:c r="I116" s="8" t="str">
        <x:v>Under 5,000</x:v>
      </x:c>
      <x:c r="J116" s="11" t="n">
        <x:v>6883290</x:v>
      </x:c>
      <x:c r="K116" s="11" t="n">
        <x:v>5709701</x:v>
      </x:c>
      <x:c r="L116" s="11" t="n">
        <x:v>1173589</x:v>
      </x:c>
      <x:c r="M116" s="12" t="n">
        <x:v>0.17049826463798562</x:v>
      </x:c>
      <x:c r="N116" s="11" t="n">
        <x:v>2472109</x:v>
      </x:c>
      <x:c r="O116" s="11" t="n">
        <x:v>1179866</x:v>
      </x:c>
      <x:c r="P116" s="11" t="n">
        <x:v>1170124</x:v>
      </x:c>
      <x:c r="Q116" s="11" t="n">
        <x:v>2061191</x:v>
      </x:c>
      <x:c r="R116" s="11" t="n">
        <x:v>4177093</x:v>
      </x:c>
      <x:c r="S116" s="11" t="n">
        <x:v>1502586</x:v>
      </x:c>
      <x:c r="T116" s="11" t="n">
        <x:v>5975739</x:v>
      </x:c>
      <x:c r="U116" s="11" t="n">
        <x:v>1895340</x:v>
      </x:c>
      <x:c r="V116" s="11" t="n">
        <x:v>4601040</x:v>
      </x:c>
      <x:c r="W116" s="11" t="n">
        <x:v>4045282</x:v>
      </x:c>
      <x:c r="X116" s="11" t="n">
        <x:v>465494</x:v>
      </x:c>
      <x:c r="Y116" s="11" t="n">
        <x:v>233293</x:v>
      </x:c>
      <x:c r="Z116" s="11" t="n">
        <x:v>89610</x:v>
      </x:c>
      <x:c r="AA116" s="11" t="n">
        <x:v>597512</x:v>
      </x:c>
      <x:c r="AB116" s="11" t="n">
        <x:v>30022</x:v>
      </x:c>
      <x:c r="AC116" s="11" t="n">
        <x:v>119632</x:v>
      </x:c>
      <x:c r="AD116" s="11" t="n">
        <x:v>1539950</x:v>
      </x:c>
      <x:c r="AE116" s="11" t="n">
        <x:v>1420318</x:v>
      </x:c>
      <x:c r="AF116" s="11" t="n">
        <x:v>6159799</x:v>
      </x:c>
      <x:c r="AG116" s="11" t="n">
        <x:v>52528465</x:v>
      </x:c>
      <x:c r="AH116" s="11" t="n">
        <x:v>17945795</x:v>
      </x:c>
      <x:c r="AI116" s="11" t="n">
        <x:v>34582670</x:v>
      </x:c>
      <x:c r="AJ116" s="11" t="n">
        <x:v>641997</x:v>
      </x:c>
      <x:c r="AK116" s="11" t="n">
        <x:v>8257601</x:v>
      </x:c>
      <x:c r="AL116" s="11" t="n">
        <x:v>0</x:v>
      </x:c>
      <x:c r="AM116" s="12" t="n">
        <x:v>1</x:v>
      </x:c>
      <x:c r="AN116" s="12" t="n">
        <x:v>0.07774618802724907</x:v>
      </x:c>
      <x:c r="AO116" s="11" t="n">
        <x:v>4459420</x:v>
      </x:c>
      <x:c r="AP116" s="11" t="n">
        <x:v>4251885</x:v>
      </x:c>
      <x:c r="AQ116" s="12" t="n">
        <x:v>0.9534614366890761</x:v>
      </x:c>
      <x:c r="AR116" s="11" t="n">
        <x:v>2731.464285714286</x:v>
      </x:c>
      <x:c r="AS116" s="11" t="n">
        <x:v>2265.754365079365</x:v>
      </x:c>
      <x:c r="AT116" s="11" t="n">
        <x:v>1825.8095238095239</x:v>
      </x:c>
      <x:c r="AU116" s="11" t="n">
        <x:v>1605.2706349206348</x:v>
      </x:c>
      <x:c r="AV116" s="11" t="n">
        <x:v>237.1079365079365</x:v>
      </x:c>
      <x:c r="AW116" s="11" t="n">
        <x:v>3.1528585900155117</x:v>
      </x:c>
      <x:c r="AX116" s="12" t="n">
        <x:v>0.9223143608558719</x:v>
      </x:c>
      <x:c r="AY116" s="11"/>
      <x:c r="AZ116" s="11"/>
      <x:c r="BA116" s="11"/>
      <x:c r="BB116" s="11"/>
      <x:c r="BC116" s="11"/>
      <x:c r="BD116" s="11"/>
      <x:c r="BE116" s="11"/>
      <x:c r="BF116" s="11"/>
      <x:c r="BG116" s="11"/>
      <x:c r="BH116" s="11"/>
      <x:c r="BI116" s="11"/>
      <x:c r="BJ116" s="11"/>
      <x:c r="BK116" s="12"/>
      <x:c r="BL116" s="12"/>
      <x:c r="BM116" s="12"/>
      <x:c r="BN116" s="12"/>
      <x:c r="BO116" s="12"/>
      <x:c r="BP116" s="12"/>
      <x:c r="BQ116" s="12"/>
      <x:c r="BR116" s="12"/>
      <x:c r="BS116" s="12"/>
      <x:c r="BT116" s="12"/>
      <x:c r="BU116" s="11" t="n">
        <x:v>367412</x:v>
      </x:c>
      <x:c r="BV116" s="11" t="n">
        <x:v>554322</x:v>
      </x:c>
      <x:c r="BW116" s="11" t="n">
        <x:v>248390</x:v>
      </x:c>
      <x:c r="BX116" s="11" t="n">
        <x:v>91825</x:v>
      </x:c>
      <x:c r="BY116" s="11" t="n">
        <x:v>0</x:v>
      </x:c>
      <x:c r="BZ116" s="11" t="n">
        <x:v>0</x:v>
      </x:c>
      <x:c r="CA116" s="11" t="n">
        <x:v>-18185</x:v>
      </x:c>
      <x:c r="CB116" s="11" t="n">
        <x:v>1987551</x:v>
      </x:c>
      <x:c r="CC116" s="11" t="n">
        <x:v>1131011</x:v>
      </x:c>
      <x:c r="CD116" s="11" t="n">
        <x:v>275230</x:v>
      </x:c>
      <x:c r="CE116" s="11" t="n">
        <x:v>0</x:v>
      </x:c>
      <x:c r="CF116" s="11" t="n">
        <x:v>88439</x:v>
      </x:c>
      <x:c r="CG116" s="11" t="n">
        <x:v>177886</x:v>
      </x:c>
      <x:c r="CH116" s="11" t="n">
        <x:v>1081541</x:v>
      </x:c>
      <x:c r="CI116" s="11" t="n">
        <x:v>783012</x:v>
      </x:c>
      <x:c r="CJ116" s="11" t="n">
        <x:v>515308</x:v>
      </x:c>
      <x:c r="CK116" s="11" t="n">
        <x:v>154688</x:v>
      </x:c>
      <x:c r="CL116" s="11" t="n">
        <x:v>0</x:v>
      </x:c>
      <x:c r="CM116" s="11"/>
      <x:c r="CN116" s="11" t="n">
        <x:v>0</x:v>
      </x:c>
      <x:c r="CO116" s="11" t="n">
        <x:v>0</x:v>
      </x:c>
      <x:c r="CP116" s="8"/>
      <x:c r="CQ116" s="8" t="str">
        <x:v>Qualicum Beach</x:v>
      </x:c>
    </x:row>
    <x:row r="117">
      <x:c r="A117" s="8" t="str">
        <x:v>Clearwater|2020</x:v>
      </x:c>
      <x:c r="B117" s="8" t="str">
        <x:v>clearwater-d</x:v>
      </x:c>
      <x:c r="C117" s="8" t="str">
        <x:v>Clearwater</x:v>
      </x:c>
      <x:c r="D117" s="8" t="str">
        <x:v>Clearwater</x:v>
      </x:c>
      <x:c r="E117" s="8" t="str">
        <x:v>D</x:v>
      </x:c>
      <x:c r="F117" s="8" t="str">
        <x:v>TNR</x:v>
      </x:c>
      <x:c r="G117" s="9" t="n">
        <x:v>2020</x:v>
      </x:c>
      <x:c r="H117" s="10" t="n">
        <x:v>2458</x:v>
      </x:c>
      <x:c r="I117" s="8" t="str">
        <x:v>Under 5,000</x:v>
      </x:c>
      <x:c r="J117" s="11" t="n">
        <x:v>13713611</x:v>
      </x:c>
      <x:c r="K117" s="11" t="n">
        <x:v>6791287</x:v>
      </x:c>
      <x:c r="L117" s="11" t="n">
        <x:v>6922324</x:v>
      </x:c>
      <x:c r="M117" s="12" t="n">
        <x:v>0.5047776256742298</x:v>
      </x:c>
      <x:c r="N117" s="11" t="n">
        <x:v>2908886</x:v>
      </x:c>
      <x:c r="O117" s="11" t="n">
        <x:v>1332007</x:v>
      </x:c>
      <x:c r="P117" s="11" t="n">
        <x:v>3506328</x:v>
      </x:c>
      <x:c r="Q117" s="11" t="n">
        <x:v>5966390</x:v>
      </x:c>
      <x:c r="R117" s="11" t="n">
        <x:v>5037851</x:v>
      </x:c>
      <x:c r="S117" s="11" t="n">
        <x:v>1730703</x:v>
      </x:c>
      <x:c r="T117" s="11" t="n">
        <x:v>5488759</x:v>
      </x:c>
      <x:c r="U117" s="11" t="n">
        <x:v>2958755</x:v>
      </x:c>
      <x:c r="V117" s="11" t="n">
        <x:v>5996307</x:v>
      </x:c>
      <x:c r="W117" s="11" t="n">
        <x:v>5252651</x:v>
      </x:c>
      <x:c r="X117" s="11" t="n">
        <x:v>597512</x:v>
      </x:c>
      <x:c r="Y117" s="11" t="n">
        <x:v>32901</x:v>
      </x:c>
      <x:c r="Z117" s="11" t="n">
        <x:v>122003</x:v>
      </x:c>
      <x:c r="AA117" s="11" t="n">
        <x:v>494165</x:v>
      </x:c>
      <x:c r="AB117" s="11" t="n">
        <x:v>22733</x:v>
      </x:c>
      <x:c r="AC117" s="11" t="n">
        <x:v>144736</x:v>
      </x:c>
      <x:c r="AD117" s="11" t="n">
        <x:v>1207626</x:v>
      </x:c>
      <x:c r="AE117" s="11" t="n">
        <x:v>1016616</x:v>
      </x:c>
      <x:c r="AF117" s="11" t="n">
        <x:v>4830504</x:v>
      </x:c>
      <x:c r="AG117" s="11" t="n">
        <x:v>59778883</x:v>
      </x:c>
      <x:c r="AH117" s="11" t="n">
        <x:v>19674818</x:v>
      </x:c>
      <x:c r="AI117" s="11" t="n">
        <x:v>40104065</x:v>
      </x:c>
      <x:c r="AJ117" s="11" t="n">
        <x:v>7252098</x:v>
      </x:c>
      <x:c r="AK117" s="11" t="n">
        <x:v>8256020</x:v>
      </x:c>
      <x:c r="AL117" s="11" t="n">
        <x:v>0</x:v>
      </x:c>
      <x:c r="AM117" s="12" t="n">
        <x:v>1</x:v>
      </x:c>
      <x:c r="AN117" s="12" t="n">
        <x:v>0.8784012151133355</x:v>
      </x:c>
      <x:c r="AO117" s="11" t="n">
        <x:v>4793147</x:v>
      </x:c>
      <x:c r="AP117" s="11" t="n">
        <x:v>4568465</x:v>
      </x:c>
      <x:c r="AQ117" s="12" t="n">
        <x:v>0.9531243252084695</x:v>
      </x:c>
      <x:c r="AR117" s="11" t="n">
        <x:v>5579.174532139951</x:v>
      </x:c>
      <x:c r="AS117" s="11" t="n">
        <x:v>2762.9320585842147</x:v>
      </x:c>
      <x:c r="AT117" s="11" t="n">
        <x:v>2439.506509357201</x:v>
      </x:c>
      <x:c r="AU117" s="11" t="n">
        <x:v>2136.9613506916194</x:v>
      </x:c>
      <x:c r="AV117" s="11" t="n">
        <x:v>201.04353132628154</x:v>
      </x:c>
      <x:c r="AW117" s="11" t="n">
        <x:v>1.855090739179148</x:v>
      </x:c>
      <x:c r="AX117" s="12" t="n">
        <x:v>0.841830169274262</x:v>
      </x:c>
      <x:c r="AY117" s="11"/>
      <x:c r="AZ117" s="11"/>
      <x:c r="BA117" s="11"/>
      <x:c r="BB117" s="11"/>
      <x:c r="BC117" s="11"/>
      <x:c r="BD117" s="11"/>
      <x:c r="BE117" s="11"/>
      <x:c r="BF117" s="11"/>
      <x:c r="BG117" s="11"/>
      <x:c r="BH117" s="11"/>
      <x:c r="BI117" s="11"/>
      <x:c r="BJ117" s="11"/>
      <x:c r="BK117" s="12"/>
      <x:c r="BL117" s="12"/>
      <x:c r="BM117" s="12"/>
      <x:c r="BN117" s="12"/>
      <x:c r="BO117" s="12"/>
      <x:c r="BP117" s="12"/>
      <x:c r="BQ117" s="12"/>
      <x:c r="BR117" s="12"/>
      <x:c r="BS117" s="12"/>
      <x:c r="BT117" s="12"/>
      <x:c r="BU117" s="11" t="n">
        <x:v>13167</x:v>
      </x:c>
      <x:c r="BV117" s="11" t="n">
        <x:v>3016193</x:v>
      </x:c>
      <x:c r="BW117" s="11" t="n">
        <x:v>476968</x:v>
      </x:c>
      <x:c r="BX117" s="11" t="n">
        <x:v>50039</x:v>
      </x:c>
      <x:c r="BY117" s="11" t="n">
        <x:v>0</x:v>
      </x:c>
      <x:c r="BZ117" s="11" t="n">
        <x:v>5812869</x:v>
      </x:c>
      <x:c r="CA117" s="11" t="n">
        <x:v>0</x:v>
      </x:c>
      <x:c r="CB117" s="11" t="n">
        <x:v>103482</x:v>
      </x:c>
      <x:c r="CC117" s="11" t="n">
        <x:v>1992547</x:v>
      </x:c>
      <x:c r="CD117" s="11" t="n">
        <x:v>261294</x:v>
      </x:c>
      <x:c r="CE117" s="11" t="n">
        <x:v>0</x:v>
      </x:c>
      <x:c r="CF117" s="11" t="n">
        <x:v>105506</x:v>
      </x:c>
      <x:c r="CG117" s="11" t="n">
        <x:v>367862</x:v>
      </x:c>
      <x:c r="CH117" s="11" t="n">
        <x:v>1002569</x:v>
      </x:c>
      <x:c r="CI117" s="11" t="n">
        <x:v>656082</x:v>
      </x:c>
      <x:c r="CJ117" s="11" t="n">
        <x:v>520457</x:v>
      </x:c>
      <x:c r="CK117" s="11" t="n">
        <x:v>154267</x:v>
      </x:c>
      <x:c r="CL117" s="11" t="n">
        <x:v>0</x:v>
      </x:c>
      <x:c r="CM117" s="11"/>
      <x:c r="CN117" s="11" t="n">
        <x:v>0</x:v>
      </x:c>
      <x:c r="CO117" s="11" t="n">
        <x:v>0</x:v>
      </x:c>
      <x:c r="CP117" s="8"/>
      <x:c r="CQ117" s="8" t="str">
        <x:v>Quesnel</x:v>
      </x:c>
    </x:row>
    <x:row r="118">
      <x:c r="A118" s="8" t="str">
        <x:v>Clearwater|2021</x:v>
      </x:c>
      <x:c r="B118" s="8" t="str">
        <x:v>clearwater-d</x:v>
      </x:c>
      <x:c r="C118" s="8" t="str">
        <x:v>Clearwater</x:v>
      </x:c>
      <x:c r="D118" s="8" t="str">
        <x:v>Clearwater</x:v>
      </x:c>
      <x:c r="E118" s="8" t="str">
        <x:v>D</x:v>
      </x:c>
      <x:c r="F118" s="8" t="str">
        <x:v>TNR</x:v>
      </x:c>
      <x:c r="G118" s="9" t="n">
        <x:v>2021</x:v>
      </x:c>
      <x:c r="H118" s="10" t="n">
        <x:v>2548</x:v>
      </x:c>
      <x:c r="I118" s="8" t="str">
        <x:v>Under 5,000</x:v>
      </x:c>
      <x:c r="J118" s="11" t="n">
        <x:v>7289603</x:v>
      </x:c>
      <x:c r="K118" s="11" t="n">
        <x:v>6389093</x:v>
      </x:c>
      <x:c r="L118" s="11" t="n">
        <x:v>900510</x:v>
      </x:c>
      <x:c r="M118" s="12" t="n">
        <x:v>0.12353347637724578</x:v>
      </x:c>
      <x:c r="N118" s="11" t="n">
        <x:v>2974302</x:v>
      </x:c>
      <x:c r="O118" s="11" t="n">
        <x:v>2533811</x:v>
      </x:c>
      <x:c r="P118" s="11" t="n">
        <x:v>1063069</x:v>
      </x:c>
      <x:c r="Q118" s="11" t="n">
        <x:v>718421</x:v>
      </x:c>
      <x:c r="R118" s="11" t="n">
        <x:v>4572627</x:v>
      </x:c>
      <x:c r="S118" s="11" t="n">
        <x:v>1800844</x:v>
      </x:c>
      <x:c r="T118" s="11" t="n">
        <x:v>9149235</x:v>
      </x:c>
      <x:c r="U118" s="11" t="n">
        <x:v>2944952</x:v>
      </x:c>
      <x:c r="V118" s="11" t="n">
        <x:v>7170714</x:v>
      </x:c>
      <x:c r="W118" s="11" t="n">
        <x:v>5647380</x:v>
      </x:c>
      <x:c r="X118" s="11" t="n">
        <x:v>494165</x:v>
      </x:c>
      <x:c r="Y118" s="11" t="n">
        <x:v>0</x:v>
      </x:c>
      <x:c r="Z118" s="11" t="n">
        <x:v>90722</x:v>
      </x:c>
      <x:c r="AA118" s="11" t="n">
        <x:v>401724</x:v>
      </x:c>
      <x:c r="AB118" s="11" t="n">
        <x:v>15622</x:v>
      </x:c>
      <x:c r="AC118" s="11" t="n">
        <x:v>106344</x:v>
      </x:c>
      <x:c r="AD118" s="11" t="n">
        <x:v>1501260</x:v>
      </x:c>
      <x:c r="AE118" s="11" t="n">
        <x:v>1344489</x:v>
      </x:c>
      <x:c r="AF118" s="11" t="n">
        <x:v>6005041</x:v>
      </x:c>
      <x:c r="AG118" s="11" t="n">
        <x:v>61304339</x:v>
      </x:c>
      <x:c r="AH118" s="11" t="n">
        <x:v>21477339</x:v>
      </x:c>
      <x:c r="AI118" s="11" t="n">
        <x:v>39827000</x:v>
      </x:c>
      <x:c r="AJ118" s="11" t="n">
        <x:v>1523778</x:v>
      </x:c>
      <x:c r="AK118" s="11" t="n">
        <x:v>8257601</x:v>
      </x:c>
      <x:c r="AL118" s="11" t="n">
        <x:v>0</x:v>
      </x:c>
      <x:c r="AM118" s="12" t="n">
        <x:v>1</x:v>
      </x:c>
      <x:c r="AN118" s="12" t="n">
        <x:v>0.18453034967419715</x:v>
      </x:c>
      <x:c r="AO118" s="11" t="n">
        <x:v>5007022</x:v>
      </x:c>
      <x:c r="AP118" s="11" t="n">
        <x:v>4862349</x:v>
      </x:c>
      <x:c r="AQ118" s="12" t="n">
        <x:v>0.9711059787634246</x:v>
      </x:c>
      <x:c r="AR118" s="11" t="n">
        <x:v>2860.91169544741</x:v>
      </x:c>
      <x:c r="AS118" s="11" t="n">
        <x:v>2507.493328100471</x:v>
      </x:c>
      <x:c r="AT118" s="11" t="n">
        <x:v>2814.2519623233907</x:v>
      </x:c>
      <x:c r="AU118" s="11" t="n">
        <x:v>2216.397174254317</x:v>
      </x:c>
      <x:c r="AV118" s="11" t="n">
        <x:v>157.6624803767661</x:v>
      </x:c>
      <x:c r="AW118" s="11" t="n">
        <x:v>3.1067518248175183</x:v>
      </x:c>
      <x:c r="AX118" s="12" t="n">
        <x:v>0.8955737180768155</x:v>
      </x:c>
      <x:c r="AY118" s="11"/>
      <x:c r="AZ118" s="11"/>
      <x:c r="BA118" s="11"/>
      <x:c r="BB118" s="11"/>
      <x:c r="BC118" s="11"/>
      <x:c r="BD118" s="11"/>
      <x:c r="BE118" s="11"/>
      <x:c r="BF118" s="11"/>
      <x:c r="BG118" s="11"/>
      <x:c r="BH118" s="11"/>
      <x:c r="BI118" s="11"/>
      <x:c r="BJ118" s="11"/>
      <x:c r="BK118" s="12"/>
      <x:c r="BL118" s="12"/>
      <x:c r="BM118" s="12"/>
      <x:c r="BN118" s="12"/>
      <x:c r="BO118" s="12"/>
      <x:c r="BP118" s="12"/>
      <x:c r="BQ118" s="12"/>
      <x:c r="BR118" s="12"/>
      <x:c r="BS118" s="12"/>
      <x:c r="BT118" s="12"/>
      <x:c r="BU118" s="11" t="n">
        <x:v>17532</x:v>
      </x:c>
      <x:c r="BV118" s="11" t="n">
        <x:v>715334</x:v>
      </x:c>
      <x:c r="BW118" s="11" t="n">
        <x:v>330203</x:v>
      </x:c>
      <x:c r="BX118" s="11" t="n">
        <x:v>46643</x:v>
      </x:c>
      <x:c r="BY118" s="11" t="n">
        <x:v>0</x:v>
      </x:c>
      <x:c r="BZ118" s="11" t="n">
        <x:v>671778</x:v>
      </x:c>
      <x:c r="CA118" s="11" t="n">
        <x:v>0</x:v>
      </x:c>
      <x:c r="CB118" s="11" t="n">
        <x:v>0</x:v>
      </x:c>
      <x:c r="CC118" s="11" t="n">
        <x:v>1525556</x:v>
      </x:c>
      <x:c r="CD118" s="11" t="n">
        <x:v>303923</x:v>
      </x:c>
      <x:c r="CE118" s="11" t="n">
        <x:v>0</x:v>
      </x:c>
      <x:c r="CF118" s="11" t="n">
        <x:v>104842</x:v>
      </x:c>
      <x:c r="CG118" s="11" t="n">
        <x:v>179043</x:v>
      </x:c>
      <x:c r="CH118" s="11" t="n">
        <x:v>1093883</x:v>
      </x:c>
      <x:c r="CI118" s="11" t="n">
        <x:v>641003</x:v>
      </x:c>
      <x:c r="CJ118" s="11" t="n">
        <x:v>577663</x:v>
      </x:c>
      <x:c r="CK118" s="11" t="n">
        <x:v>162336</x:v>
      </x:c>
      <x:c r="CL118" s="11" t="n">
        <x:v>0</x:v>
      </x:c>
      <x:c r="CM118" s="11"/>
      <x:c r="CN118" s="11" t="n">
        <x:v>0</x:v>
      </x:c>
      <x:c r="CO118" s="11" t="n">
        <x:v>0</x:v>
      </x:c>
      <x:c r="CP118" s="8"/>
      <x:c r="CQ118" s="8" t="str">
        <x:v>Radium Hot Springs</x:v>
      </x:c>
    </x:row>
    <x:row r="119">
      <x:c r="A119" s="8" t="str">
        <x:v>Clearwater|2022</x:v>
      </x:c>
      <x:c r="B119" s="8" t="str">
        <x:v>clearwater-d</x:v>
      </x:c>
      <x:c r="C119" s="8" t="str">
        <x:v>Clearwater</x:v>
      </x:c>
      <x:c r="D119" s="8" t="str">
        <x:v>Clearwater</x:v>
      </x:c>
      <x:c r="E119" s="8" t="str">
        <x:v>D</x:v>
      </x:c>
      <x:c r="F119" s="8" t="str">
        <x:v>TNR</x:v>
      </x:c>
      <x:c r="G119" s="9" t="n">
        <x:v>2022</x:v>
      </x:c>
      <x:c r="H119" s="10" t="n">
        <x:v>2665</x:v>
      </x:c>
      <x:c r="I119" s="8" t="str">
        <x:v>Under 5,000</x:v>
      </x:c>
      <x:c r="J119" s="11" t="n">
        <x:v>11969965</x:v>
      </x:c>
      <x:c r="K119" s="11" t="n">
        <x:v>6365957</x:v>
      </x:c>
      <x:c r="L119" s="11" t="n">
        <x:v>5604008</x:v>
      </x:c>
      <x:c r="M119" s="12" t="n">
        <x:v>0.4681724633280047</x:v>
      </x:c>
      <x:c r="N119" s="11" t="n">
        <x:v>3051969</x:v>
      </x:c>
      <x:c r="O119" s="11" t="n">
        <x:v>3519632</x:v>
      </x:c>
      <x:c r="P119" s="11" t="n">
        <x:v>3003898</x:v>
      </x:c>
      <x:c r="Q119" s="11" t="n">
        <x:v>2394466</x:v>
      </x:c>
      <x:c r="R119" s="11" t="n">
        <x:v>4556847</x:v>
      </x:c>
      <x:c r="S119" s="11" t="n">
        <x:v>1795965</x:v>
      </x:c>
      <x:c r="T119" s="11" t="n">
        <x:v>12494195</x:v>
      </x:c>
      <x:c r="U119" s="11" t="n">
        <x:v>2323007</x:v>
      </x:c>
      <x:c r="V119" s="11" t="n">
        <x:v>11901576</x:v>
      </x:c>
      <x:c r="W119" s="11" t="n">
        <x:v>8476485</x:v>
      </x:c>
      <x:c r="X119" s="11" t="n">
        <x:v>401724</x:v>
      </x:c>
      <x:c r="Y119" s="11" t="n">
        <x:v>0</x:v>
      </x:c>
      <x:c r="Z119" s="11" t="n">
        <x:v>91326</x:v>
      </x:c>
      <x:c r="AA119" s="11" t="n">
        <x:v>307781</x:v>
      </x:c>
      <x:c r="AB119" s="11" t="n">
        <x:v>13145</x:v>
      </x:c>
      <x:c r="AC119" s="11" t="n">
        <x:v>104471</x:v>
      </x:c>
      <x:c r="AD119" s="11" t="n">
        <x:v>1846308</x:v>
      </x:c>
      <x:c r="AE119" s="11" t="n">
        <x:v>1741837</x:v>
      </x:c>
      <x:c r="AF119" s="11" t="n">
        <x:v>7385233</x:v>
      </x:c>
      <x:c r="AG119" s="11" t="n">
        <x:v>63941186</x:v>
      </x:c>
      <x:c r="AH119" s="11" t="n">
        <x:v>23249158</x:v>
      </x:c>
      <x:c r="AI119" s="11" t="n">
        <x:v>40692028</x:v>
      </x:c>
      <x:c r="AJ119" s="11" t="n">
        <x:v>2721872</x:v>
      </x:c>
      <x:c r="AK119" s="11" t="n">
        <x:v>8257601</x:v>
      </x:c>
      <x:c r="AL119" s="11" t="n">
        <x:v>0</x:v>
      </x:c>
      <x:c r="AM119" s="12" t="n">
        <x:v>1</x:v>
      </x:c>
      <x:c r="AN119" s="12" t="n">
        <x:v>0.32962018872067084</x:v>
      </x:c>
      <x:c r="AO119" s="11" t="n">
        <x:v>5188120</x:v>
      </x:c>
      <x:c r="AP119" s="11" t="n">
        <x:v>4975974</x:v>
      </x:c>
      <x:c r="AQ119" s="12" t="n">
        <x:v>0.9591092727230673</x:v>
      </x:c>
      <x:c r="AR119" s="11" t="n">
        <x:v>4491.544090056285</x:v>
      </x:c>
      <x:c r="AS119" s="11" t="n">
        <x:v>2388.7268292682925</x:v>
      </x:c>
      <x:c r="AT119" s="11" t="n">
        <x:v>4465.8821763602255</x:v>
      </x:c>
      <x:c r="AU119" s="11" t="n">
        <x:v>3180.669793621013</x:v>
      </x:c>
      <x:c r="AV119" s="11" t="n">
        <x:v>115.49005628517824</x:v>
      </x:c>
      <x:c r="AW119" s="11" t="n">
        <x:v>5.378457748943503</x:v>
      </x:c>
      <x:c r="AX119" s="12" t="n">
        <x:v>0.9434162664084216</x:v>
      </x:c>
      <x:c r="AY119" s="11"/>
      <x:c r="AZ119" s="11"/>
      <x:c r="BA119" s="11"/>
      <x:c r="BB119" s="11"/>
      <x:c r="BC119" s="11"/>
      <x:c r="BD119" s="11"/>
      <x:c r="BE119" s="11"/>
      <x:c r="BF119" s="11"/>
      <x:c r="BG119" s="11"/>
      <x:c r="BH119" s="11"/>
      <x:c r="BI119" s="11"/>
      <x:c r="BJ119" s="11"/>
      <x:c r="BK119" s="12"/>
      <x:c r="BL119" s="12"/>
      <x:c r="BM119" s="12"/>
      <x:c r="BN119" s="12"/>
      <x:c r="BO119" s="12"/>
      <x:c r="BP119" s="12"/>
      <x:c r="BQ119" s="12"/>
      <x:c r="BR119" s="12"/>
      <x:c r="BS119" s="12"/>
      <x:c r="BT119" s="12"/>
      <x:c r="BU119" s="11" t="n">
        <x:v>276717</x:v>
      </x:c>
      <x:c r="BV119" s="11" t="n">
        <x:v>2697472</x:v>
      </x:c>
      <x:c r="BW119" s="11" t="n">
        <x:v>29709</x:v>
      </x:c>
      <x:c r="BX119" s="11" t="n">
        <x:v>247249</x:v>
      </x:c>
      <x:c r="BY119" s="11" t="n">
        <x:v>0</x:v>
      </x:c>
      <x:c r="BZ119" s="11" t="n">
        <x:v>2117998</x:v>
      </x:c>
      <x:c r="CA119" s="11" t="n">
        <x:v>29219</x:v>
      </x:c>
      <x:c r="CB119" s="11" t="n">
        <x:v>0</x:v>
      </x:c>
      <x:c r="CC119" s="11" t="n">
        <x:v>1517077</x:v>
      </x:c>
      <x:c r="CD119" s="11" t="n">
        <x:v>310713</x:v>
      </x:c>
      <x:c r="CE119" s="11" t="n">
        <x:v>0</x:v>
      </x:c>
      <x:c r="CF119" s="11" t="n">
        <x:v>0</x:v>
      </x:c>
      <x:c r="CG119" s="11" t="n">
        <x:v>198406</x:v>
      </x:c>
      <x:c r="CH119" s="11" t="n">
        <x:v>1052353</x:v>
      </x:c>
      <x:c r="CI119" s="11" t="n">
        <x:v>738701</x:v>
      </x:c>
      <x:c r="CJ119" s="11" t="n">
        <x:v>434013</x:v>
      </x:c>
      <x:c r="CK119" s="11" t="n">
        <x:v>164265</x:v>
      </x:c>
      <x:c r="CL119" s="11" t="n">
        <x:v>109364</x:v>
      </x:c>
      <x:c r="CM119" s="11"/>
      <x:c r="CN119" s="11" t="n">
        <x:v>45100</x:v>
      </x:c>
      <x:c r="CO119" s="11" t="n">
        <x:v>0</x:v>
      </x:c>
      <x:c r="CP119" s="8"/>
      <x:c r="CQ119" s="8" t="str">
        <x:v>Revelstoke</x:v>
      </x:c>
    </x:row>
    <x:row r="120">
      <x:c r="A120" s="8" t="str">
        <x:v>Clearwater|2023</x:v>
      </x:c>
      <x:c r="B120" s="8" t="str">
        <x:v>clearwater-d</x:v>
      </x:c>
      <x:c r="C120" s="8" t="str">
        <x:v>Clearwater</x:v>
      </x:c>
      <x:c r="D120" s="8" t="str">
        <x:v>Clearwater</x:v>
      </x:c>
      <x:c r="E120" s="8" t="str">
        <x:v>D</x:v>
      </x:c>
      <x:c r="F120" s="8" t="str">
        <x:v>TNR</x:v>
      </x:c>
      <x:c r="G120" s="9" t="n">
        <x:v>2023</x:v>
      </x:c>
      <x:c r="H120" s="10" t="n">
        <x:v>2751</x:v>
      </x:c>
      <x:c r="I120" s="8" t="str">
        <x:v>Under 5,000</x:v>
      </x:c>
      <x:c r="J120" s="11" t="n">
        <x:v>9082394</x:v>
      </x:c>
      <x:c r="K120" s="11" t="n">
        <x:v>7234862</x:v>
      </x:c>
      <x:c r="L120" s="11" t="n">
        <x:v>1847532</x:v>
      </x:c>
      <x:c r="M120" s="12" t="n">
        <x:v>0.20341905449158007</x:v>
      </x:c>
      <x:c r="N120" s="11" t="n">
        <x:v>3255120</x:v>
      </x:c>
      <x:c r="O120" s="11" t="n">
        <x:v>2274001</x:v>
      </x:c>
      <x:c r="P120" s="11" t="n">
        <x:v>2797774</x:v>
      </x:c>
      <x:c r="Q120" s="11" t="n">
        <x:v>755499</x:v>
      </x:c>
      <x:c r="R120" s="11" t="n">
        <x:v>5378896</x:v>
      </x:c>
      <x:c r="S120" s="11" t="n">
        <x:v>1840040</x:v>
      </x:c>
      <x:c r="T120" s="11" t="n">
        <x:v>15483317</x:v>
      </x:c>
      <x:c r="U120" s="11" t="n">
        <x:v>2476046</x:v>
      </x:c>
      <x:c r="V120" s="11" t="n">
        <x:v>14268053</x:v>
      </x:c>
      <x:c r="W120" s="11" t="n">
        <x:v>10611503</x:v>
      </x:c>
      <x:c r="X120" s="11" t="n">
        <x:v>307781</x:v>
      </x:c>
      <x:c r="Y120" s="11" t="n">
        <x:v>0</x:v>
      </x:c>
      <x:c r="Z120" s="11" t="n">
        <x:v>82076</x:v>
      </x:c>
      <x:c r="AA120" s="11" t="n">
        <x:v>222162</x:v>
      </x:c>
      <x:c r="AB120" s="11" t="n">
        <x:v>15926</x:v>
      </x:c>
      <x:c r="AC120" s="11" t="n">
        <x:v>98002</x:v>
      </x:c>
      <x:c r="AD120" s="11" t="n">
        <x:v>1672392</x:v>
      </x:c>
      <x:c r="AE120" s="11" t="n">
        <x:v>1520628</x:v>
      </x:c>
      <x:c r="AF120" s="11" t="n">
        <x:v>6689568</x:v>
      </x:c>
      <x:c r="AG120" s="11" t="n">
        <x:v>65275426</x:v>
      </x:c>
      <x:c r="AH120" s="11" t="n">
        <x:v>25089199</x:v>
      </x:c>
      <x:c r="AI120" s="11" t="n">
        <x:v>40186227</x:v>
      </x:c>
      <x:c r="AJ120" s="11" t="n">
        <x:v>1299167</x:v>
      </x:c>
      <x:c r="AK120" s="11" t="n">
        <x:v>8257601</x:v>
      </x:c>
      <x:c r="AL120" s="11" t="n">
        <x:v>0</x:v>
      </x:c>
      <x:c r="AM120" s="12" t="n">
        <x:v>1</x:v>
      </x:c>
      <x:c r="AN120" s="12" t="n">
        <x:v>0.15732983465778982</x:v>
      </x:c>
      <x:c r="AO120" s="11" t="n">
        <x:v>5750007</x:v>
      </x:c>
      <x:c r="AP120" s="11" t="n">
        <x:v>5456369</x:v>
      </x:c>
      <x:c r="AQ120" s="12" t="n">
        <x:v>0.9489325839081587</x:v>
      </x:c>
      <x:c r="AR120" s="11" t="n">
        <x:v>3301.4881861141403</x:v>
      </x:c>
      <x:c r="AS120" s="11" t="n">
        <x:v>2629.90258087968</x:v>
      </x:c>
      <x:c r="AT120" s="11" t="n">
        <x:v>5186.496910214468</x:v>
      </x:c>
      <x:c r="AU120" s="11" t="n">
        <x:v>3857.325699745547</x:v>
      </x:c>
      <x:c r="AV120" s="11" t="n">
        <x:v>80.75681570338058</x:v>
      </x:c>
      <x:c r="AW120" s="11" t="n">
        <x:v>6.253242871901411</x:v>
      </x:c>
      <x:c r="AX120" s="12" t="n">
        <x:v>0.9092533329506479</x:v>
      </x:c>
      <x:c r="AY120" s="11"/>
      <x:c r="AZ120" s="11"/>
      <x:c r="BA120" s="11"/>
      <x:c r="BB120" s="11"/>
      <x:c r="BC120" s="11"/>
      <x:c r="BD120" s="11"/>
      <x:c r="BE120" s="11"/>
      <x:c r="BF120" s="11"/>
      <x:c r="BG120" s="11"/>
      <x:c r="BH120" s="11"/>
      <x:c r="BI120" s="11"/>
      <x:c r="BJ120" s="11"/>
      <x:c r="BK120" s="12"/>
      <x:c r="BL120" s="12"/>
      <x:c r="BM120" s="12"/>
      <x:c r="BN120" s="12"/>
      <x:c r="BO120" s="12"/>
      <x:c r="BP120" s="12"/>
      <x:c r="BQ120" s="12"/>
      <x:c r="BR120" s="12"/>
      <x:c r="BS120" s="12"/>
      <x:c r="BT120" s="12"/>
      <x:c r="BU120" s="11" t="n">
        <x:v>0</x:v>
      </x:c>
      <x:c r="BV120" s="11" t="n">
        <x:v>2610732</x:v>
      </x:c>
      <x:c r="BW120" s="11" t="n">
        <x:v>187042</x:v>
      </x:c>
      <x:c r="BX120" s="11" t="n">
        <x:v>716990</x:v>
      </x:c>
      <x:c r="BY120" s="11" t="n">
        <x:v>0</x:v>
      </x:c>
      <x:c r="BZ120" s="11" t="n">
        <x:v>38509</x:v>
      </x:c>
      <x:c r="CA120" s="11" t="n">
        <x:v>0</x:v>
      </x:c>
      <x:c r="CB120" s="11" t="n">
        <x:v>0</x:v>
      </x:c>
      <x:c r="CC120" s="11" t="n">
        <x:v>1589893</x:v>
      </x:c>
      <x:c r="CD120" s="11" t="n">
        <x:v>288931</x:v>
      </x:c>
      <x:c r="CE120" s="11" t="n">
        <x:v>0</x:v>
      </x:c>
      <x:c r="CF120" s="11" t="n">
        <x:v>0</x:v>
      </x:c>
      <x:c r="CG120" s="11" t="n">
        <x:v>463245</x:v>
      </x:c>
      <x:c r="CH120" s="11" t="n">
        <x:v>1188034</x:v>
      </x:c>
      <x:c r="CI120" s="11" t="n">
        <x:v>905810</x:v>
      </x:c>
      <x:c r="CJ120" s="11" t="n">
        <x:v>511040</x:v>
      </x:c>
      <x:c r="CK120" s="11" t="n">
        <x:v>297951</x:v>
      </x:c>
      <x:c r="CL120" s="11" t="n">
        <x:v>128492</x:v>
      </x:c>
      <x:c r="CM120" s="11" t="n">
        <x:v>2375</x:v>
      </x:c>
      <x:c r="CN120" s="11" t="n">
        <x:v>19051</x:v>
      </x:c>
      <x:c r="CO120" s="11" t="n">
        <x:v>0</x:v>
      </x:c>
      <x:c r="CP120" s="8"/>
      <x:c r="CQ120" s="8" t="str">
        <x:v>Richmond</x:v>
      </x:c>
    </x:row>
    <x:row r="121">
      <x:c r="A121" s="8" t="str">
        <x:v>Clearwater|2024</x:v>
      </x:c>
      <x:c r="B121" s="8" t="str">
        <x:v>clearwater-d</x:v>
      </x:c>
      <x:c r="C121" s="8" t="str">
        <x:v>Clearwater</x:v>
      </x:c>
      <x:c r="D121" s="8" t="str">
        <x:v>Clearwater</x:v>
      </x:c>
      <x:c r="E121" s="8" t="str">
        <x:v>D</x:v>
      </x:c>
      <x:c r="F121" s="8" t="str">
        <x:v>TNR</x:v>
      </x:c>
      <x:c r="G121" s="9" t="n">
        <x:v>2024</x:v>
      </x:c>
      <x:c r="H121" s="10" t="n">
        <x:v>2751</x:v>
      </x:c>
      <x:c r="I121" s="8" t="str">
        <x:v>Under 5,000</x:v>
      </x:c>
      <x:c r="J121" s="11" t="n">
        <x:v>8484938</x:v>
      </x:c>
      <x:c r="K121" s="11" t="n">
        <x:v>7689866</x:v>
      </x:c>
      <x:c r="L121" s="11" t="n">
        <x:v>795072</x:v>
      </x:c>
      <x:c r="M121" s="12" t="n">
        <x:v>0.09370392570929806</x:v>
      </x:c>
      <x:c r="N121" s="11" t="n">
        <x:v>3610840</x:v>
      </x:c>
      <x:c r="O121" s="11" t="n">
        <x:v>1976134</x:v>
      </x:c>
      <x:c r="P121" s="11" t="n">
        <x:v>1889256</x:v>
      </x:c>
      <x:c r="Q121" s="11" t="n">
        <x:v>1008708</x:v>
      </x:c>
      <x:c r="R121" s="11" t="n">
        <x:v>5900840</x:v>
      </x:c>
      <x:c r="S121" s="11" t="n">
        <x:v>1777399</x:v>
      </x:c>
      <x:c r="T121" s="11" t="n">
        <x:v>17532204</x:v>
      </x:c>
      <x:c r="U121" s="11" t="n">
        <x:v>4061200</x:v>
      </x:c>
      <x:c r="V121" s="11" t="n">
        <x:v>14622790</x:v>
      </x:c>
      <x:c r="W121" s="11" t="n">
        <x:v>10870558</x:v>
      </x:c>
      <x:c r="X121" s="11" t="n">
        <x:v>222162</x:v>
      </x:c>
      <x:c r="Y121" s="11" t="n">
        <x:v>0</x:v>
      </x:c>
      <x:c r="Z121" s="11" t="n">
        <x:v>68582</x:v>
      </x:c>
      <x:c r="AA121" s="11" t="n">
        <x:v>149084</x:v>
      </x:c>
      <x:c r="AB121" s="11" t="n">
        <x:v>11627</x:v>
      </x:c>
      <x:c r="AC121" s="11" t="n">
        <x:v>80209</x:v>
      </x:c>
      <x:c r="AD121" s="11" t="n">
        <x:v>1727838</x:v>
      </x:c>
      <x:c r="AE121" s="11" t="n">
        <x:v>1594335</x:v>
      </x:c>
      <x:c r="AF121" s="11" t="n">
        <x:v>6911352</x:v>
      </x:c>
      <x:c r="AG121" s="11" t="n">
        <x:v>67316147</x:v>
      </x:c>
      <x:c r="AH121" s="11" t="n">
        <x:v>26833055</x:v>
      </x:c>
      <x:c r="AI121" s="11" t="n">
        <x:v>40483092</x:v>
      </x:c>
      <x:c r="AJ121" s="11" t="n">
        <x:v>2087898</x:v>
      </x:c>
      <x:c r="AK121" s="11" t="n">
        <x:v>66176963</x:v>
      </x:c>
      <x:c r="AL121" s="11" t="n">
        <x:v>0</x:v>
      </x:c>
      <x:c r="AM121" s="12" t="n">
        <x:v>1</x:v>
      </x:c>
      <x:c r="AN121" s="12" t="n">
        <x:v>0.03155022390495617</x:v>
      </x:c>
      <x:c r="AO121" s="11" t="n">
        <x:v>6291195</x:v>
      </x:c>
      <x:c r="AP121" s="11" t="n">
        <x:v>6048758</x:v>
      </x:c>
      <x:c r="AQ121" s="12" t="n">
        <x:v>0.9614640779692888</x:v>
      </x:c>
      <x:c r="AR121" s="11" t="n">
        <x:v>3084.3104325699746</x:v>
      </x:c>
      <x:c r="AS121" s="11" t="n">
        <x:v>2795.2984369320247</x:v>
      </x:c>
      <x:c r="AT121" s="11" t="n">
        <x:v>5315.445292620865</x:v>
      </x:c>
      <x:c r="AU121" s="11" t="n">
        <x:v>3951.4932751726647</x:v>
      </x:c>
      <x:c r="AV121" s="11" t="n">
        <x:v>54.19265721555798</x:v>
      </x:c>
      <x:c r="AW121" s="11" t="n">
        <x:v>4.317000886437506</x:v>
      </x:c>
      <x:c r="AX121" s="12" t="n">
        <x:v>0.9227340757640473</x:v>
      </x:c>
      <x:c r="AY121" s="11" t="n">
        <x:v>4486.511144130758</x:v>
      </x:c>
      <x:c r="AZ121" s="11" t="n">
        <x:v>3546.5079302077975</x:v>
      </x:c>
      <x:c r="BA121" s="11" t="n">
        <x:v>3557.844717668488</x:v>
      </x:c>
      <x:c r="BB121" s="11" t="n">
        <x:v>2783.665107049771</x:v>
      </x:c>
      <x:c r="BC121" s="11" t="n">
        <x:v>5496.677373974208</x:v>
      </x:c>
      <x:c r="BD121" s="11" t="n">
        <x:v>2437.8724475115623</x:v>
      </x:c>
      <x:c r="BE121" s="11" t="n">
        <x:v>3386.4506393861893</x:v>
      </x:c>
      <x:c r="BF121" s="11" t="n">
        <x:v>1604.3462673977224</x:v>
      </x:c>
      <x:c r="BG121" s="11" t="n">
        <x:v>624.7436119532265</x:v>
      </x:c>
      <x:c r="BH121" s="11" t="n">
        <x:v>518.5374381567245</x:v>
      </x:c>
      <x:c r="BI121" s="11" t="n">
        <x:v>3.324657351485151</x:v>
      </x:c>
      <x:c r="BJ121" s="11" t="n">
        <x:v>1.7099330852451193</x:v>
      </x:c>
      <x:c r="BK121" s="12" t="n">
        <x:v>0.02521828600111612</x:v>
      </x:c>
      <x:c r="BL121" s="12" t="n">
        <x:v>0.02529861000232605</x:v>
      </x:c>
      <x:c r="BM121" s="12" t="n">
        <x:v>0.9816336034641139</x:v>
      </x:c>
      <x:c r="BN121" s="12" t="n">
        <x:v>0.9815511712696461</x:v>
      </x:c>
      <x:c r="BO121" s="12" t="n">
        <x:v>0.8531878894527055</x:v>
      </x:c>
      <x:c r="BP121" s="12" t="n">
        <x:v>0.8619101997275483</x:v>
      </x:c>
      <x:c r="BQ121" s="12" t="n">
        <x:v>0.9614729661922712</x:v>
      </x:c>
      <x:c r="BR121" s="12" t="n">
        <x:v>0.9623635142836453</x:v>
      </x:c>
      <x:c r="BS121" s="12" t="n">
        <x:v>0.23352896680225554</x:v>
      </x:c>
      <x:c r="BT121" s="12" t="n">
        <x:v>0.19976549769108282</x:v>
      </x:c>
      <x:c r="BU121" s="11" t="n">
        <x:v>172146</x:v>
      </x:c>
      <x:c r="BV121" s="11" t="n">
        <x:v>1699110</x:v>
      </x:c>
      <x:c r="BW121" s="11" t="n">
        <x:v>18000</x:v>
      </x:c>
      <x:c r="BX121" s="11" t="n">
        <x:v>835774</x:v>
      </x:c>
      <x:c r="BY121" s="11" t="n">
        <x:v>0</x:v>
      </x:c>
      <x:c r="BZ121" s="11" t="n">
        <x:v>172934</x:v>
      </x:c>
      <x:c r="CA121" s="11" t="n">
        <x:v>0</x:v>
      </x:c>
      <x:c r="CB121" s="11" t="n">
        <x:v>0</x:v>
      </x:c>
      <x:c r="CC121" s="11" t="n">
        <x:v>1631909</x:v>
      </x:c>
      <x:c r="CD121" s="11" t="n">
        <x:v>457417</x:v>
      </x:c>
      <x:c r="CE121" s="11" t="n">
        <x:v>0</x:v>
      </x:c>
      <x:c r="CF121" s="11" t="n">
        <x:v>0</x:v>
      </x:c>
      <x:c r="CG121" s="11" t="n">
        <x:v>368541</x:v>
      </x:c>
      <x:c r="CH121" s="11" t="n">
        <x:v>1106052</x:v>
      </x:c>
      <x:c r="CI121" s="11" t="n">
        <x:v>1016214</x:v>
      </x:c>
      <x:c r="CJ121" s="11" t="n">
        <x:v>587535</x:v>
      </x:c>
      <x:c r="CK121" s="11" t="n">
        <x:v>582956</x:v>
      </x:c>
      <x:c r="CL121" s="11" t="n">
        <x:v>145314</x:v>
      </x:c>
      <x:c r="CM121" s="11" t="n">
        <x:v>2473</x:v>
      </x:c>
      <x:c r="CN121" s="11" t="n">
        <x:v>14056</x:v>
      </x:c>
      <x:c r="CO121" s="11" t="n">
        <x:v>0</x:v>
      </x:c>
      <x:c r="CP121" s="8"/>
      <x:c r="CQ121" s="8" t="str">
        <x:v>Rossland</x:v>
      </x:c>
    </x:row>
    <x:row r="122">
      <x:c r="A122" s="8" t="str">
        <x:v>Clinton|2019</x:v>
      </x:c>
      <x:c r="B122" s="8" t="str">
        <x:v>clinton-v</x:v>
      </x:c>
      <x:c r="C122" s="8" t="str">
        <x:v>Clinton</x:v>
      </x:c>
      <x:c r="D122" s="8" t="str">
        <x:v>Clinton</x:v>
      </x:c>
      <x:c r="E122" s="8" t="str">
        <x:v>V</x:v>
      </x:c>
      <x:c r="F122" s="8" t="str">
        <x:v>TNR</x:v>
      </x:c>
      <x:c r="G122" s="9" t="n">
        <x:v>2019</x:v>
      </x:c>
      <x:c r="H122" s="10" t="n">
        <x:v>659</x:v>
      </x:c>
      <x:c r="I122" s="8" t="str">
        <x:v>Under 5,000</x:v>
      </x:c>
      <x:c r="J122" s="11" t="n">
        <x:v>2540049</x:v>
      </x:c>
      <x:c r="K122" s="11" t="n">
        <x:v>1733129</x:v>
      </x:c>
      <x:c r="L122" s="11" t="n">
        <x:v>806920</x:v>
      </x:c>
      <x:c r="M122" s="12" t="n">
        <x:v>0.31767891091864764</x:v>
      </x:c>
      <x:c r="N122" s="11" t="n">
        <x:v>744045</x:v>
      </x:c>
      <x:c r="O122" s="11" t="n">
        <x:v>558775</x:v>
      </x:c>
      <x:c r="P122" s="11" t="n">
        <x:v>815895</x:v>
      </x:c>
      <x:c r="Q122" s="11" t="n">
        <x:v>421334</x:v>
      </x:c>
      <x:c r="R122" s="11" t="n">
        <x:v>1325005</x:v>
      </x:c>
      <x:c r="S122" s="11" t="n">
        <x:v>403677</x:v>
      </x:c>
      <x:c r="T122" s="11" t="n">
        <x:v>2690547</x:v>
      </x:c>
      <x:c r="U122" s="11" t="n">
        <x:v>320756</x:v>
      </x:c>
      <x:c r="V122" s="11" t="n">
        <x:v>3880216</x:v>
      </x:c>
      <x:c r="W122" s="11" t="n">
        <x:v>10013</x:v>
      </x:c>
      <x:c r="X122" s="11" t="n">
        <x:v>201039</x:v>
      </x:c>
      <x:c r="Y122" s="11" t="n">
        <x:v>0</x:v>
      </x:c>
      <x:c r="Z122" s="11" t="n">
        <x:v>79645</x:v>
      </x:c>
      <x:c r="AA122" s="11" t="n">
        <x:v>120385</x:v>
      </x:c>
      <x:c r="AB122" s="11" t="n">
        <x:v>4447</x:v>
      </x:c>
      <x:c r="AC122" s="11" t="n">
        <x:v>84092</x:v>
      </x:c>
      <x:c r="AD122" s="11" t="n">
        <x:v>500759</x:v>
      </x:c>
      <x:c r="AE122" s="11" t="n">
        <x:v>416667</x:v>
      </x:c>
      <x:c r="AF122" s="11" t="n">
        <x:v>2003037</x:v>
      </x:c>
      <x:c r="AG122" s="11" t="n">
        <x:v>15430196</x:v>
      </x:c>
      <x:c r="AH122" s="11" t="n">
        <x:v>6039301</x:v>
      </x:c>
      <x:c r="AI122" s="11" t="n">
        <x:v>9390895</x:v>
      </x:c>
      <x:c r="AJ122" s="11" t="n">
        <x:v>142699</x:v>
      </x:c>
      <x:c r="AK122" s="11" t="n">
        <x:v>729595</x:v>
      </x:c>
      <x:c r="AL122" s="11" t="n">
        <x:v>0</x:v>
      </x:c>
      <x:c r="AM122" s="12" t="n">
        <x:v>1</x:v>
      </x:c>
      <x:c r="AN122" s="12" t="n">
        <x:v>0.19558659256162667</x:v>
      </x:c>
      <x:c r="AO122" s="11" t="n">
        <x:v>1154911</x:v>
      </x:c>
      <x:c r="AP122" s="11" t="n">
        <x:v>1023675</x:v>
      </x:c>
      <x:c r="AQ122" s="12" t="n">
        <x:v>0.8863670014399377</x:v>
      </x:c>
      <x:c r="AR122" s="11" t="n">
        <x:v>3854.39908952959</x:v>
      </x:c>
      <x:c r="AS122" s="11" t="n">
        <x:v>2629.937784522003</x:v>
      </x:c>
      <x:c r="AT122" s="11" t="n">
        <x:v>5888.0364188163885</x:v>
      </x:c>
      <x:c r="AU122" s="11" t="n">
        <x:v>15.19423368740516</x:v>
      </x:c>
      <x:c r="AV122" s="11" t="n">
        <x:v>182.67830045523522</x:v>
      </x:c>
      <x:c r="AW122" s="11" t="n">
        <x:v>8.388142388606916</x:v>
      </x:c>
      <x:c r="AX122" s="12" t="n">
        <x:v>0.8320709163489822</x:v>
      </x:c>
      <x:c r="AY122" s="11"/>
      <x:c r="AZ122" s="11"/>
      <x:c r="BA122" s="11"/>
      <x:c r="BB122" s="11"/>
      <x:c r="BC122" s="11"/>
      <x:c r="BD122" s="11"/>
      <x:c r="BE122" s="11"/>
      <x:c r="BF122" s="11"/>
      <x:c r="BG122" s="11"/>
      <x:c r="BH122" s="11"/>
      <x:c r="BI122" s="11"/>
      <x:c r="BJ122" s="11"/>
      <x:c r="BK122" s="12"/>
      <x:c r="BL122" s="12"/>
      <x:c r="BM122" s="12"/>
      <x:c r="BN122" s="12"/>
      <x:c r="BO122" s="12"/>
      <x:c r="BP122" s="12"/>
      <x:c r="BQ122" s="12"/>
      <x:c r="BR122" s="12"/>
      <x:c r="BS122" s="12"/>
      <x:c r="BT122" s="12"/>
      <x:c r="BU122" s="11" t="n">
        <x:v>5618</x:v>
      </x:c>
      <x:c r="BV122" s="11" t="n">
        <x:v>772577</x:v>
      </x:c>
      <x:c r="BW122" s="11" t="n">
        <x:v>37700</x:v>
      </x:c>
      <x:c r="BX122" s="11" t="n">
        <x:v>28649</x:v>
      </x:c>
      <x:c r="BY122" s="11" t="n">
        <x:v>392685</x:v>
      </x:c>
      <x:c r="BZ122" s="11" t="n">
        <x:v>0</x:v>
      </x:c>
      <x:c r="CA122" s="11" t="n">
        <x:v>0</x:v>
      </x:c>
      <x:c r="CB122" s="11" t="n">
        <x:v>0</x:v>
      </x:c>
      <x:c r="CC122" s="11" t="n">
        <x:v>642268</x:v>
      </x:c>
      <x:c r="CD122" s="11" t="n">
        <x:v>71075</x:v>
      </x:c>
      <x:c r="CE122" s="11" t="n">
        <x:v>0</x:v>
      </x:c>
      <x:c r="CF122" s="11" t="n">
        <x:v>0</x:v>
      </x:c>
      <x:c r="CG122" s="11" t="n">
        <x:v>0</x:v>
      </x:c>
      <x:c r="CH122" s="11" t="n">
        <x:v>260767</x:v>
      </x:c>
      <x:c r="CI122" s="11" t="n">
        <x:v>129331</x:v>
      </x:c>
      <x:c r="CJ122" s="11" t="n">
        <x:v>153580</x:v>
      </x:c>
      <x:c r="CK122" s="11" t="n">
        <x:v>72431</x:v>
      </x:c>
      <x:c r="CL122" s="11" t="n">
        <x:v>0</x:v>
      </x:c>
      <x:c r="CM122" s="11"/>
      <x:c r="CN122" s="11" t="n">
        <x:v>0</x:v>
      </x:c>
      <x:c r="CO122" s="11" t="n">
        <x:v>0</x:v>
      </x:c>
      <x:c r="CP122" s="8"/>
      <x:c r="CQ122" s="8" t="str">
        <x:v>Saanich</x:v>
      </x:c>
    </x:row>
    <x:row r="123">
      <x:c r="A123" s="8" t="str">
        <x:v>Clinton|2020</x:v>
      </x:c>
      <x:c r="B123" s="8" t="str">
        <x:v>clinton-v</x:v>
      </x:c>
      <x:c r="C123" s="8" t="str">
        <x:v>Clinton</x:v>
      </x:c>
      <x:c r="D123" s="8" t="str">
        <x:v>Clinton</x:v>
      </x:c>
      <x:c r="E123" s="8" t="str">
        <x:v>V</x:v>
      </x:c>
      <x:c r="F123" s="8" t="str">
        <x:v>TNR</x:v>
      </x:c>
      <x:c r="G123" s="9" t="n">
        <x:v>2020</x:v>
      </x:c>
      <x:c r="H123" s="10" t="n">
        <x:v>654</x:v>
      </x:c>
      <x:c r="I123" s="8" t="str">
        <x:v>Under 5,000</x:v>
      </x:c>
      <x:c r="J123" s="11" t="n">
        <x:v>2006641</x:v>
      </x:c>
      <x:c r="K123" s="11" t="n">
        <x:v>1790482</x:v>
      </x:c>
      <x:c r="L123" s="11" t="n">
        <x:v>216159</x:v>
      </x:c>
      <x:c r="M123" s="12" t="n">
        <x:v>0.10772180973078892</x:v>
      </x:c>
      <x:c r="N123" s="11" t="n">
        <x:v>796482</x:v>
      </x:c>
      <x:c r="O123" s="11" t="n">
        <x:v>791785</x:v>
      </x:c>
      <x:c r="P123" s="11" t="n">
        <x:v>920047</x:v>
      </x:c>
      <x:c r="Q123" s="11" t="n">
        <x:v>-501673</x:v>
      </x:c>
      <x:c r="R123" s="11" t="n">
        <x:v>1372913</x:v>
      </x:c>
      <x:c r="S123" s="11" t="n">
        <x:v>414216</x:v>
      </x:c>
      <x:c r="T123" s="11" t="n">
        <x:v>3962704</x:v>
      </x:c>
      <x:c r="U123" s="11" t="n">
        <x:v>287149</x:v>
      </x:c>
      <x:c r="V123" s="11" t="n">
        <x:v>4397476</x:v>
      </x:c>
      <x:c r="W123" s="11" t="n">
        <x:v>10013</x:v>
      </x:c>
      <x:c r="X123" s="11" t="n">
        <x:v>120384</x:v>
      </x:c>
      <x:c r="Y123" s="11" t="n">
        <x:v>0</x:v>
      </x:c>
      <x:c r="Z123" s="11" t="n">
        <x:v>42448</x:v>
      </x:c>
      <x:c r="AA123" s="11" t="n">
        <x:v>76819</x:v>
      </x:c>
      <x:c r="AB123" s="11" t="n">
        <x:v>3353</x:v>
      </x:c>
      <x:c r="AC123" s="11" t="n">
        <x:v>45801</x:v>
      </x:c>
      <x:c r="AD123" s="11" t="n">
        <x:v>533933</x:v>
      </x:c>
      <x:c r="AE123" s="11" t="n">
        <x:v>488132</x:v>
      </x:c>
      <x:c r="AF123" s="11" t="n">
        <x:v>2135732</x:v>
      </x:c>
      <x:c r="AG123" s="11" t="n">
        <x:v>15520351</x:v>
      </x:c>
      <x:c r="AH123" s="11" t="n">
        <x:v>6453517</x:v>
      </x:c>
      <x:c r="AI123" s="11" t="n">
        <x:v>9066834</x:v>
      </x:c>
      <x:c r="AJ123" s="11" t="n">
        <x:v>90155</x:v>
      </x:c>
      <x:c r="AK123" s="11" t="n">
        <x:v>729595</x:v>
      </x:c>
      <x:c r="AL123" s="11" t="n">
        <x:v>0</x:v>
      </x:c>
      <x:c r="AM123" s="12" t="n">
        <x:v>1</x:v>
      </x:c>
      <x:c r="AN123" s="12" t="n">
        <x:v>0.1235685551573133</x:v>
      </x:c>
      <x:c r="AO123" s="11" t="n">
        <x:v>1175122</x:v>
      </x:c>
      <x:c r="AP123" s="11" t="n">
        <x:v>1055234</x:v>
      </x:c>
      <x:c r="AQ123" s="12" t="n">
        <x:v>0.8979782524708073</x:v>
      </x:c>
      <x:c r="AR123" s="11" t="n">
        <x:v>3068.2584097859326</x:v>
      </x:c>
      <x:c r="AS123" s="11" t="n">
        <x:v>2737.7400611620797</x:v>
      </x:c>
      <x:c r="AT123" s="11" t="n">
        <x:v>6723.969418960245</x:v>
      </x:c>
      <x:c r="AU123" s="11" t="n">
        <x:v>15.31039755351682</x:v>
      </x:c>
      <x:c r="AV123" s="11" t="n">
        <x:v>117.46024464831804</x:v>
      </x:c>
      <x:c r="AW123" s="11" t="n">
        <x:v>13.800166464100519</x:v>
      </x:c>
      <x:c r="AX123" s="12" t="n">
        <x:v>0.9142195743660722</x:v>
      </x:c>
      <x:c r="AY123" s="11"/>
      <x:c r="AZ123" s="11"/>
      <x:c r="BA123" s="11"/>
      <x:c r="BB123" s="11"/>
      <x:c r="BC123" s="11"/>
      <x:c r="BD123" s="11"/>
      <x:c r="BE123" s="11"/>
      <x:c r="BF123" s="11"/>
      <x:c r="BG123" s="11"/>
      <x:c r="BH123" s="11"/>
      <x:c r="BI123" s="11"/>
      <x:c r="BJ123" s="11"/>
      <x:c r="BK123" s="12"/>
      <x:c r="BL123" s="12"/>
      <x:c r="BM123" s="12"/>
      <x:c r="BN123" s="12"/>
      <x:c r="BO123" s="12"/>
      <x:c r="BP123" s="12"/>
      <x:c r="BQ123" s="12"/>
      <x:c r="BR123" s="12"/>
      <x:c r="BS123" s="12"/>
      <x:c r="BT123" s="12"/>
      <x:c r="BU123" s="11" t="n">
        <x:v>0</x:v>
      </x:c>
      <x:c r="BV123" s="11" t="n">
        <x:v>881647</x:v>
      </x:c>
      <x:c r="BW123" s="11" t="n">
        <x:v>38400</x:v>
      </x:c>
      <x:c r="BX123" s="11" t="n">
        <x:v>39935</x:v>
      </x:c>
      <x:c r="BY123" s="11" t="n">
        <x:v>-541608</x:v>
      </x:c>
      <x:c r="BZ123" s="11" t="n">
        <x:v>0</x:v>
      </x:c>
      <x:c r="CA123" s="11" t="n">
        <x:v>0</x:v>
      </x:c>
      <x:c r="CB123" s="11" t="n">
        <x:v>0</x:v>
      </x:c>
      <x:c r="CC123" s="11" t="n">
        <x:v>651590</x:v>
      </x:c>
      <x:c r="CD123" s="11" t="n">
        <x:v>80809</x:v>
      </x:c>
      <x:c r="CE123" s="11" t="n">
        <x:v>0</x:v>
      </x:c>
      <x:c r="CF123" s="11" t="n">
        <x:v>0</x:v>
      </x:c>
      <x:c r="CG123" s="11" t="n">
        <x:v>0</x:v>
      </x:c>
      <x:c r="CH123" s="11" t="n">
        <x:v>296508</x:v>
      </x:c>
      <x:c r="CI123" s="11" t="n">
        <x:v>142432</x:v>
      </x:c>
      <x:c r="CJ123" s="11" t="n">
        <x:v>137489</x:v>
      </x:c>
      <x:c r="CK123" s="11" t="n">
        <x:v>67438</x:v>
      </x:c>
      <x:c r="CL123" s="11" t="n">
        <x:v>0</x:v>
      </x:c>
      <x:c r="CM123" s="11"/>
      <x:c r="CN123" s="11" t="n">
        <x:v>0</x:v>
      </x:c>
      <x:c r="CO123" s="11" t="n">
        <x:v>0</x:v>
      </x:c>
      <x:c r="CP123" s="8"/>
      <x:c r="CQ123" s="8" t="str">
        <x:v>Salmo</x:v>
      </x:c>
    </x:row>
    <x:row r="124">
      <x:c r="A124" s="8" t="str">
        <x:v>Clinton|2021</x:v>
      </x:c>
      <x:c r="B124" s="8" t="str">
        <x:v>clinton-v</x:v>
      </x:c>
      <x:c r="C124" s="8" t="str">
        <x:v>Clinton</x:v>
      </x:c>
      <x:c r="D124" s="8" t="str">
        <x:v>Clinton</x:v>
      </x:c>
      <x:c r="E124" s="8" t="str">
        <x:v>V</x:v>
      </x:c>
      <x:c r="F124" s="8" t="str">
        <x:v>TNR</x:v>
      </x:c>
      <x:c r="G124" s="9" t="n">
        <x:v>2021</x:v>
      </x:c>
      <x:c r="H124" s="10" t="n">
        <x:v>597</x:v>
      </x:c>
      <x:c r="I124" s="8" t="str">
        <x:v>Under 5,000</x:v>
      </x:c>
      <x:c r="J124" s="11" t="n">
        <x:v>2015180</x:v>
      </x:c>
      <x:c r="K124" s="11" t="n">
        <x:v>2052816</x:v>
      </x:c>
      <x:c r="L124" s="11" t="n">
        <x:v>-37636</x:v>
      </x:c>
      <x:c r="M124" s="12" t="n">
        <x:v>-0.01867624728312111</x:v>
      </x:c>
      <x:c r="N124" s="11" t="n">
        <x:v>818641</x:v>
      </x:c>
      <x:c r="O124" s="11" t="n">
        <x:v>496942</x:v>
      </x:c>
      <x:c r="P124" s="11" t="n">
        <x:v>704620</x:v>
      </x:c>
      <x:c r="Q124" s="11" t="n">
        <x:v>-5023</x:v>
      </x:c>
      <x:c r="R124" s="11" t="n">
        <x:v>1657810</x:v>
      </x:c>
      <x:c r="S124" s="11" t="n">
        <x:v>393978</x:v>
      </x:c>
      <x:c r="T124" s="11" t="n">
        <x:v>4969477</x:v>
      </x:c>
      <x:c r="U124" s="11" t="n">
        <x:v>1632226</x:v>
      </x:c>
      <x:c r="V124" s="11" t="n">
        <x:v>4072190</x:v>
      </x:c>
      <x:c r="W124" s="11" t="n">
        <x:v>10013</x:v>
      </x:c>
      <x:c r="X124" s="11" t="n">
        <x:v>76819</x:v>
      </x:c>
      <x:c r="Y124" s="11" t="n">
        <x:v>1200000</x:v>
      </x:c>
      <x:c r="Z124" s="11" t="n">
        <x:v>35349</x:v>
      </x:c>
      <x:c r="AA124" s="11" t="n">
        <x:v>1240241</x:v>
      </x:c>
      <x:c r="AB124" s="11" t="n">
        <x:v>1028</x:v>
      </x:c>
      <x:c r="AC124" s="11" t="n">
        <x:v>36377</x:v>
      </x:c>
      <x:c r="AD124" s="11" t="n">
        <x:v>431380</x:v>
      </x:c>
      <x:c r="AE124" s="11" t="n">
        <x:v>395003</x:v>
      </x:c>
      <x:c r="AF124" s="11" t="n">
        <x:v>1725521</x:v>
      </x:c>
      <x:c r="AG124" s="11" t="n">
        <x:v>16201850</x:v>
      </x:c>
      <x:c r="AH124" s="11" t="n">
        <x:v>6847239</x:v>
      </x:c>
      <x:c r="AI124" s="11" t="n">
        <x:v>9354611</x:v>
      </x:c>
      <x:c r="AJ124" s="11" t="n">
        <x:v>681499</x:v>
      </x:c>
      <x:c r="AK124" s="11" t="n">
        <x:v>1057930</x:v>
      </x:c>
      <x:c r="AL124" s="11" t="n">
        <x:v>0</x:v>
      </x:c>
      <x:c r="AM124" s="12" t="n">
        <x:v>1</x:v>
      </x:c>
      <x:c r="AN124" s="12" t="n">
        <x:v>0.6441815621071337</x:v>
      </x:c>
      <x:c r="AO124" s="11" t="n">
        <x:v>1323920</x:v>
      </x:c>
      <x:c r="AP124" s="11" t="n">
        <x:v>1208201</x:v>
      </x:c>
      <x:c r="AQ124" s="12" t="n">
        <x:v>0.9125936612484138</x:v>
      </x:c>
      <x:c r="AR124" s="11" t="n">
        <x:v>3375.510887772194</x:v>
      </x:c>
      <x:c r="AS124" s="11" t="n">
        <x:v>3438.5527638190956</x:v>
      </x:c>
      <x:c r="AT124" s="11" t="n">
        <x:v>6821.08877721943</x:v>
      </x:c>
      <x:c r="AU124" s="11" t="n">
        <x:v>16.77219430485762</x:v>
      </x:c>
      <x:c r="AV124" s="11" t="n">
        <x:v>2077.455611390285</x:v>
      </x:c>
      <x:c r="AW124" s="11" t="n">
        <x:v>3.0446010540207054</x:v>
      </x:c>
      <x:c r="AX124" s="12" t="n">
        <x:v>0.915672956558023</x:v>
      </x:c>
      <x:c r="AY124" s="11"/>
      <x:c r="AZ124" s="11"/>
      <x:c r="BA124" s="11"/>
      <x:c r="BB124" s="11"/>
      <x:c r="BC124" s="11"/>
      <x:c r="BD124" s="11"/>
      <x:c r="BE124" s="11"/>
      <x:c r="BF124" s="11"/>
      <x:c r="BG124" s="11"/>
      <x:c r="BH124" s="11"/>
      <x:c r="BI124" s="11"/>
      <x:c r="BJ124" s="11"/>
      <x:c r="BK124" s="12"/>
      <x:c r="BL124" s="12"/>
      <x:c r="BM124" s="12"/>
      <x:c r="BN124" s="12"/>
      <x:c r="BO124" s="12"/>
      <x:c r="BP124" s="12"/>
      <x:c r="BQ124" s="12"/>
      <x:c r="BR124" s="12"/>
      <x:c r="BS124" s="12"/>
      <x:c r="BT124" s="12"/>
      <x:c r="BU124" s="11" t="n">
        <x:v>0</x:v>
      </x:c>
      <x:c r="BV124" s="11" t="n">
        <x:v>666120</x:v>
      </x:c>
      <x:c r="BW124" s="11" t="n">
        <x:v>38500</x:v>
      </x:c>
      <x:c r="BX124" s="11" t="n">
        <x:v>21203</x:v>
      </x:c>
      <x:c r="BY124" s="11" t="n">
        <x:v>-26226</x:v>
      </x:c>
      <x:c r="BZ124" s="11" t="n">
        <x:v>0</x:v>
      </x:c>
      <x:c r="CA124" s="11" t="n">
        <x:v>0</x:v>
      </x:c>
      <x:c r="CB124" s="11" t="n">
        <x:v>0</x:v>
      </x:c>
      <x:c r="CC124" s="11" t="n">
        <x:v>658822</x:v>
      </x:c>
      <x:c r="CD124" s="11" t="n">
        <x:v>118942</x:v>
      </x:c>
      <x:c r="CE124" s="11" t="n">
        <x:v>0</x:v>
      </x:c>
      <x:c r="CF124" s="11" t="n">
        <x:v>0</x:v>
      </x:c>
      <x:c r="CG124" s="11" t="n">
        <x:v>0</x:v>
      </x:c>
      <x:c r="CH124" s="11" t="n">
        <x:v>301153</x:v>
      </x:c>
      <x:c r="CI124" s="11" t="n">
        <x:v>240627</x:v>
      </x:c>
      <x:c r="CJ124" s="11" t="n">
        <x:v>151319</x:v>
      </x:c>
      <x:c r="CK124" s="11" t="n">
        <x:v>65022</x:v>
      </x:c>
      <x:c r="CL124" s="11" t="n">
        <x:v>122953</x:v>
      </x:c>
      <x:c r="CM124" s="11"/>
      <x:c r="CN124" s="11" t="n">
        <x:v>0</x:v>
      </x:c>
      <x:c r="CO124" s="11" t="n">
        <x:v>0</x:v>
      </x:c>
      <x:c r="CP124" s="8"/>
      <x:c r="CQ124" s="8" t="str">
        <x:v>Salmon Arm</x:v>
      </x:c>
    </x:row>
    <x:row r="125">
      <x:c r="A125" s="8" t="str">
        <x:v>Clinton|2022</x:v>
      </x:c>
      <x:c r="B125" s="8" t="str">
        <x:v>clinton-v</x:v>
      </x:c>
      <x:c r="C125" s="8" t="str">
        <x:v>Clinton</x:v>
      </x:c>
      <x:c r="D125" s="8" t="str">
        <x:v>Clinton</x:v>
      </x:c>
      <x:c r="E125" s="8" t="str">
        <x:v>V</x:v>
      </x:c>
      <x:c r="F125" s="8" t="str">
        <x:v>TNR</x:v>
      </x:c>
      <x:c r="G125" s="9" t="n">
        <x:v>2022</x:v>
      </x:c>
      <x:c r="H125" s="10" t="n">
        <x:v>617</x:v>
      </x:c>
      <x:c r="I125" s="8" t="str">
        <x:v>Under 5,000</x:v>
      </x:c>
      <x:c r="J125" s="11" t="n">
        <x:v>2569946</x:v>
      </x:c>
      <x:c r="K125" s="11" t="n">
        <x:v>2212509</x:v>
      </x:c>
      <x:c r="L125" s="11" t="n">
        <x:v>357437</x:v>
      </x:c>
      <x:c r="M125" s="12" t="n">
        <x:v>0.13908346712343372</x:v>
      </x:c>
      <x:c r="N125" s="11" t="n">
        <x:v>946227</x:v>
      </x:c>
      <x:c r="O125" s="11" t="n">
        <x:v>500841</x:v>
      </x:c>
      <x:c r="P125" s="11" t="n">
        <x:v>679045</x:v>
      </x:c>
      <x:c r="Q125" s="11" t="n">
        <x:v>443833</x:v>
      </x:c>
      <x:c r="R125" s="11" t="n">
        <x:v>1731128</x:v>
      </x:c>
      <x:c r="S125" s="11" t="n">
        <x:v>441526</x:v>
      </x:c>
      <x:c r="T125" s="11" t="n">
        <x:v>4512203</x:v>
      </x:c>
      <x:c r="U125" s="11" t="n">
        <x:v>1775167</x:v>
      </x:c>
      <x:c r="V125" s="11" t="n">
        <x:v>3828194</x:v>
      </x:c>
      <x:c r="W125" s="11" t="n">
        <x:v>184773</x:v>
      </x:c>
      <x:c r="X125" s="11" t="n">
        <x:v>1240241</x:v>
      </x:c>
      <x:c r="Y125" s="11" t="n">
        <x:v>0</x:v>
      </x:c>
      <x:c r="Z125" s="11" t="n">
        <x:v>50956</x:v>
      </x:c>
      <x:c r="AA125" s="11" t="n">
        <x:v>1187940</x:v>
      </x:c>
      <x:c r="AB125" s="11" t="n">
        <x:v>39855</x:v>
      </x:c>
      <x:c r="AC125" s="11" t="n">
        <x:v>90811</x:v>
      </x:c>
      <x:c r="AD125" s="11" t="n">
        <x:v>494084</x:v>
      </x:c>
      <x:c r="AE125" s="11" t="n">
        <x:v>403273</x:v>
      </x:c>
      <x:c r="AF125" s="11" t="n">
        <x:v>1976335</x:v>
      </x:c>
      <x:c r="AG125" s="11" t="n">
        <x:v>17221163</x:v>
      </x:c>
      <x:c r="AH125" s="11" t="n">
        <x:v>7282648</x:v>
      </x:c>
      <x:c r="AI125" s="11" t="n">
        <x:v>9938515</x:v>
      </x:c>
      <x:c r="AJ125" s="11" t="n">
        <x:v>1025430</x:v>
      </x:c>
      <x:c r="AK125" s="11" t="n">
        <x:v>1682707</x:v>
      </x:c>
      <x:c r="AL125" s="11" t="n">
        <x:v>0</x:v>
      </x:c>
      <x:c r="AM125" s="12" t="n">
        <x:v>1</x:v>
      </x:c>
      <x:c r="AN125" s="12" t="n">
        <x:v>0.6093930791278577</x:v>
      </x:c>
      <x:c r="AO125" s="11" t="n">
        <x:v>1348740</x:v>
      </x:c>
      <x:c r="AP125" s="11" t="n">
        <x:v>1248782</x:v>
      </x:c>
      <x:c r="AQ125" s="12" t="n">
        <x:v>0.9258878657117013</x:v>
      </x:c>
      <x:c r="AR125" s="11" t="n">
        <x:v>4165.228525121556</x:v>
      </x:c>
      <x:c r="AS125" s="11" t="n">
        <x:v>3585.9141004862236</x:v>
      </x:c>
      <x:c r="AT125" s="11" t="n">
        <x:v>6204.528363047001</x:v>
      </x:c>
      <x:c r="AU125" s="11" t="n">
        <x:v>299.47001620745544</x:v>
      </x:c>
      <x:c r="AV125" s="11" t="n">
        <x:v>1925.3484602917342</x:v>
      </x:c>
      <x:c r="AW125" s="11" t="n">
        <x:v>2.5418470487565394</x:v>
      </x:c>
      <x:c r="AX125" s="12" t="n">
        <x:v>0.816203317654488</x:v>
      </x:c>
      <x:c r="AY125" s="11"/>
      <x:c r="AZ125" s="11"/>
      <x:c r="BA125" s="11"/>
      <x:c r="BB125" s="11"/>
      <x:c r="BC125" s="11"/>
      <x:c r="BD125" s="11"/>
      <x:c r="BE125" s="11"/>
      <x:c r="BF125" s="11"/>
      <x:c r="BG125" s="11"/>
      <x:c r="BH125" s="11"/>
      <x:c r="BI125" s="11"/>
      <x:c r="BJ125" s="11"/>
      <x:c r="BK125" s="12"/>
      <x:c r="BL125" s="12"/>
      <x:c r="BM125" s="12"/>
      <x:c r="BN125" s="12"/>
      <x:c r="BO125" s="12"/>
      <x:c r="BP125" s="12"/>
      <x:c r="BQ125" s="12"/>
      <x:c r="BR125" s="12"/>
      <x:c r="BS125" s="12"/>
      <x:c r="BT125" s="12"/>
      <x:c r="BU125" s="11" t="n">
        <x:v>0</x:v>
      </x:c>
      <x:c r="BV125" s="11" t="n">
        <x:v>639045</x:v>
      </x:c>
      <x:c r="BW125" s="11" t="n">
        <x:v>40000</x:v>
      </x:c>
      <x:c r="BX125" s="11" t="n">
        <x:v>45612</x:v>
      </x:c>
      <x:c r="BY125" s="11" t="n">
        <x:v>398221</x:v>
      </x:c>
      <x:c r="BZ125" s="11" t="n">
        <x:v>0</x:v>
      </x:c>
      <x:c r="CA125" s="11" t="n">
        <x:v>0</x:v>
      </x:c>
      <x:c r="CB125" s="11" t="n">
        <x:v>0</x:v>
      </x:c>
      <x:c r="CC125" s="11" t="n">
        <x:v>600126</x:v>
      </x:c>
      <x:c r="CD125" s="11" t="n">
        <x:v>146410</x:v>
      </x:c>
      <x:c r="CE125" s="11" t="n">
        <x:v>0</x:v>
      </x:c>
      <x:c r="CF125" s="11" t="n">
        <x:v>0</x:v>
      </x:c>
      <x:c r="CG125" s="11" t="n">
        <x:v>0</x:v>
      </x:c>
      <x:c r="CH125" s="11" t="n">
        <x:v>387730</x:v>
      </x:c>
      <x:c r="CI125" s="11" t="n">
        <x:v>273145</x:v>
      </x:c>
      <x:c r="CJ125" s="11" t="n">
        <x:v>130688</x:v>
      </x:c>
      <x:c r="CK125" s="11" t="n">
        <x:v>99146</x:v>
      </x:c>
      <x:c r="CL125" s="11" t="n">
        <x:v>133738</x:v>
      </x:c>
      <x:c r="CM125" s="11"/>
      <x:c r="CN125" s="11" t="n">
        <x:v>0</x:v>
      </x:c>
      <x:c r="CO125" s="11" t="n">
        <x:v>0</x:v>
      </x:c>
      <x:c r="CP125" s="8"/>
      <x:c r="CQ125" s="8" t="str">
        <x:v>Sayward</x:v>
      </x:c>
    </x:row>
    <x:row r="126">
      <x:c r="A126" s="8" t="str">
        <x:v>Clinton|2023</x:v>
      </x:c>
      <x:c r="B126" s="8" t="str">
        <x:v>clinton-v</x:v>
      </x:c>
      <x:c r="C126" s="8" t="str">
        <x:v>Clinton</x:v>
      </x:c>
      <x:c r="D126" s="8" t="str">
        <x:v>Clinton</x:v>
      </x:c>
      <x:c r="E126" s="8" t="str">
        <x:v>V</x:v>
      </x:c>
      <x:c r="F126" s="8" t="str">
        <x:v>TNR</x:v>
      </x:c>
      <x:c r="G126" s="9" t="n">
        <x:v>2023</x:v>
      </x:c>
      <x:c r="H126" s="10" t="n">
        <x:v>621</x:v>
      </x:c>
      <x:c r="I126" s="8" t="str">
        <x:v>Under 5,000</x:v>
      </x:c>
      <x:c r="J126" s="11" t="n">
        <x:v>3484267</x:v>
      </x:c>
      <x:c r="K126" s="11" t="n">
        <x:v>2102193</x:v>
      </x:c>
      <x:c r="L126" s="11" t="n">
        <x:v>1382074</x:v>
      </x:c>
      <x:c r="M126" s="12" t="n">
        <x:v>0.3966613350813815</x:v>
      </x:c>
      <x:c r="N126" s="11" t="n">
        <x:v>1144483</x:v>
      </x:c>
      <x:c r="O126" s="11" t="n">
        <x:v>655215</x:v>
      </x:c>
      <x:c r="P126" s="11" t="n">
        <x:v>1555664</x:v>
      </x:c>
      <x:c r="Q126" s="11" t="n">
        <x:v>128905</x:v>
      </x:c>
      <x:c r="R126" s="11" t="n">
        <x:v>1592206</x:v>
      </x:c>
      <x:c r="S126" s="11" t="n">
        <x:v>476732</x:v>
      </x:c>
      <x:c r="T126" s="11" t="n">
        <x:v>5779316</x:v>
      </x:c>
      <x:c r="U126" s="11" t="n">
        <x:v>1849355</x:v>
      </x:c>
      <x:c r="V126" s="11" t="n">
        <x:v>5047660</x:v>
      </x:c>
      <x:c r="W126" s="11" t="n">
        <x:v>244964</x:v>
      </x:c>
      <x:c r="X126" s="11" t="n">
        <x:v>1187940</x:v>
      </x:c>
      <x:c r="Y126" s="11" t="n">
        <x:v>0</x:v>
      </x:c>
      <x:c r="Z126" s="11" t="n">
        <x:v>33142</x:v>
      </x:c>
      <x:c r="AA126" s="11" t="n">
        <x:v>1152692</x:v>
      </x:c>
      <x:c r="AB126" s="11" t="n">
        <x:v>33255</x:v>
      </x:c>
      <x:c r="AC126" s="11" t="n">
        <x:v>66397</x:v>
      </x:c>
      <x:c r="AD126" s="11" t="n">
        <x:v>571897</x:v>
      </x:c>
      <x:c r="AE126" s="11" t="n">
        <x:v>505500</x:v>
      </x:c>
      <x:c r="AF126" s="11" t="n">
        <x:v>2287589</x:v>
      </x:c>
      <x:c r="AG126" s="11" t="n">
        <x:v>17725714</x:v>
      </x:c>
      <x:c r="AH126" s="11" t="n">
        <x:v>7780846</x:v>
      </x:c>
      <x:c r="AI126" s="11" t="n">
        <x:v>9944868</x:v>
      </x:c>
      <x:c r="AJ126" s="11" t="n">
        <x:v>468593</x:v>
      </x:c>
      <x:c r="AK126" s="11" t="n">
        <x:v>729595</x:v>
      </x:c>
      <x:c r="AL126" s="11" t="n">
        <x:v>0</x:v>
      </x:c>
      <x:c r="AM126" s="12" t="n">
        <x:v>1</x:v>
      </x:c>
      <x:c r="AN126" s="12" t="n">
        <x:v>0.642264544027851</x:v>
      </x:c>
      <x:c r="AO126" s="11" t="n">
        <x:v>1601971</x:v>
      </x:c>
      <x:c r="AP126" s="11" t="n">
        <x:v>1480370</x:v>
      </x:c>
      <x:c r="AQ126" s="12" t="n">
        <x:v>0.9240928830796562</x:v>
      </x:c>
      <x:c r="AR126" s="11" t="n">
        <x:v>5610.735909822866</x:v>
      </x:c>
      <x:c r="AS126" s="11" t="n">
        <x:v>3385.1739130434785</x:v>
      </x:c>
      <x:c r="AT126" s="11" t="n">
        <x:v>8128.276972624799</x:v>
      </x:c>
      <x:c r="AU126" s="11" t="n">
        <x:v>394.4669887278583</x:v>
      </x:c>
      <x:c r="AV126" s="11" t="n">
        <x:v>1856.1867954911434</x:v>
      </x:c>
      <x:c r="AW126" s="11" t="n">
        <x:v>3.1250441370099304</x:v>
      </x:c>
      <x:c r="AX126" s="12" t="n">
        <x:v>0.8839004226285503</x:v>
      </x:c>
      <x:c r="AY126" s="11"/>
      <x:c r="AZ126" s="11"/>
      <x:c r="BA126" s="11"/>
      <x:c r="BB126" s="11"/>
      <x:c r="BC126" s="11"/>
      <x:c r="BD126" s="11"/>
      <x:c r="BE126" s="11"/>
      <x:c r="BF126" s="11"/>
      <x:c r="BG126" s="11"/>
      <x:c r="BH126" s="11"/>
      <x:c r="BI126" s="11"/>
      <x:c r="BJ126" s="11"/>
      <x:c r="BK126" s="12"/>
      <x:c r="BL126" s="12"/>
      <x:c r="BM126" s="12"/>
      <x:c r="BN126" s="12"/>
      <x:c r="BO126" s="12"/>
      <x:c r="BP126" s="12"/>
      <x:c r="BQ126" s="12"/>
      <x:c r="BR126" s="12"/>
      <x:c r="BS126" s="12"/>
      <x:c r="BT126" s="12"/>
      <x:c r="BU126" s="11" t="n">
        <x:v>14960</x:v>
      </x:c>
      <x:c r="BV126" s="11" t="n">
        <x:v>1500704</x:v>
      </x:c>
      <x:c r="BW126" s="11" t="n">
        <x:v>40000</x:v>
      </x:c>
      <x:c r="BX126" s="11" t="n">
        <x:v>107997</x:v>
      </x:c>
      <x:c r="BY126" s="11" t="n">
        <x:v>20908</x:v>
      </x:c>
      <x:c r="BZ126" s="11" t="n">
        <x:v>0</x:v>
      </x:c>
      <x:c r="CA126" s="11" t="n">
        <x:v>0</x:v>
      </x:c>
      <x:c r="CB126" s="11" t="n">
        <x:v>0</x:v>
      </x:c>
      <x:c r="CC126" s="11" t="n">
        <x:v>702958</x:v>
      </x:c>
      <x:c r="CD126" s="11" t="n">
        <x:v>112659</x:v>
      </x:c>
      <x:c r="CE126" s="11" t="n">
        <x:v>0</x:v>
      </x:c>
      <x:c r="CF126" s="11" t="n">
        <x:v>0</x:v>
      </x:c>
      <x:c r="CG126" s="11" t="n">
        <x:v>0</x:v>
      </x:c>
      <x:c r="CH126" s="11" t="n">
        <x:v>355058</x:v>
      </x:c>
      <x:c r="CI126" s="11" t="n">
        <x:v>275772</x:v>
      </x:c>
      <x:c r="CJ126" s="11" t="n">
        <x:v>135204</x:v>
      </x:c>
      <x:c r="CK126" s="11" t="n">
        <x:v>43810</x:v>
      </x:c>
      <x:c r="CL126" s="11" t="n">
        <x:v>0</x:v>
      </x:c>
      <x:c r="CM126" s="11" t="n">
        <x:v>0</x:v>
      </x:c>
      <x:c r="CN126" s="11" t="n">
        <x:v>0</x:v>
      </x:c>
      <x:c r="CO126" s="11" t="n">
        <x:v>0</x:v>
      </x:c>
      <x:c r="CP126" s="8"/>
      <x:c r="CQ126" s="8" t="str">
        <x:v>Sechelt</x:v>
      </x:c>
    </x:row>
    <x:row r="127">
      <x:c r="A127" s="8" t="str">
        <x:v>Clinton|2024</x:v>
      </x:c>
      <x:c r="B127" s="8" t="str">
        <x:v>clinton-v</x:v>
      </x:c>
      <x:c r="C127" s="8" t="str">
        <x:v>Clinton</x:v>
      </x:c>
      <x:c r="D127" s="8" t="str">
        <x:v>Clinton</x:v>
      </x:c>
      <x:c r="E127" s="8" t="str">
        <x:v>V</x:v>
      </x:c>
      <x:c r="F127" s="8" t="str">
        <x:v>TNR</x:v>
      </x:c>
      <x:c r="G127" s="9" t="n">
        <x:v>2024</x:v>
      </x:c>
      <x:c r="H127" s="10" t="n">
        <x:v>621</x:v>
      </x:c>
      <x:c r="I127" s="8" t="str">
        <x:v>Under 5,000</x:v>
      </x:c>
      <x:c r="J127" s="11" t="n">
        <x:v>2924785</x:v>
      </x:c>
      <x:c r="K127" s="11" t="n">
        <x:v>2040477</x:v>
      </x:c>
      <x:c r="L127" s="11" t="n">
        <x:v>884308</x:v>
      </x:c>
      <x:c r="M127" s="12" t="n">
        <x:v>0.3023497453658987</x:v>
      </x:c>
      <x:c r="N127" s="11" t="n">
        <x:v>953048</x:v>
      </x:c>
      <x:c r="O127" s="11" t="n">
        <x:v>606688</x:v>
      </x:c>
      <x:c r="P127" s="11" t="n">
        <x:v>1358100</x:v>
      </x:c>
      <x:c r="Q127" s="11" t="n">
        <x:v>6949</x:v>
      </x:c>
      <x:c r="R127" s="11" t="n">
        <x:v>1545773</x:v>
      </x:c>
      <x:c r="S127" s="11" t="n">
        <x:v>462979</x:v>
      </x:c>
      <x:c r="T127" s="11" t="n">
        <x:v>6606048</x:v>
      </x:c>
      <x:c r="U127" s="11" t="n">
        <x:v>1769890</x:v>
      </x:c>
      <x:c r="V127" s="11" t="n">
        <x:v>5827190</x:v>
      </x:c>
      <x:c r="W127" s="11" t="n">
        <x:v>1023296</x:v>
      </x:c>
      <x:c r="X127" s="11" t="n">
        <x:v>1152692</x:v>
      </x:c>
      <x:c r="Y127" s="11" t="n">
        <x:v>0</x:v>
      </x:c>
      <x:c r="Z127" s="11" t="n">
        <x:v>30119</x:v>
      </x:c>
      <x:c r="AA127" s="11" t="n">
        <x:v>1119687</x:v>
      </x:c>
      <x:c r="AB127" s="11" t="n">
        <x:v>31725</x:v>
      </x:c>
      <x:c r="AC127" s="11" t="n">
        <x:v>61844</x:v>
      </x:c>
      <x:c r="AD127" s="11" t="n">
        <x:v>521679</x:v>
      </x:c>
      <x:c r="AE127" s="11" t="n">
        <x:v>459835</x:v>
      </x:c>
      <x:c r="AF127" s="11" t="n">
        <x:v>2086717</x:v>
      </x:c>
      <x:c r="AG127" s="11" t="n">
        <x:v>18290168</x:v>
      </x:c>
      <x:c r="AH127" s="11" t="n">
        <x:v>8243825</x:v>
      </x:c>
      <x:c r="AI127" s="11" t="n">
        <x:v>10046343</x:v>
      </x:c>
      <x:c r="AJ127" s="11" t="n">
        <x:v>564454</x:v>
      </x:c>
      <x:c r="AK127" s="11" t="n">
        <x:v>26194102</x:v>
      </x:c>
      <x:c r="AL127" s="11" t="n">
        <x:v>24559423</x:v>
      </x:c>
      <x:c r="AM127" s="12" t="n">
        <x:v>0.062406376824828746</x:v>
      </x:c>
      <x:c r="AN127" s="12" t="n">
        <x:v>0.02154889677073106</x:v>
      </x:c>
      <x:c r="AO127" s="11" t="n">
        <x:v>1350547</x:v>
      </x:c>
      <x:c r="AP127" s="11" t="n">
        <x:v>1251038</x:v>
      </x:c>
      <x:c r="AQ127" s="12" t="n">
        <x:v>0.926319483883197</x:v>
      </x:c>
      <x:c r="AR127" s="11" t="n">
        <x:v>4709.798711755234</x:v>
      </x:c>
      <x:c r="AS127" s="11" t="n">
        <x:v>3285.792270531401</x:v>
      </x:c>
      <x:c r="AT127" s="11" t="n">
        <x:v>9383.558776167472</x:v>
      </x:c>
      <x:c r="AU127" s="11" t="n">
        <x:v>1647.8196457326892</x:v>
      </x:c>
      <x:c r="AV127" s="11" t="n">
        <x:v>1803.038647342995</x:v>
      </x:c>
      <x:c r="AW127" s="11" t="n">
        <x:v>3.7324624694190036</x:v>
      </x:c>
      <x:c r="AX127" s="12" t="n">
        <x:v>0.8814520040101288</x:v>
      </x:c>
      <x:c r="AY127" s="11" t="n">
        <x:v>4648.097865362712</x:v>
      </x:c>
      <x:c r="AZ127" s="11" t="n">
        <x:v>3546.5079302077975</x:v>
      </x:c>
      <x:c r="BA127" s="11" t="n">
        <x:v>3428.422456291105</x:v>
      </x:c>
      <x:c r="BB127" s="11" t="n">
        <x:v>2783.665107049771</x:v>
      </x:c>
      <x:c r="BC127" s="11" t="n">
        <x:v>5030.364110900993</x:v>
      </x:c>
      <x:c r="BD127" s="11" t="n">
        <x:v>2437.8724475115623</x:v>
      </x:c>
      <x:c r="BE127" s="11" t="n">
        <x:v>2420.45</x:v>
      </x:c>
      <x:c r="BF127" s="11" t="n">
        <x:v>1604.3462673977224</x:v>
      </x:c>
      <x:c r="BG127" s="11" t="n">
        <x:v>224.31236112962716</x:v>
      </x:c>
      <x:c r="BH127" s="11" t="n">
        <x:v>518.5374381567245</x:v>
      </x:c>
      <x:c r="BI127" s="11" t="n">
        <x:v>2.204313821553219</x:v>
      </x:c>
      <x:c r="BJ127" s="11" t="n">
        <x:v>1.7099330852451193</x:v>
      </x:c>
      <x:c r="BK127" s="12" t="n">
        <x:v>0.030042455998363887</x:v>
      </x:c>
      <x:c r="BL127" s="12" t="n">
        <x:v>0.02529861000232605</x:v>
      </x:c>
      <x:c r="BM127" s="12" t="n">
        <x:v>0.9786113537119745</x:v>
      </x:c>
      <x:c r="BN127" s="12" t="n">
        <x:v>0.9815511712696461</x:v>
      </x:c>
      <x:c r="BO127" s="12" t="n">
        <x:v>0.9039920521842442</x:v>
      </x:c>
      <x:c r="BP127" s="12" t="n">
        <x:v>0.8619101997275483</x:v>
      </x:c>
      <x:c r="BQ127" s="12" t="n">
        <x:v>0.9333160528846489</x:v>
      </x:c>
      <x:c r="BR127" s="12" t="n">
        <x:v>0.9623635142836453</x:v>
      </x:c>
      <x:c r="BS127" s="12" t="n">
        <x:v>0.20869205825466772</x:v>
      </x:c>
      <x:c r="BT127" s="12" t="n">
        <x:v>0.19976549769108282</x:v>
      </x:c>
      <x:c r="BU127" s="11" t="n">
        <x:v>4355</x:v>
      </x:c>
      <x:c r="BV127" s="11" t="n">
        <x:v>1313245</x:v>
      </x:c>
      <x:c r="BW127" s="11" t="n">
        <x:v>40500</x:v>
      </x:c>
      <x:c r="BX127" s="11" t="n">
        <x:v>113067</x:v>
      </x:c>
      <x:c r="BY127" s="11" t="n">
        <x:v>-106118</x:v>
      </x:c>
      <x:c r="BZ127" s="11" t="n">
        <x:v>0</x:v>
      </x:c>
      <x:c r="CA127" s="11" t="n">
        <x:v>0</x:v>
      </x:c>
      <x:c r="CB127" s="11" t="n">
        <x:v>0</x:v>
      </x:c>
      <x:c r="CC127" s="11" t="n">
        <x:v>693406</x:v>
      </x:c>
      <x:c r="CD127" s="11" t="n">
        <x:v>124425</x:v>
      </x:c>
      <x:c r="CE127" s="11" t="n">
        <x:v>0</x:v>
      </x:c>
      <x:c r="CF127" s="11" t="n">
        <x:v>0</x:v>
      </x:c>
      <x:c r="CG127" s="11" t="n">
        <x:v>0</x:v>
      </x:c>
      <x:c r="CH127" s="11" t="n">
        <x:v>377069</x:v>
      </x:c>
      <x:c r="CI127" s="11" t="n">
        <x:v>162938</x:v>
      </x:c>
      <x:c r="CJ127" s="11" t="n">
        <x:v>129276</x:v>
      </x:c>
      <x:c r="CK127" s="11" t="n">
        <x:v>81925</x:v>
      </x:c>
      <x:c r="CL127" s="11" t="n">
        <x:v>0</x:v>
      </x:c>
      <x:c r="CM127" s="11" t="n">
        <x:v>8459</x:v>
      </x:c>
      <x:c r="CN127" s="11" t="n">
        <x:v>0</x:v>
      </x:c>
      <x:c r="CO127" s="11" t="n">
        <x:v>0</x:v>
      </x:c>
      <x:c r="CP127" s="8"/>
      <x:c r="CQ127" s="8" t="str">
        <x:v>shíshálh Nation Government District</x:v>
      </x:c>
    </x:row>
    <x:row r="128">
      <x:c r="A128" s="8" t="str">
        <x:v>Coldstream|2019</x:v>
      </x:c>
      <x:c r="B128" s="8" t="str">
        <x:v>coldstream-d</x:v>
      </x:c>
      <x:c r="C128" s="8" t="str">
        <x:v>Coldstream</x:v>
      </x:c>
      <x:c r="D128" s="8" t="str">
        <x:v>Coldstream</x:v>
      </x:c>
      <x:c r="E128" s="8" t="str">
        <x:v>D</x:v>
      </x:c>
      <x:c r="F128" s="8" t="str">
        <x:v>NOK</x:v>
      </x:c>
      <x:c r="G128" s="9" t="n">
        <x:v>2019</x:v>
      </x:c>
      <x:c r="H128" s="10" t="n">
        <x:v>11383</x:v>
      </x:c>
      <x:c r="I128" s="8" t="str">
        <x:v>5,000 to 19,999</x:v>
      </x:c>
      <x:c r="J128" s="11" t="n">
        <x:v>11876799</x:v>
      </x:c>
      <x:c r="K128" s="11" t="n">
        <x:v>10337461</x:v>
      </x:c>
      <x:c r="L128" s="11" t="n">
        <x:v>1539338</x:v>
      </x:c>
      <x:c r="M128" s="12" t="n">
        <x:v>0.12960882810258892</x:v>
      </x:c>
      <x:c r="N128" s="11" t="n">
        <x:v>6864288</x:v>
      </x:c>
      <x:c r="O128" s="11" t="n">
        <x:v>2668528</x:v>
      </x:c>
      <x:c r="P128" s="11" t="n">
        <x:v>1475069</x:v>
      </x:c>
      <x:c r="Q128" s="11" t="n">
        <x:v>868914</x:v>
      </x:c>
      <x:c r="R128" s="11" t="n">
        <x:v>7851362</x:v>
      </x:c>
      <x:c r="S128" s="11" t="n">
        <x:v>2330147</x:v>
      </x:c>
      <x:c r="T128" s="11" t="n">
        <x:v>8271922</x:v>
      </x:c>
      <x:c r="U128" s="11" t="n">
        <x:v>8616198</x:v>
      </x:c>
      <x:c r="V128" s="11" t="n">
        <x:v>2367323</x:v>
      </x:c>
      <x:c r="W128" s="11" t="n">
        <x:v>4746583</x:v>
      </x:c>
      <x:c r="X128" s="11" t="n">
        <x:v>3929564</x:v>
      </x:c>
      <x:c r="Y128" s="11" t="n">
        <x:v>0</x:v>
      </x:c>
      <x:c r="Z128" s="11" t="n">
        <x:v>192582</x:v>
      </x:c>
      <x:c r="AA128" s="11" t="n">
        <x:v>3672737</x:v>
      </x:c>
      <x:c r="AB128" s="11" t="n">
        <x:v>155952</x:v>
      </x:c>
      <x:c r="AC128" s="11" t="n">
        <x:v>348534</x:v>
      </x:c>
      <x:c r="AD128" s="11" t="n">
        <x:v>2535618</x:v>
      </x:c>
      <x:c r="AE128" s="11" t="n">
        <x:v>2187084</x:v>
      </x:c>
      <x:c r="AF128" s="11" t="n">
        <x:v>10142470</x:v>
      </x:c>
      <x:c r="AG128" s="11" t="n">
        <x:v>106554685</x:v>
      </x:c>
      <x:c r="AH128" s="11" t="n">
        <x:v>36942932</x:v>
      </x:c>
      <x:c r="AI128" s="11" t="n">
        <x:v>69611753</x:v>
      </x:c>
      <x:c r="AJ128" s="11" t="n">
        <x:v>3300710</x:v>
      </x:c>
      <x:c r="AK128" s="11" t="n">
        <x:v>124726660</x:v>
      </x:c>
      <x:c r="AL128" s="11" t="n">
        <x:v>2105241</x:v>
      </x:c>
      <x:c r="AM128" s="12" t="n">
        <x:v>0.9831211627089188</x:v>
      </x:c>
      <x:c r="AN128" s="12" t="n">
        <x:v>0.026463548370492723</x:v>
      </x:c>
      <x:c r="AO128" s="11" t="n">
        <x:v>16017760</x:v>
      </x:c>
      <x:c r="AP128" s="11" t="n">
        <x:v>15373247</x:v>
      </x:c>
      <x:c r="AQ128" s="12" t="n">
        <x:v>0.9597626010128757</x:v>
      </x:c>
      <x:c r="AR128" s="11" t="n">
        <x:v>1043.3803918123517</x:v>
      </x:c>
      <x:c r="AS128" s="11" t="n">
        <x:v>908.1490819643328</x:v>
      </x:c>
      <x:c r="AT128" s="11" t="n">
        <x:v>207.9700430466485</x:v>
      </x:c>
      <x:c r="AU128" s="11" t="n">
        <x:v>416.9887551612053</x:v>
      </x:c>
      <x:c r="AV128" s="11" t="n">
        <x:v>322.65105859615215</x:v>
      </x:c>
      <x:c r="AW128" s="11" t="n">
        <x:v>0.960043165210456</x:v>
      </x:c>
      <x:c r="AX128" s="12" t="n">
        <x:v>0.8625447524035561</x:v>
      </x:c>
      <x:c r="AY128" s="11"/>
      <x:c r="AZ128" s="11"/>
      <x:c r="BA128" s="11"/>
      <x:c r="BB128" s="11"/>
      <x:c r="BC128" s="11"/>
      <x:c r="BD128" s="11"/>
      <x:c r="BE128" s="11"/>
      <x:c r="BF128" s="11"/>
      <x:c r="BG128" s="11"/>
      <x:c r="BH128" s="11"/>
      <x:c r="BI128" s="11"/>
      <x:c r="BJ128" s="11"/>
      <x:c r="BK128" s="12"/>
      <x:c r="BL128" s="12"/>
      <x:c r="BM128" s="12"/>
      <x:c r="BN128" s="12"/>
      <x:c r="BO128" s="12"/>
      <x:c r="BP128" s="12"/>
      <x:c r="BQ128" s="12"/>
      <x:c r="BR128" s="12"/>
      <x:c r="BS128" s="12"/>
      <x:c r="BT128" s="12"/>
      <x:c r="BU128" s="11" t="n">
        <x:v>0</x:v>
      </x:c>
      <x:c r="BV128" s="11" t="n">
        <x:v>449539</x:v>
      </x:c>
      <x:c r="BW128" s="11" t="n">
        <x:v>1025530</x:v>
      </x:c>
      <x:c r="BX128" s="11" t="n">
        <x:v>235705</x:v>
      </x:c>
      <x:c r="BY128" s="11" t="n">
        <x:v>0</x:v>
      </x:c>
      <x:c r="BZ128" s="11" t="n">
        <x:v>633209</x:v>
      </x:c>
      <x:c r="CA128" s="11" t="n">
        <x:v>0</x:v>
      </x:c>
      <x:c r="CB128" s="11" t="n">
        <x:v>0</x:v>
      </x:c>
      <x:c r="CC128" s="11" t="n">
        <x:v>917398</x:v>
      </x:c>
      <x:c r="CD128" s="11" t="n">
        <x:v>2092283</x:v>
      </x:c>
      <x:c r="CE128" s="11" t="n">
        <x:v>38603</x:v>
      </x:c>
      <x:c r="CF128" s="11" t="n">
        <x:v>82168</x:v>
      </x:c>
      <x:c r="CG128" s="11" t="n">
        <x:v>353779</x:v>
      </x:c>
      <x:c r="CH128" s="11" t="n">
        <x:v>2345765</x:v>
      </x:c>
      <x:c r="CI128" s="11" t="n">
        <x:v>1229214</x:v>
      </x:c>
      <x:c r="CJ128" s="11" t="n">
        <x:v>0</x:v>
      </x:c>
      <x:c r="CK128" s="11" t="n">
        <x:v>946998</x:v>
      </x:c>
      <x:c r="CL128" s="11" t="n">
        <x:v>0</x:v>
      </x:c>
      <x:c r="CM128" s="11"/>
      <x:c r="CN128" s="11" t="n">
        <x:v>1106</x:v>
      </x:c>
      <x:c r="CO128" s="11" t="n">
        <x:v>0</x:v>
      </x:c>
      <x:c r="CP128" s="8"/>
      <x:c r="CQ128" s="8" t="str">
        <x:v>Sicamous</x:v>
      </x:c>
    </x:row>
    <x:row r="129">
      <x:c r="A129" s="8" t="str">
        <x:v>Coldstream|2020</x:v>
      </x:c>
      <x:c r="B129" s="8" t="str">
        <x:v>coldstream-d</x:v>
      </x:c>
      <x:c r="C129" s="8" t="str">
        <x:v>Coldstream</x:v>
      </x:c>
      <x:c r="D129" s="8" t="str">
        <x:v>Coldstream</x:v>
      </x:c>
      <x:c r="E129" s="8" t="str">
        <x:v>D</x:v>
      </x:c>
      <x:c r="F129" s="8" t="str">
        <x:v>NOK</x:v>
      </x:c>
      <x:c r="G129" s="9" t="n">
        <x:v>2020</x:v>
      </x:c>
      <x:c r="H129" s="10" t="n">
        <x:v>11609</x:v>
      </x:c>
      <x:c r="I129" s="8" t="str">
        <x:v>5,000 to 19,999</x:v>
      </x:c>
      <x:c r="J129" s="11" t="n">
        <x:v>14406925</x:v>
      </x:c>
      <x:c r="K129" s="11" t="n">
        <x:v>10495586</x:v>
      </x:c>
      <x:c r="L129" s="11" t="n">
        <x:v>3911339</x:v>
      </x:c>
      <x:c r="M129" s="12" t="n">
        <x:v>0.27149020349588826</x:v>
      </x:c>
      <x:c r="N129" s="11" t="n">
        <x:v>7180223</x:v>
      </x:c>
      <x:c r="O129" s="11" t="n">
        <x:v>2680283</x:v>
      </x:c>
      <x:c r="P129" s="11" t="n">
        <x:v>4160216</x:v>
      </x:c>
      <x:c r="Q129" s="11" t="n">
        <x:v>386203</x:v>
      </x:c>
      <x:c r="R129" s="11" t="n">
        <x:v>7943910</x:v>
      </x:c>
      <x:c r="S129" s="11" t="n">
        <x:v>2402774</x:v>
      </x:c>
      <x:c r="T129" s="11" t="n">
        <x:v>15033162</x:v>
      </x:c>
      <x:c r="U129" s="11" t="n">
        <x:v>11564453</x:v>
      </x:c>
      <x:c r="V129" s="11" t="n">
        <x:v>6287406</x:v>
      </x:c>
      <x:c r="W129" s="11" t="n">
        <x:v>5476889</x:v>
      </x:c>
      <x:c r="X129" s="11" t="n">
        <x:v>3672737</x:v>
      </x:c>
      <x:c r="Y129" s="11" t="n">
        <x:v>0</x:v>
      </x:c>
      <x:c r="Z129" s="11" t="n">
        <x:v>192582</x:v>
      </x:c>
      <x:c r="AA129" s="11" t="n">
        <x:v>3407636</x:v>
      </x:c>
      <x:c r="AB129" s="11" t="n">
        <x:v>148902</x:v>
      </x:c>
      <x:c r="AC129" s="11" t="n">
        <x:v>341484</x:v>
      </x:c>
      <x:c r="AD129" s="11" t="n">
        <x:v>2618500</x:v>
      </x:c>
      <x:c r="AE129" s="11" t="n">
        <x:v>2277016</x:v>
      </x:c>
      <x:c r="AF129" s="11" t="n">
        <x:v>10473998</x:v>
      </x:c>
      <x:c r="AG129" s="11" t="n">
        <x:v>108690108</x:v>
      </x:c>
      <x:c r="AH129" s="11" t="n">
        <x:v>39068686</x:v>
      </x:c>
      <x:c r="AI129" s="11" t="n">
        <x:v>69621422</x:v>
      </x:c>
      <x:c r="AJ129" s="11" t="n">
        <x:v>2463531</x:v>
      </x:c>
      <x:c r="AK129" s="11" t="n">
        <x:v>15195468</x:v>
      </x:c>
      <x:c r="AL129" s="11" t="n">
        <x:v>0</x:v>
      </x:c>
      <x:c r="AM129" s="12" t="n">
        <x:v>1</x:v>
      </x:c>
      <x:c r="AN129" s="12" t="n">
        <x:v>0.16212274607139446</x:v>
      </x:c>
      <x:c r="AO129" s="11" t="n">
        <x:v>16752712</x:v>
      </x:c>
      <x:c r="AP129" s="11" t="n">
        <x:v>16137411</x:v>
      </x:c>
      <x:c r="AQ129" s="12" t="n">
        <x:v>0.9632715586586816</x:v>
      </x:c>
      <x:c r="AR129" s="11" t="n">
        <x:v>1241.013437849944</x:v>
      </x:c>
      <x:c r="AS129" s="11" t="n">
        <x:v>904.0904470669308</x:v>
      </x:c>
      <x:c r="AT129" s="11" t="n">
        <x:v>541.5975536221897</x:v>
      </x:c>
      <x:c r="AU129" s="11" t="n">
        <x:v>471.77956757688</x:v>
      </x:c>
      <x:c r="AV129" s="11" t="n">
        <x:v>293.5339822551469</x:v>
      </x:c>
      <x:c r="AW129" s="11" t="n">
        <x:v>1.2999457907779988</x:v>
      </x:c>
      <x:c r="AX129" s="12" t="n">
        <x:v>0.8695879320221501</x:v>
      </x:c>
      <x:c r="AY129" s="11"/>
      <x:c r="AZ129" s="11"/>
      <x:c r="BA129" s="11"/>
      <x:c r="BB129" s="11"/>
      <x:c r="BC129" s="11"/>
      <x:c r="BD129" s="11"/>
      <x:c r="BE129" s="11"/>
      <x:c r="BF129" s="11"/>
      <x:c r="BG129" s="11"/>
      <x:c r="BH129" s="11"/>
      <x:c r="BI129" s="11"/>
      <x:c r="BJ129" s="11"/>
      <x:c r="BK129" s="12"/>
      <x:c r="BL129" s="12"/>
      <x:c r="BM129" s="12"/>
      <x:c r="BN129" s="12"/>
      <x:c r="BO129" s="12"/>
      <x:c r="BP129" s="12"/>
      <x:c r="BQ129" s="12"/>
      <x:c r="BR129" s="12"/>
      <x:c r="BS129" s="12"/>
      <x:c r="BT129" s="12"/>
      <x:c r="BU129" s="11" t="n">
        <x:v>0</x:v>
      </x:c>
      <x:c r="BV129" s="11" t="n">
        <x:v>3645344</x:v>
      </x:c>
      <x:c r="BW129" s="11" t="n">
        <x:v>514872</x:v>
      </x:c>
      <x:c r="BX129" s="11" t="n">
        <x:v>230203</x:v>
      </x:c>
      <x:c r="BY129" s="11" t="n">
        <x:v>0</x:v>
      </x:c>
      <x:c r="BZ129" s="11" t="n">
        <x:v>156000</x:v>
      </x:c>
      <x:c r="CA129" s="11" t="n">
        <x:v>0</x:v>
      </x:c>
      <x:c r="CB129" s="11" t="n">
        <x:v>0</x:v>
      </x:c>
      <x:c r="CC129" s="11" t="n">
        <x:v>876960</x:v>
      </x:c>
      <x:c r="CD129" s="11" t="n">
        <x:v>2171157</x:v>
      </x:c>
      <x:c r="CE129" s="11" t="n">
        <x:v>13866</x:v>
      </x:c>
      <x:c r="CF129" s="11" t="n">
        <x:v>114713</x:v>
      </x:c>
      <x:c r="CG129" s="11" t="n">
        <x:v>376456</x:v>
      </x:c>
      <x:c r="CH129" s="11" t="n">
        <x:v>2262833</x:v>
      </x:c>
      <x:c r="CI129" s="11" t="n">
        <x:v>1222417</x:v>
      </x:c>
      <x:c r="CJ129" s="11" t="n">
        <x:v>0</x:v>
      </x:c>
      <x:c r="CK129" s="11" t="n">
        <x:v>1040896</x:v>
      </x:c>
      <x:c r="CL129" s="11" t="n">
        <x:v>0</x:v>
      </x:c>
      <x:c r="CM129" s="11"/>
      <x:c r="CN129" s="11" t="n">
        <x:v>13514</x:v>
      </x:c>
      <x:c r="CO129" s="11" t="n">
        <x:v>0</x:v>
      </x:c>
      <x:c r="CP129" s="8"/>
      <x:c r="CQ129" s="8" t="str">
        <x:v>Sidney</x:v>
      </x:c>
    </x:row>
    <x:row r="130">
      <x:c r="A130" s="8" t="str">
        <x:v>Coldstream|2021</x:v>
      </x:c>
      <x:c r="B130" s="8" t="str">
        <x:v>coldstream-d</x:v>
      </x:c>
      <x:c r="C130" s="8" t="str">
        <x:v>Coldstream</x:v>
      </x:c>
      <x:c r="D130" s="8" t="str">
        <x:v>Coldstream</x:v>
      </x:c>
      <x:c r="E130" s="8" t="str">
        <x:v>D</x:v>
      </x:c>
      <x:c r="F130" s="8" t="str">
        <x:v>NOK</x:v>
      </x:c>
      <x:c r="G130" s="9" t="n">
        <x:v>2021</x:v>
      </x:c>
      <x:c r="H130" s="10" t="n">
        <x:v>11750</x:v>
      </x:c>
      <x:c r="I130" s="8" t="str">
        <x:v>5,000 to 19,999</x:v>
      </x:c>
      <x:c r="J130" s="11" t="n">
        <x:v>13752804</x:v>
      </x:c>
      <x:c r="K130" s="11" t="n">
        <x:v>11250044</x:v>
      </x:c>
      <x:c r="L130" s="11" t="n">
        <x:v>2502760</x:v>
      </x:c>
      <x:c r="M130" s="12" t="n">
        <x:v>0.18198179803914896</x:v>
      </x:c>
      <x:c r="N130" s="11" t="n">
        <x:v>7363778</x:v>
      </x:c>
      <x:c r="O130" s="11" t="n">
        <x:v>3549885</x:v>
      </x:c>
      <x:c r="P130" s="11" t="n">
        <x:v>1876288</x:v>
      </x:c>
      <x:c r="Q130" s="11" t="n">
        <x:v>962853</x:v>
      </x:c>
      <x:c r="R130" s="11" t="n">
        <x:v>8562585</x:v>
      </x:c>
      <x:c r="S130" s="11" t="n">
        <x:v>2542155</x:v>
      </x:c>
      <x:c r="T130" s="11" t="n">
        <x:v>15573191</x:v>
      </x:c>
      <x:c r="U130" s="11" t="n">
        <x:v>10827296</x:v>
      </x:c>
      <x:c r="V130" s="11" t="n">
        <x:v>7494437</x:v>
      </x:c>
      <x:c r="W130" s="11" t="n">
        <x:v>5571059</x:v>
      </x:c>
      <x:c r="X130" s="11" t="n">
        <x:v>3407636</x:v>
      </x:c>
      <x:c r="Y130" s="11" t="n">
        <x:v>0</x:v>
      </x:c>
      <x:c r="Z130" s="11" t="n">
        <x:v>192582</x:v>
      </x:c>
      <x:c r="AA130" s="11" t="n">
        <x:v>3133931</x:v>
      </x:c>
      <x:c r="AB130" s="11" t="n">
        <x:v>145304</x:v>
      </x:c>
      <x:c r="AC130" s="11" t="n">
        <x:v>337886</x:v>
      </x:c>
      <x:c r="AD130" s="11" t="n">
        <x:v>2888699</x:v>
      </x:c>
      <x:c r="AE130" s="11" t="n">
        <x:v>2550813</x:v>
      </x:c>
      <x:c r="AF130" s="11" t="n">
        <x:v>11554794</x:v>
      </x:c>
      <x:c r="AG130" s="11" t="n">
        <x:v>112538609</x:v>
      </x:c>
      <x:c r="AH130" s="11" t="n">
        <x:v>41600848</x:v>
      </x:c>
      <x:c r="AI130" s="11" t="n">
        <x:v>70937761</x:v>
      </x:c>
      <x:c r="AJ130" s="11" t="n">
        <x:v>3955918</x:v>
      </x:c>
      <x:c r="AK130" s="11" t="n">
        <x:v>15814368</x:v>
      </x:c>
      <x:c r="AL130" s="11" t="n">
        <x:v>0</x:v>
      </x:c>
      <x:c r="AM130" s="12" t="n">
        <x:v>1</x:v>
      </x:c>
      <x:c r="AN130" s="12" t="n">
        <x:v>0.25014708143885356</x:v>
      </x:c>
      <x:c r="AO130" s="11" t="n">
        <x:v>17141912</x:v>
      </x:c>
      <x:c r="AP130" s="11" t="n">
        <x:v>16716627</x:v>
      </x:c>
      <x:c r="AQ130" s="12" t="n">
        <x:v>0.9751903404941059</x:v>
      </x:c>
      <x:c r="AR130" s="11" t="n">
        <x:v>1170.4514042553192</x:v>
      </x:c>
      <x:c r="AS130" s="11" t="n">
        <x:v>957.4505531914893</x:v>
      </x:c>
      <x:c r="AT130" s="11" t="n">
        <x:v>637.8244255319149</x:v>
      </x:c>
      <x:c r="AU130" s="11" t="n">
        <x:v>474.1326808510638</x:v>
      </x:c>
      <x:c r="AV130" s="11" t="n">
        <x:v>266.71753191489364</x:v>
      </x:c>
      <x:c r="AW130" s="11" t="n">
        <x:v>1.4383268915895528</x:v>
      </x:c>
      <x:c r="AX130" s="12" t="n">
        <x:v>0.8830317731269336</x:v>
      </x:c>
      <x:c r="AY130" s="11"/>
      <x:c r="AZ130" s="11"/>
      <x:c r="BA130" s="11"/>
      <x:c r="BB130" s="11"/>
      <x:c r="BC130" s="11"/>
      <x:c r="BD130" s="11"/>
      <x:c r="BE130" s="11"/>
      <x:c r="BF130" s="11"/>
      <x:c r="BG130" s="11"/>
      <x:c r="BH130" s="11"/>
      <x:c r="BI130" s="11"/>
      <x:c r="BJ130" s="11"/>
      <x:c r="BK130" s="12"/>
      <x:c r="BL130" s="12"/>
      <x:c r="BM130" s="12"/>
      <x:c r="BN130" s="12"/>
      <x:c r="BO130" s="12"/>
      <x:c r="BP130" s="12"/>
      <x:c r="BQ130" s="12"/>
      <x:c r="BR130" s="12"/>
      <x:c r="BS130" s="12"/>
      <x:c r="BT130" s="12"/>
      <x:c r="BU130" s="11" t="n">
        <x:v>0</x:v>
      </x:c>
      <x:c r="BV130" s="11" t="n">
        <x:v>834896</x:v>
      </x:c>
      <x:c r="BW130" s="11" t="n">
        <x:v>1041392</x:v>
      </x:c>
      <x:c r="BX130" s="11" t="n">
        <x:v>278685</x:v>
      </x:c>
      <x:c r="BY130" s="11" t="n">
        <x:v>0</x:v>
      </x:c>
      <x:c r="BZ130" s="11" t="n">
        <x:v>514094</x:v>
      </x:c>
      <x:c r="CA130" s="11" t="n">
        <x:v>170074</x:v>
      </x:c>
      <x:c r="CB130" s="11" t="n">
        <x:v>0</x:v>
      </x:c>
      <x:c r="CC130" s="11" t="n">
        <x:v>895062</x:v>
      </x:c>
      <x:c r="CD130" s="11" t="n">
        <x:v>2544161</x:v>
      </x:c>
      <x:c r="CE130" s="11" t="n">
        <x:v>9319</x:v>
      </x:c>
      <x:c r="CF130" s="11" t="n">
        <x:v>123669</x:v>
      </x:c>
      <x:c r="CG130" s="11" t="n">
        <x:v>362803</x:v>
      </x:c>
      <x:c r="CH130" s="11" t="n">
        <x:v>2367998</x:v>
      </x:c>
      <x:c r="CI130" s="11" t="n">
        <x:v>1482319</x:v>
      </x:c>
      <x:c r="CJ130" s="11" t="n">
        <x:v>0</x:v>
      </x:c>
      <x:c r="CK130" s="11" t="n">
        <x:v>922558</x:v>
      </x:c>
      <x:c r="CL130" s="11" t="n">
        <x:v>0</x:v>
      </x:c>
      <x:c r="CM130" s="11"/>
      <x:c r="CN130" s="11" t="n">
        <x:v>0</x:v>
      </x:c>
      <x:c r="CO130" s="11" t="n">
        <x:v>0</x:v>
      </x:c>
      <x:c r="CP130" s="8"/>
      <x:c r="CQ130" s="8" t="str">
        <x:v>Silverton</x:v>
      </x:c>
    </x:row>
    <x:row r="131">
      <x:c r="A131" s="8" t="str">
        <x:v>Coldstream|2022</x:v>
      </x:c>
      <x:c r="B131" s="8" t="str">
        <x:v>coldstream-d</x:v>
      </x:c>
      <x:c r="C131" s="8" t="str">
        <x:v>Coldstream</x:v>
      </x:c>
      <x:c r="D131" s="8" t="str">
        <x:v>Coldstream</x:v>
      </x:c>
      <x:c r="E131" s="8" t="str">
        <x:v>D</x:v>
      </x:c>
      <x:c r="F131" s="8" t="str">
        <x:v>NOK</x:v>
      </x:c>
      <x:c r="G131" s="9" t="n">
        <x:v>2022</x:v>
      </x:c>
      <x:c r="H131" s="10" t="n">
        <x:v>11890</x:v>
      </x:c>
      <x:c r="I131" s="8" t="str">
        <x:v>5,000 to 19,999</x:v>
      </x:c>
      <x:c r="J131" s="11" t="n">
        <x:v>17515068</x:v>
      </x:c>
      <x:c r="K131" s="11" t="n">
        <x:v>11823154</x:v>
      </x:c>
      <x:c r="L131" s="11" t="n">
        <x:v>5691914</x:v>
      </x:c>
      <x:c r="M131" s="12" t="n">
        <x:v>0.32497241803457455</x:v>
      </x:c>
      <x:c r="N131" s="11" t="n">
        <x:v>7727486</x:v>
      </x:c>
      <x:c r="O131" s="11" t="n">
        <x:v>2881543</x:v>
      </x:c>
      <x:c r="P131" s="11" t="n">
        <x:v>6535069</x:v>
      </x:c>
      <x:c r="Q131" s="11" t="n">
        <x:v>370970</x:v>
      </x:c>
      <x:c r="R131" s="11" t="n">
        <x:v>9050924</x:v>
      </x:c>
      <x:c r="S131" s="11" t="n">
        <x:v>2572624</x:v>
      </x:c>
      <x:c r="T131" s="11" t="n">
        <x:v>13158434</x:v>
      </x:c>
      <x:c r="U131" s="11" t="n">
        <x:v>9585185</x:v>
      </x:c>
      <x:c r="V131" s="11" t="n">
        <x:v>6555492</x:v>
      </x:c>
      <x:c r="W131" s="11" t="n">
        <x:v>6447184</x:v>
      </x:c>
      <x:c r="X131" s="11" t="n">
        <x:v>3133931</x:v>
      </x:c>
      <x:c r="Y131" s="11" t="n">
        <x:v>700000</x:v>
      </x:c>
      <x:c r="Z131" s="11" t="n">
        <x:v>142742</x:v>
      </x:c>
      <x:c r="AA131" s="11" t="n">
        <x:v>3601220</x:v>
      </x:c>
      <x:c r="AB131" s="11" t="n">
        <x:v>199606</x:v>
      </x:c>
      <x:c r="AC131" s="11" t="n">
        <x:v>342348</x:v>
      </x:c>
      <x:c r="AD131" s="11" t="n">
        <x:v>2851461</x:v>
      </x:c>
      <x:c r="AE131" s="11" t="n">
        <x:v>1748363</x:v>
      </x:c>
      <x:c r="AF131" s="11" t="n">
        <x:v>11405845</x:v>
      </x:c>
      <x:c r="AG131" s="11" t="n">
        <x:v>121716202</x:v>
      </x:c>
      <x:c r="AH131" s="11" t="n">
        <x:v>44142457</x:v>
      </x:c>
      <x:c r="AI131" s="11" t="n">
        <x:v>77573745</x:v>
      </x:c>
      <x:c r="AJ131" s="11" t="n">
        <x:v>9244246</x:v>
      </x:c>
      <x:c r="AK131" s="11" t="n">
        <x:v>23255090</x:v>
      </x:c>
      <x:c r="AL131" s="11" t="n">
        <x:v>0</x:v>
      </x:c>
      <x:c r="AM131" s="12" t="n">
        <x:v>1</x:v>
      </x:c>
      <x:c r="AN131" s="12" t="n">
        <x:v>0.3975149526404757</x:v>
      </x:c>
      <x:c r="AO131" s="11" t="n">
        <x:v>17966927</x:v>
      </x:c>
      <x:c r="AP131" s="11" t="n">
        <x:v>17302058</x:v>
      </x:c>
      <x:c r="AQ131" s="12" t="n">
        <x:v>0.962994840464371</x:v>
      </x:c>
      <x:c r="AR131" s="11" t="n">
        <x:v>1473.092346509672</x:v>
      </x:c>
      <x:c r="AS131" s="11" t="n">
        <x:v>994.3779646761985</x:v>
      </x:c>
      <x:c r="AT131" s="11" t="n">
        <x:v>551.3449957947855</x:v>
      </x:c>
      <x:c r="AU131" s="11" t="n">
        <x:v>542.2358284272498</x:v>
      </x:c>
      <x:c r="AV131" s="11" t="n">
        <x:v>302.8780487804878</x:v>
      </x:c>
      <x:c r="AW131" s="11" t="n">
        <x:v>1.3727887359503232</x:v>
      </x:c>
      <x:c r="AX131" s="12" t="n">
        <x:v>0.613146383555658</x:v>
      </x:c>
      <x:c r="AY131" s="11"/>
      <x:c r="AZ131" s="11"/>
      <x:c r="BA131" s="11"/>
      <x:c r="BB131" s="11"/>
      <x:c r="BC131" s="11"/>
      <x:c r="BD131" s="11"/>
      <x:c r="BE131" s="11"/>
      <x:c r="BF131" s="11"/>
      <x:c r="BG131" s="11"/>
      <x:c r="BH131" s="11"/>
      <x:c r="BI131" s="11"/>
      <x:c r="BJ131" s="11"/>
      <x:c r="BK131" s="12"/>
      <x:c r="BL131" s="12"/>
      <x:c r="BM131" s="12"/>
      <x:c r="BN131" s="12"/>
      <x:c r="BO131" s="12"/>
      <x:c r="BP131" s="12"/>
      <x:c r="BQ131" s="12"/>
      <x:c r="BR131" s="12"/>
      <x:c r="BS131" s="12"/>
      <x:c r="BT131" s="12"/>
      <x:c r="BU131" s="11" t="n">
        <x:v>2344486</x:v>
      </x:c>
      <x:c r="BV131" s="11" t="n">
        <x:v>3653402</x:v>
      </x:c>
      <x:c r="BW131" s="11" t="n">
        <x:v>537181</x:v>
      </x:c>
      <x:c r="BX131" s="11" t="n">
        <x:v>370970</x:v>
      </x:c>
      <x:c r="BY131" s="11" t="n">
        <x:v>0</x:v>
      </x:c>
      <x:c r="BZ131" s="11" t="n">
        <x:v>0</x:v>
      </x:c>
      <x:c r="CA131" s="11" t="n">
        <x:v>0</x:v>
      </x:c>
      <x:c r="CB131" s="11" t="n">
        <x:v>0</x:v>
      </x:c>
      <x:c r="CC131" s="11" t="n">
        <x:v>835426</x:v>
      </x:c>
      <x:c r="CD131" s="11" t="n">
        <x:v>2761279</x:v>
      </x:c>
      <x:c r="CE131" s="11" t="n">
        <x:v>25171</x:v>
      </x:c>
      <x:c r="CF131" s="11" t="n">
        <x:v>99873</x:v>
      </x:c>
      <x:c r="CG131" s="11" t="n">
        <x:v>398155</x:v>
      </x:c>
      <x:c r="CH131" s="11" t="n">
        <x:v>2730133</x:v>
      </x:c>
      <x:c r="CI131" s="11" t="n">
        <x:v>1446100</x:v>
      </x:c>
      <x:c r="CJ131" s="11" t="n">
        <x:v>0</x:v>
      </x:c>
      <x:c r="CK131" s="11" t="n">
        <x:v>952754</x:v>
      </x:c>
      <x:c r="CL131" s="11" t="n">
        <x:v>0</x:v>
      </x:c>
      <x:c r="CM131" s="11"/>
      <x:c r="CN131" s="11" t="n">
        <x:v>1639</x:v>
      </x:c>
      <x:c r="CO131" s="11" t="n">
        <x:v>0</x:v>
      </x:c>
      <x:c r="CP131" s="8"/>
      <x:c r="CQ131" s="8" t="str">
        <x:v>Slocan</x:v>
      </x:c>
    </x:row>
    <x:row r="132">
      <x:c r="A132" s="8" t="str">
        <x:v>Coldstream|2023</x:v>
      </x:c>
      <x:c r="B132" s="8" t="str">
        <x:v>coldstream-d</x:v>
      </x:c>
      <x:c r="C132" s="8" t="str">
        <x:v>Coldstream</x:v>
      </x:c>
      <x:c r="D132" s="8" t="str">
        <x:v>Coldstream</x:v>
      </x:c>
      <x:c r="E132" s="8" t="str">
        <x:v>D</x:v>
      </x:c>
      <x:c r="F132" s="8" t="str">
        <x:v>NOK</x:v>
      </x:c>
      <x:c r="G132" s="9" t="n">
        <x:v>2023</x:v>
      </x:c>
      <x:c r="H132" s="10" t="n">
        <x:v>12306</x:v>
      </x:c>
      <x:c r="I132" s="8" t="str">
        <x:v>5,000 to 19,999</x:v>
      </x:c>
      <x:c r="J132" s="11" t="n">
        <x:v>18586298</x:v>
      </x:c>
      <x:c r="K132" s="11" t="n">
        <x:v>13282032</x:v>
      </x:c>
      <x:c r="L132" s="11" t="n">
        <x:v>5304266</x:v>
      </x:c>
      <x:c r="M132" s="12" t="n">
        <x:v>0.28538582562272485</x:v>
      </x:c>
      <x:c r="N132" s="11" t="n">
        <x:v>8476224</x:v>
      </x:c>
      <x:c r="O132" s="11" t="n">
        <x:v>3476650</x:v>
      </x:c>
      <x:c r="P132" s="11" t="n">
        <x:v>5615640</x:v>
      </x:c>
      <x:c r="Q132" s="11" t="n">
        <x:v>1017784</x:v>
      </x:c>
      <x:c r="R132" s="11" t="n">
        <x:v>10221879</x:v>
      </x:c>
      <x:c r="S132" s="11" t="n">
        <x:v>2813412</x:v>
      </x:c>
      <x:c r="T132" s="11" t="n">
        <x:v>15610350</x:v>
      </x:c>
      <x:c r="U132" s="11" t="n">
        <x:v>10331077</x:v>
      </x:c>
      <x:c r="V132" s="11" t="n">
        <x:v>8542491</x:v>
      </x:c>
      <x:c r="W132" s="11" t="n">
        <x:v>8152454</x:v>
      </x:c>
      <x:c r="X132" s="11" t="n">
        <x:v>3601220</x:v>
      </x:c>
      <x:c r="Y132" s="11" t="n">
        <x:v>0</x:v>
      </x:c>
      <x:c r="Z132" s="11" t="n">
        <x:v>206083</x:v>
      </x:c>
      <x:c r="AA132" s="11" t="n">
        <x:v>3320488</x:v>
      </x:c>
      <x:c r="AB132" s="11" t="n">
        <x:v>246741</x:v>
      </x:c>
      <x:c r="AC132" s="11" t="n">
        <x:v>452824</x:v>
      </x:c>
      <x:c r="AD132" s="11" t="n">
        <x:v>3224408</x:v>
      </x:c>
      <x:c r="AE132" s="11" t="n">
        <x:v>1990434</x:v>
      </x:c>
      <x:c r="AF132" s="11" t="n">
        <x:v>12897632</x:v>
      </x:c>
      <x:c r="AG132" s="11" t="n">
        <x:v>127816652</x:v>
      </x:c>
      <x:c r="AH132" s="11" t="n">
        <x:v>46959813</x:v>
      </x:c>
      <x:c r="AI132" s="11" t="n">
        <x:v>80856839</x:v>
      </x:c>
      <x:c r="AJ132" s="11" t="n">
        <x:v>6362975</x:v>
      </x:c>
      <x:c r="AK132" s="11" t="n">
        <x:v>15495529</x:v>
      </x:c>
      <x:c r="AL132" s="11" t="n">
        <x:v>0</x:v>
      </x:c>
      <x:c r="AM132" s="12" t="n">
        <x:v>1</x:v>
      </x:c>
      <x:c r="AN132" s="12" t="n">
        <x:v>0.4106329638697717</x:v>
      </x:c>
      <x:c r="AO132" s="11" t="n">
        <x:v>19151711</x:v>
      </x:c>
      <x:c r="AP132" s="11" t="n">
        <x:v>18588522</x:v>
      </x:c>
      <x:c r="AQ132" s="12" t="n">
        <x:v>0.9705932801513139</x:v>
      </x:c>
      <x:c r="AR132" s="11" t="n">
        <x:v>1510.3443848529173</x:v>
      </x:c>
      <x:c r="AS132" s="11" t="n">
        <x:v>1079.313505607021</x:v>
      </x:c>
      <x:c r="AT132" s="11" t="n">
        <x:v>694.1728425158459</x:v>
      </x:c>
      <x:c r="AU132" s="11" t="n">
        <x:v>662.4779782220055</x:v>
      </x:c>
      <x:c r="AV132" s="11" t="n">
        <x:v>269.826751178287</x:v>
      </x:c>
      <x:c r="AW132" s="11" t="n">
        <x:v>1.5110089683776435</x:v>
      </x:c>
      <x:c r="AX132" s="12" t="n">
        <x:v>0.6173021528292946</x:v>
      </x:c>
      <x:c r="AY132" s="11"/>
      <x:c r="AZ132" s="11"/>
      <x:c r="BA132" s="11"/>
      <x:c r="BB132" s="11"/>
      <x:c r="BC132" s="11"/>
      <x:c r="BD132" s="11"/>
      <x:c r="BE132" s="11"/>
      <x:c r="BF132" s="11"/>
      <x:c r="BG132" s="11"/>
      <x:c r="BH132" s="11"/>
      <x:c r="BI132" s="11"/>
      <x:c r="BJ132" s="11"/>
      <x:c r="BK132" s="12"/>
      <x:c r="BL132" s="12"/>
      <x:c r="BM132" s="12"/>
      <x:c r="BN132" s="12"/>
      <x:c r="BO132" s="12"/>
      <x:c r="BP132" s="12"/>
      <x:c r="BQ132" s="12"/>
      <x:c r="BR132" s="12"/>
      <x:c r="BS132" s="12"/>
      <x:c r="BT132" s="12"/>
      <x:c r="BU132" s="11" t="n">
        <x:v>607850</x:v>
      </x:c>
      <x:c r="BV132" s="11" t="n">
        <x:v>4996902</x:v>
      </x:c>
      <x:c r="BW132" s="11" t="n">
        <x:v>10888</x:v>
      </x:c>
      <x:c r="BX132" s="11" t="n">
        <x:v>614407</x:v>
      </x:c>
      <x:c r="BY132" s="11" t="n">
        <x:v>0</x:v>
      </x:c>
      <x:c r="BZ132" s="11" t="n">
        <x:v>384632</x:v>
      </x:c>
      <x:c r="CA132" s="11" t="n">
        <x:v>18745</x:v>
      </x:c>
      <x:c r="CB132" s="11" t="n">
        <x:v>0</x:v>
      </x:c>
      <x:c r="CC132" s="11" t="n">
        <x:v>1259460</x:v>
      </x:c>
      <x:c r="CD132" s="11" t="n">
        <x:v>2903278</x:v>
      </x:c>
      <x:c r="CE132" s="11" t="n">
        <x:v>38737</x:v>
      </x:c>
      <x:c r="CF132" s="11" t="n">
        <x:v>106177</x:v>
      </x:c>
      <x:c r="CG132" s="11" t="n">
        <x:v>396866</x:v>
      </x:c>
      <x:c r="CH132" s="11" t="n">
        <x:v>2626122</x:v>
      </x:c>
      <x:c r="CI132" s="11" t="n">
        <x:v>1782721</x:v>
      </x:c>
      <x:c r="CJ132" s="11" t="n">
        <x:v>0</x:v>
      </x:c>
      <x:c r="CK132" s="11" t="n">
        <x:v>1088791</x:v>
      </x:c>
      <x:c r="CL132" s="11" t="n">
        <x:v>0</x:v>
      </x:c>
      <x:c r="CM132" s="11" t="n">
        <x:v>0</x:v>
      </x:c>
      <x:c r="CN132" s="11" t="n">
        <x:v>266468</x:v>
      </x:c>
      <x:c r="CO132" s="11" t="n">
        <x:v>0</x:v>
      </x:c>
      <x:c r="CP132" s="8"/>
      <x:c r="CQ132" s="8" t="str">
        <x:v>Smithers</x:v>
      </x:c>
    </x:row>
    <x:row r="133">
      <x:c r="A133" s="8" t="str">
        <x:v>Coldstream|2024</x:v>
      </x:c>
      <x:c r="B133" s="8" t="str">
        <x:v>coldstream-d</x:v>
      </x:c>
      <x:c r="C133" s="8" t="str">
        <x:v>Coldstream</x:v>
      </x:c>
      <x:c r="D133" s="8" t="str">
        <x:v>Coldstream</x:v>
      </x:c>
      <x:c r="E133" s="8" t="str">
        <x:v>D</x:v>
      </x:c>
      <x:c r="F133" s="8" t="str">
        <x:v>NOK</x:v>
      </x:c>
      <x:c r="G133" s="9" t="n">
        <x:v>2024</x:v>
      </x:c>
      <x:c r="H133" s="10" t="n">
        <x:v>12306</x:v>
      </x:c>
      <x:c r="I133" s="8" t="str">
        <x:v>5,000 to 19,999</x:v>
      </x:c>
      <x:c r="J133" s="11" t="n">
        <x:v>14894736</x:v>
      </x:c>
      <x:c r="K133" s="11" t="n">
        <x:v>14196539</x:v>
      </x:c>
      <x:c r="L133" s="11" t="n">
        <x:v>698197</x:v>
      </x:c>
      <x:c r="M133" s="12" t="n">
        <x:v>0.04687541961133115</x:v>
      </x:c>
      <x:c r="N133" s="11" t="n">
        <x:v>9350203</x:v>
      </x:c>
      <x:c r="O133" s="11" t="n">
        <x:v>3110490</x:v>
      </x:c>
      <x:c r="P133" s="11" t="n">
        <x:v>1897686</x:v>
      </x:c>
      <x:c r="Q133" s="11" t="n">
        <x:v>536357</x:v>
      </x:c>
      <x:c r="R133" s="11" t="n">
        <x:v>10569530</x:v>
      </x:c>
      <x:c r="S133" s="11" t="n">
        <x:v>3307311</x:v>
      </x:c>
      <x:c r="T133" s="11" t="n">
        <x:v>13188856</x:v>
      </x:c>
      <x:c r="U133" s="11" t="n">
        <x:v>19619588</x:v>
      </x:c>
      <x:c r="V133" s="11" t="n">
        <x:v>-2099954</x:v>
      </x:c>
      <x:c r="W133" s="11" t="n">
        <x:v>7195102</x:v>
      </x:c>
      <x:c r="X133" s="11" t="n">
        <x:v>3320488</x:v>
      </x:c>
      <x:c r="Y133" s="11" t="n">
        <x:v>8500000</x:v>
      </x:c>
      <x:c r="Z133" s="11" t="n">
        <x:v>206083</x:v>
      </x:c>
      <x:c r="AA133" s="11" t="n">
        <x:v>11531460</x:v>
      </x:c>
      <x:c r="AB133" s="11" t="n">
        <x:v>319698</x:v>
      </x:c>
      <x:c r="AC133" s="11" t="n">
        <x:v>525781</x:v>
      </x:c>
      <x:c r="AD133" s="11" t="n">
        <x:v>3338651</x:v>
      </x:c>
      <x:c r="AE133" s="11" t="n">
        <x:v>2038520</x:v>
      </x:c>
      <x:c r="AF133" s="11" t="n">
        <x:v>13354605</x:v>
      </x:c>
      <x:c r="AG133" s="11" t="n">
        <x:v>141968860</x:v>
      </x:c>
      <x:c r="AH133" s="11" t="n">
        <x:v>49697903</x:v>
      </x:c>
      <x:c r="AI133" s="11" t="n">
        <x:v>92270957</x:v>
      </x:c>
      <x:c r="AJ133" s="11" t="n">
        <x:v>14756633</x:v>
      </x:c>
      <x:c r="AK133" s="11" t="n">
        <x:v>319232754</x:v>
      </x:c>
      <x:c r="AL133" s="11" t="n">
        <x:v>8868972</x:v>
      </x:c>
      <x:c r="AM133" s="12" t="n">
        <x:v>0.9722178508036178</x:v>
      </x:c>
      <x:c r="AN133" s="12" t="n">
        <x:v>0.04622530995049462</x:v>
      </x:c>
      <x:c r="AO133" s="11" t="n">
        <x:v>20969516</x:v>
      </x:c>
      <x:c r="AP133" s="11" t="n">
        <x:v>20407645</x:v>
      </x:c>
      <x:c r="AQ133" s="12" t="n">
        <x:v>0.9732053424599786</x:v>
      </x:c>
      <x:c r="AR133" s="11" t="n">
        <x:v>1210.3637250121892</x:v>
      </x:c>
      <x:c r="AS133" s="11" t="n">
        <x:v>1153.627417519909</x:v>
      </x:c>
      <x:c r="AT133" s="11" t="n">
        <x:v>-170.6447261498456</x:v>
      </x:c>
      <x:c r="AU133" s="11" t="n">
        <x:v>584.6824313343085</x:v>
      </x:c>
      <x:c r="AV133" s="11" t="n">
        <x:v>937.0599707459776</x:v>
      </x:c>
      <x:c r="AW133" s="11" t="n">
        <x:v>0.6722289988964091</x:v>
      </x:c>
      <x:c r="AX133" s="12" t="n">
        <x:v>0.6105819386332983</x:v>
      </x:c>
      <x:c r="AY133" s="11" t="n">
        <x:v>2567.538946805667</x:v>
      </x:c>
      <x:c r="AZ133" s="11" t="n">
        <x:v>3546.5079302077975</x:v>
      </x:c>
      <x:c r="BA133" s="11" t="n">
        <x:v>2045.0195609464422</x:v>
      </x:c>
      <x:c r="BB133" s="11" t="n">
        <x:v>2783.665107049771</x:v>
      </x:c>
      <x:c r="BC133" s="11" t="n">
        <x:v>2217.25520024837</x:v>
      </x:c>
      <x:c r="BD133" s="11" t="n">
        <x:v>2437.8724475115623</x:v>
      </x:c>
      <x:c r="BE133" s="11" t="n">
        <x:v>799.2304887641933</x:v>
      </x:c>
      <x:c r="BF133" s="11" t="n">
        <x:v>1604.3462673977224</x:v>
      </x:c>
      <x:c r="BG133" s="11" t="n">
        <x:v>386.9249167164944</x:v>
      </x:c>
      <x:c r="BH133" s="11" t="n">
        <x:v>518.5374381567245</x:v>
      </x:c>
      <x:c r="BI133" s="11" t="n">
        <x:v>1.5629948984418691</x:v>
      </x:c>
      <x:c r="BJ133" s="11" t="n">
        <x:v>1.7099330852451193</x:v>
      </x:c>
      <x:c r="BK133" s="12" t="n">
        <x:v>0.04472396775938227</x:v>
      </x:c>
      <x:c r="BL133" s="12" t="n">
        <x:v>0.02529861000232605</x:v>
      </x:c>
      <x:c r="BM133" s="12" t="n">
        <x:v>0.9792813777328785</x:v>
      </x:c>
      <x:c r="BN133" s="12" t="n">
        <x:v>0.9815511712696461</x:v>
      </x:c>
      <x:c r="BO133" s="12" t="n">
        <x:v>0.8510570773833829</x:v>
      </x:c>
      <x:c r="BP133" s="12" t="n">
        <x:v>0.8619101997275483</x:v>
      </x:c>
      <x:c r="BQ133" s="12" t="n">
        <x:v>0.9732053424599786</x:v>
      </x:c>
      <x:c r="BR133" s="12" t="n">
        <x:v>0.9623635142836453</x:v>
      </x:c>
      <x:c r="BS133" s="12" t="n">
        <x:v>0.170495619408603</x:v>
      </x:c>
      <x:c r="BT133" s="12" t="n">
        <x:v>0.19976549769108282</x:v>
      </x:c>
      <x:c r="BU133" s="11" t="n">
        <x:v>669070</x:v>
      </x:c>
      <x:c r="BV133" s="11" t="n">
        <x:v>1077519</x:v>
      </x:c>
      <x:c r="BW133" s="11" t="n">
        <x:v>151097</x:v>
      </x:c>
      <x:c r="BX133" s="11" t="n">
        <x:v>536357</x:v>
      </x:c>
      <x:c r="BY133" s="11" t="n">
        <x:v>0</x:v>
      </x:c>
      <x:c r="BZ133" s="11" t="n">
        <x:v>0</x:v>
      </x:c>
      <x:c r="CA133" s="11" t="n">
        <x:v>0</x:v>
      </x:c>
      <x:c r="CB133" s="11" t="n">
        <x:v>0</x:v>
      </x:c>
      <x:c r="CC133" s="11" t="n">
        <x:v>1017133</x:v>
      </x:c>
      <x:c r="CD133" s="11" t="n">
        <x:v>3158624</x:v>
      </x:c>
      <x:c r="CE133" s="11" t="n">
        <x:v>12982</x:v>
      </x:c>
      <x:c r="CF133" s="11" t="n">
        <x:v>100625</x:v>
      </x:c>
      <x:c r="CG133" s="11" t="n">
        <x:v>470901</x:v>
      </x:c>
      <x:c r="CH133" s="11" t="n">
        <x:v>2920426</x:v>
      </x:c>
      <x:c r="CI133" s="11" t="n">
        <x:v>1902063</x:v>
      </x:c>
      <x:c r="CJ133" s="11" t="n">
        <x:v>0</x:v>
      </x:c>
      <x:c r="CK133" s="11" t="n">
        <x:v>1279654</x:v>
      </x:c>
      <x:c r="CL133" s="11" t="n">
        <x:v>12016</x:v>
      </x:c>
      <x:c r="CM133" s="11" t="n">
        <x:v>0</x:v>
      </x:c>
      <x:c r="CN133" s="11" t="n">
        <x:v>14804</x:v>
      </x:c>
      <x:c r="CO133" s="11" t="n">
        <x:v>0</x:v>
      </x:c>
      <x:c r="CP133" s="8"/>
      <x:c r="CQ133" s="8" t="str">
        <x:v>Sooke</x:v>
      </x:c>
    </x:row>
    <x:row r="134">
      <x:c r="A134" s="8" t="str">
        <x:v>Colwood|2019</x:v>
      </x:c>
      <x:c r="B134" s="8" t="str">
        <x:v>colwood-c</x:v>
      </x:c>
      <x:c r="C134" s="8" t="str">
        <x:v>Colwood</x:v>
      </x:c>
      <x:c r="D134" s="8" t="str">
        <x:v>Colwood</x:v>
      </x:c>
      <x:c r="E134" s="8" t="str">
        <x:v>C</x:v>
      </x:c>
      <x:c r="F134" s="8" t="str">
        <x:v>CAP</x:v>
      </x:c>
      <x:c r="G134" s="9" t="n">
        <x:v>2019</x:v>
      </x:c>
      <x:c r="H134" s="10" t="n">
        <x:v>18867</x:v>
      </x:c>
      <x:c r="I134" s="8" t="str">
        <x:v>5,000 to 19,999</x:v>
      </x:c>
      <x:c r="J134" s="11" t="n">
        <x:v>28678528</x:v>
      </x:c>
      <x:c r="K134" s="11" t="n">
        <x:v>22617143</x:v>
      </x:c>
      <x:c r="L134" s="11" t="n">
        <x:v>6061385</x:v>
      </x:c>
      <x:c r="M134" s="12" t="n">
        <x:v>0.2113562104721693</x:v>
      </x:c>
      <x:c r="N134" s="11" t="n">
        <x:v>17456736</x:v>
      </x:c>
      <x:c r="O134" s="11" t="n">
        <x:v>4133728</x:v>
      </x:c>
      <x:c r="P134" s="11" t="n">
        <x:v>929869</x:v>
      </x:c>
      <x:c r="Q134" s="11" t="n">
        <x:v>6158195</x:v>
      </x:c>
      <x:c r="R134" s="11" t="n">
        <x:v>19418655</x:v>
      </x:c>
      <x:c r="S134" s="11" t="n">
        <x:v>2710947</x:v>
      </x:c>
      <x:c r="T134" s="11" t="n">
        <x:v>44803933</x:v>
      </x:c>
      <x:c r="U134" s="11" t="n">
        <x:v>35568639</x:v>
      </x:c>
      <x:c r="V134" s="11" t="n">
        <x:v>10560338</x:v>
      </x:c>
      <x:c r="W134" s="11" t="n">
        <x:v>14446025</x:v>
      </x:c>
      <x:c r="X134" s="11" t="n">
        <x:v>11549534</x:v>
      </x:c>
      <x:c r="Y134" s="11" t="n">
        <x:v>0</x:v>
      </x:c>
      <x:c r="Z134" s="11" t="n">
        <x:v>692080</x:v>
      </x:c>
      <x:c r="AA134" s="11" t="n">
        <x:v>10688049</x:v>
      </x:c>
      <x:c r="AB134" s="11" t="n">
        <x:v>487541</x:v>
      </x:c>
      <x:c r="AC134" s="11" t="n">
        <x:v>1179621</x:v>
      </x:c>
      <x:c r="AD134" s="11" t="n">
        <x:v>5864578</x:v>
      </x:c>
      <x:c r="AE134" s="11" t="n">
        <x:v>4684957</x:v>
      </x:c>
      <x:c r="AF134" s="11" t="n">
        <x:v>23458312</x:v>
      </x:c>
      <x:c r="AG134" s="11" t="n">
        <x:v>208733618</x:v>
      </x:c>
      <x:c r="AH134" s="11" t="n">
        <x:v>60342300</x:v>
      </x:c>
      <x:c r="AI134" s="11" t="n">
        <x:v>148391318</x:v>
      </x:c>
      <x:c r="AJ134" s="11" t="n">
        <x:v>5589392</x:v>
      </x:c>
      <x:c r="AK134" s="11" t="n">
        <x:v>60147667</x:v>
      </x:c>
      <x:c r="AL134" s="11" t="n">
        <x:v>0</x:v>
      </x:c>
      <x:c r="AM134" s="12" t="n">
        <x:v>1</x:v>
      </x:c>
      <x:c r="AN134" s="12" t="n">
        <x:v>0.09292782710923767</x:v>
      </x:c>
      <x:c r="AO134" s="11" t="n">
        <x:v>27310374</x:v>
      </x:c>
      <x:c r="AP134" s="11" t="n">
        <x:v>26839784</x:v>
      </x:c>
      <x:c r="AQ134" s="12" t="n">
        <x:v>0.9827688189110848</x:v>
      </x:c>
      <x:c r="AR134" s="11" t="n">
        <x:v>1520.0364657868236</x:v>
      </x:c>
      <x:c r="AS134" s="11" t="n">
        <x:v>1198.7673185986114</x:v>
      </x:c>
      <x:c r="AT134" s="11" t="n">
        <x:v>559.7253405416866</x:v>
      </x:c>
      <x:c r="AU134" s="11" t="n">
        <x:v>765.6768431653151</x:v>
      </x:c>
      <x:c r="AV134" s="11" t="n">
        <x:v>566.4943552234059</x:v>
      </x:c>
      <x:c r="AW134" s="11" t="n">
        <x:v>1.2596471009194363</x:v>
      </x:c>
      <x:c r="AX134" s="12" t="n">
        <x:v>0.798856627024144</x:v>
      </x:c>
      <x:c r="AY134" s="11"/>
      <x:c r="AZ134" s="11"/>
      <x:c r="BA134" s="11"/>
      <x:c r="BB134" s="11"/>
      <x:c r="BC134" s="11"/>
      <x:c r="BD134" s="11"/>
      <x:c r="BE134" s="11"/>
      <x:c r="BF134" s="11"/>
      <x:c r="BG134" s="11"/>
      <x:c r="BH134" s="11"/>
      <x:c r="BI134" s="11"/>
      <x:c r="BJ134" s="11"/>
      <x:c r="BK134" s="12"/>
      <x:c r="BL134" s="12"/>
      <x:c r="BM134" s="12"/>
      <x:c r="BN134" s="12"/>
      <x:c r="BO134" s="12"/>
      <x:c r="BP134" s="12"/>
      <x:c r="BQ134" s="12"/>
      <x:c r="BR134" s="12"/>
      <x:c r="BS134" s="12"/>
      <x:c r="BT134" s="12"/>
      <x:c r="BU134" s="11" t="n">
        <x:v>0</x:v>
      </x:c>
      <x:c r="BV134" s="11" t="n">
        <x:v>359377</x:v>
      </x:c>
      <x:c r="BW134" s="11" t="n">
        <x:v>570492</x:v>
      </x:c>
      <x:c r="BX134" s="11" t="n">
        <x:v>764365</x:v>
      </x:c>
      <x:c r="BY134" s="11" t="n">
        <x:v>0</x:v>
      </x:c>
      <x:c r="BZ134" s="11" t="n">
        <x:v>5056790</x:v>
      </x:c>
      <x:c r="CA134" s="11" t="n">
        <x:v>-156856</x:v>
      </x:c>
      <x:c r="CB134" s="11" t="n">
        <x:v>493896</x:v>
      </x:c>
      <x:c r="CC134" s="11" t="n">
        <x:v>3899591</x:v>
      </x:c>
      <x:c r="CD134" s="11" t="n">
        <x:v>6489887</x:v>
      </x:c>
      <x:c r="CE134" s="11" t="n">
        <x:v>260051</x:v>
      </x:c>
      <x:c r="CF134" s="11" t="n">
        <x:v>0</x:v>
      </x:c>
      <x:c r="CG134" s="11" t="n">
        <x:v>1507893</x:v>
      </x:c>
      <x:c r="CH134" s="11" t="n">
        <x:v>2516307</x:v>
      </x:c>
      <x:c r="CI134" s="11" t="n">
        <x:v>4399742</x:v>
      </x:c>
      <x:c r="CJ134" s="11" t="n">
        <x:v>0</x:v>
      </x:c>
      <x:c r="CK134" s="11" t="n">
        <x:v>832725</x:v>
      </x:c>
      <x:c r="CL134" s="11" t="n">
        <x:v>0</x:v>
      </x:c>
      <x:c r="CM134" s="11"/>
      <x:c r="CN134" s="11" t="n">
        <x:v>0</x:v>
      </x:c>
      <x:c r="CO134" s="11" t="n">
        <x:v>0</x:v>
      </x:c>
      <x:c r="CP134" s="8"/>
      <x:c r="CQ134" s="8" t="str">
        <x:v>Spallumcheen</x:v>
      </x:c>
    </x:row>
    <x:row r="135">
      <x:c r="A135" s="8" t="str">
        <x:v>Colwood|2020</x:v>
      </x:c>
      <x:c r="B135" s="8" t="str">
        <x:v>colwood-c</x:v>
      </x:c>
      <x:c r="C135" s="8" t="str">
        <x:v>Colwood</x:v>
      </x:c>
      <x:c r="D135" s="8" t="str">
        <x:v>Colwood</x:v>
      </x:c>
      <x:c r="E135" s="8" t="str">
        <x:v>C</x:v>
      </x:c>
      <x:c r="F135" s="8" t="str">
        <x:v>CAP</x:v>
      </x:c>
      <x:c r="G135" s="9" t="n">
        <x:v>2020</x:v>
      </x:c>
      <x:c r="H135" s="10" t="n">
        <x:v>19373</x:v>
      </x:c>
      <x:c r="I135" s="8" t="str">
        <x:v>5,000 to 19,999</x:v>
      </x:c>
      <x:c r="J135" s="11" t="n">
        <x:v>32018052</x:v>
      </x:c>
      <x:c r="K135" s="11" t="n">
        <x:v>22957667</x:v>
      </x:c>
      <x:c r="L135" s="11" t="n">
        <x:v>9060385</x:v>
      </x:c>
      <x:c r="M135" s="12" t="n">
        <x:v>0.2829773966261283</x:v>
      </x:c>
      <x:c r="N135" s="11" t="n">
        <x:v>18713920</x:v>
      </x:c>
      <x:c r="O135" s="11" t="n">
        <x:v>3450881</x:v>
      </x:c>
      <x:c r="P135" s="11" t="n">
        <x:v>5406297</x:v>
      </x:c>
      <x:c r="Q135" s="11" t="n">
        <x:v>4446954</x:v>
      </x:c>
      <x:c r="R135" s="11" t="n">
        <x:v>19467045</x:v>
      </x:c>
      <x:c r="S135" s="11" t="n">
        <x:v>3116830</x:v>
      </x:c>
      <x:c r="T135" s="11" t="n">
        <x:v>54672780</x:v>
      </x:c>
      <x:c r="U135" s="11" t="n">
        <x:v>34874733</x:v>
      </x:c>
      <x:c r="V135" s="11" t="n">
        <x:v>21973421</x:v>
      </x:c>
      <x:c r="W135" s="11" t="n">
        <x:v>16597466</x:v>
      </x:c>
      <x:c r="X135" s="11" t="n">
        <x:v>10688049</x:v>
      </x:c>
      <x:c r="Y135" s="11" t="n">
        <x:v>0</x:v>
      </x:c>
      <x:c r="Z135" s="11" t="n">
        <x:v>652712</x:v>
      </x:c>
      <x:c r="AA135" s="11" t="n">
        <x:v>9850065</x:v>
      </x:c>
      <x:c r="AB135" s="11" t="n">
        <x:v>373792</x:v>
      </x:c>
      <x:c r="AC135" s="11" t="n">
        <x:v>1026504</x:v>
      </x:c>
      <x:c r="AD135" s="11" t="n">
        <x:v>5777440</x:v>
      </x:c>
      <x:c r="AE135" s="11" t="n">
        <x:v>4750936</x:v>
      </x:c>
      <x:c r="AF135" s="11" t="n">
        <x:v>23109761</x:v>
      </x:c>
      <x:c r="AG135" s="11" t="n">
        <x:v>214645596</x:v>
      </x:c>
      <x:c r="AH135" s="11" t="n">
        <x:v>66665172</x:v>
      </x:c>
      <x:c r="AI135" s="11" t="n">
        <x:v>151347955</x:v>
      </x:c>
      <x:c r="AJ135" s="11" t="n">
        <x:v>6956370</x:v>
      </x:c>
      <x:c r="AK135" s="11" t="n">
        <x:v>60218902</x:v>
      </x:c>
      <x:c r="AL135" s="11" t="n">
        <x:v>0</x:v>
      </x:c>
      <x:c r="AM135" s="12" t="n">
        <x:v>1</x:v>
      </x:c>
      <x:c r="AN135" s="12" t="n">
        <x:v>0.11551804780498987</x:v>
      </x:c>
      <x:c r="AO135" s="11" t="n">
        <x:v>28487696</x:v>
      </x:c>
      <x:c r="AP135" s="11" t="n">
        <x:v>27276346</x:v>
      </x:c>
      <x:c r="AQ135" s="12" t="n">
        <x:v>0.9574781337177988</x:v>
      </x:c>
      <x:c r="AR135" s="11" t="n">
        <x:v>1652.7152222164868</x:v>
      </x:c>
      <x:c r="AS135" s="11" t="n">
        <x:v>1185.0341712692923</x:v>
      </x:c>
      <x:c r="AT135" s="11" t="n">
        <x:v>1134.2291333298922</x:v>
      </x:c>
      <x:c r="AU135" s="11" t="n">
        <x:v>856.731843287049</x:v>
      </x:c>
      <x:c r="AV135" s="11" t="n">
        <x:v>508.4429360450111</x:v>
      </x:c>
      <x:c r="AW135" s="11" t="n">
        <x:v>1.5676902816718339</x:v>
      </x:c>
      <x:c r="AX135" s="12" t="n">
        <x:v>0.8223254590268354</x:v>
      </x:c>
      <x:c r="AY135" s="11"/>
      <x:c r="AZ135" s="11"/>
      <x:c r="BA135" s="11"/>
      <x:c r="BB135" s="11"/>
      <x:c r="BC135" s="11"/>
      <x:c r="BD135" s="11"/>
      <x:c r="BE135" s="11"/>
      <x:c r="BF135" s="11"/>
      <x:c r="BG135" s="11"/>
      <x:c r="BH135" s="11"/>
      <x:c r="BI135" s="11"/>
      <x:c r="BJ135" s="11"/>
      <x:c r="BK135" s="12"/>
      <x:c r="BL135" s="12"/>
      <x:c r="BM135" s="12"/>
      <x:c r="BN135" s="12"/>
      <x:c r="BO135" s="12"/>
      <x:c r="BP135" s="12"/>
      <x:c r="BQ135" s="12"/>
      <x:c r="BR135" s="12"/>
      <x:c r="BS135" s="12"/>
      <x:c r="BT135" s="12"/>
      <x:c r="BU135" s="11" t="n">
        <x:v>1255748</x:v>
      </x:c>
      <x:c r="BV135" s="11" t="n">
        <x:v>3855482</x:v>
      </x:c>
      <x:c r="BW135" s="11" t="n">
        <x:v>295067</x:v>
      </x:c>
      <x:c r="BX135" s="11" t="n">
        <x:v>530821</x:v>
      </x:c>
      <x:c r="BY135" s="11" t="n">
        <x:v>0</x:v>
      </x:c>
      <x:c r="BZ135" s="11" t="n">
        <x:v>3756705</x:v>
      </x:c>
      <x:c r="CA135" s="11" t="n">
        <x:v>159428</x:v>
      </x:c>
      <x:c r="CB135" s="11" t="n">
        <x:v>0</x:v>
      </x:c>
      <x:c r="CC135" s="11" t="n">
        <x:v>3573891</x:v>
      </x:c>
      <x:c r="CD135" s="11" t="n">
        <x:v>6881528</x:v>
      </x:c>
      <x:c r="CE135" s="11" t="n">
        <x:v>313452</x:v>
      </x:c>
      <x:c r="CF135" s="11" t="n">
        <x:v>0</x:v>
      </x:c>
      <x:c r="CG135" s="11" t="n">
        <x:v>1209053</x:v>
      </x:c>
      <x:c r="CH135" s="11" t="n">
        <x:v>2876648</x:v>
      </x:c>
      <x:c r="CI135" s="11" t="n">
        <x:v>3972104</x:v>
      </x:c>
      <x:c r="CJ135" s="11" t="n">
        <x:v>0</x:v>
      </x:c>
      <x:c r="CK135" s="11" t="n">
        <x:v>997566</x:v>
      </x:c>
      <x:c r="CL135" s="11" t="n">
        <x:v>0</x:v>
      </x:c>
      <x:c r="CM135" s="11"/>
      <x:c r="CN135" s="11" t="n">
        <x:v>16595</x:v>
      </x:c>
      <x:c r="CO135" s="11" t="n">
        <x:v>0</x:v>
      </x:c>
      <x:c r="CP135" s="8"/>
      <x:c r="CQ135" s="8" t="str">
        <x:v>Sparwood</x:v>
      </x:c>
    </x:row>
    <x:row r="136">
      <x:c r="A136" s="8" t="str">
        <x:v>Colwood|2021</x:v>
      </x:c>
      <x:c r="B136" s="8" t="str">
        <x:v>colwood-c</x:v>
      </x:c>
      <x:c r="C136" s="8" t="str">
        <x:v>Colwood</x:v>
      </x:c>
      <x:c r="D136" s="8" t="str">
        <x:v>Colwood</x:v>
      </x:c>
      <x:c r="E136" s="8" t="str">
        <x:v>C</x:v>
      </x:c>
      <x:c r="F136" s="8" t="str">
        <x:v>CAP</x:v>
      </x:c>
      <x:c r="G136" s="9" t="n">
        <x:v>2021</x:v>
      </x:c>
      <x:c r="H136" s="10" t="n">
        <x:v>19693</x:v>
      </x:c>
      <x:c r="I136" s="8" t="str">
        <x:v>5,000 to 19,999</x:v>
      </x:c>
      <x:c r="J136" s="11" t="n">
        <x:v>41153079</x:v>
      </x:c>
      <x:c r="K136" s="11" t="n">
        <x:v>26370741</x:v>
      </x:c>
      <x:c r="L136" s="11" t="n">
        <x:v>14782338</x:v>
      </x:c>
      <x:c r="M136" s="12" t="n">
        <x:v>0.35920369409054426</x:v>
      </x:c>
      <x:c r="N136" s="11" t="n">
        <x:v>20438909</x:v>
      </x:c>
      <x:c r="O136" s="11" t="n">
        <x:v>3371889</x:v>
      </x:c>
      <x:c r="P136" s="11" t="n">
        <x:v>4257299</x:v>
      </x:c>
      <x:c r="Q136" s="11" t="n">
        <x:v>13084982</x:v>
      </x:c>
      <x:c r="R136" s="11" t="n">
        <x:v>23243668</x:v>
      </x:c>
      <x:c r="S136" s="11" t="n">
        <x:v>2743947</x:v>
      </x:c>
      <x:c r="T136" s="11" t="n">
        <x:v>52760529</x:v>
      </x:c>
      <x:c r="U136" s="11" t="n">
        <x:v>34978118</x:v>
      </x:c>
      <x:c r="V136" s="11" t="n">
        <x:v>21408168</x:v>
      </x:c>
      <x:c r="W136" s="11" t="n">
        <x:v>18520960</x:v>
      </x:c>
      <x:c r="X136" s="11" t="n">
        <x:v>9850065</x:v>
      </x:c>
      <x:c r="Y136" s="11" t="n">
        <x:v>0</x:v>
      </x:c>
      <x:c r="Z136" s="11" t="n">
        <x:v>665764</x:v>
      </x:c>
      <x:c r="AA136" s="11" t="n">
        <x:v>8972829</x:v>
      </x:c>
      <x:c r="AB136" s="11" t="n">
        <x:v>383126</x:v>
      </x:c>
      <x:c r="AC136" s="11" t="n">
        <x:v>1048890</x:v>
      </x:c>
      <x:c r="AD136" s="11" t="n">
        <x:v>6501509</x:v>
      </x:c>
      <x:c r="AE136" s="11" t="n">
        <x:v>5452619</x:v>
      </x:c>
      <x:c r="AF136" s="11" t="n">
        <x:v>26006034</x:v>
      </x:c>
      <x:c r="AG136" s="11" t="n">
        <x:v>233338891</x:v>
      </x:c>
      <x:c r="AH136" s="11" t="n">
        <x:v>68847528</x:v>
      </x:c>
      <x:c r="AI136" s="11" t="n">
        <x:v>168071020</x:v>
      </x:c>
      <x:c r="AJ136" s="11" t="n">
        <x:v>19751200</x:v>
      </x:c>
      <x:c r="AK136" s="11" t="n">
        <x:v>66517266</x:v>
      </x:c>
      <x:c r="AL136" s="11" t="n">
        <x:v>0</x:v>
      </x:c>
      <x:c r="AM136" s="12" t="n">
        <x:v>1</x:v>
      </x:c>
      <x:c r="AN136" s="12" t="n">
        <x:v>0.2969334307877296</x:v>
      </x:c>
      <x:c r="AO136" s="11" t="n">
        <x:v>31702412</x:v>
      </x:c>
      <x:c r="AP136" s="11" t="n">
        <x:v>30414971</x:v>
      </x:c>
      <x:c r="AQ136" s="12" t="n">
        <x:v>0.9593898092044226</x:v>
      </x:c>
      <x:c r="AR136" s="11" t="n">
        <x:v>2089.7313258518257</x:v>
      </x:c>
      <x:c r="AS136" s="11" t="n">
        <x:v>1339.092113949119</x:v>
      </x:c>
      <x:c r="AT136" s="11" t="n">
        <x:v>1087.0953130554003</x:v>
      </x:c>
      <x:c r="AU136" s="11" t="n">
        <x:v>940.4844360940435</x:v>
      </x:c>
      <x:c r="AV136" s="11" t="n">
        <x:v>455.6354542223125</x:v>
      </x:c>
      <x:c r="AW136" s="11" t="n">
        <x:v>1.5083867290973174</x:v>
      </x:c>
      <x:c r="AX136" s="12" t="n">
        <x:v>0.8386697611277628</x:v>
      </x:c>
      <x:c r="AY136" s="11"/>
      <x:c r="AZ136" s="11"/>
      <x:c r="BA136" s="11"/>
      <x:c r="BB136" s="11"/>
      <x:c r="BC136" s="11"/>
      <x:c r="BD136" s="11"/>
      <x:c r="BE136" s="11"/>
      <x:c r="BF136" s="11"/>
      <x:c r="BG136" s="11"/>
      <x:c r="BH136" s="11"/>
      <x:c r="BI136" s="11"/>
      <x:c r="BJ136" s="11"/>
      <x:c r="BK136" s="12"/>
      <x:c r="BL136" s="12"/>
      <x:c r="BM136" s="12"/>
      <x:c r="BN136" s="12"/>
      <x:c r="BO136" s="12"/>
      <x:c r="BP136" s="12"/>
      <x:c r="BQ136" s="12"/>
      <x:c r="BR136" s="12"/>
      <x:c r="BS136" s="12"/>
      <x:c r="BT136" s="12"/>
      <x:c r="BU136" s="11" t="n">
        <x:v>1564969</x:v>
      </x:c>
      <x:c r="BV136" s="11" t="n">
        <x:v>1288957</x:v>
      </x:c>
      <x:c r="BW136" s="11" t="n">
        <x:v>1403373</x:v>
      </x:c>
      <x:c r="BX136" s="11" t="n">
        <x:v>616256</x:v>
      </x:c>
      <x:c r="BY136" s="11" t="n">
        <x:v>0</x:v>
      </x:c>
      <x:c r="BZ136" s="11" t="n">
        <x:v>12345370</x:v>
      </x:c>
      <x:c r="CA136" s="11" t="n">
        <x:v>37091</x:v>
      </x:c>
      <x:c r="CB136" s="11" t="n">
        <x:v>86265</x:v>
      </x:c>
      <x:c r="CC136" s="11" t="n">
        <x:v>3839944</x:v>
      </x:c>
      <x:c r="CD136" s="11" t="n">
        <x:v>7479257</x:v>
      </x:c>
      <x:c r="CE136" s="11" t="n">
        <x:v>327257</x:v>
      </x:c>
      <x:c r="CF136" s="11" t="n">
        <x:v>0</x:v>
      </x:c>
      <x:c r="CG136" s="11" t="n">
        <x:v>1694657</x:v>
      </x:c>
      <x:c r="CH136" s="11" t="n">
        <x:v>3774036</x:v>
      </x:c>
      <x:c r="CI136" s="11" t="n">
        <x:v>5261964</x:v>
      </x:c>
      <x:c r="CJ136" s="11" t="n">
        <x:v>0</x:v>
      </x:c>
      <x:c r="CK136" s="11" t="n">
        <x:v>1249679</x:v>
      </x:c>
      <x:c r="CL136" s="11" t="n">
        <x:v>0</x:v>
      </x:c>
      <x:c r="CM136" s="11"/>
      <x:c r="CN136" s="11" t="n">
        <x:v>0</x:v>
      </x:c>
      <x:c r="CO136" s="11" t="n">
        <x:v>0</x:v>
      </x:c>
      <x:c r="CP136" s="8"/>
      <x:c r="CQ136" s="8" t="str">
        <x:v>Squamish</x:v>
      </x:c>
    </x:row>
    <x:row r="137">
      <x:c r="A137" s="8" t="str">
        <x:v>Colwood|2022</x:v>
      </x:c>
      <x:c r="B137" s="8" t="str">
        <x:v>colwood-c</x:v>
      </x:c>
      <x:c r="C137" s="8" t="str">
        <x:v>Colwood</x:v>
      </x:c>
      <x:c r="D137" s="8" t="str">
        <x:v>Colwood</x:v>
      </x:c>
      <x:c r="E137" s="8" t="str">
        <x:v>C</x:v>
      </x:c>
      <x:c r="F137" s="8" t="str">
        <x:v>CAP</x:v>
      </x:c>
      <x:c r="G137" s="9" t="n">
        <x:v>2022</x:v>
      </x:c>
      <x:c r="H137" s="10" t="n">
        <x:v>20766</x:v>
      </x:c>
      <x:c r="I137" s="8" t="str">
        <x:v>20,000 to 99,999</x:v>
      </x:c>
      <x:c r="J137" s="11" t="n">
        <x:v>46752184</x:v>
      </x:c>
      <x:c r="K137" s="11" t="n">
        <x:v>28545988</x:v>
      </x:c>
      <x:c r="L137" s="11" t="n">
        <x:v>18206196</x:v>
      </x:c>
      <x:c r="M137" s="12" t="n">
        <x:v>0.3894191552634204</x:v>
      </x:c>
      <x:c r="N137" s="11" t="n">
        <x:v>21902439</x:v>
      </x:c>
      <x:c r="O137" s="11" t="n">
        <x:v>5278231</x:v>
      </x:c>
      <x:c r="P137" s="11" t="n">
        <x:v>2144160</x:v>
      </x:c>
      <x:c r="Q137" s="11" t="n">
        <x:v>17427354</x:v>
      </x:c>
      <x:c r="R137" s="11" t="n">
        <x:v>25183137</x:v>
      </x:c>
      <x:c r="S137" s="11" t="n">
        <x:v>2997942</x:v>
      </x:c>
      <x:c r="T137" s="11" t="n">
        <x:v>50288532</x:v>
      </x:c>
      <x:c r="U137" s="11" t="n">
        <x:v>33877805</x:v>
      </x:c>
      <x:c r="V137" s="11" t="n">
        <x:v>19762271</x:v>
      </x:c>
      <x:c r="W137" s="11" t="n">
        <x:v>19528165</x:v>
      </x:c>
      <x:c r="X137" s="11" t="n">
        <x:v>8972829</x:v>
      </x:c>
      <x:c r="Y137" s="11" t="n">
        <x:v>0</x:v>
      </x:c>
      <x:c r="Z137" s="11" t="n">
        <x:v>658664</x:v>
      </x:c>
      <x:c r="AA137" s="11" t="n">
        <x:v>8075456</x:v>
      </x:c>
      <x:c r="AB137" s="11" t="n">
        <x:v>364909</x:v>
      </x:c>
      <x:c r="AC137" s="11" t="n">
        <x:v>1023573</x:v>
      </x:c>
      <x:c r="AD137" s="11" t="n">
        <x:v>7234192</x:v>
      </x:c>
      <x:c r="AE137" s="11" t="n">
        <x:v>6210619</x:v>
      </x:c>
      <x:c r="AF137" s="11" t="n">
        <x:v>28936769</x:v>
      </x:c>
      <x:c r="AG137" s="11" t="n">
        <x:v>255951629</x:v>
      </x:c>
      <x:c r="AH137" s="11" t="n">
        <x:v>68264368</x:v>
      </x:c>
      <x:c r="AI137" s="11" t="n">
        <x:v>187687261</x:v>
      </x:c>
      <x:c r="AJ137" s="11" t="n">
        <x:v>22429173</x:v>
      </x:c>
      <x:c r="AK137" s="11" t="n">
        <x:v>187687261</x:v>
      </x:c>
      <x:c r="AL137" s="11" t="n">
        <x:v>0</x:v>
      </x:c>
      <x:c r="AM137" s="12" t="n">
        <x:v>1</x:v>
      </x:c>
      <x:c r="AN137" s="12" t="n">
        <x:v>0.11950290542094916</x:v>
      </x:c>
      <x:c r="AO137" s="11" t="n">
        <x:v>34767429</x:v>
      </x:c>
      <x:c r="AP137" s="11" t="n">
        <x:v>34092728</x:v>
      </x:c>
      <x:c r="AQ137" s="12" t="n">
        <x:v>0.9805938771026181</x:v>
      </x:c>
      <x:c r="AR137" s="11" t="n">
        <x:v>2251.3812963498026</x:v>
      </x:c>
      <x:c r="AS137" s="11" t="n">
        <x:v>1374.650293749398</x:v>
      </x:c>
      <x:c r="AT137" s="11" t="n">
        <x:v>951.6647885967446</x:v>
      </x:c>
      <x:c r="AU137" s="11" t="n">
        <x:v>940.3912645670808</x:v>
      </x:c>
      <x:c r="AV137" s="11" t="n">
        <x:v>388.8787441009342</x:v>
      </x:c>
      <x:c r="AW137" s="11" t="n">
        <x:v>1.4844093942922216</x:v>
      </x:c>
      <x:c r="AX137" s="12" t="n">
        <x:v>0.8585090083315455</x:v>
      </x:c>
      <x:c r="AY137" s="11"/>
      <x:c r="AZ137" s="11"/>
      <x:c r="BA137" s="11"/>
      <x:c r="BB137" s="11"/>
      <x:c r="BC137" s="11"/>
      <x:c r="BD137" s="11"/>
      <x:c r="BE137" s="11"/>
      <x:c r="BF137" s="11"/>
      <x:c r="BG137" s="11"/>
      <x:c r="BH137" s="11"/>
      <x:c r="BI137" s="11"/>
      <x:c r="BJ137" s="11"/>
      <x:c r="BK137" s="12"/>
      <x:c r="BL137" s="12"/>
      <x:c r="BM137" s="12"/>
      <x:c r="BN137" s="12"/>
      <x:c r="BO137" s="12"/>
      <x:c r="BP137" s="12"/>
      <x:c r="BQ137" s="12"/>
      <x:c r="BR137" s="12"/>
      <x:c r="BS137" s="12"/>
      <x:c r="BT137" s="12"/>
      <x:c r="BU137" s="11" t="n">
        <x:v>93448</x:v>
      </x:c>
      <x:c r="BV137" s="11" t="n">
        <x:v>787595</x:v>
      </x:c>
      <x:c r="BW137" s="11" t="n">
        <x:v>1263117</x:v>
      </x:c>
      <x:c r="BX137" s="11" t="n">
        <x:v>1437445</x:v>
      </x:c>
      <x:c r="BY137" s="11" t="n">
        <x:v>0</x:v>
      </x:c>
      <x:c r="BZ137" s="11" t="n">
        <x:v>15554199</x:v>
      </x:c>
      <x:c r="CA137" s="11" t="n">
        <x:v>265473</x:v>
      </x:c>
      <x:c r="CB137" s="11" t="n">
        <x:v>170237</x:v>
      </x:c>
      <x:c r="CC137" s="11" t="n">
        <x:v>4562141</x:v>
      </x:c>
      <x:c r="CD137" s="11" t="n">
        <x:v>8122584</x:v>
      </x:c>
      <x:c r="CE137" s="11" t="n">
        <x:v>403810</x:v>
      </x:c>
      <x:c r="CF137" s="11" t="n">
        <x:v>0</x:v>
      </x:c>
      <x:c r="CG137" s="11" t="n">
        <x:v>1665561</x:v>
      </x:c>
      <x:c r="CH137" s="11" t="n">
        <x:v>3816300</x:v>
      </x:c>
      <x:c r="CI137" s="11" t="n">
        <x:v>5387260</x:v>
      </x:c>
      <x:c r="CJ137" s="11" t="n">
        <x:v>0</x:v>
      </x:c>
      <x:c r="CK137" s="11" t="n">
        <x:v>1590390</x:v>
      </x:c>
      <x:c r="CL137" s="11" t="n">
        <x:v>0</x:v>
      </x:c>
      <x:c r="CM137" s="11"/>
      <x:c r="CN137" s="11" t="n">
        <x:v>0</x:v>
      </x:c>
      <x:c r="CO137" s="11" t="n">
        <x:v>0</x:v>
      </x:c>
      <x:c r="CP137" s="8"/>
      <x:c r="CQ137" s="8" t="str">
        <x:v>Stewart</x:v>
      </x:c>
    </x:row>
    <x:row r="138">
      <x:c r="A138" s="8" t="str">
        <x:v>Colwood|2023</x:v>
      </x:c>
      <x:c r="B138" s="8" t="str">
        <x:v>colwood-c</x:v>
      </x:c>
      <x:c r="C138" s="8" t="str">
        <x:v>Colwood</x:v>
      </x:c>
      <x:c r="D138" s="8" t="str">
        <x:v>Colwood</x:v>
      </x:c>
      <x:c r="E138" s="8" t="str">
        <x:v>C</x:v>
      </x:c>
      <x:c r="F138" s="8" t="str">
        <x:v>CAP</x:v>
      </x:c>
      <x:c r="G138" s="9" t="n">
        <x:v>2023</x:v>
      </x:c>
      <x:c r="H138" s="10" t="n">
        <x:v>21874</x:v>
      </x:c>
      <x:c r="I138" s="8" t="str">
        <x:v>20,000 to 99,999</x:v>
      </x:c>
      <x:c r="J138" s="11" t="n">
        <x:v>57879273</x:v>
      </x:c>
      <x:c r="K138" s="11" t="n">
        <x:v>31704041</x:v>
      </x:c>
      <x:c r="L138" s="11" t="n">
        <x:v>26175232</x:v>
      </x:c>
      <x:c r="M138" s="12" t="n">
        <x:v>0.45223843775646594</x:v>
      </x:c>
      <x:c r="N138" s="11" t="n">
        <x:v>23906789</x:v>
      </x:c>
      <x:c r="O138" s="11" t="n">
        <x:v>6003254</x:v>
      </x:c>
      <x:c r="P138" s="11" t="n">
        <x:v>9624985</x:v>
      </x:c>
      <x:c r="Q138" s="11" t="n">
        <x:v>18344245</x:v>
      </x:c>
      <x:c r="R138" s="11" t="n">
        <x:v>28066738</x:v>
      </x:c>
      <x:c r="S138" s="11" t="n">
        <x:v>3239545</x:v>
      </x:c>
      <x:c r="T138" s="11" t="n">
        <x:v>55618302</x:v>
      </x:c>
      <x:c r="U138" s="11" t="n">
        <x:v>28854059</x:v>
      </x:c>
      <x:c r="V138" s="11" t="n">
        <x:v>29099881</x:v>
      </x:c>
      <x:c r="W138" s="11" t="n">
        <x:v>27546264</x:v>
      </x:c>
      <x:c r="X138" s="11" t="n">
        <x:v>8075456</x:v>
      </x:c>
      <x:c r="Y138" s="11" t="n">
        <x:v>0</x:v>
      </x:c>
      <x:c r="Z138" s="11" t="n">
        <x:v>1188867</x:v>
      </x:c>
      <x:c r="AA138" s="11" t="n">
        <x:v>6692439</x:v>
      </x:c>
      <x:c r="AB138" s="11" t="n">
        <x:v>397758</x:v>
      </x:c>
      <x:c r="AC138" s="11" t="n">
        <x:v>1586625</x:v>
      </x:c>
      <x:c r="AD138" s="11" t="n">
        <x:v>8223545</x:v>
      </x:c>
      <x:c r="AE138" s="11" t="n">
        <x:v>6636920</x:v>
      </x:c>
      <x:c r="AF138" s="11" t="n">
        <x:v>32894180</x:v>
      </x:c>
      <x:c r="AG138" s="11" t="n">
        <x:v>276367008</x:v>
      </x:c>
      <x:c r="AH138" s="11" t="n">
        <x:v>71417686</x:v>
      </x:c>
      <x:c r="AI138" s="11" t="n">
        <x:v>204949322</x:v>
      </x:c>
      <x:c r="AJ138" s="11" t="n">
        <x:v>20366708</x:v>
      </x:c>
      <x:c r="AK138" s="11" t="n">
        <x:v>563752931</x:v>
      </x:c>
      <x:c r="AL138" s="11" t="n">
        <x:v>0</x:v>
      </x:c>
      <x:c r="AM138" s="12" t="n">
        <x:v>1</x:v>
      </x:c>
      <x:c r="AN138" s="12" t="n">
        <x:v>0.03612701039775171</x:v>
      </x:c>
      <x:c r="AO138" s="11" t="n">
        <x:v>38191782</x:v>
      </x:c>
      <x:c r="AP138" s="11" t="n">
        <x:v>37879464</x:v>
      </x:c>
      <x:c r="AQ138" s="12" t="n">
        <x:v>0.9918223768663111</x:v>
      </x:c>
      <x:c r="AR138" s="11" t="n">
        <x:v>2646.0305842552802</x:v>
      </x:c>
      <x:c r="AS138" s="11" t="n">
        <x:v>1449.3938465758436</x:v>
      </x:c>
      <x:c r="AT138" s="11" t="n">
        <x:v>1330.3410898783945</x:v>
      </x:c>
      <x:c r="AU138" s="11" t="n">
        <x:v>1259.3153515589283</x:v>
      </x:c>
      <x:c r="AV138" s="11" t="n">
        <x:v>305.95405504251625</x:v>
      </x:c>
      <x:c r="AW138" s="11" t="n">
        <x:v>1.927572893643837</x:v>
      </x:c>
      <x:c r="AX138" s="12" t="n">
        <x:v>0.8070631339647317</x:v>
      </x:c>
      <x:c r="AY138" s="11"/>
      <x:c r="AZ138" s="11"/>
      <x:c r="BA138" s="11"/>
      <x:c r="BB138" s="11"/>
      <x:c r="BC138" s="11"/>
      <x:c r="BD138" s="11"/>
      <x:c r="BE138" s="11"/>
      <x:c r="BF138" s="11"/>
      <x:c r="BG138" s="11"/>
      <x:c r="BH138" s="11"/>
      <x:c r="BI138" s="11"/>
      <x:c r="BJ138" s="11"/>
      <x:c r="BK138" s="12"/>
      <x:c r="BL138" s="12"/>
      <x:c r="BM138" s="12"/>
      <x:c r="BN138" s="12"/>
      <x:c r="BO138" s="12"/>
      <x:c r="BP138" s="12"/>
      <x:c r="BQ138" s="12"/>
      <x:c r="BR138" s="12"/>
      <x:c r="BS138" s="12"/>
      <x:c r="BT138" s="12"/>
      <x:c r="BU138" s="11" t="n">
        <x:v>505965</x:v>
      </x:c>
      <x:c r="BV138" s="11" t="n">
        <x:v>7636911</x:v>
      </x:c>
      <x:c r="BW138" s="11" t="n">
        <x:v>1482109</x:v>
      </x:c>
      <x:c r="BX138" s="11" t="n">
        <x:v>2580813</x:v>
      </x:c>
      <x:c r="BY138" s="11" t="n">
        <x:v>0</x:v>
      </x:c>
      <x:c r="BZ138" s="11" t="n">
        <x:v>14931975</x:v>
      </x:c>
      <x:c r="CA138" s="11" t="n">
        <x:v>555983</x:v>
      </x:c>
      <x:c r="CB138" s="11" t="n">
        <x:v>275474</x:v>
      </x:c>
      <x:c r="CC138" s="11" t="n">
        <x:v>5174773</x:v>
      </x:c>
      <x:c r="CD138" s="11" t="n">
        <x:v>8914406</x:v>
      </x:c>
      <x:c r="CE138" s="11" t="n">
        <x:v>348162</x:v>
      </x:c>
      <x:c r="CF138" s="11" t="n">
        <x:v>0</x:v>
      </x:c>
      <x:c r="CG138" s="11" t="n">
        <x:v>2136182</x:v>
      </x:c>
      <x:c r="CH138" s="11" t="n">
        <x:v>4541292</x:v>
      </x:c>
      <x:c r="CI138" s="11" t="n">
        <x:v>5575264</x:v>
      </x:c>
      <x:c r="CJ138" s="11" t="n">
        <x:v>0</x:v>
      </x:c>
      <x:c r="CK138" s="11" t="n">
        <x:v>1774417</x:v>
      </x:c>
      <x:c r="CL138" s="11" t="n">
        <x:v>0</x:v>
      </x:c>
      <x:c r="CM138" s="11" t="n">
        <x:v>0</x:v>
      </x:c>
      <x:c r="CN138" s="11" t="n">
        <x:v>0</x:v>
      </x:c>
      <x:c r="CO138" s="11" t="n">
        <x:v>0</x:v>
      </x:c>
      <x:c r="CP138" s="8"/>
      <x:c r="CQ138" s="8" t="str">
        <x:v>Summerland</x:v>
      </x:c>
    </x:row>
    <x:row r="139">
      <x:c r="A139" s="8" t="str">
        <x:v>Colwood|2024</x:v>
      </x:c>
      <x:c r="B139" s="8" t="str">
        <x:v>colwood-c</x:v>
      </x:c>
      <x:c r="C139" s="8" t="str">
        <x:v>Colwood</x:v>
      </x:c>
      <x:c r="D139" s="8" t="str">
        <x:v>Colwood</x:v>
      </x:c>
      <x:c r="E139" s="8" t="str">
        <x:v>C</x:v>
      </x:c>
      <x:c r="F139" s="8" t="str">
        <x:v>CAP</x:v>
      </x:c>
      <x:c r="G139" s="9" t="n">
        <x:v>2024</x:v>
      </x:c>
      <x:c r="H139" s="10" t="n">
        <x:v>21874</x:v>
      </x:c>
      <x:c r="I139" s="8" t="str">
        <x:v>20,000 to 99,999</x:v>
      </x:c>
      <x:c r="J139" s="11" t="n">
        <x:v>48600484</x:v>
      </x:c>
      <x:c r="K139" s="11" t="n">
        <x:v>34219412</x:v>
      </x:c>
      <x:c r="L139" s="11" t="n">
        <x:v>14381072</x:v>
      </x:c>
      <x:c r="M139" s="12" t="n">
        <x:v>0.2959038844139906</x:v>
      </x:c>
      <x:c r="N139" s="11" t="n">
        <x:v>27251354</x:v>
      </x:c>
      <x:c r="O139" s="11" t="n">
        <x:v>7730707</x:v>
      </x:c>
      <x:c r="P139" s="11" t="n">
        <x:v>3614088</x:v>
      </x:c>
      <x:c r="Q139" s="11" t="n">
        <x:v>10004335</x:v>
      </x:c>
      <x:c r="R139" s="11" t="n">
        <x:v>29900606</x:v>
      </x:c>
      <x:c r="S139" s="11" t="n">
        <x:v>3589316</x:v>
      </x:c>
      <x:c r="T139" s="11" t="n">
        <x:v>68645157</x:v>
      </x:c>
      <x:c r="U139" s="11" t="n">
        <x:v>40233485</x:v>
      </x:c>
      <x:c r="V139" s="11" t="n">
        <x:v>32365842</x:v>
      </x:c>
      <x:c r="W139" s="11" t="n">
        <x:v>33760410</x:v>
      </x:c>
      <x:c r="X139" s="11" t="n">
        <x:v>6692439</x:v>
      </x:c>
      <x:c r="Y139" s="11" t="n">
        <x:v>4656000</x:v>
      </x:c>
      <x:c r="Z139" s="11" t="n">
        <x:v>350594</x:v>
      </x:c>
      <x:c r="AA139" s="11" t="n">
        <x:v>10810313</x:v>
      </x:c>
      <x:c r="AB139" s="11" t="n">
        <x:v>729490</x:v>
      </x:c>
      <x:c r="AC139" s="11" t="n">
        <x:v>1080084</x:v>
      </x:c>
      <x:c r="AD139" s="11" t="n">
        <x:v>9607678</x:v>
      </x:c>
      <x:c r="AE139" s="11" t="n">
        <x:v>8527594</x:v>
      </x:c>
      <x:c r="AF139" s="11" t="n">
        <x:v>38430710</x:v>
      </x:c>
      <x:c r="AG139" s="11" t="n">
        <x:v>291379505</x:v>
      </x:c>
      <x:c r="AH139" s="11" t="n">
        <x:v>75321332</x:v>
      </x:c>
      <x:c r="AI139" s="11" t="n">
        <x:v>216058173</x:v>
      </x:c>
      <x:c r="AJ139" s="11" t="n">
        <x:v>15044974</x:v>
      </x:c>
      <x:c r="AK139" s="11" t="n">
        <x:v>685494632</x:v>
      </x:c>
      <x:c r="AL139" s="11" t="n">
        <x:v>7456050</x:v>
      </x:c>
      <x:c r="AM139" s="12" t="n">
        <x:v>0.9891231095738179</x:v>
      </x:c>
      <x:c r="AN139" s="12" t="n">
        <x:v>0.02194761752707642</x:v>
      </x:c>
      <x:c r="AO139" s="11" t="n">
        <x:v>41967967</x:v>
      </x:c>
      <x:c r="AP139" s="11" t="n">
        <x:v>40933105</x:v>
      </x:c>
      <x:c r="AQ139" s="12" t="n">
        <x:v>0.9753416218612638</x:v>
      </x:c>
      <x:c r="AR139" s="11" t="n">
        <x:v>2221.8379811648533</x:v>
      </x:c>
      <x:c r="AS139" s="11" t="n">
        <x:v>1564.3874919996342</x:v>
      </x:c>
      <x:c r="AT139" s="11" t="n">
        <x:v>1479.6489896680991</x:v>
      </x:c>
      <x:c r="AU139" s="11" t="n">
        <x:v>1543.4035841638474</x:v>
      </x:c>
      <x:c r="AV139" s="11" t="n">
        <x:v>494.20832952363537</x:v>
      </x:c>
      <x:c r="AW139" s="11" t="n">
        <x:v>1.7061697986142637</x:v>
      </x:c>
      <x:c r="AX139" s="12" t="n">
        <x:v>0.8875811616500886</x:v>
      </x:c>
      <x:c r="AY139" s="11" t="n">
        <x:v>2823.8160359162957</x:v>
      </x:c>
      <x:c r="AZ139" s="11" t="n">
        <x:v>3546.5079302077975</x:v>
      </x:c>
      <x:c r="BA139" s="11" t="n">
        <x:v>2313.177731087988</x:v>
      </x:c>
      <x:c r="BB139" s="11" t="n">
        <x:v>2783.665107049771</x:v>
      </x:c>
      <x:c r="BC139" s="11" t="n">
        <x:v>1634.933826557682</x:v>
      </x:c>
      <x:c r="BD139" s="11" t="n">
        <x:v>2437.8724475115623</x:v>
      </x:c>
      <x:c r="BE139" s="11" t="n">
        <x:v>1015.8871081440785</x:v>
      </x:c>
      <x:c r="BF139" s="11" t="n">
        <x:v>1604.3462673977224</x:v>
      </x:c>
      <x:c r="BG139" s="11" t="n">
        <x:v>757.3716446138835</x:v>
      </x:c>
      <x:c r="BH139" s="11" t="n">
        <x:v>518.5374381567245</x:v>
      </x:c>
      <x:c r="BI139" s="11" t="n">
        <x:v>1.4428133381403412</x:v>
      </x:c>
      <x:c r="BJ139" s="11" t="n">
        <x:v>1.7099330852451193</x:v>
      </x:c>
      <x:c r="BK139" s="12" t="n">
        <x:v>0.021350493990494074</x:v>
      </x:c>
      <x:c r="BL139" s="12" t="n">
        <x:v>0.02529861000232605</x:v>
      </x:c>
      <x:c r="BM139" s="12" t="n">
        <x:v>0.9847118933607182</x:v>
      </x:c>
      <x:c r="BN139" s="12" t="n">
        <x:v>0.9815511712696461</x:v>
      </x:c>
      <x:c r="BO139" s="12" t="n">
        <x:v>0.8457939120832807</x:v>
      </x:c>
      <x:c r="BP139" s="12" t="n">
        <x:v>0.8619101997275483</x:v>
      </x:c>
      <x:c r="BQ139" s="12" t="n">
        <x:v>0.9744645665293163</x:v>
      </x:c>
      <x:c r="BR139" s="12" t="n">
        <x:v>0.9623635142836453</x:v>
      </x:c>
      <x:c r="BS139" s="12" t="n">
        <x:v>0.16542076645989975</x:v>
      </x:c>
      <x:c r="BT139" s="12" t="n">
        <x:v>0.19976549769108282</x:v>
      </x:c>
      <x:c r="BU139" s="11" t="n">
        <x:v>1836199</x:v>
      </x:c>
      <x:c r="BV139" s="11" t="n">
        <x:v>1517653</x:v>
      </x:c>
      <x:c r="BW139" s="11" t="n">
        <x:v>260236</x:v>
      </x:c>
      <x:c r="BX139" s="11" t="n">
        <x:v>2831586</x:v>
      </x:c>
      <x:c r="BY139" s="11" t="n">
        <x:v>0</x:v>
      </x:c>
      <x:c r="BZ139" s="11" t="n">
        <x:v>6961912</x:v>
      </x:c>
      <x:c r="CA139" s="11" t="n">
        <x:v>17800</x:v>
      </x:c>
      <x:c r="CB139" s="11" t="n">
        <x:v>193037</x:v>
      </x:c>
      <x:c r="CC139" s="11" t="n">
        <x:v>5874804</x:v>
      </x:c>
      <x:c r="CD139" s="11" t="n">
        <x:v>9218080</x:v>
      </x:c>
      <x:c r="CE139" s="11" t="n">
        <x:v>385468</x:v>
      </x:c>
      <x:c r="CF139" s="11" t="n">
        <x:v>34237</x:v>
      </x:c>
      <x:c r="CG139" s="11" t="n">
        <x:v>2040809</x:v>
      </x:c>
      <x:c r="CH139" s="11" t="n">
        <x:v>4559679</x:v>
      </x:c>
      <x:c r="CI139" s="11" t="n">
        <x:v>5946353</x:v>
      </x:c>
      <x:c r="CJ139" s="11" t="n">
        <x:v>0</x:v>
      </x:c>
      <x:c r="CK139" s="11" t="n">
        <x:v>2570666</x:v>
      </x:c>
      <x:c r="CL139" s="11" t="n">
        <x:v>0</x:v>
      </x:c>
      <x:c r="CM139" s="11" t="n">
        <x:v>0</x:v>
      </x:c>
      <x:c r="CN139" s="11" t="n">
        <x:v>0</x:v>
      </x:c>
      <x:c r="CO139" s="11" t="n">
        <x:v>0</x:v>
      </x:c>
      <x:c r="CP139" s="8"/>
      <x:c r="CQ139" s="8" t="str">
        <x:v>Sun Peaks</x:v>
      </x:c>
    </x:row>
    <x:row r="140">
      <x:c r="A140" s="8" t="str">
        <x:v>Comox|2019</x:v>
      </x:c>
      <x:c r="B140" s="8" t="str">
        <x:v>comox-t</x:v>
      </x:c>
      <x:c r="C140" s="8" t="str">
        <x:v>Comox</x:v>
      </x:c>
      <x:c r="D140" s="8" t="str">
        <x:v>Comox</x:v>
      </x:c>
      <x:c r="E140" s="8" t="str">
        <x:v>T</x:v>
      </x:c>
      <x:c r="F140" s="8" t="str">
        <x:v>COM</x:v>
      </x:c>
      <x:c r="G140" s="9" t="n">
        <x:v>2019</x:v>
      </x:c>
      <x:c r="H140" s="10" t="n">
        <x:v>14981</x:v>
      </x:c>
      <x:c r="I140" s="8" t="str">
        <x:v>5,000 to 19,999</x:v>
      </x:c>
      <x:c r="J140" s="11" t="n">
        <x:v>23949791</x:v>
      </x:c>
      <x:c r="K140" s="11" t="n">
        <x:v>21263660</x:v>
      </x:c>
      <x:c r="L140" s="11" t="n">
        <x:v>2686131</x:v>
      </x:c>
      <x:c r="M140" s="12" t="n">
        <x:v>0.11215676161850431</x:v>
      </x:c>
      <x:c r="N140" s="11" t="n">
        <x:v>11523542</x:v>
      </x:c>
      <x:c r="O140" s="11" t="n">
        <x:v>9633791</x:v>
      </x:c>
      <x:c r="P140" s="11" t="n">
        <x:v>1733799</x:v>
      </x:c>
      <x:c r="Q140" s="11" t="n">
        <x:v>1058659</x:v>
      </x:c>
      <x:c r="R140" s="11" t="n">
        <x:v>18115470</x:v>
      </x:c>
      <x:c r="S140" s="11" t="n">
        <x:v>3134449</x:v>
      </x:c>
      <x:c r="T140" s="11" t="n">
        <x:v>32122287</x:v>
      </x:c>
      <x:c r="U140" s="11" t="n">
        <x:v>14460081</x:v>
      </x:c>
      <x:c r="V140" s="11" t="n">
        <x:v>19261913</x:v>
      </x:c>
      <x:c r="W140" s="11" t="n">
        <x:v>12963580</x:v>
      </x:c>
      <x:c r="X140" s="11" t="n">
        <x:v>185389</x:v>
      </x:c>
      <x:c r="Y140" s="11" t="n">
        <x:v>0</x:v>
      </x:c>
      <x:c r="Z140" s="11" t="n">
        <x:v>23225</x:v>
      </x:c>
      <x:c r="AA140" s="11" t="n">
        <x:v>146780</x:v>
      </x:c>
      <x:c r="AB140" s="11" t="n">
        <x:v>13741</x:v>
      </x:c>
      <x:c r="AC140" s="11" t="n">
        <x:v>36966</x:v>
      </x:c>
      <x:c r="AD140" s="11" t="n">
        <x:v>5586944</x:v>
      </x:c>
      <x:c r="AE140" s="11" t="n">
        <x:v>5549978</x:v>
      </x:c>
      <x:c r="AF140" s="11" t="n">
        <x:v>22347775</x:v>
      </x:c>
      <x:c r="AG140" s="11" t="n">
        <x:v>138551362</x:v>
      </x:c>
      <x:c r="AH140" s="11" t="n">
        <x:v>49628349</x:v>
      </x:c>
      <x:c r="AI140" s="11" t="n">
        <x:v>88923013</x:v>
      </x:c>
      <x:c r="AJ140" s="11" t="n">
        <x:v>5090207</x:v>
      </x:c>
      <x:c r="AK140" s="11" t="n">
        <x:v>306885906</x:v>
      </x:c>
      <x:c r="AL140" s="11" t="n">
        <x:v>3685757</x:v>
      </x:c>
      <x:c r="AM140" s="12" t="n">
        <x:v>0.9879898133868683</x:v>
      </x:c>
      <x:c r="AN140" s="12" t="n">
        <x:v>0.01658664311550365</x:v>
      </x:c>
      <x:c r="AO140" s="11" t="n">
        <x:v>21172241</x:v>
      </x:c>
      <x:c r="AP140" s="11" t="n">
        <x:v>20979767</x:v>
      </x:c>
      <x:c r="AQ140" s="12" t="n">
        <x:v>0.9909091342763385</x:v>
      </x:c>
      <x:c r="AR140" s="11" t="n">
        <x:v>1598.6777251184835</x:v>
      </x:c>
      <x:c r="AS140" s="11" t="n">
        <x:v>1419.3752085975568</x:v>
      </x:c>
      <x:c r="AT140" s="11" t="n">
        <x:v>1285.75615779988</x:v>
      </x:c>
      <x:c r="AU140" s="11" t="n">
        <x:v>865.3347573593218</x:v>
      </x:c>
      <x:c r="AV140" s="11" t="n">
        <x:v>9.797743808824512</x:v>
      </x:c>
      <x:c r="AW140" s="11" t="n">
        <x:v>2.2214458549713516</x:v>
      </x:c>
      <x:c r="AX140" s="12" t="n">
        <x:v>0.9933835026805352</x:v>
      </x:c>
      <x:c r="AY140" s="11"/>
      <x:c r="AZ140" s="11"/>
      <x:c r="BA140" s="11"/>
      <x:c r="BB140" s="11"/>
      <x:c r="BC140" s="11"/>
      <x:c r="BD140" s="11"/>
      <x:c r="BE140" s="11"/>
      <x:c r="BF140" s="11"/>
      <x:c r="BG140" s="11"/>
      <x:c r="BH140" s="11"/>
      <x:c r="BI140" s="11"/>
      <x:c r="BJ140" s="11"/>
      <x:c r="BK140" s="12"/>
      <x:c r="BL140" s="12"/>
      <x:c r="BM140" s="12"/>
      <x:c r="BN140" s="12"/>
      <x:c r="BO140" s="12"/>
      <x:c r="BP140" s="12"/>
      <x:c r="BQ140" s="12"/>
      <x:c r="BR140" s="12"/>
      <x:c r="BS140" s="12"/>
      <x:c r="BT140" s="12"/>
      <x:c r="BU140" s="11" t="n">
        <x:v>50599</x:v>
      </x:c>
      <x:c r="BV140" s="11" t="n">
        <x:v>380348</x:v>
      </x:c>
      <x:c r="BW140" s="11" t="n">
        <x:v>1302852</x:v>
      </x:c>
      <x:c r="BX140" s="11" t="n">
        <x:v>825478</x:v>
      </x:c>
      <x:c r="BY140" s="11" t="n">
        <x:v>0</x:v>
      </x:c>
      <x:c r="BZ140" s="11" t="n">
        <x:v>232181</x:v>
      </x:c>
      <x:c r="CA140" s="11" t="n">
        <x:v>1000</x:v>
      </x:c>
      <x:c r="CB140" s="11" t="n">
        <x:v>0</x:v>
      </x:c>
      <x:c r="CC140" s="11" t="n">
        <x:v>2425624</x:v>
      </x:c>
      <x:c r="CD140" s="11" t="n">
        <x:v>3095679</x:v>
      </x:c>
      <x:c r="CE140" s="11" t="n">
        <x:v>1315311</x:v>
      </x:c>
      <x:c r="CF140" s="11" t="n">
        <x:v>0</x:v>
      </x:c>
      <x:c r="CG140" s="11" t="n">
        <x:v>576041</x:v>
      </x:c>
      <x:c r="CH140" s="11" t="n">
        <x:v>1687089</x:v>
      </x:c>
      <x:c r="CI140" s="11" t="n">
        <x:v>4042265</x:v>
      </x:c>
      <x:c r="CJ140" s="11" t="n">
        <x:v>2562524</x:v>
      </x:c>
      <x:c r="CK140" s="11" t="n">
        <x:v>2267815</x:v>
      </x:c>
      <x:c r="CL140" s="11" t="n">
        <x:v>156863</x:v>
      </x:c>
      <x:c r="CM140" s="11"/>
      <x:c r="CN140" s="11" t="n">
        <x:v>0</x:v>
      </x:c>
      <x:c r="CO140" s="11" t="n">
        <x:v>0</x:v>
      </x:c>
      <x:c r="CP140" s="8"/>
      <x:c r="CQ140" s="8" t="str">
        <x:v>Surrey</x:v>
      </x:c>
    </x:row>
    <x:row r="141">
      <x:c r="A141" s="8" t="str">
        <x:v>Comox|2020</x:v>
      </x:c>
      <x:c r="B141" s="8" t="str">
        <x:v>comox-t</x:v>
      </x:c>
      <x:c r="C141" s="8" t="str">
        <x:v>Comox</x:v>
      </x:c>
      <x:c r="D141" s="8" t="str">
        <x:v>Comox</x:v>
      </x:c>
      <x:c r="E141" s="8" t="str">
        <x:v>T</x:v>
      </x:c>
      <x:c r="F141" s="8" t="str">
        <x:v>COM</x:v>
      </x:c>
      <x:c r="G141" s="9" t="n">
        <x:v>2020</x:v>
      </x:c>
      <x:c r="H141" s="10" t="n">
        <x:v>15182</x:v>
      </x:c>
      <x:c r="I141" s="8" t="str">
        <x:v>5,000 to 19,999</x:v>
      </x:c>
      <x:c r="J141" s="11" t="n">
        <x:v>27050680</x:v>
      </x:c>
      <x:c r="K141" s="11" t="n">
        <x:v>21393194</x:v>
      </x:c>
      <x:c r="L141" s="11" t="n">
        <x:v>5657486</x:v>
      </x:c>
      <x:c r="M141" s="12" t="n">
        <x:v>0.20914394758283342</x:v>
      </x:c>
      <x:c r="N141" s="11" t="n">
        <x:v>11595730</x:v>
      </x:c>
      <x:c r="O141" s="11" t="n">
        <x:v>9447246</x:v>
      </x:c>
      <x:c r="P141" s="11" t="n">
        <x:v>4156106</x:v>
      </x:c>
      <x:c r="Q141" s="11" t="n">
        <x:v>1851598</x:v>
      </x:c>
      <x:c r="R141" s="11" t="n">
        <x:v>18101550</x:v>
      </x:c>
      <x:c r="S141" s="11" t="n">
        <x:v>3277386</x:v>
      </x:c>
      <x:c r="T141" s="11" t="n">
        <x:v>42286988</x:v>
      </x:c>
      <x:c r="U141" s="11" t="n">
        <x:v>17591994</x:v>
      </x:c>
      <x:c r="V141" s="11" t="n">
        <x:v>26070281</x:v>
      </x:c>
      <x:c r="W141" s="11" t="n">
        <x:v>17091329</x:v>
      </x:c>
      <x:c r="X141" s="11" t="n">
        <x:v>146780</x:v>
      </x:c>
      <x:c r="Y141" s="11" t="n">
        <x:v>0</x:v>
      </x:c>
      <x:c r="Z141" s="11" t="n">
        <x:v>23225</x:v>
      </x:c>
      <x:c r="AA141" s="11" t="n">
        <x:v>106459</x:v>
      </x:c>
      <x:c r="AB141" s="11" t="n">
        <x:v>14258</x:v>
      </x:c>
      <x:c r="AC141" s="11" t="n">
        <x:v>37483</x:v>
      </x:c>
      <x:c r="AD141" s="11" t="n">
        <x:v>5487343</x:v>
      </x:c>
      <x:c r="AE141" s="11" t="n">
        <x:v>5449860</x:v>
      </x:c>
      <x:c r="AF141" s="11" t="n">
        <x:v>21949371</x:v>
      </x:c>
      <x:c r="AG141" s="11" t="n">
        <x:v>140503034</x:v>
      </x:c>
      <x:c r="AH141" s="11" t="n">
        <x:v>52790462</x:v>
      </x:c>
      <x:c r="AI141" s="11" t="n">
        <x:v>87712572</x:v>
      </x:c>
      <x:c r="AJ141" s="11" t="n">
        <x:v>2085352</x:v>
      </x:c>
      <x:c r="AK141" s="11" t="n">
        <x:v>316556346</x:v>
      </x:c>
      <x:c r="AL141" s="11" t="n">
        <x:v>46990659</x:v>
      </x:c>
      <x:c r="AM141" s="12" t="n">
        <x:v>0.8515567304406527</x:v>
      </x:c>
      <x:c r="AN141" s="12" t="n">
        <x:v>0.0065876171062449656</x:v>
      </x:c>
      <x:c r="AO141" s="11" t="n">
        <x:v>21219684</x:v>
      </x:c>
      <x:c r="AP141" s="11" t="n">
        <x:v>20983754</x:v>
      </x:c>
      <x:c r="AQ141" s="12" t="n">
        <x:v>0.9888815497912221</x:v>
      </x:c>
      <x:c r="AR141" s="11" t="n">
        <x:v>1781.7599789224082</x:v>
      </x:c>
      <x:c r="AS141" s="11" t="n">
        <x:v>1409.1156632854697</x:v>
      </x:c>
      <x:c r="AT141" s="11" t="n">
        <x:v>1717.1835726518245</x:v>
      </x:c>
      <x:c r="AU141" s="11" t="n">
        <x:v>1125.7626794888683</x:v>
      </x:c>
      <x:c r="AV141" s="11" t="n">
        <x:v>7.012185482808589</x:v>
      </x:c>
      <x:c r="AW141" s="11" t="n">
        <x:v>2.4037632118337466</x:v>
      </x:c>
      <x:c r="AX141" s="12" t="n">
        <x:v>0.9931691895330764</x:v>
      </x:c>
      <x:c r="AY141" s="11"/>
      <x:c r="AZ141" s="11"/>
      <x:c r="BA141" s="11"/>
      <x:c r="BB141" s="11"/>
      <x:c r="BC141" s="11"/>
      <x:c r="BD141" s="11"/>
      <x:c r="BE141" s="11"/>
      <x:c r="BF141" s="11"/>
      <x:c r="BG141" s="11"/>
      <x:c r="BH141" s="11"/>
      <x:c r="BI141" s="11"/>
      <x:c r="BJ141" s="11"/>
      <x:c r="BK141" s="12"/>
      <x:c r="BL141" s="12"/>
      <x:c r="BM141" s="12"/>
      <x:c r="BN141" s="12"/>
      <x:c r="BO141" s="12"/>
      <x:c r="BP141" s="12"/>
      <x:c r="BQ141" s="12"/>
      <x:c r="BR141" s="12"/>
      <x:c r="BS141" s="12"/>
      <x:c r="BT141" s="12"/>
      <x:c r="BU141" s="11" t="n">
        <x:v>34952</x:v>
      </x:c>
      <x:c r="BV141" s="11" t="n">
        <x:v>3475282</x:v>
      </x:c>
      <x:c r="BW141" s="11" t="n">
        <x:v>645872</x:v>
      </x:c>
      <x:c r="BX141" s="11" t="n">
        <x:v>515209</x:v>
      </x:c>
      <x:c r="BY141" s="11" t="n">
        <x:v>0</x:v>
      </x:c>
      <x:c r="BZ141" s="11" t="n">
        <x:v>1326798</x:v>
      </x:c>
      <x:c r="CA141" s="11" t="n">
        <x:v>9591</x:v>
      </x:c>
      <x:c r="CB141" s="11" t="n">
        <x:v>0</x:v>
      </x:c>
      <x:c r="CC141" s="11" t="n">
        <x:v>2541832</x:v>
      </x:c>
      <x:c r="CD141" s="11" t="n">
        <x:v>3126702</x:v>
      </x:c>
      <x:c r="CE141" s="11" t="n">
        <x:v>1618758</x:v>
      </x:c>
      <x:c r="CF141" s="11" t="n">
        <x:v>0</x:v>
      </x:c>
      <x:c r="CG141" s="11" t="n">
        <x:v>624985</x:v>
      </x:c>
      <x:c r="CH141" s="11" t="n">
        <x:v>1678733</x:v>
      </x:c>
      <x:c r="CI141" s="11" t="n">
        <x:v>3401057</x:v>
      </x:c>
      <x:c r="CJ141" s="11" t="n">
        <x:v>2395609</x:v>
      </x:c>
      <x:c r="CK141" s="11" t="n">
        <x:v>2465444</x:v>
      </x:c>
      <x:c r="CL141" s="11" t="n">
        <x:v>262688</x:v>
      </x:c>
      <x:c r="CM141" s="11"/>
      <x:c r="CN141" s="11" t="n">
        <x:v>0</x:v>
      </x:c>
      <x:c r="CO141" s="11" t="n">
        <x:v>0</x:v>
      </x:c>
      <x:c r="CP141" s="8"/>
      <x:c r="CQ141" s="8" t="str">
        <x:v>Tahsis</x:v>
      </x:c>
    </x:row>
    <x:row r="142">
      <x:c r="A142" s="8" t="str">
        <x:v>Comox|2021</x:v>
      </x:c>
      <x:c r="B142" s="8" t="str">
        <x:v>comox-t</x:v>
      </x:c>
      <x:c r="C142" s="8" t="str">
        <x:v>Comox</x:v>
      </x:c>
      <x:c r="D142" s="8" t="str">
        <x:v>Comox</x:v>
      </x:c>
      <x:c r="E142" s="8" t="str">
        <x:v>T</x:v>
      </x:c>
      <x:c r="F142" s="8" t="str">
        <x:v>COM</x:v>
      </x:c>
      <x:c r="G142" s="9" t="n">
        <x:v>2021</x:v>
      </x:c>
      <x:c r="H142" s="10" t="n">
        <x:v>15211</x:v>
      </x:c>
      <x:c r="I142" s="8" t="str">
        <x:v>5,000 to 19,999</x:v>
      </x:c>
      <x:c r="J142" s="11" t="n">
        <x:v>26769389</x:v>
      </x:c>
      <x:c r="K142" s="11" t="n">
        <x:v>23631476</x:v>
      </x:c>
      <x:c r="L142" s="11" t="n">
        <x:v>3137913</x:v>
      </x:c>
      <x:c r="M142" s="12" t="n">
        <x:v>0.11722019505189304</x:v>
      </x:c>
      <x:c r="N142" s="11" t="n">
        <x:v>12188987</x:v>
      </x:c>
      <x:c r="O142" s="11" t="n">
        <x:v>11040045</x:v>
      </x:c>
      <x:c r="P142" s="11" t="n">
        <x:v>1824776</x:v>
      </x:c>
      <x:c r="Q142" s="11" t="n">
        <x:v>1715581</x:v>
      </x:c>
      <x:c r="R142" s="11" t="n">
        <x:v>20324273</x:v>
      </x:c>
      <x:c r="S142" s="11" t="n">
        <x:v>3288082</x:v>
      </x:c>
      <x:c r="T142" s="11" t="n">
        <x:v>48644873</x:v>
      </x:c>
      <x:c r="U142" s="11" t="n">
        <x:v>20445597</x:v>
      </x:c>
      <x:c r="V142" s="11" t="n">
        <x:v>30152164</x:v>
      </x:c>
      <x:c r="W142" s="11" t="n">
        <x:v>19366742</x:v>
      </x:c>
      <x:c r="X142" s="11" t="n">
        <x:v>106459</x:v>
      </x:c>
      <x:c r="Y142" s="11" t="n">
        <x:v>0</x:v>
      </x:c>
      <x:c r="Z142" s="11" t="n">
        <x:v>23225</x:v>
      </x:c>
      <x:c r="AA142" s="11" t="n">
        <x:v>64350</x:v>
      </x:c>
      <x:c r="AB142" s="11" t="n">
        <x:v>19121</x:v>
      </x:c>
      <x:c r="AC142" s="11" t="n">
        <x:v>42346</x:v>
      </x:c>
      <x:c r="AD142" s="11" t="n">
        <x:v>6143671</x:v>
      </x:c>
      <x:c r="AE142" s="11" t="n">
        <x:v>6101325</x:v>
      </x:c>
      <x:c r="AF142" s="11" t="n">
        <x:v>24574685</x:v>
      </x:c>
      <x:c r="AG142" s="11" t="n">
        <x:v>142939029</x:v>
      </x:c>
      <x:c r="AH142" s="11" t="n">
        <x:v>56080084</x:v>
      </x:c>
      <x:c r="AI142" s="11" t="n">
        <x:v>86858945</x:v>
      </x:c>
      <x:c r="AJ142" s="11" t="n">
        <x:v>2435996</x:v>
      </x:c>
      <x:c r="AK142" s="11" t="n">
        <x:v>316940181</x:v>
      </x:c>
      <x:c r="AL142" s="11" t="n">
        <x:v>6233216</x:v>
      </x:c>
      <x:c r="AM142" s="12" t="n">
        <x:v>0.9803331468407283</x:v>
      </x:c>
      <x:c r="AN142" s="12" t="n">
        <x:v>0.007685980339614938</x:v>
      </x:c>
      <x:c r="AO142" s="11" t="n">
        <x:v>21995221</x:v>
      </x:c>
      <x:c r="AP142" s="11" t="n">
        <x:v>21802889</x:v>
      </x:c>
      <x:c r="AQ142" s="12" t="n">
        <x:v>0.9912557368712049</x:v>
      </x:c>
      <x:c r="AR142" s="11" t="n">
        <x:v>1759.8704227203998</x:v>
      </x:c>
      <x:c r="AS142" s="11" t="n">
        <x:v>1553.578068503057</x:v>
      </x:c>
      <x:c r="AT142" s="11" t="n">
        <x:v>1982.2604693971468</x:v>
      </x:c>
      <x:c r="AU142" s="11" t="n">
        <x:v>1273.2063638156596</x:v>
      </x:c>
      <x:c r="AV142" s="11" t="n">
        <x:v>4.230491091972914</x:v>
      </x:c>
      <x:c r="AW142" s="11" t="n">
        <x:v>2.3792346586895947</x:v>
      </x:c>
      <x:c r="AX142" s="12" t="n">
        <x:v>0.9931073783085065</x:v>
      </x:c>
      <x:c r="AY142" s="11"/>
      <x:c r="AZ142" s="11"/>
      <x:c r="BA142" s="11"/>
      <x:c r="BB142" s="11"/>
      <x:c r="BC142" s="11"/>
      <x:c r="BD142" s="11"/>
      <x:c r="BE142" s="11"/>
      <x:c r="BF142" s="11"/>
      <x:c r="BG142" s="11"/>
      <x:c r="BH142" s="11"/>
      <x:c r="BI142" s="11"/>
      <x:c r="BJ142" s="11"/>
      <x:c r="BK142" s="12"/>
      <x:c r="BL142" s="12"/>
      <x:c r="BM142" s="12"/>
      <x:c r="BN142" s="12"/>
      <x:c r="BO142" s="12"/>
      <x:c r="BP142" s="12"/>
      <x:c r="BQ142" s="12"/>
      <x:c r="BR142" s="12"/>
      <x:c r="BS142" s="12"/>
      <x:c r="BT142" s="12"/>
      <x:c r="BU142" s="11" t="n">
        <x:v>1375531</x:v>
      </x:c>
      <x:c r="BV142" s="11" t="n">
        <x:v>401501</x:v>
      </x:c>
      <x:c r="BW142" s="11" t="n">
        <x:v>47744</x:v>
      </x:c>
      <x:c r="BX142" s="11" t="n">
        <x:v>754654</x:v>
      </x:c>
      <x:c r="BY142" s="11" t="n">
        <x:v>0</x:v>
      </x:c>
      <x:c r="BZ142" s="11" t="n">
        <x:v>741875</x:v>
      </x:c>
      <x:c r="CA142" s="11" t="n">
        <x:v>0</x:v>
      </x:c>
      <x:c r="CB142" s="11" t="n">
        <x:v>219052</x:v>
      </x:c>
      <x:c r="CC142" s="11" t="n">
        <x:v>2401813</x:v>
      </x:c>
      <x:c r="CD142" s="11" t="n">
        <x:v>3934189</x:v>
      </x:c>
      <x:c r="CE142" s="11" t="n">
        <x:v>1404944</x:v>
      </x:c>
      <x:c r="CF142" s="11" t="n">
        <x:v>0</x:v>
      </x:c>
      <x:c r="CG142" s="11" t="n">
        <x:v>700043</x:v>
      </x:c>
      <x:c r="CH142" s="11" t="n">
        <x:v>1866777</x:v>
      </x:c>
      <x:c r="CI142" s="11" t="n">
        <x:v>4267206</x:v>
      </x:c>
      <x:c r="CJ142" s="11" t="n">
        <x:v>2726939</x:v>
      </x:c>
      <x:c r="CK142" s="11" t="n">
        <x:v>2794984</x:v>
      </x:c>
      <x:c r="CL142" s="11" t="n">
        <x:v>246499</x:v>
      </x:c>
      <x:c r="CM142" s="11"/>
      <x:c r="CN142" s="11" t="n">
        <x:v>0</x:v>
      </x:c>
      <x:c r="CO142" s="11" t="n">
        <x:v>0</x:v>
      </x:c>
      <x:c r="CP142" s="8"/>
      <x:c r="CQ142" s="8" t="str">
        <x:v>Taylor</x:v>
      </x:c>
    </x:row>
    <x:row r="143">
      <x:c r="A143" s="8" t="str">
        <x:v>Comox|2022</x:v>
      </x:c>
      <x:c r="B143" s="8" t="str">
        <x:v>comox-t</x:v>
      </x:c>
      <x:c r="C143" s="8" t="str">
        <x:v>Comox</x:v>
      </x:c>
      <x:c r="D143" s="8" t="str">
        <x:v>Comox</x:v>
      </x:c>
      <x:c r="E143" s="8" t="str">
        <x:v>T</x:v>
      </x:c>
      <x:c r="F143" s="8" t="str">
        <x:v>COM</x:v>
      </x:c>
      <x:c r="G143" s="9" t="n">
        <x:v>2022</x:v>
      </x:c>
      <x:c r="H143" s="10" t="n">
        <x:v>15378</x:v>
      </x:c>
      <x:c r="I143" s="8" t="str">
        <x:v>5,000 to 19,999</x:v>
      </x:c>
      <x:c r="J143" s="11" t="n">
        <x:v>29514756</x:v>
      </x:c>
      <x:c r="K143" s="11" t="n">
        <x:v>24868650</x:v>
      </x:c>
      <x:c r="L143" s="11" t="n">
        <x:v>4646106</x:v>
      </x:c>
      <x:c r="M143" s="12" t="n">
        <x:v>0.15741637843795828</x:v>
      </x:c>
      <x:c r="N143" s="11" t="n">
        <x:v>12813373</x:v>
      </x:c>
      <x:c r="O143" s="11" t="n">
        <x:v>11262306</x:v>
      </x:c>
      <x:c r="P143" s="11" t="n">
        <x:v>3650754</x:v>
      </x:c>
      <x:c r="Q143" s="11" t="n">
        <x:v>1788323</x:v>
      </x:c>
      <x:c r="R143" s="11" t="n">
        <x:v>21569107</x:v>
      </x:c>
      <x:c r="S143" s="11" t="n">
        <x:v>3278188</x:v>
      </x:c>
      <x:c r="T143" s="11" t="n">
        <x:v>48533559</x:v>
      </x:c>
      <x:c r="U143" s="11" t="n">
        <x:v>18220784</x:v>
      </x:c>
      <x:c r="V143" s="11" t="n">
        <x:v>31810920</x:v>
      </x:c>
      <x:c r="W143" s="11" t="n">
        <x:v>20974585</x:v>
      </x:c>
      <x:c r="X143" s="11" t="n">
        <x:v>64350</x:v>
      </x:c>
      <x:c r="Y143" s="11" t="n">
        <x:v>0</x:v>
      </x:c>
      <x:c r="Z143" s="11" t="n">
        <x:v>23225</x:v>
      </x:c>
      <x:c r="AA143" s="11" t="n">
        <x:v>20371</x:v>
      </x:c>
      <x:c r="AB143" s="11" t="n">
        <x:v>21355</x:v>
      </x:c>
      <x:c r="AC143" s="11" t="n">
        <x:v>44580</x:v>
      </x:c>
      <x:c r="AD143" s="11" t="n">
        <x:v>6384108</x:v>
      </x:c>
      <x:c r="AE143" s="11" t="n">
        <x:v>6339528</x:v>
      </x:c>
      <x:c r="AF143" s="11" t="n">
        <x:v>25536432</x:v>
      </x:c>
      <x:c r="AG143" s="11" t="n">
        <x:v>148981582</x:v>
      </x:c>
      <x:c r="AH143" s="11" t="n">
        <x:v>59226877</x:v>
      </x:c>
      <x:c r="AI143" s="11" t="n">
        <x:v>89754705</x:v>
      </x:c>
      <x:c r="AJ143" s="11" t="n">
        <x:v>6173949</x:v>
      </x:c>
      <x:c r="AK143" s="11" t="n">
        <x:v>362146960</x:v>
      </x:c>
      <x:c r="AL143" s="11" t="n">
        <x:v>7341246</x:v>
      </x:c>
      <x:c r="AM143" s="12" t="n">
        <x:v>0.9797285444560959</x:v>
      </x:c>
      <x:c r="AN143" s="12" t="n">
        <x:v>0.017048186736125025</x:v>
      </x:c>
      <x:c r="AO143" s="11" t="n">
        <x:v>23021448</x:v>
      </x:c>
      <x:c r="AP143" s="11" t="n">
        <x:v>22878681</x:v>
      </x:c>
      <x:c r="AQ143" s="12" t="n">
        <x:v>0.9937985221433508</x:v>
      </x:c>
      <x:c r="AR143" s="11" t="n">
        <x:v>1919.2844323058916</x:v>
      </x:c>
      <x:c r="AS143" s="11" t="n">
        <x:v>1617.1576277799454</x:v>
      </x:c>
      <x:c r="AT143" s="11" t="n">
        <x:v>2068.59929769801</x:v>
      </x:c>
      <x:c r="AU143" s="11" t="n">
        <x:v>1363.9345168422421</x:v>
      </x:c>
      <x:c r="AV143" s="11" t="n">
        <x:v>1.3246846143841853</x:v>
      </x:c>
      <x:c r="AW143" s="11" t="n">
        <x:v>2.663637250735204</x:v>
      </x:c>
      <x:c r="AX143" s="12" t="n">
        <x:v>0.9930170354260924</x:v>
      </x:c>
      <x:c r="AY143" s="11"/>
      <x:c r="AZ143" s="11"/>
      <x:c r="BA143" s="11"/>
      <x:c r="BB143" s="11"/>
      <x:c r="BC143" s="11"/>
      <x:c r="BD143" s="11"/>
      <x:c r="BE143" s="11"/>
      <x:c r="BF143" s="11"/>
      <x:c r="BG143" s="11"/>
      <x:c r="BH143" s="11"/>
      <x:c r="BI143" s="11"/>
      <x:c r="BJ143" s="11"/>
      <x:c r="BK143" s="12"/>
      <x:c r="BL143" s="12"/>
      <x:c r="BM143" s="12"/>
      <x:c r="BN143" s="12"/>
      <x:c r="BO143" s="12"/>
      <x:c r="BP143" s="12"/>
      <x:c r="BQ143" s="12"/>
      <x:c r="BR143" s="12"/>
      <x:c r="BS143" s="12"/>
      <x:c r="BT143" s="12"/>
      <x:c r="BU143" s="11" t="n">
        <x:v>725223</x:v>
      </x:c>
      <x:c r="BV143" s="11" t="n">
        <x:v>2873587</x:v>
      </x:c>
      <x:c r="BW143" s="11" t="n">
        <x:v>51944</x:v>
      </x:c>
      <x:c r="BX143" s="11" t="n">
        <x:v>925021</x:v>
      </x:c>
      <x:c r="BY143" s="11" t="n">
        <x:v>0</x:v>
      </x:c>
      <x:c r="BZ143" s="11" t="n">
        <x:v>685907</x:v>
      </x:c>
      <x:c r="CA143" s="11" t="n">
        <x:v>51332</x:v>
      </x:c>
      <x:c r="CB143" s="11" t="n">
        <x:v>126063</x:v>
      </x:c>
      <x:c r="CC143" s="11" t="n">
        <x:v>3269929</x:v>
      </x:c>
      <x:c r="CD143" s="11" t="n">
        <x:v>4002202</x:v>
      </x:c>
      <x:c r="CE143" s="11" t="n">
        <x:v>1591868</x:v>
      </x:c>
      <x:c r="CF143" s="11" t="n">
        <x:v>0</x:v>
      </x:c>
      <x:c r="CG143" s="11" t="n">
        <x:v>763926</x:v>
      </x:c>
      <x:c r="CH143" s="11" t="n">
        <x:v>2249233</x:v>
      </x:c>
      <x:c r="CI143" s="11" t="n">
        <x:v>4572702</x:v>
      </x:c>
      <x:c r="CJ143" s="11" t="n">
        <x:v>2282613</x:v>
      </x:c>
      <x:c r="CK143" s="11" t="n">
        <x:v>2426131</x:v>
      </x:c>
      <x:c r="CL143" s="11" t="n">
        <x:v>270925</x:v>
      </x:c>
      <x:c r="CM143" s="11"/>
      <x:c r="CN143" s="11" t="n">
        <x:v>160933</x:v>
      </x:c>
      <x:c r="CO143" s="11" t="n">
        <x:v>0</x:v>
      </x:c>
      <x:c r="CP143" s="8"/>
      <x:c r="CQ143" s="8" t="str">
        <x:v>Telkwa</x:v>
      </x:c>
    </x:row>
    <x:row r="144">
      <x:c r="A144" s="8" t="str">
        <x:v>Comox|2023</x:v>
      </x:c>
      <x:c r="B144" s="8" t="str">
        <x:v>comox-t</x:v>
      </x:c>
      <x:c r="C144" s="8" t="str">
        <x:v>Comox</x:v>
      </x:c>
      <x:c r="D144" s="8" t="str">
        <x:v>Comox</x:v>
      </x:c>
      <x:c r="E144" s="8" t="str">
        <x:v>T</x:v>
      </x:c>
      <x:c r="F144" s="8" t="str">
        <x:v>COM</x:v>
      </x:c>
      <x:c r="G144" s="9" t="n">
        <x:v>2023</x:v>
      </x:c>
      <x:c r="H144" s="10" t="n">
        <x:v>15902</x:v>
      </x:c>
      <x:c r="I144" s="8" t="str">
        <x:v>5,000 to 19,999</x:v>
      </x:c>
      <x:c r="J144" s="11" t="n">
        <x:v>38504247</x:v>
      </x:c>
      <x:c r="K144" s="11" t="n">
        <x:v>27319125</x:v>
      </x:c>
      <x:c r="L144" s="11" t="n">
        <x:v>11185122</x:v>
      </x:c>
      <x:c r="M144" s="12" t="n">
        <x:v>0.2904906048415906</x:v>
      </x:c>
      <x:c r="N144" s="11" t="n">
        <x:v>14125882</x:v>
      </x:c>
      <x:c r="O144" s="11" t="n">
        <x:v>13686804</x:v>
      </x:c>
      <x:c r="P144" s="11" t="n">
        <x:v>7993292</x:v>
      </x:c>
      <x:c r="Q144" s="11" t="n">
        <x:v>2698269</x:v>
      </x:c>
      <x:c r="R144" s="11" t="n">
        <x:v>23699339</x:v>
      </x:c>
      <x:c r="S144" s="11" t="n">
        <x:v>3542400</x:v>
      </x:c>
      <x:c r="T144" s="11" t="n">
        <x:v>51755006</x:v>
      </x:c>
      <x:c r="U144" s="11" t="n">
        <x:v>20886098</x:v>
      </x:c>
      <x:c r="V144" s="11" t="n">
        <x:v>33887856</x:v>
      </x:c>
      <x:c r="W144" s="11" t="n">
        <x:v>25537570</x:v>
      </x:c>
      <x:c r="X144" s="11" t="n">
        <x:v>0</x:v>
      </x:c>
      <x:c r="Y144" s="11" t="n">
        <x:v>1804024</x:v>
      </x:c>
      <x:c r="Z144" s="11" t="n">
        <x:v>104477</x:v>
      </x:c>
      <x:c r="AA144" s="11" t="n">
        <x:v>1699547</x:v>
      </x:c>
      <x:c r="AB144" s="11" t="n">
        <x:v>77386</x:v>
      </x:c>
      <x:c r="AC144" s="11" t="n">
        <x:v>181863</x:v>
      </x:c>
      <x:c r="AD144" s="11" t="n">
        <x:v>7555783</x:v>
      </x:c>
      <x:c r="AE144" s="11" t="n">
        <x:v>7373920</x:v>
      </x:c>
      <x:c r="AF144" s="11" t="n">
        <x:v>30223130</x:v>
      </x:c>
      <x:c r="AG144" s="11" t="n">
        <x:v>161326092</x:v>
      </x:c>
      <x:c r="AH144" s="11" t="n">
        <x:v>62258441</x:v>
      </x:c>
      <x:c r="AI144" s="11" t="n">
        <x:v>99067651</x:v>
      </x:c>
      <x:c r="AJ144" s="11" t="n">
        <x:v>12604210</x:v>
      </x:c>
      <x:c r="AK144" s="11" t="n">
        <x:v>374593564</x:v>
      </x:c>
      <x:c r="AL144" s="11" t="n">
        <x:v>7718185</x:v>
      </x:c>
      <x:c r="AM144" s="12" t="n">
        <x:v>0.9793958419424419</x:v>
      </x:c>
      <x:c r="AN144" s="12" t="n">
        <x:v>0.03364769502553439</x:v>
      </x:c>
      <x:c r="AO144" s="11" t="n">
        <x:v>24868801</x:v>
      </x:c>
      <x:c r="AP144" s="11" t="n">
        <x:v>24572523</x:v>
      </x:c>
      <x:c r="AQ144" s="12" t="n">
        <x:v>0.9880863576816591</x:v>
      </x:c>
      <x:c r="AR144" s="11" t="n">
        <x:v>2421.3461828700792</x:v>
      </x:c>
      <x:c r="AS144" s="11" t="n">
        <x:v>1717.9678656772733</x:v>
      </x:c>
      <x:c r="AT144" s="11" t="n">
        <x:v>2131.0436423091437</x:v>
      </x:c>
      <x:c r="AU144" s="11" t="n">
        <x:v>1605.934473651113</x:v>
      </x:c>
      <x:c r="AV144" s="11" t="n">
        <x:v>106.87630486731229</x:v>
      </x:c>
      <x:c r="AW144" s="11" t="n">
        <x:v>2.4779643378097718</x:v>
      </x:c>
      <x:c r="AX144" s="12" t="n">
        <x:v>0.9759306216179051</x:v>
      </x:c>
      <x:c r="AY144" s="11"/>
      <x:c r="AZ144" s="11"/>
      <x:c r="BA144" s="11"/>
      <x:c r="BB144" s="11"/>
      <x:c r="BC144" s="11"/>
      <x:c r="BD144" s="11"/>
      <x:c r="BE144" s="11"/>
      <x:c r="BF144" s="11"/>
      <x:c r="BG144" s="11"/>
      <x:c r="BH144" s="11"/>
      <x:c r="BI144" s="11"/>
      <x:c r="BJ144" s="11"/>
      <x:c r="BK144" s="12"/>
      <x:c r="BL144" s="12"/>
      <x:c r="BM144" s="12"/>
      <x:c r="BN144" s="12"/>
      <x:c r="BO144" s="12"/>
      <x:c r="BP144" s="12"/>
      <x:c r="BQ144" s="12"/>
      <x:c r="BR144" s="12"/>
      <x:c r="BS144" s="12"/>
      <x:c r="BT144" s="12"/>
      <x:c r="BU144" s="11" t="n">
        <x:v>1531605</x:v>
      </x:c>
      <x:c r="BV144" s="11" t="n">
        <x:v>6411344</x:v>
      </x:c>
      <x:c r="BW144" s="11" t="n">
        <x:v>50343</x:v>
      </x:c>
      <x:c r="BX144" s="11" t="n">
        <x:v>1916700</x:v>
      </x:c>
      <x:c r="BY144" s="11" t="n">
        <x:v>0</x:v>
      </x:c>
      <x:c r="BZ144" s="11" t="n">
        <x:v>427543</x:v>
      </x:c>
      <x:c r="CA144" s="11" t="n">
        <x:v>205282</x:v>
      </x:c>
      <x:c r="CB144" s="11" t="n">
        <x:v>148744</x:v>
      </x:c>
      <x:c r="CC144" s="11" t="n">
        <x:v>3542047</x:v>
      </x:c>
      <x:c r="CD144" s="11" t="n">
        <x:v>4522623</x:v>
      </x:c>
      <x:c r="CE144" s="11" t="n">
        <x:v>1863581</x:v>
      </x:c>
      <x:c r="CF144" s="11" t="n">
        <x:v>0</x:v>
      </x:c>
      <x:c r="CG144" s="11" t="n">
        <x:v>687202</x:v>
      </x:c>
      <x:c r="CH144" s="11" t="n">
        <x:v>2323010</x:v>
      </x:c>
      <x:c r="CI144" s="11" t="n">
        <x:v>5014475</x:v>
      </x:c>
      <x:c r="CJ144" s="11" t="n">
        <x:v>2940335</x:v>
      </x:c>
      <x:c r="CK144" s="11" t="n">
        <x:v>2657559</x:v>
      </x:c>
      <x:c r="CL144" s="11" t="n">
        <x:v>201625</x:v>
      </x:c>
      <x:c r="CM144" s="11" t="n">
        <x:v>24268</x:v>
      </x:c>
      <x:c r="CN144" s="11" t="n">
        <x:v>0</x:v>
      </x:c>
      <x:c r="CO144" s="11" t="n">
        <x:v>0</x:v>
      </x:c>
      <x:c r="CP144" s="8"/>
      <x:c r="CQ144" s="8" t="str">
        <x:v>Terrace</x:v>
      </x:c>
    </x:row>
    <x:row r="145">
      <x:c r="A145" s="8" t="str">
        <x:v>Comox|2024</x:v>
      </x:c>
      <x:c r="B145" s="8" t="str">
        <x:v>comox-t</x:v>
      </x:c>
      <x:c r="C145" s="8" t="str">
        <x:v>Comox</x:v>
      </x:c>
      <x:c r="D145" s="8" t="str">
        <x:v>Comox</x:v>
      </x:c>
      <x:c r="E145" s="8" t="str">
        <x:v>T</x:v>
      </x:c>
      <x:c r="F145" s="8" t="str">
        <x:v>COM</x:v>
      </x:c>
      <x:c r="G145" s="9" t="n">
        <x:v>2024</x:v>
      </x:c>
      <x:c r="H145" s="10" t="n">
        <x:v>15902</x:v>
      </x:c>
      <x:c r="I145" s="8" t="str">
        <x:v>5,000 to 19,999</x:v>
      </x:c>
      <x:c r="J145" s="11" t="n">
        <x:v>42685945</x:v>
      </x:c>
      <x:c r="K145" s="11" t="n">
        <x:v>30321349</x:v>
      </x:c>
      <x:c r="L145" s="11" t="n">
        <x:v>12364596</x:v>
      </x:c>
      <x:c r="M145" s="12" t="n">
        <x:v>0.2896643379922829</x:v>
      </x:c>
      <x:c r="N145" s="11" t="n">
        <x:v>15274067</x:v>
      </x:c>
      <x:c r="O145" s="11" t="n">
        <x:v>14086511</x:v>
      </x:c>
      <x:c r="P145" s="11" t="n">
        <x:v>7335560</x:v>
      </x:c>
      <x:c r="Q145" s="11" t="n">
        <x:v>5989807</x:v>
      </x:c>
      <x:c r="R145" s="11" t="n">
        <x:v>26062647</x:v>
      </x:c>
      <x:c r="S145" s="11" t="n">
        <x:v>4060801</x:v>
      </x:c>
      <x:c r="T145" s="11" t="n">
        <x:v>55678866</x:v>
      </x:c>
      <x:c r="U145" s="11" t="n">
        <x:v>21005656</x:v>
      </x:c>
      <x:c r="V145" s="11" t="n">
        <x:v>39459546</x:v>
      </x:c>
      <x:c r="W145" s="11" t="n">
        <x:v>29447824</x:v>
      </x:c>
      <x:c r="X145" s="11" t="n">
        <x:v>1699547</x:v>
      </x:c>
      <x:c r="Y145" s="11" t="n">
        <x:v>1822887</x:v>
      </x:c>
      <x:c r="Z145" s="11" t="n">
        <x:v>483535</x:v>
      </x:c>
      <x:c r="AA145" s="11" t="n">
        <x:v>3038899</x:v>
      </x:c>
      <x:c r="AB145" s="11" t="n">
        <x:v>197901</x:v>
      </x:c>
      <x:c r="AC145" s="11" t="n">
        <x:v>681436</x:v>
      </x:c>
      <x:c r="AD145" s="11" t="n">
        <x:v>8110653</x:v>
      </x:c>
      <x:c r="AE145" s="11" t="n">
        <x:v>7429217</x:v>
      </x:c>
      <x:c r="AF145" s="11" t="n">
        <x:v>32442610</x:v>
      </x:c>
      <x:c r="AG145" s="11" t="n">
        <x:v>171346950</x:v>
      </x:c>
      <x:c r="AH145" s="11" t="n">
        <x:v>65429296</x:v>
      </x:c>
      <x:c r="AI145" s="11" t="n">
        <x:v>105917654</x:v>
      </x:c>
      <x:c r="AJ145" s="11" t="n">
        <x:v>11102068</x:v>
      </x:c>
      <x:c r="AK145" s="11" t="n">
        <x:v>373158230</x:v>
      </x:c>
      <x:c r="AL145" s="11" t="n">
        <x:v>7647410</x:v>
      </x:c>
      <x:c r="AM145" s="12" t="n">
        <x:v>0.9795062539555941</x:v>
      </x:c>
      <x:c r="AN145" s="12" t="n">
        <x:v>0.02975163645727444</x:v>
      </x:c>
      <x:c r="AO145" s="11" t="n">
        <x:v>26890827</x:v>
      </x:c>
      <x:c r="AP145" s="11" t="n">
        <x:v>26336574</x:v>
      </x:c>
      <x:c r="AQ145" s="12" t="n">
        <x:v>0.9793887707507098</x:v>
      </x:c>
      <x:c r="AR145" s="11" t="n">
        <x:v>2684.312979499434</x:v>
      </x:c>
      <x:c r="AS145" s="11" t="n">
        <x:v>1906.7632373286378</x:v>
      </x:c>
      <x:c r="AT145" s="11" t="n">
        <x:v>2481.4203244874857</x:v>
      </x:c>
      <x:c r="AU145" s="11" t="n">
        <x:v>1851.8314677399069</x:v>
      </x:c>
      <x:c r="AV145" s="11" t="n">
        <x:v>191.10168532260093</x:v>
      </x:c>
      <x:c r="AW145" s="11" t="n">
        <x:v>2.6506606601574356</x:v>
      </x:c>
      <x:c r="AX145" s="12" t="n">
        <x:v>0.9159825972088808</x:v>
      </x:c>
      <x:c r="AY145" s="11" t="n">
        <x:v>2866.2208483821423</x:v>
      </x:c>
      <x:c r="AZ145" s="11" t="n">
        <x:v>3546.5079302077975</x:v>
      </x:c>
      <x:c r="BA145" s="11" t="n">
        <x:v>2297.657175284081</x:v>
      </x:c>
      <x:c r="BB145" s="11" t="n">
        <x:v>2783.665107049771</x:v>
      </x:c>
      <x:c r="BC145" s="11" t="n">
        <x:v>1859.732534766857</x:v>
      </x:c>
      <x:c r="BD145" s="11" t="n">
        <x:v>2437.8724475115623</x:v>
      </x:c>
      <x:c r="BE145" s="11" t="n">
        <x:v>918.4907099893891</x:v>
      </x:c>
      <x:c r="BF145" s="11" t="n">
        <x:v>1604.3462673977224</x:v>
      </x:c>
      <x:c r="BG145" s="11" t="n">
        <x:v>814.8464198087386</x:v>
      </x:c>
      <x:c r="BH145" s="11" t="n">
        <x:v>518.5374381567245</x:v>
      </x:c>
      <x:c r="BI145" s="11" t="n">
        <x:v>1.5120151567026447</x:v>
      </x:c>
      <x:c r="BJ145" s="11" t="n">
        <x:v>1.7099330852451193</x:v>
      </x:c>
      <x:c r="BK145" s="12" t="n">
        <x:v>0.024769834473671436</x:v>
      </x:c>
      <x:c r="BL145" s="12" t="n">
        <x:v>0.02529861000232605</x:v>
      </x:c>
      <x:c r="BM145" s="12" t="n">
        <x:v>0.9804574834797263</x:v>
      </x:c>
      <x:c r="BN145" s="12" t="n">
        <x:v>0.9815511712696461</x:v>
      </x:c>
      <x:c r="BO145" s="12" t="n">
        <x:v>0.8566659461626738</x:v>
      </x:c>
      <x:c r="BP145" s="12" t="n">
        <x:v>0.8619101997275483</x:v>
      </x:c>
      <x:c r="BQ145" s="12" t="n">
        <x:v>0.9770312225566793</x:v>
      </x:c>
      <x:c r="BR145" s="12" t="n">
        <x:v>0.9623635142836453</x:v>
      </x:c>
      <x:c r="BS145" s="12" t="n">
        <x:v>0.17479552285244132</x:v>
      </x:c>
      <x:c r="BT145" s="12" t="n">
        <x:v>0.19976549769108282</x:v>
      </x:c>
      <x:c r="BU145" s="11" t="n">
        <x:v>2038005</x:v>
      </x:c>
      <x:c r="BV145" s="11" t="n">
        <x:v>2248076</x:v>
      </x:c>
      <x:c r="BW145" s="11" t="n">
        <x:v>3049479</x:v>
      </x:c>
      <x:c r="BX145" s="11" t="n">
        <x:v>2574887</x:v>
      </x:c>
      <x:c r="BY145" s="11" t="n">
        <x:v>0</x:v>
      </x:c>
      <x:c r="BZ145" s="11" t="n">
        <x:v>3280475</x:v>
      </x:c>
      <x:c r="CA145" s="11" t="n">
        <x:v>0</x:v>
      </x:c>
      <x:c r="CB145" s="11" t="n">
        <x:v>134445</x:v>
      </x:c>
      <x:c r="CC145" s="11" t="n">
        <x:v>3981454</x:v>
      </x:c>
      <x:c r="CD145" s="11" t="n">
        <x:v>4667944</x:v>
      </x:c>
      <x:c r="CE145" s="11" t="n">
        <x:v>2449502</x:v>
      </x:c>
      <x:c r="CF145" s="11" t="n">
        <x:v>0</x:v>
      </x:c>
      <x:c r="CG145" s="11" t="n">
        <x:v>1267644</x:v>
      </x:c>
      <x:c r="CH145" s="11" t="n">
        <x:v>2330072</x:v>
      </x:c>
      <x:c r="CI145" s="11" t="n">
        <x:v>5549463</x:v>
      </x:c>
      <x:c r="CJ145" s="11" t="n">
        <x:v>2889007</x:v>
      </x:c>
      <x:c r="CK145" s="11" t="n">
        <x:v>2964289</x:v>
      </x:c>
      <x:c r="CL145" s="11" t="n">
        <x:v>127561</x:v>
      </x:c>
      <x:c r="CM145" s="11" t="n">
        <x:v>17909</x:v>
      </x:c>
      <x:c r="CN145" s="11" t="n">
        <x:v>15703</x:v>
      </x:c>
      <x:c r="CO145" s="11" t="n">
        <x:v>0</x:v>
      </x:c>
      <x:c r="CP145" s="8"/>
      <x:c r="CQ145" s="8" t="str">
        <x:v>Tofino</x:v>
      </x:c>
    </x:row>
    <x:row r="146">
      <x:c r="A146" s="8" t="str">
        <x:v>Coquitlam|2019</x:v>
      </x:c>
      <x:c r="B146" s="8" t="str">
        <x:v>coquitlam-c</x:v>
      </x:c>
      <x:c r="C146" s="8" t="str">
        <x:v>Coquitlam</x:v>
      </x:c>
      <x:c r="D146" s="8" t="str">
        <x:v>Coquitlam</x:v>
      </x:c>
      <x:c r="E146" s="8" t="str">
        <x:v>C</x:v>
      </x:c>
      <x:c r="F146" s="8" t="str">
        <x:v>GVR</x:v>
      </x:c>
      <x:c r="G146" s="9" t="n">
        <x:v>2019</x:v>
      </x:c>
      <x:c r="H146" s="10" t="n">
        <x:v>149894</x:v>
      </x:c>
      <x:c r="I146" s="8" t="str">
        <x:v>100,000 and over</x:v>
      </x:c>
      <x:c r="J146" s="11" t="n">
        <x:v>479367961</x:v>
      </x:c>
      <x:c r="K146" s="11" t="n">
        <x:v>264403381</x:v>
      </x:c>
      <x:c r="L146" s="11" t="n">
        <x:v>214964580</x:v>
      </x:c>
      <x:c r="M146" s="12" t="n">
        <x:v>0.4484333486776351</x:v>
      </x:c>
      <x:c r="N146" s="11" t="n">
        <x:v>176266086</x:v>
      </x:c>
      <x:c r="O146" s="11" t="n">
        <x:v>79653689</x:v>
      </x:c>
      <x:c r="P146" s="11" t="n">
        <x:v>17454353</x:v>
      </x:c>
      <x:c r="Q146" s="11" t="n">
        <x:v>205993833</x:v>
      </x:c>
      <x:c r="R146" s="11" t="n">
        <x:v>224018762</x:v>
      </x:c>
      <x:c r="S146" s="11" t="n">
        <x:v>39537352</x:v>
      </x:c>
      <x:c r="T146" s="11" t="n">
        <x:v>786062000</x:v>
      </x:c>
      <x:c r="U146" s="11" t="n">
        <x:v>197153116</x:v>
      </x:c>
      <x:c r="V146" s="11" t="n">
        <x:v>632447000</x:v>
      </x:c>
      <x:c r="W146" s="11" t="n">
        <x:v>254572000</x:v>
      </x:c>
      <x:c r="X146" s="11" t="n">
        <x:v>17276734</x:v>
      </x:c>
      <x:c r="Y146" s="11" t="n">
        <x:v>0</x:v>
      </x:c>
      <x:c r="Z146" s="11" t="n">
        <x:v>1006602</x:v>
      </x:c>
      <x:c r="AA146" s="11" t="n">
        <x:v>15910781</x:v>
      </x:c>
      <x:c r="AB146" s="11" t="n">
        <x:v>847267</x:v>
      </x:c>
      <x:c r="AC146" s="11" t="n">
        <x:v>1853869</x:v>
      </x:c>
      <x:c r="AD146" s="11" t="n">
        <x:v>70718383</x:v>
      </x:c>
      <x:c r="AE146" s="11" t="n">
        <x:v>68864514</x:v>
      </x:c>
      <x:c r="AF146" s="11" t="n">
        <x:v>282873530</x:v>
      </x:c>
      <x:c r="AG146" s="11" t="n">
        <x:v>2762021762</x:v>
      </x:c>
      <x:c r="AH146" s="11" t="n">
        <x:v>654015762</x:v>
      </x:c>
      <x:c r="AI146" s="11" t="n">
        <x:v>2108006000</x:v>
      </x:c>
      <x:c r="AJ146" s="11" t="n">
        <x:v>149461877</x:v>
      </x:c>
      <x:c r="AK146" s="11" t="n">
        <x:v>4664863788</x:v>
      </x:c>
      <x:c r="AL146" s="11" t="n">
        <x:v>61350181</x:v>
      </x:c>
      <x:c r="AM146" s="12" t="n">
        <x:v>0.9868484517902069</x:v>
      </x:c>
      <x:c r="AN146" s="12" t="n">
        <x:v>0.03203992309153358</x:v>
      </x:c>
      <x:c r="AO146" s="11" t="n">
        <x:v>290198151</x:v>
      </x:c>
      <x:c r="AP146" s="11" t="n">
        <x:v>285200526</x:v>
      </x:c>
      <x:c r="AQ146" s="12" t="n">
        <x:v>0.982778577386594</x:v>
      </x:c>
      <x:c r="AR146" s="11" t="n">
        <x:v>3198.0463594273288</x:v>
      </x:c>
      <x:c r="AS146" s="11" t="n">
        <x:v>1763.9357212430118</x:v>
      </x:c>
      <x:c r="AT146" s="11" t="n">
        <x:v>4219.294968444367</x:v>
      </x:c>
      <x:c r="AU146" s="11" t="n">
        <x:v>1698.3468317611112</x:v>
      </x:c>
      <x:c r="AV146" s="11" t="n">
        <x:v>106.14688379788383</x:v>
      </x:c>
      <x:c r="AW146" s="11" t="n">
        <x:v>3.987063536951655</x:v>
      </x:c>
      <x:c r="AX146" s="12" t="n">
        <x:v>0.973785189630255</x:v>
      </x:c>
      <x:c r="AY146" s="11"/>
      <x:c r="AZ146" s="11"/>
      <x:c r="BA146" s="11"/>
      <x:c r="BB146" s="11"/>
      <x:c r="BC146" s="11"/>
      <x:c r="BD146" s="11"/>
      <x:c r="BE146" s="11"/>
      <x:c r="BF146" s="11"/>
      <x:c r="BG146" s="11"/>
      <x:c r="BH146" s="11"/>
      <x:c r="BI146" s="11"/>
      <x:c r="BJ146" s="11"/>
      <x:c r="BK146" s="12"/>
      <x:c r="BL146" s="12"/>
      <x:c r="BM146" s="12"/>
      <x:c r="BN146" s="12"/>
      <x:c r="BO146" s="12"/>
      <x:c r="BP146" s="12"/>
      <x:c r="BQ146" s="12"/>
      <x:c r="BR146" s="12"/>
      <x:c r="BS146" s="12"/>
      <x:c r="BT146" s="12"/>
      <x:c r="BU146" s="11" t="n">
        <x:v>1113572</x:v>
      </x:c>
      <x:c r="BV146" s="11" t="n">
        <x:v>10155838</x:v>
      </x:c>
      <x:c r="BW146" s="11" t="n">
        <x:v>6184943</x:v>
      </x:c>
      <x:c r="BX146" s="11" t="n">
        <x:v>17959720</x:v>
      </x:c>
      <x:c r="BY146" s="11" t="n">
        <x:v>0</x:v>
      </x:c>
      <x:c r="BZ146" s="11" t="n">
        <x:v>127607049</x:v>
      </x:c>
      <x:c r="CA146" s="11" t="n">
        <x:v>60427064</x:v>
      </x:c>
      <x:c r="CB146" s="11" t="n">
        <x:v>0</x:v>
      </x:c>
      <x:c r="CC146" s="11" t="n">
        <x:v>19765564</x:v>
      </x:c>
      <x:c r="CD146" s="11" t="n">
        <x:v>66602459</x:v>
      </x:c>
      <x:c r="CE146" s="11" t="n">
        <x:v>7224905</x:v>
      </x:c>
      <x:c r="CF146" s="11" t="n">
        <x:v>0</x:v>
      </x:c>
      <x:c r="CG146" s="11" t="n">
        <x:v>11095599</x:v>
      </x:c>
      <x:c r="CH146" s="11" t="n">
        <x:v>19303894</x:v>
      </x:c>
      <x:c r="CI146" s="11" t="n">
        <x:v>49915703</x:v>
      </x:c>
      <x:c r="CJ146" s="11" t="n">
        <x:v>23304835</x:v>
      </x:c>
      <x:c r="CK146" s="11" t="n">
        <x:v>26144998</x:v>
      </x:c>
      <x:c r="CL146" s="11" t="n">
        <x:v>1508072</x:v>
      </x:c>
      <x:c r="CM146" s="11"/>
      <x:c r="CN146" s="11" t="n">
        <x:v>0</x:v>
      </x:c>
      <x:c r="CO146" s="11" t="n">
        <x:v>0</x:v>
      </x:c>
      <x:c r="CP146" s="8"/>
      <x:c r="CQ146" s="8" t="str">
        <x:v>Trail</x:v>
      </x:c>
    </x:row>
    <x:row r="147">
      <x:c r="A147" s="8" t="str">
        <x:v>Coquitlam|2020</x:v>
      </x:c>
      <x:c r="B147" s="8" t="str">
        <x:v>coquitlam-c</x:v>
      </x:c>
      <x:c r="C147" s="8" t="str">
        <x:v>Coquitlam</x:v>
      </x:c>
      <x:c r="D147" s="8" t="str">
        <x:v>Coquitlam</x:v>
      </x:c>
      <x:c r="E147" s="8" t="str">
        <x:v>C</x:v>
      </x:c>
      <x:c r="F147" s="8" t="str">
        <x:v>GVR</x:v>
      </x:c>
      <x:c r="G147" s="9" t="n">
        <x:v>2020</x:v>
      </x:c>
      <x:c r="H147" s="10" t="n">
        <x:v>152734</x:v>
      </x:c>
      <x:c r="I147" s="8" t="str">
        <x:v>100,000 and over</x:v>
      </x:c>
      <x:c r="J147" s="11" t="n">
        <x:v>416833927</x:v>
      </x:c>
      <x:c r="K147" s="11" t="n">
        <x:v>270804927</x:v>
      </x:c>
      <x:c r="L147" s="11" t="n">
        <x:v>146029000</x:v>
      </x:c>
      <x:c r="M147" s="12" t="n">
        <x:v>0.35032896926357915</x:v>
      </x:c>
      <x:c r="N147" s="11" t="n">
        <x:v>182728882</x:v>
      </x:c>
      <x:c r="O147" s="11" t="n">
        <x:v>84998733</x:v>
      </x:c>
      <x:c r="P147" s="11" t="n">
        <x:v>18787688</x:v>
      </x:c>
      <x:c r="Q147" s="11" t="n">
        <x:v>130318624</x:v>
      </x:c>
      <x:c r="R147" s="11" t="n">
        <x:v>228459399</x:v>
      </x:c>
      <x:c r="S147" s="11" t="n">
        <x:v>41535528</x:v>
      </x:c>
      <x:c r="T147" s="11" t="n">
        <x:v>915579000</x:v>
      </x:c>
      <x:c r="U147" s="11" t="n">
        <x:v>259253373</x:v>
      </x:c>
      <x:c r="V147" s="11" t="n">
        <x:v>707090208</x:v>
      </x:c>
      <x:c r="W147" s="11" t="n">
        <x:v>281045000</x:v>
      </x:c>
      <x:c r="X147" s="11" t="n">
        <x:v>15910781</x:v>
      </x:c>
      <x:c r="Y147" s="11" t="n">
        <x:v>0</x:v>
      </x:c>
      <x:c r="Z147" s="11" t="n">
        <x:v>991184</x:v>
      </x:c>
      <x:c r="AA147" s="11" t="n">
        <x:v>14654751</x:v>
      </x:c>
      <x:c r="AB147" s="11" t="n">
        <x:v>810000</x:v>
      </x:c>
      <x:c r="AC147" s="11" t="n">
        <x:v>1727014</x:v>
      </x:c>
      <x:c r="AD147" s="11" t="n">
        <x:v>72388924</x:v>
      </x:c>
      <x:c r="AE147" s="11" t="n">
        <x:v>70661910</x:v>
      </x:c>
      <x:c r="AF147" s="11" t="n">
        <x:v>289555697</x:v>
      </x:c>
      <x:c r="AG147" s="11" t="n">
        <x:v>2868807146</x:v>
      </x:c>
      <x:c r="AH147" s="11" t="n">
        <x:v>689312146</x:v>
      </x:c>
      <x:c r="AI147" s="11" t="n">
        <x:v>2179495000</x:v>
      </x:c>
      <x:c r="AJ147" s="11" t="n">
        <x:v>115732986</x:v>
      </x:c>
      <x:c r="AK147" s="11" t="n">
        <x:v>4396662167</x:v>
      </x:c>
      <x:c r="AL147" s="11" t="n">
        <x:v>64031375</x:v>
      </x:c>
      <x:c r="AM147" s="12" t="n">
        <x:v>0.9854363668237692</x:v>
      </x:c>
      <x:c r="AN147" s="12" t="n">
        <x:v>0.026322919888786624</x:v>
      </x:c>
      <x:c r="AO147" s="11" t="n">
        <x:v>279840755</x:v>
      </x:c>
      <x:c r="AP147" s="11" t="n">
        <x:v>272450436</x:v>
      </x:c>
      <x:c r="AQ147" s="12" t="n">
        <x:v>0.9735909839151199</x:v>
      </x:c>
      <x:c r="AR147" s="11" t="n">
        <x:v>2729.149547579452</x:v>
      </x:c>
      <x:c r="AS147" s="11" t="n">
        <x:v>1773.0493996097791</x:v>
      </x:c>
      <x:c r="AT147" s="11" t="n">
        <x:v>4629.5533934814775</x:v>
      </x:c>
      <x:c r="AU147" s="11" t="n">
        <x:v>1840.0945434546336</x:v>
      </x:c>
      <x:c r="AV147" s="11" t="n">
        <x:v>95.94950043867115</x:v>
      </x:c>
      <x:c r="AW147" s="11" t="n">
        <x:v>3.5315991819323407</x:v>
      </x:c>
      <x:c r="AX147" s="12" t="n">
        <x:v>0.9761425656775891</x:v>
      </x:c>
      <x:c r="AY147" s="11"/>
      <x:c r="AZ147" s="11"/>
      <x:c r="BA147" s="11"/>
      <x:c r="BB147" s="11"/>
      <x:c r="BC147" s="11"/>
      <x:c r="BD147" s="11"/>
      <x:c r="BE147" s="11"/>
      <x:c r="BF147" s="11"/>
      <x:c r="BG147" s="11"/>
      <x:c r="BH147" s="11"/>
      <x:c r="BI147" s="11"/>
      <x:c r="BJ147" s="11"/>
      <x:c r="BK147" s="12"/>
      <x:c r="BL147" s="12"/>
      <x:c r="BM147" s="12"/>
      <x:c r="BN147" s="12"/>
      <x:c r="BO147" s="12"/>
      <x:c r="BP147" s="12"/>
      <x:c r="BQ147" s="12"/>
      <x:c r="BR147" s="12"/>
      <x:c r="BS147" s="12"/>
      <x:c r="BT147" s="12"/>
      <x:c r="BU147" s="11" t="n">
        <x:v>150000</x:v>
      </x:c>
      <x:c r="BV147" s="11" t="n">
        <x:v>11693583</x:v>
      </x:c>
      <x:c r="BW147" s="11" t="n">
        <x:v>6944105</x:v>
      </x:c>
      <x:c r="BX147" s="11" t="n">
        <x:v>19111289</x:v>
      </x:c>
      <x:c r="BY147" s="11" t="n">
        <x:v>0</x:v>
      </x:c>
      <x:c r="BZ147" s="11" t="n">
        <x:v>74319335</x:v>
      </x:c>
      <x:c r="CA147" s="11" t="n">
        <x:v>36888000</x:v>
      </x:c>
      <x:c r="CB147" s="11" t="n">
        <x:v>0</x:v>
      </x:c>
      <x:c r="CC147" s="11" t="n">
        <x:v>18562161</x:v>
      </x:c>
      <x:c r="CD147" s="11" t="n">
        <x:v>71349595</x:v>
      </x:c>
      <x:c r="CE147" s="11" t="n">
        <x:v>7761000</x:v>
      </x:c>
      <x:c r="CF147" s="11" t="n">
        <x:v>0</x:v>
      </x:c>
      <x:c r="CG147" s="11" t="n">
        <x:v>10183000</x:v>
      </x:c>
      <x:c r="CH147" s="11" t="n">
        <x:v>20775198</x:v>
      </x:c>
      <x:c r="CI147" s="11" t="n">
        <x:v>47855356</x:v>
      </x:c>
      <x:c r="CJ147" s="11" t="n">
        <x:v>24950178</x:v>
      </x:c>
      <x:c r="CK147" s="11" t="n">
        <x:v>26927328</x:v>
      </x:c>
      <x:c r="CL147" s="11" t="n">
        <x:v>905583</x:v>
      </x:c>
      <x:c r="CM147" s="11"/>
      <x:c r="CN147" s="11" t="n">
        <x:v>0</x:v>
      </x:c>
      <x:c r="CO147" s="11" t="n">
        <x:v>0</x:v>
      </x:c>
      <x:c r="CP147" s="8"/>
      <x:c r="CQ147" s="8" t="str">
        <x:v>Tumbler Ridge</x:v>
      </x:c>
    </x:row>
    <x:row r="148">
      <x:c r="A148" s="8" t="str">
        <x:v>Coquitlam|2021</x:v>
      </x:c>
      <x:c r="B148" s="8" t="str">
        <x:v>coquitlam-c</x:v>
      </x:c>
      <x:c r="C148" s="8" t="str">
        <x:v>Coquitlam</x:v>
      </x:c>
      <x:c r="D148" s="8" t="str">
        <x:v>Coquitlam</x:v>
      </x:c>
      <x:c r="E148" s="8" t="str">
        <x:v>C</x:v>
      </x:c>
      <x:c r="F148" s="8" t="str">
        <x:v>MVRD</x:v>
      </x:c>
      <x:c r="G148" s="9" t="n">
        <x:v>2021</x:v>
      </x:c>
      <x:c r="H148" s="10" t="n">
        <x:v>154381</x:v>
      </x:c>
      <x:c r="I148" s="8" t="str">
        <x:v>100,000 and over</x:v>
      </x:c>
      <x:c r="J148" s="11" t="n">
        <x:v>466137252</x:v>
      </x:c>
      <x:c r="K148" s="11" t="n">
        <x:v>287123182</x:v>
      </x:c>
      <x:c r="L148" s="11" t="n">
        <x:v>179014070</x:v>
      </x:c>
      <x:c r="M148" s="12" t="n">
        <x:v>0.3840372534740047</x:v>
      </x:c>
      <x:c r="N148" s="11" t="n">
        <x:v>192059312</x:v>
      </x:c>
      <x:c r="O148" s="11" t="n">
        <x:v>129793381</x:v>
      </x:c>
      <x:c r="P148" s="11" t="n">
        <x:v>12344638</x:v>
      </x:c>
      <x:c r="Q148" s="11" t="n">
        <x:v>131939921</x:v>
      </x:c>
      <x:c r="R148" s="11" t="n">
        <x:v>244607950</x:v>
      </x:c>
      <x:c r="S148" s="11" t="n">
        <x:v>41728618</x:v>
      </x:c>
      <x:c r="T148" s="11" t="n">
        <x:v>970999000</x:v>
      </x:c>
      <x:c r="U148" s="11" t="n">
        <x:v>263727463</x:v>
      </x:c>
      <x:c r="V148" s="11" t="n">
        <x:v>765691416</x:v>
      </x:c>
      <x:c r="W148" s="11" t="n">
        <x:v>285869203</x:v>
      </x:c>
      <x:c r="X148" s="11" t="n">
        <x:v>14654751</x:v>
      </x:c>
      <x:c r="Y148" s="11" t="n">
        <x:v>0</x:v>
      </x:c>
      <x:c r="Z148" s="11" t="n">
        <x:v>910495</x:v>
      </x:c>
      <x:c r="AA148" s="11" t="n">
        <x:v>13396000</x:v>
      </x:c>
      <x:c r="AB148" s="11" t="n">
        <x:v>786614</x:v>
      </x:c>
      <x:c r="AC148" s="11" t="n">
        <x:v>1718368</x:v>
      </x:c>
      <x:c r="AD148" s="11" t="n">
        <x:v>85622704</x:v>
      </x:c>
      <x:c r="AE148" s="11" t="n">
        <x:v>83904336</x:v>
      </x:c>
      <x:c r="AF148" s="11" t="n">
        <x:v>342490814</x:v>
      </x:c>
      <x:c r="AG148" s="11" t="n">
        <x:v>3019435280</x:v>
      </x:c>
      <x:c r="AH148" s="11" t="n">
        <x:v>722352493</x:v>
      </x:c>
      <x:c r="AI148" s="11" t="n">
        <x:v>2297082787</x:v>
      </x:c>
      <x:c r="AJ148" s="11" t="n">
        <x:v>165606000</x:v>
      </x:c>
      <x:c r="AK148" s="11" t="n">
        <x:v>4744735288</x:v>
      </x:c>
      <x:c r="AL148" s="11" t="n">
        <x:v>69377223</x:v>
      </x:c>
      <x:c r="AM148" s="12" t="n">
        <x:v>0.9853780624652626</x:v>
      </x:c>
      <x:c r="AN148" s="12" t="n">
        <x:v>0.034903106274197696</x:v>
      </x:c>
      <x:c r="AO148" s="11" t="n">
        <x:v>312269083</x:v>
      </x:c>
      <x:c r="AP148" s="11" t="n">
        <x:v>306910839</x:v>
      </x:c>
      <x:c r="AQ148" s="12" t="n">
        <x:v>0.9828409397801319</x:v>
      </x:c>
      <x:c r="AR148" s="11" t="n">
        <x:v>3019.395210550521</x:v>
      </x:c>
      <x:c r="AS148" s="11" t="n">
        <x:v>1859.8349667381349</x:v>
      </x:c>
      <x:c r="AT148" s="11" t="n">
        <x:v>4959.751627467111</x:v>
      </x:c>
      <x:c r="AU148" s="11" t="n">
        <x:v>1851.7123415446201</x:v>
      </x:c>
      <x:c r="AV148" s="11" t="n">
        <x:v>86.77233597398643</x:v>
      </x:c>
      <x:c r="AW148" s="11" t="n">
        <x:v>3.6818274022527566</x:v>
      </x:c>
      <x:c r="AX148" s="12" t="n">
        <x:v>0.9799309304690962</x:v>
      </x:c>
      <x:c r="AY148" s="11"/>
      <x:c r="AZ148" s="11"/>
      <x:c r="BA148" s="11"/>
      <x:c r="BB148" s="11"/>
      <x:c r="BC148" s="11"/>
      <x:c r="BD148" s="11"/>
      <x:c r="BE148" s="11"/>
      <x:c r="BF148" s="11"/>
      <x:c r="BG148" s="11"/>
      <x:c r="BH148" s="11"/>
      <x:c r="BI148" s="11"/>
      <x:c r="BJ148" s="11"/>
      <x:c r="BK148" s="12"/>
      <x:c r="BL148" s="12"/>
      <x:c r="BM148" s="12"/>
      <x:c r="BN148" s="12"/>
      <x:c r="BO148" s="12"/>
      <x:c r="BP148" s="12"/>
      <x:c r="BQ148" s="12"/>
      <x:c r="BR148" s="12"/>
      <x:c r="BS148" s="12"/>
      <x:c r="BT148" s="12"/>
      <x:c r="BU148" s="11" t="n">
        <x:v>975367</x:v>
      </x:c>
      <x:c r="BV148" s="11" t="n">
        <x:v>6258159</x:v>
      </x:c>
      <x:c r="BW148" s="11" t="n">
        <x:v>5111112</x:v>
      </x:c>
      <x:c r="BX148" s="11" t="n">
        <x:v>15497380</x:v>
      </x:c>
      <x:c r="BY148" s="11" t="n">
        <x:v>0</x:v>
      </x:c>
      <x:c r="BZ148" s="11" t="n">
        <x:v>83865852</x:v>
      </x:c>
      <x:c r="CA148" s="11" t="n">
        <x:v>32576689</x:v>
      </x:c>
      <x:c r="CB148" s="11" t="n">
        <x:v>0</x:v>
      </x:c>
      <x:c r="CC148" s="11" t="n">
        <x:v>26262510</x:v>
      </x:c>
      <x:c r="CD148" s="11" t="n">
        <x:v>75493606</x:v>
      </x:c>
      <x:c r="CE148" s="11" t="n">
        <x:v>7884951</x:v>
      </x:c>
      <x:c r="CF148" s="11" t="n">
        <x:v>0</x:v>
      </x:c>
      <x:c r="CG148" s="11" t="n">
        <x:v>11519995</x:v>
      </x:c>
      <x:c r="CH148" s="11" t="n">
        <x:v>19032426</x:v>
      </x:c>
      <x:c r="CI148" s="11" t="n">
        <x:v>48488854</x:v>
      </x:c>
      <x:c r="CJ148" s="11" t="n">
        <x:v>27294354</x:v>
      </x:c>
      <x:c r="CK148" s="11" t="n">
        <x:v>28369677</x:v>
      </x:c>
      <x:c r="CL148" s="11" t="n">
        <x:v>1048191</x:v>
      </x:c>
      <x:c r="CM148" s="11"/>
      <x:c r="CN148" s="11" t="n">
        <x:v>0</x:v>
      </x:c>
      <x:c r="CO148" s="11" t="n">
        <x:v>0</x:v>
      </x:c>
      <x:c r="CP148" s="8"/>
      <x:c r="CQ148" s="8" t="str">
        <x:v>Ucluelet</x:v>
      </x:c>
    </x:row>
    <x:row r="149">
      <x:c r="A149" s="8" t="str">
        <x:v>Coquitlam|2022</x:v>
      </x:c>
      <x:c r="B149" s="8" t="str">
        <x:v>coquitlam-c</x:v>
      </x:c>
      <x:c r="C149" s="8" t="str">
        <x:v>Coquitlam</x:v>
      </x:c>
      <x:c r="D149" s="8" t="str">
        <x:v>Coquitlam</x:v>
      </x:c>
      <x:c r="E149" s="8" t="str">
        <x:v>C</x:v>
      </x:c>
      <x:c r="F149" s="8" t="str">
        <x:v>MVRD</x:v>
      </x:c>
      <x:c r="G149" s="9" t="n">
        <x:v>2022</x:v>
      </x:c>
      <x:c r="H149" s="10" t="n">
        <x:v>159285</x:v>
      </x:c>
      <x:c r="I149" s="8" t="str">
        <x:v>100,000 and over</x:v>
      </x:c>
      <x:c r="J149" s="11" t="n">
        <x:v>541929000</x:v>
      </x:c>
      <x:c r="K149" s="11" t="n">
        <x:v>308334000</x:v>
      </x:c>
      <x:c r="L149" s="11" t="n">
        <x:v>233595000</x:v>
      </x:c>
      <x:c r="M149" s="12" t="n">
        <x:v>0.4310435499853302</x:v>
      </x:c>
      <x:c r="N149" s="11" t="n">
        <x:v>178420000</x:v>
      </x:c>
      <x:c r="O149" s="11" t="n">
        <x:v>180474387</x:v>
      </x:c>
      <x:c r="P149" s="11" t="n">
        <x:v>17342000</x:v>
      </x:c>
      <x:c r="Q149" s="11" t="n">
        <x:v>165692613</x:v>
      </x:c>
      <x:c r="R149" s="11" t="n">
        <x:v>263481858</x:v>
      </x:c>
      <x:c r="S149" s="11" t="n">
        <x:v>44104000</x:v>
      </x:c>
      <x:c r="T149" s="11" t="n">
        <x:v>1116892000</x:v>
      </x:c>
      <x:c r="U149" s="11" t="n">
        <x:v>307589000</x:v>
      </x:c>
      <x:c r="V149" s="11" t="n">
        <x:v>895850000</x:v>
      </x:c>
      <x:c r="W149" s="11" t="n">
        <x:v>745194000</x:v>
      </x:c>
      <x:c r="X149" s="11" t="n">
        <x:v>13396000</x:v>
      </x:c>
      <x:c r="Y149" s="11" t="n">
        <x:v>0</x:v>
      </x:c>
      <x:c r="Z149" s="11" t="n">
        <x:v>889955</x:v>
      </x:c>
      <x:c r="AA149" s="11" t="n">
        <x:v>12227000</x:v>
      </x:c>
      <x:c r="AB149" s="11" t="n">
        <x:v>748142</x:v>
      </x:c>
      <x:c r="AC149" s="11" t="n">
        <x:v>1638097</x:v>
      </x:c>
      <x:c r="AD149" s="11" t="n">
        <x:v>100491932</x:v>
      </x:c>
      <x:c r="AE149" s="11" t="n">
        <x:v>98853835</x:v>
      </x:c>
      <x:c r="AF149" s="11" t="n">
        <x:v>401967727</x:v>
      </x:c>
      <x:c r="AG149" s="11" t="n">
        <x:v>3160130000</x:v>
      </x:c>
      <x:c r="AH149" s="11" t="n">
        <x:v>758853000</x:v>
      </x:c>
      <x:c r="AI149" s="11" t="n">
        <x:v>2401277000</x:v>
      </x:c>
      <x:c r="AJ149" s="11" t="n">
        <x:v>162709000</x:v>
      </x:c>
      <x:c r="AK149" s="11" t="n">
        <x:v>5634538000</x:v>
      </x:c>
      <x:c r="AL149" s="11" t="n">
        <x:v>66335000</x:v>
      </x:c>
      <x:c r="AM149" s="12" t="n">
        <x:v>0.9882270738080035</x:v>
      </x:c>
      <x:c r="AN149" s="12" t="n">
        <x:v>0.02887707918555168</x:v>
      </x:c>
      <x:c r="AO149" s="11" t="n">
        <x:v>303424000</x:v>
      </x:c>
      <x:c r="AP149" s="11" t="n">
        <x:v>298159000</x:v>
      </x:c>
      <x:c r="AQ149" s="12" t="n">
        <x:v>0.9826480436616748</x:v>
      </x:c>
      <x:c r="AR149" s="11" t="n">
        <x:v>3402.2600998210755</x:v>
      </x:c>
      <x:c r="AS149" s="11" t="n">
        <x:v>1935.7378284207552</x:v>
      </x:c>
      <x:c r="AT149" s="11" t="n">
        <x:v>5624.195624195624</x:v>
      </x:c>
      <x:c r="AU149" s="11" t="n">
        <x:v>4678.3689612957905</x:v>
      </x:c>
      <x:c r="AV149" s="11" t="n">
        <x:v>76.76177920080359</x:v>
      </x:c>
      <x:c r="AW149" s="11" t="n">
        <x:v>3.6311181479181633</x:v>
      </x:c>
      <x:c r="AX149" s="12" t="n">
        <x:v>0.9836992187591737</x:v>
      </x:c>
      <x:c r="AY149" s="11"/>
      <x:c r="AZ149" s="11"/>
      <x:c r="BA149" s="11"/>
      <x:c r="BB149" s="11"/>
      <x:c r="BC149" s="11"/>
      <x:c r="BD149" s="11"/>
      <x:c r="BE149" s="11"/>
      <x:c r="BF149" s="11"/>
      <x:c r="BG149" s="11"/>
      <x:c r="BH149" s="11"/>
      <x:c r="BI149" s="11"/>
      <x:c r="BJ149" s="11"/>
      <x:c r="BK149" s="12"/>
      <x:c r="BL149" s="12"/>
      <x:c r="BM149" s="12"/>
      <x:c r="BN149" s="12"/>
      <x:c r="BO149" s="12"/>
      <x:c r="BP149" s="12"/>
      <x:c r="BQ149" s="12"/>
      <x:c r="BR149" s="12"/>
      <x:c r="BS149" s="12"/>
      <x:c r="BT149" s="12"/>
      <x:c r="BU149" s="11" t="n">
        <x:v>618000</x:v>
      </x:c>
      <x:c r="BV149" s="11" t="n">
        <x:v>10796000</x:v>
      </x:c>
      <x:c r="BW149" s="11" t="n">
        <x:v>5928000</x:v>
      </x:c>
      <x:c r="BX149" s="11" t="n">
        <x:v>23412000</x:v>
      </x:c>
      <x:c r="BY149" s="11" t="n">
        <x:v>0</x:v>
      </x:c>
      <x:c r="BZ149" s="11" t="n">
        <x:v>76730613</x:v>
      </x:c>
      <x:c r="CA149" s="11" t="n">
        <x:v>54349000</x:v>
      </x:c>
      <x:c r="CB149" s="11" t="n">
        <x:v>11201000</x:v>
      </x:c>
      <x:c r="CC149" s="11" t="n">
        <x:v>27773000</x:v>
      </x:c>
      <x:c r="CD149" s="11" t="n">
        <x:v>78123000</x:v>
      </x:c>
      <x:c r="CE149" s="11" t="n">
        <x:v>8051000</x:v>
      </x:c>
      <x:c r="CF149" s="11" t="n">
        <x:v>0</x:v>
      </x:c>
      <x:c r="CG149" s="11" t="n">
        <x:v>11703000</x:v>
      </x:c>
      <x:c r="CH149" s="11" t="n">
        <x:v>19131000</x:v>
      </x:c>
      <x:c r="CI149" s="11" t="n">
        <x:v>58163000</x:v>
      </x:c>
      <x:c r="CJ149" s="11" t="n">
        <x:v>28393000</x:v>
      </x:c>
      <x:c r="CK149" s="11" t="n">
        <x:v>31033000</x:v>
      </x:c>
      <x:c r="CL149" s="11" t="n">
        <x:v>0</x:v>
      </x:c>
      <x:c r="CM149" s="11"/>
      <x:c r="CN149" s="11" t="n">
        <x:v>1860000</x:v>
      </x:c>
      <x:c r="CO149" s="11" t="n">
        <x:v>0</x:v>
      </x:c>
      <x:c r="CP149" s="8"/>
      <x:c r="CQ149" s="8" t="str">
        <x:v>Valemount</x:v>
      </x:c>
    </x:row>
    <x:row r="150">
      <x:c r="A150" s="8" t="str">
        <x:v>Coquitlam|2023</x:v>
      </x:c>
      <x:c r="B150" s="8" t="str">
        <x:v>coquitlam-c</x:v>
      </x:c>
      <x:c r="C150" s="8" t="str">
        <x:v>Coquitlam</x:v>
      </x:c>
      <x:c r="D150" s="8" t="str">
        <x:v>Coquitlam</x:v>
      </x:c>
      <x:c r="E150" s="8" t="str">
        <x:v>C</x:v>
      </x:c>
      <x:c r="F150" s="8" t="str">
        <x:v>MVRD</x:v>
      </x:c>
      <x:c r="G150" s="9" t="n">
        <x:v>2023</x:v>
      </x:c>
      <x:c r="H150" s="10" t="n">
        <x:v>168250</x:v>
      </x:c>
      <x:c r="I150" s="8" t="str">
        <x:v>100,000 and over</x:v>
      </x:c>
      <x:c r="J150" s="11" t="n">
        <x:v>556395000</x:v>
      </x:c>
      <x:c r="K150" s="11" t="n">
        <x:v>332782000</x:v>
      </x:c>
      <x:c r="L150" s="11" t="n">
        <x:v>223613000</x:v>
      </x:c>
      <x:c r="M150" s="12" t="n">
        <x:v>0.4018961349401055</x:v>
      </x:c>
      <x:c r="N150" s="11" t="n">
        <x:v>190724000</x:v>
      </x:c>
      <x:c r="O150" s="11" t="n">
        <x:v>165251000</x:v>
      </x:c>
      <x:c r="P150" s="11" t="n">
        <x:v>44032000</x:v>
      </x:c>
      <x:c r="Q150" s="11" t="n">
        <x:v>156388000</x:v>
      </x:c>
      <x:c r="R150" s="11" t="n">
        <x:v>283359000</x:v>
      </x:c>
      <x:c r="S150" s="11" t="n">
        <x:v>48681000</x:v>
      </x:c>
      <x:c r="T150" s="11" t="n">
        <x:v>1173517000</x:v>
      </x:c>
      <x:c r="U150" s="11" t="n">
        <x:v>375835000</x:v>
      </x:c>
      <x:c r="V150" s="11" t="n">
        <x:v>933024000</x:v>
      </x:c>
      <x:c r="W150" s="11" t="n">
        <x:v>775326000</x:v>
      </x:c>
      <x:c r="X150" s="11" t="n">
        <x:v>12227000</x:v>
      </x:c>
      <x:c r="Y150" s="11" t="n">
        <x:v>0</x:v>
      </x:c>
      <x:c r="Z150" s="11" t="n">
        <x:v>856000</x:v>
      </x:c>
      <x:c r="AA150" s="11" t="n">
        <x:v>11118000</x:v>
      </x:c>
      <x:c r="AB150" s="11" t="n">
        <x:v>742000</x:v>
      </x:c>
      <x:c r="AC150" s="11" t="n">
        <x:v>1598000</x:v>
      </x:c>
      <x:c r="AD150" s="11" t="n">
        <x:v>104024750</x:v>
      </x:c>
      <x:c r="AE150" s="11" t="n">
        <x:v>94155750</x:v>
      </x:c>
      <x:c r="AF150" s="11" t="n">
        <x:v>416099000</x:v>
      </x:c>
      <x:c r="AG150" s="11" t="n">
        <x:v>3386510000</x:v>
      </x:c>
      <x:c r="AH150" s="11" t="n">
        <x:v>799576000</x:v>
      </x:c>
      <x:c r="AI150" s="11" t="n">
        <x:v>2586934000</x:v>
      </x:c>
      <x:c r="AJ150" s="11" t="n">
        <x:v>223380000</x:v>
      </x:c>
      <x:c r="AK150" s="11" t="n">
        <x:v>5940870000</x:v>
      </x:c>
      <x:c r="AL150" s="11" t="n">
        <x:v>70418000</x:v>
      </x:c>
      <x:c r="AM150" s="12" t="n">
        <x:v>0.9881468539119691</x:v>
      </x:c>
      <x:c r="AN150" s="12" t="n">
        <x:v>0.03760055345429205</x:v>
      </x:c>
      <x:c r="AO150" s="11" t="n">
        <x:v>330061000</x:v>
      </x:c>
      <x:c r="AP150" s="11" t="n">
        <x:v>323879000</x:v>
      </x:c>
      <x:c r="AQ150" s="12" t="n">
        <x:v>0.9812701288549692</x:v>
      </x:c>
      <x:c r="AR150" s="11" t="n">
        <x:v>3306.9539375928675</x:v>
      </x:c>
      <x:c r="AS150" s="11" t="n">
        <x:v>1977.9019316493313</x:v>
      </x:c>
      <x:c r="AT150" s="11" t="n">
        <x:v>5545.462109955423</x:v>
      </x:c>
      <x:c r="AU150" s="11" t="n">
        <x:v>4608.178306092125</x:v>
      </x:c>
      <x:c r="AV150" s="11" t="n">
        <x:v>66.08023774145617</x:v>
      </x:c>
      <x:c r="AW150" s="11" t="n">
        <x:v>3.1224260646294253</x:v>
      </x:c>
      <x:c r="AX150" s="12" t="n">
        <x:v>0.9051283468597617</x:v>
      </x:c>
      <x:c r="AY150" s="11"/>
      <x:c r="AZ150" s="11"/>
      <x:c r="BA150" s="11"/>
      <x:c r="BB150" s="11"/>
      <x:c r="BC150" s="11"/>
      <x:c r="BD150" s="11"/>
      <x:c r="BE150" s="11"/>
      <x:c r="BF150" s="11"/>
      <x:c r="BG150" s="11"/>
      <x:c r="BH150" s="11"/>
      <x:c r="BI150" s="11"/>
      <x:c r="BJ150" s="11"/>
      <x:c r="BK150" s="12"/>
      <x:c r="BL150" s="12"/>
      <x:c r="BM150" s="12"/>
      <x:c r="BN150" s="12"/>
      <x:c r="BO150" s="12"/>
      <x:c r="BP150" s="12"/>
      <x:c r="BQ150" s="12"/>
      <x:c r="BR150" s="12"/>
      <x:c r="BS150" s="12"/>
      <x:c r="BT150" s="12"/>
      <x:c r="BU150" s="11" t="n">
        <x:v>793000</x:v>
      </x:c>
      <x:c r="BV150" s="11" t="n">
        <x:v>33139000</x:v>
      </x:c>
      <x:c r="BW150" s="11" t="n">
        <x:v>10100000</x:v>
      </x:c>
      <x:c r="BX150" s="11" t="n">
        <x:v>38840000</x:v>
      </x:c>
      <x:c r="BY150" s="11" t="n">
        <x:v>0</x:v>
      </x:c>
      <x:c r="BZ150" s="11" t="n">
        <x:v>97140000</x:v>
      </x:c>
      <x:c r="CA150" s="11" t="n">
        <x:v>7257000</x:v>
      </x:c>
      <x:c r="CB150" s="11" t="n">
        <x:v>13151000</x:v>
      </x:c>
      <x:c r="CC150" s="11" t="n">
        <x:v>31633000</x:v>
      </x:c>
      <x:c r="CD150" s="11" t="n">
        <x:v>85104000</x:v>
      </x:c>
      <x:c r="CE150" s="11" t="n">
        <x:v>8161000</x:v>
      </x:c>
      <x:c r="CF150" s="11" t="n">
        <x:v>0</x:v>
      </x:c>
      <x:c r="CG150" s="11" t="n">
        <x:v>13375000</x:v>
      </x:c>
      <x:c r="CH150" s="11" t="n">
        <x:v>21788000</x:v>
      </x:c>
      <x:c r="CI150" s="11" t="n">
        <x:v>65022000</x:v>
      </x:c>
      <x:c r="CJ150" s="11" t="n">
        <x:v>27464000</x:v>
      </x:c>
      <x:c r="CK150" s="11" t="n">
        <x:v>29403000</x:v>
      </x:c>
      <x:c r="CL150" s="11" t="n">
        <x:v>0</x:v>
      </x:c>
      <x:c r="CM150" s="11" t="n">
        <x:v>0</x:v>
      </x:c>
      <x:c r="CN150" s="11" t="n">
        <x:v>2151000</x:v>
      </x:c>
      <x:c r="CO150" s="11" t="n">
        <x:v>0</x:v>
      </x:c>
      <x:c r="CP150" s="8"/>
      <x:c r="CQ150" s="8" t="str">
        <x:v>Vancouver</x:v>
      </x:c>
    </x:row>
    <x:row r="151">
      <x:c r="A151" s="8" t="str">
        <x:v>Coquitlam|2024</x:v>
      </x:c>
      <x:c r="B151" s="8" t="str">
        <x:v>coquitlam-c</x:v>
      </x:c>
      <x:c r="C151" s="8" t="str">
        <x:v>Coquitlam</x:v>
      </x:c>
      <x:c r="D151" s="8" t="str">
        <x:v>Coquitlam</x:v>
      </x:c>
      <x:c r="E151" s="8" t="str">
        <x:v>C</x:v>
      </x:c>
      <x:c r="F151" s="8" t="str">
        <x:v>MVRD</x:v>
      </x:c>
      <x:c r="G151" s="9" t="n">
        <x:v>2024</x:v>
      </x:c>
      <x:c r="H151" s="10" t="n">
        <x:v>168250</x:v>
      </x:c>
      <x:c r="I151" s="8" t="str">
        <x:v>100,000 and over</x:v>
      </x:c>
      <x:c r="J151" s="11" t="n">
        <x:v>593743000</x:v>
      </x:c>
      <x:c r="K151" s="11" t="n">
        <x:v>359709000</x:v>
      </x:c>
      <x:c r="L151" s="11" t="n">
        <x:v>234034000</x:v>
      </x:c>
      <x:c r="M151" s="12" t="n">
        <x:v>0.39416717333930673</x:v>
      </x:c>
      <x:c r="N151" s="11" t="n">
        <x:v>210571000</x:v>
      </x:c>
      <x:c r="O151" s="11" t="n">
        <x:v>139477000</x:v>
      </x:c>
      <x:c r="P151" s="11" t="n">
        <x:v>21285000</x:v>
      </x:c>
      <x:c r="Q151" s="11" t="n">
        <x:v>222410000</x:v>
      </x:c>
      <x:c r="R151" s="11" t="n">
        <x:v>306506000</x:v>
      </x:c>
      <x:c r="S151" s="11" t="n">
        <x:v>52380000</x:v>
      </x:c>
      <x:c r="T151" s="11" t="n">
        <x:v>1342335000</x:v>
      </x:c>
      <x:c r="U151" s="11" t="n">
        <x:v>440910000</x:v>
      </x:c>
      <x:c r="V151" s="11" t="n">
        <x:v>1010804000</x:v>
      </x:c>
      <x:c r="W151" s="11" t="n">
        <x:v>845671000</x:v>
      </x:c>
      <x:c r="X151" s="11" t="n">
        <x:v>11118000</x:v>
      </x:c>
      <x:c r="Y151" s="11" t="n">
        <x:v>0</x:v>
      </x:c>
      <x:c r="Z151" s="11" t="n">
        <x:v>919000</x:v>
      </x:c>
      <x:c r="AA151" s="11" t="n">
        <x:v>9938000</x:v>
      </x:c>
      <x:c r="AB151" s="11" t="n">
        <x:v>823000</x:v>
      </x:c>
      <x:c r="AC151" s="11" t="n">
        <x:v>1742000</x:v>
      </x:c>
      <x:c r="AD151" s="11" t="n">
        <x:v>101811250</x:v>
      </x:c>
      <x:c r="AE151" s="11" t="n">
        <x:v>91870250</x:v>
      </x:c>
      <x:c r="AF151" s="11" t="n">
        <x:v>407245000</x:v>
      </x:c>
      <x:c r="AG151" s="11" t="n">
        <x:v>3571734000</x:v>
      </x:c>
      <x:c r="AH151" s="11" t="n">
        <x:v>839894000</x:v>
      </x:c>
      <x:c r="AI151" s="11" t="n">
        <x:v>2731840000</x:v>
      </x:c>
      <x:c r="AJ151" s="11" t="n">
        <x:v>200617000</x:v>
      </x:c>
      <x:c r="AK151" s="11" t="n">
        <x:v>6179224000</x:v>
      </x:c>
      <x:c r="AL151" s="11" t="n">
        <x:v>73629000</x:v>
      </x:c>
      <x:c r="AM151" s="12" t="n">
        <x:v>0.9880844261350616</x:v>
      </x:c>
      <x:c r="AN151" s="12" t="n">
        <x:v>0.0324663744185354</x:v>
      </x:c>
      <x:c r="AO151" s="11" t="n">
        <x:v>366833372</x:v>
      </x:c>
      <x:c r="AP151" s="11" t="n">
        <x:v>358950372</x:v>
      </x:c>
      <x:c r="AQ151" s="12" t="n">
        <x:v>0.9785106792301329</x:v>
      </x:c>
      <x:c r="AR151" s="11" t="n">
        <x:v>3528.933135215453</x:v>
      </x:c>
      <x:c r="AS151" s="11" t="n">
        <x:v>2137.9435364041606</x:v>
      </x:c>
      <x:c r="AT151" s="11" t="n">
        <x:v>6007.750371471026</x:v>
      </x:c>
      <x:c r="AU151" s="11" t="n">
        <x:v>5026.276374442794</x:v>
      </x:c>
      <x:c r="AV151" s="11" t="n">
        <x:v>59.06686478454681</x:v>
      </x:c>
      <x:c r="AW151" s="11" t="n">
        <x:v>3.0444648567734913</x:v>
      </x:c>
      <x:c r="AX151" s="12" t="n">
        <x:v>0.9023585311053542</x:v>
      </x:c>
      <x:c r="AY151" s="11" t="n">
        <x:v>3003.390678329474</x:v>
      </x:c>
      <x:c r="AZ151" s="11" t="n">
        <x:v>3546.5079302077975</x:v>
      </x:c>
      <x:c r="BA151" s="11" t="n">
        <x:v>2379.369597210911</x:v>
      </x:c>
      <x:c r="BB151" s="11" t="n">
        <x:v>2783.665107049771</x:v>
      </x:c>
      <x:c r="BC151" s="11" t="n">
        <x:v>2052.765446183268</x:v>
      </x:c>
      <x:c r="BD151" s="11" t="n">
        <x:v>2437.8724475115623</x:v>
      </x:c>
      <x:c r="BE151" s="11" t="n">
        <x:v>1093.3312652075697</x:v>
      </x:c>
      <x:c r="BF151" s="11" t="n">
        <x:v>1604.3462673977224</x:v>
      </x:c>
      <x:c r="BG151" s="11" t="n">
        <x:v>312.26099706744867</x:v>
      </x:c>
      <x:c r="BH151" s="11" t="n">
        <x:v>518.5374381567245</x:v>
      </x:c>
      <x:c r="BI151" s="11" t="n">
        <x:v>1.6357691597817738</x:v>
      </x:c>
      <x:c r="BJ151" s="11" t="n">
        <x:v>1.7099330852451193</x:v>
      </x:c>
      <x:c r="BK151" s="12" t="n">
        <x:v>0.025378934003535983</x:v>
      </x:c>
      <x:c r="BL151" s="12" t="n">
        <x:v>0.02529861000232605</x:v>
      </x:c>
      <x:c r="BM151" s="12" t="n">
        <x:v>0.9802497344746216</x:v>
      </x:c>
      <x:c r="BN151" s="12" t="n">
        <x:v>0.9815511712696461</x:v>
      </x:c>
      <x:c r="BO151" s="12" t="n">
        <x:v>0.9023585311053542</x:v>
      </x:c>
      <x:c r="BP151" s="12" t="n">
        <x:v>0.8619101997275483</x:v>
      </x:c>
      <x:c r="BQ151" s="12" t="n">
        <x:v>0.9669710895067201</x:v>
      </x:c>
      <x:c r="BR151" s="12" t="n">
        <x:v>0.9623635142836453</x:v>
      </x:c>
      <x:c r="BS151" s="12" t="n">
        <x:v>0.27009754429306687</x:v>
      </x:c>
      <x:c r="BT151" s="12" t="n">
        <x:v>0.19976549769108282</x:v>
      </x:c>
      <x:c r="BU151" s="11" t="n">
        <x:v>4572000</x:v>
      </x:c>
      <x:c r="BV151" s="11" t="n">
        <x:v>12638000</x:v>
      </x:c>
      <x:c r="BW151" s="11" t="n">
        <x:v>4075000</x:v>
      </x:c>
      <x:c r="BX151" s="11" t="n">
        <x:v>49259000</x:v>
      </x:c>
      <x:c r="BY151" s="11" t="n">
        <x:v>0</x:v>
      </x:c>
      <x:c r="BZ151" s="11" t="n">
        <x:v>160911000</x:v>
      </x:c>
      <x:c r="CA151" s="11" t="n">
        <x:v>12240000</x:v>
      </x:c>
      <x:c r="CB151" s="11" t="n">
        <x:v>0</x:v>
      </x:c>
      <x:c r="CC151" s="11" t="n">
        <x:v>39476000</x:v>
      </x:c>
      <x:c r="CD151" s="11" t="n">
        <x:v>89411000</x:v>
      </x:c>
      <x:c r="CE151" s="11" t="n">
        <x:v>8790000</x:v>
      </x:c>
      <x:c r="CF151" s="11" t="n">
        <x:v>0</x:v>
      </x:c>
      <x:c r="CG151" s="11" t="n">
        <x:v>14260000</x:v>
      </x:c>
      <x:c r="CH151" s="11" t="n">
        <x:v>20764000</x:v>
      </x:c>
      <x:c r="CI151" s="11" t="n">
        <x:v>69442000</x:v>
      </x:c>
      <x:c r="CJ151" s="11" t="n">
        <x:v>26518000</x:v>
      </x:c>
      <x:c r="CK151" s="11" t="n">
        <x:v>34980000</x:v>
      </x:c>
      <x:c r="CL151" s="11" t="n">
        <x:v>599000</x:v>
      </x:c>
      <x:c r="CM151" s="11" t="n">
        <x:v>0</x:v>
      </x:c>
      <x:c r="CN151" s="11" t="n">
        <x:v>3089000</x:v>
      </x:c>
      <x:c r="CO151" s="11" t="n">
        <x:v>0</x:v>
      </x:c>
      <x:c r="CP151" s="8"/>
      <x:c r="CQ151" s="8" t="str">
        <x:v>Vanderhoof</x:v>
      </x:c>
    </x:row>
    <x:row r="152">
      <x:c r="A152" s="8" t="str">
        <x:v>Courtenay|2019</x:v>
      </x:c>
      <x:c r="B152" s="8" t="str">
        <x:v>courtenay-c</x:v>
      </x:c>
      <x:c r="C152" s="8" t="str">
        <x:v>Courtenay</x:v>
      </x:c>
      <x:c r="D152" s="8" t="str">
        <x:v>Courtenay</x:v>
      </x:c>
      <x:c r="E152" s="8" t="str">
        <x:v>C</x:v>
      </x:c>
      <x:c r="F152" s="8" t="str">
        <x:v>COM</x:v>
      </x:c>
      <x:c r="G152" s="9" t="n">
        <x:v>2019</x:v>
      </x:c>
      <x:c r="H152" s="10" t="n">
        <x:v>28216</x:v>
      </x:c>
      <x:c r="I152" s="8" t="str">
        <x:v>20,000 to 99,999</x:v>
      </x:c>
      <x:c r="J152" s="11" t="n">
        <x:v>67025906</x:v>
      </x:c>
      <x:c r="K152" s="11" t="n">
        <x:v>52267604</x:v>
      </x:c>
      <x:c r="L152" s="11" t="n">
        <x:v>14758302</x:v>
      </x:c>
      <x:c r="M152" s="12" t="n">
        <x:v>0.22018802699959028</x:v>
      </x:c>
      <x:c r="N152" s="11" t="n">
        <x:v>28273283</x:v>
      </x:c>
      <x:c r="O152" s="11" t="n">
        <x:v>21169949</x:v>
      </x:c>
      <x:c r="P152" s="11" t="n">
        <x:v>4113503</x:v>
      </x:c>
      <x:c r="Q152" s="11" t="n">
        <x:v>13469171</x:v>
      </x:c>
      <x:c r="R152" s="11" t="n">
        <x:v>45784282</x:v>
      </x:c>
      <x:c r="S152" s="11" t="n">
        <x:v>5899542</x:v>
      </x:c>
      <x:c r="T152" s="11" t="n">
        <x:v>49594421</x:v>
      </x:c>
      <x:c r="U152" s="11" t="n">
        <x:v>34793926</x:v>
      </x:c>
      <x:c r="V152" s="11" t="n">
        <x:v>18655628</x:v>
      </x:c>
      <x:c r="W152" s="11" t="n">
        <x:v>16676846</x:v>
      </x:c>
      <x:c r="X152" s="11" t="n">
        <x:v>11458117</x:v>
      </x:c>
      <x:c r="Y152" s="11" t="n">
        <x:v>0</x:v>
      </x:c>
      <x:c r="Z152" s="11" t="n">
        <x:v>934840</x:v>
      </x:c>
      <x:c r="AA152" s="11" t="n">
        <x:v>10043266</x:v>
      </x:c>
      <x:c r="AB152" s="11" t="n">
        <x:v>583780</x:v>
      </x:c>
      <x:c r="AC152" s="11" t="n">
        <x:v>1518620</x:v>
      </x:c>
      <x:c r="AD152" s="11" t="n">
        <x:v>12884613</x:v>
      </x:c>
      <x:c r="AE152" s="11" t="n">
        <x:v>11365993</x:v>
      </x:c>
      <x:c r="AF152" s="11" t="n">
        <x:v>51538452</x:v>
      </x:c>
      <x:c r="AG152" s="11" t="n">
        <x:v>256177967</x:v>
      </x:c>
      <x:c r="AH152" s="11" t="n">
        <x:v>96729388</x:v>
      </x:c>
      <x:c r="AI152" s="11" t="n">
        <x:v>159448579</x:v>
      </x:c>
      <x:c r="AJ152" s="11" t="n">
        <x:v>19856342</x:v>
      </x:c>
      <x:c r="AK152" s="11" t="n">
        <x:v>1034175356</x:v>
      </x:c>
      <x:c r="AL152" s="11" t="n">
        <x:v>16756532</x:v>
      </x:c>
      <x:c r="AM152" s="12" t="n">
        <x:v>0.9837972043108713</x:v>
      </x:c>
      <x:c r="AN152" s="12" t="n">
        <x:v>0.019200169376304498</x:v>
      </x:c>
      <x:c r="AO152" s="11" t="n">
        <x:v>52548530</x:v>
      </x:c>
      <x:c r="AP152" s="11" t="n">
        <x:v>51357600</x:v>
      </x:c>
      <x:c r="AQ152" s="12" t="n">
        <x:v>0.9773365686918359</x:v>
      </x:c>
      <x:c r="AR152" s="11" t="n">
        <x:v>2375.4574000567054</x:v>
      </x:c>
      <x:c r="AS152" s="11" t="n">
        <x:v>1852.410121916643</x:v>
      </x:c>
      <x:c r="AT152" s="11" t="n">
        <x:v>661.171959172101</x:v>
      </x:c>
      <x:c r="AU152" s="11" t="n">
        <x:v>591.0421746526794</x:v>
      </x:c>
      <x:c r="AV152" s="11" t="n">
        <x:v>355.9422313580947</x:v>
      </x:c>
      <x:c r="AW152" s="11" t="n">
        <x:v>1.4253758256541673</x:v>
      </x:c>
      <x:c r="AX152" s="12" t="n">
        <x:v>0.8821369334104175</x:v>
      </x:c>
      <x:c r="AY152" s="11"/>
      <x:c r="AZ152" s="11"/>
      <x:c r="BA152" s="11"/>
      <x:c r="BB152" s="11"/>
      <x:c r="BC152" s="11"/>
      <x:c r="BD152" s="11"/>
      <x:c r="BE152" s="11"/>
      <x:c r="BF152" s="11"/>
      <x:c r="BG152" s="11"/>
      <x:c r="BH152" s="11"/>
      <x:c r="BI152" s="11"/>
      <x:c r="BJ152" s="11"/>
      <x:c r="BK152" s="12"/>
      <x:c r="BL152" s="12"/>
      <x:c r="BM152" s="12"/>
      <x:c r="BN152" s="12"/>
      <x:c r="BO152" s="12"/>
      <x:c r="BP152" s="12"/>
      <x:c r="BQ152" s="12"/>
      <x:c r="BR152" s="12"/>
      <x:c r="BS152" s="12"/>
      <x:c r="BT152" s="12"/>
      <x:c r="BU152" s="11" t="n">
        <x:v>0</x:v>
      </x:c>
      <x:c r="BV152" s="11" t="n">
        <x:v>1588443</x:v>
      </x:c>
      <x:c r="BW152" s="11" t="n">
        <x:v>2525060</x:v>
      </x:c>
      <x:c r="BX152" s="11" t="n">
        <x:v>1180322</x:v>
      </x:c>
      <x:c r="BY152" s="11" t="n">
        <x:v>0</x:v>
      </x:c>
      <x:c r="BZ152" s="11" t="n">
        <x:v>11918359</x:v>
      </x:c>
      <x:c r="CA152" s="11" t="n">
        <x:v>370490</x:v>
      </x:c>
      <x:c r="CB152" s="11" t="n">
        <x:v>0</x:v>
      </x:c>
      <x:c r="CC152" s="11" t="n">
        <x:v>5627604</x:v>
      </x:c>
      <x:c r="CD152" s="11" t="n">
        <x:v>9072054</x:v>
      </x:c>
      <x:c r="CE152" s="11" t="n">
        <x:v>3345401</x:v>
      </x:c>
      <x:c r="CF152" s="11" t="n">
        <x:v>332197</x:v>
      </x:c>
      <x:c r="CG152" s="11" t="n">
        <x:v>1471405</x:v>
      </x:c>
      <x:c r="CH152" s="11" t="n">
        <x:v>5475709</x:v>
      </x:c>
      <x:c r="CI152" s="11" t="n">
        <x:v>8788139</x:v>
      </x:c>
      <x:c r="CJ152" s="11" t="n">
        <x:v>6478499</x:v>
      </x:c>
      <x:c r="CK152" s="11" t="n">
        <x:v>5464922</x:v>
      </x:c>
      <x:c r="CL152" s="11" t="n">
        <x:v>0</x:v>
      </x:c>
      <x:c r="CM152" s="11"/>
      <x:c r="CN152" s="11" t="n">
        <x:v>312132</x:v>
      </x:c>
      <x:c r="CO152" s="11" t="n">
        <x:v>0</x:v>
      </x:c>
      <x:c r="CP152" s="8"/>
      <x:c r="CQ152" s="8" t="str">
        <x:v>Vernon</x:v>
      </x:c>
    </x:row>
    <x:row r="153">
      <x:c r="A153" s="8" t="str">
        <x:v>Courtenay|2020</x:v>
      </x:c>
      <x:c r="B153" s="8" t="str">
        <x:v>courtenay-c</x:v>
      </x:c>
      <x:c r="C153" s="8" t="str">
        <x:v>Courtenay</x:v>
      </x:c>
      <x:c r="D153" s="8" t="str">
        <x:v>Courtenay</x:v>
      </x:c>
      <x:c r="E153" s="8" t="str">
        <x:v>C</x:v>
      </x:c>
      <x:c r="F153" s="8" t="str">
        <x:v>COM</x:v>
      </x:c>
      <x:c r="G153" s="9" t="n">
        <x:v>2020</x:v>
      </x:c>
      <x:c r="H153" s="10" t="n">
        <x:v>28862</x:v>
      </x:c>
      <x:c r="I153" s="8" t="str">
        <x:v>20,000 to 99,999</x:v>
      </x:c>
      <x:c r="J153" s="11" t="n">
        <x:v>62313821</x:v>
      </x:c>
      <x:c r="K153" s="11" t="n">
        <x:v>50910727</x:v>
      </x:c>
      <x:c r="L153" s="11" t="n">
        <x:v>11403094</x:v>
      </x:c>
      <x:c r="M153" s="12" t="n">
        <x:v>0.18299462008596776</x:v>
      </x:c>
      <x:c r="N153" s="11" t="n">
        <x:v>29538050</x:v>
      </x:c>
      <x:c r="O153" s="11" t="n">
        <x:v>20564017</x:v>
      </x:c>
      <x:c r="P153" s="11" t="n">
        <x:v>6252979</x:v>
      </x:c>
      <x:c r="Q153" s="11" t="n">
        <x:v>5958775</x:v>
      </x:c>
      <x:c r="R153" s="11" t="n">
        <x:v>44105228</x:v>
      </x:c>
      <x:c r="S153" s="11" t="n">
        <x:v>6303193</x:v>
      </x:c>
      <x:c r="T153" s="11" t="n">
        <x:v>62869944</x:v>
      </x:c>
      <x:c r="U153" s="11" t="n">
        <x:v>40466166</x:v>
      </x:c>
      <x:c r="V153" s="11" t="n">
        <x:v>26530679</x:v>
      </x:c>
      <x:c r="W153" s="11" t="n">
        <x:v>20749543</x:v>
      </x:c>
      <x:c r="X153" s="11" t="n">
        <x:v>10043266</x:v>
      </x:c>
      <x:c r="Y153" s="11" t="n">
        <x:v>3000000</x:v>
      </x:c>
      <x:c r="Z153" s="11" t="n">
        <x:v>935534</x:v>
      </x:c>
      <x:c r="AA153" s="11" t="n">
        <x:v>11569753</x:v>
      </x:c>
      <x:c r="AB153" s="11" t="n">
        <x:v>502306</x:v>
      </x:c>
      <x:c r="AC153" s="11" t="n">
        <x:v>1437840</x:v>
      </x:c>
      <x:c r="AD153" s="11" t="n">
        <x:v>12701729</x:v>
      </x:c>
      <x:c r="AE153" s="11" t="n">
        <x:v>11263889</x:v>
      </x:c>
      <x:c r="AF153" s="11" t="n">
        <x:v>50806916</x:v>
      </x:c>
      <x:c r="AG153" s="11" t="n">
        <x:v>265255912</x:v>
      </x:c>
      <x:c r="AH153" s="11" t="n">
        <x:v>102237410</x:v>
      </x:c>
      <x:c r="AI153" s="11" t="n">
        <x:v>163018502</x:v>
      </x:c>
      <x:c r="AJ153" s="11" t="n">
        <x:v>10202589</x:v>
      </x:c>
      <x:c r="AK153" s="11" t="n">
        <x:v>1112287605</x:v>
      </x:c>
      <x:c r="AL153" s="11" t="n">
        <x:v>15975736</x:v>
      </x:c>
      <x:c r="AM153" s="12" t="n">
        <x:v>0.9856370457351271</x:v>
      </x:c>
      <x:c r="AN153" s="12" t="n">
        <x:v>0.009172617724172157</x:v>
      </x:c>
      <x:c r="AO153" s="11" t="n">
        <x:v>53080494</x:v>
      </x:c>
      <x:c r="AP153" s="11" t="n">
        <x:v>52065059</x:v>
      </x:c>
      <x:c r="AQ153" s="12" t="n">
        <x:v>0.9808699029816866</x:v>
      </x:c>
      <x:c r="AR153" s="11" t="n">
        <x:v>2159.0264361444115</x:v>
      </x:c>
      <x:c r="AS153" s="11" t="n">
        <x:v>1763.936213706604</x:v>
      </x:c>
      <x:c r="AT153" s="11" t="n">
        <x:v>919.2252442658166</x:v>
      </x:c>
      <x:c r="AU153" s="11" t="n">
        <x:v>718.9225625389786</x:v>
      </x:c>
      <x:c r="AV153" s="11" t="n">
        <x:v>400.8645624003881</x:v>
      </x:c>
      <x:c r="AW153" s="11" t="n">
        <x:v>1.553642220515776</x:v>
      </x:c>
      <x:c r="AX153" s="12" t="n">
        <x:v>0.886799663258443</x:v>
      </x:c>
      <x:c r="AY153" s="11"/>
      <x:c r="AZ153" s="11"/>
      <x:c r="BA153" s="11"/>
      <x:c r="BB153" s="11"/>
      <x:c r="BC153" s="11"/>
      <x:c r="BD153" s="11"/>
      <x:c r="BE153" s="11"/>
      <x:c r="BF153" s="11"/>
      <x:c r="BG153" s="11"/>
      <x:c r="BH153" s="11"/>
      <x:c r="BI153" s="11"/>
      <x:c r="BJ153" s="11"/>
      <x:c r="BK153" s="12"/>
      <x:c r="BL153" s="12"/>
      <x:c r="BM153" s="12"/>
      <x:c r="BN153" s="12"/>
      <x:c r="BO153" s="12"/>
      <x:c r="BP153" s="12"/>
      <x:c r="BQ153" s="12"/>
      <x:c r="BR153" s="12"/>
      <x:c r="BS153" s="12"/>
      <x:c r="BT153" s="12"/>
      <x:c r="BU153" s="11" t="n">
        <x:v>1133150</x:v>
      </x:c>
      <x:c r="BV153" s="11" t="n">
        <x:v>4880174</x:v>
      </x:c>
      <x:c r="BW153" s="11" t="n">
        <x:v>239655</x:v>
      </x:c>
      <x:c r="BX153" s="11" t="n">
        <x:v>713175</x:v>
      </x:c>
      <x:c r="BY153" s="11" t="n">
        <x:v>0</x:v>
      </x:c>
      <x:c r="BZ153" s="11" t="n">
        <x:v>4372583</x:v>
      </x:c>
      <x:c r="CA153" s="11" t="n">
        <x:v>873017</x:v>
      </x:c>
      <x:c r="CB153" s="11" t="n">
        <x:v>0</x:v>
      </x:c>
      <x:c r="CC153" s="11" t="n">
        <x:v>5573523</x:v>
      </x:c>
      <x:c r="CD153" s="11" t="n">
        <x:v>9981848</x:v>
      </x:c>
      <x:c r="CE153" s="11" t="n">
        <x:v>3369458</x:v>
      </x:c>
      <x:c r="CF153" s="11" t="n">
        <x:v>359633</x:v>
      </x:c>
      <x:c r="CG153" s="11" t="n">
        <x:v>1499243</x:v>
      </x:c>
      <x:c r="CH153" s="11" t="n">
        <x:v>4323868</x:v>
      </x:c>
      <x:c r="CI153" s="11" t="n">
        <x:v>7465658</x:v>
      </x:c>
      <x:c r="CJ153" s="11" t="n">
        <x:v>6177699</x:v>
      </x:c>
      <x:c r="CK153" s="11" t="n">
        <x:v>5685604</x:v>
      </x:c>
      <x:c r="CL153" s="11" t="n">
        <x:v>0</x:v>
      </x:c>
      <x:c r="CM153" s="11"/>
      <x:c r="CN153" s="11" t="n">
        <x:v>171000</x:v>
      </x:c>
      <x:c r="CO153" s="11" t="n">
        <x:v>0</x:v>
      </x:c>
      <x:c r="CP153" s="8"/>
      <x:c r="CQ153" s="8" t="str">
        <x:v>Victoria</x:v>
      </x:c>
    </x:row>
    <x:row r="154">
      <x:c r="A154" s="8" t="str">
        <x:v>Courtenay|2021</x:v>
      </x:c>
      <x:c r="B154" s="8" t="str">
        <x:v>courtenay-c</x:v>
      </x:c>
      <x:c r="C154" s="8" t="str">
        <x:v>Courtenay</x:v>
      </x:c>
      <x:c r="D154" s="8" t="str">
        <x:v>Courtenay</x:v>
      </x:c>
      <x:c r="E154" s="8" t="str">
        <x:v>C</x:v>
      </x:c>
      <x:c r="F154" s="8" t="str">
        <x:v>COM</x:v>
      </x:c>
      <x:c r="G154" s="9" t="n">
        <x:v>2021</x:v>
      </x:c>
      <x:c r="H154" s="10" t="n">
        <x:v>28902</x:v>
      </x:c>
      <x:c r="I154" s="8" t="str">
        <x:v>20,000 to 99,999</x:v>
      </x:c>
      <x:c r="J154" s="11" t="n">
        <x:v>68334979</x:v>
      </x:c>
      <x:c r="K154" s="11" t="n">
        <x:v>52353001</x:v>
      </x:c>
      <x:c r="L154" s="11" t="n">
        <x:v>15981978</x:v>
      </x:c>
      <x:c r="M154" s="12" t="n">
        <x:v>0.23387697243603456</x:v>
      </x:c>
      <x:c r="N154" s="11" t="n">
        <x:v>30777408</x:v>
      </x:c>
      <x:c r="O154" s="11" t="n">
        <x:v>22734066</x:v>
      </x:c>
      <x:c r="P154" s="11" t="n">
        <x:v>5608403</x:v>
      </x:c>
      <x:c r="Q154" s="11" t="n">
        <x:v>9215102</x:v>
      </x:c>
      <x:c r="R154" s="11" t="n">
        <x:v>45363976</x:v>
      </x:c>
      <x:c r="S154" s="11" t="n">
        <x:v>6465930</x:v>
      </x:c>
      <x:c r="T154" s="11" t="n">
        <x:v>73920466</x:v>
      </x:c>
      <x:c r="U154" s="11" t="n">
        <x:v>47205037</x:v>
      </x:c>
      <x:c r="V154" s="11" t="n">
        <x:v>31322813</x:v>
      </x:c>
      <x:c r="W154" s="11" t="n">
        <x:v>21305788</x:v>
      </x:c>
      <x:c r="X154" s="11" t="n">
        <x:v>11569753</x:v>
      </x:c>
      <x:c r="Y154" s="11" t="n">
        <x:v>3400000</x:v>
      </x:c>
      <x:c r="Z154" s="11" t="n">
        <x:v>1003032</x:v>
      </x:c>
      <x:c r="AA154" s="11" t="n">
        <x:v>13423365</x:v>
      </x:c>
      <x:c r="AB154" s="11" t="n">
        <x:v>523095</x:v>
      </x:c>
      <x:c r="AC154" s="11" t="n">
        <x:v>1526127</x:v>
      </x:c>
      <x:c r="AD154" s="11" t="n">
        <x:v>13577480</x:v>
      </x:c>
      <x:c r="AE154" s="11" t="n">
        <x:v>12051353</x:v>
      </x:c>
      <x:c r="AF154" s="11" t="n">
        <x:v>54309919</x:v>
      </x:c>
      <x:c r="AG154" s="11" t="n">
        <x:v>282515089</x:v>
      </x:c>
      <x:c r="AH154" s="11" t="n">
        <x:v>108443500</x:v>
      </x:c>
      <x:c r="AI154" s="11" t="n">
        <x:v>174071589</x:v>
      </x:c>
      <x:c r="AJ154" s="11" t="n">
        <x:v>17633813</x:v>
      </x:c>
      <x:c r="AK154" s="11" t="n">
        <x:v>1100781213</x:v>
      </x:c>
      <x:c r="AL154" s="11" t="n">
        <x:v>13217345</x:v>
      </x:c>
      <x:c r="AM154" s="12" t="n">
        <x:v>0.9879927592841286</x:v>
      </x:c>
      <x:c r="AN154" s="12" t="n">
        <x:v>0.01601936224178637</x:v>
      </x:c>
      <x:c r="AO154" s="11" t="n">
        <x:v>55456669</x:v>
      </x:c>
      <x:c r="AP154" s="11" t="n">
        <x:v>54527003</x:v>
      </x:c>
      <x:c r="AQ154" s="12" t="n">
        <x:v>0.9832361730921848</x:v>
      </x:c>
      <x:c r="AR154" s="11" t="n">
        <x:v>2364.3685212096048</x:v>
      </x:c>
      <x:c r="AS154" s="11" t="n">
        <x:v>1811.3971697460383</x:v>
      </x:c>
      <x:c r="AT154" s="11" t="n">
        <x:v>1083.7593592138953</x:v>
      </x:c>
      <x:c r="AU154" s="11" t="n">
        <x:v>737.1734828039582</x:v>
      </x:c>
      <x:c r="AV154" s="11" t="n">
        <x:v>464.44415611376377</x:v>
      </x:c>
      <x:c r="AW154" s="11" t="n">
        <x:v>1.5659444563087621</x:v>
      </x:c>
      <x:c r="AX154" s="12" t="n">
        <x:v>0.8875986560098045</x:v>
      </x:c>
      <x:c r="AY154" s="11"/>
      <x:c r="AZ154" s="11"/>
      <x:c r="BA154" s="11"/>
      <x:c r="BB154" s="11"/>
      <x:c r="BC154" s="11"/>
      <x:c r="BD154" s="11"/>
      <x:c r="BE154" s="11"/>
      <x:c r="BF154" s="11"/>
      <x:c r="BG154" s="11"/>
      <x:c r="BH154" s="11"/>
      <x:c r="BI154" s="11"/>
      <x:c r="BJ154" s="11"/>
      <x:c r="BK154" s="12"/>
      <x:c r="BL154" s="12"/>
      <x:c r="BM154" s="12"/>
      <x:c r="BN154" s="12"/>
      <x:c r="BO154" s="12"/>
      <x:c r="BP154" s="12"/>
      <x:c r="BQ154" s="12"/>
      <x:c r="BR154" s="12"/>
      <x:c r="BS154" s="12"/>
      <x:c r="BT154" s="12"/>
      <x:c r="BU154" s="11" t="n">
        <x:v>1248741</x:v>
      </x:c>
      <x:c r="BV154" s="11" t="n">
        <x:v>2468223</x:v>
      </x:c>
      <x:c r="BW154" s="11" t="n">
        <x:v>1891439</x:v>
      </x:c>
      <x:c r="BX154" s="11" t="n">
        <x:v>513536</x:v>
      </x:c>
      <x:c r="BY154" s="11" t="n">
        <x:v>0</x:v>
      </x:c>
      <x:c r="BZ154" s="11" t="n">
        <x:v>8696740</x:v>
      </x:c>
      <x:c r="CA154" s="11" t="n">
        <x:v>4826</x:v>
      </x:c>
      <x:c r="CB154" s="11" t="n">
        <x:v>0</x:v>
      </x:c>
      <x:c r="CC154" s="11" t="n">
        <x:v>5888970</x:v>
      </x:c>
      <x:c r="CD154" s="11" t="n">
        <x:v>8933966</x:v>
      </x:c>
      <x:c r="CE154" s="11" t="n">
        <x:v>3769031</x:v>
      </x:c>
      <x:c r="CF154" s="11" t="n">
        <x:v>383369</x:v>
      </x:c>
      <x:c r="CG154" s="11" t="n">
        <x:v>1773731</x:v>
      </x:c>
      <x:c r="CH154" s="11" t="n">
        <x:v>4359182</x:v>
      </x:c>
      <x:c r="CI154" s="11" t="n">
        <x:v>7677059</x:v>
      </x:c>
      <x:c r="CJ154" s="11" t="n">
        <x:v>6806601</x:v>
      </x:c>
      <x:c r="CK154" s="11" t="n">
        <x:v>6181367</x:v>
      </x:c>
      <x:c r="CL154" s="11" t="n">
        <x:v>0</x:v>
      </x:c>
      <x:c r="CM154" s="11"/>
      <x:c r="CN154" s="11" t="n">
        <x:v>113795</x:v>
      </x:c>
      <x:c r="CO154" s="11" t="n">
        <x:v>0</x:v>
      </x:c>
      <x:c r="CP154" s="8"/>
      <x:c r="CQ154" s="8" t="str">
        <x:v>View Royal</x:v>
      </x:c>
    </x:row>
    <x:row r="155">
      <x:c r="A155" s="8" t="str">
        <x:v>Courtenay|2022</x:v>
      </x:c>
      <x:c r="B155" s="8" t="str">
        <x:v>courtenay-c</x:v>
      </x:c>
      <x:c r="C155" s="8" t="str">
        <x:v>Courtenay</x:v>
      </x:c>
      <x:c r="D155" s="8" t="str">
        <x:v>Courtenay</x:v>
      </x:c>
      <x:c r="E155" s="8" t="str">
        <x:v>C</x:v>
      </x:c>
      <x:c r="F155" s="8" t="str">
        <x:v>COM</x:v>
      </x:c>
      <x:c r="G155" s="9" t="n">
        <x:v>2022</x:v>
      </x:c>
      <x:c r="H155" s="10" t="n">
        <x:v>29883</x:v>
      </x:c>
      <x:c r="I155" s="8" t="str">
        <x:v>20,000 to 99,999</x:v>
      </x:c>
      <x:c r="J155" s="11" t="n">
        <x:v>68730932</x:v>
      </x:c>
      <x:c r="K155" s="11" t="n">
        <x:v>58500466</x:v>
      </x:c>
      <x:c r="L155" s="11" t="n">
        <x:v>10230466</x:v>
      </x:c>
      <x:c r="M155" s="12" t="n">
        <x:v>0.14884806159765154</x:v>
      </x:c>
      <x:c r="N155" s="11" t="n">
        <x:v>32571285</x:v>
      </x:c>
      <x:c r="O155" s="11" t="n">
        <x:v>23493371</x:v>
      </x:c>
      <x:c r="P155" s="11" t="n">
        <x:v>5967982</x:v>
      </x:c>
      <x:c r="Q155" s="11" t="n">
        <x:v>6698294</x:v>
      </x:c>
      <x:c r="R155" s="11" t="n">
        <x:v>51315174</x:v>
      </x:c>
      <x:c r="S155" s="11" t="n">
        <x:v>6660569</x:v>
      </x:c>
      <x:c r="T155" s="11" t="n">
        <x:v>73362518</x:v>
      </x:c>
      <x:c r="U155" s="11" t="n">
        <x:v>45948707</x:v>
      </x:c>
      <x:c r="V155" s="11" t="n">
        <x:v>33407074</x:v>
      </x:c>
      <x:c r="W155" s="11" t="n">
        <x:v>20982794</x:v>
      </x:c>
      <x:c r="X155" s="11" t="n">
        <x:v>13423364</x:v>
      </x:c>
      <x:c r="Y155" s="11" t="n">
        <x:v>0</x:v>
      </x:c>
      <x:c r="Z155" s="11" t="n">
        <x:v>1064633</x:v>
      </x:c>
      <x:c r="AA155" s="11" t="n">
        <x:v>11880552</x:v>
      </x:c>
      <x:c r="AB155" s="11" t="n">
        <x:v>524723</x:v>
      </x:c>
      <x:c r="AC155" s="11" t="n">
        <x:v>1589356</x:v>
      </x:c>
      <x:c r="AD155" s="11" t="n">
        <x:v>14718465</x:v>
      </x:c>
      <x:c r="AE155" s="11" t="n">
        <x:v>13129109</x:v>
      </x:c>
      <x:c r="AF155" s="11" t="n">
        <x:v>58873858</x:v>
      </x:c>
      <x:c r="AG155" s="11" t="n">
        <x:v>296659464</x:v>
      </x:c>
      <x:c r="AH155" s="11" t="n">
        <x:v>114769929</x:v>
      </x:c>
      <x:c r="AI155" s="11" t="n">
        <x:v>181889535</x:v>
      </x:c>
      <x:c r="AJ155" s="11" t="n">
        <x:v>14542194</x:v>
      </x:c>
      <x:c r="AK155" s="11" t="n">
        <x:v>1114612364</x:v>
      </x:c>
      <x:c r="AL155" s="11" t="n">
        <x:v>14843000</x:v>
      </x:c>
      <x:c r="AM155" s="12" t="n">
        <x:v>0.9866832627383272</x:v>
      </x:c>
      <x:c r="AN155" s="12" t="n">
        <x:v>0.01304686227220067</x:v>
      </x:c>
      <x:c r="AO155" s="11" t="n">
        <x:v>57607630</x:v>
      </x:c>
      <x:c r="AP155" s="11" t="n">
        <x:v>56358596</x:v>
      </x:c>
      <x:c r="AQ155" s="12" t="n">
        <x:v>0.978318254022948</x:v>
      </x:c>
      <x:c r="AR155" s="11" t="n">
        <x:v>2300.001070842954</x:v>
      </x:c>
      <x:c r="AS155" s="11" t="n">
        <x:v>1957.6503697754576</x:v>
      </x:c>
      <x:c r="AT155" s="11" t="n">
        <x:v>1117.929056654285</x:v>
      </x:c>
      <x:c r="AU155" s="11" t="n">
        <x:v>702.164909814945</x:v>
      </x:c>
      <x:c r="AV155" s="11" t="n">
        <x:v>397.5689187832547</x:v>
      </x:c>
      <x:c r="AW155" s="11" t="n">
        <x:v>1.596617680667271</x:v>
      </x:c>
      <x:c r="AX155" s="12" t="n">
        <x:v>0.8920161851116948</x:v>
      </x:c>
      <x:c r="AY155" s="11"/>
      <x:c r="AZ155" s="11"/>
      <x:c r="BA155" s="11"/>
      <x:c r="BB155" s="11"/>
      <x:c r="BC155" s="11"/>
      <x:c r="BD155" s="11"/>
      <x:c r="BE155" s="11"/>
      <x:c r="BF155" s="11"/>
      <x:c r="BG155" s="11"/>
      <x:c r="BH155" s="11"/>
      <x:c r="BI155" s="11"/>
      <x:c r="BJ155" s="11"/>
      <x:c r="BK155" s="12"/>
      <x:c r="BL155" s="12"/>
      <x:c r="BM155" s="12"/>
      <x:c r="BN155" s="12"/>
      <x:c r="BO155" s="12"/>
      <x:c r="BP155" s="12"/>
      <x:c r="BQ155" s="12"/>
      <x:c r="BR155" s="12"/>
      <x:c r="BS155" s="12"/>
      <x:c r="BT155" s="12"/>
      <x:c r="BU155" s="11" t="n">
        <x:v>83299</x:v>
      </x:c>
      <x:c r="BV155" s="11" t="n">
        <x:v>4114908</x:v>
      </x:c>
      <x:c r="BW155" s="11" t="n">
        <x:v>1769775</x:v>
      </x:c>
      <x:c r="BX155" s="11" t="n">
        <x:v>1778628</x:v>
      </x:c>
      <x:c r="BY155" s="11" t="n">
        <x:v>0</x:v>
      </x:c>
      <x:c r="BZ155" s="11" t="n">
        <x:v>4907630</x:v>
      </x:c>
      <x:c r="CA155" s="11" t="n">
        <x:v>12036</x:v>
      </x:c>
      <x:c r="CB155" s="11" t="n">
        <x:v>0</x:v>
      </x:c>
      <x:c r="CC155" s="11" t="n">
        <x:v>6407052</x:v>
      </x:c>
      <x:c r="CD155" s="11" t="n">
        <x:v>10566297</x:v>
      </x:c>
      <x:c r="CE155" s="11" t="n">
        <x:v>3802884</x:v>
      </x:c>
      <x:c r="CF155" s="11" t="n">
        <x:v>388196</x:v>
      </x:c>
      <x:c r="CG155" s="11" t="n">
        <x:v>2555197</x:v>
      </x:c>
      <x:c r="CH155" s="11" t="n">
        <x:v>6755912</x:v>
      </x:c>
      <x:c r="CI155" s="11" t="n">
        <x:v>8724281</x:v>
      </x:c>
      <x:c r="CJ155" s="11" t="n">
        <x:v>6670096</x:v>
      </x:c>
      <x:c r="CK155" s="11" t="n">
        <x:v>5919221</x:v>
      </x:c>
      <x:c r="CL155" s="11" t="n">
        <x:v>0</x:v>
      </x:c>
      <x:c r="CM155" s="11"/>
      <x:c r="CN155" s="11" t="n">
        <x:v>50761</x:v>
      </x:c>
      <x:c r="CO155" s="11" t="n">
        <x:v>0</x:v>
      </x:c>
      <x:c r="CP155" s="8"/>
      <x:c r="CQ155" s="8" t="str">
        <x:v>Warfield</x:v>
      </x:c>
    </x:row>
    <x:row r="156">
      <x:c r="A156" s="8" t="str">
        <x:v>Courtenay|2023</x:v>
      </x:c>
      <x:c r="B156" s="8" t="str">
        <x:v>courtenay-c</x:v>
      </x:c>
      <x:c r="C156" s="8" t="str">
        <x:v>Courtenay</x:v>
      </x:c>
      <x:c r="D156" s="8" t="str">
        <x:v>Courtenay</x:v>
      </x:c>
      <x:c r="E156" s="8" t="str">
        <x:v>C</x:v>
      </x:c>
      <x:c r="F156" s="8" t="str">
        <x:v>COM</x:v>
      </x:c>
      <x:c r="G156" s="9" t="n">
        <x:v>2023</x:v>
      </x:c>
      <x:c r="H156" s="10" t="n">
        <x:v>31242</x:v>
      </x:c>
      <x:c r="I156" s="8" t="str">
        <x:v>20,000 to 99,999</x:v>
      </x:c>
      <x:c r="J156" s="11" t="n">
        <x:v>81137753</x:v>
      </x:c>
      <x:c r="K156" s="11" t="n">
        <x:v>61607801</x:v>
      </x:c>
      <x:c r="L156" s="11" t="n">
        <x:v>19529952</x:v>
      </x:c>
      <x:c r="M156" s="12" t="n">
        <x:v>0.2407011690353318</x:v>
      </x:c>
      <x:c r="N156" s="11" t="n">
        <x:v>36264617</x:v>
      </x:c>
      <x:c r="O156" s="11" t="n">
        <x:v>24475283</x:v>
      </x:c>
      <x:c r="P156" s="11" t="n">
        <x:v>12544507</x:v>
      </x:c>
      <x:c r="Q156" s="11" t="n">
        <x:v>7853346</x:v>
      </x:c>
      <x:c r="R156" s="11" t="n">
        <x:v>54133837</x:v>
      </x:c>
      <x:c r="S156" s="11" t="n">
        <x:v>6937531</x:v>
      </x:c>
      <x:c r="T156" s="11" t="n">
        <x:v>91357428</x:v>
      </x:c>
      <x:c r="U156" s="11" t="n">
        <x:v>45676003</x:v>
      </x:c>
      <x:c r="V156" s="11" t="n">
        <x:v>50265329</x:v>
      </x:c>
      <x:c r="W156" s="11" t="n">
        <x:v>30218011</x:v>
      </x:c>
      <x:c r="X156" s="11" t="n">
        <x:v>11880552</x:v>
      </x:c>
      <x:c r="Y156" s="11" t="n">
        <x:v>0</x:v>
      </x:c>
      <x:c r="Z156" s="11" t="n">
        <x:v>1008264</x:v>
      </x:c>
      <x:c r="AA156" s="11" t="n">
        <x:v>10419070</x:v>
      </x:c>
      <x:c r="AB156" s="11" t="n">
        <x:v>536433</x:v>
      </x:c>
      <x:c r="AC156" s="11" t="n">
        <x:v>1544697</x:v>
      </x:c>
      <x:c r="AD156" s="11" t="n">
        <x:v>16363317</x:v>
      </x:c>
      <x:c r="AE156" s="11" t="n">
        <x:v>14588870</x:v>
      </x:c>
      <x:c r="AF156" s="11" t="n">
        <x:v>65453269</x:v>
      </x:c>
      <x:c r="AG156" s="11" t="n">
        <x:v>306064677</x:v>
      </x:c>
      <x:c r="AH156" s="11" t="n">
        <x:v>121296145</x:v>
      </x:c>
      <x:c r="AI156" s="11" t="n">
        <x:v>184768532</x:v>
      </x:c>
      <x:c r="AJ156" s="11" t="n">
        <x:v>9973702</x:v>
      </x:c>
      <x:c r="AK156" s="11" t="n">
        <x:v>1139014257</x:v>
      </x:c>
      <x:c r="AL156" s="11" t="n">
        <x:v>13270934</x:v>
      </x:c>
      <x:c r="AM156" s="12" t="n">
        <x:v>0.9883487551464424</x:v>
      </x:c>
      <x:c r="AN156" s="12" t="n">
        <x:v>0.008756432975886798</x:v>
      </x:c>
      <x:c r="AO156" s="11" t="n">
        <x:v>63443318</x:v>
      </x:c>
      <x:c r="AP156" s="11" t="n">
        <x:v>62180603</x:v>
      </x:c>
      <x:c r="AQ156" s="12" t="n">
        <x:v>0.9800969583589559</x:v>
      </x:c>
      <x:c r="AR156" s="11" t="n">
        <x:v>2597.0729466743487</x:v>
      </x:c>
      <x:c r="AS156" s="11" t="n">
        <x:v>1971.954452339799</x:v>
      </x:c>
      <x:c r="AT156" s="11" t="n">
        <x:v>1608.902407016196</x:v>
      </x:c>
      <x:c r="AU156" s="11" t="n">
        <x:v>967.2239613341015</x:v>
      </x:c>
      <x:c r="AV156" s="11" t="n">
        <x:v>333.4956148774086</x:v>
      </x:c>
      <x:c r="AW156" s="11" t="n">
        <x:v>2.0001187056581986</x:v>
      </x:c>
      <x:c r="AX156" s="12" t="n">
        <x:v>0.8915594558242684</x:v>
      </x:c>
      <x:c r="AY156" s="11"/>
      <x:c r="AZ156" s="11"/>
      <x:c r="BA156" s="11"/>
      <x:c r="BB156" s="11"/>
      <x:c r="BC156" s="11"/>
      <x:c r="BD156" s="11"/>
      <x:c r="BE156" s="11"/>
      <x:c r="BF156" s="11"/>
      <x:c r="BG156" s="11"/>
      <x:c r="BH156" s="11"/>
      <x:c r="BI156" s="11"/>
      <x:c r="BJ156" s="11"/>
      <x:c r="BK156" s="12"/>
      <x:c r="BL156" s="12"/>
      <x:c r="BM156" s="12"/>
      <x:c r="BN156" s="12"/>
      <x:c r="BO156" s="12"/>
      <x:c r="BP156" s="12"/>
      <x:c r="BQ156" s="12"/>
      <x:c r="BR156" s="12"/>
      <x:c r="BS156" s="12"/>
      <x:c r="BT156" s="12"/>
      <x:c r="BU156" s="11" t="n">
        <x:v>91516</x:v>
      </x:c>
      <x:c r="BV156" s="11" t="n">
        <x:v>10503606</x:v>
      </x:c>
      <x:c r="BW156" s="11" t="n">
        <x:v>1949385</x:v>
      </x:c>
      <x:c r="BX156" s="11" t="n">
        <x:v>4043923</x:v>
      </x:c>
      <x:c r="BY156" s="11" t="n">
        <x:v>0</x:v>
      </x:c>
      <x:c r="BZ156" s="11" t="n">
        <x:v>3806801</x:v>
      </x:c>
      <x:c r="CA156" s="11" t="n">
        <x:v>2622</x:v>
      </x:c>
      <x:c r="CB156" s="11" t="n">
        <x:v>0</x:v>
      </x:c>
      <x:c r="CC156" s="11" t="n">
        <x:v>5485012</x:v>
      </x:c>
      <x:c r="CD156" s="11" t="n">
        <x:v>10313158</x:v>
      </x:c>
      <x:c r="CE156" s="11" t="n">
        <x:v>2682296</x:v>
      </x:c>
      <x:c r="CF156" s="11" t="n">
        <x:v>427056</x:v>
      </x:c>
      <x:c r="CG156" s="11" t="n">
        <x:v>2722928</x:v>
      </x:c>
      <x:c r="CH156" s="11" t="n">
        <x:v>5542135</x:v>
      </x:c>
      <x:c r="CI156" s="11" t="n">
        <x:v>9606563</x:v>
      </x:c>
      <x:c r="CJ156" s="11" t="n">
        <x:v>9690508</x:v>
      </x:c>
      <x:c r="CK156" s="11" t="n">
        <x:v>7735467</x:v>
      </x:c>
      <x:c r="CL156" s="11" t="n">
        <x:v>0</x:v>
      </x:c>
      <x:c r="CM156" s="11" t="n">
        <x:v>0</x:v>
      </x:c>
      <x:c r="CN156" s="11" t="n">
        <x:v>465147</x:v>
      </x:c>
      <x:c r="CO156" s="11" t="n">
        <x:v>0</x:v>
      </x:c>
      <x:c r="CP156" s="8"/>
      <x:c r="CQ156" s="8" t="str">
        <x:v>Wells</x:v>
      </x:c>
    </x:row>
    <x:row r="157">
      <x:c r="A157" s="8" t="str">
        <x:v>Courtenay|2024</x:v>
      </x:c>
      <x:c r="B157" s="8" t="str">
        <x:v>courtenay-c</x:v>
      </x:c>
      <x:c r="C157" s="8" t="str">
        <x:v>Courtenay</x:v>
      </x:c>
      <x:c r="D157" s="8" t="str">
        <x:v>Courtenay</x:v>
      </x:c>
      <x:c r="E157" s="8" t="str">
        <x:v>C</x:v>
      </x:c>
      <x:c r="F157" s="8" t="str">
        <x:v>COM</x:v>
      </x:c>
      <x:c r="G157" s="9" t="n">
        <x:v>2024</x:v>
      </x:c>
      <x:c r="H157" s="10" t="n">
        <x:v>31242</x:v>
      </x:c>
      <x:c r="I157" s="8" t="str">
        <x:v>20,000 to 99,999</x:v>
      </x:c>
      <x:c r="J157" s="11" t="n">
        <x:v>78773849</x:v>
      </x:c>
      <x:c r="K157" s="11" t="n">
        <x:v>69507934</x:v>
      </x:c>
      <x:c r="L157" s="11" t="n">
        <x:v>9265915</x:v>
      </x:c>
      <x:c r="M157" s="12" t="n">
        <x:v>0.11762679007851959</x:v>
      </x:c>
      <x:c r="N157" s="11" t="n">
        <x:v>40472305</x:v>
      </x:c>
      <x:c r="O157" s="11" t="n">
        <x:v>26986931</x:v>
      </x:c>
      <x:c r="P157" s="11" t="n">
        <x:v>5196036</x:v>
      </x:c>
      <x:c r="Q157" s="11" t="n">
        <x:v>6118577</x:v>
      </x:c>
      <x:c r="R157" s="11" t="n">
        <x:v>61254196</x:v>
      </x:c>
      <x:c r="S157" s="11" t="n">
        <x:v>7584844</x:v>
      </x:c>
      <x:c r="T157" s="11" t="n">
        <x:v>98553956</x:v>
      </x:c>
      <x:c r="U157" s="11" t="n">
        <x:v>56571368</x:v>
      </x:c>
      <x:c r="V157" s="11" t="n">
        <x:v>47434003</x:v>
      </x:c>
      <x:c r="W157" s="11" t="n">
        <x:v>34684428</x:v>
      </x:c>
      <x:c r="X157" s="11" t="n">
        <x:v>10419070</x:v>
      </x:c>
      <x:c r="Y157" s="11" t="n">
        <x:v>10638792</x:v>
      </x:c>
      <x:c r="Z157" s="11" t="n">
        <x:v>1275825</x:v>
      </x:c>
      <x:c r="AA157" s="11" t="n">
        <x:v>19297340</x:v>
      </x:c>
      <x:c r="AB157" s="11" t="n">
        <x:v>668894</x:v>
      </x:c>
      <x:c r="AC157" s="11" t="n">
        <x:v>1944719</x:v>
      </x:c>
      <x:c r="AD157" s="11" t="n">
        <x:v>17719578</x:v>
      </x:c>
      <x:c r="AE157" s="11" t="n">
        <x:v>14642850</x:v>
      </x:c>
      <x:c r="AF157" s="11" t="n">
        <x:v>70878312</x:v>
      </x:c>
      <x:c r="AG157" s="11" t="n">
        <x:v>325009398</x:v>
      </x:c>
      <x:c r="AH157" s="11" t="n">
        <x:v>128547822</x:v>
      </x:c>
      <x:c r="AI157" s="11" t="n">
        <x:v>196461576</x:v>
      </x:c>
      <x:c r="AJ157" s="11" t="n">
        <x:v>19236534</x:v>
      </x:c>
      <x:c r="AK157" s="11" t="n">
        <x:v>1158041571</x:v>
      </x:c>
      <x:c r="AL157" s="11" t="n">
        <x:v>13362596</x:v>
      </x:c>
      <x:c r="AM157" s="12" t="n">
        <x:v>0.9884610394526157</x:v>
      </x:c>
      <x:c r="AN157" s="12" t="n">
        <x:v>0.016611263776471114</x:v>
      </x:c>
      <x:c r="AO157" s="11" t="n">
        <x:v>68838996</x:v>
      </x:c>
      <x:c r="AP157" s="11" t="n">
        <x:v>67104577</x:v>
      </x:c>
      <x:c r="AQ157" s="12" t="n">
        <x:v>0.9748047022649778</x:v>
      </x:c>
      <x:c r="AR157" s="11" t="n">
        <x:v>2521.408648614045</x:v>
      </x:c>
      <x:c r="AS157" s="11" t="n">
        <x:v>2224.823442801357</x:v>
      </x:c>
      <x:c r="AT157" s="11" t="n">
        <x:v>1518.2767748543627</x:v>
      </x:c>
      <x:c r="AU157" s="11" t="n">
        <x:v>1110.1859035913194</x:v>
      </x:c>
      <x:c r="AV157" s="11" t="n">
        <x:v>617.673004289098</x:v>
      </x:c>
      <x:c r="AW157" s="11" t="n">
        <x:v>1.7421172491356405</x:v>
      </x:c>
      <x:c r="AX157" s="12" t="n">
        <x:v>0.8263656166077996</x:v>
      </x:c>
      <x:c r="AY157" s="11" t="n">
        <x:v>2823.8160359162957</x:v>
      </x:c>
      <x:c r="AZ157" s="11" t="n">
        <x:v>3546.5079302077975</x:v>
      </x:c>
      <x:c r="BA157" s="11" t="n">
        <x:v>2313.177731087988</x:v>
      </x:c>
      <x:c r="BB157" s="11" t="n">
        <x:v>2783.665107049771</x:v>
      </x:c>
      <x:c r="BC157" s="11" t="n">
        <x:v>1634.933826557682</x:v>
      </x:c>
      <x:c r="BD157" s="11" t="n">
        <x:v>2437.8724475115623</x:v>
      </x:c>
      <x:c r="BE157" s="11" t="n">
        <x:v>1015.8871081440785</x:v>
      </x:c>
      <x:c r="BF157" s="11" t="n">
        <x:v>1604.3462673977224</x:v>
      </x:c>
      <x:c r="BG157" s="11" t="n">
        <x:v>757.3716446138835</x:v>
      </x:c>
      <x:c r="BH157" s="11" t="n">
        <x:v>518.5374381567245</x:v>
      </x:c>
      <x:c r="BI157" s="11" t="n">
        <x:v>1.4428133381403412</x:v>
      </x:c>
      <x:c r="BJ157" s="11" t="n">
        <x:v>1.7099330852451193</x:v>
      </x:c>
      <x:c r="BK157" s="12" t="n">
        <x:v>0.021350493990494074</x:v>
      </x:c>
      <x:c r="BL157" s="12" t="n">
        <x:v>0.02529861000232605</x:v>
      </x:c>
      <x:c r="BM157" s="12" t="n">
        <x:v>0.9847118933607182</x:v>
      </x:c>
      <x:c r="BN157" s="12" t="n">
        <x:v>0.9815511712696461</x:v>
      </x:c>
      <x:c r="BO157" s="12" t="n">
        <x:v>0.8457939120832807</x:v>
      </x:c>
      <x:c r="BP157" s="12" t="n">
        <x:v>0.8619101997275483</x:v>
      </x:c>
      <x:c r="BQ157" s="12" t="n">
        <x:v>0.9744645665293163</x:v>
      </x:c>
      <x:c r="BR157" s="12" t="n">
        <x:v>0.9623635142836453</x:v>
      </x:c>
      <x:c r="BS157" s="12" t="n">
        <x:v>0.16542076645989975</x:v>
      </x:c>
      <x:c r="BT157" s="12" t="n">
        <x:v>0.19976549769108282</x:v>
      </x:c>
      <x:c r="BU157" s="11" t="n">
        <x:v>1374904</x:v>
      </x:c>
      <x:c r="BV157" s="11" t="n">
        <x:v>2849236</x:v>
      </x:c>
      <x:c r="BW157" s="11" t="n">
        <x:v>971896</x:v>
      </x:c>
      <x:c r="BX157" s="11" t="n">
        <x:v>4272330</x:v>
      </x:c>
      <x:c r="BY157" s="11" t="n">
        <x:v>0</x:v>
      </x:c>
      <x:c r="BZ157" s="11" t="n">
        <x:v>1831235</x:v>
      </x:c>
      <x:c r="CA157" s="11" t="n">
        <x:v>15012</x:v>
      </x:c>
      <x:c r="CB157" s="11" t="n">
        <x:v>0</x:v>
      </x:c>
      <x:c r="CC157" s="11" t="n">
        <x:v>6251776</x:v>
      </x:c>
      <x:c r="CD157" s="11" t="n">
        <x:v>13123936</x:v>
      </x:c>
      <x:c r="CE157" s="11" t="n">
        <x:v>3884430</x:v>
      </x:c>
      <x:c r="CF157" s="11" t="n">
        <x:v>483489</x:v>
      </x:c>
      <x:c r="CG157" s="11" t="n">
        <x:v>2765935</x:v>
      </x:c>
      <x:c r="CH157" s="11" t="n">
        <x:v>5845654</x:v>
      </x:c>
      <x:c r="CI157" s="11" t="n">
        <x:v>11111614</x:v>
      </x:c>
      <x:c r="CJ157" s="11" t="n">
        <x:v>9787370</x:v>
      </x:c>
      <x:c r="CK157" s="11" t="n">
        <x:v>8594606</x:v>
      </x:c>
      <x:c r="CL157" s="11" t="n">
        <x:v>0</x:v>
      </x:c>
      <x:c r="CM157" s="11" t="n">
        <x:v>0</x:v>
      </x:c>
      <x:c r="CN157" s="11" t="n">
        <x:v>74280</x:v>
      </x:c>
      <x:c r="CO157" s="11" t="n">
        <x:v>0</x:v>
      </x:c>
      <x:c r="CP157" s="8"/>
      <x:c r="CQ157" s="8" t="str">
        <x:v>West Kelowna</x:v>
      </x:c>
    </x:row>
    <x:row r="158">
      <x:c r="A158" s="8" t="str">
        <x:v>Cranbrook|2019</x:v>
      </x:c>
      <x:c r="B158" s="8" t="str">
        <x:v>cranbrook-c</x:v>
      </x:c>
      <x:c r="C158" s="8" t="str">
        <x:v>Cranbrook</x:v>
      </x:c>
      <x:c r="D158" s="8" t="str">
        <x:v>Cranbrook</x:v>
      </x:c>
      <x:c r="E158" s="8" t="str">
        <x:v>C</x:v>
      </x:c>
      <x:c r="F158" s="8" t="str">
        <x:v>EKO</x:v>
      </x:c>
      <x:c r="G158" s="9" t="n">
        <x:v>2019</x:v>
      </x:c>
      <x:c r="H158" s="10" t="n">
        <x:v>21247</x:v>
      </x:c>
      <x:c r="I158" s="8" t="str">
        <x:v>20,000 to 99,999</x:v>
      </x:c>
      <x:c r="J158" s="11" t="n">
        <x:v>51613118</x:v>
      </x:c>
      <x:c r="K158" s="11" t="n">
        <x:v>44967606</x:v>
      </x:c>
      <x:c r="L158" s="11" t="n">
        <x:v>6645512</x:v>
      </x:c>
      <x:c r="M158" s="12" t="n">
        <x:v>0.12875625921301634</x:v>
      </x:c>
      <x:c r="N158" s="11" t="n">
        <x:v>30800728</x:v>
      </x:c>
      <x:c r="O158" s="11" t="n">
        <x:v>15388603</x:v>
      </x:c>
      <x:c r="P158" s="11" t="n">
        <x:v>2788494</x:v>
      </x:c>
      <x:c r="Q158" s="11" t="n">
        <x:v>2635293</x:v>
      </x:c>
      <x:c r="R158" s="11" t="n">
        <x:v>35189895</x:v>
      </x:c>
      <x:c r="S158" s="11" t="n">
        <x:v>8246846</x:v>
      </x:c>
      <x:c r="T158" s="11" t="n">
        <x:v>57160748</x:v>
      </x:c>
      <x:c r="U158" s="11" t="n">
        <x:v>51214385</x:v>
      </x:c>
      <x:c r="V158" s="11" t="n">
        <x:v>10996011</x:v>
      </x:c>
      <x:c r="W158" s="11" t="n">
        <x:v>20605067</x:v>
      </x:c>
      <x:c r="X158" s="11" t="n">
        <x:v>37681185</x:v>
      </x:c>
      <x:c r="Y158" s="11" t="n">
        <x:v>0</x:v>
      </x:c>
      <x:c r="Z158" s="11" t="n">
        <x:v>3602620</x:v>
      </x:c>
      <x:c r="AA158" s="11" t="n">
        <x:v>33728007</x:v>
      </x:c>
      <x:c r="AB158" s="11" t="n">
        <x:v>1530865</x:v>
      </x:c>
      <x:c r="AC158" s="11" t="n">
        <x:v>5133485</x:v>
      </x:c>
      <x:c r="AD158" s="11" t="n">
        <x:v>12083808</x:v>
      </x:c>
      <x:c r="AE158" s="11" t="n">
        <x:v>6950323</x:v>
      </x:c>
      <x:c r="AF158" s="11" t="n">
        <x:v>48335232</x:v>
      </x:c>
      <x:c r="AG158" s="11" t="n">
        <x:v>335900503</x:v>
      </x:c>
      <x:c r="AH158" s="11" t="n">
        <x:v>126677527</x:v>
      </x:c>
      <x:c r="AI158" s="11" t="n">
        <x:v>209222976</x:v>
      </x:c>
      <x:c r="AJ158" s="11" t="n">
        <x:v>10873097</x:v>
      </x:c>
      <x:c r="AK158" s="11" t="n">
        <x:v>331097975</x:v>
      </x:c>
      <x:c r="AL158" s="11" t="n">
        <x:v>0</x:v>
      </x:c>
      <x:c r="AM158" s="12" t="n">
        <x:v>1</x:v>
      </x:c>
      <x:c r="AN158" s="12" t="n">
        <x:v>0.032839515252245204</x:v>
      </x:c>
      <x:c r="AO158" s="11" t="n">
        <x:v>40431479</x:v>
      </x:c>
      <x:c r="AP158" s="11" t="n">
        <x:v>38979861</x:v>
      </x:c>
      <x:c r="AQ158" s="12" t="n">
        <x:v>0.9640968365268062</x:v>
      </x:c>
      <x:c r="AR158" s="11" t="n">
        <x:v>2429.1955570198147</x:v>
      </x:c>
      <x:c r="AS158" s="11" t="n">
        <x:v>2116.4214242010635</x:v>
      </x:c>
      <x:c r="AT158" s="11" t="n">
        <x:v>517.5324045747635</x:v>
      </x:c>
      <x:c r="AU158" s="11" t="n">
        <x:v>969.7871228879371</x:v>
      </x:c>
      <x:c r="AV158" s="11" t="n">
        <x:v>1587.42443639102</x:v>
      </x:c>
      <x:c r="AW158" s="11" t="n">
        <x:v>1.1161072811867212</x:v>
      </x:c>
      <x:c r="AX158" s="12" t="n">
        <x:v>0.5751765503059962</x:v>
      </x:c>
      <x:c r="AY158" s="11"/>
      <x:c r="AZ158" s="11"/>
      <x:c r="BA158" s="11"/>
      <x:c r="BB158" s="11"/>
      <x:c r="BC158" s="11"/>
      <x:c r="BD158" s="11"/>
      <x:c r="BE158" s="11"/>
      <x:c r="BF158" s="11"/>
      <x:c r="BG158" s="11"/>
      <x:c r="BH158" s="11"/>
      <x:c r="BI158" s="11"/>
      <x:c r="BJ158" s="11"/>
      <x:c r="BK158" s="12"/>
      <x:c r="BL158" s="12"/>
      <x:c r="BM158" s="12"/>
      <x:c r="BN158" s="12"/>
      <x:c r="BO158" s="12"/>
      <x:c r="BP158" s="12"/>
      <x:c r="BQ158" s="12"/>
      <x:c r="BR158" s="12"/>
      <x:c r="BS158" s="12"/>
      <x:c r="BT158" s="12"/>
      <x:c r="BU158" s="11" t="n">
        <x:v>1807716</x:v>
      </x:c>
      <x:c r="BV158" s="11" t="n">
        <x:v>645214</x:v>
      </x:c>
      <x:c r="BW158" s="11" t="n">
        <x:v>335564</x:v>
      </x:c>
      <x:c r="BX158" s="11" t="n">
        <x:v>1226232</x:v>
      </x:c>
      <x:c r="BY158" s="11" t="n">
        <x:v>0</x:v>
      </x:c>
      <x:c r="BZ158" s="11" t="n">
        <x:v>607231</x:v>
      </x:c>
      <x:c r="CA158" s="11" t="n">
        <x:v>5562</x:v>
      </x:c>
      <x:c r="CB158" s="11" t="n">
        <x:v>796268</x:v>
      </x:c>
      <x:c r="CC158" s="11" t="n">
        <x:v>6601585</x:v>
      </x:c>
      <x:c r="CD158" s="11" t="n">
        <x:v>9861464</x:v>
      </x:c>
      <x:c r="CE158" s="11" t="n">
        <x:v>1893324</x:v>
      </x:c>
      <x:c r="CF158" s="11" t="n">
        <x:v>74703</x:v>
      </x:c>
      <x:c r="CG158" s="11" t="n">
        <x:v>54264</x:v>
      </x:c>
      <x:c r="CH158" s="11" t="n">
        <x:v>7059838</x:v>
      </x:c>
      <x:c r="CI158" s="11" t="n">
        <x:v>5504881</x:v>
      </x:c>
      <x:c r="CJ158" s="11" t="n">
        <x:v>2262109</x:v>
      </x:c>
      <x:c r="CK158" s="11" t="n">
        <x:v>1519377</x:v>
      </x:c>
      <x:c r="CL158" s="11" t="n">
        <x:v>1889215</x:v>
      </x:c>
      <x:c r="CM158" s="11"/>
      <x:c r="CN158" s="11" t="n">
        <x:v>0</x:v>
      </x:c>
      <x:c r="CO158" s="11" t="n">
        <x:v>0</x:v>
      </x:c>
      <x:c r="CP158" s="8"/>
      <x:c r="CQ158" s="8" t="str">
        <x:v>West Vancouver</x:v>
      </x:c>
    </x:row>
    <x:row r="159">
      <x:c r="A159" s="8" t="str">
        <x:v>Cranbrook|2020</x:v>
      </x:c>
      <x:c r="B159" s="8" t="str">
        <x:v>cranbrook-c</x:v>
      </x:c>
      <x:c r="C159" s="8" t="str">
        <x:v>Cranbrook</x:v>
      </x:c>
      <x:c r="D159" s="8" t="str">
        <x:v>Cranbrook</x:v>
      </x:c>
      <x:c r="E159" s="8" t="str">
        <x:v>C</x:v>
      </x:c>
      <x:c r="F159" s="8" t="str">
        <x:v>EKO</x:v>
      </x:c>
      <x:c r="G159" s="9" t="n">
        <x:v>2020</x:v>
      </x:c>
      <x:c r="H159" s="10" t="n">
        <x:v>21502</x:v>
      </x:c>
      <x:c r="I159" s="8" t="str">
        <x:v>20,000 to 99,999</x:v>
      </x:c>
      <x:c r="J159" s="11" t="n">
        <x:v>57173453</x:v>
      </x:c>
      <x:c r="K159" s="11" t="n">
        <x:v>44408182</x:v>
      </x:c>
      <x:c r="L159" s="11" t="n">
        <x:v>12765271</x:v>
      </x:c>
      <x:c r="M159" s="12" t="n">
        <x:v>0.2232726961584776</x:v>
      </x:c>
      <x:c r="N159" s="11" t="n">
        <x:v>31793796</x:v>
      </x:c>
      <x:c r="O159" s="11" t="n">
        <x:v>12811373</x:v>
      </x:c>
      <x:c r="P159" s="11" t="n">
        <x:v>6750393</x:v>
      </x:c>
      <x:c r="Q159" s="11" t="n">
        <x:v>5817891</x:v>
      </x:c>
      <x:c r="R159" s="11" t="n">
        <x:v>34765576</x:v>
      </x:c>
      <x:c r="S159" s="11" t="n">
        <x:v>8201153</x:v>
      </x:c>
      <x:c r="T159" s="11" t="n">
        <x:v>59702178</x:v>
      </x:c>
      <x:c r="U159" s="11" t="n">
        <x:v>46801726</x:v>
      </x:c>
      <x:c r="V159" s="11" t="n">
        <x:v>24408570</x:v>
      </x:c>
      <x:c r="W159" s="11" t="n">
        <x:v>21096843</x:v>
      </x:c>
      <x:c r="X159" s="11" t="n">
        <x:v>33754098</x:v>
      </x:c>
      <x:c r="Y159" s="11" t="n">
        <x:v>0</x:v>
      </x:c>
      <x:c r="Z159" s="11" t="n">
        <x:v>4509350</x:v>
      </x:c>
      <x:c r="AA159" s="11" t="n">
        <x:v>28897139</x:v>
      </x:c>
      <x:c r="AB159" s="11" t="n">
        <x:v>1441453</x:v>
      </x:c>
      <x:c r="AC159" s="11" t="n">
        <x:v>5950803</x:v>
      </x:c>
      <x:c r="AD159" s="11" t="n">
        <x:v>11962756</x:v>
      </x:c>
      <x:c r="AE159" s="11" t="n">
        <x:v>6011953</x:v>
      </x:c>
      <x:c r="AF159" s="11" t="n">
        <x:v>47851023</x:v>
      </x:c>
      <x:c r="AG159" s="11" t="n">
        <x:v>343097950</x:v>
      </x:c>
      <x:c r="AH159" s="11" t="n">
        <x:v>134535164</x:v>
      </x:c>
      <x:c r="AI159" s="11" t="n">
        <x:v>208562786</x:v>
      </x:c>
      <x:c r="AJ159" s="11" t="n">
        <x:v>11043916</x:v>
      </x:c>
      <x:c r="AK159" s="11" t="n">
        <x:v>325425623</x:v>
      </x:c>
      <x:c r="AL159" s="11" t="n">
        <x:v>0</x:v>
      </x:c>
      <x:c r="AM159" s="12" t="n">
        <x:v>1</x:v>
      </x:c>
      <x:c r="AN159" s="12" t="n">
        <x:v>0.033936836006303046</x:v>
      </x:c>
      <x:c r="AO159" s="11" t="n">
        <x:v>40827886</x:v>
      </x:c>
      <x:c r="AP159" s="11" t="n">
        <x:v>39884199</x:v>
      </x:c>
      <x:c r="AQ159" s="12" t="n">
        <x:v>0.9768862144858541</x:v>
      </x:c>
      <x:c r="AR159" s="11" t="n">
        <x:v>2658.983024834899</x:v>
      </x:c>
      <x:c r="AS159" s="11" t="n">
        <x:v>2065.304715840387</x:v>
      </x:c>
      <x:c r="AT159" s="11" t="n">
        <x:v>1135.1767277462561</x:v>
      </x:c>
      <x:c r="AU159" s="11" t="n">
        <x:v>981.1572411868664</x:v>
      </x:c>
      <x:c r="AV159" s="11" t="n">
        <x:v>1343.9279601897497</x:v>
      </x:c>
      <x:c r="AW159" s="11" t="n">
        <x:v>1.2756405180441421</x:v>
      </x:c>
      <x:c r="AX159" s="12" t="n">
        <x:v>0.5025558491705423</x:v>
      </x:c>
      <x:c r="AY159" s="11"/>
      <x:c r="AZ159" s="11"/>
      <x:c r="BA159" s="11"/>
      <x:c r="BB159" s="11"/>
      <x:c r="BC159" s="11"/>
      <x:c r="BD159" s="11"/>
      <x:c r="BE159" s="11"/>
      <x:c r="BF159" s="11"/>
      <x:c r="BG159" s="11"/>
      <x:c r="BH159" s="11"/>
      <x:c r="BI159" s="11"/>
      <x:c r="BJ159" s="11"/>
      <x:c r="BK159" s="12"/>
      <x:c r="BL159" s="12"/>
      <x:c r="BM159" s="12"/>
      <x:c r="BN159" s="12"/>
      <x:c r="BO159" s="12"/>
      <x:c r="BP159" s="12"/>
      <x:c r="BQ159" s="12"/>
      <x:c r="BR159" s="12"/>
      <x:c r="BS159" s="12"/>
      <x:c r="BT159" s="12"/>
      <x:c r="BU159" s="11" t="n">
        <x:v>951400</x:v>
      </x:c>
      <x:c r="BV159" s="11" t="n">
        <x:v>5067841</x:v>
      </x:c>
      <x:c r="BW159" s="11" t="n">
        <x:v>731152</x:v>
      </x:c>
      <x:c r="BX159" s="11" t="n">
        <x:v>675170</x:v>
      </x:c>
      <x:c r="BY159" s="11" t="n">
        <x:v>0</x:v>
      </x:c>
      <x:c r="BZ159" s="11" t="n">
        <x:v>243852</x:v>
      </x:c>
      <x:c r="CA159" s="11" t="n">
        <x:v>2497243</x:v>
      </x:c>
      <x:c r="CB159" s="11" t="n">
        <x:v>2401626</x:v>
      </x:c>
      <x:c r="CC159" s="11" t="n">
        <x:v>7243554</x:v>
      </x:c>
      <x:c r="CD159" s="11" t="n">
        <x:v>10187495</x:v>
      </x:c>
      <x:c r="CE159" s="11" t="n">
        <x:v>1913629</x:v>
      </x:c>
      <x:c r="CF159" s="11" t="n">
        <x:v>100347</x:v>
      </x:c>
      <x:c r="CG159" s="11" t="n">
        <x:v>117620</x:v>
      </x:c>
      <x:c r="CH159" s="11" t="n">
        <x:v>6403705</x:v>
      </x:c>
      <x:c r="CI159" s="11" t="n">
        <x:v>4469524</x:v>
      </x:c>
      <x:c r="CJ159" s="11" t="n">
        <x:v>2741269</x:v>
      </x:c>
      <x:c r="CK159" s="11" t="n">
        <x:v>1763968</x:v>
      </x:c>
      <x:c r="CL159" s="11" t="n">
        <x:v>1265918</x:v>
      </x:c>
      <x:c r="CM159" s="11"/>
      <x:c r="CN159" s="11" t="n">
        <x:v>0</x:v>
      </x:c>
      <x:c r="CO159" s="11" t="n">
        <x:v>0</x:v>
      </x:c>
      <x:c r="CP159" s="8"/>
      <x:c r="CQ159" s="8" t="str">
        <x:v>Whistler</x:v>
      </x:c>
    </x:row>
    <x:row r="160">
      <x:c r="A160" s="8" t="str">
        <x:v>Cranbrook|2021</x:v>
      </x:c>
      <x:c r="B160" s="8" t="str">
        <x:v>cranbrook-c</x:v>
      </x:c>
      <x:c r="C160" s="8" t="str">
        <x:v>Cranbrook</x:v>
      </x:c>
      <x:c r="D160" s="8" t="str">
        <x:v>Cranbrook</x:v>
      </x:c>
      <x:c r="E160" s="8" t="str">
        <x:v>C</x:v>
      </x:c>
      <x:c r="F160" s="8" t="str">
        <x:v>EKO</x:v>
      </x:c>
      <x:c r="G160" s="9" t="n">
        <x:v>2021</x:v>
      </x:c>
      <x:c r="H160" s="10" t="n">
        <x:v>21635</x:v>
      </x:c>
      <x:c r="I160" s="8" t="str">
        <x:v>20,000 to 99,999</x:v>
      </x:c>
      <x:c r="J160" s="11" t="n">
        <x:v>57836028</x:v>
      </x:c>
      <x:c r="K160" s="11" t="n">
        <x:v>46663113</x:v>
      </x:c>
      <x:c r="L160" s="11" t="n">
        <x:v>11172915</x:v>
      </x:c>
      <x:c r="M160" s="12" t="n">
        <x:v>0.19318261274788787</x:v>
      </x:c>
      <x:c r="N160" s="11" t="n">
        <x:v>32839517</x:v>
      </x:c>
      <x:c r="O160" s="11" t="n">
        <x:v>12803675</x:v>
      </x:c>
      <x:c r="P160" s="11" t="n">
        <x:v>7965929</x:v>
      </x:c>
      <x:c r="Q160" s="11" t="n">
        <x:v>4226907</x:v>
      </x:c>
      <x:c r="R160" s="11" t="n">
        <x:v>36648307</x:v>
      </x:c>
      <x:c r="S160" s="11" t="n">
        <x:v>8696081</x:v>
      </x:c>
      <x:c r="T160" s="11" t="n">
        <x:v>64950484</x:v>
      </x:c>
      <x:c r="U160" s="11" t="n">
        <x:v>46214894</x:v>
      </x:c>
      <x:c r="V160" s="11" t="n">
        <x:v>28526125</x:v>
      </x:c>
      <x:c r="W160" s="11" t="n">
        <x:v>30115347</x:v>
      </x:c>
      <x:c r="X160" s="11" t="n">
        <x:v>28897139</x:v>
      </x:c>
      <x:c r="Y160" s="11" t="n">
        <x:v>0</x:v>
      </x:c>
      <x:c r="Z160" s="11" t="n">
        <x:v>2591841</x:v>
      </x:c>
      <x:c r="AA160" s="11" t="n">
        <x:v>25921198</x:v>
      </x:c>
      <x:c r="AB160" s="11" t="n">
        <x:v>1318725</x:v>
      </x:c>
      <x:c r="AC160" s="11" t="n">
        <x:v>3910566</x:v>
      </x:c>
      <x:c r="AD160" s="11" t="n">
        <x:v>12111599</x:v>
      </x:c>
      <x:c r="AE160" s="11" t="n">
        <x:v>8201033</x:v>
      </x:c>
      <x:c r="AF160" s="11" t="n">
        <x:v>48446397</x:v>
      </x:c>
      <x:c r="AG160" s="11" t="n">
        <x:v>357966668</x:v>
      </x:c>
      <x:c r="AH160" s="11" t="n">
        <x:v>142197672</x:v>
      </x:c>
      <x:c r="AI160" s="11" t="n">
        <x:v>215768996</x:v>
      </x:c>
      <x:c r="AJ160" s="11" t="n">
        <x:v>16077660</x:v>
      </x:c>
      <x:c r="AK160" s="11" t="n">
        <x:v>332934320</x:v>
      </x:c>
      <x:c r="AL160" s="11" t="n">
        <x:v>0</x:v>
      </x:c>
      <x:c r="AM160" s="12" t="n">
        <x:v>1</x:v>
      </x:c>
      <x:c r="AN160" s="12" t="n">
        <x:v>0.0482907860024764</x:v>
      </x:c>
      <x:c r="AO160" s="11" t="n">
        <x:v>43480384</x:v>
      </x:c>
      <x:c r="AP160" s="11" t="n">
        <x:v>42610291</x:v>
      </x:c>
      <x:c r="AQ160" s="12" t="n">
        <x:v>0.9799888381850538</x:v>
      </x:c>
      <x:c r="AR160" s="11" t="n">
        <x:v>2673.2622140050844</x:v>
      </x:c>
      <x:c r="AS160" s="11" t="n">
        <x:v>2156.8344349433787</x:v>
      </x:c>
      <x:c r="AT160" s="11" t="n">
        <x:v>1318.517448578692</x:v>
      </x:c>
      <x:c r="AU160" s="11" t="n">
        <x:v>1391.9735151375087</x:v>
      </x:c>
      <x:c r="AV160" s="11" t="n">
        <x:v>1198.1140744164547</x:v>
      </x:c>
      <x:c r="AW160" s="11" t="n">
        <x:v>1.4054015573420984</x:v>
      </x:c>
      <x:c r="AX160" s="12" t="n">
        <x:v>0.6771222362959672</x:v>
      </x:c>
      <x:c r="AY160" s="11"/>
      <x:c r="AZ160" s="11"/>
      <x:c r="BA160" s="11"/>
      <x:c r="BB160" s="11"/>
      <x:c r="BC160" s="11"/>
      <x:c r="BD160" s="11"/>
      <x:c r="BE160" s="11"/>
      <x:c r="BF160" s="11"/>
      <x:c r="BG160" s="11"/>
      <x:c r="BH160" s="11"/>
      <x:c r="BI160" s="11"/>
      <x:c r="BJ160" s="11"/>
      <x:c r="BK160" s="12"/>
      <x:c r="BL160" s="12"/>
      <x:c r="BM160" s="12"/>
      <x:c r="BN160" s="12"/>
      <x:c r="BO160" s="12"/>
      <x:c r="BP160" s="12"/>
      <x:c r="BQ160" s="12"/>
      <x:c r="BR160" s="12"/>
      <x:c r="BS160" s="12"/>
      <x:c r="BT160" s="12"/>
      <x:c r="BU160" s="11" t="n">
        <x:v>4023976</x:v>
      </x:c>
      <x:c r="BV160" s="11" t="n">
        <x:v>3442490</x:v>
      </x:c>
      <x:c r="BW160" s="11" t="n">
        <x:v>499463</x:v>
      </x:c>
      <x:c r="BX160" s="11" t="n">
        <x:v>814682</x:v>
      </x:c>
      <x:c r="BY160" s="11" t="n">
        <x:v>0</x:v>
      </x:c>
      <x:c r="BZ160" s="11" t="n">
        <x:v>1533233</x:v>
      </x:c>
      <x:c r="CA160" s="11" t="n">
        <x:v>0</x:v>
      </x:c>
      <x:c r="CB160" s="11" t="n">
        <x:v>1878992</x:v>
      </x:c>
      <x:c r="CC160" s="11" t="n">
        <x:v>7457600</x:v>
      </x:c>
      <x:c r="CD160" s="11" t="n">
        <x:v>10060401</x:v>
      </x:c>
      <x:c r="CE160" s="11" t="n">
        <x:v>2184329</x:v>
      </x:c>
      <x:c r="CF160" s="11" t="n">
        <x:v>79248</x:v>
      </x:c>
      <x:c r="CG160" s="11" t="n">
        <x:v>116247</x:v>
      </x:c>
      <x:c r="CH160" s="11" t="n">
        <x:v>7459180</x:v>
      </x:c>
      <x:c r="CI160" s="11" t="n">
        <x:v>4615835</x:v>
      </x:c>
      <x:c r="CJ160" s="11" t="n">
        <x:v>2508841</x:v>
      </x:c>
      <x:c r="CK160" s="11" t="n">
        <x:v>1840532</x:v>
      </x:c>
      <x:c r="CL160" s="11" t="n">
        <x:v>1543021</x:v>
      </x:c>
      <x:c r="CM160" s="11"/>
      <x:c r="CN160" s="11" t="n">
        <x:v>101798</x:v>
      </x:c>
      <x:c r="CO160" s="11" t="n">
        <x:v>0</x:v>
      </x:c>
      <x:c r="CP160" s="8"/>
      <x:c r="CQ160" s="8" t="str">
        <x:v>White Rock</x:v>
      </x:c>
    </x:row>
    <x:row r="161">
      <x:c r="A161" s="8" t="str">
        <x:v>Cranbrook|2022</x:v>
      </x:c>
      <x:c r="B161" s="8" t="str">
        <x:v>cranbrook-c</x:v>
      </x:c>
      <x:c r="C161" s="8" t="str">
        <x:v>Cranbrook</x:v>
      </x:c>
      <x:c r="D161" s="8" t="str">
        <x:v>Cranbrook</x:v>
      </x:c>
      <x:c r="E161" s="8" t="str">
        <x:v>C</x:v>
      </x:c>
      <x:c r="F161" s="8" t="str">
        <x:v>EKO</x:v>
      </x:c>
      <x:c r="G161" s="9" t="n">
        <x:v>2022</x:v>
      </x:c>
      <x:c r="H161" s="10" t="n">
        <x:v>21882</x:v>
      </x:c>
      <x:c r="I161" s="8" t="str">
        <x:v>20,000 to 99,999</x:v>
      </x:c>
      <x:c r="J161" s="11" t="n">
        <x:v>61489638</x:v>
      </x:c>
      <x:c r="K161" s="11" t="n">
        <x:v>51123940</x:v>
      </x:c>
      <x:c r="L161" s="11" t="n">
        <x:v>10365698</x:v>
      </x:c>
      <x:c r="M161" s="12" t="n">
        <x:v>0.16857633801649638</x:v>
      </x:c>
      <x:c r="N161" s="11" t="n">
        <x:v>34137016</x:v>
      </x:c>
      <x:c r="O161" s="11" t="n">
        <x:v>16322789</x:v>
      </x:c>
      <x:c r="P161" s="11" t="n">
        <x:v>6760301</x:v>
      </x:c>
      <x:c r="Q161" s="11" t="n">
        <x:v>4269532</x:v>
      </x:c>
      <x:c r="R161" s="11" t="n">
        <x:v>41046297</x:v>
      </x:c>
      <x:c r="S161" s="11" t="n">
        <x:v>8808299</x:v>
      </x:c>
      <x:c r="T161" s="11" t="n">
        <x:v>66419954</x:v>
      </x:c>
      <x:c r="U161" s="11" t="n">
        <x:v>46397914</x:v>
      </x:c>
      <x:c r="V161" s="11" t="n">
        <x:v>30952609</x:v>
      </x:c>
      <x:c r="W161" s="11" t="n">
        <x:v>34644279</x:v>
      </x:c>
      <x:c r="X161" s="11" t="n">
        <x:v>25921198</x:v>
      </x:c>
      <x:c r="Y161" s="11" t="n">
        <x:v>1475544</x:v>
      </x:c>
      <x:c r="Z161" s="11" t="n">
        <x:v>2549971</x:v>
      </x:c>
      <x:c r="AA161" s="11" t="n">
        <x:v>24410038</x:v>
      </x:c>
      <x:c r="AB161" s="11" t="n">
        <x:v>1269344</x:v>
      </x:c>
      <x:c r="AC161" s="11" t="n">
        <x:v>3819315</x:v>
      </x:c>
      <x:c r="AD161" s="11" t="n">
        <x:v>13145578</x:v>
      </x:c>
      <x:c r="AE161" s="11" t="n">
        <x:v>9326263</x:v>
      </x:c>
      <x:c r="AF161" s="11" t="n">
        <x:v>52582313</x:v>
      </x:c>
      <x:c r="AG161" s="11" t="n">
        <x:v>373484984</x:v>
      </x:c>
      <x:c r="AH161" s="11" t="n">
        <x:v>149811054</x:v>
      </x:c>
      <x:c r="AI161" s="11" t="n">
        <x:v>223673930</x:v>
      </x:c>
      <x:c r="AJ161" s="11" t="n">
        <x:v>16796045</x:v>
      </x:c>
      <x:c r="AK161" s="11" t="n">
        <x:v>25357774</x:v>
      </x:c>
      <x:c r="AL161" s="11" t="n">
        <x:v>0</x:v>
      </x:c>
      <x:c r="AM161" s="12" t="n">
        <x:v>1</x:v>
      </x:c>
      <x:c r="AN161" s="12" t="n">
        <x:v>0.6623627531344036</x:v>
      </x:c>
      <x:c r="AO161" s="11" t="n">
        <x:v>45449454</x:v>
      </x:c>
      <x:c r="AP161" s="11" t="n">
        <x:v>44283550</x:v>
      </x:c>
      <x:c r="AQ161" s="12" t="n">
        <x:v>0.9743472385828882</x:v>
      </x:c>
      <x:c r="AR161" s="11" t="n">
        <x:v>2810.0556621880996</x:v>
      </x:c>
      <x:c r="AS161" s="11" t="n">
        <x:v>2336.3467690339094</x:v>
      </x:c>
      <x:c r="AT161" s="11" t="n">
        <x:v>1414.5237638241476</x:v>
      </x:c>
      <x:c r="AU161" s="11" t="n">
        <x:v>1583.2318343844256</x:v>
      </x:c>
      <x:c r="AV161" s="11" t="n">
        <x:v>1115.5304816744356</x:v>
      </x:c>
      <x:c r="AW161" s="11" t="n">
        <x:v>1.4315288829579709</x:v>
      </x:c>
      <x:c r="AX161" s="12" t="n">
        <x:v>0.709460093728857</x:v>
      </x:c>
      <x:c r="AY161" s="11"/>
      <x:c r="AZ161" s="11"/>
      <x:c r="BA161" s="11"/>
      <x:c r="BB161" s="11"/>
      <x:c r="BC161" s="11"/>
      <x:c r="BD161" s="11"/>
      <x:c r="BE161" s="11"/>
      <x:c r="BF161" s="11"/>
      <x:c r="BG161" s="11"/>
      <x:c r="BH161" s="11"/>
      <x:c r="BI161" s="11"/>
      <x:c r="BJ161" s="11"/>
      <x:c r="BK161" s="12"/>
      <x:c r="BL161" s="12"/>
      <x:c r="BM161" s="12"/>
      <x:c r="BN161" s="12"/>
      <x:c r="BO161" s="12"/>
      <x:c r="BP161" s="12"/>
      <x:c r="BQ161" s="12"/>
      <x:c r="BR161" s="12"/>
      <x:c r="BS161" s="12"/>
      <x:c r="BT161" s="12"/>
      <x:c r="BU161" s="11" t="n">
        <x:v>592524</x:v>
      </x:c>
      <x:c r="BV161" s="11" t="n">
        <x:v>4997808</x:v>
      </x:c>
      <x:c r="BW161" s="11" t="n">
        <x:v>1169969</x:v>
      </x:c>
      <x:c r="BX161" s="11" t="n">
        <x:v>2116859</x:v>
      </x:c>
      <x:c r="BY161" s="11" t="n">
        <x:v>0</x:v>
      </x:c>
      <x:c r="BZ161" s="11" t="n">
        <x:v>2152673</x:v>
      </x:c>
      <x:c r="CA161" s="11" t="n">
        <x:v>0</x:v>
      </x:c>
      <x:c r="CB161" s="11" t="n">
        <x:v>0</x:v>
      </x:c>
      <x:c r="CC161" s="11" t="n">
        <x:v>7719636</x:v>
      </x:c>
      <x:c r="CD161" s="11" t="n">
        <x:v>10868008</x:v>
      </x:c>
      <x:c r="CE161" s="11" t="n">
        <x:v>2306653</x:v>
      </x:c>
      <x:c r="CF161" s="11" t="n">
        <x:v>80998</x:v>
      </x:c>
      <x:c r="CG161" s="11" t="n">
        <x:v>239457</x:v>
      </x:c>
      <x:c r="CH161" s="11" t="n">
        <x:v>8015373</x:v>
      </x:c>
      <x:c r="CI161" s="11" t="n">
        <x:v>6478666</x:v>
      </x:c>
      <x:c r="CJ161" s="11" t="n">
        <x:v>2757716</x:v>
      </x:c>
      <x:c r="CK161" s="11" t="n">
        <x:v>1928549</x:v>
      </x:c>
      <x:c r="CL161" s="11" t="n">
        <x:v>1843429</x:v>
      </x:c>
      <x:c r="CM161" s="11"/>
      <x:c r="CN161" s="11" t="n">
        <x:v>77156</x:v>
      </x:c>
      <x:c r="CO161" s="11" t="n">
        <x:v>0</x:v>
      </x:c>
      <x:c r="CP161" s="8"/>
      <x:c r="CQ161" s="8" t="str">
        <x:v>Williams Lake</x:v>
      </x:c>
    </x:row>
    <x:row r="162">
      <x:c r="A162" s="8" t="str">
        <x:v>Cranbrook|2023</x:v>
      </x:c>
      <x:c r="B162" s="8" t="str">
        <x:v>cranbrook-c</x:v>
      </x:c>
      <x:c r="C162" s="8" t="str">
        <x:v>Cranbrook</x:v>
      </x:c>
      <x:c r="D162" s="8" t="str">
        <x:v>Cranbrook</x:v>
      </x:c>
      <x:c r="E162" s="8" t="str">
        <x:v>C</x:v>
      </x:c>
      <x:c r="F162" s="8" t="str">
        <x:v>EKO</x:v>
      </x:c>
      <x:c r="G162" s="9" t="n">
        <x:v>2023</x:v>
      </x:c>
      <x:c r="H162" s="10" t="n">
        <x:v>22675</x:v>
      </x:c>
      <x:c r="I162" s="8" t="str">
        <x:v>20,000 to 99,999</x:v>
      </x:c>
      <x:c r="J162" s="11" t="n">
        <x:v>69333588</x:v>
      </x:c>
      <x:c r="K162" s="11" t="n">
        <x:v>56273721</x:v>
      </x:c>
      <x:c r="L162" s="11" t="n">
        <x:v>13059867</x:v>
      </x:c>
      <x:c r="M162" s="12" t="n">
        <x:v>0.18836277447519376</x:v>
      </x:c>
      <x:c r="N162" s="11" t="n">
        <x:v>36481409</x:v>
      </x:c>
      <x:c r="O162" s="11" t="n">
        <x:v>17083580</x:v>
      </x:c>
      <x:c r="P162" s="11" t="n">
        <x:v>10054307</x:v>
      </x:c>
      <x:c r="Q162" s="11" t="n">
        <x:v>5714292</x:v>
      </x:c>
      <x:c r="R162" s="11" t="n">
        <x:v>46108808</x:v>
      </x:c>
      <x:c r="S162" s="11" t="n">
        <x:v>8942820</x:v>
      </x:c>
      <x:c r="T162" s="11" t="n">
        <x:v>63549361</x:v>
      </x:c>
      <x:c r="U162" s="11" t="n">
        <x:v>48556274</x:v>
      </x:c>
      <x:c r="V162" s="11" t="n">
        <x:v>25975735</x:v>
      </x:c>
      <x:c r="W162" s="11" t="n">
        <x:v>37471935</x:v>
      </x:c>
      <x:c r="X162" s="11" t="n">
        <x:v>24410038</x:v>
      </x:c>
      <x:c r="Y162" s="11" t="n">
        <x:v>0</x:v>
      </x:c>
      <x:c r="Z162" s="11" t="n">
        <x:v>2527792</x:v>
      </x:c>
      <x:c r="AA162" s="11" t="n">
        <x:v>21433004</x:v>
      </x:c>
      <x:c r="AB162" s="11" t="n">
        <x:v>1222093</x:v>
      </x:c>
      <x:c r="AC162" s="11" t="n">
        <x:v>3749885</x:v>
      </x:c>
      <x:c r="AD162" s="11" t="n">
        <x:v>14329977</x:v>
      </x:c>
      <x:c r="AE162" s="11" t="n">
        <x:v>9741936</x:v>
      </x:c>
      <x:c r="AF162" s="11" t="n">
        <x:v>57319908</x:v>
      </x:c>
      <x:c r="AG162" s="11" t="n">
        <x:v>395564211</x:v>
      </x:c>
      <x:c r="AH162" s="11" t="n">
        <x:v>157637536</x:v>
      </x:c>
      <x:c r="AI162" s="11" t="n">
        <x:v>237926675</x:v>
      </x:c>
      <x:c r="AJ162" s="11" t="n">
        <x:v>23162217</x:v>
      </x:c>
      <x:c r="AK162" s="11" t="n">
        <x:v>23768947</x:v>
      </x:c>
      <x:c r="AL162" s="11" t="n">
        <x:v>0</x:v>
      </x:c>
      <x:c r="AM162" s="12" t="n">
        <x:v>1</x:v>
      </x:c>
      <x:c r="AN162" s="12" t="n">
        <x:v>0.9744738376504437</x:v>
      </x:c>
      <x:c r="AO162" s="11" t="n">
        <x:v>48762730</x:v>
      </x:c>
      <x:c r="AP162" s="11" t="n">
        <x:v>47411064</x:v>
      </x:c>
      <x:c r="AQ162" s="12" t="n">
        <x:v>0.9722807562250924</x:v>
      </x:c>
      <x:c r="AR162" s="11" t="n">
        <x:v>3057.7106063947076</x:v>
      </x:c>
      <x:c r="AS162" s="11" t="n">
        <x:v>2481.7517530319737</x:v>
      </x:c>
      <x:c r="AT162" s="11" t="n">
        <x:v>1145.567144432194</x:v>
      </x:c>
      <x:c r="AU162" s="11" t="n">
        <x:v>1652.5660418963616</x:v>
      </x:c>
      <x:c r="AV162" s="11" t="n">
        <x:v>945.2261962513782</x:v>
      </x:c>
      <x:c r="AW162" s="11" t="n">
        <x:v>1.3087775433510405</x:v>
      </x:c>
      <x:c r="AX162" s="12" t="n">
        <x:v>0.6798291441779705</x:v>
      </x:c>
      <x:c r="AY162" s="11"/>
      <x:c r="AZ162" s="11"/>
      <x:c r="BA162" s="11"/>
      <x:c r="BB162" s="11"/>
      <x:c r="BC162" s="11"/>
      <x:c r="BD162" s="11"/>
      <x:c r="BE162" s="11"/>
      <x:c r="BF162" s="11"/>
      <x:c r="BG162" s="11"/>
      <x:c r="BH162" s="11"/>
      <x:c r="BI162" s="11"/>
      <x:c r="BJ162" s="11"/>
      <x:c r="BK162" s="12"/>
      <x:c r="BL162" s="12"/>
      <x:c r="BM162" s="12"/>
      <x:c r="BN162" s="12"/>
      <x:c r="BO162" s="12"/>
      <x:c r="BP162" s="12"/>
      <x:c r="BQ162" s="12"/>
      <x:c r="BR162" s="12"/>
      <x:c r="BS162" s="12"/>
      <x:c r="BT162" s="12"/>
      <x:c r="BU162" s="11" t="n">
        <x:v>1525247</x:v>
      </x:c>
      <x:c r="BV162" s="11" t="n">
        <x:v>7165109</x:v>
      </x:c>
      <x:c r="BW162" s="11" t="n">
        <x:v>1363951</x:v>
      </x:c>
      <x:c r="BX162" s="11" t="n">
        <x:v>3802161</x:v>
      </x:c>
      <x:c r="BY162" s="11" t="n">
        <x:v>0</x:v>
      </x:c>
      <x:c r="BZ162" s="11" t="n">
        <x:v>1884177</x:v>
      </x:c>
      <x:c r="CA162" s="11" t="n">
        <x:v>27954</x:v>
      </x:c>
      <x:c r="CB162" s="11" t="n">
        <x:v>0</x:v>
      </x:c>
      <x:c r="CC162" s="11" t="n">
        <x:v>6218917</x:v>
      </x:c>
      <x:c r="CD162" s="11" t="n">
        <x:v>12802816</x:v>
      </x:c>
      <x:c r="CE162" s="11" t="n">
        <x:v>2372007</x:v>
      </x:c>
      <x:c r="CF162" s="11" t="n">
        <x:v>76168</x:v>
      </x:c>
      <x:c r="CG162" s="11" t="n">
        <x:v>2911087</x:v>
      </x:c>
      <x:c r="CH162" s="11" t="n">
        <x:v>8101779</x:v>
      </x:c>
      <x:c r="CI162" s="11" t="n">
        <x:v>7342686</x:v>
      </x:c>
      <x:c r="CJ162" s="11" t="n">
        <x:v>3165347</x:v>
      </x:c>
      <x:c r="CK162" s="11" t="n">
        <x:v>2309217</x:v>
      </x:c>
      <x:c r="CL162" s="11" t="n">
        <x:v>1854381</x:v>
      </x:c>
      <x:c r="CM162" s="11" t="n">
        <x:v>176496</x:v>
      </x:c>
      <x:c r="CN162" s="11" t="n">
        <x:v>0</x:v>
      </x:c>
      <x:c r="CO162" s="11" t="n">
        <x:v>0</x:v>
      </x:c>
      <x:c r="CP162" s="8"/>
      <x:c r="CQ162" s="8" t="str">
        <x:v>Zeballos</x:v>
      </x:c>
    </x:row>
    <x:row r="163">
      <x:c r="A163" s="8" t="str">
        <x:v>Cranbrook|2024</x:v>
      </x:c>
      <x:c r="B163" s="8" t="str">
        <x:v>cranbrook-c</x:v>
      </x:c>
      <x:c r="C163" s="8" t="str">
        <x:v>Cranbrook</x:v>
      </x:c>
      <x:c r="D163" s="8" t="str">
        <x:v>Cranbrook</x:v>
      </x:c>
      <x:c r="E163" s="8" t="str">
        <x:v>C</x:v>
      </x:c>
      <x:c r="F163" s="8" t="str">
        <x:v>EKO</x:v>
      </x:c>
      <x:c r="G163" s="9" t="n">
        <x:v>2024</x:v>
      </x:c>
      <x:c r="H163" s="10" t="n">
        <x:v>22675</x:v>
      </x:c>
      <x:c r="I163" s="8" t="str">
        <x:v>20,000 to 99,999</x:v>
      </x:c>
      <x:c r="J163" s="11" t="n">
        <x:v>69954101</x:v>
      </x:c>
      <x:c r="K163" s="11" t="n">
        <x:v>60397040</x:v>
      </x:c>
      <x:c r="L163" s="11" t="n">
        <x:v>9557061</x:v>
      </x:c>
      <x:c r="M163" s="12" t="n">
        <x:v>0.1366190239511476</x:v>
      </x:c>
      <x:c r="N163" s="11" t="n">
        <x:v>40883320</x:v>
      </x:c>
      <x:c r="O163" s="11" t="n">
        <x:v>18142968</x:v>
      </x:c>
      <x:c r="P163" s="11" t="n">
        <x:v>4015920</x:v>
      </x:c>
      <x:c r="Q163" s="11" t="n">
        <x:v>6911893</x:v>
      </x:c>
      <x:c r="R163" s="11" t="n">
        <x:v>49560436</x:v>
      </x:c>
      <x:c r="S163" s="11" t="n">
        <x:v>9514245</x:v>
      </x:c>
      <x:c r="T163" s="11" t="n">
        <x:v>65128965</x:v>
      </x:c>
      <x:c r="U163" s="11" t="n">
        <x:v>52654663</x:v>
      </x:c>
      <x:c r="V163" s="11" t="n">
        <x:v>21500457</x:v>
      </x:c>
      <x:c r="W163" s="11" t="n">
        <x:v>32478389</x:v>
      </x:c>
      <x:c r="X163" s="11" t="n">
        <x:v>21433004</x:v>
      </x:c>
      <x:c r="Y163" s="11" t="n">
        <x:v>7887287</x:v>
      </x:c>
      <x:c r="Z163" s="11" t="n">
        <x:v>2458756</x:v>
      </x:c>
      <x:c r="AA163" s="11" t="n">
        <x:v>26551946</x:v>
      </x:c>
      <x:c r="AB163" s="11" t="n">
        <x:v>1322359</x:v>
      </x:c>
      <x:c r="AC163" s="11" t="n">
        <x:v>3781115</x:v>
      </x:c>
      <x:c r="AD163" s="11" t="n">
        <x:v>15819165</x:v>
      </x:c>
      <x:c r="AE163" s="11" t="n">
        <x:v>11207191</x:v>
      </x:c>
      <x:c r="AF163" s="11" t="n">
        <x:v>63276661</x:v>
      </x:c>
      <x:c r="AG163" s="11" t="n">
        <x:v>417480749</x:v>
      </x:c>
      <x:c r="AH163" s="11" t="n">
        <x:v>165547639</x:v>
      </x:c>
      <x:c r="AI163" s="11" t="n">
        <x:v>251933110</x:v>
      </x:c>
      <x:c r="AJ163" s="11" t="n">
        <x:v>23581033</x:v>
      </x:c>
      <x:c r="AK163" s="11" t="n">
        <x:v>417480749</x:v>
      </x:c>
      <x:c r="AL163" s="11" t="n">
        <x:v>9514245</x:v>
      </x:c>
      <x:c r="AM163" s="12" t="n">
        <x:v>0.9772103383861659</x:v>
      </x:c>
      <x:c r="AN163" s="12" t="n">
        <x:v>0.05648412066061518</x:v>
      </x:c>
      <x:c r="AO163" s="11" t="n">
        <x:v>54900396</x:v>
      </x:c>
      <x:c r="AP163" s="11" t="n">
        <x:v>53294999</x:v>
      </x:c>
      <x:c r="AQ163" s="12" t="n">
        <x:v>0.9707580069185657</x:v>
      </x:c>
      <x:c r="AR163" s="11" t="n">
        <x:v>3085.07611907387</x:v>
      </x:c>
      <x:c r="AS163" s="11" t="n">
        <x:v>2663.596030871003</x:v>
      </x:c>
      <x:c r="AT163" s="11" t="n">
        <x:v>948.2009702315326</x:v>
      </x:c>
      <x:c r="AU163" s="11" t="n">
        <x:v>1432.3435060639472</x:v>
      </x:c>
      <x:c r="AV163" s="11" t="n">
        <x:v>1170.9788754134509</x:v>
      </x:c>
      <x:c r="AW163" s="11" t="n">
        <x:v>1.236907830936075</x:v>
      </x:c>
      <x:c r="AX163" s="12" t="n">
        <x:v>0.7084565462209921</x:v>
      </x:c>
      <x:c r="AY163" s="11" t="n">
        <x:v>2823.8160359162957</x:v>
      </x:c>
      <x:c r="AZ163" s="11" t="n">
        <x:v>3546.5079302077975</x:v>
      </x:c>
      <x:c r="BA163" s="11" t="n">
        <x:v>2313.177731087988</x:v>
      </x:c>
      <x:c r="BB163" s="11" t="n">
        <x:v>2783.665107049771</x:v>
      </x:c>
      <x:c r="BC163" s="11" t="n">
        <x:v>1634.933826557682</x:v>
      </x:c>
      <x:c r="BD163" s="11" t="n">
        <x:v>2437.8724475115623</x:v>
      </x:c>
      <x:c r="BE163" s="11" t="n">
        <x:v>1015.8871081440785</x:v>
      </x:c>
      <x:c r="BF163" s="11" t="n">
        <x:v>1604.3462673977224</x:v>
      </x:c>
      <x:c r="BG163" s="11" t="n">
        <x:v>757.3716446138835</x:v>
      </x:c>
      <x:c r="BH163" s="11" t="n">
        <x:v>518.5374381567245</x:v>
      </x:c>
      <x:c r="BI163" s="11" t="n">
        <x:v>1.4428133381403412</x:v>
      </x:c>
      <x:c r="BJ163" s="11" t="n">
        <x:v>1.7099330852451193</x:v>
      </x:c>
      <x:c r="BK163" s="12" t="n">
        <x:v>0.021350493990494074</x:v>
      </x:c>
      <x:c r="BL163" s="12" t="n">
        <x:v>0.02529861000232605</x:v>
      </x:c>
      <x:c r="BM163" s="12" t="n">
        <x:v>0.9847118933607182</x:v>
      </x:c>
      <x:c r="BN163" s="12" t="n">
        <x:v>0.9815511712696461</x:v>
      </x:c>
      <x:c r="BO163" s="12" t="n">
        <x:v>0.8457939120832807</x:v>
      </x:c>
      <x:c r="BP163" s="12" t="n">
        <x:v>0.8619101997275483</x:v>
      </x:c>
      <x:c r="BQ163" s="12" t="n">
        <x:v>0.9744645665293163</x:v>
      </x:c>
      <x:c r="BR163" s="12" t="n">
        <x:v>0.9623635142836453</x:v>
      </x:c>
      <x:c r="BS163" s="12" t="n">
        <x:v>0.16542076645989975</x:v>
      </x:c>
      <x:c r="BT163" s="12" t="n">
        <x:v>0.19976549769108282</x:v>
      </x:c>
      <x:c r="BU163" s="11" t="n">
        <x:v>1575883</x:v>
      </x:c>
      <x:c r="BV163" s="11" t="n">
        <x:v>908264</x:v>
      </x:c>
      <x:c r="BW163" s="11" t="n">
        <x:v>1531773</x:v>
      </x:c>
      <x:c r="BX163" s="11" t="n">
        <x:v>3950251</x:v>
      </x:c>
      <x:c r="BY163" s="11" t="n">
        <x:v>0</x:v>
      </x:c>
      <x:c r="BZ163" s="11" t="n">
        <x:v>2710631</x:v>
      </x:c>
      <x:c r="CA163" s="11" t="n">
        <x:v>0</x:v>
      </x:c>
      <x:c r="CB163" s="11" t="n">
        <x:v>251011</x:v>
      </x:c>
      <x:c r="CC163" s="11" t="n">
        <x:v>6347106</x:v>
      </x:c>
      <x:c r="CD163" s="11" t="n">
        <x:v>13337048</x:v>
      </x:c>
      <x:c r="CE163" s="11" t="n">
        <x:v>2597792</x:v>
      </x:c>
      <x:c r="CF163" s="11" t="n">
        <x:v>103356</x:v>
      </x:c>
      <x:c r="CG163" s="11" t="n">
        <x:v>3249989</x:v>
      </x:c>
      <x:c r="CH163" s="11" t="n">
        <x:v>9843168</x:v>
      </x:c>
      <x:c r="CI163" s="11" t="n">
        <x:v>8159608</x:v>
      </x:c>
      <x:c r="CJ163" s="11" t="n">
        <x:v>3003820</x:v>
      </x:c>
      <x:c r="CK163" s="11" t="n">
        <x:v>2123579</x:v>
      </x:c>
      <x:c r="CL163" s="11" t="n">
        <x:v>2029721</x:v>
      </x:c>
      <x:c r="CM163" s="11" t="n">
        <x:v>55027</x:v>
      </x:c>
      <x:c r="CN163" s="11" t="n">
        <x:v>32581</x:v>
      </x:c>
      <x:c r="CO163" s="11" t="n">
        <x:v>0</x:v>
      </x:c>
      <x:c r="CP163" s="8"/>
      <x:c r="CQ163" s="8"/>
    </x:row>
    <x:row r="164">
      <x:c r="A164" s="8" t="str">
        <x:v>Creston|2019</x:v>
      </x:c>
      <x:c r="B164" s="8" t="str">
        <x:v>creston-t</x:v>
      </x:c>
      <x:c r="C164" s="8" t="str">
        <x:v>Creston</x:v>
      </x:c>
      <x:c r="D164" s="8" t="str">
        <x:v>Creston</x:v>
      </x:c>
      <x:c r="E164" s="8" t="str">
        <x:v>T</x:v>
      </x:c>
      <x:c r="F164" s="8" t="str">
        <x:v>CKO</x:v>
      </x:c>
      <x:c r="G164" s="9" t="n">
        <x:v>2019</x:v>
      </x:c>
      <x:c r="H164" s="10" t="n">
        <x:v>5564</x:v>
      </x:c>
      <x:c r="I164" s="8" t="str">
        <x:v>5,000 to 19,999</x:v>
      </x:c>
      <x:c r="J164" s="11" t="n">
        <x:v>12365619</x:v>
      </x:c>
      <x:c r="K164" s="11" t="n">
        <x:v>10699823</x:v>
      </x:c>
      <x:c r="L164" s="11" t="n">
        <x:v>1665796</x:v>
      </x:c>
      <x:c r="M164" s="12" t="n">
        <x:v>0.13471189756048604</x:v>
      </x:c>
      <x:c r="N164" s="11" t="n">
        <x:v>5464299</x:v>
      </x:c>
      <x:c r="O164" s="11" t="n">
        <x:v>4982051</x:v>
      </x:c>
      <x:c r="P164" s="11" t="n">
        <x:v>1223035</x:v>
      </x:c>
      <x:c r="Q164" s="11" t="n">
        <x:v>696234</x:v>
      </x:c>
      <x:c r="R164" s="11" t="n">
        <x:v>8315031</x:v>
      </x:c>
      <x:c r="S164" s="11" t="n">
        <x:v>2104131</x:v>
      </x:c>
      <x:c r="T164" s="11" t="n">
        <x:v>8291629</x:v>
      </x:c>
      <x:c r="U164" s="11" t="n">
        <x:v>7650420</x:v>
      </x:c>
      <x:c r="V164" s="11" t="n">
        <x:v>4115414</x:v>
      </x:c>
      <x:c r="W164" s="11" t="n">
        <x:v>277352</x:v>
      </x:c>
      <x:c r="X164" s="11" t="n">
        <x:v>4745470</x:v>
      </x:c>
      <x:c r="Y164" s="11" t="n">
        <x:v>0</x:v>
      </x:c>
      <x:c r="Z164" s="11" t="n">
        <x:v>278807</x:v>
      </x:c>
      <x:c r="AA164" s="11" t="n">
        <x:v>4356990</x:v>
      </x:c>
      <x:c r="AB164" s="11" t="n">
        <x:v>280661</x:v>
      </x:c>
      <x:c r="AC164" s="11" t="n">
        <x:v>559468</x:v>
      </x:c>
      <x:c r="AD164" s="11" t="n">
        <x:v>2836837</x:v>
      </x:c>
      <x:c r="AE164" s="11" t="n">
        <x:v>2277369</x:v>
      </x:c>
      <x:c r="AF164" s="11" t="n">
        <x:v>11347346</x:v>
      </x:c>
      <x:c r="AG164" s="11" t="n">
        <x:v>79761410</x:v>
      </x:c>
      <x:c r="AH164" s="11" t="n">
        <x:v>39242141</x:v>
      </x:c>
      <x:c r="AI164" s="11" t="n">
        <x:v>40519269</x:v>
      </x:c>
      <x:c r="AJ164" s="11" t="n">
        <x:v>3028078</x:v>
      </x:c>
      <x:c r="AK164" s="11" t="n">
        <x:v>3489689</x:v>
      </x:c>
      <x:c r="AL164" s="11" t="n">
        <x:v>0</x:v>
      </x:c>
      <x:c r="AM164" s="12" t="n">
        <x:v>1</x:v>
      </x:c>
      <x:c r="AN164" s="12" t="n">
        <x:v>0.8677214502495781</x:v>
      </x:c>
      <x:c r="AO164" s="11" t="n">
        <x:v>10130725</x:v>
      </x:c>
      <x:c r="AP164" s="11" t="n">
        <x:v>9750647</x:v>
      </x:c>
      <x:c r="AQ164" s="12" t="n">
        <x:v>0.9624826456151954</x:v>
      </x:c>
      <x:c r="AR164" s="11" t="n">
        <x:v>2222.4333213515456</x:v>
      </x:c>
      <x:c r="AS164" s="11" t="n">
        <x:v>1923.0451114306254</x:v>
      </x:c>
      <x:c r="AT164" s="11" t="n">
        <x:v>739.6502516175414</x:v>
      </x:c>
      <x:c r="AU164" s="11" t="n">
        <x:v>49.847591660675775</x:v>
      </x:c>
      <x:c r="AV164" s="11" t="n">
        <x:v>783.0679367361611</x:v>
      </x:c>
      <x:c r="AW164" s="11" t="n">
        <x:v>1.0838135684053947</x:v>
      </x:c>
      <x:c r="AX164" s="12" t="n">
        <x:v>0.8027845801503576</x:v>
      </x:c>
      <x:c r="AY164" s="11"/>
      <x:c r="AZ164" s="11"/>
      <x:c r="BA164" s="11"/>
      <x:c r="BB164" s="11"/>
      <x:c r="BC164" s="11"/>
      <x:c r="BD164" s="11"/>
      <x:c r="BE164" s="11"/>
      <x:c r="BF164" s="11"/>
      <x:c r="BG164" s="11"/>
      <x:c r="BH164" s="11"/>
      <x:c r="BI164" s="11"/>
      <x:c r="BJ164" s="11"/>
      <x:c r="BK164" s="12"/>
      <x:c r="BL164" s="12"/>
      <x:c r="BM164" s="12"/>
      <x:c r="BN164" s="12"/>
      <x:c r="BO164" s="12"/>
      <x:c r="BP164" s="12"/>
      <x:c r="BQ164" s="12"/>
      <x:c r="BR164" s="12"/>
      <x:c r="BS164" s="12"/>
      <x:c r="BT164" s="12"/>
      <x:c r="BU164" s="11" t="n">
        <x:v>435618</x:v>
      </x:c>
      <x:c r="BV164" s="11" t="n">
        <x:v>787417</x:v>
      </x:c>
      <x:c r="BW164" s="11" t="n">
        <x:v>0</x:v>
      </x:c>
      <x:c r="BX164" s="11" t="n">
        <x:v>378064</x:v>
      </x:c>
      <x:c r="BY164" s="11" t="n">
        <x:v>0</x:v>
      </x:c>
      <x:c r="BZ164" s="11" t="n">
        <x:v>318170</x:v>
      </x:c>
      <x:c r="CA164" s="11" t="n">
        <x:v>0</x:v>
      </x:c>
      <x:c r="CB164" s="11" t="n">
        <x:v>0</x:v>
      </x:c>
      <x:c r="CC164" s="11" t="n">
        <x:v>1941807</x:v>
      </x:c>
      <x:c r="CD164" s="11" t="n">
        <x:v>2117076</x:v>
      </x:c>
      <x:c r="CE164" s="11" t="n">
        <x:v>244859</x:v>
      </x:c>
      <x:c r="CF164" s="11" t="n">
        <x:v>0</x:v>
      </x:c>
      <x:c r="CG164" s="11" t="n">
        <x:v>168770</x:v>
      </x:c>
      <x:c r="CH164" s="11" t="n">
        <x:v>1152819</x:v>
      </x:c>
      <x:c r="CI164" s="11" t="n">
        <x:v>340822</x:v>
      </x:c>
      <x:c r="CJ164" s="11" t="n">
        <x:v>1065792</x:v>
      </x:c>
      <x:c r="CK164" s="11" t="n">
        <x:v>1053554</x:v>
      </x:c>
      <x:c r="CL164" s="11" t="n">
        <x:v>339315</x:v>
      </x:c>
      <x:c r="CM164" s="11"/>
      <x:c r="CN164" s="11" t="n">
        <x:v>170878</x:v>
      </x:c>
      <x:c r="CO164" s="11" t="n">
        <x:v>0</x:v>
      </x:c>
      <x:c r="CP164" s="8"/>
      <x:c r="CQ164" s="8"/>
    </x:row>
    <x:row r="165">
      <x:c r="A165" s="8" t="str">
        <x:v>Creston|2020</x:v>
      </x:c>
      <x:c r="B165" s="8" t="str">
        <x:v>creston-t</x:v>
      </x:c>
      <x:c r="C165" s="8" t="str">
        <x:v>Creston</x:v>
      </x:c>
      <x:c r="D165" s="8" t="str">
        <x:v>Creston</x:v>
      </x:c>
      <x:c r="E165" s="8" t="str">
        <x:v>T</x:v>
      </x:c>
      <x:c r="F165" s="8" t="str">
        <x:v>CKO</x:v>
      </x:c>
      <x:c r="G165" s="9" t="n">
        <x:v>2020</x:v>
      </x:c>
      <x:c r="H165" s="10" t="n">
        <x:v>5606</x:v>
      </x:c>
      <x:c r="I165" s="8" t="str">
        <x:v>5,000 to 19,999</x:v>
      </x:c>
      <x:c r="J165" s="11" t="n">
        <x:v>16776472</x:v>
      </x:c>
      <x:c r="K165" s="11" t="n">
        <x:v>10892342</x:v>
      </x:c>
      <x:c r="L165" s="11" t="n">
        <x:v>5884130</x:v>
      </x:c>
      <x:c r="M165" s="12" t="n">
        <x:v>0.3507370321960422</x:v>
      </x:c>
      <x:c r="N165" s="11" t="n">
        <x:v>5496562</x:v>
      </x:c>
      <x:c r="O165" s="11" t="n">
        <x:v>5440783</x:v>
      </x:c>
      <x:c r="P165" s="11" t="n">
        <x:v>5017700</x:v>
      </x:c>
      <x:c r="Q165" s="11" t="n">
        <x:v>821427</x:v>
      </x:c>
      <x:c r="R165" s="11" t="n">
        <x:v>8533222</x:v>
      </x:c>
      <x:c r="S165" s="11" t="n">
        <x:v>2090080</x:v>
      </x:c>
      <x:c r="T165" s="11" t="n">
        <x:v>10827535</x:v>
      </x:c>
      <x:c r="U165" s="11" t="n">
        <x:v>7590739</x:v>
      </x:c>
      <x:c r="V165" s="11" t="n">
        <x:v>6649787</x:v>
      </x:c>
      <x:c r="W165" s="11" t="n">
        <x:v>155808</x:v>
      </x:c>
      <x:c r="X165" s="11" t="n">
        <x:v>4356990</x:v>
      </x:c>
      <x:c r="Y165" s="11" t="n">
        <x:v>0</x:v>
      </x:c>
      <x:c r="Z165" s="11" t="n">
        <x:v>280263</x:v>
      </x:c>
      <x:c r="AA165" s="11" t="n">
        <x:v>3953112</x:v>
      </x:c>
      <x:c r="AB165" s="11" t="n">
        <x:v>269040</x:v>
      </x:c>
      <x:c r="AC165" s="11" t="n">
        <x:v>549303</x:v>
      </x:c>
      <x:c r="AD165" s="11" t="n">
        <x:v>2945553</x:v>
      </x:c>
      <x:c r="AE165" s="11" t="n">
        <x:v>2040300</x:v>
      </x:c>
      <x:c r="AF165" s="11" t="n">
        <x:v>11782210</x:v>
      </x:c>
      <x:c r="AG165" s="11" t="n">
        <x:v>84954085</x:v>
      </x:c>
      <x:c r="AH165" s="11" t="n">
        <x:v>41075806</x:v>
      </x:c>
      <x:c r="AI165" s="11" t="n">
        <x:v>43878279</x:v>
      </x:c>
      <x:c r="AJ165" s="11" t="n">
        <x:v>5458357</x:v>
      </x:c>
      <x:c r="AK165" s="11" t="n">
        <x:v>6867979</x:v>
      </x:c>
      <x:c r="AL165" s="11" t="n">
        <x:v>0</x:v>
      </x:c>
      <x:c r="AM165" s="12" t="n">
        <x:v>1</x:v>
      </x:c>
      <x:c r="AN165" s="12" t="n">
        <x:v>0.7947544685270587</x:v>
      </x:c>
      <x:c r="AO165" s="11" t="n">
        <x:v>10326090</x:v>
      </x:c>
      <x:c r="AP165" s="11" t="n">
        <x:v>9957834</x:v>
      </x:c>
      <x:c r="AQ165" s="12" t="n">
        <x:v>0.9643373241953149</x:v>
      </x:c>
      <x:c r="AR165" s="11" t="n">
        <x:v>2992.592222618623</x:v>
      </x:c>
      <x:c r="AS165" s="11" t="n">
        <x:v>1942.9793078844095</x:v>
      </x:c>
      <x:c r="AT165" s="11" t="n">
        <x:v>1186.191045308598</x:v>
      </x:c>
      <x:c r="AU165" s="11" t="n">
        <x:v>27.79307884409561</x:v>
      </x:c>
      <x:c r="AV165" s="11" t="n">
        <x:v>705.15733143061</x:v>
      </x:c>
      <x:c r="AW165" s="11" t="n">
        <x:v>1.426413818206633</x:v>
      </x:c>
      <x:c r="AX165" s="12" t="n">
        <x:v>0.6926712912651716</x:v>
      </x:c>
      <x:c r="AY165" s="11"/>
      <x:c r="AZ165" s="11"/>
      <x:c r="BA165" s="11"/>
      <x:c r="BB165" s="11"/>
      <x:c r="BC165" s="11"/>
      <x:c r="BD165" s="11"/>
      <x:c r="BE165" s="11"/>
      <x:c r="BF165" s="11"/>
      <x:c r="BG165" s="11"/>
      <x:c r="BH165" s="11"/>
      <x:c r="BI165" s="11"/>
      <x:c r="BJ165" s="11"/>
      <x:c r="BK165" s="12"/>
      <x:c r="BL165" s="12"/>
      <x:c r="BM165" s="12"/>
      <x:c r="BN165" s="12"/>
      <x:c r="BO165" s="12"/>
      <x:c r="BP165" s="12"/>
      <x:c r="BQ165" s="12"/>
      <x:c r="BR165" s="12"/>
      <x:c r="BS165" s="12"/>
      <x:c r="BT165" s="12"/>
      <x:c r="BU165" s="11" t="n">
        <x:v>2787897</x:v>
      </x:c>
      <x:c r="BV165" s="11" t="n">
        <x:v>2229803</x:v>
      </x:c>
      <x:c r="BW165" s="11" t="n">
        <x:v>0</x:v>
      </x:c>
      <x:c r="BX165" s="11" t="n">
        <x:v>312547</x:v>
      </x:c>
      <x:c r="BY165" s="11" t="n">
        <x:v>0</x:v>
      </x:c>
      <x:c r="BZ165" s="11" t="n">
        <x:v>508880</x:v>
      </x:c>
      <x:c r="CA165" s="11" t="n">
        <x:v>0</x:v>
      </x:c>
      <x:c r="CB165" s="11" t="n">
        <x:v>0</x:v>
      </x:c>
      <x:c r="CC165" s="11" t="n">
        <x:v>2002538</x:v>
      </x:c>
      <x:c r="CD165" s="11" t="n">
        <x:v>2372497</x:v>
      </x:c>
      <x:c r="CE165" s="11" t="n">
        <x:v>310820</x:v>
      </x:c>
      <x:c r="CF165" s="11" t="n">
        <x:v>0</x:v>
      </x:c>
      <x:c r="CG165" s="11" t="n">
        <x:v>262137</x:v>
      </x:c>
      <x:c r="CH165" s="11" t="n">
        <x:v>1074294</x:v>
      </x:c>
      <x:c r="CI165" s="11" t="n">
        <x:v>251085</x:v>
      </x:c>
      <x:c r="CJ165" s="11" t="n">
        <x:v>1006129</x:v>
      </x:c>
      <x:c r="CK165" s="11" t="n">
        <x:v>1192105</x:v>
      </x:c>
      <x:c r="CL165" s="11" t="n">
        <x:v>321392</x:v>
      </x:c>
      <x:c r="CM165" s="11"/>
      <x:c r="CN165" s="11" t="n">
        <x:v>9265</x:v>
      </x:c>
      <x:c r="CO165" s="11" t="n">
        <x:v>0</x:v>
      </x:c>
      <x:c r="CP165" s="8"/>
      <x:c r="CQ165" s="8"/>
    </x:row>
    <x:row r="166">
      <x:c r="A166" s="8" t="str">
        <x:v>Creston|2021</x:v>
      </x:c>
      <x:c r="B166" s="8" t="str">
        <x:v>creston-t</x:v>
      </x:c>
      <x:c r="C166" s="8" t="str">
        <x:v>Creston</x:v>
      </x:c>
      <x:c r="D166" s="8" t="str">
        <x:v>Creston</x:v>
      </x:c>
      <x:c r="E166" s="8" t="str">
        <x:v>T</x:v>
      </x:c>
      <x:c r="F166" s="8" t="str">
        <x:v>CKO</x:v>
      </x:c>
      <x:c r="G166" s="9" t="n">
        <x:v>2021</x:v>
      </x:c>
      <x:c r="H166" s="10" t="n">
        <x:v>5620</x:v>
      </x:c>
      <x:c r="I166" s="8" t="str">
        <x:v>5,000 to 19,999</x:v>
      </x:c>
      <x:c r="J166" s="11" t="n">
        <x:v>13626117</x:v>
      </x:c>
      <x:c r="K166" s="11" t="n">
        <x:v>11428028</x:v>
      </x:c>
      <x:c r="L166" s="11" t="n">
        <x:v>2198089</x:v>
      </x:c>
      <x:c r="M166" s="12" t="n">
        <x:v>0.16131440820594745</x:v>
      </x:c>
      <x:c r="N166" s="11" t="n">
        <x:v>5675634</x:v>
      </x:c>
      <x:c r="O166" s="11" t="n">
        <x:v>5875500</x:v>
      </x:c>
      <x:c r="P166" s="11" t="n">
        <x:v>1795544</x:v>
      </x:c>
      <x:c r="Q166" s="11" t="n">
        <x:v>279439</x:v>
      </x:c>
      <x:c r="R166" s="11" t="n">
        <x:v>9003030</x:v>
      </x:c>
      <x:c r="S166" s="11" t="n">
        <x:v>2118900</x:v>
      </x:c>
      <x:c r="T166" s="11" t="n">
        <x:v>11900433</x:v>
      </x:c>
      <x:c r="U166" s="11" t="n">
        <x:v>11581228</x:v>
      </x:c>
      <x:c r="V166" s="11" t="n">
        <x:v>3597027</x:v>
      </x:c>
      <x:c r="W166" s="11" t="n">
        <x:v>176289</x:v>
      </x:c>
      <x:c r="X166" s="11" t="n">
        <x:v>3953112</x:v>
      </x:c>
      <x:c r="Y166" s="11" t="n">
        <x:v>3000000</x:v>
      </x:c>
      <x:c r="Z166" s="11" t="n">
        <x:v>259266</x:v>
      </x:c>
      <x:c r="AA166" s="11" t="n">
        <x:v>6566512</x:v>
      </x:c>
      <x:c r="AB166" s="11" t="n">
        <x:v>306098</x:v>
      </x:c>
      <x:c r="AC166" s="11" t="n">
        <x:v>565364</x:v>
      </x:c>
      <x:c r="AD166" s="11" t="n">
        <x:v>3086644</x:v>
      </x:c>
      <x:c r="AE166" s="11" t="n">
        <x:v>2391980</x:v>
      </x:c>
      <x:c r="AF166" s="11" t="n">
        <x:v>12346577</x:v>
      </x:c>
      <x:c r="AG166" s="11" t="n">
        <x:v>91809163</x:v>
      </x:c>
      <x:c r="AH166" s="11" t="n">
        <x:v>42908157</x:v>
      </x:c>
      <x:c r="AI166" s="11" t="n">
        <x:v>48901006</x:v>
      </x:c>
      <x:c r="AJ166" s="11" t="n">
        <x:v>7149235</x:v>
      </x:c>
      <x:c r="AK166" s="11" t="n">
        <x:v>9302094</x:v>
      </x:c>
      <x:c r="AL166" s="11" t="n">
        <x:v>0</x:v>
      </x:c>
      <x:c r="AM166" s="12" t="n">
        <x:v>1</x:v>
      </x:c>
      <x:c r="AN166" s="12" t="n">
        <x:v>0.7685618958483972</x:v>
      </x:c>
      <x:c r="AO166" s="11" t="n">
        <x:v>11006514</x:v>
      </x:c>
      <x:c r="AP166" s="11" t="n">
        <x:v>10705289</x:v>
      </x:c>
      <x:c r="AQ166" s="12" t="n">
        <x:v>0.9726321158543023</x:v>
      </x:c>
      <x:c r="AR166" s="11" t="n">
        <x:v>2424.575978647687</x:v>
      </x:c>
      <x:c r="AS166" s="11" t="n">
        <x:v>2033.4569395017793</x:v>
      </x:c>
      <x:c r="AT166" s="11" t="n">
        <x:v>640.0403914590747</x:v>
      </x:c>
      <x:c r="AU166" s="11" t="n">
        <x:v>31.368149466192172</x:v>
      </x:c>
      <x:c r="AV166" s="11" t="n">
        <x:v>1168.4185053380784</x:v>
      </x:c>
      <x:c r="AW166" s="11" t="n">
        <x:v>1.0275622757793905</x:v>
      </x:c>
      <x:c r="AX166" s="12" t="n">
        <x:v>0.7749452155804167</x:v>
      </x:c>
      <x:c r="AY166" s="11"/>
      <x:c r="AZ166" s="11"/>
      <x:c r="BA166" s="11"/>
      <x:c r="BB166" s="11"/>
      <x:c r="BC166" s="11"/>
      <x:c r="BD166" s="11"/>
      <x:c r="BE166" s="11"/>
      <x:c r="BF166" s="11"/>
      <x:c r="BG166" s="11"/>
      <x:c r="BH166" s="11"/>
      <x:c r="BI166" s="11"/>
      <x:c r="BJ166" s="11"/>
      <x:c r="BK166" s="12"/>
      <x:c r="BL166" s="12"/>
      <x:c r="BM166" s="12"/>
      <x:c r="BN166" s="12"/>
      <x:c r="BO166" s="12"/>
      <x:c r="BP166" s="12"/>
      <x:c r="BQ166" s="12"/>
      <x:c r="BR166" s="12"/>
      <x:c r="BS166" s="12"/>
      <x:c r="BT166" s="12"/>
      <x:c r="BU166" s="11" t="n">
        <x:v>1133456</x:v>
      </x:c>
      <x:c r="BV166" s="11" t="n">
        <x:v>662088</x:v>
      </x:c>
      <x:c r="BW166" s="11" t="n">
        <x:v>0</x:v>
      </x:c>
      <x:c r="BX166" s="11" t="n">
        <x:v>279439</x:v>
      </x:c>
      <x:c r="BY166" s="11" t="n">
        <x:v>0</x:v>
      </x:c>
      <x:c r="BZ166" s="11" t="n">
        <x:v>0</x:v>
      </x:c>
      <x:c r="CA166" s="11" t="n">
        <x:v>0</x:v>
      </x:c>
      <x:c r="CB166" s="11" t="n">
        <x:v>0</x:v>
      </x:c>
      <x:c r="CC166" s="11" t="n">
        <x:v>1988740</x:v>
      </x:c>
      <x:c r="CD166" s="11" t="n">
        <x:v>2514249</x:v>
      </x:c>
      <x:c r="CE166" s="11" t="n">
        <x:v>297246</x:v>
      </x:c>
      <x:c r="CF166" s="11" t="n">
        <x:v>0</x:v>
      </x:c>
      <x:c r="CG166" s="11" t="n">
        <x:v>362687</x:v>
      </x:c>
      <x:c r="CH166" s="11" t="n">
        <x:v>1132187</x:v>
      </x:c>
      <x:c r="CI166" s="11" t="n">
        <x:v>348966</x:v>
      </x:c>
      <x:c r="CJ166" s="11" t="n">
        <x:v>1117306</x:v>
      </x:c>
      <x:c r="CK166" s="11" t="n">
        <x:v>1169912</x:v>
      </x:c>
      <x:c r="CL166" s="11" t="n">
        <x:v>370227</x:v>
      </x:c>
      <x:c r="CM166" s="11"/>
      <x:c r="CN166" s="11" t="n">
        <x:v>7608</x:v>
      </x:c>
      <x:c r="CO166" s="11" t="n">
        <x:v>0</x:v>
      </x:c>
      <x:c r="CP166" s="8"/>
      <x:c r="CQ166" s="8"/>
    </x:row>
    <x:row r="167">
      <x:c r="A167" s="8" t="str">
        <x:v>Creston|2022</x:v>
      </x:c>
      <x:c r="B167" s="8" t="str">
        <x:v>creston-t</x:v>
      </x:c>
      <x:c r="C167" s="8" t="str">
        <x:v>Creston</x:v>
      </x:c>
      <x:c r="D167" s="8" t="str">
        <x:v>Creston</x:v>
      </x:c>
      <x:c r="E167" s="8" t="str">
        <x:v>T</x:v>
      </x:c>
      <x:c r="F167" s="8" t="str">
        <x:v>CKO</x:v>
      </x:c>
      <x:c r="G167" s="9" t="n">
        <x:v>2022</x:v>
      </x:c>
      <x:c r="H167" s="10" t="n">
        <x:v>5693</x:v>
      </x:c>
      <x:c r="I167" s="8" t="str">
        <x:v>5,000 to 19,999</x:v>
      </x:c>
      <x:c r="J167" s="11" t="n">
        <x:v>16496553</x:v>
      </x:c>
      <x:c r="K167" s="11" t="n">
        <x:v>12571480</x:v>
      </x:c>
      <x:c r="L167" s="11" t="n">
        <x:v>3925073</x:v>
      </x:c>
      <x:c r="M167" s="12" t="n">
        <x:v>0.23793291847090722</x:v>
      </x:c>
      <x:c r="N167" s="11" t="n">
        <x:v>5931414</x:v>
      </x:c>
      <x:c r="O167" s="11" t="n">
        <x:v>5581884</x:v>
      </x:c>
      <x:c r="P167" s="11" t="n">
        <x:v>4175563</x:v>
      </x:c>
      <x:c r="Q167" s="11" t="n">
        <x:v>807692</x:v>
      </x:c>
      <x:c r="R167" s="11" t="n">
        <x:v>10068951</x:v>
      </x:c>
      <x:c r="S167" s="11" t="n">
        <x:v>2106946</x:v>
      </x:c>
      <x:c r="T167" s="11" t="n">
        <x:v>12273751</x:v>
      </x:c>
      <x:c r="U167" s="11" t="n">
        <x:v>9923015</x:v>
      </x:c>
      <x:c r="V167" s="11" t="n">
        <x:v>5725594</x:v>
      </x:c>
      <x:c r="W167" s="11" t="n">
        <x:v>207576</x:v>
      </x:c>
      <x:c r="X167" s="11" t="n">
        <x:v>6566512</x:v>
      </x:c>
      <x:c r="Y167" s="11" t="n">
        <x:v>1500000</x:v>
      </x:c>
      <x:c r="Z167" s="11" t="n">
        <x:v>2331949</x:v>
      </x:c>
      <x:c r="AA167" s="11" t="n">
        <x:v>5593500</x:v>
      </x:c>
      <x:c r="AB167" s="11" t="n">
        <x:v>395583</x:v>
      </x:c>
      <x:c r="AC167" s="11" t="n">
        <x:v>2727532</x:v>
      </x:c>
      <x:c r="AD167" s="11" t="n">
        <x:v>3160203</x:v>
      </x:c>
      <x:c r="AE167" s="11" t="n">
        <x:v>432671</x:v>
      </x:c>
      <x:c r="AF167" s="11" t="n">
        <x:v>12640811</x:v>
      </x:c>
      <x:c r="AG167" s="11" t="n">
        <x:v>92853656</x:v>
      </x:c>
      <x:c r="AH167" s="11" t="n">
        <x:v>42323737</x:v>
      </x:c>
      <x:c r="AI167" s="11" t="n">
        <x:v>50529919</x:v>
      </x:c>
      <x:c r="AJ167" s="11" t="n">
        <x:v>6439970</x:v>
      </x:c>
      <x:c r="AK167" s="11" t="n">
        <x:v>180232084</x:v>
      </x:c>
      <x:c r="AL167" s="11" t="n">
        <x:v>0</x:v>
      </x:c>
      <x:c r="AM167" s="12" t="n">
        <x:v>1</x:v>
      </x:c>
      <x:c r="AN167" s="12" t="n">
        <x:v>0.03573154045092216</x:v>
      </x:c>
      <x:c r="AO167" s="11" t="n">
        <x:v>11504738</x:v>
      </x:c>
      <x:c r="AP167" s="11" t="n">
        <x:v>11066624</x:v>
      </x:c>
      <x:c r="AQ167" s="12" t="n">
        <x:v>0.9619188198809916</x:v>
      </x:c>
      <x:c r="AR167" s="11" t="n">
        <x:v>2897.6906727560163</x:v>
      </x:c>
      <x:c r="AS167" s="11" t="n">
        <x:v>2208.2346741612505</x:v>
      </x:c>
      <x:c r="AT167" s="11" t="n">
        <x:v>1005.7252766555418</x:v>
      </x:c>
      <x:c r="AU167" s="11" t="n">
        <x:v>36.46161953275953</x:v>
      </x:c>
      <x:c r="AV167" s="11" t="n">
        <x:v>982.52239592482</x:v>
      </x:c>
      <x:c r="AW167" s="11" t="n">
        <x:v>1.2368973542819395</x:v>
      </x:c>
      <x:c r="AX167" s="12" t="n">
        <x:v>0.13691240720928372</x:v>
      </x:c>
      <x:c r="AY167" s="11"/>
      <x:c r="AZ167" s="11"/>
      <x:c r="BA167" s="11"/>
      <x:c r="BB167" s="11"/>
      <x:c r="BC167" s="11"/>
      <x:c r="BD167" s="11"/>
      <x:c r="BE167" s="11"/>
      <x:c r="BF167" s="11"/>
      <x:c r="BG167" s="11"/>
      <x:c r="BH167" s="11"/>
      <x:c r="BI167" s="11"/>
      <x:c r="BJ167" s="11"/>
      <x:c r="BK167" s="12"/>
      <x:c r="BL167" s="12"/>
      <x:c r="BM167" s="12"/>
      <x:c r="BN167" s="12"/>
      <x:c r="BO167" s="12"/>
      <x:c r="BP167" s="12"/>
      <x:c r="BQ167" s="12"/>
      <x:c r="BR167" s="12"/>
      <x:c r="BS167" s="12"/>
      <x:c r="BT167" s="12"/>
      <x:c r="BU167" s="11" t="n">
        <x:v>271178</x:v>
      </x:c>
      <x:c r="BV167" s="11" t="n">
        <x:v>3411681</x:v>
      </x:c>
      <x:c r="BW167" s="11" t="n">
        <x:v>492704</x:v>
      </x:c>
      <x:c r="BX167" s="11" t="n">
        <x:v>502287</x:v>
      </x:c>
      <x:c r="BY167" s="11" t="n">
        <x:v>0</x:v>
      </x:c>
      <x:c r="BZ167" s="11" t="n">
        <x:v>305405</x:v>
      </x:c>
      <x:c r="CA167" s="11" t="n">
        <x:v>0</x:v>
      </x:c>
      <x:c r="CB167" s="11" t="n">
        <x:v>0</x:v>
      </x:c>
      <x:c r="CC167" s="11" t="n">
        <x:v>2440889</x:v>
      </x:c>
      <x:c r="CD167" s="11" t="n">
        <x:v>2686110</x:v>
      </x:c>
      <x:c r="CE167" s="11" t="n">
        <x:v>517041</x:v>
      </x:c>
      <x:c r="CF167" s="11" t="n">
        <x:v>56200</x:v>
      </x:c>
      <x:c r="CG167" s="11" t="n">
        <x:v>279655</x:v>
      </x:c>
      <x:c r="CH167" s="11" t="n">
        <x:v>1304746</x:v>
      </x:c>
      <x:c r="CI167" s="11" t="n">
        <x:v>363152</x:v>
      </x:c>
      <x:c r="CJ167" s="11" t="n">
        <x:v>1068895</x:v>
      </x:c>
      <x:c r="CK167" s="11" t="n">
        <x:v>1297185</x:v>
      </x:c>
      <x:c r="CL167" s="11" t="n">
        <x:v>356370</x:v>
      </x:c>
      <x:c r="CM167" s="11"/>
      <x:c r="CN167" s="11" t="n">
        <x:v>94291</x:v>
      </x:c>
      <x:c r="CO167" s="11" t="n">
        <x:v>0</x:v>
      </x:c>
      <x:c r="CP167" s="8"/>
      <x:c r="CQ167" s="8"/>
    </x:row>
    <x:row r="168">
      <x:c r="A168" s="8" t="str">
        <x:v>Creston|2023</x:v>
      </x:c>
      <x:c r="B168" s="8" t="str">
        <x:v>creston-t</x:v>
      </x:c>
      <x:c r="C168" s="8" t="str">
        <x:v>Creston</x:v>
      </x:c>
      <x:c r="D168" s="8" t="str">
        <x:v>Creston</x:v>
      </x:c>
      <x:c r="E168" s="8" t="str">
        <x:v>T</x:v>
      </x:c>
      <x:c r="F168" s="8" t="str">
        <x:v>CKO</x:v>
      </x:c>
      <x:c r="G168" s="9" t="n">
        <x:v>2023</x:v>
      </x:c>
      <x:c r="H168" s="10" t="n">
        <x:v>5892</x:v>
      </x:c>
      <x:c r="I168" s="8" t="str">
        <x:v>5,000 to 19,999</x:v>
      </x:c>
      <x:c r="J168" s="11" t="n">
        <x:v>19316052</x:v>
      </x:c>
      <x:c r="K168" s="11" t="n">
        <x:v>13558209</x:v>
      </x:c>
      <x:c r="L168" s="11" t="n">
        <x:v>5757843</x:v>
      </x:c>
      <x:c r="M168" s="12" t="n">
        <x:v>0.29808591320835126</x:v>
      </x:c>
      <x:c r="N168" s="11" t="n">
        <x:v>6268410</x:v>
      </x:c>
      <x:c r="O168" s="11" t="n">
        <x:v>6269739</x:v>
      </x:c>
      <x:c r="P168" s="11" t="n">
        <x:v>3831077</x:v>
      </x:c>
      <x:c r="Q168" s="11" t="n">
        <x:v>2946826</x:v>
      </x:c>
      <x:c r="R168" s="11" t="n">
        <x:v>11046697</x:v>
      </x:c>
      <x:c r="S168" s="11" t="n">
        <x:v>2230055</x:v>
      </x:c>
      <x:c r="T168" s="11" t="n">
        <x:v>15526631</x:v>
      </x:c>
      <x:c r="U168" s="11" t="n">
        <x:v>9544602</x:v>
      </x:c>
      <x:c r="V168" s="11" t="n">
        <x:v>9398843</x:v>
      </x:c>
      <x:c r="W168" s="11" t="n">
        <x:v>2554404</x:v>
      </x:c>
      <x:c r="X168" s="11" t="n">
        <x:v>5593500</x:v>
      </x:c>
      <x:c r="Y168" s="11" t="n">
        <x:v>0</x:v>
      </x:c>
      <x:c r="Z168" s="11" t="n">
        <x:v>367739</x:v>
      </x:c>
      <x:c r="AA168" s="11" t="n">
        <x:v>5068800</x:v>
      </x:c>
      <x:c r="AB168" s="11" t="n">
        <x:v>281457</x:v>
      </x:c>
      <x:c r="AC168" s="11" t="n">
        <x:v>649196</x:v>
      </x:c>
      <x:c r="AD168" s="11" t="n">
        <x:v>3540916</x:v>
      </x:c>
      <x:c r="AE168" s="11" t="n">
        <x:v>2891720</x:v>
      </x:c>
      <x:c r="AF168" s="11" t="n">
        <x:v>14163665</x:v>
      </x:c>
      <x:c r="AG168" s="11" t="n">
        <x:v>97175834</x:v>
      </x:c>
      <x:c r="AH168" s="11" t="n">
        <x:v>44537951</x:v>
      </x:c>
      <x:c r="AI168" s="11" t="n">
        <x:v>52637883</x:v>
      </x:c>
      <x:c r="AJ168" s="11" t="n">
        <x:v>3788094</x:v>
      </x:c>
      <x:c r="AK168" s="11" t="n">
        <x:v>193278657</x:v>
      </x:c>
      <x:c r="AL168" s="11" t="n">
        <x:v>0</x:v>
      </x:c>
      <x:c r="AM168" s="12" t="n">
        <x:v>1</x:v>
      </x:c>
      <x:c r="AN168" s="12" t="n">
        <x:v>0.0195991324587898</x:v>
      </x:c>
      <x:c r="AO168" s="11" t="n">
        <x:v>12374662</x:v>
      </x:c>
      <x:c r="AP168" s="11" t="n">
        <x:v>11663245</x:v>
      </x:c>
      <x:c r="AQ168" s="12" t="n">
        <x:v>0.9425101873489554</x:v>
      </x:c>
      <x:c r="AR168" s="11" t="n">
        <x:v>3278.3523421588593</x:v>
      </x:c>
      <x:c r="AS168" s="11" t="n">
        <x:v>2301.1216904276985</x:v>
      </x:c>
      <x:c r="AT168" s="11" t="n">
        <x:v>1595.187202987101</x:v>
      </x:c>
      <x:c r="AU168" s="11" t="n">
        <x:v>433.5376782077393</x:v>
      </x:c>
      <x:c r="AV168" s="11" t="n">
        <x:v>860.285132382892</x:v>
      </x:c>
      <x:c r="AW168" s="11" t="n">
        <x:v>1.6267447296388053</x:v>
      </x:c>
      <x:c r="AX168" s="12" t="n">
        <x:v>0.8166587402807635</x:v>
      </x:c>
      <x:c r="AY168" s="11"/>
      <x:c r="AZ168" s="11"/>
      <x:c r="BA168" s="11"/>
      <x:c r="BB168" s="11"/>
      <x:c r="BC168" s="11"/>
      <x:c r="BD168" s="11"/>
      <x:c r="BE168" s="11"/>
      <x:c r="BF168" s="11"/>
      <x:c r="BG168" s="11"/>
      <x:c r="BH168" s="11"/>
      <x:c r="BI168" s="11"/>
      <x:c r="BJ168" s="11"/>
      <x:c r="BK168" s="12"/>
      <x:c r="BL168" s="12"/>
      <x:c r="BM168" s="12"/>
      <x:c r="BN168" s="12"/>
      <x:c r="BO168" s="12"/>
      <x:c r="BP168" s="12"/>
      <x:c r="BQ168" s="12"/>
      <x:c r="BR168" s="12"/>
      <x:c r="BS168" s="12"/>
      <x:c r="BT168" s="12"/>
      <x:c r="BU168" s="11" t="n">
        <x:v>643300</x:v>
      </x:c>
      <x:c r="BV168" s="11" t="n">
        <x:v>3187777</x:v>
      </x:c>
      <x:c r="BW168" s="11" t="n">
        <x:v>0</x:v>
      </x:c>
      <x:c r="BX168" s="11" t="n">
        <x:v>1180477</x:v>
      </x:c>
      <x:c r="BY168" s="11" t="n">
        <x:v>0</x:v>
      </x:c>
      <x:c r="BZ168" s="11" t="n">
        <x:v>1766349</x:v>
      </x:c>
      <x:c r="CA168" s="11" t="n">
        <x:v>0</x:v>
      </x:c>
      <x:c r="CB168" s="11" t="n">
        <x:v>0</x:v>
      </x:c>
      <x:c r="CC168" s="11" t="n">
        <x:v>2370033</x:v>
      </x:c>
      <x:c r="CD168" s="11" t="n">
        <x:v>3393735</x:v>
      </x:c>
      <x:c r="CE168" s="11" t="n">
        <x:v>385301</x:v>
      </x:c>
      <x:c r="CF168" s="11" t="n">
        <x:v>0</x:v>
      </x:c>
      <x:c r="CG168" s="11" t="n">
        <x:v>374170</x:v>
      </x:c>
      <x:c r="CH168" s="11" t="n">
        <x:v>1151703</x:v>
      </x:c>
      <x:c r="CI168" s="11" t="n">
        <x:v>464338</x:v>
      </x:c>
      <x:c r="CJ168" s="11" t="n">
        <x:v>1187966</x:v>
      </x:c>
      <x:c r="CK168" s="11" t="n">
        <x:v>1515295</x:v>
      </x:c>
      <x:c r="CL168" s="11" t="n">
        <x:v>247425</x:v>
      </x:c>
      <x:c r="CM168" s="11" t="n">
        <x:v>27383</x:v>
      </x:c>
      <x:c r="CN168" s="11" t="n">
        <x:v>210805</x:v>
      </x:c>
      <x:c r="CO168" s="11" t="n">
        <x:v>0</x:v>
      </x:c>
      <x:c r="CP168" s="8"/>
      <x:c r="CQ168" s="8"/>
    </x:row>
    <x:row r="169">
      <x:c r="A169" s="8" t="str">
        <x:v>Creston|2024</x:v>
      </x:c>
      <x:c r="B169" s="8" t="str">
        <x:v>creston-t</x:v>
      </x:c>
      <x:c r="C169" s="8" t="str">
        <x:v>Creston</x:v>
      </x:c>
      <x:c r="D169" s="8" t="str">
        <x:v>Creston</x:v>
      </x:c>
      <x:c r="E169" s="8" t="str">
        <x:v>T</x:v>
      </x:c>
      <x:c r="F169" s="8" t="str">
        <x:v>CKO</x:v>
      </x:c>
      <x:c r="G169" s="9" t="n">
        <x:v>2024</x:v>
      </x:c>
      <x:c r="H169" s="10" t="n">
        <x:v>5892</x:v>
      </x:c>
      <x:c r="I169" s="8" t="str">
        <x:v>5,000 to 19,999</x:v>
      </x:c>
      <x:c r="J169" s="11" t="n">
        <x:v>17209194</x:v>
      </x:c>
      <x:c r="K169" s="11" t="n">
        <x:v>14456353</x:v>
      </x:c>
      <x:c r="L169" s="11" t="n">
        <x:v>2752841</x:v>
      </x:c>
      <x:c r="M169" s="12" t="n">
        <x:v>0.1599633893371183</x:v>
      </x:c>
      <x:c r="N169" s="11" t="n">
        <x:v>6674487</x:v>
      </x:c>
      <x:c r="O169" s="11" t="n">
        <x:v>6600916</x:v>
      </x:c>
      <x:c r="P169" s="11" t="n">
        <x:v>2753893</x:v>
      </x:c>
      <x:c r="Q169" s="11" t="n">
        <x:v>1179898</x:v>
      </x:c>
      <x:c r="R169" s="11" t="n">
        <x:v>12091059</x:v>
      </x:c>
      <x:c r="S169" s="11" t="n">
        <x:v>2127738</x:v>
      </x:c>
      <x:c r="T169" s="11" t="n">
        <x:v>18173190</x:v>
      </x:c>
      <x:c r="U169" s="11" t="n">
        <x:v>11499760</x:v>
      </x:c>
      <x:c r="V169" s="11" t="n">
        <x:v>10458639</x:v>
      </x:c>
      <x:c r="W169" s="11" t="n">
        <x:v>2464842</x:v>
      </x:c>
      <x:c r="X169" s="11" t="n">
        <x:v>5068800</x:v>
      </x:c>
      <x:c r="Y169" s="11" t="n">
        <x:v>0</x:v>
      </x:c>
      <x:c r="Z169" s="11" t="n">
        <x:v>233221</x:v>
      </x:c>
      <x:c r="AA169" s="11" t="n">
        <x:v>4800137</x:v>
      </x:c>
      <x:c r="AB169" s="11" t="n">
        <x:v>237556</x:v>
      </x:c>
      <x:c r="AC169" s="11" t="n">
        <x:v>470777</x:v>
      </x:c>
      <x:c r="AD169" s="11" t="n">
        <x:v>3768140</x:v>
      </x:c>
      <x:c r="AE169" s="11" t="n">
        <x:v>3297363</x:v>
      </x:c>
      <x:c r="AF169" s="11" t="n">
        <x:v>15072559</x:v>
      </x:c>
      <x:c r="AG169" s="11" t="n">
        <x:v>100797299</x:v>
      </x:c>
      <x:c r="AH169" s="11" t="n">
        <x:v>46453074</x:v>
      </x:c>
      <x:c r="AI169" s="11" t="n">
        <x:v>54344225</x:v>
      </x:c>
      <x:c r="AJ169" s="11" t="n">
        <x:v>3846458</x:v>
      </x:c>
      <x:c r="AK169" s="11" t="n">
        <x:v>221313166</x:v>
      </x:c>
      <x:c r="AL169" s="11" t="n">
        <x:v>3812830</x:v>
      </x:c>
      <x:c r="AM169" s="12" t="n">
        <x:v>0.9827717886427055</x:v>
      </x:c>
      <x:c r="AN169" s="12" t="n">
        <x:v>0.017380158937313293</x:v>
      </x:c>
      <x:c r="AO169" s="11" t="n">
        <x:v>13161319</x:v>
      </x:c>
      <x:c r="AP169" s="11" t="n">
        <x:v>12791001</x:v>
      </x:c>
      <x:c r="AQ169" s="12" t="n">
        <x:v>0.9718631544452345</x:v>
      </x:c>
      <x:c r="AR169" s="11" t="n">
        <x:v>2920.7729124236253</x:v>
      </x:c>
      <x:c r="AS169" s="11" t="n">
        <x:v>2453.556177868296</x:v>
      </x:c>
      <x:c r="AT169" s="11" t="n">
        <x:v>1775.057535641548</x:v>
      </x:c>
      <x:c r="AU169" s="11" t="n">
        <x:v>418.33706720977597</x:v>
      </x:c>
      <x:c r="AV169" s="11" t="n">
        <x:v>814.6872029871012</x:v>
      </x:c>
      <x:c r="AW169" s="11" t="n">
        <x:v>1.5803103716947136</x:v>
      </x:c>
      <x:c r="AX169" s="12" t="n">
        <x:v>0.8750638245925045</x:v>
      </x:c>
      <x:c r="AY169" s="11" t="n">
        <x:v>2866.2208483821423</x:v>
      </x:c>
      <x:c r="AZ169" s="11" t="n">
        <x:v>3546.5079302077975</x:v>
      </x:c>
      <x:c r="BA169" s="11" t="n">
        <x:v>2297.657175284081</x:v>
      </x:c>
      <x:c r="BB169" s="11" t="n">
        <x:v>2783.665107049771</x:v>
      </x:c>
      <x:c r="BC169" s="11" t="n">
        <x:v>1859.732534766857</x:v>
      </x:c>
      <x:c r="BD169" s="11" t="n">
        <x:v>2437.8724475115623</x:v>
      </x:c>
      <x:c r="BE169" s="11" t="n">
        <x:v>918.4907099893891</x:v>
      </x:c>
      <x:c r="BF169" s="11" t="n">
        <x:v>1604.3462673977224</x:v>
      </x:c>
      <x:c r="BG169" s="11" t="n">
        <x:v>814.8464198087386</x:v>
      </x:c>
      <x:c r="BH169" s="11" t="n">
        <x:v>518.5374381567245</x:v>
      </x:c>
      <x:c r="BI169" s="11" t="n">
        <x:v>1.5120151567026447</x:v>
      </x:c>
      <x:c r="BJ169" s="11" t="n">
        <x:v>1.7099330852451193</x:v>
      </x:c>
      <x:c r="BK169" s="12" t="n">
        <x:v>0.024769834473671436</x:v>
      </x:c>
      <x:c r="BL169" s="12" t="n">
        <x:v>0.02529861000232605</x:v>
      </x:c>
      <x:c r="BM169" s="12" t="n">
        <x:v>0.9804574834797263</x:v>
      </x:c>
      <x:c r="BN169" s="12" t="n">
        <x:v>0.9815511712696461</x:v>
      </x:c>
      <x:c r="BO169" s="12" t="n">
        <x:v>0.8566659461626738</x:v>
      </x:c>
      <x:c r="BP169" s="12" t="n">
        <x:v>0.8619101997275483</x:v>
      </x:c>
      <x:c r="BQ169" s="12" t="n">
        <x:v>0.9770312225566793</x:v>
      </x:c>
      <x:c r="BR169" s="12" t="n">
        <x:v>0.9623635142836453</x:v>
      </x:c>
      <x:c r="BS169" s="12" t="n">
        <x:v>0.17479552285244132</x:v>
      </x:c>
      <x:c r="BT169" s="12" t="n">
        <x:v>0.19976549769108282</x:v>
      </x:c>
      <x:c r="BU169" s="11" t="n">
        <x:v>500200</x:v>
      </x:c>
      <x:c r="BV169" s="11" t="n">
        <x:v>1135380</x:v>
      </x:c>
      <x:c r="BW169" s="11" t="n">
        <x:v>1118313</x:v>
      </x:c>
      <x:c r="BX169" s="11" t="n">
        <x:v>1179898</x:v>
      </x:c>
      <x:c r="BY169" s="11" t="n">
        <x:v>0</x:v>
      </x:c>
      <x:c r="BZ169" s="11" t="n">
        <x:v>0</x:v>
      </x:c>
      <x:c r="CA169" s="11" t="n">
        <x:v>0</x:v>
      </x:c>
      <x:c r="CB169" s="11" t="n">
        <x:v>0</x:v>
      </x:c>
      <x:c r="CC169" s="11" t="n">
        <x:v>2564537</x:v>
      </x:c>
      <x:c r="CD169" s="11" t="n">
        <x:v>3812217</x:v>
      </x:c>
      <x:c r="CE169" s="11" t="n">
        <x:v>433401</x:v>
      </x:c>
      <x:c r="CF169" s="11" t="n">
        <x:v>0</x:v>
      </x:c>
      <x:c r="CG169" s="11" t="n">
        <x:v>469744</x:v>
      </x:c>
      <x:c r="CH169" s="11" t="n">
        <x:v>1301705</x:v>
      </x:c>
      <x:c r="CI169" s="11" t="n">
        <x:v>490639</x:v>
      </x:c>
      <x:c r="CJ169" s="11" t="n">
        <x:v>1222954</x:v>
      </x:c>
      <x:c r="CK169" s="11" t="n">
        <x:v>1814999</x:v>
      </x:c>
      <x:c r="CL169" s="11" t="n">
        <x:v>176693</x:v>
      </x:c>
      <x:c r="CM169" s="11" t="n">
        <x:v>29247</x:v>
      </x:c>
      <x:c r="CN169" s="11" t="n">
        <x:v>12479</x:v>
      </x:c>
      <x:c r="CO169" s="11" t="n">
        <x:v>0</x:v>
      </x:c>
      <x:c r="CP169" s="8"/>
      <x:c r="CQ169" s="8"/>
    </x:row>
    <x:row r="170">
      <x:c r="A170" s="8" t="str">
        <x:v>Cumberland|2019</x:v>
      </x:c>
      <x:c r="B170" s="8" t="str">
        <x:v>cumberland-v</x:v>
      </x:c>
      <x:c r="C170" s="8" t="str">
        <x:v>Cumberland</x:v>
      </x:c>
      <x:c r="D170" s="8" t="str">
        <x:v>Cumberland</x:v>
      </x:c>
      <x:c r="E170" s="8" t="str">
        <x:v>V</x:v>
      </x:c>
      <x:c r="F170" s="8" t="str">
        <x:v>COM</x:v>
      </x:c>
      <x:c r="G170" s="9" t="n">
        <x:v>2019</x:v>
      </x:c>
      <x:c r="H170" s="10" t="n">
        <x:v>4475</x:v>
      </x:c>
      <x:c r="I170" s="8" t="str">
        <x:v>Under 5,000</x:v>
      </x:c>
      <x:c r="J170" s="11" t="n">
        <x:v>11321305</x:v>
      </x:c>
      <x:c r="K170" s="11" t="n">
        <x:v>6974995</x:v>
      </x:c>
      <x:c r="L170" s="11" t="n">
        <x:v>4346310</x:v>
      </x:c>
      <x:c r="M170" s="12" t="n">
        <x:v>0.3839053889988831</x:v>
      </x:c>
      <x:c r="N170" s="11" t="n">
        <x:v>3556014</x:v>
      </x:c>
      <x:c r="O170" s="11" t="n">
        <x:v>2451982</x:v>
      </x:c>
      <x:c r="P170" s="11" t="n">
        <x:v>2848805</x:v>
      </x:c>
      <x:c r="Q170" s="11" t="n">
        <x:v>2464504</x:v>
      </x:c>
      <x:c r="R170" s="11" t="n">
        <x:v>5482886</x:v>
      </x:c>
      <x:c r="S170" s="11" t="n">
        <x:v>1368548</x:v>
      </x:c>
      <x:c r="T170" s="11" t="n">
        <x:v>13423526</x:v>
      </x:c>
      <x:c r="U170" s="11" t="n">
        <x:v>12043696</x:v>
      </x:c>
      <x:c r="V170" s="11" t="n">
        <x:v>2766708</x:v>
      </x:c>
      <x:c r="W170" s="11" t="n">
        <x:v>5614719</x:v>
      </x:c>
      <x:c r="X170" s="11" t="n">
        <x:v>3154008</x:v>
      </x:c>
      <x:c r="Y170" s="11" t="n">
        <x:v>1796102</x:v>
      </x:c>
      <x:c r="Z170" s="11" t="n">
        <x:v>348346</x:v>
      </x:c>
      <x:c r="AA170" s="11" t="n">
        <x:v>4573894</x:v>
      </x:c>
      <x:c r="AB170" s="11" t="n">
        <x:v>123561</x:v>
      </x:c>
      <x:c r="AC170" s="11" t="n">
        <x:v>471907</x:v>
      </x:c>
      <x:c r="AD170" s="11" t="n">
        <x:v>1903009</x:v>
      </x:c>
      <x:c r="AE170" s="11" t="n">
        <x:v>1365616</x:v>
      </x:c>
      <x:c r="AF170" s="11" t="n">
        <x:v>7612035</x:v>
      </x:c>
      <x:c r="AG170" s="11" t="n">
        <x:v>80604452</x:v>
      </x:c>
      <x:c r="AH170" s="11" t="n">
        <x:v>22475170</x:v>
      </x:c>
      <x:c r="AI170" s="11" t="n">
        <x:v>58129282</x:v>
      </x:c>
      <x:c r="AJ170" s="11" t="n">
        <x:v>5530773</x:v>
      </x:c>
      <x:c r="AK170" s="11" t="n">
        <x:v>163838419</x:v>
      </x:c>
      <x:c r="AL170" s="11" t="n">
        <x:v>3111027</x:v>
      </x:c>
      <x:c r="AM170" s="12" t="n">
        <x:v>0.9810116148642767</x:v>
      </x:c>
      <x:c r="AN170" s="12" t="n">
        <x:v>0.03375748517202183</x:v>
      </x:c>
      <x:c r="AO170" s="11" t="n">
        <x:v>6825785</x:v>
      </x:c>
      <x:c r="AP170" s="11" t="n">
        <x:v>6682783</x:v>
      </x:c>
      <x:c r="AQ170" s="12" t="n">
        <x:v>0.9790497356714283</x:v>
      </x:c>
      <x:c r="AR170" s="11" t="n">
        <x:v>2529.900558659218</x:v>
      </x:c>
      <x:c r="AS170" s="11" t="n">
        <x:v>1558.6581005586593</x:v>
      </x:c>
      <x:c r="AT170" s="11" t="n">
        <x:v>618.2587709497207</x:v>
      </x:c>
      <x:c r="AU170" s="11" t="n">
        <x:v>1254.6858100558659</x:v>
      </x:c>
      <x:c r="AV170" s="11" t="n">
        <x:v>1022.0992178770949</x:v>
      </x:c>
      <x:c r="AW170" s="11" t="n">
        <x:v>1.114568650686633</x:v>
      </x:c>
      <x:c r="AX170" s="12" t="n">
        <x:v>0.7176087974360604</x:v>
      </x:c>
      <x:c r="AY170" s="11"/>
      <x:c r="AZ170" s="11"/>
      <x:c r="BA170" s="11"/>
      <x:c r="BB170" s="11"/>
      <x:c r="BC170" s="11"/>
      <x:c r="BD170" s="11"/>
      <x:c r="BE170" s="11"/>
      <x:c r="BF170" s="11"/>
      <x:c r="BG170" s="11"/>
      <x:c r="BH170" s="11"/>
      <x:c r="BI170" s="11"/>
      <x:c r="BJ170" s="11"/>
      <x:c r="BK170" s="12"/>
      <x:c r="BL170" s="12"/>
      <x:c r="BM170" s="12"/>
      <x:c r="BN170" s="12"/>
      <x:c r="BO170" s="12"/>
      <x:c r="BP170" s="12"/>
      <x:c r="BQ170" s="12"/>
      <x:c r="BR170" s="12"/>
      <x:c r="BS170" s="12"/>
      <x:c r="BT170" s="12"/>
      <x:c r="BU170" s="11" t="n">
        <x:v>875108</x:v>
      </x:c>
      <x:c r="BV170" s="11" t="n">
        <x:v>1225313</x:v>
      </x:c>
      <x:c r="BW170" s="11" t="n">
        <x:v>748384</x:v>
      </x:c>
      <x:c r="BX170" s="11" t="n">
        <x:v>225247</x:v>
      </x:c>
      <x:c r="BY170" s="11" t="n">
        <x:v>0</x:v>
      </x:c>
      <x:c r="BZ170" s="11" t="n">
        <x:v>1642349</x:v>
      </x:c>
      <x:c r="CA170" s="11" t="n">
        <x:v>0</x:v>
      </x:c>
      <x:c r="CB170" s="11" t="n">
        <x:v>596908</x:v>
      </x:c>
      <x:c r="CC170" s="11" t="n">
        <x:v>1062321</x:v>
      </x:c>
      <x:c r="CD170" s="11" t="n">
        <x:v>634638</x:v>
      </x:c>
      <x:c r="CE170" s="11" t="n">
        <x:v>229053</x:v>
      </x:c>
      <x:c r="CF170" s="11" t="n">
        <x:v>41774</x:v>
      </x:c>
      <x:c r="CG170" s="11" t="n">
        <x:v>488504</x:v>
      </x:c>
      <x:c r="CH170" s="11" t="n">
        <x:v>759260</x:v>
      </x:c>
      <x:c r="CI170" s="11" t="n">
        <x:v>1140604</x:v>
      </x:c>
      <x:c r="CJ170" s="11" t="n">
        <x:v>580868</x:v>
      </x:c>
      <x:c r="CK170" s="11" t="n">
        <x:v>650677</x:v>
      </x:c>
      <x:c r="CL170" s="11" t="n">
        <x:v>0</x:v>
      </x:c>
      <x:c r="CM170" s="11"/>
      <x:c r="CN170" s="11" t="n">
        <x:v>18748</x:v>
      </x:c>
      <x:c r="CO170" s="11" t="n">
        <x:v>0</x:v>
      </x:c>
      <x:c r="CP170" s="8"/>
      <x:c r="CQ170" s="8"/>
    </x:row>
    <x:row r="171">
      <x:c r="A171" s="8" t="str">
        <x:v>Cumberland|2020</x:v>
      </x:c>
      <x:c r="B171" s="8" t="str">
        <x:v>cumberland-v</x:v>
      </x:c>
      <x:c r="C171" s="8" t="str">
        <x:v>Cumberland</x:v>
      </x:c>
      <x:c r="D171" s="8" t="str">
        <x:v>Cumberland</x:v>
      </x:c>
      <x:c r="E171" s="8" t="str">
        <x:v>V</x:v>
      </x:c>
      <x:c r="F171" s="8" t="str">
        <x:v>COM</x:v>
      </x:c>
      <x:c r="G171" s="9" t="n">
        <x:v>2020</x:v>
      </x:c>
      <x:c r="H171" s="10" t="n">
        <x:v>4558</x:v>
      </x:c>
      <x:c r="I171" s="8" t="str">
        <x:v>Under 5,000</x:v>
      </x:c>
      <x:c r="J171" s="11" t="n">
        <x:v>11635807</x:v>
      </x:c>
      <x:c r="K171" s="11" t="n">
        <x:v>7012158</x:v>
      </x:c>
      <x:c r="L171" s="11" t="n">
        <x:v>4623649</x:v>
      </x:c>
      <x:c r="M171" s="12" t="n">
        <x:v>0.39736384420951637</x:v>
      </x:c>
      <x:c r="N171" s="11" t="n">
        <x:v>3840938</x:v>
      </x:c>
      <x:c r="O171" s="11" t="n">
        <x:v>2357949</x:v>
      </x:c>
      <x:c r="P171" s="11" t="n">
        <x:v>2521518</x:v>
      </x:c>
      <x:c r="Q171" s="11" t="n">
        <x:v>2915402</x:v>
      </x:c>
      <x:c r="R171" s="11" t="n">
        <x:v>5330437</x:v>
      </x:c>
      <x:c r="S171" s="11" t="n">
        <x:v>1544032</x:v>
      </x:c>
      <x:c r="T171" s="11" t="n">
        <x:v>18446174</x:v>
      </x:c>
      <x:c r="U171" s="11" t="n">
        <x:v>17963254</x:v>
      </x:c>
      <x:c r="V171" s="11" t="n">
        <x:v>1776491</x:v>
      </x:c>
      <x:c r="W171" s="11" t="n">
        <x:v>5962529</x:v>
      </x:c>
      <x:c r="X171" s="11" t="n">
        <x:v>4573894</x:v>
      </x:c>
      <x:c r="Y171" s="11" t="n">
        <x:v>2076609</x:v>
      </x:c>
      <x:c r="Z171" s="11" t="n">
        <x:v>426526</x:v>
      </x:c>
      <x:c r="AA171" s="11" t="n">
        <x:v>6192033</x:v>
      </x:c>
      <x:c r="AB171" s="11" t="n">
        <x:v>137689</x:v>
      </x:c>
      <x:c r="AC171" s="11" t="n">
        <x:v>564215</x:v>
      </x:c>
      <x:c r="AD171" s="11" t="n">
        <x:v>2473507</x:v>
      </x:c>
      <x:c r="AE171" s="11" t="n">
        <x:v>1561252</x:v>
      </x:c>
      <x:c r="AF171" s="11" t="n">
        <x:v>9894026</x:v>
      </x:c>
      <x:c r="AG171" s="11" t="n">
        <x:v>87807049</x:v>
      </x:c>
      <x:c r="AH171" s="11" t="n">
        <x:v>23939073</x:v>
      </x:c>
      <x:c r="AI171" s="11" t="n">
        <x:v>63867976</x:v>
      </x:c>
      <x:c r="AJ171" s="11" t="n">
        <x:v>7323038</x:v>
      </x:c>
      <x:c r="AK171" s="11" t="n">
        <x:v>170557187</x:v>
      </x:c>
      <x:c r="AL171" s="11" t="n">
        <x:v>3293248</x:v>
      </x:c>
      <x:c r="AM171" s="12" t="n">
        <x:v>0.9806912387690822</x:v>
      </x:c>
      <x:c r="AN171" s="12" t="n">
        <x:v>0.04293596845027703</x:v>
      </x:c>
      <x:c r="AO171" s="11" t="n">
        <x:v>7271467</x:v>
      </x:c>
      <x:c r="AP171" s="11" t="n">
        <x:v>7091401</x:v>
      </x:c>
      <x:c r="AQ171" s="12" t="n">
        <x:v>0.9752366338181828</x:v>
      </x:c>
      <x:c r="AR171" s="11" t="n">
        <x:v>2552.831724440544</x:v>
      </x:c>
      <x:c r="AS171" s="11" t="n">
        <x:v>1538.4286967968408</x:v>
      </x:c>
      <x:c r="AT171" s="11" t="n">
        <x:v>389.75230364194823</x:v>
      </x:c>
      <x:c r="AU171" s="11" t="n">
        <x:v>1308.1458973233875</x:v>
      </x:c>
      <x:c r="AV171" s="11" t="n">
        <x:v>1358.4978060552874</x:v>
      </x:c>
      <x:c r="AW171" s="11" t="n">
        <x:v>1.0268837706130527</x:v>
      </x:c>
      <x:c r="AX171" s="12" t="n">
        <x:v>0.6311896428835657</x:v>
      </x:c>
      <x:c r="AY171" s="11"/>
      <x:c r="AZ171" s="11"/>
      <x:c r="BA171" s="11"/>
      <x:c r="BB171" s="11"/>
      <x:c r="BC171" s="11"/>
      <x:c r="BD171" s="11"/>
      <x:c r="BE171" s="11"/>
      <x:c r="BF171" s="11"/>
      <x:c r="BG171" s="11"/>
      <x:c r="BH171" s="11"/>
      <x:c r="BI171" s="11"/>
      <x:c r="BJ171" s="11"/>
      <x:c r="BK171" s="12"/>
      <x:c r="BL171" s="12"/>
      <x:c r="BM171" s="12"/>
      <x:c r="BN171" s="12"/>
      <x:c r="BO171" s="12"/>
      <x:c r="BP171" s="12"/>
      <x:c r="BQ171" s="12"/>
      <x:c r="BR171" s="12"/>
      <x:c r="BS171" s="12"/>
      <x:c r="BT171" s="12"/>
      <x:c r="BU171" s="11" t="n">
        <x:v>48333</x:v>
      </x:c>
      <x:c r="BV171" s="11" t="n">
        <x:v>1928774</x:v>
      </x:c>
      <x:c r="BW171" s="11" t="n">
        <x:v>544411</x:v>
      </x:c>
      <x:c r="BX171" s="11" t="n">
        <x:v>186266</x:v>
      </x:c>
      <x:c r="BY171" s="11" t="n">
        <x:v>0</x:v>
      </x:c>
      <x:c r="BZ171" s="11" t="n">
        <x:v>1835</x:v>
      </x:c>
      <x:c r="CA171" s="11" t="n">
        <x:v>0</x:v>
      </x:c>
      <x:c r="CB171" s="11" t="n">
        <x:v>2727301</x:v>
      </x:c>
      <x:c r="CC171" s="11" t="n">
        <x:v>812781</x:v>
      </x:c>
      <x:c r="CD171" s="11" t="n">
        <x:v>632586</x:v>
      </x:c>
      <x:c r="CE171" s="11" t="n">
        <x:v>300972</x:v>
      </x:c>
      <x:c r="CF171" s="11" t="n">
        <x:v>29808</x:v>
      </x:c>
      <x:c r="CG171" s="11" t="n">
        <x:v>477349</x:v>
      </x:c>
      <x:c r="CH171" s="11" t="n">
        <x:v>730561</x:v>
      </x:c>
      <x:c r="CI171" s="11" t="n">
        <x:v>1143582</x:v>
      </x:c>
      <x:c r="CJ171" s="11" t="n">
        <x:v>731364</x:v>
      </x:c>
      <x:c r="CK171" s="11" t="n">
        <x:v>568811</x:v>
      </x:c>
      <x:c r="CL171" s="11" t="n">
        <x:v>0</x:v>
      </x:c>
      <x:c r="CM171" s="11"/>
      <x:c r="CN171" s="11" t="n">
        <x:v>40312</x:v>
      </x:c>
      <x:c r="CO171" s="11" t="n">
        <x:v>0</x:v>
      </x:c>
      <x:c r="CP171" s="8"/>
      <x:c r="CQ171" s="8"/>
    </x:row>
    <x:row r="172">
      <x:c r="A172" s="8" t="str">
        <x:v>Cumberland|2021</x:v>
      </x:c>
      <x:c r="B172" s="8" t="str">
        <x:v>cumberland-v</x:v>
      </x:c>
      <x:c r="C172" s="8" t="str">
        <x:v>Cumberland</x:v>
      </x:c>
      <x:c r="D172" s="8" t="str">
        <x:v>Cumberland</x:v>
      </x:c>
      <x:c r="E172" s="8" t="str">
        <x:v>V</x:v>
      </x:c>
      <x:c r="F172" s="8" t="str">
        <x:v>COM</x:v>
      </x:c>
      <x:c r="G172" s="9" t="n">
        <x:v>2021</x:v>
      </x:c>
      <x:c r="H172" s="10" t="n">
        <x:v>4688</x:v>
      </x:c>
      <x:c r="I172" s="8" t="str">
        <x:v>Under 5,000</x:v>
      </x:c>
      <x:c r="J172" s="11" t="n">
        <x:v>9534259</x:v>
      </x:c>
      <x:c r="K172" s="11" t="n">
        <x:v>8131187</x:v>
      </x:c>
      <x:c r="L172" s="11" t="n">
        <x:v>1403072</x:v>
      </x:c>
      <x:c r="M172" s="12" t="n">
        <x:v>0.1471610955817332</x:v>
      </x:c>
      <x:c r="N172" s="11" t="n">
        <x:v>4165447</x:v>
      </x:c>
      <x:c r="O172" s="11" t="n">
        <x:v>2627474</x:v>
      </x:c>
      <x:c r="P172" s="11" t="n">
        <x:v>1950167</x:v>
      </x:c>
      <x:c r="Q172" s="11" t="n">
        <x:v>791171</x:v>
      </x:c>
      <x:c r="R172" s="11" t="n">
        <x:v>6267120</x:v>
      </x:c>
      <x:c r="S172" s="11" t="n">
        <x:v>1651856</x:v>
      </x:c>
      <x:c r="T172" s="11" t="n">
        <x:v>21019005</x:v>
      </x:c>
      <x:c r="U172" s="11" t="n">
        <x:v>20563787</x:v>
      </x:c>
      <x:c r="V172" s="11" t="n">
        <x:v>2078165</x:v>
      </x:c>
      <x:c r="W172" s="11" t="n">
        <x:v>8609895</x:v>
      </x:c>
      <x:c r="X172" s="11" t="n">
        <x:v>6192033</x:v>
      </x:c>
      <x:c r="Y172" s="11" t="n">
        <x:v>3015511</x:v>
      </x:c>
      <x:c r="Z172" s="11" t="n">
        <x:v>488015</x:v>
      </x:c>
      <x:c r="AA172" s="11" t="n">
        <x:v>8683349</x:v>
      </x:c>
      <x:c r="AB172" s="11" t="n">
        <x:v>212211</x:v>
      </x:c>
      <x:c r="AC172" s="11" t="n">
        <x:v>700226</x:v>
      </x:c>
      <x:c r="AD172" s="11" t="n">
        <x:v>2089956</x:v>
      </x:c>
      <x:c r="AE172" s="11" t="n">
        <x:v>1010450</x:v>
      </x:c>
      <x:c r="AF172" s="11" t="n">
        <x:v>8359824</x:v>
      </x:c>
      <x:c r="AG172" s="11" t="n">
        <x:v>90366104</x:v>
      </x:c>
      <x:c r="AH172" s="11" t="n">
        <x:v>25380786</x:v>
      </x:c>
      <x:c r="AI172" s="11" t="n">
        <x:v>64985318</x:v>
      </x:c>
      <x:c r="AJ172" s="11" t="n">
        <x:v>2820324</x:v>
      </x:c>
      <x:c r="AK172" s="11" t="n">
        <x:v>172742930</x:v>
      </x:c>
      <x:c r="AL172" s="11" t="n">
        <x:v>3645285</x:v>
      </x:c>
      <x:c r="AM172" s="12" t="n">
        <x:v>0.9788976312952432</x:v>
      </x:c>
      <x:c r="AN172" s="12" t="n">
        <x:v>0.01632671160550536</x:v>
      </x:c>
      <x:c r="AO172" s="11" t="n">
        <x:v>7999688</x:v>
      </x:c>
      <x:c r="AP172" s="11" t="n">
        <x:v>7812036</x:v>
      </x:c>
      <x:c r="AQ172" s="12" t="n">
        <x:v>0.9765425851608213</x:v>
      </x:c>
      <x:c r="AR172" s="11" t="n">
        <x:v>2033.758319112628</x:v>
      </x:c>
      <x:c r="AS172" s="11" t="n">
        <x:v>1734.4682167235494</x:v>
      </x:c>
      <x:c r="AT172" s="11" t="n">
        <x:v>443.2945819112628</x:v>
      </x:c>
      <x:c r="AU172" s="11" t="n">
        <x:v>1836.5816979522185</x:v>
      </x:c>
      <x:c r="AV172" s="11" t="n">
        <x:v>1852.2502133105802</x:v>
      </x:c>
      <x:c r="AW172" s="11" t="n">
        <x:v>1.0221368758585176</x:v>
      </x:c>
      <x:c r="AX172" s="12" t="n">
        <x:v>0.483479078028437</x:v>
      </x:c>
      <x:c r="AY172" s="11"/>
      <x:c r="AZ172" s="11"/>
      <x:c r="BA172" s="11"/>
      <x:c r="BB172" s="11"/>
      <x:c r="BC172" s="11"/>
      <x:c r="BD172" s="11"/>
      <x:c r="BE172" s="11"/>
      <x:c r="BF172" s="11"/>
      <x:c r="BG172" s="11"/>
      <x:c r="BH172" s="11"/>
      <x:c r="BI172" s="11"/>
      <x:c r="BJ172" s="11"/>
      <x:c r="BK172" s="12"/>
      <x:c r="BL172" s="12"/>
      <x:c r="BM172" s="12"/>
      <x:c r="BN172" s="12"/>
      <x:c r="BO172" s="12"/>
      <x:c r="BP172" s="12"/>
      <x:c r="BQ172" s="12"/>
      <x:c r="BR172" s="12"/>
      <x:c r="BS172" s="12"/>
      <x:c r="BT172" s="12"/>
      <x:c r="BU172" s="11" t="n">
        <x:v>311253</x:v>
      </x:c>
      <x:c r="BV172" s="11" t="n">
        <x:v>867001</x:v>
      </x:c>
      <x:c r="BW172" s="11" t="n">
        <x:v>771913</x:v>
      </x:c>
      <x:c r="BX172" s="11" t="n">
        <x:v>146590</x:v>
      </x:c>
      <x:c r="BY172" s="11" t="n">
        <x:v>0</x:v>
      </x:c>
      <x:c r="BZ172" s="11" t="n">
        <x:v>21249</x:v>
      </x:c>
      <x:c r="CA172" s="11" t="n">
        <x:v>0</x:v>
      </x:c>
      <x:c r="CB172" s="11" t="n">
        <x:v>623332</x:v>
      </x:c>
      <x:c r="CC172" s="11" t="n">
        <x:v>1401918</x:v>
      </x:c>
      <x:c r="CD172" s="11" t="n">
        <x:v>752726</x:v>
      </x:c>
      <x:c r="CE172" s="11" t="n">
        <x:v>323309</x:v>
      </x:c>
      <x:c r="CF172" s="11" t="n">
        <x:v>26561</x:v>
      </x:c>
      <x:c r="CG172" s="11" t="n">
        <x:v>534101</x:v>
      </x:c>
      <x:c r="CH172" s="11" t="n">
        <x:v>847825</x:v>
      </x:c>
      <x:c r="CI172" s="11" t="n">
        <x:v>1248061</x:v>
      </x:c>
      <x:c r="CJ172" s="11" t="n">
        <x:v>727162</x:v>
      </x:c>
      <x:c r="CK172" s="11" t="n">
        <x:v>592175</x:v>
      </x:c>
      <x:c r="CL172" s="11" t="n">
        <x:v>0</x:v>
      </x:c>
      <x:c r="CM172" s="11"/>
      <x:c r="CN172" s="11" t="n">
        <x:v>25493</x:v>
      </x:c>
      <x:c r="CO172" s="11" t="n">
        <x:v>0</x:v>
      </x:c>
      <x:c r="CP172" s="8"/>
      <x:c r="CQ172" s="8"/>
    </x:row>
    <x:row r="173">
      <x:c r="A173" s="8" t="str">
        <x:v>Cumberland|2022</x:v>
      </x:c>
      <x:c r="B173" s="8" t="str">
        <x:v>cumberland-v</x:v>
      </x:c>
      <x:c r="C173" s="8" t="str">
        <x:v>Cumberland</x:v>
      </x:c>
      <x:c r="D173" s="8" t="str">
        <x:v>Cumberland</x:v>
      </x:c>
      <x:c r="E173" s="8" t="str">
        <x:v>V</x:v>
      </x:c>
      <x:c r="F173" s="8" t="str">
        <x:v>COM</x:v>
      </x:c>
      <x:c r="G173" s="9" t="n">
        <x:v>2022</x:v>
      </x:c>
      <x:c r="H173" s="10" t="n">
        <x:v>4704</x:v>
      </x:c>
      <x:c r="I173" s="8" t="str">
        <x:v>Under 5,000</x:v>
      </x:c>
      <x:c r="J173" s="11" t="n">
        <x:v>19324203</x:v>
      </x:c>
      <x:c r="K173" s="11" t="n">
        <x:v>8660930</x:v>
      </x:c>
      <x:c r="L173" s="11" t="n">
        <x:v>10663273</x:v>
      </x:c>
      <x:c r="M173" s="12" t="n">
        <x:v>0.5518092000999989</x:v>
      </x:c>
      <x:c r="N173" s="11" t="n">
        <x:v>4456479</x:v>
      </x:c>
      <x:c r="O173" s="11" t="n">
        <x:v>2935122</x:v>
      </x:c>
      <x:c r="P173" s="11" t="n">
        <x:v>2956902</x:v>
      </x:c>
      <x:c r="Q173" s="11" t="n">
        <x:v>8975700</x:v>
      </x:c>
      <x:c r="R173" s="11" t="n">
        <x:v>6637089</x:v>
      </x:c>
      <x:c r="S173" s="11" t="n">
        <x:v>1827699</x:v>
      </x:c>
      <x:c r="T173" s="11" t="n">
        <x:v>22360526</x:v>
      </x:c>
      <x:c r="U173" s="11" t="n">
        <x:v>17956594</x:v>
      </x:c>
      <x:c r="V173" s="11" t="n">
        <x:v>6430793</x:v>
      </x:c>
      <x:c r="W173" s="11" t="n">
        <x:v>12826188</x:v>
      </x:c>
      <x:c r="X173" s="11" t="n">
        <x:v>8683349</x:v>
      </x:c>
      <x:c r="Y173" s="11" t="n">
        <x:v>554966</x:v>
      </x:c>
      <x:c r="Z173" s="11" t="n">
        <x:v>643568</x:v>
      </x:c>
      <x:c r="AA173" s="11" t="n">
        <x:v>8556548</x:v>
      </x:c>
      <x:c r="AB173" s="11" t="n">
        <x:v>196142</x:v>
      </x:c>
      <x:c r="AC173" s="11" t="n">
        <x:v>839710</x:v>
      </x:c>
      <x:c r="AD173" s="11" t="n">
        <x:v>2272669</x:v>
      </x:c>
      <x:c r="AE173" s="11" t="n">
        <x:v>1007567</x:v>
      </x:c>
      <x:c r="AF173" s="11" t="n">
        <x:v>9090674</x:v>
      </x:c>
      <x:c r="AG173" s="11" t="n">
        <x:v>98481845</x:v>
      </x:c>
      <x:c r="AH173" s="11" t="n">
        <x:v>27199617</x:v>
      </x:c>
      <x:c r="AI173" s="11" t="n">
        <x:v>71282228</x:v>
      </x:c>
      <x:c r="AJ173" s="11" t="n">
        <x:v>8130289</x:v>
      </x:c>
      <x:c r="AK173" s="11" t="n">
        <x:v>180919066</x:v>
      </x:c>
      <x:c r="AL173" s="11" t="n">
        <x:v>3369766</x:v>
      </x:c>
      <x:c r="AM173" s="12" t="n">
        <x:v>0.9813741797672115</x:v>
      </x:c>
      <x:c r="AN173" s="12" t="n">
        <x:v>0.044938818112182824</x:v>
      </x:c>
      <x:c r="AO173" s="11" t="n">
        <x:v>8417537</x:v>
      </x:c>
      <x:c r="AP173" s="11" t="n">
        <x:v>8204205</x:v>
      </x:c>
      <x:c r="AQ173" s="12" t="n">
        <x:v>0.9746562444572563</x:v>
      </x:c>
      <x:c r="AR173" s="11" t="n">
        <x:v>4108.036352040816</x:v>
      </x:c>
      <x:c r="AS173" s="11" t="n">
        <x:v>1841.1840986394557</x:v>
      </x:c>
      <x:c r="AT173" s="11" t="n">
        <x:v>1367.0903486394557</x:v>
      </x:c>
      <x:c r="AU173" s="11" t="n">
        <x:v>2726.655612244898</x:v>
      </x:c>
      <x:c r="AV173" s="11" t="n">
        <x:v>1818.9940476190477</x:v>
      </x:c>
      <x:c r="AW173" s="11" t="n">
        <x:v>1.2452543060226233</x:v>
      </x:c>
      <x:c r="AX173" s="12" t="n">
        <x:v>0.4433408472593237</x:v>
      </x:c>
      <x:c r="AY173" s="11"/>
      <x:c r="AZ173" s="11"/>
      <x:c r="BA173" s="11"/>
      <x:c r="BB173" s="11"/>
      <x:c r="BC173" s="11"/>
      <x:c r="BD173" s="11"/>
      <x:c r="BE173" s="11"/>
      <x:c r="BF173" s="11"/>
      <x:c r="BG173" s="11"/>
      <x:c r="BH173" s="11"/>
      <x:c r="BI173" s="11"/>
      <x:c r="BJ173" s="11"/>
      <x:c r="BK173" s="12"/>
      <x:c r="BL173" s="12"/>
      <x:c r="BM173" s="12"/>
      <x:c r="BN173" s="12"/>
      <x:c r="BO173" s="12"/>
      <x:c r="BP173" s="12"/>
      <x:c r="BQ173" s="12"/>
      <x:c r="BR173" s="12"/>
      <x:c r="BS173" s="12"/>
      <x:c r="BT173" s="12"/>
      <x:c r="BU173" s="11" t="n">
        <x:v>757436</x:v>
      </x:c>
      <x:c r="BV173" s="11" t="n">
        <x:v>1642559</x:v>
      </x:c>
      <x:c r="BW173" s="11" t="n">
        <x:v>556907</x:v>
      </x:c>
      <x:c r="BX173" s="11" t="n">
        <x:v>375436</x:v>
      </x:c>
      <x:c r="BY173" s="11" t="n">
        <x:v>0</x:v>
      </x:c>
      <x:c r="BZ173" s="11" t="n">
        <x:v>7910428</x:v>
      </x:c>
      <x:c r="CA173" s="11" t="n">
        <x:v>0</x:v>
      </x:c>
      <x:c r="CB173" s="11" t="n">
        <x:v>689836</x:v>
      </x:c>
      <x:c r="CC173" s="11" t="n">
        <x:v>1095462</x:v>
      </x:c>
      <x:c r="CD173" s="11" t="n">
        <x:v>782164</x:v>
      </x:c>
      <x:c r="CE173" s="11" t="n">
        <x:v>340951</x:v>
      </x:c>
      <x:c r="CF173" s="11" t="n">
        <x:v>27448</x:v>
      </x:c>
      <x:c r="CG173" s="11" t="n">
        <x:v>740011</x:v>
      </x:c>
      <x:c r="CH173" s="11" t="n">
        <x:v>1153024</x:v>
      </x:c>
      <x:c r="CI173" s="11" t="n">
        <x:v>1429911</x:v>
      </x:c>
      <x:c r="CJ173" s="11" t="n">
        <x:v>699838</x:v>
      </x:c>
      <x:c r="CK173" s="11" t="n">
        <x:v>558741</x:v>
      </x:c>
      <x:c r="CL173" s="11" t="n">
        <x:v>0</x:v>
      </x:c>
      <x:c r="CM173" s="11"/>
      <x:c r="CN173" s="11" t="n">
        <x:v>5681</x:v>
      </x:c>
      <x:c r="CO173" s="11" t="n">
        <x:v>0</x:v>
      </x:c>
      <x:c r="CP173" s="8"/>
      <x:c r="CQ173" s="8"/>
    </x:row>
    <x:row r="174">
      <x:c r="A174" s="8" t="str">
        <x:v>Cumberland|2023</x:v>
      </x:c>
      <x:c r="B174" s="8" t="str">
        <x:v>cumberland-v</x:v>
      </x:c>
      <x:c r="C174" s="8" t="str">
        <x:v>Cumberland</x:v>
      </x:c>
      <x:c r="D174" s="8" t="str">
        <x:v>Cumberland</x:v>
      </x:c>
      <x:c r="E174" s="8" t="str">
        <x:v>V</x:v>
      </x:c>
      <x:c r="F174" s="8" t="str">
        <x:v>COM</x:v>
      </x:c>
      <x:c r="G174" s="9" t="n">
        <x:v>2023</x:v>
      </x:c>
      <x:c r="H174" s="10" t="n">
        <x:v>4901</x:v>
      </x:c>
      <x:c r="I174" s="8" t="str">
        <x:v>Under 5,000</x:v>
      </x:c>
      <x:c r="J174" s="11" t="n">
        <x:v>17444982</x:v>
      </x:c>
      <x:c r="K174" s="11" t="n">
        <x:v>9566948</x:v>
      </x:c>
      <x:c r="L174" s="11" t="n">
        <x:v>7878034</x:v>
      </x:c>
      <x:c r="M174" s="12" t="n">
        <x:v>0.4515931286142915</x:v>
      </x:c>
      <x:c r="N174" s="11" t="n">
        <x:v>4833449</x:v>
      </x:c>
      <x:c r="O174" s="11" t="n">
        <x:v>2987578</x:v>
      </x:c>
      <x:c r="P174" s="11" t="n">
        <x:v>7368484</x:v>
      </x:c>
      <x:c r="Q174" s="11" t="n">
        <x:v>2255471</x:v>
      </x:c>
      <x:c r="R174" s="11" t="n">
        <x:v>7491575</x:v>
      </x:c>
      <x:c r="S174" s="11" t="n">
        <x:v>1834319</x:v>
      </x:c>
      <x:c r="T174" s="11" t="n">
        <x:v>25690578</x:v>
      </x:c>
      <x:c r="U174" s="11" t="n">
        <x:v>18705083</x:v>
      </x:c>
      <x:c r="V174" s="11" t="n">
        <x:v>9612921</x:v>
      </x:c>
      <x:c r="W174" s="11" t="n">
        <x:v>16097028</x:v>
      </x:c>
      <x:c r="X174" s="11" t="n">
        <x:v>8556549</x:v>
      </x:c>
      <x:c r="Y174" s="11" t="n">
        <x:v>704945</x:v>
      </x:c>
      <x:c r="Z174" s="11" t="n">
        <x:v>786012</x:v>
      </x:c>
      <x:c r="AA174" s="11" t="n">
        <x:v>8430373</x:v>
      </x:c>
      <x:c r="AB174" s="11" t="n">
        <x:v>241054</x:v>
      </x:c>
      <x:c r="AC174" s="11" t="n">
        <x:v>1027066</x:v>
      </x:c>
      <x:c r="AD174" s="11" t="n">
        <x:v>2502377</x:v>
      </x:c>
      <x:c r="AE174" s="11" t="n">
        <x:v>1084462</x:v>
      </x:c>
      <x:c r="AF174" s="11" t="n">
        <x:v>10009508</x:v>
      </x:c>
      <x:c r="AG174" s="11" t="n">
        <x:v>104608673</x:v>
      </x:c>
      <x:c r="AH174" s="11" t="n">
        <x:v>28718436</x:v>
      </x:c>
      <x:c r="AI174" s="11" t="n">
        <x:v>75890237</x:v>
      </x:c>
      <x:c r="AJ174" s="11" t="n">
        <x:v>6209611</x:v>
      </x:c>
      <x:c r="AK174" s="11" t="n">
        <x:v>186407554</x:v>
      </x:c>
      <x:c r="AL174" s="11" t="n">
        <x:v>3561440</x:v>
      </x:c>
      <x:c r="AM174" s="12" t="n">
        <x:v>0.9808943365031226</x:v>
      </x:c>
      <x:c r="AN174" s="12" t="n">
        <x:v>0.03331201373952903</x:v>
      </x:c>
      <x:c r="AO174" s="11" t="n">
        <x:v>9346341</x:v>
      </x:c>
      <x:c r="AP174" s="11" t="n">
        <x:v>9047809</x:v>
      </x:c>
      <x:c r="AQ174" s="12" t="n">
        <x:v>0.9680589441365343</x:v>
      </x:c>
      <x:c r="AR174" s="11" t="n">
        <x:v>3559.4739849010407</x:v>
      </x:c>
      <x:c r="AS174" s="11" t="n">
        <x:v>1952.0399918384003</x:v>
      </x:c>
      <x:c r="AT174" s="11" t="n">
        <x:v>1961.420322383187</x:v>
      </x:c>
      <x:c r="AU174" s="11" t="n">
        <x:v>3284.4374617425015</x:v>
      </x:c>
      <x:c r="AV174" s="11" t="n">
        <x:v>1720.1332381146706</x:v>
      </x:c>
      <x:c r="AW174" s="11" t="n">
        <x:v>1.373454370664915</x:v>
      </x:c>
      <x:c r="AX174" s="12" t="n">
        <x:v>0.4333727491900701</x:v>
      </x:c>
      <x:c r="AY174" s="11"/>
      <x:c r="AZ174" s="11"/>
      <x:c r="BA174" s="11"/>
      <x:c r="BB174" s="11"/>
      <x:c r="BC174" s="11"/>
      <x:c r="BD174" s="11"/>
      <x:c r="BE174" s="11"/>
      <x:c r="BF174" s="11"/>
      <x:c r="BG174" s="11"/>
      <x:c r="BH174" s="11"/>
      <x:c r="BI174" s="11"/>
      <x:c r="BJ174" s="11"/>
      <x:c r="BK174" s="12"/>
      <x:c r="BL174" s="12"/>
      <x:c r="BM174" s="12"/>
      <x:c r="BN174" s="12"/>
      <x:c r="BO174" s="12"/>
      <x:c r="BP174" s="12"/>
      <x:c r="BQ174" s="12"/>
      <x:c r="BR174" s="12"/>
      <x:c r="BS174" s="12"/>
      <x:c r="BT174" s="12"/>
      <x:c r="BU174" s="11" t="n">
        <x:v>1483481</x:v>
      </x:c>
      <x:c r="BV174" s="11" t="n">
        <x:v>5205592</x:v>
      </x:c>
      <x:c r="BW174" s="11" t="n">
        <x:v>679411</x:v>
      </x:c>
      <x:c r="BX174" s="11" t="n">
        <x:v>1092589</x:v>
      </x:c>
      <x:c r="BY174" s="11" t="n">
        <x:v>0</x:v>
      </x:c>
      <x:c r="BZ174" s="11" t="n">
        <x:v>545881</x:v>
      </x:c>
      <x:c r="CA174" s="11" t="n">
        <x:v>0</x:v>
      </x:c>
      <x:c r="CB174" s="11" t="n">
        <x:v>617001</x:v>
      </x:c>
      <x:c r="CC174" s="11" t="n">
        <x:v>1410357</x:v>
      </x:c>
      <x:c r="CD174" s="11" t="n">
        <x:v>929034</x:v>
      </x:c>
      <x:c r="CE174" s="11" t="n">
        <x:v>403032</x:v>
      </x:c>
      <x:c r="CF174" s="11" t="n">
        <x:v>33895</x:v>
      </x:c>
      <x:c r="CG174" s="11" t="n">
        <x:v>804779</x:v>
      </x:c>
      <x:c r="CH174" s="11" t="n">
        <x:v>1237680</x:v>
      </x:c>
      <x:c r="CI174" s="11" t="n">
        <x:v>1368815</x:v>
      </x:c>
      <x:c r="CJ174" s="11" t="n">
        <x:v>814288</x:v>
      </x:c>
      <x:c r="CK174" s="11" t="n">
        <x:v>689179</x:v>
      </x:c>
      <x:c r="CL174" s="11" t="n">
        <x:v>0</x:v>
      </x:c>
      <x:c r="CM174" s="11" t="n">
        <x:v>12399</x:v>
      </x:c>
      <x:c r="CN174" s="11" t="n">
        <x:v>29171</x:v>
      </x:c>
      <x:c r="CO174" s="11" t="n">
        <x:v>0</x:v>
      </x:c>
      <x:c r="CP174" s="8"/>
      <x:c r="CQ174" s="8"/>
    </x:row>
    <x:row r="175">
      <x:c r="A175" s="8" t="str">
        <x:v>Cumberland|2024</x:v>
      </x:c>
      <x:c r="B175" s="8" t="str">
        <x:v>cumberland-v</x:v>
      </x:c>
      <x:c r="C175" s="8" t="str">
        <x:v>Cumberland</x:v>
      </x:c>
      <x:c r="D175" s="8" t="str">
        <x:v>Cumberland</x:v>
      </x:c>
      <x:c r="E175" s="8" t="str">
        <x:v>V</x:v>
      </x:c>
      <x:c r="F175" s="8" t="str">
        <x:v>COM</x:v>
      </x:c>
      <x:c r="G175" s="9" t="n">
        <x:v>2024</x:v>
      </x:c>
      <x:c r="H175" s="10" t="n">
        <x:v>4901</x:v>
      </x:c>
      <x:c r="I175" s="8" t="str">
        <x:v>Under 5,000</x:v>
      </x:c>
      <x:c r="J175" s="11" t="n">
        <x:v>15191101</x:v>
      </x:c>
      <x:c r="K175" s="11" t="n">
        <x:v>10284570</x:v>
      </x:c>
      <x:c r="L175" s="11" t="n">
        <x:v>4906531</x:v>
      </x:c>
      <x:c r="M175" s="12" t="n">
        <x:v>0.3229871883545505</x:v>
      </x:c>
      <x:c r="N175" s="11" t="n">
        <x:v>5338739</x:v>
      </x:c>
      <x:c r="O175" s="11" t="n">
        <x:v>3328457</x:v>
      </x:c>
      <x:c r="P175" s="11" t="n">
        <x:v>4097698</x:v>
      </x:c>
      <x:c r="Q175" s="11" t="n">
        <x:v>2426207</x:v>
      </x:c>
      <x:c r="R175" s="11" t="n">
        <x:v>8075825</x:v>
      </x:c>
      <x:c r="S175" s="11" t="n">
        <x:v>1928045</x:v>
      </x:c>
      <x:c r="T175" s="11" t="n">
        <x:v>25304662</x:v>
      </x:c>
      <x:c r="U175" s="11" t="n">
        <x:v>18314809</x:v>
      </x:c>
      <x:c r="V175" s="11" t="n">
        <x:v>9829688</x:v>
      </x:c>
      <x:c r="W175" s="11" t="n">
        <x:v>17228307</x:v>
      </x:c>
      <x:c r="X175" s="11" t="n">
        <x:v>8430373</x:v>
      </x:c>
      <x:c r="Y175" s="11" t="n">
        <x:v>1577214</x:v>
      </x:c>
      <x:c r="Z175" s="11" t="n">
        <x:v>443573</x:v>
      </x:c>
      <x:c r="AA175" s="11" t="n">
        <x:v>9507276</x:v>
      </x:c>
      <x:c r="AB175" s="11" t="n">
        <x:v>280700</x:v>
      </x:c>
      <x:c r="AC175" s="11" t="n">
        <x:v>724273</x:v>
      </x:c>
      <x:c r="AD175" s="11" t="n">
        <x:v>2738926</x:v>
      </x:c>
      <x:c r="AE175" s="11" t="n">
        <x:v>1536107</x:v>
      </x:c>
      <x:c r="AF175" s="11" t="n">
        <x:v>10955702</x:v>
      </x:c>
      <x:c r="AG175" s="11" t="n">
        <x:v>111007349</x:v>
      </x:c>
      <x:c r="AH175" s="11" t="n">
        <x:v>30457501</x:v>
      </x:c>
      <x:c r="AI175" s="11" t="n">
        <x:v>80549848</x:v>
      </x:c>
      <x:c r="AJ175" s="11" t="n">
        <x:v>6673006</x:v>
      </x:c>
      <x:c r="AK175" s="11" t="n">
        <x:v>192318242</x:v>
      </x:c>
      <x:c r="AL175" s="11" t="n">
        <x:v>3342961</x:v>
      </x:c>
      <x:c r="AM175" s="12" t="n">
        <x:v>0.9826175563730455</x:v>
      </x:c>
      <x:c r="AN175" s="12" t="n">
        <x:v>0.034697727738172646</x:v>
      </x:c>
      <x:c r="AO175" s="11" t="n">
        <x:v>10322471</x:v>
      </x:c>
      <x:c r="AP175" s="11" t="n">
        <x:v>9973172</x:v>
      </x:c>
      <x:c r="AQ175" s="12" t="n">
        <x:v>0.9661612999445578</x:v>
      </x:c>
      <x:c r="AR175" s="11" t="n">
        <x:v>3099.5921240563152</x:v>
      </x:c>
      <x:c r="AS175" s="11" t="n">
        <x:v>2098.463578861457</x:v>
      </x:c>
      <x:c r="AT175" s="11" t="n">
        <x:v>2005.6494592940217</x:v>
      </x:c>
      <x:c r="AU175" s="11" t="n">
        <x:v>3515.2636196694552</x:v>
      </x:c>
      <x:c r="AV175" s="11" t="n">
        <x:v>1939.8645174454193</x:v>
      </x:c>
      <x:c r="AW175" s="11" t="n">
        <x:v>1.3816503355290246</x:v>
      </x:c>
      <x:c r="AX175" s="12" t="n">
        <x:v>0.5608428267138287</x:v>
      </x:c>
      <x:c r="AY175" s="11" t="n">
        <x:v>4648.097865362712</x:v>
      </x:c>
      <x:c r="AZ175" s="11" t="n">
        <x:v>3546.5079302077975</x:v>
      </x:c>
      <x:c r="BA175" s="11" t="n">
        <x:v>3428.422456291105</x:v>
      </x:c>
      <x:c r="BB175" s="11" t="n">
        <x:v>2783.665107049771</x:v>
      </x:c>
      <x:c r="BC175" s="11" t="n">
        <x:v>5030.364110900993</x:v>
      </x:c>
      <x:c r="BD175" s="11" t="n">
        <x:v>2437.8724475115623</x:v>
      </x:c>
      <x:c r="BE175" s="11" t="n">
        <x:v>2420.45</x:v>
      </x:c>
      <x:c r="BF175" s="11" t="n">
        <x:v>1604.3462673977224</x:v>
      </x:c>
      <x:c r="BG175" s="11" t="n">
        <x:v>224.31236112962716</x:v>
      </x:c>
      <x:c r="BH175" s="11" t="n">
        <x:v>518.5374381567245</x:v>
      </x:c>
      <x:c r="BI175" s="11" t="n">
        <x:v>2.204313821553219</x:v>
      </x:c>
      <x:c r="BJ175" s="11" t="n">
        <x:v>1.7099330852451193</x:v>
      </x:c>
      <x:c r="BK175" s="12" t="n">
        <x:v>0.030042455998363887</x:v>
      </x:c>
      <x:c r="BL175" s="12" t="n">
        <x:v>0.02529861000232605</x:v>
      </x:c>
      <x:c r="BM175" s="12" t="n">
        <x:v>0.9786113537119745</x:v>
      </x:c>
      <x:c r="BN175" s="12" t="n">
        <x:v>0.9815511712696461</x:v>
      </x:c>
      <x:c r="BO175" s="12" t="n">
        <x:v>0.9039920521842442</x:v>
      </x:c>
      <x:c r="BP175" s="12" t="n">
        <x:v>0.8619101997275483</x:v>
      </x:c>
      <x:c r="BQ175" s="12" t="n">
        <x:v>0.9333160528846489</x:v>
      </x:c>
      <x:c r="BR175" s="12" t="n">
        <x:v>0.9623635142836453</x:v>
      </x:c>
      <x:c r="BS175" s="12" t="n">
        <x:v>0.20869205825466772</x:v>
      </x:c>
      <x:c r="BT175" s="12" t="n">
        <x:v>0.19976549769108282</x:v>
      </x:c>
      <x:c r="BU175" s="11" t="n">
        <x:v>1551629</x:v>
      </x:c>
      <x:c r="BV175" s="11" t="n">
        <x:v>1986792</x:v>
      </x:c>
      <x:c r="BW175" s="11" t="n">
        <x:v>559277</x:v>
      </x:c>
      <x:c r="BX175" s="11" t="n">
        <x:v>1176191</x:v>
      </x:c>
      <x:c r="BY175" s="11" t="n">
        <x:v>0</x:v>
      </x:c>
      <x:c r="BZ175" s="11" t="n">
        <x:v>660363</x:v>
      </x:c>
      <x:c r="CA175" s="11" t="n">
        <x:v>0</x:v>
      </x:c>
      <x:c r="CB175" s="11" t="n">
        <x:v>589653</x:v>
      </x:c>
      <x:c r="CC175" s="11" t="n">
        <x:v>1175885</x:v>
      </x:c>
      <x:c r="CD175" s="11" t="n">
        <x:v>865335</x:v>
      </x:c>
      <x:c r="CE175" s="11" t="n">
        <x:v>530488</x:v>
      </x:c>
      <x:c r="CF175" s="11" t="n">
        <x:v>26009</x:v>
      </x:c>
      <x:c r="CG175" s="11" t="n">
        <x:v>885531</x:v>
      </x:c>
      <x:c r="CH175" s="11" t="n">
        <x:v>1235833</x:v>
      </x:c>
      <x:c r="CI175" s="11" t="n">
        <x:v>1769435</x:v>
      </x:c>
      <x:c r="CJ175" s="11" t="n">
        <x:v>851154</x:v>
      </x:c>
      <x:c r="CK175" s="11" t="n">
        <x:v>919402</x:v>
      </x:c>
      <x:c r="CL175" s="11" t="n">
        <x:v>0</x:v>
      </x:c>
      <x:c r="CM175" s="11" t="n">
        <x:v>12104</x:v>
      </x:c>
      <x:c r="CN175" s="11" t="n">
        <x:v>85349</x:v>
      </x:c>
      <x:c r="CO175" s="11" t="n">
        <x:v>0</x:v>
      </x:c>
      <x:c r="CP175" s="8"/>
      <x:c r="CQ175" s="8"/>
    </x:row>
    <x:row r="176">
      <x:c r="A176" s="8" t="str">
        <x:v>Daajing Giids|2019</x:v>
      </x:c>
      <x:c r="B176" s="8" t="str">
        <x:v>daajing-giids-v</x:v>
      </x:c>
      <x:c r="C176" s="8" t="str">
        <x:v>Daajing Giids</x:v>
      </x:c>
      <x:c r="D176" s="8" t="str">
        <x:v>Daajing Giids</x:v>
      </x:c>
      <x:c r="E176" s="8" t="str">
        <x:v>V</x:v>
      </x:c>
      <x:c r="F176" s="8" t="str">
        <x:v>SKQ</x:v>
      </x:c>
      <x:c r="G176" s="9" t="n">
        <x:v>2019</x:v>
      </x:c>
      <x:c r="H176" s="10" t="n">
        <x:v>971</x:v>
      </x:c>
      <x:c r="I176" s="8" t="str">
        <x:v>Under 5,000</x:v>
      </x:c>
      <x:c r="J176" s="11" t="n">
        <x:v>5772229</x:v>
      </x:c>
      <x:c r="K176" s="11" t="n">
        <x:v>2105006</x:v>
      </x:c>
      <x:c r="L176" s="11" t="n">
        <x:v>3667223</x:v>
      </x:c>
      <x:c r="M176" s="12" t="n">
        <x:v>0.635321814155329</x:v>
      </x:c>
      <x:c r="N176" s="11" t="n">
        <x:v>572003</x:v>
      </x:c>
      <x:c r="O176" s="11" t="n">
        <x:v>459752</x:v>
      </x:c>
      <x:c r="P176" s="11" t="n">
        <x:v>4645048</x:v>
      </x:c>
      <x:c r="Q176" s="11" t="n">
        <x:v>95426</x:v>
      </x:c>
      <x:c r="R176" s="11" t="n">
        <x:v>1477709</x:v>
      </x:c>
      <x:c r="S176" s="11" t="n">
        <x:v>590127</x:v>
      </x:c>
      <x:c r="T176" s="11" t="n">
        <x:v>5850615</x:v>
      </x:c>
      <x:c r="U176" s="11" t="n">
        <x:v>1111232</x:v>
      </x:c>
      <x:c r="V176" s="11" t="n">
        <x:v>5127947</x:v>
      </x:c>
      <x:c r="W176" s="11" t="n">
        <x:v>4194667</x:v>
      </x:c>
      <x:c r="X176" s="11" t="n">
        <x:v>580150</x:v>
      </x:c>
      <x:c r="Y176" s="11" t="n">
        <x:v>0</x:v>
      </x:c>
      <x:c r="Z176" s="11" t="n">
        <x:v>30224</x:v>
      </x:c>
      <x:c r="AA176" s="11" t="n">
        <x:v>537132</x:v>
      </x:c>
      <x:c r="AB176" s="11" t="n">
        <x:v>37170</x:v>
      </x:c>
      <x:c r="AC176" s="11" t="n">
        <x:v>67394</x:v>
      </x:c>
      <x:c r="AD176" s="11" t="n">
        <x:v>380296</x:v>
      </x:c>
      <x:c r="AE176" s="11" t="n">
        <x:v>312902</x:v>
      </x:c>
      <x:c r="AF176" s="11" t="n">
        <x:v>1521183</x:v>
      </x:c>
      <x:c r="AG176" s="11" t="n">
        <x:v>30340516</x:v>
      </x:c>
      <x:c r="AH176" s="11" t="n">
        <x:v>9403195</x:v>
      </x:c>
      <x:c r="AI176" s="11" t="n">
        <x:v>20937321</x:v>
      </x:c>
      <x:c r="AJ176" s="11" t="n">
        <x:v>1300593</x:v>
      </x:c>
      <x:c r="AK176" s="11" t="n">
        <x:v>30340516</x:v>
      </x:c>
      <x:c r="AL176" s="11" t="n">
        <x:v>424647</x:v>
      </x:c>
      <x:c r="AM176" s="12" t="n">
        <x:v>0.9860039624902885</x:v>
      </x:c>
      <x:c r="AN176" s="12" t="n">
        <x:v>0.04286654188742209</x:v>
      </x:c>
      <x:c r="AO176" s="11" t="n">
        <x:v>1281677</x:v>
      </x:c>
      <x:c r="AP176" s="11" t="n">
        <x:v>1204523</x:v>
      </x:c>
      <x:c r="AQ176" s="12" t="n">
        <x:v>0.9398023058851801</x:v>
      </x:c>
      <x:c r="AR176" s="11" t="n">
        <x:v>5944.62306900103</x:v>
      </x:c>
      <x:c r="AS176" s="11" t="n">
        <x:v>2167.8743563336766</x:v>
      </x:c>
      <x:c r="AT176" s="11" t="n">
        <x:v>5281.0988671472705</x:v>
      </x:c>
      <x:c r="AU176" s="11" t="n">
        <x:v>4319.945417095778</x:v>
      </x:c>
      <x:c r="AV176" s="11" t="n">
        <x:v>553.1740473738414</x:v>
      </x:c>
      <x:c r="AW176" s="11" t="n">
        <x:v>5.264980670103093</x:v>
      </x:c>
      <x:c r="AX176" s="12" t="n">
        <x:v>0.8227854092601552</x:v>
      </x:c>
      <x:c r="AY176" s="11"/>
      <x:c r="AZ176" s="11"/>
      <x:c r="BA176" s="11"/>
      <x:c r="BB176" s="11"/>
      <x:c r="BC176" s="11"/>
      <x:c r="BD176" s="11"/>
      <x:c r="BE176" s="11"/>
      <x:c r="BF176" s="11"/>
      <x:c r="BG176" s="11"/>
      <x:c r="BH176" s="11"/>
      <x:c r="BI176" s="11"/>
      <x:c r="BJ176" s="11"/>
      <x:c r="BK176" s="12"/>
      <x:c r="BL176" s="12"/>
      <x:c r="BM176" s="12"/>
      <x:c r="BN176" s="12"/>
      <x:c r="BO176" s="12"/>
      <x:c r="BP176" s="12"/>
      <x:c r="BQ176" s="12"/>
      <x:c r="BR176" s="12"/>
      <x:c r="BS176" s="12"/>
      <x:c r="BT176" s="12"/>
      <x:c r="BU176" s="11" t="n">
        <x:v>0</x:v>
      </x:c>
      <x:c r="BV176" s="11" t="n">
        <x:v>4123142</x:v>
      </x:c>
      <x:c r="BW176" s="11" t="n">
        <x:v>521906</x:v>
      </x:c>
      <x:c r="BX176" s="11" t="n">
        <x:v>80669</x:v>
      </x:c>
      <x:c r="BY176" s="11" t="n">
        <x:v>0</x:v>
      </x:c>
      <x:c r="BZ176" s="11" t="n">
        <x:v>0</x:v>
      </x:c>
      <x:c r="CA176" s="11" t="n">
        <x:v>0</x:v>
      </x:c>
      <x:c r="CB176" s="11" t="n">
        <x:v>14757</x:v>
      </x:c>
      <x:c r="CC176" s="11" t="n">
        <x:v>592914</x:v>
      </x:c>
      <x:c r="CD176" s="11" t="n">
        <x:v>59005</x:v>
      </x:c>
      <x:c r="CE176" s="11" t="n">
        <x:v>137592</x:v>
      </x:c>
      <x:c r="CF176" s="11" t="n">
        <x:v>0</x:v>
      </x:c>
      <x:c r="CG176" s="11" t="n">
        <x:v>82200</x:v>
      </x:c>
      <x:c r="CH176" s="11" t="n">
        <x:v>154293</x:v>
      </x:c>
      <x:c r="CI176" s="11" t="n">
        <x:v>152620</x:v>
      </x:c>
      <x:c r="CJ176" s="11" t="n">
        <x:v>248903</x:v>
      </x:c>
      <x:c r="CK176" s="11" t="n">
        <x:v>87352</x:v>
      </x:c>
      <x:c r="CL176" s="11" t="n">
        <x:v>0</x:v>
      </x:c>
      <x:c r="CM176" s="11"/>
      <x:c r="CN176" s="11" t="n">
        <x:v>0</x:v>
      </x:c>
      <x:c r="CO176" s="11" t="n">
        <x:v>0</x:v>
      </x:c>
      <x:c r="CP176" s="8"/>
      <x:c r="CQ176" s="8"/>
    </x:row>
    <x:row r="177">
      <x:c r="A177" s="8" t="str">
        <x:v>Daajing Giids|2020</x:v>
      </x:c>
      <x:c r="B177" s="8" t="str">
        <x:v>daajing-giids-v</x:v>
      </x:c>
      <x:c r="C177" s="8" t="str">
        <x:v>Daajing Giids</x:v>
      </x:c>
      <x:c r="D177" s="8" t="str">
        <x:v>Daajing Giids</x:v>
      </x:c>
      <x:c r="E177" s="8" t="str">
        <x:v>V</x:v>
      </x:c>
      <x:c r="F177" s="8" t="str">
        <x:v>SKQ</x:v>
      </x:c>
      <x:c r="G177" s="9" t="n">
        <x:v>2020</x:v>
      </x:c>
      <x:c r="H177" s="10" t="n">
        <x:v>943</x:v>
      </x:c>
      <x:c r="I177" s="8" t="str">
        <x:v>Under 5,000</x:v>
      </x:c>
      <x:c r="J177" s="11" t="n">
        <x:v>3206640</x:v>
      </x:c>
      <x:c r="K177" s="11" t="n">
        <x:v>2170134</x:v>
      </x:c>
      <x:c r="L177" s="11" t="n">
        <x:v>1036506</x:v>
      </x:c>
      <x:c r="M177" s="12" t="n">
        <x:v>0.32323740737968715</x:v>
      </x:c>
      <x:c r="N177" s="11" t="n">
        <x:v>515235</x:v>
      </x:c>
      <x:c r="O177" s="11" t="n">
        <x:v>458599</x:v>
      </x:c>
      <x:c r="P177" s="11" t="n">
        <x:v>2123567</x:v>
      </x:c>
      <x:c r="Q177" s="11" t="n">
        <x:v>109239</x:v>
      </x:c>
      <x:c r="R177" s="11" t="n">
        <x:v>1553056</x:v>
      </x:c>
      <x:c r="S177" s="11" t="n">
        <x:v>596828</x:v>
      </x:c>
      <x:c r="T177" s="11" t="n">
        <x:v>5470641</x:v>
      </x:c>
      <x:c r="U177" s="11" t="n">
        <x:v>1079781</x:v>
      </x:c>
      <x:c r="V177" s="11" t="n">
        <x:v>4836138</x:v>
      </x:c>
      <x:c r="W177" s="11" t="n">
        <x:v>3877970</x:v>
      </x:c>
      <x:c r="X177" s="11" t="n">
        <x:v>537132</x:v>
      </x:c>
      <x:c r="Y177" s="11" t="n">
        <x:v>0</x:v>
      </x:c>
      <x:c r="Z177" s="11" t="n">
        <x:v>30224</x:v>
      </x:c>
      <x:c r="AA177" s="11" t="n">
        <x:v>492394</x:v>
      </x:c>
      <x:c r="AB177" s="11" t="n">
        <x:v>20250</x:v>
      </x:c>
      <x:c r="AC177" s="11" t="n">
        <x:v>50474</x:v>
      </x:c>
      <x:c r="AD177" s="11" t="n">
        <x:v>371946</x:v>
      </x:c>
      <x:c r="AE177" s="11" t="n">
        <x:v>321472</x:v>
      </x:c>
      <x:c r="AF177" s="11" t="n">
        <x:v>1487782</x:v>
      </x:c>
      <x:c r="AG177" s="11" t="n">
        <x:v>32245206</x:v>
      </x:c>
      <x:c r="AH177" s="11" t="n">
        <x:v>9949170</x:v>
      </x:c>
      <x:c r="AI177" s="11" t="n">
        <x:v>22296036</x:v>
      </x:c>
      <x:c r="AJ177" s="11" t="n">
        <x:v>1955542</x:v>
      </x:c>
      <x:c r="AK177" s="11" t="n">
        <x:v>32245206</x:v>
      </x:c>
      <x:c r="AL177" s="11" t="n">
        <x:v>596827</x:v>
      </x:c>
      <x:c r="AM177" s="12" t="n">
        <x:v>0.9814909850475138</x:v>
      </x:c>
      <x:c r="AN177" s="12" t="n">
        <x:v>0.060645976335210884</x:v>
      </x:c>
      <x:c r="AO177" s="11" t="n">
        <x:v>1262605</x:v>
      </x:c>
      <x:c r="AP177" s="11" t="n">
        <x:v>1174428</x:v>
      </x:c>
      <x:c r="AQ177" s="12" t="n">
        <x:v>0.9301626399388566</x:v>
      </x:c>
      <x:c r="AR177" s="11" t="n">
        <x:v>3400.4665959703075</x:v>
      </x:c>
      <x:c r="AS177" s="11" t="n">
        <x:v>2301.308589607635</x:v>
      </x:c>
      <x:c r="AT177" s="11" t="n">
        <x:v>5128.460233297985</x:v>
      </x:c>
      <x:c r="AU177" s="11" t="n">
        <x:v>4112.3753976670205</x:v>
      </x:c>
      <x:c r="AV177" s="11" t="n">
        <x:v>522.1569459172853</x:v>
      </x:c>
      <x:c r="AW177" s="11" t="n">
        <x:v>5.066435693904597</x:v>
      </x:c>
      <x:c r="AX177" s="12" t="n">
        <x:v>0.8642975055518812</x:v>
      </x:c>
      <x:c r="AY177" s="11"/>
      <x:c r="AZ177" s="11"/>
      <x:c r="BA177" s="11"/>
      <x:c r="BB177" s="11"/>
      <x:c r="BC177" s="11"/>
      <x:c r="BD177" s="11"/>
      <x:c r="BE177" s="11"/>
      <x:c r="BF177" s="11"/>
      <x:c r="BG177" s="11"/>
      <x:c r="BH177" s="11"/>
      <x:c r="BI177" s="11"/>
      <x:c r="BJ177" s="11"/>
      <x:c r="BK177" s="12"/>
      <x:c r="BL177" s="12"/>
      <x:c r="BM177" s="12"/>
      <x:c r="BN177" s="12"/>
      <x:c r="BO177" s="12"/>
      <x:c r="BP177" s="12"/>
      <x:c r="BQ177" s="12"/>
      <x:c r="BR177" s="12"/>
      <x:c r="BS177" s="12"/>
      <x:c r="BT177" s="12"/>
      <x:c r="BU177" s="11" t="n">
        <x:v>0</x:v>
      </x:c>
      <x:c r="BV177" s="11" t="n">
        <x:v>1220398</x:v>
      </x:c>
      <x:c r="BW177" s="11" t="n">
        <x:v>903169</x:v>
      </x:c>
      <x:c r="BX177" s="11" t="n">
        <x:v>97316</x:v>
      </x:c>
      <x:c r="BY177" s="11" t="n">
        <x:v>0</x:v>
      </x:c>
      <x:c r="BZ177" s="11" t="n">
        <x:v>0</x:v>
      </x:c>
      <x:c r="CA177" s="11" t="n">
        <x:v>0</x:v>
      </x:c>
      <x:c r="CB177" s="11" t="n">
        <x:v>11923</x:v>
      </x:c>
      <x:c r="CC177" s="11" t="n">
        <x:v>620507</x:v>
      </x:c>
      <x:c r="CD177" s="11" t="n">
        <x:v>137388</x:v>
      </x:c>
      <x:c r="CE177" s="11" t="n">
        <x:v>136584</x:v>
      </x:c>
      <x:c r="CF177" s="11" t="n">
        <x:v>0</x:v>
      </x:c>
      <x:c r="CG177" s="11" t="n">
        <x:v>70150</x:v>
      </x:c>
      <x:c r="CH177" s="11" t="n">
        <x:v>182073</x:v>
      </x:c>
      <x:c r="CI177" s="11" t="n">
        <x:v>115690</x:v>
      </x:c>
      <x:c r="CJ177" s="11" t="n">
        <x:v>233892</x:v>
      </x:c>
      <x:c r="CK177" s="11" t="n">
        <x:v>77022</x:v>
      </x:c>
      <x:c r="CL177" s="11" t="n">
        <x:v>0</x:v>
      </x:c>
      <x:c r="CM177" s="11"/>
      <x:c r="CN177" s="11" t="n">
        <x:v>0</x:v>
      </x:c>
      <x:c r="CO177" s="11" t="n">
        <x:v>0</x:v>
      </x:c>
      <x:c r="CP177" s="8"/>
      <x:c r="CQ177" s="8"/>
    </x:row>
    <x:row r="178">
      <x:c r="A178" s="8" t="str">
        <x:v>Daajing Giids|2021</x:v>
      </x:c>
      <x:c r="B178" s="8" t="str">
        <x:v>daajing-giids-v</x:v>
      </x:c>
      <x:c r="C178" s="8" t="str">
        <x:v>Daajing Giids</x:v>
      </x:c>
      <x:c r="D178" s="8" t="str">
        <x:v>Daajing Giids</x:v>
      </x:c>
      <x:c r="E178" s="8" t="str">
        <x:v>V</x:v>
      </x:c>
      <x:c r="F178" s="8" t="str">
        <x:v>NCRD</x:v>
      </x:c>
      <x:c r="G178" s="9" t="n">
        <x:v>2021</x:v>
      </x:c>
      <x:c r="H178" s="10" t="n">
        <x:v>931</x:v>
      </x:c>
      <x:c r="I178" s="8" t="str">
        <x:v>Under 5,000</x:v>
      </x:c>
      <x:c r="J178" s="11" t="n">
        <x:v>1915491</x:v>
      </x:c>
      <x:c r="K178" s="11" t="n">
        <x:v>2402922</x:v>
      </x:c>
      <x:c r="L178" s="11" t="n">
        <x:v>-487431</x:v>
      </x:c>
      <x:c r="M178" s="12" t="n">
        <x:v>-0.25446791449294204</x:v>
      </x:c>
      <x:c r="N178" s="11" t="n">
        <x:v>535070</x:v>
      </x:c>
      <x:c r="O178" s="11" t="n">
        <x:v>496498</x:v>
      </x:c>
      <x:c r="P178" s="11" t="n">
        <x:v>825631</x:v>
      </x:c>
      <x:c r="Q178" s="11" t="n">
        <x:v>58292</x:v>
      </x:c>
      <x:c r="R178" s="11" t="n">
        <x:v>1762532</x:v>
      </x:c>
      <x:c r="S178" s="11" t="n">
        <x:v>620140</x:v>
      </x:c>
      <x:c r="T178" s="11" t="n">
        <x:v>5295345</x:v>
      </x:c>
      <x:c r="U178" s="11" t="n">
        <x:v>1459058</x:v>
      </x:c>
      <x:c r="V178" s="11" t="n">
        <x:v>4091613</x:v>
      </x:c>
      <x:c r="W178" s="11" t="n">
        <x:v>3535847</x:v>
      </x:c>
      <x:c r="X178" s="11" t="n">
        <x:v>492394</x:v>
      </x:c>
      <x:c r="Y178" s="11" t="n">
        <x:v>228150</x:v>
      </x:c>
      <x:c r="Z178" s="11" t="n">
        <x:v>30224</x:v>
      </x:c>
      <x:c r="AA178" s="11" t="n">
        <x:v>674016</x:v>
      </x:c>
      <x:c r="AB178" s="11" t="n">
        <x:v>20250</x:v>
      </x:c>
      <x:c r="AC178" s="11" t="n">
        <x:v>50474</x:v>
      </x:c>
      <x:c r="AD178" s="11" t="n">
        <x:v>371596</x:v>
      </x:c>
      <x:c r="AE178" s="11" t="n">
        <x:v>366462</x:v>
      </x:c>
      <x:c r="AF178" s="11" t="n">
        <x:v>1486385</x:v>
      </x:c>
      <x:c r="AG178" s="11" t="n">
        <x:v>33054006</x:v>
      </x:c>
      <x:c r="AH178" s="11" t="n">
        <x:v>10569310</x:v>
      </x:c>
      <x:c r="AI178" s="11" t="n">
        <x:v>22484696</x:v>
      </x:c>
      <x:c r="AJ178" s="11" t="n">
        <x:v>877502</x:v>
      </x:c>
      <x:c r="AK178" s="11" t="n">
        <x:v>33054006</x:v>
      </x:c>
      <x:c r="AL178" s="11" t="n">
        <x:v>620139</x:v>
      </x:c>
      <x:c r="AM178" s="12" t="n">
        <x:v>0.9812386129536008</x:v>
      </x:c>
      <x:c r="AN178" s="12" t="n">
        <x:v>0.026547523468108524</x:v>
      </x:c>
      <x:c r="AO178" s="11" t="n">
        <x:v>1342275</x:v>
      </x:c>
      <x:c r="AP178" s="11" t="n">
        <x:v>1273955</x:v>
      </x:c>
      <x:c r="AQ178" s="12" t="n">
        <x:v>0.9491013391443631</x:v>
      </x:c>
      <x:c r="AR178" s="11" t="n">
        <x:v>2057.455424274973</x:v>
      </x:c>
      <x:c r="AS178" s="11" t="n">
        <x:v>2581.011815252417</x:v>
      </x:c>
      <x:c r="AT178" s="11" t="n">
        <x:v>4394.858216970999</x:v>
      </x:c>
      <x:c r="AU178" s="11" t="n">
        <x:v>3797.902255639098</x:v>
      </x:c>
      <x:c r="AV178" s="11" t="n">
        <x:v>723.9699248120301</x:v>
      </x:c>
      <x:c r="AW178" s="11" t="n">
        <x:v>3.6292902681044894</x:v>
      </x:c>
      <x:c r="AX178" s="12" t="n">
        <x:v>0.9861839201713689</x:v>
      </x:c>
      <x:c r="AY178" s="11"/>
      <x:c r="AZ178" s="11"/>
      <x:c r="BA178" s="11"/>
      <x:c r="BB178" s="11"/>
      <x:c r="BC178" s="11"/>
      <x:c r="BD178" s="11"/>
      <x:c r="BE178" s="11"/>
      <x:c r="BF178" s="11"/>
      <x:c r="BG178" s="11"/>
      <x:c r="BH178" s="11"/>
      <x:c r="BI178" s="11"/>
      <x:c r="BJ178" s="11"/>
      <x:c r="BK178" s="12"/>
      <x:c r="BL178" s="12"/>
      <x:c r="BM178" s="12"/>
      <x:c r="BN178" s="12"/>
      <x:c r="BO178" s="12"/>
      <x:c r="BP178" s="12"/>
      <x:c r="BQ178" s="12"/>
      <x:c r="BR178" s="12"/>
      <x:c r="BS178" s="12"/>
      <x:c r="BT178" s="12"/>
      <x:c r="BU178" s="11" t="n">
        <x:v>124821</x:v>
      </x:c>
      <x:c r="BV178" s="11" t="n">
        <x:v>534686</x:v>
      </x:c>
      <x:c r="BW178" s="11" t="n">
        <x:v>166124</x:v>
      </x:c>
      <x:c r="BX178" s="11" t="n">
        <x:v>53390</x:v>
      </x:c>
      <x:c r="BY178" s="11" t="n">
        <x:v>0</x:v>
      </x:c>
      <x:c r="BZ178" s="11" t="n">
        <x:v>0</x:v>
      </x:c>
      <x:c r="CA178" s="11" t="n">
        <x:v>0</x:v>
      </x:c>
      <x:c r="CB178" s="11" t="n">
        <x:v>4902</x:v>
      </x:c>
      <x:c r="CC178" s="11" t="n">
        <x:v>706277</x:v>
      </x:c>
      <x:c r="CD178" s="11" t="n">
        <x:v>217462</x:v>
      </x:c>
      <x:c r="CE178" s="11" t="n">
        <x:v>155148</x:v>
      </x:c>
      <x:c r="CF178" s="11" t="n">
        <x:v>0</x:v>
      </x:c>
      <x:c r="CG178" s="11" t="n">
        <x:v>79260</x:v>
      </x:c>
      <x:c r="CH178" s="11" t="n">
        <x:v>156784</x:v>
      </x:c>
      <x:c r="CI178" s="11" t="n">
        <x:v>105058</x:v>
      </x:c>
      <x:c r="CJ178" s="11" t="n">
        <x:v>269356</x:v>
      </x:c>
      <x:c r="CK178" s="11" t="n">
        <x:v>93437</x:v>
      </x:c>
      <x:c r="CL178" s="11" t="n">
        <x:v>0</x:v>
      </x:c>
      <x:c r="CM178" s="11"/>
      <x:c r="CN178" s="11" t="n">
        <x:v>0</x:v>
      </x:c>
      <x:c r="CO178" s="11" t="n">
        <x:v>0</x:v>
      </x:c>
      <x:c r="CP178" s="8"/>
      <x:c r="CQ178" s="8"/>
    </x:row>
    <x:row r="179">
      <x:c r="A179" s="8" t="str">
        <x:v>Daajing Giids|2022</x:v>
      </x:c>
      <x:c r="B179" s="8" t="str">
        <x:v>daajing-giids-v</x:v>
      </x:c>
      <x:c r="C179" s="8" t="str">
        <x:v>Daajing Giids</x:v>
      </x:c>
      <x:c r="D179" s="8" t="str">
        <x:v>Daajing Giids</x:v>
      </x:c>
      <x:c r="E179" s="8" t="str">
        <x:v>V</x:v>
      </x:c>
      <x:c r="F179" s="8" t="str">
        <x:v>NCRD</x:v>
      </x:c>
      <x:c r="G179" s="9" t="n">
        <x:v>2022</x:v>
      </x:c>
      <x:c r="H179" s="10" t="n">
        <x:v>13220</x:v>
      </x:c>
      <x:c r="I179" s="8" t="str">
        <x:v>5,000 to 19,999</x:v>
      </x:c>
      <x:c r="J179" s="11" t="n">
        <x:v>2347055</x:v>
      </x:c>
      <x:c r="K179" s="11" t="n">
        <x:v>2525345</x:v>
      </x:c>
      <x:c r="L179" s="11" t="n">
        <x:v>-178290</x:v>
      </x:c>
      <x:c r="M179" s="12" t="n">
        <x:v>-0.07596328164444378</x:v>
      </x:c>
      <x:c r="N179" s="11" t="n">
        <x:v>716370</x:v>
      </x:c>
      <x:c r="O179" s="11" t="n">
        <x:v>614256</x:v>
      </x:c>
      <x:c r="P179" s="11" t="n">
        <x:v>831896</x:v>
      </x:c>
      <x:c r="Q179" s="11" t="n">
        <x:v>184533</x:v>
      </x:c>
      <x:c r="R179" s="11" t="n">
        <x:v>1854508</x:v>
      </x:c>
      <x:c r="S179" s="11" t="n">
        <x:v>668751</x:v>
      </x:c>
      <x:c r="T179" s="11" t="n">
        <x:v>5479899</x:v>
      </x:c>
      <x:c r="U179" s="11" t="n">
        <x:v>1490668</x:v>
      </x:c>
      <x:c r="V179" s="11" t="n">
        <x:v>4236832</x:v>
      </x:c>
      <x:c r="W179" s="11" t="n">
        <x:v>3556477</x:v>
      </x:c>
      <x:c r="X179" s="11" t="n">
        <x:v>674016</x:v>
      </x:c>
      <x:c r="Y179" s="11" t="n">
        <x:v>0</x:v>
      </x:c>
      <x:c r="Z179" s="11" t="n">
        <x:v>45041</x:v>
      </x:c>
      <x:c r="AA179" s="11" t="n">
        <x:v>612671</x:v>
      </x:c>
      <x:c r="AB179" s="11" t="n">
        <x:v>2086</x:v>
      </x:c>
      <x:c r="AC179" s="11" t="n">
        <x:v>47127</x:v>
      </x:c>
      <x:c r="AD179" s="11" t="n">
        <x:v>487619</x:v>
      </x:c>
      <x:c r="AE179" s="11" t="n">
        <x:v>493058</x:v>
      </x:c>
      <x:c r="AF179" s="11" t="n">
        <x:v>1950477</x:v>
      </x:c>
      <x:c r="AG179" s="11" t="n">
        <x:v>33392196</x:v>
      </x:c>
      <x:c r="AH179" s="11" t="n">
        <x:v>11224700</x:v>
      </x:c>
      <x:c r="AI179" s="11" t="n">
        <x:v>22167496</x:v>
      </x:c>
      <x:c r="AJ179" s="11" t="n">
        <x:v>340388</x:v>
      </x:c>
      <x:c r="AK179" s="11" t="n">
        <x:v>8955654</x:v>
      </x:c>
      <x:c r="AL179" s="11" t="n">
        <x:v>0</x:v>
      </x:c>
      <x:c r="AM179" s="12" t="n">
        <x:v>1</x:v>
      </x:c>
      <x:c r="AN179" s="12" t="n">
        <x:v>0.03800816780103385</x:v>
      </x:c>
      <x:c r="AO179" s="11" t="n">
        <x:v>1527039</x:v>
      </x:c>
      <x:c r="AP179" s="11" t="n">
        <x:v>1424541</x:v>
      </x:c>
      <x:c r="AQ179" s="12" t="n">
        <x:v>0.9328779422136566</x:v>
      </x:c>
      <x:c r="AR179" s="11" t="n">
        <x:v>177.53819969742813</x:v>
      </x:c>
      <x:c r="AS179" s="11" t="n">
        <x:v>191.02458396369138</x:v>
      </x:c>
      <x:c r="AT179" s="11" t="n">
        <x:v>320.48653555219363</x:v>
      </x:c>
      <x:c r="AU179" s="11" t="n">
        <x:v>269.02246596066567</x:v>
      </x:c>
      <x:c r="AV179" s="11" t="n">
        <x:v>46.34425113464448</x:v>
      </x:c>
      <x:c r="AW179" s="11" t="n">
        <x:v>3.6761364703609387</x:v>
      </x:c>
      <x:c r="AX179" s="12" t="n">
        <x:v>1.0111542003080274</x:v>
      </x:c>
      <x:c r="AY179" s="11"/>
      <x:c r="AZ179" s="11"/>
      <x:c r="BA179" s="11"/>
      <x:c r="BB179" s="11"/>
      <x:c r="BC179" s="11"/>
      <x:c r="BD179" s="11"/>
      <x:c r="BE179" s="11"/>
      <x:c r="BF179" s="11"/>
      <x:c r="BG179" s="11"/>
      <x:c r="BH179" s="11"/>
      <x:c r="BI179" s="11"/>
      <x:c r="BJ179" s="11"/>
      <x:c r="BK179" s="12"/>
      <x:c r="BL179" s="12"/>
      <x:c r="BM179" s="12"/>
      <x:c r="BN179" s="12"/>
      <x:c r="BO179" s="12"/>
      <x:c r="BP179" s="12"/>
      <x:c r="BQ179" s="12"/>
      <x:c r="BR179" s="12"/>
      <x:c r="BS179" s="12"/>
      <x:c r="BT179" s="12"/>
      <x:c r="BU179" s="11" t="n">
        <x:v>56414</x:v>
      </x:c>
      <x:c r="BV179" s="11" t="n">
        <x:v>668145</x:v>
      </x:c>
      <x:c r="BW179" s="11" t="n">
        <x:v>107337</x:v>
      </x:c>
      <x:c r="BX179" s="11" t="n">
        <x:v>49219</x:v>
      </x:c>
      <x:c r="BY179" s="11" t="n">
        <x:v>0</x:v>
      </x:c>
      <x:c r="BZ179" s="11" t="n">
        <x:v>0</x:v>
      </x:c>
      <x:c r="CA179" s="11" t="n">
        <x:v>132460</x:v>
      </x:c>
      <x:c r="CB179" s="11" t="n">
        <x:v>2854</x:v>
      </x:c>
      <x:c r="CC179" s="11" t="n">
        <x:v>794396</x:v>
      </x:c>
      <x:c r="CD179" s="11" t="n">
        <x:v>100492</x:v>
      </x:c>
      <x:c r="CE179" s="11" t="n">
        <x:v>154719</x:v>
      </x:c>
      <x:c r="CF179" s="11" t="n">
        <x:v>0</x:v>
      </x:c>
      <x:c r="CG179" s="11" t="n">
        <x:v>87220</x:v>
      </x:c>
      <x:c r="CH179" s="11" t="n">
        <x:v>202373</x:v>
      </x:c>
      <x:c r="CI179" s="11" t="n">
        <x:v>140799</x:v>
      </x:c>
      <x:c r="CJ179" s="11" t="n">
        <x:v>255712</x:v>
      </x:c>
      <x:c r="CK179" s="11" t="n">
        <x:v>120883</x:v>
      </x:c>
      <x:c r="CL179" s="11" t="n">
        <x:v>0</x:v>
      </x:c>
      <x:c r="CM179" s="11"/>
      <x:c r="CN179" s="11" t="n">
        <x:v>0</x:v>
      </x:c>
      <x:c r="CO179" s="11" t="n">
        <x:v>0</x:v>
      </x:c>
      <x:c r="CP179" s="8"/>
      <x:c r="CQ179" s="8"/>
    </x:row>
    <x:row r="180">
      <x:c r="A180" s="8" t="str">
        <x:v>Daajing Giids|2023</x:v>
      </x:c>
      <x:c r="B180" s="8" t="str">
        <x:v>daajing-giids-v</x:v>
      </x:c>
      <x:c r="C180" s="8" t="str">
        <x:v>Daajing Giids</x:v>
      </x:c>
      <x:c r="D180" s="8" t="str">
        <x:v>Daajing Giids</x:v>
      </x:c>
      <x:c r="E180" s="8" t="str">
        <x:v>V</x:v>
      </x:c>
      <x:c r="F180" s="8" t="str">
        <x:v>NCRD</x:v>
      </x:c>
      <x:c r="G180" s="9" t="n">
        <x:v>2023</x:v>
      </x:c>
      <x:c r="H180" s="10" t="n">
        <x:v>1033</x:v>
      </x:c>
      <x:c r="I180" s="8" t="str">
        <x:v>Under 5,000</x:v>
      </x:c>
      <x:c r="J180" s="11" t="n">
        <x:v>3120928</x:v>
      </x:c>
      <x:c r="K180" s="11" t="n">
        <x:v>2735043</x:v>
      </x:c>
      <x:c r="L180" s="11" t="n">
        <x:v>385885</x:v>
      </x:c>
      <x:c r="M180" s="12" t="n">
        <x:v>0.12364431348624512</x:v>
      </x:c>
      <x:c r="N180" s="11" t="n">
        <x:v>735600</x:v>
      </x:c>
      <x:c r="O180" s="11" t="n">
        <x:v>695888</x:v>
      </x:c>
      <x:c r="P180" s="11" t="n">
        <x:v>1485991</x:v>
      </x:c>
      <x:c r="Q180" s="11" t="n">
        <x:v>203449</x:v>
      </x:c>
      <x:c r="R180" s="11" t="n">
        <x:v>2008512</x:v>
      </x:c>
      <x:c r="S180" s="11" t="n">
        <x:v>701052</x:v>
      </x:c>
      <x:c r="T180" s="11" t="n">
        <x:v>26980171</x:v>
      </x:c>
      <x:c r="U180" s="11" t="n">
        <x:v>22154758</x:v>
      </x:c>
      <x:c r="V180" s="11" t="n">
        <x:v>5302307</x:v>
      </x:c>
      <x:c r="W180" s="11" t="n">
        <x:v>4818533</x:v>
      </x:c>
      <x:c r="X180" s="11" t="n">
        <x:v>612671</x:v>
      </x:c>
      <x:c r="Y180" s="11" t="n">
        <x:v>30000</x:v>
      </x:c>
      <x:c r="Z180" s="11" t="n">
        <x:v>43180</x:v>
      </x:c>
      <x:c r="AA180" s="11" t="n">
        <x:v>579099</x:v>
      </x:c>
      <x:c r="AB180" s="11" t="n">
        <x:v>25479</x:v>
      </x:c>
      <x:c r="AC180" s="11" t="n">
        <x:v>68659</x:v>
      </x:c>
      <x:c r="AD180" s="11" t="n">
        <x:v>502136</x:v>
      </x:c>
      <x:c r="AE180" s="11" t="n">
        <x:v>429631</x:v>
      </x:c>
      <x:c r="AF180" s="11" t="n">
        <x:v>2008545</x:v>
      </x:c>
      <x:c r="AG180" s="11" t="n">
        <x:v>33160459</x:v>
      </x:c>
      <x:c r="AH180" s="11" t="n">
        <x:v>11571187</x:v>
      </x:c>
      <x:c r="AI180" s="11" t="n">
        <x:v>21589272</x:v>
      </x:c>
      <x:c r="AJ180" s="11" t="n">
        <x:v>122828</x:v>
      </x:c>
      <x:c r="AK180" s="11" t="n">
        <x:v>47469676</x:v>
      </x:c>
      <x:c r="AL180" s="11" t="n">
        <x:v>1131700</x:v>
      </x:c>
      <x:c r="AM180" s="12" t="n">
        <x:v>0.9761595170778077</x:v>
      </x:c>
      <x:c r="AN180" s="12" t="n">
        <x:v>0.002587504494448203</x:v>
      </x:c>
      <x:c r="AO180" s="11" t="n">
        <x:v>1727829</x:v>
      </x:c>
      <x:c r="AP180" s="11" t="n">
        <x:v>1589335</x:v>
      </x:c>
      <x:c r="AQ180" s="12" t="n">
        <x:v>0.9198450772616966</x:v>
      </x:c>
      <x:c r="AR180" s="11" t="n">
        <x:v>3021.2274927395933</x:v>
      </x:c>
      <x:c r="AS180" s="11" t="n">
        <x:v>2647.6698935140366</x:v>
      </x:c>
      <x:c r="AT180" s="11" t="n">
        <x:v>5132.920619554695</x:v>
      </x:c>
      <x:c r="AU180" s="11" t="n">
        <x:v>4664.601161665053</x:v>
      </x:c>
      <x:c r="AV180" s="11" t="n">
        <x:v>560.5992255566312</x:v>
      </x:c>
      <x:c r="AW180" s="11" t="n">
        <x:v>1.2178048164642556</x:v>
      </x:c>
      <x:c r="AX180" s="12" t="n">
        <x:v>0.855606847547278</x:v>
      </x:c>
      <x:c r="AY180" s="11"/>
      <x:c r="AZ180" s="11"/>
      <x:c r="BA180" s="11"/>
      <x:c r="BB180" s="11"/>
      <x:c r="BC180" s="11"/>
      <x:c r="BD180" s="11"/>
      <x:c r="BE180" s="11"/>
      <x:c r="BF180" s="11"/>
      <x:c r="BG180" s="11"/>
      <x:c r="BH180" s="11"/>
      <x:c r="BI180" s="11"/>
      <x:c r="BJ180" s="11"/>
      <x:c r="BK180" s="12"/>
      <x:c r="BL180" s="12"/>
      <x:c r="BM180" s="12"/>
      <x:c r="BN180" s="12"/>
      <x:c r="BO180" s="12"/>
      <x:c r="BP180" s="12"/>
      <x:c r="BQ180" s="12"/>
      <x:c r="BR180" s="12"/>
      <x:c r="BS180" s="12"/>
      <x:c r="BT180" s="12"/>
      <x:c r="BU180" s="11" t="n">
        <x:v>0</x:v>
      </x:c>
      <x:c r="BV180" s="11" t="n">
        <x:v>1316750</x:v>
      </x:c>
      <x:c r="BW180" s="11" t="n">
        <x:v>169241</x:v>
      </x:c>
      <x:c r="BX180" s="11" t="n">
        <x:v>198762</x:v>
      </x:c>
      <x:c r="BY180" s="11" t="n">
        <x:v>0</x:v>
      </x:c>
      <x:c r="BZ180" s="11" t="n">
        <x:v>0</x:v>
      </x:c>
      <x:c r="CA180" s="11" t="n">
        <x:v>0</x:v>
      </x:c>
      <x:c r="CB180" s="11" t="n">
        <x:v>4687</x:v>
      </x:c>
      <x:c r="CC180" s="11" t="n">
        <x:v>989385</x:v>
      </x:c>
      <x:c r="CD180" s="11" t="n">
        <x:v>111373</x:v>
      </x:c>
      <x:c r="CE180" s="11" t="n">
        <x:v>125909</x:v>
      </x:c>
      <x:c r="CF180" s="11" t="n">
        <x:v>0</x:v>
      </x:c>
      <x:c r="CG180" s="11" t="n">
        <x:v>74792</x:v>
      </x:c>
      <x:c r="CH180" s="11" t="n">
        <x:v>186133</x:v>
      </x:c>
      <x:c r="CI180" s="11" t="n">
        <x:v>125322</x:v>
      </x:c>
      <x:c r="CJ180" s="11" t="n">
        <x:v>294617</x:v>
      </x:c>
      <x:c r="CK180" s="11" t="n">
        <x:v>120540</x:v>
      </x:c>
      <x:c r="CL180" s="11" t="n">
        <x:v>5920</x:v>
      </x:c>
      <x:c r="CM180" s="11" t="n">
        <x:v>0</x:v>
      </x:c>
      <x:c r="CN180" s="11" t="n">
        <x:v>0</x:v>
      </x:c>
      <x:c r="CO180" s="11" t="n">
        <x:v>0</x:v>
      </x:c>
      <x:c r="CP180" s="8"/>
      <x:c r="CQ180" s="8"/>
    </x:row>
    <x:row r="181">
      <x:c r="A181" s="8" t="str">
        <x:v>Daajing Giids|2024</x:v>
      </x:c>
      <x:c r="B181" s="8" t="str">
        <x:v>daajing-giids-v</x:v>
      </x:c>
      <x:c r="C181" s="8" t="str">
        <x:v>Daajing Giids</x:v>
      </x:c>
      <x:c r="D181" s="8" t="str">
        <x:v>Daajing Giids</x:v>
      </x:c>
      <x:c r="E181" s="8" t="str">
        <x:v>V</x:v>
      </x:c>
      <x:c r="F181" s="8" t="str">
        <x:v>NCRD</x:v>
      </x:c>
      <x:c r="G181" s="9" t="n">
        <x:v>2024</x:v>
      </x:c>
      <x:c r="H181" s="10" t="n">
        <x:v>1033</x:v>
      </x:c>
      <x:c r="I181" s="8" t="str">
        <x:v>Under 5,000</x:v>
      </x:c>
      <x:c r="J181" s="11" t="n">
        <x:v>2854456</x:v>
      </x:c>
      <x:c r="K181" s="11" t="n">
        <x:v>2837559</x:v>
      </x:c>
      <x:c r="L181" s="11" t="n">
        <x:v>16897</x:v>
      </x:c>
      <x:c r="M181" s="12" t="n">
        <x:v>0.0059195167135173915</x:v>
      </x:c>
      <x:c r="N181" s="11" t="n">
        <x:v>700995</x:v>
      </x:c>
      <x:c r="O181" s="11" t="n">
        <x:v>707375</x:v>
      </x:c>
      <x:c r="P181" s="11" t="n">
        <x:v>1182432</x:v>
      </x:c>
      <x:c r="Q181" s="11" t="n">
        <x:v>263654</x:v>
      </x:c>
      <x:c r="R181" s="11" t="n">
        <x:v>2127901</x:v>
      </x:c>
      <x:c r="S181" s="11" t="n">
        <x:v>684330</x:v>
      </x:c>
      <x:c r="T181" s="11" t="n">
        <x:v>30138807</x:v>
      </x:c>
      <x:c r="U181" s="11" t="n">
        <x:v>25037421</x:v>
      </x:c>
      <x:c r="V181" s="11" t="n">
        <x:v>5573670</x:v>
      </x:c>
      <x:c r="W181" s="11" t="n">
        <x:v>4642409</x:v>
      </x:c>
      <x:c r="X181" s="11" t="n">
        <x:v>579099</x:v>
      </x:c>
      <x:c r="Y181" s="11" t="n">
        <x:v>0</x:v>
      </x:c>
      <x:c r="Z181" s="11" t="n">
        <x:v>44734</x:v>
      </x:c>
      <x:c r="AA181" s="11" t="n">
        <x:v>511661</x:v>
      </x:c>
      <x:c r="AB181" s="11" t="n">
        <x:v>25328</x:v>
      </x:c>
      <x:c r="AC181" s="11" t="n">
        <x:v>70062</x:v>
      </x:c>
      <x:c r="AD181" s="11" t="n">
        <x:v>514768</x:v>
      </x:c>
      <x:c r="AE181" s="11" t="n">
        <x:v>444656</x:v>
      </x:c>
      <x:c r="AF181" s="11" t="n">
        <x:v>2059072</x:v>
      </x:c>
      <x:c r="AG181" s="11" t="n">
        <x:v>33494594</x:v>
      </x:c>
      <x:c r="AH181" s="11" t="n">
        <x:v>12184908</x:v>
      </x:c>
      <x:c r="AI181" s="11" t="n">
        <x:v>21309686</x:v>
      </x:c>
      <x:c r="AJ181" s="11" t="n">
        <x:v>403998</x:v>
      </x:c>
      <x:c r="AK181" s="11" t="n">
        <x:v>49695171</x:v>
      </x:c>
      <x:c r="AL181" s="11" t="n">
        <x:v>725000</x:v>
      </x:c>
      <x:c r="AM181" s="12" t="n">
        <x:v>0.9854110573439822</x:v>
      </x:c>
      <x:c r="AN181" s="12" t="n">
        <x:v>0.008129522282959847</x:v>
      </x:c>
      <x:c r="AO181" s="11" t="n">
        <x:v>1819326</x:v>
      </x:c>
      <x:c r="AP181" s="11" t="n">
        <x:v>1688554</x:v>
      </x:c>
      <x:c r="AQ181" s="12" t="n">
        <x:v>0.9281206336852219</x:v>
      </x:c>
      <x:c r="AR181" s="11" t="n">
        <x:v>2763.268151016457</x:v>
      </x:c>
      <x:c r="AS181" s="11" t="n">
        <x:v>2746.9109390125845</x:v>
      </x:c>
      <x:c r="AT181" s="11" t="n">
        <x:v>5395.614714424008</x:v>
      </x:c>
      <x:c r="AU181" s="11" t="n">
        <x:v>4494.103581800581</x:v>
      </x:c>
      <x:c r="AV181" s="11" t="n">
        <x:v>495.3155856727977</x:v>
      </x:c>
      <x:c r="AW181" s="11" t="n">
        <x:v>1.2037504581642016</x:v>
      </x:c>
      <x:c r="AX181" s="12" t="n">
        <x:v>0.8637988375345786</x:v>
      </x:c>
      <x:c r="AY181" s="11" t="n">
        <x:v>4648.097865362712</x:v>
      </x:c>
      <x:c r="AZ181" s="11" t="n">
        <x:v>3546.5079302077975</x:v>
      </x:c>
      <x:c r="BA181" s="11" t="n">
        <x:v>3428.422456291105</x:v>
      </x:c>
      <x:c r="BB181" s="11" t="n">
        <x:v>2783.665107049771</x:v>
      </x:c>
      <x:c r="BC181" s="11" t="n">
        <x:v>5030.364110900993</x:v>
      </x:c>
      <x:c r="BD181" s="11" t="n">
        <x:v>2437.8724475115623</x:v>
      </x:c>
      <x:c r="BE181" s="11" t="n">
        <x:v>2420.45</x:v>
      </x:c>
      <x:c r="BF181" s="11" t="n">
        <x:v>1604.3462673977224</x:v>
      </x:c>
      <x:c r="BG181" s="11" t="n">
        <x:v>224.31236112962716</x:v>
      </x:c>
      <x:c r="BH181" s="11" t="n">
        <x:v>518.5374381567245</x:v>
      </x:c>
      <x:c r="BI181" s="11" t="n">
        <x:v>2.204313821553219</x:v>
      </x:c>
      <x:c r="BJ181" s="11" t="n">
        <x:v>1.7099330852451193</x:v>
      </x:c>
      <x:c r="BK181" s="12" t="n">
        <x:v>0.030042455998363887</x:v>
      </x:c>
      <x:c r="BL181" s="12" t="n">
        <x:v>0.02529861000232605</x:v>
      </x:c>
      <x:c r="BM181" s="12" t="n">
        <x:v>0.9786113537119745</x:v>
      </x:c>
      <x:c r="BN181" s="12" t="n">
        <x:v>0.9815511712696461</x:v>
      </x:c>
      <x:c r="BO181" s="12" t="n">
        <x:v>0.9039920521842442</x:v>
      </x:c>
      <x:c r="BP181" s="12" t="n">
        <x:v>0.8619101997275483</x:v>
      </x:c>
      <x:c r="BQ181" s="12" t="n">
        <x:v>0.9333160528846489</x:v>
      </x:c>
      <x:c r="BR181" s="12" t="n">
        <x:v>0.9623635142836453</x:v>
      </x:c>
      <x:c r="BS181" s="12" t="n">
        <x:v>0.20869205825466772</x:v>
      </x:c>
      <x:c r="BT181" s="12" t="n">
        <x:v>0.19976549769108282</x:v>
      </x:c>
      <x:c r="BU181" s="11" t="n">
        <x:v>70890</x:v>
      </x:c>
      <x:c r="BV181" s="11" t="n">
        <x:v>1024227</x:v>
      </x:c>
      <x:c r="BW181" s="11" t="n">
        <x:v>87315</x:v>
      </x:c>
      <x:c r="BX181" s="11" t="n">
        <x:v>235226</x:v>
      </x:c>
      <x:c r="BY181" s="11" t="n">
        <x:v>0</x:v>
      </x:c>
      <x:c r="BZ181" s="11" t="n">
        <x:v>0</x:v>
      </x:c>
      <x:c r="CA181" s="11" t="n">
        <x:v>25848</x:v>
      </x:c>
      <x:c r="CB181" s="11" t="n">
        <x:v>2580</x:v>
      </x:c>
      <x:c r="CC181" s="11" t="n">
        <x:v>963579</x:v>
      </x:c>
      <x:c r="CD181" s="11" t="n">
        <x:v>65923</x:v>
      </x:c>
      <x:c r="CE181" s="11" t="n">
        <x:v>206820</x:v>
      </x:c>
      <x:c r="CF181" s="11" t="n">
        <x:v>0</x:v>
      </x:c>
      <x:c r="CG181" s="11" t="n">
        <x:v>125422</x:v>
      </x:c>
      <x:c r="CH181" s="11" t="n">
        <x:v>245599</x:v>
      </x:c>
      <x:c r="CI181" s="11" t="n">
        <x:v>101923</x:v>
      </x:c>
      <x:c r="CJ181" s="11" t="n">
        <x:v>346708</x:v>
      </x:c>
      <x:c r="CK181" s="11" t="n">
        <x:v>97255</x:v>
      </x:c>
      <x:c r="CL181" s="11" t="n">
        <x:v>0</x:v>
      </x:c>
      <x:c r="CM181" s="11" t="n">
        <x:v>0</x:v>
      </x:c>
      <x:c r="CN181" s="11" t="n">
        <x:v>0</x:v>
      </x:c>
      <x:c r="CO181" s="11" t="n">
        <x:v>0</x:v>
      </x:c>
      <x:c r="CP181" s="8"/>
      <x:c r="CQ181" s="8"/>
    </x:row>
    <x:row r="182">
      <x:c r="A182" s="8" t="str">
        <x:v>Dawson Creek|2019</x:v>
      </x:c>
      <x:c r="B182" s="8" t="str">
        <x:v>dawson-creek-c</x:v>
      </x:c>
      <x:c r="C182" s="8" t="str">
        <x:v>Dawson Creek</x:v>
      </x:c>
      <x:c r="D182" s="8" t="str">
        <x:v>Dawson Creek</x:v>
      </x:c>
      <x:c r="E182" s="8" t="str">
        <x:v>C</x:v>
      </x:c>
      <x:c r="F182" s="8" t="str">
        <x:v>PEA</x:v>
      </x:c>
      <x:c r="G182" s="9" t="n">
        <x:v>2019</x:v>
      </x:c>
      <x:c r="H182" s="10" t="n">
        <x:v>12981</x:v>
      </x:c>
      <x:c r="I182" s="8" t="str">
        <x:v>5,000 to 19,999</x:v>
      </x:c>
      <x:c r="J182" s="11" t="n">
        <x:v>57993438</x:v>
      </x:c>
      <x:c r="K182" s="11" t="n">
        <x:v>44834244</x:v>
      </x:c>
      <x:c r="L182" s="11" t="n">
        <x:v>13159194</x:v>
      </x:c>
      <x:c r="M182" s="12" t="n">
        <x:v>0.22690832711107764</x:v>
      </x:c>
      <x:c r="N182" s="11" t="n">
        <x:v>18973199</x:v>
      </x:c>
      <x:c r="O182" s="11" t="n">
        <x:v>13101553</x:v>
      </x:c>
      <x:c r="P182" s="11" t="n">
        <x:v>21415955</x:v>
      </x:c>
      <x:c r="Q182" s="11" t="n">
        <x:v>4502731</x:v>
      </x:c>
      <x:c r="R182" s="11" t="n">
        <x:v>34297938</x:v>
      </x:c>
      <x:c r="S182" s="11" t="n">
        <x:v>8948432</x:v>
      </x:c>
      <x:c r="T182" s="11" t="n">
        <x:v>28223142</x:v>
      </x:c>
      <x:c r="U182" s="11" t="n">
        <x:v>43027491</x:v>
      </x:c>
      <x:c r="V182" s="11" t="n">
        <x:v>-3952887</x:v>
      </x:c>
      <x:c r="W182" s="11" t="n">
        <x:v>770722</x:v>
      </x:c>
      <x:c r="X182" s="11" t="n">
        <x:v>31353402</x:v>
      </x:c>
      <x:c r="Y182" s="11" t="n">
        <x:v>0</x:v>
      </x:c>
      <x:c r="Z182" s="11" t="n">
        <x:v>2327393</x:v>
      </x:c>
      <x:c r="AA182" s="11" t="n">
        <x:v>28183003</x:v>
      </x:c>
      <x:c r="AB182" s="11" t="n">
        <x:v>1587874</x:v>
      </x:c>
      <x:c r="AC182" s="11" t="n">
        <x:v>3915267</x:v>
      </x:c>
      <x:c r="AD182" s="11" t="n">
        <x:v>12976705</x:v>
      </x:c>
      <x:c r="AE182" s="11" t="n">
        <x:v>8928881</x:v>
      </x:c>
      <x:c r="AF182" s="11" t="n">
        <x:v>51906821</x:v>
      </x:c>
      <x:c r="AG182" s="11" t="n">
        <x:v>354639730</x:v>
      </x:c>
      <x:c r="AH182" s="11" t="n">
        <x:v>125731516</x:v>
      </x:c>
      <x:c r="AI182" s="11" t="n">
        <x:v>228908214</x:v>
      </x:c>
      <x:c r="AJ182" s="11" t="n">
        <x:v>10017727</x:v>
      </x:c>
      <x:c r="AK182" s="11" t="n">
        <x:v>496995230</x:v>
      </x:c>
      <x:c r="AL182" s="11" t="n">
        <x:v>8948432</x:v>
      </x:c>
      <x:c r="AM182" s="12" t="n">
        <x:v>0.9819949338346768</x:v>
      </x:c>
      <x:c r="AN182" s="12" t="n">
        <x:v>0.0201565858086807</x:v>
      </x:c>
      <x:c r="AO182" s="11" t="n">
        <x:v>30165697</x:v>
      </x:c>
      <x:c r="AP182" s="11" t="n">
        <x:v>27552556</x:v>
      </x:c>
      <x:c r="AQ182" s="12" t="n">
        <x:v>0.9133737569531378</x:v>
      </x:c>
      <x:c r="AR182" s="11" t="n">
        <x:v>4467.563207765195</x:v>
      </x:c>
      <x:c r="AS182" s="11" t="n">
        <x:v>3453.835914028195</x:v>
      </x:c>
      <x:c r="AT182" s="11" t="n">
        <x:v>-304.51328865264617</x:v>
      </x:c>
      <x:c r="AU182" s="11" t="n">
        <x:v>59.373083737770585</x:v>
      </x:c>
      <x:c r="AV182" s="11" t="n">
        <x:v>2171.0964486557277</x:v>
      </x:c>
      <x:c r="AW182" s="11" t="n">
        <x:v>0.6559327849258048</x:v>
      </x:c>
      <x:c r="AX182" s="12" t="n">
        <x:v>0.6880699684550122</x:v>
      </x:c>
      <x:c r="AY182" s="11"/>
      <x:c r="AZ182" s="11"/>
      <x:c r="BA182" s="11"/>
      <x:c r="BB182" s="11"/>
      <x:c r="BC182" s="11"/>
      <x:c r="BD182" s="11"/>
      <x:c r="BE182" s="11"/>
      <x:c r="BF182" s="11"/>
      <x:c r="BG182" s="11"/>
      <x:c r="BH182" s="11"/>
      <x:c r="BI182" s="11"/>
      <x:c r="BJ182" s="11"/>
      <x:c r="BK182" s="12"/>
      <x:c r="BL182" s="12"/>
      <x:c r="BM182" s="12"/>
      <x:c r="BN182" s="12"/>
      <x:c r="BO182" s="12"/>
      <x:c r="BP182" s="12"/>
      <x:c r="BQ182" s="12"/>
      <x:c r="BR182" s="12"/>
      <x:c r="BS182" s="12"/>
      <x:c r="BT182" s="12"/>
      <x:c r="BU182" s="11" t="n">
        <x:v>2901247</x:v>
      </x:c>
      <x:c r="BV182" s="11" t="n">
        <x:v>15994750</x:v>
      </x:c>
      <x:c r="BW182" s="11" t="n">
        <x:v>2519958</x:v>
      </x:c>
      <x:c r="BX182" s="11" t="n">
        <x:v>1648263</x:v>
      </x:c>
      <x:c r="BY182" s="11" t="n">
        <x:v>0</x:v>
      </x:c>
      <x:c r="BZ182" s="11" t="n">
        <x:v>63374</x:v>
      </x:c>
      <x:c r="CA182" s="11" t="n">
        <x:v>47600</x:v>
      </x:c>
      <x:c r="CB182" s="11" t="n">
        <x:v>2743494</x:v>
      </x:c>
      <x:c r="CC182" s="11" t="n">
        <x:v>3925204</x:v>
      </x:c>
      <x:c r="CD182" s="11" t="n">
        <x:v>8731007</x:v>
      </x:c>
      <x:c r="CE182" s="11" t="n">
        <x:v>1157940</x:v>
      </x:c>
      <x:c r="CF182" s="11" t="n">
        <x:v>190704</x:v>
      </x:c>
      <x:c r="CG182" s="11" t="n">
        <x:v>1166469</x:v>
      </x:c>
      <x:c r="CH182" s="11" t="n">
        <x:v>5940892</x:v>
      </x:c>
      <x:c r="CI182" s="11" t="n">
        <x:v>8077630</x:v>
      </x:c>
      <x:c r="CJ182" s="11" t="n">
        <x:v>3930037</x:v>
      </x:c>
      <x:c r="CK182" s="11" t="n">
        <x:v>1426945</x:v>
      </x:c>
      <x:c r="CL182" s="11" t="n">
        <x:v>1338984</x:v>
      </x:c>
      <x:c r="CM182" s="11"/>
      <x:c r="CN182" s="11" t="n">
        <x:v>0</x:v>
      </x:c>
      <x:c r="CO182" s="11" t="n">
        <x:v>0</x:v>
      </x:c>
      <x:c r="CP182" s="8"/>
      <x:c r="CQ182" s="8"/>
    </x:row>
    <x:row r="183">
      <x:c r="A183" s="8" t="str">
        <x:v>Dawson Creek|2020</x:v>
      </x:c>
      <x:c r="B183" s="8" t="str">
        <x:v>dawson-creek-c</x:v>
      </x:c>
      <x:c r="C183" s="8" t="str">
        <x:v>Dawson Creek</x:v>
      </x:c>
      <x:c r="D183" s="8" t="str">
        <x:v>Dawson Creek</x:v>
      </x:c>
      <x:c r="E183" s="8" t="str">
        <x:v>C</x:v>
      </x:c>
      <x:c r="F183" s="8" t="str">
        <x:v>PEA</x:v>
      </x:c>
      <x:c r="G183" s="9" t="n">
        <x:v>2020</x:v>
      </x:c>
      <x:c r="H183" s="10" t="n">
        <x:v>13115</x:v>
      </x:c>
      <x:c r="I183" s="8" t="str">
        <x:v>5,000 to 19,999</x:v>
      </x:c>
      <x:c r="J183" s="11" t="n">
        <x:v>56276627</x:v>
      </x:c>
      <x:c r="K183" s="11" t="n">
        <x:v>43704673</x:v>
      </x:c>
      <x:c r="L183" s="11" t="n">
        <x:v>12571954</x:v>
      </x:c>
      <x:c r="M183" s="12" t="n">
        <x:v>0.2233956558910327</x:v>
      </x:c>
      <x:c r="N183" s="11" t="n">
        <x:v>19034430</x:v>
      </x:c>
      <x:c r="O183" s="11" t="n">
        <x:v>12062970</x:v>
      </x:c>
      <x:c r="P183" s="11" t="n">
        <x:v>21434772</x:v>
      </x:c>
      <x:c r="Q183" s="11" t="n">
        <x:v>3744455</x:v>
      </x:c>
      <x:c r="R183" s="11" t="n">
        <x:v>32789651</x:v>
      </x:c>
      <x:c r="S183" s="11" t="n">
        <x:v>9386250</x:v>
      </x:c>
      <x:c r="T183" s="11" t="n">
        <x:v>42626962</x:v>
      </x:c>
      <x:c r="U183" s="11" t="n">
        <x:v>39088572</x:v>
      </x:c>
      <x:c r="V183" s="11" t="n">
        <x:v>10176945</x:v>
      </x:c>
      <x:c r="W183" s="11" t="n">
        <x:v>1088307</x:v>
      </x:c>
      <x:c r="X183" s="11" t="n">
        <x:v>28183003</x:v>
      </x:c>
      <x:c r="Y183" s="11" t="n">
        <x:v>0</x:v>
      </x:c>
      <x:c r="Z183" s="11" t="n">
        <x:v>3824371</x:v>
      </x:c>
      <x:c r="AA183" s="11" t="n">
        <x:v>23562595</x:v>
      </x:c>
      <x:c r="AB183" s="11" t="n">
        <x:v>1528772</x:v>
      </x:c>
      <x:c r="AC183" s="11" t="n">
        <x:v>5353143</x:v>
      </x:c>
      <x:c r="AD183" s="11" t="n">
        <x:v>12592825</x:v>
      </x:c>
      <x:c r="AE183" s="11" t="n">
        <x:v>7227510</x:v>
      </x:c>
      <x:c r="AF183" s="11" t="n">
        <x:v>50371301</x:v>
      </x:c>
      <x:c r="AG183" s="11" t="n">
        <x:v>362298233</x:v>
      </x:c>
      <x:c r="AH183" s="11" t="n">
        <x:v>134941493</x:v>
      </x:c>
      <x:c r="AI183" s="11" t="n">
        <x:v>227356740</x:v>
      </x:c>
      <x:c r="AJ183" s="11" t="n">
        <x:v>7834776</x:v>
      </x:c>
      <x:c r="AK183" s="11" t="n">
        <x:v>510618326</x:v>
      </x:c>
      <x:c r="AL183" s="11" t="n">
        <x:v>15097474</x:v>
      </x:c>
      <x:c r="AM183" s="12" t="n">
        <x:v>0.9704329570028005</x:v>
      </x:c>
      <x:c r="AN183" s="12" t="n">
        <x:v>0.015343703116523083</x:v>
      </x:c>
      <x:c r="AO183" s="11" t="n">
        <x:v>27205943</x:v>
      </x:c>
      <x:c r="AP183" s="11" t="n">
        <x:v>25054031</x:v>
      </x:c>
      <x:c r="AQ183" s="12" t="n">
        <x:v>0.9209028703765203</x:v>
      </x:c>
      <x:c r="AR183" s="11" t="n">
        <x:v>4291.012352268395</x:v>
      </x:c>
      <x:c r="AS183" s="11" t="n">
        <x:v>3332.4188333968737</x:v>
      </x:c>
      <x:c r="AT183" s="11" t="n">
        <x:v>775.9775066717499</x:v>
      </x:c>
      <x:c r="AU183" s="11" t="n">
        <x:v>82.98185284025925</x:v>
      </x:c>
      <x:c r="AV183" s="11" t="n">
        <x:v>1796.614182234083</x:v>
      </x:c>
      <x:c r="AW183" s="11" t="n">
        <x:v>1.090522365462724</x:v>
      </x:c>
      <x:c r="AX183" s="12" t="n">
        <x:v>0.573938730983715</x:v>
      </x:c>
      <x:c r="AY183" s="11"/>
      <x:c r="AZ183" s="11"/>
      <x:c r="BA183" s="11"/>
      <x:c r="BB183" s="11"/>
      <x:c r="BC183" s="11"/>
      <x:c r="BD183" s="11"/>
      <x:c r="BE183" s="11"/>
      <x:c r="BF183" s="11"/>
      <x:c r="BG183" s="11"/>
      <x:c r="BH183" s="11"/>
      <x:c r="BI183" s="11"/>
      <x:c r="BJ183" s="11"/>
      <x:c r="BK183" s="12"/>
      <x:c r="BL183" s="12"/>
      <x:c r="BM183" s="12"/>
      <x:c r="BN183" s="12"/>
      <x:c r="BO183" s="12"/>
      <x:c r="BP183" s="12"/>
      <x:c r="BQ183" s="12"/>
      <x:c r="BR183" s="12"/>
      <x:c r="BS183" s="12"/>
      <x:c r="BT183" s="12"/>
      <x:c r="BU183" s="11" t="n">
        <x:v>1865309</x:v>
      </x:c>
      <x:c r="BV183" s="11" t="n">
        <x:v>17535412</x:v>
      </x:c>
      <x:c r="BW183" s="11" t="n">
        <x:v>2034051</x:v>
      </x:c>
      <x:c r="BX183" s="11" t="n">
        <x:v>1311971</x:v>
      </x:c>
      <x:c r="BY183" s="11" t="n">
        <x:v>0</x:v>
      </x:c>
      <x:c r="BZ183" s="11" t="n">
        <x:v>0</x:v>
      </x:c>
      <x:c r="CA183" s="11" t="n">
        <x:v>36599</x:v>
      </x:c>
      <x:c r="CB183" s="11" t="n">
        <x:v>2395885</x:v>
      </x:c>
      <x:c r="CC183" s="11" t="n">
        <x:v>4208778</x:v>
      </x:c>
      <x:c r="CD183" s="11" t="n">
        <x:v>8764095</x:v>
      </x:c>
      <x:c r="CE183" s="11" t="n">
        <x:v>1002293</x:v>
      </x:c>
      <x:c r="CF183" s="11" t="n">
        <x:v>195315</x:v>
      </x:c>
      <x:c r="CG183" s="11" t="n">
        <x:v>1030321</x:v>
      </x:c>
      <x:c r="CH183" s="11" t="n">
        <x:v>5823295</x:v>
      </x:c>
      <x:c r="CI183" s="11" t="n">
        <x:v>7326577</x:v>
      </x:c>
      <x:c r="CJ183" s="11" t="n">
        <x:v>3383601</x:v>
      </x:c>
      <x:c r="CK183" s="11" t="n">
        <x:v>1492797</x:v>
      </x:c>
      <x:c r="CL183" s="11" t="n">
        <x:v>1091351</x:v>
      </x:c>
      <x:c r="CM183" s="11"/>
      <x:c r="CN183" s="11" t="n">
        <x:v>0</x:v>
      </x:c>
      <x:c r="CO183" s="11" t="n">
        <x:v>0</x:v>
      </x:c>
      <x:c r="CP183" s="8"/>
      <x:c r="CQ183" s="8"/>
    </x:row>
    <x:row r="184">
      <x:c r="A184" s="8" t="str">
        <x:v>Dawson Creek|2021</x:v>
      </x:c>
      <x:c r="B184" s="8" t="str">
        <x:v>dawson-creek-c</x:v>
      </x:c>
      <x:c r="C184" s="8" t="str">
        <x:v>Dawson Creek</x:v>
      </x:c>
      <x:c r="D184" s="8" t="str">
        <x:v>Dawson Creek</x:v>
      </x:c>
      <x:c r="E184" s="8" t="str">
        <x:v>C</x:v>
      </x:c>
      <x:c r="F184" s="8" t="str">
        <x:v>PEA</x:v>
      </x:c>
      <x:c r="G184" s="9" t="n">
        <x:v>2021</x:v>
      </x:c>
      <x:c r="H184" s="10" t="n">
        <x:v>13087</x:v>
      </x:c>
      <x:c r="I184" s="8" t="str">
        <x:v>5,000 to 19,999</x:v>
      </x:c>
      <x:c r="J184" s="11" t="n">
        <x:v>62454163</x:v>
      </x:c>
      <x:c r="K184" s="11" t="n">
        <x:v>41312449</x:v>
      </x:c>
      <x:c r="L184" s="11" t="n">
        <x:v>21141714</x:v>
      </x:c>
      <x:c r="M184" s="12" t="n">
        <x:v>0.33851568869796556</x:v>
      </x:c>
      <x:c r="N184" s="11" t="n">
        <x:v>20112928</x:v>
      </x:c>
      <x:c r="O184" s="11" t="n">
        <x:v>12786613</x:v>
      </x:c>
      <x:c r="P184" s="11" t="n">
        <x:v>25816631</x:v>
      </x:c>
      <x:c r="Q184" s="11" t="n">
        <x:v>3737991</x:v>
      </x:c>
      <x:c r="R184" s="11" t="n">
        <x:v>30289045</x:v>
      </x:c>
      <x:c r="S184" s="11" t="n">
        <x:v>9522542</x:v>
      </x:c>
      <x:c r="T184" s="11" t="n">
        <x:v>53857203</x:v>
      </x:c>
      <x:c r="U184" s="11" t="n">
        <x:v>34595613</x:v>
      </x:c>
      <x:c r="V184" s="11" t="n">
        <x:v>26694910</x:v>
      </x:c>
      <x:c r="W184" s="11" t="n">
        <x:v>1131860</x:v>
      </x:c>
      <x:c r="X184" s="11" t="n">
        <x:v>23562595</x:v>
      </x:c>
      <x:c r="Y184" s="11" t="n">
        <x:v>0</x:v>
      </x:c>
      <x:c r="Z184" s="11" t="n">
        <x:v>3819101</x:v>
      </x:c>
      <x:c r="AA184" s="11" t="n">
        <x:v>18838201</x:v>
      </x:c>
      <x:c r="AB184" s="11" t="n">
        <x:v>1500862</x:v>
      </x:c>
      <x:c r="AC184" s="11" t="n">
        <x:v>5319963</x:v>
      </x:c>
      <x:c r="AD184" s="11" t="n">
        <x:v>13002626</x:v>
      </x:c>
      <x:c r="AE184" s="11" t="n">
        <x:v>5958663</x:v>
      </x:c>
      <x:c r="AF184" s="11" t="n">
        <x:v>52010502</x:v>
      </x:c>
      <x:c r="AG184" s="11" t="n">
        <x:v>376118062</x:v>
      </x:c>
      <x:c r="AH184" s="11" t="n">
        <x:v>144331240</x:v>
      </x:c>
      <x:c r="AI184" s="11" t="n">
        <x:v>231786822</x:v>
      </x:c>
      <x:c r="AJ184" s="11" t="n">
        <x:v>13952625</x:v>
      </x:c>
      <x:c r="AK184" s="11" t="n">
        <x:v>502255196</x:v>
      </x:c>
      <x:c r="AL184" s="11" t="n">
        <x:v>14529124</x:v>
      </x:c>
      <x:c r="AM184" s="12" t="n">
        <x:v>0.9710722275932413</x:v>
      </x:c>
      <x:c r="AN184" s="12" t="n">
        <x:v>0.027779951528863825</x:v>
      </x:c>
      <x:c r="AO184" s="11" t="n">
        <x:v>31019605</x:v>
      </x:c>
      <x:c r="AP184" s="11" t="n">
        <x:v>29152790</x:v>
      </x:c>
      <x:c r="AQ184" s="12" t="n">
        <x:v>0.9398182214119103</x:v>
      </x:c>
      <x:c r="AR184" s="11" t="n">
        <x:v>4772.229158707114</x:v>
      </x:c>
      <x:c r="AS184" s="11" t="n">
        <x:v>3156.7547184228624</x:v>
      </x:c>
      <x:c r="AT184" s="11" t="n">
        <x:v>2039.8036219148773</x:v>
      </x:c>
      <x:c r="AU184" s="11" t="n">
        <x:v>86.48735386261176</x:v>
      </x:c>
      <x:c r="AV184" s="11" t="n">
        <x:v>1439.4590815312906</x:v>
      </x:c>
      <x:c r="AW184" s="11" t="n">
        <x:v>1.5567639457638747</x:v>
      </x:c>
      <x:c r="AX184" s="12" t="n">
        <x:v>0.458266122550937</x:v>
      </x:c>
      <x:c r="AY184" s="11"/>
      <x:c r="AZ184" s="11"/>
      <x:c r="BA184" s="11"/>
      <x:c r="BB184" s="11"/>
      <x:c r="BC184" s="11"/>
      <x:c r="BD184" s="11"/>
      <x:c r="BE184" s="11"/>
      <x:c r="BF184" s="11"/>
      <x:c r="BG184" s="11"/>
      <x:c r="BH184" s="11"/>
      <x:c r="BI184" s="11"/>
      <x:c r="BJ184" s="11"/>
      <x:c r="BK184" s="12"/>
      <x:c r="BL184" s="12"/>
      <x:c r="BM184" s="12"/>
      <x:c r="BN184" s="12"/>
      <x:c r="BO184" s="12"/>
      <x:c r="BP184" s="12"/>
      <x:c r="BQ184" s="12"/>
      <x:c r="BR184" s="12"/>
      <x:c r="BS184" s="12"/>
      <x:c r="BT184" s="12"/>
      <x:c r="BU184" s="11" t="n">
        <x:v>2503691</x:v>
      </x:c>
      <x:c r="BV184" s="11" t="n">
        <x:v>20746514</x:v>
      </x:c>
      <x:c r="BW184" s="11" t="n">
        <x:v>2566426</x:v>
      </x:c>
      <x:c r="BX184" s="11" t="n">
        <x:v>1376722</x:v>
      </x:c>
      <x:c r="BY184" s="11" t="n">
        <x:v>0</x:v>
      </x:c>
      <x:c r="BZ184" s="11" t="n">
        <x:v>0</x:v>
      </x:c>
      <x:c r="CA184" s="11" t="n">
        <x:v>41263</x:v>
      </x:c>
      <x:c r="CB184" s="11" t="n">
        <x:v>2320006</x:v>
      </x:c>
      <x:c r="CC184" s="11" t="n">
        <x:v>3731554</x:v>
      </x:c>
      <x:c r="CD184" s="11" t="n">
        <x:v>7763381</x:v>
      </x:c>
      <x:c r="CE184" s="11" t="n">
        <x:v>933524</x:v>
      </x:c>
      <x:c r="CF184" s="11" t="n">
        <x:v>140392</x:v>
      </x:c>
      <x:c r="CG184" s="11" t="n">
        <x:v>607834</x:v>
      </x:c>
      <x:c r="CH184" s="11" t="n">
        <x:v>5221786</x:v>
      </x:c>
      <x:c r="CI184" s="11" t="n">
        <x:v>7895301</x:v>
      </x:c>
      <x:c r="CJ184" s="11" t="n">
        <x:v>3112721</x:v>
      </x:c>
      <x:c r="CK184" s="11" t="n">
        <x:v>1218003</x:v>
      </x:c>
      <x:c r="CL184" s="11" t="n">
        <x:v>1165411</x:v>
      </x:c>
      <x:c r="CM184" s="11"/>
      <x:c r="CN184" s="11" t="n">
        <x:v>0</x:v>
      </x:c>
      <x:c r="CO184" s="11" t="n">
        <x:v>0</x:v>
      </x:c>
      <x:c r="CP184" s="8"/>
      <x:c r="CQ184" s="8"/>
    </x:row>
    <x:row r="185">
      <x:c r="A185" s="8" t="str">
        <x:v>Dawson Creek|2022</x:v>
      </x:c>
      <x:c r="B185" s="8" t="str">
        <x:v>dawson-creek-c</x:v>
      </x:c>
      <x:c r="C185" s="8" t="str">
        <x:v>Dawson Creek</x:v>
      </x:c>
      <x:c r="D185" s="8" t="str">
        <x:v>Dawson Creek</x:v>
      </x:c>
      <x:c r="E185" s="8" t="str">
        <x:v>C</x:v>
      </x:c>
      <x:c r="F185" s="8" t="str">
        <x:v>PEA</x:v>
      </x:c>
      <x:c r="G185" s="9" t="n">
        <x:v>2022</x:v>
      </x:c>
      <x:c r="H185" s="10" t="n">
        <x:v>113347</x:v>
      </x:c>
      <x:c r="I185" s="8" t="str">
        <x:v>100,000 and over</x:v>
      </x:c>
      <x:c r="J185" s="11" t="n">
        <x:v>61666459</x:v>
      </x:c>
      <x:c r="K185" s="11" t="n">
        <x:v>45112383</x:v>
      </x:c>
      <x:c r="L185" s="11" t="n">
        <x:v>16554076</x:v>
      </x:c>
      <x:c r="M185" s="12" t="n">
        <x:v>0.26844537968362997</x:v>
      </x:c>
      <x:c r="N185" s="11" t="n">
        <x:v>21656693</x:v>
      </x:c>
      <x:c r="O185" s="11" t="n">
        <x:v>15221134</x:v>
      </x:c>
      <x:c r="P185" s="11" t="n">
        <x:v>19680736</x:v>
      </x:c>
      <x:c r="Q185" s="11" t="n">
        <x:v>5107896</x:v>
      </x:c>
      <x:c r="R185" s="11" t="n">
        <x:v>33833111</x:v>
      </x:c>
      <x:c r="S185" s="11" t="n">
        <x:v>9627152</x:v>
      </x:c>
      <x:c r="T185" s="11" t="n">
        <x:v>63814808</x:v>
      </x:c>
      <x:c r="U185" s="11" t="n">
        <x:v>34146416</x:v>
      </x:c>
      <x:c r="V185" s="11" t="n">
        <x:v>37028175</x:v>
      </x:c>
      <x:c r="W185" s="11" t="n">
        <x:v>1290607</x:v>
      </x:c>
      <x:c r="X185" s="11" t="n">
        <x:v>18151877</x:v>
      </x:c>
      <x:c r="Y185" s="11" t="n">
        <x:v>5000000</x:v>
      </x:c>
      <x:c r="Z185" s="11" t="n">
        <x:v>2160108</x:v>
      </x:c>
      <x:c r="AA185" s="11" t="n">
        <x:v>19963371</x:v>
      </x:c>
      <x:c r="AB185" s="11" t="n">
        <x:v>1652120</x:v>
      </x:c>
      <x:c r="AC185" s="11" t="n">
        <x:v>3812228</x:v>
      </x:c>
      <x:c r="AD185" s="11" t="n">
        <x:v>14385592</x:v>
      </x:c>
      <x:c r="AE185" s="11" t="n">
        <x:v>9230864</x:v>
      </x:c>
      <x:c r="AF185" s="11" t="n">
        <x:v>57542368</x:v>
      </x:c>
      <x:c r="AG185" s="11" t="n">
        <x:v>391756284</x:v>
      </x:c>
      <x:c r="AH185" s="11" t="n">
        <x:v>153958389</x:v>
      </x:c>
      <x:c r="AI185" s="11" t="n">
        <x:v>237797895</x:v>
      </x:c>
      <x:c r="AJ185" s="11" t="n">
        <x:v>15638224</x:v>
      </x:c>
      <x:c r="AK185" s="11" t="n">
        <x:v>540095431</x:v>
      </x:c>
      <x:c r="AL185" s="11" t="n">
        <x:v>15516956</x:v>
      </x:c>
      <x:c r="AM185" s="12" t="n">
        <x:v>0.9712699735836129</x:v>
      </x:c>
      <x:c r="AN185" s="12" t="n">
        <x:v>0.028954557106779154</x:v>
      </x:c>
      <x:c r="AO185" s="11" t="n">
        <x:v>31979501</x:v>
      </x:c>
      <x:c r="AP185" s="11" t="n">
        <x:v>30015125</x:v>
      </x:c>
      <x:c r="AQ185" s="12" t="n">
        <x:v>0.9385739008247814</x:v>
      </x:c>
      <x:c r="AR185" s="11" t="n">
        <x:v>544.0502086513097</x:v>
      </x:c>
      <x:c r="AS185" s="11" t="n">
        <x:v>398.00244382295074</x:v>
      </x:c>
      <x:c r="AT185" s="11" t="n">
        <x:v>326.6797974361915</x:v>
      </x:c>
      <x:c r="AU185" s="11" t="n">
        <x:v>11.386335765392996</x:v>
      </x:c>
      <x:c r="AV185" s="11" t="n">
        <x:v>176.12615243455937</x:v>
      </x:c>
      <x:c r="AW185" s="11" t="n">
        <x:v>1.868858154835342</x:v>
      </x:c>
      <x:c r="AX185" s="12" t="n">
        <x:v>0.6416742529608792</x:v>
      </x:c>
      <x:c r="AY185" s="11"/>
      <x:c r="AZ185" s="11"/>
      <x:c r="BA185" s="11"/>
      <x:c r="BB185" s="11"/>
      <x:c r="BC185" s="11"/>
      <x:c r="BD185" s="11"/>
      <x:c r="BE185" s="11"/>
      <x:c r="BF185" s="11"/>
      <x:c r="BG185" s="11"/>
      <x:c r="BH185" s="11"/>
      <x:c r="BI185" s="11"/>
      <x:c r="BJ185" s="11"/>
      <x:c r="BK185" s="12"/>
      <x:c r="BL185" s="12"/>
      <x:c r="BM185" s="12"/>
      <x:c r="BN185" s="12"/>
      <x:c r="BO185" s="12"/>
      <x:c r="BP185" s="12"/>
      <x:c r="BQ185" s="12"/>
      <x:c r="BR185" s="12"/>
      <x:c r="BS185" s="12"/>
      <x:c r="BT185" s="12"/>
      <x:c r="BU185" s="11" t="n">
        <x:v>477922</x:v>
      </x:c>
      <x:c r="BV185" s="11" t="n">
        <x:v>17084404</x:v>
      </x:c>
      <x:c r="BW185" s="11" t="n">
        <x:v>2118410</x:v>
      </x:c>
      <x:c r="BX185" s="11" t="n">
        <x:v>3261991</x:v>
      </x:c>
      <x:c r="BY185" s="11" t="n">
        <x:v>0</x:v>
      </x:c>
      <x:c r="BZ185" s="11" t="n">
        <x:v>0</x:v>
      </x:c>
      <x:c r="CA185" s="11" t="n">
        <x:v>0</x:v>
      </x:c>
      <x:c r="CB185" s="11" t="n">
        <x:v>1845905</x:v>
      </x:c>
      <x:c r="CC185" s="11" t="n">
        <x:v>4283083</x:v>
      </x:c>
      <x:c r="CD185" s="11" t="n">
        <x:v>9374509</x:v>
      </x:c>
      <x:c r="CE185" s="11" t="n">
        <x:v>947608</x:v>
      </x:c>
      <x:c r="CF185" s="11" t="n">
        <x:v>258008</x:v>
      </x:c>
      <x:c r="CG185" s="11" t="n">
        <x:v>776677</x:v>
      </x:c>
      <x:c r="CH185" s="11" t="n">
        <x:v>5598693</x:v>
      </x:c>
      <x:c r="CI185" s="11" t="n">
        <x:v>8135593</x:v>
      </x:c>
      <x:c r="CJ185" s="11" t="n">
        <x:v>3188278</x:v>
      </x:c>
      <x:c r="CK185" s="11" t="n">
        <x:v>1241892</x:v>
      </x:c>
      <x:c r="CL185" s="11" t="n">
        <x:v>1680890</x:v>
      </x:c>
      <x:c r="CM185" s="11"/>
      <x:c r="CN185" s="11" t="n">
        <x:v>0</x:v>
      </x:c>
      <x:c r="CO185" s="11" t="n">
        <x:v>0</x:v>
      </x:c>
      <x:c r="CP185" s="8"/>
      <x:c r="CQ185" s="8"/>
    </x:row>
    <x:row r="186">
      <x:c r="A186" s="8" t="str">
        <x:v>Dawson Creek|2023</x:v>
      </x:c>
      <x:c r="B186" s="8" t="str">
        <x:v>dawson-creek-c</x:v>
      </x:c>
      <x:c r="C186" s="8" t="str">
        <x:v>Dawson Creek</x:v>
      </x:c>
      <x:c r="D186" s="8" t="str">
        <x:v>Dawson Creek</x:v>
      </x:c>
      <x:c r="E186" s="8" t="str">
        <x:v>C</x:v>
      </x:c>
      <x:c r="F186" s="8" t="str">
        <x:v>PEA</x:v>
      </x:c>
      <x:c r="G186" s="9" t="n">
        <x:v>2023</x:v>
      </x:c>
      <x:c r="H186" s="10" t="n">
        <x:v>13615</x:v>
      </x:c>
      <x:c r="I186" s="8" t="str">
        <x:v>5,000 to 19,999</x:v>
      </x:c>
      <x:c r="J186" s="11" t="n">
        <x:v>70962430</x:v>
      </x:c>
      <x:c r="K186" s="11" t="n">
        <x:v>47785712</x:v>
      </x:c>
      <x:c r="L186" s="11" t="n">
        <x:v>23176718</x:v>
      </x:c>
      <x:c r="M186" s="12" t="n">
        <x:v>0.3266054727832742</x:v>
      </x:c>
      <x:c r="N186" s="11" t="n">
        <x:v>23054993</x:v>
      </x:c>
      <x:c r="O186" s="11" t="n">
        <x:v>19399237</x:v>
      </x:c>
      <x:c r="P186" s="11" t="n">
        <x:v>23036081</x:v>
      </x:c>
      <x:c r="Q186" s="11" t="n">
        <x:v>5472119</x:v>
      </x:c>
      <x:c r="R186" s="11" t="n">
        <x:v>36278009</x:v>
      </x:c>
      <x:c r="S186" s="11" t="n">
        <x:v>9873850</x:v>
      </x:c>
      <x:c r="T186" s="11" t="n">
        <x:v>84462765</x:v>
      </x:c>
      <x:c r="U186" s="11" t="n">
        <x:v>36591880</x:v>
      </x:c>
      <x:c r="V186" s="11" t="n">
        <x:v>56358088</x:v>
      </x:c>
      <x:c r="W186" s="11" t="n">
        <x:v>1714796</x:v>
      </x:c>
      <x:c r="X186" s="11" t="n">
        <x:v>19963371</x:v>
      </x:c>
      <x:c r="Y186" s="11" t="n">
        <x:v>5000000</x:v>
      </x:c>
      <x:c r="Z186" s="11" t="n">
        <x:v>2452608</x:v>
      </x:c>
      <x:c r="AA186" s="11" t="n">
        <x:v>21542235</x:v>
      </x:c>
      <x:c r="AB186" s="11" t="n">
        <x:v>1633853</x:v>
      </x:c>
      <x:c r="AC186" s="11" t="n">
        <x:v>4086461</x:v>
      </x:c>
      <x:c r="AD186" s="11" t="n">
        <x:v>15940060</x:v>
      </x:c>
      <x:c r="AE186" s="11" t="n">
        <x:v>10934599</x:v>
      </x:c>
      <x:c r="AF186" s="11" t="n">
        <x:v>63760239</x:v>
      </x:c>
      <x:c r="AG186" s="11" t="n">
        <x:v>404643120</x:v>
      </x:c>
      <x:c r="AH186" s="11" t="n">
        <x:v>163972830</x:v>
      </x:c>
      <x:c r="AI186" s="11" t="n">
        <x:v>240670290</x:v>
      </x:c>
      <x:c r="AJ186" s="11" t="n">
        <x:v>12744938</x:v>
      </x:c>
      <x:c r="AK186" s="11" t="n">
        <x:v>962923391</x:v>
      </x:c>
      <x:c r="AL186" s="11" t="n">
        <x:v>13000837</x:v>
      </x:c>
      <x:c r="AM186" s="12" t="n">
        <x:v>0.9864985759806929</x:v>
      </x:c>
      <x:c r="AN186" s="12" t="n">
        <x:v>0.013235671829266011</x:v>
      </x:c>
      <x:c r="AO186" s="11" t="n">
        <x:v>33854769</x:v>
      </x:c>
      <x:c r="AP186" s="11" t="n">
        <x:v>32088645</x:v>
      </x:c>
      <x:c r="AQ186" s="12" t="n">
        <x:v>0.9478323423208116</x:v>
      </x:c>
      <x:c r="AR186" s="11" t="n">
        <x:v>5212.077120822622</x:v>
      </x:c>
      <x:c r="AS186" s="11" t="n">
        <x:v>3509.784208593463</x:v>
      </x:c>
      <x:c r="AT186" s="11" t="n">
        <x:v>4139.411531399192</x:v>
      </x:c>
      <x:c r="AU186" s="11" t="n">
        <x:v>125.94902680866691</x:v>
      </x:c>
      <x:c r="AV186" s="11" t="n">
        <x:v>1582.2427469702534</x:v>
      </x:c>
      <x:c r="AW186" s="11" t="n">
        <x:v>2.3082379205441206</x:v>
      </x:c>
      <x:c r="AX186" s="12" t="n">
        <x:v>0.6859822986864541</x:v>
      </x:c>
      <x:c r="AY186" s="11"/>
      <x:c r="AZ186" s="11"/>
      <x:c r="BA186" s="11"/>
      <x:c r="BB186" s="11"/>
      <x:c r="BC186" s="11"/>
      <x:c r="BD186" s="11"/>
      <x:c r="BE186" s="11"/>
      <x:c r="BF186" s="11"/>
      <x:c r="BG186" s="11"/>
      <x:c r="BH186" s="11"/>
      <x:c r="BI186" s="11"/>
      <x:c r="BJ186" s="11"/>
      <x:c r="BK186" s="12"/>
      <x:c r="BL186" s="12"/>
      <x:c r="BM186" s="12"/>
      <x:c r="BN186" s="12"/>
      <x:c r="BO186" s="12"/>
      <x:c r="BP186" s="12"/>
      <x:c r="BQ186" s="12"/>
      <x:c r="BR186" s="12"/>
      <x:c r="BS186" s="12"/>
      <x:c r="BT186" s="12"/>
      <x:c r="BU186" s="11" t="n">
        <x:v>211541</x:v>
      </x:c>
      <x:c r="BV186" s="11" t="n">
        <x:v>21726649</x:v>
      </x:c>
      <x:c r="BW186" s="11" t="n">
        <x:v>1097891</x:v>
      </x:c>
      <x:c r="BX186" s="11" t="n">
        <x:v>5084272</x:v>
      </x:c>
      <x:c r="BY186" s="11" t="n">
        <x:v>0</x:v>
      </x:c>
      <x:c r="BZ186" s="11" t="n">
        <x:v>75000</x:v>
      </x:c>
      <x:c r="CA186" s="11" t="n">
        <x:v>312847</x:v>
      </x:c>
      <x:c r="CB186" s="11" t="n">
        <x:v>0</x:v>
      </x:c>
      <x:c r="CC186" s="11" t="n">
        <x:v>4524189</x:v>
      </x:c>
      <x:c r="CD186" s="11" t="n">
        <x:v>10352821</x:v>
      </x:c>
      <x:c r="CE186" s="11" t="n">
        <x:v>1041919</x:v>
      </x:c>
      <x:c r="CF186" s="11" t="n">
        <x:v>0</x:v>
      </x:c>
      <x:c r="CG186" s="11" t="n">
        <x:v>1006242</x:v>
      </x:c>
      <x:c r="CH186" s="11" t="n">
        <x:v>4922760</x:v>
      </x:c>
      <x:c r="CI186" s="11" t="n">
        <x:v>9780636</x:v>
      </x:c>
      <x:c r="CJ186" s="11" t="n">
        <x:v>3409880</x:v>
      </x:c>
      <x:c r="CK186" s="11" t="n">
        <x:v>1378831</x:v>
      </x:c>
      <x:c r="CL186" s="11" t="n">
        <x:v>1474655</x:v>
      </x:c>
      <x:c r="CM186" s="11" t="n">
        <x:v>19929</x:v>
      </x:c>
      <x:c r="CN186" s="11" t="n">
        <x:v>0</x:v>
      </x:c>
      <x:c r="CO186" s="11" t="n">
        <x:v>0</x:v>
      </x:c>
      <x:c r="CP186" s="8"/>
      <x:c r="CQ186" s="8"/>
    </x:row>
    <x:row r="187">
      <x:c r="A187" s="8" t="str">
        <x:v>Dawson Creek|2024</x:v>
      </x:c>
      <x:c r="B187" s="8" t="str">
        <x:v>dawson-creek-c</x:v>
      </x:c>
      <x:c r="C187" s="8" t="str">
        <x:v>Dawson Creek</x:v>
      </x:c>
      <x:c r="D187" s="8" t="str">
        <x:v>Dawson Creek</x:v>
      </x:c>
      <x:c r="E187" s="8" t="str">
        <x:v>C</x:v>
      </x:c>
      <x:c r="F187" s="8" t="str">
        <x:v>PEA</x:v>
      </x:c>
      <x:c r="G187" s="9" t="n">
        <x:v>2024</x:v>
      </x:c>
      <x:c r="H187" s="10" t="n">
        <x:v>13615</x:v>
      </x:c>
      <x:c r="I187" s="8" t="str">
        <x:v>5,000 to 19,999</x:v>
      </x:c>
      <x:c r="J187" s="11" t="n">
        <x:v>71123339</x:v>
      </x:c>
      <x:c r="K187" s="11" t="n">
        <x:v>52854859</x:v>
      </x:c>
      <x:c r="L187" s="11" t="n">
        <x:v>18268480</x:v>
      </x:c>
      <x:c r="M187" s="12" t="n">
        <x:v>0.2568563323496384</x:v>
      </x:c>
      <x:c r="N187" s="11" t="n">
        <x:v>24308714</x:v>
      </x:c>
      <x:c r="O187" s="11" t="n">
        <x:v>19637878</x:v>
      </x:c>
      <x:c r="P187" s="11" t="n">
        <x:v>20711044</x:v>
      </x:c>
      <x:c r="Q187" s="11" t="n">
        <x:v>6465703</x:v>
      </x:c>
      <x:c r="R187" s="11" t="n">
        <x:v>40856312</x:v>
      </x:c>
      <x:c r="S187" s="11" t="n">
        <x:v>10390719</x:v>
      </x:c>
      <x:c r="T187" s="11" t="n">
        <x:v>86979027</x:v>
      </x:c>
      <x:c r="U187" s="11" t="n">
        <x:v>35176510</x:v>
      </x:c>
      <x:c r="V187" s="11" t="n">
        <x:v>63278928</x:v>
      </x:c>
      <x:c r="W187" s="11" t="n">
        <x:v>2423162</x:v>
      </x:c>
      <x:c r="X187" s="11" t="n">
        <x:v>21542235</x:v>
      </x:c>
      <x:c r="Y187" s="11" t="n">
        <x:v>0</x:v>
      </x:c>
      <x:c r="Z187" s="11" t="n">
        <x:v>2600940</x:v>
      </x:c>
      <x:c r="AA187" s="11" t="n">
        <x:v>17996047</x:v>
      </x:c>
      <x:c r="AB187" s="11" t="n">
        <x:v>1607828</x:v>
      </x:c>
      <x:c r="AC187" s="11" t="n">
        <x:v>4208768</x:v>
      </x:c>
      <x:c r="AD187" s="11" t="n">
        <x:v>16605095</x:v>
      </x:c>
      <x:c r="AE187" s="11" t="n">
        <x:v>11485327</x:v>
      </x:c>
      <x:c r="AF187" s="11" t="n">
        <x:v>66420380</x:v>
      </x:c>
      <x:c r="AG187" s="11" t="n">
        <x:v>426058268</x:v>
      </x:c>
      <x:c r="AH187" s="11" t="n">
        <x:v>174153780</x:v>
      </x:c>
      <x:c r="AI187" s="11" t="n">
        <x:v>251904488</x:v>
      </x:c>
      <x:c r="AJ187" s="11" t="n">
        <x:v>21624918</x:v>
      </x:c>
      <x:c r="AK187" s="11" t="n">
        <x:v>963581060</x:v>
      </x:c>
      <x:c r="AL187" s="11" t="n">
        <x:v>13613812</x:v>
      </x:c>
      <x:c r="AM187" s="12" t="n">
        <x:v>0.9858716484111881</x:v>
      </x:c>
      <x:c r="AN187" s="12" t="n">
        <x:v>0.02244224061440145</x:v>
      </x:c>
      <x:c r="AO187" s="11" t="n">
        <x:v>34820284</x:v>
      </x:c>
      <x:c r="AP187" s="11" t="n">
        <x:v>32819539</x:v>
      </x:c>
      <x:c r="AQ187" s="12" t="n">
        <x:v>0.9425408190237621</x:v>
      </x:c>
      <x:c r="AR187" s="11" t="n">
        <x:v>5223.895629820051</x:v>
      </x:c>
      <x:c r="AS187" s="11" t="n">
        <x:v>3882.1049577671683</x:v>
      </x:c>
      <x:c r="AT187" s="11" t="n">
        <x:v>4647.7361733382295</x:v>
      </x:c>
      <x:c r="AU187" s="11" t="n">
        <x:v>177.97737789203086</x:v>
      </x:c>
      <x:c r="AV187" s="11" t="n">
        <x:v>1321.7809034153506</x:v>
      </x:c>
      <x:c r="AW187" s="11" t="n">
        <x:v>2.472645154394225</x:v>
      </x:c>
      <x:c r="AX187" s="12" t="n">
        <x:v>0.691674874488824</x:v>
      </x:c>
      <x:c r="AY187" s="11" t="n">
        <x:v>3601.3561989291247</x:v>
      </x:c>
      <x:c r="AZ187" s="11" t="n">
        <x:v>3546.5079302077975</x:v>
      </x:c>
      <x:c r="BA187" s="11" t="n">
        <x:v>2957.8976990295423</x:v>
      </x:c>
      <x:c r="BB187" s="11" t="n">
        <x:v>2783.665107049771</x:v>
      </x:c>
      <x:c r="BC187" s="11" t="n">
        <x:v>1917.0647247750476</x:v>
      </x:c>
      <x:c r="BD187" s="11" t="n">
        <x:v>2437.8724475115623</x:v>
      </x:c>
      <x:c r="BE187" s="11" t="n">
        <x:v>987.5598464714869</x:v>
      </x:c>
      <x:c r="BF187" s="11" t="n">
        <x:v>1604.3462673977224</x:v>
      </x:c>
      <x:c r="BG187" s="11" t="n">
        <x:v>936.3446522221191</x:v>
      </x:c>
      <x:c r="BH187" s="11" t="n">
        <x:v>518.5374381567245</x:v>
      </x:c>
      <x:c r="BI187" s="11" t="n">
        <x:v>1.3967465323081123</x:v>
      </x:c>
      <x:c r="BJ187" s="11" t="n">
        <x:v>1.7099330852451193</x:v>
      </x:c>
      <x:c r="BK187" s="12" t="n">
        <x:v>0.018327243000235003</x:v>
      </x:c>
      <x:c r="BL187" s="12" t="n">
        <x:v>0.02529861000232605</x:v>
      </x:c>
      <x:c r="BM187" s="12" t="n">
        <x:v>0.982034678745671</x:v>
      </x:c>
      <x:c r="BN187" s="12" t="n">
        <x:v>0.9815511712696461</x:v>
      </x:c>
      <x:c r="BO187" s="12" t="n">
        <x:v>0.7988058564062199</x:v>
      </x:c>
      <x:c r="BP187" s="12" t="n">
        <x:v>0.8619101997275483</x:v>
      </x:c>
      <x:c r="BQ187" s="12" t="n">
        <x:v>0.970292410805516</x:v>
      </x:c>
      <x:c r="BR187" s="12" t="n">
        <x:v>0.9623635142836453</x:v>
      </x:c>
      <x:c r="BS187" s="12" t="n">
        <x:v>0.19624174475580758</x:v>
      </x:c>
      <x:c r="BT187" s="12" t="n">
        <x:v>0.19976549769108282</x:v>
      </x:c>
      <x:c r="BU187" s="11" t="n">
        <x:v>787381</x:v>
      </x:c>
      <x:c r="BV187" s="11" t="n">
        <x:v>17817325</x:v>
      </x:c>
      <x:c r="BW187" s="11" t="n">
        <x:v>2106338</x:v>
      </x:c>
      <x:c r="BX187" s="11" t="n">
        <x:v>6189857</x:v>
      </x:c>
      <x:c r="BY187" s="11" t="n">
        <x:v>0</x:v>
      </x:c>
      <x:c r="BZ187" s="11" t="n">
        <x:v>0</x:v>
      </x:c>
      <x:c r="CA187" s="11" t="n">
        <x:v>275846</x:v>
      </x:c>
      <x:c r="CB187" s="11" t="n">
        <x:v>0</x:v>
      </x:c>
      <x:c r="CC187" s="11" t="n">
        <x:v>5216573</x:v>
      </x:c>
      <x:c r="CD187" s="11" t="n">
        <x:v>11118118</x:v>
      </x:c>
      <x:c r="CE187" s="11" t="n">
        <x:v>943367</x:v>
      </x:c>
      <x:c r="CF187" s="11" t="n">
        <x:v>159756</x:v>
      </x:c>
      <x:c r="CG187" s="11" t="n">
        <x:v>1144946</x:v>
      </x:c>
      <x:c r="CH187" s="11" t="n">
        <x:v>5468136</x:v>
      </x:c>
      <x:c r="CI187" s="11" t="n">
        <x:v>11429731</x:v>
      </x:c>
      <x:c r="CJ187" s="11" t="n">
        <x:v>3753620</x:v>
      </x:c>
      <x:c r="CK187" s="11" t="n">
        <x:v>1772159</x:v>
      </x:c>
      <x:c r="CL187" s="11" t="n">
        <x:v>1429349</x:v>
      </x:c>
      <x:c r="CM187" s="11" t="n">
        <x:v>28385</x:v>
      </x:c>
      <x:c r="CN187" s="11" t="n">
        <x:v>0</x:v>
      </x:c>
      <x:c r="CO187" s="11" t="n">
        <x:v>0</x:v>
      </x:c>
      <x:c r="CP187" s="8"/>
      <x:c r="CQ187" s="8"/>
    </x:row>
    <x:row r="188">
      <x:c r="A188" s="8" t="str">
        <x:v>Delta|2019</x:v>
      </x:c>
      <x:c r="B188" s="8" t="str">
        <x:v>delta-c</x:v>
      </x:c>
      <x:c r="C188" s="8" t="str">
        <x:v>Delta</x:v>
      </x:c>
      <x:c r="D188" s="8" t="str">
        <x:v>Delta</x:v>
      </x:c>
      <x:c r="E188" s="8" t="str">
        <x:v>C</x:v>
      </x:c>
      <x:c r="F188" s="8" t="str">
        <x:v>GVR</x:v>
      </x:c>
      <x:c r="G188" s="9" t="n">
        <x:v>2019</x:v>
      </x:c>
      <x:c r="H188" s="10" t="n">
        <x:v>109490</x:v>
      </x:c>
      <x:c r="I188" s="8" t="str">
        <x:v>100,000 and over</x:v>
      </x:c>
      <x:c r="J188" s="11" t="n">
        <x:v>278335886</x:v>
      </x:c>
      <x:c r="K188" s="11" t="n">
        <x:v>236939901</x:v>
      </x:c>
      <x:c r="L188" s="11" t="n">
        <x:v>41395985</x:v>
      </x:c>
      <x:c r="M188" s="12" t="n">
        <x:v>0.14872672580926197</x:v>
      </x:c>
      <x:c r="N188" s="11" t="n">
        <x:v>155371420</x:v>
      </x:c>
      <x:c r="O188" s="11" t="n">
        <x:v>80939372</x:v>
      </x:c>
      <x:c r="P188" s="11" t="n">
        <x:v>3552122</x:v>
      </x:c>
      <x:c r="Q188" s="11" t="n">
        <x:v>38472972</x:v>
      </x:c>
      <x:c r="R188" s="11" t="n">
        <x:v>210462249</x:v>
      </x:c>
      <x:c r="S188" s="11" t="n">
        <x:v>26334152</x:v>
      </x:c>
      <x:c r="T188" s="11" t="n">
        <x:v>260286020</x:v>
      </x:c>
      <x:c r="U188" s="11" t="n">
        <x:v>131055513</x:v>
      </x:c>
      <x:c r="V188" s="11" t="n">
        <x:v>152617741</x:v>
      </x:c>
      <x:c r="W188" s="11" t="n">
        <x:v>19283960</x:v>
      </x:c>
      <x:c r="X188" s="11" t="n">
        <x:v>2062533</x:v>
      </x:c>
      <x:c r="Y188" s="11" t="n">
        <x:v>0</x:v>
      </x:c>
      <x:c r="Z188" s="11" t="n">
        <x:v>247989</x:v>
      </x:c>
      <x:c r="AA188" s="11" t="n">
        <x:v>1507671</x:v>
      </x:c>
      <x:c r="AB188" s="11" t="n">
        <x:v>143500</x:v>
      </x:c>
      <x:c r="AC188" s="11" t="n">
        <x:v>391489</x:v>
      </x:c>
      <x:c r="AD188" s="11" t="n">
        <x:v>62473852</x:v>
      </x:c>
      <x:c r="AE188" s="11" t="n">
        <x:v>62082363</x:v>
      </x:c>
      <x:c r="AF188" s="11" t="n">
        <x:v>249895408</x:v>
      </x:c>
      <x:c r="AG188" s="11" t="n">
        <x:v>1389146476</x:v>
      </x:c>
      <x:c r="AH188" s="11" t="n">
        <x:v>457758204</x:v>
      </x:c>
      <x:c r="AI188" s="11" t="n">
        <x:v>931388272</x:v>
      </x:c>
      <x:c r="AJ188" s="11" t="n">
        <x:v>67324155</x:v>
      </x:c>
      <x:c r="AK188" s="11" t="n">
        <x:v>2717240189</x:v>
      </x:c>
      <x:c r="AL188" s="11" t="n">
        <x:v>34769643</x:v>
      </x:c>
      <x:c r="AM188" s="12" t="n">
        <x:v>0.9872040597880323</x:v>
      </x:c>
      <x:c r="AN188" s="12" t="n">
        <x:v>0.02477666688154523</x:v>
      </x:c>
      <x:c r="AO188" s="11" t="n">
        <x:v>248707051</x:v>
      </x:c>
      <x:c r="AP188" s="11" t="n">
        <x:v>244101668</x:v>
      </x:c>
      <x:c r="AQ188" s="12" t="n">
        <x:v>0.9814827003034988</x:v>
      </x:c>
      <x:c r="AR188" s="11" t="n">
        <x:v>2542.11239382592</x:v>
      </x:c>
      <x:c r="AS188" s="11" t="n">
        <x:v>2164.0323408530458</x:v>
      </x:c>
      <x:c r="AT188" s="11" t="n">
        <x:v>1393.896620695954</x:v>
      </x:c>
      <x:c r="AU188" s="11" t="n">
        <x:v>176.12530824732852</x:v>
      </x:c>
      <x:c r="AV188" s="11" t="n">
        <x:v>13.769942460498676</x:v>
      </x:c>
      <x:c r="AW188" s="11" t="n">
        <x:v>1.9860745575808016</x:v>
      </x:c>
      <x:c r="AX188" s="12" t="n">
        <x:v>0.9937335543196536</x:v>
      </x:c>
      <x:c r="AY188" s="11"/>
      <x:c r="AZ188" s="11"/>
      <x:c r="BA188" s="11"/>
      <x:c r="BB188" s="11"/>
      <x:c r="BC188" s="11"/>
      <x:c r="BD188" s="11"/>
      <x:c r="BE188" s="11"/>
      <x:c r="BF188" s="11"/>
      <x:c r="BG188" s="11"/>
      <x:c r="BH188" s="11"/>
      <x:c r="BI188" s="11"/>
      <x:c r="BJ188" s="11"/>
      <x:c r="BK188" s="12"/>
      <x:c r="BL188" s="12"/>
      <x:c r="BM188" s="12"/>
      <x:c r="BN188" s="12"/>
      <x:c r="BO188" s="12"/>
      <x:c r="BP188" s="12"/>
      <x:c r="BQ188" s="12"/>
      <x:c r="BR188" s="12"/>
      <x:c r="BS188" s="12"/>
      <x:c r="BT188" s="12"/>
      <x:c r="BU188" s="11" t="n">
        <x:v>167302</x:v>
      </x:c>
      <x:c r="BV188" s="11" t="n">
        <x:v>2206147</x:v>
      </x:c>
      <x:c r="BW188" s="11" t="n">
        <x:v>1178673</x:v>
      </x:c>
      <x:c r="BX188" s="11" t="n">
        <x:v>5673213</x:v>
      </x:c>
      <x:c r="BY188" s="11" t="n">
        <x:v>0</x:v>
      </x:c>
      <x:c r="BZ188" s="11" t="n">
        <x:v>26343209</x:v>
      </x:c>
      <x:c r="CA188" s="11" t="n">
        <x:v>0</x:v>
      </x:c>
      <x:c r="CB188" s="11" t="n">
        <x:v>6456550</x:v>
      </x:c>
      <x:c r="CC188" s="11" t="n">
        <x:v>25839666</x:v>
      </x:c>
      <x:c r="CD188" s="11" t="n">
        <x:v>76009951</x:v>
      </x:c>
      <x:c r="CE188" s="11" t="n">
        <x:v>5931836</x:v>
      </x:c>
      <x:c r="CF188" s="11" t="n">
        <x:v>859417</x:v>
      </x:c>
      <x:c r="CG188" s="11" t="n">
        <x:v>5508875</x:v>
      </x:c>
      <x:c r="CH188" s="11" t="n">
        <x:v>24283354</x:v>
      </x:c>
      <x:c r="CI188" s="11" t="n">
        <x:v>35184471</x:v>
      </x:c>
      <x:c r="CJ188" s="11" t="n">
        <x:v>22719741</x:v>
      </x:c>
      <x:c r="CK188" s="11" t="n">
        <x:v>12136246</x:v>
      </x:c>
      <x:c r="CL188" s="11" t="n">
        <x:v>0</x:v>
      </x:c>
      <x:c r="CM188" s="11"/>
      <x:c r="CN188" s="11" t="n">
        <x:v>2132192</x:v>
      </x:c>
      <x:c r="CO188" s="11" t="n">
        <x:v>0</x:v>
      </x:c>
      <x:c r="CP188" s="8"/>
      <x:c r="CQ188" s="8"/>
    </x:row>
    <x:row r="189">
      <x:c r="A189" s="8" t="str">
        <x:v>Delta|2020</x:v>
      </x:c>
      <x:c r="B189" s="8" t="str">
        <x:v>delta-c</x:v>
      </x:c>
      <x:c r="C189" s="8" t="str">
        <x:v>Delta</x:v>
      </x:c>
      <x:c r="D189" s="8" t="str">
        <x:v>Delta</x:v>
      </x:c>
      <x:c r="E189" s="8" t="str">
        <x:v>C</x:v>
      </x:c>
      <x:c r="F189" s="8" t="str">
        <x:v>GVR</x:v>
      </x:c>
      <x:c r="G189" s="9" t="n">
        <x:v>2020</x:v>
      </x:c>
      <x:c r="H189" s="10" t="n">
        <x:v>111281</x:v>
      </x:c>
      <x:c r="I189" s="8" t="str">
        <x:v>100,000 and over</x:v>
      </x:c>
      <x:c r="J189" s="11" t="n">
        <x:v>282231278</x:v>
      </x:c>
      <x:c r="K189" s="11" t="n">
        <x:v>241627618</x:v>
      </x:c>
      <x:c r="L189" s="11" t="n">
        <x:v>40603660</x:v>
      </x:c>
      <x:c r="M189" s="12" t="n">
        <x:v>0.14386661991446603</x:v>
      </x:c>
      <x:c r="N189" s="11" t="n">
        <x:v>161018694</x:v>
      </x:c>
      <x:c r="O189" s="11" t="n">
        <x:v>80221193</x:v>
      </x:c>
      <x:c r="P189" s="11" t="n">
        <x:v>14198896</x:v>
      </x:c>
      <x:c r="Q189" s="11" t="n">
        <x:v>26792495</x:v>
      </x:c>
      <x:c r="R189" s="11" t="n">
        <x:v>213789737</x:v>
      </x:c>
      <x:c r="S189" s="11" t="n">
        <x:v>27694381</x:v>
      </x:c>
      <x:c r="T189" s="11" t="n">
        <x:v>299799681</x:v>
      </x:c>
      <x:c r="U189" s="11" t="n">
        <x:v>167770120</x:v>
      </x:c>
      <x:c r="V189" s="11" t="n">
        <x:v>163289192</x:v>
      </x:c>
      <x:c r="W189" s="11" t="n">
        <x:v>21624898</x:v>
      </x:c>
      <x:c r="X189" s="11" t="n">
        <x:v>1507671</x:v>
      </x:c>
      <x:c r="Y189" s="11" t="n">
        <x:v>0</x:v>
      </x:c>
      <x:c r="Z189" s="11" t="n">
        <x:v>582606</x:v>
      </x:c>
      <x:c r="AA189" s="11" t="n">
        <x:v>925065</x:v>
      </x:c>
      <x:c r="AB189" s="11" t="n">
        <x:v>143500</x:v>
      </x:c>
      <x:c r="AC189" s="11" t="n">
        <x:v>726106</x:v>
      </x:c>
      <x:c r="AD189" s="11" t="n">
        <x:v>63346566</x:v>
      </x:c>
      <x:c r="AE189" s="11" t="n">
        <x:v>62620460</x:v>
      </x:c>
      <x:c r="AF189" s="11" t="n">
        <x:v>253386263</x:v>
      </x:c>
      <x:c r="AG189" s="11" t="n">
        <x:v>1441624193</x:v>
      </x:c>
      <x:c r="AH189" s="11" t="n">
        <x:v>480475332</x:v>
      </x:c>
      <x:c r="AI189" s="11" t="n">
        <x:v>961148861</x:v>
      </x:c>
      <x:c r="AJ189" s="11" t="n">
        <x:v>61138414</x:v>
      </x:c>
      <x:c r="AK189" s="11" t="n">
        <x:v>2779093599</x:v>
      </x:c>
      <x:c r="AL189" s="11" t="n">
        <x:v>54493693</x:v>
      </x:c>
      <x:c r="AM189" s="12" t="n">
        <x:v>0.9803915589530311</x:v>
      </x:c>
      <x:c r="AN189" s="12" t="n">
        <x:v>0.02199940801634008</x:v>
      </x:c>
      <x:c r="AO189" s="11" t="n">
        <x:v>236768314</x:v>
      </x:c>
      <x:c r="AP189" s="11" t="n">
        <x:v>231852935</x:v>
      </x:c>
      <x:c r="AQ189" s="12" t="n">
        <x:v>0.9792397094148333</x:v>
      </x:c>
      <x:c r="AR189" s="11" t="n">
        <x:v>2536.203646624311</x:v>
      </x:c>
      <x:c r="AS189" s="11" t="n">
        <x:v>2171.3286005697287</x:v>
      </x:c>
      <x:c r="AT189" s="11" t="n">
        <x:v>1467.3591358812375</x:v>
      </x:c>
      <x:c r="AU189" s="11" t="n">
        <x:v>194.32695608414733</x:v>
      </x:c>
      <x:c r="AV189" s="11" t="n">
        <x:v>8.312874614714103</x:v>
      </x:c>
      <x:c r="AW189" s="11" t="n">
        <x:v>1.786967077331768</x:v>
      </x:c>
      <x:c r="AX189" s="12" t="n">
        <x:v>0.9885375633463699</x:v>
      </x:c>
      <x:c r="AY189" s="11"/>
      <x:c r="AZ189" s="11"/>
      <x:c r="BA189" s="11"/>
      <x:c r="BB189" s="11"/>
      <x:c r="BC189" s="11"/>
      <x:c r="BD189" s="11"/>
      <x:c r="BE189" s="11"/>
      <x:c r="BF189" s="11"/>
      <x:c r="BG189" s="11"/>
      <x:c r="BH189" s="11"/>
      <x:c r="BI189" s="11"/>
      <x:c r="BJ189" s="11"/>
      <x:c r="BK189" s="12"/>
      <x:c r="BL189" s="12"/>
      <x:c r="BM189" s="12"/>
      <x:c r="BN189" s="12"/>
      <x:c r="BO189" s="12"/>
      <x:c r="BP189" s="12"/>
      <x:c r="BQ189" s="12"/>
      <x:c r="BR189" s="12"/>
      <x:c r="BS189" s="12"/>
      <x:c r="BT189" s="12"/>
      <x:c r="BU189" s="11" t="n">
        <x:v>119287</x:v>
      </x:c>
      <x:c r="BV189" s="11" t="n">
        <x:v>13366527</x:v>
      </x:c>
      <x:c r="BW189" s="11" t="n">
        <x:v>713082</x:v>
      </x:c>
      <x:c r="BX189" s="11" t="n">
        <x:v>3761497</x:v>
      </x:c>
      <x:c r="BY189" s="11" t="n">
        <x:v>0</x:v>
      </x:c>
      <x:c r="BZ189" s="11" t="n">
        <x:v>16702434</x:v>
      </x:c>
      <x:c r="CA189" s="11" t="n">
        <x:v>0</x:v>
      </x:c>
      <x:c r="CB189" s="11" t="n">
        <x:v>6328564</x:v>
      </x:c>
      <x:c r="CC189" s="11" t="n">
        <x:v>23006734</x:v>
      </x:c>
      <x:c r="CD189" s="11" t="n">
        <x:v>82645612</x:v>
      </x:c>
      <x:c r="CE189" s="11" t="n">
        <x:v>6754408</x:v>
      </x:c>
      <x:c r="CF189" s="11" t="n">
        <x:v>814319</x:v>
      </x:c>
      <x:c r="CG189" s="11" t="n">
        <x:v>6109209</x:v>
      </x:c>
      <x:c r="CH189" s="11" t="n">
        <x:v>23802827</x:v>
      </x:c>
      <x:c r="CI189" s="11" t="n">
        <x:v>30658528</x:v>
      </x:c>
      <x:c r="CJ189" s="11" t="n">
        <x:v>23307487</x:v>
      </x:c>
      <x:c r="CK189" s="11" t="n">
        <x:v>13180425</x:v>
      </x:c>
      <x:c r="CL189" s="11" t="n">
        <x:v>0</x:v>
      </x:c>
      <x:c r="CM189" s="11"/>
      <x:c r="CN189" s="11" t="n">
        <x:v>3653688</x:v>
      </x:c>
      <x:c r="CO189" s="11" t="n">
        <x:v>0</x:v>
      </x:c>
      <x:c r="CP189" s="8"/>
      <x:c r="CQ189" s="8"/>
    </x:row>
    <x:row r="190">
      <x:c r="A190" s="8" t="str">
        <x:v>Delta|2021</x:v>
      </x:c>
      <x:c r="B190" s="8" t="str">
        <x:v>delta-c</x:v>
      </x:c>
      <x:c r="C190" s="8" t="str">
        <x:v>Delta</x:v>
      </x:c>
      <x:c r="D190" s="8" t="str">
        <x:v>Delta</x:v>
      </x:c>
      <x:c r="E190" s="8" t="str">
        <x:v>C</x:v>
      </x:c>
      <x:c r="F190" s="8" t="str">
        <x:v>MVRD</x:v>
      </x:c>
      <x:c r="G190" s="9" t="n">
        <x:v>2021</x:v>
      </x:c>
      <x:c r="H190" s="10" t="n">
        <x:v>113695</x:v>
      </x:c>
      <x:c r="I190" s="8" t="str">
        <x:v>100,000 and over</x:v>
      </x:c>
      <x:c r="J190" s="11" t="n">
        <x:v>283264305</x:v>
      </x:c>
      <x:c r="K190" s="11" t="n">
        <x:v>252168957</x:v>
      </x:c>
      <x:c r="L190" s="11" t="n">
        <x:v>31095348</x:v>
      </x:c>
      <x:c r="M190" s="12" t="n">
        <x:v>0.10977503148517072</x:v>
      </x:c>
      <x:c r="N190" s="11" t="n">
        <x:v>167952505</x:v>
      </x:c>
      <x:c r="O190" s="11" t="n">
        <x:v>86438338</x:v>
      </x:c>
      <x:c r="P190" s="11" t="n">
        <x:v>6736336</x:v>
      </x:c>
      <x:c r="Q190" s="11" t="n">
        <x:v>22137126</x:v>
      </x:c>
      <x:c r="R190" s="11" t="n">
        <x:v>223889623</x:v>
      </x:c>
      <x:c r="S190" s="11" t="n">
        <x:v>28167988</x:v>
      </x:c>
      <x:c r="T190" s="11" t="n">
        <x:v>312799632</x:v>
      </x:c>
      <x:c r="U190" s="11" t="n">
        <x:v>148493766</x:v>
      </x:c>
      <x:c r="V190" s="11" t="n">
        <x:v>187056648</x:v>
      </x:c>
      <x:c r="W190" s="11" t="n">
        <x:v>27705080</x:v>
      </x:c>
      <x:c r="X190" s="11" t="n">
        <x:v>925065</x:v>
      </x:c>
      <x:c r="Y190" s="11" t="n">
        <x:v>0</x:v>
      </x:c>
      <x:c r="Z190" s="11" t="n">
        <x:v>247990</x:v>
      </x:c>
      <x:c r="AA190" s="11" t="n">
        <x:v>313328</x:v>
      </x:c>
      <x:c r="AB190" s="11" t="n">
        <x:v>111346</x:v>
      </x:c>
      <x:c r="AC190" s="11" t="n">
        <x:v>359336</x:v>
      </x:c>
      <x:c r="AD190" s="11" t="n">
        <x:v>66433153</x:v>
      </x:c>
      <x:c r="AE190" s="11" t="n">
        <x:v>66073817</x:v>
      </x:c>
      <x:c r="AF190" s="11" t="n">
        <x:v>265732610</x:v>
      </x:c>
      <x:c r="AG190" s="11" t="n">
        <x:v>1487077790</x:v>
      </x:c>
      <x:c r="AH190" s="11" t="n">
        <x:v>518738814</x:v>
      </x:c>
      <x:c r="AI190" s="11" t="n">
        <x:v>968338976</x:v>
      </x:c>
      <x:c r="AJ190" s="11" t="n">
        <x:v>36395960</x:v>
      </x:c>
      <x:c r="AK190" s="11" t="n">
        <x:v>2958747559</x:v>
      </x:c>
      <x:c r="AL190" s="11" t="n">
        <x:v>42361329</x:v>
      </x:c>
      <x:c r="AM190" s="12" t="n">
        <x:v>0.9856826822311542</x:v>
      </x:c>
      <x:c r="AN190" s="12" t="n">
        <x:v>0.012301137313756209</x:v>
      </x:c>
      <x:c r="AO190" s="11" t="n">
        <x:v>276144566</x:v>
      </x:c>
      <x:c r="AP190" s="11" t="n">
        <x:v>272343151</x:v>
      </x:c>
      <x:c r="AQ190" s="12" t="n">
        <x:v>0.9862339677544116</x:v>
      </x:c>
      <x:c r="AR190" s="11" t="n">
        <x:v>2491.440300804785</x:v>
      </x:c>
      <x:c r="AS190" s="11" t="n">
        <x:v>2217.9423633405163</x:v>
      </x:c>
      <x:c r="AT190" s="11" t="n">
        <x:v>1645.2495536303268</x:v>
      </x:c>
      <x:c r="AU190" s="11" t="n">
        <x:v>243.67896565372268</x:v>
      </x:c>
      <x:c r="AV190" s="11" t="n">
        <x:v>2.755864373983025</x:v>
      </x:c>
      <x:c r="AW190" s="11" t="n">
        <x:v>2.106483258024448</x:v>
      </x:c>
      <x:c r="AX190" s="12" t="n">
        <x:v>0.9945910139174036</x:v>
      </x:c>
      <x:c r="AY190" s="11"/>
      <x:c r="AZ190" s="11"/>
      <x:c r="BA190" s="11"/>
      <x:c r="BB190" s="11"/>
      <x:c r="BC190" s="11"/>
      <x:c r="BD190" s="11"/>
      <x:c r="BE190" s="11"/>
      <x:c r="BF190" s="11"/>
      <x:c r="BG190" s="11"/>
      <x:c r="BH190" s="11"/>
      <x:c r="BI190" s="11"/>
      <x:c r="BJ190" s="11"/>
      <x:c r="BK190" s="12"/>
      <x:c r="BL190" s="12"/>
      <x:c r="BM190" s="12"/>
      <x:c r="BN190" s="12"/>
      <x:c r="BO190" s="12"/>
      <x:c r="BP190" s="12"/>
      <x:c r="BQ190" s="12"/>
      <x:c r="BR190" s="12"/>
      <x:c r="BS190" s="12"/>
      <x:c r="BT190" s="12"/>
      <x:c r="BU190" s="11" t="n">
        <x:v>779452</x:v>
      </x:c>
      <x:c r="BV190" s="11" t="n">
        <x:v>5659079</x:v>
      </x:c>
      <x:c r="BW190" s="11" t="n">
        <x:v>297805</x:v>
      </x:c>
      <x:c r="BX190" s="11" t="n">
        <x:v>2954835</x:v>
      </x:c>
      <x:c r="BY190" s="11" t="n">
        <x:v>0</x:v>
      </x:c>
      <x:c r="BZ190" s="11" t="n">
        <x:v>12391734</x:v>
      </x:c>
      <x:c r="CA190" s="11" t="n">
        <x:v>82048</x:v>
      </x:c>
      <x:c r="CB190" s="11" t="n">
        <x:v>6708509</x:v>
      </x:c>
      <x:c r="CC190" s="11" t="n">
        <x:v>25186234</x:v>
      </x:c>
      <x:c r="CD190" s="11" t="n">
        <x:v>85553155</x:v>
      </x:c>
      <x:c r="CE190" s="11" t="n">
        <x:v>6799872</x:v>
      </x:c>
      <x:c r="CF190" s="11" t="n">
        <x:v>901080</x:v>
      </x:c>
      <x:c r="CG190" s="11" t="n">
        <x:v>6619035</x:v>
      </x:c>
      <x:c r="CH190" s="11" t="n">
        <x:v>25450508</x:v>
      </x:c>
      <x:c r="CI190" s="11" t="n">
        <x:v>32874371</x:v>
      </x:c>
      <x:c r="CJ190" s="11" t="n">
        <x:v>26083050</x:v>
      </x:c>
      <x:c r="CK190" s="11" t="n">
        <x:v>13663265</x:v>
      </x:c>
      <x:c r="CL190" s="11" t="n">
        <x:v>0</x:v>
      </x:c>
      <x:c r="CM190" s="11"/>
      <x:c r="CN190" s="11" t="n">
        <x:v>870399</x:v>
      </x:c>
      <x:c r="CO190" s="11" t="n">
        <x:v>0</x:v>
      </x:c>
      <x:c r="CP190" s="8"/>
      <x:c r="CQ190" s="8"/>
    </x:row>
    <x:row r="191">
      <x:c r="A191" s="8" t="str">
        <x:v>Delta|2022</x:v>
      </x:c>
      <x:c r="B191" s="8" t="str">
        <x:v>delta-c</x:v>
      </x:c>
      <x:c r="C191" s="8" t="str">
        <x:v>Delta</x:v>
      </x:c>
      <x:c r="D191" s="8" t="str">
        <x:v>Delta</x:v>
      </x:c>
      <x:c r="E191" s="8" t="str">
        <x:v>C</x:v>
      </x:c>
      <x:c r="F191" s="8" t="str">
        <x:v>MVRD</x:v>
      </x:c>
      <x:c r="G191" s="9" t="n">
        <x:v>2022</x:v>
      </x:c>
      <x:c r="H191" s="10" t="n">
        <x:v>5363</x:v>
      </x:c>
      <x:c r="I191" s="8" t="str">
        <x:v>5,000 to 19,999</x:v>
      </x:c>
      <x:c r="J191" s="11" t="n">
        <x:v>296304079</x:v>
      </x:c>
      <x:c r="K191" s="11" t="n">
        <x:v>268759700</x:v>
      </x:c>
      <x:c r="L191" s="11" t="n">
        <x:v>27544379</x:v>
      </x:c>
      <x:c r="M191" s="12" t="n">
        <x:v>0.09295983738381138</x:v>
      </x:c>
      <x:c r="N191" s="11" t="n">
        <x:v>172755957</x:v>
      </x:c>
      <x:c r="O191" s="11" t="n">
        <x:v>93222134</x:v>
      </x:c>
      <x:c r="P191" s="11" t="n">
        <x:v>7606330</x:v>
      </x:c>
      <x:c r="Q191" s="11" t="n">
        <x:v>22719658</x:v>
      </x:c>
      <x:c r="R191" s="11" t="n">
        <x:v>239666278</x:v>
      </x:c>
      <x:c r="S191" s="11" t="n">
        <x:v>29080097</x:v>
      </x:c>
      <x:c r="T191" s="11" t="n">
        <x:v>312915100</x:v>
      </x:c>
      <x:c r="U191" s="11" t="n">
        <x:v>153191902</x:v>
      </x:c>
      <x:c r="V191" s="11" t="n">
        <x:v>190474668</x:v>
      </x:c>
      <x:c r="W191" s="11" t="n">
        <x:v>27313409</x:v>
      </x:c>
      <x:c r="X191" s="11" t="n">
        <x:v>313328</x:v>
      </x:c>
      <x:c r="Y191" s="11" t="n">
        <x:v>0</x:v>
      </x:c>
      <x:c r="Z191" s="11" t="n">
        <x:v>123995</x:v>
      </x:c>
      <x:c r="AA191" s="11" t="n">
        <x:v>0</x:v>
      </x:c>
      <x:c r="AB191" s="11" t="n">
        <x:v>13325</x:v>
      </x:c>
      <x:c r="AC191" s="11" t="n">
        <x:v>137320</x:v>
      </x:c>
      <x:c r="AD191" s="11" t="n">
        <x:v>70441734</x:v>
      </x:c>
      <x:c r="AE191" s="11" t="n">
        <x:v>70304414</x:v>
      </x:c>
      <x:c r="AF191" s="11" t="n">
        <x:v>281766934</x:v>
      </x:c>
      <x:c r="AG191" s="11" t="n">
        <x:v>1518308873</x:v>
      </x:c>
      <x:c r="AH191" s="11" t="n">
        <x:v>526073112</x:v>
      </x:c>
      <x:c r="AI191" s="11" t="n">
        <x:v>992235761</x:v>
      </x:c>
      <x:c r="AJ191" s="11" t="n">
        <x:v>54436646</x:v>
      </x:c>
      <x:c r="AK191" s="11" t="n">
        <x:v>3212394544</x:v>
      </x:c>
      <x:c r="AL191" s="11" t="n">
        <x:v>53808174</x:v>
      </x:c>
      <x:c r="AM191" s="12" t="n">
        <x:v>0.9832498239979578</x:v>
      </x:c>
      <x:c r="AN191" s="12" t="n">
        <x:v>0.016945815731655656</x:v>
      </x:c>
      <x:c r="AO191" s="11" t="n">
        <x:v>293786678</x:v>
      </x:c>
      <x:c r="AP191" s="11" t="n">
        <x:v>289443334</x:v>
      </x:c>
      <x:c r="AQ191" s="12" t="n">
        <x:v>0.9852159940349644</x:v>
      </x:c>
      <x:c r="AR191" s="11" t="n">
        <x:v>55249.68842066008</x:v>
      </x:c>
      <x:c r="AS191" s="11" t="n">
        <x:v>50113.686369569274</x:v>
      </x:c>
      <x:c r="AT191" s="11" t="n">
        <x:v>35516.44005220958</x:v>
      </x:c>
      <x:c r="AU191" s="11" t="n">
        <x:v>5092.934738019765</x:v>
      </x:c>
      <x:c r="AV191" s="11" t="n">
        <x:v>0</x:v>
      </x:c>
      <x:c r="AW191" s="11" t="n">
        <x:v>2.0426347340474957</x:v>
      </x:c>
      <x:c r="AX191" s="12" t="n">
        <x:v>0.9980505874543065</x:v>
      </x:c>
      <x:c r="AY191" s="11"/>
      <x:c r="AZ191" s="11"/>
      <x:c r="BA191" s="11"/>
      <x:c r="BB191" s="11"/>
      <x:c r="BC191" s="11"/>
      <x:c r="BD191" s="11"/>
      <x:c r="BE191" s="11"/>
      <x:c r="BF191" s="11"/>
      <x:c r="BG191" s="11"/>
      <x:c r="BH191" s="11"/>
      <x:c r="BI191" s="11"/>
      <x:c r="BJ191" s="11"/>
      <x:c r="BK191" s="12"/>
      <x:c r="BL191" s="12"/>
      <x:c r="BM191" s="12"/>
      <x:c r="BN191" s="12"/>
      <x:c r="BO191" s="12"/>
      <x:c r="BP191" s="12"/>
      <x:c r="BQ191" s="12"/>
      <x:c r="BR191" s="12"/>
      <x:c r="BS191" s="12"/>
      <x:c r="BT191" s="12"/>
      <x:c r="BU191" s="11" t="n">
        <x:v>975251</x:v>
      </x:c>
      <x:c r="BV191" s="11" t="n">
        <x:v>4244675</x:v>
      </x:c>
      <x:c r="BW191" s="11" t="n">
        <x:v>2386404</x:v>
      </x:c>
      <x:c r="BX191" s="11" t="n">
        <x:v>6818981</x:v>
      </x:c>
      <x:c r="BY191" s="11" t="n">
        <x:v>0</x:v>
      </x:c>
      <x:c r="BZ191" s="11" t="n">
        <x:v>8266313</x:v>
      </x:c>
      <x:c r="CA191" s="11" t="n">
        <x:v>79823</x:v>
      </x:c>
      <x:c r="CB191" s="11" t="n">
        <x:v>7554541</x:v>
      </x:c>
      <x:c r="CC191" s="11" t="n">
        <x:v>28263087</x:v>
      </x:c>
      <x:c r="CD191" s="11" t="n">
        <x:v>89331990</x:v>
      </x:c>
      <x:c r="CE191" s="11" t="n">
        <x:v>7594231</x:v>
      </x:c>
      <x:c r="CF191" s="11" t="n">
        <x:v>974737</x:v>
      </x:c>
      <x:c r="CG191" s="11" t="n">
        <x:v>6884216</x:v>
      </x:c>
      <x:c r="CH191" s="11" t="n">
        <x:v>27961015</x:v>
      </x:c>
      <x:c r="CI191" s="11" t="n">
        <x:v>38254119</x:v>
      </x:c>
      <x:c r="CJ191" s="11" t="n">
        <x:v>24661753</x:v>
      </x:c>
      <x:c r="CK191" s="11" t="n">
        <x:v>14492678</x:v>
      </x:c>
      <x:c r="CL191" s="11" t="n">
        <x:v>0</x:v>
      </x:c>
      <x:c r="CM191" s="11"/>
      <x:c r="CN191" s="11" t="n">
        <x:v>1261777</x:v>
      </x:c>
      <x:c r="CO191" s="11" t="n">
        <x:v>0</x:v>
      </x:c>
      <x:c r="CP191" s="8"/>
      <x:c r="CQ191" s="8"/>
    </x:row>
    <x:row r="192">
      <x:c r="A192" s="8" t="str">
        <x:v>Delta|2023</x:v>
      </x:c>
      <x:c r="B192" s="8" t="str">
        <x:v>delta-c</x:v>
      </x:c>
      <x:c r="C192" s="8" t="str">
        <x:v>Delta</x:v>
      </x:c>
      <x:c r="D192" s="8" t="str">
        <x:v>Delta</x:v>
      </x:c>
      <x:c r="E192" s="8" t="str">
        <x:v>C</x:v>
      </x:c>
      <x:c r="F192" s="8" t="str">
        <x:v>MVRD</x:v>
      </x:c>
      <x:c r="G192" s="9" t="n">
        <x:v>2023</x:v>
      </x:c>
      <x:c r="H192" s="10" t="n">
        <x:v>116610</x:v>
      </x:c>
      <x:c r="I192" s="8" t="str">
        <x:v>100,000 and over</x:v>
      </x:c>
      <x:c r="J192" s="11" t="n">
        <x:v>339323378</x:v>
      </x:c>
      <x:c r="K192" s="11" t="n">
        <x:v>290561628</x:v>
      </x:c>
      <x:c r="L192" s="11" t="n">
        <x:v>48761750</x:v>
      </x:c>
      <x:c r="M192" s="12" t="n">
        <x:v>0.14370288981385773</x:v>
      </x:c>
      <x:c r="N192" s="11" t="n">
        <x:v>184201193</x:v>
      </x:c>
      <x:c r="O192" s="11" t="n">
        <x:v>95440342</x:v>
      </x:c>
      <x:c r="P192" s="11" t="n">
        <x:v>20939755</x:v>
      </x:c>
      <x:c r="Q192" s="11" t="n">
        <x:v>38742088</x:v>
      </x:c>
      <x:c r="R192" s="11" t="n">
        <x:v>260242340</x:v>
      </x:c>
      <x:c r="S192" s="11" t="n">
        <x:v>30319288</x:v>
      </x:c>
      <x:c r="T192" s="11" t="n">
        <x:v>348936601</x:v>
      </x:c>
      <x:c r="U192" s="11" t="n">
        <x:v>164662997</x:v>
      </x:c>
      <x:c r="V192" s="11" t="n">
        <x:v>214908974</x:v>
      </x:c>
      <x:c r="W192" s="11" t="n">
        <x:v>45192204</x:v>
      </x:c>
      <x:c r="X192" s="11" t="n">
        <x:v>0</x:v>
      </x:c>
      <x:c r="Y192" s="11" t="n">
        <x:v>0</x:v>
      </x:c>
      <x:c r="Z192" s="11" t="n">
        <x:v>0</x:v>
      </x:c>
      <x:c r="AA192" s="11" t="n">
        <x:v>0</x:v>
      </x:c>
      <x:c r="AB192" s="11" t="n">
        <x:v>0</x:v>
      </x:c>
      <x:c r="AC192" s="11" t="n">
        <x:v>0</x:v>
      </x:c>
      <x:c r="AD192" s="11" t="n">
        <x:v>77308693</x:v>
      </x:c>
      <x:c r="AE192" s="11" t="n">
        <x:v>77308693</x:v>
      </x:c>
      <x:c r="AF192" s="11" t="n">
        <x:v>309234773</x:v>
      </x:c>
      <x:c r="AG192" s="11" t="n">
        <x:v>1576045864</x:v>
      </x:c>
      <x:c r="AH192" s="11" t="n">
        <x:v>563238873</x:v>
      </x:c>
      <x:c r="AI192" s="11" t="n">
        <x:v>1012806991</x:v>
      </x:c>
      <x:c r="AJ192" s="11" t="n">
        <x:v>53007521</x:v>
      </x:c>
      <x:c r="AK192" s="11" t="n">
        <x:v>3421972200</x:v>
      </x:c>
      <x:c r="AL192" s="11" t="n">
        <x:v>56683512</x:v>
      </x:c>
      <x:c r="AM192" s="12" t="n">
        <x:v>0.9834354259219289</x:v>
      </x:c>
      <x:c r="AN192" s="12" t="n">
        <x:v>0.015490342382091824</x:v>
      </x:c>
      <x:c r="AO192" s="11" t="n">
        <x:v>324246793</x:v>
      </x:c>
      <x:c r="AP192" s="11" t="n">
        <x:v>319870151</x:v>
      </x:c>
      <x:c r="AQ192" s="12" t="n">
        <x:v>0.9865021271004522</x:v>
      </x:c>
      <x:c r="AR192" s="11" t="n">
        <x:v>2909.8994768887746</x:v>
      </x:c>
      <x:c r="AS192" s="11" t="n">
        <x:v>2491.738512992025</x:v>
      </x:c>
      <x:c r="AT192" s="11" t="n">
        <x:v>1842.9720778663923</x:v>
      </x:c>
      <x:c r="AU192" s="11" t="n">
        <x:v>387.5499871366092</x:v>
      </x:c>
      <x:c r="AV192" s="11" t="n">
        <x:v>0</x:v>
      </x:c>
      <x:c r="AW192" s="11" t="n">
        <x:v>2.1190954091525493</x:v>
      </x:c>
      <x:c r="AX192" s="12" t="n">
        <x:v>1</x:v>
      </x:c>
      <x:c r="AY192" s="11"/>
      <x:c r="AZ192" s="11"/>
      <x:c r="BA192" s="11"/>
      <x:c r="BB192" s="11"/>
      <x:c r="BC192" s="11"/>
      <x:c r="BD192" s="11"/>
      <x:c r="BE192" s="11"/>
      <x:c r="BF192" s="11"/>
      <x:c r="BG192" s="11"/>
      <x:c r="BH192" s="11"/>
      <x:c r="BI192" s="11"/>
      <x:c r="BJ192" s="11"/>
      <x:c r="BK192" s="12"/>
      <x:c r="BL192" s="12"/>
      <x:c r="BM192" s="12"/>
      <x:c r="BN192" s="12"/>
      <x:c r="BO192" s="12"/>
      <x:c r="BP192" s="12"/>
      <x:c r="BQ192" s="12"/>
      <x:c r="BR192" s="12"/>
      <x:c r="BS192" s="12"/>
      <x:c r="BT192" s="12"/>
      <x:c r="BU192" s="11" t="n">
        <x:v>724875</x:v>
      </x:c>
      <x:c r="BV192" s="11" t="n">
        <x:v>18998137</x:v>
      </x:c>
      <x:c r="BW192" s="11" t="n">
        <x:v>1216743</x:v>
      </x:c>
      <x:c r="BX192" s="11" t="n">
        <x:v>14692087</x:v>
      </x:c>
      <x:c r="BY192" s="11" t="n">
        <x:v>0</x:v>
      </x:c>
      <x:c r="BZ192" s="11" t="n">
        <x:v>10772850</x:v>
      </x:c>
      <x:c r="CA192" s="11" t="n">
        <x:v>0</x:v>
      </x:c>
      <x:c r="CB192" s="11" t="n">
        <x:v>13277151</x:v>
      </x:c>
      <x:c r="CC192" s="11" t="n">
        <x:v>30231665</x:v>
      </x:c>
      <x:c r="CD192" s="11" t="n">
        <x:v>97858775</x:v>
      </x:c>
      <x:c r="CE192" s="11" t="n">
        <x:v>8177592</x:v>
      </x:c>
      <x:c r="CF192" s="11" t="n">
        <x:v>876061</x:v>
      </x:c>
      <x:c r="CG192" s="11" t="n">
        <x:v>7600775</x:v>
      </x:c>
      <x:c r="CH192" s="11" t="n">
        <x:v>28797000</x:v>
      </x:c>
      <x:c r="CI192" s="11" t="n">
        <x:v>40693120</x:v>
      </x:c>
      <x:c r="CJ192" s="11" t="n">
        <x:v>27741284</x:v>
      </x:c>
      <x:c r="CK192" s="11" t="n">
        <x:v>17437828</x:v>
      </x:c>
      <x:c r="CL192" s="11" t="n">
        <x:v>0</x:v>
      </x:c>
      <x:c r="CM192" s="11" t="n">
        <x:v>0</x:v>
      </x:c>
      <x:c r="CN192" s="11" t="n">
        <x:v>828240</x:v>
      </x:c>
      <x:c r="CO192" s="11" t="n">
        <x:v>0</x:v>
      </x:c>
      <x:c r="CP192" s="8"/>
      <x:c r="CQ192" s="8"/>
    </x:row>
    <x:row r="193">
      <x:c r="A193" s="8" t="str">
        <x:v>Delta|2024</x:v>
      </x:c>
      <x:c r="B193" s="8" t="str">
        <x:v>delta-c</x:v>
      </x:c>
      <x:c r="C193" s="8" t="str">
        <x:v>Delta</x:v>
      </x:c>
      <x:c r="D193" s="8" t="str">
        <x:v>Delta</x:v>
      </x:c>
      <x:c r="E193" s="8" t="str">
        <x:v>C</x:v>
      </x:c>
      <x:c r="F193" s="8" t="str">
        <x:v>MVRD</x:v>
      </x:c>
      <x:c r="G193" s="9" t="n">
        <x:v>2024</x:v>
      </x:c>
      <x:c r="H193" s="10" t="n">
        <x:v>116610</x:v>
      </x:c>
      <x:c r="I193" s="8" t="str">
        <x:v>100,000 and over</x:v>
      </x:c>
      <x:c r="J193" s="11" t="n">
        <x:v>350225387</x:v>
      </x:c>
      <x:c r="K193" s="11" t="n">
        <x:v>313570295</x:v>
      </x:c>
      <x:c r="L193" s="11" t="n">
        <x:v>36655092</x:v>
      </x:c>
      <x:c r="M193" s="12" t="n">
        <x:v>0.10466143620822096</x:v>
      </x:c>
      <x:c r="N193" s="11" t="n">
        <x:v>200130956</x:v>
      </x:c>
      <x:c r="O193" s="11" t="n">
        <x:v>111652310</x:v>
      </x:c>
      <x:c r="P193" s="11" t="n">
        <x:v>7602183</x:v>
      </x:c>
      <x:c r="Q193" s="11" t="n">
        <x:v>30839938</x:v>
      </x:c>
      <x:c r="R193" s="11" t="n">
        <x:v>281497921</x:v>
      </x:c>
      <x:c r="S193" s="11" t="n">
        <x:v>32072374</x:v>
      </x:c>
      <x:c r="T193" s="11" t="n">
        <x:v>368105519</x:v>
      </x:c>
      <x:c r="U193" s="11" t="n">
        <x:v>184164763</x:v>
      </x:c>
      <x:c r="V193" s="11" t="n">
        <x:v>222571861</x:v>
      </x:c>
      <x:c r="W193" s="11" t="n">
        <x:v>41153083</x:v>
      </x:c>
      <x:c r="X193" s="11" t="n">
        <x:v>0</x:v>
      </x:c>
      <x:c r="Y193" s="11" t="n">
        <x:v>0</x:v>
      </x:c>
      <x:c r="Z193" s="11" t="n">
        <x:v>0</x:v>
      </x:c>
      <x:c r="AA193" s="11" t="n">
        <x:v>0</x:v>
      </x:c>
      <x:c r="AB193" s="11" t="n">
        <x:v>0</x:v>
      </x:c>
      <x:c r="AC193" s="11" t="n">
        <x:v>0</x:v>
      </x:c>
      <x:c r="AD193" s="11" t="n">
        <x:v>82783033</x:v>
      </x:c>
      <x:c r="AE193" s="11" t="n">
        <x:v>82783033</x:v>
      </x:c>
      <x:c r="AF193" s="11" t="n">
        <x:v>331132131</x:v>
      </x:c>
      <x:c r="AG193" s="11" t="n">
        <x:v>1617356579</x:v>
      </x:c>
      <x:c r="AH193" s="11" t="n">
        <x:v>576035461</x:v>
      </x:c>
      <x:c r="AI193" s="11" t="n">
        <x:v>1041321118</x:v>
      </x:c>
      <x:c r="AJ193" s="11" t="n">
        <x:v>62017301</x:v>
      </x:c>
      <x:c r="AK193" s="11" t="n">
        <x:v>3455037276</x:v>
      </x:c>
      <x:c r="AL193" s="11" t="n">
        <x:v>40046340</x:v>
      </x:c>
      <x:c r="AM193" s="12" t="n">
        <x:v>0.9884092885833166</x:v>
      </x:c>
      <x:c r="AN193" s="12" t="n">
        <x:v>0.0179498211005698</x:v>
      </x:c>
      <x:c r="AO193" s="11" t="n">
        <x:v>359948478</x:v>
      </x:c>
      <x:c r="AP193" s="11" t="n">
        <x:v>351000889</x:v>
      </x:c>
      <x:c r="AQ193" s="12" t="n">
        <x:v>0.975142028521093</x:v>
      </x:c>
      <x:c r="AR193" s="11" t="n">
        <x:v>3003.390678329474</x:v>
      </x:c>
      <x:c r="AS193" s="11" t="n">
        <x:v>2689.0514964411286</x:v>
      </x:c>
      <x:c r="AT193" s="11" t="n">
        <x:v>1908.6858845725067</x:v>
      </x:c>
      <x:c r="AU193" s="11" t="n">
        <x:v>352.91212588971786</x:v>
      </x:c>
      <x:c r="AV193" s="11" t="n">
        <x:v>0</x:v>
      </x:c>
      <x:c r="AW193" s="11" t="n">
        <x:v>1.9987836598253055</x:v>
      </x:c>
      <x:c r="AX193" s="12" t="n">
        <x:v>1</x:v>
      </x:c>
      <x:c r="AY193" s="11" t="n">
        <x:v>3003.390678329474</x:v>
      </x:c>
      <x:c r="AZ193" s="11" t="n">
        <x:v>3546.5079302077975</x:v>
      </x:c>
      <x:c r="BA193" s="11" t="n">
        <x:v>2379.369597210911</x:v>
      </x:c>
      <x:c r="BB193" s="11" t="n">
        <x:v>2783.665107049771</x:v>
      </x:c>
      <x:c r="BC193" s="11" t="n">
        <x:v>2052.765446183268</x:v>
      </x:c>
      <x:c r="BD193" s="11" t="n">
        <x:v>2437.8724475115623</x:v>
      </x:c>
      <x:c r="BE193" s="11" t="n">
        <x:v>1093.3312652075697</x:v>
      </x:c>
      <x:c r="BF193" s="11" t="n">
        <x:v>1604.3462673977224</x:v>
      </x:c>
      <x:c r="BG193" s="11" t="n">
        <x:v>312.26099706744867</x:v>
      </x:c>
      <x:c r="BH193" s="11" t="n">
        <x:v>518.5374381567245</x:v>
      </x:c>
      <x:c r="BI193" s="11" t="n">
        <x:v>1.6357691597817738</x:v>
      </x:c>
      <x:c r="BJ193" s="11" t="n">
        <x:v>1.7099330852451193</x:v>
      </x:c>
      <x:c r="BK193" s="12" t="n">
        <x:v>0.025378934003535983</x:v>
      </x:c>
      <x:c r="BL193" s="12" t="n">
        <x:v>0.02529861000232605</x:v>
      </x:c>
      <x:c r="BM193" s="12" t="n">
        <x:v>0.9802497344746216</x:v>
      </x:c>
      <x:c r="BN193" s="12" t="n">
        <x:v>0.9815511712696461</x:v>
      </x:c>
      <x:c r="BO193" s="12" t="n">
        <x:v>0.9023585311053542</x:v>
      </x:c>
      <x:c r="BP193" s="12" t="n">
        <x:v>0.8619101997275483</x:v>
      </x:c>
      <x:c r="BQ193" s="12" t="n">
        <x:v>0.9669710895067201</x:v>
      </x:c>
      <x:c r="BR193" s="12" t="n">
        <x:v>0.9623635142836453</x:v>
      </x:c>
      <x:c r="BS193" s="12" t="n">
        <x:v>0.27009754429306687</x:v>
      </x:c>
      <x:c r="BT193" s="12" t="n">
        <x:v>0.19976549769108282</x:v>
      </x:c>
      <x:c r="BU193" s="11" t="n">
        <x:v>364840</x:v>
      </x:c>
      <x:c r="BV193" s="11" t="n">
        <x:v>5356600</x:v>
      </x:c>
      <x:c r="BW193" s="11" t="n">
        <x:v>1880743</x:v>
      </x:c>
      <x:c r="BX193" s="11" t="n">
        <x:v>16449681</x:v>
      </x:c>
      <x:c r="BY193" s="11" t="n">
        <x:v>0</x:v>
      </x:c>
      <x:c r="BZ193" s="11" t="n">
        <x:v>11217711</x:v>
      </x:c>
      <x:c r="CA193" s="11" t="n">
        <x:v>3172546</x:v>
      </x:c>
      <x:c r="CB193" s="11" t="n">
        <x:v>0</x:v>
      </x:c>
      <x:c r="CC193" s="11" t="n">
        <x:v>31524737</x:v>
      </x:c>
      <x:c r="CD193" s="11" t="n">
        <x:v>104992254</x:v>
      </x:c>
      <x:c r="CE193" s="11" t="n">
        <x:v>8741652</x:v>
      </x:c>
      <x:c r="CF193" s="11" t="n">
        <x:v>1110189</x:v>
      </x:c>
      <x:c r="CG193" s="11" t="n">
        <x:v>8143054</x:v>
      </x:c>
      <x:c r="CH193" s="11" t="n">
        <x:v>31129406</x:v>
      </x:c>
      <x:c r="CI193" s="11" t="n">
        <x:v>49844887</x:v>
      </x:c>
      <x:c r="CJ193" s="11" t="n">
        <x:v>27724566</x:v>
      </x:c>
      <x:c r="CK193" s="11" t="n">
        <x:v>18005456</x:v>
      </x:c>
      <x:c r="CL193" s="11" t="n">
        <x:v>281720</x:v>
      </x:c>
      <x:c r="CM193" s="11" t="n">
        <x:v>0</x:v>
      </x:c>
      <x:c r="CN193" s="11" t="n">
        <x:v>0</x:v>
      </x:c>
      <x:c r="CO193" s="11" t="n">
        <x:v>0</x:v>
      </x:c>
      <x:c r="CP193" s="8"/>
      <x:c r="CQ193" s="8"/>
    </x:row>
    <x:row r="194">
      <x:c r="A194" s="8" t="str">
        <x:v>Duncan|2019</x:v>
      </x:c>
      <x:c r="B194" s="8" t="str">
        <x:v>duncan-c</x:v>
      </x:c>
      <x:c r="C194" s="8" t="str">
        <x:v>Duncan</x:v>
      </x:c>
      <x:c r="D194" s="8" t="str">
        <x:v>Duncan</x:v>
      </x:c>
      <x:c r="E194" s="8" t="str">
        <x:v>C</x:v>
      </x:c>
      <x:c r="F194" s="8" t="str">
        <x:v>COW</x:v>
      </x:c>
      <x:c r="G194" s="9" t="n">
        <x:v>2019</x:v>
      </x:c>
      <x:c r="H194" s="10" t="n">
        <x:v>5342</x:v>
      </x:c>
      <x:c r="I194" s="8" t="str">
        <x:v>5,000 to 19,999</x:v>
      </x:c>
      <x:c r="J194" s="11" t="n">
        <x:v>10311411</x:v>
      </x:c>
      <x:c r="K194" s="11" t="n">
        <x:v>8372432</x:v>
      </x:c>
      <x:c r="L194" s="11" t="n">
        <x:v>1938979</x:v>
      </x:c>
      <x:c r="M194" s="12" t="n">
        <x:v>0.1880420633024908</x:v>
      </x:c>
      <x:c r="N194" s="11" t="n">
        <x:v>4255591</x:v>
      </x:c>
      <x:c r="O194" s="11" t="n">
        <x:v>4955196</x:v>
      </x:c>
      <x:c r="P194" s="11" t="n">
        <x:v>683849</x:v>
      </x:c>
      <x:c r="Q194" s="11" t="n">
        <x:v>416775</x:v>
      </x:c>
      <x:c r="R194" s="11" t="n">
        <x:v>6758260</x:v>
      </x:c>
      <x:c r="S194" s="11" t="n">
        <x:v>1559702</x:v>
      </x:c>
      <x:c r="T194" s="11" t="n">
        <x:v>16625711</x:v>
      </x:c>
      <x:c r="U194" s="11" t="n">
        <x:v>6866462</x:v>
      </x:c>
      <x:c r="V194" s="11" t="n">
        <x:v>10942117</x:v>
      </x:c>
      <x:c r="W194" s="11" t="n">
        <x:v>7349518</x:v>
      </x:c>
      <x:c r="X194" s="11" t="n">
        <x:v>909552</x:v>
      </x:c>
      <x:c r="Y194" s="11" t="n">
        <x:v>0</x:v>
      </x:c>
      <x:c r="Z194" s="11" t="n">
        <x:v>86337</x:v>
      </x:c>
      <x:c r="AA194" s="11" t="n">
        <x:v>782756</x:v>
      </x:c>
      <x:c r="AB194" s="11" t="n">
        <x:v>54470</x:v>
      </x:c>
      <x:c r="AC194" s="11" t="n">
        <x:v>140807</x:v>
      </x:c>
      <x:c r="AD194" s="11" t="n">
        <x:v>2514355</x:v>
      </x:c>
      <x:c r="AE194" s="11" t="n">
        <x:v>2373548</x:v>
      </x:c>
      <x:c r="AF194" s="11" t="n">
        <x:v>10057419</x:v>
      </x:c>
      <x:c r="AG194" s="11" t="n">
        <x:v>62048109</x:v>
      </x:c>
      <x:c r="AH194" s="11" t="n">
        <x:v>29511856</x:v>
      </x:c>
      <x:c r="AI194" s="11" t="n">
        <x:v>32536253</x:v>
      </x:c>
      <x:c r="AJ194" s="11" t="n">
        <x:v>2397059</x:v>
      </x:c>
      <x:c r="AK194" s="11" t="n">
        <x:v>3176203</x:v>
      </x:c>
      <x:c r="AL194" s="11" t="n">
        <x:v>0</x:v>
      </x:c>
      <x:c r="AM194" s="12" t="n">
        <x:v>1</x:v>
      </x:c>
      <x:c r="AN194" s="12" t="n">
        <x:v>0.7546932611045327</x:v>
      </x:c>
      <x:c r="AO194" s="11" t="n">
        <x:v>9176483</x:v>
      </x:c>
      <x:c r="AP194" s="11" t="n">
        <x:v>8977352</x:v>
      </x:c>
      <x:c r="AQ194" s="12" t="n">
        <x:v>0.9782998562739124</x:v>
      </x:c>
      <x:c r="AR194" s="11" t="n">
        <x:v>1930.2529015350055</x:v>
      </x:c>
      <x:c r="AS194" s="11" t="n">
        <x:v>1567.2841632347436</x:v>
      </x:c>
      <x:c r="AT194" s="11" t="n">
        <x:v>2048.3184200673904</x:v>
      </x:c>
      <x:c r="AU194" s="11" t="n">
        <x:v>1375.7989517034819</x:v>
      </x:c>
      <x:c r="AV194" s="11" t="n">
        <x:v>146.52864095844254</x:v>
      </x:c>
      <x:c r="AW194" s="11" t="n">
        <x:v>2.4212922171563753</x:v>
      </x:c>
      <x:c r="AX194" s="12" t="n">
        <x:v>0.9439987591251037</x:v>
      </x:c>
      <x:c r="AY194" s="11"/>
      <x:c r="AZ194" s="11"/>
      <x:c r="BA194" s="11"/>
      <x:c r="BB194" s="11"/>
      <x:c r="BC194" s="11"/>
      <x:c r="BD194" s="11"/>
      <x:c r="BE194" s="11"/>
      <x:c r="BF194" s="11"/>
      <x:c r="BG194" s="11"/>
      <x:c r="BH194" s="11"/>
      <x:c r="BI194" s="11"/>
      <x:c r="BJ194" s="11"/>
      <x:c r="BK194" s="12"/>
      <x:c r="BL194" s="12"/>
      <x:c r="BM194" s="12"/>
      <x:c r="BN194" s="12"/>
      <x:c r="BO194" s="12"/>
      <x:c r="BP194" s="12"/>
      <x:c r="BQ194" s="12"/>
      <x:c r="BR194" s="12"/>
      <x:c r="BS194" s="12"/>
      <x:c r="BT194" s="12"/>
      <x:c r="BU194" s="11" t="n">
        <x:v>1335</x:v>
      </x:c>
      <x:c r="BV194" s="11" t="n">
        <x:v>556391</x:v>
      </x:c>
      <x:c r="BW194" s="11" t="n">
        <x:v>126123</x:v>
      </x:c>
      <x:c r="BX194" s="11" t="n">
        <x:v>330489</x:v>
      </x:c>
      <x:c r="BY194" s="11" t="n">
        <x:v>0</x:v>
      </x:c>
      <x:c r="BZ194" s="11" t="n">
        <x:v>64285</x:v>
      </x:c>
      <x:c r="CA194" s="11" t="n">
        <x:v>21790</x:v>
      </x:c>
      <x:c r="CB194" s="11" t="n">
        <x:v>211</x:v>
      </x:c>
      <x:c r="CC194" s="11" t="n">
        <x:v>1246396</x:v>
      </x:c>
      <x:c r="CD194" s="11" t="n">
        <x:v>847383</x:v>
      </x:c>
      <x:c r="CE194" s="11" t="n">
        <x:v>281406</x:v>
      </x:c>
      <x:c r="CF194" s="11" t="n">
        <x:v>0</x:v>
      </x:c>
      <x:c r="CG194" s="11" t="n">
        <x:v>179280</x:v>
      </x:c>
      <x:c r="CH194" s="11" t="n">
        <x:v>1107194</x:v>
      </x:c>
      <x:c r="CI194" s="11" t="n">
        <x:v>900649</x:v>
      </x:c>
      <x:c r="CJ194" s="11" t="n">
        <x:v>1406973</x:v>
      </x:c>
      <x:c r="CK194" s="11" t="n">
        <x:v>843449</x:v>
      </x:c>
      <x:c r="CL194" s="11" t="n">
        <x:v>0</x:v>
      </x:c>
      <x:c r="CM194" s="11"/>
      <x:c r="CN194" s="11" t="n">
        <x:v>0</x:v>
      </x:c>
      <x:c r="CO194" s="11" t="n">
        <x:v>0</x:v>
      </x:c>
      <x:c r="CP194" s="8"/>
      <x:c r="CQ194" s="8"/>
    </x:row>
    <x:row r="195">
      <x:c r="A195" s="8" t="str">
        <x:v>Duncan|2020</x:v>
      </x:c>
      <x:c r="B195" s="8" t="str">
        <x:v>duncan-c</x:v>
      </x:c>
      <x:c r="C195" s="8" t="str">
        <x:v>Duncan</x:v>
      </x:c>
      <x:c r="D195" s="8" t="str">
        <x:v>Duncan</x:v>
      </x:c>
      <x:c r="E195" s="8" t="str">
        <x:v>C</x:v>
      </x:c>
      <x:c r="F195" s="8" t="str">
        <x:v>COW</x:v>
      </x:c>
      <x:c r="G195" s="9" t="n">
        <x:v>2020</x:v>
      </x:c>
      <x:c r="H195" s="10" t="n">
        <x:v>5124</x:v>
      </x:c>
      <x:c r="I195" s="8" t="str">
        <x:v>5,000 to 19,999</x:v>
      </x:c>
      <x:c r="J195" s="11" t="n">
        <x:v>12333116</x:v>
      </x:c>
      <x:c r="K195" s="11" t="n">
        <x:v>8401936</x:v>
      </x:c>
      <x:c r="L195" s="11" t="n">
        <x:v>3931180</x:v>
      </x:c>
      <x:c r="M195" s="12" t="n">
        <x:v>0.31874994121518035</x:v>
      </x:c>
      <x:c r="N195" s="11" t="n">
        <x:v>4356070</x:v>
      </x:c>
      <x:c r="O195" s="11" t="n">
        <x:v>5097932</x:v>
      </x:c>
      <x:c r="P195" s="11" t="n">
        <x:v>2504786</x:v>
      </x:c>
      <x:c r="Q195" s="11" t="n">
        <x:v>374328</x:v>
      </x:c>
      <x:c r="R195" s="11" t="n">
        <x:v>6728049</x:v>
      </x:c>
      <x:c r="S195" s="11" t="n">
        <x:v>1624343</x:v>
      </x:c>
      <x:c r="T195" s="11" t="n">
        <x:v>20333459</x:v>
      </x:c>
      <x:c r="U195" s="11" t="n">
        <x:v>7031439</x:v>
      </x:c>
      <x:c r="V195" s="11" t="n">
        <x:v>14633788</x:v>
      </x:c>
      <x:c r="W195" s="11" t="n">
        <x:v>9340725</x:v>
      </x:c>
      <x:c r="X195" s="11" t="n">
        <x:v>782756</x:v>
      </x:c>
      <x:c r="Y195" s="11" t="n">
        <x:v>0</x:v>
      </x:c>
      <x:c r="Z195" s="11" t="n">
        <x:v>72415</x:v>
      </x:c>
      <x:c r="AA195" s="11" t="n">
        <x:v>683651</x:v>
      </x:c>
      <x:c r="AB195" s="11" t="n">
        <x:v>49544</x:v>
      </x:c>
      <x:c r="AC195" s="11" t="n">
        <x:v>121959</x:v>
      </x:c>
      <x:c r="AD195" s="11" t="n">
        <x:v>2556846</x:v>
      </x:c>
      <x:c r="AE195" s="11" t="n">
        <x:v>2434887</x:v>
      </x:c>
      <x:c r="AF195" s="11" t="n">
        <x:v>10227382</x:v>
      </x:c>
      <x:c r="AG195" s="11" t="n">
        <x:v>63562424</x:v>
      </x:c>
      <x:c r="AH195" s="11" t="n">
        <x:v>30791311</x:v>
      </x:c>
      <x:c r="AI195" s="11" t="n">
        <x:v>32771113</x:v>
      </x:c>
      <x:c r="AJ195" s="11" t="n">
        <x:v>1867886</x:v>
      </x:c>
      <x:c r="AK195" s="11" t="n">
        <x:v>3199552</x:v>
      </x:c>
      <x:c r="AL195" s="11" t="n">
        <x:v>0</x:v>
      </x:c>
      <x:c r="AM195" s="12" t="n">
        <x:v>1</x:v>
      </x:c>
      <x:c r="AN195" s="12" t="n">
        <x:v>0.5837961064549037</x:v>
      </x:c>
      <x:c r="AO195" s="11" t="n">
        <x:v>9140791</x:v>
      </x:c>
      <x:c r="AP195" s="11" t="n">
        <x:v>8907325</x:v>
      </x:c>
      <x:c r="AQ195" s="12" t="n">
        <x:v>0.9744588843569446</x:v>
      </x:c>
      <x:c r="AR195" s="11" t="n">
        <x:v>2406.9313036690087</x:v>
      </x:c>
      <x:c r="AS195" s="11" t="n">
        <x:v>1639.7220921155347</x:v>
      </x:c>
      <x:c r="AT195" s="11" t="n">
        <x:v>2855.9305230288837</x:v>
      </x:c>
      <x:c r="AU195" s="11" t="n">
        <x:v>1822.9361826697893</x:v>
      </x:c>
      <x:c r="AV195" s="11" t="n">
        <x:v>133.4213505074161</x:v>
      </x:c>
      <x:c r="AW195" s="11" t="n">
        <x:v>2.8917919930756706</x:v>
      </x:c>
      <x:c r="AX195" s="12" t="n">
        <x:v>0.9523009989651312</x:v>
      </x:c>
      <x:c r="AY195" s="11"/>
      <x:c r="AZ195" s="11"/>
      <x:c r="BA195" s="11"/>
      <x:c r="BB195" s="11"/>
      <x:c r="BC195" s="11"/>
      <x:c r="BD195" s="11"/>
      <x:c r="BE195" s="11"/>
      <x:c r="BF195" s="11"/>
      <x:c r="BG195" s="11"/>
      <x:c r="BH195" s="11"/>
      <x:c r="BI195" s="11"/>
      <x:c r="BJ195" s="11"/>
      <x:c r="BK195" s="12"/>
      <x:c r="BL195" s="12"/>
      <x:c r="BM195" s="12"/>
      <x:c r="BN195" s="12"/>
      <x:c r="BO195" s="12"/>
      <x:c r="BP195" s="12"/>
      <x:c r="BQ195" s="12"/>
      <x:c r="BR195" s="12"/>
      <x:c r="BS195" s="12"/>
      <x:c r="BT195" s="12"/>
      <x:c r="BU195" s="11" t="n">
        <x:v>0</x:v>
      </x:c>
      <x:c r="BV195" s="11" t="n">
        <x:v>2129093</x:v>
      </x:c>
      <x:c r="BW195" s="11" t="n">
        <x:v>375693</x:v>
      </x:c>
      <x:c r="BX195" s="11" t="n">
        <x:v>240977</x:v>
      </x:c>
      <x:c r="BY195" s="11" t="n">
        <x:v>0</x:v>
      </x:c>
      <x:c r="BZ195" s="11" t="n">
        <x:v>89935</x:v>
      </x:c>
      <x:c r="CA195" s="11" t="n">
        <x:v>43416</x:v>
      </x:c>
      <x:c r="CB195" s="11" t="n">
        <x:v>0</x:v>
      </x:c>
      <x:c r="CC195" s="11" t="n">
        <x:v>1298935</x:v>
      </x:c>
      <x:c r="CD195" s="11" t="n">
        <x:v>910820</x:v>
      </x:c>
      <x:c r="CE195" s="11" t="n">
        <x:v>285324</x:v>
      </x:c>
      <x:c r="CF195" s="11" t="n">
        <x:v>0</x:v>
      </x:c>
      <x:c r="CG195" s="11" t="n">
        <x:v>202135</x:v>
      </x:c>
      <x:c r="CH195" s="11" t="n">
        <x:v>1116823</x:v>
      </x:c>
      <x:c r="CI195" s="11" t="n">
        <x:v>771011</x:v>
      </x:c>
      <x:c r="CJ195" s="11" t="n">
        <x:v>1443184</x:v>
      </x:c>
      <x:c r="CK195" s="11" t="n">
        <x:v>749361</x:v>
      </x:c>
      <x:c r="CL195" s="11" t="n">
        <x:v>0</x:v>
      </x:c>
      <x:c r="CM195" s="11"/>
      <x:c r="CN195" s="11" t="n">
        <x:v>0</x:v>
      </x:c>
      <x:c r="CO195" s="11" t="n">
        <x:v>0</x:v>
      </x:c>
      <x:c r="CP195" s="8"/>
      <x:c r="CQ195" s="8"/>
    </x:row>
    <x:row r="196">
      <x:c r="A196" s="8" t="str">
        <x:v>Duncan|2021</x:v>
      </x:c>
      <x:c r="B196" s="8" t="str">
        <x:v>duncan-c</x:v>
      </x:c>
      <x:c r="C196" s="8" t="str">
        <x:v>Duncan</x:v>
      </x:c>
      <x:c r="D196" s="8" t="str">
        <x:v>Duncan</x:v>
      </x:c>
      <x:c r="E196" s="8" t="str">
        <x:v>C</x:v>
      </x:c>
      <x:c r="F196" s="8" t="str">
        <x:v>COW</x:v>
      </x:c>
      <x:c r="G196" s="9" t="n">
        <x:v>2021</x:v>
      </x:c>
      <x:c r="H196" s="10" t="n">
        <x:v>5121</x:v>
      </x:c>
      <x:c r="I196" s="8" t="str">
        <x:v>5,000 to 19,999</x:v>
      </x:c>
      <x:c r="J196" s="11" t="n">
        <x:v>12333459</x:v>
      </x:c>
      <x:c r="K196" s="11" t="n">
        <x:v>9432384</x:v>
      </x:c>
      <x:c r="L196" s="11" t="n">
        <x:v>2901075</x:v>
      </x:c>
      <x:c r="M196" s="12" t="n">
        <x:v>0.23521990059722905</x:v>
      </x:c>
      <x:c r="N196" s="11" t="n">
        <x:v>4472744</x:v>
      </x:c>
      <x:c r="O196" s="11" t="n">
        <x:v>6133290</x:v>
      </x:c>
      <x:c r="P196" s="11" t="n">
        <x:v>928943</x:v>
      </x:c>
      <x:c r="Q196" s="11" t="n">
        <x:v>798482</x:v>
      </x:c>
      <x:c r="R196" s="11" t="n">
        <x:v>7779129</x:v>
      </x:c>
      <x:c r="S196" s="11" t="n">
        <x:v>1614770</x:v>
      </x:c>
      <x:c r="T196" s="11" t="n">
        <x:v>24281776</x:v>
      </x:c>
      <x:c r="U196" s="11" t="n">
        <x:v>8727831</x:v>
      </x:c>
      <x:c r="V196" s="11" t="n">
        <x:v>17318776</x:v>
      </x:c>
      <x:c r="W196" s="11" t="n">
        <x:v>10205065</x:v>
      </x:c>
      <x:c r="X196" s="11" t="n">
        <x:v>683651</x:v>
      </x:c>
      <x:c r="Y196" s="11" t="n">
        <x:v>0</x:v>
      </x:c>
      <x:c r="Z196" s="11" t="n">
        <x:v>652997</x:v>
      </x:c>
      <x:c r="AA196" s="11" t="n">
        <x:v>0</x:v>
      </x:c>
      <x:c r="AB196" s="11" t="n">
        <x:v>38485</x:v>
      </x:c>
      <x:c r="AC196" s="11" t="n">
        <x:v>691482</x:v>
      </x:c>
      <x:c r="AD196" s="11" t="n">
        <x:v>2830822</x:v>
      </x:c>
      <x:c r="AE196" s="11" t="n">
        <x:v>2139340</x:v>
      </x:c>
      <x:c r="AF196" s="11" t="n">
        <x:v>11323286</x:v>
      </x:c>
      <x:c r="AG196" s="11" t="n">
        <x:v>65217303</x:v>
      </x:c>
      <x:c r="AH196" s="11" t="n">
        <x:v>32282531</x:v>
      </x:c>
      <x:c r="AI196" s="11" t="n">
        <x:v>32934772</x:v>
      </x:c>
      <x:c r="AJ196" s="11" t="n">
        <x:v>1778830</x:v>
      </x:c>
      <x:c r="AK196" s="11" t="n">
        <x:v>3224250</x:v>
      </x:c>
      <x:c r="AL196" s="11" t="n">
        <x:v>0</x:v>
      </x:c>
      <x:c r="AM196" s="12" t="n">
        <x:v>1</x:v>
      </x:c>
      <x:c r="AN196" s="12" t="n">
        <x:v>0.5517034969372723</x:v>
      </x:c>
      <x:c r="AO196" s="11" t="n">
        <x:v>9918957</x:v>
      </x:c>
      <x:c r="AP196" s="11" t="n">
        <x:v>9725209</x:v>
      </x:c>
      <x:c r="AQ196" s="12" t="n">
        <x:v>0.9804668978804929</x:v>
      </x:c>
      <x:c r="AR196" s="11" t="n">
        <x:v>2408.4083186877565</x:v>
      </x:c>
      <x:c r="AS196" s="11" t="n">
        <x:v>1841.9027533684828</x:v>
      </x:c>
      <x:c r="AT196" s="11" t="n">
        <x:v>3381.9129076352274</x:v>
      </x:c>
      <x:c r="AU196" s="11" t="n">
        <x:v>1992.7875414958016</x:v>
      </x:c>
      <x:c r="AV196" s="11" t="n">
        <x:v>0</x:v>
      </x:c>
      <x:c r="AW196" s="11" t="n">
        <x:v>2.7821088653068555</x:v>
      </x:c>
      <x:c r="AX196" s="12" t="n">
        <x:v>0.7557310208836868</x:v>
      </x:c>
      <x:c r="AY196" s="11"/>
      <x:c r="AZ196" s="11"/>
      <x:c r="BA196" s="11"/>
      <x:c r="BB196" s="11"/>
      <x:c r="BC196" s="11"/>
      <x:c r="BD196" s="11"/>
      <x:c r="BE196" s="11"/>
      <x:c r="BF196" s="11"/>
      <x:c r="BG196" s="11"/>
      <x:c r="BH196" s="11"/>
      <x:c r="BI196" s="11"/>
      <x:c r="BJ196" s="11"/>
      <x:c r="BK196" s="12"/>
      <x:c r="BL196" s="12"/>
      <x:c r="BM196" s="12"/>
      <x:c r="BN196" s="12"/>
      <x:c r="BO196" s="12"/>
      <x:c r="BP196" s="12"/>
      <x:c r="BQ196" s="12"/>
      <x:c r="BR196" s="12"/>
      <x:c r="BS196" s="12"/>
      <x:c r="BT196" s="12"/>
      <x:c r="BU196" s="11" t="n">
        <x:v>0</x:v>
      </x:c>
      <x:c r="BV196" s="11" t="n">
        <x:v>551480</x:v>
      </x:c>
      <x:c r="BW196" s="11" t="n">
        <x:v>377463</x:v>
      </x:c>
      <x:c r="BX196" s="11" t="n">
        <x:v>196426</x:v>
      </x:c>
      <x:c r="BY196" s="11" t="n">
        <x:v>0</x:v>
      </x:c>
      <x:c r="BZ196" s="11" t="n">
        <x:v>599456</x:v>
      </x:c>
      <x:c r="CA196" s="11" t="n">
        <x:v>2600</x:v>
      </x:c>
      <x:c r="CB196" s="11" t="n">
        <x:v>0</x:v>
      </x:c>
      <x:c r="CC196" s="11" t="n">
        <x:v>1523656</x:v>
      </x:c>
      <x:c r="CD196" s="11" t="n">
        <x:v>848251</x:v>
      </x:c>
      <x:c r="CE196" s="11" t="n">
        <x:v>291306</x:v>
      </x:c>
      <x:c r="CF196" s="11" t="n">
        <x:v>0</x:v>
      </x:c>
      <x:c r="CG196" s="11" t="n">
        <x:v>254245</x:v>
      </x:c>
      <x:c r="CH196" s="11" t="n">
        <x:v>1625443</x:v>
      </x:c>
      <x:c r="CI196" s="11" t="n">
        <x:v>1015101</x:v>
      </x:c>
      <x:c r="CJ196" s="11" t="n">
        <x:v>1591010</x:v>
      </x:c>
      <x:c r="CK196" s="11" t="n">
        <x:v>668602</x:v>
      </x:c>
      <x:c r="CL196" s="11" t="n">
        <x:v>0</x:v>
      </x:c>
      <x:c r="CM196" s="11"/>
      <x:c r="CN196" s="11" t="n">
        <x:v>0</x:v>
      </x:c>
      <x:c r="CO196" s="11" t="n">
        <x:v>0</x:v>
      </x:c>
      <x:c r="CP196" s="8"/>
      <x:c r="CQ196" s="8"/>
    </x:row>
    <x:row r="197">
      <x:c r="A197" s="8" t="str">
        <x:v>Duncan|2022</x:v>
      </x:c>
      <x:c r="B197" s="8" t="str">
        <x:v>duncan-c</x:v>
      </x:c>
      <x:c r="C197" s="8" t="str">
        <x:v>Duncan</x:v>
      </x:c>
      <x:c r="D197" s="8" t="str">
        <x:v>Duncan</x:v>
      </x:c>
      <x:c r="E197" s="8" t="str">
        <x:v>C</x:v>
      </x:c>
      <x:c r="F197" s="8" t="str">
        <x:v>COW</x:v>
      </x:c>
      <x:c r="G197" s="9" t="n">
        <x:v>2022</x:v>
      </x:c>
      <x:c r="H197" s="10" t="n">
        <x:v>2731</x:v>
      </x:c>
      <x:c r="I197" s="8" t="str">
        <x:v>Under 5,000</x:v>
      </x:c>
      <x:c r="J197" s="11" t="n">
        <x:v>14473549</x:v>
      </x:c>
      <x:c r="K197" s="11" t="n">
        <x:v>10793148</x:v>
      </x:c>
      <x:c r="L197" s="11" t="n">
        <x:v>3680401</x:v>
      </x:c>
      <x:c r="M197" s="12" t="n">
        <x:v>0.25428462638983707</x:v>
      </x:c>
      <x:c r="N197" s="11" t="n">
        <x:v>5095021</x:v>
      </x:c>
      <x:c r="O197" s="11" t="n">
        <x:v>5964593</x:v>
      </x:c>
      <x:c r="P197" s="11" t="n">
        <x:v>1065466</x:v>
      </x:c>
      <x:c r="Q197" s="11" t="n">
        <x:v>2348469</x:v>
      </x:c>
      <x:c r="R197" s="11" t="n">
        <x:v>9101463</x:v>
      </x:c>
      <x:c r="S197" s="11" t="n">
        <x:v>1684713</x:v>
      </x:c>
      <x:c r="T197" s="11" t="n">
        <x:v>26135723</x:v>
      </x:c>
      <x:c r="U197" s="11" t="n">
        <x:v>9809704</x:v>
      </x:c>
      <x:c r="V197" s="11" t="n">
        <x:v>17918001</x:v>
      </x:c>
      <x:c r="W197" s="11" t="n">
        <x:v>9115558</x:v>
      </x:c>
      <x:c r="X197" s="11" t="n">
        <x:v>0</x:v>
      </x:c>
      <x:c r="Y197" s="11" t="n">
        <x:v>0</x:v>
      </x:c>
      <x:c r="Z197" s="11" t="n">
        <x:v>0</x:v>
      </x:c>
      <x:c r="AA197" s="11" t="n">
        <x:v>0</x:v>
      </x:c>
      <x:c r="AB197" s="11" t="n">
        <x:v>6972</x:v>
      </x:c>
      <x:c r="AC197" s="11" t="n">
        <x:v>6972</x:v>
      </x:c>
      <x:c r="AD197" s="11" t="n">
        <x:v>3045185</x:v>
      </x:c>
      <x:c r="AE197" s="11" t="n">
        <x:v>3038213</x:v>
      </x:c>
      <x:c r="AF197" s="11" t="n">
        <x:v>12180741</x:v>
      </x:c>
      <x:c r="AG197" s="11" t="n">
        <x:v>68904559</x:v>
      </x:c>
      <x:c r="AH197" s="11" t="n">
        <x:v>32897035</x:v>
      </x:c>
      <x:c r="AI197" s="11" t="n">
        <x:v>36007524</x:v>
      </x:c>
      <x:c r="AJ197" s="11" t="n">
        <x:v>4769820</x:v>
      </x:c>
      <x:c r="AK197" s="11" t="n">
        <x:v>2572898</x:v>
      </x:c>
      <x:c r="AL197" s="11" t="n">
        <x:v>0</x:v>
      </x:c>
      <x:c r="AM197" s="12" t="n">
        <x:v>1</x:v>
      </x:c>
      <x:c r="AN197" s="12" t="n">
        <x:v>1.8538706159358047</x:v>
      </x:c>
      <x:c r="AO197" s="11" t="n">
        <x:v>10176898</x:v>
      </x:c>
      <x:c r="AP197" s="11" t="n">
        <x:v>9952876</x:v>
      </x:c>
      <x:c r="AQ197" s="12" t="n">
        <x:v>0.9779872019941637</x:v>
      </x:c>
      <x:c r="AR197" s="11" t="n">
        <x:v>5299.725009154156</x:v>
      </x:c>
      <x:c r="AS197" s="11" t="n">
        <x:v>3952.0864152325157</x:v>
      </x:c>
      <x:c r="AT197" s="11" t="n">
        <x:v>6560.967045038447</x:v>
      </x:c>
      <x:c r="AU197" s="11" t="n">
        <x:v>3337.8095935554743</x:v>
      </x:c>
      <x:c r="AV197" s="11" t="n">
        <x:v>0</x:v>
      </x:c>
      <x:c r="AW197" s="11" t="n">
        <x:v>2.6642723368615404</x:v>
      </x:c>
      <x:c r="AX197" s="12" t="n">
        <x:v>0.9977104839279058</x:v>
      </x:c>
      <x:c r="AY197" s="11"/>
      <x:c r="AZ197" s="11"/>
      <x:c r="BA197" s="11"/>
      <x:c r="BB197" s="11"/>
      <x:c r="BC197" s="11"/>
      <x:c r="BD197" s="11"/>
      <x:c r="BE197" s="11"/>
      <x:c r="BF197" s="11"/>
      <x:c r="BG197" s="11"/>
      <x:c r="BH197" s="11"/>
      <x:c r="BI197" s="11"/>
      <x:c r="BJ197" s="11"/>
      <x:c r="BK197" s="12"/>
      <x:c r="BL197" s="12"/>
      <x:c r="BM197" s="12"/>
      <x:c r="BN197" s="12"/>
      <x:c r="BO197" s="12"/>
      <x:c r="BP197" s="12"/>
      <x:c r="BQ197" s="12"/>
      <x:c r="BR197" s="12"/>
      <x:c r="BS197" s="12"/>
      <x:c r="BT197" s="12"/>
      <x:c r="BU197" s="11" t="n">
        <x:v>0</x:v>
      </x:c>
      <x:c r="BV197" s="11" t="n">
        <x:v>776866</x:v>
      </x:c>
      <x:c r="BW197" s="11" t="n">
        <x:v>288600</x:v>
      </x:c>
      <x:c r="BX197" s="11" t="n">
        <x:v>419343</x:v>
      </x:c>
      <x:c r="BY197" s="11" t="n">
        <x:v>0</x:v>
      </x:c>
      <x:c r="BZ197" s="11" t="n">
        <x:v>1626982</x:v>
      </x:c>
      <x:c r="CA197" s="11" t="n">
        <x:v>302144</x:v>
      </x:c>
      <x:c r="CB197" s="11" t="n">
        <x:v>0</x:v>
      </x:c>
      <x:c r="CC197" s="11" t="n">
        <x:v>1459533</x:v>
      </x:c>
      <x:c r="CD197" s="11" t="n">
        <x:v>2326888</x:v>
      </x:c>
      <x:c r="CE197" s="11" t="n">
        <x:v>319662</x:v>
      </x:c>
      <x:c r="CF197" s="11" t="n">
        <x:v>0</x:v>
      </x:c>
      <x:c r="CG197" s="11" t="n">
        <x:v>306617</x:v>
      </x:c>
      <x:c r="CH197" s="11" t="n">
        <x:v>1322568</x:v>
      </x:c>
      <x:c r="CI197" s="11" t="n">
        <x:v>949217</x:v>
      </x:c>
      <x:c r="CJ197" s="11" t="n">
        <x:v>1687690</x:v>
      </x:c>
      <x:c r="CK197" s="11" t="n">
        <x:v>736260</x:v>
      </x:c>
      <x:c r="CL197" s="11" t="n">
        <x:v>0</x:v>
      </x:c>
      <x:c r="CM197" s="11"/>
      <x:c r="CN197" s="11" t="n">
        <x:v>0</x:v>
      </x:c>
      <x:c r="CO197" s="11" t="n">
        <x:v>0</x:v>
      </x:c>
      <x:c r="CP197" s="8"/>
      <x:c r="CQ197" s="8"/>
    </x:row>
    <x:row r="198">
      <x:c r="A198" s="8" t="str">
        <x:v>Duncan|2023</x:v>
      </x:c>
      <x:c r="B198" s="8" t="str">
        <x:v>duncan-c</x:v>
      </x:c>
      <x:c r="C198" s="8" t="str">
        <x:v>Duncan</x:v>
      </x:c>
      <x:c r="D198" s="8" t="str">
        <x:v>Duncan</x:v>
      </x:c>
      <x:c r="E198" s="8" t="str">
        <x:v>C</x:v>
      </x:c>
      <x:c r="F198" s="8" t="str">
        <x:v>COW</x:v>
      </x:c>
      <x:c r="G198" s="9" t="n">
        <x:v>2023</x:v>
      </x:c>
      <x:c r="H198" s="10" t="n">
        <x:v>5513</x:v>
      </x:c>
      <x:c r="I198" s="8" t="str">
        <x:v>5,000 to 19,999</x:v>
      </x:c>
      <x:c r="J198" s="11" t="n">
        <x:v>17218389</x:v>
      </x:c>
      <x:c r="K198" s="11" t="n">
        <x:v>12411355</x:v>
      </x:c>
      <x:c r="L198" s="11" t="n">
        <x:v>4807034</x:v>
      </x:c>
      <x:c r="M198" s="12" t="n">
        <x:v>0.27918024154292254</x:v>
      </x:c>
      <x:c r="N198" s="11" t="n">
        <x:v>5697742</x:v>
      </x:c>
      <x:c r="O198" s="11" t="n">
        <x:v>6510822</x:v>
      </x:c>
      <x:c r="P198" s="11" t="n">
        <x:v>3058492</x:v>
      </x:c>
      <x:c r="Q198" s="11" t="n">
        <x:v>1951333</x:v>
      </x:c>
      <x:c r="R198" s="11" t="n">
        <x:v>10207066</x:v>
      </x:c>
      <x:c r="S198" s="11" t="n">
        <x:v>2175959</x:v>
      </x:c>
      <x:c r="T198" s="11" t="n">
        <x:v>32321885</x:v>
      </x:c>
      <x:c r="U198" s="11" t="n">
        <x:v>28776230</x:v>
      </x:c>
      <x:c r="V198" s="11" t="n">
        <x:v>5191471</x:v>
      </x:c>
      <x:c r="W198" s="11" t="n">
        <x:v>12275887</x:v>
      </x:c>
      <x:c r="X198" s="11" t="n">
        <x:v>0</x:v>
      </x:c>
      <x:c r="Y198" s="11" t="n">
        <x:v>0</x:v>
      </x:c>
      <x:c r="Z198" s="11" t="n">
        <x:v>0</x:v>
      </x:c>
      <x:c r="AA198" s="11" t="n">
        <x:v>0</x:v>
      </x:c>
      <x:c r="AB198" s="11" t="n">
        <x:v>28330</x:v>
      </x:c>
      <x:c r="AC198" s="11" t="n">
        <x:v>28330</x:v>
      </x:c>
      <x:c r="AD198" s="11" t="n">
        <x:v>3478861</x:v>
      </x:c>
      <x:c r="AE198" s="11" t="n">
        <x:v>3450531</x:v>
      </x:c>
      <x:c r="AF198" s="11" t="n">
        <x:v>13915442</x:v>
      </x:c>
      <x:c r="AG198" s="11" t="n">
        <x:v>87416912</x:v>
      </x:c>
      <x:c r="AH198" s="11" t="n">
        <x:v>33852952</x:v>
      </x:c>
      <x:c r="AI198" s="11" t="n">
        <x:v>53563960</x:v>
      </x:c>
      <x:c r="AJ198" s="11" t="n">
        <x:v>3278628</x:v>
      </x:c>
      <x:c r="AK198" s="11" t="n">
        <x:v>3333283</x:v>
      </x:c>
      <x:c r="AL198" s="11" t="n">
        <x:v>0</x:v>
      </x:c>
      <x:c r="AM198" s="12" t="n">
        <x:v>1</x:v>
      </x:c>
      <x:c r="AN198" s="12" t="n">
        <x:v>0.9836032524091114</x:v>
      </x:c>
      <x:c r="AO198" s="11" t="n">
        <x:v>11103364</x:v>
      </x:c>
      <x:c r="AP198" s="11" t="n">
        <x:v>10945988</x:v>
      </x:c>
      <x:c r="AQ198" s="12" t="n">
        <x:v>0.9858262775137336</x:v>
      </x:c>
      <x:c r="AR198" s="11" t="n">
        <x:v>3123.2339923816435</x:v>
      </x:c>
      <x:c r="AS198" s="11" t="n">
        <x:v>2251.28877199347</x:v>
      </x:c>
      <x:c r="AT198" s="11" t="n">
        <x:v>941.6780337384364</x:v>
      </x:c>
      <x:c r="AU198" s="11" t="n">
        <x:v>2226.716306910938</x:v>
      </x:c>
      <x:c r="AV198" s="11" t="n">
        <x:v>0</x:v>
      </x:c>
      <x:c r="AW198" s="11" t="n">
        <x:v>1.12321471575672</x:v>
      </x:c>
      <x:c r="AX198" s="12" t="n">
        <x:v>0.9918565300539458</x:v>
      </x:c>
      <x:c r="AY198" s="11"/>
      <x:c r="AZ198" s="11"/>
      <x:c r="BA198" s="11"/>
      <x:c r="BB198" s="11"/>
      <x:c r="BC198" s="11"/>
      <x:c r="BD198" s="11"/>
      <x:c r="BE198" s="11"/>
      <x:c r="BF198" s="11"/>
      <x:c r="BG198" s="11"/>
      <x:c r="BH198" s="11"/>
      <x:c r="BI198" s="11"/>
      <x:c r="BJ198" s="11"/>
      <x:c r="BK198" s="12"/>
      <x:c r="BL198" s="12"/>
      <x:c r="BM198" s="12"/>
      <x:c r="BN198" s="12"/>
      <x:c r="BO198" s="12"/>
      <x:c r="BP198" s="12"/>
      <x:c r="BQ198" s="12"/>
      <x:c r="BR198" s="12"/>
      <x:c r="BS198" s="12"/>
      <x:c r="BT198" s="12"/>
      <x:c r="BU198" s="11" t="n">
        <x:v>0</x:v>
      </x:c>
      <x:c r="BV198" s="11" t="n">
        <x:v>623082</x:v>
      </x:c>
      <x:c r="BW198" s="11" t="n">
        <x:v>2435410</x:v>
      </x:c>
      <x:c r="BX198" s="11" t="n">
        <x:v>1158878</x:v>
      </x:c>
      <x:c r="BY198" s="11" t="n">
        <x:v>0</x:v>
      </x:c>
      <x:c r="BZ198" s="11" t="n">
        <x:v>792455</x:v>
      </x:c>
      <x:c r="CA198" s="11" t="n">
        <x:v>0</x:v>
      </x:c>
      <x:c r="CB198" s="11" t="n">
        <x:v>0</x:v>
      </x:c>
      <x:c r="CC198" s="11" t="n">
        <x:v>1522323</x:v>
      </x:c>
      <x:c r="CD198" s="11" t="n">
        <x:v>2342332</x:v>
      </x:c>
      <x:c r="CE198" s="11" t="n">
        <x:v>332161</x:v>
      </x:c>
      <x:c r="CF198" s="11" t="n">
        <x:v>0</x:v>
      </x:c>
      <x:c r="CG198" s="11" t="n">
        <x:v>323783</x:v>
      </x:c>
      <x:c r="CH198" s="11" t="n">
        <x:v>1280859</x:v>
      </x:c>
      <x:c r="CI198" s="11" t="n">
        <x:v>975222</x:v>
      </x:c>
      <x:c r="CJ198" s="11" t="n">
        <x:v>1684650</x:v>
      </x:c>
      <x:c r="CK198" s="11" t="n">
        <x:v>1666256</x:v>
      </x:c>
      <x:c r="CL198" s="11" t="n">
        <x:v>0</x:v>
      </x:c>
      <x:c r="CM198" s="11" t="n">
        <x:v>0</x:v>
      </x:c>
      <x:c r="CN198" s="11" t="n">
        <x:v>107810</x:v>
      </x:c>
      <x:c r="CO198" s="11" t="n">
        <x:v>0</x:v>
      </x:c>
      <x:c r="CP198" s="8"/>
      <x:c r="CQ198" s="8"/>
    </x:row>
    <x:row r="199">
      <x:c r="A199" s="8" t="str">
        <x:v>Duncan|2024</x:v>
      </x:c>
      <x:c r="B199" s="8" t="str">
        <x:v>duncan-c</x:v>
      </x:c>
      <x:c r="C199" s="8" t="str">
        <x:v>Duncan</x:v>
      </x:c>
      <x:c r="D199" s="8" t="str">
        <x:v>Duncan</x:v>
      </x:c>
      <x:c r="E199" s="8" t="str">
        <x:v>C</x:v>
      </x:c>
      <x:c r="F199" s="8" t="str">
        <x:v>COW</x:v>
      </x:c>
      <x:c r="G199" s="9" t="n">
        <x:v>2024</x:v>
      </x:c>
      <x:c r="H199" s="10" t="n">
        <x:v>5513</x:v>
      </x:c>
      <x:c r="I199" s="8" t="str">
        <x:v>5,000 to 19,999</x:v>
      </x:c>
      <x:c r="J199" s="11" t="n">
        <x:v>17192713</x:v>
      </x:c>
      <x:c r="K199" s="11" t="n">
        <x:v>13566502</x:v>
      </x:c>
      <x:c r="L199" s="11" t="n">
        <x:v>3626211</x:v>
      </x:c>
      <x:c r="M199" s="12" t="n">
        <x:v>0.21091557801261498</x:v>
      </x:c>
      <x:c r="N199" s="11" t="n">
        <x:v>6268169</x:v>
      </x:c>
      <x:c r="O199" s="11" t="n">
        <x:v>6946659</x:v>
      </x:c>
      <x:c r="P199" s="11" t="n">
        <x:v>1984986</x:v>
      </x:c>
      <x:c r="Q199" s="11" t="n">
        <x:v>1992899</x:v>
      </x:c>
      <x:c r="R199" s="11" t="n">
        <x:v>11337781</x:v>
      </x:c>
      <x:c r="S199" s="11" t="n">
        <x:v>2228721</x:v>
      </x:c>
      <x:c r="T199" s="11" t="n">
        <x:v>34190746</x:v>
      </x:c>
      <x:c r="U199" s="11" t="n">
        <x:v>29387480</x:v>
      </x:c>
      <x:c r="V199" s="11" t="n">
        <x:v>7152816</x:v>
      </x:c>
      <x:c r="W199" s="11" t="n">
        <x:v>20291071</x:v>
      </x:c>
      <x:c r="X199" s="11" t="n">
        <x:v>0</x:v>
      </x:c>
      <x:c r="Y199" s="11" t="n">
        <x:v>0</x:v>
      </x:c>
      <x:c r="Z199" s="11" t="n">
        <x:v>0</x:v>
      </x:c>
      <x:c r="AA199" s="11" t="n">
        <x:v>0</x:v>
      </x:c>
      <x:c r="AB199" s="11" t="n">
        <x:v>0</x:v>
      </x:c>
      <x:c r="AC199" s="11" t="n">
        <x:v>0</x:v>
      </x:c>
      <x:c r="AD199" s="11" t="n">
        <x:v>3821863</x:v>
      </x:c>
      <x:c r="AE199" s="11" t="n">
        <x:v>3821863</x:v>
      </x:c>
      <x:c r="AF199" s="11" t="n">
        <x:v>15287452</x:v>
      </x:c>
      <x:c r="AG199" s="11" t="n">
        <x:v>90854013</x:v>
      </x:c>
      <x:c r="AH199" s="11" t="n">
        <x:v>35650714</x:v>
      </x:c>
      <x:c r="AI199" s="11" t="n">
        <x:v>55203299</x:v>
      </x:c>
      <x:c r="AJ199" s="11" t="n">
        <x:v>5362704</x:v>
      </x:c>
      <x:c r="AK199" s="11" t="n">
        <x:v>529523116</x:v>
      </x:c>
      <x:c r="AL199" s="11" t="n">
        <x:v>6205600</x:v>
      </x:c>
      <x:c r="AM199" s="12" t="n">
        <x:v>0.9882807760180955</x:v>
      </x:c>
      <x:c r="AN199" s="12" t="n">
        <x:v>0.010127421897101845</x:v>
      </x:c>
      <x:c r="AO199" s="11" t="n">
        <x:v>11998525</x:v>
      </x:c>
      <x:c r="AP199" s="11" t="n">
        <x:v>11726289</x:v>
      </x:c>
      <x:c r="AQ199" s="12" t="n">
        <x:v>0.9773108777953957</x:v>
      </x:c>
      <x:c r="AR199" s="11" t="n">
        <x:v>3118.576637039724</x:v>
      </x:c>
      <x:c r="AS199" s="11" t="n">
        <x:v>2460.820243061854</x:v>
      </x:c>
      <x:c r="AT199" s="11" t="n">
        <x:v>1297.445311082895</x:v>
      </x:c>
      <x:c r="AU199" s="11" t="n">
        <x:v>3680.586069290767</x:v>
      </x:c>
      <x:c r="AV199" s="11" t="n">
        <x:v>0</x:v>
      </x:c>
      <x:c r="AW199" s="11" t="n">
        <x:v>1.1634459980917045</x:v>
      </x:c>
      <x:c r="AX199" s="12" t="n">
        <x:v>1</x:v>
      </x:c>
      <x:c r="AY199" s="11" t="n">
        <x:v>3601.3561989291247</x:v>
      </x:c>
      <x:c r="AZ199" s="11" t="n">
        <x:v>3546.5079302077975</x:v>
      </x:c>
      <x:c r="BA199" s="11" t="n">
        <x:v>2957.8976990295423</x:v>
      </x:c>
      <x:c r="BB199" s="11" t="n">
        <x:v>2783.665107049771</x:v>
      </x:c>
      <x:c r="BC199" s="11" t="n">
        <x:v>1917.0647247750476</x:v>
      </x:c>
      <x:c r="BD199" s="11" t="n">
        <x:v>2437.8724475115623</x:v>
      </x:c>
      <x:c r="BE199" s="11" t="n">
        <x:v>987.5598464714869</x:v>
      </x:c>
      <x:c r="BF199" s="11" t="n">
        <x:v>1604.3462673977224</x:v>
      </x:c>
      <x:c r="BG199" s="11" t="n">
        <x:v>936.3446522221191</x:v>
      </x:c>
      <x:c r="BH199" s="11" t="n">
        <x:v>518.5374381567245</x:v>
      </x:c>
      <x:c r="BI199" s="11" t="n">
        <x:v>1.3967465323081123</x:v>
      </x:c>
      <x:c r="BJ199" s="11" t="n">
        <x:v>1.7099330852451193</x:v>
      </x:c>
      <x:c r="BK199" s="12" t="n">
        <x:v>0.018327243000235003</x:v>
      </x:c>
      <x:c r="BL199" s="12" t="n">
        <x:v>0.02529861000232605</x:v>
      </x:c>
      <x:c r="BM199" s="12" t="n">
        <x:v>0.982034678745671</x:v>
      </x:c>
      <x:c r="BN199" s="12" t="n">
        <x:v>0.9815511712696461</x:v>
      </x:c>
      <x:c r="BO199" s="12" t="n">
        <x:v>0.7988058564062199</x:v>
      </x:c>
      <x:c r="BP199" s="12" t="n">
        <x:v>0.8619101997275483</x:v>
      </x:c>
      <x:c r="BQ199" s="12" t="n">
        <x:v>0.970292410805516</x:v>
      </x:c>
      <x:c r="BR199" s="12" t="n">
        <x:v>0.9623635142836453</x:v>
      </x:c>
      <x:c r="BS199" s="12" t="n">
        <x:v>0.19624174475580758</x:v>
      </x:c>
      <x:c r="BT199" s="12" t="n">
        <x:v>0.19976549769108282</x:v>
      </x:c>
      <x:c r="BU199" s="11" t="n">
        <x:v>529124</x:v>
      </x:c>
      <x:c r="BV199" s="11" t="n">
        <x:v>837095</x:v>
      </x:c>
      <x:c r="BW199" s="11" t="n">
        <x:v>618767</x:v>
      </x:c>
      <x:c r="BX199" s="11" t="n">
        <x:v>1455524</x:v>
      </x:c>
      <x:c r="BY199" s="11" t="n">
        <x:v>0</x:v>
      </x:c>
      <x:c r="BZ199" s="11" t="n">
        <x:v>537375</x:v>
      </x:c>
      <x:c r="CA199" s="11" t="n">
        <x:v>0</x:v>
      </x:c>
      <x:c r="CB199" s="11" t="n">
        <x:v>0</x:v>
      </x:c>
      <x:c r="CC199" s="11" t="n">
        <x:v>1610264</x:v>
      </x:c>
      <x:c r="CD199" s="11" t="n">
        <x:v>3277229</x:v>
      </x:c>
      <x:c r="CE199" s="11" t="n">
        <x:v>369044</x:v>
      </x:c>
      <x:c r="CF199" s="11" t="n">
        <x:v>0</x:v>
      </x:c>
      <x:c r="CG199" s="11" t="n">
        <x:v>358209</x:v>
      </x:c>
      <x:c r="CH199" s="11" t="n">
        <x:v>1479297</x:v>
      </x:c>
      <x:c r="CI199" s="11" t="n">
        <x:v>837946</x:v>
      </x:c>
      <x:c r="CJ199" s="11" t="n">
        <x:v>1911691</x:v>
      </x:c>
      <x:c r="CK199" s="11" t="n">
        <x:v>1493386</x:v>
      </x:c>
      <x:c r="CL199" s="11" t="n">
        <x:v>0</x:v>
      </x:c>
      <x:c r="CM199" s="11" t="n">
        <x:v>0</x:v>
      </x:c>
      <x:c r="CN199" s="11" t="n">
        <x:v>715</x:v>
      </x:c>
      <x:c r="CO199" s="11" t="n">
        <x:v>0</x:v>
      </x:c>
      <x:c r="CP199" s="8"/>
      <x:c r="CQ199" s="8"/>
    </x:row>
    <x:row r="200">
      <x:c r="A200" s="8" t="str">
        <x:v>Elkford|2019</x:v>
      </x:c>
      <x:c r="B200" s="8" t="str">
        <x:v>elkford-d</x:v>
      </x:c>
      <x:c r="C200" s="8" t="str">
        <x:v>Elkford</x:v>
      </x:c>
      <x:c r="D200" s="8" t="str">
        <x:v>Elkford</x:v>
      </x:c>
      <x:c r="E200" s="8" t="str">
        <x:v>D</x:v>
      </x:c>
      <x:c r="F200" s="8" t="str">
        <x:v>EKO</x:v>
      </x:c>
      <x:c r="G200" s="9" t="n">
        <x:v>2019</x:v>
      </x:c>
      <x:c r="H200" s="10" t="n">
        <x:v>2690</x:v>
      </x:c>
      <x:c r="I200" s="8" t="str">
        <x:v>Under 5,000</x:v>
      </x:c>
      <x:c r="J200" s="11" t="n">
        <x:v>8710809</x:v>
      </x:c>
      <x:c r="K200" s="11" t="n">
        <x:v>7884630</x:v>
      </x:c>
      <x:c r="L200" s="11" t="n">
        <x:v>826179</x:v>
      </x:c>
      <x:c r="M200" s="12" t="n">
        <x:v>0.0948452663811134</x:v>
      </x:c>
      <x:c r="N200" s="11" t="n">
        <x:v>5886653</x:v>
      </x:c>
      <x:c r="O200" s="11" t="n">
        <x:v>1199587</x:v>
      </x:c>
      <x:c r="P200" s="11" t="n">
        <x:v>1003787</x:v>
      </x:c>
      <x:c r="Q200" s="11" t="n">
        <x:v>620782</x:v>
      </x:c>
      <x:c r="R200" s="11" t="n">
        <x:v>6511932</x:v>
      </x:c>
      <x:c r="S200" s="11" t="n">
        <x:v>1308698</x:v>
      </x:c>
      <x:c r="T200" s="11" t="n">
        <x:v>12169703</x:v>
      </x:c>
      <x:c r="U200" s="11" t="n">
        <x:v>6346388</x:v>
      </x:c>
      <x:c r="V200" s="11" t="n">
        <x:v>6844044</x:v>
      </x:c>
      <x:c r="W200" s="11" t="n">
        <x:v>4984351</x:v>
      </x:c>
      <x:c r="X200" s="11" t="n">
        <x:v>2000000</x:v>
      </x:c>
      <x:c r="Y200" s="11" t="n">
        <x:v>2500000</x:v>
      </x:c>
      <x:c r="Z200" s="11" t="n">
        <x:v>74431</x:v>
      </x:c>
      <x:c r="AA200" s="11" t="n">
        <x:v>4425569</x:v>
      </x:c>
      <x:c r="AB200" s="11" t="n">
        <x:v>64000</x:v>
      </x:c>
      <x:c r="AC200" s="11" t="n">
        <x:v>138431</x:v>
      </x:c>
      <x:c r="AD200" s="11" t="n">
        <x:v>1808228</x:v>
      </x:c>
      <x:c r="AE200" s="11" t="n">
        <x:v>1669797</x:v>
      </x:c>
      <x:c r="AF200" s="11" t="n">
        <x:v>7232911</x:v>
      </x:c>
      <x:c r="AG200" s="11" t="n">
        <x:v>75065379</x:v>
      </x:c>
      <x:c r="AH200" s="11" t="n">
        <x:v>34384937</x:v>
      </x:c>
      <x:c r="AI200" s="11" t="n">
        <x:v>40680442</x:v>
      </x:c>
      <x:c r="AJ200" s="11" t="n">
        <x:v>3699174</x:v>
      </x:c>
      <x:c r="AK200" s="11" t="n">
        <x:v>10801031</x:v>
      </x:c>
      <x:c r="AL200" s="11" t="n">
        <x:v>0</x:v>
      </x:c>
      <x:c r="AM200" s="12" t="n">
        <x:v>1</x:v>
      </x:c>
      <x:c r="AN200" s="12" t="n">
        <x:v>0.34248341662939397</x:v>
      </x:c>
      <x:c r="AO200" s="11" t="n">
        <x:v>9263723</x:v>
      </x:c>
      <x:c r="AP200" s="11" t="n">
        <x:v>9123099</x:v>
      </x:c>
      <x:c r="AQ200" s="12" t="n">
        <x:v>0.9848199260707601</x:v>
      </x:c>
      <x:c r="AR200" s="11" t="n">
        <x:v>3238.2189591078068</x:v>
      </x:c>
      <x:c r="AS200" s="11" t="n">
        <x:v>2931.089219330855</x:v>
      </x:c>
      <x:c r="AT200" s="11" t="n">
        <x:v>2544.254275092937</x:v>
      </x:c>
      <x:c r="AU200" s="11" t="n">
        <x:v>1852.9185873605948</x:v>
      </x:c>
      <x:c r="AV200" s="11" t="n">
        <x:v>1645.192936802974</x:v>
      </x:c>
      <x:c r="AW200" s="11" t="n">
        <x:v>1.9175794168273355</x:v>
      </x:c>
      <x:c r="AX200" s="12" t="n">
        <x:v>0.923443835622499</x:v>
      </x:c>
      <x:c r="AY200" s="11"/>
      <x:c r="AZ200" s="11"/>
      <x:c r="BA200" s="11"/>
      <x:c r="BB200" s="11"/>
      <x:c r="BC200" s="11"/>
      <x:c r="BD200" s="11"/>
      <x:c r="BE200" s="11"/>
      <x:c r="BF200" s="11"/>
      <x:c r="BG200" s="11"/>
      <x:c r="BH200" s="11"/>
      <x:c r="BI200" s="11"/>
      <x:c r="BJ200" s="11"/>
      <x:c r="BK200" s="12"/>
      <x:c r="BL200" s="12"/>
      <x:c r="BM200" s="12"/>
      <x:c r="BN200" s="12"/>
      <x:c r="BO200" s="12"/>
      <x:c r="BP200" s="12"/>
      <x:c r="BQ200" s="12"/>
      <x:c r="BR200" s="12"/>
      <x:c r="BS200" s="12"/>
      <x:c r="BT200" s="12"/>
      <x:c r="BU200" s="11" t="n">
        <x:v>9230</x:v>
      </x:c>
      <x:c r="BV200" s="11" t="n">
        <x:v>521055</x:v>
      </x:c>
      <x:c r="BW200" s="11" t="n">
        <x:v>473502</x:v>
      </x:c>
      <x:c r="BX200" s="11" t="n">
        <x:v>127839</x:v>
      </x:c>
      <x:c r="BY200" s="11" t="n">
        <x:v>0</x:v>
      </x:c>
      <x:c r="BZ200" s="11" t="n">
        <x:v>43832</x:v>
      </x:c>
      <x:c r="CA200" s="11" t="n">
        <x:v>14268</x:v>
      </x:c>
      <x:c r="CB200" s="11" t="n">
        <x:v>434843</x:v>
      </x:c>
      <x:c r="CC200" s="11" t="n">
        <x:v>1328426</x:v>
      </x:c>
      <x:c r="CD200" s="11" t="n">
        <x:v>762145</x:v>
      </x:c>
      <x:c r="CE200" s="11" t="n">
        <x:v>92218</x:v>
      </x:c>
      <x:c r="CF200" s="11" t="n">
        <x:v>9915</x:v>
      </x:c>
      <x:c r="CG200" s="11" t="n">
        <x:v>631328</x:v>
      </x:c>
      <x:c r="CH200" s="11" t="n">
        <x:v>1271350</x:v>
      </x:c>
      <x:c r="CI200" s="11" t="n">
        <x:v>1894675</x:v>
      </x:c>
      <x:c r="CJ200" s="11" t="n">
        <x:v>406643</x:v>
      </x:c>
      <x:c r="CK200" s="11" t="n">
        <x:v>179232</x:v>
      </x:c>
      <x:c r="CL200" s="11" t="n">
        <x:v>0</x:v>
      </x:c>
      <x:c r="CM200" s="11"/>
      <x:c r="CN200" s="11" t="n">
        <x:v>0</x:v>
      </x:c>
      <x:c r="CO200" s="11" t="n">
        <x:v>0</x:v>
      </x:c>
      <x:c r="CP200" s="8"/>
      <x:c r="CQ200" s="8"/>
    </x:row>
    <x:row r="201">
      <x:c r="A201" s="8" t="str">
        <x:v>Elkford|2020</x:v>
      </x:c>
      <x:c r="B201" s="8" t="str">
        <x:v>elkford-d</x:v>
      </x:c>
      <x:c r="C201" s="8" t="str">
        <x:v>Elkford</x:v>
      </x:c>
      <x:c r="D201" s="8" t="str">
        <x:v>Elkford</x:v>
      </x:c>
      <x:c r="E201" s="8" t="str">
        <x:v>D</x:v>
      </x:c>
      <x:c r="F201" s="8" t="str">
        <x:v>EKO</x:v>
      </x:c>
      <x:c r="G201" s="9" t="n">
        <x:v>2020</x:v>
      </x:c>
      <x:c r="H201" s="10" t="n">
        <x:v>2716</x:v>
      </x:c>
      <x:c r="I201" s="8" t="str">
        <x:v>Under 5,000</x:v>
      </x:c>
      <x:c r="J201" s="11" t="n">
        <x:v>10546450</x:v>
      </x:c>
      <x:c r="K201" s="11" t="n">
        <x:v>7988538</x:v>
      </x:c>
      <x:c r="L201" s="11" t="n">
        <x:v>2557912</x:v>
      </x:c>
      <x:c r="M201" s="12" t="n">
        <x:v>0.24253772596466108</x:v>
      </x:c>
      <x:c r="N201" s="11" t="n">
        <x:v>6218229</x:v>
      </x:c>
      <x:c r="O201" s="11" t="n">
        <x:v>1445684</x:v>
      </x:c>
      <x:c r="P201" s="11" t="n">
        <x:v>2393309</x:v>
      </x:c>
      <x:c r="Q201" s="11" t="n">
        <x:v>489228</x:v>
      </x:c>
      <x:c r="R201" s="11" t="n">
        <x:v>6459277</x:v>
      </x:c>
      <x:c r="S201" s="11" t="n">
        <x:v>1395952</x:v>
      </x:c>
      <x:c r="T201" s="11" t="n">
        <x:v>14487037</x:v>
      </x:c>
      <x:c r="U201" s="11" t="n">
        <x:v>12702264</x:v>
      </x:c>
      <x:c r="V201" s="11" t="n">
        <x:v>3398958</x:v>
      </x:c>
      <x:c r="W201" s="11" t="n">
        <x:v>7406337</x:v>
      </x:c>
      <x:c r="X201" s="11" t="n">
        <x:v>4425569</x:v>
      </x:c>
      <x:c r="Y201" s="11" t="n">
        <x:v>5900000</x:v>
      </x:c>
      <x:c r="Z201" s="11" t="n">
        <x:v>167472</x:v>
      </x:c>
      <x:c r="AA201" s="11" t="n">
        <x:v>10155865</x:v>
      </x:c>
      <x:c r="AB201" s="11" t="n">
        <x:v>133309</x:v>
      </x:c>
      <x:c r="AC201" s="11" t="n">
        <x:v>300781</x:v>
      </x:c>
      <x:c r="AD201" s="11" t="n">
        <x:v>1928710</x:v>
      </x:c>
      <x:c r="AE201" s="11" t="n">
        <x:v>1627929</x:v>
      </x:c>
      <x:c r="AF201" s="11" t="n">
        <x:v>7714841</x:v>
      </x:c>
      <x:c r="AG201" s="11" t="n">
        <x:v>82473585</x:v>
      </x:c>
      <x:c r="AH201" s="11" t="n">
        <x:v>35780890</x:v>
      </x:c>
      <x:c r="AI201" s="11" t="n">
        <x:v>46692695</x:v>
      </x:c>
      <x:c r="AJ201" s="11" t="n">
        <x:v>7408205</x:v>
      </x:c>
      <x:c r="AK201" s="11" t="n">
        <x:v>13741809</x:v>
      </x:c>
      <x:c r="AL201" s="11" t="n">
        <x:v>0</x:v>
      </x:c>
      <x:c r="AM201" s="12" t="n">
        <x:v>1</x:v>
      </x:c>
      <x:c r="AN201" s="12" t="n">
        <x:v>0.5390996920420011</x:v>
      </x:c>
      <x:c r="AO201" s="11" t="n">
        <x:v>10051189</x:v>
      </x:c>
      <x:c r="AP201" s="11" t="n">
        <x:v>9910817</x:v>
      </x:c>
      <x:c r="AQ201" s="12" t="n">
        <x:v>0.9860342890776405</x:v>
      </x:c>
      <x:c r="AR201" s="11" t="n">
        <x:v>3883.081737849779</x:v>
      </x:c>
      <x:c r="AS201" s="11" t="n">
        <x:v>2941.2879234167895</x:v>
      </x:c>
      <x:c r="AT201" s="11" t="n">
        <x:v>1251.4572901325478</x:v>
      </x:c>
      <x:c r="AU201" s="11" t="n">
        <x:v>2726.928203240059</x:v>
      </x:c>
      <x:c r="AV201" s="11" t="n">
        <x:v>3739.272827687776</x:v>
      </x:c>
      <x:c r="AW201" s="11" t="n">
        <x:v>1.1405082590001279</x:v>
      </x:c>
      <x:c r="AX201" s="12" t="n">
        <x:v>0.8440506867284351</x:v>
      </x:c>
      <x:c r="AY201" s="11"/>
      <x:c r="AZ201" s="11"/>
      <x:c r="BA201" s="11"/>
      <x:c r="BB201" s="11"/>
      <x:c r="BC201" s="11"/>
      <x:c r="BD201" s="11"/>
      <x:c r="BE201" s="11"/>
      <x:c r="BF201" s="11"/>
      <x:c r="BG201" s="11"/>
      <x:c r="BH201" s="11"/>
      <x:c r="BI201" s="11"/>
      <x:c r="BJ201" s="11"/>
      <x:c r="BK201" s="12"/>
      <x:c r="BL201" s="12"/>
      <x:c r="BM201" s="12"/>
      <x:c r="BN201" s="12"/>
      <x:c r="BO201" s="12"/>
      <x:c r="BP201" s="12"/>
      <x:c r="BQ201" s="12"/>
      <x:c r="BR201" s="12"/>
      <x:c r="BS201" s="12"/>
      <x:c r="BT201" s="12"/>
      <x:c r="BU201" s="11" t="n">
        <x:v>2000</x:v>
      </x:c>
      <x:c r="BV201" s="11" t="n">
        <x:v>2181143</x:v>
      </x:c>
      <x:c r="BW201" s="11" t="n">
        <x:v>210166</x:v>
      </x:c>
      <x:c r="BX201" s="11" t="n">
        <x:v>84504</x:v>
      </x:c>
      <x:c r="BY201" s="11" t="n">
        <x:v>0</x:v>
      </x:c>
      <x:c r="BZ201" s="11" t="n">
        <x:v>5000</x:v>
      </x:c>
      <x:c r="CA201" s="11" t="n">
        <x:v>0</x:v>
      </x:c>
      <x:c r="CB201" s="11" t="n">
        <x:v>399724</x:v>
      </x:c>
      <x:c r="CC201" s="11" t="n">
        <x:v>1425019</x:v>
      </x:c>
      <x:c r="CD201" s="11" t="n">
        <x:v>692412</x:v>
      </x:c>
      <x:c r="CE201" s="11" t="n">
        <x:v>98092</x:v>
      </x:c>
      <x:c r="CF201" s="11" t="n">
        <x:v>9667</x:v>
      </x:c>
      <x:c r="CG201" s="11" t="n">
        <x:v>472548</x:v>
      </x:c>
      <x:c r="CH201" s="11" t="n">
        <x:v>1409633</x:v>
      </x:c>
      <x:c r="CI201" s="11" t="n">
        <x:v>1810883</x:v>
      </x:c>
      <x:c r="CJ201" s="11" t="n">
        <x:v>421985</x:v>
      </x:c>
      <x:c r="CK201" s="11" t="n">
        <x:v>230647</x:v>
      </x:c>
      <x:c r="CL201" s="11" t="n">
        <x:v>0</x:v>
      </x:c>
      <x:c r="CM201" s="11"/>
      <x:c r="CN201" s="11" t="n">
        <x:v>21700</x:v>
      </x:c>
      <x:c r="CO201" s="11" t="n">
        <x:v>0</x:v>
      </x:c>
      <x:c r="CP201" s="8"/>
      <x:c r="CQ201" s="8"/>
    </x:row>
    <x:row r="202">
      <x:c r="A202" s="8" t="str">
        <x:v>Elkford|2021</x:v>
      </x:c>
      <x:c r="B202" s="8" t="str">
        <x:v>elkford-d</x:v>
      </x:c>
      <x:c r="C202" s="8" t="str">
        <x:v>Elkford</x:v>
      </x:c>
      <x:c r="D202" s="8" t="str">
        <x:v>Elkford</x:v>
      </x:c>
      <x:c r="E202" s="8" t="str">
        <x:v>D</x:v>
      </x:c>
      <x:c r="F202" s="8" t="str">
        <x:v>EKO</x:v>
      </x:c>
      <x:c r="G202" s="9" t="n">
        <x:v>2021</x:v>
      </x:c>
      <x:c r="H202" s="10" t="n">
        <x:v>2741</x:v>
      </x:c>
      <x:c r="I202" s="8" t="str">
        <x:v>Under 5,000</x:v>
      </x:c>
      <x:c r="J202" s="11" t="n">
        <x:v>10351875</x:v>
      </x:c>
      <x:c r="K202" s="11" t="n">
        <x:v>8562377</x:v>
      </x:c>
      <x:c r="L202" s="11" t="n">
        <x:v>1789498</x:v>
      </x:c>
      <x:c r="M202" s="12" t="n">
        <x:v>0.17286704099498884</x:v>
      </x:c>
      <x:c r="N202" s="11" t="n">
        <x:v>6510109</x:v>
      </x:c>
      <x:c r="O202" s="11" t="n">
        <x:v>2106053</x:v>
      </x:c>
      <x:c r="P202" s="11" t="n">
        <x:v>1071742</x:v>
      </x:c>
      <x:c r="Q202" s="11" t="n">
        <x:v>663971</x:v>
      </x:c>
      <x:c r="R202" s="11" t="n">
        <x:v>6906812</x:v>
      </x:c>
      <x:c r="S202" s="11" t="n">
        <x:v>1440790</x:v>
      </x:c>
      <x:c r="T202" s="11" t="n">
        <x:v>15742416</x:v>
      </x:c>
      <x:c r="U202" s="11" t="n">
        <x:v>14906557</x:v>
      </x:c>
      <x:c r="V202" s="11" t="n">
        <x:v>2481039</x:v>
      </x:c>
      <x:c r="W202" s="11" t="n">
        <x:v>7411140</x:v>
      </x:c>
      <x:c r="X202" s="11" t="n">
        <x:v>10155865</x:v>
      </x:c>
      <x:c r="Y202" s="11" t="n">
        <x:v>2400000</x:v>
      </x:c>
      <x:c r="Z202" s="11" t="n">
        <x:v>416399</x:v>
      </x:c>
      <x:c r="AA202" s="11" t="n">
        <x:v>12132142</x:v>
      </x:c>
      <x:c r="AB202" s="11" t="n">
        <x:v>214775</x:v>
      </x:c>
      <x:c r="AC202" s="11" t="n">
        <x:v>631174</x:v>
      </x:c>
      <x:c r="AD202" s="11" t="n">
        <x:v>2220724</x:v>
      </x:c>
      <x:c r="AE202" s="11" t="n">
        <x:v>1589550</x:v>
      </x:c>
      <x:c r="AF202" s="11" t="n">
        <x:v>8882896</x:v>
      </x:c>
      <x:c r="AG202" s="11" t="n">
        <x:v>86493235</x:v>
      </x:c>
      <x:c r="AH202" s="11" t="n">
        <x:v>37103691</x:v>
      </x:c>
      <x:c r="AI202" s="11" t="n">
        <x:v>49389544</x:v>
      </x:c>
      <x:c r="AJ202" s="11" t="n">
        <x:v>4231849</x:v>
      </x:c>
      <x:c r="AK202" s="11" t="n">
        <x:v>7274639</x:v>
      </x:c>
      <x:c r="AL202" s="11" t="n">
        <x:v>0</x:v>
      </x:c>
      <x:c r="AM202" s="12" t="n">
        <x:v>1</x:v>
      </x:c>
      <x:c r="AN202" s="12" t="n">
        <x:v>0.5817263234642983</x:v>
      </x:c>
      <x:c r="AO202" s="11" t="n">
        <x:v>10874285</x:v>
      </x:c>
      <x:c r="AP202" s="11" t="n">
        <x:v>10711677</x:v>
      </x:c>
      <x:c r="AQ202" s="12" t="n">
        <x:v>0.985046557083983</x:v>
      </x:c>
      <x:c r="AR202" s="11" t="n">
        <x:v>3776.678219627873</x:v>
      </x:c>
      <x:c r="AS202" s="11" t="n">
        <x:v>3123.8150310105802</x:v>
      </x:c>
      <x:c r="AT202" s="11" t="n">
        <x:v>905.1583363735863</x:v>
      </x:c>
      <x:c r="AU202" s="11" t="n">
        <x:v>2703.808828894564</x:v>
      </x:c>
      <x:c r="AV202" s="11" t="n">
        <x:v>4426.173659248449</x:v>
      </x:c>
      <x:c r="AW202" s="11" t="n">
        <x:v>1.0560732434726543</x:v>
      </x:c>
      <x:c r="AX202" s="12" t="n">
        <x:v>0.715780078929214</x:v>
      </x:c>
      <x:c r="AY202" s="11"/>
      <x:c r="AZ202" s="11"/>
      <x:c r="BA202" s="11"/>
      <x:c r="BB202" s="11"/>
      <x:c r="BC202" s="11"/>
      <x:c r="BD202" s="11"/>
      <x:c r="BE202" s="11"/>
      <x:c r="BF202" s="11"/>
      <x:c r="BG202" s="11"/>
      <x:c r="BH202" s="11"/>
      <x:c r="BI202" s="11"/>
      <x:c r="BJ202" s="11"/>
      <x:c r="BK202" s="12"/>
      <x:c r="BL202" s="12"/>
      <x:c r="BM202" s="12"/>
      <x:c r="BN202" s="12"/>
      <x:c r="BO202" s="12"/>
      <x:c r="BP202" s="12"/>
      <x:c r="BQ202" s="12"/>
      <x:c r="BR202" s="12"/>
      <x:c r="BS202" s="12"/>
      <x:c r="BT202" s="12"/>
      <x:c r="BU202" s="11" t="n">
        <x:v>2500</x:v>
      </x:c>
      <x:c r="BV202" s="11" t="n">
        <x:v>711870</x:v>
      </x:c>
      <x:c r="BW202" s="11" t="n">
        <x:v>357372</x:v>
      </x:c>
      <x:c r="BX202" s="11" t="n">
        <x:v>100413</x:v>
      </x:c>
      <x:c r="BY202" s="11" t="n">
        <x:v>0</x:v>
      </x:c>
      <x:c r="BZ202" s="11" t="n">
        <x:v>44890</x:v>
      </x:c>
      <x:c r="CA202" s="11" t="n">
        <x:v>69282</x:v>
      </x:c>
      <x:c r="CB202" s="11" t="n">
        <x:v>449386</x:v>
      </x:c>
      <x:c r="CC202" s="11" t="n">
        <x:v>1640527</x:v>
      </x:c>
      <x:c r="CD202" s="11" t="n">
        <x:v>802391</x:v>
      </x:c>
      <x:c r="CE202" s="11" t="n">
        <x:v>108223</x:v>
      </x:c>
      <x:c r="CF202" s="11" t="n">
        <x:v>4203</x:v>
      </x:c>
      <x:c r="CG202" s="11" t="n">
        <x:v>545396</x:v>
      </x:c>
      <x:c r="CH202" s="11" t="n">
        <x:v>1314441</x:v>
      </x:c>
      <x:c r="CI202" s="11" t="n">
        <x:v>2063763</x:v>
      </x:c>
      <x:c r="CJ202" s="11" t="n">
        <x:v>378755</x:v>
      </x:c>
      <x:c r="CK202" s="11" t="n">
        <x:v>263888</x:v>
      </x:c>
      <x:c r="CL202" s="11" t="n">
        <x:v>0</x:v>
      </x:c>
      <x:c r="CM202" s="11"/>
      <x:c r="CN202" s="11" t="n">
        <x:v>0</x:v>
      </x:c>
      <x:c r="CO202" s="11" t="n">
        <x:v>0</x:v>
      </x:c>
      <x:c r="CP202" s="8"/>
      <x:c r="CQ202" s="8"/>
    </x:row>
    <x:row r="203">
      <x:c r="A203" s="8" t="str">
        <x:v>Elkford|2022</x:v>
      </x:c>
      <x:c r="B203" s="8" t="str">
        <x:v>elkford-d</x:v>
      </x:c>
      <x:c r="C203" s="8" t="str">
        <x:v>Elkford</x:v>
      </x:c>
      <x:c r="D203" s="8" t="str">
        <x:v>Elkford</x:v>
      </x:c>
      <x:c r="E203" s="8" t="str">
        <x:v>D</x:v>
      </x:c>
      <x:c r="F203" s="8" t="str">
        <x:v>EKO</x:v>
      </x:c>
      <x:c r="G203" s="9" t="n">
        <x:v>2022</x:v>
      </x:c>
      <x:c r="H203" s="10" t="n">
        <x:v>3246</x:v>
      </x:c>
      <x:c r="I203" s="8" t="str">
        <x:v>Under 5,000</x:v>
      </x:c>
      <x:c r="J203" s="11" t="n">
        <x:v>13084626</x:v>
      </x:c>
      <x:c r="K203" s="11" t="n">
        <x:v>9066222</x:v>
      </x:c>
      <x:c r="L203" s="11" t="n">
        <x:v>4018404</x:v>
      </x:c>
      <x:c r="M203" s="12" t="n">
        <x:v>0.30710881610219504</x:v>
      </x:c>
      <x:c r="N203" s="11" t="n">
        <x:v>6885684</x:v>
      </x:c>
      <x:c r="O203" s="11" t="n">
        <x:v>3241071</x:v>
      </x:c>
      <x:c r="P203" s="11" t="n">
        <x:v>2060570</x:v>
      </x:c>
      <x:c r="Q203" s="11" t="n">
        <x:v>897301</x:v>
      </x:c>
      <x:c r="R203" s="11" t="n">
        <x:v>7162838</x:v>
      </x:c>
      <x:c r="S203" s="11" t="n">
        <x:v>1671854</x:v>
      </x:c>
      <x:c r="T203" s="11" t="n">
        <x:v>17946028</x:v>
      </x:c>
      <x:c r="U203" s="11" t="n">
        <x:v>14777041</x:v>
      </x:c>
      <x:c r="V203" s="11" t="n">
        <x:v>5119303</x:v>
      </x:c>
      <x:c r="W203" s="11" t="n">
        <x:v>3857013</x:v>
      </x:c>
      <x:c r="X203" s="11" t="n">
        <x:v>12132142</x:v>
      </x:c>
      <x:c r="Y203" s="11" t="n">
        <x:v>0</x:v>
      </x:c>
      <x:c r="Z203" s="11" t="n">
        <x:v>512740</x:v>
      </x:c>
      <x:c r="AA203" s="11" t="n">
        <x:v>11602478</x:v>
      </x:c>
      <x:c r="AB203" s="11" t="n">
        <x:v>231530</x:v>
      </x:c>
      <x:c r="AC203" s="11" t="n">
        <x:v>744270</x:v>
      </x:c>
      <x:c r="AD203" s="11" t="n">
        <x:v>2529286</x:v>
      </x:c>
      <x:c r="AE203" s="11" t="n">
        <x:v>1785016</x:v>
      </x:c>
      <x:c r="AF203" s="11" t="n">
        <x:v>10117143</x:v>
      </x:c>
      <x:c r="AG203" s="11" t="n">
        <x:v>89162203</x:v>
      </x:c>
      <x:c r="AH203" s="11" t="n">
        <x:v>38417568</x:v>
      </x:c>
      <x:c r="AI203" s="11" t="n">
        <x:v>50744635</x:v>
      </x:c>
      <x:c r="AJ203" s="11" t="n">
        <x:v>3038371</x:v>
      </x:c>
      <x:c r="AK203" s="11" t="n">
        <x:v>9448222</x:v>
      </x:c>
      <x:c r="AL203" s="11" t="n">
        <x:v>0</x:v>
      </x:c>
      <x:c r="AM203" s="12" t="n">
        <x:v>1</x:v>
      </x:c>
      <x:c r="AN203" s="12" t="n">
        <x:v>0.3215812456565902</x:v>
      </x:c>
      <x:c r="AO203" s="11" t="n">
        <x:v>11276849</x:v>
      </x:c>
      <x:c r="AP203" s="11" t="n">
        <x:v>11121510</x:v>
      </x:c>
      <x:c r="AQ203" s="12" t="n">
        <x:v>0.9862249640834954</x:v>
      </x:c>
      <x:c r="AR203" s="11" t="n">
        <x:v>4031</x:v>
      </x:c>
      <x:c r="AS203" s="11" t="n">
        <x:v>2793.0443622920516</x:v>
      </x:c>
      <x:c r="AT203" s="11" t="n">
        <x:v>1577.111213801602</x:v>
      </x:c>
      <x:c r="AU203" s="11" t="n">
        <x:v>1188.235674676525</x:v>
      </x:c>
      <x:c r="AV203" s="11" t="n">
        <x:v>3574.392483056069</x:v>
      </x:c>
      <x:c r="AW203" s="11" t="n">
        <x:v>1.214453421358173</x:v>
      </x:c>
      <x:c r="AX203" s="12" t="n">
        <x:v>0.7057390900040564</x:v>
      </x:c>
      <x:c r="AY203" s="11"/>
      <x:c r="AZ203" s="11"/>
      <x:c r="BA203" s="11"/>
      <x:c r="BB203" s="11"/>
      <x:c r="BC203" s="11"/>
      <x:c r="BD203" s="11"/>
      <x:c r="BE203" s="11"/>
      <x:c r="BF203" s="11"/>
      <x:c r="BG203" s="11"/>
      <x:c r="BH203" s="11"/>
      <x:c r="BI203" s="11"/>
      <x:c r="BJ203" s="11"/>
      <x:c r="BK203" s="12"/>
      <x:c r="BL203" s="12"/>
      <x:c r="BM203" s="12"/>
      <x:c r="BN203" s="12"/>
      <x:c r="BO203" s="12"/>
      <x:c r="BP203" s="12"/>
      <x:c r="BQ203" s="12"/>
      <x:c r="BR203" s="12"/>
      <x:c r="BS203" s="12"/>
      <x:c r="BT203" s="12"/>
      <x:c r="BU203" s="11" t="n">
        <x:v>0</x:v>
      </x:c>
      <x:c r="BV203" s="11" t="n">
        <x:v>1305475</x:v>
      </x:c>
      <x:c r="BW203" s="11" t="n">
        <x:v>755095</x:v>
      </x:c>
      <x:c r="BX203" s="11" t="n">
        <x:v>513560</x:v>
      </x:c>
      <x:c r="BY203" s="11" t="n">
        <x:v>0</x:v>
      </x:c>
      <x:c r="BZ203" s="11" t="n">
        <x:v>364409</x:v>
      </x:c>
      <x:c r="CA203" s="11" t="n">
        <x:v>19332</x:v>
      </x:c>
      <x:c r="CB203" s="11" t="n">
        <x:v>0</x:v>
      </x:c>
      <x:c r="CC203" s="11" t="n">
        <x:v>1797311</x:v>
      </x:c>
      <x:c r="CD203" s="11" t="n">
        <x:v>844416</x:v>
      </x:c>
      <x:c r="CE203" s="11" t="n">
        <x:v>124889</x:v>
      </x:c>
      <x:c r="CF203" s="11" t="n">
        <x:v>13112</x:v>
      </x:c>
      <x:c r="CG203" s="11" t="n">
        <x:v>545425</x:v>
      </x:c>
      <x:c r="CH203" s="11" t="n">
        <x:v>1310625</x:v>
      </x:c>
      <x:c r="CI203" s="11" t="n">
        <x:v>2048006</x:v>
      </x:c>
      <x:c r="CJ203" s="11" t="n">
        <x:v>422914</x:v>
      </x:c>
      <x:c r="CK203" s="11" t="n">
        <x:v>276994</x:v>
      </x:c>
      <x:c r="CL203" s="11" t="n">
        <x:v>0</x:v>
      </x:c>
      <x:c r="CM203" s="11"/>
      <x:c r="CN203" s="11" t="n">
        <x:v>10676</x:v>
      </x:c>
      <x:c r="CO203" s="11" t="n">
        <x:v>0</x:v>
      </x:c>
      <x:c r="CP203" s="8"/>
      <x:c r="CQ203" s="8"/>
    </x:row>
    <x:row r="204">
      <x:c r="A204" s="8" t="str">
        <x:v>Elkford|2023</x:v>
      </x:c>
      <x:c r="B204" s="8" t="str">
        <x:v>elkford-d</x:v>
      </x:c>
      <x:c r="C204" s="8" t="str">
        <x:v>Elkford</x:v>
      </x:c>
      <x:c r="D204" s="8" t="str">
        <x:v>Elkford</x:v>
      </x:c>
      <x:c r="E204" s="8" t="str">
        <x:v>D</x:v>
      </x:c>
      <x:c r="F204" s="8" t="str">
        <x:v>EKO</x:v>
      </x:c>
      <x:c r="G204" s="9" t="n">
        <x:v>2023</x:v>
      </x:c>
      <x:c r="H204" s="10" t="n">
        <x:v>2805</x:v>
      </x:c>
      <x:c r="I204" s="8" t="str">
        <x:v>Under 5,000</x:v>
      </x:c>
      <x:c r="J204" s="11" t="n">
        <x:v>16746236</x:v>
      </x:c>
      <x:c r="K204" s="11" t="n">
        <x:v>9592147</x:v>
      </x:c>
      <x:c r="L204" s="11" t="n">
        <x:v>7154089</x:v>
      </x:c>
      <x:c r="M204" s="12" t="n">
        <x:v>0.42720579119988517</x:v>
      </x:c>
      <x:c r="N204" s="11" t="n">
        <x:v>7416069</x:v>
      </x:c>
      <x:c r="O204" s="11" t="n">
        <x:v>3746748</x:v>
      </x:c>
      <x:c r="P204" s="11" t="n">
        <x:v>4154057</x:v>
      </x:c>
      <x:c r="Q204" s="11" t="n">
        <x:v>1429362</x:v>
      </x:c>
      <x:c r="R204" s="11" t="n">
        <x:v>7643329</x:v>
      </x:c>
      <x:c r="S204" s="11" t="n">
        <x:v>1717288</x:v>
      </x:c>
      <x:c r="T204" s="11" t="n">
        <x:v>13706856</x:v>
      </x:c>
      <x:c r="U204" s="11" t="n">
        <x:v>14679317</x:v>
      </x:c>
      <x:c r="V204" s="11" t="n">
        <x:v>1516048</x:v>
      </x:c>
      <x:c r="W204" s="11" t="n">
        <x:v>4915448</x:v>
      </x:c>
      <x:c r="X204" s="11" t="n">
        <x:v>11602478</x:v>
      </x:c>
      <x:c r="Y204" s="11" t="n">
        <x:v>0</x:v>
      </x:c>
      <x:c r="Z204" s="11" t="n">
        <x:v>512740</x:v>
      </x:c>
      <x:c r="AA204" s="11" t="n">
        <x:v>11060813</x:v>
      </x:c>
      <x:c r="AB204" s="11" t="n">
        <x:v>231530</x:v>
      </x:c>
      <x:c r="AC204" s="11" t="n">
        <x:v>744270</x:v>
      </x:c>
      <x:c r="AD204" s="11" t="n">
        <x:v>3116585</x:v>
      </x:c>
      <x:c r="AE204" s="11" t="n">
        <x:v>2372315</x:v>
      </x:c>
      <x:c r="AF204" s="11" t="n">
        <x:v>12466339</x:v>
      </x:c>
      <x:c r="AG204" s="11" t="n">
        <x:v>101602539</x:v>
      </x:c>
      <x:c r="AH204" s="11" t="n">
        <x:v>40134858</x:v>
      </x:c>
      <x:c r="AI204" s="11" t="n">
        <x:v>61467681</x:v>
      </x:c>
      <x:c r="AJ204" s="11" t="n">
        <x:v>11954171</x:v>
      </x:c>
      <x:c r="AK204" s="11" t="n">
        <x:v>16484007</x:v>
      </x:c>
      <x:c r="AL204" s="11" t="n">
        <x:v>0</x:v>
      </x:c>
      <x:c r="AM204" s="12" t="n">
        <x:v>1</x:v>
      </x:c>
      <x:c r="AN204" s="12" t="n">
        <x:v>0.7251981268874734</x:v>
      </x:c>
      <x:c r="AO204" s="11" t="n">
        <x:v>12299963</x:v>
      </x:c>
      <x:c r="AP204" s="11" t="n">
        <x:v>12112085</x:v>
      </x:c>
      <x:c r="AQ204" s="12" t="n">
        <x:v>0.9847253199054339</x:v>
      </x:c>
      <x:c r="AR204" s="11" t="n">
        <x:v>5970.1376114081995</x:v>
      </x:c>
      <x:c r="AS204" s="11" t="n">
        <x:v>3419.660249554367</x:v>
      </x:c>
      <x:c r="AT204" s="11" t="n">
        <x:v>540.4805704099822</x:v>
      </x:c>
      <x:c r="AU204" s="11" t="n">
        <x:v>1752.387878787879</x:v>
      </x:c>
      <x:c r="AV204" s="11" t="n">
        <x:v>3943.2488413547235</x:v>
      </x:c>
      <x:c r="AW204" s="11" t="n">
        <x:v>0.9337529804690504</x:v>
      </x:c>
      <x:c r="AX204" s="12" t="n">
        <x:v>0.7611905338696041</x:v>
      </x:c>
      <x:c r="AY204" s="11"/>
      <x:c r="AZ204" s="11"/>
      <x:c r="BA204" s="11"/>
      <x:c r="BB204" s="11"/>
      <x:c r="BC204" s="11"/>
      <x:c r="BD204" s="11"/>
      <x:c r="BE204" s="11"/>
      <x:c r="BF204" s="11"/>
      <x:c r="BG204" s="11"/>
      <x:c r="BH204" s="11"/>
      <x:c r="BI204" s="11"/>
      <x:c r="BJ204" s="11"/>
      <x:c r="BK204" s="12"/>
      <x:c r="BL204" s="12"/>
      <x:c r="BM204" s="12"/>
      <x:c r="BN204" s="12"/>
      <x:c r="BO204" s="12"/>
      <x:c r="BP204" s="12"/>
      <x:c r="BQ204" s="12"/>
      <x:c r="BR204" s="12"/>
      <x:c r="BS204" s="12"/>
      <x:c r="BT204" s="12"/>
      <x:c r="BU204" s="11" t="n">
        <x:v>104400</x:v>
      </x:c>
      <x:c r="BV204" s="11" t="n">
        <x:v>3373867</x:v>
      </x:c>
      <x:c r="BW204" s="11" t="n">
        <x:v>675790</x:v>
      </x:c>
      <x:c r="BX204" s="11" t="n">
        <x:v>927447</x:v>
      </x:c>
      <x:c r="BY204" s="11" t="n">
        <x:v>0</x:v>
      </x:c>
      <x:c r="BZ204" s="11" t="n">
        <x:v>430000</x:v>
      </x:c>
      <x:c r="CA204" s="11" t="n">
        <x:v>71915</x:v>
      </x:c>
      <x:c r="CB204" s="11" t="n">
        <x:v>0</x:v>
      </x:c>
      <x:c r="CC204" s="11" t="n">
        <x:v>1832527</x:v>
      </x:c>
      <x:c r="CD204" s="11" t="n">
        <x:v>966814</x:v>
      </x:c>
      <x:c r="CE204" s="11" t="n">
        <x:v>121421</x:v>
      </x:c>
      <x:c r="CF204" s="11" t="n">
        <x:v>16250</x:v>
      </x:c>
      <x:c r="CG204" s="11" t="n">
        <x:v>721150</x:v>
      </x:c>
      <x:c r="CH204" s="11" t="n">
        <x:v>1279521</x:v>
      </x:c>
      <x:c r="CI204" s="11" t="n">
        <x:v>2102719</x:v>
      </x:c>
      <x:c r="CJ204" s="11" t="n">
        <x:v>531975</x:v>
      </x:c>
      <x:c r="CK204" s="11" t="n">
        <x:v>281285</x:v>
      </x:c>
      <x:c r="CL204" s="11" t="n">
        <x:v>0</x:v>
      </x:c>
      <x:c r="CM204" s="11" t="n">
        <x:v>21197</x:v>
      </x:c>
      <x:c r="CN204" s="11" t="n">
        <x:v>0</x:v>
      </x:c>
      <x:c r="CO204" s="11" t="n">
        <x:v>0</x:v>
      </x:c>
      <x:c r="CP204" s="8"/>
      <x:c r="CQ204" s="8"/>
    </x:row>
    <x:row r="205">
      <x:c r="A205" s="8" t="str">
        <x:v>Elkford|2024</x:v>
      </x:c>
      <x:c r="B205" s="8" t="str">
        <x:v>elkford-d</x:v>
      </x:c>
      <x:c r="C205" s="8" t="str">
        <x:v>Elkford</x:v>
      </x:c>
      <x:c r="D205" s="8" t="str">
        <x:v>Elkford</x:v>
      </x:c>
      <x:c r="E205" s="8" t="str">
        <x:v>D</x:v>
      </x:c>
      <x:c r="F205" s="8" t="str">
        <x:v>EKO</x:v>
      </x:c>
      <x:c r="G205" s="9" t="n">
        <x:v>2024</x:v>
      </x:c>
      <x:c r="H205" s="10" t="n">
        <x:v>2805</x:v>
      </x:c>
      <x:c r="I205" s="8" t="str">
        <x:v>Under 5,000</x:v>
      </x:c>
      <x:c r="J205" s="11" t="n">
        <x:v>14744016</x:v>
      </x:c>
      <x:c r="K205" s="11" t="n">
        <x:v>10253692</x:v>
      </x:c>
      <x:c r="L205" s="11" t="n">
        <x:v>4490324</x:v>
      </x:c>
      <x:c r="M205" s="12" t="n">
        <x:v>0.3045523010826901</x:v>
      </x:c>
      <x:c r="N205" s="11" t="n">
        <x:v>8368647</x:v>
      </x:c>
      <x:c r="O205" s="11" t="n">
        <x:v>3423463</x:v>
      </x:c>
      <x:c r="P205" s="11" t="n">
        <x:v>1786381</x:v>
      </x:c>
      <x:c r="Q205" s="11" t="n">
        <x:v>1165525</x:v>
      </x:c>
      <x:c r="R205" s="11" t="n">
        <x:v>8246153</x:v>
      </x:c>
      <x:c r="S205" s="11" t="n">
        <x:v>1776009</x:v>
      </x:c>
      <x:c r="T205" s="11" t="n">
        <x:v>15562211</x:v>
      </x:c>
      <x:c r="U205" s="11" t="n">
        <x:v>13397914</x:v>
      </x:c>
      <x:c r="V205" s="11" t="n">
        <x:v>3813818</x:v>
      </x:c>
      <x:c r="W205" s="11" t="n">
        <x:v>5791900</x:v>
      </x:c>
      <x:c r="X205" s="11" t="n">
        <x:v>11060813</x:v>
      </x:c>
      <x:c r="Y205" s="11" t="n">
        <x:v>0</x:v>
      </x:c>
      <x:c r="Z205" s="11" t="n">
        <x:v>512741</x:v>
      </x:c>
      <x:c r="AA205" s="11" t="n">
        <x:v>10506857</x:v>
      </x:c>
      <x:c r="AB205" s="11" t="n">
        <x:v>231530</x:v>
      </x:c>
      <x:c r="AC205" s="11" t="n">
        <x:v>744271</x:v>
      </x:c>
      <x:c r="AD205" s="11" t="n">
        <x:v>3224789</x:v>
      </x:c>
      <x:c r="AE205" s="11" t="n">
        <x:v>2480518</x:v>
      </x:c>
      <x:c r="AF205" s="11" t="n">
        <x:v>12899156</x:v>
      </x:c>
      <x:c r="AG205" s="11" t="n">
        <x:v>105583909</x:v>
      </x:c>
      <x:c r="AH205" s="11" t="n">
        <x:v>41910866</x:v>
      </x:c>
      <x:c r="AI205" s="11" t="n">
        <x:v>63673043</x:v>
      </x:c>
      <x:c r="AJ205" s="11" t="n">
        <x:v>3981370</x:v>
      </x:c>
      <x:c r="AK205" s="11" t="n">
        <x:v>172996959</x:v>
      </x:c>
      <x:c r="AL205" s="11" t="n">
        <x:v>1363632</x:v>
      </x:c>
      <x:c r="AM205" s="12" t="n">
        <x:v>0.9921175955468674</x:v>
      </x:c>
      <x:c r="AN205" s="12" t="n">
        <x:v>0.023014103964682987</x:v>
      </x:c>
      <x:c r="AO205" s="11" t="n">
        <x:v>13139491</x:v>
      </x:c>
      <x:c r="AP205" s="11" t="n">
        <x:v>12924087</x:v>
      </x:c>
      <x:c r="AQ205" s="12" t="n">
        <x:v>0.9836063664871036</x:v>
      </x:c>
      <x:c r="AR205" s="11" t="n">
        <x:v>5256.333689839572</x:v>
      </x:c>
      <x:c r="AS205" s="11" t="n">
        <x:v>3655.5051693404635</x:v>
      </x:c>
      <x:c r="AT205" s="11" t="n">
        <x:v>1359.6499108734404</x:v>
      </x:c>
      <x:c r="AU205" s="11" t="n">
        <x:v>2064.848484848485</x:v>
      </x:c>
      <x:c r="AV205" s="11" t="n">
        <x:v>3745.760071301248</x:v>
      </x:c>
      <x:c r="AW205" s="11" t="n">
        <x:v>1.1615398486659938</x:v>
      </x:c>
      <x:c r="AX205" s="12" t="n">
        <x:v>0.7692031943795392</x:v>
      </x:c>
      <x:c r="AY205" s="11" t="n">
        <x:v>4486.511144130758</x:v>
      </x:c>
      <x:c r="AZ205" s="11" t="n">
        <x:v>3546.5079302077975</x:v>
      </x:c>
      <x:c r="BA205" s="11" t="n">
        <x:v>3557.844717668488</x:v>
      </x:c>
      <x:c r="BB205" s="11" t="n">
        <x:v>2783.665107049771</x:v>
      </x:c>
      <x:c r="BC205" s="11" t="n">
        <x:v>5496.677373974208</x:v>
      </x:c>
      <x:c r="BD205" s="11" t="n">
        <x:v>2437.8724475115623</x:v>
      </x:c>
      <x:c r="BE205" s="11" t="n">
        <x:v>3386.4506393861893</x:v>
      </x:c>
      <x:c r="BF205" s="11" t="n">
        <x:v>1604.3462673977224</x:v>
      </x:c>
      <x:c r="BG205" s="11" t="n">
        <x:v>624.7436119532265</x:v>
      </x:c>
      <x:c r="BH205" s="11" t="n">
        <x:v>518.5374381567245</x:v>
      </x:c>
      <x:c r="BI205" s="11" t="n">
        <x:v>3.324657351485151</x:v>
      </x:c>
      <x:c r="BJ205" s="11" t="n">
        <x:v>1.7099330852451193</x:v>
      </x:c>
      <x:c r="BK205" s="12" t="n">
        <x:v>0.02521828600111612</x:v>
      </x:c>
      <x:c r="BL205" s="12" t="n">
        <x:v>0.02529861000232605</x:v>
      </x:c>
      <x:c r="BM205" s="12" t="n">
        <x:v>0.9816336034641139</x:v>
      </x:c>
      <x:c r="BN205" s="12" t="n">
        <x:v>0.9815511712696461</x:v>
      </x:c>
      <x:c r="BO205" s="12" t="n">
        <x:v>0.8531878894527055</x:v>
      </x:c>
      <x:c r="BP205" s="12" t="n">
        <x:v>0.8619101997275483</x:v>
      </x:c>
      <x:c r="BQ205" s="12" t="n">
        <x:v>0.9614729661922712</x:v>
      </x:c>
      <x:c r="BR205" s="12" t="n">
        <x:v>0.9623635142836453</x:v>
      </x:c>
      <x:c r="BS205" s="12" t="n">
        <x:v>0.23352896680225554</x:v>
      </x:c>
      <x:c r="BT205" s="12" t="n">
        <x:v>0.19976549769108282</x:v>
      </x:c>
      <x:c r="BU205" s="11" t="n">
        <x:v>188584</x:v>
      </x:c>
      <x:c r="BV205" s="11" t="n">
        <x:v>1294501</x:v>
      </x:c>
      <x:c r="BW205" s="11" t="n">
        <x:v>303296</x:v>
      </x:c>
      <x:c r="BX205" s="11" t="n">
        <x:v>697161</x:v>
      </x:c>
      <x:c r="BY205" s="11" t="n">
        <x:v>0</x:v>
      </x:c>
      <x:c r="BZ205" s="11" t="n">
        <x:v>207404</x:v>
      </x:c>
      <x:c r="CA205" s="11" t="n">
        <x:v>260960</x:v>
      </x:c>
      <x:c r="CB205" s="11" t="n">
        <x:v>0</x:v>
      </x:c>
      <x:c r="CC205" s="11" t="n">
        <x:v>1858433</x:v>
      </x:c>
      <x:c r="CD205" s="11" t="n">
        <x:v>1146091</x:v>
      </x:c>
      <x:c r="CE205" s="11" t="n">
        <x:v>157198</x:v>
      </x:c>
      <x:c r="CF205" s="11" t="n">
        <x:v>0</x:v>
      </x:c>
      <x:c r="CG205" s="11" t="n">
        <x:v>902729</x:v>
      </x:c>
      <x:c r="CH205" s="11" t="n">
        <x:v>1422576</x:v>
      </x:c>
      <x:c r="CI205" s="11" t="n">
        <x:v>2056355</x:v>
      </x:c>
      <x:c r="CJ205" s="11" t="n">
        <x:v>431513</x:v>
      </x:c>
      <x:c r="CK205" s="11" t="n">
        <x:v>477381</x:v>
      </x:c>
      <x:c r="CL205" s="11" t="n">
        <x:v>7459</x:v>
      </x:c>
      <x:c r="CM205" s="11" t="n">
        <x:v>17948</x:v>
      </x:c>
      <x:c r="CN205" s="11" t="n">
        <x:v>0</x:v>
      </x:c>
      <x:c r="CO205" s="11" t="n">
        <x:v>0</x:v>
      </x:c>
      <x:c r="CP205" s="8"/>
      <x:c r="CQ205" s="8"/>
    </x:row>
    <x:row r="206">
      <x:c r="A206" s="8" t="str">
        <x:v>Enderby|2019</x:v>
      </x:c>
      <x:c r="B206" s="8" t="str">
        <x:v>enderby-c</x:v>
      </x:c>
      <x:c r="C206" s="8" t="str">
        <x:v>Enderby</x:v>
      </x:c>
      <x:c r="D206" s="8" t="str">
        <x:v>Enderby</x:v>
      </x:c>
      <x:c r="E206" s="8" t="str">
        <x:v>C</x:v>
      </x:c>
      <x:c r="F206" s="8" t="str">
        <x:v>NOK</x:v>
      </x:c>
      <x:c r="G206" s="9" t="n">
        <x:v>2019</x:v>
      </x:c>
      <x:c r="H206" s="10" t="n">
        <x:v>3143</x:v>
      </x:c>
      <x:c r="I206" s="8" t="str">
        <x:v>Under 5,000</x:v>
      </x:c>
      <x:c r="J206" s="11" t="n">
        <x:v>5698935</x:v>
      </x:c>
      <x:c r="K206" s="11" t="n">
        <x:v>4927740</x:v>
      </x:c>
      <x:c r="L206" s="11" t="n">
        <x:v>771195</x:v>
      </x:c>
      <x:c r="M206" s="12" t="n">
        <x:v>0.13532265239031505</x:v>
      </x:c>
      <x:c r="N206" s="11" t="n">
        <x:v>2158577</x:v>
      </x:c>
      <x:c r="O206" s="11" t="n">
        <x:v>1653318</x:v>
      </x:c>
      <x:c r="P206" s="11" t="n">
        <x:v>1748810</x:v>
      </x:c>
      <x:c r="Q206" s="11" t="n">
        <x:v>138230</x:v>
      </x:c>
      <x:c r="R206" s="11" t="n">
        <x:v>3512674</x:v>
      </x:c>
      <x:c r="S206" s="11" t="n">
        <x:v>1297795</x:v>
      </x:c>
      <x:c r="T206" s="11" t="n">
        <x:v>6294789</x:v>
      </x:c>
      <x:c r="U206" s="11" t="n">
        <x:v>4639816</x:v>
      </x:c>
      <x:c r="V206" s="11" t="n">
        <x:v>2636792</x:v>
      </x:c>
      <x:c r="W206" s="11" t="n">
        <x:v>0</x:v>
      </x:c>
      <x:c r="X206" s="11" t="n">
        <x:v>3056149</x:v>
      </x:c>
      <x:c r="Y206" s="11" t="n">
        <x:v>0</x:v>
      </x:c>
      <x:c r="Z206" s="11" t="n">
        <x:v>119203</x:v>
      </x:c>
      <x:c r="AA206" s="11" t="n">
        <x:v>2903145</x:v>
      </x:c>
      <x:c r="AB206" s="11" t="n">
        <x:v>117271</x:v>
      </x:c>
      <x:c r="AC206" s="11" t="n">
        <x:v>236474</x:v>
      </x:c>
      <x:c r="AD206" s="11" t="n">
        <x:v>1099183</x:v>
      </x:c>
      <x:c r="AE206" s="11" t="n">
        <x:v>862709</x:v>
      </x:c>
      <x:c r="AF206" s="11" t="n">
        <x:v>4396731</x:v>
      </x:c>
      <x:c r="AG206" s="11" t="n">
        <x:v>59723751</x:v>
      </x:c>
      <x:c r="AH206" s="11" t="n">
        <x:v>29782922</x:v>
      </x:c>
      <x:c r="AI206" s="11" t="n">
        <x:v>29940829</x:v>
      </x:c>
      <x:c r="AJ206" s="11" t="n">
        <x:v>1846881</x:v>
      </x:c>
      <x:c r="AK206" s="11" t="n">
        <x:v>129868825</x:v>
      </x:c>
      <x:c r="AL206" s="11" t="n">
        <x:v>2830000</x:v>
      </x:c>
      <x:c r="AM206" s="12" t="n">
        <x:v>0.9782087810527276</x:v>
      </x:c>
      <x:c r="AN206" s="12" t="n">
        <x:v>0.01422112658676938</x:v>
      </x:c>
      <x:c r="AO206" s="11" t="n">
        <x:v>4095722</x:v>
      </x:c>
      <x:c r="AP206" s="11" t="n">
        <x:v>3939132</x:v>
      </x:c>
      <x:c r="AQ206" s="12" t="n">
        <x:v>0.9617674246445438</x:v>
      </x:c>
      <x:c r="AR206" s="11" t="n">
        <x:v>1813.2150811326758</x:v>
      </x:c>
      <x:c r="AS206" s="11" t="n">
        <x:v>1567.8460069996818</x:v>
      </x:c>
      <x:c r="AT206" s="11" t="n">
        <x:v>838.9411390391346</x:v>
      </x:c>
      <x:c r="AU206" s="11" t="n">
        <x:v>0</x:v>
      </x:c>
      <x:c r="AV206" s="11" t="n">
        <x:v>923.6859688195991</x:v>
      </x:c>
      <x:c r="AW206" s="11" t="n">
        <x:v>1.356689360095314</x:v>
      </x:c>
      <x:c r="AX206" s="12" t="n">
        <x:v>0.7848638488768476</x:v>
      </x:c>
      <x:c r="AY206" s="11"/>
      <x:c r="AZ206" s="11"/>
      <x:c r="BA206" s="11"/>
      <x:c r="BB206" s="11"/>
      <x:c r="BC206" s="11"/>
      <x:c r="BD206" s="11"/>
      <x:c r="BE206" s="11"/>
      <x:c r="BF206" s="11"/>
      <x:c r="BG206" s="11"/>
      <x:c r="BH206" s="11"/>
      <x:c r="BI206" s="11"/>
      <x:c r="BJ206" s="11"/>
      <x:c r="BK206" s="12"/>
      <x:c r="BL206" s="12"/>
      <x:c r="BM206" s="12"/>
      <x:c r="BN206" s="12"/>
      <x:c r="BO206" s="12"/>
      <x:c r="BP206" s="12"/>
      <x:c r="BQ206" s="12"/>
      <x:c r="BR206" s="12"/>
      <x:c r="BS206" s="12"/>
      <x:c r="BT206" s="12"/>
      <x:c r="BU206" s="11" t="n">
        <x:v>0</x:v>
      </x:c>
      <x:c r="BV206" s="11" t="n">
        <x:v>554616</x:v>
      </x:c>
      <x:c r="BW206" s="11" t="n">
        <x:v>1194194</x:v>
      </x:c>
      <x:c r="BX206" s="11" t="n">
        <x:v>138230</x:v>
      </x:c>
      <x:c r="BY206" s="11" t="n">
        <x:v>0</x:v>
      </x:c>
      <x:c r="BZ206" s="11" t="n">
        <x:v>0</x:v>
      </x:c>
      <x:c r="CA206" s="11" t="n">
        <x:v>0</x:v>
      </x:c>
      <x:c r="CB206" s="11" t="n">
        <x:v>0</x:v>
      </x:c>
      <x:c r="CC206" s="11" t="n">
        <x:v>736479</x:v>
      </x:c>
      <x:c r="CD206" s="11" t="n">
        <x:v>230650</x:v>
      </x:c>
      <x:c r="CE206" s="11" t="n">
        <x:v>104560</x:v>
      </x:c>
      <x:c r="CF206" s="11" t="n">
        <x:v>0</x:v>
      </x:c>
      <x:c r="CG206" s="11" t="n">
        <x:v>14884</x:v>
      </x:c>
      <x:c r="CH206" s="11" t="n">
        <x:v>495459</x:v>
      </x:c>
      <x:c r="CI206" s="11" t="n">
        <x:v>991989</x:v>
      </x:c>
      <x:c r="CJ206" s="11" t="n">
        <x:v>474582</x:v>
      </x:c>
      <x:c r="CK206" s="11" t="n">
        <x:v>468635</x:v>
      </x:c>
      <x:c r="CL206" s="11" t="n">
        <x:v>0</x:v>
      </x:c>
      <x:c r="CM206" s="11"/>
      <x:c r="CN206" s="11" t="n">
        <x:v>112707</x:v>
      </x:c>
      <x:c r="CO206" s="11" t="n">
        <x:v>0</x:v>
      </x:c>
      <x:c r="CP206" s="8"/>
      <x:c r="CQ206" s="8"/>
    </x:row>
    <x:row r="207">
      <x:c r="A207" s="8" t="str">
        <x:v>Enderby|2020</x:v>
      </x:c>
      <x:c r="B207" s="8" t="str">
        <x:v>enderby-c</x:v>
      </x:c>
      <x:c r="C207" s="8" t="str">
        <x:v>Enderby</x:v>
      </x:c>
      <x:c r="D207" s="8" t="str">
        <x:v>Enderby</x:v>
      </x:c>
      <x:c r="E207" s="8" t="str">
        <x:v>C</x:v>
      </x:c>
      <x:c r="F207" s="8" t="str">
        <x:v>NOK</x:v>
      </x:c>
      <x:c r="G207" s="9" t="n">
        <x:v>2020</x:v>
      </x:c>
      <x:c r="H207" s="10" t="n">
        <x:v>3188</x:v>
      </x:c>
      <x:c r="I207" s="8" t="str">
        <x:v>Under 5,000</x:v>
      </x:c>
      <x:c r="J207" s="11" t="n">
        <x:v>6899543</x:v>
      </x:c>
      <x:c r="K207" s="11" t="n">
        <x:v>5001981</x:v>
      </x:c>
      <x:c r="L207" s="11" t="n">
        <x:v>1897562</x:v>
      </x:c>
      <x:c r="M207" s="12" t="n">
        <x:v>0.2750272010769409</x:v>
      </x:c>
      <x:c r="N207" s="11" t="n">
        <x:v>2164702</x:v>
      </x:c>
      <x:c r="O207" s="11" t="n">
        <x:v>1728517</x:v>
      </x:c>
      <x:c r="P207" s="11" t="n">
        <x:v>2887524</x:v>
      </x:c>
      <x:c r="Q207" s="11" t="n">
        <x:v>118800</x:v>
      </x:c>
      <x:c r="R207" s="11" t="n">
        <x:v>3573439</x:v>
      </x:c>
      <x:c r="S207" s="11" t="n">
        <x:v>1320757</x:v>
      </x:c>
      <x:c r="T207" s="11" t="n">
        <x:v>8365739</x:v>
      </x:c>
      <x:c r="U207" s="11" t="n">
        <x:v>4649160</x:v>
      </x:c>
      <x:c r="V207" s="11" t="n">
        <x:v>4801482</x:v>
      </x:c>
      <x:c r="W207" s="11" t="n">
        <x:v>380629</x:v>
      </x:c>
      <x:c r="X207" s="11" t="n">
        <x:v>2903145</x:v>
      </x:c>
      <x:c r="Y207" s="11" t="n">
        <x:v>0</x:v>
      </x:c>
      <x:c r="Z207" s="11" t="n">
        <x:v>108794</x:v>
      </x:c>
      <x:c r="AA207" s="11" t="n">
        <x:v>2768790</x:v>
      </x:c>
      <x:c r="AB207" s="11" t="n">
        <x:v>107785</x:v>
      </x:c>
      <x:c r="AC207" s="11" t="n">
        <x:v>216579</x:v>
      </x:c>
      <x:c r="AD207" s="11" t="n">
        <x:v>1119055</x:v>
      </x:c>
      <x:c r="AE207" s="11" t="n">
        <x:v>902476</x:v>
      </x:c>
      <x:c r="AF207" s="11" t="n">
        <x:v>4476219</x:v>
      </x:c>
      <x:c r="AG207" s="11" t="n">
        <x:v>60654734</x:v>
      </x:c>
      <x:c r="AH207" s="11" t="n">
        <x:v>30987198</x:v>
      </x:c>
      <x:c r="AI207" s="11" t="n">
        <x:v>29667536</x:v>
      </x:c>
      <x:c r="AJ207" s="11" t="n">
        <x:v>1145047</x:v>
      </x:c>
      <x:c r="AK207" s="11" t="n">
        <x:v>135777442</x:v>
      </x:c>
      <x:c r="AL207" s="11" t="n">
        <x:v>3530000</x:v>
      </x:c>
      <x:c r="AM207" s="12" t="n">
        <x:v>0.9740015723672273</x:v>
      </x:c>
      <x:c r="AN207" s="12" t="n">
        <x:v>0.008433263899610069</x:v>
      </x:c>
      <x:c r="AO207" s="11" t="n">
        <x:v>4096608</x:v>
      </x:c>
      <x:c r="AP207" s="11" t="n">
        <x:v>3925012</x:v>
      </x:c>
      <x:c r="AQ207" s="12" t="n">
        <x:v>0.9581126629640913</x:v>
      </x:c>
      <x:c r="AR207" s="11" t="n">
        <x:v>2164.2230238393977</x:v>
      </x:c>
      <x:c r="AS207" s="11" t="n">
        <x:v>1569.0028230865746</x:v>
      </x:c>
      <x:c r="AT207" s="11" t="n">
        <x:v>1506.1110414052698</x:v>
      </x:c>
      <x:c r="AU207" s="11" t="n">
        <x:v>119.39429109159347</x:v>
      </x:c>
      <x:c r="AV207" s="11" t="n">
        <x:v>868.5037641154329</x:v>
      </x:c>
      <x:c r="AW207" s="11" t="n">
        <x:v>1.7994087103906942</x:v>
      </x:c>
      <x:c r="AX207" s="12" t="n">
        <x:v>0.8064625956722413</x:v>
      </x:c>
      <x:c r="AY207" s="11"/>
      <x:c r="AZ207" s="11"/>
      <x:c r="BA207" s="11"/>
      <x:c r="BB207" s="11"/>
      <x:c r="BC207" s="11"/>
      <x:c r="BD207" s="11"/>
      <x:c r="BE207" s="11"/>
      <x:c r="BF207" s="11"/>
      <x:c r="BG207" s="11"/>
      <x:c r="BH207" s="11"/>
      <x:c r="BI207" s="11"/>
      <x:c r="BJ207" s="11"/>
      <x:c r="BK207" s="12"/>
      <x:c r="BL207" s="12"/>
      <x:c r="BM207" s="12"/>
      <x:c r="BN207" s="12"/>
      <x:c r="BO207" s="12"/>
      <x:c r="BP207" s="12"/>
      <x:c r="BQ207" s="12"/>
      <x:c r="BR207" s="12"/>
      <x:c r="BS207" s="12"/>
      <x:c r="BT207" s="12"/>
      <x:c r="BU207" s="11" t="n">
        <x:v>183545</x:v>
      </x:c>
      <x:c r="BV207" s="11" t="n">
        <x:v>1962976</x:v>
      </x:c>
      <x:c r="BW207" s="11" t="n">
        <x:v>741003</x:v>
      </x:c>
      <x:c r="BX207" s="11" t="n">
        <x:v>118800</x:v>
      </x:c>
      <x:c r="BY207" s="11" t="n">
        <x:v>0</x:v>
      </x:c>
      <x:c r="BZ207" s="11" t="n">
        <x:v>0</x:v>
      </x:c>
      <x:c r="CA207" s="11" t="n">
        <x:v>0</x:v>
      </x:c>
      <x:c r="CB207" s="11" t="n">
        <x:v>0</x:v>
      </x:c>
      <x:c r="CC207" s="11" t="n">
        <x:v>707983</x:v>
      </x:c>
      <x:c r="CD207" s="11" t="n">
        <x:v>291389</x:v>
      </x:c>
      <x:c r="CE207" s="11" t="n">
        <x:v>99077</x:v>
      </x:c>
      <x:c r="CF207" s="11" t="n">
        <x:v>0</x:v>
      </x:c>
      <x:c r="CG207" s="11" t="n">
        <x:v>14088</x:v>
      </x:c>
      <x:c r="CH207" s="11" t="n">
        <x:v>534955</x:v>
      </x:c>
      <x:c r="CI207" s="11" t="n">
        <x:v>1018741</x:v>
      </x:c>
      <x:c r="CJ207" s="11" t="n">
        <x:v>463997</x:v>
      </x:c>
      <x:c r="CK207" s="11" t="n">
        <x:v>453413</x:v>
      </x:c>
      <x:c r="CL207" s="11" t="n">
        <x:v>0</x:v>
      </x:c>
      <x:c r="CM207" s="11"/>
      <x:c r="CN207" s="11" t="n">
        <x:v>97581</x:v>
      </x:c>
      <x:c r="CO207" s="11" t="n">
        <x:v>0</x:v>
      </x:c>
      <x:c r="CP207" s="8"/>
      <x:c r="CQ207" s="8"/>
    </x:row>
    <x:row r="208">
      <x:c r="A208" s="8" t="str">
        <x:v>Enderby|2021</x:v>
      </x:c>
      <x:c r="B208" s="8" t="str">
        <x:v>enderby-c</x:v>
      </x:c>
      <x:c r="C208" s="8" t="str">
        <x:v>Enderby</x:v>
      </x:c>
      <x:c r="D208" s="8" t="str">
        <x:v>Enderby</x:v>
      </x:c>
      <x:c r="E208" s="8" t="str">
        <x:v>C</x:v>
      </x:c>
      <x:c r="F208" s="8" t="str">
        <x:v>NOK</x:v>
      </x:c>
      <x:c r="G208" s="9" t="n">
        <x:v>2021</x:v>
      </x:c>
      <x:c r="H208" s="10" t="n">
        <x:v>3189</x:v>
      </x:c>
      <x:c r="I208" s="8" t="str">
        <x:v>Under 5,000</x:v>
      </x:c>
      <x:c r="J208" s="11" t="n">
        <x:v>6279563</x:v>
      </x:c>
      <x:c r="K208" s="11" t="n">
        <x:v>5301857</x:v>
      </x:c>
      <x:c r="L208" s="11" t="n">
        <x:v>977706</x:v>
      </x:c>
      <x:c r="M208" s="12" t="n">
        <x:v>0.1556965030846892</x:v>
      </x:c>
      <x:c r="N208" s="11" t="n">
        <x:v>2250046</x:v>
      </x:c>
      <x:c r="O208" s="11" t="n">
        <x:v>2014385</x:v>
      </x:c>
      <x:c r="P208" s="11" t="n">
        <x:v>1910274</x:v>
      </x:c>
      <x:c r="Q208" s="11" t="n">
        <x:v>104858</x:v>
      </x:c>
      <x:c r="R208" s="11" t="n">
        <x:v>3830914</x:v>
      </x:c>
      <x:c r="S208" s="11" t="n">
        <x:v>1366788</x:v>
      </x:c>
      <x:c r="T208" s="11" t="n">
        <x:v>8407622</x:v>
      </x:c>
      <x:c r="U208" s="11" t="n">
        <x:v>4020392</x:v>
      </x:c>
      <x:c r="V208" s="11" t="n">
        <x:v>5218880</x:v>
      </x:c>
      <x:c r="W208" s="11" t="n">
        <x:v>381380</x:v>
      </x:c>
      <x:c r="X208" s="11" t="n">
        <x:v>2768790</x:v>
      </x:c>
      <x:c r="Y208" s="11" t="n">
        <x:v>0</x:v>
      </x:c>
      <x:c r="Z208" s="11" t="n">
        <x:v>466882</x:v>
      </x:c>
      <x:c r="AA208" s="11" t="n">
        <x:v>2271254</x:v>
      </x:c>
      <x:c r="AB208" s="11" t="n">
        <x:v>104155</x:v>
      </x:c>
      <x:c r="AC208" s="11" t="n">
        <x:v>571037</x:v>
      </x:c>
      <x:c r="AD208" s="11" t="n">
        <x:v>1209576</x:v>
      </x:c>
      <x:c r="AE208" s="11" t="n">
        <x:v>638539</x:v>
      </x:c>
      <x:c r="AF208" s="11" t="n">
        <x:v>4838302</x:v>
      </x:c>
      <x:c r="AG208" s="11" t="n">
        <x:v>62271784</x:v>
      </x:c>
      <x:c r="AH208" s="11" t="n">
        <x:v>32050781</x:v>
      </x:c>
      <x:c r="AI208" s="11" t="n">
        <x:v>30221003</x:v>
      </x:c>
      <x:c r="AJ208" s="11" t="n">
        <x:v>1927216</x:v>
      </x:c>
      <x:c r="AK208" s="11" t="n">
        <x:v>137030377</x:v>
      </x:c>
      <x:c r="AL208" s="11" t="n">
        <x:v>3564000</x:v>
      </x:c>
      <x:c r="AM208" s="12" t="n">
        <x:v>0.973991168396187</x:v>
      </x:c>
      <x:c r="AN208" s="12" t="n">
        <x:v>0.014064151629678433</x:v>
      </x:c>
      <x:c r="AO208" s="11" t="n">
        <x:v>4414250</x:v>
      </x:c>
      <x:c r="AP208" s="11" t="n">
        <x:v>4273952</x:v>
      </x:c>
      <x:c r="AQ208" s="12" t="n">
        <x:v>0.9682170244095826</x:v>
      </x:c>
      <x:c r="AR208" s="11" t="n">
        <x:v>1969.1323298839761</x:v>
      </x:c>
      <x:c r="AS208" s="11" t="n">
        <x:v>1662.5453120100344</x:v>
      </x:c>
      <x:c r="AT208" s="11" t="n">
        <x:v>1636.5255566008152</x:v>
      </x:c>
      <x:c r="AU208" s="11" t="n">
        <x:v>119.59234869865162</x:v>
      </x:c>
      <x:c r="AV208" s="11" t="n">
        <x:v>712.2151144559423</x:v>
      </x:c>
      <x:c r="AW208" s="11" t="n">
        <x:v>2.0912443363731694</x:v>
      </x:c>
      <x:c r="AX208" s="12" t="n">
        <x:v>0.5279031660681098</x:v>
      </x:c>
      <x:c r="AY208" s="11"/>
      <x:c r="AZ208" s="11"/>
      <x:c r="BA208" s="11"/>
      <x:c r="BB208" s="11"/>
      <x:c r="BC208" s="11"/>
      <x:c r="BD208" s="11"/>
      <x:c r="BE208" s="11"/>
      <x:c r="BF208" s="11"/>
      <x:c r="BG208" s="11"/>
      <x:c r="BH208" s="11"/>
      <x:c r="BI208" s="11"/>
      <x:c r="BJ208" s="11"/>
      <x:c r="BK208" s="12"/>
      <x:c r="BL208" s="12"/>
      <x:c r="BM208" s="12"/>
      <x:c r="BN208" s="12"/>
      <x:c r="BO208" s="12"/>
      <x:c r="BP208" s="12"/>
      <x:c r="BQ208" s="12"/>
      <x:c r="BR208" s="12"/>
      <x:c r="BS208" s="12"/>
      <x:c r="BT208" s="12"/>
      <x:c r="BU208" s="11" t="n">
        <x:v>368276</x:v>
      </x:c>
      <x:c r="BV208" s="11" t="n">
        <x:v>766799</x:v>
      </x:c>
      <x:c r="BW208" s="11" t="n">
        <x:v>775199</x:v>
      </x:c>
      <x:c r="BX208" s="11" t="n">
        <x:v>104858</x:v>
      </x:c>
      <x:c r="BY208" s="11" t="n">
        <x:v>0</x:v>
      </x:c>
      <x:c r="BZ208" s="11" t="n">
        <x:v>0</x:v>
      </x:c>
      <x:c r="CA208" s="11" t="n">
        <x:v>0</x:v>
      </x:c>
      <x:c r="CB208" s="11" t="n">
        <x:v>0</x:v>
      </x:c>
      <x:c r="CC208" s="11" t="n">
        <x:v>771900</x:v>
      </x:c>
      <x:c r="CD208" s="11" t="n">
        <x:v>255480</x:v>
      </x:c>
      <x:c r="CE208" s="11" t="n">
        <x:v>101762</x:v>
      </x:c>
      <x:c r="CF208" s="11" t="n">
        <x:v>0</x:v>
      </x:c>
      <x:c r="CG208" s="11" t="n">
        <x:v>46870</x:v>
      </x:c>
      <x:c r="CH208" s="11" t="n">
        <x:v>518139</x:v>
      </x:c>
      <x:c r="CI208" s="11" t="n">
        <x:v>1091422</x:v>
      </x:c>
      <x:c r="CJ208" s="11" t="n">
        <x:v>606193</x:v>
      </x:c>
      <x:c r="CK208" s="11" t="n">
        <x:v>536341</x:v>
      </x:c>
      <x:c r="CL208" s="11" t="n">
        <x:v>0</x:v>
      </x:c>
      <x:c r="CM208" s="11"/>
      <x:c r="CN208" s="11" t="n">
        <x:v>6962</x:v>
      </x:c>
      <x:c r="CO208" s="11" t="n">
        <x:v>0</x:v>
      </x:c>
      <x:c r="CP208" s="8"/>
      <x:c r="CQ208" s="8"/>
    </x:row>
    <x:row r="209">
      <x:c r="A209" s="8" t="str">
        <x:v>Enderby|2022</x:v>
      </x:c>
      <x:c r="B209" s="8" t="str">
        <x:v>enderby-c</x:v>
      </x:c>
      <x:c r="C209" s="8" t="str">
        <x:v>Enderby</x:v>
      </x:c>
      <x:c r="D209" s="8" t="str">
        <x:v>Enderby</x:v>
      </x:c>
      <x:c r="E209" s="8" t="str">
        <x:v>C</x:v>
      </x:c>
      <x:c r="F209" s="8" t="str">
        <x:v>NOK</x:v>
      </x:c>
      <x:c r="G209" s="9" t="n">
        <x:v>2022</x:v>
      </x:c>
      <x:c r="H209" s="10" t="n">
        <x:v>19155</x:v>
      </x:c>
      <x:c r="I209" s="8" t="str">
        <x:v>5,000 to 19,999</x:v>
      </x:c>
      <x:c r="J209" s="11" t="n">
        <x:v>6786518</x:v>
      </x:c>
      <x:c r="K209" s="11" t="n">
        <x:v>5524635</x:v>
      </x:c>
      <x:c r="L209" s="11" t="n">
        <x:v>1261883</x:v>
      </x:c>
      <x:c r="M209" s="12" t="n">
        <x:v>0.18593968217574905</x:v>
      </x:c>
      <x:c r="N209" s="11" t="n">
        <x:v>2414787</x:v>
      </x:c>
      <x:c r="O209" s="11" t="n">
        <x:v>3162185</x:v>
      </x:c>
      <x:c r="P209" s="11" t="n">
        <x:v>1047838</x:v>
      </x:c>
      <x:c r="Q209" s="11" t="n">
        <x:v>161708</x:v>
      </x:c>
      <x:c r="R209" s="11" t="n">
        <x:v>4116370</x:v>
      </x:c>
      <x:c r="S209" s="11" t="n">
        <x:v>1323610</x:v>
      </x:c>
      <x:c r="T209" s="11" t="n">
        <x:v>9047332</x:v>
      </x:c>
      <x:c r="U209" s="11" t="n">
        <x:v>4002809</x:v>
      </x:c>
      <x:c r="V209" s="11" t="n">
        <x:v>6022053</x:v>
      </x:c>
      <x:c r="W209" s="11" t="n">
        <x:v>2543139</x:v>
      </x:c>
      <x:c r="X209" s="11" t="n">
        <x:v>2271254</x:v>
      </x:c>
      <x:c r="Y209" s="11" t="n">
        <x:v>0</x:v>
      </x:c>
      <x:c r="Z209" s="11" t="n">
        <x:v>88646</x:v>
      </x:c>
      <x:c r="AA209" s="11" t="n">
        <x:v>2156342</x:v>
      </x:c>
      <x:c r="AB209" s="11" t="n">
        <x:v>84655</x:v>
      </x:c>
      <x:c r="AC209" s="11" t="n">
        <x:v>173301</x:v>
      </x:c>
      <x:c r="AD209" s="11" t="n">
        <x:v>1583854</x:v>
      </x:c>
      <x:c r="AE209" s="11" t="n">
        <x:v>1410553</x:v>
      </x:c>
      <x:c r="AF209" s="11" t="n">
        <x:v>6335414</x:v>
      </x:c>
      <x:c r="AG209" s="11" t="n">
        <x:v>63868760</x:v>
      </x:c>
      <x:c r="AH209" s="11" t="n">
        <x:v>33200500</x:v>
      </x:c>
      <x:c r="AI209" s="11" t="n">
        <x:v>30668260</x:v>
      </x:c>
      <x:c r="AJ209" s="11" t="n">
        <x:v>1783260</x:v>
      </x:c>
      <x:c r="AK209" s="11" t="n">
        <x:v>161759332</x:v>
      </x:c>
      <x:c r="AL209" s="11" t="n">
        <x:v>3754000</x:v>
      </x:c>
      <x:c r="AM209" s="12" t="n">
        <x:v>0.9767926835899644</x:v>
      </x:c>
      <x:c r="AN209" s="12" t="n">
        <x:v>0.011024155317357518</x:v>
      </x:c>
      <x:c r="AO209" s="11" t="n">
        <x:v>4618706</x:v>
      </x:c>
      <x:c r="AP209" s="11" t="n">
        <x:v>4523137</x:v>
      </x:c>
      <x:c r="AQ209" s="12" t="n">
        <x:v>0.9793082737892388</x:v>
      </x:c>
      <x:c r="AR209" s="11" t="n">
        <x:v>354.2948577394936</x:v>
      </x:c>
      <x:c r="AS209" s="11" t="n">
        <x:v>288.4173844949099</x:v>
      </x:c>
      <x:c r="AT209" s="11" t="n">
        <x:v>314.38543461237276</x:v>
      </x:c>
      <x:c r="AU209" s="11" t="n">
        <x:v>132.76632732967894</x:v>
      </x:c>
      <x:c r="AV209" s="11" t="n">
        <x:v>112.57332289219525</x:v>
      </x:c>
      <x:c r="AW209" s="11" t="n">
        <x:v>2.2602457424273803</x:v>
      </x:c>
      <x:c r="AX209" s="12" t="n">
        <x:v>0.8905827178515191</x:v>
      </x:c>
      <x:c r="AY209" s="11"/>
      <x:c r="AZ209" s="11"/>
      <x:c r="BA209" s="11"/>
      <x:c r="BB209" s="11"/>
      <x:c r="BC209" s="11"/>
      <x:c r="BD209" s="11"/>
      <x:c r="BE209" s="11"/>
      <x:c r="BF209" s="11"/>
      <x:c r="BG209" s="11"/>
      <x:c r="BH209" s="11"/>
      <x:c r="BI209" s="11"/>
      <x:c r="BJ209" s="11"/>
      <x:c r="BK209" s="12"/>
      <x:c r="BL209" s="12"/>
      <x:c r="BM209" s="12"/>
      <x:c r="BN209" s="12"/>
      <x:c r="BO209" s="12"/>
      <x:c r="BP209" s="12"/>
      <x:c r="BQ209" s="12"/>
      <x:c r="BR209" s="12"/>
      <x:c r="BS209" s="12"/>
      <x:c r="BT209" s="12"/>
      <x:c r="BU209" s="11" t="n">
        <x:v>0</x:v>
      </x:c>
      <x:c r="BV209" s="11" t="n">
        <x:v>859507</x:v>
      </x:c>
      <x:c r="BW209" s="11" t="n">
        <x:v>188331</x:v>
      </x:c>
      <x:c r="BX209" s="11" t="n">
        <x:v>161708</x:v>
      </x:c>
      <x:c r="BY209" s="11" t="n">
        <x:v>0</x:v>
      </x:c>
      <x:c r="BZ209" s="11" t="n">
        <x:v>0</x:v>
      </x:c>
      <x:c r="CA209" s="11" t="n">
        <x:v>0</x:v>
      </x:c>
      <x:c r="CB209" s="11" t="n">
        <x:v>0</x:v>
      </x:c>
      <x:c r="CC209" s="11" t="n">
        <x:v>656302</x:v>
      </x:c>
      <x:c r="CD209" s="11" t="n">
        <x:v>391688</x:v>
      </x:c>
      <x:c r="CE209" s="11" t="n">
        <x:v>113090</x:v>
      </x:c>
      <x:c r="CF209" s="11" t="n">
        <x:v>0</x:v>
      </x:c>
      <x:c r="CG209" s="11" t="n">
        <x:v>55252</x:v>
      </x:c>
      <x:c r="CH209" s="11" t="n">
        <x:v>629749</x:v>
      </x:c>
      <x:c r="CI209" s="11" t="n">
        <x:v>1230274</x:v>
      </x:c>
      <x:c r="CJ209" s="11" t="n">
        <x:v>578524</x:v>
      </x:c>
      <x:c r="CK209" s="11" t="n">
        <x:v>533753</x:v>
      </x:c>
      <x:c r="CL209" s="11" t="n">
        <x:v>0</x:v>
      </x:c>
      <x:c r="CM209" s="11"/>
      <x:c r="CN209" s="11" t="n">
        <x:v>12393</x:v>
      </x:c>
      <x:c r="CO209" s="11" t="n">
        <x:v>0</x:v>
      </x:c>
      <x:c r="CP209" s="8"/>
      <x:c r="CQ209" s="8"/>
    </x:row>
    <x:row r="210">
      <x:c r="A210" s="8" t="str">
        <x:v>Enderby|2023</x:v>
      </x:c>
      <x:c r="B210" s="8" t="str">
        <x:v>enderby-c</x:v>
      </x:c>
      <x:c r="C210" s="8" t="str">
        <x:v>Enderby</x:v>
      </x:c>
      <x:c r="D210" s="8" t="str">
        <x:v>Enderby</x:v>
      </x:c>
      <x:c r="E210" s="8" t="str">
        <x:v>C</x:v>
      </x:c>
      <x:c r="F210" s="8" t="str">
        <x:v>NOK</x:v>
      </x:c>
      <x:c r="G210" s="9" t="n">
        <x:v>2023</x:v>
      </x:c>
      <x:c r="H210" s="10" t="n">
        <x:v>3323</x:v>
      </x:c>
      <x:c r="I210" s="8" t="str">
        <x:v>Under 5,000</x:v>
      </x:c>
      <x:c r="J210" s="11" t="n">
        <x:v>8844825</x:v>
      </x:c>
      <x:c r="K210" s="11" t="n">
        <x:v>5507712</x:v>
      </x:c>
      <x:c r="L210" s="11" t="n">
        <x:v>3337113</x:v>
      </x:c>
      <x:c r="M210" s="12" t="n">
        <x:v>0.3772955372209173</x:v>
      </x:c>
      <x:c r="N210" s="11" t="n">
        <x:v>2605673</x:v>
      </x:c>
      <x:c r="O210" s="11" t="n">
        <x:v>3259630</x:v>
      </x:c>
      <x:c r="P210" s="11" t="n">
        <x:v>2478162</x:v>
      </x:c>
      <x:c r="Q210" s="11" t="n">
        <x:v>501360</x:v>
      </x:c>
      <x:c r="R210" s="11" t="n">
        <x:v>4092747</x:v>
      </x:c>
      <x:c r="S210" s="11" t="n">
        <x:v>1312955</x:v>
      </x:c>
      <x:c r="T210" s="11" t="n">
        <x:v>13696443</x:v>
      </x:c>
      <x:c r="U210" s="11" t="n">
        <x:v>5881913</x:v>
      </x:c>
      <x:c r="V210" s="11" t="n">
        <x:v>8950719</x:v>
      </x:c>
      <x:c r="W210" s="11" t="n">
        <x:v>5964724</x:v>
      </x:c>
      <x:c r="X210" s="11" t="n">
        <x:v>2156342</x:v>
      </x:c>
      <x:c r="Y210" s="11" t="n">
        <x:v>0</x:v>
      </x:c>
      <x:c r="Z210" s="11" t="n">
        <x:v>88646</x:v>
      </x:c>
      <x:c r="AA210" s="11" t="n">
        <x:v>2037132</x:v>
      </x:c>
      <x:c r="AB210" s="11" t="n">
        <x:v>102010</x:v>
      </x:c>
      <x:c r="AC210" s="11" t="n">
        <x:v>190656</x:v>
      </x:c>
      <x:c r="AD210" s="11" t="n">
        <x:v>1705025</x:v>
      </x:c>
      <x:c r="AE210" s="11" t="n">
        <x:v>1514369</x:v>
      </x:c>
      <x:c r="AF210" s="11" t="n">
        <x:v>6820099</x:v>
      </x:c>
      <x:c r="AG210" s="11" t="n">
        <x:v>65547791</x:v>
      </x:c>
      <x:c r="AH210" s="11" t="n">
        <x:v>34493228</x:v>
      </x:c>
      <x:c r="AI210" s="11" t="n">
        <x:v>31054563</x:v>
      </x:c>
      <x:c r="AJ210" s="11" t="n">
        <x:v>695582</x:v>
      </x:c>
      <x:c r="AK210" s="11" t="n">
        <x:v>163799496</x:v>
      </x:c>
      <x:c r="AL210" s="11" t="n">
        <x:v>3216000</x:v>
      </x:c>
      <x:c r="AM210" s="12" t="n">
        <x:v>0.980366239954731</x:v>
      </x:c>
      <x:c r="AN210" s="12" t="n">
        <x:v>0.004246545422825965</x:v>
      </x:c>
      <x:c r="AO210" s="11" t="n">
        <x:v>5020752</x:v>
      </x:c>
      <x:c r="AP210" s="11" t="n">
        <x:v>4800964</x:v>
      </x:c>
      <x:c r="AQ210" s="12" t="n">
        <x:v>0.9562240875470448</x:v>
      </x:c>
      <x:c r="AR210" s="11" t="n">
        <x:v>2661.6987661751427</x:v>
      </x:c>
      <x:c r="AS210" s="11" t="n">
        <x:v>1657.4517002708396</x:v>
      </x:c>
      <x:c r="AT210" s="11" t="n">
        <x:v>2693.565753836894</x:v>
      </x:c>
      <x:c r="AU210" s="11" t="n">
        <x:v>1794.98164309359</x:v>
      </x:c>
      <x:c r="AV210" s="11" t="n">
        <x:v>613.0400240746313</x:v>
      </x:c>
      <x:c r="AW210" s="11" t="n">
        <x:v>2.328569463710191</x:v>
      </x:c>
      <x:c r="AX210" s="12" t="n">
        <x:v>0.8881799387105761</x:v>
      </x:c>
      <x:c r="AY210" s="11"/>
      <x:c r="AZ210" s="11"/>
      <x:c r="BA210" s="11"/>
      <x:c r="BB210" s="11"/>
      <x:c r="BC210" s="11"/>
      <x:c r="BD210" s="11"/>
      <x:c r="BE210" s="11"/>
      <x:c r="BF210" s="11"/>
      <x:c r="BG210" s="11"/>
      <x:c r="BH210" s="11"/>
      <x:c r="BI210" s="11"/>
      <x:c r="BJ210" s="11"/>
      <x:c r="BK210" s="12"/>
      <x:c r="BL210" s="12"/>
      <x:c r="BM210" s="12"/>
      <x:c r="BN210" s="12"/>
      <x:c r="BO210" s="12"/>
      <x:c r="BP210" s="12"/>
      <x:c r="BQ210" s="12"/>
      <x:c r="BR210" s="12"/>
      <x:c r="BS210" s="12"/>
      <x:c r="BT210" s="12"/>
      <x:c r="BU210" s="11" t="n">
        <x:v>0</x:v>
      </x:c>
      <x:c r="BV210" s="11" t="n">
        <x:v>2281245</x:v>
      </x:c>
      <x:c r="BW210" s="11" t="n">
        <x:v>196917</x:v>
      </x:c>
      <x:c r="BX210" s="11" t="n">
        <x:v>501360</x:v>
      </x:c>
      <x:c r="BY210" s="11" t="n">
        <x:v>0</x:v>
      </x:c>
      <x:c r="BZ210" s="11" t="n">
        <x:v>0</x:v>
      </x:c>
      <x:c r="CA210" s="11" t="n">
        <x:v>0</x:v>
      </x:c>
      <x:c r="CB210" s="11" t="n">
        <x:v>0</x:v>
      </x:c>
      <x:c r="CC210" s="11" t="n">
        <x:v>800781</x:v>
      </x:c>
      <x:c r="CD210" s="11" t="n">
        <x:v>316015</x:v>
      </x:c>
      <x:c r="CE210" s="11" t="n">
        <x:v>115751</x:v>
      </x:c>
      <x:c r="CF210" s="11" t="n">
        <x:v>0</x:v>
      </x:c>
      <x:c r="CG210" s="11" t="n">
        <x:v>30887</x:v>
      </x:c>
      <x:c r="CH210" s="11" t="n">
        <x:v>393703</x:v>
      </x:c>
      <x:c r="CI210" s="11" t="n">
        <x:v>1312069</x:v>
      </x:c>
      <x:c r="CJ210" s="11" t="n">
        <x:v>600127</x:v>
      </x:c>
      <x:c r="CK210" s="11" t="n">
        <x:v>566444</x:v>
      </x:c>
      <x:c r="CL210" s="11" t="n">
        <x:v>0</x:v>
      </x:c>
      <x:c r="CM210" s="11" t="n">
        <x:v>43849</x:v>
      </x:c>
      <x:c r="CN210" s="11" t="n">
        <x:v>15131</x:v>
      </x:c>
      <x:c r="CO210" s="11" t="n">
        <x:v>0</x:v>
      </x:c>
      <x:c r="CP210" s="8"/>
      <x:c r="CQ210" s="8"/>
    </x:row>
    <x:row r="211">
      <x:c r="A211" s="8" t="str">
        <x:v>Enderby|2024</x:v>
      </x:c>
      <x:c r="B211" s="8" t="str">
        <x:v>enderby-c</x:v>
      </x:c>
      <x:c r="C211" s="8" t="str">
        <x:v>Enderby</x:v>
      </x:c>
      <x:c r="D211" s="8" t="str">
        <x:v>Enderby</x:v>
      </x:c>
      <x:c r="E211" s="8" t="str">
        <x:v>C</x:v>
      </x:c>
      <x:c r="F211" s="8" t="str">
        <x:v>NOK</x:v>
      </x:c>
      <x:c r="G211" s="9" t="n">
        <x:v>2024</x:v>
      </x:c>
      <x:c r="H211" s="10" t="n">
        <x:v>3323</x:v>
      </x:c>
      <x:c r="I211" s="8" t="str">
        <x:v>Under 5,000</x:v>
      </x:c>
      <x:c r="J211" s="11" t="n">
        <x:v>11001793</x:v>
      </x:c>
      <x:c r="K211" s="11" t="n">
        <x:v>5959263</x:v>
      </x:c>
      <x:c r="L211" s="11" t="n">
        <x:v>5042530</x:v>
      </x:c>
      <x:c r="M211" s="12" t="n">
        <x:v>0.4583371092330132</x:v>
      </x:c>
      <x:c r="N211" s="11" t="n">
        <x:v>2802669</x:v>
      </x:c>
      <x:c r="O211" s="11" t="n">
        <x:v>3620398</x:v>
      </x:c>
      <x:c r="P211" s="11" t="n">
        <x:v>1808348</x:v>
      </x:c>
      <x:c r="Q211" s="11" t="n">
        <x:v>2770378</x:v>
      </x:c>
      <x:c r="R211" s="11" t="n">
        <x:v>4539380</x:v>
      </x:c>
      <x:c r="S211" s="11" t="n">
        <x:v>1308668</x:v>
      </x:c>
      <x:c r="T211" s="11" t="n">
        <x:v>15257221</x:v>
      </x:c>
      <x:c r="U211" s="11" t="n">
        <x:v>6563870</x:v>
      </x:c>
      <x:c r="V211" s="11" t="n">
        <x:v>10265642</x:v>
      </x:c>
      <x:c r="W211" s="11" t="n">
        <x:v>7120903</x:v>
      </x:c>
      <x:c r="X211" s="11" t="n">
        <x:v>2037132</x:v>
      </x:c>
      <x:c r="Y211" s="11" t="n">
        <x:v>0</x:v>
      </x:c>
      <x:c r="Z211" s="11" t="n">
        <x:v>93557</x:v>
      </x:c>
      <x:c r="AA211" s="11" t="n">
        <x:v>1911248</x:v>
      </x:c>
      <x:c r="AB211" s="11" t="n">
        <x:v>111215</x:v>
      </x:c>
      <x:c r="AC211" s="11" t="n">
        <x:v>204772</x:v>
      </x:c>
      <x:c r="AD211" s="11" t="n">
        <x:v>1891489</x:v>
      </x:c>
      <x:c r="AE211" s="11" t="n">
        <x:v>1595617</x:v>
      </x:c>
      <x:c r="AF211" s="11" t="n">
        <x:v>7565956</x:v>
      </x:c>
      <x:c r="AG211" s="11" t="n">
        <x:v>70251192</x:v>
      </x:c>
      <x:c r="AH211" s="11" t="n">
        <x:v>35453633</x:v>
      </x:c>
      <x:c r="AI211" s="11" t="n">
        <x:v>34797559</x:v>
      </x:c>
      <x:c r="AJ211" s="11" t="n">
        <x:v>5078990</x:v>
      </x:c>
      <x:c r="AK211" s="11" t="n">
        <x:v>205670853</x:v>
      </x:c>
      <x:c r="AL211" s="11" t="n">
        <x:v>4018000</x:v>
      </x:c>
      <x:c r="AM211" s="12" t="n">
        <x:v>0.9804639308808624</x:v>
      </x:c>
      <x:c r="AN211" s="12" t="n">
        <x:v>0.02469474855535315</x:v>
      </x:c>
      <x:c r="AO211" s="11" t="n">
        <x:v>5487163</x:v>
      </x:c>
      <x:c r="AP211" s="11" t="n">
        <x:v>5291251</x:v>
      </x:c>
      <x:c r="AQ211" s="12" t="n">
        <x:v>0.9642963039370254</x:v>
      </x:c>
      <x:c r="AR211" s="11" t="n">
        <x:v>3310.801384291303</x:v>
      </x:c>
      <x:c r="AS211" s="11" t="n">
        <x:v>1793.3382485705688</x:v>
      </x:c>
      <x:c r="AT211" s="11" t="n">
        <x:v>3089.269334938309</x:v>
      </x:c>
      <x:c r="AU211" s="11" t="n">
        <x:v>2142.913933192898</x:v>
      </x:c>
      <x:c r="AV211" s="11" t="n">
        <x:v>575.1573879024977</x:v>
      </x:c>
      <x:c r="AW211" s="11" t="n">
        <x:v>2.3244246153564894</x:v>
      </x:c>
      <x:c r="AX211" s="12" t="n">
        <x:v>0.8435772029337734</x:v>
      </x:c>
      <x:c r="AY211" s="11" t="n">
        <x:v>4029.3029612756263</x:v>
      </x:c>
      <x:c r="AZ211" s="11" t="n">
        <x:v>3546.5079302077975</x:v>
      </x:c>
      <x:c r="BA211" s="11" t="n">
        <x:v>2680.1548974943053</x:v>
      </x:c>
      <x:c r="BB211" s="11" t="n">
        <x:v>2783.665107049771</x:v>
      </x:c>
      <x:c r="BC211" s="11" t="n">
        <x:v>1972.4097144142117</x:v>
      </x:c>
      <x:c r="BD211" s="11" t="n">
        <x:v>2437.8724475115623</x:v>
      </x:c>
      <x:c r="BE211" s="11" t="n">
        <x:v>1160.2663957632108</x:v>
      </x:c>
      <x:c r="BF211" s="11" t="n">
        <x:v>1604.3462673977224</x:v>
      </x:c>
      <x:c r="BG211" s="11" t="n">
        <x:v>585.9197211603328</x:v>
      </x:c>
      <x:c r="BH211" s="11" t="n">
        <x:v>518.5374381567245</x:v>
      </x:c>
      <x:c r="BI211" s="11" t="n">
        <x:v>1.1580249242564604</x:v>
      </x:c>
      <x:c r="BJ211" s="11" t="n">
        <x:v>1.7099330852451193</x:v>
      </x:c>
      <x:c r="BK211" s="12" t="n">
        <x:v>0.02542022628425596</x:v>
      </x:c>
      <x:c r="BL211" s="12" t="n">
        <x:v>0.02529861000232605</x:v>
      </x:c>
      <x:c r="BM211" s="12" t="n">
        <x:v>0.9804639308808624</x:v>
      </x:c>
      <x:c r="BN211" s="12" t="n">
        <x:v>0.9815511712696461</x:v>
      </x:c>
      <x:c r="BO211" s="12" t="n">
        <x:v>0.8435772029337734</x:v>
      </x:c>
      <x:c r="BP211" s="12" t="n">
        <x:v>0.8619101997275483</x:v>
      </x:c>
      <x:c r="BQ211" s="12" t="n">
        <x:v>0.9642963039370254</x:v>
      </x:c>
      <x:c r="BR211" s="12" t="n">
        <x:v>0.9623635142836453</x:v>
      </x:c>
      <x:c r="BS211" s="12" t="n">
        <x:v>0.37423160107130715</x:v>
      </x:c>
      <x:c r="BT211" s="12" t="n">
        <x:v>0.19976549769108282</x:v>
      </x:c>
      <x:c r="BU211" s="11" t="n">
        <x:v>201288</x:v>
      </x:c>
      <x:c r="BV211" s="11" t="n">
        <x:v>1607060</x:v>
      </x:c>
      <x:c r="BW211" s="11" t="n">
        <x:v>0</x:v>
      </x:c>
      <x:c r="BX211" s="11" t="n">
        <x:v>644516</x:v>
      </x:c>
      <x:c r="BY211" s="11" t="n">
        <x:v>0</x:v>
      </x:c>
      <x:c r="BZ211" s="11" t="n">
        <x:v>2125862</x:v>
      </x:c>
      <x:c r="CA211" s="11" t="n">
        <x:v>0</x:v>
      </x:c>
      <x:c r="CB211" s="11" t="n">
        <x:v>0</x:v>
      </x:c>
      <x:c r="CC211" s="11" t="n">
        <x:v>886644</x:v>
      </x:c>
      <x:c r="CD211" s="11" t="n">
        <x:v>280826</x:v>
      </x:c>
      <x:c r="CE211" s="11" t="n">
        <x:v>118239</x:v>
      </x:c>
      <x:c r="CF211" s="11" t="n">
        <x:v>0</x:v>
      </x:c>
      <x:c r="CG211" s="11" t="n">
        <x:v>26352</x:v>
      </x:c>
      <x:c r="CH211" s="11" t="n">
        <x:v>431628</x:v>
      </x:c>
      <x:c r="CI211" s="11" t="n">
        <x:v>1413014</x:v>
      </x:c>
      <x:c r="CJ211" s="11" t="n">
        <x:v>701608</x:v>
      </x:c>
      <x:c r="CK211" s="11" t="n">
        <x:v>528146</x:v>
      </x:c>
      <x:c r="CL211" s="11" t="n">
        <x:v>0</x:v>
      </x:c>
      <x:c r="CM211" s="11" t="n">
        <x:v>255192</x:v>
      </x:c>
      <x:c r="CN211" s="11" t="n">
        <x:v>8946</x:v>
      </x:c>
      <x:c r="CO211" s="11" t="n">
        <x:v>0</x:v>
      </x:c>
      <x:c r="CP211" s="8"/>
      <x:c r="CQ211" s="8"/>
    </x:row>
    <x:row r="212">
      <x:c r="A212" s="8" t="str">
        <x:v>Esquimalt|2019</x:v>
      </x:c>
      <x:c r="B212" s="8" t="str">
        <x:v>esquimalt-d</x:v>
      </x:c>
      <x:c r="C212" s="8" t="str">
        <x:v>Esquimalt</x:v>
      </x:c>
      <x:c r="D212" s="8" t="str">
        <x:v>Esquimalt</x:v>
      </x:c>
      <x:c r="E212" s="8" t="str">
        <x:v>D</x:v>
      </x:c>
      <x:c r="F212" s="8" t="str">
        <x:v>CAP</x:v>
      </x:c>
      <x:c r="G212" s="9" t="n">
        <x:v>2019</x:v>
      </x:c>
      <x:c r="H212" s="10" t="n">
        <x:v>18716</x:v>
      </x:c>
      <x:c r="I212" s="8" t="str">
        <x:v>5,000 to 19,999</x:v>
      </x:c>
      <x:c r="J212" s="11" t="n">
        <x:v>39667488</x:v>
      </x:c>
      <x:c r="K212" s="11" t="n">
        <x:v>35767456</x:v>
      </x:c>
      <x:c r="L212" s="11" t="n">
        <x:v>3900032</x:v>
      </x:c>
      <x:c r="M212" s="12" t="n">
        <x:v>0.09831809869079686</x:v>
      </x:c>
      <x:c r="N212" s="11" t="n">
        <x:v>29712680</x:v>
      </x:c>
      <x:c r="O212" s="11" t="n">
        <x:v>5168066</x:v>
      </x:c>
      <x:c r="P212" s="11" t="n">
        <x:v>2823973</x:v>
      </x:c>
      <x:c r="Q212" s="11" t="n">
        <x:v>1962769</x:v>
      </x:c>
      <x:c r="R212" s="11" t="n">
        <x:v>31856089</x:v>
      </x:c>
      <x:c r="S212" s="11" t="n">
        <x:v>3551358</x:v>
      </x:c>
      <x:c r="T212" s="11" t="n">
        <x:v>52112170</x:v>
      </x:c>
      <x:c r="U212" s="11" t="n">
        <x:v>36053226</x:v>
      </x:c>
      <x:c r="V212" s="11" t="n">
        <x:v>17761981</x:v>
      </x:c>
      <x:c r="W212" s="11" t="n">
        <x:v>7602015</x:v>
      </x:c>
      <x:c r="X212" s="11" t="n">
        <x:v>6695708</x:v>
      </x:c>
      <x:c r="Y212" s="11" t="n">
        <x:v>0</x:v>
      </x:c>
      <x:c r="Z212" s="11" t="n">
        <x:v>799681</x:v>
      </x:c>
      <x:c r="AA212" s="11" t="n">
        <x:v>5502438</x:v>
      </x:c>
      <x:c r="AB212" s="11" t="n">
        <x:v>360009</x:v>
      </x:c>
      <x:c r="AC212" s="11" t="n">
        <x:v>1159690</x:v>
      </x:c>
      <x:c r="AD212" s="11" t="n">
        <x:v>9178641</x:v>
      </x:c>
      <x:c r="AE212" s="11" t="n">
        <x:v>8018951</x:v>
      </x:c>
      <x:c r="AF212" s="11" t="n">
        <x:v>36714565</x:v>
      </x:c>
      <x:c r="AG212" s="11" t="n">
        <x:v>148756159</x:v>
      </x:c>
      <x:c r="AH212" s="11" t="n">
        <x:v>68260129</x:v>
      </x:c>
      <x:c r="AI212" s="11" t="n">
        <x:v>80496030</x:v>
      </x:c>
      <x:c r="AJ212" s="11" t="n">
        <x:v>2261977</x:v>
      </x:c>
      <x:c r="AK212" s="11" t="n">
        <x:v>29400645</x:v>
      </x:c>
      <x:c r="AL212" s="11" t="n">
        <x:v>0</x:v>
      </x:c>
      <x:c r="AM212" s="12" t="n">
        <x:v>1</x:v>
      </x:c>
      <x:c r="AN212" s="12" t="n">
        <x:v>0.07693630530894816</x:v>
      </x:c>
      <x:c r="AO212" s="11" t="n">
        <x:v>28128927</x:v>
      </x:c>
      <x:c r="AP212" s="11" t="n">
        <x:v>27499035</x:v>
      </x:c>
      <x:c r="AQ212" s="12" t="n">
        <x:v>0.9776069666646012</x:v>
      </x:c>
      <x:c r="AR212" s="11" t="n">
        <x:v>2119.4426159435775</x:v>
      </x:c>
      <x:c r="AS212" s="11" t="n">
        <x:v>1911.0630476597564</x:v>
      </x:c>
      <x:c r="AT212" s="11" t="n">
        <x:v>949.0265548194059</x:v>
      </x:c>
      <x:c r="AU212" s="11" t="n">
        <x:v>406.17733490061977</x:v>
      </x:c>
      <x:c r="AV212" s="11" t="n">
        <x:v>293.99647360547124</x:v>
      </x:c>
      <x:c r="AW212" s="11" t="n">
        <x:v>1.4454232195476766</x:v>
      </x:c>
      <x:c r="AX212" s="12" t="n">
        <x:v>0.8736534090395299</x:v>
      </x:c>
      <x:c r="AY212" s="11"/>
      <x:c r="AZ212" s="11"/>
      <x:c r="BA212" s="11"/>
      <x:c r="BB212" s="11"/>
      <x:c r="BC212" s="11"/>
      <x:c r="BD212" s="11"/>
      <x:c r="BE212" s="11"/>
      <x:c r="BF212" s="11"/>
      <x:c r="BG212" s="11"/>
      <x:c r="BH212" s="11"/>
      <x:c r="BI212" s="11"/>
      <x:c r="BJ212" s="11"/>
      <x:c r="BK212" s="12"/>
      <x:c r="BL212" s="12"/>
      <x:c r="BM212" s="12"/>
      <x:c r="BN212" s="12"/>
      <x:c r="BO212" s="12"/>
      <x:c r="BP212" s="12"/>
      <x:c r="BQ212" s="12"/>
      <x:c r="BR212" s="12"/>
      <x:c r="BS212" s="12"/>
      <x:c r="BT212" s="12"/>
      <x:c r="BU212" s="11" t="n">
        <x:v>25114</x:v>
      </x:c>
      <x:c r="BV212" s="11" t="n">
        <x:v>1167634</x:v>
      </x:c>
      <x:c r="BW212" s="11" t="n">
        <x:v>1631225</x:v>
      </x:c>
      <x:c r="BX212" s="11" t="n">
        <x:v>1297176</x:v>
      </x:c>
      <x:c r="BY212" s="11" t="n">
        <x:v>0</x:v>
      </x:c>
      <x:c r="BZ212" s="11" t="n">
        <x:v>76391</x:v>
      </x:c>
      <x:c r="CA212" s="11" t="n">
        <x:v>589202</x:v>
      </x:c>
      <x:c r="CB212" s="11" t="n">
        <x:v>0</x:v>
      </x:c>
      <x:c r="CC212" s="11" t="n">
        <x:v>3562571</x:v>
      </x:c>
      <x:c r="CD212" s="11" t="n">
        <x:v>13589637</x:v>
      </x:c>
      <x:c r="CE212" s="11" t="n">
        <x:v>672005</x:v>
      </x:c>
      <x:c r="CF212" s="11" t="n">
        <x:v>0</x:v>
      </x:c>
      <x:c r="CG212" s="11" t="n">
        <x:v>853330</x:v>
      </x:c>
      <x:c r="CH212" s="11" t="n">
        <x:v>3260891</x:v>
      </x:c>
      <x:c r="CI212" s="11" t="n">
        <x:v>9789508</x:v>
      </x:c>
      <x:c r="CJ212" s="11" t="n">
        <x:v>0</x:v>
      </x:c>
      <x:c r="CK212" s="11" t="n">
        <x:v>488156</x:v>
      </x:c>
      <x:c r="CL212" s="11" t="n">
        <x:v>0</x:v>
      </x:c>
      <x:c r="CM212" s="11"/>
      <x:c r="CN212" s="11" t="n">
        <x:v>0</x:v>
      </x:c>
      <x:c r="CO212" s="11" t="n">
        <x:v>0</x:v>
      </x:c>
      <x:c r="CP212" s="8"/>
      <x:c r="CQ212" s="8"/>
    </x:row>
    <x:row r="213">
      <x:c r="A213" s="8" t="str">
        <x:v>Esquimalt|2020</x:v>
      </x:c>
      <x:c r="B213" s="8" t="str">
        <x:v>esquimalt-d</x:v>
      </x:c>
      <x:c r="C213" s="8" t="str">
        <x:v>Esquimalt</x:v>
      </x:c>
      <x:c r="D213" s="8" t="str">
        <x:v>Esquimalt</x:v>
      </x:c>
      <x:c r="E213" s="8" t="str">
        <x:v>D</x:v>
      </x:c>
      <x:c r="F213" s="8" t="str">
        <x:v>CAP</x:v>
      </x:c>
      <x:c r="G213" s="9" t="n">
        <x:v>2020</x:v>
      </x:c>
      <x:c r="H213" s="10" t="n">
        <x:v>19015</x:v>
      </x:c>
      <x:c r="I213" s="8" t="str">
        <x:v>5,000 to 19,999</x:v>
      </x:c>
      <x:c r="J213" s="11" t="n">
        <x:v>45808896</x:v>
      </x:c>
      <x:c r="K213" s="11" t="n">
        <x:v>34927324</x:v>
      </x:c>
      <x:c r="L213" s="11" t="n">
        <x:v>10881572</x:v>
      </x:c>
      <x:c r="M213" s="12" t="n">
        <x:v>0.23754276898530802</x:v>
      </x:c>
      <x:c r="N213" s="11" t="n">
        <x:v>30649120</x:v>
      </x:c>
      <x:c r="O213" s="11" t="n">
        <x:v>6821868</x:v>
      </x:c>
      <x:c r="P213" s="11" t="n">
        <x:v>5224164</x:v>
      </x:c>
      <x:c r="Q213" s="11" t="n">
        <x:v>3113744</x:v>
      </x:c>
      <x:c r="R213" s="11" t="n">
        <x:v>31148949</x:v>
      </x:c>
      <x:c r="S213" s="11" t="n">
        <x:v>3430478</x:v>
      </x:c>
      <x:c r="T213" s="11" t="n">
        <x:v>58715840</x:v>
      </x:c>
      <x:c r="U213" s="11" t="n">
        <x:v>35061305</x:v>
      </x:c>
      <x:c r="V213" s="11" t="n">
        <x:v>25071891</x:v>
      </x:c>
      <x:c r="W213" s="11" t="n">
        <x:v>9257414</x:v>
      </x:c>
      <x:c r="X213" s="11" t="n">
        <x:v>5502438</x:v>
      </x:c>
      <x:c r="Y213" s="11" t="n">
        <x:v>0</x:v>
      </x:c>
      <x:c r="Z213" s="11" t="n">
        <x:v>537479</x:v>
      </x:c>
      <x:c r="AA213" s="11" t="n">
        <x:v>4529661</x:v>
      </x:c>
      <x:c r="AB213" s="11" t="n">
        <x:v>347897</x:v>
      </x:c>
      <x:c r="AC213" s="11" t="n">
        <x:v>885376</x:v>
      </x:c>
      <x:c r="AD213" s="11" t="n">
        <x:v>10508155</x:v>
      </x:c>
      <x:c r="AE213" s="11" t="n">
        <x:v>9622779</x:v>
      </x:c>
      <x:c r="AF213" s="11" t="n">
        <x:v>42032618</x:v>
      </x:c>
      <x:c r="AG213" s="11" t="n">
        <x:v>155755792</x:v>
      </x:c>
      <x:c r="AH213" s="11" t="n">
        <x:v>71687645</x:v>
      </x:c>
      <x:c r="AI213" s="11" t="n">
        <x:v>84068147</x:v>
      </x:c>
      <x:c r="AJ213" s="11" t="n">
        <x:v>7018340</x:v>
      </x:c>
      <x:c r="AK213" s="11" t="n">
        <x:v>32693460</x:v>
      </x:c>
      <x:c r="AL213" s="11" t="n">
        <x:v>0</x:v>
      </x:c>
      <x:c r="AM213" s="12" t="n">
        <x:v>1</x:v>
      </x:c>
      <x:c r="AN213" s="12" t="n">
        <x:v>0.214671068770329</x:v>
      </x:c>
      <x:c r="AO213" s="11" t="n">
        <x:v>28450696</x:v>
      </x:c>
      <x:c r="AP213" s="11" t="n">
        <x:v>27993755</x:v>
      </x:c>
      <x:c r="AQ213" s="12" t="n">
        <x:v>0.9839391978319265</x:v>
      </x:c>
      <x:c r="AR213" s="11" t="n">
        <x:v>2409.092611096503</x:v>
      </x:c>
      <x:c r="AS213" s="11" t="n">
        <x:v>1836.8300815145938</x:v>
      </x:c>
      <x:c r="AT213" s="11" t="n">
        <x:v>1318.5322640021036</x:v>
      </x:c>
      <x:c r="AU213" s="11" t="n">
        <x:v>486.8479621351565</x:v>
      </x:c>
      <x:c r="AV213" s="11" t="n">
        <x:v>238.21514593741782</x:v>
      </x:c>
      <x:c r="AW213" s="11" t="n">
        <x:v>1.6746621382176163</x:v>
      </x:c>
      <x:c r="AX213" s="12" t="n">
        <x:v>0.9157439150830949</x:v>
      </x:c>
      <x:c r="AY213" s="11"/>
      <x:c r="AZ213" s="11"/>
      <x:c r="BA213" s="11"/>
      <x:c r="BB213" s="11"/>
      <x:c r="BC213" s="11"/>
      <x:c r="BD213" s="11"/>
      <x:c r="BE213" s="11"/>
      <x:c r="BF213" s="11"/>
      <x:c r="BG213" s="11"/>
      <x:c r="BH213" s="11"/>
      <x:c r="BI213" s="11"/>
      <x:c r="BJ213" s="11"/>
      <x:c r="BK213" s="12"/>
      <x:c r="BL213" s="12"/>
      <x:c r="BM213" s="12"/>
      <x:c r="BN213" s="12"/>
      <x:c r="BO213" s="12"/>
      <x:c r="BP213" s="12"/>
      <x:c r="BQ213" s="12"/>
      <x:c r="BR213" s="12"/>
      <x:c r="BS213" s="12"/>
      <x:c r="BT213" s="12"/>
      <x:c r="BU213" s="11" t="n">
        <x:v>7154</x:v>
      </x:c>
      <x:c r="BV213" s="11" t="n">
        <x:v>4348018</x:v>
      </x:c>
      <x:c r="BW213" s="11" t="n">
        <x:v>868992</x:v>
      </x:c>
      <x:c r="BX213" s="11" t="n">
        <x:v>836717</x:v>
      </x:c>
      <x:c r="BY213" s="11" t="n">
        <x:v>0</x:v>
      </x:c>
      <x:c r="BZ213" s="11" t="n">
        <x:v>2277027</x:v>
      </x:c>
      <x:c r="CA213" s="11" t="n">
        <x:v>0</x:v>
      </x:c>
      <x:c r="CB213" s="11" t="n">
        <x:v>0</x:v>
      </x:c>
      <x:c r="CC213" s="11" t="n">
        <x:v>3392731</x:v>
      </x:c>
      <x:c r="CD213" s="11" t="n">
        <x:v>14501308</x:v>
      </x:c>
      <x:c r="CE213" s="11" t="n">
        <x:v>729126</x:v>
      </x:c>
      <x:c r="CF213" s="11" t="n">
        <x:v>0</x:v>
      </x:c>
      <x:c r="CG213" s="11" t="n">
        <x:v>797677</x:v>
      </x:c>
      <x:c r="CH213" s="11" t="n">
        <x:v>3168422</x:v>
      </x:c>
      <x:c r="CI213" s="11" t="n">
        <x:v>8326179</x:v>
      </x:c>
      <x:c r="CJ213" s="11" t="n">
        <x:v>0</x:v>
      </x:c>
      <x:c r="CK213" s="11" t="n">
        <x:v>565658</x:v>
      </x:c>
      <x:c r="CL213" s="11" t="n">
        <x:v>0</x:v>
      </x:c>
      <x:c r="CM213" s="11"/>
      <x:c r="CN213" s="11" t="n">
        <x:v>15745</x:v>
      </x:c>
      <x:c r="CO213" s="11" t="n">
        <x:v>0</x:v>
      </x:c>
      <x:c r="CP213" s="8"/>
      <x:c r="CQ213" s="8"/>
    </x:row>
    <x:row r="214">
      <x:c r="A214" s="8" t="str">
        <x:v>Esquimalt|2021</x:v>
      </x:c>
      <x:c r="B214" s="8" t="str">
        <x:v>esquimalt-d</x:v>
      </x:c>
      <x:c r="C214" s="8" t="str">
        <x:v>Esquimalt</x:v>
      </x:c>
      <x:c r="D214" s="8" t="str">
        <x:v>Esquimalt</x:v>
      </x:c>
      <x:c r="E214" s="8" t="str">
        <x:v>D</x:v>
      </x:c>
      <x:c r="F214" s="8" t="str">
        <x:v>CAP</x:v>
      </x:c>
      <x:c r="G214" s="9" t="n">
        <x:v>2021</x:v>
      </x:c>
      <x:c r="H214" s="10" t="n">
        <x:v>18764</x:v>
      </x:c>
      <x:c r="I214" s="8" t="str">
        <x:v>5,000 to 19,999</x:v>
      </x:c>
      <x:c r="J214" s="11" t="n">
        <x:v>47678414</x:v>
      </x:c>
      <x:c r="K214" s="11" t="n">
        <x:v>36021934</x:v>
      </x:c>
      <x:c r="L214" s="11" t="n">
        <x:v>11656480</x:v>
      </x:c>
      <x:c r="M214" s="12" t="n">
        <x:v>0.2444812866468251</x:v>
      </x:c>
      <x:c r="N214" s="11" t="n">
        <x:v>31126965</x:v>
      </x:c>
      <x:c r="O214" s="11" t="n">
        <x:v>13132824</x:v>
      </x:c>
      <x:c r="P214" s="11" t="n">
        <x:v>2540627</x:v>
      </x:c>
      <x:c r="Q214" s="11" t="n">
        <x:v>877998</x:v>
      </x:c>
      <x:c r="R214" s="11" t="n">
        <x:v>32022260</x:v>
      </x:c>
      <x:c r="S214" s="11" t="n">
        <x:v>3446639</x:v>
      </x:c>
      <x:c r="T214" s="11" t="n">
        <x:v>81742569</x:v>
      </x:c>
      <x:c r="U214" s="11" t="n">
        <x:v>60532152</x:v>
      </x:c>
      <x:c r="V214" s="11" t="n">
        <x:v>23622868</x:v>
      </x:c>
      <x:c r="W214" s="11" t="n">
        <x:v>9896756</x:v>
      </x:c>
      <x:c r="X214" s="11" t="n">
        <x:v>4461995</x:v>
      </x:c>
      <x:c r="Y214" s="11" t="n">
        <x:v>35000000</x:v>
      </x:c>
      <x:c r="Z214" s="11" t="n">
        <x:v>842501</x:v>
      </x:c>
      <x:c r="AA214" s="11" t="n">
        <x:v>38140733</x:v>
      </x:c>
      <x:c r="AB214" s="11" t="n">
        <x:v>553035</x:v>
      </x:c>
      <x:c r="AC214" s="11" t="n">
        <x:v>1395536</x:v>
      </x:c>
      <x:c r="AD214" s="11" t="n">
        <x:v>11277881</x:v>
      </x:c>
      <x:c r="AE214" s="11" t="n">
        <x:v>9882345</x:v>
      </x:c>
      <x:c r="AF214" s="11" t="n">
        <x:v>45111525</x:v>
      </x:c>
      <x:c r="AG214" s="11" t="n">
        <x:v>172280055</x:v>
      </x:c>
      <x:c r="AH214" s="11" t="n">
        <x:v>75096813</x:v>
      </x:c>
      <x:c r="AI214" s="11" t="n">
        <x:v>97183242</x:v>
      </x:c>
      <x:c r="AJ214" s="11" t="n">
        <x:v>16562734</x:v>
      </x:c>
      <x:c r="AK214" s="11" t="n">
        <x:v>46868729</x:v>
      </x:c>
      <x:c r="AL214" s="11" t="n">
        <x:v>0</x:v>
      </x:c>
      <x:c r="AM214" s="12" t="n">
        <x:v>1</x:v>
      </x:c>
      <x:c r="AN214" s="12" t="n">
        <x:v>0.35338560173031364</x:v>
      </x:c>
      <x:c r="AO214" s="11" t="n">
        <x:v>31159632</x:v>
      </x:c>
      <x:c r="AP214" s="11" t="n">
        <x:v>30359910</x:v>
      </x:c>
      <x:c r="AQ214" s="12" t="n">
        <x:v>0.9743346776367577</x:v>
      </x:c>
      <x:c r="AR214" s="11" t="n">
        <x:v>2540.951502877851</x:v>
      </x:c>
      <x:c r="AS214" s="11" t="n">
        <x:v>1919.7364101470903</x:v>
      </x:c>
      <x:c r="AT214" s="11" t="n">
        <x:v>1258.9462801108505</x:v>
      </x:c>
      <x:c r="AU214" s="11" t="n">
        <x:v>527.4331698998081</x:v>
      </x:c>
      <x:c r="AV214" s="11" t="n">
        <x:v>2032.6547111490088</x:v>
      </x:c>
      <x:c r="AW214" s="11" t="n">
        <x:v>1.350399189508412</x:v>
      </x:c>
      <x:c r="AX214" s="12" t="n">
        <x:v>0.8762590241908033</x:v>
      </x:c>
      <x:c r="AY214" s="11"/>
      <x:c r="AZ214" s="11"/>
      <x:c r="BA214" s="11"/>
      <x:c r="BB214" s="11"/>
      <x:c r="BC214" s="11"/>
      <x:c r="BD214" s="11"/>
      <x:c r="BE214" s="11"/>
      <x:c r="BF214" s="11"/>
      <x:c r="BG214" s="11"/>
      <x:c r="BH214" s="11"/>
      <x:c r="BI214" s="11"/>
      <x:c r="BJ214" s="11"/>
      <x:c r="BK214" s="12"/>
      <x:c r="BL214" s="12"/>
      <x:c r="BM214" s="12"/>
      <x:c r="BN214" s="12"/>
      <x:c r="BO214" s="12"/>
      <x:c r="BP214" s="12"/>
      <x:c r="BQ214" s="12"/>
      <x:c r="BR214" s="12"/>
      <x:c r="BS214" s="12"/>
      <x:c r="BT214" s="12"/>
      <x:c r="BU214" s="11" t="n">
        <x:v>31920</x:v>
      </x:c>
      <x:c r="BV214" s="11" t="n">
        <x:v>789363</x:v>
      </x:c>
      <x:c r="BW214" s="11" t="n">
        <x:v>1719344</x:v>
      </x:c>
      <x:c r="BX214" s="11" t="n">
        <x:v>599749</x:v>
      </x:c>
      <x:c r="BY214" s="11" t="n">
        <x:v>0</x:v>
      </x:c>
      <x:c r="BZ214" s="11" t="n">
        <x:v>276189</x:v>
      </x:c>
      <x:c r="CA214" s="11" t="n">
        <x:v>2060</x:v>
      </x:c>
      <x:c r="CB214" s="11" t="n">
        <x:v>0</x:v>
      </x:c>
      <x:c r="CC214" s="11" t="n">
        <x:v>3690943</x:v>
      </x:c>
      <x:c r="CD214" s="11" t="n">
        <x:v>14319122</x:v>
      </x:c>
      <x:c r="CE214" s="11" t="n">
        <x:v>734625</x:v>
      </x:c>
      <x:c r="CF214" s="11" t="n">
        <x:v>0</x:v>
      </x:c>
      <x:c r="CG214" s="11" t="n">
        <x:v>829611</x:v>
      </x:c>
      <x:c r="CH214" s="11" t="n">
        <x:v>3017709</x:v>
      </x:c>
      <x:c r="CI214" s="11" t="n">
        <x:v>9363012</x:v>
      </x:c>
      <x:c r="CJ214" s="11" t="n">
        <x:v>0</x:v>
      </x:c>
      <x:c r="CK214" s="11" t="n">
        <x:v>620273</x:v>
      </x:c>
      <x:c r="CL214" s="11" t="n">
        <x:v>0</x:v>
      </x:c>
      <x:c r="CM214" s="11"/>
      <x:c r="CN214" s="11" t="n">
        <x:v>0</x:v>
      </x:c>
      <x:c r="CO214" s="11" t="n">
        <x:v>0</x:v>
      </x:c>
      <x:c r="CP214" s="8"/>
      <x:c r="CQ214" s="8"/>
    </x:row>
    <x:row r="215">
      <x:c r="A215" s="8" t="str">
        <x:v>Esquimalt|2022</x:v>
      </x:c>
      <x:c r="B215" s="8" t="str">
        <x:v>esquimalt-d</x:v>
      </x:c>
      <x:c r="C215" s="8" t="str">
        <x:v>Esquimalt</x:v>
      </x:c>
      <x:c r="D215" s="8" t="str">
        <x:v>Esquimalt</x:v>
      </x:c>
      <x:c r="E215" s="8" t="str">
        <x:v>D</x:v>
      </x:c>
      <x:c r="F215" s="8" t="str">
        <x:v>CAP</x:v>
      </x:c>
      <x:c r="G215" s="9" t="n">
        <x:v>2022</x:v>
      </x:c>
      <x:c r="H215" s="10" t="n">
        <x:v>5801</x:v>
      </x:c>
      <x:c r="I215" s="8" t="str">
        <x:v>5,000 to 19,999</x:v>
      </x:c>
      <x:c r="J215" s="11" t="n">
        <x:v>49399805</x:v>
      </x:c>
      <x:c r="K215" s="11" t="n">
        <x:v>40777566</x:v>
      </x:c>
      <x:c r="L215" s="11" t="n">
        <x:v>8622239</x:v>
      </x:c>
      <x:c r="M215" s="12" t="n">
        <x:v>0.17453993998559306</x:v>
      </x:c>
      <x:c r="N215" s="11" t="n">
        <x:v>32408250</x:v>
      </x:c>
      <x:c r="O215" s="11" t="n">
        <x:v>12425877</x:v>
      </x:c>
      <x:c r="P215" s="11" t="n">
        <x:v>1909666</x:v>
      </x:c>
      <x:c r="Q215" s="11" t="n">
        <x:v>2656012</x:v>
      </x:c>
      <x:c r="R215" s="11" t="n">
        <x:v>35927322</x:v>
      </x:c>
      <x:c r="S215" s="11" t="n">
        <x:v>3627665</x:v>
      </x:c>
      <x:c r="T215" s="11" t="n">
        <x:v>80660629</x:v>
      </x:c>
      <x:c r="U215" s="11" t="n">
        <x:v>54227190</x:v>
      </x:c>
      <x:c r="V215" s="11" t="n">
        <x:v>29366262</x:v>
      </x:c>
      <x:c r="W215" s="11" t="n">
        <x:v>11142129</x:v>
      </x:c>
      <x:c r="X215" s="11" t="n">
        <x:v>38140733</x:v>
      </x:c>
      <x:c r="Y215" s="11" t="n">
        <x:v>98761</x:v>
      </x:c>
      <x:c r="Z215" s="11" t="n">
        <x:v>1373425</x:v>
      </x:c>
      <x:c r="AA215" s="11" t="n">
        <x:v>36353110</x:v>
      </x:c>
      <x:c r="AB215" s="11" t="n">
        <x:v>1222579</x:v>
      </x:c>
      <x:c r="AC215" s="11" t="n">
        <x:v>2596004</x:v>
      </x:c>
      <x:c r="AD215" s="11" t="n">
        <x:v>11837842</x:v>
      </x:c>
      <x:c r="AE215" s="11" t="n">
        <x:v>9241838</x:v>
      </x:c>
      <x:c r="AF215" s="11" t="n">
        <x:v>47351369</x:v>
      </x:c>
      <x:c r="AG215" s="11" t="n">
        <x:v>176618920</x:v>
      </x:c>
      <x:c r="AH215" s="11" t="n">
        <x:v>76603608</x:v>
      </x:c>
      <x:c r="AI215" s="11" t="n">
        <x:v>100015312</x:v>
      </x:c>
      <x:c r="AJ215" s="11" t="n">
        <x:v>7265019</x:v>
      </x:c>
      <x:c r="AK215" s="11" t="n">
        <x:v>37598149</x:v>
      </x:c>
      <x:c r="AL215" s="11" t="n">
        <x:v>0</x:v>
      </x:c>
      <x:c r="AM215" s="12" t="n">
        <x:v>1</x:v>
      </x:c>
      <x:c r="AN215" s="12" t="n">
        <x:v>0.1932281027983585</x:v>
      </x:c>
      <x:c r="AO215" s="11" t="n">
        <x:v>32964865</x:v>
      </x:c>
      <x:c r="AP215" s="11" t="n">
        <x:v>31658830</x:v>
      </x:c>
      <x:c r="AQ215" s="12" t="n">
        <x:v>0.9603809995885013</x:v>
      </x:c>
      <x:c r="AR215" s="11" t="n">
        <x:v>8515.739527667643</x:v>
      </x:c>
      <x:c r="AS215" s="11" t="n">
        <x:v>7029.402861575591</x:v>
      </x:c>
      <x:c r="AT215" s="11" t="n">
        <x:v>5062.275814514739</x:v>
      </x:c>
      <x:c r="AU215" s="11" t="n">
        <x:v>1920.7255645578348</x:v>
      </x:c>
      <x:c r="AV215" s="11" t="n">
        <x:v>6266.697121186003</x:v>
      </x:c>
      <x:c r="AW215" s="11" t="n">
        <x:v>1.4874572884930972</x:v>
      </x:c>
      <x:c r="AX215" s="12" t="n">
        <x:v>0.7807029355519359</x:v>
      </x:c>
      <x:c r="AY215" s="11"/>
      <x:c r="AZ215" s="11"/>
      <x:c r="BA215" s="11"/>
      <x:c r="BB215" s="11"/>
      <x:c r="BC215" s="11"/>
      <x:c r="BD215" s="11"/>
      <x:c r="BE215" s="11"/>
      <x:c r="BF215" s="11"/>
      <x:c r="BG215" s="11"/>
      <x:c r="BH215" s="11"/>
      <x:c r="BI215" s="11"/>
      <x:c r="BJ215" s="11"/>
      <x:c r="BK215" s="12"/>
      <x:c r="BL215" s="12"/>
      <x:c r="BM215" s="12"/>
      <x:c r="BN215" s="12"/>
      <x:c r="BO215" s="12"/>
      <x:c r="BP215" s="12"/>
      <x:c r="BQ215" s="12"/>
      <x:c r="BR215" s="12"/>
      <x:c r="BS215" s="12"/>
      <x:c r="BT215" s="12"/>
      <x:c r="BU215" s="11" t="n">
        <x:v>10000</x:v>
      </x:c>
      <x:c r="BV215" s="11" t="n">
        <x:v>947660</x:v>
      </x:c>
      <x:c r="BW215" s="11" t="n">
        <x:v>952006</x:v>
      </x:c>
      <x:c r="BX215" s="11" t="n">
        <x:v>2210468</x:v>
      </x:c>
      <x:c r="BY215" s="11" t="n">
        <x:v>0</x:v>
      </x:c>
      <x:c r="BZ215" s="11" t="n">
        <x:v>445544</x:v>
      </x:c>
      <x:c r="CA215" s="11" t="n">
        <x:v>0</x:v>
      </x:c>
      <x:c r="CB215" s="11" t="n">
        <x:v>0</x:v>
      </x:c>
      <x:c r="CC215" s="11" t="n">
        <x:v>5233504</x:v>
      </x:c>
      <x:c r="CD215" s="11" t="n">
        <x:v>15155846</x:v>
      </x:c>
      <x:c r="CE215" s="11" t="n">
        <x:v>781757</x:v>
      </x:c>
      <x:c r="CF215" s="11" t="n">
        <x:v>0</x:v>
      </x:c>
      <x:c r="CG215" s="11" t="n">
        <x:v>810476</x:v>
      </x:c>
      <x:c r="CH215" s="11" t="n">
        <x:v>3427542</x:v>
      </x:c>
      <x:c r="CI215" s="11" t="n">
        <x:v>10321085</x:v>
      </x:c>
      <x:c r="CJ215" s="11" t="n">
        <x:v>0</x:v>
      </x:c>
      <x:c r="CK215" s="11" t="n">
        <x:v>645330</x:v>
      </x:c>
      <x:c r="CL215" s="11" t="n">
        <x:v>0</x:v>
      </x:c>
      <x:c r="CM215" s="11"/>
      <x:c r="CN215" s="11" t="n">
        <x:v>774361</x:v>
      </x:c>
      <x:c r="CO215" s="11" t="n">
        <x:v>0</x:v>
      </x:c>
      <x:c r="CP215" s="8"/>
      <x:c r="CQ215" s="8"/>
    </x:row>
    <x:row r="216">
      <x:c r="A216" s="8" t="str">
        <x:v>Esquimalt|2023</x:v>
      </x:c>
      <x:c r="B216" s="8" t="str">
        <x:v>esquimalt-d</x:v>
      </x:c>
      <x:c r="C216" s="8" t="str">
        <x:v>Esquimalt</x:v>
      </x:c>
      <x:c r="D216" s="8" t="str">
        <x:v>Esquimalt</x:v>
      </x:c>
      <x:c r="E216" s="8" t="str">
        <x:v>D</x:v>
      </x:c>
      <x:c r="F216" s="8" t="str">
        <x:v>CAP</x:v>
      </x:c>
      <x:c r="G216" s="9" t="n">
        <x:v>2023</x:v>
      </x:c>
      <x:c r="H216" s="10" t="n">
        <x:v>19738</x:v>
      </x:c>
      <x:c r="I216" s="8" t="str">
        <x:v>5,000 to 19,999</x:v>
      </x:c>
      <x:c r="J216" s="11" t="n">
        <x:v>56021992</x:v>
      </x:c>
      <x:c r="K216" s="11" t="n">
        <x:v>43785561</x:v>
      </x:c>
      <x:c r="L216" s="11" t="n">
        <x:v>12236431</x:v>
      </x:c>
      <x:c r="M216" s="12" t="n">
        <x:v>0.21842191902065888</x:v>
      </x:c>
      <x:c r="N216" s="11" t="n">
        <x:v>34559189</x:v>
      </x:c>
      <x:c r="O216" s="11" t="n">
        <x:v>7931828</x:v>
      </x:c>
      <x:c r="P216" s="11" t="n">
        <x:v>7925255</x:v>
      </x:c>
      <x:c r="Q216" s="11" t="n">
        <x:v>5605720</x:v>
      </x:c>
      <x:c r="R216" s="11" t="n">
        <x:v>38586573</x:v>
      </x:c>
      <x:c r="S216" s="11" t="n">
        <x:v>4011590</x:v>
      </x:c>
      <x:c r="T216" s="11" t="n">
        <x:v>90213759</x:v>
      </x:c>
      <x:c r="U216" s="11" t="n">
        <x:v>58162126</x:v>
      </x:c>
      <x:c r="V216" s="11" t="n">
        <x:v>35820061</x:v>
      </x:c>
      <x:c r="W216" s="11" t="n">
        <x:v>12114763</x:v>
      </x:c>
      <x:c r="X216" s="11" t="n">
        <x:v>36353110</x:v>
      </x:c>
      <x:c r="Y216" s="11" t="n">
        <x:v>0</x:v>
      </x:c>
      <x:c r="Z216" s="11" t="n">
        <x:v>1277565</x:v>
      </x:c>
      <x:c r="AA216" s="11" t="n">
        <x:v>34723886</x:v>
      </x:c>
      <x:c r="AB216" s="11" t="n">
        <x:v>1187398</x:v>
      </x:c>
      <x:c r="AC216" s="11" t="n">
        <x:v>2464963</x:v>
      </x:c>
      <x:c r="AD216" s="11" t="n">
        <x:v>11851406</x:v>
      </x:c>
      <x:c r="AE216" s="11" t="n">
        <x:v>9386443</x:v>
      </x:c>
      <x:c r="AF216" s="11" t="n">
        <x:v>47405625</x:v>
      </x:c>
      <x:c r="AG216" s="11" t="n">
        <x:v>185969067</x:v>
      </x:c>
      <x:c r="AH216" s="11" t="n">
        <x:v>80198295</x:v>
      </x:c>
      <x:c r="AI216" s="11" t="n">
        <x:v>105770772</x:v>
      </x:c>
      <x:c r="AJ216" s="11" t="n">
        <x:v>10058002</x:v>
      </x:c>
      <x:c r="AK216" s="11" t="n">
        <x:v>38373695</x:v>
      </x:c>
      <x:c r="AL216" s="11" t="n">
        <x:v>0</x:v>
      </x:c>
      <x:c r="AM216" s="12" t="n">
        <x:v>1</x:v>
      </x:c>
      <x:c r="AN216" s="12" t="n">
        <x:v>0.26210668532180703</x:v>
      </x:c>
      <x:c r="AO216" s="11" t="n">
        <x:v>36478643</x:v>
      </x:c>
      <x:c r="AP216" s="11" t="n">
        <x:v>35299089</x:v>
      </x:c>
      <x:c r="AQ216" s="12" t="n">
        <x:v>0.9676645318193443</x:v>
      </x:c>
      <x:c r="AR216" s="11" t="n">
        <x:v>2838.2810821765124</x:v>
      </x:c>
      <x:c r="AS216" s="11" t="n">
        <x:v>2218.3382814874863</x:v>
      </x:c>
      <x:c r="AT216" s="11" t="n">
        <x:v>1814.7766237714054</x:v>
      </x:c>
      <x:c r="AU216" s="11" t="n">
        <x:v>613.7786503191812</x:v>
      </x:c>
      <x:c r="AV216" s="11" t="n">
        <x:v>1759.2403485662173</x:v>
      </x:c>
      <x:c r="AW216" s="11" t="n">
        <x:v>1.5510739583350168</x:v>
      </x:c>
      <x:c r="AX216" s="12" t="n">
        <x:v>0.792010922585894</x:v>
      </x:c>
      <x:c r="AY216" s="11"/>
      <x:c r="AZ216" s="11"/>
      <x:c r="BA216" s="11"/>
      <x:c r="BB216" s="11"/>
      <x:c r="BC216" s="11"/>
      <x:c r="BD216" s="11"/>
      <x:c r="BE216" s="11"/>
      <x:c r="BF216" s="11"/>
      <x:c r="BG216" s="11"/>
      <x:c r="BH216" s="11"/>
      <x:c r="BI216" s="11"/>
      <x:c r="BJ216" s="11"/>
      <x:c r="BK216" s="12"/>
      <x:c r="BL216" s="12"/>
      <x:c r="BM216" s="12"/>
      <x:c r="BN216" s="12"/>
      <x:c r="BO216" s="12"/>
      <x:c r="BP216" s="12"/>
      <x:c r="BQ216" s="12"/>
      <x:c r="BR216" s="12"/>
      <x:c r="BS216" s="12"/>
      <x:c r="BT216" s="12"/>
      <x:c r="BU216" s="11" t="n">
        <x:v>919255</x:v>
      </x:c>
      <x:c r="BV216" s="11" t="n">
        <x:v>6134791</x:v>
      </x:c>
      <x:c r="BW216" s="11" t="n">
        <x:v>871209</x:v>
      </x:c>
      <x:c r="BX216" s="11" t="n">
        <x:v>4671485</x:v>
      </x:c>
      <x:c r="BY216" s="11" t="n">
        <x:v>0</x:v>
      </x:c>
      <x:c r="BZ216" s="11" t="n">
        <x:v>248455</x:v>
      </x:c>
      <x:c r="CA216" s="11" t="n">
        <x:v>685780</x:v>
      </x:c>
      <x:c r="CB216" s="11" t="n">
        <x:v>0</x:v>
      </x:c>
      <x:c r="CC216" s="11" t="n">
        <x:v>4947224</x:v>
      </x:c>
      <x:c r="CD216" s="11" t="n">
        <x:v>17849738</x:v>
      </x:c>
      <x:c r="CE216" s="11" t="n">
        <x:v>798693</x:v>
      </x:c>
      <x:c r="CF216" s="11" t="n">
        <x:v>0</x:v>
      </x:c>
      <x:c r="CG216" s="11" t="n">
        <x:v>1096921</x:v>
      </x:c>
      <x:c r="CH216" s="11" t="n">
        <x:v>3394735</x:v>
      </x:c>
      <x:c r="CI216" s="11" t="n">
        <x:v>11021335</x:v>
      </x:c>
      <x:c r="CJ216" s="11" t="n">
        <x:v>0</x:v>
      </x:c>
      <x:c r="CK216" s="11" t="n">
        <x:v>661955</x:v>
      </x:c>
      <x:c r="CL216" s="11" t="n">
        <x:v>0</x:v>
      </x:c>
      <x:c r="CM216" s="11" t="n">
        <x:v>3370</x:v>
      </x:c>
      <x:c r="CN216" s="11" t="n">
        <x:v>0</x:v>
      </x:c>
      <x:c r="CO216" s="11" t="n">
        <x:v>0</x:v>
      </x:c>
      <x:c r="CP216" s="8"/>
      <x:c r="CQ216" s="8"/>
    </x:row>
    <x:row r="217">
      <x:c r="A217" s="8" t="str">
        <x:v>Esquimalt|2024</x:v>
      </x:c>
      <x:c r="B217" s="8" t="str">
        <x:v>esquimalt-d</x:v>
      </x:c>
      <x:c r="C217" s="8" t="str">
        <x:v>Esquimalt</x:v>
      </x:c>
      <x:c r="D217" s="8" t="str">
        <x:v>Esquimalt</x:v>
      </x:c>
      <x:c r="E217" s="8" t="str">
        <x:v>D</x:v>
      </x:c>
      <x:c r="F217" s="8" t="str">
        <x:v>CAP</x:v>
      </x:c>
      <x:c r="G217" s="9" t="n">
        <x:v>2024</x:v>
      </x:c>
      <x:c r="H217" s="10" t="n">
        <x:v>19738</x:v>
      </x:c>
      <x:c r="I217" s="8" t="str">
        <x:v>5,000 to 19,999</x:v>
      </x:c>
      <x:c r="J217" s="11" t="n">
        <x:v>51193313</x:v>
      </x:c>
      <x:c r="K217" s="11" t="n">
        <x:v>46418820</x:v>
      </x:c>
      <x:c r="L217" s="11" t="n">
        <x:v>4774493</x:v>
      </x:c>
      <x:c r="M217" s="12" t="n">
        <x:v>0.09326399719432106</x:v>
      </x:c>
      <x:c r="N217" s="11" t="n">
        <x:v>37020824</x:v>
      </x:c>
      <x:c r="O217" s="11" t="n">
        <x:v>7228941</x:v>
      </x:c>
      <x:c r="P217" s="11" t="n">
        <x:v>2271024</x:v>
      </x:c>
      <x:c r="Q217" s="11" t="n">
        <x:v>4672524</x:v>
      </x:c>
      <x:c r="R217" s="11" t="n">
        <x:v>41055841</x:v>
      </x:c>
      <x:c r="S217" s="11" t="n">
        <x:v>4228630</x:v>
      </x:c>
      <x:c r="T217" s="11" t="n">
        <x:v>87462378</x:v>
      </x:c>
      <x:c r="U217" s="11" t="n">
        <x:v>55958198</x:v>
      </x:c>
      <x:c r="V217" s="11" t="n">
        <x:v>35459055</x:v>
      </x:c>
      <x:c r="W217" s="11" t="n">
        <x:v>14785059</x:v>
      </x:c>
      <x:c r="X217" s="11" t="n">
        <x:v>34723886</x:v>
      </x:c>
      <x:c r="Y217" s="11" t="n">
        <x:v>0</x:v>
      </x:c>
      <x:c r="Z217" s="11" t="n">
        <x:v>1193784</x:v>
      </x:c>
      <x:c r="AA217" s="11" t="n">
        <x:v>33250062</x:v>
      </x:c>
      <x:c r="AB217" s="11" t="n">
        <x:v>1134349</x:v>
      </x:c>
      <x:c r="AC217" s="11" t="n">
        <x:v>2328133</x:v>
      </x:c>
      <x:c r="AD217" s="11" t="n">
        <x:v>12244817</x:v>
      </x:c>
      <x:c r="AE217" s="11" t="n">
        <x:v>9916684</x:v>
      </x:c>
      <x:c r="AF217" s="11" t="n">
        <x:v>48979269</x:v>
      </x:c>
      <x:c r="AG217" s="11" t="n">
        <x:v>195185003</x:v>
      </x:c>
      <x:c r="AH217" s="11" t="n">
        <x:v>84323900</x:v>
      </x:c>
      <x:c r="AI217" s="11" t="n">
        <x:v>110861103</x:v>
      </x:c>
      <x:c r="AJ217" s="11" t="n">
        <x:v>9342930</x:v>
      </x:c>
      <x:c r="AK217" s="11" t="n">
        <x:v>195185003</x:v>
      </x:c>
      <x:c r="AL217" s="11" t="n">
        <x:v>4375166</x:v>
      </x:c>
      <x:c r="AM217" s="12" t="n">
        <x:v>0.9775845175973894</x:v>
      </x:c>
      <x:c r="AN217" s="12" t="n">
        <x:v>0.04786704847400597</x:v>
      </x:c>
      <x:c r="AO217" s="11" t="n">
        <x:v>39343910</x:v>
      </x:c>
      <x:c r="AP217" s="11" t="n">
        <x:v>37867340</x:v>
      </x:c>
      <x:c r="AQ217" s="12" t="n">
        <x:v>0.962470176451705</x:v>
      </x:c>
      <x:c r="AR217" s="11" t="n">
        <x:v>2593.6423649812546</x:v>
      </x:c>
      <x:c r="AS217" s="11" t="n">
        <x:v>2351.7489107305705</x:v>
      </x:c>
      <x:c r="AT217" s="11" t="n">
        <x:v>1796.486726112068</x:v>
      </x:c>
      <x:c r="AU217" s="11" t="n">
        <x:v>749.0657108116324</x:v>
      </x:c>
      <x:c r="AV217" s="11" t="n">
        <x:v>1684.5709798358496</x:v>
      </x:c>
      <x:c r="AW217" s="11" t="n">
        <x:v>1.5629948984418691</x:v>
      </x:c>
      <x:c r="AX217" s="12" t="n">
        <x:v>0.8098678812431415</x:v>
      </x:c>
      <x:c r="AY217" s="11" t="n">
        <x:v>2567.538946805667</x:v>
      </x:c>
      <x:c r="AZ217" s="11" t="n">
        <x:v>3546.5079302077975</x:v>
      </x:c>
      <x:c r="BA217" s="11" t="n">
        <x:v>2045.0195609464422</x:v>
      </x:c>
      <x:c r="BB217" s="11" t="n">
        <x:v>2783.665107049771</x:v>
      </x:c>
      <x:c r="BC217" s="11" t="n">
        <x:v>2217.25520024837</x:v>
      </x:c>
      <x:c r="BD217" s="11" t="n">
        <x:v>2437.8724475115623</x:v>
      </x:c>
      <x:c r="BE217" s="11" t="n">
        <x:v>799.2304887641933</x:v>
      </x:c>
      <x:c r="BF217" s="11" t="n">
        <x:v>1604.3462673977224</x:v>
      </x:c>
      <x:c r="BG217" s="11" t="n">
        <x:v>386.9249167164944</x:v>
      </x:c>
      <x:c r="BH217" s="11" t="n">
        <x:v>518.5374381567245</x:v>
      </x:c>
      <x:c r="BI217" s="11" t="n">
        <x:v>1.5629948984418691</x:v>
      </x:c>
      <x:c r="BJ217" s="11" t="n">
        <x:v>1.7099330852451193</x:v>
      </x:c>
      <x:c r="BK217" s="12" t="n">
        <x:v>0.04472396775938227</x:v>
      </x:c>
      <x:c r="BL217" s="12" t="n">
        <x:v>0.02529861000232605</x:v>
      </x:c>
      <x:c r="BM217" s="12" t="n">
        <x:v>0.9792813777328785</x:v>
      </x:c>
      <x:c r="BN217" s="12" t="n">
        <x:v>0.9815511712696461</x:v>
      </x:c>
      <x:c r="BO217" s="12" t="n">
        <x:v>0.8510570773833829</x:v>
      </x:c>
      <x:c r="BP217" s="12" t="n">
        <x:v>0.8619101997275483</x:v>
      </x:c>
      <x:c r="BQ217" s="12" t="n">
        <x:v>0.9732053424599786</x:v>
      </x:c>
      <x:c r="BR217" s="12" t="n">
        <x:v>0.9623635142836453</x:v>
      </x:c>
      <x:c r="BS217" s="12" t="n">
        <x:v>0.170495619408603</x:v>
      </x:c>
      <x:c r="BT217" s="12" t="n">
        <x:v>0.19976549769108282</x:v>
      </x:c>
      <x:c r="BU217" s="11" t="n">
        <x:v>1010874</x:v>
      </x:c>
      <x:c r="BV217" s="11" t="n">
        <x:v>1124150</x:v>
      </x:c>
      <x:c r="BW217" s="11" t="n">
        <x:v>136000</x:v>
      </x:c>
      <x:c r="BX217" s="11" t="n">
        <x:v>4489457</x:v>
      </x:c>
      <x:c r="BY217" s="11" t="n">
        <x:v>0</x:v>
      </x:c>
      <x:c r="BZ217" s="11" t="n">
        <x:v>183067</x:v>
      </x:c>
      <x:c r="CA217" s="11" t="n">
        <x:v>0</x:v>
      </x:c>
      <x:c r="CB217" s="11" t="n">
        <x:v>0</x:v>
      </x:c>
      <x:c r="CC217" s="11" t="n">
        <x:v>5387768</x:v>
      </x:c>
      <x:c r="CD217" s="11" t="n">
        <x:v>18091107</x:v>
      </x:c>
      <x:c r="CE217" s="11" t="n">
        <x:v>950193</x:v>
      </x:c>
      <x:c r="CF217" s="11" t="n">
        <x:v>0</x:v>
      </x:c>
      <x:c r="CG217" s="11" t="n">
        <x:v>979996</x:v>
      </x:c>
      <x:c r="CH217" s="11" t="n">
        <x:v>3925634</x:v>
      </x:c>
      <x:c r="CI217" s="11" t="n">
        <x:v>11810597</x:v>
      </x:c>
      <x:c r="CJ217" s="11" t="n">
        <x:v>0</x:v>
      </x:c>
      <x:c r="CK217" s="11" t="n">
        <x:v>1017395</x:v>
      </x:c>
      <x:c r="CL217" s="11" t="n">
        <x:v>0</x:v>
      </x:c>
      <x:c r="CM217" s="11" t="n">
        <x:v>3531</x:v>
      </x:c>
      <x:c r="CN217" s="11" t="n">
        <x:v>23969</x:v>
      </x:c>
      <x:c r="CO217" s="11" t="n">
        <x:v>0</x:v>
      </x:c>
      <x:c r="CP217" s="8"/>
      <x:c r="CQ217" s="8"/>
    </x:row>
    <x:row r="218">
      <x:c r="A218" s="8" t="str">
        <x:v>Fernie|2019</x:v>
      </x:c>
      <x:c r="B218" s="8" t="str">
        <x:v>fernie-c</x:v>
      </x:c>
      <x:c r="C218" s="8" t="str">
        <x:v>Fernie</x:v>
      </x:c>
      <x:c r="D218" s="8" t="str">
        <x:v>Fernie</x:v>
      </x:c>
      <x:c r="E218" s="8" t="str">
        <x:v>C</x:v>
      </x:c>
      <x:c r="F218" s="8" t="str">
        <x:v>EKO</x:v>
      </x:c>
      <x:c r="G218" s="9" t="n">
        <x:v>2019</x:v>
      </x:c>
      <x:c r="H218" s="10" t="n">
        <x:v>5744</x:v>
      </x:c>
      <x:c r="I218" s="8" t="str">
        <x:v>5,000 to 19,999</x:v>
      </x:c>
      <x:c r="J218" s="11" t="n">
        <x:v>19992680</x:v>
      </x:c>
      <x:c r="K218" s="11" t="n">
        <x:v>16940421</x:v>
      </x:c>
      <x:c r="L218" s="11" t="n">
        <x:v>3052259</x:v>
      </x:c>
      <x:c r="M218" s="12" t="n">
        <x:v>0.15266882679060537</x:v>
      </x:c>
      <x:c r="N218" s="11" t="n">
        <x:v>11679941</x:v>
      </x:c>
      <x:c r="O218" s="11" t="n">
        <x:v>4630558</x:v>
      </x:c>
      <x:c r="P218" s="11" t="n">
        <x:v>3063142</x:v>
      </x:c>
      <x:c r="Q218" s="11" t="n">
        <x:v>619039</x:v>
      </x:c>
      <x:c r="R218" s="11" t="n">
        <x:v>13573474</x:v>
      </x:c>
      <x:c r="S218" s="11" t="n">
        <x:v>3256048</x:v>
      </x:c>
      <x:c r="T218" s="11" t="n">
        <x:v>8492931</x:v>
      </x:c>
      <x:c r="U218" s="11" t="n">
        <x:v>11339782</x:v>
      </x:c>
      <x:c r="V218" s="11" t="n">
        <x:v>-1185622</x:v>
      </x:c>
      <x:c r="W218" s="11" t="n">
        <x:v>1525280</x:v>
      </x:c>
      <x:c r="X218" s="11" t="n">
        <x:v>2877973</x:v>
      </x:c>
      <x:c r="Y218" s="11" t="n">
        <x:v>0</x:v>
      </x:c>
      <x:c r="Z218" s="11" t="n">
        <x:v>132370</x:v>
      </x:c>
      <x:c r="AA218" s="11" t="n">
        <x:v>2686653</x:v>
      </x:c>
      <x:c r="AB218" s="11" t="n">
        <x:v>110899</x:v>
      </x:c>
      <x:c r="AC218" s="11" t="n">
        <x:v>243269</x:v>
      </x:c>
      <x:c r="AD218" s="11" t="n">
        <x:v>4185332</x:v>
      </x:c>
      <x:c r="AE218" s="11" t="n">
        <x:v>3942063</x:v>
      </x:c>
      <x:c r="AF218" s="11" t="n">
        <x:v>16741329</x:v>
      </x:c>
      <x:c r="AG218" s="11" t="n">
        <x:v>163158823</x:v>
      </x:c>
      <x:c r="AH218" s="11" t="n">
        <x:v>56658623</x:v>
      </x:c>
      <x:c r="AI218" s="11" t="n">
        <x:v>106500200</x:v>
      </x:c>
      <x:c r="AJ218" s="11" t="n">
        <x:v>13873447</x:v>
      </x:c>
      <x:c r="AK218" s="11" t="n">
        <x:v>287234599</x:v>
      </x:c>
      <x:c r="AL218" s="11" t="n">
        <x:v>5374065</x:v>
      </x:c>
      <x:c r="AM218" s="12" t="n">
        <x:v>0.9812903284677066</x:v>
      </x:c>
      <x:c r="AN218" s="12" t="n">
        <x:v>0.04830005524508557</x:v>
      </x:c>
      <x:c r="AO218" s="11" t="n">
        <x:v>17402050</x:v>
      </x:c>
      <x:c r="AP218" s="11" t="n">
        <x:v>17121400</x:v>
      </x:c>
      <x:c r="AQ218" s="12" t="n">
        <x:v>0.9838725897236246</x:v>
      </x:c>
      <x:c r="AR218" s="11" t="n">
        <x:v>3480.6197771587745</x:v>
      </x:c>
      <x:c r="AS218" s="11" t="n">
        <x:v>2949.237639275766</x:v>
      </x:c>
      <x:c r="AT218" s="11" t="n">
        <x:v>-206.41051532033427</x:v>
      </x:c>
      <x:c r="AU218" s="11" t="n">
        <x:v>265.5431754874652</x:v>
      </x:c>
      <x:c r="AV218" s="11" t="n">
        <x:v>467.73206824512533</x:v>
      </x:c>
      <x:c r="AW218" s="11" t="n">
        <x:v>0.7489501120921019</x:v>
      </x:c>
      <x:c r="AX218" s="12" t="n">
        <x:v>0.9418758177368008</x:v>
      </x:c>
      <x:c r="AY218" s="11"/>
      <x:c r="AZ218" s="11"/>
      <x:c r="BA218" s="11"/>
      <x:c r="BB218" s="11"/>
      <x:c r="BC218" s="11"/>
      <x:c r="BD218" s="11"/>
      <x:c r="BE218" s="11"/>
      <x:c r="BF218" s="11"/>
      <x:c r="BG218" s="11"/>
      <x:c r="BH218" s="11"/>
      <x:c r="BI218" s="11"/>
      <x:c r="BJ218" s="11"/>
      <x:c r="BK218" s="12"/>
      <x:c r="BL218" s="12"/>
      <x:c r="BM218" s="12"/>
      <x:c r="BN218" s="12"/>
      <x:c r="BO218" s="12"/>
      <x:c r="BP218" s="12"/>
      <x:c r="BQ218" s="12"/>
      <x:c r="BR218" s="12"/>
      <x:c r="BS218" s="12"/>
      <x:c r="BT218" s="12"/>
      <x:c r="BU218" s="11" t="n">
        <x:v>0</x:v>
      </x:c>
      <x:c r="BV218" s="11" t="n">
        <x:v>2627473</x:v>
      </x:c>
      <x:c r="BW218" s="11" t="n">
        <x:v>435669</x:v>
      </x:c>
      <x:c r="BX218" s="11" t="n">
        <x:v>297439</x:v>
      </x:c>
      <x:c r="BY218" s="11" t="n">
        <x:v>0</x:v>
      </x:c>
      <x:c r="BZ218" s="11" t="n">
        <x:v>206600</x:v>
      </x:c>
      <x:c r="CA218" s="11" t="n">
        <x:v>115000</x:v>
      </x:c>
      <x:c r="CB218" s="11" t="n">
        <x:v>0</x:v>
      </x:c>
      <x:c r="CC218" s="11" t="n">
        <x:v>2494537</x:v>
      </x:c>
      <x:c r="CD218" s="11" t="n">
        <x:v>2410881</x:v>
      </x:c>
      <x:c r="CE218" s="11" t="n">
        <x:v>401430</x:v>
      </x:c>
      <x:c r="CF218" s="11" t="n">
        <x:v>0</x:v>
      </x:c>
      <x:c r="CG218" s="11" t="n">
        <x:v>742039</x:v>
      </x:c>
      <x:c r="CH218" s="11" t="n">
        <x:v>2258571</x:v>
      </x:c>
      <x:c r="CI218" s="11" t="n">
        <x:v>3640576</x:v>
      </x:c>
      <x:c r="CJ218" s="11" t="n">
        <x:v>634349</x:v>
      </x:c>
      <x:c r="CK218" s="11" t="n">
        <x:v>950195</x:v>
      </x:c>
      <x:c r="CL218" s="11" t="n">
        <x:v>151795</x:v>
      </x:c>
      <x:c r="CM218" s="11"/>
      <x:c r="CN218" s="11" t="n">
        <x:v>0</x:v>
      </x:c>
      <x:c r="CO218" s="11" t="n">
        <x:v>0</x:v>
      </x:c>
      <x:c r="CP218" s="8"/>
      <x:c r="CQ218" s="8"/>
    </x:row>
    <x:row r="219">
      <x:c r="A219" s="8" t="str">
        <x:v>Fernie|2020</x:v>
      </x:c>
      <x:c r="B219" s="8" t="str">
        <x:v>fernie-c</x:v>
      </x:c>
      <x:c r="C219" s="8" t="str">
        <x:v>Fernie</x:v>
      </x:c>
      <x:c r="D219" s="8" t="str">
        <x:v>Fernie</x:v>
      </x:c>
      <x:c r="E219" s="8" t="str">
        <x:v>C</x:v>
      </x:c>
      <x:c r="F219" s="8" t="str">
        <x:v>EKO</x:v>
      </x:c>
      <x:c r="G219" s="9" t="n">
        <x:v>2020</x:v>
      </x:c>
      <x:c r="H219" s="10" t="n">
        <x:v>5668</x:v>
      </x:c>
      <x:c r="I219" s="8" t="str">
        <x:v>5,000 to 19,999</x:v>
      </x:c>
      <x:c r="J219" s="11" t="n">
        <x:v>20461836</x:v>
      </x:c>
      <x:c r="K219" s="11" t="n">
        <x:v>16262353</x:v>
      </x:c>
      <x:c r="L219" s="11" t="n">
        <x:v>4199483</x:v>
      </x:c>
      <x:c r="M219" s="12" t="n">
        <x:v>0.20523490658414034</x:v>
      </x:c>
      <x:c r="N219" s="11" t="n">
        <x:v>11847977</x:v>
      </x:c>
      <x:c r="O219" s="11" t="n">
        <x:v>4796932</x:v>
      </x:c>
      <x:c r="P219" s="11" t="n">
        <x:v>3861857</x:v>
      </x:c>
      <x:c r="Q219" s="11" t="n">
        <x:v>-44930</x:v>
      </x:c>
      <x:c r="R219" s="11" t="n">
        <x:v>12691774</x:v>
      </x:c>
      <x:c r="S219" s="11" t="n">
        <x:v>3471292</x:v>
      </x:c>
      <x:c r="T219" s="11" t="n">
        <x:v>14700848</x:v>
      </x:c>
      <x:c r="U219" s="11" t="n">
        <x:v>13813880</x:v>
      </x:c>
      <x:c r="V219" s="11" t="n">
        <x:v>2299620</x:v>
      </x:c>
      <x:c r="W219" s="11" t="n">
        <x:v>6222704</x:v>
      </x:c>
      <x:c r="X219" s="11" t="n">
        <x:v>2686653</x:v>
      </x:c>
      <x:c r="Y219" s="11" t="n">
        <x:v>3000000</x:v>
      </x:c>
      <x:c r="Z219" s="11" t="n">
        <x:v>100755</x:v>
      </x:c>
      <x:c r="AA219" s="11" t="n">
        <x:v>5553107</x:v>
      </x:c>
      <x:c r="AB219" s="11" t="n">
        <x:v>99287</x:v>
      </x:c>
      <x:c r="AC219" s="11" t="n">
        <x:v>200042</x:v>
      </x:c>
      <x:c r="AD219" s="11" t="n">
        <x:v>4200305</x:v>
      </x:c>
      <x:c r="AE219" s="11" t="n">
        <x:v>4000263</x:v>
      </x:c>
      <x:c r="AF219" s="11" t="n">
        <x:v>16801219</x:v>
      </x:c>
      <x:c r="AG219" s="11" t="n">
        <x:v>167384867</x:v>
      </x:c>
      <x:c r="AH219" s="11" t="n">
        <x:v>60146182</x:v>
      </x:c>
      <x:c r="AI219" s="11" t="n">
        <x:v>107238685</x:v>
      </x:c>
      <x:c r="AJ219" s="11" t="n">
        <x:v>4209779</x:v>
      </x:c>
      <x:c r="AK219" s="11" t="n">
        <x:v>296225505</x:v>
      </x:c>
      <x:c r="AL219" s="11" t="n">
        <x:v>5148249</x:v>
      </x:c>
      <x:c r="AM219" s="12" t="n">
        <x:v>0.9826205073057434</x:v>
      </x:c>
      <x:c r="AN219" s="12" t="n">
        <x:v>0.014211399521455791</x:v>
      </x:c>
      <x:c r="AO219" s="11" t="n">
        <x:v>17327259</x:v>
      </x:c>
      <x:c r="AP219" s="11" t="n">
        <x:v>17009482</x:v>
      </x:c>
      <x:c r="AQ219" s="12" t="n">
        <x:v>0.9816602845262485</x:v>
      </x:c>
      <x:c r="AR219" s="11" t="n">
        <x:v>3610.062808750882</x:v>
      </x:c>
      <x:c r="AS219" s="11" t="n">
        <x:v>2869.1519054340156</x:v>
      </x:c>
      <x:c r="AT219" s="11" t="n">
        <x:v>405.7198306280875</x:v>
      </x:c>
      <x:c r="AU219" s="11" t="n">
        <x:v>1097.865913902611</x:v>
      </x:c>
      <x:c r="AV219" s="11" t="n">
        <x:v>979.7295342272406</x:v>
      </x:c>
      <x:c r="AW219" s="11" t="n">
        <x:v>1.0642084627924957</x:v>
      </x:c>
      <x:c r="AX219" s="12" t="n">
        <x:v>0.9523744109058747</x:v>
      </x:c>
      <x:c r="AY219" s="11"/>
      <x:c r="AZ219" s="11"/>
      <x:c r="BA219" s="11"/>
      <x:c r="BB219" s="11"/>
      <x:c r="BC219" s="11"/>
      <x:c r="BD219" s="11"/>
      <x:c r="BE219" s="11"/>
      <x:c r="BF219" s="11"/>
      <x:c r="BG219" s="11"/>
      <x:c r="BH219" s="11"/>
      <x:c r="BI219" s="11"/>
      <x:c r="BJ219" s="11"/>
      <x:c r="BK219" s="12"/>
      <x:c r="BL219" s="12"/>
      <x:c r="BM219" s="12"/>
      <x:c r="BN219" s="12"/>
      <x:c r="BO219" s="12"/>
      <x:c r="BP219" s="12"/>
      <x:c r="BQ219" s="12"/>
      <x:c r="BR219" s="12"/>
      <x:c r="BS219" s="12"/>
      <x:c r="BT219" s="12"/>
      <x:c r="BU219" s="11" t="n">
        <x:v>0</x:v>
      </x:c>
      <x:c r="BV219" s="11" t="n">
        <x:v>3164450</x:v>
      </x:c>
      <x:c r="BW219" s="11" t="n">
        <x:v>697407</x:v>
      </x:c>
      <x:c r="BX219" s="11" t="n">
        <x:v>99811</x:v>
      </x:c>
      <x:c r="BY219" s="11" t="n">
        <x:v>0</x:v>
      </x:c>
      <x:c r="BZ219" s="11" t="n">
        <x:v>-144741</x:v>
      </x:c>
      <x:c r="CA219" s="11" t="n">
        <x:v>0</x:v>
      </x:c>
      <x:c r="CB219" s="11" t="n">
        <x:v>0</x:v>
      </x:c>
      <x:c r="CC219" s="11" t="n">
        <x:v>2645551</x:v>
      </x:c>
      <x:c r="CD219" s="11" t="n">
        <x:v>2388648</x:v>
      </x:c>
      <x:c r="CE219" s="11" t="n">
        <x:v>360923</x:v>
      </x:c>
      <x:c r="CF219" s="11" t="n">
        <x:v>0</x:v>
      </x:c>
      <x:c r="CG219" s="11" t="n">
        <x:v>744172</x:v>
      </x:c>
      <x:c r="CH219" s="11" t="n">
        <x:v>2270310</x:v>
      </x:c>
      <x:c r="CI219" s="11" t="n">
        <x:v>2628811</x:v>
      </x:c>
      <x:c r="CJ219" s="11" t="n">
        <x:v>675831</x:v>
      </x:c>
      <x:c r="CK219" s="11" t="n">
        <x:v>970719</x:v>
      </x:c>
      <x:c r="CL219" s="11" t="n">
        <x:v>106096</x:v>
      </x:c>
      <x:c r="CM219" s="11"/>
      <x:c r="CN219" s="11" t="n">
        <x:v>0</x:v>
      </x:c>
      <x:c r="CO219" s="11" t="n">
        <x:v>0</x:v>
      </x:c>
      <x:c r="CP219" s="8"/>
      <x:c r="CQ219" s="8"/>
    </x:row>
    <x:row r="220">
      <x:c r="A220" s="8" t="str">
        <x:v>Fernie|2021</x:v>
      </x:c>
      <x:c r="B220" s="8" t="str">
        <x:v>fernie-c</x:v>
      </x:c>
      <x:c r="C220" s="8" t="str">
        <x:v>Fernie</x:v>
      </x:c>
      <x:c r="D220" s="8" t="str">
        <x:v>Fernie</x:v>
      </x:c>
      <x:c r="E220" s="8" t="str">
        <x:v>C</x:v>
      </x:c>
      <x:c r="F220" s="8" t="str">
        <x:v>EKO</x:v>
      </x:c>
      <x:c r="G220" s="9" t="n">
        <x:v>2021</x:v>
      </x:c>
      <x:c r="H220" s="10" t="n">
        <x:v>5739</x:v>
      </x:c>
      <x:c r="I220" s="8" t="str">
        <x:v>5,000 to 19,999</x:v>
      </x:c>
      <x:c r="J220" s="11" t="n">
        <x:v>19666990</x:v>
      </x:c>
      <x:c r="K220" s="11" t="n">
        <x:v>17127699</x:v>
      </x:c>
      <x:c r="L220" s="11" t="n">
        <x:v>2539291</x:v>
      </x:c>
      <x:c r="M220" s="12" t="n">
        <x:v>0.12911436879766552</x:v>
      </x:c>
      <x:c r="N220" s="11" t="n">
        <x:v>12126305</x:v>
      </x:c>
      <x:c r="O220" s="11" t="n">
        <x:v>5212081</x:v>
      </x:c>
      <x:c r="P220" s="11" t="n">
        <x:v>2132053</x:v>
      </x:c>
      <x:c r="Q220" s="11" t="n">
        <x:v>196551</x:v>
      </x:c>
      <x:c r="R220" s="11" t="n">
        <x:v>13527507</x:v>
      </x:c>
      <x:c r="S220" s="11" t="n">
        <x:v>3476738</x:v>
      </x:c>
      <x:c r="T220" s="11" t="n">
        <x:v>18600149</x:v>
      </x:c>
      <x:c r="U220" s="11" t="n">
        <x:v>14367534</x:v>
      </x:c>
      <x:c r="V220" s="11" t="n">
        <x:v>5770955</x:v>
      </x:c>
      <x:c r="W220" s="11" t="n">
        <x:v>9093040</x:v>
      </x:c>
      <x:c r="X220" s="11" t="n">
        <x:v>5553107</x:v>
      </x:c>
      <x:c r="Y220" s="11" t="n">
        <x:v>0</x:v>
      </x:c>
      <x:c r="Z220" s="11" t="n">
        <x:v>700754</x:v>
      </x:c>
      <x:c r="AA220" s="11" t="n">
        <x:v>4814554</x:v>
      </x:c>
      <x:c r="AB220" s="11" t="n">
        <x:v>123454</x:v>
      </x:c>
      <x:c r="AC220" s="11" t="n">
        <x:v>824208</x:v>
      </x:c>
      <x:c r="AD220" s="11" t="n">
        <x:v>4394743</x:v>
      </x:c>
      <x:c r="AE220" s="11" t="n">
        <x:v>3570535</x:v>
      </x:c>
      <x:c r="AF220" s="11" t="n">
        <x:v>17578972</x:v>
      </x:c>
      <x:c r="AG220" s="11" t="n">
        <x:v>169937381</x:v>
      </x:c>
      <x:c r="AH220" s="11" t="n">
        <x:v>63630741</x:v>
      </x:c>
      <x:c r="AI220" s="11" t="n">
        <x:v>106306640</x:v>
      </x:c>
      <x:c r="AJ220" s="11" t="n">
        <x:v>2544694</x:v>
      </x:c>
      <x:c r="AK220" s="11" t="n">
        <x:v>299497019</x:v>
      </x:c>
      <x:c r="AL220" s="11" t="n">
        <x:v>5201212</x:v>
      </x:c>
      <x:c r="AM220" s="12" t="n">
        <x:v>0.9826335099515632</x:v>
      </x:c>
      <x:c r="AN220" s="12" t="n">
        <x:v>0.008496558691958133</x:v>
      </x:c>
      <x:c r="AO220" s="11" t="n">
        <x:v>18500520</x:v>
      </x:c>
      <x:c r="AP220" s="11" t="n">
        <x:v>18134320</x:v>
      </x:c>
      <x:c r="AQ220" s="12" t="n">
        <x:v>0.9802059617783716</x:v>
      </x:c>
      <x:c r="AR220" s="11" t="n">
        <x:v>3426.90189928559</x:v>
      </x:c>
      <x:c r="AS220" s="11" t="n">
        <x:v>2984.43962362781</x:v>
      </x:c>
      <x:c r="AT220" s="11" t="n">
        <x:v>1005.5680432131034</x:v>
      </x:c>
      <x:c r="AU220" s="11" t="n">
        <x:v>1584.429343091131</x:v>
      </x:c>
      <x:c r="AV220" s="11" t="n">
        <x:v>838.918626938491</x:v>
      </x:c>
      <x:c r="AW220" s="11" t="n">
        <x:v>1.2945957879758627</x:v>
      </x:c>
      <x:c r="AX220" s="12" t="n">
        <x:v>0.8124559274569639</x:v>
      </x:c>
      <x:c r="AY220" s="11"/>
      <x:c r="AZ220" s="11"/>
      <x:c r="BA220" s="11"/>
      <x:c r="BB220" s="11"/>
      <x:c r="BC220" s="11"/>
      <x:c r="BD220" s="11"/>
      <x:c r="BE220" s="11"/>
      <x:c r="BF220" s="11"/>
      <x:c r="BG220" s="11"/>
      <x:c r="BH220" s="11"/>
      <x:c r="BI220" s="11"/>
      <x:c r="BJ220" s="11"/>
      <x:c r="BK220" s="12"/>
      <x:c r="BL220" s="12"/>
      <x:c r="BM220" s="12"/>
      <x:c r="BN220" s="12"/>
      <x:c r="BO220" s="12"/>
      <x:c r="BP220" s="12"/>
      <x:c r="BQ220" s="12"/>
      <x:c r="BR220" s="12"/>
      <x:c r="BS220" s="12"/>
      <x:c r="BT220" s="12"/>
      <x:c r="BU220" s="11" t="n">
        <x:v>0</x:v>
      </x:c>
      <x:c r="BV220" s="11" t="n">
        <x:v>1916127</x:v>
      </x:c>
      <x:c r="BW220" s="11" t="n">
        <x:v>215926</x:v>
      </x:c>
      <x:c r="BX220" s="11" t="n">
        <x:v>116551</x:v>
      </x:c>
      <x:c r="BY220" s="11" t="n">
        <x:v>0</x:v>
      </x:c>
      <x:c r="BZ220" s="11" t="n">
        <x:v>80000</x:v>
      </x:c>
      <x:c r="CA220" s="11" t="n">
        <x:v>0</x:v>
      </x:c>
      <x:c r="CB220" s="11" t="n">
        <x:v>0</x:v>
      </x:c>
      <x:c r="CC220" s="11" t="n">
        <x:v>2826690</x:v>
      </x:c>
      <x:c r="CD220" s="11" t="n">
        <x:v>2445349</x:v>
      </x:c>
      <x:c r="CE220" s="11" t="n">
        <x:v>429610</x:v>
      </x:c>
      <x:c r="CF220" s="11" t="n">
        <x:v>0</x:v>
      </x:c>
      <x:c r="CG220" s="11" t="n">
        <x:v>938328</x:v>
      </x:c>
      <x:c r="CH220" s="11" t="n">
        <x:v>2197100</x:v>
      </x:c>
      <x:c r="CI220" s="11" t="n">
        <x:v>2875302</x:v>
      </x:c>
      <x:c r="CJ220" s="11" t="n">
        <x:v>741291</x:v>
      </x:c>
      <x:c r="CK220" s="11" t="n">
        <x:v>1094893</x:v>
      </x:c>
      <x:c r="CL220" s="11" t="n">
        <x:v>102398</x:v>
      </x:c>
      <x:c r="CM220" s="11"/>
      <x:c r="CN220" s="11" t="n">
        <x:v>0</x:v>
      </x:c>
      <x:c r="CO220" s="11" t="n">
        <x:v>0</x:v>
      </x:c>
      <x:c r="CP220" s="8"/>
      <x:c r="CQ220" s="8"/>
    </x:row>
    <x:row r="221">
      <x:c r="A221" s="8" t="str">
        <x:v>Fernie|2022</x:v>
      </x:c>
      <x:c r="B221" s="8" t="str">
        <x:v>fernie-c</x:v>
      </x:c>
      <x:c r="C221" s="8" t="str">
        <x:v>Fernie</x:v>
      </x:c>
      <x:c r="D221" s="8" t="str">
        <x:v>Fernie</x:v>
      </x:c>
      <x:c r="E221" s="8" t="str">
        <x:v>C</x:v>
      </x:c>
      <x:c r="F221" s="8" t="str">
        <x:v>EKO</x:v>
      </x:c>
      <x:c r="G221" s="9" t="n">
        <x:v>2022</x:v>
      </x:c>
      <x:c r="H221" s="10" t="n">
        <x:v>1700</x:v>
      </x:c>
      <x:c r="I221" s="8" t="str">
        <x:v>Under 5,000</x:v>
      </x:c>
      <x:c r="J221" s="11" t="n">
        <x:v>27835079</x:v>
      </x:c>
      <x:c r="K221" s="11" t="n">
        <x:v>20184337</x:v>
      </x:c>
      <x:c r="L221" s="11" t="n">
        <x:v>7650742</x:v>
      </x:c>
      <x:c r="M221" s="12" t="n">
        <x:v>0.2748597192772472</x:v>
      </x:c>
      <x:c r="N221" s="11" t="n">
        <x:v>13369957</x:v>
      </x:c>
      <x:c r="O221" s="11" t="n">
        <x:v>4985343</x:v>
      </x:c>
      <x:c r="P221" s="11" t="n">
        <x:v>9031310</x:v>
      </x:c>
      <x:c r="Q221" s="11" t="n">
        <x:v>448469</x:v>
      </x:c>
      <x:c r="R221" s="11" t="n">
        <x:v>16388969</x:v>
      </x:c>
      <x:c r="S221" s="11" t="n">
        <x:v>3644440</x:v>
      </x:c>
      <x:c r="T221" s="11" t="n">
        <x:v>12080302</x:v>
      </x:c>
      <x:c r="U221" s="11" t="n">
        <x:v>15411959</x:v>
      </x:c>
      <x:c r="V221" s="11" t="n">
        <x:v>5667525</x:v>
      </x:c>
      <x:c r="W221" s="11" t="n">
        <x:v>9190477</x:v>
      </x:c>
      <x:c r="X221" s="11" t="n">
        <x:v>4814554</x:v>
      </x:c>
      <x:c r="Y221" s="11" t="n">
        <x:v>0</x:v>
      </x:c>
      <x:c r="Z221" s="11" t="n">
        <x:v>700754</x:v>
      </x:c>
      <x:c r="AA221" s="11" t="n">
        <x:v>4070796</x:v>
      </x:c>
      <x:c r="AB221" s="11" t="n">
        <x:v>150928</x:v>
      </x:c>
      <x:c r="AC221" s="11" t="n">
        <x:v>851682</x:v>
      </x:c>
      <x:c r="AD221" s="11" t="n">
        <x:v>4684840</x:v>
      </x:c>
      <x:c r="AE221" s="11" t="n">
        <x:v>3833158</x:v>
      </x:c>
      <x:c r="AF221" s="11" t="n">
        <x:v>18739359</x:v>
      </x:c>
      <x:c r="AG221" s="11" t="n">
        <x:v>180727314</x:v>
      </x:c>
      <x:c r="AH221" s="11" t="n">
        <x:v>67251093</x:v>
      </x:c>
      <x:c r="AI221" s="11" t="n">
        <x:v>113476221</x:v>
      </x:c>
      <x:c r="AJ221" s="11" t="n">
        <x:v>10814019</x:v>
      </x:c>
      <x:c r="AK221" s="11" t="n">
        <x:v>313485667</x:v>
      </x:c>
      <x:c r="AL221" s="11" t="n">
        <x:v>5459994</x:v>
      </x:c>
      <x:c r="AM221" s="12" t="n">
        <x:v>0.9825829549010928</x:v>
      </x:c>
      <x:c r="AN221" s="12" t="n">
        <x:v>0.034496055604353995</x:v>
      </x:c>
      <x:c r="AO221" s="11" t="n">
        <x:v>20571386</x:v>
      </x:c>
      <x:c r="AP221" s="11" t="n">
        <x:v>20277233</x:v>
      </x:c>
      <x:c r="AQ221" s="12" t="n">
        <x:v>0.9857008662420704</x:v>
      </x:c>
      <x:c r="AR221" s="11" t="n">
        <x:v>16373.575882352941</x:v>
      </x:c>
      <x:c r="AS221" s="11" t="n">
        <x:v>11873.139411764705</x:v>
      </x:c>
      <x:c r="AT221" s="11" t="n">
        <x:v>3333.8382352941176</x:v>
      </x:c>
      <x:c r="AU221" s="11" t="n">
        <x:v>5406.162941176471</x:v>
      </x:c>
      <x:c r="AV221" s="11" t="n">
        <x:v>2394.585882352941</x:v>
      </x:c>
      <x:c r="AW221" s="11" t="n">
        <x:v>0.7838265077139123</x:v>
      </x:c>
      <x:c r="AX221" s="12" t="n">
        <x:v>0.8182046772141631</x:v>
      </x:c>
      <x:c r="AY221" s="11"/>
      <x:c r="AZ221" s="11"/>
      <x:c r="BA221" s="11"/>
      <x:c r="BB221" s="11"/>
      <x:c r="BC221" s="11"/>
      <x:c r="BD221" s="11"/>
      <x:c r="BE221" s="11"/>
      <x:c r="BF221" s="11"/>
      <x:c r="BG221" s="11"/>
      <x:c r="BH221" s="11"/>
      <x:c r="BI221" s="11"/>
      <x:c r="BJ221" s="11"/>
      <x:c r="BK221" s="12"/>
      <x:c r="BL221" s="12"/>
      <x:c r="BM221" s="12"/>
      <x:c r="BN221" s="12"/>
      <x:c r="BO221" s="12"/>
      <x:c r="BP221" s="12"/>
      <x:c r="BQ221" s="12"/>
      <x:c r="BR221" s="12"/>
      <x:c r="BS221" s="12"/>
      <x:c r="BT221" s="12"/>
      <x:c r="BU221" s="11" t="n">
        <x:v>0</x:v>
      </x:c>
      <x:c r="BV221" s="11" t="n">
        <x:v>8287155</x:v>
      </x:c>
      <x:c r="BW221" s="11" t="n">
        <x:v>744155</x:v>
      </x:c>
      <x:c r="BX221" s="11" t="n">
        <x:v>448469</x:v>
      </x:c>
      <x:c r="BY221" s="11" t="n">
        <x:v>0</x:v>
      </x:c>
      <x:c r="BZ221" s="11" t="n">
        <x:v>0</x:v>
      </x:c>
      <x:c r="CA221" s="11" t="n">
        <x:v>0</x:v>
      </x:c>
      <x:c r="CB221" s="11" t="n">
        <x:v>0</x:v>
      </x:c>
      <x:c r="CC221" s="11" t="n">
        <x:v>3272404</x:v>
      </x:c>
      <x:c r="CD221" s="11" t="n">
        <x:v>3554858</x:v>
      </x:c>
      <x:c r="CE221" s="11" t="n">
        <x:v>416226</x:v>
      </x:c>
      <x:c r="CF221" s="11" t="n">
        <x:v>0</x:v>
      </x:c>
      <x:c r="CG221" s="11" t="n">
        <x:v>1283894</x:v>
      </x:c>
      <x:c r="CH221" s="11" t="n">
        <x:v>2283218</x:v>
      </x:c>
      <x:c r="CI221" s="11" t="n">
        <x:v>3367848</x:v>
      </x:c>
      <x:c r="CJ221" s="11" t="n">
        <x:v>778751</x:v>
      </x:c>
      <x:c r="CK221" s="11" t="n">
        <x:v>1164191</x:v>
      </x:c>
      <x:c r="CL221" s="11" t="n">
        <x:v>418507</x:v>
      </x:c>
      <x:c r="CM221" s="11"/>
      <x:c r="CN221" s="11" t="n">
        <x:v>0</x:v>
      </x:c>
      <x:c r="CO221" s="11" t="n">
        <x:v>0</x:v>
      </x:c>
      <x:c r="CP221" s="8"/>
      <x:c r="CQ221" s="8"/>
    </x:row>
    <x:row r="222">
      <x:c r="A222" s="8" t="str">
        <x:v>Fernie|2023</x:v>
      </x:c>
      <x:c r="B222" s="8" t="str">
        <x:v>fernie-c</x:v>
      </x:c>
      <x:c r="C222" s="8" t="str">
        <x:v>Fernie</x:v>
      </x:c>
      <x:c r="D222" s="8" t="str">
        <x:v>Fernie</x:v>
      </x:c>
      <x:c r="E222" s="8" t="str">
        <x:v>C</x:v>
      </x:c>
      <x:c r="F222" s="8" t="str">
        <x:v>EKO</x:v>
      </x:c>
      <x:c r="G222" s="9" t="n">
        <x:v>2023</x:v>
      </x:c>
      <x:c r="H222" s="10" t="n">
        <x:v>6000</x:v>
      </x:c>
      <x:c r="I222" s="8" t="str">
        <x:v>5,000 to 19,999</x:v>
      </x:c>
      <x:c r="J222" s="11" t="n">
        <x:v>26532153</x:v>
      </x:c>
      <x:c r="K222" s="11" t="n">
        <x:v>21292567</x:v>
      </x:c>
      <x:c r="L222" s="11" t="n">
        <x:v>5239586</x:v>
      </x:c>
      <x:c r="M222" s="12" t="n">
        <x:v>0.19748061908130862</x:v>
      </x:c>
      <x:c r="N222" s="11" t="n">
        <x:v>14194174</x:v>
      </x:c>
      <x:c r="O222" s="11" t="n">
        <x:v>5465696</x:v>
      </x:c>
      <x:c r="P222" s="11" t="n">
        <x:v>6032744</x:v>
      </x:c>
      <x:c r="Q222" s="11" t="n">
        <x:v>839539</x:v>
      </x:c>
      <x:c r="R222" s="11" t="n">
        <x:v>16947864</x:v>
      </x:c>
      <x:c r="S222" s="11" t="n">
        <x:v>4162923</x:v>
      </x:c>
      <x:c r="T222" s="11" t="n">
        <x:v>24996985</x:v>
      </x:c>
      <x:c r="U222" s="11" t="n">
        <x:v>21941329</x:v>
      </x:c>
      <x:c r="V222" s="11" t="n">
        <x:v>6468211</x:v>
      </x:c>
      <x:c r="W222" s="11" t="n">
        <x:v>8945716</x:v>
      </x:c>
      <x:c r="X222" s="11" t="n">
        <x:v>4070796</x:v>
      </x:c>
      <x:c r="Y222" s="11" t="n">
        <x:v>0</x:v>
      </x:c>
      <x:c r="Z222" s="11" t="n">
        <x:v>703931</x:v>
      </x:c>
      <x:c r="AA222" s="11" t="n">
        <x:v>3321143</x:v>
      </x:c>
      <x:c r="AB222" s="11" t="n">
        <x:v>181780</x:v>
      </x:c>
      <x:c r="AC222" s="11" t="n">
        <x:v>885711</x:v>
      </x:c>
      <x:c r="AD222" s="11" t="n">
        <x:v>5243422</x:v>
      </x:c>
      <x:c r="AE222" s="11" t="n">
        <x:v>4357711</x:v>
      </x:c>
      <x:c r="AF222" s="11" t="n">
        <x:v>20973687</x:v>
      </x:c>
      <x:c r="AG222" s="11" t="n">
        <x:v>189329137</x:v>
      </x:c>
      <x:c r="AH222" s="11" t="n">
        <x:v>71414017</x:v>
      </x:c>
      <x:c r="AI222" s="11" t="n">
        <x:v>117915120</x:v>
      </x:c>
      <x:c r="AJ222" s="11" t="n">
        <x:v>7572883</x:v>
      </x:c>
      <x:c r="AK222" s="11" t="n">
        <x:v>322621947</x:v>
      </x:c>
      <x:c r="AL222" s="11" t="n">
        <x:v>5414744</x:v>
      </x:c>
      <x:c r="AM222" s="12" t="n">
        <x:v>0.9832164424945337</x:v>
      </x:c>
      <x:c r="AN222" s="12" t="n">
        <x:v>0.02347293192672971</x:v>
      </x:c>
      <x:c r="AO222" s="11" t="n">
        <x:v>19022111</x:v>
      </x:c>
      <x:c r="AP222" s="11" t="n">
        <x:v>18447025</x:v>
      </x:c>
      <x:c r="AQ222" s="12" t="n">
        <x:v>0.9697674984653386</x:v>
      </x:c>
      <x:c r="AR222" s="11" t="n">
        <x:v>4422.0255</x:v>
      </x:c>
      <x:c r="AS222" s="11" t="n">
        <x:v>3548.7611666666667</x:v>
      </x:c>
      <x:c r="AT222" s="11" t="n">
        <x:v>1078.0351666666666</x:v>
      </x:c>
      <x:c r="AU222" s="11" t="n">
        <x:v>1490.9526666666666</x:v>
      </x:c>
      <x:c r="AV222" s="11" t="n">
        <x:v>553.5238333333333</x:v>
      </x:c>
      <x:c r="AW222" s="11" t="n">
        <x:v>1.1392648549228719</x:v>
      </x:c>
      <x:c r="AX222" s="12" t="n">
        <x:v>0.8310814960153884</x:v>
      </x:c>
      <x:c r="AY222" s="11"/>
      <x:c r="AZ222" s="11"/>
      <x:c r="BA222" s="11"/>
      <x:c r="BB222" s="11"/>
      <x:c r="BC222" s="11"/>
      <x:c r="BD222" s="11"/>
      <x:c r="BE222" s="11"/>
      <x:c r="BF222" s="11"/>
      <x:c r="BG222" s="11"/>
      <x:c r="BH222" s="11"/>
      <x:c r="BI222" s="11"/>
      <x:c r="BJ222" s="11"/>
      <x:c r="BK222" s="12"/>
      <x:c r="BL222" s="12"/>
      <x:c r="BM222" s="12"/>
      <x:c r="BN222" s="12"/>
      <x:c r="BO222" s="12"/>
      <x:c r="BP222" s="12"/>
      <x:c r="BQ222" s="12"/>
      <x:c r="BR222" s="12"/>
      <x:c r="BS222" s="12"/>
      <x:c r="BT222" s="12"/>
      <x:c r="BU222" s="11" t="n">
        <x:v>0</x:v>
      </x:c>
      <x:c r="BV222" s="11" t="n">
        <x:v>5723992</x:v>
      </x:c>
      <x:c r="BW222" s="11" t="n">
        <x:v>308752</x:v>
      </x:c>
      <x:c r="BX222" s="11" t="n">
        <x:v>839539</x:v>
      </x:c>
      <x:c r="BY222" s="11" t="n">
        <x:v>0</x:v>
      </x:c>
      <x:c r="BZ222" s="11" t="n">
        <x:v>0</x:v>
      </x:c>
      <x:c r="CA222" s="11" t="n">
        <x:v>0</x:v>
      </x:c>
      <x:c r="CB222" s="11" t="n">
        <x:v>0</x:v>
      </x:c>
      <x:c r="CC222" s="11" t="n">
        <x:v>3685453</x:v>
      </x:c>
      <x:c r="CD222" s="11" t="n">
        <x:v>3241468</x:v>
      </x:c>
      <x:c r="CE222" s="11" t="n">
        <x:v>486623</x:v>
      </x:c>
      <x:c r="CF222" s="11" t="n">
        <x:v>0</x:v>
      </x:c>
      <x:c r="CG222" s="11" t="n">
        <x:v>1274360</x:v>
      </x:c>
      <x:c r="CH222" s="11" t="n">
        <x:v>2019706</x:v>
      </x:c>
      <x:c r="CI222" s="11" t="n">
        <x:v>3439747</x:v>
      </x:c>
      <x:c r="CJ222" s="11" t="n">
        <x:v>874801</x:v>
      </x:c>
      <x:c r="CK222" s="11" t="n">
        <x:v>1171205</x:v>
      </x:c>
      <x:c r="CL222" s="11" t="n">
        <x:v>895020</x:v>
      </x:c>
      <x:c r="CM222" s="11" t="n">
        <x:v>41261</x:v>
      </x:c>
      <x:c r="CN222" s="11" t="n">
        <x:v>0</x:v>
      </x:c>
      <x:c r="CO222" s="11" t="n">
        <x:v>0</x:v>
      </x:c>
      <x:c r="CP222" s="8"/>
      <x:c r="CQ222" s="8"/>
    </x:row>
    <x:row r="223">
      <x:c r="A223" s="8" t="str">
        <x:v>Fernie|2024</x:v>
      </x:c>
      <x:c r="B223" s="8" t="str">
        <x:v>fernie-c</x:v>
      </x:c>
      <x:c r="C223" s="8" t="str">
        <x:v>Fernie</x:v>
      </x:c>
      <x:c r="D223" s="8" t="str">
        <x:v>Fernie</x:v>
      </x:c>
      <x:c r="E223" s="8" t="str">
        <x:v>C</x:v>
      </x:c>
      <x:c r="F223" s="8" t="str">
        <x:v>EKO</x:v>
      </x:c>
      <x:c r="G223" s="9" t="n">
        <x:v>2024</x:v>
      </x:c>
      <x:c r="H223" s="10" t="n">
        <x:v>6000</x:v>
      </x:c>
      <x:c r="I223" s="8" t="str">
        <x:v>5,000 to 19,999</x:v>
      </x:c>
      <x:c r="J223" s="11" t="n">
        <x:v>24515194</x:v>
      </x:c>
      <x:c r="K223" s="11" t="n">
        <x:v>22033420</x:v>
      </x:c>
      <x:c r="L223" s="11" t="n">
        <x:v>2481774</x:v>
      </x:c>
      <x:c r="M223" s="12" t="n">
        <x:v>0.10123411627907167</x:v>
      </x:c>
      <x:c r="N223" s="11" t="n">
        <x:v>15074622</x:v>
      </x:c>
      <x:c r="O223" s="11" t="n">
        <x:v>5910458</x:v>
      </x:c>
      <x:c r="P223" s="11" t="n">
        <x:v>2633114</x:v>
      </x:c>
      <x:c r="Q223" s="11" t="n">
        <x:v>897000</x:v>
      </x:c>
      <x:c r="R223" s="11" t="n">
        <x:v>17617645</x:v>
      </x:c>
      <x:c r="S223" s="11" t="n">
        <x:v>4268555</x:v>
      </x:c>
      <x:c r="T223" s="11" t="n">
        <x:v>22908104</x:v>
      </x:c>
      <x:c r="U223" s="11" t="n">
        <x:v>16880536</x:v>
      </x:c>
      <x:c r="V223" s="11" t="n">
        <x:v>7936403</x:v>
      </x:c>
      <x:c r="W223" s="11" t="n">
        <x:v>9083758</x:v>
      </x:c>
      <x:c r="X223" s="11" t="n">
        <x:v>3321143</x:v>
      </x:c>
      <x:c r="Y223" s="11" t="n">
        <x:v>0</x:v>
      </x:c>
      <x:c r="Z223" s="11" t="n">
        <x:v>703934</x:v>
      </x:c>
      <x:c r="AA223" s="11" t="n">
        <x:v>2566095</x:v>
      </x:c>
      <x:c r="AB223" s="11" t="n">
        <x:v>147220</x:v>
      </x:c>
      <x:c r="AC223" s="11" t="n">
        <x:v>851154</x:v>
      </x:c>
      <x:c r="AD223" s="11" t="n">
        <x:v>5602567</x:v>
      </x:c>
      <x:c r="AE223" s="11" t="n">
        <x:v>4751413</x:v>
      </x:c>
      <x:c r="AF223" s="11" t="n">
        <x:v>22410266</x:v>
      </x:c>
      <x:c r="AG223" s="11" t="n">
        <x:v>194611274</x:v>
      </x:c>
      <x:c r="AH223" s="11" t="n">
        <x:v>75682572</x:v>
      </x:c>
      <x:c r="AI223" s="11" t="n">
        <x:v>118928702</x:v>
      </x:c>
      <x:c r="AJ223" s="11" t="n">
        <x:v>5282136</x:v>
      </x:c>
      <x:c r="AK223" s="11" t="n">
        <x:v>365516873</x:v>
      </x:c>
      <x:c r="AL223" s="11" t="n">
        <x:v>6757834</x:v>
      </x:c>
      <x:c r="AM223" s="12" t="n">
        <x:v>0.9815115675932148</x:v>
      </x:c>
      <x:c r="AN223" s="12" t="n">
        <x:v>0.014451141356749351</x:v>
      </x:c>
      <x:c r="AO223" s="11" t="n">
        <x:v>20621399</x:v>
      </x:c>
      <x:c r="AP223" s="11" t="n">
        <x:v>20039660</x:v>
      </x:c>
      <x:c r="AQ223" s="12" t="n">
        <x:v>0.971789547353213</x:v>
      </x:c>
      <x:c r="AR223" s="11" t="n">
        <x:v>4085.8656666666666</x:v>
      </x:c>
      <x:c r="AS223" s="11" t="n">
        <x:v>3672.2366666666667</x:v>
      </x:c>
      <x:c r="AT223" s="11" t="n">
        <x:v>1322.7338333333332</x:v>
      </x:c>
      <x:c r="AU223" s="11" t="n">
        <x:v>1513.9596666666666</x:v>
      </x:c>
      <x:c r="AV223" s="11" t="n">
        <x:v>427.6825</x:v>
      </x:c>
      <x:c r="AW223" s="11" t="n">
        <x:v>1.3570720740147113</x:v>
      </x:c>
      <x:c r="AX223" s="12" t="n">
        <x:v>0.8480778543121394</x:v>
      </x:c>
      <x:c r="AY223" s="11" t="n">
        <x:v>3601.3561989291247</x:v>
      </x:c>
      <x:c r="AZ223" s="11" t="n">
        <x:v>3546.5079302077975</x:v>
      </x:c>
      <x:c r="BA223" s="11" t="n">
        <x:v>2957.8976990295423</x:v>
      </x:c>
      <x:c r="BB223" s="11" t="n">
        <x:v>2783.665107049771</x:v>
      </x:c>
      <x:c r="BC223" s="11" t="n">
        <x:v>1917.0647247750476</x:v>
      </x:c>
      <x:c r="BD223" s="11" t="n">
        <x:v>2437.8724475115623</x:v>
      </x:c>
      <x:c r="BE223" s="11" t="n">
        <x:v>987.5598464714869</x:v>
      </x:c>
      <x:c r="BF223" s="11" t="n">
        <x:v>1604.3462673977224</x:v>
      </x:c>
      <x:c r="BG223" s="11" t="n">
        <x:v>936.3446522221191</x:v>
      </x:c>
      <x:c r="BH223" s="11" t="n">
        <x:v>518.5374381567245</x:v>
      </x:c>
      <x:c r="BI223" s="11" t="n">
        <x:v>1.3967465323081123</x:v>
      </x:c>
      <x:c r="BJ223" s="11" t="n">
        <x:v>1.7099330852451193</x:v>
      </x:c>
      <x:c r="BK223" s="12" t="n">
        <x:v>0.018327243000235003</x:v>
      </x:c>
      <x:c r="BL223" s="12" t="n">
        <x:v>0.02529861000232605</x:v>
      </x:c>
      <x:c r="BM223" s="12" t="n">
        <x:v>0.982034678745671</x:v>
      </x:c>
      <x:c r="BN223" s="12" t="n">
        <x:v>0.9815511712696461</x:v>
      </x:c>
      <x:c r="BO223" s="12" t="n">
        <x:v>0.7988058564062199</x:v>
      </x:c>
      <x:c r="BP223" s="12" t="n">
        <x:v>0.8619101997275483</x:v>
      </x:c>
      <x:c r="BQ223" s="12" t="n">
        <x:v>0.970292410805516</x:v>
      </x:c>
      <x:c r="BR223" s="12" t="n">
        <x:v>0.9623635142836453</x:v>
      </x:c>
      <x:c r="BS223" s="12" t="n">
        <x:v>0.19624174475580758</x:v>
      </x:c>
      <x:c r="BT223" s="12" t="n">
        <x:v>0.19976549769108282</x:v>
      </x:c>
      <x:c r="BU223" s="11" t="n">
        <x:v>574577</x:v>
      </x:c>
      <x:c r="BV223" s="11" t="n">
        <x:v>1706351</x:v>
      </x:c>
      <x:c r="BW223" s="11" t="n">
        <x:v>352186</x:v>
      </x:c>
      <x:c r="BX223" s="11" t="n">
        <x:v>897000</x:v>
      </x:c>
      <x:c r="BY223" s="11" t="n">
        <x:v>0</x:v>
      </x:c>
      <x:c r="BZ223" s="11" t="n">
        <x:v>0</x:v>
      </x:c>
      <x:c r="CA223" s="11" t="n">
        <x:v>0</x:v>
      </x:c>
      <x:c r="CB223" s="11" t="n">
        <x:v>0</x:v>
      </x:c>
      <x:c r="CC223" s="11" t="n">
        <x:v>3776868</x:v>
      </x:c>
      <x:c r="CD223" s="11" t="n">
        <x:v>3327721</x:v>
      </x:c>
      <x:c r="CE223" s="11" t="n">
        <x:v>555581</x:v>
      </x:c>
      <x:c r="CF223" s="11" t="n">
        <x:v>0</x:v>
      </x:c>
      <x:c r="CG223" s="11" t="n">
        <x:v>1293143</x:v>
      </x:c>
      <x:c r="CH223" s="11" t="n">
        <x:v>2345146</x:v>
      </x:c>
      <x:c r="CI223" s="11" t="n">
        <x:v>3724949</x:v>
      </x:c>
      <x:c r="CJ223" s="11" t="n">
        <x:v>1051083</x:v>
      </x:c>
      <x:c r="CK223" s="11" t="n">
        <x:v>1262062</x:v>
      </x:c>
      <x:c r="CL223" s="11" t="n">
        <x:v>385397</x:v>
      </x:c>
      <x:c r="CM223" s="11" t="n">
        <x:v>42915</x:v>
      </x:c>
      <x:c r="CN223" s="11" t="n">
        <x:v>0</x:v>
      </x:c>
      <x:c r="CO223" s="11" t="n">
        <x:v>0</x:v>
      </x:c>
      <x:c r="CP223" s="8"/>
      <x:c r="CQ223" s="8"/>
    </x:row>
    <x:row r="224">
      <x:c r="A224" s="8" t="str">
        <x:v>Fort St. James|2019</x:v>
      </x:c>
      <x:c r="B224" s="8" t="str">
        <x:v>fort-st-james-d</x:v>
      </x:c>
      <x:c r="C224" s="8" t="str">
        <x:v>Fort St. James</x:v>
      </x:c>
      <x:c r="D224" s="8" t="str">
        <x:v>Fort St. James</x:v>
      </x:c>
      <x:c r="E224" s="8" t="str">
        <x:v>D</x:v>
      </x:c>
      <x:c r="F224" s="8" t="str">
        <x:v>BUL</x:v>
      </x:c>
      <x:c r="G224" s="9" t="n">
        <x:v>2019</x:v>
      </x:c>
      <x:c r="H224" s="10" t="n">
        <x:v>1728</x:v>
      </x:c>
      <x:c r="I224" s="8" t="str">
        <x:v>Under 5,000</x:v>
      </x:c>
      <x:c r="J224" s="11" t="n">
        <x:v>8968794</x:v>
      </x:c>
      <x:c r="K224" s="11" t="n">
        <x:v>4641257</x:v>
      </x:c>
      <x:c r="L224" s="11" t="n">
        <x:v>4327537</x:v>
      </x:c>
      <x:c r="M224" s="12" t="n">
        <x:v>0.48251046907755935</x:v>
      </x:c>
      <x:c r="N224" s="11" t="n">
        <x:v>2511744</x:v>
      </x:c>
      <x:c r="O224" s="11" t="n">
        <x:v>901017</x:v>
      </x:c>
      <x:c r="P224" s="11" t="n">
        <x:v>4154464</x:v>
      </x:c>
      <x:c r="Q224" s="11" t="n">
        <x:v>1401569</x:v>
      </x:c>
      <x:c r="R224" s="11" t="n">
        <x:v>3711806</x:v>
      </x:c>
      <x:c r="S224" s="11" t="n">
        <x:v>913768</x:v>
      </x:c>
      <x:c r="T224" s="11" t="n">
        <x:v>8303816</x:v>
      </x:c>
      <x:c r="U224" s="11" t="n">
        <x:v>1273097</x:v>
      </x:c>
      <x:c r="V224" s="11" t="n">
        <x:v>8542975</x:v>
      </x:c>
      <x:c r="W224" s="11" t="n">
        <x:v>8595803</x:v>
      </x:c>
      <x:c r="X224" s="11" t="n">
        <x:v>467424</x:v>
      </x:c>
      <x:c r="Y224" s="11" t="n">
        <x:v>0</x:v>
      </x:c>
      <x:c r="Z224" s="11" t="n">
        <x:v>94182</x:v>
      </x:c>
      <x:c r="AA224" s="11" t="n">
        <x:v>369704</x:v>
      </x:c>
      <x:c r="AB224" s="11" t="n">
        <x:v>15683</x:v>
      </x:c>
      <x:c r="AC224" s="11" t="n">
        <x:v>109865</x:v>
      </x:c>
      <x:c r="AD224" s="11" t="n">
        <x:v>880223</x:v>
      </x:c>
      <x:c r="AE224" s="11" t="n">
        <x:v>770358</x:v>
      </x:c>
      <x:c r="AF224" s="11" t="n">
        <x:v>3520891</x:v>
      </x:c>
      <x:c r="AG224" s="11" t="n">
        <x:v>41438715</x:v>
      </x:c>
      <x:c r="AH224" s="11" t="n">
        <x:v>16886509</x:v>
      </x:c>
      <x:c r="AI224" s="11" t="n">
        <x:v>24552206</x:v>
      </x:c>
      <x:c r="AJ224" s="11" t="n">
        <x:v>463737</x:v>
      </x:c>
      <x:c r="AK224" s="11" t="n">
        <x:v>820621</x:v>
      </x:c>
      <x:c r="AL224" s="11" t="n">
        <x:v>0</x:v>
      </x:c>
      <x:c r="AM224" s="12" t="n">
        <x:v>1</x:v>
      </x:c>
      <x:c r="AN224" s="12" t="n">
        <x:v>0.5651049631925091</x:v>
      </x:c>
      <x:c r="AO224" s="11" t="n">
        <x:v>5859111</x:v>
      </x:c>
      <x:c r="AP224" s="11" t="n">
        <x:v>4719967</x:v>
      </x:c>
      <x:c r="AQ224" s="12" t="n">
        <x:v>0.8055773307588814</x:v>
      </x:c>
      <x:c r="AR224" s="11" t="n">
        <x:v>5190.274305555556</x:v>
      </x:c>
      <x:c r="AS224" s="11" t="n">
        <x:v>2685.912615740741</x:v>
      </x:c>
      <x:c r="AT224" s="11" t="n">
        <x:v>4943.851273148148</x:v>
      </x:c>
      <x:c r="AU224" s="11" t="n">
        <x:v>4974.423032407408</x:v>
      </x:c>
      <x:c r="AV224" s="11" t="n">
        <x:v>213.94907407407408</x:v>
      </x:c>
      <x:c r="AW224" s="11" t="n">
        <x:v>6.522532061578969</x:v>
      </x:c>
      <x:c r="AX224" s="12" t="n">
        <x:v>0.875185038336876</x:v>
      </x:c>
      <x:c r="AY224" s="11"/>
      <x:c r="AZ224" s="11"/>
      <x:c r="BA224" s="11"/>
      <x:c r="BB224" s="11"/>
      <x:c r="BC224" s="11"/>
      <x:c r="BD224" s="11"/>
      <x:c r="BE224" s="11"/>
      <x:c r="BF224" s="11"/>
      <x:c r="BG224" s="11"/>
      <x:c r="BH224" s="11"/>
      <x:c r="BI224" s="11"/>
      <x:c r="BJ224" s="11"/>
      <x:c r="BK224" s="12"/>
      <x:c r="BL224" s="12"/>
      <x:c r="BM224" s="12"/>
      <x:c r="BN224" s="12"/>
      <x:c r="BO224" s="12"/>
      <x:c r="BP224" s="12"/>
      <x:c r="BQ224" s="12"/>
      <x:c r="BR224" s="12"/>
      <x:c r="BS224" s="12"/>
      <x:c r="BT224" s="12"/>
      <x:c r="BU224" s="11" t="n">
        <x:v>24487</x:v>
      </x:c>
      <x:c r="BV224" s="11" t="n">
        <x:v>3872537</x:v>
      </x:c>
      <x:c r="BW224" s="11" t="n">
        <x:v>257440</x:v>
      </x:c>
      <x:c r="BX224" s="11" t="n">
        <x:v>111526</x:v>
      </x:c>
      <x:c r="BY224" s="11" t="n">
        <x:v>1178256</x:v>
      </x:c>
      <x:c r="BZ224" s="11" t="n">
        <x:v>0</x:v>
      </x:c>
      <x:c r="CA224" s="11" t="n">
        <x:v>21681</x:v>
      </x:c>
      <x:c r="CB224" s="11" t="n">
        <x:v>90106</x:v>
      </x:c>
      <x:c r="CC224" s="11" t="n">
        <x:v>1124693</x:v>
      </x:c>
      <x:c r="CD224" s="11" t="n">
        <x:v>417372</x:v>
      </x:c>
      <x:c r="CE224" s="11" t="n">
        <x:v>81841</x:v>
      </x:c>
      <x:c r="CF224" s="11" t="n">
        <x:v>0</x:v>
      </x:c>
      <x:c r="CG224" s="11" t="n">
        <x:v>0</x:v>
      </x:c>
      <x:c r="CH224" s="11" t="n">
        <x:v>1346059</x:v>
      </x:c>
      <x:c r="CI224" s="11" t="n">
        <x:v>370112</x:v>
      </x:c>
      <x:c r="CJ224" s="11" t="n">
        <x:v>159416</x:v>
      </x:c>
      <x:c r="CK224" s="11" t="n">
        <x:v>225370</x:v>
      </x:c>
      <x:c r="CL224" s="11" t="n">
        <x:v>2626</x:v>
      </x:c>
      <x:c r="CM224" s="11"/>
      <x:c r="CN224" s="11" t="n">
        <x:v>0</x:v>
      </x:c>
      <x:c r="CO224" s="11" t="n">
        <x:v>0</x:v>
      </x:c>
      <x:c r="CP224" s="8"/>
      <x:c r="CQ224" s="8"/>
    </x:row>
    <x:row r="225">
      <x:c r="A225" s="8" t="str">
        <x:v>Fort St. James|2020</x:v>
      </x:c>
      <x:c r="B225" s="8" t="str">
        <x:v>fort-st-james-d</x:v>
      </x:c>
      <x:c r="C225" s="8" t="str">
        <x:v>Fort St. James</x:v>
      </x:c>
      <x:c r="D225" s="8" t="str">
        <x:v>Fort St. James</x:v>
      </x:c>
      <x:c r="E225" s="8" t="str">
        <x:v>D</x:v>
      </x:c>
      <x:c r="F225" s="8" t="str">
        <x:v>BUL</x:v>
      </x:c>
      <x:c r="G225" s="9" t="n">
        <x:v>2020</x:v>
      </x:c>
      <x:c r="H225" s="10" t="n">
        <x:v>1746</x:v>
      </x:c>
      <x:c r="I225" s="8" t="str">
        <x:v>Under 5,000</x:v>
      </x:c>
      <x:c r="J225" s="11" t="n">
        <x:v>7340435</x:v>
      </x:c>
      <x:c r="K225" s="11" t="n">
        <x:v>4485978</x:v>
      </x:c>
      <x:c r="L225" s="11" t="n">
        <x:v>2854457</x:v>
      </x:c>
      <x:c r="M225" s="12" t="n">
        <x:v>0.3888675534896774</x:v>
      </x:c>
      <x:c r="N225" s="11" t="n">
        <x:v>2880531</x:v>
      </x:c>
      <x:c r="O225" s="11" t="n">
        <x:v>934716</x:v>
      </x:c>
      <x:c r="P225" s="11" t="n">
        <x:v>2856491</x:v>
      </x:c>
      <x:c r="Q225" s="11" t="n">
        <x:v>668697</x:v>
      </x:c>
      <x:c r="R225" s="11" t="n">
        <x:v>3551270</x:v>
      </x:c>
      <x:c r="S225" s="11" t="n">
        <x:v>920737</x:v>
      </x:c>
      <x:c r="T225" s="11" t="n">
        <x:v>10817584</x:v>
      </x:c>
      <x:c r="U225" s="11" t="n">
        <x:v>1346100</x:v>
      </x:c>
      <x:c r="V225" s="11" t="n">
        <x:v>11682263</x:v>
      </x:c>
      <x:c r="W225" s="11" t="n">
        <x:v>11393256</x:v>
      </x:c>
      <x:c r="X225" s="11" t="n">
        <x:v>369704</x:v>
      </x:c>
      <x:c r="Y225" s="11" t="n">
        <x:v>0</x:v>
      </x:c>
      <x:c r="Z225" s="11" t="n">
        <x:v>67510</x:v>
      </x:c>
      <x:c r="AA225" s="11" t="n">
        <x:v>297861</x:v>
      </x:c>
      <x:c r="AB225" s="11" t="n">
        <x:v>13971</x:v>
      </x:c>
      <x:c r="AC225" s="11" t="n">
        <x:v>81481</x:v>
      </x:c>
      <x:c r="AD225" s="11" t="n">
        <x:v>1020372</x:v>
      </x:c>
      <x:c r="AE225" s="11" t="n">
        <x:v>938891</x:v>
      </x:c>
      <x:c r="AF225" s="11" t="n">
        <x:v>4081488</x:v>
      </x:c>
      <x:c r="AG225" s="11" t="n">
        <x:v>42109430</x:v>
      </x:c>
      <x:c r="AH225" s="11" t="n">
        <x:v>17823689</x:v>
      </x:c>
      <x:c r="AI225" s="11" t="n">
        <x:v>24285741</x:v>
      </x:c>
      <x:c r="AJ225" s="11" t="n">
        <x:v>654268</x:v>
      </x:c>
      <x:c r="AK225" s="11" t="n">
        <x:v>861021</x:v>
      </x:c>
      <x:c r="AL225" s="11" t="n">
        <x:v>0</x:v>
      </x:c>
      <x:c r="AM225" s="12" t="n">
        <x:v>1</x:v>
      </x:c>
      <x:c r="AN225" s="12" t="n">
        <x:v>0.7598746139757334</x:v>
      </x:c>
      <x:c r="AO225" s="11" t="n">
        <x:v>4601772</x:v>
      </x:c>
      <x:c r="AP225" s="11" t="n">
        <x:v>3299923</x:v>
      </x:c>
      <x:c r="AQ225" s="12" t="n">
        <x:v>0.7170983264707596</x:v>
      </x:c>
      <x:c r="AR225" s="11" t="n">
        <x:v>4204.143757159221</x:v>
      </x:c>
      <x:c r="AS225" s="11" t="n">
        <x:v>2569.2886597938145</x:v>
      </x:c>
      <x:c r="AT225" s="11" t="n">
        <x:v>6690.872279495991</x:v>
      </x:c>
      <x:c r="AU225" s="11" t="n">
        <x:v>6525.3470790378005</x:v>
      </x:c>
      <x:c r="AV225" s="11" t="n">
        <x:v>170.5962199312715</x:v>
      </x:c>
      <x:c r="AW225" s="11" t="n">
        <x:v>8.036240992496843</x:v>
      </x:c>
      <x:c r="AX225" s="12" t="n">
        <x:v>0.9201457899667964</x:v>
      </x:c>
      <x:c r="AY225" s="11"/>
      <x:c r="AZ225" s="11"/>
      <x:c r="BA225" s="11"/>
      <x:c r="BB225" s="11"/>
      <x:c r="BC225" s="11"/>
      <x:c r="BD225" s="11"/>
      <x:c r="BE225" s="11"/>
      <x:c r="BF225" s="11"/>
      <x:c r="BG225" s="11"/>
      <x:c r="BH225" s="11"/>
      <x:c r="BI225" s="11"/>
      <x:c r="BJ225" s="11"/>
      <x:c r="BK225" s="12"/>
      <x:c r="BL225" s="12"/>
      <x:c r="BM225" s="12"/>
      <x:c r="BN225" s="12"/>
      <x:c r="BO225" s="12"/>
      <x:c r="BP225" s="12"/>
      <x:c r="BQ225" s="12"/>
      <x:c r="BR225" s="12"/>
      <x:c r="BS225" s="12"/>
      <x:c r="BT225" s="12"/>
      <x:c r="BU225" s="11" t="n">
        <x:v>34007</x:v>
      </x:c>
      <x:c r="BV225" s="11" t="n">
        <x:v>2603461</x:v>
      </x:c>
      <x:c r="BW225" s="11" t="n">
        <x:v>219023</x:v>
      </x:c>
      <x:c r="BX225" s="11" t="n">
        <x:v>85925</x:v>
      </x:c>
      <x:c r="BY225" s="11" t="n">
        <x:v>462986</x:v>
      </x:c>
      <x:c r="BZ225" s="11" t="n">
        <x:v>0</x:v>
      </x:c>
      <x:c r="CA225" s="11" t="n">
        <x:v>0</x:v>
      </x:c>
      <x:c r="CB225" s="11" t="n">
        <x:v>119786</x:v>
      </x:c>
      <x:c r="CC225" s="11" t="n">
        <x:v>1096862</x:v>
      </x:c>
      <x:c r="CD225" s="11" t="n">
        <x:v>406421</x:v>
      </x:c>
      <x:c r="CE225" s="11" t="n">
        <x:v>48375</x:v>
      </x:c>
      <x:c r="CF225" s="11" t="n">
        <x:v>0</x:v>
      </x:c>
      <x:c r="CG225" s="11" t="n">
        <x:v>0</x:v>
      </x:c>
      <x:c r="CH225" s="11" t="n">
        <x:v>1313908</x:v>
      </x:c>
      <x:c r="CI225" s="11" t="n">
        <x:v>316402</x:v>
      </x:c>
      <x:c r="CJ225" s="11" t="n">
        <x:v>164205</x:v>
      </x:c>
      <x:c r="CK225" s="11" t="n">
        <x:v>211821</x:v>
      </x:c>
      <x:c r="CL225" s="11" t="n">
        <x:v>7247</x:v>
      </x:c>
      <x:c r="CM225" s="11"/>
      <x:c r="CN225" s="11" t="n">
        <x:v>0</x:v>
      </x:c>
      <x:c r="CO225" s="11" t="n">
        <x:v>0</x:v>
      </x:c>
      <x:c r="CP225" s="8"/>
      <x:c r="CQ225" s="8"/>
    </x:row>
    <x:row r="226">
      <x:c r="A226" s="8" t="str">
        <x:v>Fort St. James|2021</x:v>
      </x:c>
      <x:c r="B226" s="8" t="str">
        <x:v>fort-st-james-d</x:v>
      </x:c>
      <x:c r="C226" s="8" t="str">
        <x:v>Fort St. James</x:v>
      </x:c>
      <x:c r="D226" s="8" t="str">
        <x:v>Fort St. James</x:v>
      </x:c>
      <x:c r="E226" s="8" t="str">
        <x:v>D</x:v>
      </x:c>
      <x:c r="F226" s="8" t="str">
        <x:v>BUL</x:v>
      </x:c>
      <x:c r="G226" s="9" t="n">
        <x:v>2021</x:v>
      </x:c>
      <x:c r="H226" s="10" t="n">
        <x:v>1930</x:v>
      </x:c>
      <x:c r="I226" s="8" t="str">
        <x:v>Under 5,000</x:v>
      </x:c>
      <x:c r="J226" s="11" t="n">
        <x:v>5988201</x:v>
      </x:c>
      <x:c r="K226" s="11" t="n">
        <x:v>4575981</x:v>
      </x:c>
      <x:c r="L226" s="11" t="n">
        <x:v>1412220</x:v>
      </x:c>
      <x:c r="M226" s="12" t="n">
        <x:v>0.23583376710300807</x:v>
      </x:c>
      <x:c r="N226" s="11" t="n">
        <x:v>2739409</x:v>
      </x:c>
      <x:c r="O226" s="11" t="n">
        <x:v>964640</x:v>
      </x:c>
      <x:c r="P226" s="11" t="n">
        <x:v>1063974</x:v>
      </x:c>
      <x:c r="Q226" s="11" t="n">
        <x:v>1220178</x:v>
      </x:c>
      <x:c r="R226" s="11" t="n">
        <x:v>3600496</x:v>
      </x:c>
      <x:c r="S226" s="11" t="n">
        <x:v>962040</x:v>
      </x:c>
      <x:c r="T226" s="11" t="n">
        <x:v>13413683</x:v>
      </x:c>
      <x:c r="U226" s="11" t="n">
        <x:v>1531393</x:v>
      </x:c>
      <x:c r="V226" s="11" t="n">
        <x:v>12449463</x:v>
      </x:c>
      <x:c r="W226" s="11" t="n">
        <x:v>11476899</x:v>
      </x:c>
      <x:c r="X226" s="11" t="n">
        <x:v>297861</x:v>
      </x:c>
      <x:c r="Y226" s="11" t="n">
        <x:v>0</x:v>
      </x:c>
      <x:c r="Z226" s="11" t="n">
        <x:v>16329</x:v>
      </x:c>
      <x:c r="AA226" s="11" t="n">
        <x:v>276374</x:v>
      </x:c>
      <x:c r="AB226" s="11" t="n">
        <x:v>13445</x:v>
      </x:c>
      <x:c r="AC226" s="11" t="n">
        <x:v>29774</x:v>
      </x:c>
      <x:c r="AD226" s="11" t="n">
        <x:v>1063058</x:v>
      </x:c>
      <x:c r="AE226" s="11" t="n">
        <x:v>1033284</x:v>
      </x:c>
      <x:c r="AF226" s="11" t="n">
        <x:v>4252231</x:v>
      </x:c>
      <x:c r="AG226" s="11" t="n">
        <x:v>44855028</x:v>
      </x:c>
      <x:c r="AH226" s="11" t="n">
        <x:v>18669978</x:v>
      </x:c>
      <x:c r="AI226" s="11" t="n">
        <x:v>26185050</x:v>
      </x:c>
      <x:c r="AJ226" s="11" t="n">
        <x:v>1600378</x:v>
      </x:c>
      <x:c r="AK226" s="11" t="n">
        <x:v>861021</x:v>
      </x:c>
      <x:c r="AL226" s="11" t="n">
        <x:v>0</x:v>
      </x:c>
      <x:c r="AM226" s="12" t="n">
        <x:v>1</x:v>
      </x:c>
      <x:c r="AN226" s="12" t="n">
        <x:v>1.8586979876216725</x:v>
      </x:c>
      <x:c r="AO226" s="11" t="n">
        <x:v>4361796</x:v>
      </x:c>
      <x:c r="AP226" s="11" t="n">
        <x:v>4236812</x:v>
      </x:c>
      <x:c r="AQ226" s="12" t="n">
        <x:v>0.9713457484027221</x:v>
      </x:c>
      <x:c r="AR226" s="11" t="n">
        <x:v>3102.69481865285</x:v>
      </x:c>
      <x:c r="AS226" s="11" t="n">
        <x:v>2370.9746113989636</x:v>
      </x:c>
      <x:c r="AT226" s="11" t="n">
        <x:v>6450.49896373057</x:v>
      </x:c>
      <x:c r="AU226" s="11" t="n">
        <x:v>5946.579792746114</x:v>
      </x:c>
      <x:c r="AV226" s="11" t="n">
        <x:v>143.19896373056994</x:v>
      </x:c>
      <x:c r="AW226" s="11" t="n">
        <x:v>8.75913824864029</x:v>
      </x:c>
      <x:c r="AX226" s="12" t="n">
        <x:v>0.9719921208438298</x:v>
      </x:c>
      <x:c r="AY226" s="11"/>
      <x:c r="AZ226" s="11"/>
      <x:c r="BA226" s="11"/>
      <x:c r="BB226" s="11"/>
      <x:c r="BC226" s="11"/>
      <x:c r="BD226" s="11"/>
      <x:c r="BE226" s="11"/>
      <x:c r="BF226" s="11"/>
      <x:c r="BG226" s="11"/>
      <x:c r="BH226" s="11"/>
      <x:c r="BI226" s="11"/>
      <x:c r="BJ226" s="11"/>
      <x:c r="BK226" s="12"/>
      <x:c r="BL226" s="12"/>
      <x:c r="BM226" s="12"/>
      <x:c r="BN226" s="12"/>
      <x:c r="BO226" s="12"/>
      <x:c r="BP226" s="12"/>
      <x:c r="BQ226" s="12"/>
      <x:c r="BR226" s="12"/>
      <x:c r="BS226" s="12"/>
      <x:c r="BT226" s="12"/>
      <x:c r="BU226" s="11" t="n">
        <x:v>13260</x:v>
      </x:c>
      <x:c r="BV226" s="11" t="n">
        <x:v>817954</x:v>
      </x:c>
      <x:c r="BW226" s="11" t="n">
        <x:v>232760</x:v>
      </x:c>
      <x:c r="BX226" s="11" t="n">
        <x:v>62176</x:v>
      </x:c>
      <x:c r="BY226" s="11" t="n">
        <x:v>982987</x:v>
      </x:c>
      <x:c r="BZ226" s="11" t="n">
        <x:v>0</x:v>
      </x:c>
      <x:c r="CA226" s="11" t="n">
        <x:v>12040</x:v>
      </x:c>
      <x:c r="CB226" s="11" t="n">
        <x:v>162975</x:v>
      </x:c>
      <x:c r="CC226" s="11" t="n">
        <x:v>1079701</x:v>
      </x:c>
      <x:c r="CD226" s="11" t="n">
        <x:v>379168</x:v>
      </x:c>
      <x:c r="CE226" s="11" t="n">
        <x:v>122475</x:v>
      </x:c>
      <x:c r="CF226" s="11" t="n">
        <x:v>0</x:v>
      </x:c>
      <x:c r="CG226" s="11" t="n">
        <x:v>0</x:v>
      </x:c>
      <x:c r="CH226" s="11" t="n">
        <x:v>1067050</x:v>
      </x:c>
      <x:c r="CI226" s="11" t="n">
        <x:v>458434</x:v>
      </x:c>
      <x:c r="CJ226" s="11" t="n">
        <x:v>177843</x:v>
      </x:c>
      <x:c r="CK226" s="11" t="n">
        <x:v>319992</x:v>
      </x:c>
      <x:c r="CL226" s="11" t="n">
        <x:v>9278</x:v>
      </x:c>
      <x:c r="CM226" s="11"/>
      <x:c r="CN226" s="11" t="n">
        <x:v>0</x:v>
      </x:c>
      <x:c r="CO226" s="11" t="n">
        <x:v>0</x:v>
      </x:c>
      <x:c r="CP226" s="8"/>
      <x:c r="CQ226" s="8"/>
    </x:row>
    <x:row r="227">
      <x:c r="A227" s="8" t="str">
        <x:v>Fort St. James|2022</x:v>
      </x:c>
      <x:c r="B227" s="8" t="str">
        <x:v>fort-st-james-d</x:v>
      </x:c>
      <x:c r="C227" s="8" t="str">
        <x:v>Fort St. James</x:v>
      </x:c>
      <x:c r="D227" s="8" t="str">
        <x:v>Fort St. James</x:v>
      </x:c>
      <x:c r="E227" s="8" t="str">
        <x:v>D</x:v>
      </x:c>
      <x:c r="F227" s="8" t="str">
        <x:v>BUL</x:v>
      </x:c>
      <x:c r="G227" s="9" t="n">
        <x:v>2022</x:v>
      </x:c>
      <x:c r="H227" s="10" t="n">
        <x:v>22261</x:v>
      </x:c>
      <x:c r="I227" s="8" t="str">
        <x:v>20,000 to 99,999</x:v>
      </x:c>
      <x:c r="J227" s="11" t="n">
        <x:v>8305674</x:v>
      </x:c>
      <x:c r="K227" s="11" t="n">
        <x:v>5158211</x:v>
      </x:c>
      <x:c r="L227" s="11" t="n">
        <x:v>3147463</x:v>
      </x:c>
      <x:c r="M227" s="12" t="n">
        <x:v>0.3789533516485237</x:v>
      </x:c>
      <x:c r="N227" s="11" t="n">
        <x:v>2940228</x:v>
      </x:c>
      <x:c r="O227" s="11" t="n">
        <x:v>2091566</x:v>
      </x:c>
      <x:c r="P227" s="11" t="n">
        <x:v>1124035</x:v>
      </x:c>
      <x:c r="Q227" s="11" t="n">
        <x:v>2149845</x:v>
      </x:c>
      <x:c r="R227" s="11" t="n">
        <x:v>4162261</x:v>
      </x:c>
      <x:c r="S227" s="11" t="n">
        <x:v>982503</x:v>
      </x:c>
      <x:c r="T227" s="11" t="n">
        <x:v>14229555</x:v>
      </x:c>
      <x:c r="U227" s="11" t="n">
        <x:v>1701249</x:v>
      </x:c>
      <x:c r="V227" s="11" t="n">
        <x:v>14700780</x:v>
      </x:c>
      <x:c r="W227" s="11" t="n">
        <x:v>5439317</x:v>
      </x:c>
      <x:c r="X227" s="11" t="n">
        <x:v>276374</x:v>
      </x:c>
      <x:c r="Y227" s="11" t="n">
        <x:v>0</x:v>
      </x:c>
      <x:c r="Z227" s="11" t="n">
        <x:v>16329</x:v>
      </x:c>
      <x:c r="AA227" s="11" t="n">
        <x:v>254027</x:v>
      </x:c>
      <x:c r="AB227" s="11" t="n">
        <x:v>13447</x:v>
      </x:c>
      <x:c r="AC227" s="11" t="n">
        <x:v>29776</x:v>
      </x:c>
      <x:c r="AD227" s="11" t="n">
        <x:v>1815157</x:v>
      </x:c>
      <x:c r="AE227" s="11" t="n">
        <x:v>1785381</x:v>
      </x:c>
      <x:c r="AF227" s="11" t="n">
        <x:v>7260627</x:v>
      </x:c>
      <x:c r="AG227" s="11" t="n">
        <x:v>46612380</x:v>
      </x:c>
      <x:c r="AH227" s="11" t="n">
        <x:v>19588132</x:v>
      </x:c>
      <x:c r="AI227" s="11" t="n">
        <x:v>27024248</x:v>
      </x:c>
      <x:c r="AJ227" s="11" t="n">
        <x:v>1826367</x:v>
      </x:c>
      <x:c r="AK227" s="11" t="n">
        <x:v>861021</x:v>
      </x:c>
      <x:c r="AL227" s="11" t="n">
        <x:v>0</x:v>
      </x:c>
      <x:c r="AM227" s="12" t="n">
        <x:v>1</x:v>
      </x:c>
      <x:c r="AN227" s="12" t="n">
        <x:v>2.1211642921601217</x:v>
      </x:c>
      <x:c r="AO227" s="11" t="n">
        <x:v>4698127</x:v>
      </x:c>
      <x:c r="AP227" s="11" t="n">
        <x:v>4574523</x:v>
      </x:c>
      <x:c r="AQ227" s="12" t="n">
        <x:v>0.97369079209651</x:v>
      </x:c>
      <x:c r="AR227" s="11" t="n">
        <x:v>373.1042630609586</x:v>
      </x:c>
      <x:c r="AS227" s="11" t="n">
        <x:v>231.7151520596559</x:v>
      </x:c>
      <x:c r="AT227" s="11" t="n">
        <x:v>660.3827321324289</x:v>
      </x:c>
      <x:c r="AU227" s="11" t="n">
        <x:v>244.34288666277345</x:v>
      </x:c>
      <x:c r="AV227" s="11" t="n">
        <x:v>11.411302277525717</x:v>
      </x:c>
      <x:c r="AW227" s="11" t="n">
        <x:v>8.364181257417345</x:v>
      </x:c>
      <x:c r="AX227" s="12" t="n">
        <x:v>0.9835959093345644</x:v>
      </x:c>
      <x:c r="AY227" s="11"/>
      <x:c r="AZ227" s="11"/>
      <x:c r="BA227" s="11"/>
      <x:c r="BB227" s="11"/>
      <x:c r="BC227" s="11"/>
      <x:c r="BD227" s="11"/>
      <x:c r="BE227" s="11"/>
      <x:c r="BF227" s="11"/>
      <x:c r="BG227" s="11"/>
      <x:c r="BH227" s="11"/>
      <x:c r="BI227" s="11"/>
      <x:c r="BJ227" s="11"/>
      <x:c r="BK227" s="12"/>
      <x:c r="BL227" s="12"/>
      <x:c r="BM227" s="12"/>
      <x:c r="BN227" s="12"/>
      <x:c r="BO227" s="12"/>
      <x:c r="BP227" s="12"/>
      <x:c r="BQ227" s="12"/>
      <x:c r="BR227" s="12"/>
      <x:c r="BS227" s="12"/>
      <x:c r="BT227" s="12"/>
      <x:c r="BU227" s="11" t="n">
        <x:v>8222</x:v>
      </x:c>
      <x:c r="BV227" s="11" t="n">
        <x:v>719689</x:v>
      </x:c>
      <x:c r="BW227" s="11" t="n">
        <x:v>396124</x:v>
      </x:c>
      <x:c r="BX227" s="11" t="n">
        <x:v>276063</x:v>
      </x:c>
      <x:c r="BY227" s="11" t="n">
        <x:v>0</x:v>
      </x:c>
      <x:c r="BZ227" s="11" t="n">
        <x:v>0</x:v>
      </x:c>
      <x:c r="CA227" s="11" t="n">
        <x:v>5599</x:v>
      </x:c>
      <x:c r="CB227" s="11" t="n">
        <x:v>1868183</x:v>
      </x:c>
      <x:c r="CC227" s="11" t="n">
        <x:v>1133591</x:v>
      </x:c>
      <x:c r="CD227" s="11" t="n">
        <x:v>411951</x:v>
      </x:c>
      <x:c r="CE227" s="11" t="n">
        <x:v>121416</x:v>
      </x:c>
      <x:c r="CF227" s="11" t="n">
        <x:v>0</x:v>
      </x:c>
      <x:c r="CG227" s="11" t="n">
        <x:v>176027</x:v>
      </x:c>
      <x:c r="CH227" s="11" t="n">
        <x:v>1181822</x:v>
      </x:c>
      <x:c r="CI227" s="11" t="n">
        <x:v>592702</x:v>
      </x:c>
      <x:c r="CJ227" s="11" t="n">
        <x:v>245761</x:v>
      </x:c>
      <x:c r="CK227" s="11" t="n">
        <x:v>244456</x:v>
      </x:c>
      <x:c r="CL227" s="11" t="n">
        <x:v>67982</x:v>
      </x:c>
      <x:c r="CM227" s="11"/>
      <x:c r="CN227" s="11" t="n">
        <x:v>0</x:v>
      </x:c>
      <x:c r="CO227" s="11" t="n">
        <x:v>0</x:v>
      </x:c>
      <x:c r="CP227" s="8"/>
      <x:c r="CQ227" s="8"/>
    </x:row>
    <x:row r="228">
      <x:c r="A228" s="8" t="str">
        <x:v>Fort St. James|2023</x:v>
      </x:c>
      <x:c r="B228" s="8" t="str">
        <x:v>fort-st-james-d</x:v>
      </x:c>
      <x:c r="C228" s="8" t="str">
        <x:v>Fort St. James</x:v>
      </x:c>
      <x:c r="D228" s="8" t="str">
        <x:v>Fort St. James</x:v>
      </x:c>
      <x:c r="E228" s="8" t="str">
        <x:v>D</x:v>
      </x:c>
      <x:c r="F228" s="8" t="str">
        <x:v>BUL</x:v>
      </x:c>
      <x:c r="G228" s="9" t="n">
        <x:v>2023</x:v>
      </x:c>
      <x:c r="H228" s="10" t="n">
        <x:v>1696</x:v>
      </x:c>
      <x:c r="I228" s="8" t="str">
        <x:v>Under 5,000</x:v>
      </x:c>
      <x:c r="J228" s="11" t="n">
        <x:v>11506495</x:v>
      </x:c>
      <x:c r="K228" s="11" t="n">
        <x:v>6616650</x:v>
      </x:c>
      <x:c r="L228" s="11" t="n">
        <x:v>4889845</x:v>
      </x:c>
      <x:c r="M228" s="12" t="n">
        <x:v>0.42496390082297</x:v>
      </x:c>
      <x:c r="N228" s="11" t="n">
        <x:v>3532467</x:v>
      </x:c>
      <x:c r="O228" s="11" t="n">
        <x:v>1311715</x:v>
      </x:c>
      <x:c r="P228" s="11" t="n">
        <x:v>5137172</x:v>
      </x:c>
      <x:c r="Q228" s="11" t="n">
        <x:v>1525141</x:v>
      </x:c>
      <x:c r="R228" s="11" t="n">
        <x:v>5477144</x:v>
      </x:c>
      <x:c r="S228" s="11" t="n">
        <x:v>1119650</x:v>
      </x:c>
      <x:c r="T228" s="11" t="n">
        <x:v>14911812</x:v>
      </x:c>
      <x:c r="U228" s="11" t="n">
        <x:v>2728764</x:v>
      </x:c>
      <x:c r="V228" s="11" t="n">
        <x:v>13792143</x:v>
      </x:c>
      <x:c r="W228" s="11" t="n">
        <x:v>13233307</x:v>
      </x:c>
      <x:c r="X228" s="11" t="n">
        <x:v>254027</x:v>
      </x:c>
      <x:c r="Y228" s="11" t="n">
        <x:v>0</x:v>
      </x:c>
      <x:c r="Z228" s="11" t="n">
        <x:v>16330</x:v>
      </x:c>
      <x:c r="AA228" s="11" t="n">
        <x:v>230785</x:v>
      </x:c>
      <x:c r="AB228" s="11" t="n">
        <x:v>19856</x:v>
      </x:c>
      <x:c r="AC228" s="11" t="n">
        <x:v>36186</x:v>
      </x:c>
      <x:c r="AD228" s="11" t="n">
        <x:v>1534565</x:v>
      </x:c>
      <x:c r="AE228" s="11" t="n">
        <x:v>1498379</x:v>
      </x:c>
      <x:c r="AF228" s="11" t="n">
        <x:v>6138260</x:v>
      </x:c>
      <x:c r="AG228" s="11" t="n">
        <x:v>53424349</x:v>
      </x:c>
      <x:c r="AH228" s="11" t="n">
        <x:v>20573982</x:v>
      </x:c>
      <x:c r="AI228" s="11" t="n">
        <x:v>32850367</x:v>
      </x:c>
      <x:c r="AJ228" s="11" t="n">
        <x:v>6535095</x:v>
      </x:c>
      <x:c r="AK228" s="11" t="n">
        <x:v>1288897</x:v>
      </x:c>
      <x:c r="AL228" s="11" t="n">
        <x:v>0</x:v>
      </x:c>
      <x:c r="AM228" s="12" t="n">
        <x:v>1</x:v>
      </x:c>
      <x:c r="AN228" s="12" t="n">
        <x:v>5.0703004196611525</x:v>
      </x:c>
      <x:c r="AO228" s="11" t="n">
        <x:v>5403946</x:v>
      </x:c>
      <x:c r="AP228" s="11" t="n">
        <x:v>5293606</x:v>
      </x:c>
      <x:c r="AQ228" s="12" t="n">
        <x:v>0.9795815872327369</x:v>
      </x:c>
      <x:c r="AR228" s="11" t="n">
        <x:v>6784.489976415094</x:v>
      </x:c>
      <x:c r="AS228" s="11" t="n">
        <x:v>3901.326650943396</x:v>
      </x:c>
      <x:c r="AT228" s="11" t="n">
        <x:v>8132.159787735849</x:v>
      </x:c>
      <x:c r="AU228" s="11" t="n">
        <x:v>7802.657429245283</x:v>
      </x:c>
      <x:c r="AV228" s="11" t="n">
        <x:v>136.07606132075472</x:v>
      </x:c>
      <x:c r="AW228" s="11" t="n">
        <x:v>5.464676314990963</x:v>
      </x:c>
      <x:c r="AX228" s="12" t="n">
        <x:v>0.9764193761750073</x:v>
      </x:c>
      <x:c r="AY228" s="11"/>
      <x:c r="AZ228" s="11"/>
      <x:c r="BA228" s="11"/>
      <x:c r="BB228" s="11"/>
      <x:c r="BC228" s="11"/>
      <x:c r="BD228" s="11"/>
      <x:c r="BE228" s="11"/>
      <x:c r="BF228" s="11"/>
      <x:c r="BG228" s="11"/>
      <x:c r="BH228" s="11"/>
      <x:c r="BI228" s="11"/>
      <x:c r="BJ228" s="11"/>
      <x:c r="BK228" s="12"/>
      <x:c r="BL228" s="12"/>
      <x:c r="BM228" s="12"/>
      <x:c r="BN228" s="12"/>
      <x:c r="BO228" s="12"/>
      <x:c r="BP228" s="12"/>
      <x:c r="BQ228" s="12"/>
      <x:c r="BR228" s="12"/>
      <x:c r="BS228" s="12"/>
      <x:c r="BT228" s="12"/>
      <x:c r="BU228" s="11" t="n">
        <x:v>22203</x:v>
      </x:c>
      <x:c r="BV228" s="11" t="n">
        <x:v>4387270</x:v>
      </x:c>
      <x:c r="BW228" s="11" t="n">
        <x:v>727699</x:v>
      </x:c>
      <x:c r="BX228" s="11" t="n">
        <x:v>778494</x:v>
      </x:c>
      <x:c r="BY228" s="11" t="n">
        <x:v>0</x:v>
      </x:c>
      <x:c r="BZ228" s="11" t="n">
        <x:v>0</x:v>
      </x:c>
      <x:c r="CA228" s="11" t="n">
        <x:v>0</x:v>
      </x:c>
      <x:c r="CB228" s="11" t="n">
        <x:v>746647</x:v>
      </x:c>
      <x:c r="CC228" s="11" t="n">
        <x:v>1508683</x:v>
      </x:c>
      <x:c r="CD228" s="11" t="n">
        <x:v>601478</x:v>
      </x:c>
      <x:c r="CE228" s="11" t="n">
        <x:v>136496</x:v>
      </x:c>
      <x:c r="CF228" s="11" t="n">
        <x:v>0</x:v>
      </x:c>
      <x:c r="CG228" s="11" t="n">
        <x:v>211895</x:v>
      </x:c>
      <x:c r="CH228" s="11" t="n">
        <x:v>1329242</x:v>
      </x:c>
      <x:c r="CI228" s="11" t="n">
        <x:v>815669</x:v>
      </x:c>
      <x:c r="CJ228" s="11" t="n">
        <x:v>324567</x:v>
      </x:c>
      <x:c r="CK228" s="11" t="n">
        <x:v>403887</x:v>
      </x:c>
      <x:c r="CL228" s="11" t="n">
        <x:v>101877</x:v>
      </x:c>
      <x:c r="CM228" s="11" t="n">
        <x:v>22295</x:v>
      </x:c>
      <x:c r="CN228" s="11" t="n">
        <x:v>40911</x:v>
      </x:c>
      <x:c r="CO228" s="11" t="n">
        <x:v>0</x:v>
      </x:c>
      <x:c r="CP228" s="8"/>
      <x:c r="CQ228" s="8"/>
    </x:row>
    <x:row r="229">
      <x:c r="A229" s="8" t="str">
        <x:v>Fort St. James|2024</x:v>
      </x:c>
      <x:c r="B229" s="8" t="str">
        <x:v>fort-st-james-d</x:v>
      </x:c>
      <x:c r="C229" s="8" t="str">
        <x:v>Fort St. James</x:v>
      </x:c>
      <x:c r="D229" s="8" t="str">
        <x:v>Fort St. James</x:v>
      </x:c>
      <x:c r="E229" s="8" t="str">
        <x:v>D</x:v>
      </x:c>
      <x:c r="F229" s="8" t="str">
        <x:v>BUL</x:v>
      </x:c>
      <x:c r="G229" s="9" t="n">
        <x:v>2024</x:v>
      </x:c>
      <x:c r="H229" s="10" t="n">
        <x:v>1696</x:v>
      </x:c>
      <x:c r="I229" s="8" t="str">
        <x:v>Under 5,000</x:v>
      </x:c>
      <x:c r="J229" s="11" t="n">
        <x:v>11076762</x:v>
      </x:c>
      <x:c r="K229" s="11" t="n">
        <x:v>6927330</x:v>
      </x:c>
      <x:c r="L229" s="11" t="n">
        <x:v>4149432</x:v>
      </x:c>
      <x:c r="M229" s="12" t="n">
        <x:v>0.37460694740936024</x:v>
      </x:c>
      <x:c r="N229" s="11" t="n">
        <x:v>3960318</x:v>
      </x:c>
      <x:c r="O229" s="11" t="n">
        <x:v>1692490</x:v>
      </x:c>
      <x:c r="P229" s="11" t="n">
        <x:v>3695605</x:v>
      </x:c>
      <x:c r="Q229" s="11" t="n">
        <x:v>1728349</x:v>
      </x:c>
      <x:c r="R229" s="11" t="n">
        <x:v>5681586</x:v>
      </x:c>
      <x:c r="S229" s="11" t="n">
        <x:v>1226452</x:v>
      </x:c>
      <x:c r="T229" s="11" t="n">
        <x:v>15622888</x:v>
      </x:c>
      <x:c r="U229" s="11" t="n">
        <x:v>1845363</x:v>
      </x:c>
      <x:c r="V229" s="11" t="n">
        <x:v>15919805</x:v>
      </x:c>
      <x:c r="W229" s="11" t="n">
        <x:v>6891532</x:v>
      </x:c>
      <x:c r="X229" s="11" t="n">
        <x:v>230785</x:v>
      </x:c>
      <x:c r="Y229" s="11" t="n">
        <x:v>0</x:v>
      </x:c>
      <x:c r="Z229" s="11" t="n">
        <x:v>17754</x:v>
      </x:c>
      <x:c r="AA229" s="11" t="n">
        <x:v>206170</x:v>
      </x:c>
      <x:c r="AB229" s="11" t="n">
        <x:v>19292</x:v>
      </x:c>
      <x:c r="AC229" s="11" t="n">
        <x:v>37046</x:v>
      </x:c>
      <x:c r="AD229" s="11" t="n">
        <x:v>1733870</x:v>
      </x:c>
      <x:c r="AE229" s="11" t="n">
        <x:v>1696824</x:v>
      </x:c>
      <x:c r="AF229" s="11" t="n">
        <x:v>6935479</x:v>
      </x:c>
      <x:c r="AG229" s="11" t="n">
        <x:v>56199480</x:v>
      </x:c>
      <x:c r="AH229" s="11" t="n">
        <x:v>21316738</x:v>
      </x:c>
      <x:c r="AI229" s="11" t="n">
        <x:v>34882742</x:v>
      </x:c>
      <x:c r="AJ229" s="11" t="n">
        <x:v>3313145</x:v>
      </x:c>
      <x:c r="AK229" s="11" t="n">
        <x:v>1309686</x:v>
      </x:c>
      <x:c r="AL229" s="11" t="n">
        <x:v>0</x:v>
      </x:c>
      <x:c r="AM229" s="12" t="n">
        <x:v>1</x:v>
      </x:c>
      <x:c r="AN229" s="12" t="n">
        <x:v>2.5297246820993733</x:v>
      </x:c>
      <x:c r="AO229" s="11" t="n">
        <x:v>5915092</x:v>
      </x:c>
      <x:c r="AP229" s="11" t="n">
        <x:v>5708723</x:v>
      </x:c>
      <x:c r="AQ229" s="12" t="n">
        <x:v>0.9651114471254209</x:v>
      </x:c>
      <x:c r="AR229" s="11" t="n">
        <x:v>6531.109669811321</x:v>
      </x:c>
      <x:c r="AS229" s="11" t="n">
        <x:v>4084.510613207547</x:v>
      </x:c>
      <x:c r="AT229" s="11" t="n">
        <x:v>9386.677476415094</x:v>
      </x:c>
      <x:c r="AU229" s="11" t="n">
        <x:v>4063.4033018867926</x:v>
      </x:c>
      <x:c r="AV229" s="11" t="n">
        <x:v>121.5625</x:v>
      </x:c>
      <x:c r="AW229" s="11" t="n">
        <x:v>8.466024299826104</x:v>
      </x:c>
      <x:c r="AX229" s="12" t="n">
        <x:v>0.9786339229584686</x:v>
      </x:c>
      <x:c r="AY229" s="11" t="n">
        <x:v>4486.511144130758</x:v>
      </x:c>
      <x:c r="AZ229" s="11" t="n">
        <x:v>3546.5079302077975</x:v>
      </x:c>
      <x:c r="BA229" s="11" t="n">
        <x:v>3557.844717668488</x:v>
      </x:c>
      <x:c r="BB229" s="11" t="n">
        <x:v>2783.665107049771</x:v>
      </x:c>
      <x:c r="BC229" s="11" t="n">
        <x:v>5496.677373974208</x:v>
      </x:c>
      <x:c r="BD229" s="11" t="n">
        <x:v>2437.8724475115623</x:v>
      </x:c>
      <x:c r="BE229" s="11" t="n">
        <x:v>3386.4506393861893</x:v>
      </x:c>
      <x:c r="BF229" s="11" t="n">
        <x:v>1604.3462673977224</x:v>
      </x:c>
      <x:c r="BG229" s="11" t="n">
        <x:v>624.7436119532265</x:v>
      </x:c>
      <x:c r="BH229" s="11" t="n">
        <x:v>518.5374381567245</x:v>
      </x:c>
      <x:c r="BI229" s="11" t="n">
        <x:v>3.324657351485151</x:v>
      </x:c>
      <x:c r="BJ229" s="11" t="n">
        <x:v>1.7099330852451193</x:v>
      </x:c>
      <x:c r="BK229" s="12" t="n">
        <x:v>0.02521828600111612</x:v>
      </x:c>
      <x:c r="BL229" s="12" t="n">
        <x:v>0.02529861000232605</x:v>
      </x:c>
      <x:c r="BM229" s="12" t="n">
        <x:v>0.9816336034641139</x:v>
      </x:c>
      <x:c r="BN229" s="12" t="n">
        <x:v>0.9815511712696461</x:v>
      </x:c>
      <x:c r="BO229" s="12" t="n">
        <x:v>0.8531878894527055</x:v>
      </x:c>
      <x:c r="BP229" s="12" t="n">
        <x:v>0.8619101997275483</x:v>
      </x:c>
      <x:c r="BQ229" s="12" t="n">
        <x:v>0.9614729661922712</x:v>
      </x:c>
      <x:c r="BR229" s="12" t="n">
        <x:v>0.9623635142836453</x:v>
      </x:c>
      <x:c r="BS229" s="12" t="n">
        <x:v>0.23352896680225554</x:v>
      </x:c>
      <x:c r="BT229" s="12" t="n">
        <x:v>0.19976549769108282</x:v>
      </x:c>
      <x:c r="BU229" s="11" t="n">
        <x:v>515264</x:v>
      </x:c>
      <x:c r="BV229" s="11" t="n">
        <x:v>2707738</x:v>
      </x:c>
      <x:c r="BW229" s="11" t="n">
        <x:v>472603</x:v>
      </x:c>
      <x:c r="BX229" s="11" t="n">
        <x:v>734734</x:v>
      </x:c>
      <x:c r="BY229" s="11" t="n">
        <x:v>0</x:v>
      </x:c>
      <x:c r="BZ229" s="11" t="n">
        <x:v>56175</x:v>
      </x:c>
      <x:c r="CA229" s="11" t="n">
        <x:v>31139</x:v>
      </x:c>
      <x:c r="CB229" s="11" t="n">
        <x:v>906301</x:v>
      </x:c>
      <x:c r="CC229" s="11" t="n">
        <x:v>1626878</x:v>
      </x:c>
      <x:c r="CD229" s="11" t="n">
        <x:v>706368</x:v>
      </x:c>
      <x:c r="CE229" s="11" t="n">
        <x:v>147594</x:v>
      </x:c>
      <x:c r="CF229" s="11" t="n">
        <x:v>0</x:v>
      </x:c>
      <x:c r="CG229" s="11" t="n">
        <x:v>106728</x:v>
      </x:c>
      <x:c r="CH229" s="11" t="n">
        <x:v>1382002</x:v>
      </x:c>
      <x:c r="CI229" s="11" t="n">
        <x:v>803487</x:v>
      </x:c>
      <x:c r="CJ229" s="11" t="n">
        <x:v>354324</x:v>
      </x:c>
      <x:c r="CK229" s="11" t="n">
        <x:v>438654</x:v>
      </x:c>
      <x:c r="CL229" s="11" t="n">
        <x:v>111461</x:v>
      </x:c>
      <x:c r="CM229" s="11" t="n">
        <x:v>23382</x:v>
      </x:c>
      <x:c r="CN229" s="11" t="n">
        <x:v>0</x:v>
      </x:c>
      <x:c r="CO229" s="11" t="n">
        <x:v>0</x:v>
      </x:c>
      <x:c r="CP229" s="8"/>
      <x:c r="CQ229" s="8"/>
    </x:row>
    <x:row r="230">
      <x:c r="A230" s="8" t="str">
        <x:v>Fort St. John|2019</x:v>
      </x:c>
      <x:c r="B230" s="8" t="str">
        <x:v>fort-st-john-c</x:v>
      </x:c>
      <x:c r="C230" s="8" t="str">
        <x:v>Fort St. John</x:v>
      </x:c>
      <x:c r="D230" s="8" t="str">
        <x:v>Fort St. John</x:v>
      </x:c>
      <x:c r="E230" s="8" t="str">
        <x:v>C</x:v>
      </x:c>
      <x:c r="F230" s="8" t="str">
        <x:v>PEA</x:v>
      </x:c>
      <x:c r="G230" s="9" t="n">
        <x:v>2019</x:v>
      </x:c>
      <x:c r="H230" s="10" t="n">
        <x:v>21976</x:v>
      </x:c>
      <x:c r="I230" s="8" t="str">
        <x:v>20,000 to 99,999</x:v>
      </x:c>
      <x:c r="J230" s="11" t="n">
        <x:v>84828385</x:v>
      </x:c>
      <x:c r="K230" s="11" t="n">
        <x:v>61837717</x:v>
      </x:c>
      <x:c r="L230" s="11" t="n">
        <x:v>22990668</x:v>
      </x:c>
      <x:c r="M230" s="12" t="n">
        <x:v>0.27102564784181615</x:v>
      </x:c>
      <x:c r="N230" s="11" t="n">
        <x:v>32149536</x:v>
      </x:c>
      <x:c r="O230" s="11" t="n">
        <x:v>19569005</x:v>
      </x:c>
      <x:c r="P230" s="11" t="n">
        <x:v>29963250</x:v>
      </x:c>
      <x:c r="Q230" s="11" t="n">
        <x:v>3146594</x:v>
      </x:c>
      <x:c r="R230" s="11" t="n">
        <x:v>48161976</x:v>
      </x:c>
      <x:c r="S230" s="11" t="n">
        <x:v>12234837</x:v>
      </x:c>
      <x:c r="T230" s="11" t="n">
        <x:v>99835204</x:v>
      </x:c>
      <x:c r="U230" s="11" t="n">
        <x:v>59089681</x:v>
      </x:c>
      <x:c r="V230" s="11" t="n">
        <x:v>52534267</x:v>
      </x:c>
      <x:c r="W230" s="11" t="n">
        <x:v>1152926</x:v>
      </x:c>
      <x:c r="X230" s="11" t="n">
        <x:v>35507175</x:v>
      </x:c>
      <x:c r="Y230" s="11" t="n">
        <x:v>0</x:v>
      </x:c>
      <x:c r="Z230" s="11" t="n">
        <x:v>1479492</x:v>
      </x:c>
      <x:c r="AA230" s="11" t="n">
        <x:v>33795968</x:v>
      </x:c>
      <x:c r="AB230" s="11" t="n">
        <x:v>1440904</x:v>
      </x:c>
      <x:c r="AC230" s="11" t="n">
        <x:v>2532107</x:v>
      </x:c>
      <x:c r="AD230" s="11" t="n">
        <x:v>19818662</x:v>
      </x:c>
      <x:c r="AE230" s="11" t="n">
        <x:v>17235453</x:v>
      </x:c>
      <x:c r="AF230" s="11" t="n">
        <x:v>79274649</x:v>
      </x:c>
      <x:c r="AG230" s="11" t="n">
        <x:v>601693666</x:v>
      </x:c>
      <x:c r="AH230" s="11" t="n">
        <x:v>153867197</x:v>
      </x:c>
      <x:c r="AI230" s="11" t="n">
        <x:v>447826469</x:v>
      </x:c>
      <x:c r="AJ230" s="11" t="n">
        <x:v>40991087</x:v>
      </x:c>
      <x:c r="AK230" s="11" t="n">
        <x:v>33710564</x:v>
      </x:c>
      <x:c r="AL230" s="11" t="n">
        <x:v>0</x:v>
      </x:c>
      <x:c r="AM230" s="12" t="n">
        <x:v>1</x:v>
      </x:c>
      <x:c r="AN230" s="12" t="n">
        <x:v>1.215971557165285</x:v>
      </x:c>
      <x:c r="AO230" s="11" t="n">
        <x:v>52230626</x:v>
      </x:c>
      <x:c r="AP230" s="11" t="n">
        <x:v>46848721</x:v>
      </x:c>
      <x:c r="AQ230" s="12" t="n">
        <x:v>0.8969588264172824</x:v>
      </x:c>
      <x:c r="AR230" s="11" t="n">
        <x:v>3860.0466417910447</x:v>
      </x:c>
      <x:c r="AS230" s="11" t="n">
        <x:v>2813.875</x:v>
      </x:c>
      <x:c r="AT230" s="11" t="n">
        <x:v>2390.5290771751</x:v>
      </x:c>
      <x:c r="AU230" s="11" t="n">
        <x:v>52.46295959228249</x:v>
      </x:c>
      <x:c r="AV230" s="11" t="n">
        <x:v>1537.8580269384784</x:v>
      </x:c>
      <x:c r="AW230" s="11" t="n">
        <x:v>1.6895539510528073</x:v>
      </x:c>
      <x:c r="AX230" s="12" t="n">
        <x:v>0.8696577498521343</x:v>
      </x:c>
      <x:c r="AY230" s="11"/>
      <x:c r="AZ230" s="11"/>
      <x:c r="BA230" s="11"/>
      <x:c r="BB230" s="11"/>
      <x:c r="BC230" s="11"/>
      <x:c r="BD230" s="11"/>
      <x:c r="BE230" s="11"/>
      <x:c r="BF230" s="11"/>
      <x:c r="BG230" s="11"/>
      <x:c r="BH230" s="11"/>
      <x:c r="BI230" s="11"/>
      <x:c r="BJ230" s="11"/>
      <x:c r="BK230" s="12"/>
      <x:c r="BL230" s="12"/>
      <x:c r="BM230" s="12"/>
      <x:c r="BN230" s="12"/>
      <x:c r="BO230" s="12"/>
      <x:c r="BP230" s="12"/>
      <x:c r="BQ230" s="12"/>
      <x:c r="BR230" s="12"/>
      <x:c r="BS230" s="12"/>
      <x:c r="BT230" s="12"/>
      <x:c r="BU230" s="11" t="n">
        <x:v>5860</x:v>
      </x:c>
      <x:c r="BV230" s="11" t="n">
        <x:v>27503094</x:v>
      </x:c>
      <x:c r="BW230" s="11" t="n">
        <x:v>2454296</x:v>
      </x:c>
      <x:c r="BX230" s="11" t="n">
        <x:v>2643980</x:v>
      </x:c>
      <x:c r="BY230" s="11" t="n">
        <x:v>0</x:v>
      </x:c>
      <x:c r="BZ230" s="11" t="n">
        <x:v>350000</x:v>
      </x:c>
      <x:c r="CA230" s="11" t="n">
        <x:v>152614</x:v>
      </x:c>
      <x:c r="CB230" s="11" t="n">
        <x:v>0</x:v>
      </x:c>
      <x:c r="CC230" s="11" t="n">
        <x:v>8879849</x:v>
      </x:c>
      <x:c r="CD230" s="11" t="n">
        <x:v>14282425</x:v>
      </x:c>
      <x:c r="CE230" s="11" t="n">
        <x:v>828554</x:v>
      </x:c>
      <x:c r="CF230" s="11" t="n">
        <x:v>0</x:v>
      </x:c>
      <x:c r="CG230" s="11" t="n">
        <x:v>2728397</x:v>
      </x:c>
      <x:c r="CH230" s="11" t="n">
        <x:v>10181827</x:v>
      </x:c>
      <x:c r="CI230" s="11" t="n">
        <x:v>7232190</x:v>
      </x:c>
      <x:c r="CJ230" s="11" t="n">
        <x:v>2914496</x:v>
      </x:c>
      <x:c r="CK230" s="11" t="n">
        <x:v>1880083</x:v>
      </x:c>
      <x:c r="CL230" s="11" t="n">
        <x:v>0</x:v>
      </x:c>
      <x:c r="CM230" s="11"/>
      <x:c r="CN230" s="11" t="n">
        <x:v>675059</x:v>
      </x:c>
      <x:c r="CO230" s="11" t="n">
        <x:v>0</x:v>
      </x:c>
      <x:c r="CP230" s="8"/>
      <x:c r="CQ230" s="8"/>
    </x:row>
    <x:row r="231">
      <x:c r="A231" s="8" t="str">
        <x:v>Fort St. John|2020</x:v>
      </x:c>
      <x:c r="B231" s="8" t="str">
        <x:v>fort-st-john-c</x:v>
      </x:c>
      <x:c r="C231" s="8" t="str">
        <x:v>Fort St. John</x:v>
      </x:c>
      <x:c r="D231" s="8" t="str">
        <x:v>Fort St. John</x:v>
      </x:c>
      <x:c r="E231" s="8" t="str">
        <x:v>C</x:v>
      </x:c>
      <x:c r="F231" s="8" t="str">
        <x:v>PEA</x:v>
      </x:c>
      <x:c r="G231" s="9" t="n">
        <x:v>2020</x:v>
      </x:c>
      <x:c r="H231" s="10" t="n">
        <x:v>22283</x:v>
      </x:c>
      <x:c r="I231" s="8" t="str">
        <x:v>20,000 to 99,999</x:v>
      </x:c>
      <x:c r="J231" s="11" t="n">
        <x:v>86460370</x:v>
      </x:c>
      <x:c r="K231" s="11" t="n">
        <x:v>64548117</x:v>
      </x:c>
      <x:c r="L231" s="11" t="n">
        <x:v>21912253</x:v>
      </x:c>
      <x:c r="M231" s="12" t="n">
        <x:v>0.2534369561453415</x:v>
      </x:c>
      <x:c r="N231" s="11" t="n">
        <x:v>31996818</x:v>
      </x:c>
      <x:c r="O231" s="11" t="n">
        <x:v>17404553</x:v>
      </x:c>
      <x:c r="P231" s="11" t="n">
        <x:v>34341802</x:v>
      </x:c>
      <x:c r="Q231" s="11" t="n">
        <x:v>2717197</x:v>
      </x:c>
      <x:c r="R231" s="11" t="n">
        <x:v>50352128</x:v>
      </x:c>
      <x:c r="S231" s="11" t="n">
        <x:v>12825633</x:v>
      </x:c>
      <x:c r="T231" s="11" t="n">
        <x:v>99018711</x:v>
      </x:c>
      <x:c r="U231" s="11" t="n">
        <x:v>57993957</x:v>
      </x:c>
      <x:c r="V231" s="11" t="n">
        <x:v>53524281</x:v>
      </x:c>
      <x:c r="W231" s="11" t="n">
        <x:v>1178360</x:v>
      </x:c>
      <x:c r="X231" s="11" t="n">
        <x:v>33795968</x:v>
      </x:c>
      <x:c r="Y231" s="11" t="n">
        <x:v>0</x:v>
      </x:c>
      <x:c r="Z231" s="11" t="n">
        <x:v>1440905</x:v>
      </x:c>
      <x:c r="AA231" s="11" t="n">
        <x:v>31724036</x:v>
      </x:c>
      <x:c r="AB231" s="11" t="n">
        <x:v>1370356</x:v>
      </x:c>
      <x:c r="AC231" s="11" t="n">
        <x:v>2811261</x:v>
      </x:c>
      <x:c r="AD231" s="11" t="n">
        <x:v>19113735</x:v>
      </x:c>
      <x:c r="AE231" s="11" t="n">
        <x:v>16148611</x:v>
      </x:c>
      <x:c r="AF231" s="11" t="n">
        <x:v>76454939</x:v>
      </x:c>
      <x:c r="AG231" s="11" t="n">
        <x:v>634728633</x:v>
      </x:c>
      <x:c r="AH231" s="11" t="n">
        <x:v>165829292</x:v>
      </x:c>
      <x:c r="AI231" s="11" t="n">
        <x:v>468899341</x:v>
      </x:c>
      <x:c r="AJ231" s="11" t="n">
        <x:v>34697608</x:v>
      </x:c>
      <x:c r="AK231" s="11" t="n">
        <x:v>1387472484</x:v>
      </x:c>
      <x:c r="AL231" s="11" t="n">
        <x:v>41194936</x:v>
      </x:c>
      <x:c r="AM231" s="12" t="n">
        <x:v>0.9703093672306657</x:v>
      </x:c>
      <x:c r="AN231" s="12" t="n">
        <x:v>0.02500778098313624</x:v>
      </x:c>
      <x:c r="AO231" s="11" t="n">
        <x:v>49612260</x:v>
      </x:c>
      <x:c r="AP231" s="11" t="n">
        <x:v>45921910</x:v>
      </x:c>
      <x:c r="AQ231" s="12" t="n">
        <x:v>0.9256161682616353</x:v>
      </x:c>
      <x:c r="AR231" s="11" t="n">
        <x:v>3880.1045640174125</x:v>
      </x:c>
      <x:c r="AS231" s="11" t="n">
        <x:v>2896.742673787192</x:v>
      </x:c>
      <x:c r="AT231" s="11" t="n">
        <x:v>2402.0231117892563</x:v>
      </x:c>
      <x:c r="AU231" s="11" t="n">
        <x:v>52.881568909033795</x:v>
      </x:c>
      <x:c r="AV231" s="11" t="n">
        <x:v>1423.6878337746264</x:v>
      </x:c>
      <x:c r="AW231" s="11" t="n">
        <x:v>1.7073970482821168</x:v>
      </x:c>
      <x:c r="AX231" s="12" t="n">
        <x:v>0.844869461672457</x:v>
      </x:c>
      <x:c r="AY231" s="11"/>
      <x:c r="AZ231" s="11"/>
      <x:c r="BA231" s="11"/>
      <x:c r="BB231" s="11"/>
      <x:c r="BC231" s="11"/>
      <x:c r="BD231" s="11"/>
      <x:c r="BE231" s="11"/>
      <x:c r="BF231" s="11"/>
      <x:c r="BG231" s="11"/>
      <x:c r="BH231" s="11"/>
      <x:c r="BI231" s="11"/>
      <x:c r="BJ231" s="11"/>
      <x:c r="BK231" s="12"/>
      <x:c r="BL231" s="12"/>
      <x:c r="BM231" s="12"/>
      <x:c r="BN231" s="12"/>
      <x:c r="BO231" s="12"/>
      <x:c r="BP231" s="12"/>
      <x:c r="BQ231" s="12"/>
      <x:c r="BR231" s="12"/>
      <x:c r="BS231" s="12"/>
      <x:c r="BT231" s="12"/>
      <x:c r="BU231" s="11" t="n">
        <x:v>11000</x:v>
      </x:c>
      <x:c r="BV231" s="11" t="n">
        <x:v>32391377</x:v>
      </x:c>
      <x:c r="BW231" s="11" t="n">
        <x:v>1939425</x:v>
      </x:c>
      <x:c r="BX231" s="11" t="n">
        <x:v>2041647</x:v>
      </x:c>
      <x:c r="BY231" s="11" t="n">
        <x:v>0</x:v>
      </x:c>
      <x:c r="BZ231" s="11" t="n">
        <x:v>671500</x:v>
      </x:c>
      <x:c r="CA231" s="11" t="n">
        <x:v>4050</x:v>
      </x:c>
      <x:c r="CB231" s="11" t="n">
        <x:v>0</x:v>
      </x:c>
      <x:c r="CC231" s="11" t="n">
        <x:v>8760666</x:v>
      </x:c>
      <x:c r="CD231" s="11" t="n">
        <x:v>16735692</x:v>
      </x:c>
      <x:c r="CE231" s="11" t="n">
        <x:v>1043440</x:v>
      </x:c>
      <x:c r="CF231" s="11" t="n">
        <x:v>0</x:v>
      </x:c>
      <x:c r="CG231" s="11" t="n">
        <x:v>2453321</x:v>
      </x:c>
      <x:c r="CH231" s="11" t="n">
        <x:v>9640007</x:v>
      </x:c>
      <x:c r="CI231" s="11" t="n">
        <x:v>7306314</x:v>
      </x:c>
      <x:c r="CJ231" s="11" t="n">
        <x:v>2982393</x:v>
      </x:c>
      <x:c r="CK231" s="11" t="n">
        <x:v>2071948</x:v>
      </x:c>
      <x:c r="CL231" s="11" t="n">
        <x:v>0</x:v>
      </x:c>
      <x:c r="CM231" s="11"/>
      <x:c r="CN231" s="11" t="n">
        <x:v>728703</x:v>
      </x:c>
      <x:c r="CO231" s="11" t="n">
        <x:v>0</x:v>
      </x:c>
      <x:c r="CP231" s="8"/>
      <x:c r="CQ231" s="8"/>
    </x:row>
    <x:row r="232">
      <x:c r="A232" s="8" t="str">
        <x:v>Fort St. John|2021</x:v>
      </x:c>
      <x:c r="B232" s="8" t="str">
        <x:v>fort-st-john-c</x:v>
      </x:c>
      <x:c r="C232" s="8" t="str">
        <x:v>Fort St. John</x:v>
      </x:c>
      <x:c r="D232" s="8" t="str">
        <x:v>Fort St. John</x:v>
      </x:c>
      <x:c r="E232" s="8" t="str">
        <x:v>C</x:v>
      </x:c>
      <x:c r="F232" s="8" t="str">
        <x:v>PEA</x:v>
      </x:c>
      <x:c r="G232" s="9" t="n">
        <x:v>2021</x:v>
      </x:c>
      <x:c r="H232" s="10" t="n">
        <x:v>22160</x:v>
      </x:c>
      <x:c r="I232" s="8" t="str">
        <x:v>20,000 to 99,999</x:v>
      </x:c>
      <x:c r="J232" s="11" t="n">
        <x:v>88118632</x:v>
      </x:c>
      <x:c r="K232" s="11" t="n">
        <x:v>66731235</x:v>
      </x:c>
      <x:c r="L232" s="11" t="n">
        <x:v>21387397</x:v>
      </x:c>
      <x:c r="M232" s="12" t="n">
        <x:v>0.24271140523379892</x:v>
      </x:c>
      <x:c r="N232" s="11" t="n">
        <x:v>33028133</x:v>
      </x:c>
      <x:c r="O232" s="11" t="n">
        <x:v>20176348</x:v>
      </x:c>
      <x:c r="P232" s="11" t="n">
        <x:v>32735566</x:v>
      </x:c>
      <x:c r="Q232" s="11" t="n">
        <x:v>2178585</x:v>
      </x:c>
      <x:c r="R232" s="11" t="n">
        <x:v>51920747</x:v>
      </x:c>
      <x:c r="S232" s="11" t="n">
        <x:v>13448286</x:v>
      </x:c>
      <x:c r="T232" s="11" t="n">
        <x:v>88496306</x:v>
      </x:c>
      <x:c r="U232" s="11" t="n">
        <x:v>56859273</x:v>
      </x:c>
      <x:c r="V232" s="11" t="n">
        <x:v>42713162</x:v>
      </x:c>
      <x:c r="W232" s="11" t="n">
        <x:v>1244949</x:v>
      </x:c>
      <x:c r="X232" s="11" t="n">
        <x:v>31724036</x:v>
      </x:c>
      <x:c r="Y232" s="11" t="n">
        <x:v>0</x:v>
      </x:c>
      <x:c r="Z232" s="11" t="n">
        <x:v>1442279</x:v>
      </x:c>
      <x:c r="AA232" s="11" t="n">
        <x:v>29570070</x:v>
      </x:c>
      <x:c r="AB232" s="11" t="n">
        <x:v>1362202</x:v>
      </x:c>
      <x:c r="AC232" s="11" t="n">
        <x:v>2804481</x:v>
      </x:c>
      <x:c r="AD232" s="11" t="n">
        <x:v>20059196</x:v>
      </x:c>
      <x:c r="AE232" s="11" t="n">
        <x:v>14546878</x:v>
      </x:c>
      <x:c r="AF232" s="11" t="n">
        <x:v>80236785</x:v>
      </x:c>
      <x:c r="AG232" s="11" t="n">
        <x:v>679644788</x:v>
      </x:c>
      <x:c r="AH232" s="11" t="n">
        <x:v>178361224</x:v>
      </x:c>
      <x:c r="AI232" s="11" t="n">
        <x:v>501283564</x:v>
      </x:c>
      <x:c r="AJ232" s="11" t="n">
        <x:v>46773149</x:v>
      </x:c>
      <x:c r="AK232" s="11" t="n">
        <x:v>1167398592</x:v>
      </x:c>
      <x:c r="AL232" s="11" t="n">
        <x:v>36096526</x:v>
      </x:c>
      <x:c r="AM232" s="12" t="n">
        <x:v>0.9690795189857484</x:v>
      </x:c>
      <x:c r="AN232" s="12" t="n">
        <x:v>0.04006613449813035</x:v>
      </x:c>
      <x:c r="AO232" s="11" t="n">
        <x:v>52152655</x:v>
      </x:c>
      <x:c r="AP232" s="11" t="n">
        <x:v>47620238</x:v>
      </x:c>
      <x:c r="AQ232" s="12" t="n">
        <x:v>0.9130932643793495</x:v>
      </x:c>
      <x:c r="AR232" s="11" t="n">
        <x:v>3976.472563176895</x:v>
      </x:c>
      <x:c r="AS232" s="11" t="n">
        <x:v>3011.337319494585</x:v>
      </x:c>
      <x:c r="AT232" s="11" t="n">
        <x:v>1927.4892599277978</x:v>
      </x:c>
      <x:c r="AU232" s="11" t="n">
        <x:v>56.180009025270756</x:v>
      </x:c>
      <x:c r="AV232" s="11" t="n">
        <x:v>1334.389440433213</x:v>
      </x:c>
      <x:c r="AW232" s="11" t="n">
        <x:v>1.5564093828635481</x:v>
      </x:c>
      <x:c r="AX232" s="12" t="n">
        <x:v>0.7251974605562457</x:v>
      </x:c>
      <x:c r="AY232" s="11"/>
      <x:c r="AZ232" s="11"/>
      <x:c r="BA232" s="11"/>
      <x:c r="BB232" s="11"/>
      <x:c r="BC232" s="11"/>
      <x:c r="BD232" s="11"/>
      <x:c r="BE232" s="11"/>
      <x:c r="BF232" s="11"/>
      <x:c r="BG232" s="11"/>
      <x:c r="BH232" s="11"/>
      <x:c r="BI232" s="11"/>
      <x:c r="BJ232" s="11"/>
      <x:c r="BK232" s="12"/>
      <x:c r="BL232" s="12"/>
      <x:c r="BM232" s="12"/>
      <x:c r="BN232" s="12"/>
      <x:c r="BO232" s="12"/>
      <x:c r="BP232" s="12"/>
      <x:c r="BQ232" s="12"/>
      <x:c r="BR232" s="12"/>
      <x:c r="BS232" s="12"/>
      <x:c r="BT232" s="12"/>
      <x:c r="BU232" s="11" t="n">
        <x:v>11000</x:v>
      </x:c>
      <x:c r="BV232" s="11" t="n">
        <x:v>30705116</x:v>
      </x:c>
      <x:c r="BW232" s="11" t="n">
        <x:v>2019450</x:v>
      </x:c>
      <x:c r="BX232" s="11" t="n">
        <x:v>1381497</x:v>
      </x:c>
      <x:c r="BY232" s="11" t="n">
        <x:v>0</x:v>
      </x:c>
      <x:c r="BZ232" s="11" t="n">
        <x:v>652036</x:v>
      </x:c>
      <x:c r="CA232" s="11" t="n">
        <x:v>145052</x:v>
      </x:c>
      <x:c r="CB232" s="11" t="n">
        <x:v>0</x:v>
      </x:c>
      <x:c r="CC232" s="11" t="n">
        <x:v>8735513</x:v>
      </x:c>
      <x:c r="CD232" s="11" t="n">
        <x:v>15102207</x:v>
      </x:c>
      <x:c r="CE232" s="11" t="n">
        <x:v>1290639</x:v>
      </x:c>
      <x:c r="CF232" s="11" t="n">
        <x:v>0</x:v>
      </x:c>
      <x:c r="CG232" s="11" t="n">
        <x:v>2125747</x:v>
      </x:c>
      <x:c r="CH232" s="11" t="n">
        <x:v>9401338</x:v>
      </x:c>
      <x:c r="CI232" s="11" t="n">
        <x:v>11557252</x:v>
      </x:c>
      <x:c r="CJ232" s="11" t="n">
        <x:v>2885484</x:v>
      </x:c>
      <x:c r="CK232" s="11" t="n">
        <x:v>1965933</x:v>
      </x:c>
      <x:c r="CL232" s="11" t="n">
        <x:v>0</x:v>
      </x:c>
      <x:c r="CM232" s="11"/>
      <x:c r="CN232" s="11" t="n">
        <x:v>218836</x:v>
      </x:c>
      <x:c r="CO232" s="11" t="n">
        <x:v>0</x:v>
      </x:c>
      <x:c r="CP232" s="8"/>
      <x:c r="CQ232" s="8"/>
    </x:row>
    <x:row r="233">
      <x:c r="A233" s="8" t="str">
        <x:v>Fort St. John|2022</x:v>
      </x:c>
      <x:c r="B233" s="8" t="str">
        <x:v>fort-st-john-c</x:v>
      </x:c>
      <x:c r="C233" s="8" t="str">
        <x:v>Fort St. John</x:v>
      </x:c>
      <x:c r="D233" s="8" t="str">
        <x:v>Fort St. John</x:v>
      </x:c>
      <x:c r="E233" s="8" t="str">
        <x:v>C</x:v>
      </x:c>
      <x:c r="F233" s="8" t="str">
        <x:v>PEA</x:v>
      </x:c>
      <x:c r="G233" s="9" t="n">
        <x:v>2022</x:v>
      </x:c>
      <x:c r="H233" s="10" t="n">
        <x:v>1029</x:v>
      </x:c>
      <x:c r="I233" s="8" t="str">
        <x:v>Under 5,000</x:v>
      </x:c>
      <x:c r="J233" s="11" t="n">
        <x:v>88644410</x:v>
      </x:c>
      <x:c r="K233" s="11" t="n">
        <x:v>71354934</x:v>
      </x:c>
      <x:c r="L233" s="11" t="n">
        <x:v>17289476</x:v>
      </x:c>
      <x:c r="M233" s="12" t="n">
        <x:v>0.195043048963832</x:v>
      </x:c>
      <x:c r="N233" s="11" t="n">
        <x:v>35256884</x:v>
      </x:c>
      <x:c r="O233" s="11" t="n">
        <x:v>19589803</x:v>
      </x:c>
      <x:c r="P233" s="11" t="n">
        <x:v>31351402</x:v>
      </x:c>
      <x:c r="Q233" s="11" t="n">
        <x:v>2446321</x:v>
      </x:c>
      <x:c r="R233" s="11" t="n">
        <x:v>55519013</x:v>
      </x:c>
      <x:c r="S233" s="11" t="n">
        <x:v>14170223</x:v>
      </x:c>
      <x:c r="T233" s="11" t="n">
        <x:v>72698162</x:v>
      </x:c>
      <x:c r="U233" s="11" t="n">
        <x:v>67780533</x:v>
      </x:c>
      <x:c r="V233" s="11" t="n">
        <x:v>18639934</x:v>
      </x:c>
      <x:c r="W233" s="11" t="n">
        <x:v>1453276</x:v>
      </x:c>
      <x:c r="X233" s="11" t="n">
        <x:v>29570070</x:v>
      </x:c>
      <x:c r="Y233" s="11" t="n">
        <x:v>6765724</x:v>
      </x:c>
      <x:c r="Z233" s="11" t="n">
        <x:v>1442279</x:v>
      </x:c>
      <x:c r="AA233" s="11" t="n">
        <x:v>34097151</x:v>
      </x:c>
      <x:c r="AB233" s="11" t="n">
        <x:v>1665698</x:v>
      </x:c>
      <x:c r="AC233" s="11" t="n">
        <x:v>3107977</x:v>
      </x:c>
      <x:c r="AD233" s="11" t="n">
        <x:v>20902903</x:v>
      </x:c>
      <x:c r="AE233" s="11" t="n">
        <x:v>15574480</x:v>
      </x:c>
      <x:c r="AF233" s="11" t="n">
        <x:v>83611610</x:v>
      </x:c>
      <x:c r="AG233" s="11" t="n">
        <x:v>730471580</x:v>
      </x:c>
      <x:c r="AH233" s="11" t="n">
        <x:v>192866981</x:v>
      </x:c>
      <x:c r="AI233" s="11" t="n">
        <x:v>537604599</x:v>
      </x:c>
      <x:c r="AJ233" s="11" t="n">
        <x:v>54237440</x:v>
      </x:c>
      <x:c r="AK233" s="11" t="n">
        <x:v>1189879103</x:v>
      </x:c>
      <x:c r="AL233" s="11" t="n">
        <x:v>36096526</x:v>
      </x:c>
      <x:c r="AM233" s="12" t="n">
        <x:v>0.9696637028846115</x:v>
      </x:c>
      <x:c r="AN233" s="12" t="n">
        <x:v>0.04558231156699287</x:v>
      </x:c>
      <x:c r="AO233" s="11" t="n">
        <x:v>55603391</x:v>
      </x:c>
      <x:c r="AP233" s="11" t="n">
        <x:v>50523896</x:v>
      </x:c>
      <x:c r="AQ233" s="12" t="n">
        <x:v>0.9086477477605638</x:v>
      </x:c>
      <x:c r="AR233" s="11" t="n">
        <x:v>86146.17103984451</x:v>
      </x:c>
      <x:c r="AS233" s="11" t="n">
        <x:v>69343.95918367348</x:v>
      </x:c>
      <x:c r="AT233" s="11" t="n">
        <x:v>18114.61030126336</x:v>
      </x:c>
      <x:c r="AU233" s="11" t="n">
        <x:v>1412.3187560738581</x:v>
      </x:c>
      <x:c r="AV233" s="11" t="n">
        <x:v>33136.201166180756</x:v>
      </x:c>
      <x:c r="AW233" s="11" t="n">
        <x:v>1.0725522326594865</x:v>
      </x:c>
      <x:c r="AX233" s="12" t="n">
        <x:v>0.7450869384027664</x:v>
      </x:c>
      <x:c r="AY233" s="11"/>
      <x:c r="AZ233" s="11"/>
      <x:c r="BA233" s="11"/>
      <x:c r="BB233" s="11"/>
      <x:c r="BC233" s="11"/>
      <x:c r="BD233" s="11"/>
      <x:c r="BE233" s="11"/>
      <x:c r="BF233" s="11"/>
      <x:c r="BG233" s="11"/>
      <x:c r="BH233" s="11"/>
      <x:c r="BI233" s="11"/>
      <x:c r="BJ233" s="11"/>
      <x:c r="BK233" s="12"/>
      <x:c r="BL233" s="12"/>
      <x:c r="BM233" s="12"/>
      <x:c r="BN233" s="12"/>
      <x:c r="BO233" s="12"/>
      <x:c r="BP233" s="12"/>
      <x:c r="BQ233" s="12"/>
      <x:c r="BR233" s="12"/>
      <x:c r="BS233" s="12"/>
      <x:c r="BT233" s="12"/>
      <x:c r="BU233" s="11" t="n">
        <x:v>12750</x:v>
      </x:c>
      <x:c r="BV233" s="11" t="n">
        <x:v>30096764</x:v>
      </x:c>
      <x:c r="BW233" s="11" t="n">
        <x:v>1241888</x:v>
      </x:c>
      <x:c r="BX233" s="11" t="n">
        <x:v>2409341</x:v>
      </x:c>
      <x:c r="BY233" s="11" t="n">
        <x:v>0</x:v>
      </x:c>
      <x:c r="BZ233" s="11" t="n">
        <x:v>0</x:v>
      </x:c>
      <x:c r="CA233" s="11" t="n">
        <x:v>36980</x:v>
      </x:c>
      <x:c r="CB233" s="11" t="n">
        <x:v>0</x:v>
      </x:c>
      <x:c r="CC233" s="11" t="n">
        <x:v>9537144</x:v>
      </x:c>
      <x:c r="CD233" s="11" t="n">
        <x:v>17132339</x:v>
      </x:c>
      <x:c r="CE233" s="11" t="n">
        <x:v>1551969</x:v>
      </x:c>
      <x:c r="CF233" s="11" t="n">
        <x:v>0</x:v>
      </x:c>
      <x:c r="CG233" s="11" t="n">
        <x:v>2113942</x:v>
      </x:c>
      <x:c r="CH233" s="11" t="n">
        <x:v>10833095</x:v>
      </x:c>
      <x:c r="CI233" s="11" t="n">
        <x:v>9986202</x:v>
      </x:c>
      <x:c r="CJ233" s="11" t="n">
        <x:v>3272195</x:v>
      </x:c>
      <x:c r="CK233" s="11" t="n">
        <x:v>2249083</x:v>
      </x:c>
      <x:c r="CL233" s="11" t="n">
        <x:v>0</x:v>
      </x:c>
      <x:c r="CM233" s="11"/>
      <x:c r="CN233" s="11" t="n">
        <x:v>508742</x:v>
      </x:c>
      <x:c r="CO233" s="11" t="n">
        <x:v>0</x:v>
      </x:c>
      <x:c r="CP233" s="8"/>
      <x:c r="CQ233" s="8"/>
    </x:row>
    <x:row r="234">
      <x:c r="A234" s="8" t="str">
        <x:v>Fort St. John|2023</x:v>
      </x:c>
      <x:c r="B234" s="8" t="str">
        <x:v>fort-st-john-c</x:v>
      </x:c>
      <x:c r="C234" s="8" t="str">
        <x:v>Fort St. John</x:v>
      </x:c>
      <x:c r="D234" s="8" t="str">
        <x:v>Fort St. John</x:v>
      </x:c>
      <x:c r="E234" s="8" t="str">
        <x:v>C</x:v>
      </x:c>
      <x:c r="F234" s="8" t="str">
        <x:v>PEA</x:v>
      </x:c>
      <x:c r="G234" s="9" t="n">
        <x:v>2023</x:v>
      </x:c>
      <x:c r="H234" s="10" t="n">
        <x:v>23005</x:v>
      </x:c>
      <x:c r="I234" s="8" t="str">
        <x:v>20,000 to 99,999</x:v>
      </x:c>
      <x:c r="J234" s="11" t="n">
        <x:v>104196453</x:v>
      </x:c>
      <x:c r="K234" s="11" t="n">
        <x:v>76974376</x:v>
      </x:c>
      <x:c r="L234" s="11" t="n">
        <x:v>27222077</x:v>
      </x:c>
      <x:c r="M234" s="12" t="n">
        <x:v>0.2612572330077301</x:v>
      </x:c>
      <x:c r="N234" s="11" t="n">
        <x:v>38144074</x:v>
      </x:c>
      <x:c r="O234" s="11" t="n">
        <x:v>21589520</x:v>
      </x:c>
      <x:c r="P234" s="11" t="n">
        <x:v>39811804</x:v>
      </x:c>
      <x:c r="Q234" s="11" t="n">
        <x:v>4651055</x:v>
      </x:c>
      <x:c r="R234" s="11" t="n">
        <x:v>59376475</x:v>
      </x:c>
      <x:c r="S234" s="11" t="n">
        <x:v>15675764</x:v>
      </x:c>
      <x:c r="T234" s="11" t="n">
        <x:v>78413682</x:v>
      </x:c>
      <x:c r="U234" s="11" t="n">
        <x:v>63343295</x:v>
      </x:c>
      <x:c r="V234" s="11" t="n">
        <x:v>29281502</x:v>
      </x:c>
      <x:c r="W234" s="11" t="n">
        <x:v>1609158</x:v>
      </x:c>
      <x:c r="X234" s="11" t="n">
        <x:v>34097151</x:v>
      </x:c>
      <x:c r="Y234" s="11" t="n">
        <x:v>0</x:v>
      </x:c>
      <x:c r="Z234" s="11" t="n">
        <x:v>1777564</x:v>
      </x:c>
      <x:c r="AA234" s="11" t="n">
        <x:v>31488116</x:v>
      </x:c>
      <x:c r="AB234" s="11" t="n">
        <x:v>1922137</x:v>
      </x:c>
      <x:c r="AC234" s="11" t="n">
        <x:v>3699701</x:v>
      </x:c>
      <x:c r="AD234" s="11" t="n">
        <x:v>22713312</x:v>
      </x:c>
      <x:c r="AE234" s="11" t="n">
        <x:v>16795339</x:v>
      </x:c>
      <x:c r="AF234" s="11" t="n">
        <x:v>90853249</x:v>
      </x:c>
      <x:c r="AG234" s="11" t="n">
        <x:v>753233049</x:v>
      </x:c>
      <x:c r="AH234" s="11" t="n">
        <x:v>201170529</x:v>
      </x:c>
      <x:c r="AI234" s="11" t="n">
        <x:v>552062520</x:v>
      </x:c>
      <x:c r="AJ234" s="11" t="n">
        <x:v>34124597</x:v>
      </x:c>
      <x:c r="AK234" s="11" t="n">
        <x:v>1149844274</x:v>
      </x:c>
      <x:c r="AL234" s="11" t="n">
        <x:v>36508673</x:v>
      </x:c>
      <x:c r="AM234" s="12" t="n">
        <x:v>0.9682490283027665</x:v>
      </x:c>
      <x:c r="AN234" s="12" t="n">
        <x:v>0.029677581366118106</x:v>
      </x:c>
      <x:c r="AO234" s="11" t="n">
        <x:v>61017411</x:v>
      </x:c>
      <x:c r="AP234" s="11" t="n">
        <x:v>56766920</x:v>
      </x:c>
      <x:c r="AQ234" s="12" t="n">
        <x:v>0.9303397025481792</x:v>
      </x:c>
      <x:c r="AR234" s="11" t="n">
        <x:v>4529.2959356661595</x:v>
      </x:c>
      <x:c r="AS234" s="11" t="n">
        <x:v>3345.9846120408606</x:v>
      </x:c>
      <x:c r="AT234" s="11" t="n">
        <x:v>1272.8320799826124</x:v>
      </x:c>
      <x:c r="AU234" s="11" t="n">
        <x:v>69.9481851771354</x:v>
      </x:c>
      <x:c r="AV234" s="11" t="n">
        <x:v>1368.7509671810476</x:v>
      </x:c>
      <x:c r="AW234" s="11" t="n">
        <x:v>1.2379160572559416</x:v>
      </x:c>
      <x:c r="AX234" s="12" t="n">
        <x:v>0.7394491389014513</x:v>
      </x:c>
      <x:c r="AY234" s="11"/>
      <x:c r="AZ234" s="11"/>
      <x:c r="BA234" s="11"/>
      <x:c r="BB234" s="11"/>
      <x:c r="BC234" s="11"/>
      <x:c r="BD234" s="11"/>
      <x:c r="BE234" s="11"/>
      <x:c r="BF234" s="11"/>
      <x:c r="BG234" s="11"/>
      <x:c r="BH234" s="11"/>
      <x:c r="BI234" s="11"/>
      <x:c r="BJ234" s="11"/>
      <x:c r="BK234" s="12"/>
      <x:c r="BL234" s="12"/>
      <x:c r="BM234" s="12"/>
      <x:c r="BN234" s="12"/>
      <x:c r="BO234" s="12"/>
      <x:c r="BP234" s="12"/>
      <x:c r="BQ234" s="12"/>
      <x:c r="BR234" s="12"/>
      <x:c r="BS234" s="12"/>
      <x:c r="BT234" s="12"/>
      <x:c r="BU234" s="11" t="n">
        <x:v>12750</x:v>
      </x:c>
      <x:c r="BV234" s="11" t="n">
        <x:v>38445650</x:v>
      </x:c>
      <x:c r="BW234" s="11" t="n">
        <x:v>1353404</x:v>
      </x:c>
      <x:c r="BX234" s="11" t="n">
        <x:v>4445358</x:v>
      </x:c>
      <x:c r="BY234" s="11" t="n">
        <x:v>0</x:v>
      </x:c>
      <x:c r="BZ234" s="11" t="n">
        <x:v>0</x:v>
      </x:c>
      <x:c r="CA234" s="11" t="n">
        <x:v>205697</x:v>
      </x:c>
      <x:c r="CB234" s="11" t="n">
        <x:v>0</x:v>
      </x:c>
      <x:c r="CC234" s="11" t="n">
        <x:v>10730077</x:v>
      </x:c>
      <x:c r="CD234" s="11" t="n">
        <x:v>18040967</x:v>
      </x:c>
      <x:c r="CE234" s="11" t="n">
        <x:v>1333370</x:v>
      </x:c>
      <x:c r="CF234" s="11" t="n">
        <x:v>0</x:v>
      </x:c>
      <x:c r="CG234" s="11" t="n">
        <x:v>2137355</x:v>
      </x:c>
      <x:c r="CH234" s="11" t="n">
        <x:v>10704664</x:v>
      </x:c>
      <x:c r="CI234" s="11" t="n">
        <x:v>10420140</x:v>
      </x:c>
      <x:c r="CJ234" s="11" t="n">
        <x:v>3597132</x:v>
      </x:c>
      <x:c r="CK234" s="11" t="n">
        <x:v>2520955</x:v>
      </x:c>
      <x:c r="CL234" s="11" t="n">
        <x:v>201332</x:v>
      </x:c>
      <x:c r="CM234" s="11" t="n">
        <x:v>55500</x:v>
      </x:c>
      <x:c r="CN234" s="11" t="n">
        <x:v>1557120</x:v>
      </x:c>
      <x:c r="CO234" s="11" t="n">
        <x:v>0</x:v>
      </x:c>
      <x:c r="CP234" s="8"/>
      <x:c r="CQ234" s="8"/>
    </x:row>
    <x:row r="235">
      <x:c r="A235" s="8" t="str">
        <x:v>Fort St. John|2024</x:v>
      </x:c>
      <x:c r="B235" s="8" t="str">
        <x:v>fort-st-john-c</x:v>
      </x:c>
      <x:c r="C235" s="8" t="str">
        <x:v>Fort St. John</x:v>
      </x:c>
      <x:c r="D235" s="8" t="str">
        <x:v>Fort St. John</x:v>
      </x:c>
      <x:c r="E235" s="8" t="str">
        <x:v>C</x:v>
      </x:c>
      <x:c r="F235" s="8" t="str">
        <x:v>PEA</x:v>
      </x:c>
      <x:c r="G235" s="9" t="n">
        <x:v>2024</x:v>
      </x:c>
      <x:c r="H235" s="10" t="n">
        <x:v>23005</x:v>
      </x:c>
      <x:c r="I235" s="8" t="str">
        <x:v>20,000 to 99,999</x:v>
      </x:c>
      <x:c r="J235" s="11" t="n">
        <x:v>105485437</x:v>
      </x:c>
      <x:c r="K235" s="11" t="n">
        <x:v>80520012</x:v>
      </x:c>
      <x:c r="L235" s="11" t="n">
        <x:v>24965425</x:v>
      </x:c>
      <x:c r="M235" s="12" t="n">
        <x:v>0.23667176920355365</x:v>
      </x:c>
      <x:c r="N235" s="11" t="n">
        <x:v>39590538</x:v>
      </x:c>
      <x:c r="O235" s="11" t="n">
        <x:v>26011680</x:v>
      </x:c>
      <x:c r="P235" s="11" t="n">
        <x:v>32740079</x:v>
      </x:c>
      <x:c r="Q235" s="11" t="n">
        <x:v>7143140</x:v>
      </x:c>
      <x:c r="R235" s="11" t="n">
        <x:v>62285458</x:v>
      </x:c>
      <x:c r="S235" s="11" t="n">
        <x:v>16175030</x:v>
      </x:c>
      <x:c r="T235" s="11" t="n">
        <x:v>93390186</x:v>
      </x:c>
      <x:c r="U235" s="11" t="n">
        <x:v>65422979</x:v>
      </x:c>
      <x:c r="V235" s="11" t="n">
        <x:v>40864655</x:v>
      </x:c>
      <x:c r="W235" s="11" t="n">
        <x:v>3568424</x:v>
      </x:c>
      <x:c r="X235" s="11" t="n">
        <x:v>31488116</x:v>
      </x:c>
      <x:c r="Y235" s="11" t="n">
        <x:v>6529244</x:v>
      </x:c>
      <x:c r="Z235" s="11" t="n">
        <x:v>1795054</x:v>
      </x:c>
      <x:c r="AA235" s="11" t="n">
        <x:v>35307926</x:v>
      </x:c>
      <x:c r="AB235" s="11" t="n">
        <x:v>2059524</x:v>
      </x:c>
      <x:c r="AC235" s="11" t="n">
        <x:v>3854578</x:v>
      </x:c>
      <x:c r="AD235" s="11" t="n">
        <x:v>24484368</x:v>
      </x:c>
      <x:c r="AE235" s="11" t="n">
        <x:v>19972159</x:v>
      </x:c>
      <x:c r="AF235" s="11" t="n">
        <x:v>97937471</x:v>
      </x:c>
      <x:c r="AG235" s="11" t="n">
        <x:v>781651289</x:v>
      </x:c>
      <x:c r="AH235" s="11" t="n">
        <x:v>216332896</x:v>
      </x:c>
      <x:c r="AI235" s="11" t="n">
        <x:v>565318393</x:v>
      </x:c>
      <x:c r="AJ235" s="11" t="n">
        <x:v>29997506</x:v>
      </x:c>
      <x:c r="AK235" s="11" t="n">
        <x:v>1757014382</x:v>
      </x:c>
      <x:c r="AL235" s="11" t="n">
        <x:v>25779344</x:v>
      </x:c>
      <x:c r="AM235" s="12" t="n">
        <x:v>0.9853277558430367</x:v>
      </x:c>
      <x:c r="AN235" s="12" t="n">
        <x:v>0.01707299969044875</x:v>
      </x:c>
      <x:c r="AO235" s="11" t="n">
        <x:v>62157043</x:v>
      </x:c>
      <x:c r="AP235" s="11" t="n">
        <x:v>56977926</x:v>
      </x:c>
      <x:c r="AQ235" s="12" t="n">
        <x:v>0.9166769081984805</x:v>
      </x:c>
      <x:c r="AR235" s="11" t="n">
        <x:v>4585.326537709194</x:v>
      </x:c>
      <x:c r="AS235" s="11" t="n">
        <x:v>3500.1091936535536</x:v>
      </x:c>
      <x:c r="AT235" s="11" t="n">
        <x:v>1776.3379700065202</x:v>
      </x:c>
      <x:c r="AU235" s="11" t="n">
        <x:v>155.1151488806781</x:v>
      </x:c>
      <x:c r="AV235" s="11" t="n">
        <x:v>1534.793566615953</x:v>
      </x:c>
      <x:c r="AW235" s="11" t="n">
        <x:v>1.427482933786919</x:v>
      </x:c>
      <x:c r="AX235" s="12" t="n">
        <x:v>0.8157106199351357</x:v>
      </x:c>
      <x:c r="AY235" s="11" t="n">
        <x:v>2823.8160359162957</x:v>
      </x:c>
      <x:c r="AZ235" s="11" t="n">
        <x:v>3546.5079302077975</x:v>
      </x:c>
      <x:c r="BA235" s="11" t="n">
        <x:v>2313.177731087988</x:v>
      </x:c>
      <x:c r="BB235" s="11" t="n">
        <x:v>2783.665107049771</x:v>
      </x:c>
      <x:c r="BC235" s="11" t="n">
        <x:v>1634.933826557682</x:v>
      </x:c>
      <x:c r="BD235" s="11" t="n">
        <x:v>2437.8724475115623</x:v>
      </x:c>
      <x:c r="BE235" s="11" t="n">
        <x:v>1015.8871081440785</x:v>
      </x:c>
      <x:c r="BF235" s="11" t="n">
        <x:v>1604.3462673977224</x:v>
      </x:c>
      <x:c r="BG235" s="11" t="n">
        <x:v>757.3716446138835</x:v>
      </x:c>
      <x:c r="BH235" s="11" t="n">
        <x:v>518.5374381567245</x:v>
      </x:c>
      <x:c r="BI235" s="11" t="n">
        <x:v>1.4428133381403412</x:v>
      </x:c>
      <x:c r="BJ235" s="11" t="n">
        <x:v>1.7099330852451193</x:v>
      </x:c>
      <x:c r="BK235" s="12" t="n">
        <x:v>0.021350493990494074</x:v>
      </x:c>
      <x:c r="BL235" s="12" t="n">
        <x:v>0.02529861000232605</x:v>
      </x:c>
      <x:c r="BM235" s="12" t="n">
        <x:v>0.9847118933607182</x:v>
      </x:c>
      <x:c r="BN235" s="12" t="n">
        <x:v>0.9815511712696461</x:v>
      </x:c>
      <x:c r="BO235" s="12" t="n">
        <x:v>0.8457939120832807</x:v>
      </x:c>
      <x:c r="BP235" s="12" t="n">
        <x:v>0.8619101997275483</x:v>
      </x:c>
      <x:c r="BQ235" s="12" t="n">
        <x:v>0.9744645665293163</x:v>
      </x:c>
      <x:c r="BR235" s="12" t="n">
        <x:v>0.9623635142836453</x:v>
      </x:c>
      <x:c r="BS235" s="12" t="n">
        <x:v>0.16542076645989975</x:v>
      </x:c>
      <x:c r="BT235" s="12" t="n">
        <x:v>0.19976549769108282</x:v>
      </x:c>
      <x:c r="BU235" s="11" t="n">
        <x:v>1204408</x:v>
      </x:c>
      <x:c r="BV235" s="11" t="n">
        <x:v>30767437</x:v>
      </x:c>
      <x:c r="BW235" s="11" t="n">
        <x:v>768234</x:v>
      </x:c>
      <x:c r="BX235" s="11" t="n">
        <x:v>5197982</x:v>
      </x:c>
      <x:c r="BY235" s="11" t="n">
        <x:v>0</x:v>
      </x:c>
      <x:c r="BZ235" s="11" t="n">
        <x:v>0</x:v>
      </x:c>
      <x:c r="CA235" s="11" t="n">
        <x:v>1945158</x:v>
      </x:c>
      <x:c r="CB235" s="11" t="n">
        <x:v>0</x:v>
      </x:c>
      <x:c r="CC235" s="11" t="n">
        <x:v>12210568</x:v>
      </x:c>
      <x:c r="CD235" s="11" t="n">
        <x:v>18394529</x:v>
      </x:c>
      <x:c r="CE235" s="11" t="n">
        <x:v>1381717</x:v>
      </x:c>
      <x:c r="CF235" s="11" t="n">
        <x:v>0</x:v>
      </x:c>
      <x:c r="CG235" s="11" t="n">
        <x:v>2564164</x:v>
      </x:c>
      <x:c r="CH235" s="11" t="n">
        <x:v>11513193</x:v>
      </x:c>
      <x:c r="CI235" s="11" t="n">
        <x:v>10721146</x:v>
      </x:c>
      <x:c r="CJ235" s="11" t="n">
        <x:v>4331482</x:v>
      </x:c>
      <x:c r="CK235" s="11" t="n">
        <x:v>2410375</x:v>
      </x:c>
      <x:c r="CL235" s="11" t="n">
        <x:v>168546</x:v>
      </x:c>
      <x:c r="CM235" s="11" t="n">
        <x:v>83160</x:v>
      </x:c>
      <x:c r="CN235" s="11" t="n">
        <x:v>566102</x:v>
      </x:c>
      <x:c r="CO235" s="11" t="n">
        <x:v>0</x:v>
      </x:c>
      <x:c r="CP235" s="8"/>
      <x:c r="CQ235" s="8"/>
    </x:row>
    <x:row r="236">
      <x:c r="A236" s="8" t="str">
        <x:v>Fraser Lake|2019</x:v>
      </x:c>
      <x:c r="B236" s="8" t="str">
        <x:v>fraser-lake-v</x:v>
      </x:c>
      <x:c r="C236" s="8" t="str">
        <x:v>Fraser Lake</x:v>
      </x:c>
      <x:c r="D236" s="8" t="str">
        <x:v>Fraser Lake</x:v>
      </x:c>
      <x:c r="E236" s="8" t="str">
        <x:v>V</x:v>
      </x:c>
      <x:c r="F236" s="8" t="str">
        <x:v>BUL</x:v>
      </x:c>
      <x:c r="G236" s="9" t="n">
        <x:v>2019</x:v>
      </x:c>
      <x:c r="H236" s="10" t="n">
        <x:v>973</x:v>
      </x:c>
      <x:c r="I236" s="8" t="str">
        <x:v>Under 5,000</x:v>
      </x:c>
      <x:c r="J236" s="11" t="n">
        <x:v>7437481</x:v>
      </x:c>
      <x:c r="K236" s="11" t="n">
        <x:v>3405205</x:v>
      </x:c>
      <x:c r="L236" s="11" t="n">
        <x:v>4032276</x:v>
      </x:c>
      <x:c r="M236" s="12" t="n">
        <x:v>0.5421561413064451</x:v>
      </x:c>
      <x:c r="N236" s="11" t="n">
        <x:v>1878632</x:v>
      </x:c>
      <x:c r="O236" s="11" t="n">
        <x:v>759194</x:v>
      </x:c>
      <x:c r="P236" s="11" t="n">
        <x:v>3886254</x:v>
      </x:c>
      <x:c r="Q236" s="11" t="n">
        <x:v>913401</x:v>
      </x:c>
      <x:c r="R236" s="11" t="n">
        <x:v>2973357</x:v>
      </x:c>
      <x:c r="S236" s="11" t="n">
        <x:v>424848</x:v>
      </x:c>
      <x:c r="T236" s="11" t="n">
        <x:v>11261096</x:v>
      </x:c>
      <x:c r="U236" s="11" t="n">
        <x:v>940733</x:v>
      </x:c>
      <x:c r="V236" s="11" t="n">
        <x:v>11183991</x:v>
      </x:c>
      <x:c r="W236" s="11" t="n">
        <x:v>6615687</x:v>
      </x:c>
      <x:c r="X236" s="11" t="n">
        <x:v>32114</x:v>
      </x:c>
      <x:c r="Y236" s="11" t="n">
        <x:v>0</x:v>
      </x:c>
      <x:c r="Z236" s="11" t="n">
        <x:v>16220</x:v>
      </x:c>
      <x:c r="AA236" s="11" t="n">
        <x:v>0</x:v>
      </x:c>
      <x:c r="AB236" s="11" t="n">
        <x:v>7000</x:v>
      </x:c>
      <x:c r="AC236" s="11" t="n">
        <x:v>23220</x:v>
      </x:c>
      <x:c r="AD236" s="11" t="n">
        <x:v>720266</x:v>
      </x:c>
      <x:c r="AE236" s="11" t="n">
        <x:v>697046</x:v>
      </x:c>
      <x:c r="AF236" s="11" t="n">
        <x:v>2881065</x:v>
      </x:c>
      <x:c r="AG236" s="11" t="n">
        <x:v>18309950</x:v>
      </x:c>
      <x:c r="AH236" s="11" t="n">
        <x:v>9447982</x:v>
      </x:c>
      <x:c r="AI236" s="11" t="n">
        <x:v>8861968</x:v>
      </x:c>
      <x:c r="AJ236" s="11" t="n">
        <x:v>768387</x:v>
      </x:c>
      <x:c r="AK236" s="11" t="n">
        <x:v>1873044</x:v>
      </x:c>
      <x:c r="AL236" s="11" t="n">
        <x:v>0</x:v>
      </x:c>
      <x:c r="AM236" s="12" t="n">
        <x:v>1</x:v>
      </x:c>
      <x:c r="AN236" s="12" t="n">
        <x:v>0.41023435648068063</x:v>
      </x:c>
      <x:c r="AO236" s="11" t="n">
        <x:v>2751299</x:v>
      </x:c>
      <x:c r="AP236" s="11" t="n">
        <x:v>2704140</x:v>
      </x:c>
      <x:c r="AQ236" s="12" t="n">
        <x:v>0.9828593693379019</x:v>
      </x:c>
      <x:c r="AR236" s="11" t="n">
        <x:v>7643.865364850976</x:v>
      </x:c>
      <x:c r="AS236" s="11" t="n">
        <x:v>3499.6968139773894</x:v>
      </x:c>
      <x:c r="AT236" s="11" t="n">
        <x:v>11494.338129496404</x:v>
      </x:c>
      <x:c r="AU236" s="11" t="n">
        <x:v>6799.267214799589</x:v>
      </x:c>
      <x:c r="AV236" s="11" t="n">
        <x:v>0</x:v>
      </x:c>
      <x:c r="AW236" s="11" t="n">
        <x:v>11.970554875825552</x:v>
      </x:c>
      <x:c r="AX236" s="12" t="n">
        <x:v>0.9677619101831824</x:v>
      </x:c>
      <x:c r="AY236" s="11"/>
      <x:c r="AZ236" s="11"/>
      <x:c r="BA236" s="11"/>
      <x:c r="BB236" s="11"/>
      <x:c r="BC236" s="11"/>
      <x:c r="BD236" s="11"/>
      <x:c r="BE236" s="11"/>
      <x:c r="BF236" s="11"/>
      <x:c r="BG236" s="11"/>
      <x:c r="BH236" s="11"/>
      <x:c r="BI236" s="11"/>
      <x:c r="BJ236" s="11"/>
      <x:c r="BK236" s="12"/>
      <x:c r="BL236" s="12"/>
      <x:c r="BM236" s="12"/>
      <x:c r="BN236" s="12"/>
      <x:c r="BO236" s="12"/>
      <x:c r="BP236" s="12"/>
      <x:c r="BQ236" s="12"/>
      <x:c r="BR236" s="12"/>
      <x:c r="BS236" s="12"/>
      <x:c r="BT236" s="12"/>
      <x:c r="BU236" s="11" t="n">
        <x:v>2400</x:v>
      </x:c>
      <x:c r="BV236" s="11" t="n">
        <x:v>3680451</x:v>
      </x:c>
      <x:c r="BW236" s="11" t="n">
        <x:v>203403</x:v>
      </x:c>
      <x:c r="BX236" s="11" t="n">
        <x:v>167158</x:v>
      </x:c>
      <x:c r="BY236" s="11" t="n">
        <x:v>746243</x:v>
      </x:c>
      <x:c r="BZ236" s="11" t="n">
        <x:v>0</x:v>
      </x:c>
      <x:c r="CA236" s="11" t="n">
        <x:v>0</x:v>
      </x:c>
      <x:c r="CB236" s="11" t="n">
        <x:v>0</x:v>
      </x:c>
      <x:c r="CC236" s="11" t="n">
        <x:v>889767</x:v>
      </x:c>
      <x:c r="CD236" s="11" t="n">
        <x:v>214228</x:v>
      </x:c>
      <x:c r="CE236" s="11" t="n">
        <x:v>55900</x:v>
      </x:c>
      <x:c r="CF236" s="11" t="n">
        <x:v>3801</x:v>
      </x:c>
      <x:c r="CG236" s="11" t="n">
        <x:v>128744</x:v>
      </x:c>
      <x:c r="CH236" s="11" t="n">
        <x:v>209863</x:v>
      </x:c>
      <x:c r="CI236" s="11" t="n">
        <x:v>456950</x:v>
      </x:c>
      <x:c r="CJ236" s="11" t="n">
        <x:v>207211</x:v>
      </x:c>
      <x:c r="CK236" s="11" t="n">
        <x:v>118746</x:v>
      </x:c>
      <x:c r="CL236" s="11" t="n">
        <x:v>695147</x:v>
      </x:c>
      <x:c r="CM236" s="11"/>
      <x:c r="CN236" s="11" t="n">
        <x:v>0</x:v>
      </x:c>
      <x:c r="CO236" s="11" t="n">
        <x:v>0</x:v>
      </x:c>
      <x:c r="CP236" s="8"/>
      <x:c r="CQ236" s="8"/>
    </x:row>
    <x:row r="237">
      <x:c r="A237" s="8" t="str">
        <x:v>Fraser Lake|2020</x:v>
      </x:c>
      <x:c r="B237" s="8" t="str">
        <x:v>fraser-lake-v</x:v>
      </x:c>
      <x:c r="C237" s="8" t="str">
        <x:v>Fraser Lake</x:v>
      </x:c>
      <x:c r="D237" s="8" t="str">
        <x:v>Fraser Lake</x:v>
      </x:c>
      <x:c r="E237" s="8" t="str">
        <x:v>V</x:v>
      </x:c>
      <x:c r="F237" s="8" t="str">
        <x:v>BUL</x:v>
      </x:c>
      <x:c r="G237" s="9" t="n">
        <x:v>2020</x:v>
      </x:c>
      <x:c r="H237" s="10" t="n">
        <x:v>963</x:v>
      </x:c>
      <x:c r="I237" s="8" t="str">
        <x:v>Under 5,000</x:v>
      </x:c>
      <x:c r="J237" s="11" t="n">
        <x:v>17895018</x:v>
      </x:c>
      <x:c r="K237" s="11" t="n">
        <x:v>11173152</x:v>
      </x:c>
      <x:c r="L237" s="11" t="n">
        <x:v>6721866</x:v>
      </x:c>
      <x:c r="M237" s="12" t="n">
        <x:v>0.37562778645989625</x:v>
      </x:c>
      <x:c r="N237" s="11" t="n">
        <x:v>1879079</x:v>
      </x:c>
      <x:c r="O237" s="11" t="n">
        <x:v>1088791</x:v>
      </x:c>
      <x:c r="P237" s="11" t="n">
        <x:v>2820806</x:v>
      </x:c>
      <x:c r="Q237" s="11" t="n">
        <x:v>12106342</x:v>
      </x:c>
      <x:c r="R237" s="11" t="n">
        <x:v>10757703</x:v>
      </x:c>
      <x:c r="S237" s="11" t="n">
        <x:v>415449</x:v>
      </x:c>
      <x:c r="T237" s="11" t="n">
        <x:v>15237759</x:v>
      </x:c>
      <x:c r="U237" s="11" t="n">
        <x:v>2541833</x:v>
      </x:c>
      <x:c r="V237" s="11" t="n">
        <x:v>16007229</x:v>
      </x:c>
      <x:c r="W237" s="11" t="n">
        <x:v>10353908</x:v>
      </x:c>
      <x:c r="X237" s="11" t="n">
        <x:v>0</x:v>
      </x:c>
      <x:c r="Y237" s="11" t="n">
        <x:v>0</x:v>
      </x:c>
      <x:c r="Z237" s="11" t="n">
        <x:v>0</x:v>
      </x:c>
      <x:c r="AA237" s="11" t="n">
        <x:v>0</x:v>
      </x:c>
      <x:c r="AB237" s="11" t="n">
        <x:v>0</x:v>
      </x:c>
      <x:c r="AC237" s="11" t="n">
        <x:v>0</x:v>
      </x:c>
      <x:c r="AD237" s="11" t="n">
        <x:v>759790</x:v>
      </x:c>
      <x:c r="AE237" s="11" t="n">
        <x:v>759790</x:v>
      </x:c>
      <x:c r="AF237" s="11" t="n">
        <x:v>3039158</x:v>
      </x:c>
      <x:c r="AG237" s="11" t="n">
        <x:v>20624820</x:v>
      </x:c>
      <x:c r="AH237" s="11" t="n">
        <x:v>9863431</x:v>
      </x:c>
      <x:c r="AI237" s="11" t="n">
        <x:v>10761389</x:v>
      </x:c>
      <x:c r="AJ237" s="11" t="n">
        <x:v>2314870</x:v>
      </x:c>
      <x:c r="AK237" s="11" t="n">
        <x:v>1873044</x:v>
      </x:c>
      <x:c r="AL237" s="11" t="n">
        <x:v>0</x:v>
      </x:c>
      <x:c r="AM237" s="12" t="n">
        <x:v>1</x:v>
      </x:c>
      <x:c r="AN237" s="12" t="n">
        <x:v>1.2358866102451411</x:v>
      </x:c>
      <x:c r="AO237" s="11" t="n">
        <x:v>2674516</x:v>
      </x:c>
      <x:c r="AP237" s="11" t="n">
        <x:v>2606161</x:v>
      </x:c>
      <x:c r="AQ237" s="12" t="n">
        <x:v>0.9744421046649188</x:v>
      </x:c>
      <x:c r="AR237" s="11" t="n">
        <x:v>18582.57320872274</x:v>
      </x:c>
      <x:c r="AS237" s="11" t="n">
        <x:v>11602.442367601247</x:v>
      </x:c>
      <x:c r="AT237" s="11" t="n">
        <x:v>16622.252336448597</x:v>
      </x:c>
      <x:c r="AU237" s="11" t="n">
        <x:v>10751.721703011423</x:v>
      </x:c>
      <x:c r="AV237" s="11" t="n">
        <x:v>0</x:v>
      </x:c>
      <x:c r="AW237" s="11" t="n">
        <x:v>5.994791553969124</x:v>
      </x:c>
      <x:c r="AX237" s="12" t="n">
        <x:v>1</x:v>
      </x:c>
      <x:c r="AY237" s="11"/>
      <x:c r="AZ237" s="11"/>
      <x:c r="BA237" s="11"/>
      <x:c r="BB237" s="11"/>
      <x:c r="BC237" s="11"/>
      <x:c r="BD237" s="11"/>
      <x:c r="BE237" s="11"/>
      <x:c r="BF237" s="11"/>
      <x:c r="BG237" s="11"/>
      <x:c r="BH237" s="11"/>
      <x:c r="BI237" s="11"/>
      <x:c r="BJ237" s="11"/>
      <x:c r="BK237" s="12"/>
      <x:c r="BL237" s="12"/>
      <x:c r="BM237" s="12"/>
      <x:c r="BN237" s="12"/>
      <x:c r="BO237" s="12"/>
      <x:c r="BP237" s="12"/>
      <x:c r="BQ237" s="12"/>
      <x:c r="BR237" s="12"/>
      <x:c r="BS237" s="12"/>
      <x:c r="BT237" s="12"/>
      <x:c r="BU237" s="11" t="n">
        <x:v>3200</x:v>
      </x:c>
      <x:c r="BV237" s="11" t="n">
        <x:v>1995126</x:v>
      </x:c>
      <x:c r="BW237" s="11" t="n">
        <x:v>822480</x:v>
      </x:c>
      <x:c r="BX237" s="11" t="n">
        <x:v>106096</x:v>
      </x:c>
      <x:c r="BY237" s="11" t="n">
        <x:v>12000246</x:v>
      </x:c>
      <x:c r="BZ237" s="11" t="n">
        <x:v>0</x:v>
      </x:c>
      <x:c r="CA237" s="11" t="n">
        <x:v>0</x:v>
      </x:c>
      <x:c r="CB237" s="11" t="n">
        <x:v>0</x:v>
      </x:c>
      <x:c r="CC237" s="11" t="n">
        <x:v>891856</x:v>
      </x:c>
      <x:c r="CD237" s="11" t="n">
        <x:v>201170</x:v>
      </x:c>
      <x:c r="CE237" s="11" t="n">
        <x:v>60305</x:v>
      </x:c>
      <x:c r="CF237" s="11" t="n">
        <x:v>4954</x:v>
      </x:c>
      <x:c r="CG237" s="11" t="n">
        <x:v>105097</x:v>
      </x:c>
      <x:c r="CH237" s="11" t="n">
        <x:v>249340</x:v>
      </x:c>
      <x:c r="CI237" s="11" t="n">
        <x:v>386719</x:v>
      </x:c>
      <x:c r="CJ237" s="11" t="n">
        <x:v>229839</x:v>
      </x:c>
      <x:c r="CK237" s="11" t="n">
        <x:v>121584</x:v>
      </x:c>
      <x:c r="CL237" s="11" t="n">
        <x:v>8506839</x:v>
      </x:c>
      <x:c r="CM237" s="11"/>
      <x:c r="CN237" s="11" t="n">
        <x:v>0</x:v>
      </x:c>
      <x:c r="CO237" s="11" t="n">
        <x:v>0</x:v>
      </x:c>
      <x:c r="CP237" s="8"/>
      <x:c r="CQ237" s="8"/>
    </x:row>
    <x:row r="238">
      <x:c r="A238" s="8" t="str">
        <x:v>Fraser Lake|2021</x:v>
      </x:c>
      <x:c r="B238" s="8" t="str">
        <x:v>fraser-lake-v</x:v>
      </x:c>
      <x:c r="C238" s="8" t="str">
        <x:v>Fraser Lake</x:v>
      </x:c>
      <x:c r="D238" s="8" t="str">
        <x:v>Fraser Lake</x:v>
      </x:c>
      <x:c r="E238" s="8" t="str">
        <x:v>V</x:v>
      </x:c>
      <x:c r="F238" s="8" t="str">
        <x:v>BUL</x:v>
      </x:c>
      <x:c r="G238" s="9" t="n">
        <x:v>2021</x:v>
      </x:c>
      <x:c r="H238" s="10" t="n">
        <x:v>959</x:v>
      </x:c>
      <x:c r="I238" s="8" t="str">
        <x:v>Under 5,000</x:v>
      </x:c>
      <x:c r="J238" s="11" t="n">
        <x:v>29538711</x:v>
      </x:c>
      <x:c r="K238" s="11" t="n">
        <x:v>18972414</x:v>
      </x:c>
      <x:c r="L238" s="11" t="n">
        <x:v>10566297</x:v>
      </x:c>
      <x:c r="M238" s="12" t="n">
        <x:v>0.35771015871342526</x:v>
      </x:c>
      <x:c r="N238" s="11" t="n">
        <x:v>1924134</x:v>
      </x:c>
      <x:c r="O238" s="11" t="n">
        <x:v>1102063</x:v>
      </x:c>
      <x:c r="P238" s="11" t="n">
        <x:v>2079955</x:v>
      </x:c>
      <x:c r="Q238" s="11" t="n">
        <x:v>24432559</x:v>
      </x:c>
      <x:c r="R238" s="11" t="n">
        <x:v>18525942</x:v>
      </x:c>
      <x:c r="S238" s="11" t="n">
        <x:v>446450</x:v>
      </x:c>
      <x:c r="T238" s="11" t="n">
        <x:v>26524868</x:v>
      </x:c>
      <x:c r="U238" s="11" t="n">
        <x:v>4508106</x:v>
      </x:c>
      <x:c r="V238" s="11" t="n">
        <x:v>24959196</x:v>
      </x:c>
      <x:c r="W238" s="11" t="n">
        <x:v>20644397</x:v>
      </x:c>
      <x:c r="X238" s="11" t="n">
        <x:v>0</x:v>
      </x:c>
      <x:c r="Y238" s="11" t="n">
        <x:v>0</x:v>
      </x:c>
      <x:c r="Z238" s="11" t="n">
        <x:v>0</x:v>
      </x:c>
      <x:c r="AA238" s="11" t="n">
        <x:v>0</x:v>
      </x:c>
      <x:c r="AB238" s="11" t="n">
        <x:v>22</x:v>
      </x:c>
      <x:c r="AC238" s="11" t="n">
        <x:v>22</x:v>
      </x:c>
      <x:c r="AD238" s="11" t="n">
        <x:v>765944</x:v>
      </x:c>
      <x:c r="AE238" s="11" t="n">
        <x:v>765922</x:v>
      </x:c>
      <x:c r="AF238" s="11" t="n">
        <x:v>3063775</x:v>
      </x:c>
      <x:c r="AG238" s="11" t="n">
        <x:v>22537594</x:v>
      </x:c>
      <x:c r="AH238" s="11" t="n">
        <x:v>10309880</x:v>
      </x:c>
      <x:c r="AI238" s="11" t="n">
        <x:v>12227714</x:v>
      </x:c>
      <x:c r="AJ238" s="11" t="n">
        <x:v>1912775</x:v>
      </x:c>
      <x:c r="AK238" s="11" t="n">
        <x:v>1873044</x:v>
      </x:c>
      <x:c r="AL238" s="11" t="n">
        <x:v>0</x:v>
      </x:c>
      <x:c r="AM238" s="12" t="n">
        <x:v>1</x:v>
      </x:c>
      <x:c r="AN238" s="12" t="n">
        <x:v>1.0212119950198715</x:v>
      </x:c>
      <x:c r="AO238" s="11" t="n">
        <x:v>2777243</x:v>
      </x:c>
      <x:c r="AP238" s="11" t="n">
        <x:v>2723346</x:v>
      </x:c>
      <x:c r="AQ238" s="12" t="n">
        <x:v>0.9805933438305543</x:v>
      </x:c>
      <x:c r="AR238" s="11" t="n">
        <x:v>30801.5755995829</x:v>
      </x:c>
      <x:c r="AS238" s="11" t="n">
        <x:v>19783.539103232535</x:v>
      </x:c>
      <x:c r="AT238" s="11" t="n">
        <x:v>26026.273201251304</x:v>
      </x:c>
      <x:c r="AU238" s="11" t="n">
        <x:v>21527.00417101147</x:v>
      </x:c>
      <x:c r="AV238" s="11" t="n">
        <x:v>0</x:v>
      </x:c>
      <x:c r="AW238" s="11" t="n">
        <x:v>5.883816396508866</x:v>
      </x:c>
      <x:c r="AX238" s="12" t="n">
        <x:v>0.9999712772735344</x:v>
      </x:c>
      <x:c r="AY238" s="11"/>
      <x:c r="AZ238" s="11"/>
      <x:c r="BA238" s="11"/>
      <x:c r="BB238" s="11"/>
      <x:c r="BC238" s="11"/>
      <x:c r="BD238" s="11"/>
      <x:c r="BE238" s="11"/>
      <x:c r="BF238" s="11"/>
      <x:c r="BG238" s="11"/>
      <x:c r="BH238" s="11"/>
      <x:c r="BI238" s="11"/>
      <x:c r="BJ238" s="11"/>
      <x:c r="BK238" s="12"/>
      <x:c r="BL238" s="12"/>
      <x:c r="BM238" s="12"/>
      <x:c r="BN238" s="12"/>
      <x:c r="BO238" s="12"/>
      <x:c r="BP238" s="12"/>
      <x:c r="BQ238" s="12"/>
      <x:c r="BR238" s="12"/>
      <x:c r="BS238" s="12"/>
      <x:c r="BT238" s="12"/>
      <x:c r="BU238" s="11" t="n">
        <x:v>5000</x:v>
      </x:c>
      <x:c r="BV238" s="11" t="n">
        <x:v>1876860</x:v>
      </x:c>
      <x:c r="BW238" s="11" t="n">
        <x:v>198095</x:v>
      </x:c>
      <x:c r="BX238" s="11" t="n">
        <x:v>99024</x:v>
      </x:c>
      <x:c r="BY238" s="11" t="n">
        <x:v>24333535</x:v>
      </x:c>
      <x:c r="BZ238" s="11" t="n">
        <x:v>0</x:v>
      </x:c>
      <x:c r="CA238" s="11" t="n">
        <x:v>0</x:v>
      </x:c>
      <x:c r="CB238" s="11" t="n">
        <x:v>0</x:v>
      </x:c>
      <x:c r="CC238" s="11" t="n">
        <x:v>2287288</x:v>
      </x:c>
      <x:c r="CD238" s="11" t="n">
        <x:v>188798</x:v>
      </x:c>
      <x:c r="CE238" s="11" t="n">
        <x:v>67678</x:v>
      </x:c>
      <x:c r="CF238" s="11" t="n">
        <x:v>13498</x:v>
      </x:c>
      <x:c r="CG238" s="11" t="n">
        <x:v>143743</x:v>
      </x:c>
      <x:c r="CH238" s="11" t="n">
        <x:v>242747</x:v>
      </x:c>
      <x:c r="CI238" s="11" t="n">
        <x:v>420989</x:v>
      </x:c>
      <x:c r="CJ238" s="11" t="n">
        <x:v>203852</x:v>
      </x:c>
      <x:c r="CK238" s="11" t="n">
        <x:v>92768</x:v>
      </x:c>
      <x:c r="CL238" s="11" t="n">
        <x:v>14864603</x:v>
      </x:c>
      <x:c r="CM238" s="11"/>
      <x:c r="CN238" s="11" t="n">
        <x:v>0</x:v>
      </x:c>
      <x:c r="CO238" s="11" t="n">
        <x:v>0</x:v>
      </x:c>
      <x:c r="CP238" s="8"/>
      <x:c r="CQ238" s="8"/>
    </x:row>
    <x:row r="239">
      <x:c r="A239" s="8" t="str">
        <x:v>Fraser Lake|2022</x:v>
      </x:c>
      <x:c r="B239" s="8" t="str">
        <x:v>fraser-lake-v</x:v>
      </x:c>
      <x:c r="C239" s="8" t="str">
        <x:v>Fraser Lake</x:v>
      </x:c>
      <x:c r="D239" s="8" t="str">
        <x:v>Fraser Lake</x:v>
      </x:c>
      <x:c r="E239" s="8" t="str">
        <x:v>V</x:v>
      </x:c>
      <x:c r="F239" s="8" t="str">
        <x:v>BUL</x:v>
      </x:c>
      <x:c r="G239" s="9" t="n">
        <x:v>2022</x:v>
      </x:c>
      <x:c r="H239" s="10" t="n">
        <x:v>2066</x:v>
      </x:c>
      <x:c r="I239" s="8" t="str">
        <x:v>Under 5,000</x:v>
      </x:c>
      <x:c r="J239" s="11" t="n">
        <x:v>12906420</x:v>
      </x:c>
      <x:c r="K239" s="11" t="n">
        <x:v>7900064</x:v>
      </x:c>
      <x:c r="L239" s="11" t="n">
        <x:v>5006356</x:v>
      </x:c>
      <x:c r="M239" s="12" t="n">
        <x:v>0.38789656620503593</x:v>
      </x:c>
      <x:c r="N239" s="11" t="n">
        <x:v>2057672</x:v>
      </x:c>
      <x:c r="O239" s="11" t="n">
        <x:v>867004</x:v>
      </x:c>
      <x:c r="P239" s="11" t="n">
        <x:v>1379617</x:v>
      </x:c>
      <x:c r="Q239" s="11" t="n">
        <x:v>8602127</x:v>
      </x:c>
      <x:c r="R239" s="11" t="n">
        <x:v>7378580</x:v>
      </x:c>
      <x:c r="S239" s="11" t="n">
        <x:v>521484</x:v>
      </x:c>
      <x:c r="T239" s="11" t="n">
        <x:v>30892968</x:v>
      </x:c>
      <x:c r="U239" s="11" t="n">
        <x:v>2906944</x:v>
      </x:c>
      <x:c r="V239" s="11" t="n">
        <x:v>28471618</x:v>
      </x:c>
      <x:c r="W239" s="11" t="n">
        <x:v>24590675</x:v>
      </x:c>
      <x:c r="X239" s="11" t="n">
        <x:v>0</x:v>
      </x:c>
      <x:c r="Y239" s="11" t="n">
        <x:v>0</x:v>
      </x:c>
      <x:c r="Z239" s="11" t="n">
        <x:v>0</x:v>
      </x:c>
      <x:c r="AA239" s="11" t="n">
        <x:v>0</x:v>
      </x:c>
      <x:c r="AB239" s="11" t="n">
        <x:v>0</x:v>
      </x:c>
      <x:c r="AC239" s="11" t="n">
        <x:v>0</x:v>
      </x:c>
      <x:c r="AD239" s="11" t="n">
        <x:v>915729</x:v>
      </x:c>
      <x:c r="AE239" s="11" t="n">
        <x:v>915729</x:v>
      </x:c>
      <x:c r="AF239" s="11" t="n">
        <x:v>3662915</x:v>
      </x:c>
      <x:c r="AG239" s="11" t="n">
        <x:v>24777255</x:v>
      </x:c>
      <x:c r="AH239" s="11" t="n">
        <x:v>10831365</x:v>
      </x:c>
      <x:c r="AI239" s="11" t="n">
        <x:v>13945890</x:v>
      </x:c>
      <x:c r="AJ239" s="11" t="n">
        <x:v>2067481</x:v>
      </x:c>
      <x:c r="AK239" s="11" t="n">
        <x:v>2469739</x:v>
      </x:c>
      <x:c r="AL239" s="11" t="n">
        <x:v>0</x:v>
      </x:c>
      <x:c r="AM239" s="12" t="n">
        <x:v>1</x:v>
      </x:c>
      <x:c r="AN239" s="12" t="n">
        <x:v>0.8371252994749647</x:v>
      </x:c>
      <x:c r="AO239" s="11" t="n">
        <x:v>2927331</x:v>
      </x:c>
      <x:c r="AP239" s="11" t="n">
        <x:v>2863270</x:v>
      </x:c>
      <x:c r="AQ239" s="12" t="n">
        <x:v>0.978116243089695</x:v>
      </x:c>
      <x:c r="AR239" s="11" t="n">
        <x:v>6247.057115198451</x:v>
      </x:c>
      <x:c r="AS239" s="11" t="n">
        <x:v>3823.8451113262345</x:v>
      </x:c>
      <x:c r="AT239" s="11" t="n">
        <x:v>13781.034849951597</x:v>
      </x:c>
      <x:c r="AU239" s="11" t="n">
        <x:v>11902.553242981607</x:v>
      </x:c>
      <x:c r="AV239" s="11" t="n">
        <x:v>0</x:v>
      </x:c>
      <x:c r="AW239" s="11" t="n">
        <x:v>10.62730069791506</x:v>
      </x:c>
      <x:c r="AX239" s="12" t="n">
        <x:v>1</x:v>
      </x:c>
      <x:c r="AY239" s="11"/>
      <x:c r="AZ239" s="11"/>
      <x:c r="BA239" s="11"/>
      <x:c r="BB239" s="11"/>
      <x:c r="BC239" s="11"/>
      <x:c r="BD239" s="11"/>
      <x:c r="BE239" s="11"/>
      <x:c r="BF239" s="11"/>
      <x:c r="BG239" s="11"/>
      <x:c r="BH239" s="11"/>
      <x:c r="BI239" s="11"/>
      <x:c r="BJ239" s="11"/>
      <x:c r="BK239" s="12"/>
      <x:c r="BL239" s="12"/>
      <x:c r="BM239" s="12"/>
      <x:c r="BN239" s="12"/>
      <x:c r="BO239" s="12"/>
      <x:c r="BP239" s="12"/>
      <x:c r="BQ239" s="12"/>
      <x:c r="BR239" s="12"/>
      <x:c r="BS239" s="12"/>
      <x:c r="BT239" s="12"/>
      <x:c r="BU239" s="11" t="n">
        <x:v>451064</x:v>
      </x:c>
      <x:c r="BV239" s="11" t="n">
        <x:v>616652</x:v>
      </x:c>
      <x:c r="BW239" s="11" t="n">
        <x:v>311901</x:v>
      </x:c>
      <x:c r="BX239" s="11" t="n">
        <x:v>693260</x:v>
      </x:c>
      <x:c r="BY239" s="11" t="n">
        <x:v>0</x:v>
      </x:c>
      <x:c r="BZ239" s="11" t="n">
        <x:v>52800</x:v>
      </x:c>
      <x:c r="CA239" s="11" t="n">
        <x:v>7856067</x:v>
      </x:c>
      <x:c r="CB239" s="11" t="n">
        <x:v>0</x:v>
      </x:c>
      <x:c r="CC239" s="11" t="n">
        <x:v>1229423</x:v>
      </x:c>
      <x:c r="CD239" s="11" t="n">
        <x:v>250830</x:v>
      </x:c>
      <x:c r="CE239" s="11" t="n">
        <x:v>57332</x:v>
      </x:c>
      <x:c r="CF239" s="11" t="n">
        <x:v>0</x:v>
      </x:c>
      <x:c r="CG239" s="11" t="n">
        <x:v>148584</x:v>
      </x:c>
      <x:c r="CH239" s="11" t="n">
        <x:v>306332</x:v>
      </x:c>
      <x:c r="CI239" s="11" t="n">
        <x:v>416127</x:v>
      </x:c>
      <x:c r="CJ239" s="11" t="n">
        <x:v>195178</x:v>
      </x:c>
      <x:c r="CK239" s="11" t="n">
        <x:v>148637</x:v>
      </x:c>
      <x:c r="CL239" s="11" t="n">
        <x:v>4626137</x:v>
      </x:c>
      <x:c r="CM239" s="11"/>
      <x:c r="CN239" s="11" t="n">
        <x:v>0</x:v>
      </x:c>
      <x:c r="CO239" s="11" t="n">
        <x:v>0</x:v>
      </x:c>
      <x:c r="CP239" s="8"/>
      <x:c r="CQ239" s="8"/>
    </x:row>
    <x:row r="240">
      <x:c r="A240" s="8" t="str">
        <x:v>Fraser Lake|2023</x:v>
      </x:c>
      <x:c r="B240" s="8" t="str">
        <x:v>fraser-lake-v</x:v>
      </x:c>
      <x:c r="C240" s="8" t="str">
        <x:v>Fraser Lake</x:v>
      </x:c>
      <x:c r="D240" s="8" t="str">
        <x:v>Fraser Lake</x:v>
      </x:c>
      <x:c r="E240" s="8" t="str">
        <x:v>V</x:v>
      </x:c>
      <x:c r="F240" s="8" t="str">
        <x:v>BUL</x:v>
      </x:c>
      <x:c r="G240" s="9" t="n">
        <x:v>2023</x:v>
      </x:c>
      <x:c r="H240" s="10" t="n">
        <x:v>1033</x:v>
      </x:c>
      <x:c r="I240" s="8" t="str">
        <x:v>Under 5,000</x:v>
      </x:c>
      <x:c r="J240" s="11" t="n">
        <x:v>8351465</x:v>
      </x:c>
      <x:c r="K240" s="11" t="n">
        <x:v>3334539</x:v>
      </x:c>
      <x:c r="L240" s="11" t="n">
        <x:v>5016926</x:v>
      </x:c>
      <x:c r="M240" s="12" t="n">
        <x:v>0.6007240645802863</x:v>
      </x:c>
      <x:c r="N240" s="11" t="n">
        <x:v>2241964</x:v>
      </x:c>
      <x:c r="O240" s="11" t="n">
        <x:v>1099963</x:v>
      </x:c>
      <x:c r="P240" s="11" t="n">
        <x:v>3353609</x:v>
      </x:c>
      <x:c r="Q240" s="11" t="n">
        <x:v>1655929</x:v>
      </x:c>
      <x:c r="R240" s="11" t="n">
        <x:v>2660300</x:v>
      </x:c>
      <x:c r="S240" s="11" t="n">
        <x:v>674239</x:v>
      </x:c>
      <x:c r="T240" s="11" t="n">
        <x:v>30129371</x:v>
      </x:c>
      <x:c r="U240" s="11" t="n">
        <x:v>3967101</x:v>
      </x:c>
      <x:c r="V240" s="11" t="n">
        <x:v>27286605</x:v>
      </x:c>
      <x:c r="W240" s="11" t="n">
        <x:v>23999963</x:v>
      </x:c>
      <x:c r="X240" s="11" t="n">
        <x:v>0</x:v>
      </x:c>
      <x:c r="Y240" s="11" t="n">
        <x:v>0</x:v>
      </x:c>
      <x:c r="Z240" s="11" t="n">
        <x:v>0</x:v>
      </x:c>
      <x:c r="AA240" s="11" t="n">
        <x:v>0</x:v>
      </x:c>
      <x:c r="AB240" s="11" t="n">
        <x:v>0</x:v>
      </x:c>
      <x:c r="AC240" s="11" t="n">
        <x:v>0</x:v>
      </x:c>
      <x:c r="AD240" s="11" t="n">
        <x:v>1226293</x:v>
      </x:c>
      <x:c r="AE240" s="11" t="n">
        <x:v>1226293</x:v>
      </x:c>
      <x:c r="AF240" s="11" t="n">
        <x:v>4905171</x:v>
      </x:c>
      <x:c r="AG240" s="11" t="n">
        <x:v>31502805</x:v>
      </x:c>
      <x:c r="AH240" s="11" t="n">
        <x:v>12101255</x:v>
      </x:c>
      <x:c r="AI240" s="11" t="n">
        <x:v>19401550</x:v>
      </x:c>
      <x:c r="AJ240" s="11" t="n">
        <x:v>5962243</x:v>
      </x:c>
      <x:c r="AK240" s="11" t="n">
        <x:v>6239856</x:v>
      </x:c>
      <x:c r="AL240" s="11" t="n">
        <x:v>0</x:v>
      </x:c>
      <x:c r="AM240" s="12" t="n">
        <x:v>1</x:v>
      </x:c>
      <x:c r="AN240" s="12" t="n">
        <x:v>0.9555097104804983</x:v>
      </x:c>
      <x:c r="AO240" s="11" t="n">
        <x:v>3190019</x:v>
      </x:c>
      <x:c r="AP240" s="11" t="n">
        <x:v>3141833</x:v>
      </x:c>
      <x:c r="AQ240" s="12" t="n">
        <x:v>0.9848947608149042</x:v>
      </x:c>
      <x:c r="AR240" s="11" t="n">
        <x:v>8084.670861568248</x:v>
      </x:c>
      <x:c r="AS240" s="11" t="n">
        <x:v>3228.0145208131657</x:v>
      </x:c>
      <x:c r="AT240" s="11" t="n">
        <x:v>26414.91287512101</x:v>
      </x:c>
      <x:c r="AU240" s="11" t="n">
        <x:v>23233.265246853825</x:v>
      </x:c>
      <x:c r="AV240" s="11" t="n">
        <x:v>0</x:v>
      </x:c>
      <x:c r="AW240" s="11" t="n">
        <x:v>7.5948081483178775</x:v>
      </x:c>
      <x:c r="AX240" s="12" t="n">
        <x:v>1</x:v>
      </x:c>
      <x:c r="AY240" s="11"/>
      <x:c r="AZ240" s="11"/>
      <x:c r="BA240" s="11"/>
      <x:c r="BB240" s="11"/>
      <x:c r="BC240" s="11"/>
      <x:c r="BD240" s="11"/>
      <x:c r="BE240" s="11"/>
      <x:c r="BF240" s="11"/>
      <x:c r="BG240" s="11"/>
      <x:c r="BH240" s="11"/>
      <x:c r="BI240" s="11"/>
      <x:c r="BJ240" s="11"/>
      <x:c r="BK240" s="12"/>
      <x:c r="BL240" s="12"/>
      <x:c r="BM240" s="12"/>
      <x:c r="BN240" s="12"/>
      <x:c r="BO240" s="12"/>
      <x:c r="BP240" s="12"/>
      <x:c r="BQ240" s="12"/>
      <x:c r="BR240" s="12"/>
      <x:c r="BS240" s="12"/>
      <x:c r="BT240" s="12"/>
      <x:c r="BU240" s="11" t="n">
        <x:v>15572</x:v>
      </x:c>
      <x:c r="BV240" s="11" t="n">
        <x:v>2030983</x:v>
      </x:c>
      <x:c r="BW240" s="11" t="n">
        <x:v>1307054</x:v>
      </x:c>
      <x:c r="BX240" s="11" t="n">
        <x:v>1571293</x:v>
      </x:c>
      <x:c r="BY240" s="11" t="n">
        <x:v>0</x:v>
      </x:c>
      <x:c r="BZ240" s="11" t="n">
        <x:v>2480</x:v>
      </x:c>
      <x:c r="CA240" s="11" t="n">
        <x:v>82156</x:v>
      </x:c>
      <x:c r="CB240" s="11" t="n">
        <x:v>0</x:v>
      </x:c>
      <x:c r="CC240" s="11" t="n">
        <x:v>1152077</x:v>
      </x:c>
      <x:c r="CD240" s="11" t="n">
        <x:v>215181</x:v>
      </x:c>
      <x:c r="CE240" s="11" t="n">
        <x:v>54200</x:v>
      </x:c>
      <x:c r="CF240" s="11" t="n">
        <x:v>0</x:v>
      </x:c>
      <x:c r="CG240" s="11" t="n">
        <x:v>85418</x:v>
      </x:c>
      <x:c r="CH240" s="11" t="n">
        <x:v>281700</x:v>
      </x:c>
      <x:c r="CI240" s="11" t="n">
        <x:v>468571</x:v>
      </x:c>
      <x:c r="CJ240" s="11" t="n">
        <x:v>191032</x:v>
      </x:c>
      <x:c r="CK240" s="11" t="n">
        <x:v>192445</x:v>
      </x:c>
      <x:c r="CL240" s="11" t="n">
        <x:v>19676</x:v>
      </x:c>
      <x:c r="CM240" s="11" t="n">
        <x:v>0</x:v>
      </x:c>
      <x:c r="CN240" s="11" t="n">
        <x:v>0</x:v>
      </x:c>
      <x:c r="CO240" s="11" t="n">
        <x:v>0</x:v>
      </x:c>
      <x:c r="CP240" s="8"/>
      <x:c r="CQ240" s="8"/>
    </x:row>
    <x:row r="241">
      <x:c r="A241" s="8" t="str">
        <x:v>Fraser Lake|2024</x:v>
      </x:c>
      <x:c r="B241" s="8" t="str">
        <x:v>fraser-lake-v</x:v>
      </x:c>
      <x:c r="C241" s="8" t="str">
        <x:v>Fraser Lake</x:v>
      </x:c>
      <x:c r="D241" s="8" t="str">
        <x:v>Fraser Lake</x:v>
      </x:c>
      <x:c r="E241" s="8" t="str">
        <x:v>V</x:v>
      </x:c>
      <x:c r="F241" s="8" t="str">
        <x:v>BUL</x:v>
      </x:c>
      <x:c r="G241" s="9" t="n">
        <x:v>2024</x:v>
      </x:c>
      <x:c r="H241" s="10" t="n">
        <x:v>1033</x:v>
      </x:c>
      <x:c r="I241" s="8" t="str">
        <x:v>Under 5,000</x:v>
      </x:c>
      <x:c r="J241" s="11" t="n">
        <x:v>7230944</x:v>
      </x:c>
      <x:c r="K241" s="11" t="n">
        <x:v>4029791</x:v>
      </x:c>
      <x:c r="L241" s="11" t="n">
        <x:v>3201153</x:v>
      </x:c>
      <x:c r="M241" s="12" t="n">
        <x:v>0.44270194873587737</x:v>
      </x:c>
      <x:c r="N241" s="11" t="n">
        <x:v>2452833</x:v>
      </x:c>
      <x:c r="O241" s="11" t="n">
        <x:v>738552</x:v>
      </x:c>
      <x:c r="P241" s="11" t="n">
        <x:v>2324550</x:v>
      </x:c>
      <x:c r="Q241" s="11" t="n">
        <x:v>1715009</x:v>
      </x:c>
      <x:c r="R241" s="11" t="n">
        <x:v>3260467</x:v>
      </x:c>
      <x:c r="S241" s="11" t="n">
        <x:v>769324</x:v>
      </x:c>
      <x:c r="T241" s="11" t="n">
        <x:v>30259548</x:v>
      </x:c>
      <x:c r="U241" s="11" t="n">
        <x:v>4038454</x:v>
      </x:c>
      <x:c r="V241" s="11" t="n">
        <x:v>26889486</x:v>
      </x:c>
      <x:c r="W241" s="11" t="n">
        <x:v>23307864</x:v>
      </x:c>
      <x:c r="X241" s="11" t="n">
        <x:v>0</x:v>
      </x:c>
      <x:c r="Y241" s="11" t="n">
        <x:v>0</x:v>
      </x:c>
      <x:c r="Z241" s="11" t="n">
        <x:v>0</x:v>
      </x:c>
      <x:c r="AA241" s="11" t="n">
        <x:v>0</x:v>
      </x:c>
      <x:c r="AB241" s="11" t="n">
        <x:v>0</x:v>
      </x:c>
      <x:c r="AC241" s="11" t="n">
        <x:v>0</x:v>
      </x:c>
      <x:c r="AD241" s="11" t="n">
        <x:v>1221423</x:v>
      </x:c>
      <x:c r="AE241" s="11" t="n">
        <x:v>1221423</x:v>
      </x:c>
      <x:c r="AF241" s="11" t="n">
        <x:v>4885691</x:v>
      </x:c>
      <x:c r="AG241" s="11" t="n">
        <x:v>35812918</x:v>
      </x:c>
      <x:c r="AH241" s="11" t="n">
        <x:v>12692529</x:v>
      </x:c>
      <x:c r="AI241" s="11" t="n">
        <x:v>23120389</x:v>
      </x:c>
      <x:c r="AJ241" s="11" t="n">
        <x:v>4488163</x:v>
      </x:c>
      <x:c r="AK241" s="11" t="n">
        <x:v>35812918</x:v>
      </x:c>
      <x:c r="AL241" s="11" t="n">
        <x:v>43205944</x:v>
      </x:c>
      <x:c r="AM241" s="12" t="n">
        <x:v>-0.2064346166933395</x:v>
      </x:c>
      <x:c r="AN241" s="12" t="n">
        <x:v>0.12532246045965872</x:v>
      </x:c>
      <x:c r="AO241" s="11" t="n">
        <x:v>3350772</x:v>
      </x:c>
      <x:c r="AP241" s="11" t="n">
        <x:v>3241805</x:v>
      </x:c>
      <x:c r="AQ241" s="12" t="n">
        <x:v>0.9674800314673753</x:v>
      </x:c>
      <x:c r="AR241" s="11" t="n">
        <x:v>6999.945788964182</x:v>
      </x:c>
      <x:c r="AS241" s="11" t="n">
        <x:v>3901.05614714424</x:v>
      </x:c>
      <x:c r="AT241" s="11" t="n">
        <x:v>26030.480154888675</x:v>
      </x:c>
      <x:c r="AU241" s="11" t="n">
        <x:v>22563.275895450144</x:v>
      </x:c>
      <x:c r="AV241" s="11" t="n">
        <x:v>0</x:v>
      </x:c>
      <x:c r="AW241" s="11" t="n">
        <x:v>7.492854443804486</x:v>
      </x:c>
      <x:c r="AX241" s="12" t="n">
        <x:v>1</x:v>
      </x:c>
      <x:c r="AY241" s="11" t="n">
        <x:v>4648.097865362712</x:v>
      </x:c>
      <x:c r="AZ241" s="11" t="n">
        <x:v>3546.5079302077975</x:v>
      </x:c>
      <x:c r="BA241" s="11" t="n">
        <x:v>3428.422456291105</x:v>
      </x:c>
      <x:c r="BB241" s="11" t="n">
        <x:v>2783.665107049771</x:v>
      </x:c>
      <x:c r="BC241" s="11" t="n">
        <x:v>5030.364110900993</x:v>
      </x:c>
      <x:c r="BD241" s="11" t="n">
        <x:v>2437.8724475115623</x:v>
      </x:c>
      <x:c r="BE241" s="11" t="n">
        <x:v>2420.45</x:v>
      </x:c>
      <x:c r="BF241" s="11" t="n">
        <x:v>1604.3462673977224</x:v>
      </x:c>
      <x:c r="BG241" s="11" t="n">
        <x:v>224.31236112962716</x:v>
      </x:c>
      <x:c r="BH241" s="11" t="n">
        <x:v>518.5374381567245</x:v>
      </x:c>
      <x:c r="BI241" s="11" t="n">
        <x:v>2.204313821553219</x:v>
      </x:c>
      <x:c r="BJ241" s="11" t="n">
        <x:v>1.7099330852451193</x:v>
      </x:c>
      <x:c r="BK241" s="12" t="n">
        <x:v>0.030042455998363887</x:v>
      </x:c>
      <x:c r="BL241" s="12" t="n">
        <x:v>0.02529861000232605</x:v>
      </x:c>
      <x:c r="BM241" s="12" t="n">
        <x:v>0.9786113537119745</x:v>
      </x:c>
      <x:c r="BN241" s="12" t="n">
        <x:v>0.9815511712696461</x:v>
      </x:c>
      <x:c r="BO241" s="12" t="n">
        <x:v>0.9039920521842442</x:v>
      </x:c>
      <x:c r="BP241" s="12" t="n">
        <x:v>0.8619101997275483</x:v>
      </x:c>
      <x:c r="BQ241" s="12" t="n">
        <x:v>0.9333160528846489</x:v>
      </x:c>
      <x:c r="BR241" s="12" t="n">
        <x:v>0.9623635142836453</x:v>
      </x:c>
      <x:c r="BS241" s="12" t="n">
        <x:v>0.20869205825466772</x:v>
      </x:c>
      <x:c r="BT241" s="12" t="n">
        <x:v>0.19976549769108282</x:v>
      </x:c>
      <x:c r="BU241" s="11" t="n">
        <x:v>121660</x:v>
      </x:c>
      <x:c r="BV241" s="11" t="n">
        <x:v>1879600</x:v>
      </x:c>
      <x:c r="BW241" s="11" t="n">
        <x:v>323290</x:v>
      </x:c>
      <x:c r="BX241" s="11" t="n">
        <x:v>1506557</x:v>
      </x:c>
      <x:c r="BY241" s="11" t="n">
        <x:v>0</x:v>
      </x:c>
      <x:c r="BZ241" s="11" t="n">
        <x:v>5160</x:v>
      </x:c>
      <x:c r="CA241" s="11" t="n">
        <x:v>0</x:v>
      </x:c>
      <x:c r="CB241" s="11" t="n">
        <x:v>203292</x:v>
      </x:c>
      <x:c r="CC241" s="11" t="n">
        <x:v>1263207</x:v>
      </x:c>
      <x:c r="CD241" s="11" t="n">
        <x:v>375739</x:v>
      </x:c>
      <x:c r="CE241" s="11" t="n">
        <x:v>73905</x:v>
      </x:c>
      <x:c r="CF241" s="11" t="n">
        <x:v>0</x:v>
      </x:c>
      <x:c r="CG241" s="11" t="n">
        <x:v>124674</x:v>
      </x:c>
      <x:c r="CH241" s="11" t="n">
        <x:v>273937</x:v>
      </x:c>
      <x:c r="CI241" s="11" t="n">
        <x:v>495245</x:v>
      </x:c>
      <x:c r="CJ241" s="11" t="n">
        <x:v>186345</x:v>
      </x:c>
      <x:c r="CK241" s="11" t="n">
        <x:v>161745</x:v>
      </x:c>
      <x:c r="CL241" s="11" t="n">
        <x:v>305670</x:v>
      </x:c>
      <x:c r="CM241" s="11" t="n">
        <x:v>0</x:v>
      </x:c>
      <x:c r="CN241" s="11" t="n">
        <x:v>0</x:v>
      </x:c>
      <x:c r="CO241" s="11" t="n">
        <x:v>0</x:v>
      </x:c>
      <x:c r="CP241" s="8"/>
      <x:c r="CQ241" s="8"/>
    </x:row>
    <x:row r="242">
      <x:c r="A242" s="8" t="str">
        <x:v>Fruitvale|2019</x:v>
      </x:c>
      <x:c r="B242" s="8" t="str">
        <x:v>fruitvale-v</x:v>
      </x:c>
      <x:c r="C242" s="8" t="str">
        <x:v>Fruitvale</x:v>
      </x:c>
      <x:c r="D242" s="8" t="str">
        <x:v>Fruitvale</x:v>
      </x:c>
      <x:c r="E242" s="8" t="str">
        <x:v>V</x:v>
      </x:c>
      <x:c r="F242" s="8" t="str">
        <x:v>KOO</x:v>
      </x:c>
      <x:c r="G242" s="9" t="n">
        <x:v>2019</x:v>
      </x:c>
      <x:c r="H242" s="10" t="n">
        <x:v>2035</x:v>
      </x:c>
      <x:c r="I242" s="8" t="str">
        <x:v>Under 5,000</x:v>
      </x:c>
      <x:c r="J242" s="11" t="n">
        <x:v>3080736</x:v>
      </x:c>
      <x:c r="K242" s="11" t="n">
        <x:v>2554413</x:v>
      </x:c>
      <x:c r="L242" s="11" t="n">
        <x:v>526323</x:v>
      </x:c>
      <x:c r="M242" s="12" t="n">
        <x:v>0.17084326602474215</x:v>
      </x:c>
      <x:c r="N242" s="11" t="n">
        <x:v>1053730</x:v>
      </x:c>
      <x:c r="O242" s="11" t="n">
        <x:v>665432</x:v>
      </x:c>
      <x:c r="P242" s="11" t="n">
        <x:v>1334293</x:v>
      </x:c>
      <x:c r="Q242" s="11" t="n">
        <x:v>27281</x:v>
      </x:c>
      <x:c r="R242" s="11" t="n">
        <x:v>1885300</x:v>
      </x:c>
      <x:c r="S242" s="11" t="n">
        <x:v>599113</x:v>
      </x:c>
      <x:c r="T242" s="11" t="n">
        <x:v>2138605</x:v>
      </x:c>
      <x:c r="U242" s="11" t="n">
        <x:v>3793570</x:v>
      </x:c>
      <x:c r="V242" s="11" t="n">
        <x:v>-1240300</x:v>
      </x:c>
      <x:c r="W242" s="11" t="n">
        <x:v>0</x:v>
      </x:c>
      <x:c r="X242" s="11" t="n">
        <x:v>2447452</x:v>
      </x:c>
      <x:c r="Y242" s="11" t="n">
        <x:v>14688</x:v>
      </x:c>
      <x:c r="Z242" s="11" t="n">
        <x:v>52794</x:v>
      </x:c>
      <x:c r="AA242" s="11" t="n">
        <x:v>2407770</x:v>
      </x:c>
      <x:c r="AB242" s="11" t="n">
        <x:v>70000</x:v>
      </x:c>
      <x:c r="AC242" s="11" t="n">
        <x:v>122794</x:v>
      </x:c>
      <x:c r="AD242" s="11" t="n">
        <x:v>558529</x:v>
      </x:c>
      <x:c r="AE242" s="11" t="n">
        <x:v>435735</x:v>
      </x:c>
      <x:c r="AF242" s="11" t="n">
        <x:v>2234115</x:v>
      </x:c>
      <x:c r="AG242" s="11" t="n">
        <x:v>21569358</x:v>
      </x:c>
      <x:c r="AH242" s="11" t="n">
        <x:v>8798651</x:v>
      </x:c>
      <x:c r="AI242" s="11" t="n">
        <x:v>12770707</x:v>
      </x:c>
      <x:c r="AJ242" s="11" t="n">
        <x:v>916889</x:v>
      </x:c>
      <x:c r="AK242" s="11" t="n">
        <x:v>39720371</x:v>
      </x:c>
      <x:c r="AL242" s="11" t="n">
        <x:v>1198953</x:v>
      </x:c>
      <x:c r="AM242" s="12" t="n">
        <x:v>0.969815161092025</x:v>
      </x:c>
      <x:c r="AN242" s="12" t="n">
        <x:v>0.02308359607215149</x:v>
      </x:c>
      <x:c r="AO242" s="11" t="n">
        <x:v>3071471</x:v>
      </x:c>
      <x:c r="AP242" s="11" t="n">
        <x:v>2939263</x:v>
      </x:c>
      <x:c r="AQ242" s="12" t="n">
        <x:v>0.9569561294897461</x:v>
      </x:c>
      <x:c r="AR242" s="11" t="n">
        <x:v>1513.8751842751842</x:v>
      </x:c>
      <x:c r="AS242" s="11" t="n">
        <x:v>1255.2398034398034</x:v>
      </x:c>
      <x:c r="AT242" s="11" t="n">
        <x:v>-609.4840294840295</x:v>
      </x:c>
      <x:c r="AU242" s="11" t="n">
        <x:v>0</x:v>
      </x:c>
      <x:c r="AV242" s="11" t="n">
        <x:v>1183.1793611793612</x:v>
      </x:c>
      <x:c r="AW242" s="11" t="n">
        <x:v>0.5637447048558482</x:v>
      </x:c>
      <x:c r="AX242" s="12" t="n">
        <x:v>0.7801474945795115</x:v>
      </x:c>
      <x:c r="AY242" s="11"/>
      <x:c r="AZ242" s="11"/>
      <x:c r="BA242" s="11"/>
      <x:c r="BB242" s="11"/>
      <x:c r="BC242" s="11"/>
      <x:c r="BD242" s="11"/>
      <x:c r="BE242" s="11"/>
      <x:c r="BF242" s="11"/>
      <x:c r="BG242" s="11"/>
      <x:c r="BH242" s="11"/>
      <x:c r="BI242" s="11"/>
      <x:c r="BJ242" s="11"/>
      <x:c r="BK242" s="12"/>
      <x:c r="BL242" s="12"/>
      <x:c r="BM242" s="12"/>
      <x:c r="BN242" s="12"/>
      <x:c r="BO242" s="12"/>
      <x:c r="BP242" s="12"/>
      <x:c r="BQ242" s="12"/>
      <x:c r="BR242" s="12"/>
      <x:c r="BS242" s="12"/>
      <x:c r="BT242" s="12"/>
      <x:c r="BU242" s="11" t="n">
        <x:v>0</x:v>
      </x:c>
      <x:c r="BV242" s="11" t="n">
        <x:v>1165172</x:v>
      </x:c>
      <x:c r="BW242" s="11" t="n">
        <x:v>169121</x:v>
      </x:c>
      <x:c r="BX242" s="11" t="n">
        <x:v>7285</x:v>
      </x:c>
      <x:c r="BY242" s="11" t="n">
        <x:v>0</x:v>
      </x:c>
      <x:c r="BZ242" s="11" t="n">
        <x:v>0</x:v>
      </x:c>
      <x:c r="CA242" s="11" t="n">
        <x:v>0</x:v>
      </x:c>
      <x:c r="CB242" s="11" t="n">
        <x:v>19996</x:v>
      </x:c>
      <x:c r="CC242" s="11" t="n">
        <x:v>1121013</x:v>
      </x:c>
      <x:c r="CD242" s="11" t="n">
        <x:v>67483</x:v>
      </x:c>
      <x:c r="CE242" s="11" t="n">
        <x:v>45813</x:v>
      </x:c>
      <x:c r="CF242" s="11" t="n">
        <x:v>25951</x:v>
      </x:c>
      <x:c r="CG242" s="11" t="n">
        <x:v>92696</x:v>
      </x:c>
      <x:c r="CH242" s="11" t="n">
        <x:v>202319</x:v>
      </x:c>
      <x:c r="CI242" s="11" t="n">
        <x:v>128467</x:v>
      </x:c>
      <x:c r="CJ242" s="11" t="n">
        <x:v>0</x:v>
      </x:c>
      <x:c r="CK242" s="11" t="n">
        <x:v>271558</x:v>
      </x:c>
      <x:c r="CL242" s="11" t="n">
        <x:v>0</x:v>
      </x:c>
      <x:c r="CM242" s="11"/>
      <x:c r="CN242" s="11" t="n">
        <x:v>0</x:v>
      </x:c>
      <x:c r="CO242" s="11" t="n">
        <x:v>0</x:v>
      </x:c>
      <x:c r="CP242" s="8"/>
      <x:c r="CQ242" s="8"/>
    </x:row>
    <x:row r="243">
      <x:c r="A243" s="8" t="str">
        <x:v>Fruitvale|2020</x:v>
      </x:c>
      <x:c r="B243" s="8" t="str">
        <x:v>fruitvale-v</x:v>
      </x:c>
      <x:c r="C243" s="8" t="str">
        <x:v>Fruitvale</x:v>
      </x:c>
      <x:c r="D243" s="8" t="str">
        <x:v>Fruitvale</x:v>
      </x:c>
      <x:c r="E243" s="8" t="str">
        <x:v>V</x:v>
      </x:c>
      <x:c r="F243" s="8" t="str">
        <x:v>KOO</x:v>
      </x:c>
      <x:c r="G243" s="9" t="n">
        <x:v>2020</x:v>
      </x:c>
      <x:c r="H243" s="10" t="n">
        <x:v>2026</x:v>
      </x:c>
      <x:c r="I243" s="8" t="str">
        <x:v>Under 5,000</x:v>
      </x:c>
      <x:c r="J243" s="11" t="n">
        <x:v>3535479</x:v>
      </x:c>
      <x:c r="K243" s="11" t="n">
        <x:v>2423020</x:v>
      </x:c>
      <x:c r="L243" s="11" t="n">
        <x:v>1112459</x:v>
      </x:c>
      <x:c r="M243" s="12" t="n">
        <x:v>0.31465580760061085</x:v>
      </x:c>
      <x:c r="N243" s="11" t="n">
        <x:v>1111168</x:v>
      </x:c>
      <x:c r="O243" s="11" t="n">
        <x:v>799965</x:v>
      </x:c>
      <x:c r="P243" s="11" t="n">
        <x:v>1590207</x:v>
      </x:c>
      <x:c r="Q243" s="11" t="n">
        <x:v>34139</x:v>
      </x:c>
      <x:c r="R243" s="11" t="n">
        <x:v>1700795</x:v>
      </x:c>
      <x:c r="S243" s="11" t="n">
        <x:v>641725</x:v>
      </x:c>
      <x:c r="T243" s="11" t="n">
        <x:v>3757681</x:v>
      </x:c>
      <x:c r="U243" s="11" t="n">
        <x:v>4104438</x:v>
      </x:c>
      <x:c r="V243" s="11" t="n">
        <x:v>1226</x:v>
      </x:c>
      <x:c r="W243" s="11" t="n">
        <x:v>0</x:v>
      </x:c>
      <x:c r="X243" s="11" t="n">
        <x:v>2407770</x:v>
      </x:c>
      <x:c r="Y243" s="11" t="n">
        <x:v>0</x:v>
      </x:c>
      <x:c r="Z243" s="11" t="n">
        <x:v>55485</x:v>
      </x:c>
      <x:c r="AA243" s="11" t="n">
        <x:v>2349085</x:v>
      </x:c>
      <x:c r="AB243" s="11" t="n">
        <x:v>80500</x:v>
      </x:c>
      <x:c r="AC243" s="11" t="n">
        <x:v>135985</x:v>
      </x:c>
      <x:c r="AD243" s="11" t="n">
        <x:v>609374</x:v>
      </x:c>
      <x:c r="AE243" s="11" t="n">
        <x:v>473389</x:v>
      </x:c>
      <x:c r="AF243" s="11" t="n">
        <x:v>2437496</x:v>
      </x:c>
      <x:c r="AG243" s="11" t="n">
        <x:v>21961993</x:v>
      </x:c>
      <x:c r="AH243" s="11" t="n">
        <x:v>9369857</x:v>
      </x:c>
      <x:c r="AI243" s="11" t="n">
        <x:v>12592136</x:v>
      </x:c>
      <x:c r="AJ243" s="11" t="n">
        <x:v>473771</x:v>
      </x:c>
      <x:c r="AK243" s="11" t="n">
        <x:v>40325793</x:v>
      </x:c>
      <x:c r="AL243" s="11" t="n">
        <x:v>1108081</x:v>
      </x:c>
      <x:c r="AM243" s="12" t="n">
        <x:v>0.9725217802908427</x:v>
      </x:c>
      <x:c r="AN243" s="12" t="n">
        <x:v>0.011748584832541297</x:v>
      </x:c>
      <x:c r="AO243" s="11" t="n">
        <x:v>3149538</x:v>
      </x:c>
      <x:c r="AP243" s="11" t="n">
        <x:v>2970439</x:v>
      </x:c>
      <x:c r="AQ243" s="12" t="n">
        <x:v>0.9431348343788835</x:v>
      </x:c>
      <x:c r="AR243" s="11" t="n">
        <x:v>1745.0538005923001</x:v>
      </x:c>
      <x:c r="AS243" s="11" t="n">
        <x:v>1195.9624876604146</x:v>
      </x:c>
      <x:c r="AT243" s="11" t="n">
        <x:v>0.6051332675222113</x:v>
      </x:c>
      <x:c r="AU243" s="11" t="n">
        <x:v>0</x:v>
      </x:c>
      <x:c r="AV243" s="11" t="n">
        <x:v>1159.469397828233</x:v>
      </x:c>
      <x:c r="AW243" s="11" t="n">
        <x:v>0.9155165701126439</x:v>
      </x:c>
      <x:c r="AX243" s="12" t="n">
        <x:v>0.7768447620016607</x:v>
      </x:c>
      <x:c r="AY243" s="11"/>
      <x:c r="AZ243" s="11"/>
      <x:c r="BA243" s="11"/>
      <x:c r="BB243" s="11"/>
      <x:c r="BC243" s="11"/>
      <x:c r="BD243" s="11"/>
      <x:c r="BE243" s="11"/>
      <x:c r="BF243" s="11"/>
      <x:c r="BG243" s="11"/>
      <x:c r="BH243" s="11"/>
      <x:c r="BI243" s="11"/>
      <x:c r="BJ243" s="11"/>
      <x:c r="BK243" s="12"/>
      <x:c r="BL243" s="12"/>
      <x:c r="BM243" s="12"/>
      <x:c r="BN243" s="12"/>
      <x:c r="BO243" s="12"/>
      <x:c r="BP243" s="12"/>
      <x:c r="BQ243" s="12"/>
      <x:c r="BR243" s="12"/>
      <x:c r="BS243" s="12"/>
      <x:c r="BT243" s="12"/>
      <x:c r="BU243" s="11" t="n">
        <x:v>3981</x:v>
      </x:c>
      <x:c r="BV243" s="11" t="n">
        <x:v>1287238</x:v>
      </x:c>
      <x:c r="BW243" s="11" t="n">
        <x:v>298988</x:v>
      </x:c>
      <x:c r="BX243" s="11" t="n">
        <x:v>6381</x:v>
      </x:c>
      <x:c r="BY243" s="11" t="n">
        <x:v>0</x:v>
      </x:c>
      <x:c r="BZ243" s="11" t="n">
        <x:v>0</x:v>
      </x:c>
      <x:c r="CA243" s="11" t="n">
        <x:v>0</x:v>
      </x:c>
      <x:c r="CB243" s="11" t="n">
        <x:v>27758</x:v>
      </x:c>
      <x:c r="CC243" s="11" t="n">
        <x:v>673003</x:v>
      </x:c>
      <x:c r="CD243" s="11" t="n">
        <x:v>28125</x:v>
      </x:c>
      <x:c r="CE243" s="11" t="n">
        <x:v>55090</x:v>
      </x:c>
      <x:c r="CF243" s="11" t="n">
        <x:v>18544</x:v>
      </x:c>
      <x:c r="CG243" s="11" t="n">
        <x:v>113488</x:v>
      </x:c>
      <x:c r="CH243" s="11" t="n">
        <x:v>484361</x:v>
      </x:c>
      <x:c r="CI243" s="11" t="n">
        <x:v>119647</x:v>
      </x:c>
      <x:c r="CJ243" s="11" t="n">
        <x:v>0</x:v>
      </x:c>
      <x:c r="CK243" s="11" t="n">
        <x:v>285464</x:v>
      </x:c>
      <x:c r="CL243" s="11" t="n">
        <x:v>0</x:v>
      </x:c>
      <x:c r="CM243" s="11"/>
      <x:c r="CN243" s="11" t="n">
        <x:v>3573</x:v>
      </x:c>
      <x:c r="CO243" s="11" t="n">
        <x:v>0</x:v>
      </x:c>
      <x:c r="CP243" s="8"/>
      <x:c r="CQ243" s="8"/>
    </x:row>
    <x:row r="244">
      <x:c r="A244" s="8" t="str">
        <x:v>Fruitvale|2021</x:v>
      </x:c>
      <x:c r="B244" s="8" t="str">
        <x:v>fruitvale-v</x:v>
      </x:c>
      <x:c r="C244" s="8" t="str">
        <x:v>Fruitvale</x:v>
      </x:c>
      <x:c r="D244" s="8" t="str">
        <x:v>Fruitvale</x:v>
      </x:c>
      <x:c r="E244" s="8" t="str">
        <x:v>V</x:v>
      </x:c>
      <x:c r="F244" s="8" t="str">
        <x:v>KOO</x:v>
      </x:c>
      <x:c r="G244" s="9" t="n">
        <x:v>2021</x:v>
      </x:c>
      <x:c r="H244" s="10" t="n">
        <x:v>2033</x:v>
      </x:c>
      <x:c r="I244" s="8" t="str">
        <x:v>Under 5,000</x:v>
      </x:c>
      <x:c r="J244" s="11" t="n">
        <x:v>3219947</x:v>
      </x:c>
      <x:c r="K244" s="11" t="n">
        <x:v>2457456</x:v>
      </x:c>
      <x:c r="L244" s="11" t="n">
        <x:v>762491</x:v>
      </x:c>
      <x:c r="M244" s="12" t="n">
        <x:v>0.2368023448833164</x:v>
      </x:c>
      <x:c r="N244" s="11" t="n">
        <x:v>1178188</x:v>
      </x:c>
      <x:c r="O244" s="11" t="n">
        <x:v>948603</x:v>
      </x:c>
      <x:c r="P244" s="11" t="n">
        <x:v>1088098</x:v>
      </x:c>
      <x:c r="Q244" s="11" t="n">
        <x:v>5058</x:v>
      </x:c>
      <x:c r="R244" s="11" t="n">
        <x:v>1838071</x:v>
      </x:c>
      <x:c r="S244" s="11" t="n">
        <x:v>549385</x:v>
      </x:c>
      <x:c r="T244" s="11" t="n">
        <x:v>4395851</x:v>
      </x:c>
      <x:c r="U244" s="11" t="n">
        <x:v>4630942</x:v>
      </x:c>
      <x:c r="V244" s="11" t="n">
        <x:v>174334</x:v>
      </x:c>
      <x:c r="W244" s="11" t="n">
        <x:v>0</x:v>
      </x:c>
      <x:c r="X244" s="11" t="n">
        <x:v>2349085</x:v>
      </x:c>
      <x:c r="Y244" s="11" t="n">
        <x:v>0</x:v>
      </x:c>
      <x:c r="Z244" s="11" t="n">
        <x:v>55485</x:v>
      </x:c>
      <x:c r="AA244" s="11" t="n">
        <x:v>2288726</x:v>
      </x:c>
      <x:c r="AB244" s="11" t="n">
        <x:v>70000</x:v>
      </x:c>
      <x:c r="AC244" s="11" t="n">
        <x:v>125485</x:v>
      </x:c>
      <x:c r="AD244" s="11" t="n">
        <x:v>652322</x:v>
      </x:c>
      <x:c r="AE244" s="11" t="n">
        <x:v>526837</x:v>
      </x:c>
      <x:c r="AF244" s="11" t="n">
        <x:v>2609287</x:v>
      </x:c>
      <x:c r="AG244" s="11" t="n">
        <x:v>23100985</x:v>
      </x:c>
      <x:c r="AH244" s="11" t="n">
        <x:v>9542621</x:v>
      </x:c>
      <x:c r="AI244" s="11" t="n">
        <x:v>13558364</x:v>
      </x:c>
      <x:c r="AJ244" s="11" t="n">
        <x:v>1198533</x:v>
      </x:c>
      <x:c r="AK244" s="11" t="n">
        <x:v>43909285</x:v>
      </x:c>
      <x:c r="AL244" s="11" t="n">
        <x:v>1246637</x:v>
      </x:c>
      <x:c r="AM244" s="12" t="n">
        <x:v>0.9716088066567242</x:v>
      </x:c>
      <x:c r="AN244" s="12" t="n">
        <x:v>0.02729566195395803</x:v>
      </x:c>
      <x:c r="AO244" s="11" t="n">
        <x:v>3259532</x:v>
      </x:c>
      <x:c r="AP244" s="11" t="n">
        <x:v>3096829</x:v>
      </x:c>
      <x:c r="AQ244" s="12" t="n">
        <x:v>0.9500839384304249</x:v>
      </x:c>
      <x:c r="AR244" s="11" t="n">
        <x:v>1583.8401377274963</x:v>
      </x:c>
      <x:c r="AS244" s="11" t="n">
        <x:v>1208.7830791933104</x:v>
      </x:c>
      <x:c r="AT244" s="11" t="n">
        <x:v>85.75209050664043</x:v>
      </x:c>
      <x:c r="AU244" s="11" t="n">
        <x:v>0</x:v>
      </x:c>
      <x:c r="AV244" s="11" t="n">
        <x:v>1125.787506148549</x:v>
      </x:c>
      <x:c r="AW244" s="11" t="n">
        <x:v>0.9492347345313329</x:v>
      </x:c>
      <x:c r="AX244" s="12" t="n">
        <x:v>0.8076333467214044</x:v>
      </x:c>
      <x:c r="AY244" s="11"/>
      <x:c r="AZ244" s="11"/>
      <x:c r="BA244" s="11"/>
      <x:c r="BB244" s="11"/>
      <x:c r="BC244" s="11"/>
      <x:c r="BD244" s="11"/>
      <x:c r="BE244" s="11"/>
      <x:c r="BF244" s="11"/>
      <x:c r="BG244" s="11"/>
      <x:c r="BH244" s="11"/>
      <x:c r="BI244" s="11"/>
      <x:c r="BJ244" s="11"/>
      <x:c r="BK244" s="12"/>
      <x:c r="BL244" s="12"/>
      <x:c r="BM244" s="12"/>
      <x:c r="BN244" s="12"/>
      <x:c r="BO244" s="12"/>
      <x:c r="BP244" s="12"/>
      <x:c r="BQ244" s="12"/>
      <x:c r="BR244" s="12"/>
      <x:c r="BS244" s="12"/>
      <x:c r="BT244" s="12"/>
      <x:c r="BU244" s="11" t="n">
        <x:v>272541</x:v>
      </x:c>
      <x:c r="BV244" s="11" t="n">
        <x:v>573718</x:v>
      </x:c>
      <x:c r="BW244" s="11" t="n">
        <x:v>241839</x:v>
      </x:c>
      <x:c r="BX244" s="11" t="n">
        <x:v>5058</x:v>
      </x:c>
      <x:c r="BY244" s="11" t="n">
        <x:v>0</x:v>
      </x:c>
      <x:c r="BZ244" s="11" t="n">
        <x:v>0</x:v>
      </x:c>
      <x:c r="CA244" s="11" t="n">
        <x:v>0</x:v>
      </x:c>
      <x:c r="CB244" s="11" t="n">
        <x:v>0</x:v>
      </x:c>
      <x:c r="CC244" s="11" t="n">
        <x:v>1054587</x:v>
      </x:c>
      <x:c r="CD244" s="11" t="n">
        <x:v>18448</x:v>
      </x:c>
      <x:c r="CE244" s="11" t="n">
        <x:v>59340</x:v>
      </x:c>
      <x:c r="CF244" s="11" t="n">
        <x:v>16587</x:v>
      </x:c>
      <x:c r="CG244" s="11" t="n">
        <x:v>169437</x:v>
      </x:c>
      <x:c r="CH244" s="11" t="n">
        <x:v>222958</x:v>
      </x:c>
      <x:c r="CI244" s="11" t="n">
        <x:v>113864</x:v>
      </x:c>
      <x:c r="CJ244" s="11" t="n">
        <x:v>0</x:v>
      </x:c>
      <x:c r="CK244" s="11" t="n">
        <x:v>212369</x:v>
      </x:c>
      <x:c r="CL244" s="11" t="n">
        <x:v>0</x:v>
      </x:c>
      <x:c r="CM244" s="11"/>
      <x:c r="CN244" s="11" t="n">
        <x:v>40481</x:v>
      </x:c>
      <x:c r="CO244" s="11" t="n">
        <x:v>0</x:v>
      </x:c>
      <x:c r="CP244" s="8"/>
      <x:c r="CQ244" s="8"/>
    </x:row>
    <x:row r="245">
      <x:c r="A245" s="8" t="str">
        <x:v>Fruitvale|2022</x:v>
      </x:c>
      <x:c r="B245" s="8" t="str">
        <x:v>fruitvale-v</x:v>
      </x:c>
      <x:c r="C245" s="8" t="str">
        <x:v>Fruitvale</x:v>
      </x:c>
      <x:c r="D245" s="8" t="str">
        <x:v>Fruitvale</x:v>
      </x:c>
      <x:c r="E245" s="8" t="str">
        <x:v>V</x:v>
      </x:c>
      <x:c r="F245" s="8" t="str">
        <x:v>KOO</x:v>
      </x:c>
      <x:c r="G245" s="9" t="n">
        <x:v>2022</x:v>
      </x:c>
      <x:c r="H245" s="10" t="n">
        <x:v>4917</x:v>
      </x:c>
      <x:c r="I245" s="8" t="str">
        <x:v>Under 5,000</x:v>
      </x:c>
      <x:c r="J245" s="11" t="n">
        <x:v>3127353</x:v>
      </x:c>
      <x:c r="K245" s="11" t="n">
        <x:v>2701914</x:v>
      </x:c>
      <x:c r="L245" s="11" t="n">
        <x:v>425439</x:v>
      </x:c>
      <x:c r="M245" s="12" t="n">
        <x:v>0.1360380487907825</x:v>
      </x:c>
      <x:c r="N245" s="11" t="n">
        <x:v>1365275</x:v>
      </x:c>
      <x:c r="O245" s="11" t="n">
        <x:v>760940</x:v>
      </x:c>
      <x:c r="P245" s="11" t="n">
        <x:v>998652</x:v>
      </x:c>
      <x:c r="Q245" s="11" t="n">
        <x:v>2486</x:v>
      </x:c>
      <x:c r="R245" s="11" t="n">
        <x:v>2066945</x:v>
      </x:c>
      <x:c r="S245" s="11" t="n">
        <x:v>564969</x:v>
      </x:c>
      <x:c r="T245" s="11" t="n">
        <x:v>5568454</x:v>
      </x:c>
      <x:c r="U245" s="11" t="n">
        <x:v>5334601</x:v>
      </x:c>
      <x:c r="V245" s="11" t="n">
        <x:v>796792</x:v>
      </x:c>
      <x:c r="W245" s="11" t="n">
        <x:v>0</x:v>
      </x:c>
      <x:c r="X245" s="11" t="n">
        <x:v>2288726</x:v>
      </x:c>
      <x:c r="Y245" s="11" t="n">
        <x:v>0</x:v>
      </x:c>
      <x:c r="Z245" s="11" t="n">
        <x:v>55486</x:v>
      </x:c>
      <x:c r="AA245" s="11" t="n">
        <x:v>2226645</x:v>
      </x:c>
      <x:c r="AB245" s="11" t="n">
        <x:v>70000</x:v>
      </x:c>
      <x:c r="AC245" s="11" t="n">
        <x:v>125486</x:v>
      </x:c>
      <x:c r="AD245" s="11" t="n">
        <x:v>680527</x:v>
      </x:c>
      <x:c r="AE245" s="11" t="n">
        <x:v>555041</x:v>
      </x:c>
      <x:c r="AF245" s="11" t="n">
        <x:v>2722106</x:v>
      </x:c>
      <x:c r="AG245" s="11" t="n">
        <x:v>23385267</x:v>
      </x:c>
      <x:c r="AH245" s="11" t="n">
        <x:v>10107590</x:v>
      </x:c>
      <x:c r="AI245" s="11" t="n">
        <x:v>13277677</x:v>
      </x:c>
      <x:c r="AJ245" s="11" t="n">
        <x:v>286634</x:v>
      </x:c>
      <x:c r="AK245" s="11" t="n">
        <x:v>45349593</x:v>
      </x:c>
      <x:c r="AL245" s="11" t="n">
        <x:v>1246637</x:v>
      </x:c>
      <x:c r="AM245" s="12" t="n">
        <x:v>0.9725105140414381</x:v>
      </x:c>
      <x:c r="AN245" s="12" t="n">
        <x:v>0.006320541840364477</x:v>
      </x:c>
      <x:c r="AO245" s="11" t="n">
        <x:v>3513108</x:v>
      </x:c>
      <x:c r="AP245" s="11" t="n">
        <x:v>3397530</x:v>
      </x:c>
      <x:c r="AQ245" s="12" t="n">
        <x:v>0.967100926017646</x:v>
      </x:c>
      <x:c r="AR245" s="11" t="n">
        <x:v>636.0286760219647</x:v>
      </x:c>
      <x:c r="AS245" s="11" t="n">
        <x:v>549.5045759609518</x:v>
      </x:c>
      <x:c r="AT245" s="11" t="n">
        <x:v>162.04840349806793</x:v>
      </x:c>
      <x:c r="AU245" s="11" t="n">
        <x:v>0</x:v>
      </x:c>
      <x:c r="AV245" s="11" t="n">
        <x:v>452.84624771201953</x:v>
      </x:c>
      <x:c r="AW245" s="11" t="n">
        <x:v>1.0438370179887868</x:v>
      </x:c>
      <x:c r="AX245" s="12" t="n">
        <x:v>0.8156046710857908</x:v>
      </x:c>
      <x:c r="AY245" s="11"/>
      <x:c r="AZ245" s="11"/>
      <x:c r="BA245" s="11"/>
      <x:c r="BB245" s="11"/>
      <x:c r="BC245" s="11"/>
      <x:c r="BD245" s="11"/>
      <x:c r="BE245" s="11"/>
      <x:c r="BF245" s="11"/>
      <x:c r="BG245" s="11"/>
      <x:c r="BH245" s="11"/>
      <x:c r="BI245" s="11"/>
      <x:c r="BJ245" s="11"/>
      <x:c r="BK245" s="12"/>
      <x:c r="BL245" s="12"/>
      <x:c r="BM245" s="12"/>
      <x:c r="BN245" s="12"/>
      <x:c r="BO245" s="12"/>
      <x:c r="BP245" s="12"/>
      <x:c r="BQ245" s="12"/>
      <x:c r="BR245" s="12"/>
      <x:c r="BS245" s="12"/>
      <x:c r="BT245" s="12"/>
      <x:c r="BU245" s="11" t="n">
        <x:v>51660</x:v>
      </x:c>
      <x:c r="BV245" s="11" t="n">
        <x:v>740211</x:v>
      </x:c>
      <x:c r="BW245" s="11" t="n">
        <x:v>206781</x:v>
      </x:c>
      <x:c r="BX245" s="11" t="n">
        <x:v>2486</x:v>
      </x:c>
      <x:c r="BY245" s="11" t="n">
        <x:v>0</x:v>
      </x:c>
      <x:c r="BZ245" s="11" t="n">
        <x:v>0</x:v>
      </x:c>
      <x:c r="CA245" s="11" t="n">
        <x:v>0</x:v>
      </x:c>
      <x:c r="CB245" s="11" t="n">
        <x:v>0</x:v>
      </x:c>
      <x:c r="CC245" s="11" t="n">
        <x:v>814078</x:v>
      </x:c>
      <x:c r="CD245" s="11" t="n">
        <x:v>21633</x:v>
      </x:c>
      <x:c r="CE245" s="11" t="n">
        <x:v>52518</x:v>
      </x:c>
      <x:c r="CF245" s="11" t="n">
        <x:v>24357</x:v>
      </x:c>
      <x:c r="CG245" s="11" t="n">
        <x:v>135800</x:v>
      </x:c>
      <x:c r="CH245" s="11" t="n">
        <x:v>549849</x:v>
      </x:c>
      <x:c r="CI245" s="11" t="n">
        <x:v>146095</x:v>
      </x:c>
      <x:c r="CJ245" s="11" t="n">
        <x:v>0</x:v>
      </x:c>
      <x:c r="CK245" s="11" t="n">
        <x:v>392615</x:v>
      </x:c>
      <x:c r="CL245" s="11" t="n">
        <x:v>0</x:v>
      </x:c>
      <x:c r="CM245" s="11"/>
      <x:c r="CN245" s="11" t="n">
        <x:v>0</x:v>
      </x:c>
      <x:c r="CO245" s="11" t="n">
        <x:v>0</x:v>
      </x:c>
      <x:c r="CP245" s="8"/>
      <x:c r="CQ245" s="8"/>
    </x:row>
    <x:row r="246">
      <x:c r="A246" s="8" t="str">
        <x:v>Fruitvale|2023</x:v>
      </x:c>
      <x:c r="B246" s="8" t="str">
        <x:v>fruitvale-v</x:v>
      </x:c>
      <x:c r="C246" s="8" t="str">
        <x:v>Fruitvale</x:v>
      </x:c>
      <x:c r="D246" s="8" t="str">
        <x:v>Fruitvale</x:v>
      </x:c>
      <x:c r="E246" s="8" t="str">
        <x:v>V</x:v>
      </x:c>
      <x:c r="F246" s="8" t="str">
        <x:v>KOO</x:v>
      </x:c>
      <x:c r="G246" s="9" t="n">
        <x:v>2023</x:v>
      </x:c>
      <x:c r="H246" s="10" t="n">
        <x:v>2112</x:v>
      </x:c>
      <x:c r="I246" s="8" t="str">
        <x:v>Under 5,000</x:v>
      </x:c>
      <x:c r="J246" s="11" t="n">
        <x:v>7801106</x:v>
      </x:c>
      <x:c r="K246" s="11" t="n">
        <x:v>3493189</x:v>
      </x:c>
      <x:c r="L246" s="11" t="n">
        <x:v>4307917</x:v>
      </x:c>
      <x:c r="M246" s="12" t="n">
        <x:v>0.5522187494952638</x:v>
      </x:c>
      <x:c r="N246" s="11" t="n">
        <x:v>1456217</x:v>
      </x:c>
      <x:c r="O246" s="11" t="n">
        <x:v>925739</x:v>
      </x:c>
      <x:c r="P246" s="11" t="n">
        <x:v>5205760</x:v>
      </x:c>
      <x:c r="Q246" s="11" t="n">
        <x:v>213390</x:v>
      </x:c>
      <x:c r="R246" s="11" t="n">
        <x:v>2507021</x:v>
      </x:c>
      <x:c r="S246" s="11" t="n">
        <x:v>915920</x:v>
      </x:c>
      <x:c r="T246" s="11" t="n">
        <x:v>6221021</x:v>
      </x:c>
      <x:c r="U246" s="11" t="n">
        <x:v>5817189</x:v>
      </x:c>
      <x:c r="V246" s="11" t="n">
        <x:v>1382145</x:v>
      </x:c>
      <x:c r="W246" s="11" t="n">
        <x:v>3826133</x:v>
      </x:c>
      <x:c r="X246" s="11" t="n">
        <x:v>2226645</x:v>
      </x:c>
      <x:c r="Y246" s="11" t="n">
        <x:v>0</x:v>
      </x:c>
      <x:c r="Z246" s="11" t="n">
        <x:v>55486</x:v>
      </x:c>
      <x:c r="AA246" s="11" t="n">
        <x:v>2162790</x:v>
      </x:c>
      <x:c r="AB246" s="11" t="n">
        <x:v>70248</x:v>
      </x:c>
      <x:c r="AC246" s="11" t="n">
        <x:v>125734</x:v>
      </x:c>
      <x:c r="AD246" s="11" t="n">
        <x:v>762994</x:v>
      </x:c>
      <x:c r="AE246" s="11" t="n">
        <x:v>637260</x:v>
      </x:c>
      <x:c r="AF246" s="11" t="n">
        <x:v>3051977</x:v>
      </x:c>
      <x:c r="AG246" s="11" t="n">
        <x:v>27897474</x:v>
      </x:c>
      <x:c r="AH246" s="11" t="n">
        <x:v>10905531</x:v>
      </x:c>
      <x:c r="AI246" s="11" t="n">
        <x:v>16991943</x:v>
      </x:c>
      <x:c r="AJ246" s="11" t="n">
        <x:v>3496112</x:v>
      </x:c>
      <x:c r="AK246" s="11" t="n">
        <x:v>50366980</x:v>
      </x:c>
      <x:c r="AL246" s="11" t="n">
        <x:v>1246637</x:v>
      </x:c>
      <x:c r="AM246" s="12" t="n">
        <x:v>0.9752489230047146</x:v>
      </x:c>
      <x:c r="AN246" s="12" t="n">
        <x:v>0.06941277797477634</x:v>
      </x:c>
      <x:c r="AO246" s="11" t="n">
        <x:v>3695738</x:v>
      </x:c>
      <x:c r="AP246" s="11" t="n">
        <x:v>3523474</x:v>
      </x:c>
      <x:c r="AQ246" s="12" t="n">
        <x:v>0.9533884707195153</x:v>
      </x:c>
      <x:c r="AR246" s="11" t="n">
        <x:v>3693.7054924242425</x:v>
      </x:c>
      <x:c r="AS246" s="11" t="n">
        <x:v>1653.9720643939395</x:v>
      </x:c>
      <x:c r="AT246" s="11" t="n">
        <x:v>654.4247159090909</x:v>
      </x:c>
      <x:c r="AU246" s="11" t="n">
        <x:v>1811.6160037878788</x:v>
      </x:c>
      <x:c r="AV246" s="11" t="n">
        <x:v>1024.0482954545455</x:v>
      </x:c>
      <x:c r="AW246" s="11" t="n">
        <x:v>1.0694204709525512</x:v>
      </x:c>
      <x:c r="AX246" s="12" t="n">
        <x:v>0.835209713313604</x:v>
      </x:c>
      <x:c r="AY246" s="11"/>
      <x:c r="AZ246" s="11"/>
      <x:c r="BA246" s="11"/>
      <x:c r="BB246" s="11"/>
      <x:c r="BC246" s="11"/>
      <x:c r="BD246" s="11"/>
      <x:c r="BE246" s="11"/>
      <x:c r="BF246" s="11"/>
      <x:c r="BG246" s="11"/>
      <x:c r="BH246" s="11"/>
      <x:c r="BI246" s="11"/>
      <x:c r="BJ246" s="11"/>
      <x:c r="BK246" s="12"/>
      <x:c r="BL246" s="12"/>
      <x:c r="BM246" s="12"/>
      <x:c r="BN246" s="12"/>
      <x:c r="BO246" s="12"/>
      <x:c r="BP246" s="12"/>
      <x:c r="BQ246" s="12"/>
      <x:c r="BR246" s="12"/>
      <x:c r="BS246" s="12"/>
      <x:c r="BT246" s="12"/>
      <x:c r="BU246" s="11" t="n">
        <x:v>2887</x:v>
      </x:c>
      <x:c r="BV246" s="11" t="n">
        <x:v>4836350</x:v>
      </x:c>
      <x:c r="BW246" s="11" t="n">
        <x:v>366523</x:v>
      </x:c>
      <x:c r="BX246" s="11" t="n">
        <x:v>213390</x:v>
      </x:c>
      <x:c r="BY246" s="11" t="n">
        <x:v>0</x:v>
      </x:c>
      <x:c r="BZ246" s="11" t="n">
        <x:v>0</x:v>
      </x:c>
      <x:c r="CA246" s="11" t="n">
        <x:v>0</x:v>
      </x:c>
      <x:c r="CB246" s="11" t="n">
        <x:v>0</x:v>
      </x:c>
      <x:c r="CC246" s="11" t="n">
        <x:v>968911</x:v>
      </x:c>
      <x:c r="CD246" s="11" t="n">
        <x:v>17445</x:v>
      </x:c>
      <x:c r="CE246" s="11" t="n">
        <x:v>71062</x:v>
      </x:c>
      <x:c r="CF246" s="11" t="n">
        <x:v>28516</x:v>
      </x:c>
      <x:c r="CG246" s="11" t="n">
        <x:v>169584</x:v>
      </x:c>
      <x:c r="CH246" s="11" t="n">
        <x:v>700104</x:v>
      </x:c>
      <x:c r="CI246" s="11" t="n">
        <x:v>208177</x:v>
      </x:c>
      <x:c r="CJ246" s="11" t="n">
        <x:v>0</x:v>
      </x:c>
      <x:c r="CK246" s="11" t="n">
        <x:v>356421</x:v>
      </x:c>
      <x:c r="CL246" s="11" t="n">
        <x:v>0</x:v>
      </x:c>
      <x:c r="CM246" s="11" t="n">
        <x:v>55855</x:v>
      </x:c>
      <x:c r="CN246" s="11" t="n">
        <x:v>1194</x:v>
      </x:c>
      <x:c r="CO246" s="11" t="n">
        <x:v>0</x:v>
      </x:c>
      <x:c r="CP246" s="8"/>
      <x:c r="CQ246" s="8"/>
    </x:row>
    <x:row r="247">
      <x:c r="A247" s="8" t="str">
        <x:v>Fruitvale|2024</x:v>
      </x:c>
      <x:c r="B247" s="8" t="str">
        <x:v>fruitvale-v</x:v>
      </x:c>
      <x:c r="C247" s="8" t="str">
        <x:v>Fruitvale</x:v>
      </x:c>
      <x:c r="D247" s="8" t="str">
        <x:v>Fruitvale</x:v>
      </x:c>
      <x:c r="E247" s="8" t="str">
        <x:v>V</x:v>
      </x:c>
      <x:c r="F247" s="8" t="str">
        <x:v>KOO</x:v>
      </x:c>
      <x:c r="G247" s="9" t="n">
        <x:v>2024</x:v>
      </x:c>
      <x:c r="H247" s="10" t="n">
        <x:v>2112</x:v>
      </x:c>
      <x:c r="I247" s="8" t="str">
        <x:v>Under 5,000</x:v>
      </x:c>
      <x:c r="J247" s="11" t="n">
        <x:v>4358037</x:v>
      </x:c>
      <x:c r="K247" s="11" t="n">
        <x:v>3460634</x:v>
      </x:c>
      <x:c r="L247" s="11" t="n">
        <x:v>897403</x:v>
      </x:c>
      <x:c r="M247" s="12" t="n">
        <x:v>0.20591908696507166</x:v>
      </x:c>
      <x:c r="N247" s="11" t="n">
        <x:v>1566569</x:v>
      </x:c>
      <x:c r="O247" s="11" t="n">
        <x:v>851236</x:v>
      </x:c>
      <x:c r="P247" s="11" t="n">
        <x:v>1733511</x:v>
      </x:c>
      <x:c r="Q247" s="11" t="n">
        <x:v>206721</x:v>
      </x:c>
      <x:c r="R247" s="11" t="n">
        <x:v>2668803</x:v>
      </x:c>
      <x:c r="S247" s="11" t="n">
        <x:v>720216</x:v>
      </x:c>
      <x:c r="T247" s="11" t="n">
        <x:v>5534088</x:v>
      </x:c>
      <x:c r="U247" s="11" t="n">
        <x:v>5360550</x:v>
      </x:c>
      <x:c r="V247" s="11" t="n">
        <x:v>1344665</x:v>
      </x:c>
      <x:c r="W247" s="11" t="n">
        <x:v>3855070</x:v>
      </x:c>
      <x:c r="X247" s="11" t="n">
        <x:v>2162790</x:v>
      </x:c>
      <x:c r="Y247" s="11" t="n">
        <x:v>0</x:v>
      </x:c>
      <x:c r="Z247" s="11" t="n">
        <x:v>55486</x:v>
      </x:c>
      <x:c r="AA247" s="11" t="n">
        <x:v>2097352</x:v>
      </x:c>
      <x:c r="AB247" s="11" t="n">
        <x:v>71615</x:v>
      </x:c>
      <x:c r="AC247" s="11" t="n">
        <x:v>127101</x:v>
      </x:c>
      <x:c r="AD247" s="11" t="n">
        <x:v>781619</x:v>
      </x:c>
      <x:c r="AE247" s="11" t="n">
        <x:v>654518</x:v>
      </x:c>
      <x:c r="AF247" s="11" t="n">
        <x:v>3126474</x:v>
      </x:c>
      <x:c r="AG247" s="11" t="n">
        <x:v>29200825</x:v>
      </x:c>
      <x:c r="AH247" s="11" t="n">
        <x:v>11300120</x:v>
      </x:c>
      <x:c r="AI247" s="11" t="n">
        <x:v>17900705</x:v>
      </x:c>
      <x:c r="AJ247" s="11" t="n">
        <x:v>1657889</x:v>
      </x:c>
      <x:c r="AK247" s="11" t="n">
        <x:v>49594716</x:v>
      </x:c>
      <x:c r="AL247" s="11" t="n">
        <x:v>1246637</x:v>
      </x:c>
      <x:c r="AM247" s="12" t="n">
        <x:v>0.9748635116692673</x:v>
      </x:c>
      <x:c r="AN247" s="12" t="n">
        <x:v>0.033428742691056036</x:v>
      </x:c>
      <x:c r="AO247" s="11" t="n">
        <x:v>4032081</x:v>
      </x:c>
      <x:c r="AP247" s="11" t="n">
        <x:v>3833447</x:v>
      </x:c>
      <x:c r="AQ247" s="12" t="n">
        <x:v>0.9507366047457876</x:v>
      </x:c>
      <x:c r="AR247" s="11" t="n">
        <x:v>2063.4644886363635</x:v>
      </x:c>
      <x:c r="AS247" s="11" t="n">
        <x:v>1638.5577651515152</x:v>
      </x:c>
      <x:c r="AT247" s="11" t="n">
        <x:v>636.6785037878788</x:v>
      </x:c>
      <x:c r="AU247" s="11" t="n">
        <x:v>1825.3172348484848</x:v>
      </x:c>
      <x:c r="AV247" s="11" t="n">
        <x:v>993.064393939394</x:v>
      </x:c>
      <x:c r="AW247" s="11" t="n">
        <x:v>1.032373170663458</x:v>
      </x:c>
      <x:c r="AX247" s="12" t="n">
        <x:v>0.8373875251241334</x:v>
      </x:c>
      <x:c r="AY247" s="11" t="n">
        <x:v>4648.097865362712</x:v>
      </x:c>
      <x:c r="AZ247" s="11" t="n">
        <x:v>3546.5079302077975</x:v>
      </x:c>
      <x:c r="BA247" s="11" t="n">
        <x:v>3428.422456291105</x:v>
      </x:c>
      <x:c r="BB247" s="11" t="n">
        <x:v>2783.665107049771</x:v>
      </x:c>
      <x:c r="BC247" s="11" t="n">
        <x:v>5030.364110900993</x:v>
      </x:c>
      <x:c r="BD247" s="11" t="n">
        <x:v>2437.8724475115623</x:v>
      </x:c>
      <x:c r="BE247" s="11" t="n">
        <x:v>2420.45</x:v>
      </x:c>
      <x:c r="BF247" s="11" t="n">
        <x:v>1604.3462673977224</x:v>
      </x:c>
      <x:c r="BG247" s="11" t="n">
        <x:v>224.31236112962716</x:v>
      </x:c>
      <x:c r="BH247" s="11" t="n">
        <x:v>518.5374381567245</x:v>
      </x:c>
      <x:c r="BI247" s="11" t="n">
        <x:v>2.204313821553219</x:v>
      </x:c>
      <x:c r="BJ247" s="11" t="n">
        <x:v>1.7099330852451193</x:v>
      </x:c>
      <x:c r="BK247" s="12" t="n">
        <x:v>0.030042455998363887</x:v>
      </x:c>
      <x:c r="BL247" s="12" t="n">
        <x:v>0.02529861000232605</x:v>
      </x:c>
      <x:c r="BM247" s="12" t="n">
        <x:v>0.9786113537119745</x:v>
      </x:c>
      <x:c r="BN247" s="12" t="n">
        <x:v>0.9815511712696461</x:v>
      </x:c>
      <x:c r="BO247" s="12" t="n">
        <x:v>0.9039920521842442</x:v>
      </x:c>
      <x:c r="BP247" s="12" t="n">
        <x:v>0.8619101997275483</x:v>
      </x:c>
      <x:c r="BQ247" s="12" t="n">
        <x:v>0.9333160528846489</x:v>
      </x:c>
      <x:c r="BR247" s="12" t="n">
        <x:v>0.9623635142836453</x:v>
      </x:c>
      <x:c r="BS247" s="12" t="n">
        <x:v>0.20869205825466772</x:v>
      </x:c>
      <x:c r="BT247" s="12" t="n">
        <x:v>0.19976549769108282</x:v>
      </x:c>
      <x:c r="BU247" s="11" t="n">
        <x:v>3624</x:v>
      </x:c>
      <x:c r="BV247" s="11" t="n">
        <x:v>1235346</x:v>
      </x:c>
      <x:c r="BW247" s="11" t="n">
        <x:v>494541</x:v>
      </x:c>
      <x:c r="BX247" s="11" t="n">
        <x:v>206721</x:v>
      </x:c>
      <x:c r="BY247" s="11" t="n">
        <x:v>0</x:v>
      </x:c>
      <x:c r="BZ247" s="11" t="n">
        <x:v>0</x:v>
      </x:c>
      <x:c r="CA247" s="11" t="n">
        <x:v>0</x:v>
      </x:c>
      <x:c r="CB247" s="11" t="n">
        <x:v>0</x:v>
      </x:c>
      <x:c r="CC247" s="11" t="n">
        <x:v>1142358</x:v>
      </x:c>
      <x:c r="CD247" s="11" t="n">
        <x:v>20789</x:v>
      </x:c>
      <x:c r="CE247" s="11" t="n">
        <x:v>26755</x:v>
      </x:c>
      <x:c r="CF247" s="11" t="n">
        <x:v>27985</x:v>
      </x:c>
      <x:c r="CG247" s="11" t="n">
        <x:v>249916</x:v>
      </x:c>
      <x:c r="CH247" s="11" t="n">
        <x:v>609744</x:v>
      </x:c>
      <x:c r="CI247" s="11" t="n">
        <x:v>219380</x:v>
      </x:c>
      <x:c r="CJ247" s="11" t="n">
        <x:v>0</x:v>
      </x:c>
      <x:c r="CK247" s="11" t="n">
        <x:v>356646</x:v>
      </x:c>
      <x:c r="CL247" s="11" t="n">
        <x:v>0</x:v>
      </x:c>
      <x:c r="CM247" s="11" t="n">
        <x:v>57933</x:v>
      </x:c>
      <x:c r="CN247" s="11" t="n">
        <x:v>28912</x:v>
      </x:c>
      <x:c r="CO247" s="11" t="n">
        <x:v>0</x:v>
      </x:c>
      <x:c r="CP247" s="8"/>
      <x:c r="CQ247" s="8"/>
    </x:row>
    <x:row r="248">
      <x:c r="A248" s="8" t="str">
        <x:v>Gibsons|2019</x:v>
      </x:c>
      <x:c r="B248" s="8" t="str">
        <x:v>gibsons-t</x:v>
      </x:c>
      <x:c r="C248" s="8" t="str">
        <x:v>Gibsons</x:v>
      </x:c>
      <x:c r="D248" s="8" t="str">
        <x:v>Gibsons</x:v>
      </x:c>
      <x:c r="E248" s="8" t="str">
        <x:v>T</x:v>
      </x:c>
      <x:c r="F248" s="8" t="str">
        <x:v>SUN</x:v>
      </x:c>
      <x:c r="G248" s="9" t="n">
        <x:v>2019</x:v>
      </x:c>
      <x:c r="H248" s="10" t="n">
        <x:v>4942</x:v>
      </x:c>
      <x:c r="I248" s="8" t="str">
        <x:v>Under 5,000</x:v>
      </x:c>
      <x:c r="J248" s="11" t="n">
        <x:v>12152295</x:v>
      </x:c>
      <x:c r="K248" s="11" t="n">
        <x:v>9457478</x:v>
      </x:c>
      <x:c r="L248" s="11" t="n">
        <x:v>2694817</x:v>
      </x:c>
      <x:c r="M248" s="12" t="n">
        <x:v>0.22175375104044134</x:v>
      </x:c>
      <x:c r="N248" s="11" t="n">
        <x:v>4963167</x:v>
      </x:c>
      <x:c r="O248" s="11" t="n">
        <x:v>2648915</x:v>
      </x:c>
      <x:c r="P248" s="11" t="n">
        <x:v>2574457</x:v>
      </x:c>
      <x:c r="Q248" s="11" t="n">
        <x:v>1965756</x:v>
      </x:c>
      <x:c r="R248" s="11" t="n">
        <x:v>7521080</x:v>
      </x:c>
      <x:c r="S248" s="11" t="n">
        <x:v>1545014</x:v>
      </x:c>
      <x:c r="T248" s="11" t="n">
        <x:v>5457500</x:v>
      </x:c>
      <x:c r="U248" s="11" t="n">
        <x:v>10587502</x:v>
      </x:c>
      <x:c r="V248" s="11" t="n">
        <x:v>-2325894</x:v>
      </x:c>
      <x:c r="W248" s="11" t="n">
        <x:v>1797690</x:v>
      </x:c>
      <x:c r="X248" s="11" t="n">
        <x:v>7591007</x:v>
      </x:c>
      <x:c r="Y248" s="11" t="n">
        <x:v>0</x:v>
      </x:c>
      <x:c r="Z248" s="11" t="n">
        <x:v>459834</x:v>
      </x:c>
      <x:c r="AA248" s="11" t="n">
        <x:v>6979854</x:v>
      </x:c>
      <x:c r="AB248" s="11" t="n">
        <x:v>391384</x:v>
      </x:c>
      <x:c r="AC248" s="11" t="n">
        <x:v>851218</x:v>
      </x:c>
      <x:c r="AD248" s="11" t="n">
        <x:v>2368225</x:v>
      </x:c>
      <x:c r="AE248" s="11" t="n">
        <x:v>1138894</x:v>
      </x:c>
      <x:c r="AF248" s="11" t="n">
        <x:v>9472898</x:v>
      </x:c>
      <x:c r="AG248" s="11" t="n">
        <x:v>81566786</x:v>
      </x:c>
      <x:c r="AH248" s="11" t="n">
        <x:v>24836821</x:v>
      </x:c>
      <x:c r="AI248" s="11" t="n">
        <x:v>56729965</x:v>
      </x:c>
      <x:c r="AJ248" s="11" t="n">
        <x:v>3862675</x:v>
      </x:c>
      <x:c r="AK248" s="11" t="n">
        <x:v>13873509</x:v>
      </x:c>
      <x:c r="AL248" s="11" t="n">
        <x:v>0</x:v>
      </x:c>
      <x:c r="AM248" s="12" t="n">
        <x:v>1</x:v>
      </x:c>
      <x:c r="AN248" s="12" t="n">
        <x:v>0.2784209099514766</x:v>
      </x:c>
      <x:c r="AO248" s="11" t="n">
        <x:v>11348608</x:v>
      </x:c>
      <x:c r="AP248" s="11" t="n">
        <x:v>10888302</x:v>
      </x:c>
      <x:c r="AQ248" s="12" t="n">
        <x:v>0.9594394308094878</x:v>
      </x:c>
      <x:c r="AR248" s="11" t="n">
        <x:v>2458.983205180089</x:v>
      </x:c>
      <x:c r="AS248" s="11" t="n">
        <x:v>1913.694455685957</x:v>
      </x:c>
      <x:c r="AT248" s="11" t="n">
        <x:v>-470.6382031566168</x:v>
      </x:c>
      <x:c r="AU248" s="11" t="n">
        <x:v>363.7575880210441</x:v>
      </x:c>
      <x:c r="AV248" s="11" t="n">
        <x:v>1412.3541076487252</x:v>
      </x:c>
      <x:c r="AW248" s="11" t="n">
        <x:v>0.5154662544573781</x:v>
      </x:c>
      <x:c r="AX248" s="12" t="n">
        <x:v>0.4809061638991228</x:v>
      </x:c>
      <x:c r="AY248" s="11"/>
      <x:c r="AZ248" s="11"/>
      <x:c r="BA248" s="11"/>
      <x:c r="BB248" s="11"/>
      <x:c r="BC248" s="11"/>
      <x:c r="BD248" s="11"/>
      <x:c r="BE248" s="11"/>
      <x:c r="BF248" s="11"/>
      <x:c r="BG248" s="11"/>
      <x:c r="BH248" s="11"/>
      <x:c r="BI248" s="11"/>
      <x:c r="BJ248" s="11"/>
      <x:c r="BK248" s="12"/>
      <x:c r="BL248" s="12"/>
      <x:c r="BM248" s="12"/>
      <x:c r="BN248" s="12"/>
      <x:c r="BO248" s="12"/>
      <x:c r="BP248" s="12"/>
      <x:c r="BQ248" s="12"/>
      <x:c r="BR248" s="12"/>
      <x:c r="BS248" s="12"/>
      <x:c r="BT248" s="12"/>
      <x:c r="BU248" s="11" t="n">
        <x:v>638000</x:v>
      </x:c>
      <x:c r="BV248" s="11" t="n">
        <x:v>1936457</x:v>
      </x:c>
      <x:c r="BW248" s="11" t="n">
        <x:v>0</x:v>
      </x:c>
      <x:c r="BX248" s="11" t="n">
        <x:v>282582</x:v>
      </x:c>
      <x:c r="BY248" s="11" t="n">
        <x:v>0</x:v>
      </x:c>
      <x:c r="BZ248" s="11" t="n">
        <x:v>454560</x:v>
      </x:c>
      <x:c r="CA248" s="11" t="n">
        <x:v>0</x:v>
      </x:c>
      <x:c r="CB248" s="11" t="n">
        <x:v>1228614</x:v>
      </x:c>
      <x:c r="CC248" s="11" t="n">
        <x:v>2199910</x:v>
      </x:c>
      <x:c r="CD248" s="11" t="n">
        <x:v>244937</x:v>
      </x:c>
      <x:c r="CE248" s="11" t="n">
        <x:v>592825</x:v>
      </x:c>
      <x:c r="CF248" s="11" t="n">
        <x:v>0</x:v>
      </x:c>
      <x:c r="CG248" s="11" t="n">
        <x:v>433748</x:v>
      </x:c>
      <x:c r="CH248" s="11" t="n">
        <x:v>1057407</x:v>
      </x:c>
      <x:c r="CI248" s="11" t="n">
        <x:v>913257</x:v>
      </x:c>
      <x:c r="CJ248" s="11" t="n">
        <x:v>1128948</x:v>
      </x:c>
      <x:c r="CK248" s="11" t="n">
        <x:v>1065002</x:v>
      </x:c>
      <x:c r="CL248" s="11" t="n">
        <x:v>275780</x:v>
      </x:c>
      <x:c r="CM248" s="11"/>
      <x:c r="CN248" s="11" t="n">
        <x:v>650</x:v>
      </x:c>
      <x:c r="CO248" s="11" t="n">
        <x:v>0</x:v>
      </x:c>
      <x:c r="CP248" s="8"/>
      <x:c r="CQ248" s="8"/>
    </x:row>
    <x:row r="249">
      <x:c r="A249" s="8" t="str">
        <x:v>Gibsons|2020</x:v>
      </x:c>
      <x:c r="B249" s="8" t="str">
        <x:v>gibsons-t</x:v>
      </x:c>
      <x:c r="C249" s="8" t="str">
        <x:v>Gibsons</x:v>
      </x:c>
      <x:c r="D249" s="8" t="str">
        <x:v>Gibsons</x:v>
      </x:c>
      <x:c r="E249" s="8" t="str">
        <x:v>T</x:v>
      </x:c>
      <x:c r="F249" s="8" t="str">
        <x:v>SUN</x:v>
      </x:c>
      <x:c r="G249" s="9" t="n">
        <x:v>2020</x:v>
      </x:c>
      <x:c r="H249" s="10" t="n">
        <x:v>4816</x:v>
      </x:c>
      <x:c r="I249" s="8" t="str">
        <x:v>Under 5,000</x:v>
      </x:c>
      <x:c r="J249" s="11" t="n">
        <x:v>12443631</x:v>
      </x:c>
      <x:c r="K249" s="11" t="n">
        <x:v>9283894</x:v>
      </x:c>
      <x:c r="L249" s="11" t="n">
        <x:v>3159737</x:v>
      </x:c>
      <x:c r="M249" s="12" t="n">
        <x:v>0.253924035516643</x:v>
      </x:c>
      <x:c r="N249" s="11" t="n">
        <x:v>5132971</x:v>
      </x:c>
      <x:c r="O249" s="11" t="n">
        <x:v>2938397</x:v>
      </x:c>
      <x:c r="P249" s="11" t="n">
        <x:v>2619118</x:v>
      </x:c>
      <x:c r="Q249" s="11" t="n">
        <x:v>1753145</x:v>
      </x:c>
      <x:c r="R249" s="11" t="n">
        <x:v>7365556</x:v>
      </x:c>
      <x:c r="S249" s="11" t="n">
        <x:v>1559736</x:v>
      </x:c>
      <x:c r="T249" s="11" t="n">
        <x:v>11923838</x:v>
      </x:c>
      <x:c r="U249" s="11" t="n">
        <x:v>15791907</x:v>
      </x:c>
      <x:c r="V249" s="11" t="n">
        <x:v>-2123396</x:v>
      </x:c>
      <x:c r="W249" s="11" t="n">
        <x:v>1914731</x:v>
      </x:c>
      <x:c r="X249" s="11" t="n">
        <x:v>6979854</x:v>
      </x:c>
      <x:c r="Y249" s="11" t="n">
        <x:v>3311510</x:v>
      </x:c>
      <x:c r="Z249" s="11" t="n">
        <x:v>564647</x:v>
      </x:c>
      <x:c r="AA249" s="11" t="n">
        <x:v>9602508</x:v>
      </x:c>
      <x:c r="AB249" s="11" t="n">
        <x:v>358602</x:v>
      </x:c>
      <x:c r="AC249" s="11" t="n">
        <x:v>923249</x:v>
      </x:c>
      <x:c r="AD249" s="11" t="n">
        <x:v>2419668</x:v>
      </x:c>
      <x:c r="AE249" s="11" t="n">
        <x:v>1075686</x:v>
      </x:c>
      <x:c r="AF249" s="11" t="n">
        <x:v>9678671</x:v>
      </x:c>
      <x:c r="AG249" s="11" t="n">
        <x:v>85953536</x:v>
      </x:c>
      <x:c r="AH249" s="11" t="n">
        <x:v>26274809</x:v>
      </x:c>
      <x:c r="AI249" s="11" t="n">
        <x:v>59678727</x:v>
      </x:c>
      <x:c r="AJ249" s="11" t="n">
        <x:v>4518426</x:v>
      </x:c>
      <x:c r="AK249" s="11" t="n">
        <x:v>15319236</x:v>
      </x:c>
      <x:c r="AL249" s="11" t="n">
        <x:v>0</x:v>
      </x:c>
      <x:c r="AM249" s="12" t="n">
        <x:v>1</x:v>
      </x:c>
      <x:c r="AN249" s="12" t="n">
        <x:v>0.294951132027733</x:v>
      </x:c>
      <x:c r="AO249" s="11" t="n">
        <x:v>11319614</x:v>
      </x:c>
      <x:c r="AP249" s="11" t="n">
        <x:v>10898114</x:v>
      </x:c>
      <x:c r="AQ249" s="12" t="n">
        <x:v>0.9627637479511227</x:v>
      </x:c>
      <x:c r="AR249" s="11" t="n">
        <x:v>2583.81042358804</x:v>
      </x:c>
      <x:c r="AS249" s="11" t="n">
        <x:v>1927.718853820598</x:v>
      </x:c>
      <x:c r="AT249" s="11" t="n">
        <x:v>-440.9044850498339</x:v>
      </x:c>
      <x:c r="AU249" s="11" t="n">
        <x:v>397.57703488372096</x:v>
      </x:c>
      <x:c r="AV249" s="11" t="n">
        <x:v>1993.876245847176</x:v>
      </x:c>
      <x:c r="AW249" s="11" t="n">
        <x:v>0.7550600443632298</x:v>
      </x:c>
      <x:c r="AX249" s="12" t="n">
        <x:v>0.44455933623951716</x:v>
      </x:c>
      <x:c r="AY249" s="11"/>
      <x:c r="AZ249" s="11"/>
      <x:c r="BA249" s="11"/>
      <x:c r="BB249" s="11"/>
      <x:c r="BC249" s="11"/>
      <x:c r="BD249" s="11"/>
      <x:c r="BE249" s="11"/>
      <x:c r="BF249" s="11"/>
      <x:c r="BG249" s="11"/>
      <x:c r="BH249" s="11"/>
      <x:c r="BI249" s="11"/>
      <x:c r="BJ249" s="11"/>
      <x:c r="BK249" s="12"/>
      <x:c r="BL249" s="12"/>
      <x:c r="BM249" s="12"/>
      <x:c r="BN249" s="12"/>
      <x:c r="BO249" s="12"/>
      <x:c r="BP249" s="12"/>
      <x:c r="BQ249" s="12"/>
      <x:c r="BR249" s="12"/>
      <x:c r="BS249" s="12"/>
      <x:c r="BT249" s="12"/>
      <x:c r="BU249" s="11" t="n">
        <x:v>0</x:v>
      </x:c>
      <x:c r="BV249" s="11" t="n">
        <x:v>2619118</x:v>
      </x:c>
      <x:c r="BW249" s="11" t="n">
        <x:v>0</x:v>
      </x:c>
      <x:c r="BX249" s="11" t="n">
        <x:v>218112</x:v>
      </x:c>
      <x:c r="BY249" s="11" t="n">
        <x:v>0</x:v>
      </x:c>
      <x:c r="BZ249" s="11" t="n">
        <x:v>524621</x:v>
      </x:c>
      <x:c r="CA249" s="11" t="n">
        <x:v>0</x:v>
      </x:c>
      <x:c r="CB249" s="11" t="n">
        <x:v>1010412</x:v>
      </x:c>
      <x:c r="CC249" s="11" t="n">
        <x:v>2186229</x:v>
      </x:c>
      <x:c r="CD249" s="11" t="n">
        <x:v>250279</x:v>
      </x:c>
      <x:c r="CE249" s="11" t="n">
        <x:v>664784</x:v>
      </x:c>
      <x:c r="CF249" s="11" t="n">
        <x:v>0</x:v>
      </x:c>
      <x:c r="CG249" s="11" t="n">
        <x:v>598886</x:v>
      </x:c>
      <x:c r="CH249" s="11" t="n">
        <x:v>925745</x:v>
      </x:c>
      <x:c r="CI249" s="11" t="n">
        <x:v>760748</x:v>
      </x:c>
      <x:c r="CJ249" s="11" t="n">
        <x:v>1028681</x:v>
      </x:c>
      <x:c r="CK249" s="11" t="n">
        <x:v>1063331</x:v>
      </x:c>
      <x:c r="CL249" s="11" t="n">
        <x:v>235547</x:v>
      </x:c>
      <x:c r="CM249" s="11"/>
      <x:c r="CN249" s="11" t="n">
        <x:v>9928</x:v>
      </x:c>
      <x:c r="CO249" s="11" t="n">
        <x:v>0</x:v>
      </x:c>
      <x:c r="CP249" s="8"/>
      <x:c r="CQ249" s="8"/>
    </x:row>
    <x:row r="250">
      <x:c r="A250" s="8" t="str">
        <x:v>Gibsons|2021</x:v>
      </x:c>
      <x:c r="B250" s="8" t="str">
        <x:v>gibsons-t</x:v>
      </x:c>
      <x:c r="C250" s="8" t="str">
        <x:v>Gibsons</x:v>
      </x:c>
      <x:c r="D250" s="8" t="str">
        <x:v>Gibsons</x:v>
      </x:c>
      <x:c r="E250" s="8" t="str">
        <x:v>T</x:v>
      </x:c>
      <x:c r="F250" s="8" t="str">
        <x:v>SUN</x:v>
      </x:c>
      <x:c r="G250" s="9" t="n">
        <x:v>2021</x:v>
      </x:c>
      <x:c r="H250" s="10" t="n">
        <x:v>4968</x:v>
      </x:c>
      <x:c r="I250" s="8" t="str">
        <x:v>Under 5,000</x:v>
      </x:c>
      <x:c r="J250" s="11" t="n">
        <x:v>12639470</x:v>
      </x:c>
      <x:c r="K250" s="11" t="n">
        <x:v>9681799</x:v>
      </x:c>
      <x:c r="L250" s="11" t="n">
        <x:v>2957671</x:v>
      </x:c>
      <x:c r="M250" s="12" t="n">
        <x:v>0.23400277068579617</x:v>
      </x:c>
      <x:c r="N250" s="11" t="n">
        <x:v>5435690</x:v>
      </x:c>
      <x:c r="O250" s="11" t="n">
        <x:v>3045130</x:v>
      </x:c>
      <x:c r="P250" s="11" t="n">
        <x:v>1166272</x:v>
      </x:c>
      <x:c r="Q250" s="11" t="n">
        <x:v>2992378</x:v>
      </x:c>
      <x:c r="R250" s="11" t="n">
        <x:v>7562735</x:v>
      </x:c>
      <x:c r="S250" s="11" t="n">
        <x:v>1762094</x:v>
      </x:c>
      <x:c r="T250" s="11" t="n">
        <x:v>16847915</x:v>
      </x:c>
      <x:c r="U250" s="11" t="n">
        <x:v>19278660</x:v>
      </x:c>
      <x:c r="V250" s="11" t="n">
        <x:v>-799307</x:v>
      </x:c>
      <x:c r="W250" s="11" t="n">
        <x:v>2358235</x:v>
      </x:c>
      <x:c r="X250" s="11" t="n">
        <x:v>9602508</x:v>
      </x:c>
      <x:c r="Y250" s="11" t="n">
        <x:v>960000</x:v>
      </x:c>
      <x:c r="Z250" s="11" t="n">
        <x:v>398650</x:v>
      </x:c>
      <x:c r="AA250" s="11" t="n">
        <x:v>10031442</x:v>
      </x:c>
      <x:c r="AB250" s="11" t="n">
        <x:v>356970</x:v>
      </x:c>
      <x:c r="AC250" s="11" t="n">
        <x:v>755620</x:v>
      </x:c>
      <x:c r="AD250" s="11" t="n">
        <x:v>2547571</x:v>
      </x:c>
      <x:c r="AE250" s="11" t="n">
        <x:v>1689459</x:v>
      </x:c>
      <x:c r="AF250" s="11" t="n">
        <x:v>10190283</x:v>
      </x:c>
      <x:c r="AG250" s="11" t="n">
        <x:v>89206730</x:v>
      </x:c>
      <x:c r="AH250" s="11" t="n">
        <x:v>27911279</x:v>
      </x:c>
      <x:c r="AI250" s="11" t="n">
        <x:v>61295451</x:v>
      </x:c>
      <x:c r="AJ250" s="11" t="n">
        <x:v>3388119</x:v>
      </x:c>
      <x:c r="AK250" s="11" t="n">
        <x:v>12416453</x:v>
      </x:c>
      <x:c r="AL250" s="11" t="n">
        <x:v>0</x:v>
      </x:c>
      <x:c r="AM250" s="12" t="n">
        <x:v>1</x:v>
      </x:c>
      <x:c r="AN250" s="12" t="n">
        <x:v>0.27287333991438617</x:v>
      </x:c>
      <x:c r="AO250" s="11" t="n">
        <x:v>12546178</x:v>
      </x:c>
      <x:c r="AP250" s="11" t="n">
        <x:v>12252673</x:v>
      </x:c>
      <x:c r="AQ250" s="12" t="n">
        <x:v>0.9766060229657191</x:v>
      </x:c>
      <x:c r="AR250" s="11" t="n">
        <x:v>2544.176731078905</x:v>
      </x:c>
      <x:c r="AS250" s="11" t="n">
        <x:v>1948.8323268921094</x:v>
      </x:c>
      <x:c r="AT250" s="11" t="n">
        <x:v>-160.89110305958133</x:v>
      </x:c>
      <x:c r="AU250" s="11" t="n">
        <x:v>474.6849838969404</x:v>
      </x:c>
      <x:c r="AV250" s="11" t="n">
        <x:v>2019.211352657005</x:v>
      </x:c>
      <x:c r="AW250" s="11" t="n">
        <x:v>0.8739152513712053</x:v>
      </x:c>
      <x:c r="AX250" s="12" t="n">
        <x:v>0.6631646380022382</x:v>
      </x:c>
      <x:c r="AY250" s="11"/>
      <x:c r="AZ250" s="11"/>
      <x:c r="BA250" s="11"/>
      <x:c r="BB250" s="11"/>
      <x:c r="BC250" s="11"/>
      <x:c r="BD250" s="11"/>
      <x:c r="BE250" s="11"/>
      <x:c r="BF250" s="11"/>
      <x:c r="BG250" s="11"/>
      <x:c r="BH250" s="11"/>
      <x:c r="BI250" s="11"/>
      <x:c r="BJ250" s="11"/>
      <x:c r="BK250" s="12"/>
      <x:c r="BL250" s="12"/>
      <x:c r="BM250" s="12"/>
      <x:c r="BN250" s="12"/>
      <x:c r="BO250" s="12"/>
      <x:c r="BP250" s="12"/>
      <x:c r="BQ250" s="12"/>
      <x:c r="BR250" s="12"/>
      <x:c r="BS250" s="12"/>
      <x:c r="BT250" s="12"/>
      <x:c r="BU250" s="11" t="n">
        <x:v>0</x:v>
      </x:c>
      <x:c r="BV250" s="11" t="n">
        <x:v>1166272</x:v>
      </x:c>
      <x:c r="BW250" s="11" t="n">
        <x:v>0</x:v>
      </x:c>
      <x:c r="BX250" s="11" t="n">
        <x:v>221457</x:v>
      </x:c>
      <x:c r="BY250" s="11" t="n">
        <x:v>0</x:v>
      </x:c>
      <x:c r="BZ250" s="11" t="n">
        <x:v>1656063</x:v>
      </x:c>
      <x:c r="CA250" s="11" t="n">
        <x:v>0</x:v>
      </x:c>
      <x:c r="CB250" s="11" t="n">
        <x:v>1114858</x:v>
      </x:c>
      <x:c r="CC250" s="11" t="n">
        <x:v>2330595</x:v>
      </x:c>
      <x:c r="CD250" s="11" t="n">
        <x:v>220599</x:v>
      </x:c>
      <x:c r="CE250" s="11" t="n">
        <x:v>659990</x:v>
      </x:c>
      <x:c r="CF250" s="11" t="n">
        <x:v>0</x:v>
      </x:c>
      <x:c r="CG250" s="11" t="n">
        <x:v>543294</x:v>
      </x:c>
      <x:c r="CH250" s="11" t="n">
        <x:v>1135457</x:v>
      </x:c>
      <x:c r="CI250" s="11" t="n">
        <x:v>741761</x:v>
      </x:c>
      <x:c r="CJ250" s="11" t="n">
        <x:v>913948</x:v>
      </x:c>
      <x:c r="CK250" s="11" t="n">
        <x:v>1105327</x:v>
      </x:c>
      <x:c r="CL250" s="11" t="n">
        <x:v>259433</x:v>
      </x:c>
      <x:c r="CM250" s="11"/>
      <x:c r="CN250" s="11" t="n">
        <x:v>9301</x:v>
      </x:c>
      <x:c r="CO250" s="11" t="n">
        <x:v>0</x:v>
      </x:c>
      <x:c r="CP250" s="8"/>
      <x:c r="CQ250" s="8"/>
    </x:row>
    <x:row r="251">
      <x:c r="A251" s="8" t="str">
        <x:v>Gibsons|2022</x:v>
      </x:c>
      <x:c r="B251" s="8" t="str">
        <x:v>gibsons-t</x:v>
      </x:c>
      <x:c r="C251" s="8" t="str">
        <x:v>Gibsons</x:v>
      </x:c>
      <x:c r="D251" s="8" t="str">
        <x:v>Gibsons</x:v>
      </x:c>
      <x:c r="E251" s="8" t="str">
        <x:v>T</x:v>
      </x:c>
      <x:c r="F251" s="8" t="str">
        <x:v>SUN</x:v>
      </x:c>
      <x:c r="G251" s="9" t="n">
        <x:v>2022</x:v>
      </x:c>
      <x:c r="H251" s="10" t="n">
        <x:v>1269</x:v>
      </x:c>
      <x:c r="I251" s="8" t="str">
        <x:v>Under 5,000</x:v>
      </x:c>
      <x:c r="J251" s="11" t="n">
        <x:v>12308161</x:v>
      </x:c>
      <x:c r="K251" s="11" t="n">
        <x:v>11387519</x:v>
      </x:c>
      <x:c r="L251" s="11" t="n">
        <x:v>920642</x:v>
      </x:c>
      <x:c r="M251" s="12" t="n">
        <x:v>0.07479931404862189</x:v>
      </x:c>
      <x:c r="N251" s="11" t="n">
        <x:v>5621462</x:v>
      </x:c>
      <x:c r="O251" s="11" t="n">
        <x:v>3093874</x:v>
      </x:c>
      <x:c r="P251" s="11" t="n">
        <x:v>1324804</x:v>
      </x:c>
      <x:c r="Q251" s="11" t="n">
        <x:v>2268021</x:v>
      </x:c>
      <x:c r="R251" s="11" t="n">
        <x:v>9142796</x:v>
      </x:c>
      <x:c r="S251" s="11" t="n">
        <x:v>1827144</x:v>
      </x:c>
      <x:c r="T251" s="11" t="n">
        <x:v>17306023</x:v>
      </x:c>
      <x:c r="U251" s="11" t="n">
        <x:v>19212824</x:v>
      </x:c>
      <x:c r="V251" s="11" t="n">
        <x:v>-104438</x:v>
      </x:c>
      <x:c r="W251" s="11" t="n">
        <x:v>2149783</x:v>
      </x:c>
      <x:c r="X251" s="11" t="n">
        <x:v>10031442</x:v>
      </x:c>
      <x:c r="Y251" s="11" t="n">
        <x:v>43000</x:v>
      </x:c>
      <x:c r="Z251" s="11" t="n">
        <x:v>441464</x:v>
      </x:c>
      <x:c r="AA251" s="11" t="n">
        <x:v>9485914</x:v>
      </x:c>
      <x:c r="AB251" s="11" t="n">
        <x:v>417579</x:v>
      </x:c>
      <x:c r="AC251" s="11" t="n">
        <x:v>859043</x:v>
      </x:c>
      <x:c r="AD251" s="11" t="n">
        <x:v>2750532</x:v>
      </x:c>
      <x:c r="AE251" s="11" t="n">
        <x:v>1788922</x:v>
      </x:c>
      <x:c r="AF251" s="11" t="n">
        <x:v>11002127</x:v>
      </x:c>
      <x:c r="AG251" s="11" t="n">
        <x:v>91073642</x:v>
      </x:c>
      <x:c r="AH251" s="11" t="n">
        <x:v>29565305</x:v>
      </x:c>
      <x:c r="AI251" s="11" t="n">
        <x:v>61508337</x:v>
      </x:c>
      <x:c r="AJ251" s="11" t="n">
        <x:v>2054764</x:v>
      </x:c>
      <x:c r="AK251" s="11" t="n">
        <x:v>13537433</x:v>
      </x:c>
      <x:c r="AL251" s="11" t="n">
        <x:v>0</x:v>
      </x:c>
      <x:c r="AM251" s="12" t="n">
        <x:v>1</x:v>
      </x:c>
      <x:c r="AN251" s="12" t="n">
        <x:v>0.1517838721713341</x:v>
      </x:c>
      <x:c r="AO251" s="11" t="n">
        <x:v>12941319</x:v>
      </x:c>
      <x:c r="AP251" s="11" t="n">
        <x:v>12642963</x:v>
      </x:c>
      <x:c r="AQ251" s="12" t="n">
        <x:v>0.976945472096005</x:v>
      </x:c>
      <x:c r="AR251" s="11" t="n">
        <x:v>9699.1024428684</x:v>
      </x:c>
      <x:c r="AS251" s="11" t="n">
        <x:v>8973.616233254532</x:v>
      </x:c>
      <x:c r="AT251" s="11" t="n">
        <x:v>-82.29944838455476</x:v>
      </x:c>
      <x:c r="AU251" s="11" t="n">
        <x:v>1694.076438140268</x:v>
      </x:c>
      <x:c r="AV251" s="11" t="n">
        <x:v>7475.109535066982</x:v>
      </x:c>
      <x:c r="AW251" s="11" t="n">
        <x:v>0.9007537361503962</x:v>
      </x:c>
      <x:c r="AX251" s="12" t="n">
        <x:v>0.6503912697616315</x:v>
      </x:c>
      <x:c r="AY251" s="11"/>
      <x:c r="AZ251" s="11"/>
      <x:c r="BA251" s="11"/>
      <x:c r="BB251" s="11"/>
      <x:c r="BC251" s="11"/>
      <x:c r="BD251" s="11"/>
      <x:c r="BE251" s="11"/>
      <x:c r="BF251" s="11"/>
      <x:c r="BG251" s="11"/>
      <x:c r="BH251" s="11"/>
      <x:c r="BI251" s="11"/>
      <x:c r="BJ251" s="11"/>
      <x:c r="BK251" s="12"/>
      <x:c r="BL251" s="12"/>
      <x:c r="BM251" s="12"/>
      <x:c r="BN251" s="12"/>
      <x:c r="BO251" s="12"/>
      <x:c r="BP251" s="12"/>
      <x:c r="BQ251" s="12"/>
      <x:c r="BR251" s="12"/>
      <x:c r="BS251" s="12"/>
      <x:c r="BT251" s="12"/>
      <x:c r="BU251" s="11" t="n">
        <x:v>38464</x:v>
      </x:c>
      <x:c r="BV251" s="11" t="n">
        <x:v>998995</x:v>
      </x:c>
      <x:c r="BW251" s="11" t="n">
        <x:v>287345</x:v>
      </x:c>
      <x:c r="BX251" s="11" t="n">
        <x:v>528079</x:v>
      </x:c>
      <x:c r="BY251" s="11" t="n">
        <x:v>0</x:v>
      </x:c>
      <x:c r="BZ251" s="11" t="n">
        <x:v>470166</x:v>
      </x:c>
      <x:c r="CA251" s="11" t="n">
        <x:v>0</x:v>
      </x:c>
      <x:c r="CB251" s="11" t="n">
        <x:v>1269776</x:v>
      </x:c>
      <x:c r="CC251" s="11" t="n">
        <x:v>2633646</x:v>
      </x:c>
      <x:c r="CD251" s="11" t="n">
        <x:v>227670</x:v>
      </x:c>
      <x:c r="CE251" s="11" t="n">
        <x:v>603836</x:v>
      </x:c>
      <x:c r="CF251" s="11" t="n">
        <x:v>0</x:v>
      </x:c>
      <x:c r="CG251" s="11" t="n">
        <x:v>962097</x:v>
      </x:c>
      <x:c r="CH251" s="11" t="n">
        <x:v>1536232</x:v>
      </x:c>
      <x:c r="CI251" s="11" t="n">
        <x:v>826376</x:v>
      </x:c>
      <x:c r="CJ251" s="11" t="n">
        <x:v>1057454</x:v>
      </x:c>
      <x:c r="CK251" s="11" t="n">
        <x:v>1445764</x:v>
      </x:c>
      <x:c r="CL251" s="11" t="n">
        <x:v>252566</x:v>
      </x:c>
      <x:c r="CM251" s="11"/>
      <x:c r="CN251" s="11" t="n">
        <x:v>14734</x:v>
      </x:c>
      <x:c r="CO251" s="11" t="n">
        <x:v>0</x:v>
      </x:c>
      <x:c r="CP251" s="8"/>
      <x:c r="CQ251" s="8"/>
    </x:row>
    <x:row r="252">
      <x:c r="A252" s="8" t="str">
        <x:v>Gibsons|2023</x:v>
      </x:c>
      <x:c r="B252" s="8" t="str">
        <x:v>gibsons-t</x:v>
      </x:c>
      <x:c r="C252" s="8" t="str">
        <x:v>Gibsons</x:v>
      </x:c>
      <x:c r="D252" s="8" t="str">
        <x:v>Gibsons</x:v>
      </x:c>
      <x:c r="E252" s="8" t="str">
        <x:v>T</x:v>
      </x:c>
      <x:c r="F252" s="8" t="str">
        <x:v>SUN</x:v>
      </x:c>
      <x:c r="G252" s="9" t="n">
        <x:v>2023</x:v>
      </x:c>
      <x:c r="H252" s="10" t="n">
        <x:v>5098</x:v>
      </x:c>
      <x:c r="I252" s="8" t="str">
        <x:v>5,000 to 19,999</x:v>
      </x:c>
      <x:c r="J252" s="11" t="n">
        <x:v>17096604</x:v>
      </x:c>
      <x:c r="K252" s="11" t="n">
        <x:v>12183945</x:v>
      </x:c>
      <x:c r="L252" s="11" t="n">
        <x:v>4912659</x:v>
      </x:c>
      <x:c r="M252" s="12" t="n">
        <x:v>0.28734706611909594</x:v>
      </x:c>
      <x:c r="N252" s="11" t="n">
        <x:v>6004987</x:v>
      </x:c>
      <x:c r="O252" s="11" t="n">
        <x:v>4485610</x:v>
      </x:c>
      <x:c r="P252" s="11" t="n">
        <x:v>5252121</x:v>
      </x:c>
      <x:c r="Q252" s="11" t="n">
        <x:v>1353886</x:v>
      </x:c>
      <x:c r="R252" s="11" t="n">
        <x:v>9830018</x:v>
      </x:c>
      <x:c r="S252" s="11" t="n">
        <x:v>1852709</x:v>
      </x:c>
      <x:c r="T252" s="11" t="n">
        <x:v>16037615</x:v>
      </x:c>
      <x:c r="U252" s="11" t="n">
        <x:v>16904471</x:v>
      </x:c>
      <x:c r="V252" s="11" t="n">
        <x:v>1960046</x:v>
      </x:c>
      <x:c r="W252" s="11" t="n">
        <x:v>2535923</x:v>
      </x:c>
      <x:c r="X252" s="11" t="n">
        <x:v>9485914</x:v>
      </x:c>
      <x:c r="Y252" s="11" t="n">
        <x:v>0</x:v>
      </x:c>
      <x:c r="Z252" s="11" t="n">
        <x:v>380073</x:v>
      </x:c>
      <x:c r="AA252" s="11" t="n">
        <x:v>8972234</x:v>
      </x:c>
      <x:c r="AB252" s="11" t="n">
        <x:v>501218</x:v>
      </x:c>
      <x:c r="AC252" s="11" t="n">
        <x:v>881291</x:v>
      </x:c>
      <x:c r="AD252" s="11" t="n">
        <x:v>2930808</x:v>
      </x:c>
      <x:c r="AE252" s="11" t="n">
        <x:v>1719045</x:v>
      </x:c>
      <x:c r="AF252" s="11" t="n">
        <x:v>11723230</x:v>
      </x:c>
      <x:c r="AG252" s="11" t="n">
        <x:v>95086726</x:v>
      </x:c>
      <x:c r="AH252" s="11" t="n">
        <x:v>31174344</x:v>
      </x:c>
      <x:c r="AI252" s="11" t="n">
        <x:v>63912382</x:v>
      </x:c>
      <x:c r="AJ252" s="11" t="n">
        <x:v>4259327</x:v>
      </x:c>
      <x:c r="AK252" s="11" t="n">
        <x:v>14976439</x:v>
      </x:c>
      <x:c r="AL252" s="11" t="n">
        <x:v>0</x:v>
      </x:c>
      <x:c r="AM252" s="12" t="n">
        <x:v>1</x:v>
      </x:c>
      <x:c r="AN252" s="12" t="n">
        <x:v>0.2844018528035937</x:v>
      </x:c>
      <x:c r="AO252" s="11" t="n">
        <x:v>14319633</x:v>
      </x:c>
      <x:c r="AP252" s="11" t="n">
        <x:v>14057380</x:v>
      </x:c>
      <x:c r="AQ252" s="12" t="n">
        <x:v>0.9816857736507633</x:v>
      </x:c>
      <x:c r="AR252" s="11" t="n">
        <x:v>3353.590427618674</x:v>
      </x:c>
      <x:c r="AS252" s="11" t="n">
        <x:v>2389.9460572773637</x:v>
      </x:c>
      <x:c r="AT252" s="11" t="n">
        <x:v>384.4735190270694</x:v>
      </x:c>
      <x:c r="AU252" s="11" t="n">
        <x:v>497.4348764221263</x:v>
      </x:c>
      <x:c r="AV252" s="11" t="n">
        <x:v>1759.9517457826598</x:v>
      </x:c>
      <x:c r="AW252" s="11" t="n">
        <x:v>0.9487203119222127</x:v>
      </x:c>
      <x:c r="AX252" s="12" t="n">
        <x:v>0.5865430284071833</x:v>
      </x:c>
      <x:c r="AY252" s="11"/>
      <x:c r="AZ252" s="11"/>
      <x:c r="BA252" s="11"/>
      <x:c r="BB252" s="11"/>
      <x:c r="BC252" s="11"/>
      <x:c r="BD252" s="11"/>
      <x:c r="BE252" s="11"/>
      <x:c r="BF252" s="11"/>
      <x:c r="BG252" s="11"/>
      <x:c r="BH252" s="11"/>
      <x:c r="BI252" s="11"/>
      <x:c r="BJ252" s="11"/>
      <x:c r="BK252" s="12"/>
      <x:c r="BL252" s="12"/>
      <x:c r="BM252" s="12"/>
      <x:c r="BN252" s="12"/>
      <x:c r="BO252" s="12"/>
      <x:c r="BP252" s="12"/>
      <x:c r="BQ252" s="12"/>
      <x:c r="BR252" s="12"/>
      <x:c r="BS252" s="12"/>
      <x:c r="BT252" s="12"/>
      <x:c r="BU252" s="11" t="n">
        <x:v>57664</x:v>
      </x:c>
      <x:c r="BV252" s="11" t="n">
        <x:v>4232797</x:v>
      </x:c>
      <x:c r="BW252" s="11" t="n">
        <x:v>961660</x:v>
      </x:c>
      <x:c r="BX252" s="11" t="n">
        <x:v>867240</x:v>
      </x:c>
      <x:c r="BY252" s="11" t="n">
        <x:v>0</x:v>
      </x:c>
      <x:c r="BZ252" s="11" t="n">
        <x:v>486646</x:v>
      </x:c>
      <x:c r="CA252" s="11" t="n">
        <x:v>0</x:v>
      </x:c>
      <x:c r="CB252" s="11" t="n">
        <x:v>0</x:v>
      </x:c>
      <x:c r="CC252" s="11" t="n">
        <x:v>3047429</x:v>
      </x:c>
      <x:c r="CD252" s="11" t="n">
        <x:v>460394</x:v>
      </x:c>
      <x:c r="CE252" s="11" t="n">
        <x:v>661316</x:v>
      </x:c>
      <x:c r="CF252" s="11" t="n">
        <x:v>0</x:v>
      </x:c>
      <x:c r="CG252" s="11" t="n">
        <x:v>723073</x:v>
      </x:c>
      <x:c r="CH252" s="11" t="n">
        <x:v>1429549</x:v>
      </x:c>
      <x:c r="CI252" s="11" t="n">
        <x:v>929599</x:v>
      </x:c>
      <x:c r="CJ252" s="11" t="n">
        <x:v>1370230</x:v>
      </x:c>
      <x:c r="CK252" s="11" t="n">
        <x:v>1422593</x:v>
      </x:c>
      <x:c r="CL252" s="11" t="n">
        <x:v>259252</x:v>
      </x:c>
      <x:c r="CM252" s="11" t="n">
        <x:v>18400</x:v>
      </x:c>
      <x:c r="CN252" s="11" t="n">
        <x:v>9401</x:v>
      </x:c>
      <x:c r="CO252" s="11" t="n">
        <x:v>0</x:v>
      </x:c>
      <x:c r="CP252" s="8"/>
      <x:c r="CQ252" s="8"/>
    </x:row>
    <x:row r="253">
      <x:c r="A253" s="8" t="str">
        <x:v>Gibsons|2024</x:v>
      </x:c>
      <x:c r="B253" s="8" t="str">
        <x:v>gibsons-t</x:v>
      </x:c>
      <x:c r="C253" s="8" t="str">
        <x:v>Gibsons</x:v>
      </x:c>
      <x:c r="D253" s="8" t="str">
        <x:v>Gibsons</x:v>
      </x:c>
      <x:c r="E253" s="8" t="str">
        <x:v>T</x:v>
      </x:c>
      <x:c r="F253" s="8" t="str">
        <x:v>SUN</x:v>
      </x:c>
      <x:c r="G253" s="9" t="n">
        <x:v>2024</x:v>
      </x:c>
      <x:c r="H253" s="10" t="n">
        <x:v>5098</x:v>
      </x:c>
      <x:c r="I253" s="8" t="str">
        <x:v>5,000 to 19,999</x:v>
      </x:c>
      <x:c r="J253" s="11" t="n">
        <x:v>17052579</x:v>
      </x:c>
      <x:c r="K253" s="11" t="n">
        <x:v>14131818</x:v>
      </x:c>
      <x:c r="L253" s="11" t="n">
        <x:v>2920761</x:v>
      </x:c>
      <x:c r="M253" s="12" t="n">
        <x:v>0.17127972255692234</x:v>
      </x:c>
      <x:c r="N253" s="11" t="n">
        <x:v>6479655</x:v>
      </x:c>
      <x:c r="O253" s="11" t="n">
        <x:v>4870549</x:v>
      </x:c>
      <x:c r="P253" s="11" t="n">
        <x:v>3752107</x:v>
      </x:c>
      <x:c r="Q253" s="11" t="n">
        <x:v>1950268</x:v>
      </x:c>
      <x:c r="R253" s="11" t="n">
        <x:v>11702801</x:v>
      </x:c>
      <x:c r="S253" s="11" t="n">
        <x:v>1940321</x:v>
      </x:c>
      <x:c r="T253" s="11" t="n">
        <x:v>17078416</x:v>
      </x:c>
      <x:c r="U253" s="11" t="n">
        <x:v>17699005</x:v>
      </x:c>
      <x:c r="V253" s="11" t="n">
        <x:v>1825862</x:v>
      </x:c>
      <x:c r="W253" s="11" t="n">
        <x:v>4249551</x:v>
      </x:c>
      <x:c r="X253" s="11" t="n">
        <x:v>8972234</x:v>
      </x:c>
      <x:c r="Y253" s="11" t="n">
        <x:v>879000</x:v>
      </x:c>
      <x:c r="Z253" s="11" t="n">
        <x:v>431792</x:v>
      </x:c>
      <x:c r="AA253" s="11" t="n">
        <x:v>9269590</x:v>
      </x:c>
      <x:c r="AB253" s="11" t="n">
        <x:v>488696</x:v>
      </x:c>
      <x:c r="AC253" s="11" t="n">
        <x:v>920488</x:v>
      </x:c>
      <x:c r="AD253" s="11" t="n">
        <x:v>3135830</x:v>
      </x:c>
      <x:c r="AE253" s="11" t="n">
        <x:v>1891026</x:v>
      </x:c>
      <x:c r="AF253" s="11" t="n">
        <x:v>12543319</x:v>
      </x:c>
      <x:c r="AG253" s="11" t="n">
        <x:v>99912006</x:v>
      </x:c>
      <x:c r="AH253" s="11" t="n">
        <x:v>33114661</x:v>
      </x:c>
      <x:c r="AI253" s="11" t="n">
        <x:v>66797345</x:v>
      </x:c>
      <x:c r="AJ253" s="11" t="n">
        <x:v>4825284</x:v>
      </x:c>
      <x:c r="AK253" s="11" t="n">
        <x:v>243270508</x:v>
      </x:c>
      <x:c r="AL253" s="11" t="n">
        <x:v>6051451</x:v>
      </x:c>
      <x:c r="AM253" s="12" t="n">
        <x:v>0.9751246008003568</x:v>
      </x:c>
      <x:c r="AN253" s="12" t="n">
        <x:v>0.019835055386162963</x:v>
      </x:c>
      <x:c r="AO253" s="11" t="n">
        <x:v>15219859</x:v>
      </x:c>
      <x:c r="AP253" s="11" t="n">
        <x:v>14788875</x:v>
      </x:c>
      <x:c r="AQ253" s="12" t="n">
        <x:v>0.9716827862859965</x:v>
      </x:c>
      <x:c r="AR253" s="11" t="n">
        <x:v>3344.9546881129854</x:v>
      </x:c>
      <x:c r="AS253" s="11" t="n">
        <x:v>2772.031777167517</x:v>
      </x:c>
      <x:c r="AT253" s="11" t="n">
        <x:v>358.15260886622207</x:v>
      </x:c>
      <x:c r="AU253" s="11" t="n">
        <x:v>833.5721851706552</x:v>
      </x:c>
      <x:c r="AV253" s="11" t="n">
        <x:v>1818.2797175362887</x:v>
      </x:c>
      <x:c r="AW253" s="11" t="n">
        <x:v>0.9649365034927104</x:v>
      </x:c>
      <x:c r="AX253" s="12" t="n">
        <x:v>0.6030384300169334</x:v>
      </x:c>
      <x:c r="AY253" s="11" t="n">
        <x:v>2866.2208483821423</x:v>
      </x:c>
      <x:c r="AZ253" s="11" t="n">
        <x:v>3546.5079302077975</x:v>
      </x:c>
      <x:c r="BA253" s="11" t="n">
        <x:v>2297.657175284081</x:v>
      </x:c>
      <x:c r="BB253" s="11" t="n">
        <x:v>2783.665107049771</x:v>
      </x:c>
      <x:c r="BC253" s="11" t="n">
        <x:v>1859.732534766857</x:v>
      </x:c>
      <x:c r="BD253" s="11" t="n">
        <x:v>2437.8724475115623</x:v>
      </x:c>
      <x:c r="BE253" s="11" t="n">
        <x:v>918.4907099893891</x:v>
      </x:c>
      <x:c r="BF253" s="11" t="n">
        <x:v>1604.3462673977224</x:v>
      </x:c>
      <x:c r="BG253" s="11" t="n">
        <x:v>814.8464198087386</x:v>
      </x:c>
      <x:c r="BH253" s="11" t="n">
        <x:v>518.5374381567245</x:v>
      </x:c>
      <x:c r="BI253" s="11" t="n">
        <x:v>1.5120151567026447</x:v>
      </x:c>
      <x:c r="BJ253" s="11" t="n">
        <x:v>1.7099330852451193</x:v>
      </x:c>
      <x:c r="BK253" s="12" t="n">
        <x:v>0.024769834473671436</x:v>
      </x:c>
      <x:c r="BL253" s="12" t="n">
        <x:v>0.02529861000232605</x:v>
      </x:c>
      <x:c r="BM253" s="12" t="n">
        <x:v>0.9804574834797263</x:v>
      </x:c>
      <x:c r="BN253" s="12" t="n">
        <x:v>0.9815511712696461</x:v>
      </x:c>
      <x:c r="BO253" s="12" t="n">
        <x:v>0.8566659461626738</x:v>
      </x:c>
      <x:c r="BP253" s="12" t="n">
        <x:v>0.8619101997275483</x:v>
      </x:c>
      <x:c r="BQ253" s="12" t="n">
        <x:v>0.9770312225566793</x:v>
      </x:c>
      <x:c r="BR253" s="12" t="n">
        <x:v>0.9623635142836453</x:v>
      </x:c>
      <x:c r="BS253" s="12" t="n">
        <x:v>0.17479552285244132</x:v>
      </x:c>
      <x:c r="BT253" s="12" t="n">
        <x:v>0.19976549769108282</x:v>
      </x:c>
      <x:c r="BU253" s="11" t="n">
        <x:v>1048324</x:v>
      </x:c>
      <x:c r="BV253" s="11" t="n">
        <x:v>2703783</x:v>
      </x:c>
      <x:c r="BW253" s="11" t="n">
        <x:v>0</x:v>
      </x:c>
      <x:c r="BX253" s="11" t="n">
        <x:v>787967</x:v>
      </x:c>
      <x:c r="BY253" s="11" t="n">
        <x:v>0</x:v>
      </x:c>
      <x:c r="BZ253" s="11" t="n">
        <x:v>1162301</x:v>
      </x:c>
      <x:c r="CA253" s="11" t="n">
        <x:v>0</x:v>
      </x:c>
      <x:c r="CB253" s="11" t="n">
        <x:v>0</x:v>
      </x:c>
      <x:c r="CC253" s="11" t="n">
        <x:v>4477529</x:v>
      </x:c>
      <x:c r="CD253" s="11" t="n">
        <x:v>480294</x:v>
      </x:c>
      <x:c r="CE253" s="11" t="n">
        <x:v>675328</x:v>
      </x:c>
      <x:c r="CF253" s="11" t="n">
        <x:v>0</x:v>
      </x:c>
      <x:c r="CG253" s="11" t="n">
        <x:v>928215</x:v>
      </x:c>
      <x:c r="CH253" s="11" t="n">
        <x:v>1878299</x:v>
      </x:c>
      <x:c r="CI253" s="11" t="n">
        <x:v>929493</x:v>
      </x:c>
      <x:c r="CJ253" s="11" t="n">
        <x:v>1239510</x:v>
      </x:c>
      <x:c r="CK253" s="11" t="n">
        <x:v>1309326</x:v>
      </x:c>
      <x:c r="CL253" s="11" t="n">
        <x:v>265187</x:v>
      </x:c>
      <x:c r="CM253" s="11" t="n">
        <x:v>8316</x:v>
      </x:c>
      <x:c r="CN253" s="11" t="n">
        <x:v>0</x:v>
      </x:c>
      <x:c r="CO253" s="11" t="n">
        <x:v>0</x:v>
      </x:c>
      <x:c r="CP253" s="8"/>
      <x:c r="CQ253" s="8"/>
    </x:row>
    <x:row r="254">
      <x:c r="A254" s="8" t="str">
        <x:v>Gold River|2019</x:v>
      </x:c>
      <x:c r="B254" s="8" t="str">
        <x:v>gold-river-v</x:v>
      </x:c>
      <x:c r="C254" s="8" t="str">
        <x:v>Gold River</x:v>
      </x:c>
      <x:c r="D254" s="8" t="str">
        <x:v>Gold River</x:v>
      </x:c>
      <x:c r="E254" s="8" t="str">
        <x:v>V</x:v>
      </x:c>
      <x:c r="F254" s="8" t="str">
        <x:v>STR</x:v>
      </x:c>
      <x:c r="G254" s="9" t="n">
        <x:v>2019</x:v>
      </x:c>
      <x:c r="H254" s="10" t="n">
        <x:v>1299</x:v>
      </x:c>
      <x:c r="I254" s="8" t="str">
        <x:v>Under 5,000</x:v>
      </x:c>
      <x:c r="J254" s="11" t="n">
        <x:v>3060939</x:v>
      </x:c>
      <x:c r="K254" s="11" t="n">
        <x:v>3617398</x:v>
      </x:c>
      <x:c r="L254" s="11" t="n">
        <x:v>-556459</x:v>
      </x:c>
      <x:c r="M254" s="12" t="n">
        <x:v>-0.18179356073414074</x:v>
      </x:c>
      <x:c r="N254" s="11" t="n">
        <x:v>962278</x:v>
      </x:c>
      <x:c r="O254" s="11" t="n">
        <x:v>1280569</x:v>
      </x:c>
      <x:c r="P254" s="11" t="n">
        <x:v>569832</x:v>
      </x:c>
      <x:c r="Q254" s="11" t="n">
        <x:v>248260</x:v>
      </x:c>
      <x:c r="R254" s="11" t="n">
        <x:v>3134630</x:v>
      </x:c>
      <x:c r="S254" s="11" t="n">
        <x:v>482768</x:v>
      </x:c>
      <x:c r="T254" s="11" t="n">
        <x:v>10895580</x:v>
      </x:c>
      <x:c r="U254" s="11" t="n">
        <x:v>1870224</x:v>
      </x:c>
      <x:c r="V254" s="11" t="n">
        <x:v>9293277</x:v>
      </x:c>
      <x:c r="W254" s="11" t="n">
        <x:v>3948930</x:v>
      </x:c>
      <x:c r="X254" s="11" t="n">
        <x:v>0</x:v>
      </x:c>
      <x:c r="Y254" s="11" t="n">
        <x:v>0</x:v>
      </x:c>
      <x:c r="Z254" s="11" t="n">
        <x:v>0</x:v>
      </x:c>
      <x:c r="AA254" s="11" t="n">
        <x:v>0</x:v>
      </x:c>
      <x:c r="AB254" s="11" t="n">
        <x:v>0</x:v>
      </x:c>
      <x:c r="AC254" s="11" t="n">
        <x:v>0</x:v>
      </x:c>
      <x:c r="AD254" s="11" t="n">
        <x:v>737373</x:v>
      </x:c>
      <x:c r="AE254" s="11" t="n">
        <x:v>737373</x:v>
      </x:c>
      <x:c r="AF254" s="11" t="n">
        <x:v>2949491</x:v>
      </x:c>
      <x:c r="AG254" s="11" t="n">
        <x:v>26269144</x:v>
      </x:c>
      <x:c r="AH254" s="11" t="n">
        <x:v>11963148</x:v>
      </x:c>
      <x:c r="AI254" s="11" t="n">
        <x:v>14305996</x:v>
      </x:c>
      <x:c r="AJ254" s="11" t="n">
        <x:v>120664</x:v>
      </x:c>
      <x:c r="AK254" s="11" t="n">
        <x:v>2264253</x:v>
      </x:c>
      <x:c r="AL254" s="11" t="n">
        <x:v>0</x:v>
      </x:c>
      <x:c r="AM254" s="12" t="n">
        <x:v>1</x:v>
      </x:c>
      <x:c r="AN254" s="12" t="n">
        <x:v>0.05329086458094568</x:v>
      </x:c>
      <x:c r="AO254" s="11" t="n">
        <x:v>1711029</x:v>
      </x:c>
      <x:c r="AP254" s="11" t="n">
        <x:v>1687140</x:v>
      </x:c>
      <x:c r="AQ254" s="12" t="n">
        <x:v>0.9860382261200716</x:v>
      </x:c>
      <x:c r="AR254" s="11" t="n">
        <x:v>2356.3810623556583</x:v>
      </x:c>
      <x:c r="AS254" s="11" t="n">
        <x:v>2784.7559661277905</x:v>
      </x:c>
      <x:c r="AT254" s="11" t="n">
        <x:v>7154.177829099307</x:v>
      </x:c>
      <x:c r="AU254" s="11" t="n">
        <x:v>3039.9769053117784</x:v>
      </x:c>
      <x:c r="AV254" s="11" t="n">
        <x:v>0</x:v>
      </x:c>
      <x:c r="AW254" s="11" t="n">
        <x:v>5.82581551728563</x:v>
      </x:c>
      <x:c r="AX254" s="12" t="n">
        <x:v>1</x:v>
      </x:c>
      <x:c r="AY254" s="11"/>
      <x:c r="AZ254" s="11"/>
      <x:c r="BA254" s="11"/>
      <x:c r="BB254" s="11"/>
      <x:c r="BC254" s="11"/>
      <x:c r="BD254" s="11"/>
      <x:c r="BE254" s="11"/>
      <x:c r="BF254" s="11"/>
      <x:c r="BG254" s="11"/>
      <x:c r="BH254" s="11"/>
      <x:c r="BI254" s="11"/>
      <x:c r="BJ254" s="11"/>
      <x:c r="BK254" s="12"/>
      <x:c r="BL254" s="12"/>
      <x:c r="BM254" s="12"/>
      <x:c r="BN254" s="12"/>
      <x:c r="BO254" s="12"/>
      <x:c r="BP254" s="12"/>
      <x:c r="BQ254" s="12"/>
      <x:c r="BR254" s="12"/>
      <x:c r="BS254" s="12"/>
      <x:c r="BT254" s="12"/>
      <x:c r="BU254" s="11" t="n">
        <x:v>6085</x:v>
      </x:c>
      <x:c r="BV254" s="11" t="n">
        <x:v>563747</x:v>
      </x:c>
      <x:c r="BW254" s="11" t="n">
        <x:v>0</x:v>
      </x:c>
      <x:c r="BX254" s="11" t="n">
        <x:v>248260</x:v>
      </x:c>
      <x:c r="BY254" s="11" t="n">
        <x:v>0</x:v>
      </x:c>
      <x:c r="BZ254" s="11" t="n">
        <x:v>0</x:v>
      </x:c>
      <x:c r="CA254" s="11" t="n">
        <x:v>0</x:v>
      </x:c>
      <x:c r="CB254" s="11" t="n">
        <x:v>0</x:v>
      </x:c>
      <x:c r="CC254" s="11" t="n">
        <x:v>671466</x:v>
      </x:c>
      <x:c r="CD254" s="11" t="n">
        <x:v>158264</x:v>
      </x:c>
      <x:c r="CE254" s="11" t="n">
        <x:v>295511</x:v>
      </x:c>
      <x:c r="CF254" s="11" t="n">
        <x:v>0</x:v>
      </x:c>
      <x:c r="CG254" s="11" t="n">
        <x:v>131618</x:v>
      </x:c>
      <x:c r="CH254" s="11" t="n">
        <x:v>285125</x:v>
      </x:c>
      <x:c r="CI254" s="11" t="n">
        <x:v>1009192</x:v>
      </x:c>
      <x:c r="CJ254" s="11" t="n">
        <x:v>250424</x:v>
      </x:c>
      <x:c r="CK254" s="11" t="n">
        <x:v>313003</x:v>
      </x:c>
      <x:c r="CL254" s="11" t="n">
        <x:v>20027</x:v>
      </x:c>
      <x:c r="CM254" s="11"/>
      <x:c r="CN254" s="11" t="n">
        <x:v>0</x:v>
      </x:c>
      <x:c r="CO254" s="11" t="n">
        <x:v>0</x:v>
      </x:c>
      <x:c r="CP254" s="8"/>
      <x:c r="CQ254" s="8"/>
    </x:row>
    <x:row r="255">
      <x:c r="A255" s="8" t="str">
        <x:v>Gold River|2020</x:v>
      </x:c>
      <x:c r="B255" s="8" t="str">
        <x:v>gold-river-v</x:v>
      </x:c>
      <x:c r="C255" s="8" t="str">
        <x:v>Gold River</x:v>
      </x:c>
      <x:c r="D255" s="8" t="str">
        <x:v>Gold River</x:v>
      </x:c>
      <x:c r="E255" s="8" t="str">
        <x:v>V</x:v>
      </x:c>
      <x:c r="F255" s="8" t="str">
        <x:v>STR</x:v>
      </x:c>
      <x:c r="G255" s="9" t="n">
        <x:v>2020</x:v>
      </x:c>
      <x:c r="H255" s="10" t="n">
        <x:v>1272</x:v>
      </x:c>
      <x:c r="I255" s="8" t="str">
        <x:v>Under 5,000</x:v>
      </x:c>
      <x:c r="J255" s="11" t="n">
        <x:v>4141773</x:v>
      </x:c>
      <x:c r="K255" s="11" t="n">
        <x:v>3481599</x:v>
      </x:c>
      <x:c r="L255" s="11" t="n">
        <x:v>660174</x:v>
      </x:c>
      <x:c r="M255" s="12" t="n">
        <x:v>0.15939405660329525</x:v>
      </x:c>
      <x:c r="N255" s="11" t="n">
        <x:v>1021177</x:v>
      </x:c>
      <x:c r="O255" s="11" t="n">
        <x:v>1464781</x:v>
      </x:c>
      <x:c r="P255" s="11" t="n">
        <x:v>1464138</x:v>
      </x:c>
      <x:c r="Q255" s="11" t="n">
        <x:v>191677</x:v>
      </x:c>
      <x:c r="R255" s="11" t="n">
        <x:v>3002443</x:v>
      </x:c>
      <x:c r="S255" s="11" t="n">
        <x:v>479156</x:v>
      </x:c>
      <x:c r="T255" s="11" t="n">
        <x:v>11630257</x:v>
      </x:c>
      <x:c r="U255" s="11" t="n">
        <x:v>2135927</x:v>
      </x:c>
      <x:c r="V255" s="11" t="n">
        <x:v>9929063</x:v>
      </x:c>
      <x:c r="W255" s="11" t="n">
        <x:v>3938246</x:v>
      </x:c>
      <x:c r="X255" s="11" t="n">
        <x:v>0</x:v>
      </x:c>
      <x:c r="Y255" s="11" t="n">
        <x:v>0</x:v>
      </x:c>
      <x:c r="Z255" s="11" t="n">
        <x:v>0</x:v>
      </x:c>
      <x:c r="AA255" s="11" t="n">
        <x:v>0</x:v>
      </x:c>
      <x:c r="AB255" s="11" t="n">
        <x:v>0</x:v>
      </x:c>
      <x:c r="AC255" s="11" t="n">
        <x:v>0</x:v>
      </x:c>
      <x:c r="AD255" s="11" t="n">
        <x:v>787570</x:v>
      </x:c>
      <x:c r="AE255" s="11" t="n">
        <x:v>787570</x:v>
      </x:c>
      <x:c r="AF255" s="11" t="n">
        <x:v>3150279</x:v>
      </x:c>
      <x:c r="AG255" s="11" t="n">
        <x:v>26681755</x:v>
      </x:c>
      <x:c r="AH255" s="11" t="n">
        <x:v>12353018</x:v>
      </x:c>
      <x:c r="AI255" s="11" t="n">
        <x:v>14328737</x:v>
      </x:c>
      <x:c r="AJ255" s="11" t="n">
        <x:v>505897</x:v>
      </x:c>
      <x:c r="AK255" s="11" t="n">
        <x:v>2759202</x:v>
      </x:c>
      <x:c r="AL255" s="11" t="n">
        <x:v>0</x:v>
      </x:c>
      <x:c r="AM255" s="12" t="n">
        <x:v>1</x:v>
      </x:c>
      <x:c r="AN255" s="12" t="n">
        <x:v>0.1833490262764379</x:v>
      </x:c>
      <x:c r="AO255" s="11" t="n">
        <x:v>1761408</x:v>
      </x:c>
      <x:c r="AP255" s="11" t="n">
        <x:v>1745853</x:v>
      </x:c>
      <x:c r="AQ255" s="12" t="n">
        <x:v>0.9911689966208851</x:v>
      </x:c>
      <x:c r="AR255" s="11" t="n">
        <x:v>3256.110849056604</x:v>
      </x:c>
      <x:c r="AS255" s="11" t="n">
        <x:v>2737.1061320754716</x:v>
      </x:c>
      <x:c r="AT255" s="11" t="n">
        <x:v>7805.86713836478</x:v>
      </x:c>
      <x:c r="AU255" s="11" t="n">
        <x:v>3096.10534591195</x:v>
      </x:c>
      <x:c r="AV255" s="11" t="n">
        <x:v>0</x:v>
      </x:c>
      <x:c r="AW255" s="11" t="n">
        <x:v>5.445062963294157</x:v>
      </x:c>
      <x:c r="AX255" s="12" t="n">
        <x:v>1</x:v>
      </x:c>
      <x:c r="AY255" s="11"/>
      <x:c r="AZ255" s="11"/>
      <x:c r="BA255" s="11"/>
      <x:c r="BB255" s="11"/>
      <x:c r="BC255" s="11"/>
      <x:c r="BD255" s="11"/>
      <x:c r="BE255" s="11"/>
      <x:c r="BF255" s="11"/>
      <x:c r="BG255" s="11"/>
      <x:c r="BH255" s="11"/>
      <x:c r="BI255" s="11"/>
      <x:c r="BJ255" s="11"/>
      <x:c r="BK255" s="12"/>
      <x:c r="BL255" s="12"/>
      <x:c r="BM255" s="12"/>
      <x:c r="BN255" s="12"/>
      <x:c r="BO255" s="12"/>
      <x:c r="BP255" s="12"/>
      <x:c r="BQ255" s="12"/>
      <x:c r="BR255" s="12"/>
      <x:c r="BS255" s="12"/>
      <x:c r="BT255" s="12"/>
      <x:c r="BU255" s="11" t="n">
        <x:v>36748</x:v>
      </x:c>
      <x:c r="BV255" s="11" t="n">
        <x:v>1427390</x:v>
      </x:c>
      <x:c r="BW255" s="11" t="n">
        <x:v>0</x:v>
      </x:c>
      <x:c r="BX255" s="11" t="n">
        <x:v>189268</x:v>
      </x:c>
      <x:c r="BY255" s="11" t="n">
        <x:v>0</x:v>
      </x:c>
      <x:c r="BZ255" s="11" t="n">
        <x:v>0</x:v>
      </x:c>
      <x:c r="CA255" s="11" t="n">
        <x:v>0</x:v>
      </x:c>
      <x:c r="CB255" s="11" t="n">
        <x:v>2409</x:v>
      </x:c>
      <x:c r="CC255" s="11" t="n">
        <x:v>876252</x:v>
      </x:c>
      <x:c r="CD255" s="11" t="n">
        <x:v>128098</x:v>
      </x:c>
      <x:c r="CE255" s="11" t="n">
        <x:v>298737</x:v>
      </x:c>
      <x:c r="CF255" s="11" t="n">
        <x:v>0</x:v>
      </x:c>
      <x:c r="CG255" s="11" t="n">
        <x:v>59662</x:v>
      </x:c>
      <x:c r="CH255" s="11" t="n">
        <x:v>290239</x:v>
      </x:c>
      <x:c r="CI255" s="11" t="n">
        <x:v>773445</x:v>
      </x:c>
      <x:c r="CJ255" s="11" t="n">
        <x:v>251725</x:v>
      </x:c>
      <x:c r="CK255" s="11" t="n">
        <x:v>296195</x:v>
      </x:c>
      <x:c r="CL255" s="11" t="n">
        <x:v>24090</x:v>
      </x:c>
      <x:c r="CM255" s="11"/>
      <x:c r="CN255" s="11" t="n">
        <x:v>4000</x:v>
      </x:c>
      <x:c r="CO255" s="11" t="n">
        <x:v>0</x:v>
      </x:c>
      <x:c r="CP255" s="8"/>
      <x:c r="CQ255" s="8"/>
    </x:row>
    <x:row r="256">
      <x:c r="A256" s="8" t="str">
        <x:v>Gold River|2021</x:v>
      </x:c>
      <x:c r="B256" s="8" t="str">
        <x:v>gold-river-v</x:v>
      </x:c>
      <x:c r="C256" s="8" t="str">
        <x:v>Gold River</x:v>
      </x:c>
      <x:c r="D256" s="8" t="str">
        <x:v>Gold River</x:v>
      </x:c>
      <x:c r="E256" s="8" t="str">
        <x:v>V</x:v>
      </x:c>
      <x:c r="F256" s="8" t="str">
        <x:v>STR</x:v>
      </x:c>
      <x:c r="G256" s="9" t="n">
        <x:v>2021</x:v>
      </x:c>
      <x:c r="H256" s="10" t="n">
        <x:v>1257</x:v>
      </x:c>
      <x:c r="I256" s="8" t="str">
        <x:v>Under 5,000</x:v>
      </x:c>
      <x:c r="J256" s="11" t="n">
        <x:v>3283560</x:v>
      </x:c>
      <x:c r="K256" s="11" t="n">
        <x:v>3554573</x:v>
      </x:c>
      <x:c r="L256" s="11" t="n">
        <x:v>-271013</x:v>
      </x:c>
      <x:c r="M256" s="12" t="n">
        <x:v>-0.08253633251714602</x:v>
      </x:c>
      <x:c r="N256" s="11" t="n">
        <x:v>1098709</x:v>
      </x:c>
      <x:c r="O256" s="11" t="n">
        <x:v>1371207</x:v>
      </x:c>
      <x:c r="P256" s="11" t="n">
        <x:v>692562</x:v>
      </x:c>
      <x:c r="Q256" s="11" t="n">
        <x:v>121082</x:v>
      </x:c>
      <x:c r="R256" s="11" t="n">
        <x:v>3068707</x:v>
      </x:c>
      <x:c r="S256" s="11" t="n">
        <x:v>485866</x:v>
      </x:c>
      <x:c r="T256" s="11" t="n">
        <x:v>11170219</x:v>
      </x:c>
      <x:c r="U256" s="11" t="n">
        <x:v>2048230</x:v>
      </x:c>
      <x:c r="V256" s="11" t="n">
        <x:v>9681510</x:v>
      </x:c>
      <x:c r="W256" s="11" t="n">
        <x:v>3559754</x:v>
      </x:c>
      <x:c r="X256" s="11" t="n">
        <x:v>0</x:v>
      </x:c>
      <x:c r="Y256" s="11" t="n">
        <x:v>0</x:v>
      </x:c>
      <x:c r="Z256" s="11" t="n">
        <x:v>0</x:v>
      </x:c>
      <x:c r="AA256" s="11" t="n">
        <x:v>0</x:v>
      </x:c>
      <x:c r="AB256" s="11" t="n">
        <x:v>0</x:v>
      </x:c>
      <x:c r="AC256" s="11" t="n">
        <x:v>0</x:v>
      </x:c>
      <x:c r="AD256" s="11" t="n">
        <x:v>764762</x:v>
      </x:c>
      <x:c r="AE256" s="11" t="n">
        <x:v>764762</x:v>
      </x:c>
      <x:c r="AF256" s="11" t="n">
        <x:v>3059047</x:v>
      </x:c>
      <x:c r="AG256" s="11" t="n">
        <x:v>27147447</x:v>
      </x:c>
      <x:c r="AH256" s="11" t="n">
        <x:v>12838884</x:v>
      </x:c>
      <x:c r="AI256" s="11" t="n">
        <x:v>14308563</x:v>
      </x:c>
      <x:c r="AJ256" s="11" t="n">
        <x:v>465692</x:v>
      </x:c>
      <x:c r="AK256" s="11" t="n">
        <x:v>2284468</x:v>
      </x:c>
      <x:c r="AL256" s="11" t="n">
        <x:v>0</x:v>
      </x:c>
      <x:c r="AM256" s="12" t="n">
        <x:v>1</x:v>
      </x:c>
      <x:c r="AN256" s="12" t="n">
        <x:v>0.20385139997583682</x:v>
      </x:c>
      <x:c r="AO256" s="11" t="n">
        <x:v>1881779</x:v>
      </x:c>
      <x:c r="AP256" s="11" t="n">
        <x:v>1815463</x:v>
      </x:c>
      <x:c r="AQ256" s="12" t="n">
        <x:v>0.9647588797621824</x:v>
      </x:c>
      <x:c r="AR256" s="11" t="n">
        <x:v>2612.219570405728</x:v>
      </x:c>
      <x:c r="AS256" s="11" t="n">
        <x:v>2827.8225934765314</x:v>
      </x:c>
      <x:c r="AT256" s="11" t="n">
        <x:v>7702.076372315036</x:v>
      </x:c>
      <x:c r="AU256" s="11" t="n">
        <x:v>2831.9443118536196</x:v>
      </x:c>
      <x:c r="AV256" s="11" t="n">
        <x:v>0</x:v>
      </x:c>
      <x:c r="AW256" s="11" t="n">
        <x:v>5.4535960316956595</x:v>
      </x:c>
      <x:c r="AX256" s="12" t="n">
        <x:v>1</x:v>
      </x:c>
      <x:c r="AY256" s="11"/>
      <x:c r="AZ256" s="11"/>
      <x:c r="BA256" s="11"/>
      <x:c r="BB256" s="11"/>
      <x:c r="BC256" s="11"/>
      <x:c r="BD256" s="11"/>
      <x:c r="BE256" s="11"/>
      <x:c r="BF256" s="11"/>
      <x:c r="BG256" s="11"/>
      <x:c r="BH256" s="11"/>
      <x:c r="BI256" s="11"/>
      <x:c r="BJ256" s="11"/>
      <x:c r="BK256" s="12"/>
      <x:c r="BL256" s="12"/>
      <x:c r="BM256" s="12"/>
      <x:c r="BN256" s="12"/>
      <x:c r="BO256" s="12"/>
      <x:c r="BP256" s="12"/>
      <x:c r="BQ256" s="12"/>
      <x:c r="BR256" s="12"/>
      <x:c r="BS256" s="12"/>
      <x:c r="BT256" s="12"/>
      <x:c r="BU256" s="11" t="n">
        <x:v>0</x:v>
      </x:c>
      <x:c r="BV256" s="11" t="n">
        <x:v>605710</x:v>
      </x:c>
      <x:c r="BW256" s="11" t="n">
        <x:v>86852</x:v>
      </x:c>
      <x:c r="BX256" s="11" t="n">
        <x:v>116011</x:v>
      </x:c>
      <x:c r="BY256" s="11" t="n">
        <x:v>0</x:v>
      </x:c>
      <x:c r="BZ256" s="11" t="n">
        <x:v>0</x:v>
      </x:c>
      <x:c r="CA256" s="11" t="n">
        <x:v>0</x:v>
      </x:c>
      <x:c r="CB256" s="11" t="n">
        <x:v>5071</x:v>
      </x:c>
      <x:c r="CC256" s="11" t="n">
        <x:v>736348</x:v>
      </x:c>
      <x:c r="CD256" s="11" t="n">
        <x:v>117889</x:v>
      </x:c>
      <x:c r="CE256" s="11" t="n">
        <x:v>327701</x:v>
      </x:c>
      <x:c r="CF256" s="11" t="n">
        <x:v>0</x:v>
      </x:c>
      <x:c r="CG256" s="11" t="n">
        <x:v>89916</x:v>
      </x:c>
      <x:c r="CH256" s="11" t="n">
        <x:v>330687</x:v>
      </x:c>
      <x:c r="CI256" s="11" t="n">
        <x:v>943661</x:v>
      </x:c>
      <x:c r="CJ256" s="11" t="n">
        <x:v>231130</x:v>
      </x:c>
      <x:c r="CK256" s="11" t="n">
        <x:v>264082</x:v>
      </x:c>
      <x:c r="CL256" s="11" t="n">
        <x:v>27293</x:v>
      </x:c>
      <x:c r="CM256" s="11"/>
      <x:c r="CN256" s="11" t="n">
        <x:v>0</x:v>
      </x:c>
      <x:c r="CO256" s="11" t="n">
        <x:v>0</x:v>
      </x:c>
      <x:c r="CP256" s="8"/>
      <x:c r="CQ256" s="8"/>
    </x:row>
    <x:row r="257">
      <x:c r="A257" s="8" t="str">
        <x:v>Gold River|2022</x:v>
      </x:c>
      <x:c r="B257" s="8" t="str">
        <x:v>gold-river-v</x:v>
      </x:c>
      <x:c r="C257" s="8" t="str">
        <x:v>Gold River</x:v>
      </x:c>
      <x:c r="D257" s="8" t="str">
        <x:v>Gold River</x:v>
      </x:c>
      <x:c r="E257" s="8" t="str">
        <x:v>V</x:v>
      </x:c>
      <x:c r="F257" s="8" t="str">
        <x:v>STR</x:v>
      </x:c>
      <x:c r="G257" s="9" t="n">
        <x:v>2022</x:v>
      </x:c>
      <x:c r="H257" s="10" t="n">
        <x:v>4277</x:v>
      </x:c>
      <x:c r="I257" s="8" t="str">
        <x:v>Under 5,000</x:v>
      </x:c>
      <x:c r="J257" s="11" t="n">
        <x:v>4217029</x:v>
      </x:c>
      <x:c r="K257" s="11" t="n">
        <x:v>3962909</x:v>
      </x:c>
      <x:c r="L257" s="11" t="n">
        <x:v>254120</x:v>
      </x:c>
      <x:c r="M257" s="12" t="n">
        <x:v>0.0602604345381547</x:v>
      </x:c>
      <x:c r="N257" s="11" t="n">
        <x:v>1163641</x:v>
      </x:c>
      <x:c r="O257" s="11" t="n">
        <x:v>1837040</x:v>
      </x:c>
      <x:c r="P257" s="11" t="n">
        <x:v>1010865</x:v>
      </x:c>
      <x:c r="Q257" s="11" t="n">
        <x:v>205483</x:v>
      </x:c>
      <x:c r="R257" s="11" t="n">
        <x:v>3457186</x:v>
      </x:c>
      <x:c r="S257" s="11" t="n">
        <x:v>505723</x:v>
      </x:c>
      <x:c r="T257" s="11" t="n">
        <x:v>11678967</x:v>
      </x:c>
      <x:c r="U257" s="11" t="n">
        <x:v>2086370</x:v>
      </x:c>
      <x:c r="V257" s="11" t="n">
        <x:v>10035747</x:v>
      </x:c>
      <x:c r="W257" s="11" t="n">
        <x:v>3478674</x:v>
      </x:c>
      <x:c r="X257" s="11" t="n">
        <x:v>0</x:v>
      </x:c>
      <x:c r="Y257" s="11" t="n">
        <x:v>0</x:v>
      </x:c>
      <x:c r="Z257" s="11" t="n">
        <x:v>0</x:v>
      </x:c>
      <x:c r="AA257" s="11" t="n">
        <x:v>0</x:v>
      </x:c>
      <x:c r="AB257" s="11" t="n">
        <x:v>0</x:v>
      </x:c>
      <x:c r="AC257" s="11" t="n">
        <x:v>0</x:v>
      </x:c>
      <x:c r="AD257" s="11" t="n">
        <x:v>944791</x:v>
      </x:c>
      <x:c r="AE257" s="11" t="n">
        <x:v>944791</x:v>
      </x:c>
      <x:c r="AF257" s="11" t="n">
        <x:v>3779164</x:v>
      </x:c>
      <x:c r="AG257" s="11" t="n">
        <x:v>27329621</x:v>
      </x:c>
      <x:c r="AH257" s="11" t="n">
        <x:v>13126826</x:v>
      </x:c>
      <x:c r="AI257" s="11" t="n">
        <x:v>14202795</x:v>
      </x:c>
      <x:c r="AJ257" s="11" t="n">
        <x:v>399955</x:v>
      </x:c>
      <x:c r="AK257" s="11" t="n">
        <x:v>2302691</x:v>
      </x:c>
      <x:c r="AL257" s="11" t="n">
        <x:v>0</x:v>
      </x:c>
      <x:c r="AM257" s="12" t="n">
        <x:v>1</x:v>
      </x:c>
      <x:c r="AN257" s="12" t="n">
        <x:v>0.17369026065590215</x:v>
      </x:c>
      <x:c r="AO257" s="11" t="n">
        <x:v>2046783</x:v>
      </x:c>
      <x:c r="AP257" s="11" t="n">
        <x:v>1975382</x:v>
      </x:c>
      <x:c r="AQ257" s="12" t="n">
        <x:v>0.9651155007638816</x:v>
      </x:c>
      <x:c r="AR257" s="11" t="n">
        <x:v>985.9782557867665</x:v>
      </x:c>
      <x:c r="AS257" s="11" t="n">
        <x:v>926.562777647884</x:v>
      </x:c>
      <x:c r="AT257" s="11" t="n">
        <x:v>2346.4454056581717</x:v>
      </x:c>
      <x:c r="AU257" s="11" t="n">
        <x:v>813.3444002805705</x:v>
      </x:c>
      <x:c r="AV257" s="11" t="n">
        <x:v>0</x:v>
      </x:c>
      <x:c r="AW257" s="11" t="n">
        <x:v>5.597744887052632</x:v>
      </x:c>
      <x:c r="AX257" s="12" t="n">
        <x:v>1</x:v>
      </x:c>
      <x:c r="AY257" s="11"/>
      <x:c r="AZ257" s="11"/>
      <x:c r="BA257" s="11"/>
      <x:c r="BB257" s="11"/>
      <x:c r="BC257" s="11"/>
      <x:c r="BD257" s="11"/>
      <x:c r="BE257" s="11"/>
      <x:c r="BF257" s="11"/>
      <x:c r="BG257" s="11"/>
      <x:c r="BH257" s="11"/>
      <x:c r="BI257" s="11"/>
      <x:c r="BJ257" s="11"/>
      <x:c r="BK257" s="12"/>
      <x:c r="BL257" s="12"/>
      <x:c r="BM257" s="12"/>
      <x:c r="BN257" s="12"/>
      <x:c r="BO257" s="12"/>
      <x:c r="BP257" s="12"/>
      <x:c r="BQ257" s="12"/>
      <x:c r="BR257" s="12"/>
      <x:c r="BS257" s="12"/>
      <x:c r="BT257" s="12"/>
      <x:c r="BU257" s="11" t="n">
        <x:v>0</x:v>
      </x:c>
      <x:c r="BV257" s="11" t="n">
        <x:v>756301</x:v>
      </x:c>
      <x:c r="BW257" s="11" t="n">
        <x:v>254564</x:v>
      </x:c>
      <x:c r="BX257" s="11" t="n">
        <x:v>194245</x:v>
      </x:c>
      <x:c r="BY257" s="11" t="n">
        <x:v>0</x:v>
      </x:c>
      <x:c r="BZ257" s="11" t="n">
        <x:v>0</x:v>
      </x:c>
      <x:c r="CA257" s="11" t="n">
        <x:v>0</x:v>
      </x:c>
      <x:c r="CB257" s="11" t="n">
        <x:v>11238</x:v>
      </x:c>
      <x:c r="CC257" s="11" t="n">
        <x:v>634769</x:v>
      </x:c>
      <x:c r="CD257" s="11" t="n">
        <x:v>136041</x:v>
      </x:c>
      <x:c r="CE257" s="11" t="n">
        <x:v>368937</x:v>
      </x:c>
      <x:c r="CF257" s="11" t="n">
        <x:v>0</x:v>
      </x:c>
      <x:c r="CG257" s="11" t="n">
        <x:v>227519</x:v>
      </x:c>
      <x:c r="CH257" s="11" t="n">
        <x:v>318712</x:v>
      </x:c>
      <x:c r="CI257" s="11" t="n">
        <x:v>975635</x:v>
      </x:c>
      <x:c r="CJ257" s="11" t="n">
        <x:v>368981</x:v>
      </x:c>
      <x:c r="CK257" s="11" t="n">
        <x:v>327098</x:v>
      </x:c>
      <x:c r="CL257" s="11" t="n">
        <x:v>99494</x:v>
      </x:c>
      <x:c r="CM257" s="11"/>
      <x:c r="CN257" s="11" t="n">
        <x:v>0</x:v>
      </x:c>
      <x:c r="CO257" s="11" t="n">
        <x:v>0</x:v>
      </x:c>
      <x:c r="CP257" s="8"/>
      <x:c r="CQ257" s="8"/>
    </x:row>
    <x:row r="258">
      <x:c r="A258" s="8" t="str">
        <x:v>Gold River|2023</x:v>
      </x:c>
      <x:c r="B258" s="8" t="str">
        <x:v>gold-river-v</x:v>
      </x:c>
      <x:c r="C258" s="8" t="str">
        <x:v>Gold River</x:v>
      </x:c>
      <x:c r="D258" s="8" t="str">
        <x:v>Gold River</x:v>
      </x:c>
      <x:c r="E258" s="8" t="str">
        <x:v>V</x:v>
      </x:c>
      <x:c r="F258" s="8" t="str">
        <x:v>STR</x:v>
      </x:c>
      <x:c r="G258" s="9" t="n">
        <x:v>2023</x:v>
      </x:c>
      <x:c r="H258" s="10" t="n">
        <x:v>1296</x:v>
      </x:c>
      <x:c r="I258" s="8" t="str">
        <x:v>Under 5,000</x:v>
      </x:c>
      <x:c r="J258" s="11" t="n">
        <x:v>4971273</x:v>
      </x:c>
      <x:c r="K258" s="11" t="n">
        <x:v>4510745</x:v>
      </x:c>
      <x:c r="L258" s="11" t="n">
        <x:v>460528</x:v>
      </x:c>
      <x:c r="M258" s="12" t="n">
        <x:v>0.09263784145429149</x:v>
      </x:c>
      <x:c r="N258" s="11" t="n">
        <x:v>1248621</x:v>
      </x:c>
      <x:c r="O258" s="11" t="n">
        <x:v>1547043</x:v>
      </x:c>
      <x:c r="P258" s="11" t="n">
        <x:v>1563994</x:v>
      </x:c>
      <x:c r="Q258" s="11" t="n">
        <x:v>611615</x:v>
      </x:c>
      <x:c r="R258" s="11" t="n">
        <x:v>3978857</x:v>
      </x:c>
      <x:c r="S258" s="11" t="n">
        <x:v>531888</x:v>
      </x:c>
      <x:c r="T258" s="11" t="n">
        <x:v>12975291</x:v>
      </x:c>
      <x:c r="U258" s="11" t="n">
        <x:v>2987293</x:v>
      </x:c>
      <x:c r="V258" s="11" t="n">
        <x:v>10413010</x:v>
      </x:c>
      <x:c r="W258" s="11" t="n">
        <x:v>3958372</x:v>
      </x:c>
      <x:c r="X258" s="11" t="n">
        <x:v>0</x:v>
      </x:c>
      <x:c r="Y258" s="11" t="n">
        <x:v>0</x:v>
      </x:c>
      <x:c r="Z258" s="11" t="n">
        <x:v>0</x:v>
      </x:c>
      <x:c r="AA258" s="11" t="n">
        <x:v>0</x:v>
      </x:c>
      <x:c r="AB258" s="11" t="n">
        <x:v>0</x:v>
      </x:c>
      <x:c r="AC258" s="11" t="n">
        <x:v>0</x:v>
      </x:c>
      <x:c r="AD258" s="11" t="n">
        <x:v>958820</x:v>
      </x:c>
      <x:c r="AE258" s="11" t="n">
        <x:v>958820</x:v>
      </x:c>
      <x:c r="AF258" s="11" t="n">
        <x:v>3835279</x:v>
      </x:c>
      <x:c r="AG258" s="11" t="n">
        <x:v>27910231</x:v>
      </x:c>
      <x:c r="AH258" s="11" t="n">
        <x:v>13962438</x:v>
      </x:c>
      <x:c r="AI258" s="11" t="n">
        <x:v>13947793</x:v>
      </x:c>
      <x:c r="AJ258" s="11" t="n">
        <x:v>155899</x:v>
      </x:c>
      <x:c r="AK258" s="11" t="n">
        <x:v>2072062</x:v>
      </x:c>
      <x:c r="AL258" s="11" t="n">
        <x:v>0</x:v>
      </x:c>
      <x:c r="AM258" s="12" t="n">
        <x:v>1</x:v>
      </x:c>
      <x:c r="AN258" s="12" t="n">
        <x:v>0.07523857876839593</x:v>
      </x:c>
      <x:c r="AO258" s="11" t="n">
        <x:v>2275092</x:v>
      </x:c>
      <x:c r="AP258" s="11" t="n">
        <x:v>2184738</x:v>
      </x:c>
      <x:c r="AQ258" s="12" t="n">
        <x:v>0.9602855620783687</x:v>
      </x:c>
      <x:c r="AR258" s="11" t="n">
        <x:v>3835.858796296296</x:v>
      </x:c>
      <x:c r="AS258" s="11" t="n">
        <x:v>3480.5131172839506</x:v>
      </x:c>
      <x:c r="AT258" s="11" t="n">
        <x:v>8034.729938271605</x:v>
      </x:c>
      <x:c r="AU258" s="11" t="n">
        <x:v>3054.2993827160494</x:v>
      </x:c>
      <x:c r="AV258" s="11" t="n">
        <x:v>0</x:v>
      </x:c>
      <x:c r="AW258" s="11" t="n">
        <x:v>4.343494595274049</x:v>
      </x:c>
      <x:c r="AX258" s="12" t="n">
        <x:v>1</x:v>
      </x:c>
      <x:c r="AY258" s="11"/>
      <x:c r="AZ258" s="11"/>
      <x:c r="BA258" s="11"/>
      <x:c r="BB258" s="11"/>
      <x:c r="BC258" s="11"/>
      <x:c r="BD258" s="11"/>
      <x:c r="BE258" s="11"/>
      <x:c r="BF258" s="11"/>
      <x:c r="BG258" s="11"/>
      <x:c r="BH258" s="11"/>
      <x:c r="BI258" s="11"/>
      <x:c r="BJ258" s="11"/>
      <x:c r="BK258" s="12"/>
      <x:c r="BL258" s="12"/>
      <x:c r="BM258" s="12"/>
      <x:c r="BN258" s="12"/>
      <x:c r="BO258" s="12"/>
      <x:c r="BP258" s="12"/>
      <x:c r="BQ258" s="12"/>
      <x:c r="BR258" s="12"/>
      <x:c r="BS258" s="12"/>
      <x:c r="BT258" s="12"/>
      <x:c r="BU258" s="11" t="n">
        <x:v>0</x:v>
      </x:c>
      <x:c r="BV258" s="11" t="n">
        <x:v>1538904</x:v>
      </x:c>
      <x:c r="BW258" s="11" t="n">
        <x:v>25090</x:v>
      </x:c>
      <x:c r="BX258" s="11" t="n">
        <x:v>553828</x:v>
      </x:c>
      <x:c r="BY258" s="11" t="n">
        <x:v>0</x:v>
      </x:c>
      <x:c r="BZ258" s="11" t="n">
        <x:v>0</x:v>
      </x:c>
      <x:c r="CA258" s="11" t="n">
        <x:v>0</x:v>
      </x:c>
      <x:c r="CB258" s="11" t="n">
        <x:v>57787</x:v>
      </x:c>
      <x:c r="CC258" s="11" t="n">
        <x:v>791140</x:v>
      </x:c>
      <x:c r="CD258" s="11" t="n">
        <x:v>121649</x:v>
      </x:c>
      <x:c r="CE258" s="11" t="n">
        <x:v>353842</x:v>
      </x:c>
      <x:c r="CF258" s="11" t="n">
        <x:v>0</x:v>
      </x:c>
      <x:c r="CG258" s="11" t="n">
        <x:v>185351</x:v>
      </x:c>
      <x:c r="CH258" s="11" t="n">
        <x:v>301546</x:v>
      </x:c>
      <x:c r="CI258" s="11" t="n">
        <x:v>922421</x:v>
      </x:c>
      <x:c r="CJ258" s="11" t="n">
        <x:v>265072</x:v>
      </x:c>
      <x:c r="CK258" s="11" t="n">
        <x:v>418144</x:v>
      </x:c>
      <x:c r="CL258" s="11" t="n">
        <x:v>592614</x:v>
      </x:c>
      <x:c r="CM258" s="11" t="n">
        <x:v>0</x:v>
      </x:c>
      <x:c r="CN258" s="11" t="n">
        <x:v>27078</x:v>
      </x:c>
      <x:c r="CO258" s="11" t="n">
        <x:v>0</x:v>
      </x:c>
      <x:c r="CP258" s="8"/>
      <x:c r="CQ258" s="8"/>
    </x:row>
    <x:row r="259">
      <x:c r="A259" s="8" t="str">
        <x:v>Gold River|2024</x:v>
      </x:c>
      <x:c r="B259" s="8" t="str">
        <x:v>gold-river-v</x:v>
      </x:c>
      <x:c r="C259" s="8" t="str">
        <x:v>Gold River</x:v>
      </x:c>
      <x:c r="D259" s="8" t="str">
        <x:v>Gold River</x:v>
      </x:c>
      <x:c r="E259" s="8" t="str">
        <x:v>V</x:v>
      </x:c>
      <x:c r="F259" s="8" t="str">
        <x:v>STR</x:v>
      </x:c>
      <x:c r="G259" s="9" t="n">
        <x:v>2024</x:v>
      </x:c>
      <x:c r="H259" s="10" t="n">
        <x:v>1296</x:v>
      </x:c>
      <x:c r="I259" s="8" t="str">
        <x:v>Under 5,000</x:v>
      </x:c>
      <x:c r="J259" s="11" t="n">
        <x:v>4785162</x:v>
      </x:c>
      <x:c r="K259" s="11" t="n">
        <x:v>4232417</x:v>
      </x:c>
      <x:c r="L259" s="11" t="n">
        <x:v>552745</x:v>
      </x:c>
      <x:c r="M259" s="12" t="n">
        <x:v>0.1155122856864616</x:v>
      </x:c>
      <x:c r="N259" s="11" t="n">
        <x:v>1402833</x:v>
      </x:c>
      <x:c r="O259" s="11" t="n">
        <x:v>1718217</x:v>
      </x:c>
      <x:c r="P259" s="11" t="n">
        <x:v>942602</x:v>
      </x:c>
      <x:c r="Q259" s="11" t="n">
        <x:v>721510</x:v>
      </x:c>
      <x:c r="R259" s="11" t="n">
        <x:v>3696963</x:v>
      </x:c>
      <x:c r="S259" s="11" t="n">
        <x:v>535454</x:v>
      </x:c>
      <x:c r="T259" s="11" t="n">
        <x:v>14130623</x:v>
      </x:c>
      <x:c r="U259" s="11" t="n">
        <x:v>3429383</x:v>
      </x:c>
      <x:c r="V259" s="11" t="n">
        <x:v>11200806</x:v>
      </x:c>
      <x:c r="W259" s="11" t="n">
        <x:v>4041237</x:v>
      </x:c>
      <x:c r="X259" s="11" t="n">
        <x:v>0</x:v>
      </x:c>
      <x:c r="Y259" s="11" t="n">
        <x:v>0</x:v>
      </x:c>
      <x:c r="Z259" s="11" t="n">
        <x:v>0</x:v>
      </x:c>
      <x:c r="AA259" s="11" t="n">
        <x:v>0</x:v>
      </x:c>
      <x:c r="AB259" s="11" t="n">
        <x:v>0</x:v>
      </x:c>
      <x:c r="AC259" s="11" t="n">
        <x:v>0</x:v>
      </x:c>
      <x:c r="AD259" s="11" t="n">
        <x:v>1075615</x:v>
      </x:c>
      <x:c r="AE259" s="11" t="n">
        <x:v>1075615</x:v>
      </x:c>
      <x:c r="AF259" s="11" t="n">
        <x:v>4302460</x:v>
      </x:c>
      <x:c r="AG259" s="11" t="n">
        <x:v>28146983</x:v>
      </x:c>
      <x:c r="AH259" s="11" t="n">
        <x:v>14474335</x:v>
      </x:c>
      <x:c r="AI259" s="11" t="n">
        <x:v>13672648</x:v>
      </x:c>
      <x:c r="AJ259" s="11" t="n">
        <x:v>255043</x:v>
      </x:c>
      <x:c r="AK259" s="11" t="n">
        <x:v>50340895</x:v>
      </x:c>
      <x:c r="AL259" s="11" t="n">
        <x:v>16305150</x:v>
      </x:c>
      <x:c r="AM259" s="12" t="n">
        <x:v>0.676105281799221</x:v>
      </x:c>
      <x:c r="AN259" s="12" t="n">
        <x:v>0.005066318348134255</x:v>
      </x:c>
      <x:c r="AO259" s="11" t="n">
        <x:v>2469650</x:v>
      </x:c>
      <x:c r="AP259" s="11" t="n">
        <x:v>2358682</x:v>
      </x:c>
      <x:c r="AQ259" s="12" t="n">
        <x:v>0.9550673172311867</x:v>
      </x:c>
      <x:c r="AR259" s="11" t="n">
        <x:v>3692.2546296296296</x:v>
      </x:c>
      <x:c r="AS259" s="11" t="n">
        <x:v>3265.7538580246915</x:v>
      </x:c>
      <x:c r="AT259" s="11" t="n">
        <x:v>8642.597222222223</x:v>
      </x:c>
      <x:c r="AU259" s="11" t="n">
        <x:v>3118.238425925926</x:v>
      </x:c>
      <x:c r="AV259" s="11" t="n">
        <x:v>0</x:v>
      </x:c>
      <x:c r="AW259" s="11" t="n">
        <x:v>4.120456361975317</x:v>
      </x:c>
      <x:c r="AX259" s="12" t="n">
        <x:v>1</x:v>
      </x:c>
      <x:c r="AY259" s="11" t="n">
        <x:v>4648.097865362712</x:v>
      </x:c>
      <x:c r="AZ259" s="11" t="n">
        <x:v>3546.5079302077975</x:v>
      </x:c>
      <x:c r="BA259" s="11" t="n">
        <x:v>3428.422456291105</x:v>
      </x:c>
      <x:c r="BB259" s="11" t="n">
        <x:v>2783.665107049771</x:v>
      </x:c>
      <x:c r="BC259" s="11" t="n">
        <x:v>5030.364110900993</x:v>
      </x:c>
      <x:c r="BD259" s="11" t="n">
        <x:v>2437.8724475115623</x:v>
      </x:c>
      <x:c r="BE259" s="11" t="n">
        <x:v>2420.45</x:v>
      </x:c>
      <x:c r="BF259" s="11" t="n">
        <x:v>1604.3462673977224</x:v>
      </x:c>
      <x:c r="BG259" s="11" t="n">
        <x:v>224.31236112962716</x:v>
      </x:c>
      <x:c r="BH259" s="11" t="n">
        <x:v>518.5374381567245</x:v>
      </x:c>
      <x:c r="BI259" s="11" t="n">
        <x:v>2.204313821553219</x:v>
      </x:c>
      <x:c r="BJ259" s="11" t="n">
        <x:v>1.7099330852451193</x:v>
      </x:c>
      <x:c r="BK259" s="12" t="n">
        <x:v>0.030042455998363887</x:v>
      </x:c>
      <x:c r="BL259" s="12" t="n">
        <x:v>0.02529861000232605</x:v>
      </x:c>
      <x:c r="BM259" s="12" t="n">
        <x:v>0.9786113537119745</x:v>
      </x:c>
      <x:c r="BN259" s="12" t="n">
        <x:v>0.9815511712696461</x:v>
      </x:c>
      <x:c r="BO259" s="12" t="n">
        <x:v>0.9039920521842442</x:v>
      </x:c>
      <x:c r="BP259" s="12" t="n">
        <x:v>0.8619101997275483</x:v>
      </x:c>
      <x:c r="BQ259" s="12" t="n">
        <x:v>0.9333160528846489</x:v>
      </x:c>
      <x:c r="BR259" s="12" t="n">
        <x:v>0.9623635142836453</x:v>
      </x:c>
      <x:c r="BS259" s="12" t="n">
        <x:v>0.20869205825466772</x:v>
      </x:c>
      <x:c r="BT259" s="12" t="n">
        <x:v>0.19976549769108282</x:v>
      </x:c>
      <x:c r="BU259" s="11" t="n">
        <x:v>0</x:v>
      </x:c>
      <x:c r="BV259" s="11" t="n">
        <x:v>942602</x:v>
      </x:c>
      <x:c r="BW259" s="11" t="n">
        <x:v>0</x:v>
      </x:c>
      <x:c r="BX259" s="11" t="n">
        <x:v>644184</x:v>
      </x:c>
      <x:c r="BY259" s="11" t="n">
        <x:v>0</x:v>
      </x:c>
      <x:c r="BZ259" s="11" t="n">
        <x:v>0</x:v>
      </x:c>
      <x:c r="CA259" s="11" t="n">
        <x:v>0</x:v>
      </x:c>
      <x:c r="CB259" s="11" t="n">
        <x:v>77326</x:v>
      </x:c>
      <x:c r="CC259" s="11" t="n">
        <x:v>641156</x:v>
      </x:c>
      <x:c r="CD259" s="11" t="n">
        <x:v>229479</x:v>
      </x:c>
      <x:c r="CE259" s="11" t="n">
        <x:v>378568</x:v>
      </x:c>
      <x:c r="CF259" s="11" t="n">
        <x:v>0</x:v>
      </x:c>
      <x:c r="CG259" s="11" t="n">
        <x:v>292919</x:v>
      </x:c>
      <x:c r="CH259" s="11" t="n">
        <x:v>408877</x:v>
      </x:c>
      <x:c r="CI259" s="11" t="n">
        <x:v>1054437</x:v>
      </x:c>
      <x:c r="CJ259" s="11" t="n">
        <x:v>294307</x:v>
      </x:c>
      <x:c r="CK259" s="11" t="n">
        <x:v>368990</x:v>
      </x:c>
      <x:c r="CL259" s="11" t="n">
        <x:v>22072</x:v>
      </x:c>
      <x:c r="CM259" s="11" t="n">
        <x:v>0</x:v>
      </x:c>
      <x:c r="CN259" s="11" t="n">
        <x:v>6158</x:v>
      </x:c>
      <x:c r="CO259" s="11" t="n">
        <x:v>0</x:v>
      </x:c>
      <x:c r="CP259" s="8"/>
      <x:c r="CQ259" s="8"/>
    </x:row>
    <x:row r="260">
      <x:c r="A260" s="8" t="str">
        <x:v>Golden|2019</x:v>
      </x:c>
      <x:c r="B260" s="8" t="str">
        <x:v>golden-t</x:v>
      </x:c>
      <x:c r="C260" s="8" t="str">
        <x:v>Golden</x:v>
      </x:c>
      <x:c r="D260" s="8" t="str">
        <x:v>Golden</x:v>
      </x:c>
      <x:c r="E260" s="8" t="str">
        <x:v>T</x:v>
      </x:c>
      <x:c r="F260" s="8" t="str">
        <x:v>COL</x:v>
      </x:c>
      <x:c r="G260" s="9" t="n">
        <x:v>2019</x:v>
      </x:c>
      <x:c r="H260" s="10" t="n">
        <x:v>4057</x:v>
      </x:c>
      <x:c r="I260" s="8" t="str">
        <x:v>Under 5,000</x:v>
      </x:c>
      <x:c r="J260" s="11" t="n">
        <x:v>13383266</x:v>
      </x:c>
      <x:c r="K260" s="11" t="n">
        <x:v>10816306</x:v>
      </x:c>
      <x:c r="L260" s="11" t="n">
        <x:v>2566960</x:v>
      </x:c>
      <x:c r="M260" s="12" t="n">
        <x:v>0.19180370471602373</x:v>
      </x:c>
      <x:c r="N260" s="11" t="n">
        <x:v>6125485</x:v>
      </x:c>
      <x:c r="O260" s="11" t="n">
        <x:v>2578817</x:v>
      </x:c>
      <x:c r="P260" s="11" t="n">
        <x:v>3982431</x:v>
      </x:c>
      <x:c r="Q260" s="11" t="n">
        <x:v>696533</x:v>
      </x:c>
      <x:c r="R260" s="11" t="n">
        <x:v>7946711</x:v>
      </x:c>
      <x:c r="S260" s="11" t="n">
        <x:v>2736403</x:v>
      </x:c>
      <x:c r="T260" s="11" t="n">
        <x:v>12582082</x:v>
      </x:c>
      <x:c r="U260" s="11" t="n">
        <x:v>7638334</x:v>
      </x:c>
      <x:c r="V260" s="11" t="n">
        <x:v>8073141</x:v>
      </x:c>
      <x:c r="W260" s="11" t="n">
        <x:v>1130543</x:v>
      </x:c>
      <x:c r="X260" s="11" t="n">
        <x:v>2787814</x:v>
      </x:c>
      <x:c r="Y260" s="11" t="n">
        <x:v>373141</x:v>
      </x:c>
      <x:c r="Z260" s="11" t="n">
        <x:v>365263</x:v>
      </x:c>
      <x:c r="AA260" s="11" t="n">
        <x:v>2735558</x:v>
      </x:c>
      <x:c r="AB260" s="11" t="n">
        <x:v>133192</x:v>
      </x:c>
      <x:c r="AC260" s="11" t="n">
        <x:v>498455</x:v>
      </x:c>
      <x:c r="AD260" s="11" t="n">
        <x:v>2455607</x:v>
      </x:c>
      <x:c r="AE260" s="11" t="n">
        <x:v>1957152</x:v>
      </x:c>
      <x:c r="AF260" s="11" t="n">
        <x:v>9822428</x:v>
      </x:c>
      <x:c r="AG260" s="11" t="n">
        <x:v>116978795</x:v>
      </x:c>
      <x:c r="AH260" s="11" t="n">
        <x:v>56526353</x:v>
      </x:c>
      <x:c r="AI260" s="11" t="n">
        <x:v>60452442</x:v>
      </x:c>
      <x:c r="AJ260" s="11" t="n">
        <x:v>3844546</x:v>
      </x:c>
      <x:c r="AK260" s="11" t="n">
        <x:v>11368680</x:v>
      </x:c>
      <x:c r="AL260" s="11" t="n">
        <x:v>0</x:v>
      </x:c>
      <x:c r="AM260" s="12" t="n">
        <x:v>1</x:v>
      </x:c>
      <x:c r="AN260" s="12" t="n">
        <x:v>0.33816995464732935</x:v>
      </x:c>
      <x:c r="AO260" s="11" t="n">
        <x:v>9396533</x:v>
      </x:c>
      <x:c r="AP260" s="11" t="n">
        <x:v>9015255</x:v>
      </x:c>
      <x:c r="AQ260" s="12" t="n">
        <x:v>0.9594235448329719</x:v>
      </x:c>
      <x:c r="AR260" s="11" t="n">
        <x:v>3298.808479171802</x:v>
      </x:c>
      <x:c r="AS260" s="11" t="n">
        <x:v>2666.084791718018</x:v>
      </x:c>
      <x:c r="AT260" s="11" t="n">
        <x:v>1989.9287650973627</x:v>
      </x:c>
      <x:c r="AU260" s="11" t="n">
        <x:v>278.6647769287651</x:v>
      </x:c>
      <x:c r="AV260" s="11" t="n">
        <x:v>674.2809958097116</x:v>
      </x:c>
      <x:c r="AW260" s="11" t="n">
        <x:v>1.6472285710470371</x:v>
      </x:c>
      <x:c r="AX260" s="12" t="n">
        <x:v>0.7970135286305993</x:v>
      </x:c>
      <x:c r="AY260" s="11"/>
      <x:c r="AZ260" s="11"/>
      <x:c r="BA260" s="11"/>
      <x:c r="BB260" s="11"/>
      <x:c r="BC260" s="11"/>
      <x:c r="BD260" s="11"/>
      <x:c r="BE260" s="11"/>
      <x:c r="BF260" s="11"/>
      <x:c r="BG260" s="11"/>
      <x:c r="BH260" s="11"/>
      <x:c r="BI260" s="11"/>
      <x:c r="BJ260" s="11"/>
      <x:c r="BK260" s="12"/>
      <x:c r="BL260" s="12"/>
      <x:c r="BM260" s="12"/>
      <x:c r="BN260" s="12"/>
      <x:c r="BO260" s="12"/>
      <x:c r="BP260" s="12"/>
      <x:c r="BQ260" s="12"/>
      <x:c r="BR260" s="12"/>
      <x:c r="BS260" s="12"/>
      <x:c r="BT260" s="12"/>
      <x:c r="BU260" s="11" t="n">
        <x:v>20720</x:v>
      </x:c>
      <x:c r="BV260" s="11" t="n">
        <x:v>1297720</x:v>
      </x:c>
      <x:c r="BW260" s="11" t="n">
        <x:v>2663991</x:v>
      </x:c>
      <x:c r="BX260" s="11" t="n">
        <x:v>284984</x:v>
      </x:c>
      <x:c r="BY260" s="11" t="n">
        <x:v>0</x:v>
      </x:c>
      <x:c r="BZ260" s="11" t="n">
        <x:v>0</x:v>
      </x:c>
      <x:c r="CA260" s="11" t="n">
        <x:v>0</x:v>
      </x:c>
      <x:c r="CB260" s="11" t="n">
        <x:v>411549</x:v>
      </x:c>
      <x:c r="CC260" s="11" t="n">
        <x:v>2334077</x:v>
      </x:c>
      <x:c r="CD260" s="11" t="n">
        <x:v>814307</x:v>
      </x:c>
      <x:c r="CE260" s="11" t="n">
        <x:v>355705</x:v>
      </x:c>
      <x:c r="CF260" s="11" t="n">
        <x:v>69001</x:v>
      </x:c>
      <x:c r="CG260" s="11" t="n">
        <x:v>376072</x:v>
      </x:c>
      <x:c r="CH260" s="11" t="n">
        <x:v>1591698</x:v>
      </x:c>
      <x:c r="CI260" s="11" t="n">
        <x:v>1300628</x:v>
      </x:c>
      <x:c r="CJ260" s="11" t="n">
        <x:v>483575</x:v>
      </x:c>
      <x:c r="CK260" s="11" t="n">
        <x:v>628334</x:v>
      </x:c>
      <x:c r="CL260" s="11" t="n">
        <x:v>142028</x:v>
      </x:c>
      <x:c r="CM260" s="11"/>
      <x:c r="CN260" s="11" t="n">
        <x:v>-15522</x:v>
      </x:c>
      <x:c r="CO260" s="11" t="n">
        <x:v>0</x:v>
      </x:c>
      <x:c r="CP260" s="8"/>
      <x:c r="CQ260" s="8"/>
    </x:row>
    <x:row r="261">
      <x:c r="A261" s="8" t="str">
        <x:v>Golden|2020</x:v>
      </x:c>
      <x:c r="B261" s="8" t="str">
        <x:v>golden-t</x:v>
      </x:c>
      <x:c r="C261" s="8" t="str">
        <x:v>Golden</x:v>
      </x:c>
      <x:c r="D261" s="8" t="str">
        <x:v>Golden</x:v>
      </x:c>
      <x:c r="E261" s="8" t="str">
        <x:v>T</x:v>
      </x:c>
      <x:c r="F261" s="8" t="str">
        <x:v>COL</x:v>
      </x:c>
      <x:c r="G261" s="9" t="n">
        <x:v>2020</x:v>
      </x:c>
      <x:c r="H261" s="10" t="n">
        <x:v>4131</x:v>
      </x:c>
      <x:c r="I261" s="8" t="str">
        <x:v>Under 5,000</x:v>
      </x:c>
      <x:c r="J261" s="11" t="n">
        <x:v>15466789</x:v>
      </x:c>
      <x:c r="K261" s="11" t="n">
        <x:v>10380168</x:v>
      </x:c>
      <x:c r="L261" s="11" t="n">
        <x:v>5086621</x:v>
      </x:c>
      <x:c r="M261" s="12" t="n">
        <x:v>0.3288737565373136</x:v>
      </x:c>
      <x:c r="N261" s="11" t="n">
        <x:v>6098659</x:v>
      </x:c>
      <x:c r="O261" s="11" t="n">
        <x:v>2526201</x:v>
      </x:c>
      <x:c r="P261" s="11" t="n">
        <x:v>6201580</x:v>
      </x:c>
      <x:c r="Q261" s="11" t="n">
        <x:v>640349</x:v>
      </x:c>
      <x:c r="R261" s="11" t="n">
        <x:v>7518257</x:v>
      </x:c>
      <x:c r="S261" s="11" t="n">
        <x:v>2747224</x:v>
      </x:c>
      <x:c r="T261" s="11" t="n">
        <x:v>17089355</x:v>
      </x:c>
      <x:c r="U261" s="11" t="n">
        <x:v>9098582</x:v>
      </x:c>
      <x:c r="V261" s="11" t="n">
        <x:v>10285919</x:v>
      </x:c>
      <x:c r="W261" s="11" t="n">
        <x:v>1130512</x:v>
      </x:c>
      <x:c r="X261" s="11" t="n">
        <x:v>2735558</x:v>
      </x:c>
      <x:c r="Y261" s="11" t="n">
        <x:v>460000</x:v>
      </x:c>
      <x:c r="Z261" s="11" t="n">
        <x:v>438736</x:v>
      </x:c>
      <x:c r="AA261" s="11" t="n">
        <x:v>2689292</x:v>
      </x:c>
      <x:c r="AB261" s="11" t="n">
        <x:v>114687</x:v>
      </x:c>
      <x:c r="AC261" s="11" t="n">
        <x:v>553423</x:v>
      </x:c>
      <x:c r="AD261" s="11" t="n">
        <x:v>2407573</x:v>
      </x:c>
      <x:c r="AE261" s="11" t="n">
        <x:v>1854150</x:v>
      </x:c>
      <x:c r="AF261" s="11" t="n">
        <x:v>9630290</x:v>
      </x:c>
      <x:c r="AG261" s="11" t="n">
        <x:v>122285307</x:v>
      </x:c>
      <x:c r="AH261" s="11" t="n">
        <x:v>58913310</x:v>
      </x:c>
      <x:c r="AI261" s="11" t="n">
        <x:v>63371997</x:v>
      </x:c>
      <x:c r="AJ261" s="11" t="n">
        <x:v>5700515</x:v>
      </x:c>
      <x:c r="AK261" s="11" t="n">
        <x:v>16092397</x:v>
      </x:c>
      <x:c r="AL261" s="11" t="n">
        <x:v>0</x:v>
      </x:c>
      <x:c r="AM261" s="12" t="n">
        <x:v>1</x:v>
      </x:c>
      <x:c r="AN261" s="12" t="n">
        <x:v>0.3542365379129038</x:v>
      </x:c>
      <x:c r="AO261" s="11" t="n">
        <x:v>9058698</x:v>
      </x:c>
      <x:c r="AP261" s="11" t="n">
        <x:v>8750938</x:v>
      </x:c>
      <x:c r="AQ261" s="12" t="n">
        <x:v>0.966026022724237</x:v>
      </x:c>
      <x:c r="AR261" s="11" t="n">
        <x:v>3744.0786734446865</x:v>
      </x:c>
      <x:c r="AS261" s="11" t="n">
        <x:v>2512.7494553376905</x:v>
      </x:c>
      <x:c r="AT261" s="11" t="n">
        <x:v>2489.934398450738</x:v>
      </x:c>
      <x:c r="AU261" s="11" t="n">
        <x:v>273.6654563059792</x:v>
      </x:c>
      <x:c r="AV261" s="11" t="n">
        <x:v>651.0026627935125</x:v>
      </x:c>
      <x:c r="AW261" s="11" t="n">
        <x:v>1.8782437746892868</x:v>
      </x:c>
      <x:c r="AX261" s="12" t="n">
        <x:v>0.7701324113536744</x:v>
      </x:c>
      <x:c r="AY261" s="11"/>
      <x:c r="AZ261" s="11"/>
      <x:c r="BA261" s="11"/>
      <x:c r="BB261" s="11"/>
      <x:c r="BC261" s="11"/>
      <x:c r="BD261" s="11"/>
      <x:c r="BE261" s="11"/>
      <x:c r="BF261" s="11"/>
      <x:c r="BG261" s="11"/>
      <x:c r="BH261" s="11"/>
      <x:c r="BI261" s="11"/>
      <x:c r="BJ261" s="11"/>
      <x:c r="BK261" s="12"/>
      <x:c r="BL261" s="12"/>
      <x:c r="BM261" s="12"/>
      <x:c r="BN261" s="12"/>
      <x:c r="BO261" s="12"/>
      <x:c r="BP261" s="12"/>
      <x:c r="BQ261" s="12"/>
      <x:c r="BR261" s="12"/>
      <x:c r="BS261" s="12"/>
      <x:c r="BT261" s="12"/>
      <x:c r="BU261" s="11" t="n">
        <x:v>3200</x:v>
      </x:c>
      <x:c r="BV261" s="11" t="n">
        <x:v>2211912</x:v>
      </x:c>
      <x:c r="BW261" s="11" t="n">
        <x:v>3986468</x:v>
      </x:c>
      <x:c r="BX261" s="11" t="n">
        <x:v>189019</x:v>
      </x:c>
      <x:c r="BY261" s="11" t="n">
        <x:v>0</x:v>
      </x:c>
      <x:c r="BZ261" s="11" t="n">
        <x:v>52772</x:v>
      </x:c>
      <x:c r="CA261" s="11" t="n">
        <x:v>0</x:v>
      </x:c>
      <x:c r="CB261" s="11" t="n">
        <x:v>398558</x:v>
      </x:c>
      <x:c r="CC261" s="11" t="n">
        <x:v>2462338</x:v>
      </x:c>
      <x:c r="CD261" s="11" t="n">
        <x:v>798238</x:v>
      </x:c>
      <x:c r="CE261" s="11" t="n">
        <x:v>243443</x:v>
      </x:c>
      <x:c r="CF261" s="11" t="n">
        <x:v>68407</x:v>
      </x:c>
      <x:c r="CG261" s="11" t="n">
        <x:v>421537</x:v>
      </x:c>
      <x:c r="CH261" s="11" t="n">
        <x:v>1451178</x:v>
      </x:c>
      <x:c r="CI261" s="11" t="n">
        <x:v>1018269</x:v>
      </x:c>
      <x:c r="CJ261" s="11" t="n">
        <x:v>466898</x:v>
      </x:c>
      <x:c r="CK261" s="11" t="n">
        <x:v>598326</x:v>
      </x:c>
      <x:c r="CL261" s="11" t="n">
        <x:v>167274</x:v>
      </x:c>
      <x:c r="CM261" s="11"/>
      <x:c r="CN261" s="11" t="n">
        <x:v>-62964</x:v>
      </x:c>
      <x:c r="CO261" s="11" t="n">
        <x:v>0</x:v>
      </x:c>
      <x:c r="CP261" s="8"/>
      <x:c r="CQ261" s="8"/>
    </x:row>
    <x:row r="262">
      <x:c r="A262" s="8" t="str">
        <x:v>Golden|2021</x:v>
      </x:c>
      <x:c r="B262" s="8" t="str">
        <x:v>golden-t</x:v>
      </x:c>
      <x:c r="C262" s="8" t="str">
        <x:v>Golden</x:v>
      </x:c>
      <x:c r="D262" s="8" t="str">
        <x:v>Golden</x:v>
      </x:c>
      <x:c r="E262" s="8" t="str">
        <x:v>T</x:v>
      </x:c>
      <x:c r="F262" s="8" t="str">
        <x:v>COL</x:v>
      </x:c>
      <x:c r="G262" s="9" t="n">
        <x:v>2021</x:v>
      </x:c>
      <x:c r="H262" s="10" t="n">
        <x:v>4185</x:v>
      </x:c>
      <x:c r="I262" s="8" t="str">
        <x:v>Under 5,000</x:v>
      </x:c>
      <x:c r="J262" s="11" t="n">
        <x:v>16139184</x:v>
      </x:c>
      <x:c r="K262" s="11" t="n">
        <x:v>11825552</x:v>
      </x:c>
      <x:c r="L262" s="11" t="n">
        <x:v>4313632</x:v>
      </x:c>
      <x:c r="M262" s="12" t="n">
        <x:v>0.2672769577445799</x:v>
      </x:c>
      <x:c r="N262" s="11" t="n">
        <x:v>6402032</x:v>
      </x:c>
      <x:c r="O262" s="11" t="n">
        <x:v>3096489</x:v>
      </x:c>
      <x:c r="P262" s="11" t="n">
        <x:v>4803108</x:v>
      </x:c>
      <x:c r="Q262" s="11" t="n">
        <x:v>1837555</x:v>
      </x:c>
      <x:c r="R262" s="11" t="n">
        <x:v>8861915</x:v>
      </x:c>
      <x:c r="S262" s="11" t="n">
        <x:v>2859487</x:v>
      </x:c>
      <x:c r="T262" s="11" t="n">
        <x:v>17390699</x:v>
      </x:c>
      <x:c r="U262" s="11" t="n">
        <x:v>8668932</x:v>
      </x:c>
      <x:c r="V262" s="11" t="n">
        <x:v>11265016</x:v>
      </x:c>
      <x:c r="W262" s="11" t="n">
        <x:v>794970</x:v>
      </x:c>
      <x:c r="X262" s="11" t="n">
        <x:v>2689292</x:v>
      </x:c>
      <x:c r="Y262" s="11" t="n">
        <x:v>886750</x:v>
      </x:c>
      <x:c r="Z262" s="11" t="n">
        <x:v>588476</x:v>
      </x:c>
      <x:c r="AA262" s="11" t="n">
        <x:v>2912344</x:v>
      </x:c>
      <x:c r="AB262" s="11" t="n">
        <x:v>104150</x:v>
      </x:c>
      <x:c r="AC262" s="11" t="n">
        <x:v>692626</x:v>
      </x:c>
      <x:c r="AD262" s="11" t="n">
        <x:v>2570169</x:v>
      </x:c>
      <x:c r="AE262" s="11" t="n">
        <x:v>1446543</x:v>
      </x:c>
      <x:c r="AF262" s="11" t="n">
        <x:v>10280677</x:v>
      </x:c>
      <x:c r="AG262" s="11" t="n">
        <x:v>128238909</x:v>
      </x:c>
      <x:c r="AH262" s="11" t="n">
        <x:v>76134384</x:v>
      </x:c>
      <x:c r="AI262" s="11" t="n">
        <x:v>66727525</x:v>
      </x:c>
      <x:c r="AJ262" s="11" t="n">
        <x:v>6244458</x:v>
      </x:c>
      <x:c r="AK262" s="11" t="n">
        <x:v>11208474</x:v>
      </x:c>
      <x:c r="AL262" s="11" t="n">
        <x:v>0</x:v>
      </x:c>
      <x:c r="AM262" s="12" t="n">
        <x:v>1</x:v>
      </x:c>
      <x:c r="AN262" s="12" t="n">
        <x:v>0.5571193723605907</x:v>
      </x:c>
      <x:c r="AO262" s="11" t="n">
        <x:v>9948151</x:v>
      </x:c>
      <x:c r="AP262" s="11" t="n">
        <x:v>9663500</x:v>
      </x:c>
      <x:c r="AQ262" s="12" t="n">
        <x:v>0.9713865420820412</x:v>
      </x:c>
      <x:c r="AR262" s="11" t="n">
        <x:v>3856.4358422939067</x:v>
      </x:c>
      <x:c r="AS262" s="11" t="n">
        <x:v>2825.699402628435</x:v>
      </x:c>
      <x:c r="AT262" s="11" t="n">
        <x:v>2691.7600955794505</x:v>
      </x:c>
      <x:c r="AU262" s="11" t="n">
        <x:v>189.95698924731184</x:v>
      </x:c>
      <x:c r="AV262" s="11" t="n">
        <x:v>695.9005973715651</x:v>
      </x:c>
      <x:c r="AW262" s="11" t="n">
        <x:v>2.006094753079157</x:v>
      </x:c>
      <x:c r="AX262" s="12" t="n">
        <x:v>0.5628201880887989</x:v>
      </x:c>
      <x:c r="AY262" s="11"/>
      <x:c r="AZ262" s="11"/>
      <x:c r="BA262" s="11"/>
      <x:c r="BB262" s="11"/>
      <x:c r="BC262" s="11"/>
      <x:c r="BD262" s="11"/>
      <x:c r="BE262" s="11"/>
      <x:c r="BF262" s="11"/>
      <x:c r="BG262" s="11"/>
      <x:c r="BH262" s="11"/>
      <x:c r="BI262" s="11"/>
      <x:c r="BJ262" s="11"/>
      <x:c r="BK262" s="12"/>
      <x:c r="BL262" s="12"/>
      <x:c r="BM262" s="12"/>
      <x:c r="BN262" s="12"/>
      <x:c r="BO262" s="12"/>
      <x:c r="BP262" s="12"/>
      <x:c r="BQ262" s="12"/>
      <x:c r="BR262" s="12"/>
      <x:c r="BS262" s="12"/>
      <x:c r="BT262" s="12"/>
      <x:c r="BU262" s="11" t="n">
        <x:v>1616833</x:v>
      </x:c>
      <x:c r="BV262" s="11" t="n">
        <x:v>2307576</x:v>
      </x:c>
      <x:c r="BW262" s="11" t="n">
        <x:v>878699</x:v>
      </x:c>
      <x:c r="BX262" s="11" t="n">
        <x:v>135828</x:v>
      </x:c>
      <x:c r="BY262" s="11" t="n">
        <x:v>0</x:v>
      </x:c>
      <x:c r="BZ262" s="11" t="n">
        <x:v>1482745</x:v>
      </x:c>
      <x:c r="CA262" s="11" t="n">
        <x:v>1060</x:v>
      </x:c>
      <x:c r="CB262" s="11" t="n">
        <x:v>217922</x:v>
      </x:c>
      <x:c r="CC262" s="11" t="n">
        <x:v>2330967</x:v>
      </x:c>
      <x:c r="CD262" s="11" t="n">
        <x:v>1012965</x:v>
      </x:c>
      <x:c r="CE262" s="11" t="n">
        <x:v>268196</x:v>
      </x:c>
      <x:c r="CF262" s="11" t="n">
        <x:v>69547</x:v>
      </x:c>
      <x:c r="CG262" s="11" t="n">
        <x:v>561634</x:v>
      </x:c>
      <x:c r="CH262" s="11" t="n">
        <x:v>1758879</x:v>
      </x:c>
      <x:c r="CI262" s="11" t="n">
        <x:v>1398497</x:v>
      </x:c>
      <x:c r="CJ262" s="11" t="n">
        <x:v>577642</x:v>
      </x:c>
      <x:c r="CK262" s="11" t="n">
        <x:v>652325</x:v>
      </x:c>
      <x:c r="CL262" s="11" t="n">
        <x:v>335413</x:v>
      </x:c>
      <x:c r="CM262" s="11"/>
      <x:c r="CN262" s="11" t="n">
        <x:v>0</x:v>
      </x:c>
      <x:c r="CO262" s="11" t="n">
        <x:v>0</x:v>
      </x:c>
      <x:c r="CP262" s="8"/>
      <x:c r="CQ262" s="8"/>
    </x:row>
    <x:row r="263">
      <x:c r="A263" s="8" t="str">
        <x:v>Golden|2022</x:v>
      </x:c>
      <x:c r="B263" s="8" t="str">
        <x:v>golden-t</x:v>
      </x:c>
      <x:c r="C263" s="8" t="str">
        <x:v>Golden</x:v>
      </x:c>
      <x:c r="D263" s="8" t="str">
        <x:v>Golden</x:v>
      </x:c>
      <x:c r="E263" s="8" t="str">
        <x:v>T</x:v>
      </x:c>
      <x:c r="F263" s="8" t="str">
        <x:v>COL</x:v>
      </x:c>
      <x:c r="G263" s="9" t="n">
        <x:v>2022</x:v>
      </x:c>
      <x:c r="H263" s="10" t="n">
        <x:v>4316</x:v>
      </x:c>
      <x:c r="I263" s="8" t="str">
        <x:v>Under 5,000</x:v>
      </x:c>
      <x:c r="J263" s="11" t="n">
        <x:v>15073748</x:v>
      </x:c>
      <x:c r="K263" s="11" t="n">
        <x:v>12405589</x:v>
      </x:c>
      <x:c r="L263" s="11" t="n">
        <x:v>2668159</x:v>
      </x:c>
      <x:c r="M263" s="12" t="n">
        <x:v>0.17700700582230777</x:v>
      </x:c>
      <x:c r="N263" s="11" t="n">
        <x:v>6693573</x:v>
      </x:c>
      <x:c r="O263" s="11" t="n">
        <x:v>3013568</x:v>
      </x:c>
      <x:c r="P263" s="11" t="n">
        <x:v>4142052</x:v>
      </x:c>
      <x:c r="Q263" s="11" t="n">
        <x:v>1224555</x:v>
      </x:c>
      <x:c r="R263" s="11" t="n">
        <x:v>9240975</x:v>
      </x:c>
      <x:c r="S263" s="11" t="n">
        <x:v>3032302</x:v>
      </x:c>
      <x:c r="T263" s="11" t="n">
        <x:v>18146208</x:v>
      </x:c>
      <x:c r="U263" s="11" t="n">
        <x:v>10353024</x:v>
      </x:c>
      <x:c r="V263" s="11" t="n">
        <x:v>10414027</x:v>
      </x:c>
      <x:c r="W263" s="11" t="n">
        <x:v>751370</x:v>
      </x:c>
      <x:c r="X263" s="11" t="n">
        <x:v>2912344</x:v>
      </x:c>
      <x:c r="Y263" s="11" t="n">
        <x:v>2000000</x:v>
      </x:c>
      <x:c r="Z263" s="11" t="n">
        <x:v>510830</x:v>
      </x:c>
      <x:c r="AA263" s="11" t="n">
        <x:v>4318293</x:v>
      </x:c>
      <x:c r="AB263" s="11" t="n">
        <x:v>132312</x:v>
      </x:c>
      <x:c r="AC263" s="11" t="n">
        <x:v>643142</x:v>
      </x:c>
      <x:c r="AD263" s="11" t="n">
        <x:v>2647753</x:v>
      </x:c>
      <x:c r="AE263" s="11" t="n">
        <x:v>1557111</x:v>
      </x:c>
      <x:c r="AF263" s="11" t="n">
        <x:v>10591013</x:v>
      </x:c>
      <x:c r="AG263" s="11" t="n">
        <x:v>133687336</x:v>
      </x:c>
      <x:c r="AH263" s="11" t="n">
        <x:v>63496161</x:v>
      </x:c>
      <x:c r="AI263" s="11" t="n">
        <x:v>70191175</x:v>
      </x:c>
      <x:c r="AJ263" s="11" t="n">
        <x:v>6596978</x:v>
      </x:c>
      <x:c r="AK263" s="11" t="n">
        <x:v>11420205</x:v>
      </x:c>
      <x:c r="AL263" s="11" t="n">
        <x:v>0</x:v>
      </x:c>
      <x:c r="AM263" s="12" t="n">
        <x:v>1</x:v>
      </x:c>
      <x:c r="AN263" s="12" t="n">
        <x:v>0.5776584570942466</x:v>
      </x:c>
      <x:c r="AO263" s="11" t="n">
        <x:v>10587913</x:v>
      </x:c>
      <x:c r="AP263" s="11" t="n">
        <x:v>10261504</x:v>
      </x:c>
      <x:c r="AQ263" s="12" t="n">
        <x:v>0.9691715449494155</x:v>
      </x:c>
      <x:c r="AR263" s="11" t="n">
        <x:v>3492.52734012975</x:v>
      </x:c>
      <x:c r="AS263" s="11" t="n">
        <x:v>2874.3255329008343</x:v>
      </x:c>
      <x:c r="AT263" s="11" t="n">
        <x:v>2412.8885542168673</x:v>
      </x:c>
      <x:c r="AU263" s="11" t="n">
        <x:v>174.08943466172383</x:v>
      </x:c>
      <x:c r="AV263" s="11" t="n">
        <x:v>1000.5312789620018</x:v>
      </x:c>
      <x:c r="AW263" s="11" t="n">
        <x:v>1.7527447053150849</x:v>
      </x:c>
      <x:c r="AX263" s="12" t="n">
        <x:v>0.5880877105983828</x:v>
      </x:c>
      <x:c r="AY263" s="11"/>
      <x:c r="AZ263" s="11"/>
      <x:c r="BA263" s="11"/>
      <x:c r="BB263" s="11"/>
      <x:c r="BC263" s="11"/>
      <x:c r="BD263" s="11"/>
      <x:c r="BE263" s="11"/>
      <x:c r="BF263" s="11"/>
      <x:c r="BG263" s="11"/>
      <x:c r="BH263" s="11"/>
      <x:c r="BI263" s="11"/>
      <x:c r="BJ263" s="11"/>
      <x:c r="BK263" s="12"/>
      <x:c r="BL263" s="12"/>
      <x:c r="BM263" s="12"/>
      <x:c r="BN263" s="12"/>
      <x:c r="BO263" s="12"/>
      <x:c r="BP263" s="12"/>
      <x:c r="BQ263" s="12"/>
      <x:c r="BR263" s="12"/>
      <x:c r="BS263" s="12"/>
      <x:c r="BT263" s="12"/>
      <x:c r="BU263" s="11" t="n">
        <x:v>221076</x:v>
      </x:c>
      <x:c r="BV263" s="11" t="n">
        <x:v>2846730</x:v>
      </x:c>
      <x:c r="BW263" s="11" t="n">
        <x:v>1074246</x:v>
      </x:c>
      <x:c r="BX263" s="11" t="n">
        <x:v>245904</x:v>
      </x:c>
      <x:c r="BY263" s="11" t="n">
        <x:v>0</x:v>
      </x:c>
      <x:c r="BZ263" s="11" t="n">
        <x:v>883462</x:v>
      </x:c>
      <x:c r="CA263" s="11" t="n">
        <x:v>0</x:v>
      </x:c>
      <x:c r="CB263" s="11" t="n">
        <x:v>95189</x:v>
      </x:c>
      <x:c r="CC263" s="11" t="n">
        <x:v>2585655</x:v>
      </x:c>
      <x:c r="CD263" s="11" t="n">
        <x:v>857925</x:v>
      </x:c>
      <x:c r="CE263" s="11" t="n">
        <x:v>301085</x:v>
      </x:c>
      <x:c r="CF263" s="11" t="n">
        <x:v>72185</x:v>
      </x:c>
      <x:c r="CG263" s="11" t="n">
        <x:v>511086</x:v>
      </x:c>
      <x:c r="CH263" s="11" t="n">
        <x:v>2002484</x:v>
      </x:c>
      <x:c r="CI263" s="11" t="n">
        <x:v>1616674</x:v>
      </x:c>
      <x:c r="CJ263" s="11" t="n">
        <x:v>485235</x:v>
      </x:c>
      <x:c r="CK263" s="11" t="n">
        <x:v>807640</x:v>
      </x:c>
      <x:c r="CL263" s="11" t="n">
        <x:v>54771</x:v>
      </x:c>
      <x:c r="CM263" s="11"/>
      <x:c r="CN263" s="11" t="n">
        <x:v>78547</x:v>
      </x:c>
      <x:c r="CO263" s="11" t="n">
        <x:v>0</x:v>
      </x:c>
      <x:c r="CP263" s="8"/>
      <x:c r="CQ263" s="8"/>
    </x:row>
    <x:row r="264">
      <x:c r="A264" s="8" t="str">
        <x:v>Golden|2023</x:v>
      </x:c>
      <x:c r="B264" s="8" t="str">
        <x:v>golden-t</x:v>
      </x:c>
      <x:c r="C264" s="8" t="str">
        <x:v>Golden</x:v>
      </x:c>
      <x:c r="D264" s="8" t="str">
        <x:v>Golden</x:v>
      </x:c>
      <x:c r="E264" s="8" t="str">
        <x:v>T</x:v>
      </x:c>
      <x:c r="F264" s="8" t="str">
        <x:v>COL</x:v>
      </x:c>
      <x:c r="G264" s="9" t="n">
        <x:v>2023</x:v>
      </x:c>
      <x:c r="H264" s="10" t="n">
        <x:v>4455</x:v>
      </x:c>
      <x:c r="I264" s="8" t="str">
        <x:v>Under 5,000</x:v>
      </x:c>
      <x:c r="J264" s="11" t="n">
        <x:v>21541914</x:v>
      </x:c>
      <x:c r="K264" s="11" t="n">
        <x:v>13500573</x:v>
      </x:c>
      <x:c r="L264" s="11" t="n">
        <x:v>8041341</x:v>
      </x:c>
      <x:c r="M264" s="12" t="n">
        <x:v>0.37328813957756957</x:v>
      </x:c>
      <x:c r="N264" s="11" t="n">
        <x:v>7128629</x:v>
      </x:c>
      <x:c r="O264" s="11" t="n">
        <x:v>3164421</x:v>
      </x:c>
      <x:c r="P264" s="11" t="n">
        <x:v>9587011</x:v>
      </x:c>
      <x:c r="Q264" s="11" t="n">
        <x:v>1661853</x:v>
      </x:c>
      <x:c r="R264" s="11" t="n">
        <x:v>10027405</x:v>
      </x:c>
      <x:c r="S264" s="11" t="n">
        <x:v>3182625</x:v>
      </x:c>
      <x:c r="T264" s="11" t="n">
        <x:v>19161785</x:v>
      </x:c>
      <x:c r="U264" s="11" t="n">
        <x:v>10445303</x:v>
      </x:c>
      <x:c r="V264" s="11" t="n">
        <x:v>11829304</x:v>
      </x:c>
      <x:c r="W264" s="11" t="n">
        <x:v>611528</x:v>
      </x:c>
      <x:c r="X264" s="11" t="n">
        <x:v>4318291</x:v>
      </x:c>
      <x:c r="Y264" s="11" t="n">
        <x:v>0</x:v>
      </x:c>
      <x:c r="Z264" s="11" t="n">
        <x:v>449262</x:v>
      </x:c>
      <x:c r="AA264" s="11" t="n">
        <x:v>3781742</x:v>
      </x:c>
      <x:c r="AB264" s="11" t="n">
        <x:v>290543</x:v>
      </x:c>
      <x:c r="AC264" s="11" t="n">
        <x:v>739805</x:v>
      </x:c>
      <x:c r="AD264" s="11" t="n">
        <x:v>2969237</x:v>
      </x:c>
      <x:c r="AE264" s="11" t="n">
        <x:v>1769932</x:v>
      </x:c>
      <x:c r="AF264" s="11" t="n">
        <x:v>11876947</x:v>
      </x:c>
      <x:c r="AG264" s="11" t="n">
        <x:v>142993392</x:v>
      </x:c>
      <x:c r="AH264" s="11" t="n">
        <x:v>66538235</x:v>
      </x:c>
      <x:c r="AI264" s="11" t="n">
        <x:v>76455157</x:v>
      </x:c>
      <x:c r="AJ264" s="11" t="n">
        <x:v>9461354</x:v>
      </x:c>
      <x:c r="AK264" s="11" t="n">
        <x:v>14697013</x:v>
      </x:c>
      <x:c r="AL264" s="11" t="n">
        <x:v>0</x:v>
      </x:c>
      <x:c r="AM264" s="12" t="n">
        <x:v>1</x:v>
      </x:c>
      <x:c r="AN264" s="12" t="n">
        <x:v>0.6437603341576958</x:v>
      </x:c>
      <x:c r="AO264" s="11" t="n">
        <x:v>11751116</x:v>
      </x:c>
      <x:c r="AP264" s="11" t="n">
        <x:v>11396242</x:v>
      </x:c>
      <x:c r="AQ264" s="12" t="n">
        <x:v>0.9698008257258289</x:v>
      </x:c>
      <x:c r="AR264" s="11" t="n">
        <x:v>4835.446464646465</x:v>
      </x:c>
      <x:c r="AS264" s="11" t="n">
        <x:v>3030.43164983165</x:v>
      </x:c>
      <x:c r="AT264" s="11" t="n">
        <x:v>2655.28709315376</x:v>
      </x:c>
      <x:c r="AU264" s="11" t="n">
        <x:v>137.26778900112234</x:v>
      </x:c>
      <x:c r="AV264" s="11" t="n">
        <x:v>848.8758698092031</x:v>
      </x:c>
      <x:c r="AW264" s="11" t="n">
        <x:v>1.8344881905292743</x:v>
      </x:c>
      <x:c r="AX264" s="12" t="n">
        <x:v>0.5960898372208079</x:v>
      </x:c>
      <x:c r="AY264" s="11"/>
      <x:c r="AZ264" s="11"/>
      <x:c r="BA264" s="11"/>
      <x:c r="BB264" s="11"/>
      <x:c r="BC264" s="11"/>
      <x:c r="BD264" s="11"/>
      <x:c r="BE264" s="11"/>
      <x:c r="BF264" s="11"/>
      <x:c r="BG264" s="11"/>
      <x:c r="BH264" s="11"/>
      <x:c r="BI264" s="11"/>
      <x:c r="BJ264" s="11"/>
      <x:c r="BK264" s="12"/>
      <x:c r="BL264" s="12"/>
      <x:c r="BM264" s="12"/>
      <x:c r="BN264" s="12"/>
      <x:c r="BO264" s="12"/>
      <x:c r="BP264" s="12"/>
      <x:c r="BQ264" s="12"/>
      <x:c r="BR264" s="12"/>
      <x:c r="BS264" s="12"/>
      <x:c r="BT264" s="12"/>
      <x:c r="BU264" s="11" t="n">
        <x:v>245722</x:v>
      </x:c>
      <x:c r="BV264" s="11" t="n">
        <x:v>7636103</x:v>
      </x:c>
      <x:c r="BW264" s="11" t="n">
        <x:v>1705186</x:v>
      </x:c>
      <x:c r="BX264" s="11" t="n">
        <x:v>794278</x:v>
      </x:c>
      <x:c r="BY264" s="11" t="n">
        <x:v>0</x:v>
      </x:c>
      <x:c r="BZ264" s="11" t="n">
        <x:v>484669</x:v>
      </x:c>
      <x:c r="CA264" s="11" t="n">
        <x:v>0</x:v>
      </x:c>
      <x:c r="CB264" s="11" t="n">
        <x:v>382906</x:v>
      </x:c>
      <x:c r="CC264" s="11" t="n">
        <x:v>2824813</x:v>
      </x:c>
      <x:c r="CD264" s="11" t="n">
        <x:v>1026088</x:v>
      </x:c>
      <x:c r="CE264" s="11" t="n">
        <x:v>398212</x:v>
      </x:c>
      <x:c r="CF264" s="11" t="n">
        <x:v>83293</x:v>
      </x:c>
      <x:c r="CG264" s="11" t="n">
        <x:v>605570</x:v>
      </x:c>
      <x:c r="CH264" s="11" t="n">
        <x:v>2241327</x:v>
      </x:c>
      <x:c r="CI264" s="11" t="n">
        <x:v>1622403</x:v>
      </x:c>
      <x:c r="CJ264" s="11" t="n">
        <x:v>696639</x:v>
      </x:c>
      <x:c r="CK264" s="11" t="n">
        <x:v>721586</x:v>
      </x:c>
      <x:c r="CL264" s="11" t="n">
        <x:v>44760</x:v>
      </x:c>
      <x:c r="CM264" s="11" t="n">
        <x:v>18407</x:v>
      </x:c>
      <x:c r="CN264" s="11" t="n">
        <x:v>34850</x:v>
      </x:c>
      <x:c r="CO264" s="11" t="n">
        <x:v>0</x:v>
      </x:c>
      <x:c r="CP264" s="8"/>
      <x:c r="CQ264" s="8"/>
    </x:row>
    <x:row r="265">
      <x:c r="A265" s="8" t="str">
        <x:v>Golden|2024</x:v>
      </x:c>
      <x:c r="B265" s="8" t="str">
        <x:v>golden-t</x:v>
      </x:c>
      <x:c r="C265" s="8" t="str">
        <x:v>Golden</x:v>
      </x:c>
      <x:c r="D265" s="8" t="str">
        <x:v>Golden</x:v>
      </x:c>
      <x:c r="E265" s="8" t="str">
        <x:v>T</x:v>
      </x:c>
      <x:c r="F265" s="8" t="str">
        <x:v>COL</x:v>
      </x:c>
      <x:c r="G265" s="9" t="n">
        <x:v>2024</x:v>
      </x:c>
      <x:c r="H265" s="10" t="n">
        <x:v>4455</x:v>
      </x:c>
      <x:c r="I265" s="8" t="str">
        <x:v>Under 5,000</x:v>
      </x:c>
      <x:c r="J265" s="11" t="n">
        <x:v>16813590</x:v>
      </x:c>
      <x:c r="K265" s="11" t="n">
        <x:v>14478552</x:v>
      </x:c>
      <x:c r="L265" s="11" t="n">
        <x:v>2335038</x:v>
      </x:c>
      <x:c r="M265" s="12" t="n">
        <x:v>0.13887801474878358</x:v>
      </x:c>
      <x:c r="N265" s="11" t="n">
        <x:v>8051481</x:v>
      </x:c>
      <x:c r="O265" s="11" t="n">
        <x:v>3272081</x:v>
      </x:c>
      <x:c r="P265" s="11" t="n">
        <x:v>4305502</x:v>
      </x:c>
      <x:c r="Q265" s="11" t="n">
        <x:v>1184526</x:v>
      </x:c>
      <x:c r="R265" s="11" t="n">
        <x:v>10746035</x:v>
      </x:c>
      <x:c r="S265" s="11" t="n">
        <x:v>3388120</x:v>
      </x:c>
      <x:c r="T265" s="11" t="n">
        <x:v>21716466</x:v>
      </x:c>
      <x:c r="U265" s="11" t="n">
        <x:v>11422605</x:v>
      </x:c>
      <x:c r="V265" s="11" t="n">
        <x:v>12339960</x:v>
      </x:c>
      <x:c r="W265" s="11" t="n">
        <x:v>669195</x:v>
      </x:c>
      <x:c r="X265" s="11" t="n">
        <x:v>3781744</x:v>
      </x:c>
      <x:c r="Y265" s="11" t="n">
        <x:v>3560500</x:v>
      </x:c>
      <x:c r="Z265" s="11" t="n">
        <x:v>2442283</x:v>
      </x:c>
      <x:c r="AA265" s="11" t="n">
        <x:v>4804378</x:v>
      </x:c>
      <x:c r="AB265" s="11" t="n">
        <x:v>344397</x:v>
      </x:c>
      <x:c r="AC265" s="11" t="n">
        <x:v>2786680</x:v>
      </x:c>
      <x:c r="AD265" s="11" t="n">
        <x:v>3187670</x:v>
      </x:c>
      <x:c r="AE265" s="11" t="n">
        <x:v>256551</x:v>
      </x:c>
      <x:c r="AF265" s="11" t="n">
        <x:v>12750680</x:v>
      </x:c>
      <x:c r="AG265" s="11" t="n">
        <x:v>147979992</x:v>
      </x:c>
      <x:c r="AH265" s="11" t="n">
        <x:v>69722120</x:v>
      </x:c>
      <x:c r="AI265" s="11" t="n">
        <x:v>78257872</x:v>
      </x:c>
      <x:c r="AJ265" s="11" t="n">
        <x:v>5212392</x:v>
      </x:c>
      <x:c r="AK265" s="11" t="n">
        <x:v>12437914</x:v>
      </x:c>
      <x:c r="AL265" s="11" t="n">
        <x:v>0</x:v>
      </x:c>
      <x:c r="AM265" s="12" t="n">
        <x:v>1</x:v>
      </x:c>
      <x:c r="AN265" s="12" t="n">
        <x:v>0.41907284453003935</x:v>
      </x:c>
      <x:c r="AO265" s="11" t="n">
        <x:v>12922417</x:v>
      </x:c>
      <x:c r="AP265" s="11" t="n">
        <x:v>12488335</x:v>
      </x:c>
      <x:c r="AQ265" s="12" t="n">
        <x:v>0.9664086060680444</x:v>
      </x:c>
      <x:c r="AR265" s="11" t="n">
        <x:v>3774.094276094276</x:v>
      </x:c>
      <x:c r="AS265" s="11" t="n">
        <x:v>3249.9555555555557</x:v>
      </x:c>
      <x:c r="AT265" s="11" t="n">
        <x:v>2769.9124579124577</x:v>
      </x:c>
      <x:c r="AU265" s="11" t="n">
        <x:v>150.21212121212122</x:v>
      </x:c>
      <x:c r="AV265" s="11" t="n">
        <x:v>1078.4237934904602</x:v>
      </x:c>
      <x:c r="AW265" s="11" t="n">
        <x:v>1.9011833115125665</x:v>
      </x:c>
      <x:c r="AX265" s="12" t="n">
        <x:v>0.08048229584618233</x:v>
      </x:c>
      <x:c r="AY265" s="11" t="n">
        <x:v>3295.226833884918</x:v>
      </x:c>
      <x:c r="AZ265" s="11" t="n">
        <x:v>3546.5079302077975</x:v>
      </x:c>
      <x:c r="BA265" s="11" t="n">
        <x:v>2651.6543505296113</x:v>
      </x:c>
      <x:c r="BB265" s="11" t="n">
        <x:v>2783.665107049771</x:v>
      </x:c>
      <x:c r="BC265" s="11" t="n">
        <x:v>2725.020435376871</x:v>
      </x:c>
      <x:c r="BD265" s="11" t="n">
        <x:v>2437.8724475115623</x:v>
      </x:c>
      <x:c r="BE265" s="11" t="n">
        <x:v>1311.726099436231</x:v>
      </x:c>
      <x:c r="BF265" s="11" t="n">
        <x:v>1604.3462673977224</x:v>
      </x:c>
      <x:c r="BG265" s="11" t="n">
        <x:v>745.266315888418</x:v>
      </x:c>
      <x:c r="BH265" s="11" t="n">
        <x:v>518.5374381567245</x:v>
      </x:c>
      <x:c r="BI265" s="11" t="n">
        <x:v>2.026605100433861</x:v>
      </x:c>
      <x:c r="BJ265" s="11" t="n">
        <x:v>1.7099330852451193</x:v>
      </x:c>
      <x:c r="BK265" s="12" t="n">
        <x:v>0.015313583120714683</x:v>
      </x:c>
      <x:c r="BL265" s="12" t="n">
        <x:v>0.02529861000232605</x:v>
      </x:c>
      <x:c r="BM265" s="12" t="n">
        <x:v>0.9862284812495371</x:v>
      </x:c>
      <x:c r="BN265" s="12" t="n">
        <x:v>0.9815511712696461</x:v>
      </x:c>
      <x:c r="BO265" s="12" t="n">
        <x:v>0.804628726290725</x:v>
      </x:c>
      <x:c r="BP265" s="12" t="n">
        <x:v>0.8619101997275483</x:v>
      </x:c>
      <x:c r="BQ265" s="12" t="n">
        <x:v>0.9387070475233437</x:v>
      </x:c>
      <x:c r="BR265" s="12" t="n">
        <x:v>0.9623635142836453</x:v>
      </x:c>
      <x:c r="BS265" s="12" t="n">
        <x:v>0.26007843824193605</x:v>
      </x:c>
      <x:c r="BT265" s="12" t="n">
        <x:v>0.19976549769108282</x:v>
      </x:c>
      <x:c r="BU265" s="11" t="n">
        <x:v>248745</x:v>
      </x:c>
      <x:c r="BV265" s="11" t="n">
        <x:v>3079769</x:v>
      </x:c>
      <x:c r="BW265" s="11" t="n">
        <x:v>976988</x:v>
      </x:c>
      <x:c r="BX265" s="11" t="n">
        <x:v>692778</x:v>
      </x:c>
      <x:c r="BY265" s="11" t="n">
        <x:v>0</x:v>
      </x:c>
      <x:c r="BZ265" s="11" t="n">
        <x:v>212425</x:v>
      </x:c>
      <x:c r="CA265" s="11" t="n">
        <x:v>0</x:v>
      </x:c>
      <x:c r="CB265" s="11" t="n">
        <x:v>279323</x:v>
      </x:c>
      <x:c r="CC265" s="11" t="n">
        <x:v>2751400</x:v>
      </x:c>
      <x:c r="CD265" s="11" t="n">
        <x:v>989085</x:v>
      </x:c>
      <x:c r="CE265" s="11" t="n">
        <x:v>318882</x:v>
      </x:c>
      <x:c r="CF265" s="11" t="n">
        <x:v>87188</x:v>
      </x:c>
      <x:c r="CG265" s="11" t="n">
        <x:v>683958</x:v>
      </x:c>
      <x:c r="CH265" s="11" t="n">
        <x:v>2572498</x:v>
      </x:c>
      <x:c r="CI265" s="11" t="n">
        <x:v>1999550</x:v>
      </x:c>
      <x:c r="CJ265" s="11" t="n">
        <x:v>622644</x:v>
      </x:c>
      <x:c r="CK265" s="11" t="n">
        <x:v>973903</x:v>
      </x:c>
      <x:c r="CL265" s="11" t="n">
        <x:v>66533</x:v>
      </x:c>
      <x:c r="CM265" s="11" t="n">
        <x:v>19186</x:v>
      </x:c>
      <x:c r="CN265" s="11" t="n">
        <x:v>5605</x:v>
      </x:c>
      <x:c r="CO265" s="11" t="n">
        <x:v>0</x:v>
      </x:c>
      <x:c r="CP265" s="8"/>
      <x:c r="CQ265" s="8"/>
    </x:row>
    <x:row r="266">
      <x:c r="A266" s="8" t="str">
        <x:v>Grand Forks|2019</x:v>
      </x:c>
      <x:c r="B266" s="8" t="str">
        <x:v>grand-forks-c</x:v>
      </x:c>
      <x:c r="C266" s="8" t="str">
        <x:v>Grand Forks</x:v>
      </x:c>
      <x:c r="D266" s="8" t="str">
        <x:v>Grand Forks</x:v>
      </x:c>
      <x:c r="E266" s="8" t="str">
        <x:v>C</x:v>
      </x:c>
      <x:c r="F266" s="8" t="str">
        <x:v>KOO</x:v>
      </x:c>
      <x:c r="G266" s="9" t="n">
        <x:v>2019</x:v>
      </x:c>
      <x:c r="H266" s="10" t="n">
        <x:v>4270</x:v>
      </x:c>
      <x:c r="I266" s="8" t="str">
        <x:v>Under 5,000</x:v>
      </x:c>
      <x:c r="J266" s="11" t="n">
        <x:v>18085976</x:v>
      </x:c>
      <x:c r="K266" s="11" t="n">
        <x:v>13254068</x:v>
      </x:c>
      <x:c r="L266" s="11" t="n">
        <x:v>4831908</x:v>
      </x:c>
      <x:c r="M266" s="12" t="n">
        <x:v>0.26716324294580507</x:v>
      </x:c>
      <x:c r="N266" s="11" t="n">
        <x:v>4147821</x:v>
      </x:c>
      <x:c r="O266" s="11" t="n">
        <x:v>8404808</x:v>
      </x:c>
      <x:c r="P266" s="11" t="n">
        <x:v>5180561</x:v>
      </x:c>
      <x:c r="Q266" s="11" t="n">
        <x:v>352786</x:v>
      </x:c>
      <x:c r="R266" s="11" t="n">
        <x:v>11343573</x:v>
      </x:c>
      <x:c r="S266" s="11" t="n">
        <x:v>1766917</x:v>
      </x:c>
      <x:c r="T266" s="11" t="n">
        <x:v>12258098</x:v>
      </x:c>
      <x:c r="U266" s="11" t="n">
        <x:v>7487664</x:v>
      </x:c>
      <x:c r="V266" s="11" t="n">
        <x:v>9554203</x:v>
      </x:c>
      <x:c r="W266" s="11" t="n">
        <x:v>6599602</x:v>
      </x:c>
      <x:c r="X266" s="11" t="n">
        <x:v>3817660</x:v>
      </x:c>
      <x:c r="Y266" s="11" t="n">
        <x:v>0</x:v>
      </x:c>
      <x:c r="Z266" s="11" t="n">
        <x:v>2197944</x:v>
      </x:c>
      <x:c r="AA266" s="11" t="n">
        <x:v>3499812</x:v>
      </x:c>
      <x:c r="AB266" s="11" t="n">
        <x:v>143578</x:v>
      </x:c>
      <x:c r="AC266" s="11" t="n">
        <x:v>421522</x:v>
      </x:c>
      <x:c r="AD266" s="11" t="n">
        <x:v>3670293</x:v>
      </x:c>
      <x:c r="AE266" s="11" t="n">
        <x:v>3248771</x:v>
      </x:c>
      <x:c r="AF266" s="11" t="n">
        <x:v>14681173</x:v>
      </x:c>
      <x:c r="AG266" s="11" t="n">
        <x:v>67297655</x:v>
      </x:c>
      <x:c r="AH266" s="11" t="n">
        <x:v>34111530</x:v>
      </x:c>
      <x:c r="AI266" s="11" t="n">
        <x:v>33186125</x:v>
      </x:c>
      <x:c r="AJ266" s="11" t="n">
        <x:v>5381233</x:v>
      </x:c>
      <x:c r="AK266" s="11" t="n">
        <x:v>6978425</x:v>
      </x:c>
      <x:c r="AL266" s="11" t="n">
        <x:v>0</x:v>
      </x:c>
      <x:c r="AM266" s="12" t="n">
        <x:v>1</x:v>
      </x:c>
      <x:c r="AN266" s="12" t="n">
        <x:v>0.7711242866406102</x:v>
      </x:c>
      <x:c r="AO266" s="11" t="n">
        <x:v>8332573</x:v>
      </x:c>
      <x:c r="AP266" s="11" t="n">
        <x:v>7698787</x:v>
      </x:c>
      <x:c r="AQ266" s="12" t="n">
        <x:v>0.9239387401706531</x:v>
      </x:c>
      <x:c r="AR266" s="11" t="n">
        <x:v>4235.591569086651</x:v>
      </x:c>
      <x:c r="AS266" s="11" t="n">
        <x:v>3103.9971896955503</x:v>
      </x:c>
      <x:c r="AT266" s="11" t="n">
        <x:v>2237.518266978923</x:v>
      </x:c>
      <x:c r="AU266" s="11" t="n">
        <x:v>1545.574238875878</x:v>
      </x:c>
      <x:c r="AV266" s="11" t="n">
        <x:v>819.6281030444965</x:v>
      </x:c>
      <x:c r="AW266" s="11" t="n">
        <x:v>1.6371057782507334</x:v>
      </x:c>
      <x:c r="AX266" s="12" t="n">
        <x:v>0.8851530381906839</x:v>
      </x:c>
      <x:c r="AY266" s="11"/>
      <x:c r="AZ266" s="11"/>
      <x:c r="BA266" s="11"/>
      <x:c r="BB266" s="11"/>
      <x:c r="BC266" s="11"/>
      <x:c r="BD266" s="11"/>
      <x:c r="BE266" s="11"/>
      <x:c r="BF266" s="11"/>
      <x:c r="BG266" s="11"/>
      <x:c r="BH266" s="11"/>
      <x:c r="BI266" s="11"/>
      <x:c r="BJ266" s="11"/>
      <x:c r="BK266" s="12"/>
      <x:c r="BL266" s="12"/>
      <x:c r="BM266" s="12"/>
      <x:c r="BN266" s="12"/>
      <x:c r="BO266" s="12"/>
      <x:c r="BP266" s="12"/>
      <x:c r="BQ266" s="12"/>
      <x:c r="BR266" s="12"/>
      <x:c r="BS266" s="12"/>
      <x:c r="BT266" s="12"/>
      <x:c r="BU266" s="11" t="n">
        <x:v>0</x:v>
      </x:c>
      <x:c r="BV266" s="11" t="n">
        <x:v>4377028</x:v>
      </x:c>
      <x:c r="BW266" s="11" t="n">
        <x:v>803533</x:v>
      </x:c>
      <x:c r="BX266" s="11" t="n">
        <x:v>318686</x:v>
      </x:c>
      <x:c r="BY266" s="11" t="n">
        <x:v>0</x:v>
      </x:c>
      <x:c r="BZ266" s="11" t="n">
        <x:v>34100</x:v>
      </x:c>
      <x:c r="CA266" s="11" t="n">
        <x:v>0</x:v>
      </x:c>
      <x:c r="CB266" s="11" t="n">
        <x:v>0</x:v>
      </x:c>
      <x:c r="CC266" s="11" t="n">
        <x:v>1419144</x:v>
      </x:c>
      <x:c r="CD266" s="11" t="n">
        <x:v>1118273</x:v>
      </x:c>
      <x:c r="CE266" s="11" t="n">
        <x:v>254430</x:v>
      </x:c>
      <x:c r="CF266" s="11" t="n">
        <x:v>67228</x:v>
      </x:c>
      <x:c r="CG266" s="11" t="n">
        <x:v>545204</x:v>
      </x:c>
      <x:c r="CH266" s="11" t="n">
        <x:v>1325955</x:v>
      </x:c>
      <x:c r="CI266" s="11" t="n">
        <x:v>1469967</x:v>
      </x:c>
      <x:c r="CJ266" s="11" t="n">
        <x:v>640661</x:v>
      </x:c>
      <x:c r="CK266" s="11" t="n">
        <x:v>769031</x:v>
      </x:c>
      <x:c r="CL266" s="11" t="n">
        <x:v>3877258</x:v>
      </x:c>
      <x:c r="CM266" s="11"/>
      <x:c r="CN266" s="11" t="n">
        <x:v>0</x:v>
      </x:c>
      <x:c r="CO266" s="11" t="n">
        <x:v>0</x:v>
      </x:c>
      <x:c r="CP266" s="8"/>
      <x:c r="CQ266" s="8"/>
    </x:row>
    <x:row r="267">
      <x:c r="A267" s="8" t="str">
        <x:v>Grand Forks|2020</x:v>
      </x:c>
      <x:c r="B267" s="8" t="str">
        <x:v>grand-forks-c</x:v>
      </x:c>
      <x:c r="C267" s="8" t="str">
        <x:v>Grand Forks</x:v>
      </x:c>
      <x:c r="D267" s="8" t="str">
        <x:v>Grand Forks</x:v>
      </x:c>
      <x:c r="E267" s="8" t="str">
        <x:v>C</x:v>
      </x:c>
      <x:c r="F267" s="8" t="str">
        <x:v>KOO</x:v>
      </x:c>
      <x:c r="G267" s="9" t="n">
        <x:v>2020</x:v>
      </x:c>
      <x:c r="H267" s="10" t="n">
        <x:v>4238</x:v>
      </x:c>
      <x:c r="I267" s="8" t="str">
        <x:v>Under 5,000</x:v>
      </x:c>
      <x:c r="J267" s="11" t="n">
        <x:v>31091459</x:v>
      </x:c>
      <x:c r="K267" s="11" t="n">
        <x:v>20522123</x:v>
      </x:c>
      <x:c r="L267" s="11" t="n">
        <x:v>10569336</x:v>
      </x:c>
      <x:c r="M267" s="12" t="n">
        <x:v>0.339943390884294</x:v>
      </x:c>
      <x:c r="N267" s="11" t="n">
        <x:v>4282491</x:v>
      </x:c>
      <x:c r="O267" s="11" t="n">
        <x:v>7732346</x:v>
      </x:c>
      <x:c r="P267" s="11" t="n">
        <x:v>18349315</x:v>
      </x:c>
      <x:c r="Q267" s="11" t="n">
        <x:v>727307</x:v>
      </x:c>
      <x:c r="R267" s="11" t="n">
        <x:v>18612040</x:v>
      </x:c>
      <x:c r="S267" s="11" t="n">
        <x:v>1795069</x:v>
      </x:c>
      <x:c r="T267" s="11" t="n">
        <x:v>23360443</x:v>
      </x:c>
      <x:c r="U267" s="11" t="n">
        <x:v>22596152</x:v>
      </x:c>
      <x:c r="V267" s="11" t="n">
        <x:v>10347044</x:v>
      </x:c>
      <x:c r="W267" s="11" t="n">
        <x:v>5892919</x:v>
      </x:c>
      <x:c r="X267" s="11" t="n">
        <x:v>3499812</x:v>
      </x:c>
      <x:c r="Y267" s="11" t="n">
        <x:v>0</x:v>
      </x:c>
      <x:c r="Z267" s="11" t="n">
        <x:v>262543</x:v>
      </x:c>
      <x:c r="AA267" s="11" t="n">
        <x:v>3220135</x:v>
      </x:c>
      <x:c r="AB267" s="11" t="n">
        <x:v>115014</x:v>
      </x:c>
      <x:c r="AC267" s="11" t="n">
        <x:v>377557</x:v>
      </x:c>
      <x:c r="AD267" s="11" t="n">
        <x:v>3228995</x:v>
      </x:c>
      <x:c r="AE267" s="11" t="n">
        <x:v>2851438</x:v>
      </x:c>
      <x:c r="AF267" s="11" t="n">
        <x:v>12915979</x:v>
      </x:c>
      <x:c r="AG267" s="11" t="n">
        <x:v>75211083</x:v>
      </x:c>
      <x:c r="AH267" s="11" t="n">
        <x:v>35764442</x:v>
      </x:c>
      <x:c r="AI267" s="11" t="n">
        <x:v>39446641</x:v>
      </x:c>
      <x:c r="AJ267" s="11" t="n">
        <x:v>8089797</x:v>
      </x:c>
      <x:c r="AK267" s="11" t="n">
        <x:v>8728758</x:v>
      </x:c>
      <x:c r="AL267" s="11" t="n">
        <x:v>0</x:v>
      </x:c>
      <x:c r="AM267" s="12" t="n">
        <x:v>1</x:v>
      </x:c>
      <x:c r="AN267" s="12" t="n">
        <x:v>0.9267981767852883</x:v>
      </x:c>
      <x:c r="AO267" s="11" t="n">
        <x:v>8295902</x:v>
      </x:c>
      <x:c r="AP267" s="11" t="n">
        <x:v>7692530</x:v>
      </x:c>
      <x:c r="AQ267" s="12" t="n">
        <x:v>0.9272686683135842</x:v>
      </x:c>
      <x:c r="AR267" s="11" t="n">
        <x:v>7336.351816894762</x:v>
      </x:c>
      <x:c r="AS267" s="11" t="n">
        <x:v>4842.407503539405</x:v>
      </x:c>
      <x:c r="AT267" s="11" t="n">
        <x:v>2441.492213308164</x:v>
      </x:c>
      <x:c r="AU267" s="11" t="n">
        <x:v>1390.4952807928269</x:v>
      </x:c>
      <x:c r="AV267" s="11" t="n">
        <x:v>759.8242095327985</x:v>
      </x:c>
      <x:c r="AW267" s="11" t="n">
        <x:v>1.033823944891148</x:v>
      </x:c>
      <x:c r="AX267" s="12" t="n">
        <x:v>0.8830729065854855</x:v>
      </x:c>
      <x:c r="AY267" s="11"/>
      <x:c r="AZ267" s="11"/>
      <x:c r="BA267" s="11"/>
      <x:c r="BB267" s="11"/>
      <x:c r="BC267" s="11"/>
      <x:c r="BD267" s="11"/>
      <x:c r="BE267" s="11"/>
      <x:c r="BF267" s="11"/>
      <x:c r="BG267" s="11"/>
      <x:c r="BH267" s="11"/>
      <x:c r="BI267" s="11"/>
      <x:c r="BJ267" s="11"/>
      <x:c r="BK267" s="12"/>
      <x:c r="BL267" s="12"/>
      <x:c r="BM267" s="12"/>
      <x:c r="BN267" s="12"/>
      <x:c r="BO267" s="12"/>
      <x:c r="BP267" s="12"/>
      <x:c r="BQ267" s="12"/>
      <x:c r="BR267" s="12"/>
      <x:c r="BS267" s="12"/>
      <x:c r="BT267" s="12"/>
      <x:c r="BU267" s="11" t="n">
        <x:v>5987347</x:v>
      </x:c>
      <x:c r="BV267" s="11" t="n">
        <x:v>11792850</x:v>
      </x:c>
      <x:c r="BW267" s="11" t="n">
        <x:v>569118</x:v>
      </x:c>
      <x:c r="BX267" s="11" t="n">
        <x:v>290863</x:v>
      </x:c>
      <x:c r="BY267" s="11" t="n">
        <x:v>0</x:v>
      </x:c>
      <x:c r="BZ267" s="11" t="n">
        <x:v>37300</x:v>
      </x:c>
      <x:c r="CA267" s="11" t="n">
        <x:v>399144</x:v>
      </x:c>
      <x:c r="CB267" s="11" t="n">
        <x:v>0</x:v>
      </x:c>
      <x:c r="CC267" s="11" t="n">
        <x:v>1439631</x:v>
      </x:c>
      <x:c r="CD267" s="11" t="n">
        <x:v>3631958</x:v>
      </x:c>
      <x:c r="CE267" s="11" t="n">
        <x:v>257941</x:v>
      </x:c>
      <x:c r="CF267" s="11" t="n">
        <x:v>83256</x:v>
      </x:c>
      <x:c r="CG267" s="11" t="n">
        <x:v>699419</x:v>
      </x:c>
      <x:c r="CH267" s="11" t="n">
        <x:v>1269925</x:v>
      </x:c>
      <x:c r="CI267" s="11" t="n">
        <x:v>1134966</x:v>
      </x:c>
      <x:c r="CJ267" s="11" t="n">
        <x:v>675941</x:v>
      </x:c>
      <x:c r="CK267" s="11" t="n">
        <x:v>823523</x:v>
      </x:c>
      <x:c r="CL267" s="11" t="n">
        <x:v>3936182</x:v>
      </x:c>
      <x:c r="CM267" s="11"/>
      <x:c r="CN267" s="11" t="n">
        <x:v>4774312</x:v>
      </x:c>
      <x:c r="CO267" s="11" t="n">
        <x:v>0</x:v>
      </x:c>
      <x:c r="CP267" s="8"/>
      <x:c r="CQ267" s="8"/>
    </x:row>
    <x:row r="268">
      <x:c r="A268" s="8" t="str">
        <x:v>Grand Forks|2021</x:v>
      </x:c>
      <x:c r="B268" s="8" t="str">
        <x:v>grand-forks-c</x:v>
      </x:c>
      <x:c r="C268" s="8" t="str">
        <x:v>Grand Forks</x:v>
      </x:c>
      <x:c r="D268" s="8" t="str">
        <x:v>Grand Forks</x:v>
      </x:c>
      <x:c r="E268" s="8" t="str">
        <x:v>C</x:v>
      </x:c>
      <x:c r="F268" s="8" t="str">
        <x:v>KOO</x:v>
      </x:c>
      <x:c r="G268" s="9" t="n">
        <x:v>2021</x:v>
      </x:c>
      <x:c r="H268" s="10" t="n">
        <x:v>4264</x:v>
      </x:c>
      <x:c r="I268" s="8" t="str">
        <x:v>Under 5,000</x:v>
      </x:c>
      <x:c r="J268" s="11" t="n">
        <x:v>19927671</x:v>
      </x:c>
      <x:c r="K268" s="11" t="n">
        <x:v>17306941</x:v>
      </x:c>
      <x:c r="L268" s="11" t="n">
        <x:v>2620730</x:v>
      </x:c>
      <x:c r="M268" s="12" t="n">
        <x:v>0.13151210695921264</x:v>
      </x:c>
      <x:c r="N268" s="11" t="n">
        <x:v>4146863</x:v>
      </x:c>
      <x:c r="O268" s="11" t="n">
        <x:v>8108595</x:v>
      </x:c>
      <x:c r="P268" s="11" t="n">
        <x:v>7286206</x:v>
      </x:c>
      <x:c r="Q268" s="11" t="n">
        <x:v>386007</x:v>
      </x:c>
      <x:c r="R268" s="11" t="n">
        <x:v>15229744</x:v>
      </x:c>
      <x:c r="S268" s="11" t="n">
        <x:v>1965610</x:v>
      </x:c>
      <x:c r="T268" s="11" t="n">
        <x:v>21105784</x:v>
      </x:c>
      <x:c r="U268" s="11" t="n">
        <x:v>19696109</x:v>
      </x:c>
      <x:c r="V268" s="11" t="n">
        <x:v>12350605</x:v>
      </x:c>
      <x:c r="W268" s="11" t="n">
        <x:v>6534176</x:v>
      </x:c>
      <x:c r="X268" s="11" t="n">
        <x:v>3220135</x:v>
      </x:c>
      <x:c r="Y268" s="11" t="n">
        <x:v>0</x:v>
      </x:c>
      <x:c r="Z268" s="11" t="n">
        <x:v>149272</x:v>
      </x:c>
      <x:c r="AA268" s="11" t="n">
        <x:v>3049175</x:v>
      </x:c>
      <x:c r="AB268" s="11" t="n">
        <x:v>111587</x:v>
      </x:c>
      <x:c r="AC268" s="11" t="n">
        <x:v>260859</x:v>
      </x:c>
      <x:c r="AD268" s="11" t="n">
        <x:v>3195704</x:v>
      </x:c>
      <x:c r="AE268" s="11" t="n">
        <x:v>2934845</x:v>
      </x:c>
      <x:c r="AF268" s="11" t="n">
        <x:v>12782815</x:v>
      </x:c>
      <x:c r="AG268" s="11" t="n">
        <x:v>81109516</x:v>
      </x:c>
      <x:c r="AH268" s="11" t="n">
        <x:v>37553695</x:v>
      </x:c>
      <x:c r="AI268" s="11" t="n">
        <x:v>43555821</x:v>
      </x:c>
      <x:c r="AJ268" s="11" t="n">
        <x:v>6248798</x:v>
      </x:c>
      <x:c r="AK268" s="11" t="n">
        <x:v>12711523</x:v>
      </x:c>
      <x:c r="AL268" s="11" t="n">
        <x:v>0</x:v>
      </x:c>
      <x:c r="AM268" s="12" t="n">
        <x:v>1</x:v>
      </x:c>
      <x:c r="AN268" s="12" t="n">
        <x:v>0.4915853120039196</x:v>
      </x:c>
      <x:c r="AO268" s="11" t="n">
        <x:v>8370313</x:v>
      </x:c>
      <x:c r="AP268" s="11" t="n">
        <x:v>7894078</x:v>
      </x:c>
      <x:c r="AQ268" s="12" t="n">
        <x:v>0.9431042781793225</x:v>
      </x:c>
      <x:c r="AR268" s="11" t="n">
        <x:v>4673.468808630394</x:v>
      </x:c>
      <x:c r="AS268" s="11" t="n">
        <x:v>4058.8510787992495</x:v>
      </x:c>
      <x:c r="AT268" s="11" t="n">
        <x:v>2896.483348968105</x:v>
      </x:c>
      <x:c r="AU268" s="11" t="n">
        <x:v>1532.405253283302</x:v>
      </x:c>
      <x:c r="AV268" s="11" t="n">
        <x:v>715.0973264540338</x:v>
      </x:c>
      <x:c r="AW268" s="11" t="n">
        <x:v>1.0715712428277078</x:v>
      </x:c>
      <x:c r="AX268" s="12" t="n">
        <x:v>0.91837197687896</x:v>
      </x:c>
      <x:c r="AY268" s="11"/>
      <x:c r="AZ268" s="11"/>
      <x:c r="BA268" s="11"/>
      <x:c r="BB268" s="11"/>
      <x:c r="BC268" s="11"/>
      <x:c r="BD268" s="11"/>
      <x:c r="BE268" s="11"/>
      <x:c r="BF268" s="11"/>
      <x:c r="BG268" s="11"/>
      <x:c r="BH268" s="11"/>
      <x:c r="BI268" s="11"/>
      <x:c r="BJ268" s="11"/>
      <x:c r="BK268" s="12"/>
      <x:c r="BL268" s="12"/>
      <x:c r="BM268" s="12"/>
      <x:c r="BN268" s="12"/>
      <x:c r="BO268" s="12"/>
      <x:c r="BP268" s="12"/>
      <x:c r="BQ268" s="12"/>
      <x:c r="BR268" s="12"/>
      <x:c r="BS268" s="12"/>
      <x:c r="BT268" s="12"/>
      <x:c r="BU268" s="11" t="n">
        <x:v>2093709</x:v>
      </x:c>
      <x:c r="BV268" s="11" t="n">
        <x:v>4288629</x:v>
      </x:c>
      <x:c r="BW268" s="11" t="n">
        <x:v>903868</x:v>
      </x:c>
      <x:c r="BX268" s="11" t="n">
        <x:v>202188</x:v>
      </x:c>
      <x:c r="BY268" s="11" t="n">
        <x:v>0</x:v>
      </x:c>
      <x:c r="BZ268" s="11" t="n">
        <x:v>106310</x:v>
      </x:c>
      <x:c r="CA268" s="11" t="n">
        <x:v>77509</x:v>
      </x:c>
      <x:c r="CB268" s="11" t="n">
        <x:v>0</x:v>
      </x:c>
      <x:c r="CC268" s="11" t="n">
        <x:v>1481306</x:v>
      </x:c>
      <x:c r="CD268" s="11" t="n">
        <x:v>1251544</x:v>
      </x:c>
      <x:c r="CE268" s="11" t="n">
        <x:v>266315</x:v>
      </x:c>
      <x:c r="CF268" s="11" t="n">
        <x:v>105038</x:v>
      </x:c>
      <x:c r="CG268" s="11" t="n">
        <x:v>968919</x:v>
      </x:c>
      <x:c r="CH268" s="11" t="n">
        <x:v>1120930</x:v>
      </x:c>
      <x:c r="CI268" s="11" t="n">
        <x:v>1374915</x:v>
      </x:c>
      <x:c r="CJ268" s="11" t="n">
        <x:v>681501</x:v>
      </x:c>
      <x:c r="CK268" s="11" t="n">
        <x:v>923752</x:v>
      </x:c>
      <x:c r="CL268" s="11" t="n">
        <x:v>3913163</x:v>
      </x:c>
      <x:c r="CM268" s="11"/>
      <x:c r="CN268" s="11" t="n">
        <x:v>3253948</x:v>
      </x:c>
      <x:c r="CO268" s="11" t="n">
        <x:v>0</x:v>
      </x:c>
      <x:c r="CP268" s="8"/>
      <x:c r="CQ268" s="8"/>
    </x:row>
    <x:row r="269">
      <x:c r="A269" s="8" t="str">
        <x:v>Grand Forks|2022</x:v>
      </x:c>
      <x:c r="B269" s="8" t="str">
        <x:v>grand-forks-c</x:v>
      </x:c>
      <x:c r="C269" s="8" t="str">
        <x:v>Grand Forks</x:v>
      </x:c>
      <x:c r="D269" s="8" t="str">
        <x:v>Grand Forks</x:v>
      </x:c>
      <x:c r="E269" s="8" t="str">
        <x:v>C</x:v>
      </x:c>
      <x:c r="F269" s="8" t="str">
        <x:v>KOO</x:v>
      </x:c>
      <x:c r="G269" s="9" t="n">
        <x:v>2022</x:v>
      </x:c>
      <x:c r="H269" s="10" t="n">
        <x:v>313</x:v>
      </x:c>
      <x:c r="I269" s="8" t="str">
        <x:v>Under 5,000</x:v>
      </x:c>
      <x:c r="J269" s="11" t="n">
        <x:v>33733170</x:v>
      </x:c>
      <x:c r="K269" s="11" t="n">
        <x:v>14753736</x:v>
      </x:c>
      <x:c r="L269" s="11" t="n">
        <x:v>18979434</x:v>
      </x:c>
      <x:c r="M269" s="12" t="n">
        <x:v>0.562634166904563</x:v>
      </x:c>
      <x:c r="N269" s="11" t="n">
        <x:v>4227163</x:v>
      </x:c>
      <x:c r="O269" s="11" t="n">
        <x:v>8448412</x:v>
      </x:c>
      <x:c r="P269" s="11" t="n">
        <x:v>20364064</x:v>
      </x:c>
      <x:c r="Q269" s="11" t="n">
        <x:v>693531</x:v>
      </x:c>
      <x:c r="R269" s="11" t="n">
        <x:v>12573534</x:v>
      </x:c>
      <x:c r="S269" s="11" t="n">
        <x:v>2068656</x:v>
      </x:c>
      <x:c r="T269" s="11" t="n">
        <x:v>15105168</x:v>
      </x:c>
      <x:c r="U269" s="11" t="n">
        <x:v>14760115</x:v>
      </x:c>
      <x:c r="V269" s="11" t="n">
        <x:v>10164877</x:v>
      </x:c>
      <x:c r="W269" s="11" t="n">
        <x:v>6523251</x:v>
      </x:c>
      <x:c r="X269" s="11" t="n">
        <x:v>3049175</x:v>
      </x:c>
      <x:c r="Y269" s="11" t="n">
        <x:v>0</x:v>
      </x:c>
      <x:c r="Z269" s="11" t="n">
        <x:v>115419</x:v>
      </x:c>
      <x:c r="AA269" s="11" t="n">
        <x:v>2907151</x:v>
      </x:c>
      <x:c r="AB269" s="11" t="n">
        <x:v>111546</x:v>
      </x:c>
      <x:c r="AC269" s="11" t="n">
        <x:v>226965</x:v>
      </x:c>
      <x:c r="AD269" s="11" t="n">
        <x:v>3382355</x:v>
      </x:c>
      <x:c r="AE269" s="11" t="n">
        <x:v>3155390</x:v>
      </x:c>
      <x:c r="AF269" s="11" t="n">
        <x:v>13529420</x:v>
      </x:c>
      <x:c r="AG269" s="11" t="n">
        <x:v>104335059</x:v>
      </x:c>
      <x:c r="AH269" s="11" t="n">
        <x:v>39622349</x:v>
      </x:c>
      <x:c r="AI269" s="11" t="n">
        <x:v>64712710</x:v>
      </x:c>
      <x:c r="AJ269" s="11" t="n">
        <x:v>23225545</x:v>
      </x:c>
      <x:c r="AK269" s="11" t="n">
        <x:v>32208103</x:v>
      </x:c>
      <x:c r="AL269" s="11" t="n">
        <x:v>0</x:v>
      </x:c>
      <x:c r="AM269" s="12" t="n">
        <x:v>1</x:v>
      </x:c>
      <x:c r="AN269" s="12" t="n">
        <x:v>0.7211087532848488</x:v>
      </x:c>
      <x:c r="AO269" s="11" t="n">
        <x:v>8516972</x:v>
      </x:c>
      <x:c r="AP269" s="11" t="n">
        <x:v>7980992</x:v>
      </x:c>
      <x:c r="AQ269" s="12" t="n">
        <x:v>0.9370691837427668</x:v>
      </x:c>
      <x:c r="AR269" s="11" t="n">
        <x:v>107773.70607028755</x:v>
      </x:c>
      <x:c r="AS269" s="11" t="n">
        <x:v>47136.536741214055</x:v>
      </x:c>
      <x:c r="AT269" s="11" t="n">
        <x:v>32475.64536741214</x:v>
      </x:c>
      <x:c r="AU269" s="11" t="n">
        <x:v>20841.05750798722</x:v>
      </x:c>
      <x:c r="AV269" s="11" t="n">
        <x:v>9288.022364217253</x:v>
      </x:c>
      <x:c r="AW269" s="11" t="n">
        <x:v>1.0233773923848155</x:v>
      </x:c>
      <x:c r="AX269" s="12" t="n">
        <x:v>0.9328973451929203</x:v>
      </x:c>
      <x:c r="AY269" s="11"/>
      <x:c r="AZ269" s="11"/>
      <x:c r="BA269" s="11"/>
      <x:c r="BB269" s="11"/>
      <x:c r="BC269" s="11"/>
      <x:c r="BD269" s="11"/>
      <x:c r="BE269" s="11"/>
      <x:c r="BF269" s="11"/>
      <x:c r="BG269" s="11"/>
      <x:c r="BH269" s="11"/>
      <x:c r="BI269" s="11"/>
      <x:c r="BJ269" s="11"/>
      <x:c r="BK269" s="12"/>
      <x:c r="BL269" s="12"/>
      <x:c r="BM269" s="12"/>
      <x:c r="BN269" s="12"/>
      <x:c r="BO269" s="12"/>
      <x:c r="BP269" s="12"/>
      <x:c r="BQ269" s="12"/>
      <x:c r="BR269" s="12"/>
      <x:c r="BS269" s="12"/>
      <x:c r="BT269" s="12"/>
      <x:c r="BU269" s="11" t="n">
        <x:v>4408132</x:v>
      </x:c>
      <x:c r="BV269" s="11" t="n">
        <x:v>14985549</x:v>
      </x:c>
      <x:c r="BW269" s="11" t="n">
        <x:v>970383</x:v>
      </x:c>
      <x:c r="BX269" s="11" t="n">
        <x:v>341130</x:v>
      </x:c>
      <x:c r="BY269" s="11" t="n">
        <x:v>0</x:v>
      </x:c>
      <x:c r="BZ269" s="11" t="n">
        <x:v>352401</x:v>
      </x:c>
      <x:c r="CA269" s="11" t="n">
        <x:v>0</x:v>
      </x:c>
      <x:c r="CB269" s="11" t="n">
        <x:v>0</x:v>
      </x:c>
      <x:c r="CC269" s="11" t="n">
        <x:v>1448230</x:v>
      </x:c>
      <x:c r="CD269" s="11" t="n">
        <x:v>1373564</x:v>
      </x:c>
      <x:c r="CE269" s="11" t="n">
        <x:v>265134</x:v>
      </x:c>
      <x:c r="CF269" s="11" t="n">
        <x:v>81645</x:v>
      </x:c>
      <x:c r="CG269" s="11" t="n">
        <x:v>810882</x:v>
      </x:c>
      <x:c r="CH269" s="11" t="n">
        <x:v>1275402</x:v>
      </x:c>
      <x:c r="CI269" s="11" t="n">
        <x:v>1442025</x:v>
      </x:c>
      <x:c r="CJ269" s="11" t="n">
        <x:v>735080</x:v>
      </x:c>
      <x:c r="CK269" s="11" t="n">
        <x:v>996680</x:v>
      </x:c>
      <x:c r="CL269" s="11" t="n">
        <x:v>4080938</x:v>
      </x:c>
      <x:c r="CM269" s="11"/>
      <x:c r="CN269" s="11" t="n">
        <x:v>175500</x:v>
      </x:c>
      <x:c r="CO269" s="11" t="n">
        <x:v>0</x:v>
      </x:c>
      <x:c r="CP269" s="8"/>
      <x:c r="CQ269" s="8"/>
    </x:row>
    <x:row r="270">
      <x:c r="A270" s="8" t="str">
        <x:v>Grand Forks|2023</x:v>
      </x:c>
      <x:c r="B270" s="8" t="str">
        <x:v>grand-forks-c</x:v>
      </x:c>
      <x:c r="C270" s="8" t="str">
        <x:v>Grand Forks</x:v>
      </x:c>
      <x:c r="D270" s="8" t="str">
        <x:v>Grand Forks</x:v>
      </x:c>
      <x:c r="E270" s="8" t="str">
        <x:v>C</x:v>
      </x:c>
      <x:c r="F270" s="8" t="str">
        <x:v>KOO</x:v>
      </x:c>
      <x:c r="G270" s="9" t="n">
        <x:v>2023</x:v>
      </x:c>
      <x:c r="H270" s="10" t="n">
        <x:v>4447</x:v>
      </x:c>
      <x:c r="I270" s="8" t="str">
        <x:v>Under 5,000</x:v>
      </x:c>
      <x:c r="J270" s="11" t="n">
        <x:v>29525129</x:v>
      </x:c>
      <x:c r="K270" s="11" t="n">
        <x:v>15546380</x:v>
      </x:c>
      <x:c r="L270" s="11" t="n">
        <x:v>13978749</x:v>
      </x:c>
      <x:c r="M270" s="12" t="n">
        <x:v>0.47345259693869585</x:v>
      </x:c>
      <x:c r="N270" s="11" t="n">
        <x:v>4375167</x:v>
      </x:c>
      <x:c r="O270" s="11" t="n">
        <x:v>8563994</x:v>
      </x:c>
      <x:c r="P270" s="11" t="n">
        <x:v>14749631</x:v>
      </x:c>
      <x:c r="Q270" s="11" t="n">
        <x:v>1836337</x:v>
      </x:c>
      <x:c r="R270" s="11" t="n">
        <x:v>13252342</x:v>
      </x:c>
      <x:c r="S270" s="11" t="n">
        <x:v>2179396</x:v>
      </x:c>
      <x:c r="T270" s="11" t="n">
        <x:v>15497557</x:v>
      </x:c>
      <x:c r="U270" s="11" t="n">
        <x:v>13019645</x:v>
      </x:c>
      <x:c r="V270" s="11" t="n">
        <x:v>8740977</x:v>
      </x:c>
      <x:c r="W270" s="11" t="n">
        <x:v>9197938</x:v>
      </x:c>
      <x:c r="X270" s="11" t="n">
        <x:v>2907151</x:v>
      </x:c>
      <x:c r="Y270" s="11" t="n">
        <x:v>0</x:v>
      </x:c>
      <x:c r="Z270" s="11" t="n">
        <x:v>115419</x:v>
      </x:c>
      <x:c r="AA270" s="11" t="n">
        <x:v>2760031</x:v>
      </x:c>
      <x:c r="AB270" s="11" t="n">
        <x:v>114642</x:v>
      </x:c>
      <x:c r="AC270" s="11" t="n">
        <x:v>230061</x:v>
      </x:c>
      <x:c r="AD270" s="11" t="n">
        <x:v>3509229</x:v>
      </x:c>
      <x:c r="AE270" s="11" t="n">
        <x:v>3279168</x:v>
      </x:c>
      <x:c r="AF270" s="11" t="n">
        <x:v>14036915</x:v>
      </x:c>
      <x:c r="AG270" s="11" t="n">
        <x:v>121353199</x:v>
      </x:c>
      <x:c r="AH270" s="11" t="n">
        <x:v>41788220</x:v>
      </x:c>
      <x:c r="AI270" s="11" t="n">
        <x:v>79564979</x:v>
      </x:c>
      <x:c r="AJ270" s="11" t="n">
        <x:v>15606374</x:v>
      </x:c>
      <x:c r="AK270" s="11" t="n">
        <x:v>45303536</x:v>
      </x:c>
      <x:c r="AL270" s="11" t="n">
        <x:v>0</x:v>
      </x:c>
      <x:c r="AM270" s="12" t="n">
        <x:v>1</x:v>
      </x:c>
      <x:c r="AN270" s="12" t="n">
        <x:v>0.3444846777523061</x:v>
      </x:c>
      <x:c r="AO270" s="11" t="n">
        <x:v>8998257</x:v>
      </x:c>
      <x:c r="AP270" s="11" t="n">
        <x:v>8410790</x:v>
      </x:c>
      <x:c r="AQ270" s="12" t="n">
        <x:v>0.9347132450206745</x:v>
      </x:c>
      <x:c r="AR270" s="11" t="n">
        <x:v>6639.3364065662245</x:v>
      </x:c>
      <x:c r="AS270" s="11" t="n">
        <x:v>3495.9253429278165</x:v>
      </x:c>
      <x:c r="AT270" s="11" t="n">
        <x:v>1965.5896109736902</x:v>
      </x:c>
      <x:c r="AU270" s="11" t="n">
        <x:v>2068.3467506183943</x:v>
      </x:c>
      <x:c r="AV270" s="11" t="n">
        <x:v>620.6501011918147</x:v>
      </x:c>
      <x:c r="AW270" s="11" t="n">
        <x:v>1.190321011056753</x:v>
      </x:c>
      <x:c r="AX270" s="12" t="n">
        <x:v>0.9344411550229409</x:v>
      </x:c>
      <x:c r="AY270" s="11"/>
      <x:c r="AZ270" s="11"/>
      <x:c r="BA270" s="11"/>
      <x:c r="BB270" s="11"/>
      <x:c r="BC270" s="11"/>
      <x:c r="BD270" s="11"/>
      <x:c r="BE270" s="11"/>
      <x:c r="BF270" s="11"/>
      <x:c r="BG270" s="11"/>
      <x:c r="BH270" s="11"/>
      <x:c r="BI270" s="11"/>
      <x:c r="BJ270" s="11"/>
      <x:c r="BK270" s="12"/>
      <x:c r="BL270" s="12"/>
      <x:c r="BM270" s="12"/>
      <x:c r="BN270" s="12"/>
      <x:c r="BO270" s="12"/>
      <x:c r="BP270" s="12"/>
      <x:c r="BQ270" s="12"/>
      <x:c r="BR270" s="12"/>
      <x:c r="BS270" s="12"/>
      <x:c r="BT270" s="12"/>
      <x:c r="BU270" s="11" t="n">
        <x:v>5281479</x:v>
      </x:c>
      <x:c r="BV270" s="11" t="n">
        <x:v>8485224</x:v>
      </x:c>
      <x:c r="BW270" s="11" t="n">
        <x:v>982928</x:v>
      </x:c>
      <x:c r="BX270" s="11" t="n">
        <x:v>801362</x:v>
      </x:c>
      <x:c r="BY270" s="11" t="n">
        <x:v>0</x:v>
      </x:c>
      <x:c r="BZ270" s="11" t="n">
        <x:v>400686</x:v>
      </x:c>
      <x:c r="CA270" s="11" t="n">
        <x:v>634289</x:v>
      </x:c>
      <x:c r="CB270" s="11" t="n">
        <x:v>0</x:v>
      </x:c>
      <x:c r="CC270" s="11" t="n">
        <x:v>1657576</x:v>
      </x:c>
      <x:c r="CD270" s="11" t="n">
        <x:v>1417986</x:v>
      </x:c>
      <x:c r="CE270" s="11" t="n">
        <x:v>276888</x:v>
      </x:c>
      <x:c r="CF270" s="11" t="n">
        <x:v>104756</x:v>
      </x:c>
      <x:c r="CG270" s="11" t="n">
        <x:v>930545</x:v>
      </x:c>
      <x:c r="CH270" s="11" t="n">
        <x:v>1253709</x:v>
      </x:c>
      <x:c r="CI270" s="11" t="n">
        <x:v>1463766</x:v>
      </x:c>
      <x:c r="CJ270" s="11" t="n">
        <x:v>728714</x:v>
      </x:c>
      <x:c r="CK270" s="11" t="n">
        <x:v>1066501</x:v>
      </x:c>
      <x:c r="CL270" s="11" t="n">
        <x:v>4342838</x:v>
      </x:c>
      <x:c r="CM270" s="11" t="n">
        <x:v>68687</x:v>
      </x:c>
      <x:c r="CN270" s="11" t="n">
        <x:v>55018</x:v>
      </x:c>
      <x:c r="CO270" s="11" t="n">
        <x:v>0</x:v>
      </x:c>
      <x:c r="CP270" s="8"/>
      <x:c r="CQ270" s="8"/>
    </x:row>
    <x:row r="271">
      <x:c r="A271" s="8" t="str">
        <x:v>Grand Forks|2024</x:v>
      </x:c>
      <x:c r="B271" s="8" t="str">
        <x:v>grand-forks-c</x:v>
      </x:c>
      <x:c r="C271" s="8" t="str">
        <x:v>Grand Forks</x:v>
      </x:c>
      <x:c r="D271" s="8" t="str">
        <x:v>Grand Forks</x:v>
      </x:c>
      <x:c r="E271" s="8" t="str">
        <x:v>C</x:v>
      </x:c>
      <x:c r="F271" s="8" t="str">
        <x:v>KOO</x:v>
      </x:c>
      <x:c r="G271" s="9" t="n">
        <x:v>2024</x:v>
      </x:c>
      <x:c r="H271" s="10" t="n">
        <x:v>4447</x:v>
      </x:c>
      <x:c r="I271" s="8" t="str">
        <x:v>Under 5,000</x:v>
      </x:c>
      <x:c r="J271" s="11" t="n">
        <x:v>24897061</x:v>
      </x:c>
      <x:c r="K271" s="11" t="n">
        <x:v>15579794</x:v>
      </x:c>
      <x:c r="L271" s="11" t="n">
        <x:v>9317267</x:v>
      </x:c>
      <x:c r="M271" s="12" t="n">
        <x:v>0.37423160107130715</x:v>
      </x:c>
      <x:c r="N271" s="11" t="n">
        <x:v>4557599</x:v>
      </x:c>
      <x:c r="O271" s="11" t="n">
        <x:v>9128090</x:v>
      </x:c>
      <x:c r="P271" s="11" t="n">
        <x:v>10230566</x:v>
      </x:c>
      <x:c r="Q271" s="11" t="n">
        <x:v>980806</x:v>
      </x:c>
      <x:c r="R271" s="11" t="n">
        <x:v>13165778</x:v>
      </x:c>
      <x:c r="S271" s="11" t="n">
        <x:v>2290700</x:v>
      </x:c>
      <x:c r="T271" s="11" t="n">
        <x:v>12930027</x:v>
      </x:c>
      <x:c r="U271" s="11" t="n">
        <x:v>12063580</x:v>
      </x:c>
      <x:c r="V271" s="11" t="n">
        <x:v>8771306</x:v>
      </x:c>
      <x:c r="W271" s="11" t="n">
        <x:v>8024498</x:v>
      </x:c>
      <x:c r="X271" s="11" t="n">
        <x:v>2760031</x:v>
      </x:c>
      <x:c r="Y271" s="11" t="n">
        <x:v>0</x:v>
      </x:c>
      <x:c r="Z271" s="11" t="n">
        <x:v>121006</x:v>
      </x:c>
      <x:c r="AA271" s="11" t="n">
        <x:v>2605585</x:v>
      </x:c>
      <x:c r="AB271" s="11" t="n">
        <x:v>123316</x:v>
      </x:c>
      <x:c r="AC271" s="11" t="n">
        <x:v>244322</x:v>
      </x:c>
      <x:c r="AD271" s="11" t="n">
        <x:v>3676851</x:v>
      </x:c>
      <x:c r="AE271" s="11" t="n">
        <x:v>3432529</x:v>
      </x:c>
      <x:c r="AF271" s="11" t="n">
        <x:v>14707402</x:v>
      </x:c>
      <x:c r="AG271" s="11" t="n">
        <x:v>132204669</x:v>
      </x:c>
      <x:c r="AH271" s="11" t="n">
        <x:v>43455891</x:v>
      </x:c>
      <x:c r="AI271" s="11" t="n">
        <x:v>88748778</x:v>
      </x:c>
      <x:c r="AJ271" s="11" t="n">
        <x:v>11767149</x:v>
      </x:c>
      <x:c r="AK271" s="11" t="n">
        <x:v>170768024</x:v>
      </x:c>
      <x:c r="AL271" s="11" t="n">
        <x:v>11754602</x:v>
      </x:c>
      <x:c r="AM271" s="12" t="n">
        <x:v>0.9311662586199393</x:v>
      </x:c>
      <x:c r="AN271" s="12" t="n">
        <x:v>0.06890721532269999</x:v>
      </x:c>
      <x:c r="AO271" s="11" t="n">
        <x:v>9488089</x:v>
      </x:c>
      <x:c r="AP271" s="11" t="n">
        <x:v>8837745</x:v>
      </x:c>
      <x:c r="AQ271" s="12" t="n">
        <x:v>0.9314567980970667</x:v>
      </x:c>
      <x:c r="AR271" s="11" t="n">
        <x:v>5598.619518776703</x:v>
      </x:c>
      <x:c r="AS271" s="11" t="n">
        <x:v>3503.4391724758266</x:v>
      </x:c>
      <x:c r="AT271" s="11" t="n">
        <x:v>1972.4097144142117</x:v>
      </x:c>
      <x:c r="AU271" s="11" t="n">
        <x:v>1804.474477175624</x:v>
      </x:c>
      <x:c r="AV271" s="11" t="n">
        <x:v>585.9197211603328</x:v>
      </x:c>
      <x:c r="AW271" s="11" t="n">
        <x:v>1.071823372498048</x:v>
      </x:c>
      <x:c r="AX271" s="12" t="n">
        <x:v>0.9335512915807576</x:v>
      </x:c>
      <x:c r="AY271" s="11" t="n">
        <x:v>4029.3029612756263</x:v>
      </x:c>
      <x:c r="AZ271" s="11" t="n">
        <x:v>3546.5079302077975</x:v>
      </x:c>
      <x:c r="BA271" s="11" t="n">
        <x:v>2680.1548974943053</x:v>
      </x:c>
      <x:c r="BB271" s="11" t="n">
        <x:v>2783.665107049771</x:v>
      </x:c>
      <x:c r="BC271" s="11" t="n">
        <x:v>1972.4097144142117</x:v>
      </x:c>
      <x:c r="BD271" s="11" t="n">
        <x:v>2437.8724475115623</x:v>
      </x:c>
      <x:c r="BE271" s="11" t="n">
        <x:v>1160.2663957632108</x:v>
      </x:c>
      <x:c r="BF271" s="11" t="n">
        <x:v>1604.3462673977224</x:v>
      </x:c>
      <x:c r="BG271" s="11" t="n">
        <x:v>585.9197211603328</x:v>
      </x:c>
      <x:c r="BH271" s="11" t="n">
        <x:v>518.5374381567245</x:v>
      </x:c>
      <x:c r="BI271" s="11" t="n">
        <x:v>1.1580249242564604</x:v>
      </x:c>
      <x:c r="BJ271" s="11" t="n">
        <x:v>1.7099330852451193</x:v>
      </x:c>
      <x:c r="BK271" s="12" t="n">
        <x:v>0.02542022628425596</x:v>
      </x:c>
      <x:c r="BL271" s="12" t="n">
        <x:v>0.02529861000232605</x:v>
      </x:c>
      <x:c r="BM271" s="12" t="n">
        <x:v>0.9804639308808624</x:v>
      </x:c>
      <x:c r="BN271" s="12" t="n">
        <x:v>0.9815511712696461</x:v>
      </x:c>
      <x:c r="BO271" s="12" t="n">
        <x:v>0.8435772029337734</x:v>
      </x:c>
      <x:c r="BP271" s="12" t="n">
        <x:v>0.8619101997275483</x:v>
      </x:c>
      <x:c r="BQ271" s="12" t="n">
        <x:v>0.9642963039370254</x:v>
      </x:c>
      <x:c r="BR271" s="12" t="n">
        <x:v>0.9623635142836453</x:v>
      </x:c>
      <x:c r="BS271" s="12" t="n">
        <x:v>0.37423160107130715</x:v>
      </x:c>
      <x:c r="BT271" s="12" t="n">
        <x:v>0.19976549769108282</x:v>
      </x:c>
      <x:c r="BU271" s="11" t="n">
        <x:v>2389736</x:v>
      </x:c>
      <x:c r="BV271" s="11" t="n">
        <x:v>7186050</x:v>
      </x:c>
      <x:c r="BW271" s="11" t="n">
        <x:v>654780</x:v>
      </x:c>
      <x:c r="BX271" s="11" t="n">
        <x:v>628841</x:v>
      </x:c>
      <x:c r="BY271" s="11" t="n">
        <x:v>0</x:v>
      </x:c>
      <x:c r="BZ271" s="11" t="n">
        <x:v>116986</x:v>
      </x:c>
      <x:c r="CA271" s="11" t="n">
        <x:v>234979</x:v>
      </x:c>
      <x:c r="CB271" s="11" t="n">
        <x:v>0</x:v>
      </x:c>
      <x:c r="CC271" s="11" t="n">
        <x:v>1626288</x:v>
      </x:c>
      <x:c r="CD271" s="11" t="n">
        <x:v>1275032</x:v>
      </x:c>
      <x:c r="CE271" s="11" t="n">
        <x:v>295865</x:v>
      </x:c>
      <x:c r="CF271" s="11" t="n">
        <x:v>106183</x:v>
      </x:c>
      <x:c r="CG271" s="11" t="n">
        <x:v>774884</x:v>
      </x:c>
      <x:c r="CH271" s="11" t="n">
        <x:v>1284887</x:v>
      </x:c>
      <x:c r="CI271" s="11" t="n">
        <x:v>1585133</x:v>
      </x:c>
      <x:c r="CJ271" s="11" t="n">
        <x:v>705129</x:v>
      </x:c>
      <x:c r="CK271" s="11" t="n">
        <x:v>1124358</x:v>
      </x:c>
      <x:c r="CL271" s="11" t="n">
        <x:v>4451877</x:v>
      </x:c>
      <x:c r="CM271" s="11" t="n">
        <x:v>-156772</x:v>
      </x:c>
      <x:c r="CN271" s="11" t="n">
        <x:v>216230</x:v>
      </x:c>
      <x:c r="CO271" s="11" t="n">
        <x:v>0</x:v>
      </x:c>
      <x:c r="CP271" s="8"/>
      <x:c r="CQ271" s="8"/>
    </x:row>
    <x:row r="272">
      <x:c r="A272" s="8" t="str">
        <x:v>Granisle|2019</x:v>
      </x:c>
      <x:c r="B272" s="8" t="str">
        <x:v>granisle-v</x:v>
      </x:c>
      <x:c r="C272" s="8" t="str">
        <x:v>Granisle</x:v>
      </x:c>
      <x:c r="D272" s="8" t="str">
        <x:v>Granisle</x:v>
      </x:c>
      <x:c r="E272" s="8" t="str">
        <x:v>V</x:v>
      </x:c>
      <x:c r="F272" s="8" t="str">
        <x:v>BUL</x:v>
      </x:c>
      <x:c r="G272" s="9" t="n">
        <x:v>2019</x:v>
      </x:c>
      <x:c r="H272" s="10" t="n">
        <x:v>310</x:v>
      </x:c>
      <x:c r="I272" s="8" t="str">
        <x:v>Under 5,000</x:v>
      </x:c>
      <x:c r="J272" s="11" t="n">
        <x:v>6831972</x:v>
      </x:c>
      <x:c r="K272" s="11" t="n">
        <x:v>1850442</x:v>
      </x:c>
      <x:c r="L272" s="11" t="n">
        <x:v>4981530</x:v>
      </x:c>
      <x:c r="M272" s="12" t="n">
        <x:v>0.7291496510817082</x:v>
      </x:c>
      <x:c r="N272" s="11" t="n">
        <x:v>476941</x:v>
      </x:c>
      <x:c r="O272" s="11" t="n">
        <x:v>381593</x:v>
      </x:c>
      <x:c r="P272" s="11" t="n">
        <x:v>5917796</x:v>
      </x:c>
      <x:c r="Q272" s="11" t="n">
        <x:v>55642</x:v>
      </x:c>
      <x:c r="R272" s="11" t="n">
        <x:v>1530622</x:v>
      </x:c>
      <x:c r="S272" s="11" t="n">
        <x:v>319820</x:v>
      </x:c>
      <x:c r="T272" s="11" t="n">
        <x:v>2867034</x:v>
      </x:c>
      <x:c r="U272" s="11" t="n">
        <x:v>1225697</x:v>
      </x:c>
      <x:c r="V272" s="11" t="n">
        <x:v>2084873</x:v>
      </x:c>
      <x:c r="W272" s="11" t="n">
        <x:v>1622066</x:v>
      </x:c>
      <x:c r="X272" s="11" t="n">
        <x:v>78580</x:v>
      </x:c>
      <x:c r="Y272" s="11" t="n">
        <x:v>210000</x:v>
      </x:c>
      <x:c r="Z272" s="11" t="n">
        <x:v>28896</x:v>
      </x:c>
      <x:c r="AA272" s="11" t="n">
        <x:v>259684</x:v>
      </x:c>
      <x:c r="AB272" s="11" t="n">
        <x:v>0</x:v>
      </x:c>
      <x:c r="AC272" s="11" t="n">
        <x:v>28896</x:v>
      </x:c>
      <x:c r="AD272" s="11" t="n">
        <x:v>411673</x:v>
      </x:c>
      <x:c r="AE272" s="11" t="n">
        <x:v>382777</x:v>
      </x:c>
      <x:c r="AF272" s="11" t="n">
        <x:v>1646690</x:v>
      </x:c>
      <x:c r="AG272" s="11" t="n">
        <x:v>15803147</x:v>
      </x:c>
      <x:c r="AH272" s="11" t="n">
        <x:v>6100702</x:v>
      </x:c>
      <x:c r="AI272" s="11" t="n">
        <x:v>9702445</x:v>
      </x:c>
      <x:c r="AJ272" s="11" t="n">
        <x:v>3825412</x:v>
      </x:c>
      <x:c r="AK272" s="11" t="n">
        <x:v>14119913</x:v>
      </x:c>
      <x:c r="AL272" s="11" t="n">
        <x:v>0</x:v>
      </x:c>
      <x:c r="AM272" s="12" t="n">
        <x:v>1</x:v>
      </x:c>
      <x:c r="AN272" s="12" t="n">
        <x:v>0.2709231990310422</x:v>
      </x:c>
      <x:c r="AO272" s="11" t="n">
        <x:v>692876</x:v>
      </x:c>
      <x:c r="AP272" s="11" t="n">
        <x:v>575200</x:v>
      </x:c>
      <x:c r="AQ272" s="12" t="n">
        <x:v>0.830162972884037</x:v>
      </x:c>
      <x:c r="AR272" s="11" t="n">
        <x:v>22038.61935483871</x:v>
      </x:c>
      <x:c r="AS272" s="11" t="n">
        <x:v>5969.167741935484</x:v>
      </x:c>
      <x:c r="AT272" s="11" t="n">
        <x:v>6725.3967741935485</x:v>
      </x:c>
      <x:c r="AU272" s="11" t="n">
        <x:v>5232.470967741935</x:v>
      </x:c>
      <x:c r="AV272" s="11" t="n">
        <x:v>837.6903225806452</x:v>
      </x:c>
      <x:c r="AW272" s="11" t="n">
        <x:v>2.33910501535045</x:v>
      </x:c>
      <x:c r="AX272" s="12" t="n">
        <x:v>0.9298083673206647</x:v>
      </x:c>
      <x:c r="AY272" s="11"/>
      <x:c r="AZ272" s="11"/>
      <x:c r="BA272" s="11"/>
      <x:c r="BB272" s="11"/>
      <x:c r="BC272" s="11"/>
      <x:c r="BD272" s="11"/>
      <x:c r="BE272" s="11"/>
      <x:c r="BF272" s="11"/>
      <x:c r="BG272" s="11"/>
      <x:c r="BH272" s="11"/>
      <x:c r="BI272" s="11"/>
      <x:c r="BJ272" s="11"/>
      <x:c r="BK272" s="12"/>
      <x:c r="BL272" s="12"/>
      <x:c r="BM272" s="12"/>
      <x:c r="BN272" s="12"/>
      <x:c r="BO272" s="12"/>
      <x:c r="BP272" s="12"/>
      <x:c r="BQ272" s="12"/>
      <x:c r="BR272" s="12"/>
      <x:c r="BS272" s="12"/>
      <x:c r="BT272" s="12"/>
      <x:c r="BU272" s="11" t="n">
        <x:v>5182043</x:v>
      </x:c>
      <x:c r="BV272" s="11" t="n">
        <x:v>572947</x:v>
      </x:c>
      <x:c r="BW272" s="11" t="n">
        <x:v>162806</x:v>
      </x:c>
      <x:c r="BX272" s="11" t="n">
        <x:v>52403</x:v>
      </x:c>
      <x:c r="BY272" s="11" t="n">
        <x:v>0</x:v>
      </x:c>
      <x:c r="BZ272" s="11" t="n">
        <x:v>0</x:v>
      </x:c>
      <x:c r="CA272" s="11" t="n">
        <x:v>3239</x:v>
      </x:c>
      <x:c r="CB272" s="11" t="n">
        <x:v>0</x:v>
      </x:c>
      <x:c r="CC272" s="11" t="n">
        <x:v>514682</x:v>
      </x:c>
      <x:c r="CD272" s="11" t="n">
        <x:v>121969</x:v>
      </x:c>
      <x:c r="CE272" s="11" t="n">
        <x:v>1176</x:v>
      </x:c>
      <x:c r="CF272" s="11" t="n">
        <x:v>0</x:v>
      </x:c>
      <x:c r="CG272" s="11" t="n">
        <x:v>59728</x:v>
      </x:c>
      <x:c r="CH272" s="11" t="n">
        <x:v>244342</x:v>
      </x:c>
      <x:c r="CI272" s="11" t="n">
        <x:v>444354</x:v>
      </x:c>
      <x:c r="CJ272" s="11" t="n">
        <x:v>55219</x:v>
      </x:c>
      <x:c r="CK272" s="11" t="n">
        <x:v>89152</x:v>
      </x:c>
      <x:c r="CL272" s="11" t="n">
        <x:v>0</x:v>
      </x:c>
      <x:c r="CM272" s="11"/>
      <x:c r="CN272" s="11" t="n">
        <x:v>0</x:v>
      </x:c>
      <x:c r="CO272" s="11" t="n">
        <x:v>0</x:v>
      </x:c>
      <x:c r="CP272" s="8"/>
      <x:c r="CQ272" s="8"/>
    </x:row>
    <x:row r="273">
      <x:c r="A273" s="8" t="str">
        <x:v>Granisle|2020</x:v>
      </x:c>
      <x:c r="B273" s="8" t="str">
        <x:v>granisle-v</x:v>
      </x:c>
      <x:c r="C273" s="8" t="str">
        <x:v>Granisle</x:v>
      </x:c>
      <x:c r="D273" s="8" t="str">
        <x:v>Granisle</x:v>
      </x:c>
      <x:c r="E273" s="8" t="str">
        <x:v>V</x:v>
      </x:c>
      <x:c r="F273" s="8" t="str">
        <x:v>BUL</x:v>
      </x:c>
      <x:c r="G273" s="9" t="n">
        <x:v>2020</x:v>
      </x:c>
      <x:c r="H273" s="10" t="n">
        <x:v>309</x:v>
      </x:c>
      <x:c r="I273" s="8" t="str">
        <x:v>Under 5,000</x:v>
      </x:c>
      <x:c r="J273" s="11" t="n">
        <x:v>3070615</x:v>
      </x:c>
      <x:c r="K273" s="11" t="n">
        <x:v>2151519</x:v>
      </x:c>
      <x:c r="L273" s="11" t="n">
        <x:v>919096</x:v>
      </x:c>
      <x:c r="M273" s="12" t="n">
        <x:v>0.2993198430933217</x:v>
      </x:c>
      <x:c r="N273" s="11" t="n">
        <x:v>481986</x:v>
      </x:c>
      <x:c r="O273" s="11" t="n">
        <x:v>410432</x:v>
      </x:c>
      <x:c r="P273" s="11" t="n">
        <x:v>2148953</x:v>
      </x:c>
      <x:c r="Q273" s="11" t="n">
        <x:v>29244</x:v>
      </x:c>
      <x:c r="R273" s="11" t="n">
        <x:v>1677036</x:v>
      </x:c>
      <x:c r="S273" s="11" t="n">
        <x:v>469779</x:v>
      </x:c>
      <x:c r="T273" s="11" t="n">
        <x:v>2954762</x:v>
      </x:c>
      <x:c r="U273" s="11" t="n">
        <x:v>1250594</x:v>
      </x:c>
      <x:c r="V273" s="11" t="n">
        <x:v>2489399</x:v>
      </x:c>
      <x:c r="W273" s="11" t="n">
        <x:v>1775626</x:v>
      </x:c>
      <x:c r="X273" s="11" t="n">
        <x:v>259684</x:v>
      </x:c>
      <x:c r="Y273" s="11" t="n">
        <x:v>0</x:v>
      </x:c>
      <x:c r="Z273" s="11" t="n">
        <x:v>30669</x:v>
      </x:c>
      <x:c r="AA273" s="11" t="n">
        <x:v>229015</x:v>
      </x:c>
      <x:c r="AB273" s="11" t="n">
        <x:v>4704</x:v>
      </x:c>
      <x:c r="AC273" s="11" t="n">
        <x:v>35373</x:v>
      </x:c>
      <x:c r="AD273" s="11" t="n">
        <x:v>379672</x:v>
      </x:c>
      <x:c r="AE273" s="11" t="n">
        <x:v>344299</x:v>
      </x:c>
      <x:c r="AF273" s="11" t="n">
        <x:v>1518689</x:v>
      </x:c>
      <x:c r="AG273" s="11" t="n">
        <x:v>16799357</x:v>
      </x:c>
      <x:c r="AH273" s="11" t="n">
        <x:v>6570481</x:v>
      </x:c>
      <x:c r="AI273" s="11" t="n">
        <x:v>10228876</x:v>
      </x:c>
      <x:c r="AJ273" s="11" t="n">
        <x:v>996210</x:v>
      </x:c>
      <x:c r="AK273" s="11" t="n">
        <x:v>32545409</x:v>
      </x:c>
      <x:c r="AL273" s="11" t="n">
        <x:v>2807661</x:v>
      </x:c>
      <x:c r="AM273" s="12" t="n">
        <x:v>0.9137309658637259</x:v>
      </x:c>
      <x:c r="AN273" s="12" t="n">
        <x:v>0.030609847305959496</x:v>
      </x:c>
      <x:c r="AO273" s="11" t="n">
        <x:v>705063</x:v>
      </x:c>
      <x:c r="AP273" s="11" t="n">
        <x:v>607231</x:v>
      </x:c>
      <x:c r="AQ273" s="12" t="n">
        <x:v>0.861243605181381</x:v>
      </x:c>
      <x:c r="AR273" s="11" t="n">
        <x:v>9937.265372168285</x:v>
      </x:c>
      <x:c r="AS273" s="11" t="n">
        <x:v>6962.844660194175</x:v>
      </x:c>
      <x:c r="AT273" s="11" t="n">
        <x:v>8056.307443365696</x:v>
      </x:c>
      <x:c r="AU273" s="11" t="n">
        <x:v>5746.3624595469255</x:v>
      </x:c>
      <x:c r="AV273" s="11" t="n">
        <x:v>741.1488673139158</x:v>
      </x:c>
      <x:c r="AW273" s="11" t="n">
        <x:v>2.3626868512083057</x:v>
      </x:c>
      <x:c r="AX273" s="12" t="n">
        <x:v>0.9068327398385976</x:v>
      </x:c>
      <x:c r="AY273" s="11"/>
      <x:c r="AZ273" s="11"/>
      <x:c r="BA273" s="11"/>
      <x:c r="BB273" s="11"/>
      <x:c r="BC273" s="11"/>
      <x:c r="BD273" s="11"/>
      <x:c r="BE273" s="11"/>
      <x:c r="BF273" s="11"/>
      <x:c r="BG273" s="11"/>
      <x:c r="BH273" s="11"/>
      <x:c r="BI273" s="11"/>
      <x:c r="BJ273" s="11"/>
      <x:c r="BK273" s="12"/>
      <x:c r="BL273" s="12"/>
      <x:c r="BM273" s="12"/>
      <x:c r="BN273" s="12"/>
      <x:c r="BO273" s="12"/>
      <x:c r="BP273" s="12"/>
      <x:c r="BQ273" s="12"/>
      <x:c r="BR273" s="12"/>
      <x:c r="BS273" s="12"/>
      <x:c r="BT273" s="12"/>
      <x:c r="BU273" s="11" t="n">
        <x:v>1146686</x:v>
      </x:c>
      <x:c r="BV273" s="11" t="n">
        <x:v>865612</x:v>
      </x:c>
      <x:c r="BW273" s="11" t="n">
        <x:v>136655</x:v>
      </x:c>
      <x:c r="BX273" s="11" t="n">
        <x:v>24667</x:v>
      </x:c>
      <x:c r="BY273" s="11" t="n">
        <x:v>0</x:v>
      </x:c>
      <x:c r="BZ273" s="11" t="n">
        <x:v>0</x:v>
      </x:c>
      <x:c r="CA273" s="11" t="n">
        <x:v>4577</x:v>
      </x:c>
      <x:c r="CB273" s="11" t="n">
        <x:v>0</x:v>
      </x:c>
      <x:c r="CC273" s="11" t="n">
        <x:v>464581</x:v>
      </x:c>
      <x:c r="CD273" s="11" t="n">
        <x:v>136654</x:v>
      </x:c>
      <x:c r="CE273" s="11" t="n">
        <x:v>17298</x:v>
      </x:c>
      <x:c r="CF273" s="11" t="n">
        <x:v>0</x:v>
      </x:c>
      <x:c r="CG273" s="11" t="n">
        <x:v>163118</x:v>
      </x:c>
      <x:c r="CH273" s="11" t="n">
        <x:v>227931</x:v>
      </x:c>
      <x:c r="CI273" s="11" t="n">
        <x:v>430971</x:v>
      </x:c>
      <x:c r="CJ273" s="11" t="n">
        <x:v>198247</x:v>
      </x:c>
      <x:c r="CK273" s="11" t="n">
        <x:v>42940</x:v>
      </x:c>
      <x:c r="CL273" s="11" t="n">
        <x:v>0</x:v>
      </x:c>
      <x:c r="CM273" s="11"/>
      <x:c r="CN273" s="11" t="n">
        <x:v>0</x:v>
      </x:c>
      <x:c r="CO273" s="11" t="n">
        <x:v>0</x:v>
      </x:c>
      <x:c r="CP273" s="8"/>
      <x:c r="CQ273" s="8"/>
    </x:row>
    <x:row r="274">
      <x:c r="A274" s="8" t="str">
        <x:v>Granisle|2021</x:v>
      </x:c>
      <x:c r="B274" s="8" t="str">
        <x:v>granisle-v</x:v>
      </x:c>
      <x:c r="C274" s="8" t="str">
        <x:v>Granisle</x:v>
      </x:c>
      <x:c r="D274" s="8" t="str">
        <x:v>Granisle</x:v>
      </x:c>
      <x:c r="E274" s="8" t="str">
        <x:v>V</x:v>
      </x:c>
      <x:c r="F274" s="8" t="str">
        <x:v>BUL</x:v>
      </x:c>
      <x:c r="G274" s="9" t="n">
        <x:v>2021</x:v>
      </x:c>
      <x:c r="H274" s="10" t="n">
        <x:v>311</x:v>
      </x:c>
      <x:c r="I274" s="8" t="str">
        <x:v>Under 5,000</x:v>
      </x:c>
      <x:c r="J274" s="11" t="n">
        <x:v>6610902</x:v>
      </x:c>
      <x:c r="K274" s="11" t="n">
        <x:v>2288814</x:v>
      </x:c>
      <x:c r="L274" s="11" t="n">
        <x:v>4322088</x:v>
      </x:c>
      <x:c r="M274" s="12" t="n">
        <x:v>0.6537818893700134</x:v>
      </x:c>
      <x:c r="N274" s="11" t="n">
        <x:v>477401</x:v>
      </x:c>
      <x:c r="O274" s="11" t="n">
        <x:v>442650</x:v>
      </x:c>
      <x:c r="P274" s="11" t="n">
        <x:v>5673753</x:v>
      </x:c>
      <x:c r="Q274" s="11" t="n">
        <x:v>17098</x:v>
      </x:c>
      <x:c r="R274" s="11" t="n">
        <x:v>1783833</x:v>
      </x:c>
      <x:c r="S274" s="11" t="n">
        <x:v>499985</x:v>
      </x:c>
      <x:c r="T274" s="11" t="n">
        <x:v>2370990</x:v>
      </x:c>
      <x:c r="U274" s="11" t="n">
        <x:v>1693211</x:v>
      </x:c>
      <x:c r="V274" s="11" t="n">
        <x:v>2081960</x:v>
      </x:c>
      <x:c r="W274" s="11" t="n">
        <x:v>1300116</x:v>
      </x:c>
      <x:c r="X274" s="11" t="n">
        <x:v>229015</x:v>
      </x:c>
      <x:c r="Y274" s="11" t="n">
        <x:v>0</x:v>
      </x:c>
      <x:c r="Z274" s="11" t="n">
        <x:v>31145</x:v>
      </x:c>
      <x:c r="AA274" s="11" t="n">
        <x:v>197320</x:v>
      </x:c>
      <x:c r="AB274" s="11" t="n">
        <x:v>4996</x:v>
      </x:c>
      <x:c r="AC274" s="11" t="n">
        <x:v>36141</x:v>
      </x:c>
      <x:c r="AD274" s="11" t="n">
        <x:v>376572</x:v>
      </x:c>
      <x:c r="AE274" s="11" t="n">
        <x:v>340431</x:v>
      </x:c>
      <x:c r="AF274" s="11" t="n">
        <x:v>1506289</x:v>
      </x:c>
      <x:c r="AG274" s="11" t="n">
        <x:v>22024391</x:v>
      </x:c>
      <x:c r="AH274" s="11" t="n">
        <x:v>7070465</x:v>
      </x:c>
      <x:c r="AI274" s="11" t="n">
        <x:v>14953926</x:v>
      </x:c>
      <x:c r="AJ274" s="11" t="n">
        <x:v>5225034</x:v>
      </x:c>
      <x:c r="AK274" s="11" t="n">
        <x:v>14953926</x:v>
      </x:c>
      <x:c r="AL274" s="11" t="n">
        <x:v>0</x:v>
      </x:c>
      <x:c r="AM274" s="12" t="n">
        <x:v>1</x:v>
      </x:c>
      <x:c r="AN274" s="12" t="n">
        <x:v>0.3494088442058627</x:v>
      </x:c>
      <x:c r="AO274" s="11" t="n">
        <x:v>682309</x:v>
      </x:c>
      <x:c r="AP274" s="11" t="n">
        <x:v>600360</x:v>
      </x:c>
      <x:c r="AQ274" s="12" t="n">
        <x:v>0.8798945932121663</x:v>
      </x:c>
      <x:c r="AR274" s="11" t="n">
        <x:v>21256.91961414791</x:v>
      </x:c>
      <x:c r="AS274" s="11" t="n">
        <x:v>7359.530546623794</x:v>
      </x:c>
      <x:c r="AT274" s="11" t="n">
        <x:v>6694.405144694534</x:v>
      </x:c>
      <x:c r="AU274" s="11" t="n">
        <x:v>4180.4372990353695</x:v>
      </x:c>
      <x:c r="AV274" s="11" t="n">
        <x:v>634.4694533762058</x:v>
      </x:c>
      <x:c r="AW274" s="11" t="n">
        <x:v>1.4002921077172308</x:v>
      </x:c>
      <x:c r="AX274" s="12" t="n">
        <x:v>0.904026321659603</x:v>
      </x:c>
      <x:c r="AY274" s="11"/>
      <x:c r="AZ274" s="11"/>
      <x:c r="BA274" s="11"/>
      <x:c r="BB274" s="11"/>
      <x:c r="BC274" s="11"/>
      <x:c r="BD274" s="11"/>
      <x:c r="BE274" s="11"/>
      <x:c r="BF274" s="11"/>
      <x:c r="BG274" s="11"/>
      <x:c r="BH274" s="11"/>
      <x:c r="BI274" s="11"/>
      <x:c r="BJ274" s="11"/>
      <x:c r="BK274" s="12"/>
      <x:c r="BL274" s="12"/>
      <x:c r="BM274" s="12"/>
      <x:c r="BN274" s="12"/>
      <x:c r="BO274" s="12"/>
      <x:c r="BP274" s="12"/>
      <x:c r="BQ274" s="12"/>
      <x:c r="BR274" s="12"/>
      <x:c r="BS274" s="12"/>
      <x:c r="BT274" s="12"/>
      <x:c r="BU274" s="11" t="n">
        <x:v>139198</x:v>
      </x:c>
      <x:c r="BV274" s="11" t="n">
        <x:v>5408352</x:v>
      </x:c>
      <x:c r="BW274" s="11" t="n">
        <x:v>126203</x:v>
      </x:c>
      <x:c r="BX274" s="11" t="n">
        <x:v>17098</x:v>
      </x:c>
      <x:c r="BY274" s="11" t="n">
        <x:v>0</x:v>
      </x:c>
      <x:c r="BZ274" s="11" t="n">
        <x:v>0</x:v>
      </x:c>
      <x:c r="CA274" s="11" t="n">
        <x:v>0</x:v>
      </x:c>
      <x:c r="CB274" s="11" t="n">
        <x:v>0</x:v>
      </x:c>
      <x:c r="CC274" s="11" t="n">
        <x:v>332927</x:v>
      </x:c>
      <x:c r="CD274" s="11" t="n">
        <x:v>99662</x:v>
      </x:c>
      <x:c r="CE274" s="11" t="n">
        <x:v>18990</x:v>
      </x:c>
      <x:c r="CF274" s="11" t="n">
        <x:v>0</x:v>
      </x:c>
      <x:c r="CG274" s="11" t="n">
        <x:v>70366</x:v>
      </x:c>
      <x:c r="CH274" s="11" t="n">
        <x:v>355054</x:v>
      </x:c>
      <x:c r="CI274" s="11" t="n">
        <x:v>538361</x:v>
      </x:c>
      <x:c r="CJ274" s="11" t="n">
        <x:v>251645</x:v>
      </x:c>
      <x:c r="CK274" s="11" t="n">
        <x:v>117247</x:v>
      </x:c>
      <x:c r="CL274" s="11" t="n">
        <x:v>0</x:v>
      </x:c>
      <x:c r="CM274" s="11"/>
      <x:c r="CN274" s="11" t="n">
        <x:v>0</x:v>
      </x:c>
      <x:c r="CO274" s="11" t="n">
        <x:v>4577</x:v>
      </x:c>
      <x:c r="CP274" s="8"/>
      <x:c r="CQ274" s="8"/>
    </x:row>
    <x:row r="275">
      <x:c r="A275" s="8" t="str">
        <x:v>Granisle|2022</x:v>
      </x:c>
      <x:c r="B275" s="8" t="str">
        <x:v>granisle-v</x:v>
      </x:c>
      <x:c r="C275" s="8" t="str">
        <x:v>Granisle</x:v>
      </x:c>
      <x:c r="D275" s="8" t="str">
        <x:v>Granisle</x:v>
      </x:c>
      <x:c r="E275" s="8" t="str">
        <x:v>V</x:v>
      </x:c>
      <x:c r="F275" s="8" t="str">
        <x:v>BUL</x:v>
      </x:c>
      <x:c r="G275" s="9" t="n">
        <x:v>2022</x:v>
      </x:c>
      <x:c r="H275" s="10" t="n">
        <x:v>705</x:v>
      </x:c>
      <x:c r="I275" s="8" t="str">
        <x:v>Under 5,000</x:v>
      </x:c>
      <x:c r="J275" s="11" t="n">
        <x:v>3046449</x:v>
      </x:c>
      <x:c r="K275" s="11" t="n">
        <x:v>2569367</x:v>
      </x:c>
      <x:c r="L275" s="11" t="n">
        <x:v>477082</x:v>
      </x:c>
      <x:c r="M275" s="12" t="n">
        <x:v>0.15660265443472055</x:v>
      </x:c>
      <x:c r="N275" s="11" t="n">
        <x:v>501276</x:v>
      </x:c>
      <x:c r="O275" s="11" t="n">
        <x:v>536246</x:v>
      </x:c>
      <x:c r="P275" s="11" t="n">
        <x:v>1308494</x:v>
      </x:c>
      <x:c r="Q275" s="11" t="n">
        <x:v>700433</x:v>
      </x:c>
      <x:c r="R275" s="11" t="n">
        <x:v>1963268</x:v>
      </x:c>
      <x:c r="S275" s="11" t="n">
        <x:v>601740</x:v>
      </x:c>
      <x:c r="T275" s="11" t="n">
        <x:v>1683215</x:v>
      </x:c>
      <x:c r="U275" s="11" t="n">
        <x:v>578033</x:v>
      </x:c>
      <x:c r="V275" s="11" t="n">
        <x:v>2357042</x:v>
      </x:c>
      <x:c r="W275" s="11" t="n">
        <x:v>854321</x:v>
      </x:c>
      <x:c r="X275" s="11" t="n">
        <x:v>197320</x:v>
      </x:c>
      <x:c r="Y275" s="11" t="n">
        <x:v>0</x:v>
      </x:c>
      <x:c r="Z275" s="11" t="n">
        <x:v>31052</x:v>
      </x:c>
      <x:c r="AA275" s="11" t="n">
        <x:v>165153</x:v>
      </x:c>
      <x:c r="AB275" s="11" t="n">
        <x:v>4359</x:v>
      </x:c>
      <x:c r="AC275" s="11" t="n">
        <x:v>35411</x:v>
      </x:c>
      <x:c r="AD275" s="11" t="n">
        <x:v>612210</x:v>
      </x:c>
      <x:c r="AE275" s="11" t="n">
        <x:v>576799</x:v>
      </x:c>
      <x:c r="AF275" s="11" t="n">
        <x:v>2448840</x:v>
      </x:c>
      <x:c r="AG275" s="11" t="n">
        <x:v>22623040</x:v>
      </x:c>
      <x:c r="AH275" s="11" t="n">
        <x:v>7459471</x:v>
      </x:c>
      <x:c r="AI275" s="11" t="n">
        <x:v>15163569</x:v>
      </x:c>
      <x:c r="AJ275" s="11" t="n">
        <x:v>869828</x:v>
      </x:c>
      <x:c r="AK275" s="11" t="n">
        <x:v>44953142</x:v>
      </x:c>
      <x:c r="AL275" s="11" t="n">
        <x:v>0</x:v>
      </x:c>
      <x:c r="AM275" s="12" t="n">
        <x:v>1</x:v>
      </x:c>
      <x:c r="AN275" s="12" t="n">
        <x:v>0.019349659696757126</x:v>
      </x:c>
      <x:c r="AO275" s="11" t="n">
        <x:v>671916</x:v>
      </x:c>
      <x:c r="AP275" s="11" t="n">
        <x:v>571868</x:v>
      </x:c>
      <x:c r="AQ275" s="12" t="n">
        <x:v>0.8511004351734442</x:v>
      </x:c>
      <x:c r="AR275" s="11" t="n">
        <x:v>4321.204255319149</x:v>
      </x:c>
      <x:c r="AS275" s="11" t="n">
        <x:v>3644.4921985815604</x:v>
      </x:c>
      <x:c r="AT275" s="11" t="n">
        <x:v>3343.321985815603</x:v>
      </x:c>
      <x:c r="AU275" s="11" t="n">
        <x:v>1211.8028368794326</x:v>
      </x:c>
      <x:c r="AV275" s="11" t="n">
        <x:v>234.2595744680851</x:v>
      </x:c>
      <x:c r="AW275" s="11" t="n">
        <x:v>2.9119704238339335</x:v>
      </x:c>
      <x:c r="AX275" s="12" t="n">
        <x:v>0.9421587363813071</x:v>
      </x:c>
      <x:c r="AY275" s="11"/>
      <x:c r="AZ275" s="11"/>
      <x:c r="BA275" s="11"/>
      <x:c r="BB275" s="11"/>
      <x:c r="BC275" s="11"/>
      <x:c r="BD275" s="11"/>
      <x:c r="BE275" s="11"/>
      <x:c r="BF275" s="11"/>
      <x:c r="BG275" s="11"/>
      <x:c r="BH275" s="11"/>
      <x:c r="BI275" s="11"/>
      <x:c r="BJ275" s="11"/>
      <x:c r="BK275" s="12"/>
      <x:c r="BL275" s="12"/>
      <x:c r="BM275" s="12"/>
      <x:c r="BN275" s="12"/>
      <x:c r="BO275" s="12"/>
      <x:c r="BP275" s="12"/>
      <x:c r="BQ275" s="12"/>
      <x:c r="BR275" s="12"/>
      <x:c r="BS275" s="12"/>
      <x:c r="BT275" s="12"/>
      <x:c r="BU275" s="11" t="n">
        <x:v>21349</x:v>
      </x:c>
      <x:c r="BV275" s="11" t="n">
        <x:v>1287145</x:v>
      </x:c>
      <x:c r="BW275" s="11" t="n">
        <x:v>0</x:v>
      </x:c>
      <x:c r="BX275" s="11" t="n">
        <x:v>40838</x:v>
      </x:c>
      <x:c r="BY275" s="11" t="n">
        <x:v>0</x:v>
      </x:c>
      <x:c r="BZ275" s="11" t="n">
        <x:v>0</x:v>
      </x:c>
      <x:c r="CA275" s="11" t="n">
        <x:v>0</x:v>
      </x:c>
      <x:c r="CB275" s="11" t="n">
        <x:v>659595</x:v>
      </x:c>
      <x:c r="CC275" s="11" t="n">
        <x:v>548671</x:v>
      </x:c>
      <x:c r="CD275" s="11" t="n">
        <x:v>72785</x:v>
      </x:c>
      <x:c r="CE275" s="11" t="n">
        <x:v>14709</x:v>
      </x:c>
      <x:c r="CF275" s="11" t="n">
        <x:v>0</x:v>
      </x:c>
      <x:c r="CG275" s="11" t="n">
        <x:v>46732</x:v>
      </x:c>
      <x:c r="CH275" s="11" t="n">
        <x:v>409944</x:v>
      </x:c>
      <x:c r="CI275" s="11" t="n">
        <x:v>474554</x:v>
      </x:c>
      <x:c r="CJ275" s="11" t="n">
        <x:v>218672</x:v>
      </x:c>
      <x:c r="CK275" s="11" t="n">
        <x:v>119926</x:v>
      </x:c>
      <x:c r="CL275" s="11" t="n">
        <x:v>0</x:v>
      </x:c>
      <x:c r="CM275" s="11"/>
      <x:c r="CN275" s="11" t="n">
        <x:v>58445</x:v>
      </x:c>
      <x:c r="CO275" s="11" t="n">
        <x:v>3189</x:v>
      </x:c>
      <x:c r="CP275" s="8"/>
      <x:c r="CQ275" s="8"/>
    </x:row>
    <x:row r="276">
      <x:c r="A276" s="8" t="str">
        <x:v>Granisle|2023</x:v>
      </x:c>
      <x:c r="B276" s="8" t="str">
        <x:v>granisle-v</x:v>
      </x:c>
      <x:c r="C276" s="8" t="str">
        <x:v>Granisle</x:v>
      </x:c>
      <x:c r="D276" s="8" t="str">
        <x:v>Granisle</x:v>
      </x:c>
      <x:c r="E276" s="8" t="str">
        <x:v>V</x:v>
      </x:c>
      <x:c r="F276" s="8" t="str">
        <x:v>BUL</x:v>
      </x:c>
      <x:c r="G276" s="9" t="n">
        <x:v>2023</x:v>
      </x:c>
      <x:c r="H276" s="10" t="n">
        <x:v>320</x:v>
      </x:c>
      <x:c r="I276" s="8" t="str">
        <x:v>Under 5,000</x:v>
      </x:c>
      <x:c r="J276" s="11" t="n">
        <x:v>4546539</x:v>
      </x:c>
      <x:c r="K276" s="11" t="n">
        <x:v>2679982</x:v>
      </x:c>
      <x:c r="L276" s="11" t="n">
        <x:v>1866557</x:v>
      </x:c>
      <x:c r="M276" s="12" t="n">
        <x:v>0.41054459227117596</x:v>
      </x:c>
      <x:c r="N276" s="11" t="n">
        <x:v>546187</x:v>
      </x:c>
      <x:c r="O276" s="11" t="n">
        <x:v>507756</x:v>
      </x:c>
      <x:c r="P276" s="11" t="n">
        <x:v>3377300</x:v>
      </x:c>
      <x:c r="Q276" s="11" t="n">
        <x:v>115296</x:v>
      </x:c>
      <x:c r="R276" s="11" t="n">
        <x:v>2058398</x:v>
      </x:c>
      <x:c r="S276" s="11" t="n">
        <x:v>616444</x:v>
      </x:c>
      <x:c r="T276" s="11" t="n">
        <x:v>2306444</x:v>
      </x:c>
      <x:c r="U276" s="11" t="n">
        <x:v>929448</x:v>
      </x:c>
      <x:c r="V276" s="11" t="n">
        <x:v>1751041</x:v>
      </x:c>
      <x:c r="W276" s="11" t="n">
        <x:v>1246119</x:v>
      </x:c>
      <x:c r="X276" s="11" t="n">
        <x:v>165153</x:v>
      </x:c>
      <x:c r="Y276" s="11" t="n">
        <x:v>0</x:v>
      </x:c>
      <x:c r="Z276" s="11" t="n">
        <x:v>30090</x:v>
      </x:c>
      <x:c r="AA276" s="11" t="n">
        <x:v>133363</x:v>
      </x:c>
      <x:c r="AB276" s="11" t="n">
        <x:v>5140</x:v>
      </x:c>
      <x:c r="AC276" s="11" t="n">
        <x:v>35230</x:v>
      </x:c>
      <x:c r="AD276" s="11" t="n">
        <x:v>428885</x:v>
      </x:c>
      <x:c r="AE276" s="11" t="n">
        <x:v>393655</x:v>
      </x:c>
      <x:c r="AF276" s="11" t="n">
        <x:v>1715539</x:v>
      </x:c>
      <x:c r="AG276" s="11" t="n">
        <x:v>25658064</x:v>
      </x:c>
      <x:c r="AH276" s="11" t="n">
        <x:v>8055394</x:v>
      </x:c>
      <x:c r="AI276" s="11" t="n">
        <x:v>17602670</x:v>
      </x:c>
      <x:c r="AJ276" s="11" t="n">
        <x:v>2754839</x:v>
      </x:c>
      <x:c r="AK276" s="11" t="n">
        <x:v>17602670</x:v>
      </x:c>
      <x:c r="AL276" s="11" t="n">
        <x:v>2568765</x:v>
      </x:c>
      <x:c r="AM276" s="12" t="n">
        <x:v>0.8540695814896263</x:v>
      </x:c>
      <x:c r="AN276" s="12" t="n">
        <x:v>0.15650120123822125</x:v>
      </x:c>
      <x:c r="AO276" s="11" t="n">
        <x:v>766077</x:v>
      </x:c>
      <x:c r="AP276" s="11" t="n">
        <x:v>652915</x:v>
      </x:c>
      <x:c r="AQ276" s="12" t="n">
        <x:v>0.8522837782624985</x:v>
      </x:c>
      <x:c r="AR276" s="11" t="n">
        <x:v>14207.934375</x:v>
      </x:c>
      <x:c r="AS276" s="11" t="n">
        <x:v>8374.94375</x:v>
      </x:c>
      <x:c r="AT276" s="11" t="n">
        <x:v>5472.003125</x:v>
      </x:c>
      <x:c r="AU276" s="11" t="n">
        <x:v>3894.121875</x:v>
      </x:c>
      <x:c r="AV276" s="11" t="n">
        <x:v>416.759375</x:v>
      </x:c>
      <x:c r="AW276" s="11" t="n">
        <x:v>2.481520214148613</x:v>
      </x:c>
      <x:c r="AX276" s="12" t="n">
        <x:v>0.9178567681313172</x:v>
      </x:c>
      <x:c r="AY276" s="11"/>
      <x:c r="AZ276" s="11"/>
      <x:c r="BA276" s="11"/>
      <x:c r="BB276" s="11"/>
      <x:c r="BC276" s="11"/>
      <x:c r="BD276" s="11"/>
      <x:c r="BE276" s="11"/>
      <x:c r="BF276" s="11"/>
      <x:c r="BG276" s="11"/>
      <x:c r="BH276" s="11"/>
      <x:c r="BI276" s="11"/>
      <x:c r="BJ276" s="11"/>
      <x:c r="BK276" s="12"/>
      <x:c r="BL276" s="12"/>
      <x:c r="BM276" s="12"/>
      <x:c r="BN276" s="12"/>
      <x:c r="BO276" s="12"/>
      <x:c r="BP276" s="12"/>
      <x:c r="BQ276" s="12"/>
      <x:c r="BR276" s="12"/>
      <x:c r="BS276" s="12"/>
      <x:c r="BT276" s="12"/>
      <x:c r="BU276" s="11" t="n">
        <x:v>0</x:v>
      </x:c>
      <x:c r="BV276" s="11" t="n">
        <x:v>3216370</x:v>
      </x:c>
      <x:c r="BW276" s="11" t="n">
        <x:v>160930</x:v>
      </x:c>
      <x:c r="BX276" s="11" t="n">
        <x:v>93834</x:v>
      </x:c>
      <x:c r="BY276" s="11" t="n">
        <x:v>0</x:v>
      </x:c>
      <x:c r="BZ276" s="11" t="n">
        <x:v>0</x:v>
      </x:c>
      <x:c r="CA276" s="11" t="n">
        <x:v>0</x:v>
      </x:c>
      <x:c r="CB276" s="11" t="n">
        <x:v>21462</x:v>
      </x:c>
      <x:c r="CC276" s="11" t="n">
        <x:v>598519</x:v>
      </x:c>
      <x:c r="CD276" s="11" t="n">
        <x:v>113767</x:v>
      </x:c>
      <x:c r="CE276" s="11" t="n">
        <x:v>109602</x:v>
      </x:c>
      <x:c r="CF276" s="11" t="n">
        <x:v>0</x:v>
      </x:c>
      <x:c r="CG276" s="11" t="n">
        <x:v>88500</x:v>
      </x:c>
      <x:c r="CH276" s="11" t="n">
        <x:v>364356</x:v>
      </x:c>
      <x:c r="CI276" s="11" t="n">
        <x:v>488627</x:v>
      </x:c>
      <x:c r="CJ276" s="11" t="n">
        <x:v>186386</x:v>
      </x:c>
      <x:c r="CK276" s="11" t="n">
        <x:v>92964</x:v>
      </x:c>
      <x:c r="CL276" s="11" t="n">
        <x:v>5201</x:v>
      </x:c>
      <x:c r="CM276" s="11" t="n">
        <x:v>11453</x:v>
      </x:c>
      <x:c r="CN276" s="11" t="n">
        <x:v>4163</x:v>
      </x:c>
      <x:c r="CO276" s="11" t="n">
        <x:v>0</x:v>
      </x:c>
      <x:c r="CP276" s="8"/>
      <x:c r="CQ276" s="8"/>
    </x:row>
    <x:row r="277">
      <x:c r="A277" s="8" t="str">
        <x:v>Granisle|2024</x:v>
      </x:c>
      <x:c r="B277" s="8" t="str">
        <x:v>granisle-v</x:v>
      </x:c>
      <x:c r="C277" s="8" t="str">
        <x:v>Granisle</x:v>
      </x:c>
      <x:c r="D277" s="8" t="str">
        <x:v>Granisle</x:v>
      </x:c>
      <x:c r="E277" s="8" t="str">
        <x:v>V</x:v>
      </x:c>
      <x:c r="F277" s="8" t="str">
        <x:v>BUL</x:v>
      </x:c>
      <x:c r="G277" s="9" t="n">
        <x:v>2024</x:v>
      </x:c>
      <x:c r="H277" s="10" t="n">
        <x:v>320</x:v>
      </x:c>
      <x:c r="I277" s="8" t="str">
        <x:v>Under 5,000</x:v>
      </x:c>
      <x:c r="J277" s="11" t="n">
        <x:v>5361285</x:v>
      </x:c>
      <x:c r="K277" s="11" t="n">
        <x:v>3070901</x:v>
      </x:c>
      <x:c r="L277" s="11" t="n">
        <x:v>2290384</x:v>
      </x:c>
      <x:c r="M277" s="12" t="n">
        <x:v>0.4272080294183204</x:v>
      </x:c>
      <x:c r="N277" s="11" t="n">
        <x:v>568555</x:v>
      </x:c>
      <x:c r="O277" s="11" t="n">
        <x:v>623306</x:v>
      </x:c>
      <x:c r="P277" s="11" t="n">
        <x:v>4042647</x:v>
      </x:c>
      <x:c r="Q277" s="11" t="n">
        <x:v>126777</x:v>
      </x:c>
      <x:c r="R277" s="11" t="n">
        <x:v>2256116</x:v>
      </x:c>
      <x:c r="S277" s="11" t="n">
        <x:v>810081</x:v>
      </x:c>
      <x:c r="T277" s="11" t="n">
        <x:v>2887827</x:v>
      </x:c>
      <x:c r="U277" s="11" t="n">
        <x:v>1123149</x:v>
      </x:c>
      <x:c r="V277" s="11" t="n">
        <x:v>2231352</x:v>
      </x:c>
      <x:c r="W277" s="11" t="n">
        <x:v>1655945</x:v>
      </x:c>
      <x:c r="X277" s="11" t="n">
        <x:v>133363</x:v>
      </x:c>
      <x:c r="Y277" s="11" t="n">
        <x:v>0</x:v>
      </x:c>
      <x:c r="Z277" s="11" t="n">
        <x:v>18319</x:v>
      </x:c>
      <x:c r="AA277" s="11" t="n">
        <x:v>112745</x:v>
      </x:c>
      <x:c r="AB277" s="11" t="n">
        <x:v>4704</x:v>
      </x:c>
      <x:c r="AC277" s="11" t="n">
        <x:v>23023</x:v>
      </x:c>
      <x:c r="AD277" s="11" t="n">
        <x:v>481935</x:v>
      </x:c>
      <x:c r="AE277" s="11" t="n">
        <x:v>458912</x:v>
      </x:c>
      <x:c r="AF277" s="11" t="n">
        <x:v>1927739</x:v>
      </x:c>
      <x:c r="AG277" s="11" t="n">
        <x:v>28288606</x:v>
      </x:c>
      <x:c r="AH277" s="11" t="n">
        <x:v>8855514</x:v>
      </x:c>
      <x:c r="AI277" s="11" t="n">
        <x:v>19433092</x:v>
      </x:c>
      <x:c r="AJ277" s="11" t="n">
        <x:v>2640503</x:v>
      </x:c>
      <x:c r="AK277" s="11" t="n">
        <x:v>25354531</x:v>
      </x:c>
      <x:c r="AL277" s="11" t="n">
        <x:v>675481</x:v>
      </x:c>
      <x:c r="AM277" s="12" t="n">
        <x:v>0.9733585685335691</x:v>
      </x:c>
      <x:c r="AN277" s="12" t="n">
        <x:v>0.10414323972310906</x:v>
      </x:c>
      <x:c r="AO277" s="11" t="n">
        <x:v>836128</x:v>
      </x:c>
      <x:c r="AP277" s="11" t="n">
        <x:v>724273</x:v>
      </x:c>
      <x:c r="AQ277" s="12" t="n">
        <x:v>0.8662226357686862</x:v>
      </x:c>
      <x:c r="AR277" s="11" t="n">
        <x:v>16754.015625</x:v>
      </x:c>
      <x:c r="AS277" s="11" t="n">
        <x:v>9596.565625</x:v>
      </x:c>
      <x:c r="AT277" s="11" t="n">
        <x:v>6972.975</x:v>
      </x:c>
      <x:c r="AU277" s="11" t="n">
        <x:v>5174.828125</x:v>
      </x:c>
      <x:c r="AV277" s="11" t="n">
        <x:v>352.328125</x:v>
      </x:c>
      <x:c r="AW277" s="11" t="n">
        <x:v>2.571187794317584</x:v>
      </x:c>
      <x:c r="AX277" s="12" t="n">
        <x:v>0.9522279975515371</x:v>
      </x:c>
      <x:c r="AY277" s="11" t="n">
        <x:v>4648.097865362712</x:v>
      </x:c>
      <x:c r="AZ277" s="11" t="n">
        <x:v>3546.5079302077975</x:v>
      </x:c>
      <x:c r="BA277" s="11" t="n">
        <x:v>3428.422456291105</x:v>
      </x:c>
      <x:c r="BB277" s="11" t="n">
        <x:v>2783.665107049771</x:v>
      </x:c>
      <x:c r="BC277" s="11" t="n">
        <x:v>5030.364110900993</x:v>
      </x:c>
      <x:c r="BD277" s="11" t="n">
        <x:v>2437.8724475115623</x:v>
      </x:c>
      <x:c r="BE277" s="11" t="n">
        <x:v>2420.45</x:v>
      </x:c>
      <x:c r="BF277" s="11" t="n">
        <x:v>1604.3462673977224</x:v>
      </x:c>
      <x:c r="BG277" s="11" t="n">
        <x:v>224.31236112962716</x:v>
      </x:c>
      <x:c r="BH277" s="11" t="n">
        <x:v>518.5374381567245</x:v>
      </x:c>
      <x:c r="BI277" s="11" t="n">
        <x:v>2.204313821553219</x:v>
      </x:c>
      <x:c r="BJ277" s="11" t="n">
        <x:v>1.7099330852451193</x:v>
      </x:c>
      <x:c r="BK277" s="12" t="n">
        <x:v>0.030042455998363887</x:v>
      </x:c>
      <x:c r="BL277" s="12" t="n">
        <x:v>0.02529861000232605</x:v>
      </x:c>
      <x:c r="BM277" s="12" t="n">
        <x:v>0.9786113537119745</x:v>
      </x:c>
      <x:c r="BN277" s="12" t="n">
        <x:v>0.9815511712696461</x:v>
      </x:c>
      <x:c r="BO277" s="12" t="n">
        <x:v>0.9039920521842442</x:v>
      </x:c>
      <x:c r="BP277" s="12" t="n">
        <x:v>0.8619101997275483</x:v>
      </x:c>
      <x:c r="BQ277" s="12" t="n">
        <x:v>0.9333160528846489</x:v>
      </x:c>
      <x:c r="BR277" s="12" t="n">
        <x:v>0.9623635142836453</x:v>
      </x:c>
      <x:c r="BS277" s="12" t="n">
        <x:v>0.20869205825466772</x:v>
      </x:c>
      <x:c r="BT277" s="12" t="n">
        <x:v>0.19976549769108282</x:v>
      </x:c>
      <x:c r="BU277" s="11" t="n">
        <x:v>0</x:v>
      </x:c>
      <x:c r="BV277" s="11" t="n">
        <x:v>3886744</x:v>
      </x:c>
      <x:c r="BW277" s="11" t="n">
        <x:v>155903</x:v>
      </x:c>
      <x:c r="BX277" s="11" t="n">
        <x:v>93970</x:v>
      </x:c>
      <x:c r="BY277" s="11" t="n">
        <x:v>0</x:v>
      </x:c>
      <x:c r="BZ277" s="11" t="n">
        <x:v>0</x:v>
      </x:c>
      <x:c r="CA277" s="11" t="n">
        <x:v>0</x:v>
      </x:c>
      <x:c r="CB277" s="11" t="n">
        <x:v>32807</x:v>
      </x:c>
      <x:c r="CC277" s="11" t="n">
        <x:v>682620</x:v>
      </x:c>
      <x:c r="CD277" s="11" t="n">
        <x:v>172662</x:v>
      </x:c>
      <x:c r="CE277" s="11" t="n">
        <x:v>33920</x:v>
      </x:c>
      <x:c r="CF277" s="11" t="n">
        <x:v>0</x:v>
      </x:c>
      <x:c r="CG277" s="11" t="n">
        <x:v>59471</x:v>
      </x:c>
      <x:c r="CH277" s="11" t="n">
        <x:v>393285</x:v>
      </x:c>
      <x:c r="CI277" s="11" t="n">
        <x:v>556220</x:v>
      </x:c>
      <x:c r="CJ277" s="11" t="n">
        <x:v>261606</x:v>
      </x:c>
      <x:c r="CK277" s="11" t="n">
        <x:v>80792</x:v>
      </x:c>
      <x:c r="CL277" s="11" t="n">
        <x:v>8750</x:v>
      </x:c>
      <x:c r="CM277" s="11" t="n">
        <x:v>11494</x:v>
      </x:c>
      <x:c r="CN277" s="11" t="n">
        <x:v>0</x:v>
      </x:c>
      <x:c r="CO277" s="11" t="n">
        <x:v>0</x:v>
      </x:c>
      <x:c r="CP277" s="8"/>
      <x:c r="CQ277" s="8"/>
    </x:row>
    <x:row r="278">
      <x:c r="A278" s="8" t="str">
        <x:v>Greenwood|2019</x:v>
      </x:c>
      <x:c r="B278" s="8" t="str">
        <x:v>greenwood-c</x:v>
      </x:c>
      <x:c r="C278" s="8" t="str">
        <x:v>Greenwood</x:v>
      </x:c>
      <x:c r="D278" s="8" t="str">
        <x:v>Greenwood</x:v>
      </x:c>
      <x:c r="E278" s="8" t="str">
        <x:v>C</x:v>
      </x:c>
      <x:c r="F278" s="8" t="str">
        <x:v>KOO</x:v>
      </x:c>
      <x:c r="G278" s="9" t="n">
        <x:v>2019</x:v>
      </x:c>
      <x:c r="H278" s="10" t="n">
        <x:v>695</x:v>
      </x:c>
      <x:c r="I278" s="8" t="str">
        <x:v>Under 5,000</x:v>
      </x:c>
      <x:c r="J278" s="11" t="n">
        <x:v>2007138</x:v>
      </x:c>
      <x:c r="K278" s="11" t="n">
        <x:v>1641326</x:v>
      </x:c>
      <x:c r="L278" s="11" t="n">
        <x:v>365812</x:v>
      </x:c>
      <x:c r="M278" s="12" t="n">
        <x:v>0.18225553001338224</x:v>
      </x:c>
      <x:c r="N278" s="11" t="n">
        <x:v>550835</x:v>
      </x:c>
      <x:c r="O278" s="11" t="n">
        <x:v>445996</x:v>
      </x:c>
      <x:c r="P278" s="11" t="n">
        <x:v>742664</x:v>
      </x:c>
      <x:c r="Q278" s="11" t="n">
        <x:v>267643</x:v>
      </x:c>
      <x:c r="R278" s="11" t="n">
        <x:v>1371437</x:v>
      </x:c>
      <x:c r="S278" s="11" t="n">
        <x:v>261766</x:v>
      </x:c>
      <x:c r="T278" s="11" t="n">
        <x:v>2083009</x:v>
      </x:c>
      <x:c r="U278" s="11" t="n">
        <x:v>336875</x:v>
      </x:c>
      <x:c r="V278" s="11" t="n">
        <x:v>2484495</x:v>
      </x:c>
      <x:c r="W278" s="11" t="n">
        <x:v>1626439</x:v>
      </x:c>
      <x:c r="X278" s="11" t="n">
        <x:v>48929</x:v>
      </x:c>
      <x:c r="Y278" s="11" t="n">
        <x:v>0</x:v>
      </x:c>
      <x:c r="Z278" s="11" t="n">
        <x:v>15634</x:v>
      </x:c>
      <x:c r="AA278" s="11" t="n">
        <x:v>22753</x:v>
      </x:c>
      <x:c r="AB278" s="11" t="n">
        <x:v>8123</x:v>
      </x:c>
      <x:c r="AC278" s="11" t="n">
        <x:v>23757</x:v>
      </x:c>
      <x:c r="AD278" s="11" t="n">
        <x:v>355410</x:v>
      </x:c>
      <x:c r="AE278" s="11" t="n">
        <x:v>331653</x:v>
      </x:c>
      <x:c r="AF278" s="11" t="n">
        <x:v>1421640</x:v>
      </x:c>
      <x:c r="AG278" s="11" t="n">
        <x:v>12736579</x:v>
      </x:c>
      <x:c r="AH278" s="11" t="n">
        <x:v>4185456</x:v>
      </x:c>
      <x:c r="AI278" s="11" t="n">
        <x:v>8551123</x:v>
      </x:c>
      <x:c r="AJ278" s="11" t="n">
        <x:v>178265</x:v>
      </x:c>
      <x:c r="AK278" s="11" t="n">
        <x:v>1363073</x:v>
      </x:c>
      <x:c r="AL278" s="11" t="n">
        <x:v>0</x:v>
      </x:c>
      <x:c r="AM278" s="12" t="n">
        <x:v>1</x:v>
      </x:c>
      <x:c r="AN278" s="12" t="n">
        <x:v>0.13078169694506456</x:v>
      </x:c>
      <x:c r="AO278" s="11" t="n">
        <x:v>1068881</x:v>
      </x:c>
      <x:c r="AP278" s="11" t="n">
        <x:v>904905</x:v>
      </x:c>
      <x:c r="AQ278" s="12" t="n">
        <x:v>0.8465909675632741</x:v>
      </x:c>
      <x:c r="AR278" s="11" t="n">
        <x:v>2887.9683453237412</x:v>
      </x:c>
      <x:c r="AS278" s="11" t="n">
        <x:v>2361.620143884892</x:v>
      </x:c>
      <x:c r="AT278" s="11" t="n">
        <x:v>3574.8129496402876</x:v>
      </x:c>
      <x:c r="AU278" s="11" t="n">
        <x:v>2340.2</x:v>
      </x:c>
      <x:c r="AV278" s="11" t="n">
        <x:v>32.73812949640288</x:v>
      </x:c>
      <x:c r="AW278" s="11" t="n">
        <x:v>6.183329128014842</x:v>
      </x:c>
      <x:c r="AX278" s="12" t="n">
        <x:v>0.9331560732674938</x:v>
      </x:c>
      <x:c r="AY278" s="11"/>
      <x:c r="AZ278" s="11"/>
      <x:c r="BA278" s="11"/>
      <x:c r="BB278" s="11"/>
      <x:c r="BC278" s="11"/>
      <x:c r="BD278" s="11"/>
      <x:c r="BE278" s="11"/>
      <x:c r="BF278" s="11"/>
      <x:c r="BG278" s="11"/>
      <x:c r="BH278" s="11"/>
      <x:c r="BI278" s="11"/>
      <x:c r="BJ278" s="11"/>
      <x:c r="BK278" s="12"/>
      <x:c r="BL278" s="12"/>
      <x:c r="BM278" s="12"/>
      <x:c r="BN278" s="12"/>
      <x:c r="BO278" s="12"/>
      <x:c r="BP278" s="12"/>
      <x:c r="BQ278" s="12"/>
      <x:c r="BR278" s="12"/>
      <x:c r="BS278" s="12"/>
      <x:c r="BT278" s="12"/>
      <x:c r="BU278" s="11" t="n">
        <x:v>0</x:v>
      </x:c>
      <x:c r="BV278" s="11" t="n">
        <x:v>681339</x:v>
      </x:c>
      <x:c r="BW278" s="11" t="n">
        <x:v>61325</x:v>
      </x:c>
      <x:c r="BX278" s="11" t="n">
        <x:v>24096</x:v>
      </x:c>
      <x:c r="BY278" s="11" t="n">
        <x:v>239070</x:v>
      </x:c>
      <x:c r="BZ278" s="11" t="n">
        <x:v>0</x:v>
      </x:c>
      <x:c r="CA278" s="11" t="n">
        <x:v>4477</x:v>
      </x:c>
      <x:c r="CB278" s="11" t="n">
        <x:v>0</x:v>
      </x:c>
      <x:c r="CC278" s="11" t="n">
        <x:v>553821</x:v>
      </x:c>
      <x:c r="CD278" s="11" t="n">
        <x:v>70630</x:v>
      </x:c>
      <x:c r="CE278" s="11" t="n">
        <x:v>33017</x:v>
      </x:c>
      <x:c r="CF278" s="11" t="n">
        <x:v>4620</x:v>
      </x:c>
      <x:c r="CG278" s="11" t="n">
        <x:v>13469</x:v>
      </x:c>
      <x:c r="CH278" s="11" t="n">
        <x:v>342143</x:v>
      </x:c>
      <x:c r="CI278" s="11" t="n">
        <x:v>188296</x:v>
      </x:c>
      <x:c r="CJ278" s="11" t="n">
        <x:v>69539</x:v>
      </x:c>
      <x:c r="CK278" s="11" t="n">
        <x:v>92800</x:v>
      </x:c>
      <x:c r="CL278" s="11" t="n">
        <x:v>11225</x:v>
      </x:c>
      <x:c r="CM278" s="11"/>
      <x:c r="CN278" s="11" t="n">
        <x:v>0</x:v>
      </x:c>
      <x:c r="CO278" s="11" t="n">
        <x:v>0</x:v>
      </x:c>
      <x:c r="CP278" s="8"/>
      <x:c r="CQ278" s="8"/>
    </x:row>
    <x:row r="279">
      <x:c r="A279" s="8" t="str">
        <x:v>Greenwood|2020</x:v>
      </x:c>
      <x:c r="B279" s="8" t="str">
        <x:v>greenwood-c</x:v>
      </x:c>
      <x:c r="C279" s="8" t="str">
        <x:v>Greenwood</x:v>
      </x:c>
      <x:c r="D279" s="8" t="str">
        <x:v>Greenwood</x:v>
      </x:c>
      <x:c r="E279" s="8" t="str">
        <x:v>C</x:v>
      </x:c>
      <x:c r="F279" s="8" t="str">
        <x:v>KOO</x:v>
      </x:c>
      <x:c r="G279" s="9" t="n">
        <x:v>2020</x:v>
      </x:c>
      <x:c r="H279" s="10" t="n">
        <x:v>692</x:v>
      </x:c>
      <x:c r="I279" s="8" t="str">
        <x:v>Under 5,000</x:v>
      </x:c>
      <x:c r="J279" s="11" t="n">
        <x:v>2116806</x:v>
      </x:c>
      <x:c r="K279" s="11" t="n">
        <x:v>1714097</x:v>
      </x:c>
      <x:c r="L279" s="11" t="n">
        <x:v>402709</x:v>
      </x:c>
      <x:c r="M279" s="12" t="n">
        <x:v>0.19024369734401736</x:v>
      </x:c>
      <x:c r="N279" s="11" t="n">
        <x:v>566465</x:v>
      </x:c>
      <x:c r="O279" s="11" t="n">
        <x:v>472141</x:v>
      </x:c>
      <x:c r="P279" s="11" t="n">
        <x:v>1171234</x:v>
      </x:c>
      <x:c r="Q279" s="11" t="n">
        <x:v>-93034</x:v>
      </x:c>
      <x:c r="R279" s="11" t="n">
        <x:v>1446633</x:v>
      </x:c>
      <x:c r="S279" s="11" t="n">
        <x:v>264795</x:v>
      </x:c>
      <x:c r="T279" s="11" t="n">
        <x:v>2557793</x:v>
      </x:c>
      <x:c r="U279" s="11" t="n">
        <x:v>277147</x:v>
      </x:c>
      <x:c r="V279" s="11" t="n">
        <x:v>2840531</x:v>
      </x:c>
      <x:c r="W279" s="11" t="n">
        <x:v>2081120</x:v>
      </x:c>
      <x:c r="X279" s="11" t="n">
        <x:v>22753</x:v>
      </x:c>
      <x:c r="Y279" s="11" t="n">
        <x:v>0</x:v>
      </x:c>
      <x:c r="Z279" s="11" t="n">
        <x:v>4612</x:v>
      </x:c>
      <x:c r="AA279" s="11" t="n">
        <x:v>11654</x:v>
      </x:c>
      <x:c r="AB279" s="11" t="n">
        <x:v>2669</x:v>
      </x:c>
      <x:c r="AC279" s="11" t="n">
        <x:v>7281</x:v>
      </x:c>
      <x:c r="AD279" s="11" t="n">
        <x:v>368615</x:v>
      </x:c>
      <x:c r="AE279" s="11" t="n">
        <x:v>361334</x:v>
      </x:c>
      <x:c r="AF279" s="11" t="n">
        <x:v>1474459</x:v>
      </x:c>
      <x:c r="AG279" s="11" t="n">
        <x:v>13072719</x:v>
      </x:c>
      <x:c r="AH279" s="11" t="n">
        <x:v>4469054</x:v>
      </x:c>
      <x:c r="AI279" s="11" t="n">
        <x:v>8603665</x:v>
      </x:c>
      <x:c r="AJ279" s="11" t="n">
        <x:v>317340</x:v>
      </x:c>
      <x:c r="AK279" s="11" t="n">
        <x:v>1386190</x:v>
      </x:c>
      <x:c r="AL279" s="11" t="n">
        <x:v>0</x:v>
      </x:c>
      <x:c r="AM279" s="12" t="n">
        <x:v>1</x:v>
      </x:c>
      <x:c r="AN279" s="12" t="n">
        <x:v>0.22892965610774857</x:v>
      </x:c>
      <x:c r="AO279" s="11" t="n">
        <x:v>998890</x:v>
      </x:c>
      <x:c r="AP279" s="11" t="n">
        <x:v>857803</x:v>
      </x:c>
      <x:c r="AQ279" s="12" t="n">
        <x:v>0.858756219403538</x:v>
      </x:c>
      <x:c r="AR279" s="11" t="n">
        <x:v>3058.9682080924854</x:v>
      </x:c>
      <x:c r="AS279" s="11" t="n">
        <x:v>2477.0187861271675</x:v>
      </x:c>
      <x:c r="AT279" s="11" t="n">
        <x:v>4104.813583815029</x:v>
      </x:c>
      <x:c r="AU279" s="11" t="n">
        <x:v>3007.398843930636</x:v>
      </x:c>
      <x:c r="AV279" s="11" t="n">
        <x:v>16.841040462427745</x:v>
      </x:c>
      <x:c r="AW279" s="11" t="n">
        <x:v>9.229012040541662</x:v>
      </x:c>
      <x:c r="AX279" s="12" t="n">
        <x:v>0.9802476838978338</x:v>
      </x:c>
      <x:c r="AY279" s="11"/>
      <x:c r="AZ279" s="11"/>
      <x:c r="BA279" s="11"/>
      <x:c r="BB279" s="11"/>
      <x:c r="BC279" s="11"/>
      <x:c r="BD279" s="11"/>
      <x:c r="BE279" s="11"/>
      <x:c r="BF279" s="11"/>
      <x:c r="BG279" s="11"/>
      <x:c r="BH279" s="11"/>
      <x:c r="BI279" s="11"/>
      <x:c r="BJ279" s="11"/>
      <x:c r="BK279" s="12"/>
      <x:c r="BL279" s="12"/>
      <x:c r="BM279" s="12"/>
      <x:c r="BN279" s="12"/>
      <x:c r="BO279" s="12"/>
      <x:c r="BP279" s="12"/>
      <x:c r="BQ279" s="12"/>
      <x:c r="BR279" s="12"/>
      <x:c r="BS279" s="12"/>
      <x:c r="BT279" s="12"/>
      <x:c r="BU279" s="11" t="n">
        <x:v>0</x:v>
      </x:c>
      <x:c r="BV279" s="11" t="n">
        <x:v>1133919</x:v>
      </x:c>
      <x:c r="BW279" s="11" t="n">
        <x:v>37315</x:v>
      </x:c>
      <x:c r="BX279" s="11" t="n">
        <x:v>18035</x:v>
      </x:c>
      <x:c r="BY279" s="11" t="n">
        <x:v>-134187</x:v>
      </x:c>
      <x:c r="BZ279" s="11" t="n">
        <x:v>0</x:v>
      </x:c>
      <x:c r="CA279" s="11" t="n">
        <x:v>23118</x:v>
      </x:c>
      <x:c r="CB279" s="11" t="n">
        <x:v>0</x:v>
      </x:c>
      <x:c r="CC279" s="11" t="n">
        <x:v>574305</x:v>
      </x:c>
      <x:c r="CD279" s="11" t="n">
        <x:v>103266</x:v>
      </x:c>
      <x:c r="CE279" s="11" t="n">
        <x:v>33444</x:v>
      </x:c>
      <x:c r="CF279" s="11" t="n">
        <x:v>4014</x:v>
      </x:c>
      <x:c r="CG279" s="11" t="n">
        <x:v>13123</x:v>
      </x:c>
      <x:c r="CH279" s="11" t="n">
        <x:v>352024</x:v>
      </x:c>
      <x:c r="CI279" s="11" t="n">
        <x:v>148625</x:v>
      </x:c>
      <x:c r="CJ279" s="11" t="n">
        <x:v>88143</x:v>
      </x:c>
      <x:c r="CK279" s="11" t="n">
        <x:v>128439</x:v>
      </x:c>
      <x:c r="CL279" s="11" t="n">
        <x:v>3919</x:v>
      </x:c>
      <x:c r="CM279" s="11"/>
      <x:c r="CN279" s="11" t="n">
        <x:v>0</x:v>
      </x:c>
      <x:c r="CO279" s="11" t="n">
        <x:v>0</x:v>
      </x:c>
      <x:c r="CP279" s="8"/>
      <x:c r="CQ279" s="8"/>
    </x:row>
    <x:row r="280">
      <x:c r="A280" s="8" t="str">
        <x:v>Greenwood|2021</x:v>
      </x:c>
      <x:c r="B280" s="8" t="str">
        <x:v>greenwood-c</x:v>
      </x:c>
      <x:c r="C280" s="8" t="str">
        <x:v>Greenwood</x:v>
      </x:c>
      <x:c r="D280" s="8" t="str">
        <x:v>Greenwood</x:v>
      </x:c>
      <x:c r="E280" s="8" t="str">
        <x:v>C</x:v>
      </x:c>
      <x:c r="F280" s="8" t="str">
        <x:v>KOO</x:v>
      </x:c>
      <x:c r="G280" s="9" t="n">
        <x:v>2021</x:v>
      </x:c>
      <x:c r="H280" s="10" t="n">
        <x:v>695</x:v>
      </x:c>
      <x:c r="I280" s="8" t="str">
        <x:v>Under 5,000</x:v>
      </x:c>
      <x:c r="J280" s="11" t="n">
        <x:v>3017530</x:v>
      </x:c>
      <x:c r="K280" s="11" t="n">
        <x:v>1767323</x:v>
      </x:c>
      <x:c r="L280" s="11" t="n">
        <x:v>1250207</x:v>
      </x:c>
      <x:c r="M280" s="12" t="n">
        <x:v>0.4143146878407174</x:v>
      </x:c>
      <x:c r="N280" s="11" t="n">
        <x:v>587025</x:v>
      </x:c>
      <x:c r="O280" s="11" t="n">
        <x:v>466520</x:v>
      </x:c>
      <x:c r="P280" s="11" t="n">
        <x:v>695045</x:v>
      </x:c>
      <x:c r="Q280" s="11" t="n">
        <x:v>1268940</x:v>
      </x:c>
      <x:c r="R280" s="11" t="n">
        <x:v>1484620</x:v>
      </x:c>
      <x:c r="S280" s="11" t="n">
        <x:v>280034</x:v>
      </x:c>
      <x:c r="T280" s="11" t="n">
        <x:v>3471107</x:v>
      </x:c>
      <x:c r="U280" s="11" t="n">
        <x:v>631906</x:v>
      </x:c>
      <x:c r="V280" s="11" t="n">
        <x:v>4254737</x:v>
      </x:c>
      <x:c r="W280" s="11" t="n">
        <x:v>2400670</x:v>
      </x:c>
      <x:c r="X280" s="11" t="n">
        <x:v>11654</x:v>
      </x:c>
      <x:c r="Y280" s="11" t="n">
        <x:v>0</x:v>
      </x:c>
      <x:c r="Z280" s="11" t="n">
        <x:v>4612</x:v>
      </x:c>
      <x:c r="AA280" s="11" t="n">
        <x:v>0</x:v>
      </x:c>
      <x:c r="AB280" s="11" t="n">
        <x:v>2669</x:v>
      </x:c>
      <x:c r="AC280" s="11" t="n">
        <x:v>7281</x:v>
      </x:c>
      <x:c r="AD280" s="11" t="n">
        <x:v>371883</x:v>
      </x:c>
      <x:c r="AE280" s="11" t="n">
        <x:v>364602</x:v>
      </x:c>
      <x:c r="AF280" s="11" t="n">
        <x:v>1487530</x:v>
      </x:c>
      <x:c r="AG280" s="11" t="n">
        <x:v>13157686</x:v>
      </x:c>
      <x:c r="AH280" s="11" t="n">
        <x:v>4749088</x:v>
      </x:c>
      <x:c r="AI280" s="11" t="n">
        <x:v>8408598</x:v>
      </x:c>
      <x:c r="AJ280" s="11" t="n">
        <x:v>84966</x:v>
      </x:c>
      <x:c r="AK280" s="11" t="n">
        <x:v>1386191</x:v>
      </x:c>
      <x:c r="AL280" s="11" t="n">
        <x:v>0</x:v>
      </x:c>
      <x:c r="AM280" s="12" t="n">
        <x:v>1</x:v>
      </x:c>
      <x:c r="AN280" s="12" t="n">
        <x:v>0.061294583502562054</x:v>
      </x:c>
      <x:c r="AO280" s="11" t="n">
        <x:v>1020154</x:v>
      </x:c>
      <x:c r="AP280" s="11" t="n">
        <x:v>873611</x:v>
      </x:c>
      <x:c r="AQ280" s="12" t="n">
        <x:v>0.8563520801761303</x:v>
      </x:c>
      <x:c r="AR280" s="11" t="n">
        <x:v>4341.769784172662</x:v>
      </x:c>
      <x:c r="AS280" s="11" t="n">
        <x:v>2542.9107913669063</x:v>
      </x:c>
      <x:c r="AT280" s="11" t="n">
        <x:v>6121.923741007195</x:v>
      </x:c>
      <x:c r="AU280" s="11" t="n">
        <x:v>3454.201438848921</x:v>
      </x:c>
      <x:c r="AV280" s="11" t="n">
        <x:v>0</x:v>
      </x:c>
      <x:c r="AW280" s="11" t="n">
        <x:v>5.493074919370919</x:v>
      </x:c>
      <x:c r="AX280" s="12" t="n">
        <x:v>0.9804212615258024</x:v>
      </x:c>
      <x:c r="AY280" s="11"/>
      <x:c r="AZ280" s="11"/>
      <x:c r="BA280" s="11"/>
      <x:c r="BB280" s="11"/>
      <x:c r="BC280" s="11"/>
      <x:c r="BD280" s="11"/>
      <x:c r="BE280" s="11"/>
      <x:c r="BF280" s="11"/>
      <x:c r="BG280" s="11"/>
      <x:c r="BH280" s="11"/>
      <x:c r="BI280" s="11"/>
      <x:c r="BJ280" s="11"/>
      <x:c r="BK280" s="12"/>
      <x:c r="BL280" s="12"/>
      <x:c r="BM280" s="12"/>
      <x:c r="BN280" s="12"/>
      <x:c r="BO280" s="12"/>
      <x:c r="BP280" s="12"/>
      <x:c r="BQ280" s="12"/>
      <x:c r="BR280" s="12"/>
      <x:c r="BS280" s="12"/>
      <x:c r="BT280" s="12"/>
      <x:c r="BU280" s="11" t="n">
        <x:v>0</x:v>
      </x:c>
      <x:c r="BV280" s="11" t="n">
        <x:v>638205</x:v>
      </x:c>
      <x:c r="BW280" s="11" t="n">
        <x:v>56840</x:v>
      </x:c>
      <x:c r="BX280" s="11" t="n">
        <x:v>16801</x:v>
      </x:c>
      <x:c r="BY280" s="11" t="n">
        <x:v>1252139</x:v>
      </x:c>
      <x:c r="BZ280" s="11" t="n">
        <x:v>0</x:v>
      </x:c>
      <x:c r="CA280" s="11" t="n">
        <x:v>0</x:v>
      </x:c>
      <x:c r="CB280" s="11" t="n">
        <x:v>0</x:v>
      </x:c>
      <x:c r="CC280" s="11" t="n">
        <x:v>687697</x:v>
      </x:c>
      <x:c r="CD280" s="11" t="n">
        <x:v>133473</x:v>
      </x:c>
      <x:c r="CE280" s="11" t="n">
        <x:v>30300</x:v>
      </x:c>
      <x:c r="CF280" s="11" t="n">
        <x:v>1925</x:v>
      </x:c>
      <x:c r="CG280" s="11" t="n">
        <x:v>13395</x:v>
      </x:c>
      <x:c r="CH280" s="11" t="n">
        <x:v>267269</x:v>
      </x:c>
      <x:c r="CI280" s="11" t="n">
        <x:v>120528</x:v>
      </x:c>
      <x:c r="CJ280" s="11" t="n">
        <x:v>106742</x:v>
      </x:c>
      <x:c r="CK280" s="11" t="n">
        <x:v>115378</x:v>
      </x:c>
      <x:c r="CL280" s="11" t="n">
        <x:v>10582</x:v>
      </x:c>
      <x:c r="CM280" s="11"/>
      <x:c r="CN280" s="11" t="n">
        <x:v>0</x:v>
      </x:c>
      <x:c r="CO280" s="11" t="n">
        <x:v>0</x:v>
      </x:c>
      <x:c r="CP280" s="8"/>
      <x:c r="CQ280" s="8"/>
    </x:row>
    <x:row r="281">
      <x:c r="A281" s="8" t="str">
        <x:v>Greenwood|2022</x:v>
      </x:c>
      <x:c r="B281" s="8" t="str">
        <x:v>greenwood-c</x:v>
      </x:c>
      <x:c r="C281" s="8" t="str">
        <x:v>Greenwood</x:v>
      </x:c>
      <x:c r="D281" s="8" t="str">
        <x:v>Greenwood</x:v>
      </x:c>
      <x:c r="E281" s="8" t="str">
        <x:v>C</x:v>
      </x:c>
      <x:c r="F281" s="8" t="str">
        <x:v>KOO</x:v>
      </x:c>
      <x:c r="G281" s="9" t="n">
        <x:v>2022</x:v>
      </x:c>
      <x:c r="H281" s="10" t="n">
        <x:v>1689</x:v>
      </x:c>
      <x:c r="I281" s="8" t="str">
        <x:v>Under 5,000</x:v>
      </x:c>
      <x:c r="J281" s="11" t="n">
        <x:v>2270649</x:v>
      </x:c>
      <x:c r="K281" s="11" t="n">
        <x:v>2727590</x:v>
      </x:c>
      <x:c r="L281" s="11" t="n">
        <x:v>-456941</x:v>
      </x:c>
      <x:c r="M281" s="12" t="n">
        <x:v>-0.20123806013170684</x:v>
      </x:c>
      <x:c r="N281" s="11" t="n">
        <x:v>587638</x:v>
      </x:c>
      <x:c r="O281" s="11" t="n">
        <x:v>521657</x:v>
      </x:c>
      <x:c r="P281" s="11" t="n">
        <x:v>1114071</x:v>
      </x:c>
      <x:c r="Q281" s="11" t="n">
        <x:v>47283</x:v>
      </x:c>
      <x:c r="R281" s="11" t="n">
        <x:v>2442103</x:v>
      </x:c>
      <x:c r="S281" s="11" t="n">
        <x:v>282660</x:v>
      </x:c>
      <x:c r="T281" s="11" t="n">
        <x:v>3887151</x:v>
      </x:c>
      <x:c r="U281" s="11" t="n">
        <x:v>1088450</x:v>
      </x:c>
      <x:c r="V281" s="11" t="n">
        <x:v>3662552</x:v>
      </x:c>
      <x:c r="W281" s="11" t="n">
        <x:v>3170186</x:v>
      </x:c>
      <x:c r="X281" s="11" t="n">
        <x:v>0</x:v>
      </x:c>
      <x:c r="Y281" s="11" t="n">
        <x:v>0</x:v>
      </x:c>
      <x:c r="Z281" s="11" t="n">
        <x:v>0</x:v>
      </x:c>
      <x:c r="AA281" s="11" t="n">
        <x:v>0</x:v>
      </x:c>
      <x:c r="AB281" s="11" t="n">
        <x:v>2827</x:v>
      </x:c>
      <x:c r="AC281" s="11" t="n">
        <x:v>2827</x:v>
      </x:c>
      <x:c r="AD281" s="11" t="n">
        <x:v>430230</x:v>
      </x:c>
      <x:c r="AE281" s="11" t="n">
        <x:v>427403</x:v>
      </x:c>
      <x:c r="AF281" s="11" t="n">
        <x:v>1720921</x:v>
      </x:c>
      <x:c r="AG281" s="11" t="n">
        <x:v>13597841</x:v>
      </x:c>
      <x:c r="AH281" s="11" t="n">
        <x:v>5031749</x:v>
      </x:c>
      <x:c r="AI281" s="11" t="n">
        <x:v>8566092</x:v>
      </x:c>
      <x:c r="AJ281" s="11" t="n">
        <x:v>448604</x:v>
      </x:c>
      <x:c r="AK281" s="11" t="n">
        <x:v>1354151</x:v>
      </x:c>
      <x:c r="AL281" s="11" t="n">
        <x:v>0</x:v>
      </x:c>
      <x:c r="AM281" s="12" t="n">
        <x:v>1</x:v>
      </x:c>
      <x:c r="AN281" s="12" t="n">
        <x:v>0.3312806326620886</x:v>
      </x:c>
      <x:c r="AO281" s="11" t="n">
        <x:v>1005530</x:v>
      </x:c>
      <x:c r="AP281" s="11" t="n">
        <x:v>842017</x:v>
      </x:c>
      <x:c r="AQ281" s="12" t="n">
        <x:v>0.8373862540152954</x:v>
      </x:c>
      <x:c r="AR281" s="11" t="n">
        <x:v>1344.3747779751332</x:v>
      </x:c>
      <x:c r="AS281" s="11" t="n">
        <x:v>1614.9141503848432</x:v>
      </x:c>
      <x:c r="AT281" s="11" t="n">
        <x:v>2168.4736530491414</x:v>
      </x:c>
      <x:c r="AU281" s="11" t="n">
        <x:v>1876.9603315571344</x:v>
      </x:c>
      <x:c r="AV281" s="11" t="n">
        <x:v>0</x:v>
      </x:c>
      <x:c r="AW281" s="11" t="n">
        <x:v>3.5712719922826035</x:v>
      </x:c>
      <x:c r="AX281" s="12" t="n">
        <x:v>0.9934290960648955</x:v>
      </x:c>
      <x:c r="AY281" s="11"/>
      <x:c r="AZ281" s="11"/>
      <x:c r="BA281" s="11"/>
      <x:c r="BB281" s="11"/>
      <x:c r="BC281" s="11"/>
      <x:c r="BD281" s="11"/>
      <x:c r="BE281" s="11"/>
      <x:c r="BF281" s="11"/>
      <x:c r="BG281" s="11"/>
      <x:c r="BH281" s="11"/>
      <x:c r="BI281" s="11"/>
      <x:c r="BJ281" s="11"/>
      <x:c r="BK281" s="12"/>
      <x:c r="BL281" s="12"/>
      <x:c r="BM281" s="12"/>
      <x:c r="BN281" s="12"/>
      <x:c r="BO281" s="12"/>
      <x:c r="BP281" s="12"/>
      <x:c r="BQ281" s="12"/>
      <x:c r="BR281" s="12"/>
      <x:c r="BS281" s="12"/>
      <x:c r="BT281" s="12"/>
      <x:c r="BU281" s="11" t="n">
        <x:v>0</x:v>
      </x:c>
      <x:c r="BV281" s="11" t="n">
        <x:v>883422</x:v>
      </x:c>
      <x:c r="BW281" s="11" t="n">
        <x:v>230649</x:v>
      </x:c>
      <x:c r="BX281" s="11" t="n">
        <x:v>9510</x:v>
      </x:c>
      <x:c r="BY281" s="11" t="n">
        <x:v>-33343</x:v>
      </x:c>
      <x:c r="BZ281" s="11" t="n">
        <x:v>0</x:v>
      </x:c>
      <x:c r="CA281" s="11" t="n">
        <x:v>0</x:v>
      </x:c>
      <x:c r="CB281" s="11" t="n">
        <x:v>71116</x:v>
      </x:c>
      <x:c r="CC281" s="11" t="n">
        <x:v>742477</x:v>
      </x:c>
      <x:c r="CD281" s="11" t="n">
        <x:v>93771</x:v>
      </x:c>
      <x:c r="CE281" s="11" t="n">
        <x:v>0</x:v>
      </x:c>
      <x:c r="CF281" s="11" t="n">
        <x:v>1530</x:v>
      </x:c>
      <x:c r="CG281" s="11" t="n">
        <x:v>15387</x:v>
      </x:c>
      <x:c r="CH281" s="11" t="n">
        <x:v>263458</x:v>
      </x:c>
      <x:c r="CI281" s="11" t="n">
        <x:v>176865</x:v>
      </x:c>
      <x:c r="CJ281" s="11" t="n">
        <x:v>1069258</x:v>
      </x:c>
      <x:c r="CK281" s="11" t="n">
        <x:v>82184</x:v>
      </x:c>
      <x:c r="CL281" s="11" t="n">
        <x:v>0</x:v>
      </x:c>
      <x:c r="CM281" s="11"/>
      <x:c r="CN281" s="11" t="n">
        <x:v>0</x:v>
      </x:c>
      <x:c r="CO281" s="11" t="n">
        <x:v>0</x:v>
      </x:c>
      <x:c r="CP281" s="8"/>
      <x:c r="CQ281" s="8"/>
    </x:row>
    <x:row r="282">
      <x:c r="A282" s="8" t="str">
        <x:v>Greenwood|2023</x:v>
      </x:c>
      <x:c r="B282" s="8" t="str">
        <x:v>greenwood-c</x:v>
      </x:c>
      <x:c r="C282" s="8" t="str">
        <x:v>Greenwood</x:v>
      </x:c>
      <x:c r="D282" s="8" t="str">
        <x:v>Greenwood</x:v>
      </x:c>
      <x:c r="E282" s="8" t="str">
        <x:v>C</x:v>
      </x:c>
      <x:c r="F282" s="8" t="str">
        <x:v>KOO</x:v>
      </x:c>
      <x:c r="G282" s="9" t="n">
        <x:v>2023</x:v>
      </x:c>
      <x:c r="H282" s="10" t="n">
        <x:v>730</x:v>
      </x:c>
      <x:c r="I282" s="8" t="str">
        <x:v>Under 5,000</x:v>
      </x:c>
      <x:c r="J282" s="11"/>
      <x:c r="K282" s="11"/>
      <x:c r="L282" s="11"/>
      <x:c r="M282" s="12"/>
      <x:c r="N282" s="11"/>
      <x:c r="O282" s="11"/>
      <x:c r="P282" s="11" t="n">
        <x:v>0</x:v>
      </x:c>
      <x:c r="Q282" s="11" t="n">
        <x:v>0</x:v>
      </x:c>
      <x:c r="R282" s="11"/>
      <x:c r="S282" s="11"/>
      <x:c r="T282" s="11"/>
      <x:c r="U282" s="11"/>
      <x:c r="V282" s="11"/>
      <x:c r="W282" s="11" t="n">
        <x:v>0</x:v>
      </x:c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2"/>
      <x:c r="AN282" s="12"/>
      <x:c r="AO282" s="11"/>
      <x:c r="AP282" s="11"/>
      <x:c r="AQ282" s="12"/>
      <x:c r="AR282" s="11"/>
      <x:c r="AS282" s="11"/>
      <x:c r="AT282" s="11"/>
      <x:c r="AU282" s="11" t="n">
        <x:v>0</x:v>
      </x:c>
      <x:c r="AV282" s="11"/>
      <x:c r="AW282" s="11"/>
      <x:c r="AX282" s="12"/>
      <x:c r="AY282" s="11"/>
      <x:c r="AZ282" s="11"/>
      <x:c r="BA282" s="11"/>
      <x:c r="BB282" s="11"/>
      <x:c r="BC282" s="11"/>
      <x:c r="BD282" s="11"/>
      <x:c r="BE282" s="11"/>
      <x:c r="BF282" s="11"/>
      <x:c r="BG282" s="11"/>
      <x:c r="BH282" s="11"/>
      <x:c r="BI282" s="11"/>
      <x:c r="BJ282" s="11"/>
      <x:c r="BK282" s="12"/>
      <x:c r="BL282" s="12"/>
      <x:c r="BM282" s="12"/>
      <x:c r="BN282" s="12"/>
      <x:c r="BO282" s="12"/>
      <x:c r="BP282" s="12"/>
      <x:c r="BQ282" s="12"/>
      <x:c r="BR282" s="12"/>
      <x:c r="BS282" s="12"/>
      <x:c r="BT282" s="12"/>
      <x:c r="BU282" s="11"/>
      <x:c r="BV282" s="11"/>
      <x:c r="BW282" s="11"/>
      <x:c r="BX282" s="11"/>
      <x:c r="BY282" s="11"/>
      <x:c r="BZ282" s="11"/>
      <x:c r="CA282" s="11"/>
      <x:c r="CB282" s="11"/>
      <x:c r="CC282" s="11"/>
      <x:c r="CD282" s="11"/>
      <x:c r="CE282" s="11"/>
      <x:c r="CF282" s="11"/>
      <x:c r="CG282" s="11"/>
      <x:c r="CH282" s="11"/>
      <x:c r="CI282" s="11"/>
      <x:c r="CJ282" s="11"/>
      <x:c r="CK282" s="11"/>
      <x:c r="CL282" s="11"/>
      <x:c r="CM282" s="11"/>
      <x:c r="CN282" s="11"/>
      <x:c r="CO282" s="11"/>
      <x:c r="CP282" s="8"/>
      <x:c r="CQ282" s="8"/>
    </x:row>
    <x:row r="283">
      <x:c r="A283" s="8" t="str">
        <x:v>Greenwood|2024</x:v>
      </x:c>
      <x:c r="B283" s="8" t="str">
        <x:v>greenwood-c</x:v>
      </x:c>
      <x:c r="C283" s="8" t="str">
        <x:v>Greenwood</x:v>
      </x:c>
      <x:c r="D283" s="8" t="str">
        <x:v>Greenwood</x:v>
      </x:c>
      <x:c r="E283" s="8" t="str">
        <x:v>C</x:v>
      </x:c>
      <x:c r="F283" s="8" t="str">
        <x:v>KOO</x:v>
      </x:c>
      <x:c r="G283" s="9" t="n">
        <x:v>2024</x:v>
      </x:c>
      <x:c r="H283" s="10" t="n">
        <x:v>730</x:v>
      </x:c>
      <x:c r="I283" s="8" t="str">
        <x:v>Under 5,000</x:v>
      </x:c>
      <x:c r="J283" s="11"/>
      <x:c r="K283" s="11"/>
      <x:c r="L283" s="11"/>
      <x:c r="M283" s="12"/>
      <x:c r="N283" s="11"/>
      <x:c r="O283" s="11"/>
      <x:c r="P283" s="11" t="n">
        <x:v>0</x:v>
      </x:c>
      <x:c r="Q283" s="11" t="n">
        <x:v>0</x:v>
      </x:c>
      <x:c r="R283" s="11"/>
      <x:c r="S283" s="11"/>
      <x:c r="T283" s="11"/>
      <x:c r="U283" s="11"/>
      <x:c r="V283" s="11"/>
      <x:c r="W283" s="11" t="n">
        <x:v>0</x:v>
      </x:c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2"/>
      <x:c r="AN283" s="12"/>
      <x:c r="AO283" s="11"/>
      <x:c r="AP283" s="11"/>
      <x:c r="AQ283" s="12"/>
      <x:c r="AR283" s="11"/>
      <x:c r="AS283" s="11"/>
      <x:c r="AT283" s="11"/>
      <x:c r="AU283" s="11" t="n">
        <x:v>0</x:v>
      </x:c>
      <x:c r="AV283" s="11"/>
      <x:c r="AW283" s="11"/>
      <x:c r="AX283" s="12"/>
      <x:c r="AY283" s="11" t="n">
        <x:v>4029.3029612756263</x:v>
      </x:c>
      <x:c r="AZ283" s="11" t="n">
        <x:v>3546.5079302077975</x:v>
      </x:c>
      <x:c r="BA283" s="11" t="n">
        <x:v>2680.1548974943053</x:v>
      </x:c>
      <x:c r="BB283" s="11" t="n">
        <x:v>2783.665107049771</x:v>
      </x:c>
      <x:c r="BC283" s="11" t="n">
        <x:v>1972.4097144142117</x:v>
      </x:c>
      <x:c r="BD283" s="11" t="n">
        <x:v>2437.8724475115623</x:v>
      </x:c>
      <x:c r="BE283" s="11" t="n">
        <x:v>1160.2663957632108</x:v>
      </x:c>
      <x:c r="BF283" s="11" t="n">
        <x:v>1604.3462673977224</x:v>
      </x:c>
      <x:c r="BG283" s="11" t="n">
        <x:v>585.9197211603328</x:v>
      </x:c>
      <x:c r="BH283" s="11" t="n">
        <x:v>518.5374381567245</x:v>
      </x:c>
      <x:c r="BI283" s="11" t="n">
        <x:v>1.1580249242564604</x:v>
      </x:c>
      <x:c r="BJ283" s="11" t="n">
        <x:v>1.7099330852451193</x:v>
      </x:c>
      <x:c r="BK283" s="12" t="n">
        <x:v>0.02542022628425596</x:v>
      </x:c>
      <x:c r="BL283" s="12" t="n">
        <x:v>0.02529861000232605</x:v>
      </x:c>
      <x:c r="BM283" s="12" t="n">
        <x:v>0.9804639308808624</x:v>
      </x:c>
      <x:c r="BN283" s="12" t="n">
        <x:v>0.9815511712696461</x:v>
      </x:c>
      <x:c r="BO283" s="12" t="n">
        <x:v>0.8435772029337734</x:v>
      </x:c>
      <x:c r="BP283" s="12" t="n">
        <x:v>0.8619101997275483</x:v>
      </x:c>
      <x:c r="BQ283" s="12" t="n">
        <x:v>0.9642963039370254</x:v>
      </x:c>
      <x:c r="BR283" s="12" t="n">
        <x:v>0.9623635142836453</x:v>
      </x:c>
      <x:c r="BS283" s="12" t="n">
        <x:v>0.37423160107130715</x:v>
      </x:c>
      <x:c r="BT283" s="12" t="n">
        <x:v>0.19976549769108282</x:v>
      </x:c>
      <x:c r="BU283" s="11"/>
      <x:c r="BV283" s="11"/>
      <x:c r="BW283" s="11"/>
      <x:c r="BX283" s="11"/>
      <x:c r="BY283" s="11"/>
      <x:c r="BZ283" s="11"/>
      <x:c r="CA283" s="11"/>
      <x:c r="CB283" s="11"/>
      <x:c r="CC283" s="11"/>
      <x:c r="CD283" s="11"/>
      <x:c r="CE283" s="11"/>
      <x:c r="CF283" s="11"/>
      <x:c r="CG283" s="11"/>
      <x:c r="CH283" s="11"/>
      <x:c r="CI283" s="11"/>
      <x:c r="CJ283" s="11"/>
      <x:c r="CK283" s="11"/>
      <x:c r="CL283" s="11"/>
      <x:c r="CM283" s="11"/>
      <x:c r="CN283" s="11"/>
      <x:c r="CO283" s="11"/>
      <x:c r="CP283" s="8"/>
      <x:c r="CQ283" s="8"/>
    </x:row>
    <x:row r="284">
      <x:c r="A284" s="8" t="str">
        <x:v>Harrison Hot Springs|2019</x:v>
      </x:c>
      <x:c r="B284" s="8" t="str">
        <x:v>harrison-hot-springs-v</x:v>
      </x:c>
      <x:c r="C284" s="8" t="str">
        <x:v>Harrison Hot Springs</x:v>
      </x:c>
      <x:c r="D284" s="8" t="str">
        <x:v>Harrison Hot Springs</x:v>
      </x:c>
      <x:c r="E284" s="8" t="str">
        <x:v>V</x:v>
      </x:c>
      <x:c r="F284" s="8" t="str">
        <x:v>FVR</x:v>
      </x:c>
      <x:c r="G284" s="9" t="n">
        <x:v>2019</x:v>
      </x:c>
      <x:c r="H284" s="10" t="n">
        <x:v>1632</x:v>
      </x:c>
      <x:c r="I284" s="8" t="str">
        <x:v>Under 5,000</x:v>
      </x:c>
      <x:c r="J284" s="11" t="n">
        <x:v>6476444</x:v>
      </x:c>
      <x:c r="K284" s="11" t="n">
        <x:v>4672413</x:v>
      </x:c>
      <x:c r="L284" s="11" t="n">
        <x:v>1804031</x:v>
      </x:c>
      <x:c r="M284" s="12" t="n">
        <x:v>0.2785527057749592</x:v>
      </x:c>
      <x:c r="N284" s="11" t="n">
        <x:v>2280736</x:v>
      </x:c>
      <x:c r="O284" s="11" t="n">
        <x:v>1884434</x:v>
      </x:c>
      <x:c r="P284" s="11" t="n">
        <x:v>1416399</x:v>
      </x:c>
      <x:c r="Q284" s="11" t="n">
        <x:v>894875</x:v>
      </x:c>
      <x:c r="R284" s="11" t="n">
        <x:v>3665529</x:v>
      </x:c>
      <x:c r="S284" s="11" t="n">
        <x:v>984985</x:v>
      </x:c>
      <x:c r="T284" s="11" t="n">
        <x:v>11041504</x:v>
      </x:c>
      <x:c r="U284" s="11" t="n">
        <x:v>5739383</x:v>
      </x:c>
      <x:c r="V284" s="11" t="n">
        <x:v>6599517</x:v>
      </x:c>
      <x:c r="W284" s="11" t="n">
        <x:v>1983066</x:v>
      </x:c>
      <x:c r="X284" s="11" t="n">
        <x:v>872295</x:v>
      </x:c>
      <x:c r="Y284" s="11" t="n">
        <x:v>0</x:v>
      </x:c>
      <x:c r="Z284" s="11" t="n">
        <x:v>221869</x:v>
      </x:c>
      <x:c r="AA284" s="11" t="n">
        <x:v>647045</x:v>
      </x:c>
      <x:c r="AB284" s="11" t="n">
        <x:v>21899</x:v>
      </x:c>
      <x:c r="AC284" s="11" t="n">
        <x:v>243768</x:v>
      </x:c>
      <x:c r="AD284" s="11" t="n">
        <x:v>1194289</x:v>
      </x:c>
      <x:c r="AE284" s="11" t="n">
        <x:v>950521</x:v>
      </x:c>
      <x:c r="AF284" s="11" t="n">
        <x:v>4777154</x:v>
      </x:c>
      <x:c r="AG284" s="11" t="n">
        <x:v>51402585</x:v>
      </x:c>
      <x:c r="AH284" s="11" t="n">
        <x:v>13804255</x:v>
      </x:c>
      <x:c r="AI284" s="11" t="n">
        <x:v>37598330</x:v>
      </x:c>
      <x:c r="AJ284" s="11" t="n">
        <x:v>1887011</x:v>
      </x:c>
      <x:c r="AK284" s="11" t="n">
        <x:v>90837578</x:v>
      </x:c>
      <x:c r="AL284" s="11" t="n">
        <x:v>2115896</x:v>
      </x:c>
      <x:c r="AM284" s="12" t="n">
        <x:v>0.9767068206067757</x:v>
      </x:c>
      <x:c r="AN284" s="12" t="n">
        <x:v>0.020773462277913223</x:v>
      </x:c>
      <x:c r="AO284" s="11" t="n">
        <x:v>4637647</x:v>
      </x:c>
      <x:c r="AP284" s="11" t="n">
        <x:v>4226201</x:v>
      </x:c>
      <x:c r="AQ284" s="12" t="n">
        <x:v>0.9112813027813458</x:v>
      </x:c>
      <x:c r="AR284" s="11" t="n">
        <x:v>3968.4093137254904</x:v>
      </x:c>
      <x:c r="AS284" s="11" t="n">
        <x:v>2862.998161764706</x:v>
      </x:c>
      <x:c r="AT284" s="11" t="n">
        <x:v>4043.8216911764707</x:v>
      </x:c>
      <x:c r="AU284" s="11" t="n">
        <x:v>1215.1139705882354</x:v>
      </x:c>
      <x:c r="AV284" s="11" t="n">
        <x:v>396.4736519607843</x:v>
      </x:c>
      <x:c r="AW284" s="11" t="n">
        <x:v>1.9238137618625557</x:v>
      </x:c>
      <x:c r="AX284" s="12" t="n">
        <x:v>0.7958885998280149</x:v>
      </x:c>
      <x:c r="AY284" s="11"/>
      <x:c r="AZ284" s="11"/>
      <x:c r="BA284" s="11"/>
      <x:c r="BB284" s="11"/>
      <x:c r="BC284" s="11"/>
      <x:c r="BD284" s="11"/>
      <x:c r="BE284" s="11"/>
      <x:c r="BF284" s="11"/>
      <x:c r="BG284" s="11"/>
      <x:c r="BH284" s="11"/>
      <x:c r="BI284" s="11"/>
      <x:c r="BJ284" s="11"/>
      <x:c r="BK284" s="12"/>
      <x:c r="BL284" s="12"/>
      <x:c r="BM284" s="12"/>
      <x:c r="BN284" s="12"/>
      <x:c r="BO284" s="12"/>
      <x:c r="BP284" s="12"/>
      <x:c r="BQ284" s="12"/>
      <x:c r="BR284" s="12"/>
      <x:c r="BS284" s="12"/>
      <x:c r="BT284" s="12"/>
      <x:c r="BU284" s="11" t="n">
        <x:v>50000</x:v>
      </x:c>
      <x:c r="BV284" s="11" t="n">
        <x:v>1129492</x:v>
      </x:c>
      <x:c r="BW284" s="11" t="n">
        <x:v>236907</x:v>
      </x:c>
      <x:c r="BX284" s="11" t="n">
        <x:v>152635</x:v>
      </x:c>
      <x:c r="BY284" s="11" t="n">
        <x:v>0</x:v>
      </x:c>
      <x:c r="BZ284" s="11" t="n">
        <x:v>605799</x:v>
      </x:c>
      <x:c r="CA284" s="11" t="n">
        <x:v>0</x:v>
      </x:c>
      <x:c r="CB284" s="11" t="n">
        <x:v>136441</x:v>
      </x:c>
      <x:c r="CC284" s="11" t="n">
        <x:v>959388</x:v>
      </x:c>
      <x:c r="CD284" s="11" t="n">
        <x:v>222388</x:v>
      </x:c>
      <x:c r="CE284" s="11" t="n">
        <x:v>184757</x:v>
      </x:c>
      <x:c r="CF284" s="11" t="n">
        <x:v>2932</x:v>
      </x:c>
      <x:c r="CG284" s="11" t="n">
        <x:v>589831</x:v>
      </x:c>
      <x:c r="CH284" s="11" t="n">
        <x:v>158107</x:v>
      </x:c>
      <x:c r="CI284" s="11" t="n">
        <x:v>400387</x:v>
      </x:c>
      <x:c r="CJ284" s="11" t="n">
        <x:v>291887</x:v>
      </x:c>
      <x:c r="CK284" s="11" t="n">
        <x:v>577671</x:v>
      </x:c>
      <x:c r="CL284" s="11" t="n">
        <x:v>276452</x:v>
      </x:c>
      <x:c r="CM284" s="11"/>
      <x:c r="CN284" s="11" t="n">
        <x:v>23628</x:v>
      </x:c>
      <x:c r="CO284" s="11" t="n">
        <x:v>0</x:v>
      </x:c>
      <x:c r="CP284" s="8"/>
      <x:c r="CQ284" s="8"/>
    </x:row>
    <x:row r="285">
      <x:c r="A285" s="8" t="str">
        <x:v>Harrison Hot Springs|2020</x:v>
      </x:c>
      <x:c r="B285" s="8" t="str">
        <x:v>harrison-hot-springs-v</x:v>
      </x:c>
      <x:c r="C285" s="8" t="str">
        <x:v>Harrison Hot Springs</x:v>
      </x:c>
      <x:c r="D285" s="8" t="str">
        <x:v>Harrison Hot Springs</x:v>
      </x:c>
      <x:c r="E285" s="8" t="str">
        <x:v>V</x:v>
      </x:c>
      <x:c r="F285" s="8" t="str">
        <x:v>FVR</x:v>
      </x:c>
      <x:c r="G285" s="9" t="n">
        <x:v>2020</x:v>
      </x:c>
      <x:c r="H285" s="10" t="n">
        <x:v>1644</x:v>
      </x:c>
      <x:c r="I285" s="8" t="str">
        <x:v>Under 5,000</x:v>
      </x:c>
      <x:c r="J285" s="11" t="n">
        <x:v>6388204</x:v>
      </x:c>
      <x:c r="K285" s="11" t="n">
        <x:v>4288580</x:v>
      </x:c>
      <x:c r="L285" s="11" t="n">
        <x:v>2099624</x:v>
      </x:c>
      <x:c r="M285" s="12" t="n">
        <x:v>0.3286720336420064</x:v>
      </x:c>
      <x:c r="N285" s="11" t="n">
        <x:v>2403266</x:v>
      </x:c>
      <x:c r="O285" s="11" t="n">
        <x:v>1996339</x:v>
      </x:c>
      <x:c r="P285" s="11" t="n">
        <x:v>1546263</x:v>
      </x:c>
      <x:c r="Q285" s="11" t="n">
        <x:v>442336</x:v>
      </x:c>
      <x:c r="R285" s="11" t="n">
        <x:v>3219369</x:v>
      </x:c>
      <x:c r="S285" s="11" t="n">
        <x:v>1053631</x:v>
      </x:c>
      <x:c r="T285" s="11" t="n">
        <x:v>16030448</x:v>
      </x:c>
      <x:c r="U285" s="11" t="n">
        <x:v>7900455</x:v>
      </x:c>
      <x:c r="V285" s="11" t="n">
        <x:v>8694415</x:v>
      </x:c>
      <x:c r="W285" s="11" t="n">
        <x:v>1821752</x:v>
      </x:c>
      <x:c r="X285" s="11" t="n">
        <x:v>647045</x:v>
      </x:c>
      <x:c r="Y285" s="11" t="n">
        <x:v>0</x:v>
      </x:c>
      <x:c r="Z285" s="11" t="n">
        <x:v>163154</x:v>
      </x:c>
      <x:c r="AA285" s="11" t="n">
        <x:v>479305</x:v>
      </x:c>
      <x:c r="AB285" s="11" t="n">
        <x:v>15580</x:v>
      </x:c>
      <x:c r="AC285" s="11" t="n">
        <x:v>178734</x:v>
      </x:c>
      <x:c r="AD285" s="11" t="n">
        <x:v>1235325</x:v>
      </x:c>
      <x:c r="AE285" s="11" t="n">
        <x:v>1056591</x:v>
      </x:c>
      <x:c r="AF285" s="11" t="n">
        <x:v>4941301</x:v>
      </x:c>
      <x:c r="AG285" s="11" t="n">
        <x:v>52388958</x:v>
      </x:c>
      <x:c r="AH285" s="11" t="n">
        <x:v>14784204</x:v>
      </x:c>
      <x:c r="AI285" s="11" t="n">
        <x:v>37604754</x:v>
      </x:c>
      <x:c r="AJ285" s="11" t="n">
        <x:v>1061303</x:v>
      </x:c>
      <x:c r="AK285" s="11" t="n">
        <x:v>93328681</x:v>
      </x:c>
      <x:c r="AL285" s="11" t="n">
        <x:v>2178422</x:v>
      </x:c>
      <x:c r="AM285" s="12" t="n">
        <x:v>0.9766586008003263</x:v>
      </x:c>
      <x:c r="AN285" s="12" t="n">
        <x:v>0.011371670408585331</x:v>
      </x:c>
      <x:c r="AO285" s="11" t="n">
        <x:v>4548763</x:v>
      </x:c>
      <x:c r="AP285" s="11" t="n">
        <x:v>4217679</x:v>
      </x:c>
      <x:c r="AQ285" s="12" t="n">
        <x:v>0.9272144976557363</x:v>
      </x:c>
      <x:c r="AR285" s="11" t="n">
        <x:v>3885.7688564476884</x:v>
      </x:c>
      <x:c r="AS285" s="11" t="n">
        <x:v>2608.625304136253</x:v>
      </x:c>
      <x:c r="AT285" s="11" t="n">
        <x:v>5288.573600973236</x:v>
      </x:c>
      <x:c r="AU285" s="11" t="n">
        <x:v>1108.1216545012167</x:v>
      </x:c>
      <x:c r="AV285" s="11" t="n">
        <x:v>291.5480535279805</x:v>
      </x:c>
      <x:c r="AW285" s="11" t="n">
        <x:v>2.0290537696879483</x:v>
      </x:c>
      <x:c r="AX285" s="12" t="n">
        <x:v>0.8553141885738571</x:v>
      </x:c>
      <x:c r="AY285" s="11"/>
      <x:c r="AZ285" s="11"/>
      <x:c r="BA285" s="11"/>
      <x:c r="BB285" s="11"/>
      <x:c r="BC285" s="11"/>
      <x:c r="BD285" s="11"/>
      <x:c r="BE285" s="11"/>
      <x:c r="BF285" s="11"/>
      <x:c r="BG285" s="11"/>
      <x:c r="BH285" s="11"/>
      <x:c r="BI285" s="11"/>
      <x:c r="BJ285" s="11"/>
      <x:c r="BK285" s="12"/>
      <x:c r="BL285" s="12"/>
      <x:c r="BM285" s="12"/>
      <x:c r="BN285" s="12"/>
      <x:c r="BO285" s="12"/>
      <x:c r="BP285" s="12"/>
      <x:c r="BQ285" s="12"/>
      <x:c r="BR285" s="12"/>
      <x:c r="BS285" s="12"/>
      <x:c r="BT285" s="12"/>
      <x:c r="BU285" s="11" t="n">
        <x:v>0</x:v>
      </x:c>
      <x:c r="BV285" s="11" t="n">
        <x:v>1429317</x:v>
      </x:c>
      <x:c r="BW285" s="11" t="n">
        <x:v>116946</x:v>
      </x:c>
      <x:c r="BX285" s="11" t="n">
        <x:v>108747</x:v>
      </x:c>
      <x:c r="BY285" s="11" t="n">
        <x:v>0</x:v>
      </x:c>
      <x:c r="BZ285" s="11" t="n">
        <x:v>224144</x:v>
      </x:c>
      <x:c r="CA285" s="11" t="n">
        <x:v>0</x:v>
      </x:c>
      <x:c r="CB285" s="11" t="n">
        <x:v>109445</x:v>
      </x:c>
      <x:c r="CC285" s="11" t="n">
        <x:v>880250</x:v>
      </x:c>
      <x:c r="CD285" s="11" t="n">
        <x:v>222824</x:v>
      </x:c>
      <x:c r="CE285" s="11" t="n">
        <x:v>198311</x:v>
      </x:c>
      <x:c r="CF285" s="11" t="n">
        <x:v>3487</x:v>
      </x:c>
      <x:c r="CG285" s="11" t="n">
        <x:v>354932</x:v>
      </x:c>
      <x:c r="CH285" s="11" t="n">
        <x:v>141338</x:v>
      </x:c>
      <x:c r="CI285" s="11" t="n">
        <x:v>341267</x:v>
      </x:c>
      <x:c r="CJ285" s="11" t="n">
        <x:v>273146</x:v>
      </x:c>
      <x:c r="CK285" s="11" t="n">
        <x:v>596058</x:v>
      </x:c>
      <x:c r="CL285" s="11" t="n">
        <x:v>222088</x:v>
      </x:c>
      <x:c r="CM285" s="11"/>
      <x:c r="CN285" s="11" t="n">
        <x:v>1248</x:v>
      </x:c>
      <x:c r="CO285" s="11" t="n">
        <x:v>0</x:v>
      </x:c>
      <x:c r="CP285" s="8"/>
      <x:c r="CQ285" s="8"/>
    </x:row>
    <x:row r="286">
      <x:c r="A286" s="8" t="str">
        <x:v>Harrison Hot Springs|2021</x:v>
      </x:c>
      <x:c r="B286" s="8" t="str">
        <x:v>harrison-hot-springs-v</x:v>
      </x:c>
      <x:c r="C286" s="8" t="str">
        <x:v>Harrison Hot Springs</x:v>
      </x:c>
      <x:c r="D286" s="8" t="str">
        <x:v>Harrison Hot Springs</x:v>
      </x:c>
      <x:c r="E286" s="8" t="str">
        <x:v>V</x:v>
      </x:c>
      <x:c r="F286" s="8" t="str">
        <x:v>FVR</x:v>
      </x:c>
      <x:c r="G286" s="9" t="n">
        <x:v>2021</x:v>
      </x:c>
      <x:c r="H286" s="10" t="n">
        <x:v>1663</x:v>
      </x:c>
      <x:c r="I286" s="8" t="str">
        <x:v>Under 5,000</x:v>
      </x:c>
      <x:c r="J286" s="11" t="n">
        <x:v>5812412</x:v>
      </x:c>
      <x:c r="K286" s="11" t="n">
        <x:v>4753817</x:v>
      </x:c>
      <x:c r="L286" s="11" t="n">
        <x:v>1058595</x:v>
      </x:c>
      <x:c r="M286" s="12" t="n">
        <x:v>0.18212662832572776</x:v>
      </x:c>
      <x:c r="N286" s="11" t="n">
        <x:v>2530740</x:v>
      </x:c>
      <x:c r="O286" s="11" t="n">
        <x:v>2131509</x:v>
      </x:c>
      <x:c r="P286" s="11" t="n">
        <x:v>978633</x:v>
      </x:c>
      <x:c r="Q286" s="11" t="n">
        <x:v>171530</x:v>
      </x:c>
      <x:c r="R286" s="11" t="n">
        <x:v>3648289</x:v>
      </x:c>
      <x:c r="S286" s="11" t="n">
        <x:v>1091997</x:v>
      </x:c>
      <x:c r="T286" s="11" t="n">
        <x:v>18844359</x:v>
      </x:c>
      <x:c r="U286" s="11" t="n">
        <x:v>9262909</x:v>
      </x:c>
      <x:c r="V286" s="11" t="n">
        <x:v>10083304</x:v>
      </x:c>
      <x:c r="W286" s="11" t="n">
        <x:v>1591163</x:v>
      </x:c>
      <x:c r="X286" s="11" t="n">
        <x:v>479305</x:v>
      </x:c>
      <x:c r="Y286" s="11" t="n">
        <x:v>0</x:v>
      </x:c>
      <x:c r="Z286" s="11" t="n">
        <x:v>53841</x:v>
      </x:c>
      <x:c r="AA286" s="11" t="n">
        <x:v>419628</x:v>
      </x:c>
      <x:c r="AB286" s="11" t="n">
        <x:v>13531</x:v>
      </x:c>
      <x:c r="AC286" s="11" t="n">
        <x:v>67372</x:v>
      </x:c>
      <x:c r="AD286" s="11" t="n">
        <x:v>1285693</x:v>
      </x:c>
      <x:c r="AE286" s="11" t="n">
        <x:v>1218321</x:v>
      </x:c>
      <x:c r="AF286" s="11" t="n">
        <x:v>5142771</x:v>
      </x:c>
      <x:c r="AG286" s="11" t="n">
        <x:v>52734064</x:v>
      </x:c>
      <x:c r="AH286" s="11" t="n">
        <x:v>15743509</x:v>
      </x:c>
      <x:c r="AI286" s="11" t="n">
        <x:v>36990555</x:v>
      </x:c>
      <x:c r="AJ286" s="11" t="n">
        <x:v>477797</x:v>
      </x:c>
      <x:c r="AK286" s="11" t="n">
        <x:v>93629419</x:v>
      </x:c>
      <x:c r="AL286" s="11" t="n">
        <x:v>2178422</x:v>
      </x:c>
      <x:c r="AM286" s="12" t="n">
        <x:v>0.976733573450883</x:v>
      </x:c>
      <x:c r="AN286" s="12" t="n">
        <x:v>0.005103064881776101</x:v>
      </x:c>
      <x:c r="AO286" s="11" t="n">
        <x:v>4882164</x:v>
      </x:c>
      <x:c r="AP286" s="11" t="n">
        <x:v>4654542</x:v>
      </x:c>
      <x:c r="AQ286" s="12" t="n">
        <x:v>0.9533768222452175</x:v>
      </x:c>
      <x:c r="AR286" s="11" t="n">
        <x:v>3495.1365003006613</x:v>
      </x:c>
      <x:c r="AS286" s="11" t="n">
        <x:v>2858.5790739627178</x:v>
      </x:c>
      <x:c r="AT286" s="11" t="n">
        <x:v>6063.321707757065</x:v>
      </x:c>
      <x:c r="AU286" s="11" t="n">
        <x:v>956.8027660853878</x:v>
      </x:c>
      <x:c r="AV286" s="11" t="n">
        <x:v>252.33193024654238</x:v>
      </x:c>
      <x:c r="AW286" s="11" t="n">
        <x:v>2.0343888728692034</x:v>
      </x:c>
      <x:c r="AX286" s="12" t="n">
        <x:v>0.947598688022724</x:v>
      </x:c>
      <x:c r="AY286" s="11"/>
      <x:c r="AZ286" s="11"/>
      <x:c r="BA286" s="11"/>
      <x:c r="BB286" s="11"/>
      <x:c r="BC286" s="11"/>
      <x:c r="BD286" s="11"/>
      <x:c r="BE286" s="11"/>
      <x:c r="BF286" s="11"/>
      <x:c r="BG286" s="11"/>
      <x:c r="BH286" s="11"/>
      <x:c r="BI286" s="11"/>
      <x:c r="BJ286" s="11"/>
      <x:c r="BK286" s="12"/>
      <x:c r="BL286" s="12"/>
      <x:c r="BM286" s="12"/>
      <x:c r="BN286" s="12"/>
      <x:c r="BO286" s="12"/>
      <x:c r="BP286" s="12"/>
      <x:c r="BQ286" s="12"/>
      <x:c r="BR286" s="12"/>
      <x:c r="BS286" s="12"/>
      <x:c r="BT286" s="12"/>
      <x:c r="BU286" s="11" t="n">
        <x:v>0</x:v>
      </x:c>
      <x:c r="BV286" s="11" t="n">
        <x:v>739198</x:v>
      </x:c>
      <x:c r="BW286" s="11" t="n">
        <x:v>239435</x:v>
      </x:c>
      <x:c r="BX286" s="11" t="n">
        <x:v>92497</x:v>
      </x:c>
      <x:c r="BY286" s="11" t="n">
        <x:v>0</x:v>
      </x:c>
      <x:c r="BZ286" s="11" t="n">
        <x:v>15550</x:v>
      </x:c>
      <x:c r="CA286" s="11" t="n">
        <x:v>0</x:v>
      </x:c>
      <x:c r="CB286" s="11" t="n">
        <x:v>63483</x:v>
      </x:c>
      <x:c r="CC286" s="11" t="n">
        <x:v>969181</x:v>
      </x:c>
      <x:c r="CD286" s="11" t="n">
        <x:v>299762</x:v>
      </x:c>
      <x:c r="CE286" s="11" t="n">
        <x:v>198713</x:v>
      </x:c>
      <x:c r="CF286" s="11" t="n">
        <x:v>7740</x:v>
      </x:c>
      <x:c r="CG286" s="11" t="n">
        <x:v>381151</x:v>
      </x:c>
      <x:c r="CH286" s="11" t="n">
        <x:v>151574</x:v>
      </x:c>
      <x:c r="CI286" s="11" t="n">
        <x:v>450446</x:v>
      </x:c>
      <x:c r="CJ286" s="11" t="n">
        <x:v>294095</x:v>
      </x:c>
      <x:c r="CK286" s="11" t="n">
        <x:v>620121</x:v>
      </x:c>
      <x:c r="CL286" s="11" t="n">
        <x:v>289037</x:v>
      </x:c>
      <x:c r="CM286" s="11"/>
      <x:c r="CN286" s="11" t="n">
        <x:v>0</x:v>
      </x:c>
      <x:c r="CO286" s="11" t="n">
        <x:v>0</x:v>
      </x:c>
      <x:c r="CP286" s="8"/>
      <x:c r="CQ286" s="8"/>
    </x:row>
    <x:row r="287">
      <x:c r="A287" s="8" t="str">
        <x:v>Harrison Hot Springs|2022</x:v>
      </x:c>
      <x:c r="B287" s="8" t="str">
        <x:v>harrison-hot-springs-v</x:v>
      </x:c>
      <x:c r="C287" s="8" t="str">
        <x:v>Harrison Hot Springs</x:v>
      </x:c>
      <x:c r="D287" s="8" t="str">
        <x:v>Harrison Hot Springs</x:v>
      </x:c>
      <x:c r="E287" s="8" t="str">
        <x:v>V</x:v>
      </x:c>
      <x:c r="F287" s="8" t="str">
        <x:v>FVR</x:v>
      </x:c>
      <x:c r="G287" s="9" t="n">
        <x:v>2022</x:v>
      </x:c>
      <x:c r="H287" s="10" t="n">
        <x:v>339</x:v>
      </x:c>
      <x:c r="I287" s="8" t="str">
        <x:v>Under 5,000</x:v>
      </x:c>
      <x:c r="J287" s="11" t="n">
        <x:v>7433746</x:v>
      </x:c>
      <x:c r="K287" s="11" t="n">
        <x:v>5198299</x:v>
      </x:c>
      <x:c r="L287" s="11" t="n">
        <x:v>2235447</x:v>
      </x:c>
      <x:c r="M287" s="12" t="n">
        <x:v>0.30071608580653686</x:v>
      </x:c>
      <x:c r="N287" s="11" t="n">
        <x:v>2597706</x:v>
      </x:c>
      <x:c r="O287" s="11" t="n">
        <x:v>2198348</x:v>
      </x:c>
      <x:c r="P287" s="11" t="n">
        <x:v>2122812</x:v>
      </x:c>
      <x:c r="Q287" s="11" t="n">
        <x:v>514880</x:v>
      </x:c>
      <x:c r="R287" s="11" t="n">
        <x:v>4054874</x:v>
      </x:c>
      <x:c r="S287" s="11" t="n">
        <x:v>1130014</x:v>
      </x:c>
      <x:c r="T287" s="11" t="n">
        <x:v>20957382</x:v>
      </x:c>
      <x:c r="U287" s="11" t="n">
        <x:v>10590427</x:v>
      </x:c>
      <x:c r="V287" s="11" t="n">
        <x:v>11416098</x:v>
      </x:c>
      <x:c r="W287" s="11" t="n">
        <x:v>1361661</x:v>
      </x:c>
      <x:c r="X287" s="11" t="n">
        <x:v>419628</x:v>
      </x:c>
      <x:c r="Y287" s="11" t="n">
        <x:v>0</x:v>
      </x:c>
      <x:c r="Z287" s="11" t="n">
        <x:v>52038</x:v>
      </x:c>
      <x:c r="AA287" s="11" t="n">
        <x:v>360462</x:v>
      </x:c>
      <x:c r="AB287" s="11" t="n">
        <x:v>13411</x:v>
      </x:c>
      <x:c r="AC287" s="11" t="n">
        <x:v>65449</x:v>
      </x:c>
      <x:c r="AD287" s="11" t="n">
        <x:v>1411464</x:v>
      </x:c>
      <x:c r="AE287" s="11" t="n">
        <x:v>1346015</x:v>
      </x:c>
      <x:c r="AF287" s="11" t="n">
        <x:v>5645854</x:v>
      </x:c>
      <x:c r="AG287" s="11" t="n">
        <x:v>55029419</x:v>
      </x:c>
      <x:c r="AH287" s="11" t="n">
        <x:v>16836524</x:v>
      </x:c>
      <x:c r="AI287" s="11" t="n">
        <x:v>38192895</x:v>
      </x:c>
      <x:c r="AJ287" s="11" t="n">
        <x:v>2340530</x:v>
      </x:c>
      <x:c r="AK287" s="11" t="n">
        <x:v>96443824</x:v>
      </x:c>
      <x:c r="AL287" s="11" t="n">
        <x:v>2221986</x:v>
      </x:c>
      <x:c r="AM287" s="12" t="n">
        <x:v>0.9769608264392337</x:v>
      </x:c>
      <x:c r="AN287" s="12" t="n">
        <x:v>0.02426832432525695</x:v>
      </x:c>
      <x:c r="AO287" s="11" t="n">
        <x:v>4923993</x:v>
      </x:c>
      <x:c r="AP287" s="11" t="n">
        <x:v>4754801</x:v>
      </x:c>
      <x:c r="AQ287" s="12" t="n">
        <x:v>0.9656392687804389</x:v>
      </x:c>
      <x:c r="AR287" s="11" t="n">
        <x:v>21928.454277286135</x:v>
      </x:c>
      <x:c r="AS287" s="11" t="n">
        <x:v>15334.215339233038</x:v>
      </x:c>
      <x:c r="AT287" s="11" t="n">
        <x:v>33675.80530973451</x:v>
      </x:c>
      <x:c r="AU287" s="11" t="n">
        <x:v>4016.6991150442477</x:v>
      </x:c>
      <x:c r="AV287" s="11" t="n">
        <x:v>1063.3097345132744</x:v>
      </x:c>
      <x:c r="AW287" s="11" t="n">
        <x:v>1.9788986789673353</x:v>
      </x:c>
      <x:c r="AX287" s="12" t="n">
        <x:v>0.95363041494505</x:v>
      </x:c>
      <x:c r="AY287" s="11"/>
      <x:c r="AZ287" s="11"/>
      <x:c r="BA287" s="11"/>
      <x:c r="BB287" s="11"/>
      <x:c r="BC287" s="11"/>
      <x:c r="BD287" s="11"/>
      <x:c r="BE287" s="11"/>
      <x:c r="BF287" s="11"/>
      <x:c r="BG287" s="11"/>
      <x:c r="BH287" s="11"/>
      <x:c r="BI287" s="11"/>
      <x:c r="BJ287" s="11"/>
      <x:c r="BK287" s="12"/>
      <x:c r="BL287" s="12"/>
      <x:c r="BM287" s="12"/>
      <x:c r="BN287" s="12"/>
      <x:c r="BO287" s="12"/>
      <x:c r="BP287" s="12"/>
      <x:c r="BQ287" s="12"/>
      <x:c r="BR287" s="12"/>
      <x:c r="BS287" s="12"/>
      <x:c r="BT287" s="12"/>
      <x:c r="BU287" s="11" t="n">
        <x:v>0</x:v>
      </x:c>
      <x:c r="BV287" s="11" t="n">
        <x:v>2000322</x:v>
      </x:c>
      <x:c r="BW287" s="11" t="n">
        <x:v>122490</x:v>
      </x:c>
      <x:c r="BX287" s="11" t="n">
        <x:v>350537</x:v>
      </x:c>
      <x:c r="BY287" s="11" t="n">
        <x:v>0</x:v>
      </x:c>
      <x:c r="BZ287" s="11" t="n">
        <x:v>71952</x:v>
      </x:c>
      <x:c r="CA287" s="11" t="n">
        <x:v>0</x:v>
      </x:c>
      <x:c r="CB287" s="11" t="n">
        <x:v>92391</x:v>
      </x:c>
      <x:c r="CC287" s="11" t="n">
        <x:v>1110489</x:v>
      </x:c>
      <x:c r="CD287" s="11" t="n">
        <x:v>260292</x:v>
      </x:c>
      <x:c r="CE287" s="11" t="n">
        <x:v>259859</x:v>
      </x:c>
      <x:c r="CF287" s="11" t="n">
        <x:v>7535</x:v>
      </x:c>
      <x:c r="CG287" s="11" t="n">
        <x:v>555739</x:v>
      </x:c>
      <x:c r="CH287" s="11" t="n">
        <x:v>180911</x:v>
      </x:c>
      <x:c r="CI287" s="11" t="n">
        <x:v>348945</x:v>
      </x:c>
      <x:c r="CJ287" s="11" t="n">
        <x:v>324831</x:v>
      </x:c>
      <x:c r="CK287" s="11" t="n">
        <x:v>670412</x:v>
      </x:c>
      <x:c r="CL287" s="11" t="n">
        <x:v>349272</x:v>
      </x:c>
      <x:c r="CM287" s="11"/>
      <x:c r="CN287" s="11" t="n">
        <x:v>0</x:v>
      </x:c>
      <x:c r="CO287" s="11" t="n">
        <x:v>0</x:v>
      </x:c>
      <x:c r="CP287" s="8"/>
      <x:c r="CQ287" s="8"/>
    </x:row>
    <x:row r="288">
      <x:c r="A288" s="8" t="str">
        <x:v>Harrison Hot Springs|2023</x:v>
      </x:c>
      <x:c r="B288" s="8" t="str">
        <x:v>harrison-hot-springs-v</x:v>
      </x:c>
      <x:c r="C288" s="8" t="str">
        <x:v>Harrison Hot Springs</x:v>
      </x:c>
      <x:c r="D288" s="8" t="str">
        <x:v>Harrison Hot Springs</x:v>
      </x:c>
      <x:c r="E288" s="8" t="str">
        <x:v>V</x:v>
      </x:c>
      <x:c r="F288" s="8" t="str">
        <x:v>FVR</x:v>
      </x:c>
      <x:c r="G288" s="9" t="n">
        <x:v>2023</x:v>
      </x:c>
      <x:c r="H288" s="10" t="n">
        <x:v>1731</x:v>
      </x:c>
      <x:c r="I288" s="8" t="str">
        <x:v>Under 5,000</x:v>
      </x:c>
      <x:c r="J288" s="11" t="n">
        <x:v>8731199</x:v>
      </x:c>
      <x:c r="K288" s="11" t="n">
        <x:v>5725404</x:v>
      </x:c>
      <x:c r="L288" s="11" t="n">
        <x:v>3005795</x:v>
      </x:c>
      <x:c r="M288" s="12" t="n">
        <x:v>0.3442591332530618</x:v>
      </x:c>
      <x:c r="N288" s="11" t="n">
        <x:v>2773476</x:v>
      </x:c>
      <x:c r="O288" s="11" t="n">
        <x:v>2283480</x:v>
      </x:c>
      <x:c r="P288" s="11" t="n">
        <x:v>2468868</x:v>
      </x:c>
      <x:c r="Q288" s="11" t="n">
        <x:v>1205375</x:v>
      </x:c>
      <x:c r="R288" s="11" t="n">
        <x:v>4509871</x:v>
      </x:c>
      <x:c r="S288" s="11" t="n">
        <x:v>1202324</x:v>
      </x:c>
      <x:c r="T288" s="11" t="n">
        <x:v>22814943</x:v>
      </x:c>
      <x:c r="U288" s="11" t="n">
        <x:v>10375155</x:v>
      </x:c>
      <x:c r="V288" s="11" t="n">
        <x:v>14163179</x:v>
      </x:c>
      <x:c r="W288" s="11" t="n">
        <x:v>2714534</x:v>
      </x:c>
      <x:c r="X288" s="11" t="n">
        <x:v>360462</x:v>
      </x:c>
      <x:c r="Y288" s="11" t="n">
        <x:v>0</x:v>
      </x:c>
      <x:c r="Z288" s="11" t="n">
        <x:v>33457</x:v>
      </x:c>
      <x:c r="AA288" s="11" t="n">
        <x:v>318538</x:v>
      </x:c>
      <x:c r="AB288" s="11" t="n">
        <x:v>13209</x:v>
      </x:c>
      <x:c r="AC288" s="11" t="n">
        <x:v>46666</x:v>
      </x:c>
      <x:c r="AD288" s="11" t="n">
        <x:v>1558810</x:v>
      </x:c>
      <x:c r="AE288" s="11" t="n">
        <x:v>1512144</x:v>
      </x:c>
      <x:c r="AF288" s="11" t="n">
        <x:v>6235240</x:v>
      </x:c>
      <x:c r="AG288" s="11" t="n">
        <x:v>56426778</x:v>
      </x:c>
      <x:c r="AH288" s="11" t="n">
        <x:v>18041396</x:v>
      </x:c>
      <x:c r="AI288" s="11" t="n">
        <x:v>38385382</x:v>
      </x:c>
      <x:c r="AJ288" s="11" t="n">
        <x:v>1394155</x:v>
      </x:c>
      <x:c r="AK288" s="11" t="n">
        <x:v>98010234</x:v>
      </x:c>
      <x:c r="AL288" s="11" t="n">
        <x:v>2266426</x:v>
      </x:c>
      <x:c r="AM288" s="12" t="n">
        <x:v>0.9768756189277132</x:v>
      </x:c>
      <x:c r="AN288" s="12" t="n">
        <x:v>0.014224585975378857</x:v>
      </x:c>
      <x:c r="AO288" s="11" t="n">
        <x:v>5230984</x:v>
      </x:c>
      <x:c r="AP288" s="11" t="n">
        <x:v>4903570</x:v>
      </x:c>
      <x:c r="AQ288" s="12" t="n">
        <x:v>0.9374087169832674</x:v>
      </x:c>
      <x:c r="AR288" s="11" t="n">
        <x:v>5044.0202195262855</x:v>
      </x:c>
      <x:c r="AS288" s="11" t="n">
        <x:v>3307.570190641248</x:v>
      </x:c>
      <x:c r="AT288" s="11" t="n">
        <x:v>8182.079145002888</x:v>
      </x:c>
      <x:c r="AU288" s="11" t="n">
        <x:v>1568.1883304448295</x:v>
      </x:c>
      <x:c r="AV288" s="11" t="n">
        <x:v>184.01964182553436</x:v>
      </x:c>
      <x:c r="AW288" s="11" t="n">
        <x:v>2.198997798105185</x:v>
      </x:c>
      <x:c r="AX288" s="12" t="n">
        <x:v>0.9700630609246798</x:v>
      </x:c>
      <x:c r="AY288" s="11"/>
      <x:c r="AZ288" s="11"/>
      <x:c r="BA288" s="11"/>
      <x:c r="BB288" s="11"/>
      <x:c r="BC288" s="11"/>
      <x:c r="BD288" s="11"/>
      <x:c r="BE288" s="11"/>
      <x:c r="BF288" s="11"/>
      <x:c r="BG288" s="11"/>
      <x:c r="BH288" s="11"/>
      <x:c r="BI288" s="11"/>
      <x:c r="BJ288" s="11"/>
      <x:c r="BK288" s="12"/>
      <x:c r="BL288" s="12"/>
      <x:c r="BM288" s="12"/>
      <x:c r="BN288" s="12"/>
      <x:c r="BO288" s="12"/>
      <x:c r="BP288" s="12"/>
      <x:c r="BQ288" s="12"/>
      <x:c r="BR288" s="12"/>
      <x:c r="BS288" s="12"/>
      <x:c r="BT288" s="12"/>
      <x:c r="BU288" s="11" t="n">
        <x:v>0</x:v>
      </x:c>
      <x:c r="BV288" s="11" t="n">
        <x:v>2340614</x:v>
      </x:c>
      <x:c r="BW288" s="11" t="n">
        <x:v>128254</x:v>
      </x:c>
      <x:c r="BX288" s="11" t="n">
        <x:v>747745</x:v>
      </x:c>
      <x:c r="BY288" s="11" t="n">
        <x:v>0</x:v>
      </x:c>
      <x:c r="BZ288" s="11" t="n">
        <x:v>343624</x:v>
      </x:c>
      <x:c r="CA288" s="11" t="n">
        <x:v>0</x:v>
      </x:c>
      <x:c r="CB288" s="11" t="n">
        <x:v>114006</x:v>
      </x:c>
      <x:c r="CC288" s="11" t="n">
        <x:v>1589162</x:v>
      </x:c>
      <x:c r="CD288" s="11" t="n">
        <x:v>313985</x:v>
      </x:c>
      <x:c r="CE288" s="11" t="n">
        <x:v>244971</x:v>
      </x:c>
      <x:c r="CF288" s="11" t="n">
        <x:v>7213</x:v>
      </x:c>
      <x:c r="CG288" s="11" t="n">
        <x:v>373091</x:v>
      </x:c>
      <x:c r="CH288" s="11" t="n">
        <x:v>161862</x:v>
      </x:c>
      <x:c r="CI288" s="11" t="n">
        <x:v>364373</x:v>
      </x:c>
      <x:c r="CJ288" s="11" t="n">
        <x:v>408026</x:v>
      </x:c>
      <x:c r="CK288" s="11" t="n">
        <x:v>681261</x:v>
      </x:c>
      <x:c r="CL288" s="11" t="n">
        <x:v>376692</x:v>
      </x:c>
      <x:c r="CM288" s="11" t="n">
        <x:v>2444</x:v>
      </x:c>
      <x:c r="CN288" s="11" t="n">
        <x:v>0</x:v>
      </x:c>
      <x:c r="CO288" s="11" t="n">
        <x:v>0</x:v>
      </x:c>
      <x:c r="CP288" s="8"/>
      <x:c r="CQ288" s="8"/>
    </x:row>
    <x:row r="289">
      <x:c r="A289" s="8" t="str">
        <x:v>Harrison Hot Springs|2024</x:v>
      </x:c>
      <x:c r="B289" s="8" t="str">
        <x:v>harrison-hot-springs-v</x:v>
      </x:c>
      <x:c r="C289" s="8" t="str">
        <x:v>Harrison Hot Springs</x:v>
      </x:c>
      <x:c r="D289" s="8" t="str">
        <x:v>Harrison Hot Springs</x:v>
      </x:c>
      <x:c r="E289" s="8" t="str">
        <x:v>V</x:v>
      </x:c>
      <x:c r="F289" s="8" t="str">
        <x:v>FVR</x:v>
      </x:c>
      <x:c r="G289" s="9" t="n">
        <x:v>2024</x:v>
      </x:c>
      <x:c r="H289" s="10" t="n">
        <x:v>1731</x:v>
      </x:c>
      <x:c r="I289" s="8" t="str">
        <x:v>Under 5,000</x:v>
      </x:c>
      <x:c r="J289" s="11" t="n">
        <x:v>9153368</x:v>
      </x:c>
      <x:c r="K289" s="11" t="n">
        <x:v>6350630</x:v>
      </x:c>
      <x:c r="L289" s="11" t="n">
        <x:v>2802738</x:v>
      </x:c>
      <x:c r="M289" s="12" t="n">
        <x:v>0.30619745649907226</x:v>
      </x:c>
      <x:c r="N289" s="11" t="n">
        <x:v>2988159</x:v>
      </x:c>
      <x:c r="O289" s="11" t="n">
        <x:v>2363580</x:v>
      </x:c>
      <x:c r="P289" s="11" t="n">
        <x:v>2180824</x:v>
      </x:c>
      <x:c r="Q289" s="11" t="n">
        <x:v>1620805</x:v>
      </x:c>
      <x:c r="R289" s="11" t="n">
        <x:v>5085909</x:v>
      </x:c>
      <x:c r="S289" s="11" t="n">
        <x:v>1251521</x:v>
      </x:c>
      <x:c r="T289" s="11" t="n">
        <x:v>24703264</x:v>
      </x:c>
      <x:c r="U289" s="11" t="n">
        <x:v>10507041</x:v>
      </x:c>
      <x:c r="V289" s="11" t="n">
        <x:v>15210763</x:v>
      </x:c>
      <x:c r="W289" s="11" t="n">
        <x:v>2823857</x:v>
      </x:c>
      <x:c r="X289" s="11" t="n">
        <x:v>318538</x:v>
      </x:c>
      <x:c r="Y289" s="11" t="n">
        <x:v>0</x:v>
      </x:c>
      <x:c r="Z289" s="11" t="n">
        <x:v>31095</x:v>
      </x:c>
      <x:c r="AA289" s="11" t="n">
        <x:v>277592</x:v>
      </x:c>
      <x:c r="AB289" s="11" t="n">
        <x:v>13200</x:v>
      </x:c>
      <x:c r="AC289" s="11" t="n">
        <x:v>44295</x:v>
      </x:c>
      <x:c r="AD289" s="11" t="n">
        <x:v>1671830</x:v>
      </x:c>
      <x:c r="AE289" s="11" t="n">
        <x:v>1627535</x:v>
      </x:c>
      <x:c r="AF289" s="11" t="n">
        <x:v>6687321</x:v>
      </x:c>
      <x:c r="AG289" s="11" t="n">
        <x:v>58982333</x:v>
      </x:c>
      <x:c r="AH289" s="11" t="n">
        <x:v>18847689</x:v>
      </x:c>
      <x:c r="AI289" s="11" t="n">
        <x:v>40134644</x:v>
      </x:c>
      <x:c r="AJ289" s="11" t="n">
        <x:v>3000783</x:v>
      </x:c>
      <x:c r="AK289" s="11" t="n">
        <x:v>101153840</x:v>
      </x:c>
      <x:c r="AL289" s="11" t="n">
        <x:v>2334418</x:v>
      </x:c>
      <x:c r="AM289" s="12" t="n">
        <x:v>0.9769221020180746</x:v>
      </x:c>
      <x:c r="AN289" s="12" t="n">
        <x:v>0.029665537165964238</x:v>
      </x:c>
      <x:c r="AO289" s="11" t="n">
        <x:v>5841591</x:v>
      </x:c>
      <x:c r="AP289" s="11" t="n">
        <x:v>5318149</x:v>
      </x:c>
      <x:c r="AQ289" s="12" t="n">
        <x:v>0.9103939320640558</x:v>
      </x:c>
      <x:c r="AR289" s="11" t="n">
        <x:v>5287.907567879838</x:v>
      </x:c>
      <x:c r="AS289" s="11" t="n">
        <x:v>3668.7637203928366</x:v>
      </x:c>
      <x:c r="AT289" s="11" t="n">
        <x:v>8787.269208549971</x:v>
      </x:c>
      <x:c r="AU289" s="11" t="n">
        <x:v>1631.3443096476026</x:v>
      </x:c>
      <x:c r="AV289" s="11" t="n">
        <x:v>160.36510687463894</x:v>
      </x:c>
      <x:c r="AW289" s="11" t="n">
        <x:v>2.351115218832781</x:v>
      </x:c>
      <x:c r="AX289" s="12" t="n">
        <x:v>0.9735050812582619</x:v>
      </x:c>
      <x:c r="AY289" s="11" t="n">
        <x:v>4648.097865362712</x:v>
      </x:c>
      <x:c r="AZ289" s="11" t="n">
        <x:v>3546.5079302077975</x:v>
      </x:c>
      <x:c r="BA289" s="11" t="n">
        <x:v>3428.422456291105</x:v>
      </x:c>
      <x:c r="BB289" s="11" t="n">
        <x:v>2783.665107049771</x:v>
      </x:c>
      <x:c r="BC289" s="11" t="n">
        <x:v>5030.364110900993</x:v>
      </x:c>
      <x:c r="BD289" s="11" t="n">
        <x:v>2437.8724475115623</x:v>
      </x:c>
      <x:c r="BE289" s="11" t="n">
        <x:v>2420.45</x:v>
      </x:c>
      <x:c r="BF289" s="11" t="n">
        <x:v>1604.3462673977224</x:v>
      </x:c>
      <x:c r="BG289" s="11" t="n">
        <x:v>224.31236112962716</x:v>
      </x:c>
      <x:c r="BH289" s="11" t="n">
        <x:v>518.5374381567245</x:v>
      </x:c>
      <x:c r="BI289" s="11" t="n">
        <x:v>2.204313821553219</x:v>
      </x:c>
      <x:c r="BJ289" s="11" t="n">
        <x:v>1.7099330852451193</x:v>
      </x:c>
      <x:c r="BK289" s="12" t="n">
        <x:v>0.030042455998363887</x:v>
      </x:c>
      <x:c r="BL289" s="12" t="n">
        <x:v>0.02529861000232605</x:v>
      </x:c>
      <x:c r="BM289" s="12" t="n">
        <x:v>0.9786113537119745</x:v>
      </x:c>
      <x:c r="BN289" s="12" t="n">
        <x:v>0.9815511712696461</x:v>
      </x:c>
      <x:c r="BO289" s="12" t="n">
        <x:v>0.9039920521842442</x:v>
      </x:c>
      <x:c r="BP289" s="12" t="n">
        <x:v>0.8619101997275483</x:v>
      </x:c>
      <x:c r="BQ289" s="12" t="n">
        <x:v>0.9333160528846489</x:v>
      </x:c>
      <x:c r="BR289" s="12" t="n">
        <x:v>0.9623635142836453</x:v>
      </x:c>
      <x:c r="BS289" s="12" t="n">
        <x:v>0.20869205825466772</x:v>
      </x:c>
      <x:c r="BT289" s="12" t="n">
        <x:v>0.19976549769108282</x:v>
      </x:c>
      <x:c r="BU289" s="11" t="n">
        <x:v>220344</x:v>
      </x:c>
      <x:c r="BV289" s="11" t="n">
        <x:v>1960480</x:v>
      </x:c>
      <x:c r="BW289" s="11" t="n">
        <x:v>0</x:v>
      </x:c>
      <x:c r="BX289" s="11" t="n">
        <x:v>822108</x:v>
      </x:c>
      <x:c r="BY289" s="11" t="n">
        <x:v>0</x:v>
      </x:c>
      <x:c r="BZ289" s="11" t="n">
        <x:v>634672</x:v>
      </x:c>
      <x:c r="CA289" s="11" t="n">
        <x:v>0</x:v>
      </x:c>
      <x:c r="CB289" s="11" t="n">
        <x:v>164025</x:v>
      </x:c>
      <x:c r="CC289" s="11" t="n">
        <x:v>1725585</x:v>
      </x:c>
      <x:c r="CD289" s="11" t="n">
        <x:v>334981</x:v>
      </x:c>
      <x:c r="CE289" s="11" t="n">
        <x:v>242257</x:v>
      </x:c>
      <x:c r="CF289" s="11" t="n">
        <x:v>7532</x:v>
      </x:c>
      <x:c r="CG289" s="11" t="n">
        <x:v>453900</x:v>
      </x:c>
      <x:c r="CH289" s="11" t="n">
        <x:v>164336</x:v>
      </x:c>
      <x:c r="CI289" s="11" t="n">
        <x:v>473964</x:v>
      </x:c>
      <x:c r="CJ289" s="11" t="n">
        <x:v>484616</x:v>
      </x:c>
      <x:c r="CK289" s="11" t="n">
        <x:v>791361</x:v>
      </x:c>
      <x:c r="CL289" s="11" t="n">
        <x:v>418034</x:v>
      </x:c>
      <x:c r="CM289" s="11" t="n">
        <x:v>2543</x:v>
      </x:c>
      <x:c r="CN289" s="11" t="n">
        <x:v>0</x:v>
      </x:c>
      <x:c r="CO289" s="11" t="n">
        <x:v>0</x:v>
      </x:c>
      <x:c r="CP289" s="8"/>
      <x:c r="CQ289" s="8"/>
    </x:row>
    <x:row r="290">
      <x:c r="A290" s="8" t="str">
        <x:v>Hazelton|2019</x:v>
      </x:c>
      <x:c r="B290" s="8" t="str">
        <x:v>hazelton-v</x:v>
      </x:c>
      <x:c r="C290" s="8" t="str">
        <x:v>Hazelton</x:v>
      </x:c>
      <x:c r="D290" s="8" t="str">
        <x:v>Hazelton</x:v>
      </x:c>
      <x:c r="E290" s="8" t="str">
        <x:v>V</x:v>
      </x:c>
      <x:c r="F290" s="8" t="str">
        <x:v>KIT</x:v>
      </x:c>
      <x:c r="G290" s="9" t="n">
        <x:v>2019</x:v>
      </x:c>
      <x:c r="H290" s="10" t="n">
        <x:v>325</x:v>
      </x:c>
      <x:c r="I290" s="8" t="str">
        <x:v>Under 5,000</x:v>
      </x:c>
      <x:c r="J290" s="11" t="n">
        <x:v>3334330</x:v>
      </x:c>
      <x:c r="K290" s="11" t="n">
        <x:v>1671050</x:v>
      </x:c>
      <x:c r="L290" s="11" t="n">
        <x:v>1663280</x:v>
      </x:c>
      <x:c r="M290" s="12" t="n">
        <x:v>0.49883484838033426</x:v>
      </x:c>
      <x:c r="N290" s="11" t="n">
        <x:v>312058</x:v>
      </x:c>
      <x:c r="O290" s="11" t="n">
        <x:v>200337</x:v>
      </x:c>
      <x:c r="P290" s="11" t="n">
        <x:v>2753353</x:v>
      </x:c>
      <x:c r="Q290" s="11" t="n">
        <x:v>68582</x:v>
      </x:c>
      <x:c r="R290" s="11" t="n">
        <x:v>1442288</x:v>
      </x:c>
      <x:c r="S290" s="11" t="n">
        <x:v>228762</x:v>
      </x:c>
      <x:c r="T290" s="11" t="n">
        <x:v>3168590</x:v>
      </x:c>
      <x:c r="U290" s="11" t="n">
        <x:v>610995</x:v>
      </x:c>
      <x:c r="V290" s="11" t="n">
        <x:v>2697042</x:v>
      </x:c>
      <x:c r="W290" s="11" t="n">
        <x:v>1753883</x:v>
      </x:c>
      <x:c r="X290" s="11" t="n">
        <x:v>0</x:v>
      </x:c>
      <x:c r="Y290" s="11" t="n">
        <x:v>0</x:v>
      </x:c>
      <x:c r="Z290" s="11" t="n">
        <x:v>0</x:v>
      </x:c>
      <x:c r="AA290" s="11" t="n">
        <x:v>0</x:v>
      </x:c>
      <x:c r="AB290" s="11" t="n">
        <x:v>0</x:v>
      </x:c>
      <x:c r="AC290" s="11" t="n">
        <x:v>0</x:v>
      </x:c>
      <x:c r="AD290" s="11" t="n">
        <x:v>268887</x:v>
      </x:c>
      <x:c r="AE290" s="11" t="n">
        <x:v>268887</x:v>
      </x:c>
      <x:c r="AF290" s="11" t="n">
        <x:v>1075548</x:v>
      </x:c>
      <x:c r="AG290" s="11" t="n">
        <x:v>9759067</x:v>
      </x:c>
      <x:c r="AH290" s="11" t="n">
        <x:v>5400640</x:v>
      </x:c>
      <x:c r="AI290" s="11" t="n">
        <x:v>4358427</x:v>
      </x:c>
      <x:c r="AJ290" s="11" t="n">
        <x:v>44533</x:v>
      </x:c>
      <x:c r="AK290" s="11" t="n">
        <x:v>536183</x:v>
      </x:c>
      <x:c r="AL290" s="11" t="n">
        <x:v>0</x:v>
      </x:c>
      <x:c r="AM290" s="12" t="n">
        <x:v>1</x:v>
      </x:c>
      <x:c r="AN290" s="12" t="n">
        <x:v>0.08305559855497097</x:v>
      </x:c>
      <x:c r="AO290" s="11" t="n">
        <x:v>458981</x:v>
      </x:c>
      <x:c r="AP290" s="11" t="n">
        <x:v>398367</x:v>
      </x:c>
      <x:c r="AQ290" s="12" t="n">
        <x:v>0.8679378884964737</x:v>
      </x:c>
      <x:c r="AR290" s="11" t="n">
        <x:v>10259.476923076923</x:v>
      </x:c>
      <x:c r="AS290" s="11" t="n">
        <x:v>5141.692307692308</x:v>
      </x:c>
      <x:c r="AT290" s="11" t="n">
        <x:v>8298.59076923077</x:v>
      </x:c>
      <x:c r="AU290" s="11" t="n">
        <x:v>5396.563076923077</x:v>
      </x:c>
      <x:c r="AV290" s="11" t="n">
        <x:v>0</x:v>
      </x:c>
      <x:c r="AW290" s="11" t="n">
        <x:v>5.185950785194642</x:v>
      </x:c>
      <x:c r="AX290" s="12" t="n">
        <x:v>1</x:v>
      </x:c>
      <x:c r="AY290" s="11"/>
      <x:c r="AZ290" s="11"/>
      <x:c r="BA290" s="11"/>
      <x:c r="BB290" s="11"/>
      <x:c r="BC290" s="11"/>
      <x:c r="BD290" s="11"/>
      <x:c r="BE290" s="11"/>
      <x:c r="BF290" s="11"/>
      <x:c r="BG290" s="11"/>
      <x:c r="BH290" s="11"/>
      <x:c r="BI290" s="11"/>
      <x:c r="BJ290" s="11"/>
      <x:c r="BK290" s="12"/>
      <x:c r="BL290" s="12"/>
      <x:c r="BM290" s="12"/>
      <x:c r="BN290" s="12"/>
      <x:c r="BO290" s="12"/>
      <x:c r="BP290" s="12"/>
      <x:c r="BQ290" s="12"/>
      <x:c r="BR290" s="12"/>
      <x:c r="BS290" s="12"/>
      <x:c r="BT290" s="12"/>
      <x:c r="BU290" s="11" t="n">
        <x:v>2244944</x:v>
      </x:c>
      <x:c r="BV290" s="11" t="n">
        <x:v>494571</x:v>
      </x:c>
      <x:c r="BW290" s="11" t="n">
        <x:v>13838</x:v>
      </x:c>
      <x:c r="BX290" s="11" t="n">
        <x:v>39378</x:v>
      </x:c>
      <x:c r="BY290" s="11" t="n">
        <x:v>0</x:v>
      </x:c>
      <x:c r="BZ290" s="11" t="n">
        <x:v>0</x:v>
      </x:c>
      <x:c r="CA290" s="11" t="n">
        <x:v>0</x:v>
      </x:c>
      <x:c r="CB290" s="11" t="n">
        <x:v>29204</x:v>
      </x:c>
      <x:c r="CC290" s="11" t="n">
        <x:v>359324</x:v>
      </x:c>
      <x:c r="CD290" s="11" t="n">
        <x:v>27551</x:v>
      </x:c>
      <x:c r="CE290" s="11" t="n">
        <x:v>54677</x:v>
      </x:c>
      <x:c r="CF290" s="11" t="n">
        <x:v>0</x:v>
      </x:c>
      <x:c r="CG290" s="11" t="n">
        <x:v>53689</x:v>
      </x:c>
      <x:c r="CH290" s="11" t="n">
        <x:v>212948</x:v>
      </x:c>
      <x:c r="CI290" s="11" t="n">
        <x:v>592494</x:v>
      </x:c>
      <x:c r="CJ290" s="11" t="n">
        <x:v>57360</x:v>
      </x:c>
      <x:c r="CK290" s="11" t="n">
        <x:v>84245</x:v>
      </x:c>
      <x:c r="CL290" s="11" t="n">
        <x:v>0</x:v>
      </x:c>
      <x:c r="CM290" s="11"/>
      <x:c r="CN290" s="11" t="n">
        <x:v>0</x:v>
      </x:c>
      <x:c r="CO290" s="11" t="n">
        <x:v>0</x:v>
      </x:c>
      <x:c r="CP290" s="8"/>
      <x:c r="CQ290" s="8"/>
    </x:row>
    <x:row r="291">
      <x:c r="A291" s="8" t="str">
        <x:v>Hazelton|2020</x:v>
      </x:c>
      <x:c r="B291" s="8" t="str">
        <x:v>hazelton-v</x:v>
      </x:c>
      <x:c r="C291" s="8" t="str">
        <x:v>Hazelton</x:v>
      </x:c>
      <x:c r="D291" s="8" t="str">
        <x:v>Hazelton</x:v>
      </x:c>
      <x:c r="E291" s="8" t="str">
        <x:v>V</x:v>
      </x:c>
      <x:c r="F291" s="8" t="str">
        <x:v>KIT</x:v>
      </x:c>
      <x:c r="G291" s="9" t="n">
        <x:v>2020</x:v>
      </x:c>
      <x:c r="H291" s="10" t="n">
        <x:v>329</x:v>
      </x:c>
      <x:c r="I291" s="8" t="str">
        <x:v>Under 5,000</x:v>
      </x:c>
      <x:c r="J291" s="11" t="n">
        <x:v>1841539</x:v>
      </x:c>
      <x:c r="K291" s="11" t="n">
        <x:v>1414259</x:v>
      </x:c>
      <x:c r="L291" s="11" t="n">
        <x:v>427280</x:v>
      </x:c>
      <x:c r="M291" s="12" t="n">
        <x:v>0.2320233239697883</x:v>
      </x:c>
      <x:c r="N291" s="11" t="n">
        <x:v>355058</x:v>
      </x:c>
      <x:c r="O291" s="11" t="n">
        <x:v>193351</x:v>
      </x:c>
      <x:c r="P291" s="11" t="n">
        <x:v>1230980</x:v>
      </x:c>
      <x:c r="Q291" s="11" t="n">
        <x:v>62150</x:v>
      </x:c>
      <x:c r="R291" s="11" t="n">
        <x:v>1179859</x:v>
      </x:c>
      <x:c r="S291" s="11" t="n">
        <x:v>234400</x:v>
      </x:c>
      <x:c r="T291" s="11" t="n">
        <x:v>3765237</x:v>
      </x:c>
      <x:c r="U291" s="11" t="n">
        <x:v>843297</x:v>
      </x:c>
      <x:c r="V291" s="11" t="n">
        <x:v>3165744</x:v>
      </x:c>
      <x:c r="W291" s="11" t="n">
        <x:v>2107919</x:v>
      </x:c>
      <x:c r="X291" s="11" t="n">
        <x:v>0</x:v>
      </x:c>
      <x:c r="Y291" s="11" t="n">
        <x:v>0</x:v>
      </x:c>
      <x:c r="Z291" s="11" t="n">
        <x:v>0</x:v>
      </x:c>
      <x:c r="AA291" s="11" t="n">
        <x:v>0</x:v>
      </x:c>
      <x:c r="AB291" s="11" t="n">
        <x:v>0</x:v>
      </x:c>
      <x:c r="AC291" s="11" t="n">
        <x:v>0</x:v>
      </x:c>
      <x:c r="AD291" s="11" t="n">
        <x:v>280820</x:v>
      </x:c>
      <x:c r="AE291" s="11" t="n">
        <x:v>280820</x:v>
      </x:c>
      <x:c r="AF291" s="11" t="n">
        <x:v>1123279</x:v>
      </x:c>
      <x:c r="AG291" s="11" t="n">
        <x:v>9921549</x:v>
      </x:c>
      <x:c r="AH291" s="11" t="n">
        <x:v>5603258</x:v>
      </x:c>
      <x:c r="AI291" s="11" t="n">
        <x:v>4318291</x:v>
      </x:c>
      <x:c r="AJ291" s="11" t="n">
        <x:v>194264</x:v>
      </x:c>
      <x:c r="AK291" s="11" t="n">
        <x:v>568880</x:v>
      </x:c>
      <x:c r="AL291" s="11" t="n">
        <x:v>0</x:v>
      </x:c>
      <x:c r="AM291" s="12" t="n">
        <x:v>1</x:v>
      </x:c>
      <x:c r="AN291" s="12" t="n">
        <x:v>0.34148502320348756</x:v>
      </x:c>
      <x:c r="AO291" s="11" t="n">
        <x:v>548902</x:v>
      </x:c>
      <x:c r="AP291" s="11" t="n">
        <x:v>498383</x:v>
      </x:c>
      <x:c r="AQ291" s="12" t="n">
        <x:v>0.9079635344742777</x:v>
      </x:c>
      <x:c r="AR291" s="11" t="n">
        <x:v>5597.382978723404</x:v>
      </x:c>
      <x:c r="AS291" s="11" t="n">
        <x:v>4298.659574468085</x:v>
      </x:c>
      <x:c r="AT291" s="11" t="n">
        <x:v>9622.322188449849</x:v>
      </x:c>
      <x:c r="AU291" s="11" t="n">
        <x:v>6407.048632218845</x:v>
      </x:c>
      <x:c r="AV291" s="11" t="n">
        <x:v>0</x:v>
      </x:c>
      <x:c r="AW291" s="11" t="n">
        <x:v>4.464900266454167</x:v>
      </x:c>
      <x:c r="AX291" s="12" t="n">
        <x:v>1</x:v>
      </x:c>
      <x:c r="AY291" s="11"/>
      <x:c r="AZ291" s="11"/>
      <x:c r="BA291" s="11"/>
      <x:c r="BB291" s="11"/>
      <x:c r="BC291" s="11"/>
      <x:c r="BD291" s="11"/>
      <x:c r="BE291" s="11"/>
      <x:c r="BF291" s="11"/>
      <x:c r="BG291" s="11"/>
      <x:c r="BH291" s="11"/>
      <x:c r="BI291" s="11"/>
      <x:c r="BJ291" s="11"/>
      <x:c r="BK291" s="12"/>
      <x:c r="BL291" s="12"/>
      <x:c r="BM291" s="12"/>
      <x:c r="BN291" s="12"/>
      <x:c r="BO291" s="12"/>
      <x:c r="BP291" s="12"/>
      <x:c r="BQ291" s="12"/>
      <x:c r="BR291" s="12"/>
      <x:c r="BS291" s="12"/>
      <x:c r="BT291" s="12"/>
      <x:c r="BU291" s="11" t="n">
        <x:v>430580</x:v>
      </x:c>
      <x:c r="BV291" s="11" t="n">
        <x:v>780720</x:v>
      </x:c>
      <x:c r="BW291" s="11" t="n">
        <x:v>19680</x:v>
      </x:c>
      <x:c r="BX291" s="11" t="n">
        <x:v>27901</x:v>
      </x:c>
      <x:c r="BY291" s="11" t="n">
        <x:v>0</x:v>
      </x:c>
      <x:c r="BZ291" s="11" t="n">
        <x:v>0</x:v>
      </x:c>
      <x:c r="CA291" s="11" t="n">
        <x:v>0</x:v>
      </x:c>
      <x:c r="CB291" s="11" t="n">
        <x:v>34249</x:v>
      </x:c>
      <x:c r="CC291" s="11" t="n">
        <x:v>330983</x:v>
      </x:c>
      <x:c r="CD291" s="11" t="n">
        <x:v>133680</x:v>
      </x:c>
      <x:c r="CE291" s="11" t="n">
        <x:v>55785</x:v>
      </x:c>
      <x:c r="CF291" s="11" t="n">
        <x:v>0</x:v>
      </x:c>
      <x:c r="CG291" s="11" t="n">
        <x:v>88923</x:v>
      </x:c>
      <x:c r="CH291" s="11" t="n">
        <x:v>273339</x:v>
      </x:c>
      <x:c r="CI291" s="11" t="n">
        <x:v>161625</x:v>
      </x:c>
      <x:c r="CJ291" s="11" t="n">
        <x:v>54101</x:v>
      </x:c>
      <x:c r="CK291" s="11" t="n">
        <x:v>81423</x:v>
      </x:c>
      <x:c r="CL291" s="11" t="n">
        <x:v>0</x:v>
      </x:c>
      <x:c r="CM291" s="11"/>
      <x:c r="CN291" s="11" t="n">
        <x:v>0</x:v>
      </x:c>
      <x:c r="CO291" s="11" t="n">
        <x:v>0</x:v>
      </x:c>
      <x:c r="CP291" s="8"/>
      <x:c r="CQ291" s="8"/>
    </x:row>
    <x:row r="292">
      <x:c r="A292" s="8" t="str">
        <x:v>Hazelton|2021</x:v>
      </x:c>
      <x:c r="B292" s="8" t="str">
        <x:v>hazelton-v</x:v>
      </x:c>
      <x:c r="C292" s="8" t="str">
        <x:v>Hazelton</x:v>
      </x:c>
      <x:c r="D292" s="8" t="str">
        <x:v>Hazelton</x:v>
      </x:c>
      <x:c r="E292" s="8" t="str">
        <x:v>V</x:v>
      </x:c>
      <x:c r="F292" s="8" t="str">
        <x:v>KIT</x:v>
      </x:c>
      <x:c r="G292" s="9" t="n">
        <x:v>2021</x:v>
      </x:c>
      <x:c r="H292" s="10" t="n">
        <x:v>335</x:v>
      </x:c>
      <x:c r="I292" s="8" t="str">
        <x:v>Under 5,000</x:v>
      </x:c>
      <x:c r="J292" s="11" t="n">
        <x:v>1771406</x:v>
      </x:c>
      <x:c r="K292" s="11" t="n">
        <x:v>1420106</x:v>
      </x:c>
      <x:c r="L292" s="11" t="n">
        <x:v>351300</x:v>
      </x:c>
      <x:c r="M292" s="12" t="n">
        <x:v>0.19831704307200043</x:v>
      </x:c>
      <x:c r="N292" s="11" t="n">
        <x:v>347072</x:v>
      </x:c>
      <x:c r="O292" s="11" t="n">
        <x:v>184975</x:v>
      </x:c>
      <x:c r="P292" s="11" t="n">
        <x:v>990935</x:v>
      </x:c>
      <x:c r="Q292" s="11" t="n">
        <x:v>248424</x:v>
      </x:c>
      <x:c r="R292" s="11" t="n">
        <x:v>1171485</x:v>
      </x:c>
      <x:c r="S292" s="11" t="n">
        <x:v>248621</x:v>
      </x:c>
      <x:c r="T292" s="11" t="n">
        <x:v>3785912</x:v>
      </x:c>
      <x:c r="U292" s="11" t="n">
        <x:v>804127</x:v>
      </x:c>
      <x:c r="V292" s="11" t="n">
        <x:v>3417876</x:v>
      </x:c>
      <x:c r="W292" s="11" t="n">
        <x:v>2324555</x:v>
      </x:c>
      <x:c r="X292" s="11" t="n">
        <x:v>0</x:v>
      </x:c>
      <x:c r="Y292" s="11" t="n">
        <x:v>0</x:v>
      </x:c>
      <x:c r="Z292" s="11" t="n">
        <x:v>0</x:v>
      </x:c>
      <x:c r="AA292" s="11" t="n">
        <x:v>0</x:v>
      </x:c>
      <x:c r="AB292" s="11" t="n">
        <x:v>0</x:v>
      </x:c>
      <x:c r="AC292" s="11" t="n">
        <x:v>0</x:v>
      </x:c>
      <x:c r="AD292" s="11" t="n">
        <x:v>284339</x:v>
      </x:c>
      <x:c r="AE292" s="11" t="n">
        <x:v>284339</x:v>
      </x:c>
      <x:c r="AF292" s="11" t="n">
        <x:v>1137357</x:v>
      </x:c>
      <x:c r="AG292" s="11" t="n">
        <x:v>10218415</x:v>
      </x:c>
      <x:c r="AH292" s="11" t="n">
        <x:v>5804799</x:v>
      </x:c>
      <x:c r="AI292" s="11" t="n">
        <x:v>4413616</x:v>
      </x:c>
      <x:c r="AJ292" s="11" t="n">
        <x:v>371338</x:v>
      </x:c>
      <x:c r="AK292" s="11" t="n">
        <x:v>541488</x:v>
      </x:c>
      <x:c r="AL292" s="11" t="n">
        <x:v>0</x:v>
      </x:c>
      <x:c r="AM292" s="12" t="n">
        <x:v>1</x:v>
      </x:c>
      <x:c r="AN292" s="12" t="n">
        <x:v>0.6857732766007741</x:v>
      </x:c>
      <x:c r="AO292" s="11" t="n">
        <x:v>551226</x:v>
      </x:c>
      <x:c r="AP292" s="11" t="n">
        <x:v>509151</x:v>
      </x:c>
      <x:c r="AQ292" s="12" t="n">
        <x:v>0.9236701461832352</x:v>
      </x:c>
      <x:c r="AR292" s="11" t="n">
        <x:v>5287.779104477612</x:v>
      </x:c>
      <x:c r="AS292" s="11" t="n">
        <x:v>4239.122388059702</x:v>
      </x:c>
      <x:c r="AT292" s="11" t="n">
        <x:v>10202.614925373135</x:v>
      </x:c>
      <x:c r="AU292" s="11" t="n">
        <x:v>6938.9701492537315</x:v>
      </x:c>
      <x:c r="AV292" s="11" t="n">
        <x:v>0</x:v>
      </x:c>
      <x:c r="AW292" s="11" t="n">
        <x:v>4.708102078403038</x:v>
      </x:c>
      <x:c r="AX292" s="12" t="n">
        <x:v>1</x:v>
      </x:c>
      <x:c r="AY292" s="11"/>
      <x:c r="AZ292" s="11"/>
      <x:c r="BA292" s="11"/>
      <x:c r="BB292" s="11"/>
      <x:c r="BC292" s="11"/>
      <x:c r="BD292" s="11"/>
      <x:c r="BE292" s="11"/>
      <x:c r="BF292" s="11"/>
      <x:c r="BG292" s="11"/>
      <x:c r="BH292" s="11"/>
      <x:c r="BI292" s="11"/>
      <x:c r="BJ292" s="11"/>
      <x:c r="BK292" s="12"/>
      <x:c r="BL292" s="12"/>
      <x:c r="BM292" s="12"/>
      <x:c r="BN292" s="12"/>
      <x:c r="BO292" s="12"/>
      <x:c r="BP292" s="12"/>
      <x:c r="BQ292" s="12"/>
      <x:c r="BR292" s="12"/>
      <x:c r="BS292" s="12"/>
      <x:c r="BT292" s="12"/>
      <x:c r="BU292" s="11" t="n">
        <x:v>139962</x:v>
      </x:c>
      <x:c r="BV292" s="11" t="n">
        <x:v>763527</x:v>
      </x:c>
      <x:c r="BW292" s="11" t="n">
        <x:v>87446</x:v>
      </x:c>
      <x:c r="BX292" s="11" t="n">
        <x:v>16816</x:v>
      </x:c>
      <x:c r="BY292" s="11" t="n">
        <x:v>0</x:v>
      </x:c>
      <x:c r="BZ292" s="11" t="n">
        <x:v>0</x:v>
      </x:c>
      <x:c r="CA292" s="11" t="n">
        <x:v>173827</x:v>
      </x:c>
      <x:c r="CB292" s="11" t="n">
        <x:v>57781</x:v>
      </x:c>
      <x:c r="CC292" s="11" t="n">
        <x:v>350764</x:v>
      </x:c>
      <x:c r="CD292" s="11" t="n">
        <x:v>206477</x:v>
      </x:c>
      <x:c r="CE292" s="11" t="n">
        <x:v>19160</x:v>
      </x:c>
      <x:c r="CF292" s="11" t="n">
        <x:v>0</x:v>
      </x:c>
      <x:c r="CG292" s="11" t="n">
        <x:v>93968</x:v>
      </x:c>
      <x:c r="CH292" s="11" t="n">
        <x:v>215352</x:v>
      </x:c>
      <x:c r="CI292" s="11" t="n">
        <x:v>29132</x:v>
      </x:c>
      <x:c r="CJ292" s="11" t="n">
        <x:v>46864</x:v>
      </x:c>
      <x:c r="CK292" s="11" t="n">
        <x:v>89904</x:v>
      </x:c>
      <x:c r="CL292" s="11" t="n">
        <x:v>0</x:v>
      </x:c>
      <x:c r="CM292" s="11"/>
      <x:c r="CN292" s="11" t="n">
        <x:v>0</x:v>
      </x:c>
      <x:c r="CO292" s="11" t="n">
        <x:v>119864</x:v>
      </x:c>
      <x:c r="CP292" s="8"/>
      <x:c r="CQ292" s="8"/>
    </x:row>
    <x:row r="293">
      <x:c r="A293" s="8" t="str">
        <x:v>Hazelton|2022</x:v>
      </x:c>
      <x:c r="B293" s="8" t="str">
        <x:v>hazelton-v</x:v>
      </x:c>
      <x:c r="C293" s="8" t="str">
        <x:v>Hazelton</x:v>
      </x:c>
      <x:c r="D293" s="8" t="str">
        <x:v>Hazelton</x:v>
      </x:c>
      <x:c r="E293" s="8" t="str">
        <x:v>V</x:v>
      </x:c>
      <x:c r="F293" s="8" t="str">
        <x:v>KIT</x:v>
      </x:c>
      <x:c r="G293" s="9" t="n">
        <x:v>2022</x:v>
      </x:c>
      <x:c r="H293" s="10" t="n">
        <x:v>2599</x:v>
      </x:c>
      <x:c r="I293" s="8" t="str">
        <x:v>Under 5,000</x:v>
      </x:c>
      <x:c r="J293" s="11" t="n">
        <x:v>1798042</x:v>
      </x:c>
      <x:c r="K293" s="11" t="n">
        <x:v>1288622</x:v>
      </x:c>
      <x:c r="L293" s="11" t="n">
        <x:v>509420</x:v>
      </x:c>
      <x:c r="M293" s="12" t="n">
        <x:v>0.2833192995491763</x:v>
      </x:c>
      <x:c r="N293" s="11" t="n">
        <x:v>348424</x:v>
      </x:c>
      <x:c r="O293" s="11" t="n">
        <x:v>191562</x:v>
      </x:c>
      <x:c r="P293" s="11" t="n">
        <x:v>1130652</x:v>
      </x:c>
      <x:c r="Q293" s="11" t="n">
        <x:v>127404</x:v>
      </x:c>
      <x:c r="R293" s="11" t="n">
        <x:v>1040629</x:v>
      </x:c>
      <x:c r="S293" s="11" t="n">
        <x:v>247993</x:v>
      </x:c>
      <x:c r="T293" s="11" t="n">
        <x:v>4313792</x:v>
      </x:c>
      <x:c r="U293" s="11" t="n">
        <x:v>654537</x:v>
      </x:c>
      <x:c r="V293" s="11" t="n">
        <x:v>3948803</x:v>
      </x:c>
      <x:c r="W293" s="11" t="n">
        <x:v>2340087</x:v>
      </x:c>
      <x:c r="X293" s="11" t="n">
        <x:v>0</x:v>
      </x:c>
      <x:c r="Y293" s="11" t="n">
        <x:v>0</x:v>
      </x:c>
      <x:c r="Z293" s="11" t="n">
        <x:v>0</x:v>
      </x:c>
      <x:c r="AA293" s="11" t="n">
        <x:v>0</x:v>
      </x:c>
      <x:c r="AB293" s="11" t="n">
        <x:v>0</x:v>
      </x:c>
      <x:c r="AC293" s="11" t="n">
        <x:v>0</x:v>
      </x:c>
      <x:c r="AD293" s="11" t="n">
        <x:v>287348</x:v>
      </x:c>
      <x:c r="AE293" s="11" t="n">
        <x:v>287348</x:v>
      </x:c>
      <x:c r="AF293" s="11" t="n">
        <x:v>1149390</x:v>
      </x:c>
      <x:c r="AG293" s="11" t="n">
        <x:v>10441862</x:v>
      </x:c>
      <x:c r="AH293" s="11" t="n">
        <x:v>6052792</x:v>
      </x:c>
      <x:c r="AI293" s="11" t="n">
        <x:v>4389070</x:v>
      </x:c>
      <x:c r="AJ293" s="11" t="n">
        <x:v>223447</x:v>
      </x:c>
      <x:c r="AK293" s="11" t="n">
        <x:v>541488</x:v>
      </x:c>
      <x:c r="AL293" s="11" t="n">
        <x:v>0</x:v>
      </x:c>
      <x:c r="AM293" s="12" t="n">
        <x:v>1</x:v>
      </x:c>
      <x:c r="AN293" s="12" t="n">
        <x:v>0.41265365068108617</x:v>
      </x:c>
      <x:c r="AO293" s="11" t="n">
        <x:v>546101</x:v>
      </x:c>
      <x:c r="AP293" s="11" t="n">
        <x:v>522587</x:v>
      </x:c>
      <x:c r="AQ293" s="12" t="n">
        <x:v>0.9569420308697475</x:v>
      </x:c>
      <x:c r="AR293" s="11" t="n">
        <x:v>691.8207002693343</x:v>
      </x:c>
      <x:c r="AS293" s="11" t="n">
        <x:v>495.8145440554059</x:v>
      </x:c>
      <x:c r="AT293" s="11" t="n">
        <x:v>1519.354751827626</x:v>
      </x:c>
      <x:c r="AU293" s="11" t="n">
        <x:v>900.3797614467103</x:v>
      </x:c>
      <x:c r="AV293" s="11" t="n">
        <x:v>0</x:v>
      </x:c>
      <x:c r="AW293" s="11" t="n">
        <x:v>6.590600684147725</x:v>
      </x:c>
      <x:c r="AX293" s="12" t="n">
        <x:v>1</x:v>
      </x:c>
      <x:c r="AY293" s="11"/>
      <x:c r="AZ293" s="11"/>
      <x:c r="BA293" s="11"/>
      <x:c r="BB293" s="11"/>
      <x:c r="BC293" s="11"/>
      <x:c r="BD293" s="11"/>
      <x:c r="BE293" s="11"/>
      <x:c r="BF293" s="11"/>
      <x:c r="BG293" s="11"/>
      <x:c r="BH293" s="11"/>
      <x:c r="BI293" s="11"/>
      <x:c r="BJ293" s="11"/>
      <x:c r="BK293" s="12"/>
      <x:c r="BL293" s="12"/>
      <x:c r="BM293" s="12"/>
      <x:c r="BN293" s="12"/>
      <x:c r="BO293" s="12"/>
      <x:c r="BP293" s="12"/>
      <x:c r="BQ293" s="12"/>
      <x:c r="BR293" s="12"/>
      <x:c r="BS293" s="12"/>
      <x:c r="BT293" s="12"/>
      <x:c r="BU293" s="11" t="n">
        <x:v>23626</x:v>
      </x:c>
      <x:c r="BV293" s="11" t="n">
        <x:v>917180</x:v>
      </x:c>
      <x:c r="BW293" s="11" t="n">
        <x:v>189846</x:v>
      </x:c>
      <x:c r="BX293" s="11" t="n">
        <x:v>81616</x:v>
      </x:c>
      <x:c r="BY293" s="11" t="n">
        <x:v>0</x:v>
      </x:c>
      <x:c r="BZ293" s="11" t="n">
        <x:v>0</x:v>
      </x:c>
      <x:c r="CA293" s="11" t="n">
        <x:v>0</x:v>
      </x:c>
      <x:c r="CB293" s="11" t="n">
        <x:v>45788</x:v>
      </x:c>
      <x:c r="CC293" s="11" t="n">
        <x:v>429823</x:v>
      </x:c>
      <x:c r="CD293" s="11" t="n">
        <x:v>45436</x:v>
      </x:c>
      <x:c r="CE293" s="11" t="n">
        <x:v>19011</x:v>
      </x:c>
      <x:c r="CF293" s="11" t="n">
        <x:v>0</x:v>
      </x:c>
      <x:c r="CG293" s="11" t="n">
        <x:v>104049</x:v>
      </x:c>
      <x:c r="CH293" s="11" t="n">
        <x:v>210680</x:v>
      </x:c>
      <x:c r="CI293" s="11" t="n">
        <x:v>47711</x:v>
      </x:c>
      <x:c r="CJ293" s="11" t="n">
        <x:v>58276</x:v>
      </x:c>
      <x:c r="CK293" s="11" t="n">
        <x:v>99486</x:v>
      </x:c>
      <x:c r="CL293" s="11" t="n">
        <x:v>0</x:v>
      </x:c>
      <x:c r="CM293" s="11"/>
      <x:c r="CN293" s="11" t="n">
        <x:v>0</x:v>
      </x:c>
      <x:c r="CO293" s="11" t="n">
        <x:v>26157</x:v>
      </x:c>
      <x:c r="CP293" s="8"/>
      <x:c r="CQ293" s="8"/>
    </x:row>
    <x:row r="294">
      <x:c r="A294" s="8" t="str">
        <x:v>Hazelton|2023</x:v>
      </x:c>
      <x:c r="B294" s="8" t="str">
        <x:v>hazelton-v</x:v>
      </x:c>
      <x:c r="C294" s="8" t="str">
        <x:v>Hazelton</x:v>
      </x:c>
      <x:c r="D294" s="8" t="str">
        <x:v>Hazelton</x:v>
      </x:c>
      <x:c r="E294" s="8" t="str">
        <x:v>V</x:v>
      </x:c>
      <x:c r="F294" s="8" t="str">
        <x:v>KIT</x:v>
      </x:c>
      <x:c r="G294" s="9" t="n">
        <x:v>2023</x:v>
      </x:c>
      <x:c r="H294" s="10" t="n">
        <x:v>347</x:v>
      </x:c>
      <x:c r="I294" s="8" t="str">
        <x:v>Under 5,000</x:v>
      </x:c>
      <x:c r="J294" s="11" t="n">
        <x:v>4187074</x:v>
      </x:c>
      <x:c r="K294" s="11" t="n">
        <x:v>1236936</x:v>
      </x:c>
      <x:c r="L294" s="11" t="n">
        <x:v>2950138</x:v>
      </x:c>
      <x:c r="M294" s="12" t="n">
        <x:v>0.7045822452624434</x:v>
      </x:c>
      <x:c r="N294" s="11" t="n">
        <x:v>354635</x:v>
      </x:c>
      <x:c r="O294" s="11" t="n">
        <x:v>195291</x:v>
      </x:c>
      <x:c r="P294" s="11" t="n">
        <x:v>3148831</x:v>
      </x:c>
      <x:c r="Q294" s="11" t="n">
        <x:v>488317</x:v>
      </x:c>
      <x:c r="R294" s="11" t="n">
        <x:v>999133</x:v>
      </x:c>
      <x:c r="S294" s="11" t="n">
        <x:v>237803</x:v>
      </x:c>
      <x:c r="T294" s="11" t="n">
        <x:v>9024534</x:v>
      </x:c>
      <x:c r="U294" s="11" t="n">
        <x:v>7900570</x:v>
      </x:c>
      <x:c r="V294" s="11" t="n">
        <x:v>3134600</x:v>
      </x:c>
      <x:c r="W294" s="11" t="n">
        <x:v>1124551</x:v>
      </x:c>
      <x:c r="X294" s="11" t="n">
        <x:v>0</x:v>
      </x:c>
      <x:c r="Y294" s="11" t="n">
        <x:v>0</x:v>
      </x:c>
      <x:c r="Z294" s="11" t="n">
        <x:v>0</x:v>
      </x:c>
      <x:c r="AA294" s="11" t="n">
        <x:v>0</x:v>
      </x:c>
      <x:c r="AB294" s="11" t="n">
        <x:v>0</x:v>
      </x:c>
      <x:c r="AC294" s="11" t="n">
        <x:v>0</x:v>
      </x:c>
      <x:c r="AD294" s="11" t="n">
        <x:v>380061</x:v>
      </x:c>
      <x:c r="AE294" s="11" t="n">
        <x:v>380061</x:v>
      </x:c>
      <x:c r="AF294" s="11" t="n">
        <x:v>1520243</x:v>
      </x:c>
      <x:c r="AG294" s="11" t="n">
        <x:v>8357565</x:v>
      </x:c>
      <x:c r="AH294" s="11" t="n">
        <x:v>237802</x:v>
      </x:c>
      <x:c r="AI294" s="11" t="n">
        <x:v>8119763</x:v>
      </x:c>
      <x:c r="AJ294" s="11" t="n">
        <x:v>3963080</x:v>
      </x:c>
      <x:c r="AK294" s="11" t="n">
        <x:v>541488</x:v>
      </x:c>
      <x:c r="AL294" s="11" t="n">
        <x:v>0</x:v>
      </x:c>
      <x:c r="AM294" s="12" t="n">
        <x:v>1</x:v>
      </x:c>
      <x:c r="AN294" s="12" t="n">
        <x:v>7.318869485565701</x:v>
      </x:c>
      <x:c r="AO294" s="11" t="n">
        <x:v>551298</x:v>
      </x:c>
      <x:c r="AP294" s="11" t="n">
        <x:v>529838</x:v>
      </x:c>
      <x:c r="AQ294" s="12" t="n">
        <x:v>0.9610736842869011</x:v>
      </x:c>
      <x:c r="AR294" s="11" t="n">
        <x:v>12066.49567723343</x:v>
      </x:c>
      <x:c r="AS294" s="11" t="n">
        <x:v>3564.657060518732</x:v>
      </x:c>
      <x:c r="AT294" s="11" t="n">
        <x:v>9033.42939481268</x:v>
      </x:c>
      <x:c r="AU294" s="11" t="n">
        <x:v>3240.780979827089</x:v>
      </x:c>
      <x:c r="AV294" s="11" t="n">
        <x:v>0</x:v>
      </x:c>
      <x:c r="AW294" s="11" t="n">
        <x:v>1.1422636594574822</x:v>
      </x:c>
      <x:c r="AX294" s="12" t="n">
        <x:v>1</x:v>
      </x:c>
      <x:c r="AY294" s="11"/>
      <x:c r="AZ294" s="11"/>
      <x:c r="BA294" s="11"/>
      <x:c r="BB294" s="11"/>
      <x:c r="BC294" s="11"/>
      <x:c r="BD294" s="11"/>
      <x:c r="BE294" s="11"/>
      <x:c r="BF294" s="11"/>
      <x:c r="BG294" s="11"/>
      <x:c r="BH294" s="11"/>
      <x:c r="BI294" s="11"/>
      <x:c r="BJ294" s="11"/>
      <x:c r="BK294" s="12"/>
      <x:c r="BL294" s="12"/>
      <x:c r="BM294" s="12"/>
      <x:c r="BN294" s="12"/>
      <x:c r="BO294" s="12"/>
      <x:c r="BP294" s="12"/>
      <x:c r="BQ294" s="12"/>
      <x:c r="BR294" s="12"/>
      <x:c r="BS294" s="12"/>
      <x:c r="BT294" s="12"/>
      <x:c r="BU294" s="11" t="n">
        <x:v>1366</x:v>
      </x:c>
      <x:c r="BV294" s="11" t="n">
        <x:v>3080789</x:v>
      </x:c>
      <x:c r="BW294" s="11" t="n">
        <x:v>66676</x:v>
      </x:c>
      <x:c r="BX294" s="11" t="n">
        <x:v>290812</x:v>
      </x:c>
      <x:c r="BY294" s="11" t="n">
        <x:v>0</x:v>
      </x:c>
      <x:c r="BZ294" s="11" t="n">
        <x:v>0</x:v>
      </x:c>
      <x:c r="CA294" s="11" t="n">
        <x:v>0</x:v>
      </x:c>
      <x:c r="CB294" s="11" t="n">
        <x:v>197505</x:v>
      </x:c>
      <x:c r="CC294" s="11" t="n">
        <x:v>377062</x:v>
      </x:c>
      <x:c r="CD294" s="11" t="n">
        <x:v>41899</x:v>
      </x:c>
      <x:c r="CE294" s="11" t="n">
        <x:v>20054</x:v>
      </x:c>
      <x:c r="CF294" s="11" t="n">
        <x:v>0</x:v>
      </x:c>
      <x:c r="CG294" s="11" t="n">
        <x:v>77768</x:v>
      </x:c>
      <x:c r="CH294" s="11" t="n">
        <x:v>264266</x:v>
      </x:c>
      <x:c r="CI294" s="11" t="n">
        <x:v>26717</x:v>
      </x:c>
      <x:c r="CJ294" s="11" t="n">
        <x:v>65829</x:v>
      </x:c>
      <x:c r="CK294" s="11" t="n">
        <x:v>118348</x:v>
      </x:c>
      <x:c r="CL294" s="11" t="n">
        <x:v>0</x:v>
      </x:c>
      <x:c r="CM294" s="11" t="n">
        <x:v>2003</x:v>
      </x:c>
      <x:c r="CN294" s="11" t="n">
        <x:v>0</x:v>
      </x:c>
      <x:c r="CO294" s="11" t="n">
        <x:v>5187</x:v>
      </x:c>
      <x:c r="CP294" s="8"/>
      <x:c r="CQ294" s="8"/>
    </x:row>
    <x:row r="295">
      <x:c r="A295" s="8" t="str">
        <x:v>Hazelton|2024</x:v>
      </x:c>
      <x:c r="B295" s="8" t="str">
        <x:v>hazelton-v</x:v>
      </x:c>
      <x:c r="C295" s="8" t="str">
        <x:v>Hazelton</x:v>
      </x:c>
      <x:c r="D295" s="8" t="str">
        <x:v>Hazelton</x:v>
      </x:c>
      <x:c r="E295" s="8" t="str">
        <x:v>V</x:v>
      </x:c>
      <x:c r="F295" s="8" t="str">
        <x:v>KIT</x:v>
      </x:c>
      <x:c r="G295" s="9" t="n">
        <x:v>2024</x:v>
      </x:c>
      <x:c r="H295" s="10" t="n">
        <x:v>347</x:v>
      </x:c>
      <x:c r="I295" s="8" t="str">
        <x:v>Under 5,000</x:v>
      </x:c>
      <x:c r="J295" s="11"/>
      <x:c r="K295" s="11"/>
      <x:c r="L295" s="11"/>
      <x:c r="M295" s="12"/>
      <x:c r="N295" s="11"/>
      <x:c r="O295" s="11"/>
      <x:c r="P295" s="11" t="n">
        <x:v>0</x:v>
      </x:c>
      <x:c r="Q295" s="11" t="n">
        <x:v>0</x:v>
      </x:c>
      <x:c r="R295" s="11"/>
      <x:c r="S295" s="11"/>
      <x:c r="T295" s="11"/>
      <x:c r="U295" s="11"/>
      <x:c r="V295" s="11"/>
      <x:c r="W295" s="11" t="n">
        <x:v>0</x:v>
      </x:c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2"/>
      <x:c r="AN295" s="12"/>
      <x:c r="AO295" s="11"/>
      <x:c r="AP295" s="11"/>
      <x:c r="AQ295" s="12"/>
      <x:c r="AR295" s="11"/>
      <x:c r="AS295" s="11"/>
      <x:c r="AT295" s="11"/>
      <x:c r="AU295" s="11" t="n">
        <x:v>0</x:v>
      </x:c>
      <x:c r="AV295" s="11"/>
      <x:c r="AW295" s="11"/>
      <x:c r="AX295" s="12"/>
      <x:c r="AY295" s="11" t="n">
        <x:v>4648.097865362712</x:v>
      </x:c>
      <x:c r="AZ295" s="11" t="n">
        <x:v>3546.5079302077975</x:v>
      </x:c>
      <x:c r="BA295" s="11" t="n">
        <x:v>3428.422456291105</x:v>
      </x:c>
      <x:c r="BB295" s="11" t="n">
        <x:v>2783.665107049771</x:v>
      </x:c>
      <x:c r="BC295" s="11" t="n">
        <x:v>5030.364110900993</x:v>
      </x:c>
      <x:c r="BD295" s="11" t="n">
        <x:v>2437.8724475115623</x:v>
      </x:c>
      <x:c r="BE295" s="11" t="n">
        <x:v>2420.45</x:v>
      </x:c>
      <x:c r="BF295" s="11" t="n">
        <x:v>1604.3462673977224</x:v>
      </x:c>
      <x:c r="BG295" s="11" t="n">
        <x:v>224.31236112962716</x:v>
      </x:c>
      <x:c r="BH295" s="11" t="n">
        <x:v>518.5374381567245</x:v>
      </x:c>
      <x:c r="BI295" s="11" t="n">
        <x:v>2.204313821553219</x:v>
      </x:c>
      <x:c r="BJ295" s="11" t="n">
        <x:v>1.7099330852451193</x:v>
      </x:c>
      <x:c r="BK295" s="12" t="n">
        <x:v>0.030042455998363887</x:v>
      </x:c>
      <x:c r="BL295" s="12" t="n">
        <x:v>0.02529861000232605</x:v>
      </x:c>
      <x:c r="BM295" s="12" t="n">
        <x:v>0.9786113537119745</x:v>
      </x:c>
      <x:c r="BN295" s="12" t="n">
        <x:v>0.9815511712696461</x:v>
      </x:c>
      <x:c r="BO295" s="12" t="n">
        <x:v>0.9039920521842442</x:v>
      </x:c>
      <x:c r="BP295" s="12" t="n">
        <x:v>0.8619101997275483</x:v>
      </x:c>
      <x:c r="BQ295" s="12" t="n">
        <x:v>0.9333160528846489</x:v>
      </x:c>
      <x:c r="BR295" s="12" t="n">
        <x:v>0.9623635142836453</x:v>
      </x:c>
      <x:c r="BS295" s="12" t="n">
        <x:v>0.20869205825466772</x:v>
      </x:c>
      <x:c r="BT295" s="12" t="n">
        <x:v>0.19976549769108282</x:v>
      </x:c>
      <x:c r="BU295" s="11"/>
      <x:c r="BV295" s="11"/>
      <x:c r="BW295" s="11"/>
      <x:c r="BX295" s="11"/>
      <x:c r="BY295" s="11"/>
      <x:c r="BZ295" s="11"/>
      <x:c r="CA295" s="11"/>
      <x:c r="CB295" s="11"/>
      <x:c r="CC295" s="11"/>
      <x:c r="CD295" s="11"/>
      <x:c r="CE295" s="11"/>
      <x:c r="CF295" s="11"/>
      <x:c r="CG295" s="11"/>
      <x:c r="CH295" s="11"/>
      <x:c r="CI295" s="11"/>
      <x:c r="CJ295" s="11"/>
      <x:c r="CK295" s="11"/>
      <x:c r="CL295" s="11"/>
      <x:c r="CM295" s="11"/>
      <x:c r="CN295" s="11"/>
      <x:c r="CO295" s="11"/>
      <x:c r="CP295" s="8"/>
      <x:c r="CQ295" s="8"/>
    </x:row>
    <x:row r="296">
      <x:c r="A296" s="8" t="str">
        <x:v>Highlands|2019</x:v>
      </x:c>
      <x:c r="B296" s="8" t="str">
        <x:v>highlands-d</x:v>
      </x:c>
      <x:c r="C296" s="8" t="str">
        <x:v>Highlands</x:v>
      </x:c>
      <x:c r="D296" s="8" t="str">
        <x:v>Highlands</x:v>
      </x:c>
      <x:c r="E296" s="8" t="str">
        <x:v>D</x:v>
      </x:c>
      <x:c r="F296" s="8" t="str">
        <x:v>CAP</x:v>
      </x:c>
      <x:c r="G296" s="9" t="n">
        <x:v>2019</x:v>
      </x:c>
      <x:c r="H296" s="10" t="n">
        <x:v>2481</x:v>
      </x:c>
      <x:c r="I296" s="8" t="str">
        <x:v>Under 5,000</x:v>
      </x:c>
      <x:c r="J296" s="11" t="n">
        <x:v>3474458</x:v>
      </x:c>
      <x:c r="K296" s="11" t="n">
        <x:v>3207404</x:v>
      </x:c>
      <x:c r="L296" s="11" t="n">
        <x:v>267054</x:v>
      </x:c>
      <x:c r="M296" s="12" t="n">
        <x:v>0.07686206021198126</x:v>
      </x:c>
      <x:c r="N296" s="11" t="n">
        <x:v>2119139</x:v>
      </x:c>
      <x:c r="O296" s="11" t="n">
        <x:v>306641</x:v>
      </x:c>
      <x:c r="P296" s="11" t="n">
        <x:v>808246</x:v>
      </x:c>
      <x:c r="Q296" s="11" t="n">
        <x:v>240432</x:v>
      </x:c>
      <x:c r="R296" s="11" t="n">
        <x:v>2250401</x:v>
      </x:c>
      <x:c r="S296" s="11" t="n">
        <x:v>931514</x:v>
      </x:c>
      <x:c r="T296" s="11" t="n">
        <x:v>5471955</x:v>
      </x:c>
      <x:c r="U296" s="11" t="n">
        <x:v>1226996</x:v>
      </x:c>
      <x:c r="V296" s="11" t="n">
        <x:v>4527574</x:v>
      </x:c>
      <x:c r="W296" s="11" t="n">
        <x:v>3660746</x:v>
      </x:c>
      <x:c r="X296" s="11" t="n">
        <x:v>644030</x:v>
      </x:c>
      <x:c r="Y296" s="11" t="n">
        <x:v>0</x:v>
      </x:c>
      <x:c r="Z296" s="11" t="n">
        <x:v>60884</x:v>
      </x:c>
      <x:c r="AA296" s="11" t="n">
        <x:v>563567</x:v>
      </x:c>
      <x:c r="AB296" s="11" t="n">
        <x:v>25489</x:v>
      </x:c>
      <x:c r="AC296" s="11" t="n">
        <x:v>86373</x:v>
      </x:c>
      <x:c r="AD296" s="11" t="n">
        <x:v>754906</x:v>
      </x:c>
      <x:c r="AE296" s="11" t="n">
        <x:v>668533</x:v>
      </x:c>
      <x:c r="AF296" s="11" t="n">
        <x:v>3019623</x:v>
      </x:c>
      <x:c r="AG296" s="11" t="n">
        <x:v>54892507</x:v>
      </x:c>
      <x:c r="AH296" s="11" t="n">
        <x:v>17230041</x:v>
      </x:c>
      <x:c r="AI296" s="11" t="n">
        <x:v>37662466</x:v>
      </x:c>
      <x:c r="AJ296" s="11" t="n">
        <x:v>393283</x:v>
      </x:c>
      <x:c r="AK296" s="11" t="n">
        <x:v>204000000</x:v>
      </x:c>
      <x:c r="AL296" s="11" t="n">
        <x:v>713000</x:v>
      </x:c>
      <x:c r="AM296" s="12" t="n">
        <x:v>0.9965049019607843</x:v>
      </x:c>
      <x:c r="AN296" s="12" t="n">
        <x:v>0.001927857843137255</x:v>
      </x:c>
      <x:c r="AO296" s="11" t="n">
        <x:v>4176826</x:v>
      </x:c>
      <x:c r="AP296" s="11" t="n">
        <x:v>4105020</x:v>
      </x:c>
      <x:c r="AQ296" s="12" t="n">
        <x:v>0.982808477058896</x:v>
      </x:c>
      <x:c r="AR296" s="11" t="n">
        <x:v>1400.4264409512293</x:v>
      </x:c>
      <x:c r="AS296" s="11" t="n">
        <x:v>1292.7867795243853</x:v>
      </x:c>
      <x:c r="AT296" s="11" t="n">
        <x:v>1824.8988311164853</x:v>
      </x:c>
      <x:c r="AU296" s="11" t="n">
        <x:v>1475.5122934300684</x:v>
      </x:c>
      <x:c r="AV296" s="11" t="n">
        <x:v>227.15316404675534</x:v>
      </x:c>
      <x:c r="AW296" s="11" t="n">
        <x:v>4.459635565234117</x:v>
      </x:c>
      <x:c r="AX296" s="12" t="n">
        <x:v>0.8855844303794115</x:v>
      </x:c>
      <x:c r="AY296" s="11"/>
      <x:c r="AZ296" s="11"/>
      <x:c r="BA296" s="11"/>
      <x:c r="BB296" s="11"/>
      <x:c r="BC296" s="11"/>
      <x:c r="BD296" s="11"/>
      <x:c r="BE296" s="11"/>
      <x:c r="BF296" s="11"/>
      <x:c r="BG296" s="11"/>
      <x:c r="BH296" s="11"/>
      <x:c r="BI296" s="11"/>
      <x:c r="BJ296" s="11"/>
      <x:c r="BK296" s="12"/>
      <x:c r="BL296" s="12"/>
      <x:c r="BM296" s="12"/>
      <x:c r="BN296" s="12"/>
      <x:c r="BO296" s="12"/>
      <x:c r="BP296" s="12"/>
      <x:c r="BQ296" s="12"/>
      <x:c r="BR296" s="12"/>
      <x:c r="BS296" s="12"/>
      <x:c r="BT296" s="12"/>
      <x:c r="BU296" s="11" t="n">
        <x:v>0</x:v>
      </x:c>
      <x:c r="BV296" s="11" t="n">
        <x:v>510665</x:v>
      </x:c>
      <x:c r="BW296" s="11" t="n">
        <x:v>297581</x:v>
      </x:c>
      <x:c r="BX296" s="11" t="n">
        <x:v>105697</x:v>
      </x:c>
      <x:c r="BY296" s="11" t="n">
        <x:v>0</x:v>
      </x:c>
      <x:c r="BZ296" s="11" t="n">
        <x:v>22425</x:v>
      </x:c>
      <x:c r="CA296" s="11" t="n">
        <x:v>10624</x:v>
      </x:c>
      <x:c r="CB296" s="11" t="n">
        <x:v>101686</x:v>
      </x:c>
      <x:c r="CC296" s="11" t="n">
        <x:v>834346</x:v>
      </x:c>
      <x:c r="CD296" s="11" t="n">
        <x:v>361499</x:v>
      </x:c>
      <x:c r="CE296" s="11" t="n">
        <x:v>0</x:v>
      </x:c>
      <x:c r="CF296" s="11" t="n">
        <x:v>0</x:v>
      </x:c>
      <x:c r="CG296" s="11" t="n">
        <x:v>247330</x:v>
      </x:c>
      <x:c r="CH296" s="11" t="n">
        <x:v>252734</x:v>
      </x:c>
      <x:c r="CI296" s="11" t="n">
        <x:v>556294</x:v>
      </x:c>
      <x:c r="CJ296" s="11" t="n">
        <x:v>0</x:v>
      </x:c>
      <x:c r="CK296" s="11" t="n">
        <x:v>0</x:v>
      </x:c>
      <x:c r="CL296" s="11" t="n">
        <x:v>0</x:v>
      </x:c>
      <x:c r="CM296" s="11"/>
      <x:c r="CN296" s="11" t="n">
        <x:v>23687</x:v>
      </x:c>
      <x:c r="CO296" s="11" t="n">
        <x:v>0</x:v>
      </x:c>
      <x:c r="CP296" s="8"/>
      <x:c r="CQ296" s="8"/>
    </x:row>
    <x:row r="297">
      <x:c r="A297" s="8" t="str">
        <x:v>Highlands|2020</x:v>
      </x:c>
      <x:c r="B297" s="8" t="str">
        <x:v>highlands-d</x:v>
      </x:c>
      <x:c r="C297" s="8" t="str">
        <x:v>Highlands</x:v>
      </x:c>
      <x:c r="D297" s="8" t="str">
        <x:v>Highlands</x:v>
      </x:c>
      <x:c r="E297" s="8" t="str">
        <x:v>D</x:v>
      </x:c>
      <x:c r="F297" s="8" t="str">
        <x:v>CAP</x:v>
      </x:c>
      <x:c r="G297" s="9" t="n">
        <x:v>2020</x:v>
      </x:c>
      <x:c r="H297" s="10" t="n">
        <x:v>2451</x:v>
      </x:c>
      <x:c r="I297" s="8" t="str">
        <x:v>Under 5,000</x:v>
      </x:c>
      <x:c r="J297" s="11" t="n">
        <x:v>4044512</x:v>
      </x:c>
      <x:c r="K297" s="11" t="n">
        <x:v>3203047</x:v>
      </x:c>
      <x:c r="L297" s="11" t="n">
        <x:v>841465</x:v>
      </x:c>
      <x:c r="M297" s="12" t="n">
        <x:v>0.20805105782848463</x:v>
      </x:c>
      <x:c r="N297" s="11" t="n">
        <x:v>2151153</x:v>
      </x:c>
      <x:c r="O297" s="11" t="n">
        <x:v>230851</x:v>
      </x:c>
      <x:c r="P297" s="11" t="n">
        <x:v>1516302</x:v>
      </x:c>
      <x:c r="Q297" s="11" t="n">
        <x:v>146206</x:v>
      </x:c>
      <x:c r="R297" s="11" t="n">
        <x:v>2262836</x:v>
      </x:c>
      <x:c r="S297" s="11" t="n">
        <x:v>913437</x:v>
      </x:c>
      <x:c r="T297" s="11" t="n">
        <x:v>7246016</x:v>
      </x:c>
      <x:c r="U297" s="11" t="n">
        <x:v>1898069</x:v>
      </x:c>
      <x:c r="V297" s="11" t="n">
        <x:v>5537884</x:v>
      </x:c>
      <x:c r="W297" s="11" t="n">
        <x:v>4560124</x:v>
      </x:c>
      <x:c r="X297" s="11" t="n">
        <x:v>563567</x:v>
      </x:c>
      <x:c r="Y297" s="11" t="n">
        <x:v>0</x:v>
      </x:c>
      <x:c r="Z297" s="11" t="n">
        <x:v>60885</x:v>
      </x:c>
      <x:c r="AA297" s="11" t="n">
        <x:v>480006</x:v>
      </x:c>
      <x:c r="AB297" s="11" t="n">
        <x:v>26774</x:v>
      </x:c>
      <x:c r="AC297" s="11" t="n">
        <x:v>87659</x:v>
      </x:c>
      <x:c r="AD297" s="11" t="n">
        <x:v>722474</x:v>
      </x:c>
      <x:c r="AE297" s="11" t="n">
        <x:v>634815</x:v>
      </x:c>
      <x:c r="AF297" s="11" t="n">
        <x:v>2889896</x:v>
      </x:c>
      <x:c r="AG297" s="11" t="n">
        <x:v>55569151</x:v>
      </x:c>
      <x:c r="AH297" s="11" t="n">
        <x:v>18076333</x:v>
      </x:c>
      <x:c r="AI297" s="11" t="n">
        <x:v>37492818</x:v>
      </x:c>
      <x:c r="AJ297" s="11" t="n">
        <x:v>836144</x:v>
      </x:c>
      <x:c r="AK297" s="11" t="n">
        <x:v>204275784</x:v>
      </x:c>
      <x:c r="AL297" s="11" t="n">
        <x:v>713000</x:v>
      </x:c>
      <x:c r="AM297" s="12" t="n">
        <x:v>0.996509620543177</x:v>
      </x:c>
      <x:c r="AN297" s="12" t="n">
        <x:v>0.004093211557567685</x:v>
      </x:c>
      <x:c r="AO297" s="11" t="n">
        <x:v>4209532</x:v>
      </x:c>
      <x:c r="AP297" s="11" t="n">
        <x:v>4157648</x:v>
      </x:c>
      <x:c r="AQ297" s="12" t="n">
        <x:v>0.9876746393660863</x:v>
      </x:c>
      <x:c r="AR297" s="11" t="n">
        <x:v>1650.1476948184416</x:v>
      </x:c>
      <x:c r="AS297" s="11" t="n">
        <x:v>1306.8327213382292</x:v>
      </x:c>
      <x:c r="AT297" s="11" t="n">
        <x:v>2259.438596491228</x:v>
      </x:c>
      <x:c r="AU297" s="11" t="n">
        <x:v>1860.515707874337</x:v>
      </x:c>
      <x:c r="AV297" s="11" t="n">
        <x:v>195.84088127294982</x:v>
      </x:c>
      <x:c r="AW297" s="11" t="n">
        <x:v>3.8175724907787862</x:v>
      </x:c>
      <x:c r="AX297" s="12" t="n">
        <x:v>0.8786682980979247</x:v>
      </x:c>
      <x:c r="AY297" s="11"/>
      <x:c r="AZ297" s="11"/>
      <x:c r="BA297" s="11"/>
      <x:c r="BB297" s="11"/>
      <x:c r="BC297" s="11"/>
      <x:c r="BD297" s="11"/>
      <x:c r="BE297" s="11"/>
      <x:c r="BF297" s="11"/>
      <x:c r="BG297" s="11"/>
      <x:c r="BH297" s="11"/>
      <x:c r="BI297" s="11"/>
      <x:c r="BJ297" s="11"/>
      <x:c r="BK297" s="12"/>
      <x:c r="BL297" s="12"/>
      <x:c r="BM297" s="12"/>
      <x:c r="BN297" s="12"/>
      <x:c r="BO297" s="12"/>
      <x:c r="BP297" s="12"/>
      <x:c r="BQ297" s="12"/>
      <x:c r="BR297" s="12"/>
      <x:c r="BS297" s="12"/>
      <x:c r="BT297" s="12"/>
      <x:c r="BU297" s="11" t="n">
        <x:v>0</x:v>
      </x:c>
      <x:c r="BV297" s="11" t="n">
        <x:v>1367478</x:v>
      </x:c>
      <x:c r="BW297" s="11" t="n">
        <x:v>148824</x:v>
      </x:c>
      <x:c r="BX297" s="11" t="n">
        <x:v>68728</x:v>
      </x:c>
      <x:c r="BY297" s="11" t="n">
        <x:v>0</x:v>
      </x:c>
      <x:c r="BZ297" s="11" t="n">
        <x:v>22421</x:v>
      </x:c>
      <x:c r="CA297" s="11" t="n">
        <x:v>0</x:v>
      </x:c>
      <x:c r="CB297" s="11" t="n">
        <x:v>55057</x:v>
      </x:c>
      <x:c r="CC297" s="11" t="n">
        <x:v>803479</x:v>
      </x:c>
      <x:c r="CD297" s="11" t="n">
        <x:v>408948</x:v>
      </x:c>
      <x:c r="CE297" s="11" t="n">
        <x:v>0</x:v>
      </x:c>
      <x:c r="CF297" s="11" t="n">
        <x:v>0</x:v>
      </x:c>
      <x:c r="CG297" s="11" t="n">
        <x:v>272873</x:v>
      </x:c>
      <x:c r="CH297" s="11" t="n">
        <x:v>271876</x:v>
      </x:c>
      <x:c r="CI297" s="11" t="n">
        <x:v>513447</x:v>
      </x:c>
      <x:c r="CJ297" s="11" t="n">
        <x:v>0</x:v>
      </x:c>
      <x:c r="CK297" s="11" t="n">
        <x:v>0</x:v>
      </x:c>
      <x:c r="CL297" s="11" t="n">
        <x:v>0</x:v>
      </x:c>
      <x:c r="CM297" s="11"/>
      <x:c r="CN297" s="11" t="n">
        <x:v>18987</x:v>
      </x:c>
      <x:c r="CO297" s="11" t="n">
        <x:v>0</x:v>
      </x:c>
      <x:c r="CP297" s="8"/>
      <x:c r="CQ297" s="8"/>
    </x:row>
    <x:row r="298">
      <x:c r="A298" s="8" t="str">
        <x:v>Highlands|2021</x:v>
      </x:c>
      <x:c r="B298" s="8" t="str">
        <x:v>highlands-d</x:v>
      </x:c>
      <x:c r="C298" s="8" t="str">
        <x:v>Highlands</x:v>
      </x:c>
      <x:c r="D298" s="8" t="str">
        <x:v>Highlands</x:v>
      </x:c>
      <x:c r="E298" s="8" t="str">
        <x:v>D</x:v>
      </x:c>
      <x:c r="F298" s="8" t="str">
        <x:v>CAP</x:v>
      </x:c>
      <x:c r="G298" s="9" t="n">
        <x:v>2021</x:v>
      </x:c>
      <x:c r="H298" s="10" t="n">
        <x:v>2582</x:v>
      </x:c>
      <x:c r="I298" s="8" t="str">
        <x:v>Under 5,000</x:v>
      </x:c>
      <x:c r="J298" s="11" t="n">
        <x:v>3713414</x:v>
      </x:c>
      <x:c r="K298" s="11" t="n">
        <x:v>3458196</x:v>
      </x:c>
      <x:c r="L298" s="11" t="n">
        <x:v>255218</x:v>
      </x:c>
      <x:c r="M298" s="12" t="n">
        <x:v>0.0687286685513654</x:v>
      </x:c>
      <x:c r="N298" s="11" t="n">
        <x:v>2309242</x:v>
      </x:c>
      <x:c r="O298" s="11" t="n">
        <x:v>301840</x:v>
      </x:c>
      <x:c r="P298" s="11" t="n">
        <x:v>864275</x:v>
      </x:c>
      <x:c r="Q298" s="11" t="n">
        <x:v>238057</x:v>
      </x:c>
      <x:c r="R298" s="11" t="n">
        <x:v>2491491</x:v>
      </x:c>
      <x:c r="S298" s="11" t="n">
        <x:v>936851</x:v>
      </x:c>
      <x:c r="T298" s="11" t="n">
        <x:v>6484107</x:v>
      </x:c>
      <x:c r="U298" s="11" t="n">
        <x:v>1105197</x:v>
      </x:c>
      <x:c r="V298" s="11" t="n">
        <x:v>5751272</x:v>
      </x:c>
      <x:c r="W298" s="11" t="n">
        <x:v>4533505</x:v>
      </x:c>
      <x:c r="X298" s="11" t="n">
        <x:v>464542</x:v>
      </x:c>
      <x:c r="Y298" s="11" t="n">
        <x:v>0</x:v>
      </x:c>
      <x:c r="Z298" s="11" t="n">
        <x:v>60885</x:v>
      </x:c>
      <x:c r="AA298" s="11" t="n">
        <x:v>376099</x:v>
      </x:c>
      <x:c r="AB298" s="11" t="n">
        <x:v>29854</x:v>
      </x:c>
      <x:c r="AC298" s="11" t="n">
        <x:v>90739</x:v>
      </x:c>
      <x:c r="AD298" s="11" t="n">
        <x:v>771736</x:v>
      </x:c>
      <x:c r="AE298" s="11" t="n">
        <x:v>680997</x:v>
      </x:c>
      <x:c r="AF298" s="11" t="n">
        <x:v>3086945</x:v>
      </x:c>
      <x:c r="AG298" s="11" t="n">
        <x:v>56320811</x:v>
      </x:c>
      <x:c r="AH298" s="11" t="n">
        <x:v>18768745</x:v>
      </x:c>
      <x:c r="AI298" s="11" t="n">
        <x:v>37552066</x:v>
      </x:c>
      <x:c r="AJ298" s="11" t="n">
        <x:v>1095750</x:v>
      </x:c>
      <x:c r="AK298" s="11" t="n">
        <x:v>9831037</x:v>
      </x:c>
      <x:c r="AL298" s="11" t="n">
        <x:v>0</x:v>
      </x:c>
      <x:c r="AM298" s="12" t="n">
        <x:v>1</x:v>
      </x:c>
      <x:c r="AN298" s="12" t="n">
        <x:v>0.11145823172062114</x:v>
      </x:c>
      <x:c r="AO298" s="11" t="n">
        <x:v>4524777</x:v>
      </x:c>
      <x:c r="AP298" s="11" t="n">
        <x:v>4356148</x:v>
      </x:c>
      <x:c r="AQ298" s="12" t="n">
        <x:v>0.9627320860232449</x:v>
      </x:c>
      <x:c r="AR298" s="11" t="n">
        <x:v>1438.192873741286</x:v>
      </x:c>
      <x:c r="AS298" s="11" t="n">
        <x:v>1339.3477924089852</x:v>
      </x:c>
      <x:c r="AT298" s="11" t="n">
        <x:v>2227.44848954299</x:v>
      </x:c>
      <x:c r="AU298" s="11" t="n">
        <x:v>1755.811386522076</x:v>
      </x:c>
      <x:c r="AV298" s="11" t="n">
        <x:v>145.66189000774594</x:v>
      </x:c>
      <x:c r="AW298" s="11" t="n">
        <x:v>5.866924177318614</x:v>
      </x:c>
      <x:c r="AX298" s="12" t="n">
        <x:v>0.8824222272901614</x:v>
      </x:c>
      <x:c r="AY298" s="11"/>
      <x:c r="AZ298" s="11"/>
      <x:c r="BA298" s="11"/>
      <x:c r="BB298" s="11"/>
      <x:c r="BC298" s="11"/>
      <x:c r="BD298" s="11"/>
      <x:c r="BE298" s="11"/>
      <x:c r="BF298" s="11"/>
      <x:c r="BG298" s="11"/>
      <x:c r="BH298" s="11"/>
      <x:c r="BI298" s="11"/>
      <x:c r="BJ298" s="11"/>
      <x:c r="BK298" s="12"/>
      <x:c r="BL298" s="12"/>
      <x:c r="BM298" s="12"/>
      <x:c r="BN298" s="12"/>
      <x:c r="BO298" s="12"/>
      <x:c r="BP298" s="12"/>
      <x:c r="BQ298" s="12"/>
      <x:c r="BR298" s="12"/>
      <x:c r="BS298" s="12"/>
      <x:c r="BT298" s="12"/>
      <x:c r="BU298" s="11" t="n">
        <x:v>0</x:v>
      </x:c>
      <x:c r="BV298" s="11" t="n">
        <x:v>559644</x:v>
      </x:c>
      <x:c r="BW298" s="11" t="n">
        <x:v>304631</x:v>
      </x:c>
      <x:c r="BX298" s="11" t="n">
        <x:v>39285</x:v>
      </x:c>
      <x:c r="BY298" s="11" t="n">
        <x:v>0</x:v>
      </x:c>
      <x:c r="BZ298" s="11" t="n">
        <x:v>123462</x:v>
      </x:c>
      <x:c r="CA298" s="11" t="n">
        <x:v>0</x:v>
      </x:c>
      <x:c r="CB298" s="11" t="n">
        <x:v>75310</x:v>
      </x:c>
      <x:c r="CC298" s="11" t="n">
        <x:v>814934</x:v>
      </x:c>
      <x:c r="CD298" s="11" t="n">
        <x:v>519220</x:v>
      </x:c>
      <x:c r="CE298" s="11" t="n">
        <x:v>0</x:v>
      </x:c>
      <x:c r="CF298" s="11" t="n">
        <x:v>0</x:v>
      </x:c>
      <x:c r="CG298" s="11" t="n">
        <x:v>244743</x:v>
      </x:c>
      <x:c r="CH298" s="11" t="n">
        <x:v>311256</x:v>
      </x:c>
      <x:c r="CI298" s="11" t="n">
        <x:v>628262</x:v>
      </x:c>
      <x:c r="CJ298" s="11" t="n">
        <x:v>0</x:v>
      </x:c>
      <x:c r="CK298" s="11" t="n">
        <x:v>0</x:v>
      </x:c>
      <x:c r="CL298" s="11" t="n">
        <x:v>0</x:v>
      </x:c>
      <x:c r="CM298" s="11"/>
      <x:c r="CN298" s="11" t="n">
        <x:v>2930</x:v>
      </x:c>
      <x:c r="CO298" s="11" t="n">
        <x:v>0</x:v>
      </x:c>
      <x:c r="CP298" s="8"/>
      <x:c r="CQ298" s="8"/>
    </x:row>
    <x:row r="299">
      <x:c r="A299" s="8" t="str">
        <x:v>Highlands|2022</x:v>
      </x:c>
      <x:c r="B299" s="8" t="str">
        <x:v>highlands-d</x:v>
      </x:c>
      <x:c r="C299" s="8" t="str">
        <x:v>Highlands</x:v>
      </x:c>
      <x:c r="D299" s="8" t="str">
        <x:v>Highlands</x:v>
      </x:c>
      <x:c r="E299" s="8" t="str">
        <x:v>D</x:v>
      </x:c>
      <x:c r="F299" s="8" t="str">
        <x:v>CAP</x:v>
      </x:c>
      <x:c r="G299" s="9" t="n">
        <x:v>2022</x:v>
      </x:c>
      <x:c r="H299" s="10" t="n">
        <x:v>6699</x:v>
      </x:c>
      <x:c r="I299" s="8" t="str">
        <x:v>5,000 to 19,999</x:v>
      </x:c>
      <x:c r="J299" s="11" t="n">
        <x:v>3703916</x:v>
      </x:c>
      <x:c r="K299" s="11" t="n">
        <x:v>3419553</x:v>
      </x:c>
      <x:c r="L299" s="11" t="n">
        <x:v>284363</x:v>
      </x:c>
      <x:c r="M299" s="12" t="n">
        <x:v>0.07677360933671282</x:v>
      </x:c>
      <x:c r="N299" s="11" t="n">
        <x:v>2396577</x:v>
      </x:c>
      <x:c r="O299" s="11" t="n">
        <x:v>309040</x:v>
      </x:c>
      <x:c r="P299" s="11" t="n">
        <x:v>727615</x:v>
      </x:c>
      <x:c r="Q299" s="11" t="n">
        <x:v>270684</x:v>
      </x:c>
      <x:c r="R299" s="11" t="n">
        <x:v>2513586</x:v>
      </x:c>
      <x:c r="S299" s="11" t="n">
        <x:v>879193</x:v>
      </x:c>
      <x:c r="T299" s="11" t="n">
        <x:v>7432546</x:v>
      </x:c>
      <x:c r="U299" s="11" t="n">
        <x:v>1239735</x:v>
      </x:c>
      <x:c r="V299" s="11" t="n">
        <x:v>6384324</x:v>
      </x:c>
      <x:c r="W299" s="11" t="n">
        <x:v>5010472</x:v>
      </x:c>
      <x:c r="X299" s="11" t="n">
        <x:v>376099</x:v>
      </x:c>
      <x:c r="Y299" s="11" t="n">
        <x:v>0</x:v>
      </x:c>
      <x:c r="Z299" s="11" t="n">
        <x:v>60884</x:v>
      </x:c>
      <x:c r="AA299" s="11" t="n">
        <x:v>284223</x:v>
      </x:c>
      <x:c r="AB299" s="11" t="n">
        <x:v>26774</x:v>
      </x:c>
      <x:c r="AC299" s="11" t="n">
        <x:v>87658</x:v>
      </x:c>
      <x:c r="AD299" s="11" t="n">
        <x:v>859577</x:v>
      </x:c>
      <x:c r="AE299" s="11" t="n">
        <x:v>771919</x:v>
      </x:c>
      <x:c r="AF299" s="11" t="n">
        <x:v>3438309</x:v>
      </x:c>
      <x:c r="AG299" s="11" t="n">
        <x:v>56845942</x:v>
      </x:c>
      <x:c r="AH299" s="11" t="n">
        <x:v>19643424</x:v>
      </x:c>
      <x:c r="AI299" s="11" t="n">
        <x:v>37202518</x:v>
      </x:c>
      <x:c r="AJ299" s="11" t="n">
        <x:v>457965</x:v>
      </x:c>
      <x:c r="AK299" s="11" t="n">
        <x:v>119241456</x:v>
      </x:c>
      <x:c r="AL299" s="11" t="n">
        <x:v>879193</x:v>
      </x:c>
      <x:c r="AM299" s="12" t="n">
        <x:v>0.9926267840942834</x:v>
      </x:c>
      <x:c r="AN299" s="12" t="n">
        <x:v>0.003840652532790274</x:v>
      </x:c>
      <x:c r="AO299" s="11" t="n">
        <x:v>4969756</x:v>
      </x:c>
      <x:c r="AP299" s="11" t="n">
        <x:v>4924256</x:v>
      </x:c>
      <x:c r="AQ299" s="12" t="n">
        <x:v>0.990844620943161</x:v>
      </x:c>
      <x:c r="AR299" s="11" t="n">
        <x:v>552.9058068368413</x:v>
      </x:c>
      <x:c r="AS299" s="11" t="n">
        <x:v>510.45723242274966</x:v>
      </x:c>
      <x:c r="AT299" s="11" t="n">
        <x:v>953.026421854008</x:v>
      </x:c>
      <x:c r="AU299" s="11" t="n">
        <x:v>747.943275115689</x:v>
      </x:c>
      <x:c r="AV299" s="11" t="n">
        <x:v>42.427675772503356</x:v>
      </x:c>
      <x:c r="AW299" s="11" t="n">
        <x:v>5.995269956885948</x:v>
      </x:c>
      <x:c r="AX299" s="12" t="n">
        <x:v>0.8980219340443032</x:v>
      </x:c>
      <x:c r="AY299" s="11"/>
      <x:c r="AZ299" s="11"/>
      <x:c r="BA299" s="11"/>
      <x:c r="BB299" s="11"/>
      <x:c r="BC299" s="11"/>
      <x:c r="BD299" s="11"/>
      <x:c r="BE299" s="11"/>
      <x:c r="BF299" s="11"/>
      <x:c r="BG299" s="11"/>
      <x:c r="BH299" s="11"/>
      <x:c r="BI299" s="11"/>
      <x:c r="BJ299" s="11"/>
      <x:c r="BK299" s="12"/>
      <x:c r="BL299" s="12"/>
      <x:c r="BM299" s="12"/>
      <x:c r="BN299" s="12"/>
      <x:c r="BO299" s="12"/>
      <x:c r="BP299" s="12"/>
      <x:c r="BQ299" s="12"/>
      <x:c r="BR299" s="12"/>
      <x:c r="BS299" s="12"/>
      <x:c r="BT299" s="12"/>
      <x:c r="BU299" s="11" t="n">
        <x:v>0</x:v>
      </x:c>
      <x:c r="BV299" s="11" t="n">
        <x:v>571808</x:v>
      </x:c>
      <x:c r="BW299" s="11" t="n">
        <x:v>155807</x:v>
      </x:c>
      <x:c r="BX299" s="11" t="n">
        <x:v>176173</x:v>
      </x:c>
      <x:c r="BY299" s="11" t="n">
        <x:v>0</x:v>
      </x:c>
      <x:c r="BZ299" s="11" t="n">
        <x:v>0</x:v>
      </x:c>
      <x:c r="CA299" s="11" t="n">
        <x:v>0</x:v>
      </x:c>
      <x:c r="CB299" s="11" t="n">
        <x:v>94511</x:v>
      </x:c>
      <x:c r="CC299" s="11" t="n">
        <x:v>932416</x:v>
      </x:c>
      <x:c r="CD299" s="11" t="n">
        <x:v>394502</x:v>
      </x:c>
      <x:c r="CE299" s="11" t="n">
        <x:v>0</x:v>
      </x:c>
      <x:c r="CF299" s="11" t="n">
        <x:v>0</x:v>
      </x:c>
      <x:c r="CG299" s="11" t="n">
        <x:v>200134</x:v>
      </x:c>
      <x:c r="CH299" s="11" t="n">
        <x:v>427983</x:v>
      </x:c>
      <x:c r="CI299" s="11" t="n">
        <x:v>585325</x:v>
      </x:c>
      <x:c r="CJ299" s="11" t="n">
        <x:v>0</x:v>
      </x:c>
      <x:c r="CK299" s="11" t="n">
        <x:v>0</x:v>
      </x:c>
      <x:c r="CL299" s="11" t="n">
        <x:v>0</x:v>
      </x:c>
      <x:c r="CM299" s="11"/>
      <x:c r="CN299" s="11" t="n">
        <x:v>0</x:v>
      </x:c>
      <x:c r="CO299" s="11" t="n">
        <x:v>0</x:v>
      </x:c>
      <x:c r="CP299" s="8"/>
      <x:c r="CQ299" s="8"/>
    </x:row>
    <x:row r="300">
      <x:c r="A300" s="8" t="str">
        <x:v>Highlands|2023</x:v>
      </x:c>
      <x:c r="B300" s="8" t="str">
        <x:v>highlands-d</x:v>
      </x:c>
      <x:c r="C300" s="8" t="str">
        <x:v>Highlands</x:v>
      </x:c>
      <x:c r="D300" s="8" t="str">
        <x:v>Highlands</x:v>
      </x:c>
      <x:c r="E300" s="8" t="str">
        <x:v>D</x:v>
      </x:c>
      <x:c r="F300" s="8" t="str">
        <x:v>CAP</x:v>
      </x:c>
      <x:c r="G300" s="9" t="n">
        <x:v>2023</x:v>
      </x:c>
      <x:c r="H300" s="10" t="n">
        <x:v>2698</x:v>
      </x:c>
      <x:c r="I300" s="8" t="str">
        <x:v>Under 5,000</x:v>
      </x:c>
      <x:c r="J300" s="11" t="n">
        <x:v>5790646</x:v>
      </x:c>
      <x:c r="K300" s="11" t="n">
        <x:v>3570963</x:v>
      </x:c>
      <x:c r="L300" s="11" t="n">
        <x:v>2219683</x:v>
      </x:c>
      <x:c r="M300" s="12" t="n">
        <x:v>0.38332217165407795</x:v>
      </x:c>
      <x:c r="N300" s="11" t="n">
        <x:v>2487587</x:v>
      </x:c>
      <x:c r="O300" s="11" t="n">
        <x:v>106736</x:v>
      </x:c>
      <x:c r="P300" s="11" t="n">
        <x:v>2377636</x:v>
      </x:c>
      <x:c r="Q300" s="11" t="n">
        <x:v>818687</x:v>
      </x:c>
      <x:c r="R300" s="11" t="n">
        <x:v>2643977</x:v>
      </x:c>
      <x:c r="S300" s="11" t="n">
        <x:v>900212</x:v>
      </x:c>
      <x:c r="T300" s="11" t="n">
        <x:v>9582495</x:v>
      </x:c>
      <x:c r="U300" s="11" t="n">
        <x:v>1326111</x:v>
      </x:c>
      <x:c r="V300" s="11" t="n">
        <x:v>8486672</x:v>
      </x:c>
      <x:c r="W300" s="11" t="n">
        <x:v>7086725</x:v>
      </x:c>
      <x:c r="X300" s="11" t="n">
        <x:v>284223</x:v>
      </x:c>
      <x:c r="Y300" s="11" t="n">
        <x:v>0</x:v>
      </x:c>
      <x:c r="Z300" s="11" t="n">
        <x:v>60885</x:v>
      </x:c>
      <x:c r="AA300" s="11" t="n">
        <x:v>188827</x:v>
      </x:c>
      <x:c r="AB300" s="11" t="n">
        <x:v>26774</x:v>
      </x:c>
      <x:c r="AC300" s="11" t="n">
        <x:v>87659</x:v>
      </x:c>
      <x:c r="AD300" s="11" t="n">
        <x:v>951641</x:v>
      </x:c>
      <x:c r="AE300" s="11" t="n">
        <x:v>863982</x:v>
      </x:c>
      <x:c r="AF300" s="11" t="n">
        <x:v>3806563</x:v>
      </x:c>
      <x:c r="AG300" s="11" t="n">
        <x:v>57860509</x:v>
      </x:c>
      <x:c r="AH300" s="11" t="n">
        <x:v>20541197</x:v>
      </x:c>
      <x:c r="AI300" s="11" t="n">
        <x:v>37319312</x:v>
      </x:c>
      <x:c r="AJ300" s="11" t="n">
        <x:v>906339</x:v>
      </x:c>
      <x:c r="AK300" s="11" t="n">
        <x:v>119718662</x:v>
      </x:c>
      <x:c r="AL300" s="11" t="n">
        <x:v>0</x:v>
      </x:c>
      <x:c r="AM300" s="12" t="n">
        <x:v>1</x:v>
      </x:c>
      <x:c r="AN300" s="12" t="n">
        <x:v>0.007570574084765498</x:v>
      </x:c>
      <x:c r="AO300" s="11" t="n">
        <x:v>5167055</x:v>
      </x:c>
      <x:c r="AP300" s="11" t="n">
        <x:v>5096246</x:v>
      </x:c>
      <x:c r="AQ300" s="12" t="n">
        <x:v>0.9862960622637073</x:v>
      </x:c>
      <x:c r="AR300" s="11" t="n">
        <x:v>2146.2735359525573</x:v>
      </x:c>
      <x:c r="AS300" s="11" t="n">
        <x:v>1323.5593031875462</x:v>
      </x:c>
      <x:c r="AT300" s="11" t="n">
        <x:v>3145.5418828762045</x:v>
      </x:c>
      <x:c r="AU300" s="11" t="n">
        <x:v>2626.6586360266865</x:v>
      </x:c>
      <x:c r="AV300" s="11" t="n">
        <x:v>69.98776871756857</x:v>
      </x:c>
      <x:c r="AW300" s="11" t="n">
        <x:v>7.2260127545884165</x:v>
      </x:c>
      <x:c r="AX300" s="12" t="n">
        <x:v>0.9078864824025026</x:v>
      </x:c>
      <x:c r="AY300" s="11"/>
      <x:c r="AZ300" s="11"/>
      <x:c r="BA300" s="11"/>
      <x:c r="BB300" s="11"/>
      <x:c r="BC300" s="11"/>
      <x:c r="BD300" s="11"/>
      <x:c r="BE300" s="11"/>
      <x:c r="BF300" s="11"/>
      <x:c r="BG300" s="11"/>
      <x:c r="BH300" s="11"/>
      <x:c r="BI300" s="11"/>
      <x:c r="BJ300" s="11"/>
      <x:c r="BK300" s="12"/>
      <x:c r="BL300" s="12"/>
      <x:c r="BM300" s="12"/>
      <x:c r="BN300" s="12"/>
      <x:c r="BO300" s="12"/>
      <x:c r="BP300" s="12"/>
      <x:c r="BQ300" s="12"/>
      <x:c r="BR300" s="12"/>
      <x:c r="BS300" s="12"/>
      <x:c r="BT300" s="12"/>
      <x:c r="BU300" s="11" t="n">
        <x:v>0</x:v>
      </x:c>
      <x:c r="BV300" s="11" t="n">
        <x:v>2214637</x:v>
      </x:c>
      <x:c r="BW300" s="11" t="n">
        <x:v>162999</x:v>
      </x:c>
      <x:c r="BX300" s="11" t="n">
        <x:v>479717</x:v>
      </x:c>
      <x:c r="BY300" s="11" t="n">
        <x:v>0</x:v>
      </x:c>
      <x:c r="BZ300" s="11" t="n">
        <x:v>0</x:v>
      </x:c>
      <x:c r="CA300" s="11" t="n">
        <x:v>0</x:v>
      </x:c>
      <x:c r="CB300" s="11" t="n">
        <x:v>338970</x:v>
      </x:c>
      <x:c r="CC300" s="11" t="n">
        <x:v>974048</x:v>
      </x:c>
      <x:c r="CD300" s="11" t="n">
        <x:v>449889</x:v>
      </x:c>
      <x:c r="CE300" s="11" t="n">
        <x:v>0</x:v>
      </x:c>
      <x:c r="CF300" s="11" t="n">
        <x:v>0</x:v>
      </x:c>
      <x:c r="CG300" s="11" t="n">
        <x:v>217552</x:v>
      </x:c>
      <x:c r="CH300" s="11" t="n">
        <x:v>350541</x:v>
      </x:c>
      <x:c r="CI300" s="11" t="n">
        <x:v>675793</x:v>
      </x:c>
      <x:c r="CJ300" s="11" t="n">
        <x:v>0</x:v>
      </x:c>
      <x:c r="CK300" s="11" t="n">
        <x:v>0</x:v>
      </x:c>
      <x:c r="CL300" s="11" t="n">
        <x:v>0</x:v>
      </x:c>
      <x:c r="CM300" s="11" t="n">
        <x:v>2928</x:v>
      </x:c>
      <x:c r="CN300" s="11" t="n">
        <x:v>0</x:v>
      </x:c>
      <x:c r="CO300" s="11" t="n">
        <x:v>0</x:v>
      </x:c>
      <x:c r="CP300" s="8"/>
      <x:c r="CQ300" s="8"/>
    </x:row>
    <x:row r="301">
      <x:c r="A301" s="8" t="str">
        <x:v>Highlands|2024</x:v>
      </x:c>
      <x:c r="B301" s="8" t="str">
        <x:v>highlands-d</x:v>
      </x:c>
      <x:c r="C301" s="8" t="str">
        <x:v>Highlands</x:v>
      </x:c>
      <x:c r="D301" s="8" t="str">
        <x:v>Highlands</x:v>
      </x:c>
      <x:c r="E301" s="8" t="str">
        <x:v>D</x:v>
      </x:c>
      <x:c r="F301" s="8" t="str">
        <x:v>CAP</x:v>
      </x:c>
      <x:c r="G301" s="9" t="n">
        <x:v>2024</x:v>
      </x:c>
      <x:c r="H301" s="10" t="n">
        <x:v>2698</x:v>
      </x:c>
      <x:c r="I301" s="8" t="str">
        <x:v>Under 5,000</x:v>
      </x:c>
      <x:c r="J301" s="11" t="n">
        <x:v>4436171</x:v>
      </x:c>
      <x:c r="K301" s="11" t="n">
        <x:v>4051050</x:v>
      </x:c>
      <x:c r="L301" s="11" t="n">
        <x:v>385121</x:v>
      </x:c>
      <x:c r="M301" s="12" t="n">
        <x:v>0.08681383111697001</x:v>
      </x:c>
      <x:c r="N301" s="11" t="n">
        <x:v>2660971</x:v>
      </x:c>
      <x:c r="O301" s="11" t="n">
        <x:v>94566</x:v>
      </x:c>
      <x:c r="P301" s="11" t="n">
        <x:v>824542</x:v>
      </x:c>
      <x:c r="Q301" s="11" t="n">
        <x:v>856092</x:v>
      </x:c>
      <x:c r="R301" s="11" t="n">
        <x:v>3158095</x:v>
      </x:c>
      <x:c r="S301" s="11" t="n">
        <x:v>874318</x:v>
      </x:c>
      <x:c r="T301" s="11" t="n">
        <x:v>10433081</x:v>
      </x:c>
      <x:c r="U301" s="11" t="n">
        <x:v>1603577</x:v>
      </x:c>
      <x:c r="V301" s="11" t="n">
        <x:v>9168904</x:v>
      </x:c>
      <x:c r="W301" s="11" t="n">
        <x:v>7624623</x:v>
      </x:c>
      <x:c r="X301" s="11" t="n">
        <x:v>188827</x:v>
      </x:c>
      <x:c r="Y301" s="11" t="n">
        <x:v>0</x:v>
      </x:c>
      <x:c r="Z301" s="11" t="n">
        <x:v>60885</x:v>
      </x:c>
      <x:c r="AA301" s="11" t="n">
        <x:v>109385</x:v>
      </x:c>
      <x:c r="AB301" s="11" t="n">
        <x:v>18637</x:v>
      </x:c>
      <x:c r="AC301" s="11" t="n">
        <x:v>79522</x:v>
      </x:c>
      <x:c r="AD301" s="11" t="n">
        <x:v>1042869</x:v>
      </x:c>
      <x:c r="AE301" s="11" t="n">
        <x:v>963347</x:v>
      </x:c>
      <x:c r="AF301" s="11" t="n">
        <x:v>4171475</x:v>
      </x:c>
      <x:c r="AG301" s="11" t="n">
        <x:v>58197297</x:v>
      </x:c>
      <x:c r="AH301" s="11" t="n">
        <x:v>21174385</x:v>
      </x:c>
      <x:c r="AI301" s="11" t="n">
        <x:v>37022912</x:v>
      </x:c>
      <x:c r="AJ301" s="11" t="n">
        <x:v>627733</x:v>
      </x:c>
      <x:c r="AK301" s="11" t="n">
        <x:v>124804632</x:v>
      </x:c>
      <x:c r="AL301" s="11" t="n">
        <x:v>1614000</x:v>
      </x:c>
      <x:c r="AM301" s="12" t="n">
        <x:v>0.9870677876763421</x:v>
      </x:c>
      <x:c r="AN301" s="12" t="n">
        <x:v>0.0050297251787898385</x:v>
      </x:c>
      <x:c r="AO301" s="11" t="n">
        <x:v>5534767</x:v>
      </x:c>
      <x:c r="AP301" s="11" t="n">
        <x:v>5290787</x:v>
      </x:c>
      <x:c r="AQ301" s="12" t="n">
        <x:v>0.9559186502340569</x:v>
      </x:c>
      <x:c r="AR301" s="11" t="n">
        <x:v>1644.2442550037065</x:v>
      </x:c>
      <x:c r="AS301" s="11" t="n">
        <x:v>1501.5011119347664</x:v>
      </x:c>
      <x:c r="AT301" s="11" t="n">
        <x:v>3398.407709414381</x:v>
      </x:c>
      <x:c r="AU301" s="11" t="n">
        <x:v>2826.027798369162</x:v>
      </x:c>
      <x:c r="AV301" s="11" t="n">
        <x:v>40.54299481097109</x:v>
      </x:c>
      <x:c r="AW301" s="11" t="n">
        <x:v>6.5061303573199165</x:v>
      </x:c>
      <x:c r="AX301" s="12" t="n">
        <x:v>0.9237468943846255</x:v>
      </x:c>
      <x:c r="AY301" s="11" t="n">
        <x:v>4486.511144130758</x:v>
      </x:c>
      <x:c r="AZ301" s="11" t="n">
        <x:v>3546.5079302077975</x:v>
      </x:c>
      <x:c r="BA301" s="11" t="n">
        <x:v>3557.844717668488</x:v>
      </x:c>
      <x:c r="BB301" s="11" t="n">
        <x:v>2783.665107049771</x:v>
      </x:c>
      <x:c r="BC301" s="11" t="n">
        <x:v>5496.677373974208</x:v>
      </x:c>
      <x:c r="BD301" s="11" t="n">
        <x:v>2437.8724475115623</x:v>
      </x:c>
      <x:c r="BE301" s="11" t="n">
        <x:v>3386.4506393861893</x:v>
      </x:c>
      <x:c r="BF301" s="11" t="n">
        <x:v>1604.3462673977224</x:v>
      </x:c>
      <x:c r="BG301" s="11" t="n">
        <x:v>624.7436119532265</x:v>
      </x:c>
      <x:c r="BH301" s="11" t="n">
        <x:v>518.5374381567245</x:v>
      </x:c>
      <x:c r="BI301" s="11" t="n">
        <x:v>3.324657351485151</x:v>
      </x:c>
      <x:c r="BJ301" s="11" t="n">
        <x:v>1.7099330852451193</x:v>
      </x:c>
      <x:c r="BK301" s="12" t="n">
        <x:v>0.02521828600111612</x:v>
      </x:c>
      <x:c r="BL301" s="12" t="n">
        <x:v>0.02529861000232605</x:v>
      </x:c>
      <x:c r="BM301" s="12" t="n">
        <x:v>0.9816336034641139</x:v>
      </x:c>
      <x:c r="BN301" s="12" t="n">
        <x:v>0.9815511712696461</x:v>
      </x:c>
      <x:c r="BO301" s="12" t="n">
        <x:v>0.8531878894527055</x:v>
      </x:c>
      <x:c r="BP301" s="12" t="n">
        <x:v>0.8619101997275483</x:v>
      </x:c>
      <x:c r="BQ301" s="12" t="n">
        <x:v>0.9614729661922712</x:v>
      </x:c>
      <x:c r="BR301" s="12" t="n">
        <x:v>0.9623635142836453</x:v>
      </x:c>
      <x:c r="BS301" s="12" t="n">
        <x:v>0.23352896680225554</x:v>
      </x:c>
      <x:c r="BT301" s="12" t="n">
        <x:v>0.19976549769108282</x:v>
      </x:c>
      <x:c r="BU301" s="11" t="n">
        <x:v>176426</x:v>
      </x:c>
      <x:c r="BV301" s="11" t="n">
        <x:v>648116</x:v>
      </x:c>
      <x:c r="BW301" s="11" t="n">
        <x:v>0</x:v>
      </x:c>
      <x:c r="BX301" s="11" t="n">
        <x:v>484319</x:v>
      </x:c>
      <x:c r="BY301" s="11" t="n">
        <x:v>0</x:v>
      </x:c>
      <x:c r="BZ301" s="11" t="n">
        <x:v>0</x:v>
      </x:c>
      <x:c r="CA301" s="11" t="n">
        <x:v>0</x:v>
      </x:c>
      <x:c r="CB301" s="11" t="n">
        <x:v>371773</x:v>
      </x:c>
      <x:c r="CC301" s="11" t="n">
        <x:v>1107836</x:v>
      </x:c>
      <x:c r="CD301" s="11" t="n">
        <x:v>544910</x:v>
      </x:c>
      <x:c r="CE301" s="11" t="n">
        <x:v>0</x:v>
      </x:c>
      <x:c r="CF301" s="11" t="n">
        <x:v>0</x:v>
      </x:c>
      <x:c r="CG301" s="11" t="n">
        <x:v>258985</x:v>
      </x:c>
      <x:c r="CH301" s="11" t="n">
        <x:v>445746</x:v>
      </x:c>
      <x:c r="CI301" s="11" t="n">
        <x:v>817813</x:v>
      </x:c>
      <x:c r="CJ301" s="11" t="n">
        <x:v>0</x:v>
      </x:c>
      <x:c r="CK301" s="11" t="n">
        <x:v>0</x:v>
      </x:c>
      <x:c r="CL301" s="11" t="n">
        <x:v>0</x:v>
      </x:c>
      <x:c r="CM301" s="11" t="n">
        <x:v>1442</x:v>
      </x:c>
      <x:c r="CN301" s="11" t="n">
        <x:v>0</x:v>
      </x:c>
      <x:c r="CO301" s="11" t="n">
        <x:v>0</x:v>
      </x:c>
      <x:c r="CP301" s="8"/>
      <x:c r="CQ301" s="8"/>
    </x:row>
    <x:row r="302">
      <x:c r="A302" s="8" t="str">
        <x:v>Hope|2019</x:v>
      </x:c>
      <x:c r="B302" s="8" t="str">
        <x:v>hope-d</x:v>
      </x:c>
      <x:c r="C302" s="8" t="str">
        <x:v>Hope</x:v>
      </x:c>
      <x:c r="D302" s="8" t="str">
        <x:v>Hope</x:v>
      </x:c>
      <x:c r="E302" s="8" t="str">
        <x:v>D</x:v>
      </x:c>
      <x:c r="F302" s="8" t="str">
        <x:v>FVR</x:v>
      </x:c>
      <x:c r="G302" s="9" t="n">
        <x:v>2019</x:v>
      </x:c>
      <x:c r="H302" s="10" t="n">
        <x:v>6667</x:v>
      </x:c>
      <x:c r="I302" s="8" t="str">
        <x:v>5,000 to 19,999</x:v>
      </x:c>
      <x:c r="J302" s="11" t="n">
        <x:v>14365776</x:v>
      </x:c>
      <x:c r="K302" s="11" t="n">
        <x:v>11972155</x:v>
      </x:c>
      <x:c r="L302" s="11" t="n">
        <x:v>2393621</x:v>
      </x:c>
      <x:c r="M302" s="12" t="n">
        <x:v>0.16661967999501037</x:v>
      </x:c>
      <x:c r="N302" s="11" t="n">
        <x:v>8753217</x:v>
      </x:c>
      <x:c r="O302" s="11" t="n">
        <x:v>3270771</x:v>
      </x:c>
      <x:c r="P302" s="11" t="n">
        <x:v>1387254</x:v>
      </x:c>
      <x:c r="Q302" s="11" t="n">
        <x:v>954534</x:v>
      </x:c>
      <x:c r="R302" s="11" t="n">
        <x:v>10015780</x:v>
      </x:c>
      <x:c r="S302" s="11" t="n">
        <x:v>1767001</x:v>
      </x:c>
      <x:c r="T302" s="11" t="n">
        <x:v>24660766</x:v>
      </x:c>
      <x:c r="U302" s="11" t="n">
        <x:v>7387061</x:v>
      </x:c>
      <x:c r="V302" s="11" t="n">
        <x:v>19096301</x:v>
      </x:c>
      <x:c r="W302" s="11" t="n">
        <x:v>1651933</x:v>
      </x:c>
      <x:c r="X302" s="11" t="n">
        <x:v>2660013</x:v>
      </x:c>
      <x:c r="Y302" s="11" t="n">
        <x:v>0</x:v>
      </x:c>
      <x:c r="Z302" s="11" t="n">
        <x:v>329516</x:v>
      </x:c>
      <x:c r="AA302" s="11" t="n">
        <x:v>2182506</x:v>
      </x:c>
      <x:c r="AB302" s="11" t="n">
        <x:v>189374</x:v>
      </x:c>
      <x:c r="AC302" s="11" t="n">
        <x:v>518890</x:v>
      </x:c>
      <x:c r="AD302" s="11" t="n">
        <x:v>3295754</x:v>
      </x:c>
      <x:c r="AE302" s="11" t="n">
        <x:v>2776864</x:v>
      </x:c>
      <x:c r="AF302" s="11" t="n">
        <x:v>13183014</x:v>
      </x:c>
      <x:c r="AG302" s="11" t="n">
        <x:v>83170253</x:v>
      </x:c>
      <x:c r="AH302" s="11" t="n">
        <x:v>43209121</x:v>
      </x:c>
      <x:c r="AI302" s="11" t="n">
        <x:v>39961132</x:v>
      </x:c>
      <x:c r="AJ302" s="11" t="n">
        <x:v>1024496</x:v>
      </x:c>
      <x:c r="AK302" s="11" t="n">
        <x:v>259369721</x:v>
      </x:c>
      <x:c r="AL302" s="11" t="n">
        <x:v>4945095</x:v>
      </x:c>
      <x:c r="AM302" s="12" t="n">
        <x:v>0.9809341854518169</x:v>
      </x:c>
      <x:c r="AN302" s="12" t="n">
        <x:v>0.003949944488701516</x:v>
      </x:c>
      <x:c r="AO302" s="11" t="n">
        <x:v>14824429</x:v>
      </x:c>
      <x:c r="AP302" s="11" t="n">
        <x:v>14120625</x:v>
      </x:c>
      <x:c r="AQ302" s="12" t="n">
        <x:v>0.9525240398803894</x:v>
      </x:c>
      <x:c r="AR302" s="11" t="n">
        <x:v>2154.7586620668967</x:v>
      </x:c>
      <x:c r="AS302" s="11" t="n">
        <x:v>1795.7334633268338</x:v>
      </x:c>
      <x:c r="AT302" s="11" t="n">
        <x:v>2864.3019349032547</x:v>
      </x:c>
      <x:c r="AU302" s="11" t="n">
        <x:v>247.7775611219439</x:v>
      </x:c>
      <x:c r="AV302" s="11" t="n">
        <x:v>327.35953202339886</x:v>
      </x:c>
      <x:c r="AW302" s="11" t="n">
        <x:v>3.3383731364882463</x:v>
      </x:c>
      <x:c r="AX302" s="12" t="n">
        <x:v>0.8425580307268079</x:v>
      </x:c>
      <x:c r="AY302" s="11"/>
      <x:c r="AZ302" s="11"/>
      <x:c r="BA302" s="11"/>
      <x:c r="BB302" s="11"/>
      <x:c r="BC302" s="11"/>
      <x:c r="BD302" s="11"/>
      <x:c r="BE302" s="11"/>
      <x:c r="BF302" s="11"/>
      <x:c r="BG302" s="11"/>
      <x:c r="BH302" s="11"/>
      <x:c r="BI302" s="11"/>
      <x:c r="BJ302" s="11"/>
      <x:c r="BK302" s="12"/>
      <x:c r="BL302" s="12"/>
      <x:c r="BM302" s="12"/>
      <x:c r="BN302" s="12"/>
      <x:c r="BO302" s="12"/>
      <x:c r="BP302" s="12"/>
      <x:c r="BQ302" s="12"/>
      <x:c r="BR302" s="12"/>
      <x:c r="BS302" s="12"/>
      <x:c r="BT302" s="12"/>
      <x:c r="BU302" s="11" t="n">
        <x:v>0</x:v>
      </x:c>
      <x:c r="BV302" s="11" t="n">
        <x:v>1387254</x:v>
      </x:c>
      <x:c r="BW302" s="11" t="n">
        <x:v>0</x:v>
      </x:c>
      <x:c r="BX302" s="11" t="n">
        <x:v>667884</x:v>
      </x:c>
      <x:c r="BY302" s="11" t="n">
        <x:v>110303</x:v>
      </x:c>
      <x:c r="BZ302" s="11" t="n">
        <x:v>153944</x:v>
      </x:c>
      <x:c r="CA302" s="11" t="n">
        <x:v>2631</x:v>
      </x:c>
      <x:c r="CB302" s="11" t="n">
        <x:v>19772</x:v>
      </x:c>
      <x:c r="CC302" s="11" t="n">
        <x:v>1741227</x:v>
      </x:c>
      <x:c r="CD302" s="11" t="n">
        <x:v>2942130</x:v>
      </x:c>
      <x:c r="CE302" s="11" t="n">
        <x:v>1390886</x:v>
      </x:c>
      <x:c r="CF302" s="11" t="n">
        <x:v>0</x:v>
      </x:c>
      <x:c r="CG302" s="11" t="n">
        <x:v>617189</x:v>
      </x:c>
      <x:c r="CH302" s="11" t="n">
        <x:v>1526465</x:v>
      </x:c>
      <x:c r="CI302" s="11" t="n">
        <x:v>987514</x:v>
      </x:c>
      <x:c r="CJ302" s="11" t="n">
        <x:v>503025</x:v>
      </x:c>
      <x:c r="CK302" s="11" t="n">
        <x:v>444239</x:v>
      </x:c>
      <x:c r="CL302" s="11" t="n">
        <x:v>52479</x:v>
      </x:c>
      <x:c r="CM302" s="11"/>
      <x:c r="CN302" s="11" t="n">
        <x:v>0</x:v>
      </x:c>
      <x:c r="CO302" s="11" t="n">
        <x:v>0</x:v>
      </x:c>
      <x:c r="CP302" s="8"/>
      <x:c r="CQ302" s="8"/>
    </x:row>
    <x:row r="303">
      <x:c r="A303" s="8" t="str">
        <x:v>Hope|2020</x:v>
      </x:c>
      <x:c r="B303" s="8" t="str">
        <x:v>hope-d</x:v>
      </x:c>
      <x:c r="C303" s="8" t="str">
        <x:v>Hope</x:v>
      </x:c>
      <x:c r="D303" s="8" t="str">
        <x:v>Hope</x:v>
      </x:c>
      <x:c r="E303" s="8" t="str">
        <x:v>D</x:v>
      </x:c>
      <x:c r="F303" s="8" t="str">
        <x:v>FVR</x:v>
      </x:c>
      <x:c r="G303" s="9" t="n">
        <x:v>2020</x:v>
      </x:c>
      <x:c r="H303" s="10" t="n">
        <x:v>6867</x:v>
      </x:c>
      <x:c r="I303" s="8" t="str">
        <x:v>5,000 to 19,999</x:v>
      </x:c>
      <x:c r="J303" s="11" t="n">
        <x:v>16433753</x:v>
      </x:c>
      <x:c r="K303" s="11" t="n">
        <x:v>13344879</x:v>
      </x:c>
      <x:c r="L303" s="11" t="n">
        <x:v>3088874</x:v>
      </x:c>
      <x:c r="M303" s="12" t="n">
        <x:v>0.1879591350801001</x:v>
      </x:c>
      <x:c r="N303" s="11" t="n">
        <x:v>9079128</x:v>
      </x:c>
      <x:c r="O303" s="11" t="n">
        <x:v>3443339</x:v>
      </x:c>
      <x:c r="P303" s="11" t="n">
        <x:v>2977813</x:v>
      </x:c>
      <x:c r="Q303" s="11" t="n">
        <x:v>933473</x:v>
      </x:c>
      <x:c r="R303" s="11" t="n">
        <x:v>11340327</x:v>
      </x:c>
      <x:c r="S303" s="11" t="n">
        <x:v>1860222</x:v>
      </x:c>
      <x:c r="T303" s="11" t="n">
        <x:v>27809980</x:v>
      </x:c>
      <x:c r="U303" s="11" t="n">
        <x:v>7763037</x:v>
      </x:c>
      <x:c r="V303" s="11" t="n">
        <x:v>22113091</x:v>
      </x:c>
      <x:c r="W303" s="11" t="n">
        <x:v>1702651</x:v>
      </x:c>
      <x:c r="X303" s="11" t="n">
        <x:v>2149157</x:v>
      </x:c>
      <x:c r="Y303" s="11" t="n">
        <x:v>0</x:v>
      </x:c>
      <x:c r="Z303" s="11" t="n">
        <x:v>154037</x:v>
      </x:c>
      <x:c r="AA303" s="11" t="n">
        <x:v>1902009</x:v>
      </x:c>
      <x:c r="AB303" s="11" t="n">
        <x:v>144330</x:v>
      </x:c>
      <x:c r="AC303" s="11" t="n">
        <x:v>298367</x:v>
      </x:c>
      <x:c r="AD303" s="11" t="n">
        <x:v>3398522</x:v>
      </x:c>
      <x:c r="AE303" s="11" t="n">
        <x:v>3100155</x:v>
      </x:c>
      <x:c r="AF303" s="11" t="n">
        <x:v>13594087</x:v>
      </x:c>
      <x:c r="AG303" s="11" t="n">
        <x:v>84770137</x:v>
      </x:c>
      <x:c r="AH303" s="11" t="n">
        <x:v>44699551</x:v>
      </x:c>
      <x:c r="AI303" s="11" t="n">
        <x:v>40070586</x:v>
      </x:c>
      <x:c r="AJ303" s="11" t="n">
        <x:v>2008094</x:v>
      </x:c>
      <x:c r="AK303" s="11" t="n">
        <x:v>248288288</x:v>
      </x:c>
      <x:c r="AL303" s="11" t="n">
        <x:v>3716196</x:v>
      </x:c>
      <x:c r="AM303" s="12" t="n">
        <x:v>0.9850327374281947</x:v>
      </x:c>
      <x:c r="AN303" s="12" t="n">
        <x:v>0.008087751605907403</x:v>
      </x:c>
      <x:c r="AO303" s="11" t="n">
        <x:v>14971758</x:v>
      </x:c>
      <x:c r="AP303" s="11" t="n">
        <x:v>14148463</x:v>
      </x:c>
      <x:c r="AQ303" s="12" t="n">
        <x:v>0.9450101317427119</x:v>
      </x:c>
      <x:c r="AR303" s="11" t="n">
        <x:v>2393.1488277268095</x:v>
      </x:c>
      <x:c r="AS303" s="11" t="n">
        <x:v>1943.3346439493228</x:v>
      </x:c>
      <x:c r="AT303" s="11" t="n">
        <x:v>3220.196738022426</x:v>
      </x:c>
      <x:c r="AU303" s="11" t="n">
        <x:v>247.94684724042523</x:v>
      </x:c>
      <x:c r="AV303" s="11" t="n">
        <x:v>276.9781564001747</x:v>
      </x:c>
      <x:c r="AW303" s="11" t="n">
        <x:v>3.582358296115296</x:v>
      </x:c>
      <x:c r="AX303" s="12" t="n">
        <x:v>0.9122068357950898</x:v>
      </x:c>
      <x:c r="AY303" s="11"/>
      <x:c r="AZ303" s="11"/>
      <x:c r="BA303" s="11"/>
      <x:c r="BB303" s="11"/>
      <x:c r="BC303" s="11"/>
      <x:c r="BD303" s="11"/>
      <x:c r="BE303" s="11"/>
      <x:c r="BF303" s="11"/>
      <x:c r="BG303" s="11"/>
      <x:c r="BH303" s="11"/>
      <x:c r="BI303" s="11"/>
      <x:c r="BJ303" s="11"/>
      <x:c r="BK303" s="12"/>
      <x:c r="BL303" s="12"/>
      <x:c r="BM303" s="12"/>
      <x:c r="BN303" s="12"/>
      <x:c r="BO303" s="12"/>
      <x:c r="BP303" s="12"/>
      <x:c r="BQ303" s="12"/>
      <x:c r="BR303" s="12"/>
      <x:c r="BS303" s="12"/>
      <x:c r="BT303" s="12"/>
      <x:c r="BU303" s="11" t="n">
        <x:v>0</x:v>
      </x:c>
      <x:c r="BV303" s="11" t="n">
        <x:v>2977813</x:v>
      </x:c>
      <x:c r="BW303" s="11" t="n">
        <x:v>0</x:v>
      </x:c>
      <x:c r="BX303" s="11" t="n">
        <x:v>524902</x:v>
      </x:c>
      <x:c r="BY303" s="11" t="n">
        <x:v>63166</x:v>
      </x:c>
      <x:c r="BZ303" s="11" t="n">
        <x:v>323164</x:v>
      </x:c>
      <x:c r="CA303" s="11" t="n">
        <x:v>0</x:v>
      </x:c>
      <x:c r="CB303" s="11" t="n">
        <x:v>22241</x:v>
      </x:c>
      <x:c r="CC303" s="11" t="n">
        <x:v>1919839</x:v>
      </x:c>
      <x:c r="CD303" s="11" t="n">
        <x:v>3084057</x:v>
      </x:c>
      <x:c r="CE303" s="11" t="n">
        <x:v>1693704</x:v>
      </x:c>
      <x:c r="CF303" s="11" t="n">
        <x:v>0</x:v>
      </x:c>
      <x:c r="CG303" s="11" t="n">
        <x:v>664704</x:v>
      </x:c>
      <x:c r="CH303" s="11" t="n">
        <x:v>2057944</x:v>
      </x:c>
      <x:c r="CI303" s="11" t="n">
        <x:v>958703</x:v>
      </x:c>
      <x:c r="CJ303" s="11" t="n">
        <x:v>508556</x:v>
      </x:c>
      <x:c r="CK303" s="11" t="n">
        <x:v>520055</x:v>
      </x:c>
      <x:c r="CL303" s="11" t="n">
        <x:v>38677</x:v>
      </x:c>
      <x:c r="CM303" s="11"/>
      <x:c r="CN303" s="11" t="n">
        <x:v>38418</x:v>
      </x:c>
      <x:c r="CO303" s="11" t="n">
        <x:v>0</x:v>
      </x:c>
      <x:c r="CP303" s="8"/>
      <x:c r="CQ303" s="8"/>
    </x:row>
    <x:row r="304">
      <x:c r="A304" s="8" t="str">
        <x:v>Hope|2021</x:v>
      </x:c>
      <x:c r="B304" s="8" t="str">
        <x:v>hope-d</x:v>
      </x:c>
      <x:c r="C304" s="8" t="str">
        <x:v>Hope</x:v>
      </x:c>
      <x:c r="D304" s="8" t="str">
        <x:v>Hope</x:v>
      </x:c>
      <x:c r="E304" s="8" t="str">
        <x:v>D</x:v>
      </x:c>
      <x:c r="F304" s="8" t="str">
        <x:v>FVR</x:v>
      </x:c>
      <x:c r="G304" s="9" t="n">
        <x:v>2021</x:v>
      </x:c>
      <x:c r="H304" s="10" t="n">
        <x:v>6767</x:v>
      </x:c>
      <x:c r="I304" s="8" t="str">
        <x:v>5,000 to 19,999</x:v>
      </x:c>
      <x:c r="J304" s="11" t="n">
        <x:v>16696661</x:v>
      </x:c>
      <x:c r="K304" s="11" t="n">
        <x:v>15349005</x:v>
      </x:c>
      <x:c r="L304" s="11" t="n">
        <x:v>1347656</x:v>
      </x:c>
      <x:c r="M304" s="12" t="n">
        <x:v>0.08071410205908834</x:v>
      </x:c>
      <x:c r="N304" s="11" t="n">
        <x:v>9331977</x:v>
      </x:c>
      <x:c r="O304" s="11" t="n">
        <x:v>3853694</x:v>
      </x:c>
      <x:c r="P304" s="11" t="n">
        <x:v>2808614</x:v>
      </x:c>
      <x:c r="Q304" s="11" t="n">
        <x:v>702376</x:v>
      </x:c>
      <x:c r="R304" s="11" t="n">
        <x:v>13405701</x:v>
      </x:c>
      <x:c r="S304" s="11" t="n">
        <x:v>1885029</x:v>
      </x:c>
      <x:c r="T304" s="11" t="n">
        <x:v>30760665</x:v>
      </x:c>
      <x:c r="U304" s="11" t="n">
        <x:v>9923492</x:v>
      </x:c>
      <x:c r="V304" s="11" t="n">
        <x:v>24262036</x:v>
      </x:c>
      <x:c r="W304" s="11" t="n">
        <x:v>1790428</x:v>
      </x:c>
      <x:c r="X304" s="11" t="n">
        <x:v>1902009</x:v>
      </x:c>
      <x:c r="Y304" s="11" t="n">
        <x:v>11385</x:v>
      </x:c>
      <x:c r="Z304" s="11" t="n">
        <x:v>126000</x:v>
      </x:c>
      <x:c r="AA304" s="11" t="n">
        <x:v>1711771</x:v>
      </x:c>
      <x:c r="AB304" s="11" t="n">
        <x:v>58275</x:v>
      </x:c>
      <x:c r="AC304" s="11" t="n">
        <x:v>184275</x:v>
      </x:c>
      <x:c r="AD304" s="11" t="n">
        <x:v>3496747</x:v>
      </x:c>
      <x:c r="AE304" s="11" t="n">
        <x:v>3312472</x:v>
      </x:c>
      <x:c r="AF304" s="11" t="n">
        <x:v>13986986</x:v>
      </x:c>
      <x:c r="AG304" s="11" t="n">
        <x:v>85109991</x:v>
      </x:c>
      <x:c r="AH304" s="11" t="n">
        <x:v>46574082</x:v>
      </x:c>
      <x:c r="AI304" s="11" t="n">
        <x:v>38535909</x:v>
      </x:c>
      <x:c r="AJ304" s="11" t="n">
        <x:v>354856</x:v>
      </x:c>
      <x:c r="AK304" s="11" t="n">
        <x:v>258237673</x:v>
      </x:c>
      <x:c r="AL304" s="11" t="n">
        <x:v>4185200</x:v>
      </x:c>
      <x:c r="AM304" s="12" t="n">
        <x:v>0.9837932244688403</x:v>
      </x:c>
      <x:c r="AN304" s="12" t="n">
        <x:v>0.001374144972255849</x:v>
      </x:c>
      <x:c r="AO304" s="11" t="n">
        <x:v>15494114</x:v>
      </x:c>
      <x:c r="AP304" s="11" t="n">
        <x:v>14874799</x:v>
      </x:c>
      <x:c r="AQ304" s="12" t="n">
        <x:v>0.9600290148891379</x:v>
      </x:c>
      <x:c r="AR304" s="11" t="n">
        <x:v>2467.365302201862</x:v>
      </x:c>
      <x:c r="AS304" s="11" t="n">
        <x:v>2268.2141273828875</x:v>
      </x:c>
      <x:c r="AT304" s="11" t="n">
        <x:v>3585.345943549579</x:v>
      </x:c>
      <x:c r="AU304" s="11" t="n">
        <x:v>264.58223732821045</x:v>
      </x:c>
      <x:c r="AV304" s="11" t="n">
        <x:v>252.95862272794443</x:v>
      </x:c>
      <x:c r="AW304" s="11" t="n">
        <x:v>3.0997823145320216</x:v>
      </x:c>
      <x:c r="AX304" s="12" t="n">
        <x:v>0.9473010200623608</x:v>
      </x:c>
      <x:c r="AY304" s="11"/>
      <x:c r="AZ304" s="11"/>
      <x:c r="BA304" s="11"/>
      <x:c r="BB304" s="11"/>
      <x:c r="BC304" s="11"/>
      <x:c r="BD304" s="11"/>
      <x:c r="BE304" s="11"/>
      <x:c r="BF304" s="11"/>
      <x:c r="BG304" s="11"/>
      <x:c r="BH304" s="11"/>
      <x:c r="BI304" s="11"/>
      <x:c r="BJ304" s="11"/>
      <x:c r="BK304" s="12"/>
      <x:c r="BL304" s="12"/>
      <x:c r="BM304" s="12"/>
      <x:c r="BN304" s="12"/>
      <x:c r="BO304" s="12"/>
      <x:c r="BP304" s="12"/>
      <x:c r="BQ304" s="12"/>
      <x:c r="BR304" s="12"/>
      <x:c r="BS304" s="12"/>
      <x:c r="BT304" s="12"/>
      <x:c r="BU304" s="11" t="n">
        <x:v>0</x:v>
      </x:c>
      <x:c r="BV304" s="11" t="n">
        <x:v>2808614</x:v>
      </x:c>
      <x:c r="BW304" s="11" t="n">
        <x:v>0</x:v>
      </x:c>
      <x:c r="BX304" s="11" t="n">
        <x:v>241405</x:v>
      </x:c>
      <x:c r="BY304" s="11" t="n">
        <x:v>186767</x:v>
      </x:c>
      <x:c r="BZ304" s="11" t="n">
        <x:v>238286</x:v>
      </x:c>
      <x:c r="CA304" s="11" t="n">
        <x:v>9270</x:v>
      </x:c>
      <x:c r="CB304" s="11" t="n">
        <x:v>26648</x:v>
      </x:c>
      <x:c r="CC304" s="11" t="n">
        <x:v>1886472</x:v>
      </x:c>
      <x:c r="CD304" s="11" t="n">
        <x:v>4282377</x:v>
      </x:c>
      <x:c r="CE304" s="11" t="n">
        <x:v>1807212</x:v>
      </x:c>
      <x:c r="CF304" s="11" t="n">
        <x:v>0</x:v>
      </x:c>
      <x:c r="CG304" s="11" t="n">
        <x:v>684541</x:v>
      </x:c>
      <x:c r="CH304" s="11" t="n">
        <x:v>2130832</x:v>
      </x:c>
      <x:c r="CI304" s="11" t="n">
        <x:v>1472253</x:v>
      </x:c>
      <x:c r="CJ304" s="11" t="n">
        <x:v>486205</x:v>
      </x:c>
      <x:c r="CK304" s="11" t="n">
        <x:v>667968</x:v>
      </x:c>
      <x:c r="CL304" s="11" t="n">
        <x:v>46116</x:v>
      </x:c>
      <x:c r="CM304" s="11"/>
      <x:c r="CN304" s="11" t="n">
        <x:v>0</x:v>
      </x:c>
      <x:c r="CO304" s="11" t="n">
        <x:v>0</x:v>
      </x:c>
      <x:c r="CP304" s="8"/>
      <x:c r="CQ304" s="8"/>
    </x:row>
    <x:row r="305">
      <x:c r="A305" s="8" t="str">
        <x:v>Hope|2022</x:v>
      </x:c>
      <x:c r="B305" s="8" t="str">
        <x:v>hope-d</x:v>
      </x:c>
      <x:c r="C305" s="8" t="str">
        <x:v>Hope</x:v>
      </x:c>
      <x:c r="D305" s="8" t="str">
        <x:v>Hope</x:v>
      </x:c>
      <x:c r="E305" s="8" t="str">
        <x:v>D</x:v>
      </x:c>
      <x:c r="F305" s="8" t="str">
        <x:v>FVR</x:v>
      </x:c>
      <x:c r="G305" s="9" t="n">
        <x:v>2022</x:v>
      </x:c>
      <x:c r="H305" s="10" t="n">
        <x:v>3197</x:v>
      </x:c>
      <x:c r="I305" s="8" t="str">
        <x:v>Under 5,000</x:v>
      </x:c>
      <x:c r="J305" s="11" t="n">
        <x:v>18879781</x:v>
      </x:c>
      <x:c r="K305" s="11" t="n">
        <x:v>15981150</x:v>
      </x:c>
      <x:c r="L305" s="11" t="n">
        <x:v>2898631</x:v>
      </x:c>
      <x:c r="M305" s="12" t="n">
        <x:v>0.1535309652161749</x:v>
      </x:c>
      <x:c r="N305" s="11" t="n">
        <x:v>9839811</x:v>
      </x:c>
      <x:c r="O305" s="11" t="n">
        <x:v>4547672</x:v>
      </x:c>
      <x:c r="P305" s="11" t="n">
        <x:v>1612114</x:v>
      </x:c>
      <x:c r="Q305" s="11" t="n">
        <x:v>2880184</x:v>
      </x:c>
      <x:c r="R305" s="11" t="n">
        <x:v>13887395</x:v>
      </x:c>
      <x:c r="S305" s="11" t="n">
        <x:v>2035480</x:v>
      </x:c>
      <x:c r="T305" s="11" t="n">
        <x:v>34384633</x:v>
      </x:c>
      <x:c r="U305" s="11" t="n">
        <x:v>11308061</x:v>
      </x:c>
      <x:c r="V305" s="11" t="n">
        <x:v>25872935</x:v>
      </x:c>
      <x:c r="W305" s="11" t="n">
        <x:v>1800753</x:v>
      </x:c>
      <x:c r="X305" s="11" t="n">
        <x:v>1711771</x:v>
      </x:c>
      <x:c r="Y305" s="11" t="n">
        <x:v>0</x:v>
      </x:c>
      <x:c r="Z305" s="11" t="n">
        <x:v>128168</x:v>
      </x:c>
      <x:c r="AA305" s="11" t="n">
        <x:v>1500207</x:v>
      </x:c>
      <x:c r="AB305" s="11" t="n">
        <x:v>58275</x:v>
      </x:c>
      <x:c r="AC305" s="11" t="n">
        <x:v>186443</x:v>
      </x:c>
      <x:c r="AD305" s="11" t="n">
        <x:v>3936073</x:v>
      </x:c>
      <x:c r="AE305" s="11" t="n">
        <x:v>3588530</x:v>
      </x:c>
      <x:c r="AF305" s="11" t="n">
        <x:v>15744291</x:v>
      </x:c>
      <x:c r="AG305" s="11" t="n">
        <x:v>89474156</x:v>
      </x:c>
      <x:c r="AH305" s="11" t="n">
        <x:v>48598570</x:v>
      </x:c>
      <x:c r="AI305" s="11" t="n">
        <x:v>40875586</x:v>
      </x:c>
      <x:c r="AJ305" s="11" t="n">
        <x:v>4375158</x:v>
      </x:c>
      <x:c r="AK305" s="11" t="n">
        <x:v>271199076</x:v>
      </x:c>
      <x:c r="AL305" s="11" t="n">
        <x:v>4409000</x:v>
      </x:c>
      <x:c r="AM305" s="12" t="n">
        <x:v>0.9837425699783726</x:v>
      </x:c>
      <x:c r="AN305" s="12" t="n">
        <x:v>0.01613264346077639</x:v>
      </x:c>
      <x:c r="AO305" s="11" t="n">
        <x:v>16930375</x:v>
      </x:c>
      <x:c r="AP305" s="11" t="n">
        <x:v>16096344</x:v>
      </x:c>
      <x:c r="AQ305" s="12" t="n">
        <x:v>0.9507375944124097</x:v>
      </x:c>
      <x:c r="AR305" s="11" t="n">
        <x:v>5905.4679386925245</x:v>
      </x:c>
      <x:c r="AS305" s="11" t="n">
        <x:v>4998.795746011886</x:v>
      </x:c>
      <x:c r="AT305" s="11" t="n">
        <x:v>8092.879261807945</x:v>
      </x:c>
      <x:c r="AU305" s="11" t="n">
        <x:v>563.2633719111667</x:v>
      </x:c>
      <x:c r="AV305" s="11" t="n">
        <x:v>469.25461370034407</x:v>
      </x:c>
      <x:c r="AW305" s="11" t="n">
        <x:v>3.0407187403746763</x:v>
      </x:c>
      <x:c r="AX305" s="12" t="n">
        <x:v>0.9117031111973787</x:v>
      </x:c>
      <x:c r="AY305" s="11"/>
      <x:c r="AZ305" s="11"/>
      <x:c r="BA305" s="11"/>
      <x:c r="BB305" s="11"/>
      <x:c r="BC305" s="11"/>
      <x:c r="BD305" s="11"/>
      <x:c r="BE305" s="11"/>
      <x:c r="BF305" s="11"/>
      <x:c r="BG305" s="11"/>
      <x:c r="BH305" s="11"/>
      <x:c r="BI305" s="11"/>
      <x:c r="BJ305" s="11"/>
      <x:c r="BK305" s="12"/>
      <x:c r="BL305" s="12"/>
      <x:c r="BM305" s="12"/>
      <x:c r="BN305" s="12"/>
      <x:c r="BO305" s="12"/>
      <x:c r="BP305" s="12"/>
      <x:c r="BQ305" s="12"/>
      <x:c r="BR305" s="12"/>
      <x:c r="BS305" s="12"/>
      <x:c r="BT305" s="12"/>
      <x:c r="BU305" s="11" t="n">
        <x:v>0</x:v>
      </x:c>
      <x:c r="BV305" s="11" t="n">
        <x:v>1612114</x:v>
      </x:c>
      <x:c r="BW305" s="11" t="n">
        <x:v>0</x:v>
      </x:c>
      <x:c r="BX305" s="11" t="n">
        <x:v>698389</x:v>
      </x:c>
      <x:c r="BY305" s="11" t="n">
        <x:v>15471</x:v>
      </x:c>
      <x:c r="BZ305" s="11" t="n">
        <x:v>0</x:v>
      </x:c>
      <x:c r="CA305" s="11" t="n">
        <x:v>2131368</x:v>
      </x:c>
      <x:c r="CB305" s="11" t="n">
        <x:v>34956</x:v>
      </x:c>
      <x:c r="CC305" s="11" t="n">
        <x:v>2173712</x:v>
      </x:c>
      <x:c r="CD305" s="11" t="n">
        <x:v>3751395</x:v>
      </x:c>
      <x:c r="CE305" s="11" t="n">
        <x:v>1947841</x:v>
      </x:c>
      <x:c r="CF305" s="11" t="n">
        <x:v>0</x:v>
      </x:c>
      <x:c r="CG305" s="11" t="n">
        <x:v>711314</x:v>
      </x:c>
      <x:c r="CH305" s="11" t="n">
        <x:v>2626522</x:v>
      </x:c>
      <x:c r="CI305" s="11" t="n">
        <x:v>1388804</x:v>
      </x:c>
      <x:c r="CJ305" s="11" t="n">
        <x:v>609838</x:v>
      </x:c>
      <x:c r="CK305" s="11" t="n">
        <x:v>736244</x:v>
      </x:c>
      <x:c r="CL305" s="11" t="n">
        <x:v>0</x:v>
      </x:c>
      <x:c r="CM305" s="11"/>
      <x:c r="CN305" s="11" t="n">
        <x:v>0</x:v>
      </x:c>
      <x:c r="CO305" s="11" t="n">
        <x:v>0</x:v>
      </x:c>
      <x:c r="CP305" s="8"/>
      <x:c r="CQ305" s="8"/>
    </x:row>
    <x:row r="306">
      <x:c r="A306" s="8" t="str">
        <x:v>Hope|2023</x:v>
      </x:c>
      <x:c r="B306" s="8" t="str">
        <x:v>hope-d</x:v>
      </x:c>
      <x:c r="C306" s="8" t="str">
        <x:v>Hope</x:v>
      </x:c>
      <x:c r="D306" s="8" t="str">
        <x:v>Hope</x:v>
      </x:c>
      <x:c r="E306" s="8" t="str">
        <x:v>D</x:v>
      </x:c>
      <x:c r="F306" s="8" t="str">
        <x:v>FVR</x:v>
      </x:c>
      <x:c r="G306" s="9" t="n">
        <x:v>2023</x:v>
      </x:c>
      <x:c r="H306" s="10" t="n">
        <x:v>6855</x:v>
      </x:c>
      <x:c r="I306" s="8" t="str">
        <x:v>5,000 to 19,999</x:v>
      </x:c>
      <x:c r="J306" s="11" t="n">
        <x:v>22572163</x:v>
      </x:c>
      <x:c r="K306" s="11" t="n">
        <x:v>17479224</x:v>
      </x:c>
      <x:c r="L306" s="11" t="n">
        <x:v>5092939</x:v>
      </x:c>
      <x:c r="M306" s="12" t="n">
        <x:v>0.22562919645760135</x:v>
      </x:c>
      <x:c r="N306" s="11" t="n">
        <x:v>10714076</x:v>
      </x:c>
      <x:c r="O306" s="11" t="n">
        <x:v>4255526</x:v>
      </x:c>
      <x:c r="P306" s="11" t="n">
        <x:v>4804883</x:v>
      </x:c>
      <x:c r="Q306" s="11" t="n">
        <x:v>2797678</x:v>
      </x:c>
      <x:c r="R306" s="11" t="n">
        <x:v>15322080</x:v>
      </x:c>
      <x:c r="S306" s="11" t="n">
        <x:v>2076589</x:v>
      </x:c>
      <x:c r="T306" s="11" t="n">
        <x:v>39074698</x:v>
      </x:c>
      <x:c r="U306" s="11" t="n">
        <x:v>13351243</x:v>
      </x:c>
      <x:c r="V306" s="11" t="n">
        <x:v>28638742</x:v>
      </x:c>
      <x:c r="W306" s="11" t="n">
        <x:v>4837998</x:v>
      </x:c>
      <x:c r="X306" s="11" t="n">
        <x:v>1500207</x:v>
      </x:c>
      <x:c r="Y306" s="11" t="n">
        <x:v>1800000</x:v>
      </x:c>
      <x:c r="Z306" s="11" t="n">
        <x:v>127942</x:v>
      </x:c>
      <x:c r="AA306" s="11" t="n">
        <x:v>3109799</x:v>
      </x:c>
      <x:c r="AB306" s="11" t="n">
        <x:v>80555</x:v>
      </x:c>
      <x:c r="AC306" s="11" t="n">
        <x:v>208497</x:v>
      </x:c>
      <x:c r="AD306" s="11" t="n">
        <x:v>4380626</x:v>
      </x:c>
      <x:c r="AE306" s="11" t="n">
        <x:v>4172129</x:v>
      </x:c>
      <x:c r="AF306" s="11" t="n">
        <x:v>17522504</x:v>
      </x:c>
      <x:c r="AG306" s="11" t="n">
        <x:v>93206651</x:v>
      </x:c>
      <x:c r="AH306" s="11" t="n">
        <x:v>50376914</x:v>
      </x:c>
      <x:c r="AI306" s="11" t="n">
        <x:v>42829737</x:v>
      </x:c>
      <x:c r="AJ306" s="11" t="n">
        <x:v>3660240</x:v>
      </x:c>
      <x:c r="AK306" s="11" t="n">
        <x:v>280804785</x:v>
      </x:c>
      <x:c r="AL306" s="11" t="n">
        <x:v>3995070</x:v>
      </x:c>
      <x:c r="AM306" s="12" t="n">
        <x:v>0.9857727851752953</x:v>
      </x:c>
      <x:c r="AN306" s="12" t="n">
        <x:v>0.013034820613900863</x:v>
      </x:c>
      <x:c r="AO306" s="11" t="n">
        <x:v>18596208</x:v>
      </x:c>
      <x:c r="AP306" s="11" t="n">
        <x:v>17906749</x:v>
      </x:c>
      <x:c r="AQ306" s="12" t="n">
        <x:v>0.9629247532615252</x:v>
      </x:c>
      <x:c r="AR306" s="11" t="n">
        <x:v>3292.8027716994893</x:v>
      </x:c>
      <x:c r="AS306" s="11" t="n">
        <x:v>2549.850328227571</x:v>
      </x:c>
      <x:c r="AT306" s="11" t="n">
        <x:v>4177.788767323122</x:v>
      </x:c>
      <x:c r="AU306" s="11" t="n">
        <x:v>705.7619256017506</x:v>
      </x:c>
      <x:c r="AV306" s="11" t="n">
        <x:v>453.654121079504</x:v>
      </x:c>
      <x:c r="AW306" s="11" t="n">
        <x:v>2.926671172114836</x:v>
      </x:c>
      <x:c r="AX306" s="12" t="n">
        <x:v>0.9524047476319595</x:v>
      </x:c>
      <x:c r="AY306" s="11"/>
      <x:c r="AZ306" s="11"/>
      <x:c r="BA306" s="11"/>
      <x:c r="BB306" s="11"/>
      <x:c r="BC306" s="11"/>
      <x:c r="BD306" s="11"/>
      <x:c r="BE306" s="11"/>
      <x:c r="BF306" s="11"/>
      <x:c r="BG306" s="11"/>
      <x:c r="BH306" s="11"/>
      <x:c r="BI306" s="11"/>
      <x:c r="BJ306" s="11"/>
      <x:c r="BK306" s="12"/>
      <x:c r="BL306" s="12"/>
      <x:c r="BM306" s="12"/>
      <x:c r="BN306" s="12"/>
      <x:c r="BO306" s="12"/>
      <x:c r="BP306" s="12"/>
      <x:c r="BQ306" s="12"/>
      <x:c r="BR306" s="12"/>
      <x:c r="BS306" s="12"/>
      <x:c r="BT306" s="12"/>
      <x:c r="BU306" s="11" t="n">
        <x:v>0</x:v>
      </x:c>
      <x:c r="BV306" s="11" t="n">
        <x:v>4804883</x:v>
      </x:c>
      <x:c r="BW306" s="11" t="n">
        <x:v>0</x:v>
      </x:c>
      <x:c r="BX306" s="11" t="n">
        <x:v>2024398</x:v>
      </x:c>
      <x:c r="BY306" s="11" t="n">
        <x:v>741310</x:v>
      </x:c>
      <x:c r="BZ306" s="11" t="n">
        <x:v>0</x:v>
      </x:c>
      <x:c r="CA306" s="11" t="n">
        <x:v>0</x:v>
      </x:c>
      <x:c r="CB306" s="11" t="n">
        <x:v>31970</x:v>
      </x:c>
      <x:c r="CC306" s="11" t="n">
        <x:v>2197041</x:v>
      </x:c>
      <x:c r="CD306" s="11" t="n">
        <x:v>3405577</x:v>
      </x:c>
      <x:c r="CE306" s="11" t="n">
        <x:v>2988654</x:v>
      </x:c>
      <x:c r="CF306" s="11" t="n">
        <x:v>0</x:v>
      </x:c>
      <x:c r="CG306" s="11" t="n">
        <x:v>974884</x:v>
      </x:c>
      <x:c r="CH306" s="11" t="n">
        <x:v>2764577</x:v>
      </x:c>
      <x:c r="CI306" s="11" t="n">
        <x:v>1504284</x:v>
      </x:c>
      <x:c r="CJ306" s="11" t="n">
        <x:v>675246</x:v>
      </x:c>
      <x:c r="CK306" s="11" t="n">
        <x:v>874655</x:v>
      </x:c>
      <x:c r="CL306" s="11" t="n">
        <x:v>0</x:v>
      </x:c>
      <x:c r="CM306" s="11" t="n">
        <x:v>17717</x:v>
      </x:c>
      <x:c r="CN306" s="11" t="n">
        <x:v>0</x:v>
      </x:c>
      <x:c r="CO306" s="11" t="n">
        <x:v>0</x:v>
      </x:c>
      <x:c r="CP306" s="8"/>
      <x:c r="CQ306" s="8"/>
    </x:row>
    <x:row r="307">
      <x:c r="A307" s="8" t="str">
        <x:v>Hope|2024</x:v>
      </x:c>
      <x:c r="B307" s="8" t="str">
        <x:v>hope-d</x:v>
      </x:c>
      <x:c r="C307" s="8" t="str">
        <x:v>Hope</x:v>
      </x:c>
      <x:c r="D307" s="8" t="str">
        <x:v>Hope</x:v>
      </x:c>
      <x:c r="E307" s="8" t="str">
        <x:v>D</x:v>
      </x:c>
      <x:c r="F307" s="8" t="str">
        <x:v>FVR</x:v>
      </x:c>
      <x:c r="G307" s="9" t="n">
        <x:v>2024</x:v>
      </x:c>
      <x:c r="H307" s="10" t="n">
        <x:v>6855</x:v>
      </x:c>
      <x:c r="I307" s="8" t="str">
        <x:v>5,000 to 19,999</x:v>
      </x:c>
      <x:c r="J307" s="11" t="n">
        <x:v>19778923</x:v>
      </x:c>
      <x:c r="K307" s="11" t="n">
        <x:v>20331578</x:v>
      </x:c>
      <x:c r="L307" s="11" t="n">
        <x:v>-552655</x:v>
      </x:c>
      <x:c r="M307" s="12" t="n">
        <x:v>-0.027941612392140866</x:v>
      </x:c>
      <x:c r="N307" s="11" t="n">
        <x:v>11444843</x:v>
      </x:c>
      <x:c r="O307" s="11" t="n">
        <x:v>4346825</x:v>
      </x:c>
      <x:c r="P307" s="11" t="n">
        <x:v>1479175</x:v>
      </x:c>
      <x:c r="Q307" s="11" t="n">
        <x:v>2508080</x:v>
      </x:c>
      <x:c r="R307" s="11" t="n">
        <x:v>17990748</x:v>
      </x:c>
      <x:c r="S307" s="11" t="n">
        <x:v>2212916</x:v>
      </x:c>
      <x:c r="T307" s="11" t="n">
        <x:v>42681698</x:v>
      </x:c>
      <x:c r="U307" s="11" t="n">
        <x:v>15936697</x:v>
      </x:c>
      <x:c r="V307" s="11" t="n">
        <x:v>30002038</x:v>
      </x:c>
      <x:c r="W307" s="11" t="n">
        <x:v>5109358</x:v>
      </x:c>
      <x:c r="X307" s="11" t="n">
        <x:v>3109799</x:v>
      </x:c>
      <x:c r="Y307" s="11" t="n">
        <x:v>0</x:v>
      </x:c>
      <x:c r="Z307" s="11" t="n">
        <x:v>204911</x:v>
      </x:c>
      <x:c r="AA307" s="11" t="n">
        <x:v>2843797</x:v>
      </x:c>
      <x:c r="AB307" s="11" t="n">
        <x:v>127914</x:v>
      </x:c>
      <x:c r="AC307" s="11" t="n">
        <x:v>332825</x:v>
      </x:c>
      <x:c r="AD307" s="11" t="n">
        <x:v>4643818</x:v>
      </x:c>
      <x:c r="AE307" s="11" t="n">
        <x:v>4310993</x:v>
      </x:c>
      <x:c r="AF307" s="11" t="n">
        <x:v>18575272</x:v>
      </x:c>
      <x:c r="AG307" s="11" t="n">
        <x:v>89834070</x:v>
      </x:c>
      <x:c r="AH307" s="11" t="n">
        <x:v>48602939</x:v>
      </x:c>
      <x:c r="AI307" s="11" t="n">
        <x:v>41231131</x:v>
      </x:c>
      <x:c r="AJ307" s="11" t="n">
        <x:v>2088656</x:v>
      </x:c>
      <x:c r="AK307" s="11" t="n">
        <x:v>293186589</x:v>
      </x:c>
      <x:c r="AL307" s="11" t="n">
        <x:v>4090181</x:v>
      </x:c>
      <x:c r="AM307" s="12" t="n">
        <x:v>0.9860492220536049</x:v>
      </x:c>
      <x:c r="AN307" s="12" t="n">
        <x:v>0.007123982059083883</x:v>
      </x:c>
      <x:c r="AO307" s="11" t="n">
        <x:v>20265281</x:v>
      </x:c>
      <x:c r="AP307" s="11" t="n">
        <x:v>19510136</x:v>
      </x:c>
      <x:c r="AQ307" s="12" t="n">
        <x:v>0.962737008186563</x:v>
      </x:c>
      <x:c r="AR307" s="11" t="n">
        <x:v>2885.327935813275</x:v>
      </x:c>
      <x:c r="AS307" s="11" t="n">
        <x:v>2965.9486506199855</x:v>
      </x:c>
      <x:c r="AT307" s="11" t="n">
        <x:v>4376.664916119621</x:v>
      </x:c>
      <x:c r="AU307" s="11" t="n">
        <x:v>745.347629467542</x:v>
      </x:c>
      <x:c r="AV307" s="11" t="n">
        <x:v>414.8500364697301</x:v>
      </x:c>
      <x:c r="AW307" s="11" t="n">
        <x:v>2.6782022648733297</x:v>
      </x:c>
      <x:c r="AX307" s="12" t="n">
        <x:v>0.9283294478810323</x:v>
      </x:c>
      <x:c r="AY307" s="11" t="n">
        <x:v>2567.538946805667</x:v>
      </x:c>
      <x:c r="AZ307" s="11" t="n">
        <x:v>3546.5079302077975</x:v>
      </x:c>
      <x:c r="BA307" s="11" t="n">
        <x:v>2045.0195609464422</x:v>
      </x:c>
      <x:c r="BB307" s="11" t="n">
        <x:v>2783.665107049771</x:v>
      </x:c>
      <x:c r="BC307" s="11" t="n">
        <x:v>2217.25520024837</x:v>
      </x:c>
      <x:c r="BD307" s="11" t="n">
        <x:v>2437.8724475115623</x:v>
      </x:c>
      <x:c r="BE307" s="11" t="n">
        <x:v>799.2304887641933</x:v>
      </x:c>
      <x:c r="BF307" s="11" t="n">
        <x:v>1604.3462673977224</x:v>
      </x:c>
      <x:c r="BG307" s="11" t="n">
        <x:v>386.9249167164944</x:v>
      </x:c>
      <x:c r="BH307" s="11" t="n">
        <x:v>518.5374381567245</x:v>
      </x:c>
      <x:c r="BI307" s="11" t="n">
        <x:v>1.5629948984418691</x:v>
      </x:c>
      <x:c r="BJ307" s="11" t="n">
        <x:v>1.7099330852451193</x:v>
      </x:c>
      <x:c r="BK307" s="12" t="n">
        <x:v>0.04472396775938227</x:v>
      </x:c>
      <x:c r="BL307" s="12" t="n">
        <x:v>0.02529861000232605</x:v>
      </x:c>
      <x:c r="BM307" s="12" t="n">
        <x:v>0.9792813777328785</x:v>
      </x:c>
      <x:c r="BN307" s="12" t="n">
        <x:v>0.9815511712696461</x:v>
      </x:c>
      <x:c r="BO307" s="12" t="n">
        <x:v>0.8510570773833829</x:v>
      </x:c>
      <x:c r="BP307" s="12" t="n">
        <x:v>0.8619101997275483</x:v>
      </x:c>
      <x:c r="BQ307" s="12" t="n">
        <x:v>0.9732053424599786</x:v>
      </x:c>
      <x:c r="BR307" s="12" t="n">
        <x:v>0.9623635142836453</x:v>
      </x:c>
      <x:c r="BS307" s="12" t="n">
        <x:v>0.170495619408603</x:v>
      </x:c>
      <x:c r="BT307" s="12" t="n">
        <x:v>0.19976549769108282</x:v>
      </x:c>
      <x:c r="BU307" s="11" t="n">
        <x:v>0</x:v>
      </x:c>
      <x:c r="BV307" s="11" t="n">
        <x:v>1479175</x:v>
      </x:c>
      <x:c r="BW307" s="11" t="n">
        <x:v>0</x:v>
      </x:c>
      <x:c r="BX307" s="11" t="n">
        <x:v>2202862</x:v>
      </x:c>
      <x:c r="BY307" s="11" t="n">
        <x:v>222335</x:v>
      </x:c>
      <x:c r="BZ307" s="11" t="n">
        <x:v>49950</x:v>
      </x:c>
      <x:c r="CA307" s="11" t="n">
        <x:v>0</x:v>
      </x:c>
      <x:c r="CB307" s="11" t="n">
        <x:v>32933</x:v>
      </x:c>
      <x:c r="CC307" s="11" t="n">
        <x:v>2364967</x:v>
      </x:c>
      <x:c r="CD307" s="11" t="n">
        <x:v>4480907</x:v>
      </x:c>
      <x:c r="CE307" s="11" t="n">
        <x:v>2026714</x:v>
      </x:c>
      <x:c r="CF307" s="11" t="n">
        <x:v>0</x:v>
      </x:c>
      <x:c r="CG307" s="11" t="n">
        <x:v>937153</x:v>
      </x:c>
      <x:c r="CH307" s="11" t="n">
        <x:v>2534787</x:v>
      </x:c>
      <x:c r="CI307" s="11" t="n">
        <x:v>3694694</x:v>
      </x:c>
      <x:c r="CJ307" s="11" t="n">
        <x:v>841649</x:v>
      </x:c>
      <x:c r="CK307" s="11" t="n">
        <x:v>906493</x:v>
      </x:c>
      <x:c r="CL307" s="11" t="n">
        <x:v>0</x:v>
      </x:c>
      <x:c r="CM307" s="11" t="n">
        <x:v>85226</x:v>
      </x:c>
      <x:c r="CN307" s="11" t="n">
        <x:v>246072</x:v>
      </x:c>
      <x:c r="CO307" s="11" t="n">
        <x:v>0</x:v>
      </x:c>
      <x:c r="CP307" s="8"/>
      <x:c r="CQ307" s="8"/>
    </x:row>
    <x:row r="308">
      <x:c r="A308" s="8" t="str">
        <x:v>Houston|2019</x:v>
      </x:c>
      <x:c r="B308" s="8" t="str">
        <x:v>houston-d</x:v>
      </x:c>
      <x:c r="C308" s="8" t="str">
        <x:v>Houston</x:v>
      </x:c>
      <x:c r="D308" s="8" t="str">
        <x:v>Houston</x:v>
      </x:c>
      <x:c r="E308" s="8" t="str">
        <x:v>D</x:v>
      </x:c>
      <x:c r="F308" s="8" t="str">
        <x:v>BUL</x:v>
      </x:c>
      <x:c r="G308" s="9" t="n">
        <x:v>2019</x:v>
      </x:c>
      <x:c r="H308" s="10" t="n">
        <x:v>3106</x:v>
      </x:c>
      <x:c r="I308" s="8" t="str">
        <x:v>Under 5,000</x:v>
      </x:c>
      <x:c r="J308" s="11" t="n">
        <x:v>14606776</x:v>
      </x:c>
      <x:c r="K308" s="11" t="n">
        <x:v>7247070</x:v>
      </x:c>
      <x:c r="L308" s="11" t="n">
        <x:v>7359706</x:v>
      </x:c>
      <x:c r="M308" s="12" t="n">
        <x:v>0.5038556078357058</x:v>
      </x:c>
      <x:c r="N308" s="11" t="n">
        <x:v>4664938</x:v>
      </x:c>
      <x:c r="O308" s="11" t="n">
        <x:v>1632252</x:v>
      </x:c>
      <x:c r="P308" s="11" t="n">
        <x:v>6294894</x:v>
      </x:c>
      <x:c r="Q308" s="11" t="n">
        <x:v>2014692</x:v>
      </x:c>
      <x:c r="R308" s="11" t="n">
        <x:v>5829529</x:v>
      </x:c>
      <x:c r="S308" s="11" t="n">
        <x:v>1375417</x:v>
      </x:c>
      <x:c r="T308" s="11" t="n">
        <x:v>19135354</x:v>
      </x:c>
      <x:c r="U308" s="11" t="n">
        <x:v>3225600</x:v>
      </x:c>
      <x:c r="V308" s="11" t="n">
        <x:v>20324211</x:v>
      </x:c>
      <x:c r="W308" s="11" t="n">
        <x:v>8435274</x:v>
      </x:c>
      <x:c r="X308" s="11" t="n">
        <x:v>1691315</x:v>
      </x:c>
      <x:c r="Y308" s="11" t="n">
        <x:v>0</x:v>
      </x:c>
      <x:c r="Z308" s="11" t="n">
        <x:v>137560</x:v>
      </x:c>
      <x:c r="AA308" s="11" t="n">
        <x:v>1519015</x:v>
      </x:c>
      <x:c r="AB308" s="11" t="n">
        <x:v>42124</x:v>
      </x:c>
      <x:c r="AC308" s="11" t="n">
        <x:v>179684</x:v>
      </x:c>
      <x:c r="AD308" s="11" t="n">
        <x:v>1570866</x:v>
      </x:c>
      <x:c r="AE308" s="11" t="n">
        <x:v>1391182</x:v>
      </x:c>
      <x:c r="AF308" s="11" t="n">
        <x:v>6283462</x:v>
      </x:c>
      <x:c r="AG308" s="11" t="n">
        <x:v>70261002</x:v>
      </x:c>
      <x:c r="AH308" s="11" t="n">
        <x:v>38781367</x:v>
      </x:c>
      <x:c r="AI308" s="11" t="n">
        <x:v>31479635</x:v>
      </x:c>
      <x:c r="AJ308" s="11" t="n">
        <x:v>2546252</x:v>
      </x:c>
      <x:c r="AK308" s="11" t="n">
        <x:v>729740</x:v>
      </x:c>
      <x:c r="AL308" s="11" t="n">
        <x:v>0</x:v>
      </x:c>
      <x:c r="AM308" s="12" t="n">
        <x:v>1</x:v>
      </x:c>
      <x:c r="AN308" s="12" t="n">
        <x:v>3.489259188204018</x:v>
      </x:c>
      <x:c r="AO308" s="11" t="n">
        <x:v>6255787</x:v>
      </x:c>
      <x:c r="AP308" s="11" t="n">
        <x:v>5938393</x:v>
      </x:c>
      <x:c r="AQ308" s="12" t="n">
        <x:v>0.9492639375349576</x:v>
      </x:c>
      <x:c r="AR308" s="11" t="n">
        <x:v>4702.761107533805</x:v>
      </x:c>
      <x:c r="AS308" s="11" t="n">
        <x:v>2333.2485511912428</x:v>
      </x:c>
      <x:c r="AT308" s="11" t="n">
        <x:v>6543.532195750161</x:v>
      </x:c>
      <x:c r="AU308" s="11" t="n">
        <x:v>2715.7997424339987</x:v>
      </x:c>
      <x:c r="AV308" s="11" t="n">
        <x:v>489.05827430779135</x:v>
      </x:c>
      <x:c r="AW308" s="11" t="n">
        <x:v>5.932339409722222</x:v>
      </x:c>
      <x:c r="AX308" s="12" t="n">
        <x:v>0.8856146864213752</x:v>
      </x:c>
      <x:c r="AY308" s="11"/>
      <x:c r="AZ308" s="11"/>
      <x:c r="BA308" s="11"/>
      <x:c r="BB308" s="11"/>
      <x:c r="BC308" s="11"/>
      <x:c r="BD308" s="11"/>
      <x:c r="BE308" s="11"/>
      <x:c r="BF308" s="11"/>
      <x:c r="BG308" s="11"/>
      <x:c r="BH308" s="11"/>
      <x:c r="BI308" s="11"/>
      <x:c r="BJ308" s="11"/>
      <x:c r="BK308" s="12"/>
      <x:c r="BL308" s="12"/>
      <x:c r="BM308" s="12"/>
      <x:c r="BN308" s="12"/>
      <x:c r="BO308" s="12"/>
      <x:c r="BP308" s="12"/>
      <x:c r="BQ308" s="12"/>
      <x:c r="BR308" s="12"/>
      <x:c r="BS308" s="12"/>
      <x:c r="BT308" s="12"/>
      <x:c r="BU308" s="11" t="n">
        <x:v>0</x:v>
      </x:c>
      <x:c r="BV308" s="11" t="n">
        <x:v>6294894</x:v>
      </x:c>
      <x:c r="BW308" s="11" t="n">
        <x:v>0</x:v>
      </x:c>
      <x:c r="BX308" s="11" t="n">
        <x:v>378291</x:v>
      </x:c>
      <x:c r="BY308" s="11" t="n">
        <x:v>1626401</x:v>
      </x:c>
      <x:c r="BZ308" s="11" t="n">
        <x:v>0</x:v>
      </x:c>
      <x:c r="CA308" s="11" t="n">
        <x:v>10000</x:v>
      </x:c>
      <x:c r="CB308" s="11" t="n">
        <x:v>0</x:v>
      </x:c>
      <x:c r="CC308" s="11" t="n">
        <x:v>1046758</x:v>
      </x:c>
      <x:c r="CD308" s="11" t="n">
        <x:v>427938</x:v>
      </x:c>
      <x:c r="CE308" s="11" t="n">
        <x:v>105096</x:v>
      </x:c>
      <x:c r="CF308" s="11" t="n">
        <x:v>52844</x:v>
      </x:c>
      <x:c r="CG308" s="11" t="n">
        <x:v>224702</x:v>
      </x:c>
      <x:c r="CH308" s="11" t="n">
        <x:v>1346487</x:v>
      </x:c>
      <x:c r="CI308" s="11" t="n">
        <x:v>1837962</x:v>
      </x:c>
      <x:c r="CJ308" s="11" t="n">
        <x:v>424779</x:v>
      </x:c>
      <x:c r="CK308" s="11" t="n">
        <x:v>335347</x:v>
      </x:c>
      <x:c r="CL308" s="11" t="n">
        <x:v>69740</x:v>
      </x:c>
      <x:c r="CM308" s="11"/>
      <x:c r="CN308" s="11" t="n">
        <x:v>0</x:v>
      </x:c>
      <x:c r="CO308" s="11" t="n">
        <x:v>0</x:v>
      </x:c>
      <x:c r="CP308" s="8"/>
      <x:c r="CQ308" s="8"/>
    </x:row>
    <x:row r="309">
      <x:c r="A309" s="8" t="str">
        <x:v>Houston|2020</x:v>
      </x:c>
      <x:c r="B309" s="8" t="str">
        <x:v>houston-d</x:v>
      </x:c>
      <x:c r="C309" s="8" t="str">
        <x:v>Houston</x:v>
      </x:c>
      <x:c r="D309" s="8" t="str">
        <x:v>Houston</x:v>
      </x:c>
      <x:c r="E309" s="8" t="str">
        <x:v>D</x:v>
      </x:c>
      <x:c r="F309" s="8" t="str">
        <x:v>BUL</x:v>
      </x:c>
      <x:c r="G309" s="9" t="n">
        <x:v>2020</x:v>
      </x:c>
      <x:c r="H309" s="10" t="n">
        <x:v>3147</x:v>
      </x:c>
      <x:c r="I309" s="8" t="str">
        <x:v>Under 5,000</x:v>
      </x:c>
      <x:c r="J309" s="11" t="n">
        <x:v>10317457</x:v>
      </x:c>
      <x:c r="K309" s="11" t="n">
        <x:v>6647091</x:v>
      </x:c>
      <x:c r="L309" s="11" t="n">
        <x:v>3670366</x:v>
      </x:c>
      <x:c r="M309" s="12" t="n">
        <x:v>0.3557432805389933</x:v>
      </x:c>
      <x:c r="N309" s="11" t="n">
        <x:v>4635309</x:v>
      </x:c>
      <x:c r="O309" s="11" t="n">
        <x:v>1876771</x:v>
      </x:c>
      <x:c r="P309" s="11" t="n">
        <x:v>2797414</x:v>
      </x:c>
      <x:c r="Q309" s="11" t="n">
        <x:v>1007963</x:v>
      </x:c>
      <x:c r="R309" s="11" t="n">
        <x:v>5248896</x:v>
      </x:c>
      <x:c r="S309" s="11" t="n">
        <x:v>1355364</x:v>
      </x:c>
      <x:c r="T309" s="11" t="n">
        <x:v>21920582</x:v>
      </x:c>
      <x:c r="U309" s="11" t="n">
        <x:v>5779859</x:v>
      </x:c>
      <x:c r="V309" s="11" t="n">
        <x:v>20622032</x:v>
      </x:c>
      <x:c r="W309" s="11" t="n">
        <x:v>7905316</x:v>
      </x:c>
      <x:c r="X309" s="11" t="n">
        <x:v>1519015</x:v>
      </x:c>
      <x:c r="Y309" s="11" t="n">
        <x:v>0</x:v>
      </x:c>
      <x:c r="Z309" s="11" t="n">
        <x:v>130718</x:v>
      </x:c>
      <x:c r="AA309" s="11" t="n">
        <x:v>1349856</x:v>
      </x:c>
      <x:c r="AB309" s="11" t="n">
        <x:v>42831</x:v>
      </x:c>
      <x:c r="AC309" s="11" t="n">
        <x:v>173549</x:v>
      </x:c>
      <x:c r="AD309" s="11" t="n">
        <x:v>1723470</x:v>
      </x:c>
      <x:c r="AE309" s="11" t="n">
        <x:v>1549921</x:v>
      </x:c>
      <x:c r="AF309" s="11" t="n">
        <x:v>6893878</x:v>
      </x:c>
      <x:c r="AG309" s="11" t="n">
        <x:v>74899397</x:v>
      </x:c>
      <x:c r="AH309" s="11" t="n">
        <x:v>40020995</x:v>
      </x:c>
      <x:c r="AI309" s="11" t="n">
        <x:v>34878402</x:v>
      </x:c>
      <x:c r="AJ309" s="11" t="n">
        <x:v>4801261</x:v>
      </x:c>
      <x:c r="AK309" s="11" t="n">
        <x:v>1945678</x:v>
      </x:c>
      <x:c r="AL309" s="11" t="n">
        <x:v>0</x:v>
      </x:c>
      <x:c r="AM309" s="12" t="n">
        <x:v>1</x:v>
      </x:c>
      <x:c r="AN309" s="12" t="n">
        <x:v>2.4676544628659007</x:v>
      </x:c>
      <x:c r="AO309" s="11" t="n">
        <x:v>6545723</x:v>
      </x:c>
      <x:c r="AP309" s="11" t="n">
        <x:v>6244327</x:v>
      </x:c>
      <x:c r="AQ309" s="12" t="n">
        <x:v>0.9539552773620271</x:v>
      </x:c>
      <x:c r="AR309" s="11" t="n">
        <x:v>3278.5055608516045</x:v>
      </x:c>
      <x:c r="AS309" s="11" t="n">
        <x:v>2112.1992373689227</x:v>
      </x:c>
      <x:c r="AT309" s="11" t="n">
        <x:v>6552.91769939625</x:v>
      </x:c>
      <x:c r="AU309" s="11" t="n">
        <x:v>2512.0165236733396</x:v>
      </x:c>
      <x:c r="AV309" s="11" t="n">
        <x:v>428.9342230695901</x:v>
      </x:c>
      <x:c r="AW309" s="11" t="n">
        <x:v>3.7925807532675107</x:v>
      </x:c>
      <x:c r="AX309" s="12" t="n">
        <x:v>0.8993025698155466</x:v>
      </x:c>
      <x:c r="AY309" s="11"/>
      <x:c r="AZ309" s="11"/>
      <x:c r="BA309" s="11"/>
      <x:c r="BB309" s="11"/>
      <x:c r="BC309" s="11"/>
      <x:c r="BD309" s="11"/>
      <x:c r="BE309" s="11"/>
      <x:c r="BF309" s="11"/>
      <x:c r="BG309" s="11"/>
      <x:c r="BH309" s="11"/>
      <x:c r="BI309" s="11"/>
      <x:c r="BJ309" s="11"/>
      <x:c r="BK309" s="12"/>
      <x:c r="BL309" s="12"/>
      <x:c r="BM309" s="12"/>
      <x:c r="BN309" s="12"/>
      <x:c r="BO309" s="12"/>
      <x:c r="BP309" s="12"/>
      <x:c r="BQ309" s="12"/>
      <x:c r="BR309" s="12"/>
      <x:c r="BS309" s="12"/>
      <x:c r="BT309" s="12"/>
      <x:c r="BU309" s="11" t="n">
        <x:v>4862</x:v>
      </x:c>
      <x:c r="BV309" s="11" t="n">
        <x:v>2792552</x:v>
      </x:c>
      <x:c r="BW309" s="11" t="n">
        <x:v>0</x:v>
      </x:c>
      <x:c r="BX309" s="11" t="n">
        <x:v>197097</x:v>
      </x:c>
      <x:c r="BY309" s="11" t="n">
        <x:v>180915</x:v>
      </x:c>
      <x:c r="BZ309" s="11" t="n">
        <x:v>0</x:v>
      </x:c>
      <x:c r="CA309" s="11" t="n">
        <x:v>0</x:v>
      </x:c>
      <x:c r="CB309" s="11" t="n">
        <x:v>629951</x:v>
      </x:c>
      <x:c r="CC309" s="11" t="n">
        <x:v>1112062</x:v>
      </x:c>
      <x:c r="CD309" s="11" t="n">
        <x:v>436297</x:v>
      </x:c>
      <x:c r="CE309" s="11" t="n">
        <x:v>101582</x:v>
      </x:c>
      <x:c r="CF309" s="11" t="n">
        <x:v>29426</x:v>
      </x:c>
      <x:c r="CG309" s="11" t="n">
        <x:v>292269</x:v>
      </x:c>
      <x:c r="CH309" s="11" t="n">
        <x:v>907910</x:v>
      </x:c>
      <x:c r="CI309" s="11" t="n">
        <x:v>1622818</x:v>
      </x:c>
      <x:c r="CJ309" s="11" t="n">
        <x:v>419489</x:v>
      </x:c>
      <x:c r="CK309" s="11" t="n">
        <x:v>271545</x:v>
      </x:c>
      <x:c r="CL309" s="11" t="n">
        <x:v>51199</x:v>
      </x:c>
      <x:c r="CM309" s="11"/>
      <x:c r="CN309" s="11" t="n">
        <x:v>47130</x:v>
      </x:c>
      <x:c r="CO309" s="11" t="n">
        <x:v>0</x:v>
      </x:c>
      <x:c r="CP309" s="8"/>
      <x:c r="CQ309" s="8"/>
    </x:row>
    <x:row r="310">
      <x:c r="A310" s="8" t="str">
        <x:v>Houston|2021</x:v>
      </x:c>
      <x:c r="B310" s="8" t="str">
        <x:v>houston-d</x:v>
      </x:c>
      <x:c r="C310" s="8" t="str">
        <x:v>Houston</x:v>
      </x:c>
      <x:c r="D310" s="8" t="str">
        <x:v>Houston</x:v>
      </x:c>
      <x:c r="E310" s="8" t="str">
        <x:v>D</x:v>
      </x:c>
      <x:c r="F310" s="8" t="str">
        <x:v>BUL</x:v>
      </x:c>
      <x:c r="G310" s="9" t="n">
        <x:v>2021</x:v>
      </x:c>
      <x:c r="H310" s="10" t="n">
        <x:v>3273</x:v>
      </x:c>
      <x:c r="I310" s="8" t="str">
        <x:v>Under 5,000</x:v>
      </x:c>
      <x:c r="J310" s="11" t="n">
        <x:v>11670732</x:v>
      </x:c>
      <x:c r="K310" s="11" t="n">
        <x:v>9214482</x:v>
      </x:c>
      <x:c r="L310" s="11" t="n">
        <x:v>2456250</x:v>
      </x:c>
      <x:c r="M310" s="12" t="n">
        <x:v>0.2104623771670877</x:v>
      </x:c>
      <x:c r="N310" s="11" t="n">
        <x:v>4997678</x:v>
      </x:c>
      <x:c r="O310" s="11" t="n">
        <x:v>1894614</x:v>
      </x:c>
      <x:c r="P310" s="11" t="n">
        <x:v>1992209</x:v>
      </x:c>
      <x:c r="Q310" s="11" t="n">
        <x:v>2786231</x:v>
      </x:c>
      <x:c r="R310" s="11" t="n">
        <x:v>7751856</x:v>
      </x:c>
      <x:c r="S310" s="11" t="n">
        <x:v>1420501</x:v>
      </x:c>
      <x:c r="T310" s="11" t="n">
        <x:v>21518211</x:v>
      </x:c>
      <x:c r="U310" s="11" t="n">
        <x:v>3954500</x:v>
      </x:c>
      <x:c r="V310" s="11" t="n">
        <x:v>23123454</x:v>
      </x:c>
      <x:c r="W310" s="11" t="n">
        <x:v>7717023</x:v>
      </x:c>
      <x:c r="X310" s="11" t="n">
        <x:v>1349856</x:v>
      </x:c>
      <x:c r="Y310" s="11" t="n">
        <x:v>0</x:v>
      </x:c>
      <x:c r="Z310" s="11" t="n">
        <x:v>57800</x:v>
      </x:c>
      <x:c r="AA310" s="11" t="n">
        <x:v>1249766</x:v>
      </x:c>
      <x:c r="AB310" s="11" t="n">
        <x:v>42125</x:v>
      </x:c>
      <x:c r="AC310" s="11" t="n">
        <x:v>99925</x:v>
      </x:c>
      <x:c r="AD310" s="11" t="n">
        <x:v>1634473</x:v>
      </x:c>
      <x:c r="AE310" s="11" t="n">
        <x:v>1534548</x:v>
      </x:c>
      <x:c r="AF310" s="11" t="n">
        <x:v>6537890</x:v>
      </x:c>
      <x:c r="AG310" s="11" t="n">
        <x:v>76197497</x:v>
      </x:c>
      <x:c r="AH310" s="11" t="n">
        <x:v>41330979</x:v>
      </x:c>
      <x:c r="AI310" s="11" t="n">
        <x:v>34866518</x:v>
      </x:c>
      <x:c r="AJ310" s="11" t="n">
        <x:v>1724908</x:v>
      </x:c>
      <x:c r="AK310" s="11" t="n">
        <x:v>2041404</x:v>
      </x:c>
      <x:c r="AL310" s="11" t="n">
        <x:v>0</x:v>
      </x:c>
      <x:c r="AM310" s="12" t="n">
        <x:v>1</x:v>
      </x:c>
      <x:c r="AN310" s="12" t="n">
        <x:v>0.8449616048562656</x:v>
      </x:c>
      <x:c r="AO310" s="11" t="n">
        <x:v>7002557</x:v>
      </x:c>
      <x:c r="AP310" s="11" t="n">
        <x:v>6826091</x:v>
      </x:c>
      <x:c r="AQ310" s="12" t="n">
        <x:v>0.9747997767101361</x:v>
      </x:c>
      <x:c r="AR310" s="11" t="n">
        <x:v>3565.7598533455543</x:v>
      </x:c>
      <x:c r="AS310" s="11" t="n">
        <x:v>2815.301558203483</x:v>
      </x:c>
      <x:c r="AT310" s="11" t="n">
        <x:v>7064.911090742438</x:v>
      </x:c>
      <x:c r="AU310" s="11" t="n">
        <x:v>2357.7827681026583</x:v>
      </x:c>
      <x:c r="AV310" s="11" t="n">
        <x:v>381.84112435074854</x:v>
      </x:c>
      <x:c r="AW310" s="11" t="n">
        <x:v>5.441449235048679</x:v>
      </x:c>
      <x:c r="AX310" s="12" t="n">
        <x:v>0.9388640864670141</x:v>
      </x:c>
      <x:c r="AY310" s="11"/>
      <x:c r="AZ310" s="11"/>
      <x:c r="BA310" s="11"/>
      <x:c r="BB310" s="11"/>
      <x:c r="BC310" s="11"/>
      <x:c r="BD310" s="11"/>
      <x:c r="BE310" s="11"/>
      <x:c r="BF310" s="11"/>
      <x:c r="BG310" s="11"/>
      <x:c r="BH310" s="11"/>
      <x:c r="BI310" s="11"/>
      <x:c r="BJ310" s="11"/>
      <x:c r="BK310" s="12"/>
      <x:c r="BL310" s="12"/>
      <x:c r="BM310" s="12"/>
      <x:c r="BN310" s="12"/>
      <x:c r="BO310" s="12"/>
      <x:c r="BP310" s="12"/>
      <x:c r="BQ310" s="12"/>
      <x:c r="BR310" s="12"/>
      <x:c r="BS310" s="12"/>
      <x:c r="BT310" s="12"/>
      <x:c r="BU310" s="11" t="n">
        <x:v>120304</x:v>
      </x:c>
      <x:c r="BV310" s="11" t="n">
        <x:v>1678202</x:v>
      </x:c>
      <x:c r="BW310" s="11" t="n">
        <x:v>193703</x:v>
      </x:c>
      <x:c r="BX310" s="11" t="n">
        <x:v>153119</x:v>
      </x:c>
      <x:c r="BY310" s="11" t="n">
        <x:v>2569714</x:v>
      </x:c>
      <x:c r="BZ310" s="11" t="n">
        <x:v>0</x:v>
      </x:c>
      <x:c r="CA310" s="11" t="n">
        <x:v>20025</x:v>
      </x:c>
      <x:c r="CB310" s="11" t="n">
        <x:v>43373</x:v>
      </x:c>
      <x:c r="CC310" s="11" t="n">
        <x:v>1225089</x:v>
      </x:c>
      <x:c r="CD310" s="11" t="n">
        <x:v>524330</x:v>
      </x:c>
      <x:c r="CE310" s="11" t="n">
        <x:v>100829</x:v>
      </x:c>
      <x:c r="CF310" s="11" t="n">
        <x:v>29983</x:v>
      </x:c>
      <x:c r="CG310" s="11" t="n">
        <x:v>283933</x:v>
      </x:c>
      <x:c r="CH310" s="11" t="n">
        <x:v>2990491</x:v>
      </x:c>
      <x:c r="CI310" s="11" t="n">
        <x:v>1887455</x:v>
      </x:c>
      <x:c r="CJ310" s="11" t="n">
        <x:v>440880</x:v>
      </x:c>
      <x:c r="CK310" s="11" t="n">
        <x:v>277434</x:v>
      </x:c>
      <x:c r="CL310" s="11" t="n">
        <x:v>13557</x:v>
      </x:c>
      <x:c r="CM310" s="11"/>
      <x:c r="CN310" s="11" t="n">
        <x:v>20000</x:v>
      </x:c>
      <x:c r="CO310" s="11" t="n">
        <x:v>0</x:v>
      </x:c>
      <x:c r="CP310" s="8"/>
      <x:c r="CQ310" s="8"/>
    </x:row>
    <x:row r="311">
      <x:c r="A311" s="8" t="str">
        <x:v>Houston|2022</x:v>
      </x:c>
      <x:c r="B311" s="8" t="str">
        <x:v>houston-d</x:v>
      </x:c>
      <x:c r="C311" s="8" t="str">
        <x:v>Houston</x:v>
      </x:c>
      <x:c r="D311" s="8" t="str">
        <x:v>Houston</x:v>
      </x:c>
      <x:c r="E311" s="8" t="str">
        <x:v>D</x:v>
      </x:c>
      <x:c r="F311" s="8" t="str">
        <x:v>BUL</x:v>
      </x:c>
      <x:c r="G311" s="9" t="n">
        <x:v>2022</x:v>
      </x:c>
      <x:c r="H311" s="10" t="n">
        <x:v>1060</x:v>
      </x:c>
      <x:c r="I311" s="8" t="str">
        <x:v>Under 5,000</x:v>
      </x:c>
      <x:c r="J311" s="11" t="n">
        <x:v>9903359</x:v>
      </x:c>
      <x:c r="K311" s="11" t="n">
        <x:v>9191816</x:v>
      </x:c>
      <x:c r="L311" s="11" t="n">
        <x:v>711543</x:v>
      </x:c>
      <x:c r="M311" s="12" t="n">
        <x:v>0.07184865256323637</x:v>
      </x:c>
      <x:c r="N311" s="11" t="n">
        <x:v>5199792</x:v>
      </x:c>
      <x:c r="O311" s="11" t="n">
        <x:v>2054271</x:v>
      </x:c>
      <x:c r="P311" s="11" t="n">
        <x:v>1992239</x:v>
      </x:c>
      <x:c r="Q311" s="11" t="n">
        <x:v>657057</x:v>
      </x:c>
      <x:c r="R311" s="11" t="n">
        <x:v>7752711</x:v>
      </x:c>
      <x:c r="S311" s="11" t="n">
        <x:v>1402276</x:v>
      </x:c>
      <x:c r="T311" s="11" t="n">
        <x:v>24865503</x:v>
      </x:c>
      <x:c r="U311" s="11" t="n">
        <x:v>3360851</x:v>
      </x:c>
      <x:c r="V311" s="11" t="n">
        <x:v>24541854</x:v>
      </x:c>
      <x:c r="W311" s="11" t="n">
        <x:v>16965288</x:v>
      </x:c>
      <x:c r="X311" s="11" t="n">
        <x:v>1249766</x:v>
      </x:c>
      <x:c r="Y311" s="11" t="n">
        <x:v>0</x:v>
      </x:c>
      <x:c r="Z311" s="11" t="n">
        <x:v>57800</x:v>
      </x:c>
      <x:c r="AA311" s="11" t="n">
        <x:v>1145671</x:v>
      </x:c>
      <x:c r="AB311" s="11" t="n">
        <x:v>36829</x:v>
      </x:c>
      <x:c r="AC311" s="11" t="n">
        <x:v>94629</x:v>
      </x:c>
      <x:c r="AD311" s="11" t="n">
        <x:v>1800409</x:v>
      </x:c>
      <x:c r="AE311" s="11" t="n">
        <x:v>1705780</x:v>
      </x:c>
      <x:c r="AF311" s="11" t="n">
        <x:v>7201636</x:v>
      </x:c>
      <x:c r="AG311" s="11" t="n">
        <x:v>76595701</x:v>
      </x:c>
      <x:c r="AH311" s="11" t="n">
        <x:v>42457723</x:v>
      </x:c>
      <x:c r="AI311" s="11" t="n">
        <x:v>34137978</x:v>
      </x:c>
      <x:c r="AJ311" s="11" t="n">
        <x:v>677362</x:v>
      </x:c>
      <x:c r="AK311" s="11" t="n">
        <x:v>166014764</x:v>
      </x:c>
      <x:c r="AL311" s="11" t="n">
        <x:v>2904926</x:v>
      </x:c>
      <x:c r="AM311" s="12" t="n">
        <x:v>0.9825020020508537</x:v>
      </x:c>
      <x:c r="AN311" s="12" t="n">
        <x:v>0.004080131090027632</x:v>
      </x:c>
      <x:c r="AO311" s="11" t="n">
        <x:v>7138475</x:v>
      </x:c>
      <x:c r="AP311" s="11" t="n">
        <x:v>7001116</x:v>
      </x:c>
      <x:c r="AQ311" s="12" t="n">
        <x:v>0.9807579349931183</x:v>
      </x:c>
      <x:c r="AR311" s="11" t="n">
        <x:v>9342.791509433962</x:v>
      </x:c>
      <x:c r="AS311" s="11" t="n">
        <x:v>8671.524528301887</x:v>
      </x:c>
      <x:c r="AT311" s="11" t="n">
        <x:v>23152.69245283019</x:v>
      </x:c>
      <x:c r="AU311" s="11" t="n">
        <x:v>16004.988679245283</x:v>
      </x:c>
      <x:c r="AV311" s="11" t="n">
        <x:v>1080.8216981132075</x:v>
      </x:c>
      <x:c r="AW311" s="11" t="n">
        <x:v>7.398573456544191</x:v>
      </x:c>
      <x:c r="AX311" s="12" t="n">
        <x:v>0.947440276070604</x:v>
      </x:c>
      <x:c r="AY311" s="11"/>
      <x:c r="AZ311" s="11"/>
      <x:c r="BA311" s="11"/>
      <x:c r="BB311" s="11"/>
      <x:c r="BC311" s="11"/>
      <x:c r="BD311" s="11"/>
      <x:c r="BE311" s="11"/>
      <x:c r="BF311" s="11"/>
      <x:c r="BG311" s="11"/>
      <x:c r="BH311" s="11"/>
      <x:c r="BI311" s="11"/>
      <x:c r="BJ311" s="11"/>
      <x:c r="BK311" s="12"/>
      <x:c r="BL311" s="12"/>
      <x:c r="BM311" s="12"/>
      <x:c r="BN311" s="12"/>
      <x:c r="BO311" s="12"/>
      <x:c r="BP311" s="12"/>
      <x:c r="BQ311" s="12"/>
      <x:c r="BR311" s="12"/>
      <x:c r="BS311" s="12"/>
      <x:c r="BT311" s="12"/>
      <x:c r="BU311" s="11" t="n">
        <x:v>892969</x:v>
      </x:c>
      <x:c r="BV311" s="11" t="n">
        <x:v>1007658</x:v>
      </x:c>
      <x:c r="BW311" s="11" t="n">
        <x:v>91612</x:v>
      </x:c>
      <x:c r="BX311" s="11" t="n">
        <x:v>395716</x:v>
      </x:c>
      <x:c r="BY311" s="11" t="n">
        <x:v>203784</x:v>
      </x:c>
      <x:c r="BZ311" s="11" t="n">
        <x:v>0</x:v>
      </x:c>
      <x:c r="CA311" s="11" t="n">
        <x:v>11231</x:v>
      </x:c>
      <x:c r="CB311" s="11" t="n">
        <x:v>46326</x:v>
      </x:c>
      <x:c r="CC311" s="11" t="n">
        <x:v>1293282</x:v>
      </x:c>
      <x:c r="CD311" s="11" t="n">
        <x:v>487623</x:v>
      </x:c>
      <x:c r="CE311" s="11" t="n">
        <x:v>84202</x:v>
      </x:c>
      <x:c r="CF311" s="11" t="n">
        <x:v>39308</x:v>
      </x:c>
      <x:c r="CG311" s="11" t="n">
        <x:v>308928</x:v>
      </x:c>
      <x:c r="CH311" s="11" t="n">
        <x:v>2873656</x:v>
      </x:c>
      <x:c r="CI311" s="11" t="n">
        <x:v>1802708</x:v>
      </x:c>
      <x:c r="CJ311" s="11" t="n">
        <x:v>509310</x:v>
      </x:c>
      <x:c r="CK311" s="11" t="n">
        <x:v>381466</x:v>
      </x:c>
      <x:c r="CL311" s="11" t="n">
        <x:v>9057</x:v>
      </x:c>
      <x:c r="CM311" s="11"/>
      <x:c r="CN311" s="11" t="n">
        <x:v>0</x:v>
      </x:c>
      <x:c r="CO311" s="11" t="n">
        <x:v>0</x:v>
      </x:c>
      <x:c r="CP311" s="8"/>
      <x:c r="CQ311" s="8"/>
    </x:row>
    <x:row r="312">
      <x:c r="A312" s="8" t="str">
        <x:v>Houston|2023</x:v>
      </x:c>
      <x:c r="B312" s="8" t="str">
        <x:v>houston-d</x:v>
      </x:c>
      <x:c r="C312" s="8" t="str">
        <x:v>Houston</x:v>
      </x:c>
      <x:c r="D312" s="8" t="str">
        <x:v>Houston</x:v>
      </x:c>
      <x:c r="E312" s="8" t="str">
        <x:v>D</x:v>
      </x:c>
      <x:c r="F312" s="8" t="str">
        <x:v>BUL</x:v>
      </x:c>
      <x:c r="G312" s="9" t="n">
        <x:v>2023</x:v>
      </x:c>
      <x:c r="H312" s="10" t="n">
        <x:v>3268</x:v>
      </x:c>
      <x:c r="I312" s="8" t="str">
        <x:v>Under 5,000</x:v>
      </x:c>
      <x:c r="J312" s="11" t="n">
        <x:v>14912905</x:v>
      </x:c>
      <x:c r="K312" s="11" t="n">
        <x:v>9561223</x:v>
      </x:c>
      <x:c r="L312" s="11" t="n">
        <x:v>5351682</x:v>
      </x:c>
      <x:c r="M312" s="12" t="n">
        <x:v>0.358862475151555</x:v>
      </x:c>
      <x:c r="N312" s="11" t="n">
        <x:v>5485009</x:v>
      </x:c>
      <x:c r="O312" s="11" t="n">
        <x:v>3137298</x:v>
      </x:c>
      <x:c r="P312" s="11" t="n">
        <x:v>3957401</x:v>
      </x:c>
      <x:c r="Q312" s="11" t="n">
        <x:v>2333197</x:v>
      </x:c>
      <x:c r="R312" s="11" t="n">
        <x:v>8087088</x:v>
      </x:c>
      <x:c r="S312" s="11" t="n">
        <x:v>1437306</x:v>
      </x:c>
      <x:c r="T312" s="11" t="n">
        <x:v>26139927</x:v>
      </x:c>
      <x:c r="U312" s="11" t="n">
        <x:v>3764536</x:v>
      </x:c>
      <x:c r="V312" s="11" t="n">
        <x:v>27175703</x:v>
      </x:c>
      <x:c r="W312" s="11" t="n">
        <x:v>20563417</x:v>
      </x:c>
      <x:c r="X312" s="11" t="n">
        <x:v>1145671</x:v>
      </x:c>
      <x:c r="Y312" s="11" t="n">
        <x:v>0</x:v>
      </x:c>
      <x:c r="Z312" s="11" t="n">
        <x:v>108257</x:v>
      </x:c>
      <x:c r="AA312" s="11" t="n">
        <x:v>1037414</x:v>
      </x:c>
      <x:c r="AB312" s="11" t="n">
        <x:v>36829</x:v>
      </x:c>
      <x:c r="AC312" s="11" t="n">
        <x:v>145086</x:v>
      </x:c>
      <x:c r="AD312" s="11" t="n">
        <x:v>2317591</x:v>
      </x:c>
      <x:c r="AE312" s="11" t="n">
        <x:v>2172505</x:v>
      </x:c>
      <x:c r="AF312" s="11" t="n">
        <x:v>9270364</x:v>
      </x:c>
      <x:c r="AG312" s="11" t="n">
        <x:v>81450628</x:v>
      </x:c>
      <x:c r="AH312" s="11" t="n">
        <x:v>43890530</x:v>
      </x:c>
      <x:c r="AI312" s="11" t="n">
        <x:v>37560098</x:v>
      </x:c>
      <x:c r="AJ312" s="11" t="n">
        <x:v>4582101</x:v>
      </x:c>
      <x:c r="AK312" s="11" t="n">
        <x:v>6232712</x:v>
      </x:c>
      <x:c r="AL312" s="11" t="n">
        <x:v>0</x:v>
      </x:c>
      <x:c r="AM312" s="12" t="n">
        <x:v>1</x:v>
      </x:c>
      <x:c r="AN312" s="12" t="n">
        <x:v>0.7351696981987937</x:v>
      </x:c>
      <x:c r="AO312" s="11" t="n">
        <x:v>7516190</x:v>
      </x:c>
      <x:c r="AP312" s="11" t="n">
        <x:v>7243526</x:v>
      </x:c>
      <x:c r="AQ312" s="12" t="n">
        <x:v>0.9637231097138311</x:v>
      </x:c>
      <x:c r="AR312" s="11" t="n">
        <x:v>4563.312423500612</x:v>
      </x:c>
      <x:c r="AS312" s="11" t="n">
        <x:v>2925.7108323133416</x:v>
      </x:c>
      <x:c r="AT312" s="11" t="n">
        <x:v>8315.698592411261</x:v>
      </x:c>
      <x:c r="AU312" s="11" t="n">
        <x:v>6292.355263157895</x:v>
      </x:c>
      <x:c r="AV312" s="11" t="n">
        <x:v>317.4461444308445</x:v>
      </x:c>
      <x:c r="AW312" s="11" t="n">
        <x:v>6.943731445256467</x:v>
      </x:c>
      <x:c r="AX312" s="12" t="n">
        <x:v>0.9373979274168738</x:v>
      </x:c>
      <x:c r="AY312" s="11"/>
      <x:c r="AZ312" s="11"/>
      <x:c r="BA312" s="11"/>
      <x:c r="BB312" s="11"/>
      <x:c r="BC312" s="11"/>
      <x:c r="BD312" s="11"/>
      <x:c r="BE312" s="11"/>
      <x:c r="BF312" s="11"/>
      <x:c r="BG312" s="11"/>
      <x:c r="BH312" s="11"/>
      <x:c r="BI312" s="11"/>
      <x:c r="BJ312" s="11"/>
      <x:c r="BK312" s="12"/>
      <x:c r="BL312" s="12"/>
      <x:c r="BM312" s="12"/>
      <x:c r="BN312" s="12"/>
      <x:c r="BO312" s="12"/>
      <x:c r="BP312" s="12"/>
      <x:c r="BQ312" s="12"/>
      <x:c r="BR312" s="12"/>
      <x:c r="BS312" s="12"/>
      <x:c r="BT312" s="12"/>
      <x:c r="BU312" s="11" t="n">
        <x:v>1124912</x:v>
      </x:c>
      <x:c r="BV312" s="11" t="n">
        <x:v>2501095</x:v>
      </x:c>
      <x:c r="BW312" s="11" t="n">
        <x:v>331394</x:v>
      </x:c>
      <x:c r="BX312" s="11" t="n">
        <x:v>1278029</x:v>
      </x:c>
      <x:c r="BY312" s="11" t="n">
        <x:v>1004710</x:v>
      </x:c>
      <x:c r="BZ312" s="11" t="n">
        <x:v>0</x:v>
      </x:c>
      <x:c r="CA312" s="11" t="n">
        <x:v>0</x:v>
      </x:c>
      <x:c r="CB312" s="11" t="n">
        <x:v>50458</x:v>
      </x:c>
      <x:c r="CC312" s="11" t="n">
        <x:v>1597664</x:v>
      </x:c>
      <x:c r="CD312" s="11" t="n">
        <x:v>579399</x:v>
      </x:c>
      <x:c r="CE312" s="11" t="n">
        <x:v>107578</x:v>
      </x:c>
      <x:c r="CF312" s="11" t="n">
        <x:v>20103</x:v>
      </x:c>
      <x:c r="CG312" s="11" t="n">
        <x:v>305931</x:v>
      </x:c>
      <x:c r="CH312" s="11" t="n">
        <x:v>2159728</x:v>
      </x:c>
      <x:c r="CI312" s="11" t="n">
        <x:v>2004030</x:v>
      </x:c>
      <x:c r="CJ312" s="11" t="n">
        <x:v>442700</x:v>
      </x:c>
      <x:c r="CK312" s="11" t="n">
        <x:v>899906</x:v>
      </x:c>
      <x:c r="CL312" s="11" t="n">
        <x:v>0</x:v>
      </x:c>
      <x:c r="CM312" s="11" t="n">
        <x:v>6878</x:v>
      </x:c>
      <x:c r="CN312" s="11" t="n">
        <x:v>0</x:v>
      </x:c>
      <x:c r="CO312" s="11" t="n">
        <x:v>0</x:v>
      </x:c>
      <x:c r="CP312" s="8"/>
      <x:c r="CQ312" s="8"/>
    </x:row>
    <x:row r="313">
      <x:c r="A313" s="8" t="str">
        <x:v>Houston|2024</x:v>
      </x:c>
      <x:c r="B313" s="8" t="str">
        <x:v>houston-d</x:v>
      </x:c>
      <x:c r="C313" s="8" t="str">
        <x:v>Houston</x:v>
      </x:c>
      <x:c r="D313" s="8" t="str">
        <x:v>Houston</x:v>
      </x:c>
      <x:c r="E313" s="8" t="str">
        <x:v>D</x:v>
      </x:c>
      <x:c r="F313" s="8" t="str">
        <x:v>BUL</x:v>
      </x:c>
      <x:c r="G313" s="9" t="n">
        <x:v>2024</x:v>
      </x:c>
      <x:c r="H313" s="10" t="n">
        <x:v>3268</x:v>
      </x:c>
      <x:c r="I313" s="8" t="str">
        <x:v>Under 5,000</x:v>
      </x:c>
      <x:c r="J313" s="11" t="n">
        <x:v>14109312</x:v>
      </x:c>
      <x:c r="K313" s="11" t="n">
        <x:v>10469959</x:v>
      </x:c>
      <x:c r="L313" s="11" t="n">
        <x:v>3639353</x:v>
      </x:c>
      <x:c r="M313" s="12" t="n">
        <x:v>0.25793979181975707</x:v>
      </x:c>
      <x:c r="N313" s="11" t="n">
        <x:v>5741807</x:v>
      </x:c>
      <x:c r="O313" s="11" t="n">
        <x:v>2571649</x:v>
      </x:c>
      <x:c r="P313" s="11" t="n">
        <x:v>4435338</x:v>
      </x:c>
      <x:c r="Q313" s="11" t="n">
        <x:v>1360518</x:v>
      </x:c>
      <x:c r="R313" s="11" t="n">
        <x:v>8922569</x:v>
      </x:c>
      <x:c r="S313" s="11" t="n">
        <x:v>1510561</x:v>
      </x:c>
      <x:c r="T313" s="11" t="n">
        <x:v>29398201</x:v>
      </x:c>
      <x:c r="U313" s="11" t="n">
        <x:v>4346867</x:v>
      </x:c>
      <x:c r="V313" s="11" t="n">
        <x:v>29052269</x:v>
      </x:c>
      <x:c r="W313" s="11" t="n">
        <x:v>22756280</x:v>
      </x:c>
      <x:c r="X313" s="11" t="n">
        <x:v>1037414</x:v>
      </x:c>
      <x:c r="Y313" s="11" t="n">
        <x:v>0</x:v>
      </x:c>
      <x:c r="Z313" s="11" t="n">
        <x:v>57800</x:v>
      </x:c>
      <x:c r="AA313" s="11" t="n">
        <x:v>924825</x:v>
      </x:c>
      <x:c r="AB313" s="11" t="n">
        <x:v>36829</x:v>
      </x:c>
      <x:c r="AC313" s="11" t="n">
        <x:v>94629</x:v>
      </x:c>
      <x:c r="AD313" s="11" t="n">
        <x:v>2253663</x:v>
      </x:c>
      <x:c r="AE313" s="11" t="n">
        <x:v>2159034</x:v>
      </x:c>
      <x:c r="AF313" s="11" t="n">
        <x:v>9014653</x:v>
      </x:c>
      <x:c r="AG313" s="11" t="n">
        <x:v>83197252</x:v>
      </x:c>
      <x:c r="AH313" s="11" t="n">
        <x:v>44266204</x:v>
      </x:c>
      <x:c r="AI313" s="11" t="n">
        <x:v>38931048</x:v>
      </x:c>
      <x:c r="AJ313" s="11" t="n">
        <x:v>3206713</x:v>
      </x:c>
      <x:c r="AK313" s="11" t="n">
        <x:v>180504884</x:v>
      </x:c>
      <x:c r="AL313" s="11" t="n">
        <x:v>2648776</x:v>
      </x:c>
      <x:c r="AM313" s="12" t="n">
        <x:v>0.9853257377789291</x:v>
      </x:c>
      <x:c r="AN313" s="12" t="n">
        <x:v>0.017765242296712593</x:v>
      </x:c>
      <x:c r="AO313" s="11" t="n">
        <x:v>8134846</x:v>
      </x:c>
      <x:c r="AP313" s="11" t="n">
        <x:v>7700038</x:v>
      </x:c>
      <x:c r="AQ313" s="12" t="n">
        <x:v>0.9465499408347743</x:v>
      </x:c>
      <x:c r="AR313" s="11" t="n">
        <x:v>4317.414932680538</x:v>
      </x:c>
      <x:c r="AS313" s="11" t="n">
        <x:v>3203.78182374541</x:v>
      </x:c>
      <x:c r="AT313" s="11" t="n">
        <x:v>8889.923194614443</x:v>
      </x:c>
      <x:c r="AU313" s="11" t="n">
        <x:v>6963.365973072216</x:v>
      </x:c>
      <x:c r="AV313" s="11" t="n">
        <x:v>282.99418604651163</x:v>
      </x:c>
      <x:c r="AW313" s="11" t="n">
        <x:v>6.763078097397505</x:v>
      </x:c>
      <x:c r="AX313" s="12" t="n">
        <x:v>0.958011024718425</x:v>
      </x:c>
      <x:c r="AY313" s="11" t="n">
        <x:v>4486.511144130758</x:v>
      </x:c>
      <x:c r="AZ313" s="11" t="n">
        <x:v>3546.5079302077975</x:v>
      </x:c>
      <x:c r="BA313" s="11" t="n">
        <x:v>3557.844717668488</x:v>
      </x:c>
      <x:c r="BB313" s="11" t="n">
        <x:v>2783.665107049771</x:v>
      </x:c>
      <x:c r="BC313" s="11" t="n">
        <x:v>5496.677373974208</x:v>
      </x:c>
      <x:c r="BD313" s="11" t="n">
        <x:v>2437.8724475115623</x:v>
      </x:c>
      <x:c r="BE313" s="11" t="n">
        <x:v>3386.4506393861893</x:v>
      </x:c>
      <x:c r="BF313" s="11" t="n">
        <x:v>1604.3462673977224</x:v>
      </x:c>
      <x:c r="BG313" s="11" t="n">
        <x:v>624.7436119532265</x:v>
      </x:c>
      <x:c r="BH313" s="11" t="n">
        <x:v>518.5374381567245</x:v>
      </x:c>
      <x:c r="BI313" s="11" t="n">
        <x:v>3.324657351485151</x:v>
      </x:c>
      <x:c r="BJ313" s="11" t="n">
        <x:v>1.7099330852451193</x:v>
      </x:c>
      <x:c r="BK313" s="12" t="n">
        <x:v>0.02521828600111612</x:v>
      </x:c>
      <x:c r="BL313" s="12" t="n">
        <x:v>0.02529861000232605</x:v>
      </x:c>
      <x:c r="BM313" s="12" t="n">
        <x:v>0.9816336034641139</x:v>
      </x:c>
      <x:c r="BN313" s="12" t="n">
        <x:v>0.9815511712696461</x:v>
      </x:c>
      <x:c r="BO313" s="12" t="n">
        <x:v>0.8531878894527055</x:v>
      </x:c>
      <x:c r="BP313" s="12" t="n">
        <x:v>0.8619101997275483</x:v>
      </x:c>
      <x:c r="BQ313" s="12" t="n">
        <x:v>0.9614729661922712</x:v>
      </x:c>
      <x:c r="BR313" s="12" t="n">
        <x:v>0.9623635142836453</x:v>
      </x:c>
      <x:c r="BS313" s="12" t="n">
        <x:v>0.23352896680225554</x:v>
      </x:c>
      <x:c r="BT313" s="12" t="n">
        <x:v>0.19976549769108282</x:v>
      </x:c>
      <x:c r="BU313" s="11" t="n">
        <x:v>387433</x:v>
      </x:c>
      <x:c r="BV313" s="11" t="n">
        <x:v>4045197</x:v>
      </x:c>
      <x:c r="BW313" s="11" t="n">
        <x:v>2708</x:v>
      </x:c>
      <x:c r="BX313" s="11" t="n">
        <x:v>1379717</x:v>
      </x:c>
      <x:c r="BY313" s="11" t="n">
        <x:v>-77084</x:v>
      </x:c>
      <x:c r="BZ313" s="11" t="n">
        <x:v>0</x:v>
      </x:c>
      <x:c r="CA313" s="11" t="n">
        <x:v>1891</x:v>
      </x:c>
      <x:c r="CB313" s="11" t="n">
        <x:v>55994</x:v>
      </x:c>
      <x:c r="CC313" s="11" t="n">
        <x:v>1831179</x:v>
      </x:c>
      <x:c r="CD313" s="11" t="n">
        <x:v>949430</x:v>
      </x:c>
      <x:c r="CE313" s="11" t="n">
        <x:v>122120</x:v>
      </x:c>
      <x:c r="CF313" s="11" t="n">
        <x:v>28420</x:v>
      </x:c>
      <x:c r="CG313" s="11" t="n">
        <x:v>773451</x:v>
      </x:c>
      <x:c r="CH313" s="11" t="n">
        <x:v>1778987</x:v>
      </x:c>
      <x:c r="CI313" s="11" t="n">
        <x:v>2289619</x:v>
      </x:c>
      <x:c r="CJ313" s="11" t="n">
        <x:v>476137</x:v>
      </x:c>
      <x:c r="CK313" s="11" t="n">
        <x:v>374266</x:v>
      </x:c>
      <x:c r="CL313" s="11" t="n">
        <x:v>0</x:v>
      </x:c>
      <x:c r="CM313" s="11" t="n">
        <x:v>12192</x:v>
      </x:c>
      <x:c r="CN313" s="11" t="n">
        <x:v>323597</x:v>
      </x:c>
      <x:c r="CO313" s="11" t="n">
        <x:v>0</x:v>
      </x:c>
      <x:c r="CP313" s="8"/>
      <x:c r="CQ313" s="8"/>
    </x:row>
    <x:row r="314">
      <x:c r="A314" s="8" t="str">
        <x:v>Hudson's Hope|2019</x:v>
      </x:c>
      <x:c r="B314" s="8" t="str">
        <x:v>hudson-s-hope-d</x:v>
      </x:c>
      <x:c r="C314" s="8" t="str">
        <x:v>Hudson's Hope</x:v>
      </x:c>
      <x:c r="D314" s="8" t="str">
        <x:v>Hudson's Hope</x:v>
      </x:c>
      <x:c r="E314" s="8" t="str">
        <x:v>D</x:v>
      </x:c>
      <x:c r="F314" s="8" t="str">
        <x:v>PEA</x:v>
      </x:c>
      <x:c r="G314" s="9" t="n">
        <x:v>2019</x:v>
      </x:c>
      <x:c r="H314" s="10" t="n">
        <x:v>1061</x:v>
      </x:c>
      <x:c r="I314" s="8" t="str">
        <x:v>Under 5,000</x:v>
      </x:c>
      <x:c r="J314" s="11" t="n">
        <x:v>6976405</x:v>
      </x:c>
      <x:c r="K314" s="11" t="n">
        <x:v>5647194</x:v>
      </x:c>
      <x:c r="L314" s="11" t="n">
        <x:v>1329211</x:v>
      </x:c>
      <x:c r="M314" s="12" t="n">
        <x:v>0.1905295062428285</x:v>
      </x:c>
      <x:c r="N314" s="11" t="n">
        <x:v>3834597</x:v>
      </x:c>
      <x:c r="O314" s="11" t="n">
        <x:v>726890</x:v>
      </x:c>
      <x:c r="P314" s="11" t="n">
        <x:v>2262338</x:v>
      </x:c>
      <x:c r="Q314" s="11" t="n">
        <x:v>152580</x:v>
      </x:c>
      <x:c r="R314" s="11" t="n">
        <x:v>4609021</x:v>
      </x:c>
      <x:c r="S314" s="11" t="n">
        <x:v>981559</x:v>
      </x:c>
      <x:c r="T314" s="11" t="n">
        <x:v>6067135</x:v>
      </x:c>
      <x:c r="U314" s="11" t="n">
        <x:v>908652</x:v>
      </x:c>
      <x:c r="V314" s="11" t="n">
        <x:v>6012722</x:v>
      </x:c>
      <x:c r="W314" s="11" t="n">
        <x:v>2130755</x:v>
      </x:c>
      <x:c r="X314" s="11" t="n">
        <x:v>11538</x:v>
      </x:c>
      <x:c r="Y314" s="11" t="n">
        <x:v>0</x:v>
      </x:c>
      <x:c r="Z314" s="11" t="n">
        <x:v>1765</x:v>
      </x:c>
      <x:c r="AA314" s="11" t="n">
        <x:v>8821</x:v>
      </x:c>
      <x:c r="AB314" s="11" t="n">
        <x:v>56614</x:v>
      </x:c>
      <x:c r="AC314" s="11" t="n">
        <x:v>58379</x:v>
      </x:c>
      <x:c r="AD314" s="11" t="n">
        <x:v>1439858</x:v>
      </x:c>
      <x:c r="AE314" s="11" t="n">
        <x:v>1381479</x:v>
      </x:c>
      <x:c r="AF314" s="11" t="n">
        <x:v>5759430</x:v>
      </x:c>
      <x:c r="AG314" s="11" t="n">
        <x:v>34878669</x:v>
      </x:c>
      <x:c r="AH314" s="11" t="n">
        <x:v>13515579</x:v>
      </x:c>
      <x:c r="AI314" s="11" t="n">
        <x:v>21363090</x:v>
      </x:c>
      <x:c r="AJ314" s="11" t="n">
        <x:v>1323191</x:v>
      </x:c>
      <x:c r="AK314" s="11" t="n">
        <x:v>1270038</x:v>
      </x:c>
      <x:c r="AL314" s="11" t="n">
        <x:v>0</x:v>
      </x:c>
      <x:c r="AM314" s="12" t="n">
        <x:v>1</x:v>
      </x:c>
      <x:c r="AN314" s="12" t="n">
        <x:v>1.041851503655796</x:v>
      </x:c>
      <x:c r="AO314" s="11" t="n">
        <x:v>5372236</x:v>
      </x:c>
      <x:c r="AP314" s="11" t="n">
        <x:v>5284345</x:v>
      </x:c>
      <x:c r="AQ314" s="12" t="n">
        <x:v>0.9836397730851735</x:v>
      </x:c>
      <x:c r="AR314" s="11" t="n">
        <x:v>6575.311027332705</x:v>
      </x:c>
      <x:c r="AS314" s="11" t="n">
        <x:v>5322.520263901979</x:v>
      </x:c>
      <x:c r="AT314" s="11" t="n">
        <x:v>5667.032987747408</x:v>
      </x:c>
      <x:c r="AU314" s="11" t="n">
        <x:v>2008.2516493873704</x:v>
      </x:c>
      <x:c r="AV314" s="11" t="n">
        <x:v>8.313854853911405</x:v>
      </x:c>
      <x:c r="AW314" s="11" t="n">
        <x:v>6.677072190453551</x:v>
      </x:c>
      <x:c r="AX314" s="12" t="n">
        <x:v>0.959455029593196</x:v>
      </x:c>
      <x:c r="AY314" s="11"/>
      <x:c r="AZ314" s="11"/>
      <x:c r="BA314" s="11"/>
      <x:c r="BB314" s="11"/>
      <x:c r="BC314" s="11"/>
      <x:c r="BD314" s="11"/>
      <x:c r="BE314" s="11"/>
      <x:c r="BF314" s="11"/>
      <x:c r="BG314" s="11"/>
      <x:c r="BH314" s="11"/>
      <x:c r="BI314" s="11"/>
      <x:c r="BJ314" s="11"/>
      <x:c r="BK314" s="12"/>
      <x:c r="BL314" s="12"/>
      <x:c r="BM314" s="12"/>
      <x:c r="BN314" s="12"/>
      <x:c r="BO314" s="12"/>
      <x:c r="BP314" s="12"/>
      <x:c r="BQ314" s="12"/>
      <x:c r="BR314" s="12"/>
      <x:c r="BS314" s="12"/>
      <x:c r="BT314" s="12"/>
      <x:c r="BU314" s="11" t="n">
        <x:v>0</x:v>
      </x:c>
      <x:c r="BV314" s="11" t="n">
        <x:v>2066503</x:v>
      </x:c>
      <x:c r="BW314" s="11" t="n">
        <x:v>195835</x:v>
      </x:c>
      <x:c r="BX314" s="11" t="n">
        <x:v>152580</x:v>
      </x:c>
      <x:c r="BY314" s="11" t="n">
        <x:v>0</x:v>
      </x:c>
      <x:c r="BZ314" s="11" t="n">
        <x:v>0</x:v>
      </x:c>
      <x:c r="CA314" s="11" t="n">
        <x:v>0</x:v>
      </x:c>
      <x:c r="CB314" s="11" t="n">
        <x:v>0</x:v>
      </x:c>
      <x:c r="CC314" s="11" t="n">
        <x:v>1650198</x:v>
      </x:c>
      <x:c r="CD314" s="11" t="n">
        <x:v>259475</x:v>
      </x:c>
      <x:c r="CE314" s="11" t="n">
        <x:v>132765</x:v>
      </x:c>
      <x:c r="CF314" s="11" t="n">
        <x:v>20241</x:v>
      </x:c>
      <x:c r="CG314" s="11" t="n">
        <x:v>56849</x:v>
      </x:c>
      <x:c r="CH314" s="11" t="n">
        <x:v>1148358</x:v>
      </x:c>
      <x:c r="CI314" s="11" t="n">
        <x:v>1035554</x:v>
      </x:c>
      <x:c r="CJ314" s="11" t="n">
        <x:v>331737</x:v>
      </x:c>
      <x:c r="CK314" s="11" t="n">
        <x:v>0</x:v>
      </x:c>
      <x:c r="CL314" s="11" t="n">
        <x:v>0</x:v>
      </x:c>
      <x:c r="CM314" s="11"/>
      <x:c r="CN314" s="11" t="n">
        <x:v>30458</x:v>
      </x:c>
      <x:c r="CO314" s="11" t="n">
        <x:v>0</x:v>
      </x:c>
      <x:c r="CP314" s="8"/>
      <x:c r="CQ314" s="8"/>
    </x:row>
    <x:row r="315">
      <x:c r="A315" s="8" t="str">
        <x:v>Hudson's Hope|2020</x:v>
      </x:c>
      <x:c r="B315" s="8" t="str">
        <x:v>hudson-s-hope-d</x:v>
      </x:c>
      <x:c r="C315" s="8" t="str">
        <x:v>Hudson's Hope</x:v>
      </x:c>
      <x:c r="D315" s="8" t="str">
        <x:v>Hudson's Hope</x:v>
      </x:c>
      <x:c r="E315" s="8" t="str">
        <x:v>D</x:v>
      </x:c>
      <x:c r="F315" s="8" t="str">
        <x:v>PEA</x:v>
      </x:c>
      <x:c r="G315" s="9" t="n">
        <x:v>2020</x:v>
      </x:c>
      <x:c r="H315" s="10" t="n">
        <x:v>1065</x:v>
      </x:c>
      <x:c r="I315" s="8" t="str">
        <x:v>Under 5,000</x:v>
      </x:c>
      <x:c r="J315" s="11" t="n">
        <x:v>9750462</x:v>
      </x:c>
      <x:c r="K315" s="11" t="n">
        <x:v>5915772</x:v>
      </x:c>
      <x:c r="L315" s="11" t="n">
        <x:v>3834690</x:v>
      </x:c>
      <x:c r="M315" s="12" t="n">
        <x:v>0.3932829029024471</x:v>
      </x:c>
      <x:c r="N315" s="11" t="n">
        <x:v>4082487</x:v>
      </x:c>
      <x:c r="O315" s="11" t="n">
        <x:v>654490</x:v>
      </x:c>
      <x:c r="P315" s="11" t="n">
        <x:v>4954332</x:v>
      </x:c>
      <x:c r="Q315" s="11" t="n">
        <x:v>59153</x:v>
      </x:c>
      <x:c r="R315" s="11" t="n">
        <x:v>4943251</x:v>
      </x:c>
      <x:c r="S315" s="11" t="n">
        <x:v>971726</x:v>
      </x:c>
      <x:c r="T315" s="11" t="n">
        <x:v>6868503</x:v>
      </x:c>
      <x:c r="U315" s="11" t="n">
        <x:v>1050143</x:v>
      </x:c>
      <x:c r="V315" s="11" t="n">
        <x:v>7387233</x:v>
      </x:c>
      <x:c r="W315" s="11" t="n">
        <x:v>2179279</x:v>
      </x:c>
      <x:c r="X315" s="11" t="n">
        <x:v>8555</x:v>
      </x:c>
      <x:c r="Y315" s="11" t="n">
        <x:v>0</x:v>
      </x:c>
      <x:c r="Z315" s="11" t="n">
        <x:v>1765</x:v>
      </x:c>
      <x:c r="AA315" s="11" t="n">
        <x:v>5995</x:v>
      </x:c>
      <x:c r="AB315" s="11" t="n">
        <x:v>795</x:v>
      </x:c>
      <x:c r="AC315" s="11" t="n">
        <x:v>2560</x:v>
      </x:c>
      <x:c r="AD315" s="11" t="n">
        <x:v>1454320</x:v>
      </x:c>
      <x:c r="AE315" s="11" t="n">
        <x:v>1451760</x:v>
      </x:c>
      <x:c r="AF315" s="11" t="n">
        <x:v>5817279</x:v>
      </x:c>
      <x:c r="AG315" s="11" t="n">
        <x:v>39051288</x:v>
      </x:c>
      <x:c r="AH315" s="11" t="n">
        <x:v>14449767</x:v>
      </x:c>
      <x:c r="AI315" s="11" t="n">
        <x:v>24601521</x:v>
      </x:c>
      <x:c r="AJ315" s="11" t="n">
        <x:v>4142228</x:v>
      </x:c>
      <x:c r="AK315" s="11" t="n">
        <x:v>1485018</x:v>
      </x:c>
      <x:c r="AL315" s="11" t="n">
        <x:v>0</x:v>
      </x:c>
      <x:c r="AM315" s="12" t="n">
        <x:v>1</x:v>
      </x:c>
      <x:c r="AN315" s="12" t="n">
        <x:v>2.7893453143328903</x:v>
      </x:c>
      <x:c r="AO315" s="11" t="n">
        <x:v>5712358</x:v>
      </x:c>
      <x:c r="AP315" s="11" t="n">
        <x:v>5668274</x:v>
      </x:c>
      <x:c r="AQ315" s="12" t="n">
        <x:v>0.9922826965676871</x:v>
      </x:c>
      <x:c r="AR315" s="11" t="n">
        <x:v>9155.36338028169</x:v>
      </x:c>
      <x:c r="AS315" s="11" t="n">
        <x:v>5554.715492957746</x:v>
      </x:c>
      <x:c r="AT315" s="11" t="n">
        <x:v>6936.369014084507</x:v>
      </x:c>
      <x:c r="AU315" s="11" t="n">
        <x:v>2046.2713615023474</x:v>
      </x:c>
      <x:c r="AV315" s="11" t="n">
        <x:v>5.629107981220657</x:v>
      </x:c>
      <x:c r="AW315" s="11" t="n">
        <x:v>6.540540669223144</x:v>
      </x:c>
      <x:c r="AX315" s="12" t="n">
        <x:v>0.9982397271577095</x:v>
      </x:c>
      <x:c r="AY315" s="11"/>
      <x:c r="AZ315" s="11"/>
      <x:c r="BA315" s="11"/>
      <x:c r="BB315" s="11"/>
      <x:c r="BC315" s="11"/>
      <x:c r="BD315" s="11"/>
      <x:c r="BE315" s="11"/>
      <x:c r="BF315" s="11"/>
      <x:c r="BG315" s="11"/>
      <x:c r="BH315" s="11"/>
      <x:c r="BI315" s="11"/>
      <x:c r="BJ315" s="11"/>
      <x:c r="BK315" s="12"/>
      <x:c r="BL315" s="12"/>
      <x:c r="BM315" s="12"/>
      <x:c r="BN315" s="12"/>
      <x:c r="BO315" s="12"/>
      <x:c r="BP315" s="12"/>
      <x:c r="BQ315" s="12"/>
      <x:c r="BR315" s="12"/>
      <x:c r="BS315" s="12"/>
      <x:c r="BT315" s="12"/>
      <x:c r="BU315" s="11" t="n">
        <x:v>0</x:v>
      </x:c>
      <x:c r="BV315" s="11" t="n">
        <x:v>4856463</x:v>
      </x:c>
      <x:c r="BW315" s="11" t="n">
        <x:v>97869</x:v>
      </x:c>
      <x:c r="BX315" s="11" t="n">
        <x:v>59153</x:v>
      </x:c>
      <x:c r="BY315" s="11" t="n">
        <x:v>0</x:v>
      </x:c>
      <x:c r="BZ315" s="11" t="n">
        <x:v>0</x:v>
      </x:c>
      <x:c r="CA315" s="11" t="n">
        <x:v>0</x:v>
      </x:c>
      <x:c r="CB315" s="11" t="n">
        <x:v>0</x:v>
      </x:c>
      <x:c r="CC315" s="11" t="n">
        <x:v>2058554</x:v>
      </x:c>
      <x:c r="CD315" s="11" t="n">
        <x:v>270759</x:v>
      </x:c>
      <x:c r="CE315" s="11" t="n">
        <x:v>51591</x:v>
      </x:c>
      <x:c r="CF315" s="11" t="n">
        <x:v>1203</x:v>
      </x:c>
      <x:c r="CG315" s="11" t="n">
        <x:v>59662</x:v>
      </x:c>
      <x:c r="CH315" s="11" t="n">
        <x:v>1592455</x:v>
      </x:c>
      <x:c r="CI315" s="11" t="n">
        <x:v>641687</x:v>
      </x:c>
      <x:c r="CJ315" s="11" t="n">
        <x:v>177591</x:v>
      </x:c>
      <x:c r="CK315" s="11" t="n">
        <x:v>89666</x:v>
      </x:c>
      <x:c r="CL315" s="11" t="n">
        <x:v>0</x:v>
      </x:c>
      <x:c r="CM315" s="11"/>
      <x:c r="CN315" s="11" t="n">
        <x:v>878</x:v>
      </x:c>
      <x:c r="CO315" s="11" t="n">
        <x:v>0</x:v>
      </x:c>
      <x:c r="CP315" s="8"/>
      <x:c r="CQ315" s="8"/>
    </x:row>
    <x:row r="316">
      <x:c r="A316" s="8" t="str">
        <x:v>Hudson's Hope|2021</x:v>
      </x:c>
      <x:c r="B316" s="8" t="str">
        <x:v>hudson-s-hope-d</x:v>
      </x:c>
      <x:c r="C316" s="8" t="str">
        <x:v>Hudson's Hope</x:v>
      </x:c>
      <x:c r="D316" s="8" t="str">
        <x:v>Hudson's Hope</x:v>
      </x:c>
      <x:c r="E316" s="8" t="str">
        <x:v>D</x:v>
      </x:c>
      <x:c r="F316" s="8" t="str">
        <x:v>PEA</x:v>
      </x:c>
      <x:c r="G316" s="9" t="n">
        <x:v>2021</x:v>
      </x:c>
      <x:c r="H316" s="10" t="n">
        <x:v>1069</x:v>
      </x:c>
      <x:c r="I316" s="8" t="str">
        <x:v>Under 5,000</x:v>
      </x:c>
      <x:c r="J316" s="11" t="n">
        <x:v>7232351</x:v>
      </x:c>
      <x:c r="K316" s="11" t="n">
        <x:v>5679879</x:v>
      </x:c>
      <x:c r="L316" s="11" t="n">
        <x:v>1552472</x:v>
      </x:c>
      <x:c r="M316" s="12" t="n">
        <x:v>0.21465661719128398</x:v>
      </x:c>
      <x:c r="N316" s="11" t="n">
        <x:v>4167518</x:v>
      </x:c>
      <x:c r="O316" s="11" t="n">
        <x:v>691044</x:v>
      </x:c>
      <x:c r="P316" s="11" t="n">
        <x:v>2353162</x:v>
      </x:c>
      <x:c r="Q316" s="11" t="n">
        <x:v>20627</x:v>
      </x:c>
      <x:c r="R316" s="11" t="n">
        <x:v>4580245</x:v>
      </x:c>
      <x:c r="S316" s="11" t="n">
        <x:v>1098839</x:v>
      </x:c>
      <x:c r="T316" s="11" t="n">
        <x:v>7954040</x:v>
      </x:c>
      <x:c r="U316" s="11" t="n">
        <x:v>1049286</x:v>
      </x:c>
      <x:c r="V316" s="11" t="n">
        <x:v>7664751</x:v>
      </x:c>
      <x:c r="W316" s="11" t="n">
        <x:v>2962152</x:v>
      </x:c>
      <x:c r="X316" s="11" t="n">
        <x:v>5995</x:v>
      </x:c>
      <x:c r="Y316" s="11" t="n">
        <x:v>0</x:v>
      </x:c>
      <x:c r="Z316" s="11" t="n">
        <x:v>1765</x:v>
      </x:c>
      <x:c r="AA316" s="11" t="n">
        <x:v>3056</x:v>
      </x:c>
      <x:c r="AB316" s="11" t="n">
        <x:v>795</x:v>
      </x:c>
      <x:c r="AC316" s="11" t="n">
        <x:v>2560</x:v>
      </x:c>
      <x:c r="AD316" s="11" t="n">
        <x:v>1473439</x:v>
      </x:c>
      <x:c r="AE316" s="11" t="n">
        <x:v>1470879</x:v>
      </x:c>
      <x:c r="AF316" s="11" t="n">
        <x:v>5893756</x:v>
      </x:c>
      <x:c r="AG316" s="11" t="n">
        <x:v>41622141</x:v>
      </x:c>
      <x:c r="AH316" s="11" t="n">
        <x:v>15025893</x:v>
      </x:c>
      <x:c r="AI316" s="11" t="n">
        <x:v>26596248</x:v>
      </x:c>
      <x:c r="AJ316" s="11" t="n">
        <x:v>3110560</x:v>
      </x:c>
      <x:c r="AK316" s="11" t="n">
        <x:v>1703921</x:v>
      </x:c>
      <x:c r="AL316" s="11" t="n">
        <x:v>0</x:v>
      </x:c>
      <x:c r="AM316" s="12" t="n">
        <x:v>1</x:v>
      </x:c>
      <x:c r="AN316" s="12" t="n">
        <x:v>1.825530643732896</x:v>
      </x:c>
      <x:c r="AO316" s="11" t="n">
        <x:v>5756773</x:v>
      </x:c>
      <x:c r="AP316" s="11" t="n">
        <x:v>5713172</x:v>
      </x:c>
      <x:c r="AQ316" s="12" t="n">
        <x:v>0.9924261387412705</x:v>
      </x:c>
      <x:c r="AR316" s="11" t="n">
        <x:v>6765.529466791394</x:v>
      </x:c>
      <x:c r="AS316" s="11" t="n">
        <x:v>5313.2637979420015</x:v>
      </x:c>
      <x:c r="AT316" s="11" t="n">
        <x:v>7170.019644527596</x:v>
      </x:c>
      <x:c r="AU316" s="11" t="n">
        <x:v>2770.956033676333</x:v>
      </x:c>
      <x:c r="AV316" s="11" t="n">
        <x:v>2.8587464920486436</x:v>
      </x:c>
      <x:c r="AW316" s="11" t="n">
        <x:v>7.5804308834769545</x:v>
      </x:c>
      <x:c r="AX316" s="12" t="n">
        <x:v>0.9982625680465903</x:v>
      </x:c>
      <x:c r="AY316" s="11"/>
      <x:c r="AZ316" s="11"/>
      <x:c r="BA316" s="11"/>
      <x:c r="BB316" s="11"/>
      <x:c r="BC316" s="11"/>
      <x:c r="BD316" s="11"/>
      <x:c r="BE316" s="11"/>
      <x:c r="BF316" s="11"/>
      <x:c r="BG316" s="11"/>
      <x:c r="BH316" s="11"/>
      <x:c r="BI316" s="11"/>
      <x:c r="BJ316" s="11"/>
      <x:c r="BK316" s="12"/>
      <x:c r="BL316" s="12"/>
      <x:c r="BM316" s="12"/>
      <x:c r="BN316" s="12"/>
      <x:c r="BO316" s="12"/>
      <x:c r="BP316" s="12"/>
      <x:c r="BQ316" s="12"/>
      <x:c r="BR316" s="12"/>
      <x:c r="BS316" s="12"/>
      <x:c r="BT316" s="12"/>
      <x:c r="BU316" s="11" t="n">
        <x:v>0</x:v>
      </x:c>
      <x:c r="BV316" s="11" t="n">
        <x:v>2152741</x:v>
      </x:c>
      <x:c r="BW316" s="11" t="n">
        <x:v>200421</x:v>
      </x:c>
      <x:c r="BX316" s="11" t="n">
        <x:v>20627</x:v>
      </x:c>
      <x:c r="BY316" s="11" t="n">
        <x:v>0</x:v>
      </x:c>
      <x:c r="BZ316" s="11" t="n">
        <x:v>0</x:v>
      </x:c>
      <x:c r="CA316" s="11" t="n">
        <x:v>0</x:v>
      </x:c>
      <x:c r="CB316" s="11" t="n">
        <x:v>0</x:v>
      </x:c>
      <x:c r="CC316" s="11" t="n">
        <x:v>1124072</x:v>
      </x:c>
      <x:c r="CD316" s="11" t="n">
        <x:v>340392</x:v>
      </x:c>
      <x:c r="CE316" s="11" t="n">
        <x:v>49152</x:v>
      </x:c>
      <x:c r="CF316" s="11" t="n">
        <x:v>12099</x:v>
      </x:c>
      <x:c r="CG316" s="11" t="n">
        <x:v>92188</x:v>
      </x:c>
      <x:c r="CH316" s="11" t="n">
        <x:v>1558145</x:v>
      </x:c>
      <x:c r="CI316" s="11" t="n">
        <x:v>814964</x:v>
      </x:c>
      <x:c r="CJ316" s="11" t="n">
        <x:v>331439</x:v>
      </x:c>
      <x:c r="CK316" s="11" t="n">
        <x:v>111496</x:v>
      </x:c>
      <x:c r="CL316" s="11" t="n">
        <x:v>0</x:v>
      </x:c>
      <x:c r="CM316" s="11"/>
      <x:c r="CN316" s="11" t="n">
        <x:v>147093</x:v>
      </x:c>
      <x:c r="CO316" s="11" t="n">
        <x:v>0</x:v>
      </x:c>
      <x:c r="CP316" s="8"/>
      <x:c r="CQ316" s="8"/>
    </x:row>
    <x:row r="317">
      <x:c r="A317" s="8" t="str">
        <x:v>Hudson's Hope|2022</x:v>
      </x:c>
      <x:c r="B317" s="8" t="str">
        <x:v>hudson-s-hope-d</x:v>
      </x:c>
      <x:c r="C317" s="8" t="str">
        <x:v>Hudson's Hope</x:v>
      </x:c>
      <x:c r="D317" s="8" t="str">
        <x:v>Hudson's Hope</x:v>
      </x:c>
      <x:c r="E317" s="8" t="str">
        <x:v>D</x:v>
      </x:c>
      <x:c r="F317" s="8" t="str">
        <x:v>PEA</x:v>
      </x:c>
      <x:c r="G317" s="9" t="n">
        <x:v>2022</x:v>
      </x:c>
      <x:c r="H317" s="10" t="n">
        <x:v>3803</x:v>
      </x:c>
      <x:c r="I317" s="8" t="str">
        <x:v>Under 5,000</x:v>
      </x:c>
      <x:c r="J317" s="11" t="n">
        <x:v>7408173</x:v>
      </x:c>
      <x:c r="K317" s="11" t="n">
        <x:v>7067123</x:v>
      </x:c>
      <x:c r="L317" s="11" t="n">
        <x:v>341050</x:v>
      </x:c>
      <x:c r="M317" s="12" t="n">
        <x:v>0.04603699184670768</x:v>
      </x:c>
      <x:c r="N317" s="11" t="n">
        <x:v>4381029</x:v>
      </x:c>
      <x:c r="O317" s="11" t="n">
        <x:v>528708</x:v>
      </x:c>
      <x:c r="P317" s="11" t="n">
        <x:v>1976149</x:v>
      </x:c>
      <x:c r="Q317" s="11" t="n">
        <x:v>522287</x:v>
      </x:c>
      <x:c r="R317" s="11" t="n">
        <x:v>5974521</x:v>
      </x:c>
      <x:c r="S317" s="11" t="n">
        <x:v>1087444</x:v>
      </x:c>
      <x:c r="T317" s="11" t="n">
        <x:v>8121812</x:v>
      </x:c>
      <x:c r="U317" s="11" t="n">
        <x:v>886081</x:v>
      </x:c>
      <x:c r="V317" s="11" t="n">
        <x:v>8305253</x:v>
      </x:c>
      <x:c r="W317" s="11" t="n">
        <x:v>4268782</x:v>
      </x:c>
      <x:c r="X317" s="11" t="n">
        <x:v>3056</x:v>
      </x:c>
      <x:c r="Y317" s="11" t="n">
        <x:v>0</x:v>
      </x:c>
      <x:c r="Z317" s="11" t="n">
        <x:v>1765</x:v>
      </x:c>
      <x:c r="AA317" s="11" t="n">
        <x:v>0</x:v>
      </x:c>
      <x:c r="AB317" s="11" t="n">
        <x:v>5158</x:v>
      </x:c>
      <x:c r="AC317" s="11" t="n">
        <x:v>6923</x:v>
      </x:c>
      <x:c r="AD317" s="11" t="n">
        <x:v>1648685</x:v>
      </x:c>
      <x:c r="AE317" s="11" t="n">
        <x:v>1641762</x:v>
      </x:c>
      <x:c r="AF317" s="11" t="n">
        <x:v>6594740</x:v>
      </x:c>
      <x:c r="AG317" s="11" t="n">
        <x:v>41806575</x:v>
      </x:c>
      <x:c r="AH317" s="11" t="n">
        <x:v>15495523</x:v>
      </x:c>
      <x:c r="AI317" s="11" t="n">
        <x:v>26311052</x:v>
      </x:c>
      <x:c r="AJ317" s="11" t="n">
        <x:v>1119436</x:v>
      </x:c>
      <x:c r="AK317" s="11" t="n">
        <x:v>1888077</x:v>
      </x:c>
      <x:c r="AL317" s="11" t="n">
        <x:v>0</x:v>
      </x:c>
      <x:c r="AM317" s="12" t="n">
        <x:v>1</x:v>
      </x:c>
      <x:c r="AN317" s="12" t="n">
        <x:v>0.5928974295010214</x:v>
      </x:c>
      <x:c r="AO317" s="11" t="n">
        <x:v>5942806</x:v>
      </x:c>
      <x:c r="AP317" s="11" t="n">
        <x:v>5866596</x:v>
      </x:c>
      <x:c r="AQ317" s="12" t="n">
        <x:v>0.9871760915634803</x:v>
      </x:c>
      <x:c r="AR317" s="11" t="n">
        <x:v>1947.9813305285302</x:v>
      </x:c>
      <x:c r="AS317" s="11" t="n">
        <x:v>1858.3021298974493</x:v>
      </x:c>
      <x:c r="AT317" s="11" t="n">
        <x:v>2183.868787799106</x:v>
      </x:c>
      <x:c r="AU317" s="11" t="n">
        <x:v>1122.4775177491454</x:v>
      </x:c>
      <x:c r="AV317" s="11" t="n">
        <x:v>0</x:v>
      </x:c>
      <x:c r="AW317" s="11" t="n">
        <x:v>9.165992725270037</x:v>
      </x:c>
      <x:c r="AX317" s="12" t="n">
        <x:v>0.9958008958654928</x:v>
      </x:c>
      <x:c r="AY317" s="11"/>
      <x:c r="AZ317" s="11"/>
      <x:c r="BA317" s="11"/>
      <x:c r="BB317" s="11"/>
      <x:c r="BC317" s="11"/>
      <x:c r="BD317" s="11"/>
      <x:c r="BE317" s="11"/>
      <x:c r="BF317" s="11"/>
      <x:c r="BG317" s="11"/>
      <x:c r="BH317" s="11"/>
      <x:c r="BI317" s="11"/>
      <x:c r="BJ317" s="11"/>
      <x:c r="BK317" s="12"/>
      <x:c r="BL317" s="12"/>
      <x:c r="BM317" s="12"/>
      <x:c r="BN317" s="12"/>
      <x:c r="BO317" s="12"/>
      <x:c r="BP317" s="12"/>
      <x:c r="BQ317" s="12"/>
      <x:c r="BR317" s="12"/>
      <x:c r="BS317" s="12"/>
      <x:c r="BT317" s="12"/>
      <x:c r="BU317" s="11" t="n">
        <x:v>0</x:v>
      </x:c>
      <x:c r="BV317" s="11" t="n">
        <x:v>1873597</x:v>
      </x:c>
      <x:c r="BW317" s="11" t="n">
        <x:v>102552</x:v>
      </x:c>
      <x:c r="BX317" s="11" t="n">
        <x:v>33306</x:v>
      </x:c>
      <x:c r="BY317" s="11" t="n">
        <x:v>0</x:v>
      </x:c>
      <x:c r="BZ317" s="11" t="n">
        <x:v>0</x:v>
      </x:c>
      <x:c r="CA317" s="11" t="n">
        <x:v>0</x:v>
      </x:c>
      <x:c r="CB317" s="11" t="n">
        <x:v>488981</x:v>
      </x:c>
      <x:c r="CC317" s="11" t="n">
        <x:v>996648</x:v>
      </x:c>
      <x:c r="CD317" s="11" t="n">
        <x:v>479092</x:v>
      </x:c>
      <x:c r="CE317" s="11" t="n">
        <x:v>51574</x:v>
      </x:c>
      <x:c r="CF317" s="11" t="n">
        <x:v>17174</x:v>
      </x:c>
      <x:c r="CG317" s="11" t="n">
        <x:v>84904</x:v>
      </x:c>
      <x:c r="CH317" s="11" t="n">
        <x:v>1609089</x:v>
      </x:c>
      <x:c r="CI317" s="11" t="n">
        <x:v>949888</x:v>
      </x:c>
      <x:c r="CJ317" s="11" t="n">
        <x:v>1322487</x:v>
      </x:c>
      <x:c r="CK317" s="11" t="n">
        <x:v>95496</x:v>
      </x:c>
      <x:c r="CL317" s="11" t="n">
        <x:v>0</x:v>
      </x:c>
      <x:c r="CM317" s="11"/>
      <x:c r="CN317" s="11" t="n">
        <x:v>373327</x:v>
      </x:c>
      <x:c r="CO317" s="11" t="n">
        <x:v>0</x:v>
      </x:c>
      <x:c r="CP317" s="8"/>
      <x:c r="CQ317" s="8"/>
    </x:row>
    <x:row r="318">
      <x:c r="A318" s="8" t="str">
        <x:v>Hudson's Hope|2023</x:v>
      </x:c>
      <x:c r="B318" s="8" t="str">
        <x:v>hudson-s-hope-d</x:v>
      </x:c>
      <x:c r="C318" s="8" t="str">
        <x:v>Hudson's Hope</x:v>
      </x:c>
      <x:c r="D318" s="8" t="str">
        <x:v>Hudson's Hope</x:v>
      </x:c>
      <x:c r="E318" s="8" t="str">
        <x:v>D</x:v>
      </x:c>
      <x:c r="F318" s="8" t="str">
        <x:v>PEA</x:v>
      </x:c>
      <x:c r="G318" s="9" t="n">
        <x:v>2023</x:v>
      </x:c>
      <x:c r="H318" s="10" t="n">
        <x:v>1071</x:v>
      </x:c>
      <x:c r="I318" s="8" t="str">
        <x:v>Under 5,000</x:v>
      </x:c>
      <x:c r="J318" s="11" t="n">
        <x:v>8812822</x:v>
      </x:c>
      <x:c r="K318" s="11" t="n">
        <x:v>10315205</x:v>
      </x:c>
      <x:c r="L318" s="11" t="n">
        <x:v>-1502383</x:v>
      </x:c>
      <x:c r="M318" s="12" t="n">
        <x:v>-0.1704769482465435</x:v>
      </x:c>
      <x:c r="N318" s="11" t="n">
        <x:v>4757426</x:v>
      </x:c>
      <x:c r="O318" s="11" t="n">
        <x:v>557805</x:v>
      </x:c>
      <x:c r="P318" s="11" t="n">
        <x:v>3337478</x:v>
      </x:c>
      <x:c r="Q318" s="11" t="n">
        <x:v>160113</x:v>
      </x:c>
      <x:c r="R318" s="11" t="n">
        <x:v>9059870</x:v>
      </x:c>
      <x:c r="S318" s="11" t="n">
        <x:v>1255335</x:v>
      </x:c>
      <x:c r="T318" s="11" t="n">
        <x:v>7803287</x:v>
      </x:c>
      <x:c r="U318" s="11" t="n">
        <x:v>2001508</x:v>
      </x:c>
      <x:c r="V318" s="11" t="n">
        <x:v>7217550</x:v>
      </x:c>
      <x:c r="W318" s="11" t="n">
        <x:v>4223452</x:v>
      </x:c>
      <x:c r="X318" s="11" t="n">
        <x:v>0</x:v>
      </x:c>
      <x:c r="Y318" s="11" t="n">
        <x:v>0</x:v>
      </x:c>
      <x:c r="Z318" s="11" t="n">
        <x:v>0</x:v>
      </x:c>
      <x:c r="AA318" s="11" t="n">
        <x:v>0</x:v>
      </x:c>
      <x:c r="AB318" s="11" t="n">
        <x:v>0</x:v>
      </x:c>
      <x:c r="AC318" s="11" t="n">
        <x:v>0</x:v>
      </x:c>
      <x:c r="AD318" s="11" t="n">
        <x:v>1626245</x:v>
      </x:c>
      <x:c r="AE318" s="11" t="n">
        <x:v>1626245</x:v>
      </x:c>
      <x:c r="AF318" s="11" t="n">
        <x:v>6504978</x:v>
      </x:c>
      <x:c r="AG318" s="11" t="n">
        <x:v>42206711</x:v>
      </x:c>
      <x:c r="AH318" s="11" t="n">
        <x:v>17002963</x:v>
      </x:c>
      <x:c r="AI318" s="11" t="n">
        <x:v>25203748</x:v>
      </x:c>
      <x:c r="AJ318" s="11" t="n">
        <x:v>3185555</x:v>
      </x:c>
      <x:c r="AK318" s="11" t="n">
        <x:v>2030452</x:v>
      </x:c>
      <x:c r="AL318" s="11" t="n">
        <x:v>0</x:v>
      </x:c>
      <x:c r="AM318" s="12" t="n">
        <x:v>1</x:v>
      </x:c>
      <x:c r="AN318" s="12" t="n">
        <x:v>1.5688895871461133</x:v>
      </x:c>
      <x:c r="AO318" s="11" t="n">
        <x:v>6556710</x:v>
      </x:c>
      <x:c r="AP318" s="11" t="n">
        <x:v>6491149</x:v>
      </x:c>
      <x:c r="AQ318" s="12" t="n">
        <x:v>0.9900009303446393</x:v>
      </x:c>
      <x:c r="AR318" s="11" t="n">
        <x:v>8228.591970121382</x:v>
      </x:c>
      <x:c r="AS318" s="11" t="n">
        <x:v>9631.377217553689</x:v>
      </x:c>
      <x:c r="AT318" s="11" t="n">
        <x:v>6739.075630252101</x:v>
      </x:c>
      <x:c r="AU318" s="11" t="n">
        <x:v>3943.465919701214</x:v>
      </x:c>
      <x:c r="AV318" s="11" t="n">
        <x:v>0</x:v>
      </x:c>
      <x:c r="AW318" s="11" t="n">
        <x:v>3.8987038772765334</x:v>
      </x:c>
      <x:c r="AX318" s="12" t="n">
        <x:v>1</x:v>
      </x:c>
      <x:c r="AY318" s="11"/>
      <x:c r="AZ318" s="11"/>
      <x:c r="BA318" s="11"/>
      <x:c r="BB318" s="11"/>
      <x:c r="BC318" s="11"/>
      <x:c r="BD318" s="11"/>
      <x:c r="BE318" s="11"/>
      <x:c r="BF318" s="11"/>
      <x:c r="BG318" s="11"/>
      <x:c r="BH318" s="11"/>
      <x:c r="BI318" s="11"/>
      <x:c r="BJ318" s="11"/>
      <x:c r="BK318" s="12"/>
      <x:c r="BL318" s="12"/>
      <x:c r="BM318" s="12"/>
      <x:c r="BN318" s="12"/>
      <x:c r="BO318" s="12"/>
      <x:c r="BP318" s="12"/>
      <x:c r="BQ318" s="12"/>
      <x:c r="BR318" s="12"/>
      <x:c r="BS318" s="12"/>
      <x:c r="BT318" s="12"/>
      <x:c r="BU318" s="11" t="n">
        <x:v>0</x:v>
      </x:c>
      <x:c r="BV318" s="11" t="n">
        <x:v>3230017</x:v>
      </x:c>
      <x:c r="BW318" s="11" t="n">
        <x:v>107461</x:v>
      </x:c>
      <x:c r="BX318" s="11" t="n">
        <x:v>93305</x:v>
      </x:c>
      <x:c r="BY318" s="11" t="n">
        <x:v>0</x:v>
      </x:c>
      <x:c r="BZ318" s="11" t="n">
        <x:v>0</x:v>
      </x:c>
      <x:c r="CA318" s="11" t="n">
        <x:v>2180</x:v>
      </x:c>
      <x:c r="CB318" s="11" t="n">
        <x:v>64628</x:v>
      </x:c>
      <x:c r="CC318" s="11" t="n">
        <x:v>1358241</x:v>
      </x:c>
      <x:c r="CD318" s="11" t="n">
        <x:v>343134</x:v>
      </x:c>
      <x:c r="CE318" s="11" t="n">
        <x:v>35134</x:v>
      </x:c>
      <x:c r="CF318" s="11" t="n">
        <x:v>38984</x:v>
      </x:c>
      <x:c r="CG318" s="11" t="n">
        <x:v>84348</x:v>
      </x:c>
      <x:c r="CH318" s="11" t="n">
        <x:v>1640360</x:v>
      </x:c>
      <x:c r="CI318" s="11" t="n">
        <x:v>857703</x:v>
      </x:c>
      <x:c r="CJ318" s="11" t="n">
        <x:v>1502502</x:v>
      </x:c>
      <x:c r="CK318" s="11" t="n">
        <x:v>96823</x:v>
      </x:c>
      <x:c r="CL318" s="11" t="n">
        <x:v>0</x:v>
      </x:c>
      <x:c r="CM318" s="11" t="n">
        <x:v>0</x:v>
      </x:c>
      <x:c r="CN318" s="11" t="n">
        <x:v>3102641</x:v>
      </x:c>
      <x:c r="CO318" s="11" t="n">
        <x:v>0</x:v>
      </x:c>
      <x:c r="CP318" s="8"/>
      <x:c r="CQ318" s="8"/>
    </x:row>
    <x:row r="319">
      <x:c r="A319" s="8" t="str">
        <x:v>Hudson's Hope|2024</x:v>
      </x:c>
      <x:c r="B319" s="8" t="str">
        <x:v>hudson-s-hope-d</x:v>
      </x:c>
      <x:c r="C319" s="8" t="str">
        <x:v>Hudson's Hope</x:v>
      </x:c>
      <x:c r="D319" s="8" t="str">
        <x:v>Hudson's Hope</x:v>
      </x:c>
      <x:c r="E319" s="8" t="str">
        <x:v>D</x:v>
      </x:c>
      <x:c r="F319" s="8" t="str">
        <x:v>PEA</x:v>
      </x:c>
      <x:c r="G319" s="9" t="n">
        <x:v>2024</x:v>
      </x:c>
      <x:c r="H319" s="10" t="n">
        <x:v>1071</x:v>
      </x:c>
      <x:c r="I319" s="8" t="str">
        <x:v>Under 5,000</x:v>
      </x:c>
      <x:c r="J319" s="11" t="n">
        <x:v>8715185</x:v>
      </x:c>
      <x:c r="K319" s="11" t="n">
        <x:v>7389859</x:v>
      </x:c>
      <x:c r="L319" s="11" t="n">
        <x:v>1325326</x:v>
      </x:c>
      <x:c r="M319" s="12" t="n">
        <x:v>0.1520708969459627</x:v>
      </x:c>
      <x:c r="N319" s="11" t="n">
        <x:v>6446218</x:v>
      </x:c>
      <x:c r="O319" s="11" t="n">
        <x:v>625257</x:v>
      </x:c>
      <x:c r="P319" s="11" t="n">
        <x:v>1486214</x:v>
      </x:c>
      <x:c r="Q319" s="11" t="n">
        <x:v>157496</x:v>
      </x:c>
      <x:c r="R319" s="11" t="n">
        <x:v>6031910</x:v>
      </x:c>
      <x:c r="S319" s="11" t="n">
        <x:v>1357949</x:v>
      </x:c>
      <x:c r="T319" s="11" t="n">
        <x:v>10678789</x:v>
      </x:c>
      <x:c r="U319" s="11" t="n">
        <x:v>2403308</x:v>
      </x:c>
      <x:c r="V319" s="11" t="n">
        <x:v>8619934</x:v>
      </x:c>
      <x:c r="W319" s="11" t="n">
        <x:v>4017900</x:v>
      </x:c>
      <x:c r="X319" s="11" t="n">
        <x:v>0</x:v>
      </x:c>
      <x:c r="Y319" s="11" t="n">
        <x:v>0</x:v>
      </x:c>
      <x:c r="Z319" s="11" t="n">
        <x:v>0</x:v>
      </x:c>
      <x:c r="AA319" s="11" t="n">
        <x:v>0</x:v>
      </x:c>
      <x:c r="AB319" s="11" t="n">
        <x:v>0</x:v>
      </x:c>
      <x:c r="AC319" s="11" t="n">
        <x:v>0</x:v>
      </x:c>
      <x:c r="AD319" s="11" t="n">
        <x:v>2058619</x:v>
      </x:c>
      <x:c r="AE319" s="11" t="n">
        <x:v>2058619</x:v>
      </x:c>
      <x:c r="AF319" s="11" t="n">
        <x:v>8234474</x:v>
      </x:c>
      <x:c r="AG319" s="11" t="n">
        <x:v>43322679</x:v>
      </x:c>
      <x:c r="AH319" s="11" t="n">
        <x:v>18109347</x:v>
      </x:c>
      <x:c r="AI319" s="11" t="n">
        <x:v>25213332</x:v>
      </x:c>
      <x:c r="AJ319" s="11" t="n">
        <x:v>1379886</x:v>
      </x:c>
      <x:c r="AK319" s="11" t="n">
        <x:v>89640600</x:v>
      </x:c>
      <x:c r="AL319" s="11" t="n">
        <x:v>3047268</x:v>
      </x:c>
      <x:c r="AM319" s="12" t="n">
        <x:v>0.9660057161598651</x:v>
      </x:c>
      <x:c r="AN319" s="12" t="n">
        <x:v>0.015393538195862142</x:v>
      </x:c>
      <x:c r="AO319" s="11" t="n">
        <x:v>8322514</x:v>
      </x:c>
      <x:c r="AP319" s="11" t="n">
        <x:v>8249274</x:v>
      </x:c>
      <x:c r="AQ319" s="12" t="n">
        <x:v>0.9911997744912174</x:v>
      </x:c>
      <x:c r="AR319" s="11" t="n">
        <x:v>8137.427637721756</x:v>
      </x:c>
      <x:c r="AS319" s="11" t="n">
        <x:v>6899.961718020541</x:v>
      </x:c>
      <x:c r="AT319" s="11" t="n">
        <x:v>8048.491129785248</x:v>
      </x:c>
      <x:c r="AU319" s="11" t="n">
        <x:v>3751.5406162464988</x:v>
      </x:c>
      <x:c r="AV319" s="11" t="n">
        <x:v>0</x:v>
      </x:c>
      <x:c r="AW319" s="11" t="n">
        <x:v>4.443370970345874</x:v>
      </x:c>
      <x:c r="AX319" s="12" t="n">
        <x:v>1</x:v>
      </x:c>
      <x:c r="AY319" s="11" t="n">
        <x:v>4486.511144130758</x:v>
      </x:c>
      <x:c r="AZ319" s="11" t="n">
        <x:v>3546.5079302077975</x:v>
      </x:c>
      <x:c r="BA319" s="11" t="n">
        <x:v>3557.844717668488</x:v>
      </x:c>
      <x:c r="BB319" s="11" t="n">
        <x:v>2783.665107049771</x:v>
      </x:c>
      <x:c r="BC319" s="11" t="n">
        <x:v>5496.677373974208</x:v>
      </x:c>
      <x:c r="BD319" s="11" t="n">
        <x:v>2437.8724475115623</x:v>
      </x:c>
      <x:c r="BE319" s="11" t="n">
        <x:v>3386.4506393861893</x:v>
      </x:c>
      <x:c r="BF319" s="11" t="n">
        <x:v>1604.3462673977224</x:v>
      </x:c>
      <x:c r="BG319" s="11" t="n">
        <x:v>624.7436119532265</x:v>
      </x:c>
      <x:c r="BH319" s="11" t="n">
        <x:v>518.5374381567245</x:v>
      </x:c>
      <x:c r="BI319" s="11" t="n">
        <x:v>3.324657351485151</x:v>
      </x:c>
      <x:c r="BJ319" s="11" t="n">
        <x:v>1.7099330852451193</x:v>
      </x:c>
      <x:c r="BK319" s="12" t="n">
        <x:v>0.02521828600111612</x:v>
      </x:c>
      <x:c r="BL319" s="12" t="n">
        <x:v>0.02529861000232605</x:v>
      </x:c>
      <x:c r="BM319" s="12" t="n">
        <x:v>0.9816336034641139</x:v>
      </x:c>
      <x:c r="BN319" s="12" t="n">
        <x:v>0.9815511712696461</x:v>
      </x:c>
      <x:c r="BO319" s="12" t="n">
        <x:v>0.8531878894527055</x:v>
      </x:c>
      <x:c r="BP319" s="12" t="n">
        <x:v>0.8619101997275483</x:v>
      </x:c>
      <x:c r="BQ319" s="12" t="n">
        <x:v>0.9614729661922712</x:v>
      </x:c>
      <x:c r="BR319" s="12" t="n">
        <x:v>0.9623635142836453</x:v>
      </x:c>
      <x:c r="BS319" s="12" t="n">
        <x:v>0.23352896680225554</x:v>
      </x:c>
      <x:c r="BT319" s="12" t="n">
        <x:v>0.19976549769108282</x:v>
      </x:c>
      <x:c r="BU319" s="11" t="n">
        <x:v>119098</x:v>
      </x:c>
      <x:c r="BV319" s="11" t="n">
        <x:v>1250227</x:v>
      </x:c>
      <x:c r="BW319" s="11" t="n">
        <x:v>116889</x:v>
      </x:c>
      <x:c r="BX319" s="11" t="n">
        <x:v>132541</x:v>
      </x:c>
      <x:c r="BY319" s="11" t="n">
        <x:v>0</x:v>
      </x:c>
      <x:c r="BZ319" s="11" t="n">
        <x:v>0</x:v>
      </x:c>
      <x:c r="CA319" s="11" t="n">
        <x:v>24955</x:v>
      </x:c>
      <x:c r="CB319" s="11" t="n">
        <x:v>0</x:v>
      </x:c>
      <x:c r="CC319" s="11" t="n">
        <x:v>1836320</x:v>
      </x:c>
      <x:c r="CD319" s="11" t="n">
        <x:v>470131</x:v>
      </x:c>
      <x:c r="CE319" s="11" t="n">
        <x:v>127421</x:v>
      </x:c>
      <x:c r="CF319" s="11" t="n">
        <x:v>0</x:v>
      </x:c>
      <x:c r="CG319" s="11" t="n">
        <x:v>271782</x:v>
      </x:c>
      <x:c r="CH319" s="11" t="n">
        <x:v>1526946</x:v>
      </x:c>
      <x:c r="CI319" s="11" t="n">
        <x:v>909100</x:v>
      </x:c>
      <x:c r="CJ319" s="11" t="n">
        <x:v>816579</x:v>
      </x:c>
      <x:c r="CK319" s="11" t="n">
        <x:v>72348</x:v>
      </x:c>
      <x:c r="CL319" s="11" t="n">
        <x:v>1283</x:v>
      </x:c>
      <x:c r="CM319" s="11" t="n">
        <x:v>0</x:v>
      </x:c>
      <x:c r="CN319" s="11" t="n">
        <x:v>0</x:v>
      </x:c>
      <x:c r="CO319" s="11" t="n">
        <x:v>0</x:v>
      </x:c>
      <x:c r="CP319" s="8"/>
      <x:c r="CQ319" s="8"/>
    </x:row>
    <x:row r="320">
      <x:c r="A320" s="8" t="str">
        <x:v>Invermere|2019</x:v>
      </x:c>
      <x:c r="B320" s="8" t="str">
        <x:v>invermere-d</x:v>
      </x:c>
      <x:c r="C320" s="8" t="str">
        <x:v>Invermere</x:v>
      </x:c>
      <x:c r="D320" s="8" t="str">
        <x:v>Invermere</x:v>
      </x:c>
      <x:c r="E320" s="8" t="str">
        <x:v>D</x:v>
      </x:c>
      <x:c r="F320" s="8" t="str">
        <x:v>EKO</x:v>
      </x:c>
      <x:c r="G320" s="9" t="n">
        <x:v>2019</x:v>
      </x:c>
      <x:c r="H320" s="10" t="n">
        <x:v>3713</x:v>
      </x:c>
      <x:c r="I320" s="8" t="str">
        <x:v>Under 5,000</x:v>
      </x:c>
      <x:c r="J320" s="11" t="n">
        <x:v>10584135</x:v>
      </x:c>
      <x:c r="K320" s="11" t="n">
        <x:v>9420434</x:v>
      </x:c>
      <x:c r="L320" s="11" t="n">
        <x:v>1163701</x:v>
      </x:c>
      <x:c r="M320" s="12" t="n">
        <x:v>0.10994767168030264</x:v>
      </x:c>
      <x:c r="N320" s="11" t="n">
        <x:v>4789698</x:v>
      </x:c>
      <x:c r="O320" s="11" t="n">
        <x:v>3715268</x:v>
      </x:c>
      <x:c r="P320" s="11" t="n">
        <x:v>1676409</x:v>
      </x:c>
      <x:c r="Q320" s="11" t="n">
        <x:v>402760</x:v>
      </x:c>
      <x:c r="R320" s="11" t="n">
        <x:v>6583431</x:v>
      </x:c>
      <x:c r="S320" s="11" t="n">
        <x:v>2542743</x:v>
      </x:c>
      <x:c r="T320" s="11" t="n">
        <x:v>14958301</x:v>
      </x:c>
      <x:c r="U320" s="11" t="n">
        <x:v>18377616</x:v>
      </x:c>
      <x:c r="V320" s="11" t="n">
        <x:v>-1567712</x:v>
      </x:c>
      <x:c r="W320" s="11" t="n">
        <x:v>5732630</x:v>
      </x:c>
      <x:c r="X320" s="11" t="n">
        <x:v>6432519</x:v>
      </x:c>
      <x:c r="Y320" s="11" t="n">
        <x:v>5000000</x:v>
      </x:c>
      <x:c r="Z320" s="11" t="n">
        <x:v>337268</x:v>
      </x:c>
      <x:c r="AA320" s="11" t="n">
        <x:v>11006000</x:v>
      </x:c>
      <x:c r="AB320" s="11" t="n">
        <x:v>294260</x:v>
      </x:c>
      <x:c r="AC320" s="11" t="n">
        <x:v>631528</x:v>
      </x:c>
      <x:c r="AD320" s="11" t="n">
        <x:v>2309533</x:v>
      </x:c>
      <x:c r="AE320" s="11" t="n">
        <x:v>1678005</x:v>
      </x:c>
      <x:c r="AF320" s="11" t="n">
        <x:v>9238130</x:v>
      </x:c>
      <x:c r="AG320" s="11" t="n">
        <x:v>129482978</x:v>
      </x:c>
      <x:c r="AH320" s="11" t="n">
        <x:v>41205918</x:v>
      </x:c>
      <x:c r="AI320" s="11" t="n">
        <x:v>88277060</x:v>
      </x:c>
      <x:c r="AJ320" s="11" t="n">
        <x:v>7614168</x:v>
      </x:c>
      <x:c r="AK320" s="11" t="n">
        <x:v>20369681</x:v>
      </x:c>
      <x:c r="AL320" s="11" t="n">
        <x:v>0</x:v>
      </x:c>
      <x:c r="AM320" s="12" t="n">
        <x:v>1</x:v>
      </x:c>
      <x:c r="AN320" s="12" t="n">
        <x:v>0.3737990791313816</x:v>
      </x:c>
      <x:c r="AO320" s="11" t="n">
        <x:v>8548160</x:v>
      </x:c>
      <x:c r="AP320" s="11" t="n">
        <x:v>8371044</x:v>
      </x:c>
      <x:c r="AQ320" s="12" t="n">
        <x:v>0.9792802193688467</x:v>
      </x:c>
      <x:c r="AR320" s="11" t="n">
        <x:v>2850.5615405332615</x:v>
      </x:c>
      <x:c r="AS320" s="11" t="n">
        <x:v>2537.148936170213</x:v>
      </x:c>
      <x:c r="AT320" s="11" t="n">
        <x:v>-422.22246162133047</x:v>
      </x:c>
      <x:c r="AU320" s="11" t="n">
        <x:v>1543.934823592782</x:v>
      </x:c>
      <x:c r="AV320" s="11" t="n">
        <x:v>2964.179908429841</x:v>
      </x:c>
      <x:c r="AW320" s="11" t="n">
        <x:v>0.8139413186128168</x:v>
      </x:c>
      <x:c r="AX320" s="12" t="n">
        <x:v>0.7265559747360181</x:v>
      </x:c>
      <x:c r="AY320" s="11"/>
      <x:c r="AZ320" s="11"/>
      <x:c r="BA320" s="11"/>
      <x:c r="BB320" s="11"/>
      <x:c r="BC320" s="11"/>
      <x:c r="BD320" s="11"/>
      <x:c r="BE320" s="11"/>
      <x:c r="BF320" s="11"/>
      <x:c r="BG320" s="11"/>
      <x:c r="BH320" s="11"/>
      <x:c r="BI320" s="11"/>
      <x:c r="BJ320" s="11"/>
      <x:c r="BK320" s="12"/>
      <x:c r="BL320" s="12"/>
      <x:c r="BM320" s="12"/>
      <x:c r="BN320" s="12"/>
      <x:c r="BO320" s="12"/>
      <x:c r="BP320" s="12"/>
      <x:c r="BQ320" s="12"/>
      <x:c r="BR320" s="12"/>
      <x:c r="BS320" s="12"/>
      <x:c r="BT320" s="12"/>
      <x:c r="BU320" s="11" t="n">
        <x:v>40000</x:v>
      </x:c>
      <x:c r="BV320" s="11" t="n">
        <x:v>1494081</x:v>
      </x:c>
      <x:c r="BW320" s="11" t="n">
        <x:v>142328</x:v>
      </x:c>
      <x:c r="BX320" s="11" t="n">
        <x:v>400377</x:v>
      </x:c>
      <x:c r="BY320" s="11" t="n">
        <x:v>0</x:v>
      </x:c>
      <x:c r="BZ320" s="11" t="n">
        <x:v>0</x:v>
      </x:c>
      <x:c r="CA320" s="11" t="n">
        <x:v>2383</x:v>
      </x:c>
      <x:c r="CB320" s="11" t="n">
        <x:v>0</x:v>
      </x:c>
      <x:c r="CC320" s="11" t="n">
        <x:v>1856820</x:v>
      </x:c>
      <x:c r="CD320" s="11" t="n">
        <x:v>619193</x:v>
      </x:c>
      <x:c r="CE320" s="11" t="n">
        <x:v>378027</x:v>
      </x:c>
      <x:c r="CF320" s="11" t="n">
        <x:v>40656</x:v>
      </x:c>
      <x:c r="CG320" s="11" t="n">
        <x:v>428909</x:v>
      </x:c>
      <x:c r="CH320" s="11" t="n">
        <x:v>813938</x:v>
      </x:c>
      <x:c r="CI320" s="11" t="n">
        <x:v>1426858</x:v>
      </x:c>
      <x:c r="CJ320" s="11" t="n">
        <x:v>793048</x:v>
      </x:c>
      <x:c r="CK320" s="11" t="n">
        <x:v>520242</x:v>
      </x:c>
      <x:c r="CL320" s="11" t="n">
        <x:v>0</x:v>
      </x:c>
      <x:c r="CM320" s="11"/>
      <x:c r="CN320" s="11" t="n">
        <x:v>0</x:v>
      </x:c>
      <x:c r="CO320" s="11" t="n">
        <x:v>0</x:v>
      </x:c>
      <x:c r="CP320" s="8"/>
      <x:c r="CQ320" s="8"/>
    </x:row>
    <x:row r="321">
      <x:c r="A321" s="8" t="str">
        <x:v>Invermere|2020</x:v>
      </x:c>
      <x:c r="B321" s="8" t="str">
        <x:v>invermere-d</x:v>
      </x:c>
      <x:c r="C321" s="8" t="str">
        <x:v>Invermere</x:v>
      </x:c>
      <x:c r="D321" s="8" t="str">
        <x:v>Invermere</x:v>
      </x:c>
      <x:c r="E321" s="8" t="str">
        <x:v>D</x:v>
      </x:c>
      <x:c r="F321" s="8" t="str">
        <x:v>EKO</x:v>
      </x:c>
      <x:c r="G321" s="9" t="n">
        <x:v>2020</x:v>
      </x:c>
      <x:c r="H321" s="10" t="n">
        <x:v>3758</x:v>
      </x:c>
      <x:c r="I321" s="8" t="str">
        <x:v>Under 5,000</x:v>
      </x:c>
      <x:c r="J321" s="11" t="n">
        <x:v>11487806</x:v>
      </x:c>
      <x:c r="K321" s="11" t="n">
        <x:v>9668118</x:v>
      </x:c>
      <x:c r="L321" s="11" t="n">
        <x:v>1819688</x:v>
      </x:c>
      <x:c r="M321" s="12" t="n">
        <x:v>0.1584017000287087</x:v>
      </x:c>
      <x:c r="N321" s="11" t="n">
        <x:v>5171046</x:v>
      </x:c>
      <x:c r="O321" s="11" t="n">
        <x:v>2790242</x:v>
      </x:c>
      <x:c r="P321" s="11" t="n">
        <x:v>3203581</x:v>
      </x:c>
      <x:c r="Q321" s="11" t="n">
        <x:v>322937</x:v>
      </x:c>
      <x:c r="R321" s="11" t="n">
        <x:v>6782006</x:v>
      </x:c>
      <x:c r="S321" s="11" t="n">
        <x:v>2568069</x:v>
      </x:c>
      <x:c r="T321" s="11" t="n">
        <x:v>18448735</x:v>
      </x:c>
      <x:c r="U321" s="11" t="n">
        <x:v>20174457</x:v>
      </x:c>
      <x:c r="V321" s="11" t="n">
        <x:v>-343227</x:v>
      </x:c>
      <x:c r="W321" s="11" t="n">
        <x:v>7273948</x:v>
      </x:c>
      <x:c r="X321" s="11" t="n">
        <x:v>11006000</x:v>
      </x:c>
      <x:c r="Y321" s="11" t="n">
        <x:v>686149</x:v>
      </x:c>
      <x:c r="Z321" s="11" t="n">
        <x:v>613436</x:v>
      </x:c>
      <x:c r="AA321" s="11" t="n">
        <x:v>10976405</x:v>
      </x:c>
      <x:c r="AB321" s="11" t="n">
        <x:v>318043</x:v>
      </x:c>
      <x:c r="AC321" s="11" t="n">
        <x:v>931479</x:v>
      </x:c>
      <x:c r="AD321" s="11" t="n">
        <x:v>2154353</x:v>
      </x:c>
      <x:c r="AE321" s="11" t="n">
        <x:v>827374</x:v>
      </x:c>
      <x:c r="AF321" s="11" t="n">
        <x:v>8617410</x:v>
      </x:c>
      <x:c r="AG321" s="11" t="n">
        <x:v>132365590</x:v>
      </x:c>
      <x:c r="AH321" s="11" t="n">
        <x:v>43472581</x:v>
      </x:c>
      <x:c r="AI321" s="11" t="n">
        <x:v>88893009</x:v>
      </x:c>
      <x:c r="AJ321" s="11" t="n">
        <x:v>3229936</x:v>
      </x:c>
      <x:c r="AK321" s="11" t="n">
        <x:v>19089220</x:v>
      </x:c>
      <x:c r="AL321" s="11" t="n">
        <x:v>0</x:v>
      </x:c>
      <x:c r="AM321" s="12" t="n">
        <x:v>1</x:v>
      </x:c>
      <x:c r="AN321" s="12" t="n">
        <x:v>0.16920209416623624</x:v>
      </x:c>
      <x:c r="AO321" s="11" t="n">
        <x:v>8991014</x:v>
      </x:c>
      <x:c r="AP321" s="11" t="n">
        <x:v>8822475</x:v>
      </x:c>
      <x:c r="AQ321" s="12" t="n">
        <x:v>0.981254728332088</x:v>
      </x:c>
      <x:c r="AR321" s="11" t="n">
        <x:v>3056.8935604044705</x:v>
      </x:c>
      <x:c r="AS321" s="11" t="n">
        <x:v>2572.6764236295903</x:v>
      </x:c>
      <x:c r="AT321" s="11" t="n">
        <x:v>-91.33235763704099</x:v>
      </x:c>
      <x:c r="AU321" s="11" t="n">
        <x:v>1935.5902075572112</x:v>
      </x:c>
      <x:c r="AV321" s="11" t="n">
        <x:v>2920.8102714209685</x:v>
      </x:c>
      <x:c r="AW321" s="11" t="n">
        <x:v>0.9144600521342409</x:v>
      </x:c>
      <x:c r="AX321" s="12" t="n">
        <x:v>0.38404755395239315</x:v>
      </x:c>
      <x:c r="AY321" s="11"/>
      <x:c r="AZ321" s="11"/>
      <x:c r="BA321" s="11"/>
      <x:c r="BB321" s="11"/>
      <x:c r="BC321" s="11"/>
      <x:c r="BD321" s="11"/>
      <x:c r="BE321" s="11"/>
      <x:c r="BF321" s="11"/>
      <x:c r="BG321" s="11"/>
      <x:c r="BH321" s="11"/>
      <x:c r="BI321" s="11"/>
      <x:c r="BJ321" s="11"/>
      <x:c r="BK321" s="12"/>
      <x:c r="BL321" s="12"/>
      <x:c r="BM321" s="12"/>
      <x:c r="BN321" s="12"/>
      <x:c r="BO321" s="12"/>
      <x:c r="BP321" s="12"/>
      <x:c r="BQ321" s="12"/>
      <x:c r="BR321" s="12"/>
      <x:c r="BS321" s="12"/>
      <x:c r="BT321" s="12"/>
      <x:c r="BU321" s="11" t="n">
        <x:v>32000</x:v>
      </x:c>
      <x:c r="BV321" s="11" t="n">
        <x:v>2996157</x:v>
      </x:c>
      <x:c r="BW321" s="11" t="n">
        <x:v>175424</x:v>
      </x:c>
      <x:c r="BX321" s="11" t="n">
        <x:v>322937</x:v>
      </x:c>
      <x:c r="BY321" s="11" t="n">
        <x:v>0</x:v>
      </x:c>
      <x:c r="BZ321" s="11" t="n">
        <x:v>0</x:v>
      </x:c>
      <x:c r="CA321" s="11" t="n">
        <x:v>0</x:v>
      </x:c>
      <x:c r="CB321" s="11" t="n">
        <x:v>0</x:v>
      </x:c>
      <x:c r="CC321" s="11" t="n">
        <x:v>1231090</x:v>
      </x:c>
      <x:c r="CD321" s="11" t="n">
        <x:v>614984</x:v>
      </x:c>
      <x:c r="CE321" s="11" t="n">
        <x:v>475408</x:v>
      </x:c>
      <x:c r="CF321" s="11" t="n">
        <x:v>41578</x:v>
      </x:c>
      <x:c r="CG321" s="11" t="n">
        <x:v>677006</x:v>
      </x:c>
      <x:c r="CH321" s="11" t="n">
        <x:v>1123520</x:v>
      </x:c>
      <x:c r="CI321" s="11" t="n">
        <x:v>1462610</x:v>
      </x:c>
      <x:c r="CJ321" s="11" t="n">
        <x:v>663599</x:v>
      </x:c>
      <x:c r="CK321" s="11" t="n">
        <x:v>759676</x:v>
      </x:c>
      <x:c r="CL321" s="11" t="n">
        <x:v>0</x:v>
      </x:c>
      <x:c r="CM321" s="11"/>
      <x:c r="CN321" s="11" t="n">
        <x:v>50578</x:v>
      </x:c>
      <x:c r="CO321" s="11" t="n">
        <x:v>0</x:v>
      </x:c>
      <x:c r="CP321" s="8"/>
      <x:c r="CQ321" s="8"/>
    </x:row>
    <x:row r="322">
      <x:c r="A322" s="8" t="str">
        <x:v>Invermere|2021</x:v>
      </x:c>
      <x:c r="B322" s="8" t="str">
        <x:v>invermere-d</x:v>
      </x:c>
      <x:c r="C322" s="8" t="str">
        <x:v>Invermere</x:v>
      </x:c>
      <x:c r="D322" s="8" t="str">
        <x:v>Invermere</x:v>
      </x:c>
      <x:c r="E322" s="8" t="str">
        <x:v>D</x:v>
      </x:c>
      <x:c r="F322" s="8" t="str">
        <x:v>EKO</x:v>
      </x:c>
      <x:c r="G322" s="9" t="n">
        <x:v>2021</x:v>
      </x:c>
      <x:c r="H322" s="10" t="n">
        <x:v>3809</x:v>
      </x:c>
      <x:c r="I322" s="8" t="str">
        <x:v>Under 5,000</x:v>
      </x:c>
      <x:c r="J322" s="11" t="n">
        <x:v>13987116</x:v>
      </x:c>
      <x:c r="K322" s="11" t="n">
        <x:v>9670449</x:v>
      </x:c>
      <x:c r="L322" s="11" t="n">
        <x:v>4316667</x:v>
      </x:c>
      <x:c r="M322" s="12" t="n">
        <x:v>0.308617373302688</x:v>
      </x:c>
      <x:c r="N322" s="11" t="n">
        <x:v>5216322</x:v>
      </x:c>
      <x:c r="O322" s="11" t="n">
        <x:v>3964119</x:v>
      </x:c>
      <x:c r="P322" s="11" t="n">
        <x:v>3283965</x:v>
      </x:c>
      <x:c r="Q322" s="11" t="n">
        <x:v>1522710</x:v>
      </x:c>
      <x:c r="R322" s="11" t="n">
        <x:v>6764698</x:v>
      </x:c>
      <x:c r="S322" s="11" t="n">
        <x:v>2651526</x:v>
      </x:c>
      <x:c r="T322" s="11" t="n">
        <x:v>19901777</x:v>
      </x:c>
      <x:c r="U322" s="11" t="n">
        <x:v>19991435</x:v>
      </x:c>
      <x:c r="V322" s="11" t="n">
        <x:v>1767171</x:v>
      </x:c>
      <x:c r="W322" s="11" t="n">
        <x:v>8292069</x:v>
      </x:c>
      <x:c r="X322" s="11" t="n">
        <x:v>10976405</x:v>
      </x:c>
      <x:c r="Y322" s="11" t="n">
        <x:v>0</x:v>
      </x:c>
      <x:c r="Z322" s="11" t="n">
        <x:v>644442</x:v>
      </x:c>
      <x:c r="AA322" s="11" t="n">
        <x:v>10251570</x:v>
      </x:c>
      <x:c r="AB322" s="11" t="n">
        <x:v>254225</x:v>
      </x:c>
      <x:c r="AC322" s="11" t="n">
        <x:v>898667</x:v>
      </x:c>
      <x:c r="AD322" s="11" t="n">
        <x:v>2467944</x:v>
      </x:c>
      <x:c r="AE322" s="11" t="n">
        <x:v>1138277</x:v>
      </x:c>
      <x:c r="AF322" s="11" t="n">
        <x:v>9871774</x:v>
      </x:c>
      <x:c r="AG322" s="11" t="n">
        <x:v>136964476</x:v>
      </x:c>
      <x:c r="AH322" s="11" t="n">
        <x:v>45892710</x:v>
      </x:c>
      <x:c r="AI322" s="11" t="n">
        <x:v>91071766</x:v>
      </x:c>
      <x:c r="AJ322" s="11" t="n">
        <x:v>4897719</x:v>
      </x:c>
      <x:c r="AK322" s="11" t="n">
        <x:v>20907081</x:v>
      </x:c>
      <x:c r="AL322" s="11" t="n">
        <x:v>0</x:v>
      </x:c>
      <x:c r="AM322" s="12" t="n">
        <x:v>1</x:v>
      </x:c>
      <x:c r="AN322" s="12" t="n">
        <x:v>0.23426125340022358</x:v>
      </x:c>
      <x:c r="AO322" s="11" t="n">
        <x:v>9354472</x:v>
      </x:c>
      <x:c r="AP322" s="11" t="n">
        <x:v>9243213</x:v>
      </x:c>
      <x:c r="AQ322" s="12" t="n">
        <x:v>0.9881063303198727</x:v>
      </x:c>
      <x:c r="AR322" s="11" t="n">
        <x:v>3672.122866894198</x:v>
      </x:c>
      <x:c r="AS322" s="11" t="n">
        <x:v>2538.8419532685743</x:v>
      </x:c>
      <x:c r="AT322" s="11" t="n">
        <x:v>463.9461800997637</x:v>
      </x:c>
      <x:c r="AU322" s="11" t="n">
        <x:v>2176.9674455237596</x:v>
      </x:c>
      <x:c r="AV322" s="11" t="n">
        <x:v>2691.407193489105</x:v>
      </x:c>
      <x:c r="AW322" s="11" t="n">
        <x:v>0.9955151793755675</x:v>
      </x:c>
      <x:c r="AX322" s="12" t="n">
        <x:v>0.4612248089908037</x:v>
      </x:c>
      <x:c r="AY322" s="11"/>
      <x:c r="AZ322" s="11"/>
      <x:c r="BA322" s="11"/>
      <x:c r="BB322" s="11"/>
      <x:c r="BC322" s="11"/>
      <x:c r="BD322" s="11"/>
      <x:c r="BE322" s="11"/>
      <x:c r="BF322" s="11"/>
      <x:c r="BG322" s="11"/>
      <x:c r="BH322" s="11"/>
      <x:c r="BI322" s="11"/>
      <x:c r="BJ322" s="11"/>
      <x:c r="BK322" s="12"/>
      <x:c r="BL322" s="12"/>
      <x:c r="BM322" s="12"/>
      <x:c r="BN322" s="12"/>
      <x:c r="BO322" s="12"/>
      <x:c r="BP322" s="12"/>
      <x:c r="BQ322" s="12"/>
      <x:c r="BR322" s="12"/>
      <x:c r="BS322" s="12"/>
      <x:c r="BT322" s="12"/>
      <x:c r="BU322" s="11" t="n">
        <x:v>40331</x:v>
      </x:c>
      <x:c r="BV322" s="11" t="n">
        <x:v>3097078</x:v>
      </x:c>
      <x:c r="BW322" s="11" t="n">
        <x:v>146556</x:v>
      </x:c>
      <x:c r="BX322" s="11" t="n">
        <x:v>306773</x:v>
      </x:c>
      <x:c r="BY322" s="11" t="n">
        <x:v>0</x:v>
      </x:c>
      <x:c r="BZ322" s="11" t="n">
        <x:v>1215937</x:v>
      </x:c>
      <x:c r="CA322" s="11" t="n">
        <x:v>0</x:v>
      </x:c>
      <x:c r="CB322" s="11" t="n">
        <x:v>0</x:v>
      </x:c>
      <x:c r="CC322" s="11" t="n">
        <x:v>1373775</x:v>
      </x:c>
      <x:c r="CD322" s="11" t="n">
        <x:v>768705</x:v>
      </x:c>
      <x:c r="CE322" s="11" t="n">
        <x:v>408191</x:v>
      </x:c>
      <x:c r="CF322" s="11" t="n">
        <x:v>27444</x:v>
      </x:c>
      <x:c r="CG322" s="11" t="n">
        <x:v>681733</x:v>
      </x:c>
      <x:c r="CH322" s="11" t="n">
        <x:v>658731</x:v>
      </x:c>
      <x:c r="CI322" s="11" t="n">
        <x:v>1430042</x:v>
      </x:c>
      <x:c r="CJ322" s="11" t="n">
        <x:v>686585</x:v>
      </x:c>
      <x:c r="CK322" s="11" t="n">
        <x:v>916281</x:v>
      </x:c>
      <x:c r="CL322" s="11" t="n">
        <x:v>0</x:v>
      </x:c>
      <x:c r="CM322" s="11"/>
      <x:c r="CN322" s="11" t="n">
        <x:v>67436</x:v>
      </x:c>
      <x:c r="CO322" s="11" t="n">
        <x:v>0</x:v>
      </x:c>
      <x:c r="CP322" s="8"/>
      <x:c r="CQ322" s="8"/>
    </x:row>
    <x:row r="323">
      <x:c r="A323" s="8" t="str">
        <x:v>Invermere|2022</x:v>
      </x:c>
      <x:c r="B323" s="8" t="str">
        <x:v>invermere-d</x:v>
      </x:c>
      <x:c r="C323" s="8" t="str">
        <x:v>Invermere</x:v>
      </x:c>
      <x:c r="D323" s="8" t="str">
        <x:v>Invermere</x:v>
      </x:c>
      <x:c r="E323" s="8" t="str">
        <x:v>D</x:v>
      </x:c>
      <x:c r="F323" s="8" t="str">
        <x:v>EKO</x:v>
      </x:c>
      <x:c r="G323" s="9" t="n">
        <x:v>2022</x:v>
      </x:c>
      <x:c r="H323" s="10" t="n">
        <x:v>103159</x:v>
      </x:c>
      <x:c r="I323" s="8" t="str">
        <x:v>100,000 and over</x:v>
      </x:c>
      <x:c r="J323" s="11" t="n">
        <x:v>12973938</x:v>
      </x:c>
      <x:c r="K323" s="11" t="n">
        <x:v>10817858</x:v>
      </x:c>
      <x:c r="L323" s="11" t="n">
        <x:v>2156080</x:v>
      </x:c>
      <x:c r="M323" s="12" t="n">
        <x:v>0.16618547121159358</x:v>
      </x:c>
      <x:c r="N323" s="11" t="n">
        <x:v>5430559</x:v>
      </x:c>
      <x:c r="O323" s="11" t="n">
        <x:v>3816522</x:v>
      </x:c>
      <x:c r="P323" s="11" t="n">
        <x:v>2528999</x:v>
      </x:c>
      <x:c r="Q323" s="11" t="n">
        <x:v>1197858</x:v>
      </x:c>
      <x:c r="R323" s="11" t="n">
        <x:v>7558710</x:v>
      </x:c>
      <x:c r="S323" s="11" t="n">
        <x:v>2844862</x:v>
      </x:c>
      <x:c r="T323" s="11" t="n">
        <x:v>21405762</x:v>
      </x:c>
      <x:c r="U323" s="11" t="n">
        <x:v>21107143</x:v>
      </x:c>
      <x:c r="V323" s="11" t="n">
        <x:v>2617738</x:v>
      </x:c>
      <x:c r="W323" s="11" t="n">
        <x:v>10571733</x:v>
      </x:c>
      <x:c r="X323" s="11" t="n">
        <x:v>10251570</x:v>
      </x:c>
      <x:c r="Y323" s="11" t="n">
        <x:v>1499245</x:v>
      </x:c>
      <x:c r="Z323" s="11" t="n">
        <x:v>373459</x:v>
      </x:c>
      <x:c r="AA323" s="11" t="n">
        <x:v>11286057</x:v>
      </x:c>
      <x:c r="AB323" s="11" t="n">
        <x:v>414286</x:v>
      </x:c>
      <x:c r="AC323" s="11" t="n">
        <x:v>787745</x:v>
      </x:c>
      <x:c r="AD323" s="11" t="n">
        <x:v>2587755</x:v>
      </x:c>
      <x:c r="AE323" s="11" t="n">
        <x:v>1756390</x:v>
      </x:c>
      <x:c r="AF323" s="11" t="n">
        <x:v>10351019</x:v>
      </x:c>
      <x:c r="AG323" s="11" t="n">
        <x:v>141072291</x:v>
      </x:c>
      <x:c r="AH323" s="11" t="n">
        <x:v>48712453</x:v>
      </x:c>
      <x:c r="AI323" s="11" t="n">
        <x:v>92359838</x:v>
      </x:c>
      <x:c r="AJ323" s="11" t="n">
        <x:v>4182285</x:v>
      </x:c>
      <x:c r="AK323" s="11" t="n">
        <x:v>19628479</x:v>
      </x:c>
      <x:c r="AL323" s="11" t="n">
        <x:v>0</x:v>
      </x:c>
      <x:c r="AM323" s="12" t="n">
        <x:v>1</x:v>
      </x:c>
      <x:c r="AN323" s="12" t="n">
        <x:v>0.21307229154128549</x:v>
      </x:c>
      <x:c r="AO323" s="11" t="n">
        <x:v>9933994</x:v>
      </x:c>
      <x:c r="AP323" s="11" t="n">
        <x:v>9788680</x:v>
      </x:c>
      <x:c r="AQ323" s="12" t="n">
        <x:v>0.985372046731657</x:v>
      </x:c>
      <x:c r="AR323" s="11" t="n">
        <x:v>125.76641882918601</x:v>
      </x:c>
      <x:c r="AS323" s="11" t="n">
        <x:v>104.8658672534631</x:v>
      </x:c>
      <x:c r="AT323" s="11" t="n">
        <x:v>25.375759749512888</x:v>
      </x:c>
      <x:c r="AU323" s="11" t="n">
        <x:v>102.47998720421873</x:v>
      </x:c>
      <x:c r="AV323" s="11" t="n">
        <x:v>109.40448240095387</x:v>
      </x:c>
      <x:c r="AW323" s="11" t="n">
        <x:v>1.014147769785802</x:v>
      </x:c>
      <x:c r="AX323" s="12" t="n">
        <x:v>0.6787311781834061</x:v>
      </x:c>
      <x:c r="AY323" s="11"/>
      <x:c r="AZ323" s="11"/>
      <x:c r="BA323" s="11"/>
      <x:c r="BB323" s="11"/>
      <x:c r="BC323" s="11"/>
      <x:c r="BD323" s="11"/>
      <x:c r="BE323" s="11"/>
      <x:c r="BF323" s="11"/>
      <x:c r="BG323" s="11"/>
      <x:c r="BH323" s="11"/>
      <x:c r="BI323" s="11"/>
      <x:c r="BJ323" s="11"/>
      <x:c r="BK323" s="12"/>
      <x:c r="BL323" s="12"/>
      <x:c r="BM323" s="12"/>
      <x:c r="BN323" s="12"/>
      <x:c r="BO323" s="12"/>
      <x:c r="BP323" s="12"/>
      <x:c r="BQ323" s="12"/>
      <x:c r="BR323" s="12"/>
      <x:c r="BS323" s="12"/>
      <x:c r="BT323" s="12"/>
      <x:c r="BU323" s="11" t="n">
        <x:v>500</x:v>
      </x:c>
      <x:c r="BV323" s="11" t="n">
        <x:v>2376130</x:v>
      </x:c>
      <x:c r="BW323" s="11" t="n">
        <x:v>152369</x:v>
      </x:c>
      <x:c r="BX323" s="11" t="n">
        <x:v>452838</x:v>
      </x:c>
      <x:c r="BY323" s="11" t="n">
        <x:v>0</x:v>
      </x:c>
      <x:c r="BZ323" s="11" t="n">
        <x:v>586621</x:v>
      </x:c>
      <x:c r="CA323" s="11" t="n">
        <x:v>0</x:v>
      </x:c>
      <x:c r="CB323" s="11" t="n">
        <x:v>158399</x:v>
      </x:c>
      <x:c r="CC323" s="11" t="n">
        <x:v>1500128</x:v>
      </x:c>
      <x:c r="CD323" s="11" t="n">
        <x:v>931823</x:v>
      </x:c>
      <x:c r="CE323" s="11" t="n">
        <x:v>350929</x:v>
      </x:c>
      <x:c r="CF323" s="11" t="n">
        <x:v>24466</x:v>
      </x:c>
      <x:c r="CG323" s="11" t="n">
        <x:v>863009</x:v>
      </x:c>
      <x:c r="CH323" s="11" t="n">
        <x:v>1052504</x:v>
      </x:c>
      <x:c r="CI323" s="11" t="n">
        <x:v>1470891</x:v>
      </x:c>
      <x:c r="CJ323" s="11" t="n">
        <x:v>947061</x:v>
      </x:c>
      <x:c r="CK323" s="11" t="n">
        <x:v>782834</x:v>
      </x:c>
      <x:c r="CL323" s="11" t="n">
        <x:v>0</x:v>
      </x:c>
      <x:c r="CM323" s="11"/>
      <x:c r="CN323" s="11" t="n">
        <x:v>49351</x:v>
      </x:c>
      <x:c r="CO323" s="11" t="n">
        <x:v>0</x:v>
      </x:c>
      <x:c r="CP323" s="8"/>
      <x:c r="CQ323" s="8"/>
    </x:row>
    <x:row r="324">
      <x:c r="A324" s="8" t="str">
        <x:v>Invermere|2023</x:v>
      </x:c>
      <x:c r="B324" s="8" t="str">
        <x:v>invermere-d</x:v>
      </x:c>
      <x:c r="C324" s="8" t="str">
        <x:v>Invermere</x:v>
      </x:c>
      <x:c r="D324" s="8" t="str">
        <x:v>Invermere</x:v>
      </x:c>
      <x:c r="E324" s="8" t="str">
        <x:v>D</x:v>
      </x:c>
      <x:c r="F324" s="8" t="str">
        <x:v>EKO</x:v>
      </x:c>
      <x:c r="G324" s="9" t="n">
        <x:v>2023</x:v>
      </x:c>
      <x:c r="H324" s="10" t="n">
        <x:v>3910</x:v>
      </x:c>
      <x:c r="I324" s="8" t="str">
        <x:v>Under 5,000</x:v>
      </x:c>
      <x:c r="J324" s="11" t="n">
        <x:v>17180549</x:v>
      </x:c>
      <x:c r="K324" s="11" t="n">
        <x:v>11583312</x:v>
      </x:c>
      <x:c r="L324" s="11" t="n">
        <x:v>5597237</x:v>
      </x:c>
      <x:c r="M324" s="12" t="n">
        <x:v>0.32578918170775567</x:v>
      </x:c>
      <x:c r="N324" s="11" t="n">
        <x:v>5902797</x:v>
      </x:c>
      <x:c r="O324" s="11" t="n">
        <x:v>4233211</x:v>
      </x:c>
      <x:c r="P324" s="11" t="n">
        <x:v>5755266</x:v>
      </x:c>
      <x:c r="Q324" s="11" t="n">
        <x:v>1289275</x:v>
      </x:c>
      <x:c r="R324" s="11" t="n">
        <x:v>8336441</x:v>
      </x:c>
      <x:c r="S324" s="11" t="n">
        <x:v>2851267</x:v>
      </x:c>
      <x:c r="T324" s="11" t="n">
        <x:v>24050968</x:v>
      </x:c>
      <x:c r="U324" s="11" t="n">
        <x:v>21220050</x:v>
      </x:c>
      <x:c r="V324" s="11" t="n">
        <x:v>4791587</x:v>
      </x:c>
      <x:c r="W324" s="11" t="n">
        <x:v>12540617</x:v>
      </x:c>
      <x:c r="X324" s="11" t="n">
        <x:v>11286057</x:v>
      </x:c>
      <x:c r="Y324" s="11" t="n">
        <x:v>-5551</x:v>
      </x:c>
      <x:c r="Z324" s="11" t="n">
        <x:v>602465</x:v>
      </x:c>
      <x:c r="AA324" s="11" t="n">
        <x:v>10575423</x:v>
      </x:c>
      <x:c r="AB324" s="11" t="n">
        <x:v>395604</x:v>
      </x:c>
      <x:c r="AC324" s="11" t="n">
        <x:v>998069</x:v>
      </x:c>
      <x:c r="AD324" s="11" t="n">
        <x:v>2945666</x:v>
      </x:c>
      <x:c r="AE324" s="11" t="n">
        <x:v>1902808</x:v>
      </x:c>
      <x:c r="AF324" s="11" t="n">
        <x:v>11782665</x:v>
      </x:c>
      <x:c r="AG324" s="11" t="n">
        <x:v>146917820</x:v>
      </x:c>
      <x:c r="AH324" s="11" t="n">
        <x:v>51280267</x:v>
      </x:c>
      <x:c r="AI324" s="11" t="n">
        <x:v>95637553</x:v>
      </x:c>
      <x:c r="AJ324" s="11" t="n">
        <x:v>6072449</x:v>
      </x:c>
      <x:c r="AK324" s="11" t="n">
        <x:v>20470228</x:v>
      </x:c>
      <x:c r="AL324" s="11" t="n">
        <x:v>0</x:v>
      </x:c>
      <x:c r="AM324" s="12" t="n">
        <x:v>1</x:v>
      </x:c>
      <x:c r="AN324" s="12" t="n">
        <x:v>0.29664784388332166</x:v>
      </x:c>
      <x:c r="AO324" s="11" t="n">
        <x:v>10847220</x:v>
      </x:c>
      <x:c r="AP324" s="11" t="n">
        <x:v>10669317</x:v>
      </x:c>
      <x:c r="AQ324" s="12" t="n">
        <x:v>0.9835992079076482</x:v>
      </x:c>
      <x:c r="AR324" s="11" t="n">
        <x:v>4394.002301790281</x:v>
      </x:c>
      <x:c r="AS324" s="11" t="n">
        <x:v>2962.483887468031</x:v>
      </x:c>
      <x:c r="AT324" s="11" t="n">
        <x:v>1225.469820971867</x:v>
      </x:c>
      <x:c r="AU324" s="11" t="n">
        <x:v>3207.3189258312023</x:v>
      </x:c>
      <x:c r="AV324" s="11" t="n">
        <x:v>2704.711764705882</x:v>
      </x:c>
      <x:c r="AW324" s="11" t="n">
        <x:v>1.1334076969658413</x:v>
      </x:c>
      <x:c r="AX324" s="12" t="n">
        <x:v>0.6459686875565661</x:v>
      </x:c>
      <x:c r="AY324" s="11"/>
      <x:c r="AZ324" s="11"/>
      <x:c r="BA324" s="11"/>
      <x:c r="BB324" s="11"/>
      <x:c r="BC324" s="11"/>
      <x:c r="BD324" s="11"/>
      <x:c r="BE324" s="11"/>
      <x:c r="BF324" s="11"/>
      <x:c r="BG324" s="11"/>
      <x:c r="BH324" s="11"/>
      <x:c r="BI324" s="11"/>
      <x:c r="BJ324" s="11"/>
      <x:c r="BK324" s="12"/>
      <x:c r="BL324" s="12"/>
      <x:c r="BM324" s="12"/>
      <x:c r="BN324" s="12"/>
      <x:c r="BO324" s="12"/>
      <x:c r="BP324" s="12"/>
      <x:c r="BQ324" s="12"/>
      <x:c r="BR324" s="12"/>
      <x:c r="BS324" s="12"/>
      <x:c r="BT324" s="12"/>
      <x:c r="BU324" s="11" t="n">
        <x:v>855</x:v>
      </x:c>
      <x:c r="BV324" s="11" t="n">
        <x:v>5600549</x:v>
      </x:c>
      <x:c r="BW324" s="11" t="n">
        <x:v>153862</x:v>
      </x:c>
      <x:c r="BX324" s="11" t="n">
        <x:v>1183053</x:v>
      </x:c>
      <x:c r="BY324" s="11" t="n">
        <x:v>0</x:v>
      </x:c>
      <x:c r="BZ324" s="11" t="n">
        <x:v>0</x:v>
      </x:c>
      <x:c r="CA324" s="11" t="n">
        <x:v>0</x:v>
      </x:c>
      <x:c r="CB324" s="11" t="n">
        <x:v>106222</x:v>
      </x:c>
      <x:c r="CC324" s="11" t="n">
        <x:v>1778490</x:v>
      </x:c>
      <x:c r="CD324" s="11" t="n">
        <x:v>1123825</x:v>
      </x:c>
      <x:c r="CE324" s="11" t="n">
        <x:v>377951</x:v>
      </x:c>
      <x:c r="CF324" s="11" t="n">
        <x:v>30620</x:v>
      </x:c>
      <x:c r="CG324" s="11" t="n">
        <x:v>715668</x:v>
      </x:c>
      <x:c r="CH324" s="11" t="n">
        <x:v>1300988</x:v>
      </x:c>
      <x:c r="CI324" s="11" t="n">
        <x:v>1608434</x:v>
      </x:c>
      <x:c r="CJ324" s="11" t="n">
        <x:v>805289</x:v>
      </x:c>
      <x:c r="CK324" s="11" t="n">
        <x:v>969062</x:v>
      </x:c>
      <x:c r="CL324" s="11" t="n">
        <x:v>0</x:v>
      </x:c>
      <x:c r="CM324" s="11" t="n">
        <x:v>0</x:v>
      </x:c>
      <x:c r="CN324" s="11" t="n">
        <x:v>21718</x:v>
      </x:c>
      <x:c r="CO324" s="11" t="n">
        <x:v>0</x:v>
      </x:c>
      <x:c r="CP324" s="8"/>
      <x:c r="CQ324" s="8"/>
    </x:row>
    <x:row r="325">
      <x:c r="A325" s="8" t="str">
        <x:v>Invermere|2024</x:v>
      </x:c>
      <x:c r="B325" s="8" t="str">
        <x:v>invermere-d</x:v>
      </x:c>
      <x:c r="C325" s="8" t="str">
        <x:v>Invermere</x:v>
      </x:c>
      <x:c r="D325" s="8" t="str">
        <x:v>Invermere</x:v>
      </x:c>
      <x:c r="E325" s="8" t="str">
        <x:v>D</x:v>
      </x:c>
      <x:c r="F325" s="8" t="str">
        <x:v>EKO</x:v>
      </x:c>
      <x:c r="G325" s="9" t="n">
        <x:v>2024</x:v>
      </x:c>
      <x:c r="H325" s="10" t="n">
        <x:v>3910</x:v>
      </x:c>
      <x:c r="I325" s="8" t="str">
        <x:v>Under 5,000</x:v>
      </x:c>
      <x:c r="J325" s="11" t="n">
        <x:v>15155078</x:v>
      </x:c>
      <x:c r="K325" s="11" t="n">
        <x:v>12382701</x:v>
      </x:c>
      <x:c r="L325" s="11" t="n">
        <x:v>2772377</x:v>
      </x:c>
      <x:c r="M325" s="12" t="n">
        <x:v>0.18293386546740306</x:v>
      </x:c>
      <x:c r="N325" s="11" t="n">
        <x:v>6193838</x:v>
      </x:c>
      <x:c r="O325" s="11" t="n">
        <x:v>4168380</x:v>
      </x:c>
      <x:c r="P325" s="11" t="n">
        <x:v>3613252</x:v>
      </x:c>
      <x:c r="Q325" s="11" t="n">
        <x:v>1179608</x:v>
      </x:c>
      <x:c r="R325" s="11" t="n">
        <x:v>8969752</x:v>
      </x:c>
      <x:c r="S325" s="11" t="n">
        <x:v>3041032</x:v>
      </x:c>
      <x:c r="T325" s="11" t="n">
        <x:v>27272572</x:v>
      </x:c>
      <x:c r="U325" s="11" t="n">
        <x:v>22704113</x:v>
      </x:c>
      <x:c r="V325" s="11" t="n">
        <x:v>6549433</x:v>
      </x:c>
      <x:c r="W325" s="11" t="n">
        <x:v>13241022</x:v>
      </x:c>
      <x:c r="X325" s="11" t="n">
        <x:v>10575449</x:v>
      </x:c>
      <x:c r="Y325" s="11" t="n">
        <x:v>0</x:v>
      </x:c>
      <x:c r="Z325" s="11" t="n">
        <x:v>498111</x:v>
      </x:c>
      <x:c r="AA325" s="11" t="n">
        <x:v>10035833</x:v>
      </x:c>
      <x:c r="AB325" s="11" t="n">
        <x:v>371917</x:v>
      </x:c>
      <x:c r="AC325" s="11" t="n">
        <x:v>870028</x:v>
      </x:c>
      <x:c r="AD325" s="11" t="n">
        <x:v>3002505</x:v>
      </x:c>
      <x:c r="AE325" s="11" t="n">
        <x:v>2132477</x:v>
      </x:c>
      <x:c r="AF325" s="11" t="n">
        <x:v>12010021</x:v>
      </x:c>
      <x:c r="AG325" s="11" t="n">
        <x:v>150362559</x:v>
      </x:c>
      <x:c r="AH325" s="11" t="n">
        <x:v>53725606</x:v>
      </x:c>
      <x:c r="AI325" s="11" t="n">
        <x:v>96636953</x:v>
      </x:c>
      <x:c r="AJ325" s="11" t="n">
        <x:v>4279258</x:v>
      </x:c>
      <x:c r="AK325" s="11" t="n">
        <x:v>502802876</x:v>
      </x:c>
      <x:c r="AL325" s="11" t="n">
        <x:v>9234677</x:v>
      </x:c>
      <x:c r="AM325" s="12" t="n">
        <x:v>0.9816336034641139</x:v>
      </x:c>
      <x:c r="AN325" s="12" t="n">
        <x:v>0.008510806529276892</x:v>
      </x:c>
      <x:c r="AO325" s="11" t="n">
        <x:v>11730132</x:v>
      </x:c>
      <x:c r="AP325" s="11" t="n">
        <x:v>11485675</x:v>
      </x:c>
      <x:c r="AQ325" s="12" t="n">
        <x:v>0.9791599105619613</x:v>
      </x:c>
      <x:c r="AR325" s="11" t="n">
        <x:v>3875.9790281329924</x:v>
      </x:c>
      <x:c r="AS325" s="11" t="n">
        <x:v>3166.9312020460357</x:v>
      </x:c>
      <x:c r="AT325" s="11" t="n">
        <x:v>1675.0468030690538</x:v>
      </x:c>
      <x:c r="AU325" s="11" t="n">
        <x:v>3386.4506393861893</x:v>
      </x:c>
      <x:c r="AV325" s="11" t="n">
        <x:v>2566.7092071611255</x:v>
      </x:c>
      <x:c r="AW325" s="11" t="n">
        <x:v>1.2012172420036846</x:v>
      </x:c>
      <x:c r="AX325" s="12" t="n">
        <x:v>0.7102326224269402</x:v>
      </x:c>
      <x:c r="AY325" s="11" t="n">
        <x:v>4486.511144130758</x:v>
      </x:c>
      <x:c r="AZ325" s="11" t="n">
        <x:v>3546.5079302077975</x:v>
      </x:c>
      <x:c r="BA325" s="11" t="n">
        <x:v>3557.844717668488</x:v>
      </x:c>
      <x:c r="BB325" s="11" t="n">
        <x:v>2783.665107049771</x:v>
      </x:c>
      <x:c r="BC325" s="11" t="n">
        <x:v>5496.677373974208</x:v>
      </x:c>
      <x:c r="BD325" s="11" t="n">
        <x:v>2437.8724475115623</x:v>
      </x:c>
      <x:c r="BE325" s="11" t="n">
        <x:v>3386.4506393861893</x:v>
      </x:c>
      <x:c r="BF325" s="11" t="n">
        <x:v>1604.3462673977224</x:v>
      </x:c>
      <x:c r="BG325" s="11" t="n">
        <x:v>624.7436119532265</x:v>
      </x:c>
      <x:c r="BH325" s="11" t="n">
        <x:v>518.5374381567245</x:v>
      </x:c>
      <x:c r="BI325" s="11" t="n">
        <x:v>3.324657351485151</x:v>
      </x:c>
      <x:c r="BJ325" s="11" t="n">
        <x:v>1.7099330852451193</x:v>
      </x:c>
      <x:c r="BK325" s="12" t="n">
        <x:v>0.02521828600111612</x:v>
      </x:c>
      <x:c r="BL325" s="12" t="n">
        <x:v>0.02529861000232605</x:v>
      </x:c>
      <x:c r="BM325" s="12" t="n">
        <x:v>0.9816336034641139</x:v>
      </x:c>
      <x:c r="BN325" s="12" t="n">
        <x:v>0.9815511712696461</x:v>
      </x:c>
      <x:c r="BO325" s="12" t="n">
        <x:v>0.8531878894527055</x:v>
      </x:c>
      <x:c r="BP325" s="12" t="n">
        <x:v>0.8619101997275483</x:v>
      </x:c>
      <x:c r="BQ325" s="12" t="n">
        <x:v>0.9614729661922712</x:v>
      </x:c>
      <x:c r="BR325" s="12" t="n">
        <x:v>0.9623635142836453</x:v>
      </x:c>
      <x:c r="BS325" s="12" t="n">
        <x:v>0.23352896680225554</x:v>
      </x:c>
      <x:c r="BT325" s="12" t="n">
        <x:v>0.19976549769108282</x:v>
      </x:c>
      <x:c r="BU325" s="11" t="n">
        <x:v>5395</x:v>
      </x:c>
      <x:c r="BV325" s="11" t="n">
        <x:v>3469942</x:v>
      </x:c>
      <x:c r="BW325" s="11" t="n">
        <x:v>137915</x:v>
      </x:c>
      <x:c r="BX325" s="11" t="n">
        <x:v>1179608</x:v>
      </x:c>
      <x:c r="BY325" s="11" t="n">
        <x:v>0</x:v>
      </x:c>
      <x:c r="BZ325" s="11" t="n">
        <x:v>0</x:v>
      </x:c>
      <x:c r="CA325" s="11" t="n">
        <x:v>0</x:v>
      </x:c>
      <x:c r="CB325" s="11" t="n">
        <x:v>0</x:v>
      </x:c>
      <x:c r="CC325" s="11" t="n">
        <x:v>1917422</x:v>
      </x:c>
      <x:c r="CD325" s="11" t="n">
        <x:v>1153157</x:v>
      </x:c>
      <x:c r="CE325" s="11" t="n">
        <x:v>418884</x:v>
      </x:c>
      <x:c r="CF325" s="11" t="n">
        <x:v>39407</x:v>
      </x:c>
      <x:c r="CG325" s="11" t="n">
        <x:v>498780</x:v>
      </x:c>
      <x:c r="CH325" s="11" t="n">
        <x:v>1389061</x:v>
      </x:c>
      <x:c r="CI325" s="11" t="n">
        <x:v>1823510</x:v>
      </x:c>
      <x:c r="CJ325" s="11" t="n">
        <x:v>951322</x:v>
      </x:c>
      <x:c r="CK325" s="11" t="n">
        <x:v>1038080</x:v>
      </x:c>
      <x:c r="CL325" s="11" t="n">
        <x:v>0</x:v>
      </x:c>
      <x:c r="CM325" s="11" t="n">
        <x:v>0</x:v>
      </x:c>
      <x:c r="CN325" s="11" t="n">
        <x:v>112046</x:v>
      </x:c>
      <x:c r="CO325" s="11" t="n">
        <x:v>0</x:v>
      </x:c>
      <x:c r="CP325" s="8"/>
      <x:c r="CQ325" s="8"/>
    </x:row>
    <x:row r="326">
      <x:c r="A326" s="8" t="str">
        <x:v>Jumbo Glacier|2019</x:v>
      </x:c>
      <x:c r="B326" s="8" t="str">
        <x:v>jumbo-glacier-v</x:v>
      </x:c>
      <x:c r="C326" s="8" t="str">
        <x:v>Jumbo Glacier</x:v>
      </x:c>
      <x:c r="D326" s="8" t="str">
        <x:v>Jumbo Glacier</x:v>
      </x:c>
      <x:c r="E326" s="8" t="str">
        <x:v>V</x:v>
      </x:c>
      <x:c r="F326" s="8" t="str">
        <x:v>EKO</x:v>
      </x:c>
      <x:c r="G326" s="9" t="n">
        <x:v>2019</x:v>
      </x:c>
      <x:c r="H326" s="10" t="n">
        <x:v>0</x:v>
      </x:c>
      <x:c r="I326" s="8" t="str">
        <x:v>Under 5,000</x:v>
      </x:c>
      <x:c r="J326" s="11" t="n">
        <x:v>119606</x:v>
      </x:c>
      <x:c r="K326" s="11" t="n">
        <x:v>36336</x:v>
      </x:c>
      <x:c r="L326" s="11" t="n">
        <x:v>83270</x:v>
      </x:c>
      <x:c r="M326" s="12" t="n">
        <x:v>0.6962025316455697</x:v>
      </x:c>
      <x:c r="N326" s="11" t="n">
        <x:v>5002</x:v>
      </x:c>
      <x:c r="O326" s="11" t="n">
        <x:v>2003</x:v>
      </x:c>
      <x:c r="P326" s="11" t="n">
        <x:v>110250</x:v>
      </x:c>
      <x:c r="Q326" s="11" t="n">
        <x:v>2351</x:v>
      </x:c>
      <x:c r="R326" s="11" t="n">
        <x:v>31910</x:v>
      </x:c>
      <x:c r="S326" s="11" t="n">
        <x:v>4426</x:v>
      </x:c>
      <x:c r="T326" s="11" t="n">
        <x:v>389642</x:v>
      </x:c>
      <x:c r="U326" s="11" t="n">
        <x:v>5058</x:v>
      </x:c>
      <x:c r="V326" s="11" t="n">
        <x:v>385432</x:v>
      </x:c>
      <x:c r="W326" s="11" t="n">
        <x:v>0</x:v>
      </x:c>
      <x:c r="X326" s="11" t="n">
        <x:v>0</x:v>
      </x:c>
      <x:c r="Y326" s="11" t="n">
        <x:v>0</x:v>
      </x:c>
      <x:c r="Z326" s="11" t="n">
        <x:v>0</x:v>
      </x:c>
      <x:c r="AA326" s="11" t="n">
        <x:v>0</x:v>
      </x:c>
      <x:c r="AB326" s="11" t="n">
        <x:v>0</x:v>
      </x:c>
      <x:c r="AC326" s="11" t="n">
        <x:v>0</x:v>
      </x:c>
      <x:c r="AD326" s="11" t="n">
        <x:v>2339</x:v>
      </x:c>
      <x:c r="AE326" s="11" t="n">
        <x:v>2339</x:v>
      </x:c>
      <x:c r="AF326" s="11" t="n">
        <x:v>9356</x:v>
      </x:c>
      <x:c r="AG326" s="11" t="n">
        <x:v>199255</x:v>
      </x:c>
      <x:c r="AH326" s="11" t="n">
        <x:v>26661</x:v>
      </x:c>
      <x:c r="AI326" s="11" t="n">
        <x:v>172594</x:v>
      </x:c>
      <x:c r="AJ326" s="11" t="n">
        <x:v>0</x:v>
      </x:c>
      <x:c r="AK326" s="11" t="n">
        <x:v>200000</x:v>
      </x:c>
      <x:c r="AL326" s="11" t="n">
        <x:v>4450</x:v>
      </x:c>
      <x:c r="AM326" s="12" t="n">
        <x:v>0.97775</x:v>
      </x:c>
      <x:c r="AN326" s="12" t="n">
        <x:v>0</x:v>
      </x:c>
      <x:c r="AO326" s="11" t="n">
        <x:v>7568</x:v>
      </x:c>
      <x:c r="AP326" s="11" t="n">
        <x:v>7568</x:v>
      </x:c>
      <x:c r="AQ326" s="12" t="n">
        <x:v>1</x:v>
      </x:c>
      <x:c r="AR326" s="11"/>
      <x:c r="AS326" s="11"/>
      <x:c r="AT326" s="11"/>
      <x:c r="AU326" s="11"/>
      <x:c r="AV326" s="11"/>
      <x:c r="AW326" s="11" t="n">
        <x:v>77.03479636219849</x:v>
      </x:c>
      <x:c r="AX326" s="12" t="n">
        <x:v>1</x:v>
      </x:c>
      <x:c r="AY326" s="11"/>
      <x:c r="AZ326" s="11"/>
      <x:c r="BA326" s="11"/>
      <x:c r="BB326" s="11"/>
      <x:c r="BC326" s="11"/>
      <x:c r="BD326" s="11"/>
      <x:c r="BE326" s="11"/>
      <x:c r="BF326" s="11"/>
      <x:c r="BG326" s="11"/>
      <x:c r="BH326" s="11"/>
      <x:c r="BI326" s="11"/>
      <x:c r="BJ326" s="11"/>
      <x:c r="BK326" s="12"/>
      <x:c r="BL326" s="12"/>
      <x:c r="BM326" s="12"/>
      <x:c r="BN326" s="12"/>
      <x:c r="BO326" s="12"/>
      <x:c r="BP326" s="12"/>
      <x:c r="BQ326" s="12"/>
      <x:c r="BR326" s="12"/>
      <x:c r="BS326" s="12"/>
      <x:c r="BT326" s="12"/>
      <x:c r="BU326" s="11" t="n">
        <x:v>0</x:v>
      </x:c>
      <x:c r="BV326" s="11" t="n">
        <x:v>0</x:v>
      </x:c>
      <x:c r="BW326" s="11" t="n">
        <x:v>110250</x:v>
      </x:c>
      <x:c r="BX326" s="11" t="n">
        <x:v>2351</x:v>
      </x:c>
      <x:c r="BY326" s="11" t="n">
        <x:v>0</x:v>
      </x:c>
      <x:c r="BZ326" s="11" t="n">
        <x:v>0</x:v>
      </x:c>
      <x:c r="CA326" s="11" t="n">
        <x:v>0</x:v>
      </x:c>
      <x:c r="CB326" s="11" t="n">
        <x:v>0</x:v>
      </x:c>
      <x:c r="CC326" s="11" t="n">
        <x:v>31848</x:v>
      </x:c>
      <x:c r="CD326" s="11" t="n">
        <x:v>0</x:v>
      </x:c>
      <x:c r="CE326" s="11" t="n">
        <x:v>0</x:v>
      </x:c>
      <x:c r="CF326" s="11" t="n">
        <x:v>0</x:v>
      </x:c>
      <x:c r="CG326" s="11" t="n">
        <x:v>62</x:v>
      </x:c>
      <x:c r="CH326" s="11" t="n">
        <x:v>0</x:v>
      </x:c>
      <x:c r="CI326" s="11" t="n">
        <x:v>0</x:v>
      </x:c>
      <x:c r="CJ326" s="11" t="n">
        <x:v>0</x:v>
      </x:c>
      <x:c r="CK326" s="11" t="n">
        <x:v>0</x:v>
      </x:c>
      <x:c r="CL326" s="11" t="n">
        <x:v>0</x:v>
      </x:c>
      <x:c r="CM326" s="11"/>
      <x:c r="CN326" s="11" t="n">
        <x:v>0</x:v>
      </x:c>
      <x:c r="CO326" s="11" t="n">
        <x:v>0</x:v>
      </x:c>
      <x:c r="CP326" s="8"/>
      <x:c r="CQ326" s="8"/>
    </x:row>
    <x:row r="327">
      <x:c r="A327" s="8" t="str">
        <x:v>Jumbo Glacier|2020</x:v>
      </x:c>
      <x:c r="B327" s="8" t="str">
        <x:v>jumbo-glacier-v</x:v>
      </x:c>
      <x:c r="C327" s="8" t="str">
        <x:v>Jumbo Glacier</x:v>
      </x:c>
      <x:c r="D327" s="8" t="str">
        <x:v>Jumbo Glacier</x:v>
      </x:c>
      <x:c r="E327" s="8" t="str">
        <x:v>V</x:v>
      </x:c>
      <x:c r="F327" s="8" t="str">
        <x:v>EKO</x:v>
      </x:c>
      <x:c r="G327" s="9" t="n">
        <x:v>2020</x:v>
      </x:c>
      <x:c r="H327" s="10" t="n">
        <x:v>0</x:v>
      </x:c>
      <x:c r="I327" s="8" t="str">
        <x:v>Under 5,000</x:v>
      </x:c>
      <x:c r="J327" s="11" t="n">
        <x:v>592</x:v>
      </x:c>
      <x:c r="K327" s="11" t="n">
        <x:v>355382</x:v>
      </x:c>
      <x:c r="L327" s="11" t="n">
        <x:v>-354790</x:v>
      </x:c>
      <x:c r="M327" s="12" t="n">
        <x:v>-599.3074324324324</x:v>
      </x:c>
      <x:c r="N327" s="11" t="n">
        <x:v>1</x:v>
      </x:c>
      <x:c r="O327" s="11" t="n">
        <x:v>0</x:v>
      </x:c>
      <x:c r="P327" s="11" t="n">
        <x:v>0</x:v>
      </x:c>
      <x:c r="Q327" s="11" t="n">
        <x:v>591</x:v>
      </x:c>
      <x:c r="R327" s="11" t="n">
        <x:v>350956</x:v>
      </x:c>
      <x:c r="S327" s="11" t="n">
        <x:v>4426</x:v>
      </x:c>
      <x:c r="T327" s="11" t="n">
        <x:v>35570</x:v>
      </x:c>
      <x:c r="U327" s="11" t="n">
        <x:v>108</x:v>
      </x:c>
      <x:c r="V327" s="11" t="n">
        <x:v>36116</x:v>
      </x:c>
      <x:c r="W327" s="11" t="n">
        <x:v>0</x:v>
      </x:c>
      <x:c r="X327" s="11" t="n">
        <x:v>0</x:v>
      </x:c>
      <x:c r="Y327" s="11" t="n">
        <x:v>0</x:v>
      </x:c>
      <x:c r="Z327" s="11" t="n">
        <x:v>0</x:v>
      </x:c>
      <x:c r="AA327" s="11" t="n">
        <x:v>0</x:v>
      </x:c>
      <x:c r="AB327" s="11" t="n">
        <x:v>0</x:v>
      </x:c>
      <x:c r="AC327" s="11" t="n">
        <x:v>0</x:v>
      </x:c>
      <x:c r="AD327" s="11" t="n">
        <x:v>148</x:v>
      </x:c>
      <x:c r="AE327" s="11" t="n">
        <x:v>148</x:v>
      </x:c>
      <x:c r="AF327" s="11" t="n">
        <x:v>592</x:v>
      </x:c>
      <x:c r="AG327" s="11" t="n">
        <x:v>199149</x:v>
      </x:c>
      <x:c r="AH327" s="11" t="n">
        <x:v>30981</x:v>
      </x:c>
      <x:c r="AI327" s="11" t="n">
        <x:v>168168</x:v>
      </x:c>
      <x:c r="AJ327" s="11" t="n">
        <x:v>0</x:v>
      </x:c>
      <x:c r="AK327" s="11" t="n">
        <x:v>0</x:v>
      </x:c>
      <x:c r="AL327" s="11" t="n">
        <x:v>0</x:v>
      </x:c>
      <x:c r="AM327" s="12"/>
      <x:c r="AN327" s="12"/>
      <x:c r="AO327" s="11" t="n">
        <x:v>3</x:v>
      </x:c>
      <x:c r="AP327" s="11" t="n">
        <x:v>3</x:v>
      </x:c>
      <x:c r="AQ327" s="12" t="n">
        <x:v>1</x:v>
      </x:c>
      <x:c r="AR327" s="11"/>
      <x:c r="AS327" s="11"/>
      <x:c r="AT327" s="11"/>
      <x:c r="AU327" s="11"/>
      <x:c r="AV327" s="11"/>
      <x:c r="AW327" s="11" t="n">
        <x:v>329.35185185185185</x:v>
      </x:c>
      <x:c r="AX327" s="12" t="n">
        <x:v>1</x:v>
      </x:c>
      <x:c r="AY327" s="11"/>
      <x:c r="AZ327" s="11"/>
      <x:c r="BA327" s="11"/>
      <x:c r="BB327" s="11"/>
      <x:c r="BC327" s="11"/>
      <x:c r="BD327" s="11"/>
      <x:c r="BE327" s="11"/>
      <x:c r="BF327" s="11"/>
      <x:c r="BG327" s="11"/>
      <x:c r="BH327" s="11"/>
      <x:c r="BI327" s="11"/>
      <x:c r="BJ327" s="11"/>
      <x:c r="BK327" s="12"/>
      <x:c r="BL327" s="12"/>
      <x:c r="BM327" s="12"/>
      <x:c r="BN327" s="12"/>
      <x:c r="BO327" s="12"/>
      <x:c r="BP327" s="12"/>
      <x:c r="BQ327" s="12"/>
      <x:c r="BR327" s="12"/>
      <x:c r="BS327" s="12"/>
      <x:c r="BT327" s="12"/>
      <x:c r="BU327" s="11" t="n">
        <x:v>0</x:v>
      </x:c>
      <x:c r="BV327" s="11" t="n">
        <x:v>0</x:v>
      </x:c>
      <x:c r="BW327" s="11" t="n">
        <x:v>0</x:v>
      </x:c>
      <x:c r="BX327" s="11" t="n">
        <x:v>592</x:v>
      </x:c>
      <x:c r="BY327" s="11" t="n">
        <x:v>0</x:v>
      </x:c>
      <x:c r="BZ327" s="11" t="n">
        <x:v>0</x:v>
      </x:c>
      <x:c r="CA327" s="11" t="n">
        <x:v>0</x:v>
      </x:c>
      <x:c r="CB327" s="11" t="n">
        <x:v>-1</x:v>
      </x:c>
      <x:c r="CC327" s="11" t="n">
        <x:v>24217</x:v>
      </x:c>
      <x:c r="CD327" s="11" t="n">
        <x:v>0</x:v>
      </x:c>
      <x:c r="CE327" s="11" t="n">
        <x:v>0</x:v>
      </x:c>
      <x:c r="CF327" s="11" t="n">
        <x:v>0</x:v>
      </x:c>
      <x:c r="CG327" s="11" t="n">
        <x:v>42</x:v>
      </x:c>
      <x:c r="CH327" s="11" t="n">
        <x:v>0</x:v>
      </x:c>
      <x:c r="CI327" s="11" t="n">
        <x:v>0</x:v>
      </x:c>
      <x:c r="CJ327" s="11" t="n">
        <x:v>0</x:v>
      </x:c>
      <x:c r="CK327" s="11" t="n">
        <x:v>0</x:v>
      </x:c>
      <x:c r="CL327" s="11" t="n">
        <x:v>0</x:v>
      </x:c>
      <x:c r="CM327" s="11"/>
      <x:c r="CN327" s="11" t="n">
        <x:v>0</x:v>
      </x:c>
      <x:c r="CO327" s="11" t="n">
        <x:v>326697</x:v>
      </x:c>
      <x:c r="CP327" s="8"/>
      <x:c r="CQ327" s="8"/>
    </x:row>
    <x:row r="328">
      <x:c r="A328" s="8" t="str">
        <x:v>Kamloops|2019</x:v>
      </x:c>
      <x:c r="B328" s="8" t="str">
        <x:v>kamloops-c</x:v>
      </x:c>
      <x:c r="C328" s="8" t="str">
        <x:v>Kamloops</x:v>
      </x:c>
      <x:c r="D328" s="8" t="str">
        <x:v>Kamloops</x:v>
      </x:c>
      <x:c r="E328" s="8" t="str">
        <x:v>C</x:v>
      </x:c>
      <x:c r="F328" s="8" t="str">
        <x:v>TNR</x:v>
      </x:c>
      <x:c r="G328" s="9" t="n">
        <x:v>2019</x:v>
      </x:c>
      <x:c r="H328" s="10" t="n">
        <x:v>100046</x:v>
      </x:c>
      <x:c r="I328" s="8" t="str">
        <x:v>100,000 and over</x:v>
      </x:c>
      <x:c r="J328" s="11" t="n">
        <x:v>231415316</x:v>
      </x:c>
      <x:c r="K328" s="11" t="n">
        <x:v>204438701</x:v>
      </x:c>
      <x:c r="L328" s="11" t="n">
        <x:v>26976615</x:v>
      </x:c>
      <x:c r="M328" s="12" t="n">
        <x:v>0.11657229722858965</x:v>
      </x:c>
      <x:c r="N328" s="11" t="n">
        <x:v>116818139</x:v>
      </x:c>
      <x:c r="O328" s="11" t="n">
        <x:v>73966450</x:v>
      </x:c>
      <x:c r="P328" s="11" t="n">
        <x:v>24548785</x:v>
      </x:c>
      <x:c r="Q328" s="11" t="n">
        <x:v>16081942</x:v>
      </x:c>
      <x:c r="R328" s="11" t="n">
        <x:v>169867138</x:v>
      </x:c>
      <x:c r="S328" s="11" t="n">
        <x:v>30950434</x:v>
      </x:c>
      <x:c r="T328" s="11" t="n">
        <x:v>180673305</x:v>
      </x:c>
      <x:c r="U328" s="11" t="n">
        <x:v>189435159</x:v>
      </x:c>
      <x:c r="V328" s="11" t="n">
        <x:v>24654488</x:v>
      </x:c>
      <x:c r="W328" s="11" t="n">
        <x:v>41631636</x:v>
      </x:c>
      <x:c r="X328" s="11" t="n">
        <x:v>105755964</x:v>
      </x:c>
      <x:c r="Y328" s="11" t="n">
        <x:v>0</x:v>
      </x:c>
      <x:c r="Z328" s="11" t="n">
        <x:v>13460087</x:v>
      </x:c>
      <x:c r="AA328" s="11" t="n">
        <x:v>90351359</x:v>
      </x:c>
      <x:c r="AB328" s="11" t="n">
        <x:v>3621129</x:v>
      </x:c>
      <x:c r="AC328" s="11" t="n">
        <x:v>17081216</x:v>
      </x:c>
      <x:c r="AD328" s="11" t="n">
        <x:v>48992036</x:v>
      </x:c>
      <x:c r="AE328" s="11" t="n">
        <x:v>31910820</x:v>
      </x:c>
      <x:c r="AF328" s="11" t="n">
        <x:v>195968142</x:v>
      </x:c>
      <x:c r="AG328" s="11" t="n">
        <x:v>1760392283</x:v>
      </x:c>
      <x:c r="AH328" s="11" t="n">
        <x:v>529101215</x:v>
      </x:c>
      <x:c r="AI328" s="11" t="n">
        <x:v>1231291068</x:v>
      </x:c>
      <x:c r="AJ328" s="11" t="n">
        <x:v>46721313</x:v>
      </x:c>
      <x:c r="AK328" s="11" t="n">
        <x:v>152156165</x:v>
      </x:c>
      <x:c r="AL328" s="11" t="n">
        <x:v>0</x:v>
      </x:c>
      <x:c r="AM328" s="12" t="n">
        <x:v>1</x:v>
      </x:c>
      <x:c r="AN328" s="12" t="n">
        <x:v>0.3070615837353682</x:v>
      </x:c>
      <x:c r="AO328" s="11" t="n">
        <x:v>174917539</x:v>
      </x:c>
      <x:c r="AP328" s="11" t="n">
        <x:v>171394456</x:v>
      </x:c>
      <x:c r="AQ328" s="12" t="n">
        <x:v>0.9798586064031006</x:v>
      </x:c>
      <x:c r="AR328" s="11" t="n">
        <x:v>2313.0891389960616</x:v>
      </x:c>
      <x:c r="AS328" s="11" t="n">
        <x:v>2043.4470243687904</x:v>
      </x:c>
      <x:c r="AT328" s="11" t="n">
        <x:v>246.43152150010994</x:v>
      </x:c>
      <x:c r="AU328" s="11" t="n">
        <x:v>416.12494252643785</x:v>
      </x:c>
      <x:c r="AV328" s="11" t="n">
        <x:v>903.0981648441717</x:v>
      </x:c>
      <x:c r="AW328" s="11" t="n">
        <x:v>0.9537474772568486</x:v>
      </x:c>
      <x:c r="AX328" s="12" t="n">
        <x:v>0.6513470883308463</x:v>
      </x:c>
      <x:c r="AY328" s="11"/>
      <x:c r="AZ328" s="11"/>
      <x:c r="BA328" s="11"/>
      <x:c r="BB328" s="11"/>
      <x:c r="BC328" s="11"/>
      <x:c r="BD328" s="11"/>
      <x:c r="BE328" s="11"/>
      <x:c r="BF328" s="11"/>
      <x:c r="BG328" s="11"/>
      <x:c r="BH328" s="11"/>
      <x:c r="BI328" s="11"/>
      <x:c r="BJ328" s="11"/>
      <x:c r="BK328" s="12"/>
      <x:c r="BL328" s="12"/>
      <x:c r="BM328" s="12"/>
      <x:c r="BN328" s="12"/>
      <x:c r="BO328" s="12"/>
      <x:c r="BP328" s="12"/>
      <x:c r="BQ328" s="12"/>
      <x:c r="BR328" s="12"/>
      <x:c r="BS328" s="12"/>
      <x:c r="BT328" s="12"/>
      <x:c r="BU328" s="11" t="n">
        <x:v>2706068</x:v>
      </x:c>
      <x:c r="BV328" s="11" t="n">
        <x:v>14146548</x:v>
      </x:c>
      <x:c r="BW328" s="11" t="n">
        <x:v>7696169</x:v>
      </x:c>
      <x:c r="BX328" s="11" t="n">
        <x:v>6077804</x:v>
      </x:c>
      <x:c r="BY328" s="11" t="n">
        <x:v>0</x:v>
      </x:c>
      <x:c r="BZ328" s="11" t="n">
        <x:v>9476647</x:v>
      </x:c>
      <x:c r="CA328" s="11" t="n">
        <x:v>527491</x:v>
      </x:c>
      <x:c r="CB328" s="11" t="n">
        <x:v>0</x:v>
      </x:c>
      <x:c r="CC328" s="11" t="n">
        <x:v>30038220</x:v>
      </x:c>
      <x:c r="CD328" s="11" t="n">
        <x:v>52304874</x:v>
      </x:c>
      <x:c r="CE328" s="11" t="n">
        <x:v>8055590</x:v>
      </x:c>
      <x:c r="CF328" s="11" t="n">
        <x:v>0</x:v>
      </x:c>
      <x:c r="CG328" s="11" t="n">
        <x:v>7055945</x:v>
      </x:c>
      <x:c r="CH328" s="11" t="n">
        <x:v>30080767</x:v>
      </x:c>
      <x:c r="CI328" s="11" t="n">
        <x:v>27893642</x:v>
      </x:c>
      <x:c r="CJ328" s="11" t="n">
        <x:v>9302158</x:v>
      </x:c>
      <x:c r="CK328" s="11" t="n">
        <x:v>6785646</x:v>
      </x:c>
      <x:c r="CL328" s="11" t="n">
        <x:v>1971425</x:v>
      </x:c>
      <x:c r="CM328" s="11"/>
      <x:c r="CN328" s="11" t="n">
        <x:v>0</x:v>
      </x:c>
      <x:c r="CO328" s="11" t="n">
        <x:v>0</x:v>
      </x:c>
      <x:c r="CP328" s="8"/>
      <x:c r="CQ328" s="8"/>
    </x:row>
    <x:row r="329">
      <x:c r="A329" s="8" t="str">
        <x:v>Kamloops|2020</x:v>
      </x:c>
      <x:c r="B329" s="8" t="str">
        <x:v>kamloops-c</x:v>
      </x:c>
      <x:c r="C329" s="8" t="str">
        <x:v>Kamloops</x:v>
      </x:c>
      <x:c r="D329" s="8" t="str">
        <x:v>Kamloops</x:v>
      </x:c>
      <x:c r="E329" s="8" t="str">
        <x:v>C</x:v>
      </x:c>
      <x:c r="F329" s="8" t="str">
        <x:v>TNR</x:v>
      </x:c>
      <x:c r="G329" s="9" t="n">
        <x:v>2020</x:v>
      </x:c>
      <x:c r="H329" s="10" t="n">
        <x:v>101198</x:v>
      </x:c>
      <x:c r="I329" s="8" t="str">
        <x:v>100,000 and over</x:v>
      </x:c>
      <x:c r="J329" s="11" t="n">
        <x:v>237521194</x:v>
      </x:c>
      <x:c r="K329" s="11" t="n">
        <x:v>203771002</x:v>
      </x:c>
      <x:c r="L329" s="11" t="n">
        <x:v>33750192</x:v>
      </x:c>
      <x:c r="M329" s="12" t="n">
        <x:v>0.14209339146383712</x:v>
      </x:c>
      <x:c r="N329" s="11" t="n">
        <x:v>119686794</x:v>
      </x:c>
      <x:c r="O329" s="11" t="n">
        <x:v>67945295</x:v>
      </x:c>
      <x:c r="P329" s="11" t="n">
        <x:v>34611826</x:v>
      </x:c>
      <x:c r="Q329" s="11" t="n">
        <x:v>15277279</x:v>
      </x:c>
      <x:c r="R329" s="11" t="n">
        <x:v>167202575</x:v>
      </x:c>
      <x:c r="S329" s="11" t="n">
        <x:v>33041760</x:v>
      </x:c>
      <x:c r="T329" s="11" t="n">
        <x:v>169978985</x:v>
      </x:c>
      <x:c r="U329" s="11" t="n">
        <x:v>185175463</x:v>
      </x:c>
      <x:c r="V329" s="11" t="n">
        <x:v>24301571</x:v>
      </x:c>
      <x:c r="W329" s="11" t="n">
        <x:v>38789030</x:v>
      </x:c>
      <x:c r="X329" s="11" t="n">
        <x:v>90303173</x:v>
      </x:c>
      <x:c r="Y329" s="11" t="n">
        <x:v>0</x:v>
      </x:c>
      <x:c r="Z329" s="11" t="n">
        <x:v>7463493</x:v>
      </x:c>
      <x:c r="AA329" s="11" t="n">
        <x:v>80599507</x:v>
      </x:c>
      <x:c r="AB329" s="11" t="n">
        <x:v>3526667</x:v>
      </x:c>
      <x:c r="AC329" s="11" t="n">
        <x:v>10990160</x:v>
      </x:c>
      <x:c r="AD329" s="11" t="n">
        <x:v>47983763</x:v>
      </x:c>
      <x:c r="AE329" s="11" t="n">
        <x:v>36993603</x:v>
      </x:c>
      <x:c r="AF329" s="11" t="n">
        <x:v>191935051</x:v>
      </x:c>
      <x:c r="AG329" s="11" t="n">
        <x:v>1823702785</x:v>
      </x:c>
      <x:c r="AH329" s="11" t="n">
        <x:v>561773225</x:v>
      </x:c>
      <x:c r="AI329" s="11" t="n">
        <x:v>1261929560</x:v>
      </x:c>
      <x:c r="AJ329" s="11" t="n">
        <x:v>63688206</x:v>
      </x:c>
      <x:c r="AK329" s="11" t="n">
        <x:v>129447667</x:v>
      </x:c>
      <x:c r="AL329" s="11" t="n">
        <x:v>0</x:v>
      </x:c>
      <x:c r="AM329" s="12" t="n">
        <x:v>1</x:v>
      </x:c>
      <x:c r="AN329" s="12" t="n">
        <x:v>0.49199964337711855</x:v>
      </x:c>
      <x:c r="AO329" s="11" t="n">
        <x:v>174525162</x:v>
      </x:c>
      <x:c r="AP329" s="11" t="n">
        <x:v>170397294</x:v>
      </x:c>
      <x:c r="AQ329" s="12" t="n">
        <x:v>0.9763480064840163</x:v>
      </x:c>
      <x:c r="AR329" s="11" t="n">
        <x:v>2347.0937567936126</x:v>
      </x:c>
      <x:c r="AS329" s="11" t="n">
        <x:v>2013.5872448072096</x:v>
      </x:c>
      <x:c r="AT329" s="11" t="n">
        <x:v>240.1388466175221</x:v>
      </x:c>
      <x:c r="AU329" s="11" t="n">
        <x:v>383.29838534358385</x:v>
      </x:c>
      <x:c r="AV329" s="11" t="n">
        <x:v>796.4535563943952</x:v>
      </x:c>
      <x:c r="AW329" s="11" t="n">
        <x:v>0.9179347103887084</x:v>
      </x:c>
      <x:c r="AX329" s="12" t="n">
        <x:v>0.7709608560712506</x:v>
      </x:c>
      <x:c r="AY329" s="11"/>
      <x:c r="AZ329" s="11"/>
      <x:c r="BA329" s="11"/>
      <x:c r="BB329" s="11"/>
      <x:c r="BC329" s="11"/>
      <x:c r="BD329" s="11"/>
      <x:c r="BE329" s="11"/>
      <x:c r="BF329" s="11"/>
      <x:c r="BG329" s="11"/>
      <x:c r="BH329" s="11"/>
      <x:c r="BI329" s="11"/>
      <x:c r="BJ329" s="11"/>
      <x:c r="BK329" s="12"/>
      <x:c r="BL329" s="12"/>
      <x:c r="BM329" s="12"/>
      <x:c r="BN329" s="12"/>
      <x:c r="BO329" s="12"/>
      <x:c r="BP329" s="12"/>
      <x:c r="BQ329" s="12"/>
      <x:c r="BR329" s="12"/>
      <x:c r="BS329" s="12"/>
      <x:c r="BT329" s="12"/>
      <x:c r="BU329" s="11" t="n">
        <x:v>4473093</x:v>
      </x:c>
      <x:c r="BV329" s="11" t="n">
        <x:v>26281737</x:v>
      </x:c>
      <x:c r="BW329" s="11" t="n">
        <x:v>3856996</x:v>
      </x:c>
      <x:c r="BX329" s="11" t="n">
        <x:v>7384988</x:v>
      </x:c>
      <x:c r="BY329" s="11" t="n">
        <x:v>0</x:v>
      </x:c>
      <x:c r="BZ329" s="11" t="n">
        <x:v>7371435</x:v>
      </x:c>
      <x:c r="CA329" s="11" t="n">
        <x:v>520856</x:v>
      </x:c>
      <x:c r="CB329" s="11" t="n">
        <x:v>0</x:v>
      </x:c>
      <x:c r="CC329" s="11" t="n">
        <x:v>29692232</x:v>
      </x:c>
      <x:c r="CD329" s="11" t="n">
        <x:v>49821171</x:v>
      </x:c>
      <x:c r="CE329" s="11" t="n">
        <x:v>10341139</x:v>
      </x:c>
      <x:c r="CF329" s="11" t="n">
        <x:v>0</x:v>
      </x:c>
      <x:c r="CG329" s="11" t="n">
        <x:v>7824406</x:v>
      </x:c>
      <x:c r="CH329" s="11" t="n">
        <x:v>27795283</x:v>
      </x:c>
      <x:c r="CI329" s="11" t="n">
        <x:v>25124605</x:v>
      </x:c>
      <x:c r="CJ329" s="11" t="n">
        <x:v>9196106</x:v>
      </x:c>
      <x:c r="CK329" s="11" t="n">
        <x:v>8823504</x:v>
      </x:c>
      <x:c r="CL329" s="11" t="n">
        <x:v>2110796</x:v>
      </x:c>
      <x:c r="CM329" s="11"/>
      <x:c r="CN329" s="11" t="n">
        <x:v>0</x:v>
      </x:c>
      <x:c r="CO329" s="11" t="n">
        <x:v>0</x:v>
      </x:c>
      <x:c r="CP329" s="8"/>
      <x:c r="CQ329" s="8"/>
    </x:row>
    <x:row r="330">
      <x:c r="A330" s="8" t="str">
        <x:v>Kamloops|2021</x:v>
      </x:c>
      <x:c r="B330" s="8" t="str">
        <x:v>kamloops-c</x:v>
      </x:c>
      <x:c r="C330" s="8" t="str">
        <x:v>Kamloops</x:v>
      </x:c>
      <x:c r="D330" s="8" t="str">
        <x:v>Kamloops</x:v>
      </x:c>
      <x:c r="E330" s="8" t="str">
        <x:v>C</x:v>
      </x:c>
      <x:c r="F330" s="8" t="str">
        <x:v>TNR</x:v>
      </x:c>
      <x:c r="G330" s="9" t="n">
        <x:v>2021</x:v>
      </x:c>
      <x:c r="H330" s="10" t="n">
        <x:v>101603</x:v>
      </x:c>
      <x:c r="I330" s="8" t="str">
        <x:v>100,000 and over</x:v>
      </x:c>
      <x:c r="J330" s="11" t="n">
        <x:v>235552252</x:v>
      </x:c>
      <x:c r="K330" s="11" t="n">
        <x:v>212527301</x:v>
      </x:c>
      <x:c r="L330" s="11" t="n">
        <x:v>23024951</x:v>
      </x:c>
      <x:c r="M330" s="12" t="n">
        <x:v>0.09774880437143942</x:v>
      </x:c>
      <x:c r="N330" s="11" t="n">
        <x:v>123939331</x:v>
      </x:c>
      <x:c r="O330" s="11" t="n">
        <x:v>71696055</x:v>
      </x:c>
      <x:c r="P330" s="11" t="n">
        <x:v>26502118</x:v>
      </x:c>
      <x:c r="Q330" s="11" t="n">
        <x:v>13414748</x:v>
      </x:c>
      <x:c r="R330" s="11" t="n">
        <x:v>173307130</x:v>
      </x:c>
      <x:c r="S330" s="11" t="n">
        <x:v>36044649</x:v>
      </x:c>
      <x:c r="T330" s="11" t="n">
        <x:v>189743298</x:v>
      </x:c>
      <x:c r="U330" s="11" t="n">
        <x:v>195152934</x:v>
      </x:c>
      <x:c r="V330" s="11" t="n">
        <x:v>30143969</x:v>
      </x:c>
      <x:c r="W330" s="11" t="n">
        <x:v>39419902</x:v>
      </x:c>
      <x:c r="X330" s="11" t="n">
        <x:v>80599507</x:v>
      </x:c>
      <x:c r="Y330" s="11" t="n">
        <x:v>7150000</x:v>
      </x:c>
      <x:c r="Z330" s="11" t="n">
        <x:v>7241676</x:v>
      </x:c>
      <x:c r="AA330" s="11" t="n">
        <x:v>78202065</x:v>
      </x:c>
      <x:c r="AB330" s="11" t="n">
        <x:v>3175522</x:v>
      </x:c>
      <x:c r="AC330" s="11" t="n">
        <x:v>10417198</x:v>
      </x:c>
      <x:c r="AD330" s="11" t="n">
        <x:v>49638937</x:v>
      </x:c>
      <x:c r="AE330" s="11" t="n">
        <x:v>39221739</x:v>
      </x:c>
      <x:c r="AF330" s="11" t="n">
        <x:v>198555748</x:v>
      </x:c>
      <x:c r="AG330" s="11" t="n">
        <x:v>1873291016</x:v>
      </x:c>
      <x:c r="AH330" s="11" t="n">
        <x:v>595775557</x:v>
      </x:c>
      <x:c r="AI330" s="11" t="n">
        <x:v>1277515459</x:v>
      </x:c>
      <x:c r="AJ330" s="11" t="n">
        <x:v>51657532</x:v>
      </x:c>
      <x:c r="AK330" s="11" t="n">
        <x:v>123180428</x:v>
      </x:c>
      <x:c r="AL330" s="11" t="n">
        <x:v>0</x:v>
      </x:c>
      <x:c r="AM330" s="12" t="n">
        <x:v>1</x:v>
      </x:c>
      <x:c r="AN330" s="12" t="n">
        <x:v>0.4193647711631591</x:v>
      </x:c>
      <x:c r="AO330" s="11" t="n">
        <x:v>185156239</x:v>
      </x:c>
      <x:c r="AP330" s="11" t="n">
        <x:v>182074422</x:v>
      </x:c>
      <x:c r="AQ330" s="12" t="n">
        <x:v>0.9833555865217158</x:v>
      </x:c>
      <x:c r="AR330" s="11" t="n">
        <x:v>2318.3592216765255</x:v>
      </x:c>
      <x:c r="AS330" s="11" t="n">
        <x:v>2091.742379654144</x:v>
      </x:c>
      <x:c r="AT330" s="11" t="n">
        <x:v>296.68384791787645</x:v>
      </x:c>
      <x:c r="AU330" s="11" t="n">
        <x:v>387.9797053236617</x:v>
      </x:c>
      <x:c r="AV330" s="11" t="n">
        <x:v>769.6826373237011</x:v>
      </x:c>
      <x:c r="AW330" s="11" t="n">
        <x:v>0.9722800170660001</x:v>
      </x:c>
      <x:c r="AX330" s="12" t="n">
        <x:v>0.7901405906415764</x:v>
      </x:c>
      <x:c r="AY330" s="11"/>
      <x:c r="AZ330" s="11"/>
      <x:c r="BA330" s="11"/>
      <x:c r="BB330" s="11"/>
      <x:c r="BC330" s="11"/>
      <x:c r="BD330" s="11"/>
      <x:c r="BE330" s="11"/>
      <x:c r="BF330" s="11"/>
      <x:c r="BG330" s="11"/>
      <x:c r="BH330" s="11"/>
      <x:c r="BI330" s="11"/>
      <x:c r="BJ330" s="11"/>
      <x:c r="BK330" s="12"/>
      <x:c r="BL330" s="12"/>
      <x:c r="BM330" s="12"/>
      <x:c r="BN330" s="12"/>
      <x:c r="BO330" s="12"/>
      <x:c r="BP330" s="12"/>
      <x:c r="BQ330" s="12"/>
      <x:c r="BR330" s="12"/>
      <x:c r="BS330" s="12"/>
      <x:c r="BT330" s="12"/>
      <x:c r="BU330" s="11" t="n">
        <x:v>1424419</x:v>
      </x:c>
      <x:c r="BV330" s="11" t="n">
        <x:v>17151024</x:v>
      </x:c>
      <x:c r="BW330" s="11" t="n">
        <x:v>7926675</x:v>
      </x:c>
      <x:c r="BX330" s="11" t="n">
        <x:v>4870607</x:v>
      </x:c>
      <x:c r="BY330" s="11" t="n">
        <x:v>0</x:v>
      </x:c>
      <x:c r="BZ330" s="11" t="n">
        <x:v>8370819</x:v>
      </x:c>
      <x:c r="CA330" s="11" t="n">
        <x:v>173322</x:v>
      </x:c>
      <x:c r="CB330" s="11" t="n">
        <x:v>0</x:v>
      </x:c>
      <x:c r="CC330" s="11" t="n">
        <x:v>24097652</x:v>
      </x:c>
      <x:c r="CD330" s="11" t="n">
        <x:v>55122164</x:v>
      </x:c>
      <x:c r="CE330" s="11" t="n">
        <x:v>10797952</x:v>
      </x:c>
      <x:c r="CF330" s="11" t="n">
        <x:v>2110429</x:v>
      </x:c>
      <x:c r="CG330" s="11" t="n">
        <x:v>6229859</x:v>
      </x:c>
      <x:c r="CH330" s="11" t="n">
        <x:v>26114127</x:v>
      </x:c>
      <x:c r="CI330" s="11" t="n">
        <x:v>28171250</x:v>
      </x:c>
      <x:c r="CJ330" s="11" t="n">
        <x:v>10529376</x:v>
      </x:c>
      <x:c r="CK330" s="11" t="n">
        <x:v>8391891</x:v>
      </x:c>
      <x:c r="CL330" s="11" t="n">
        <x:v>4917952</x:v>
      </x:c>
      <x:c r="CM330" s="11"/>
      <x:c r="CN330" s="11" t="n">
        <x:v>0</x:v>
      </x:c>
      <x:c r="CO330" s="11" t="n">
        <x:v>0</x:v>
      </x:c>
      <x:c r="CP330" s="8"/>
      <x:c r="CQ330" s="8"/>
    </x:row>
    <x:row r="331">
      <x:c r="A331" s="8" t="str">
        <x:v>Kamloops|2022</x:v>
      </x:c>
      <x:c r="B331" s="8" t="str">
        <x:v>kamloops-c</x:v>
      </x:c>
      <x:c r="C331" s="8" t="str">
        <x:v>Kamloops</x:v>
      </x:c>
      <x:c r="D331" s="8" t="str">
        <x:v>Kamloops</x:v>
      </x:c>
      <x:c r="E331" s="8" t="str">
        <x:v>C</x:v>
      </x:c>
      <x:c r="F331" s="8" t="str">
        <x:v>TNR</x:v>
      </x:c>
      <x:c r="G331" s="9" t="n">
        <x:v>2022</x:v>
      </x:c>
      <x:c r="H331" s="10" t="n">
        <x:v>1045</x:v>
      </x:c>
      <x:c r="I331" s="8" t="str">
        <x:v>Under 5,000</x:v>
      </x:c>
      <x:c r="J331" s="11" t="n">
        <x:v>271875625</x:v>
      </x:c>
      <x:c r="K331" s="11" t="n">
        <x:v>225320120</x:v>
      </x:c>
      <x:c r="L331" s="11" t="n">
        <x:v>46555505</x:v>
      </x:c>
      <x:c r="M331" s="12" t="n">
        <x:v>0.17123824542932084</x:v>
      </x:c>
      <x:c r="N331" s="11" t="n">
        <x:v>131559883</x:v>
      </x:c>
      <x:c r="O331" s="11" t="n">
        <x:v>79105031</x:v>
      </x:c>
      <x:c r="P331" s="11" t="n">
        <x:v>25921754</x:v>
      </x:c>
      <x:c r="Q331" s="11" t="n">
        <x:v>35288957</x:v>
      </x:c>
      <x:c r="R331" s="11" t="n">
        <x:v>187097300</x:v>
      </x:c>
      <x:c r="S331" s="11" t="n">
        <x:v>35232883</x:v>
      </x:c>
      <x:c r="T331" s="11" t="n">
        <x:v>186796878</x:v>
      </x:c>
      <x:c r="U331" s="11" t="n">
        <x:v>197913172</x:v>
      </x:c>
      <x:c r="V331" s="11" t="n">
        <x:v>28223658</x:v>
      </x:c>
      <x:c r="W331" s="11" t="n">
        <x:v>24186727</x:v>
      </x:c>
      <x:c r="X331" s="11" t="n">
        <x:v>78202065</x:v>
      </x:c>
      <x:c r="Y331" s="11" t="n">
        <x:v>0</x:v>
      </x:c>
      <x:c r="Z331" s="11" t="n">
        <x:v>6902544</x:v>
      </x:c>
      <x:c r="AA331" s="11" t="n">
        <x:v>69021681</x:v>
      </x:c>
      <x:c r="AB331" s="11" t="n">
        <x:v>2989937</x:v>
      </x:c>
      <x:c r="AC331" s="11" t="n">
        <x:v>9892481</x:v>
      </x:c>
      <x:c r="AD331" s="11" t="n">
        <x:v>54055657</x:v>
      </x:c>
      <x:c r="AE331" s="11" t="n">
        <x:v>44163176</x:v>
      </x:c>
      <x:c r="AF331" s="11" t="n">
        <x:v>216222627</x:v>
      </x:c>
      <x:c r="AG331" s="11" t="n">
        <x:v>1958912785</x:v>
      </x:c>
      <x:c r="AH331" s="11" t="n">
        <x:v>629860786</x:v>
      </x:c>
      <x:c r="AI331" s="11" t="n">
        <x:v>1329051999</x:v>
      </x:c>
      <x:c r="AJ331" s="11" t="n">
        <x:v>87024929</x:v>
      </x:c>
      <x:c r="AK331" s="11" t="n">
        <x:v>148736900</x:v>
      </x:c>
      <x:c r="AL331" s="11" t="n">
        <x:v>0</x:v>
      </x:c>
      <x:c r="AM331" s="12" t="n">
        <x:v>1</x:v>
      </x:c>
      <x:c r="AN331" s="12" t="n">
        <x:v>0.5850930670196838</x:v>
      </x:c>
      <x:c r="AO331" s="11" t="n">
        <x:v>194126257</x:v>
      </x:c>
      <x:c r="AP331" s="11" t="n">
        <x:v>190541189</x:v>
      </x:c>
      <x:c r="AQ331" s="12" t="n">
        <x:v>0.9815322870002073</x:v>
      </x:c>
      <x:c r="AR331" s="11" t="n">
        <x:v>260168.06220095695</x:v>
      </x:c>
      <x:c r="AS331" s="11" t="n">
        <x:v>215617.33971291865</x:v>
      </x:c>
      <x:c r="AT331" s="11" t="n">
        <x:v>27008.285167464113</x:v>
      </x:c>
      <x:c r="AU331" s="11" t="n">
        <x:v>23145.193301435407</x:v>
      </x:c>
      <x:c r="AV331" s="11" t="n">
        <x:v>66049.45550239235</x:v>
      </x:c>
      <x:c r="AW331" s="11" t="n">
        <x:v>0.943832470129881</x:v>
      </x:c>
      <x:c r="AX331" s="12" t="n">
        <x:v>0.8169945284357565</x:v>
      </x:c>
      <x:c r="AY331" s="11"/>
      <x:c r="AZ331" s="11"/>
      <x:c r="BA331" s="11"/>
      <x:c r="BB331" s="11"/>
      <x:c r="BC331" s="11"/>
      <x:c r="BD331" s="11"/>
      <x:c r="BE331" s="11"/>
      <x:c r="BF331" s="11"/>
      <x:c r="BG331" s="11"/>
      <x:c r="BH331" s="11"/>
      <x:c r="BI331" s="11"/>
      <x:c r="BJ331" s="11"/>
      <x:c r="BK331" s="12"/>
      <x:c r="BL331" s="12"/>
      <x:c r="BM331" s="12"/>
      <x:c r="BN331" s="12"/>
      <x:c r="BO331" s="12"/>
      <x:c r="BP331" s="12"/>
      <x:c r="BQ331" s="12"/>
      <x:c r="BR331" s="12"/>
      <x:c r="BS331" s="12"/>
      <x:c r="BT331" s="12"/>
      <x:c r="BU331" s="11" t="n">
        <x:v>1748648</x:v>
      </x:c>
      <x:c r="BV331" s="11" t="n">
        <x:v>19859327</x:v>
      </x:c>
      <x:c r="BW331" s="11" t="n">
        <x:v>4313779</x:v>
      </x:c>
      <x:c r="BX331" s="11" t="n">
        <x:v>5216510</x:v>
      </x:c>
      <x:c r="BY331" s="11" t="n">
        <x:v>0</x:v>
      </x:c>
      <x:c r="BZ331" s="11" t="n">
        <x:v>27435815</x:v>
      </x:c>
      <x:c r="CA331" s="11" t="n">
        <x:v>2636632</x:v>
      </x:c>
      <x:c r="CB331" s="11" t="n">
        <x:v>0</x:v>
      </x:c>
      <x:c r="CC331" s="11" t="n">
        <x:v>24018609</x:v>
      </x:c>
      <x:c r="CD331" s="11" t="n">
        <x:v>57360803</x:v>
      </x:c>
      <x:c r="CE331" s="11" t="n">
        <x:v>11812769</x:v>
      </x:c>
      <x:c r="CF331" s="11" t="n">
        <x:v>1401898</x:v>
      </x:c>
      <x:c r="CG331" s="11" t="n">
        <x:v>7990126</x:v>
      </x:c>
      <x:c r="CH331" s="11" t="n">
        <x:v>30068091</x:v>
      </x:c>
      <x:c r="CI331" s="11" t="n">
        <x:v>31054627</x:v>
      </x:c>
      <x:c r="CJ331" s="11" t="n">
        <x:v>10255671</x:v>
      </x:c>
      <x:c r="CK331" s="11" t="n">
        <x:v>8574586</x:v>
      </x:c>
      <x:c r="CL331" s="11" t="n">
        <x:v>7550057</x:v>
      </x:c>
      <x:c r="CM331" s="11"/>
      <x:c r="CN331" s="11" t="n">
        <x:v>0</x:v>
      </x:c>
      <x:c r="CO331" s="11" t="n">
        <x:v>0</x:v>
      </x:c>
      <x:c r="CP331" s="8"/>
      <x:c r="CQ331" s="8"/>
    </x:row>
    <x:row r="332">
      <x:c r="A332" s="8" t="str">
        <x:v>Kamloops|2023</x:v>
      </x:c>
      <x:c r="B332" s="8" t="str">
        <x:v>kamloops-c</x:v>
      </x:c>
      <x:c r="C332" s="8" t="str">
        <x:v>Kamloops</x:v>
      </x:c>
      <x:c r="D332" s="8" t="str">
        <x:v>Kamloops</x:v>
      </x:c>
      <x:c r="E332" s="8" t="str">
        <x:v>C</x:v>
      </x:c>
      <x:c r="F332" s="8" t="str">
        <x:v>TNR</x:v>
      </x:c>
      <x:c r="G332" s="9" t="n">
        <x:v>2023</x:v>
      </x:c>
      <x:c r="H332" s="10" t="n">
        <x:v>107254</x:v>
      </x:c>
      <x:c r="I332" s="8" t="str">
        <x:v>100,000 and over</x:v>
      </x:c>
      <x:c r="J332" s="11" t="n">
        <x:v>296733423</x:v>
      </x:c>
      <x:c r="K332" s="11" t="n">
        <x:v>250632105</x:v>
      </x:c>
      <x:c r="L332" s="11" t="n">
        <x:v>46101318</x:v>
      </x:c>
      <x:c r="M332" s="12" t="n">
        <x:v>0.15536274119009505</x:v>
      </x:c>
      <x:c r="N332" s="11" t="n">
        <x:v>141295421</x:v>
      </x:c>
      <x:c r="O332" s="11" t="n">
        <x:v>80228787</x:v>
      </x:c>
      <x:c r="P332" s="11" t="n">
        <x:v>42814001</x:v>
      </x:c>
      <x:c r="Q332" s="11" t="n">
        <x:v>32395214</x:v>
      </x:c>
      <x:c r="R332" s="11" t="n">
        <x:v>208334653</x:v>
      </x:c>
      <x:c r="S332" s="11" t="n">
        <x:v>38559200</x:v>
      </x:c>
      <x:c r="T332" s="11" t="n">
        <x:v>187601778</x:v>
      </x:c>
      <x:c r="U332" s="11" t="n">
        <x:v>231606864</x:v>
      </x:c>
      <x:c r="V332" s="11" t="n">
        <x:v>-8566552</x:v>
      </x:c>
      <x:c r="W332" s="11" t="n">
        <x:v>21261898</x:v>
      </x:c>
      <x:c r="X332" s="11" t="n">
        <x:v>69021681</x:v>
      </x:c>
      <x:c r="Y332" s="11" t="n">
        <x:v>0</x:v>
      </x:c>
      <x:c r="Z332" s="11" t="n">
        <x:v>10529676</x:v>
      </x:c>
      <x:c r="AA332" s="11" t="n">
        <x:v>56217401</x:v>
      </x:c>
      <x:c r="AB332" s="11" t="n">
        <x:v>3738252</x:v>
      </x:c>
      <x:c r="AC332" s="11" t="n">
        <x:v>14267928</x:v>
      </x:c>
      <x:c r="AD332" s="11" t="n">
        <x:v>57901876</x:v>
      </x:c>
      <x:c r="AE332" s="11" t="n">
        <x:v>43633948</x:v>
      </x:c>
      <x:c r="AF332" s="11" t="n">
        <x:v>231607502</x:v>
      </x:c>
      <x:c r="AG332" s="11" t="n">
        <x:v>2052164376</x:v>
      </x:c>
      <x:c r="AH332" s="11" t="n">
        <x:v>672178841</x:v>
      </x:c>
      <x:c r="AI332" s="11" t="n">
        <x:v>1379985535</x:v>
      </x:c>
      <x:c r="AJ332" s="11" t="n">
        <x:v>85272308</x:v>
      </x:c>
      <x:c r="AK332" s="11" t="n">
        <x:v>156514878</x:v>
      </x:c>
      <x:c r="AL332" s="11" t="n">
        <x:v>0</x:v>
      </x:c>
      <x:c r="AM332" s="12" t="n">
        <x:v>1</x:v>
      </x:c>
      <x:c r="AN332" s="12" t="n">
        <x:v>0.5448191832600093</x:v>
      </x:c>
      <x:c r="AO332" s="11" t="n">
        <x:v>208566274</x:v>
      </x:c>
      <x:c r="AP332" s="11" t="n">
        <x:v>163747506</x:v>
      </x:c>
      <x:c r="AQ332" s="12" t="n">
        <x:v>0.7851101851682886</x:v>
      </x:c>
      <x:c r="AR332" s="11" t="n">
        <x:v>2766.642018013314</x:v>
      </x:c>
      <x:c r="AS332" s="11" t="n">
        <x:v>2336.8089302030694</x:v>
      </x:c>
      <x:c r="AT332" s="11" t="n">
        <x:v>-79.87163182725119</x:v>
      </x:c>
      <x:c r="AU332" s="11" t="n">
        <x:v>198.23874167863204</x:v>
      </x:c>
      <x:c r="AV332" s="11" t="n">
        <x:v>524.1520223021985</x:v>
      </x:c>
      <x:c r="AW332" s="11" t="n">
        <x:v>0.8100009419409954</x:v>
      </x:c>
      <x:c r="AX332" s="12" t="n">
        <x:v>0.7535843570940604</x:v>
      </x:c>
      <x:c r="AY332" s="11"/>
      <x:c r="AZ332" s="11"/>
      <x:c r="BA332" s="11"/>
      <x:c r="BB332" s="11"/>
      <x:c r="BC332" s="11"/>
      <x:c r="BD332" s="11"/>
      <x:c r="BE332" s="11"/>
      <x:c r="BF332" s="11"/>
      <x:c r="BG332" s="11"/>
      <x:c r="BH332" s="11"/>
      <x:c r="BI332" s="11"/>
      <x:c r="BJ332" s="11"/>
      <x:c r="BK332" s="12"/>
      <x:c r="BL332" s="12"/>
      <x:c r="BM332" s="12"/>
      <x:c r="BN332" s="12"/>
      <x:c r="BO332" s="12"/>
      <x:c r="BP332" s="12"/>
      <x:c r="BQ332" s="12"/>
      <x:c r="BR332" s="12"/>
      <x:c r="BS332" s="12"/>
      <x:c r="BT332" s="12"/>
      <x:c r="BU332" s="11" t="n">
        <x:v>663686</x:v>
      </x:c>
      <x:c r="BV332" s="11" t="n">
        <x:v>36192488</x:v>
      </x:c>
      <x:c r="BW332" s="11" t="n">
        <x:v>5957827</x:v>
      </x:c>
      <x:c r="BX332" s="11" t="n">
        <x:v>9416051</x:v>
      </x:c>
      <x:c r="BY332" s="11" t="n">
        <x:v>0</x:v>
      </x:c>
      <x:c r="BZ332" s="11" t="n">
        <x:v>21838720</x:v>
      </x:c>
      <x:c r="CA332" s="11" t="n">
        <x:v>1140443</x:v>
      </x:c>
      <x:c r="CB332" s="11" t="n">
        <x:v>0</x:v>
      </x:c>
      <x:c r="CC332" s="11" t="n">
        <x:v>31445136</x:v>
      </x:c>
      <x:c r="CD332" s="11" t="n">
        <x:v>60808603</x:v>
      </x:c>
      <x:c r="CE332" s="11" t="n">
        <x:v>13225317</x:v>
      </x:c>
      <x:c r="CF332" s="11" t="n">
        <x:v>1371609</x:v>
      </x:c>
      <x:c r="CG332" s="11" t="n">
        <x:v>10014763</x:v>
      </x:c>
      <x:c r="CH332" s="11" t="n">
        <x:v>31095236</x:v>
      </x:c>
      <x:c r="CI332" s="11" t="n">
        <x:v>32648301</x:v>
      </x:c>
      <x:c r="CJ332" s="11" t="n">
        <x:v>14642217</x:v>
      </x:c>
      <x:c r="CK332" s="11" t="n">
        <x:v>8612788</x:v>
      </x:c>
      <x:c r="CL332" s="11" t="n">
        <x:v>6887266</x:v>
      </x:c>
      <x:c r="CM332" s="11" t="n">
        <x:v>1321669</x:v>
      </x:c>
      <x:c r="CN332" s="11" t="n">
        <x:v>0</x:v>
      </x:c>
      <x:c r="CO332" s="11" t="n">
        <x:v>0</x:v>
      </x:c>
      <x:c r="CP332" s="8"/>
      <x:c r="CQ332" s="8"/>
    </x:row>
    <x:row r="333">
      <x:c r="A333" s="8" t="str">
        <x:v>Kamloops|2024</x:v>
      </x:c>
      <x:c r="B333" s="8" t="str">
        <x:v>kamloops-c</x:v>
      </x:c>
      <x:c r="C333" s="8" t="str">
        <x:v>Kamloops</x:v>
      </x:c>
      <x:c r="D333" s="8" t="str">
        <x:v>Kamloops</x:v>
      </x:c>
      <x:c r="E333" s="8" t="str">
        <x:v>C</x:v>
      </x:c>
      <x:c r="F333" s="8" t="str">
        <x:v>TNR</x:v>
      </x:c>
      <x:c r="G333" s="9" t="n">
        <x:v>2024</x:v>
      </x:c>
      <x:c r="H333" s="10" t="n">
        <x:v>107254</x:v>
      </x:c>
      <x:c r="I333" s="8" t="str">
        <x:v>100,000 and over</x:v>
      </x:c>
      <x:c r="J333" s="11" t="n">
        <x:v>301426845</x:v>
      </x:c>
      <x:c r="K333" s="11" t="n">
        <x:v>274669108</x:v>
      </x:c>
      <x:c r="L333" s="11" t="n">
        <x:v>26757737</x:v>
      </x:c>
      <x:c r="M333" s="12" t="n">
        <x:v>0.08877025203246247</x:v>
      </x:c>
      <x:c r="N333" s="11" t="n">
        <x:v>156021699</x:v>
      </x:c>
      <x:c r="O333" s="11" t="n">
        <x:v>85215371</x:v>
      </x:c>
      <x:c r="P333" s="11" t="n">
        <x:v>29849199</x:v>
      </x:c>
      <x:c r="Q333" s="11" t="n">
        <x:v>30340576</x:v>
      </x:c>
      <x:c r="R333" s="11" t="n">
        <x:v>231449817</x:v>
      </x:c>
      <x:c r="S333" s="11" t="n">
        <x:v>39837500</x:v>
      </x:c>
      <x:c r="T333" s="11" t="n">
        <x:v>135538953</x:v>
      </x:c>
      <x:c r="U333" s="11" t="n">
        <x:v>229627032</x:v>
      </x:c>
      <x:c r="V333" s="11" t="n">
        <x:v>-52474071</x:v>
      </x:c>
      <x:c r="W333" s="11" t="n">
        <x:v>18677068</x:v>
      </x:c>
      <x:c r="X333" s="11" t="n">
        <x:v>56217401</x:v>
      </x:c>
      <x:c r="Y333" s="11" t="n">
        <x:v>0</x:v>
      </x:c>
      <x:c r="Z333" s="11" t="n">
        <x:v>6486797</x:v>
      </x:c>
      <x:c r="AA333" s="11" t="n">
        <x:v>47390764</x:v>
      </x:c>
      <x:c r="AB333" s="11" t="n">
        <x:v>3381791</x:v>
      </x:c>
      <x:c r="AC333" s="11" t="n">
        <x:v>9868588</x:v>
      </x:c>
      <x:c r="AD333" s="11" t="n">
        <x:v>62845863</x:v>
      </x:c>
      <x:c r="AE333" s="11" t="n">
        <x:v>52977275</x:v>
      </x:c>
      <x:c r="AF333" s="11" t="n">
        <x:v>251383451</x:v>
      </x:c>
      <x:c r="AG333" s="11" t="n">
        <x:v>2163104370</x:v>
      </x:c>
      <x:c r="AH333" s="11" t="n">
        <x:v>709204279</x:v>
      </x:c>
      <x:c r="AI333" s="11" t="n">
        <x:v>1453900091</x:v>
      </x:c>
      <x:c r="AJ333" s="11" t="n">
        <x:v>113964474</x:v>
      </x:c>
      <x:c r="AK333" s="11" t="n">
        <x:v>4366071878</x:v>
      </x:c>
      <x:c r="AL333" s="11" t="n">
        <x:v>130212397</x:v>
      </x:c>
      <x:c r="AM333" s="12" t="n">
        <x:v>0.9701763047795614</x:v>
      </x:c>
      <x:c r="AN333" s="12" t="n">
        <x:v>0.026102289926615816</x:v>
      </x:c>
      <x:c r="AO333" s="11" t="n">
        <x:v>227814377</x:v>
      </x:c>
      <x:c r="AP333" s="11" t="n">
        <x:v>180308144</x:v>
      </x:c>
      <x:c r="AQ333" s="12" t="n">
        <x:v>0.7914695568137914</x:v>
      </x:c>
      <x:c r="AR333" s="11" t="n">
        <x:v>2810.401896432767</x:v>
      </x:c>
      <x:c r="AS333" s="11" t="n">
        <x:v>2560.9218117739197</x:v>
      </x:c>
      <x:c r="AT333" s="11" t="n">
        <x:v>-489.2504801685718</x:v>
      </x:c>
      <x:c r="AU333" s="11" t="n">
        <x:v>174.13866149514237</x:v>
      </x:c>
      <x:c r="AV333" s="11" t="n">
        <x:v>441.8554459507338</x:v>
      </x:c>
      <x:c r="AW333" s="11" t="n">
        <x:v>0.5902569563325628</x:v>
      </x:c>
      <x:c r="AX333" s="12" t="n">
        <x:v>0.8429715572527026</x:v>
      </x:c>
      <x:c r="AY333" s="11" t="n">
        <x:v>3003.390678329474</x:v>
      </x:c>
      <x:c r="AZ333" s="11" t="n">
        <x:v>3546.5079302077975</x:v>
      </x:c>
      <x:c r="BA333" s="11" t="n">
        <x:v>2379.369597210911</x:v>
      </x:c>
      <x:c r="BB333" s="11" t="n">
        <x:v>2783.665107049771</x:v>
      </x:c>
      <x:c r="BC333" s="11" t="n">
        <x:v>2052.765446183268</x:v>
      </x:c>
      <x:c r="BD333" s="11" t="n">
        <x:v>2437.8724475115623</x:v>
      </x:c>
      <x:c r="BE333" s="11" t="n">
        <x:v>1093.3312652075697</x:v>
      </x:c>
      <x:c r="BF333" s="11" t="n">
        <x:v>1604.3462673977224</x:v>
      </x:c>
      <x:c r="BG333" s="11" t="n">
        <x:v>312.26099706744867</x:v>
      </x:c>
      <x:c r="BH333" s="11" t="n">
        <x:v>518.5374381567245</x:v>
      </x:c>
      <x:c r="BI333" s="11" t="n">
        <x:v>1.6357691597817738</x:v>
      </x:c>
      <x:c r="BJ333" s="11" t="n">
        <x:v>1.7099330852451193</x:v>
      </x:c>
      <x:c r="BK333" s="12" t="n">
        <x:v>0.025378934003535983</x:v>
      </x:c>
      <x:c r="BL333" s="12" t="n">
        <x:v>0.02529861000232605</x:v>
      </x:c>
      <x:c r="BM333" s="12" t="n">
        <x:v>0.9802497344746216</x:v>
      </x:c>
      <x:c r="BN333" s="12" t="n">
        <x:v>0.9815511712696461</x:v>
      </x:c>
      <x:c r="BO333" s="12" t="n">
        <x:v>0.9023585311053542</x:v>
      </x:c>
      <x:c r="BP333" s="12" t="n">
        <x:v>0.8619101997275483</x:v>
      </x:c>
      <x:c r="BQ333" s="12" t="n">
        <x:v>0.9669710895067201</x:v>
      </x:c>
      <x:c r="BR333" s="12" t="n">
        <x:v>0.9623635142836453</x:v>
      </x:c>
      <x:c r="BS333" s="12" t="n">
        <x:v>0.27009754429306687</x:v>
      </x:c>
      <x:c r="BT333" s="12" t="n">
        <x:v>0.19976549769108282</x:v>
      </x:c>
      <x:c r="BU333" s="11" t="n">
        <x:v>9068116</x:v>
      </x:c>
      <x:c r="BV333" s="11" t="n">
        <x:v>20777796</x:v>
      </x:c>
      <x:c r="BW333" s="11" t="n">
        <x:v>3287</x:v>
      </x:c>
      <x:c r="BX333" s="11" t="n">
        <x:v>9961585</x:v>
      </x:c>
      <x:c r="BY333" s="11" t="n">
        <x:v>0</x:v>
      </x:c>
      <x:c r="BZ333" s="11" t="n">
        <x:v>15155456</x:v>
      </x:c>
      <x:c r="CA333" s="11" t="n">
        <x:v>5223535</x:v>
      </x:c>
      <x:c r="CB333" s="11" t="n">
        <x:v>0</x:v>
      </x:c>
      <x:c r="CC333" s="11" t="n">
        <x:v>37133208</x:v>
      </x:c>
      <x:c r="CD333" s="11" t="n">
        <x:v>71232380</x:v>
      </x:c>
      <x:c r="CE333" s="11" t="n">
        <x:v>14119963</x:v>
      </x:c>
      <x:c r="CF333" s="11" t="n">
        <x:v>1455537</x:v>
      </x:c>
      <x:c r="CG333" s="11" t="n">
        <x:v>8674421</x:v>
      </x:c>
      <x:c r="CH333" s="11" t="n">
        <x:v>33400548</x:v>
      </x:c>
      <x:c r="CI333" s="11" t="n">
        <x:v>32675479</x:v>
      </x:c>
      <x:c r="CJ333" s="11" t="n">
        <x:v>14562614</x:v>
      </x:c>
      <x:c r="CK333" s="11" t="n">
        <x:v>10071435</x:v>
      </x:c>
      <x:c r="CL333" s="11" t="n">
        <x:v>10027436</x:v>
      </x:c>
      <x:c r="CM333" s="11" t="n">
        <x:v>1478587</x:v>
      </x:c>
      <x:c r="CN333" s="11" t="n">
        <x:v>0</x:v>
      </x:c>
      <x:c r="CO333" s="11" t="n">
        <x:v>0</x:v>
      </x:c>
      <x:c r="CP333" s="8"/>
      <x:c r="CQ333" s="8"/>
    </x:row>
    <x:row r="334">
      <x:c r="A334" s="8" t="str">
        <x:v>Kaslo|2019</x:v>
      </x:c>
      <x:c r="B334" s="8" t="str">
        <x:v>kaslo-v</x:v>
      </x:c>
      <x:c r="C334" s="8" t="str">
        <x:v>Kaslo</x:v>
      </x:c>
      <x:c r="D334" s="8" t="str">
        <x:v>Kaslo</x:v>
      </x:c>
      <x:c r="E334" s="8" t="str">
        <x:v>V</x:v>
      </x:c>
      <x:c r="F334" s="8" t="str">
        <x:v>CKO</x:v>
      </x:c>
      <x:c r="G334" s="9" t="n">
        <x:v>2019</x:v>
      </x:c>
      <x:c r="H334" s="10" t="n">
        <x:v>1024</x:v>
      </x:c>
      <x:c r="I334" s="8" t="str">
        <x:v>Under 5,000</x:v>
      </x:c>
      <x:c r="J334" s="11" t="n">
        <x:v>3072533</x:v>
      </x:c>
      <x:c r="K334" s="11" t="n">
        <x:v>1898339</x:v>
      </x:c>
      <x:c r="L334" s="11" t="n">
        <x:v>1174194</x:v>
      </x:c>
      <x:c r="M334" s="12" t="n">
        <x:v>0.38215830391406697</x:v>
      </x:c>
      <x:c r="N334" s="11" t="n">
        <x:v>712031</x:v>
      </x:c>
      <x:c r="O334" s="11" t="n">
        <x:v>745175</x:v>
      </x:c>
      <x:c r="P334" s="11" t="n">
        <x:v>1543305</x:v>
      </x:c>
      <x:c r="Q334" s="11" t="n">
        <x:v>72022</x:v>
      </x:c>
      <x:c r="R334" s="11" t="n">
        <x:v>1503302</x:v>
      </x:c>
      <x:c r="S334" s="11" t="n">
        <x:v>385863</x:v>
      </x:c>
      <x:c r="T334" s="11" t="n">
        <x:v>1952362</x:v>
      </x:c>
      <x:c r="U334" s="11" t="n">
        <x:v>688697</x:v>
      </x:c>
      <x:c r="V334" s="11" t="n">
        <x:v>1547206</x:v>
      </x:c>
      <x:c r="W334" s="11" t="n">
        <x:v>1253356</x:v>
      </x:c>
      <x:c r="X334" s="11" t="n">
        <x:v>181767</x:v>
      </x:c>
      <x:c r="Y334" s="11" t="n">
        <x:v>122000</x:v>
      </x:c>
      <x:c r="Z334" s="11" t="n">
        <x:v>112653</x:v>
      </x:c>
      <x:c r="AA334" s="11" t="n">
        <x:v>187167</x:v>
      </x:c>
      <x:c r="AB334" s="11" t="n">
        <x:v>9174</x:v>
      </x:c>
      <x:c r="AC334" s="11" t="n">
        <x:v>121827</x:v>
      </x:c>
      <x:c r="AD334" s="11" t="n">
        <x:v>469167</x:v>
      </x:c>
      <x:c r="AE334" s="11" t="n">
        <x:v>347340</x:v>
      </x:c>
      <x:c r="AF334" s="11" t="n">
        <x:v>1876667</x:v>
      </x:c>
      <x:c r="AG334" s="11" t="n">
        <x:v>16782818</x:v>
      </x:c>
      <x:c r="AH334" s="11" t="n">
        <x:v>7636898</x:v>
      </x:c>
      <x:c r="AI334" s="11" t="n">
        <x:v>9145920</x:v>
      </x:c>
      <x:c r="AJ334" s="11" t="n">
        <x:v>1358856</x:v>
      </x:c>
      <x:c r="AK334" s="11" t="n">
        <x:v>1590402</x:v>
      </x:c>
      <x:c r="AL334" s="11" t="n">
        <x:v>385863</x:v>
      </x:c>
      <x:c r="AM334" s="12" t="n">
        <x:v>0.7573802095319296</x:v>
      </x:c>
      <x:c r="AN334" s="12" t="n">
        <x:v>0.8544103943531258</x:v>
      </x:c>
      <x:c r="AO334" s="11" t="n">
        <x:v>1796939</x:v>
      </x:c>
      <x:c r="AP334" s="11" t="n">
        <x:v>1640204</x:v>
      </x:c>
      <x:c r="AQ334" s="12" t="n">
        <x:v>0.9127766718847996</x:v>
      </x:c>
      <x:c r="AR334" s="11" t="n">
        <x:v>3000.5205078125</x:v>
      </x:c>
      <x:c r="AS334" s="11" t="n">
        <x:v>1853.8466796875</x:v>
      </x:c>
      <x:c r="AT334" s="11" t="n">
        <x:v>1510.943359375</x:v>
      </x:c>
      <x:c r="AU334" s="11" t="n">
        <x:v>1223.98046875</x:v>
      </x:c>
      <x:c r="AV334" s="11" t="n">
        <x:v>182.7802734375</x:v>
      </x:c>
      <x:c r="AW334" s="11" t="n">
        <x:v>2.8348635176282166</x:v>
      </x:c>
      <x:c r="AX334" s="12" t="n">
        <x:v>0.7403333994078868</x:v>
      </x:c>
      <x:c r="AY334" s="11"/>
      <x:c r="AZ334" s="11"/>
      <x:c r="BA334" s="11"/>
      <x:c r="BB334" s="11"/>
      <x:c r="BC334" s="11"/>
      <x:c r="BD334" s="11"/>
      <x:c r="BE334" s="11"/>
      <x:c r="BF334" s="11"/>
      <x:c r="BG334" s="11"/>
      <x:c r="BH334" s="11"/>
      <x:c r="BI334" s="11"/>
      <x:c r="BJ334" s="11"/>
      <x:c r="BK334" s="12"/>
      <x:c r="BL334" s="12"/>
      <x:c r="BM334" s="12"/>
      <x:c r="BN334" s="12"/>
      <x:c r="BO334" s="12"/>
      <x:c r="BP334" s="12"/>
      <x:c r="BQ334" s="12"/>
      <x:c r="BR334" s="12"/>
      <x:c r="BS334" s="12"/>
      <x:c r="BT334" s="12"/>
      <x:c r="BU334" s="11" t="n">
        <x:v>41037</x:v>
      </x:c>
      <x:c r="BV334" s="11" t="n">
        <x:v>1444686</x:v>
      </x:c>
      <x:c r="BW334" s="11" t="n">
        <x:v>57582</x:v>
      </x:c>
      <x:c r="BX334" s="11" t="n">
        <x:v>57374</x:v>
      </x:c>
      <x:c r="BY334" s="11" t="n">
        <x:v>0</x:v>
      </x:c>
      <x:c r="BZ334" s="11" t="n">
        <x:v>0</x:v>
      </x:c>
      <x:c r="CA334" s="11" t="n">
        <x:v>14648</x:v>
      </x:c>
      <x:c r="CB334" s="11" t="n">
        <x:v>0</x:v>
      </x:c>
      <x:c r="CC334" s="11" t="n">
        <x:v>542540</x:v>
      </x:c>
      <x:c r="CD334" s="11" t="n">
        <x:v>67960</x:v>
      </x:c>
      <x:c r="CE334" s="11" t="n">
        <x:v>80776</x:v>
      </x:c>
      <x:c r="CF334" s="11" t="n">
        <x:v>1801</x:v>
      </x:c>
      <x:c r="CG334" s="11" t="n">
        <x:v>0</x:v>
      </x:c>
      <x:c r="CH334" s="11" t="n">
        <x:v>476100</x:v>
      </x:c>
      <x:c r="CI334" s="11" t="n">
        <x:v>24846</x:v>
      </x:c>
      <x:c r="CJ334" s="11" t="n">
        <x:v>202683</x:v>
      </x:c>
      <x:c r="CK334" s="11" t="n">
        <x:v>115770</x:v>
      </x:c>
      <x:c r="CL334" s="11" t="n">
        <x:v>0</x:v>
      </x:c>
      <x:c r="CM334" s="11"/>
      <x:c r="CN334" s="11" t="n">
        <x:v>0</x:v>
      </x:c>
      <x:c r="CO334" s="11" t="n">
        <x:v>0</x:v>
      </x:c>
      <x:c r="CP334" s="8"/>
      <x:c r="CQ334" s="8"/>
    </x:row>
    <x:row r="335">
      <x:c r="A335" s="8" t="str">
        <x:v>Kaslo|2020</x:v>
      </x:c>
      <x:c r="B335" s="8" t="str">
        <x:v>kaslo-v</x:v>
      </x:c>
      <x:c r="C335" s="8" t="str">
        <x:v>Kaslo</x:v>
      </x:c>
      <x:c r="D335" s="8" t="str">
        <x:v>Kaslo</x:v>
      </x:c>
      <x:c r="E335" s="8" t="str">
        <x:v>V</x:v>
      </x:c>
      <x:c r="F335" s="8" t="str">
        <x:v>CKO</x:v>
      </x:c>
      <x:c r="G335" s="9" t="n">
        <x:v>2020</x:v>
      </x:c>
      <x:c r="H335" s="10" t="n">
        <x:v>1031</x:v>
      </x:c>
      <x:c r="I335" s="8" t="str">
        <x:v>Under 5,000</x:v>
      </x:c>
      <x:c r="J335" s="11" t="n">
        <x:v>2903726</x:v>
      </x:c>
      <x:c r="K335" s="11" t="n">
        <x:v>2093684</x:v>
      </x:c>
      <x:c r="L335" s="11" t="n">
        <x:v>810042</x:v>
      </x:c>
      <x:c r="M335" s="12" t="n">
        <x:v>0.2789664038549092</x:v>
      </x:c>
      <x:c r="N335" s="11" t="n">
        <x:v>739928</x:v>
      </x:c>
      <x:c r="O335" s="11" t="n">
        <x:v>600649</x:v>
      </x:c>
      <x:c r="P335" s="11" t="n">
        <x:v>1077709</x:v>
      </x:c>
      <x:c r="Q335" s="11" t="n">
        <x:v>485440</x:v>
      </x:c>
      <x:c r="R335" s="11" t="n">
        <x:v>1672093</x:v>
      </x:c>
      <x:c r="S335" s="11" t="n">
        <x:v>414410</x:v>
      </x:c>
      <x:c r="T335" s="11" t="n">
        <x:v>2898483</x:v>
      </x:c>
      <x:c r="U335" s="11" t="n">
        <x:v>876904</x:v>
      </x:c>
      <x:c r="V335" s="11" t="n">
        <x:v>2354598</x:v>
      </x:c>
      <x:c r="W335" s="11" t="n">
        <x:v>1415171</x:v>
      </x:c>
      <x:c r="X335" s="11" t="n">
        <x:v>187167</x:v>
      </x:c>
      <x:c r="Y335" s="11" t="n">
        <x:v>0</x:v>
      </x:c>
      <x:c r="Z335" s="11" t="n">
        <x:v>58475</x:v>
      </x:c>
      <x:c r="AA335" s="11" t="n">
        <x:v>124087</x:v>
      </x:c>
      <x:c r="AB335" s="11" t="n">
        <x:v>7181</x:v>
      </x:c>
      <x:c r="AC335" s="11" t="n">
        <x:v>65656</x:v>
      </x:c>
      <x:c r="AD335" s="11" t="n">
        <x:v>501584</x:v>
      </x:c>
      <x:c r="AE335" s="11" t="n">
        <x:v>435928</x:v>
      </x:c>
      <x:c r="AF335" s="11" t="n">
        <x:v>2006336</x:v>
      </x:c>
      <x:c r="AG335" s="11" t="n">
        <x:v>17184431</x:v>
      </x:c>
      <x:c r="AH335" s="11" t="n">
        <x:v>8051308</x:v>
      </x:c>
      <x:c r="AI335" s="11" t="n">
        <x:v>9133123</x:v>
      </x:c>
      <x:c r="AJ335" s="11" t="n">
        <x:v>401615</x:v>
      </x:c>
      <x:c r="AK335" s="11" t="n">
        <x:v>1890402</x:v>
      </x:c>
      <x:c r="AL335" s="11" t="n">
        <x:v>0</x:v>
      </x:c>
      <x:c r="AM335" s="12" t="n">
        <x:v>1</x:v>
      </x:c>
      <x:c r="AN335" s="12" t="n">
        <x:v>0.21244952131874595</x:v>
      </x:c>
      <x:c r="AO335" s="11" t="n">
        <x:v>1878858</x:v>
      </x:c>
      <x:c r="AP335" s="11" t="n">
        <x:v>1751504</x:v>
      </x:c>
      <x:c r="AQ335" s="12" t="n">
        <x:v>0.9322173362755461</x:v>
      </x:c>
      <x:c r="AR335" s="11" t="n">
        <x:v>2816.4170708050437</x:v>
      </x:c>
      <x:c r="AS335" s="11" t="n">
        <x:v>2030.7313288069836</x:v>
      </x:c>
      <x:c r="AT335" s="11" t="n">
        <x:v>2283.800193986421</x:v>
      </x:c>
      <x:c r="AU335" s="11" t="n">
        <x:v>1372.6197866149369</x:v>
      </x:c>
      <x:c r="AV335" s="11" t="n">
        <x:v>120.35596508244423</x:v>
      </x:c>
      <x:c r="AW335" s="11" t="n">
        <x:v>3.305359537646082</x:v>
      </x:c>
      <x:c r="AX335" s="12" t="n">
        <x:v>0.8691026827012026</x:v>
      </x:c>
      <x:c r="AY335" s="11"/>
      <x:c r="AZ335" s="11"/>
      <x:c r="BA335" s="11"/>
      <x:c r="BB335" s="11"/>
      <x:c r="BC335" s="11"/>
      <x:c r="BD335" s="11"/>
      <x:c r="BE335" s="11"/>
      <x:c r="BF335" s="11"/>
      <x:c r="BG335" s="11"/>
      <x:c r="BH335" s="11"/>
      <x:c r="BI335" s="11"/>
      <x:c r="BJ335" s="11"/>
      <x:c r="BK335" s="12"/>
      <x:c r="BL335" s="12"/>
      <x:c r="BM335" s="12"/>
      <x:c r="BN335" s="12"/>
      <x:c r="BO335" s="12"/>
      <x:c r="BP335" s="12"/>
      <x:c r="BQ335" s="12"/>
      <x:c r="BR335" s="12"/>
      <x:c r="BS335" s="12"/>
      <x:c r="BT335" s="12"/>
      <x:c r="BU335" s="11" t="n">
        <x:v>0</x:v>
      </x:c>
      <x:c r="BV335" s="11" t="n">
        <x:v>1032712</x:v>
      </x:c>
      <x:c r="BW335" s="11" t="n">
        <x:v>44997</x:v>
      </x:c>
      <x:c r="BX335" s="11" t="n">
        <x:v>42886</x:v>
      </x:c>
      <x:c r="BY335" s="11" t="n">
        <x:v>0</x:v>
      </x:c>
      <x:c r="BZ335" s="11" t="n">
        <x:v>185397</x:v>
      </x:c>
      <x:c r="CA335" s="11" t="n">
        <x:v>0</x:v>
      </x:c>
      <x:c r="CB335" s="11" t="n">
        <x:v>257157</x:v>
      </x:c>
      <x:c r="CC335" s="11" t="n">
        <x:v>599482</x:v>
      </x:c>
      <x:c r="CD335" s="11" t="n">
        <x:v>10441</x:v>
      </x:c>
      <x:c r="CE335" s="11" t="n">
        <x:v>104998</x:v>
      </x:c>
      <x:c r="CF335" s="11" t="n">
        <x:v>0</x:v>
      </x:c>
      <x:c r="CG335" s="11" t="n">
        <x:v>0</x:v>
      </x:c>
      <x:c r="CH335" s="11" t="n">
        <x:v>343466</x:v>
      </x:c>
      <x:c r="CI335" s="11" t="n">
        <x:v>79022</x:v>
      </x:c>
      <x:c r="CJ335" s="11" t="n">
        <x:v>402882</x:v>
      </x:c>
      <x:c r="CK335" s="11" t="n">
        <x:v>116767</x:v>
      </x:c>
      <x:c r="CL335" s="11" t="n">
        <x:v>22216</x:v>
      </x:c>
      <x:c r="CM335" s="11"/>
      <x:c r="CN335" s="11" t="n">
        <x:v>0</x:v>
      </x:c>
      <x:c r="CO335" s="11" t="n">
        <x:v>0</x:v>
      </x:c>
      <x:c r="CP335" s="8"/>
      <x:c r="CQ335" s="8"/>
    </x:row>
    <x:row r="336">
      <x:c r="A336" s="8" t="str">
        <x:v>Kaslo|2021</x:v>
      </x:c>
      <x:c r="B336" s="8" t="str">
        <x:v>kaslo-v</x:v>
      </x:c>
      <x:c r="C336" s="8" t="str">
        <x:v>Kaslo</x:v>
      </x:c>
      <x:c r="D336" s="8" t="str">
        <x:v>Kaslo</x:v>
      </x:c>
      <x:c r="E336" s="8" t="str">
        <x:v>V</x:v>
      </x:c>
      <x:c r="F336" s="8" t="str">
        <x:v>CKO</x:v>
      </x:c>
      <x:c r="G336" s="9" t="n">
        <x:v>2021</x:v>
      </x:c>
      <x:c r="H336" s="10" t="n">
        <x:v>1039</x:v>
      </x:c>
      <x:c r="I336" s="8" t="str">
        <x:v>Under 5,000</x:v>
      </x:c>
      <x:c r="J336" s="11" t="n">
        <x:v>3122949</x:v>
      </x:c>
      <x:c r="K336" s="11" t="n">
        <x:v>2310762</x:v>
      </x:c>
      <x:c r="L336" s="11" t="n">
        <x:v>812187</x:v>
      </x:c>
      <x:c r="M336" s="12" t="n">
        <x:v>0.2600705294899148</x:v>
      </x:c>
      <x:c r="N336" s="11" t="n">
        <x:v>794847</x:v>
      </x:c>
      <x:c r="O336" s="11" t="n">
        <x:v>745193</x:v>
      </x:c>
      <x:c r="P336" s="11" t="n">
        <x:v>994498</x:v>
      </x:c>
      <x:c r="Q336" s="11" t="n">
        <x:v>588411</x:v>
      </x:c>
      <x:c r="R336" s="11" t="n">
        <x:v>1872828</x:v>
      </x:c>
      <x:c r="S336" s="11" t="n">
        <x:v>437147</x:v>
      </x:c>
      <x:c r="T336" s="11" t="n">
        <x:v>3646558</x:v>
      </x:c>
      <x:c r="U336" s="11" t="n">
        <x:v>908635</x:v>
      </x:c>
      <x:c r="V336" s="11" t="n">
        <x:v>2963500</x:v>
      </x:c>
      <x:c r="W336" s="11" t="n">
        <x:v>1892613</x:v>
      </x:c>
      <x:c r="X336" s="11" t="n">
        <x:v>124087</x:v>
      </x:c>
      <x:c r="Y336" s="11" t="n">
        <x:v>0</x:v>
      </x:c>
      <x:c r="Z336" s="11" t="n">
        <x:v>59363</x:v>
      </x:c>
      <x:c r="AA336" s="11" t="n">
        <x:v>59435</x:v>
      </x:c>
      <x:c r="AB336" s="11" t="n">
        <x:v>787</x:v>
      </x:c>
      <x:c r="AC336" s="11" t="n">
        <x:v>60150</x:v>
      </x:c>
      <x:c r="AD336" s="11" t="n">
        <x:v>567659</x:v>
      </x:c>
      <x:c r="AE336" s="11" t="n">
        <x:v>507509</x:v>
      </x:c>
      <x:c r="AF336" s="11" t="n">
        <x:v>2270634</x:v>
      </x:c>
      <x:c r="AG336" s="11" t="n">
        <x:v>17840103</x:v>
      </x:c>
      <x:c r="AH336" s="11" t="n">
        <x:v>8547888</x:v>
      </x:c>
      <x:c r="AI336" s="11" t="n">
        <x:v>9292215</x:v>
      </x:c>
      <x:c r="AJ336" s="11" t="n">
        <x:v>655672</x:v>
      </x:c>
      <x:c r="AK336" s="11" t="n">
        <x:v>1890402</x:v>
      </x:c>
      <x:c r="AL336" s="11" t="n">
        <x:v>0</x:v>
      </x:c>
      <x:c r="AM336" s="12" t="n">
        <x:v>1</x:v>
      </x:c>
      <x:c r="AN336" s="12" t="n">
        <x:v>0.3468426292397067</x:v>
      </x:c>
      <x:c r="AO336" s="11" t="n">
        <x:v>2036136</x:v>
      </x:c>
      <x:c r="AP336" s="11" t="n">
        <x:v>1985174</x:v>
      </x:c>
      <x:c r="AQ336" s="12" t="n">
        <x:v>0.9749712199970926</x:v>
      </x:c>
      <x:c r="AR336" s="11" t="n">
        <x:v>3005.725697786333</x:v>
      </x:c>
      <x:c r="AS336" s="11" t="n">
        <x:v>2224.025024061598</x:v>
      </x:c>
      <x:c r="AT336" s="11" t="n">
        <x:v>2852.261790182868</x:v>
      </x:c>
      <x:c r="AU336" s="11" t="n">
        <x:v>1821.5717035611165</x:v>
      </x:c>
      <x:c r="AV336" s="11" t="n">
        <x:v>57.20404234841193</x:v>
      </x:c>
      <x:c r="AW336" s="11" t="n">
        <x:v>4.013226433056178</x:v>
      </x:c>
      <x:c r="AX336" s="12" t="n">
        <x:v>0.8940384984647474</x:v>
      </x:c>
      <x:c r="AY336" s="11"/>
      <x:c r="AZ336" s="11"/>
      <x:c r="BA336" s="11"/>
      <x:c r="BB336" s="11"/>
      <x:c r="BC336" s="11"/>
      <x:c r="BD336" s="11"/>
      <x:c r="BE336" s="11"/>
      <x:c r="BF336" s="11"/>
      <x:c r="BG336" s="11"/>
      <x:c r="BH336" s="11"/>
      <x:c r="BI336" s="11"/>
      <x:c r="BJ336" s="11"/>
      <x:c r="BK336" s="12"/>
      <x:c r="BL336" s="12"/>
      <x:c r="BM336" s="12"/>
      <x:c r="BN336" s="12"/>
      <x:c r="BO336" s="12"/>
      <x:c r="BP336" s="12"/>
      <x:c r="BQ336" s="12"/>
      <x:c r="BR336" s="12"/>
      <x:c r="BS336" s="12"/>
      <x:c r="BT336" s="12"/>
      <x:c r="BU336" s="11" t="n">
        <x:v>3192</x:v>
      </x:c>
      <x:c r="BV336" s="11" t="n">
        <x:v>663885</x:v>
      </x:c>
      <x:c r="BW336" s="11" t="n">
        <x:v>327421</x:v>
      </x:c>
      <x:c r="BX336" s="11" t="n">
        <x:v>32950</x:v>
      </x:c>
      <x:c r="BY336" s="11" t="n">
        <x:v>0</x:v>
      </x:c>
      <x:c r="BZ336" s="11" t="n">
        <x:v>0</x:v>
      </x:c>
      <x:c r="CA336" s="11" t="n">
        <x:v>219903</x:v>
      </x:c>
      <x:c r="CB336" s="11" t="n">
        <x:v>335558</x:v>
      </x:c>
      <x:c r="CC336" s="11" t="n">
        <x:v>613095</x:v>
      </x:c>
      <x:c r="CD336" s="11" t="n">
        <x:v>119850</x:v>
      </x:c>
      <x:c r="CE336" s="11" t="n">
        <x:v>97604</x:v>
      </x:c>
      <x:c r="CF336" s="11" t="n">
        <x:v>0</x:v>
      </x:c>
      <x:c r="CG336" s="11" t="n">
        <x:v>21521</x:v>
      </x:c>
      <x:c r="CH336" s="11" t="n">
        <x:v>344712</x:v>
      </x:c>
      <x:c r="CI336" s="11" t="n">
        <x:v>113063</x:v>
      </x:c>
      <x:c r="CJ336" s="11" t="n">
        <x:v>380040</x:v>
      </x:c>
      <x:c r="CK336" s="11" t="n">
        <x:v>163331</x:v>
      </x:c>
      <x:c r="CL336" s="11" t="n">
        <x:v>20399</x:v>
      </x:c>
      <x:c r="CM336" s="11"/>
      <x:c r="CN336" s="11" t="n">
        <x:v>0</x:v>
      </x:c>
      <x:c r="CO336" s="11" t="n">
        <x:v>0</x:v>
      </x:c>
      <x:c r="CP336" s="8"/>
      <x:c r="CQ336" s="8"/>
    </x:row>
    <x:row r="337">
      <x:c r="A337" s="8" t="str">
        <x:v>Kaslo|2022</x:v>
      </x:c>
      <x:c r="B337" s="8" t="str">
        <x:v>kaslo-v</x:v>
      </x:c>
      <x:c r="C337" s="8" t="str">
        <x:v>Kaslo</x:v>
      </x:c>
      <x:c r="D337" s="8" t="str">
        <x:v>Kaslo</x:v>
      </x:c>
      <x:c r="E337" s="8" t="str">
        <x:v>V</x:v>
      </x:c>
      <x:c r="F337" s="8" t="str">
        <x:v>CKO</x:v>
      </x:c>
      <x:c r="G337" s="9" t="n">
        <x:v>2022</x:v>
      </x:c>
      <x:c r="H337" s="10" t="n">
        <x:v>153385</x:v>
      </x:c>
      <x:c r="I337" s="8" t="str">
        <x:v>100,000 and over</x:v>
      </x:c>
      <x:c r="J337" s="11" t="n">
        <x:v>3170318</x:v>
      </x:c>
      <x:c r="K337" s="11" t="n">
        <x:v>2636281</x:v>
      </x:c>
      <x:c r="L337" s="11" t="n">
        <x:v>534037</x:v>
      </x:c>
      <x:c r="M337" s="12" t="n">
        <x:v>0.16844903255761726</x:v>
      </x:c>
      <x:c r="N337" s="11" t="n">
        <x:v>806669</x:v>
      </x:c>
      <x:c r="O337" s="11" t="n">
        <x:v>906900</x:v>
      </x:c>
      <x:c r="P337" s="11" t="n">
        <x:v>1200836</x:v>
      </x:c>
      <x:c r="Q337" s="11" t="n">
        <x:v>255913</x:v>
      </x:c>
      <x:c r="R337" s="11" t="n">
        <x:v>2163620</x:v>
      </x:c>
      <x:c r="S337" s="11" t="n">
        <x:v>471696</x:v>
      </x:c>
      <x:c r="T337" s="11" t="n">
        <x:v>4190314</x:v>
      </x:c>
      <x:c r="U337" s="11" t="n">
        <x:v>1931476</x:v>
      </x:c>
      <x:c r="V337" s="11" t="n">
        <x:v>2723617</x:v>
      </x:c>
      <x:c r="W337" s="11" t="n">
        <x:v>1850473</x:v>
      </x:c>
      <x:c r="X337" s="11" t="n">
        <x:v>59435</x:v>
      </x:c>
      <x:c r="Y337" s="11" t="n">
        <x:v>0</x:v>
      </x:c>
      <x:c r="Z337" s="11" t="n">
        <x:v>27443</x:v>
      </x:c>
      <x:c r="AA337" s="11" t="n">
        <x:v>31992</x:v>
      </x:c>
      <x:c r="AB337" s="11" t="n">
        <x:v>965</x:v>
      </x:c>
      <x:c r="AC337" s="11" t="n">
        <x:v>28408</x:v>
      </x:c>
      <x:c r="AD337" s="11" t="n">
        <x:v>562558</x:v>
      </x:c>
      <x:c r="AE337" s="11" t="n">
        <x:v>534150</x:v>
      </x:c>
      <x:c r="AF337" s="11" t="n">
        <x:v>2250233</x:v>
      </x:c>
      <x:c r="AG337" s="11" t="n">
        <x:v>19034123</x:v>
      </x:c>
      <x:c r="AH337" s="11" t="n">
        <x:v>8923194</x:v>
      </x:c>
      <x:c r="AI337" s="11" t="n">
        <x:v>10110929</x:v>
      </x:c>
      <x:c r="AJ337" s="11" t="n">
        <x:v>1278188</x:v>
      </x:c>
      <x:c r="AK337" s="11" t="n">
        <x:v>1851445</x:v>
      </x:c>
      <x:c r="AL337" s="11" t="n">
        <x:v>0</x:v>
      </x:c>
      <x:c r="AM337" s="12" t="n">
        <x:v>1</x:v>
      </x:c>
      <x:c r="AN337" s="12" t="n">
        <x:v>0.6903731949909395</x:v>
      </x:c>
      <x:c r="AO337" s="11" t="n">
        <x:v>2045058</x:v>
      </x:c>
      <x:c r="AP337" s="11" t="n">
        <x:v>2009602</x:v>
      </x:c>
      <x:c r="AQ337" s="12" t="n">
        <x:v>0.9826625944105253</x:v>
      </x:c>
      <x:c r="AR337" s="11" t="n">
        <x:v>20.6690223946279</x:v>
      </x:c>
      <x:c r="AS337" s="11" t="n">
        <x:v>17.1873455683411</x:v>
      </x:c>
      <x:c r="AT337" s="11" t="n">
        <x:v>17.75673631711054</x:v>
      </x:c>
      <x:c r="AU337" s="11" t="n">
        <x:v>12.06423705055905</x:v>
      </x:c>
      <x:c r="AV337" s="11" t="n">
        <x:v>0.20857319816148906</x:v>
      </x:c>
      <x:c r="AW337" s="11" t="n">
        <x:v>2.169487997779936</x:v>
      </x:c>
      <x:c r="AX337" s="12" t="n">
        <x:v>0.9495020957839014</x:v>
      </x:c>
      <x:c r="AY337" s="11"/>
      <x:c r="AZ337" s="11"/>
      <x:c r="BA337" s="11"/>
      <x:c r="BB337" s="11"/>
      <x:c r="BC337" s="11"/>
      <x:c r="BD337" s="11"/>
      <x:c r="BE337" s="11"/>
      <x:c r="BF337" s="11"/>
      <x:c r="BG337" s="11"/>
      <x:c r="BH337" s="11"/>
      <x:c r="BI337" s="11"/>
      <x:c r="BJ337" s="11"/>
      <x:c r="BK337" s="12"/>
      <x:c r="BL337" s="12"/>
      <x:c r="BM337" s="12"/>
      <x:c r="BN337" s="12"/>
      <x:c r="BO337" s="12"/>
      <x:c r="BP337" s="12"/>
      <x:c r="BQ337" s="12"/>
      <x:c r="BR337" s="12"/>
      <x:c r="BS337" s="12"/>
      <x:c r="BT337" s="12"/>
      <x:c r="BU337" s="11" t="n">
        <x:v>23755</x:v>
      </x:c>
      <x:c r="BV337" s="11" t="n">
        <x:v>1089201</x:v>
      </x:c>
      <x:c r="BW337" s="11" t="n">
        <x:v>87880</x:v>
      </x:c>
      <x:c r="BX337" s="11" t="n">
        <x:v>79664</x:v>
      </x:c>
      <x:c r="BY337" s="11" t="n">
        <x:v>0</x:v>
      </x:c>
      <x:c r="BZ337" s="11" t="n">
        <x:v>141694</x:v>
      </x:c>
      <x:c r="CA337" s="11" t="n">
        <x:v>34555</x:v>
      </x:c>
      <x:c r="CB337" s="11" t="n">
        <x:v>0</x:v>
      </x:c>
      <x:c r="CC337" s="11" t="n">
        <x:v>876554</x:v>
      </x:c>
      <x:c r="CD337" s="11" t="n">
        <x:v>373142</x:v>
      </x:c>
      <x:c r="CE337" s="11" t="n">
        <x:v>95972</x:v>
      </x:c>
      <x:c r="CF337" s="11" t="n">
        <x:v>0</x:v>
      </x:c>
      <x:c r="CG337" s="11" t="n">
        <x:v>0</x:v>
      </x:c>
      <x:c r="CH337" s="11" t="n">
        <x:v>309058</x:v>
      </x:c>
      <x:c r="CI337" s="11" t="n">
        <x:v>110119</x:v>
      </x:c>
      <x:c r="CJ337" s="11" t="n">
        <x:v>230437</x:v>
      </x:c>
      <x:c r="CK337" s="11" t="n">
        <x:v>122101</x:v>
      </x:c>
      <x:c r="CL337" s="11" t="n">
        <x:v>0</x:v>
      </x:c>
      <x:c r="CM337" s="11"/>
      <x:c r="CN337" s="11" t="n">
        <x:v>47202</x:v>
      </x:c>
      <x:c r="CO337" s="11" t="n">
        <x:v>0</x:v>
      </x:c>
      <x:c r="CP337" s="8"/>
      <x:c r="CQ337" s="8"/>
    </x:row>
    <x:row r="338">
      <x:c r="A338" s="8" t="str">
        <x:v>Kaslo|2023</x:v>
      </x:c>
      <x:c r="B338" s="8" t="str">
        <x:v>kaslo-v</x:v>
      </x:c>
      <x:c r="C338" s="8" t="str">
        <x:v>Kaslo</x:v>
      </x:c>
      <x:c r="D338" s="8" t="str">
        <x:v>Kaslo</x:v>
      </x:c>
      <x:c r="E338" s="8" t="str">
        <x:v>V</x:v>
      </x:c>
      <x:c r="F338" s="8" t="str">
        <x:v>CKO</x:v>
      </x:c>
      <x:c r="G338" s="9" t="n">
        <x:v>2023</x:v>
      </x:c>
      <x:c r="H338" s="10" t="n">
        <x:v>1069</x:v>
      </x:c>
      <x:c r="I338" s="8" t="str">
        <x:v>Under 5,000</x:v>
      </x:c>
      <x:c r="J338" s="11" t="n">
        <x:v>4123720</x:v>
      </x:c>
      <x:c r="K338" s="11" t="n">
        <x:v>2954592</x:v>
      </x:c>
      <x:c r="L338" s="11" t="n">
        <x:v>1169128</x:v>
      </x:c>
      <x:c r="M338" s="12" t="n">
        <x:v>0.2835129446228163</x:v>
      </x:c>
      <x:c r="N338" s="11" t="n">
        <x:v>882307</x:v>
      </x:c>
      <x:c r="O338" s="11" t="n">
        <x:v>831410</x:v>
      </x:c>
      <x:c r="P338" s="11" t="n">
        <x:v>2072117</x:v>
      </x:c>
      <x:c r="Q338" s="11" t="n">
        <x:v>337886</x:v>
      </x:c>
      <x:c r="R338" s="11" t="n">
        <x:v>2393971</x:v>
      </x:c>
      <x:c r="S338" s="11" t="n">
        <x:v>559557</x:v>
      </x:c>
      <x:c r="T338" s="11" t="n">
        <x:v>5314628</x:v>
      </x:c>
      <x:c r="U338" s="11" t="n">
        <x:v>1973720</x:v>
      </x:c>
      <x:c r="V338" s="11" t="n">
        <x:v>3712293</x:v>
      </x:c>
      <x:c r="W338" s="11" t="n">
        <x:v>3234723</x:v>
      </x:c>
      <x:c r="X338" s="11" t="n">
        <x:v>31992</x:v>
      </x:c>
      <x:c r="Y338" s="11" t="n">
        <x:v>0</x:v>
      </x:c>
      <x:c r="Z338" s="11" t="n">
        <x:v>24900</x:v>
      </x:c>
      <x:c r="AA338" s="11" t="n">
        <x:v>7092</x:v>
      </x:c>
      <x:c r="AB338" s="11" t="n">
        <x:v>1064</x:v>
      </x:c>
      <x:c r="AC338" s="11" t="n">
        <x:v>25964</x:v>
      </x:c>
      <x:c r="AD338" s="11" t="n">
        <x:v>555081</x:v>
      </x:c>
      <x:c r="AE338" s="11" t="n">
        <x:v>529117</x:v>
      </x:c>
      <x:c r="AF338" s="11" t="n">
        <x:v>2220324</x:v>
      </x:c>
      <x:c r="AG338" s="11" t="n">
        <x:v>19595944</x:v>
      </x:c>
      <x:c r="AH338" s="11" t="n">
        <x:v>9426861</x:v>
      </x:c>
      <x:c r="AI338" s="11" t="n">
        <x:v>10169083</x:v>
      </x:c>
      <x:c r="AJ338" s="11" t="n">
        <x:v>458493</x:v>
      </x:c>
      <x:c r="AK338" s="11" t="n">
        <x:v>75631219</x:v>
      </x:c>
      <x:c r="AL338" s="11" t="n">
        <x:v>1560159</x:v>
      </x:c>
      <x:c r="AM338" s="12" t="n">
        <x:v>0.9793714947262717</x:v>
      </x:c>
      <x:c r="AN338" s="12" t="n">
        <x:v>0.006062218830559904</x:v>
      </x:c>
      <x:c r="AO338" s="11" t="n">
        <x:v>2271284</x:v>
      </x:c>
      <x:c r="AP338" s="11" t="n">
        <x:v>2214396</x:v>
      </x:c>
      <x:c r="AQ338" s="12" t="n">
        <x:v>0.9749533743908732</x:v>
      </x:c>
      <x:c r="AR338" s="11" t="n">
        <x:v>3857.5491113189896</x:v>
      </x:c>
      <x:c r="AS338" s="11" t="n">
        <x:v>2763.884003741815</x:v>
      </x:c>
      <x:c r="AT338" s="11" t="n">
        <x:v>3472.6782039289055</x:v>
      </x:c>
      <x:c r="AU338" s="11" t="n">
        <x:v>3025.933582787652</x:v>
      </x:c>
      <x:c r="AV338" s="11" t="n">
        <x:v>6.634237605238541</x:v>
      </x:c>
      <x:c r="AW338" s="11" t="n">
        <x:v>2.6926960257787327</x:v>
      </x:c>
      <x:c r="AX338" s="12" t="n">
        <x:v>0.9532248446623105</x:v>
      </x:c>
      <x:c r="AY338" s="11"/>
      <x:c r="AZ338" s="11"/>
      <x:c r="BA338" s="11"/>
      <x:c r="BB338" s="11"/>
      <x:c r="BC338" s="11"/>
      <x:c r="BD338" s="11"/>
      <x:c r="BE338" s="11"/>
      <x:c r="BF338" s="11"/>
      <x:c r="BG338" s="11"/>
      <x:c r="BH338" s="11"/>
      <x:c r="BI338" s="11"/>
      <x:c r="BJ338" s="11"/>
      <x:c r="BK338" s="12"/>
      <x:c r="BL338" s="12"/>
      <x:c r="BM338" s="12"/>
      <x:c r="BN338" s="12"/>
      <x:c r="BO338" s="12"/>
      <x:c r="BP338" s="12"/>
      <x:c r="BQ338" s="12"/>
      <x:c r="BR338" s="12"/>
      <x:c r="BS338" s="12"/>
      <x:c r="BT338" s="12"/>
      <x:c r="BU338" s="11" t="n">
        <x:v>0</x:v>
      </x:c>
      <x:c r="BV338" s="11" t="n">
        <x:v>1905902</x:v>
      </x:c>
      <x:c r="BW338" s="11" t="n">
        <x:v>166215</x:v>
      </x:c>
      <x:c r="BX338" s="11" t="n">
        <x:v>154407</x:v>
      </x:c>
      <x:c r="BY338" s="11" t="n">
        <x:v>0</x:v>
      </x:c>
      <x:c r="BZ338" s="11" t="n">
        <x:v>183479</x:v>
      </x:c>
      <x:c r="CA338" s="11" t="n">
        <x:v>0</x:v>
      </x:c>
      <x:c r="CB338" s="11" t="n">
        <x:v>0</x:v>
      </x:c>
      <x:c r="CC338" s="11" t="n">
        <x:v>1046634</x:v>
      </x:c>
      <x:c r="CD338" s="11" t="n">
        <x:v>416113</x:v>
      </x:c>
      <x:c r="CE338" s="11" t="n">
        <x:v>369997</x:v>
      </x:c>
      <x:c r="CF338" s="11" t="n">
        <x:v>0</x:v>
      </x:c>
      <x:c r="CG338" s="11" t="n">
        <x:v>0</x:v>
      </x:c>
      <x:c r="CH338" s="11" t="n">
        <x:v>12512</x:v>
      </x:c>
      <x:c r="CI338" s="11" t="n">
        <x:v>145816</x:v>
      </x:c>
      <x:c r="CJ338" s="11" t="n">
        <x:v>219097</x:v>
      </x:c>
      <x:c r="CK338" s="11" t="n">
        <x:v>119436</x:v>
      </x:c>
      <x:c r="CL338" s="11" t="n">
        <x:v>0</x:v>
      </x:c>
      <x:c r="CM338" s="11" t="n">
        <x:v>9674</x:v>
      </x:c>
      <x:c r="CN338" s="11" t="n">
        <x:v>55756</x:v>
      </x:c>
      <x:c r="CO338" s="11" t="n">
        <x:v>0</x:v>
      </x:c>
      <x:c r="CP338" s="8"/>
      <x:c r="CQ338" s="8"/>
    </x:row>
    <x:row r="339">
      <x:c r="A339" s="8" t="str">
        <x:v>Kaslo|2024</x:v>
      </x:c>
      <x:c r="B339" s="8" t="str">
        <x:v>kaslo-v</x:v>
      </x:c>
      <x:c r="C339" s="8" t="str">
        <x:v>Kaslo</x:v>
      </x:c>
      <x:c r="D339" s="8" t="str">
        <x:v>Kaslo</x:v>
      </x:c>
      <x:c r="E339" s="8" t="str">
        <x:v>V</x:v>
      </x:c>
      <x:c r="F339" s="8" t="str">
        <x:v>CKO</x:v>
      </x:c>
      <x:c r="G339" s="9" t="n">
        <x:v>2024</x:v>
      </x:c>
      <x:c r="H339" s="10" t="n">
        <x:v>1069</x:v>
      </x:c>
      <x:c r="I339" s="8" t="str">
        <x:v>Under 5,000</x:v>
      </x:c>
      <x:c r="J339" s="11" t="n">
        <x:v>3771545</x:v>
      </x:c>
      <x:c r="K339" s="11" t="n">
        <x:v>3106093</x:v>
      </x:c>
      <x:c r="L339" s="11" t="n">
        <x:v>665452</x:v>
      </x:c>
      <x:c r="M339" s="12" t="n">
        <x:v>0.17644015913902658</x:v>
      </x:c>
      <x:c r="N339" s="11" t="n">
        <x:v>923746</x:v>
      </x:c>
      <x:c r="O339" s="11" t="n">
        <x:v>883704</x:v>
      </x:c>
      <x:c r="P339" s="11" t="n">
        <x:v>1377225</x:v>
      </x:c>
      <x:c r="Q339" s="11" t="n">
        <x:v>586870</x:v>
      </x:c>
      <x:c r="R339" s="11" t="n">
        <x:v>2591343</x:v>
      </x:c>
      <x:c r="S339" s="11" t="n">
        <x:v>514678</x:v>
      </x:c>
      <x:c r="T339" s="11" t="n">
        <x:v>6228685</x:v>
      </x:c>
      <x:c r="U339" s="11" t="n">
        <x:v>1999676</x:v>
      </x:c>
      <x:c r="V339" s="11" t="n">
        <x:v>4554403</x:v>
      </x:c>
      <x:c r="W339" s="11" t="n">
        <x:v>3987118</x:v>
      </x:c>
      <x:c r="X339" s="11" t="n">
        <x:v>7092</x:v>
      </x:c>
      <x:c r="Y339" s="11" t="n">
        <x:v>0</x:v>
      </x:c>
      <x:c r="Z339" s="11" t="n">
        <x:v>7092</x:v>
      </x:c>
      <x:c r="AA339" s="11" t="n">
        <x:v>0</x:v>
      </x:c>
      <x:c r="AB339" s="11" t="n">
        <x:v>72</x:v>
      </x:c>
      <x:c r="AC339" s="11" t="n">
        <x:v>7164</x:v>
      </x:c>
      <x:c r="AD339" s="11" t="n">
        <x:v>618092</x:v>
      </x:c>
      <x:c r="AE339" s="11" t="n">
        <x:v>610928</x:v>
      </x:c>
      <x:c r="AF339" s="11" t="n">
        <x:v>2472366</x:v>
      </x:c>
      <x:c r="AG339" s="11" t="n">
        <x:v>19929329</x:v>
      </x:c>
      <x:c r="AH339" s="11" t="n">
        <x:v>9941489</x:v>
      </x:c>
      <x:c r="AI339" s="11" t="n">
        <x:v>9987840</x:v>
      </x:c>
      <x:c r="AJ339" s="11" t="n">
        <x:v>331757</x:v>
      </x:c>
      <x:c r="AK339" s="11" t="n">
        <x:v>86937307</x:v>
      </x:c>
      <x:c r="AL339" s="11" t="n">
        <x:v>1841256</x:v>
      </x:c>
      <x:c r="AM339" s="12" t="n">
        <x:v>0.9788208760595725</x:v>
      </x:c>
      <x:c r="AN339" s="12" t="n">
        <x:v>0.003816048730379928</x:v>
      </x:c>
      <x:c r="AO339" s="11" t="n">
        <x:v>2397812</x:v>
      </x:c>
      <x:c r="AP339" s="11" t="n">
        <x:v>2330816</x:v>
      </x:c>
      <x:c r="AQ339" s="12" t="n">
        <x:v>0.9720595276026645</x:v>
      </x:c>
      <x:c r="AR339" s="11" t="n">
        <x:v>3528.10570626754</x:v>
      </x:c>
      <x:c r="AS339" s="11" t="n">
        <x:v>2905.606173994387</x:v>
      </x:c>
      <x:c r="AT339" s="11" t="n">
        <x:v>4260.433115060804</x:v>
      </x:c>
      <x:c r="AU339" s="11" t="n">
        <x:v>3729.7642656688495</x:v>
      </x:c>
      <x:c r="AV339" s="11" t="n">
        <x:v>0</x:v>
      </x:c>
      <x:c r="AW339" s="11" t="n">
        <x:v>3.1148471052310476</x:v>
      </x:c>
      <x:c r="AX339" s="12" t="n">
        <x:v>0.9884094924380189</x:v>
      </x:c>
      <x:c r="AY339" s="11" t="n">
        <x:v>4648.097865362712</x:v>
      </x:c>
      <x:c r="AZ339" s="11" t="n">
        <x:v>3546.5079302077975</x:v>
      </x:c>
      <x:c r="BA339" s="11" t="n">
        <x:v>3428.422456291105</x:v>
      </x:c>
      <x:c r="BB339" s="11" t="n">
        <x:v>2783.665107049771</x:v>
      </x:c>
      <x:c r="BC339" s="11" t="n">
        <x:v>5030.364110900993</x:v>
      </x:c>
      <x:c r="BD339" s="11" t="n">
        <x:v>2437.8724475115623</x:v>
      </x:c>
      <x:c r="BE339" s="11" t="n">
        <x:v>2420.45</x:v>
      </x:c>
      <x:c r="BF339" s="11" t="n">
        <x:v>1604.3462673977224</x:v>
      </x:c>
      <x:c r="BG339" s="11" t="n">
        <x:v>224.31236112962716</x:v>
      </x:c>
      <x:c r="BH339" s="11" t="n">
        <x:v>518.5374381567245</x:v>
      </x:c>
      <x:c r="BI339" s="11" t="n">
        <x:v>2.204313821553219</x:v>
      </x:c>
      <x:c r="BJ339" s="11" t="n">
        <x:v>1.7099330852451193</x:v>
      </x:c>
      <x:c r="BK339" s="12" t="n">
        <x:v>0.030042455998363887</x:v>
      </x:c>
      <x:c r="BL339" s="12" t="n">
        <x:v>0.02529861000232605</x:v>
      </x:c>
      <x:c r="BM339" s="12" t="n">
        <x:v>0.9786113537119745</x:v>
      </x:c>
      <x:c r="BN339" s="12" t="n">
        <x:v>0.9815511712696461</x:v>
      </x:c>
      <x:c r="BO339" s="12" t="n">
        <x:v>0.9039920521842442</x:v>
      </x:c>
      <x:c r="BP339" s="12" t="n">
        <x:v>0.8619101997275483</x:v>
      </x:c>
      <x:c r="BQ339" s="12" t="n">
        <x:v>0.9333160528846489</x:v>
      </x:c>
      <x:c r="BR339" s="12" t="n">
        <x:v>0.9623635142836453</x:v>
      </x:c>
      <x:c r="BS339" s="12" t="n">
        <x:v>0.20869205825466772</x:v>
      </x:c>
      <x:c r="BT339" s="12" t="n">
        <x:v>0.19976549769108282</x:v>
      </x:c>
      <x:c r="BU339" s="11" t="n">
        <x:v>141384</x:v>
      </x:c>
      <x:c r="BV339" s="11" t="n">
        <x:v>1211017</x:v>
      </x:c>
      <x:c r="BW339" s="11" t="n">
        <x:v>24824</x:v>
      </x:c>
      <x:c r="BX339" s="11" t="n">
        <x:v>283516</x:v>
      </x:c>
      <x:c r="BY339" s="11" t="n">
        <x:v>0</x:v>
      </x:c>
      <x:c r="BZ339" s="11" t="n">
        <x:v>303354</x:v>
      </x:c>
      <x:c r="CA339" s="11" t="n">
        <x:v>0</x:v>
      </x:c>
      <x:c r="CB339" s="11" t="n">
        <x:v>0</x:v>
      </x:c>
      <x:c r="CC339" s="11" t="n">
        <x:v>1322095</x:v>
      </x:c>
      <x:c r="CD339" s="11" t="n">
        <x:v>367301</x:v>
      </x:c>
      <x:c r="CE339" s="11" t="n">
        <x:v>110020</x:v>
      </x:c>
      <x:c r="CF339" s="11" t="n">
        <x:v>0</x:v>
      </x:c>
      <x:c r="CG339" s="11" t="n">
        <x:v>0</x:v>
      </x:c>
      <x:c r="CH339" s="11" t="n">
        <x:v>318790</x:v>
      </x:c>
      <x:c r="CI339" s="11" t="n">
        <x:v>143623</x:v>
      </x:c>
      <x:c r="CJ339" s="11" t="n">
        <x:v>206798</x:v>
      </x:c>
      <x:c r="CK339" s="11" t="n">
        <x:v>98813</x:v>
      </x:c>
      <x:c r="CL339" s="11" t="n">
        <x:v>14967</x:v>
      </x:c>
      <x:c r="CM339" s="11" t="n">
        <x:v>9008</x:v>
      </x:c>
      <x:c r="CN339" s="11" t="n">
        <x:v>0</x:v>
      </x:c>
      <x:c r="CO339" s="11" t="n">
        <x:v>0</x:v>
      </x:c>
      <x:c r="CP339" s="8"/>
      <x:c r="CQ339" s="8"/>
    </x:row>
    <x:row r="340">
      <x:c r="A340" s="8" t="str">
        <x:v>Kelowna|2019</x:v>
      </x:c>
      <x:c r="B340" s="8" t="str">
        <x:v>kelowna-c</x:v>
      </x:c>
      <x:c r="C340" s="8" t="str">
        <x:v>Kelowna</x:v>
      </x:c>
      <x:c r="D340" s="8" t="str">
        <x:v>Kelowna</x:v>
      </x:c>
      <x:c r="E340" s="8" t="str">
        <x:v>C</x:v>
      </x:c>
      <x:c r="F340" s="8" t="str">
        <x:v>COK</x:v>
      </x:c>
      <x:c r="G340" s="9" t="n">
        <x:v>2019</x:v>
      </x:c>
      <x:c r="H340" s="10" t="n">
        <x:v>142146</x:v>
      </x:c>
      <x:c r="I340" s="8" t="str">
        <x:v>100,000 and over</x:v>
      </x:c>
      <x:c r="J340" s="11" t="n">
        <x:v>396076899</x:v>
      </x:c>
      <x:c r="K340" s="11" t="n">
        <x:v>297647358</x:v>
      </x:c>
      <x:c r="L340" s="11" t="n">
        <x:v>98429541</x:v>
      </x:c>
      <x:c r="M340" s="12" t="n">
        <x:v>0.24851118873256983</x:v>
      </x:c>
      <x:c r="N340" s="11" t="n">
        <x:v>155623571</x:v>
      </x:c>
      <x:c r="O340" s="11" t="n">
        <x:v>150515952</x:v>
      </x:c>
      <x:c r="P340" s="11" t="n">
        <x:v>53016173</x:v>
      </x:c>
      <x:c r="Q340" s="11" t="n">
        <x:v>36921203</x:v>
      </x:c>
      <x:c r="R340" s="11" t="n">
        <x:v>224748507</x:v>
      </x:c>
      <x:c r="S340" s="11" t="n">
        <x:v>67696750</x:v>
      </x:c>
      <x:c r="T340" s="11" t="n">
        <x:v>568034087</x:v>
      </x:c>
      <x:c r="U340" s="11" t="n">
        <x:v>328026935</x:v>
      </x:c>
      <x:c r="V340" s="11" t="n">
        <x:v>300222369</x:v>
      </x:c>
      <x:c r="W340" s="11" t="n">
        <x:v>88355361</x:v>
      </x:c>
      <x:c r="X340" s="11" t="n">
        <x:v>119340455</x:v>
      </x:c>
      <x:c r="Y340" s="11" t="n">
        <x:v>2952000</x:v>
      </x:c>
      <x:c r="Z340" s="11" t="n">
        <x:v>13410515</x:v>
      </x:c>
      <x:c r="AA340" s="11" t="n">
        <x:v>105615453</x:v>
      </x:c>
      <x:c r="AB340" s="11" t="n">
        <x:v>5202101</x:v>
      </x:c>
      <x:c r="AC340" s="11" t="n">
        <x:v>18612616</x:v>
      </x:c>
      <x:c r="AD340" s="11" t="n">
        <x:v>81643095</x:v>
      </x:c>
      <x:c r="AE340" s="11" t="n">
        <x:v>62899953</x:v>
      </x:c>
      <x:c r="AF340" s="11" t="n">
        <x:v>326572379</x:v>
      </x:c>
      <x:c r="AG340" s="11" t="n">
        <x:v>2997036336</x:v>
      </x:c>
      <x:c r="AH340" s="11" t="n">
        <x:v>1168359563</x:v>
      </x:c>
      <x:c r="AI340" s="11" t="n">
        <x:v>1828676773</x:v>
      </x:c>
      <x:c r="AJ340" s="11" t="n">
        <x:v>129876867</x:v>
      </x:c>
      <x:c r="AK340" s="11" t="n">
        <x:v>381042398</x:v>
      </x:c>
      <x:c r="AL340" s="11" t="n">
        <x:v>0</x:v>
      </x:c>
      <x:c r="AM340" s="12" t="n">
        <x:v>1</x:v>
      </x:c>
      <x:c r="AN340" s="12" t="n">
        <x:v>0.34084623569894706</x:v>
      </x:c>
      <x:c r="AO340" s="11" t="n">
        <x:v>258352954</x:v>
      </x:c>
      <x:c r="AP340" s="11" t="n">
        <x:v>253464719</x:v>
      </x:c>
      <x:c r="AQ340" s="12" t="n">
        <x:v>0.9810792370502565</x:v>
      </x:c>
      <x:c r="AR340" s="11" t="n">
        <x:v>2786.4090371871175</x:v>
      </x:c>
      <x:c r="AS340" s="11" t="n">
        <x:v>2093.9552150605714</x:v>
      </x:c>
      <x:c r="AT340" s="11" t="n">
        <x:v>2112.0704697986575</x:v>
      </x:c>
      <x:c r="AU340" s="11" t="n">
        <x:v>621.5817610062893</x:v>
      </x:c>
      <x:c r="AV340" s="11" t="n">
        <x:v>743.0068591448229</x:v>
      </x:c>
      <x:c r="AW340" s="11" t="n">
        <x:v>1.7316690380928628</x:v>
      </x:c>
      <x:c r="AX340" s="12" t="n">
        <x:v>0.7704258761870799</x:v>
      </x:c>
      <x:c r="AY340" s="11"/>
      <x:c r="AZ340" s="11"/>
      <x:c r="BA340" s="11"/>
      <x:c r="BB340" s="11"/>
      <x:c r="BC340" s="11"/>
      <x:c r="BD340" s="11"/>
      <x:c r="BE340" s="11"/>
      <x:c r="BF340" s="11"/>
      <x:c r="BG340" s="11"/>
      <x:c r="BH340" s="11"/>
      <x:c r="BI340" s="11"/>
      <x:c r="BJ340" s="11"/>
      <x:c r="BK340" s="12"/>
      <x:c r="BL340" s="12"/>
      <x:c r="BM340" s="12"/>
      <x:c r="BN340" s="12"/>
      <x:c r="BO340" s="12"/>
      <x:c r="BP340" s="12"/>
      <x:c r="BQ340" s="12"/>
      <x:c r="BR340" s="12"/>
      <x:c r="BS340" s="12"/>
      <x:c r="BT340" s="12"/>
      <x:c r="BU340" s="11" t="n">
        <x:v>16967104</x:v>
      </x:c>
      <x:c r="BV340" s="11" t="n">
        <x:v>35914198</x:v>
      </x:c>
      <x:c r="BW340" s="11" t="n">
        <x:v>134871</x:v>
      </x:c>
      <x:c r="BX340" s="11" t="n">
        <x:v>17582606</x:v>
      </x:c>
      <x:c r="BY340" s="11" t="n">
        <x:v>0</x:v>
      </x:c>
      <x:c r="BZ340" s="11" t="n">
        <x:v>18097921</x:v>
      </x:c>
      <x:c r="CA340" s="11" t="n">
        <x:v>1240676</x:v>
      </x:c>
      <x:c r="CB340" s="11" t="n">
        <x:v>0</x:v>
      </x:c>
      <x:c r="CC340" s="11" t="n">
        <x:v>27833122</x:v>
      </x:c>
      <x:c r="CD340" s="11" t="n">
        <x:v>63711400</x:v>
      </x:c>
      <x:c r="CE340" s="11" t="n">
        <x:v>16284656</x:v>
      </x:c>
      <x:c r="CF340" s="11" t="n">
        <x:v>0</x:v>
      </x:c>
      <x:c r="CG340" s="11" t="n">
        <x:v>8716545</x:v>
      </x:c>
      <x:c r="CH340" s="11" t="n">
        <x:v>36315265</x:v>
      </x:c>
      <x:c r="CI340" s="11" t="n">
        <x:v>37127008</x:v>
      </x:c>
      <x:c r="CJ340" s="11" t="n">
        <x:v>8279773</x:v>
      </x:c>
      <x:c r="CK340" s="11" t="n">
        <x:v>11978709</x:v>
      </x:c>
      <x:c r="CL340" s="11" t="n">
        <x:v>17454868</x:v>
      </x:c>
      <x:c r="CM340" s="11"/>
      <x:c r="CN340" s="11" t="n">
        <x:v>2249262</x:v>
      </x:c>
      <x:c r="CO340" s="11" t="n">
        <x:v>0</x:v>
      </x:c>
      <x:c r="CP340" s="8"/>
      <x:c r="CQ340" s="8"/>
    </x:row>
    <x:row r="341">
      <x:c r="A341" s="8" t="str">
        <x:v>Kelowna|2020</x:v>
      </x:c>
      <x:c r="B341" s="8" t="str">
        <x:v>kelowna-c</x:v>
      </x:c>
      <x:c r="C341" s="8" t="str">
        <x:v>Kelowna</x:v>
      </x:c>
      <x:c r="D341" s="8" t="str">
        <x:v>Kelowna</x:v>
      </x:c>
      <x:c r="E341" s="8" t="str">
        <x:v>C</x:v>
      </x:c>
      <x:c r="F341" s="8" t="str">
        <x:v>COK</x:v>
      </x:c>
      <x:c r="G341" s="9" t="n">
        <x:v>2020</x:v>
      </x:c>
      <x:c r="H341" s="10" t="n">
        <x:v>146127</x:v>
      </x:c>
      <x:c r="I341" s="8" t="str">
        <x:v>100,000 and over</x:v>
      </x:c>
      <x:c r="J341" s="11" t="n">
        <x:v>350321090</x:v>
      </x:c>
      <x:c r="K341" s="11" t="n">
        <x:v>287565695</x:v>
      </x:c>
      <x:c r="L341" s="11" t="n">
        <x:v>62755395</x:v>
      </x:c>
      <x:c r="M341" s="12" t="n">
        <x:v>0.17913678848167547</x:v>
      </x:c>
      <x:c r="N341" s="11" t="n">
        <x:v>162404806</x:v>
      </x:c>
      <x:c r="O341" s="11" t="n">
        <x:v>118147101</x:v>
      </x:c>
      <x:c r="P341" s="11" t="n">
        <x:v>34579181</x:v>
      </x:c>
      <x:c r="Q341" s="11" t="n">
        <x:v>35190002</x:v>
      </x:c>
      <x:c r="R341" s="11" t="n">
        <x:v>215393329</x:v>
      </x:c>
      <x:c r="S341" s="11" t="n">
        <x:v>68154616</x:v>
      </x:c>
      <x:c r="T341" s="11" t="n">
        <x:v>624233000</x:v>
      </x:c>
      <x:c r="U341" s="11" t="n">
        <x:v>335632279</x:v>
      </x:c>
      <x:c r="V341" s="11" t="n">
        <x:v>342652527</x:v>
      </x:c>
      <x:c r="W341" s="11" t="n">
        <x:v>97128879</x:v>
      </x:c>
      <x:c r="X341" s="11" t="n">
        <x:v>105615453</x:v>
      </x:c>
      <x:c r="Y341" s="11" t="n">
        <x:v>73000</x:v>
      </x:c>
      <x:c r="Z341" s="11" t="n">
        <x:v>10875959</x:v>
      </x:c>
      <x:c r="AA341" s="11" t="n">
        <x:v>92653257</x:v>
      </x:c>
      <x:c r="AB341" s="11" t="n">
        <x:v>4017750</x:v>
      </x:c>
      <x:c r="AC341" s="11" t="n">
        <x:v>14893709</x:v>
      </x:c>
      <x:c r="AD341" s="11" t="n">
        <x:v>74141942</x:v>
      </x:c>
      <x:c r="AE341" s="11" t="n">
        <x:v>59100055</x:v>
      </x:c>
      <x:c r="AF341" s="11" t="n">
        <x:v>296567766</x:v>
      </x:c>
      <x:c r="AG341" s="11" t="n">
        <x:v>3083121486</x:v>
      </x:c>
      <x:c r="AH341" s="11" t="n">
        <x:v>1235528749</x:v>
      </x:c>
      <x:c r="AI341" s="11" t="n">
        <x:v>1847592737</x:v>
      </x:c>
      <x:c r="AJ341" s="11" t="n">
        <x:v>90275859</x:v>
      </x:c>
      <x:c r="AK341" s="11" t="n">
        <x:v>4149183205</x:v>
      </x:c>
      <x:c r="AL341" s="11" t="n">
        <x:v>94552108</x:v>
      </x:c>
      <x:c r="AM341" s="12" t="n">
        <x:v>0.9772118744031212</x:v>
      </x:c>
      <x:c r="AN341" s="12" t="n">
        <x:v>0.021757501305609377</x:v>
      </x:c>
      <x:c r="AO341" s="11" t="n">
        <x:v>255949107</x:v>
      </x:c>
      <x:c r="AP341" s="11" t="n">
        <x:v>250230693</x:v>
      </x:c>
      <x:c r="AQ341" s="12" t="n">
        <x:v>0.977658003706182</x:v>
      </x:c>
      <x:c r="AR341" s="11" t="n">
        <x:v>2397.3741334592514</x:v>
      </x:c>
      <x:c r="AS341" s="11" t="n">
        <x:v>1967.9162304023212</x:v>
      </x:c>
      <x:c r="AT341" s="11" t="n">
        <x:v>2344.895378677452</x:v>
      </x:c>
      <x:c r="AU341" s="11" t="n">
        <x:v>664.6881069206922</x:v>
      </x:c>
      <x:c r="AV341" s="11" t="n">
        <x:v>634.0598041429715</x:v>
      </x:c>
      <x:c r="AW341" s="11" t="n">
        <x:v>1.8598717675781118</x:v>
      </x:c>
      <x:c r="AX341" s="12" t="n">
        <x:v>0.7971204072318473</x:v>
      </x:c>
      <x:c r="AY341" s="11"/>
      <x:c r="AZ341" s="11"/>
      <x:c r="BA341" s="11"/>
      <x:c r="BB341" s="11"/>
      <x:c r="BC341" s="11"/>
      <x:c r="BD341" s="11"/>
      <x:c r="BE341" s="11"/>
      <x:c r="BF341" s="11"/>
      <x:c r="BG341" s="11"/>
      <x:c r="BH341" s="11"/>
      <x:c r="BI341" s="11"/>
      <x:c r="BJ341" s="11"/>
      <x:c r="BK341" s="12"/>
      <x:c r="BL341" s="12"/>
      <x:c r="BM341" s="12"/>
      <x:c r="BN341" s="12"/>
      <x:c r="BO341" s="12"/>
      <x:c r="BP341" s="12"/>
      <x:c r="BQ341" s="12"/>
      <x:c r="BR341" s="12"/>
      <x:c r="BS341" s="12"/>
      <x:c r="BT341" s="12"/>
      <x:c r="BU341" s="11" t="n">
        <x:v>533802</x:v>
      </x:c>
      <x:c r="BV341" s="11" t="n">
        <x:v>33245134</x:v>
      </x:c>
      <x:c r="BW341" s="11" t="n">
        <x:v>800245</x:v>
      </x:c>
      <x:c r="BX341" s="11" t="n">
        <x:v>15358158</x:v>
      </x:c>
      <x:c r="BY341" s="11" t="n">
        <x:v>0</x:v>
      </x:c>
      <x:c r="BZ341" s="11" t="n">
        <x:v>16944985</x:v>
      </x:c>
      <x:c r="CA341" s="11" t="n">
        <x:v>2886859</x:v>
      </x:c>
      <x:c r="CB341" s="11" t="n">
        <x:v>0</x:v>
      </x:c>
      <x:c r="CC341" s="11" t="n">
        <x:v>28908433</x:v>
      </x:c>
      <x:c r="CD341" s="11" t="n">
        <x:v>63240866</x:v>
      </x:c>
      <x:c r="CE341" s="11" t="n">
        <x:v>15404377</x:v>
      </x:c>
      <x:c r="CF341" s="11" t="n">
        <x:v>0</x:v>
      </x:c>
      <x:c r="CG341" s="11" t="n">
        <x:v>5778595</x:v>
      </x:c>
      <x:c r="CH341" s="11" t="n">
        <x:v>36226069</x:v>
      </x:c>
      <x:c r="CI341" s="11" t="n">
        <x:v>33736419</x:v>
      </x:c>
      <x:c r="CJ341" s="11" t="n">
        <x:v>8868811</x:v>
      </x:c>
      <x:c r="CK341" s="11" t="n">
        <x:v>11382126</x:v>
      </x:c>
      <x:c r="CL341" s="11" t="n">
        <x:v>14963880</x:v>
      </x:c>
      <x:c r="CM341" s="11"/>
      <x:c r="CN341" s="11" t="n">
        <x:v>901503</x:v>
      </x:c>
      <x:c r="CO341" s="11" t="n">
        <x:v>0</x:v>
      </x:c>
      <x:c r="CP341" s="8"/>
      <x:c r="CQ341" s="8"/>
    </x:row>
    <x:row r="342">
      <x:c r="A342" s="8" t="str">
        <x:v>Kelowna|2021</x:v>
      </x:c>
      <x:c r="B342" s="8" t="str">
        <x:v>kelowna-c</x:v>
      </x:c>
      <x:c r="C342" s="8" t="str">
        <x:v>Kelowna</x:v>
      </x:c>
      <x:c r="D342" s="8" t="str">
        <x:v>Kelowna</x:v>
      </x:c>
      <x:c r="E342" s="8" t="str">
        <x:v>C</x:v>
      </x:c>
      <x:c r="F342" s="8" t="str">
        <x:v>COK</x:v>
      </x:c>
      <x:c r="G342" s="9" t="n">
        <x:v>2021</x:v>
      </x:c>
      <x:c r="H342" s="10" t="n">
        <x:v>149687</x:v>
      </x:c>
      <x:c r="I342" s="8" t="str">
        <x:v>100,000 and over</x:v>
      </x:c>
      <x:c r="J342" s="11" t="n">
        <x:v>379049579</x:v>
      </x:c>
      <x:c r="K342" s="11" t="n">
        <x:v>310553267</x:v>
      </x:c>
      <x:c r="L342" s="11" t="n">
        <x:v>68496312</x:v>
      </x:c>
      <x:c r="M342" s="12" t="n">
        <x:v>0.1807054163750964</x:v>
      </x:c>
      <x:c r="N342" s="11" t="n">
        <x:v>171365631</x:v>
      </x:c>
      <x:c r="O342" s="11" t="n">
        <x:v>142185126</x:v>
      </x:c>
      <x:c r="P342" s="11" t="n">
        <x:v>35828619</x:v>
      </x:c>
      <x:c r="Q342" s="11" t="n">
        <x:v>29670203</x:v>
      </x:c>
      <x:c r="R342" s="11" t="n">
        <x:v>238151278</x:v>
      </x:c>
      <x:c r="S342" s="11" t="n">
        <x:v>68823854</x:v>
      </x:c>
      <x:c r="T342" s="11" t="n">
        <x:v>684475717</x:v>
      </x:c>
      <x:c r="U342" s="11" t="n">
        <x:v>348126311</x:v>
      </x:c>
      <x:c r="V342" s="11" t="n">
        <x:v>411463197</x:v>
      </x:c>
      <x:c r="W342" s="11" t="n">
        <x:v>116022408</x:v>
      </x:c>
      <x:c r="X342" s="11" t="n">
        <x:v>92653257</x:v>
      </x:c>
      <x:c r="Y342" s="11" t="n">
        <x:v>0</x:v>
      </x:c>
      <x:c r="Z342" s="11" t="n">
        <x:v>8964378</x:v>
      </x:c>
      <x:c r="AA342" s="11" t="n">
        <x:v>81617064</x:v>
      </x:c>
      <x:c r="AB342" s="11" t="n">
        <x:v>3578135</x:v>
      </x:c>
      <x:c r="AC342" s="11" t="n">
        <x:v>12542513</x:v>
      </x:c>
      <x:c r="AD342" s="11" t="n">
        <x:v>82304903</x:v>
      </x:c>
      <x:c r="AE342" s="11" t="n">
        <x:v>69658853</x:v>
      </x:c>
      <x:c r="AF342" s="11" t="n">
        <x:v>329219612</x:v>
      </x:c>
      <x:c r="AG342" s="11" t="n">
        <x:v>3152525379</x:v>
      </x:c>
      <x:c r="AH342" s="11" t="n">
        <x:v>1303489516</x:v>
      </x:c>
      <x:c r="AI342" s="11" t="n">
        <x:v>1849035863</x:v>
      </x:c>
      <x:c r="AJ342" s="11" t="n">
        <x:v>71072437</x:v>
      </x:c>
      <x:c r="AK342" s="11" t="n">
        <x:v>4660309883</x:v>
      </x:c>
      <x:c r="AL342" s="11" t="n">
        <x:v>115360697</x:v>
      </x:c>
      <x:c r="AM342" s="12" t="n">
        <x:v>0.9752461317173745</x:v>
      </x:c>
      <x:c r="AN342" s="12" t="n">
        <x:v>0.01525058178196688</x:v>
      </x:c>
      <x:c r="AO342" s="11" t="n">
        <x:v>285677570</x:v>
      </x:c>
      <x:c r="AP342" s="11" t="n">
        <x:v>278942045</x:v>
      </x:c>
      <x:c r="AQ342" s="12" t="n">
        <x:v>0.9764226326904138</x:v>
      </x:c>
      <x:c r="AR342" s="11" t="n">
        <x:v>2532.281220146038</x:v>
      </x:c>
      <x:c r="AS342" s="11" t="n">
        <x:v>2074.684287880711</x:v>
      </x:c>
      <x:c r="AT342" s="11" t="n">
        <x:v>2748.8238591193626</x:v>
      </x:c>
      <x:c r="AU342" s="11" t="n">
        <x:v>775.1000955326782</x:v>
      </x:c>
      <x:c r="AV342" s="11" t="n">
        <x:v>545.2515181679104</x:v>
      </x:c>
      <x:c r="AW342" s="11" t="n">
        <x:v>1.966170597774783</x:v>
      </x:c>
      <x:c r="AX342" s="12" t="n">
        <x:v>0.8463511948978301</x:v>
      </x:c>
      <x:c r="AY342" s="11"/>
      <x:c r="AZ342" s="11"/>
      <x:c r="BA342" s="11"/>
      <x:c r="BB342" s="11"/>
      <x:c r="BC342" s="11"/>
      <x:c r="BD342" s="11"/>
      <x:c r="BE342" s="11"/>
      <x:c r="BF342" s="11"/>
      <x:c r="BG342" s="11"/>
      <x:c r="BH342" s="11"/>
      <x:c r="BI342" s="11"/>
      <x:c r="BJ342" s="11"/>
      <x:c r="BK342" s="12"/>
      <x:c r="BL342" s="12"/>
      <x:c r="BM342" s="12"/>
      <x:c r="BN342" s="12"/>
      <x:c r="BO342" s="12"/>
      <x:c r="BP342" s="12"/>
      <x:c r="BQ342" s="12"/>
      <x:c r="BR342" s="12"/>
      <x:c r="BS342" s="12"/>
      <x:c r="BT342" s="12"/>
      <x:c r="BU342" s="11" t="n">
        <x:v>4458568</x:v>
      </x:c>
      <x:c r="BV342" s="11" t="n">
        <x:v>30556639</x:v>
      </x:c>
      <x:c r="BW342" s="11" t="n">
        <x:v>813412</x:v>
      </x:c>
      <x:c r="BX342" s="11" t="n">
        <x:v>13612151</x:v>
      </x:c>
      <x:c r="BY342" s="11" t="n">
        <x:v>0</x:v>
      </x:c>
      <x:c r="BZ342" s="11" t="n">
        <x:v>14189307</x:v>
      </x:c>
      <x:c r="CA342" s="11" t="n">
        <x:v>1868745</x:v>
      </x:c>
      <x:c r="CB342" s="11" t="n">
        <x:v>0</x:v>
      </x:c>
      <x:c r="CC342" s="11" t="n">
        <x:v>35897067</x:v>
      </x:c>
      <x:c r="CD342" s="11" t="n">
        <x:v>72024466</x:v>
      </x:c>
      <x:c r="CE342" s="11" t="n">
        <x:v>15759834</x:v>
      </x:c>
      <x:c r="CF342" s="11" t="n">
        <x:v>0</x:v>
      </x:c>
      <x:c r="CG342" s="11" t="n">
        <x:v>6460523</x:v>
      </x:c>
      <x:c r="CH342" s="11" t="n">
        <x:v>39719658</x:v>
      </x:c>
      <x:c r="CI342" s="11" t="n">
        <x:v>36014222</x:v>
      </x:c>
      <x:c r="CJ342" s="11" t="n">
        <x:v>8970148</x:v>
      </x:c>
      <x:c r="CK342" s="11" t="n">
        <x:v>10990879</x:v>
      </x:c>
      <x:c r="CL342" s="11" t="n">
        <x:v>15315776</x:v>
      </x:c>
      <x:c r="CM342" s="11"/>
      <x:c r="CN342" s="11" t="n">
        <x:v>576840</x:v>
      </x:c>
      <x:c r="CO342" s="11" t="n">
        <x:v>0</x:v>
      </x:c>
      <x:c r="CP342" s="8"/>
      <x:c r="CQ342" s="8"/>
    </x:row>
    <x:row r="343">
      <x:c r="A343" s="8" t="str">
        <x:v>Kelowna|2022</x:v>
      </x:c>
      <x:c r="B343" s="8" t="str">
        <x:v>kelowna-c</x:v>
      </x:c>
      <x:c r="C343" s="8" t="str">
        <x:v>Kelowna</x:v>
      </x:c>
      <x:c r="D343" s="8" t="str">
        <x:v>Kelowna</x:v>
      </x:c>
      <x:c r="E343" s="8" t="str">
        <x:v>C</x:v>
      </x:c>
      <x:c r="F343" s="8" t="str">
        <x:v>COK</x:v>
      </x:c>
      <x:c r="G343" s="9" t="n">
        <x:v>2022</x:v>
      </x:c>
      <x:c r="H343" s="10" t="n">
        <x:v>6948</x:v>
      </x:c>
      <x:c r="I343" s="8" t="str">
        <x:v>5,000 to 19,999</x:v>
      </x:c>
      <x:c r="J343" s="11" t="n">
        <x:v>424812285</x:v>
      </x:c>
      <x:c r="K343" s="11" t="n">
        <x:v>334372610</x:v>
      </x:c>
      <x:c r="L343" s="11" t="n">
        <x:v>90439675</x:v>
      </x:c>
      <x:c r="M343" s="12" t="n">
        <x:v>0.2128932664929876</x:v>
      </x:c>
      <x:c r="N343" s="11" t="n">
        <x:v>184627498</x:v>
      </x:c>
      <x:c r="O343" s="11" t="n">
        <x:v>161822809</x:v>
      </x:c>
      <x:c r="P343" s="11" t="n">
        <x:v>38750729</x:v>
      </x:c>
      <x:c r="Q343" s="11" t="n">
        <x:v>39611249</x:v>
      </x:c>
      <x:c r="R343" s="11" t="n">
        <x:v>261646302</x:v>
      </x:c>
      <x:c r="S343" s="11" t="n">
        <x:v>69253099</x:v>
      </x:c>
      <x:c r="T343" s="11" t="n">
        <x:v>691122387</x:v>
      </x:c>
      <x:c r="U343" s="11" t="n">
        <x:v>381359797</x:v>
      </x:c>
      <x:c r="V343" s="11" t="n">
        <x:v>468887173</x:v>
      </x:c>
      <x:c r="W343" s="11" t="n">
        <x:v>128463987</x:v>
      </x:c>
      <x:c r="X343" s="11" t="n">
        <x:v>81617064</x:v>
      </x:c>
      <x:c r="Y343" s="11" t="n">
        <x:v>441000</x:v>
      </x:c>
      <x:c r="Z343" s="11" t="n">
        <x:v>8807831</x:v>
      </x:c>
      <x:c r="AA343" s="11" t="n">
        <x:v>70919685</x:v>
      </x:c>
      <x:c r="AB343" s="11" t="n">
        <x:v>3473209</x:v>
      </x:c>
      <x:c r="AC343" s="11" t="n">
        <x:v>12281040</x:v>
      </x:c>
      <x:c r="AD343" s="11" t="n">
        <x:v>92117777</x:v>
      </x:c>
      <x:c r="AE343" s="11" t="n">
        <x:v>79783868</x:v>
      </x:c>
      <x:c r="AF343" s="11" t="n">
        <x:v>368471108</x:v>
      </x:c>
      <x:c r="AG343" s="11" t="n">
        <x:v>3256653692</x:v>
      </x:c>
      <x:c r="AH343" s="11" t="n">
        <x:v>1371420031</x:v>
      </x:c>
      <x:c r="AI343" s="11" t="n">
        <x:v>1885233661</x:v>
      </x:c>
      <x:c r="AJ343" s="11" t="n">
        <x:v>105826510</x:v>
      </x:c>
      <x:c r="AK343" s="11" t="n">
        <x:v>5084146063</x:v>
      </x:c>
      <x:c r="AL343" s="11" t="n">
        <x:v>122282348</x:v>
      </x:c>
      <x:c r="AM343" s="12" t="n">
        <x:v>0.9759483015466623</x:v>
      </x:c>
      <x:c r="AN343" s="12" t="n">
        <x:v>0.020815001907627136</x:v>
      </x:c>
      <x:c r="AO343" s="11" t="n">
        <x:v>307717121</x:v>
      </x:c>
      <x:c r="AP343" s="11" t="n">
        <x:v>299961484</x:v>
      </x:c>
      <x:c r="AQ343" s="12" t="n">
        <x:v>0.9747962122653552</x:v>
      </x:c>
      <x:c r="AR343" s="11" t="n">
        <x:v>61141.664507772024</x:v>
      </x:c>
      <x:c r="AS343" s="11" t="n">
        <x:v>48125.01583189407</x:v>
      </x:c>
      <x:c r="AT343" s="11" t="n">
        <x:v>67485.20048934946</x:v>
      </x:c>
      <x:c r="AU343" s="11" t="n">
        <x:v>18489.347582037997</x:v>
      </x:c>
      <x:c r="AV343" s="11" t="n">
        <x:v>10207.208549222798</x:v>
      </x:c>
      <x:c r="AW343" s="11" t="n">
        <x:v>1.8122581153985668</x:v>
      </x:c>
      <x:c r="AX343" s="12" t="n">
        <x:v>0.866107179290703</x:v>
      </x:c>
      <x:c r="AY343" s="11"/>
      <x:c r="AZ343" s="11"/>
      <x:c r="BA343" s="11"/>
      <x:c r="BB343" s="11"/>
      <x:c r="BC343" s="11"/>
      <x:c r="BD343" s="11"/>
      <x:c r="BE343" s="11"/>
      <x:c r="BF343" s="11"/>
      <x:c r="BG343" s="11"/>
      <x:c r="BH343" s="11"/>
      <x:c r="BI343" s="11"/>
      <x:c r="BJ343" s="11"/>
      <x:c r="BK343" s="12"/>
      <x:c r="BL343" s="12"/>
      <x:c r="BM343" s="12"/>
      <x:c r="BN343" s="12"/>
      <x:c r="BO343" s="12"/>
      <x:c r="BP343" s="12"/>
      <x:c r="BQ343" s="12"/>
      <x:c r="BR343" s="12"/>
      <x:c r="BS343" s="12"/>
      <x:c r="BT343" s="12"/>
      <x:c r="BU343" s="11" t="n">
        <x:v>12089639</x:v>
      </x:c>
      <x:c r="BV343" s="11" t="n">
        <x:v>26191328</x:v>
      </x:c>
      <x:c r="BW343" s="11" t="n">
        <x:v>469762</x:v>
      </x:c>
      <x:c r="BX343" s="11" t="n">
        <x:v>18638380</x:v>
      </x:c>
      <x:c r="BY343" s="11" t="n">
        <x:v>0</x:v>
      </x:c>
      <x:c r="BZ343" s="11" t="n">
        <x:v>19598872</x:v>
      </x:c>
      <x:c r="CA343" s="11" t="n">
        <x:v>1373997</x:v>
      </x:c>
      <x:c r="CB343" s="11" t="n">
        <x:v>0</x:v>
      </x:c>
      <x:c r="CC343" s="11" t="n">
        <x:v>42994147</x:v>
      </x:c>
      <x:c r="CD343" s="11" t="n">
        <x:v>75583900</x:v>
      </x:c>
      <x:c r="CE343" s="11" t="n">
        <x:v>15267854</x:v>
      </x:c>
      <x:c r="CF343" s="11" t="n">
        <x:v>0</x:v>
      </x:c>
      <x:c r="CG343" s="11" t="n">
        <x:v>7208722</x:v>
      </x:c>
      <x:c r="CH343" s="11" t="n">
        <x:v>43324470</x:v>
      </x:c>
      <x:c r="CI343" s="11" t="n">
        <x:v>38512630</x:v>
      </x:c>
      <x:c r="CJ343" s="11" t="n">
        <x:v>9372943</x:v>
      </x:c>
      <x:c r="CK343" s="11" t="n">
        <x:v>13237464</x:v>
      </x:c>
      <x:c r="CL343" s="11" t="n">
        <x:v>19337350</x:v>
      </x:c>
      <x:c r="CM343" s="11"/>
      <x:c r="CN343" s="11" t="n">
        <x:v>280031</x:v>
      </x:c>
      <x:c r="CO343" s="11" t="n">
        <x:v>0</x:v>
      </x:c>
      <x:c r="CP343" s="8"/>
      <x:c r="CQ343" s="8"/>
    </x:row>
    <x:row r="344">
      <x:c r="A344" s="8" t="str">
        <x:v>Kelowna|2023</x:v>
      </x:c>
      <x:c r="B344" s="8" t="str">
        <x:v>kelowna-c</x:v>
      </x:c>
      <x:c r="C344" s="8" t="str">
        <x:v>Kelowna</x:v>
      </x:c>
      <x:c r="D344" s="8" t="str">
        <x:v>Kelowna</x:v>
      </x:c>
      <x:c r="E344" s="8" t="str">
        <x:v>C</x:v>
      </x:c>
      <x:c r="F344" s="8" t="str">
        <x:v>COK</x:v>
      </x:c>
      <x:c r="G344" s="9" t="n">
        <x:v>2023</x:v>
      </x:c>
      <x:c r="H344" s="10" t="n">
        <x:v>160693</x:v>
      </x:c>
      <x:c r="I344" s="8" t="str">
        <x:v>100,000 and over</x:v>
      </x:c>
      <x:c r="J344" s="11" t="n">
        <x:v>509314443</x:v>
      </x:c>
      <x:c r="K344" s="11" t="n">
        <x:v>372327149</x:v>
      </x:c>
      <x:c r="L344" s="11" t="n">
        <x:v>136987294</x:v>
      </x:c>
      <x:c r="M344" s="12" t="n">
        <x:v>0.26896408669094035</x:v>
      </x:c>
      <x:c r="N344" s="11" t="n">
        <x:v>192053131</x:v>
      </x:c>
      <x:c r="O344" s="11" t="n">
        <x:v>181425743</x:v>
      </x:c>
      <x:c r="P344" s="11" t="n">
        <x:v>65544574</x:v>
      </x:c>
      <x:c r="Q344" s="11" t="n">
        <x:v>70290995</x:v>
      </x:c>
      <x:c r="R344" s="11" t="n">
        <x:v>299022690</x:v>
      </x:c>
      <x:c r="S344" s="11" t="n">
        <x:v>69448622</x:v>
      </x:c>
      <x:c r="T344" s="11" t="n">
        <x:v>960103343</x:v>
      </x:c>
      <x:c r="U344" s="11" t="n">
        <x:v>538645095</x:v>
      </x:c>
      <x:c r="V344" s="11" t="n">
        <x:v>516616560</x:v>
      </x:c>
      <x:c r="W344" s="11" t="n">
        <x:v>146438775</x:v>
      </x:c>
      <x:c r="X344" s="11" t="n">
        <x:v>70919685</x:v>
      </x:c>
      <x:c r="Y344" s="11" t="n">
        <x:v>4901753</x:v>
      </x:c>
      <x:c r="Z344" s="11" t="n">
        <x:v>7765277</x:v>
      </x:c>
      <x:c r="AA344" s="11" t="n">
        <x:v>65719690</x:v>
      </x:c>
      <x:c r="AB344" s="11" t="n">
        <x:v>3855837</x:v>
      </x:c>
      <x:c r="AC344" s="11" t="n">
        <x:v>11621114</x:v>
      </x:c>
      <x:c r="AD344" s="11" t="n">
        <x:v>101842353</x:v>
      </x:c>
      <x:c r="AE344" s="11" t="n">
        <x:v>63583239</x:v>
      </x:c>
      <x:c r="AF344" s="11" t="n">
        <x:v>407369411</x:v>
      </x:c>
      <x:c r="AG344" s="11" t="n">
        <x:v>3419994661</x:v>
      </x:c>
      <x:c r="AH344" s="11" t="n">
        <x:v>1439219304</x:v>
      </x:c>
      <x:c r="AI344" s="11" t="n">
        <x:v>1980775357</x:v>
      </x:c>
      <x:c r="AJ344" s="11" t="n">
        <x:v>159658573</x:v>
      </x:c>
      <x:c r="AK344" s="11" t="n">
        <x:v>5562515099</x:v>
      </x:c>
      <x:c r="AL344" s="11" t="n">
        <x:v>132803687</x:v>
      </x:c>
      <x:c r="AM344" s="12" t="n">
        <x:v>0.9761252446714482</x:v>
      </x:c>
      <x:c r="AN344" s="12" t="n">
        <x:v>0.028702586897912885</x:v>
      </x:c>
      <x:c r="AO344" s="11" t="n">
        <x:v>329631998</x:v>
      </x:c>
      <x:c r="AP344" s="11" t="n">
        <x:v>320142756</x:v>
      </x:c>
      <x:c r="AQ344" s="12" t="n">
        <x:v>0.9712126187458294</x:v>
      </x:c>
      <x:c r="AR344" s="11" t="n">
        <x:v>3169.487426334688</x:v>
      </x:c>
      <x:c r="AS344" s="11" t="n">
        <x:v>2317.0091354321594</x:v>
      </x:c>
      <x:c r="AT344" s="11" t="n">
        <x:v>3214.928839464071</x:v>
      </x:c>
      <x:c r="AU344" s="11" t="n">
        <x:v>911.2952959992034</x:v>
      </x:c>
      <x:c r="AV344" s="11" t="n">
        <x:v>408.9766822450262</x:v>
      </x:c>
      <x:c r="AW344" s="11" t="n">
        <x:v>1.7824414478331043</x:v>
      </x:c>
      <x:c r="AX344" s="12" t="n">
        <x:v>0.6243300270173451</x:v>
      </x:c>
      <x:c r="AY344" s="11"/>
      <x:c r="AZ344" s="11"/>
      <x:c r="BA344" s="11"/>
      <x:c r="BB344" s="11"/>
      <x:c r="BC344" s="11"/>
      <x:c r="BD344" s="11"/>
      <x:c r="BE344" s="11"/>
      <x:c r="BF344" s="11"/>
      <x:c r="BG344" s="11"/>
      <x:c r="BH344" s="11"/>
      <x:c r="BI344" s="11"/>
      <x:c r="BJ344" s="11"/>
      <x:c r="BK344" s="12"/>
      <x:c r="BL344" s="12"/>
      <x:c r="BM344" s="12"/>
      <x:c r="BN344" s="12"/>
      <x:c r="BO344" s="12"/>
      <x:c r="BP344" s="12"/>
      <x:c r="BQ344" s="12"/>
      <x:c r="BR344" s="12"/>
      <x:c r="BS344" s="12"/>
      <x:c r="BT344" s="12"/>
      <x:c r="BU344" s="11" t="n">
        <x:v>6709754</x:v>
      </x:c>
      <x:c r="BV344" s="11" t="n">
        <x:v>57871946</x:v>
      </x:c>
      <x:c r="BW344" s="11" t="n">
        <x:v>962874</x:v>
      </x:c>
      <x:c r="BX344" s="11" t="n">
        <x:v>30291535</x:v>
      </x:c>
      <x:c r="BY344" s="11" t="n">
        <x:v>0</x:v>
      </x:c>
      <x:c r="BZ344" s="11" t="n">
        <x:v>39515734</x:v>
      </x:c>
      <x:c r="CA344" s="11" t="n">
        <x:v>483726</x:v>
      </x:c>
      <x:c r="CB344" s="11" t="n">
        <x:v>0</x:v>
      </x:c>
      <x:c r="CC344" s="11" t="n">
        <x:v>54074688</x:v>
      </x:c>
      <x:c r="CD344" s="11" t="n">
        <x:v>93769614</x:v>
      </x:c>
      <x:c r="CE344" s="11" t="n">
        <x:v>15636509</x:v>
      </x:c>
      <x:c r="CF344" s="11" t="n">
        <x:v>0</x:v>
      </x:c>
      <x:c r="CG344" s="11" t="n">
        <x:v>7349480</x:v>
      </x:c>
      <x:c r="CH344" s="11" t="n">
        <x:v>42004588</x:v>
      </x:c>
      <x:c r="CI344" s="11" t="n">
        <x:v>40750507</x:v>
      </x:c>
      <x:c r="CJ344" s="11" t="n">
        <x:v>10228917</x:v>
      </x:c>
      <x:c r="CK344" s="11" t="n">
        <x:v>13629241</x:v>
      </x:c>
      <x:c r="CL344" s="11" t="n">
        <x:v>22525713</x:v>
      </x:c>
      <x:c r="CM344" s="11" t="n">
        <x:v>1559025</x:v>
      </x:c>
      <x:c r="CN344" s="11" t="n">
        <x:v>1350245</x:v>
      </x:c>
      <x:c r="CO344" s="11" t="n">
        <x:v>0</x:v>
      </x:c>
      <x:c r="CP344" s="8"/>
      <x:c r="CQ344" s="8"/>
    </x:row>
    <x:row r="345">
      <x:c r="A345" s="8" t="str">
        <x:v>Kelowna|2024</x:v>
      </x:c>
      <x:c r="B345" s="8" t="str">
        <x:v>kelowna-c</x:v>
      </x:c>
      <x:c r="C345" s="8" t="str">
        <x:v>Kelowna</x:v>
      </x:c>
      <x:c r="D345" s="8" t="str">
        <x:v>Kelowna</x:v>
      </x:c>
      <x:c r="E345" s="8" t="str">
        <x:v>C</x:v>
      </x:c>
      <x:c r="F345" s="8" t="str">
        <x:v>COK</x:v>
      </x:c>
      <x:c r="G345" s="9" t="n">
        <x:v>2024</x:v>
      </x:c>
      <x:c r="H345" s="10" t="n">
        <x:v>160693</x:v>
      </x:c>
      <x:c r="I345" s="8" t="str">
        <x:v>100,000 and over</x:v>
      </x:c>
      <x:c r="J345" s="11" t="n">
        <x:v>570580382</x:v>
      </x:c>
      <x:c r="K345" s="11" t="n">
        <x:v>416468022</x:v>
      </x:c>
      <x:c r="L345" s="11" t="n">
        <x:v>154112360</x:v>
      </x:c>
      <x:c r="M345" s="12" t="n">
        <x:v>0.27009754429306687</x:v>
      </x:c>
      <x:c r="N345" s="11" t="n">
        <x:v>206665261</x:v>
      </x:c>
      <x:c r="O345" s="11" t="n">
        <x:v>181871833</x:v>
      </x:c>
      <x:c r="P345" s="11" t="n">
        <x:v>59098396</x:v>
      </x:c>
      <x:c r="Q345" s="11" t="n">
        <x:v>122944892</x:v>
      </x:c>
      <x:c r="R345" s="11" t="n">
        <x:v>335909562</x:v>
      </x:c>
      <x:c r="S345" s="11" t="n">
        <x:v>76527376</x:v>
      </x:c>
      <x:c r="T345" s="11" t="n">
        <x:v>934996669</x:v>
      </x:c>
      <x:c r="U345" s="11" t="n">
        <x:v>552494929</x:v>
      </x:c>
      <x:c r="V345" s="11" t="n">
        <x:v>469504994</x:v>
      </x:c>
      <x:c r="W345" s="11" t="n">
        <x:v>175690681</x:v>
      </x:c>
      <x:c r="X345" s="11" t="n">
        <x:v>65719690</x:v>
      </x:c>
      <x:c r="Y345" s="11" t="n">
        <x:v>2382622</x:v>
      </x:c>
      <x:c r="Z345" s="11" t="n">
        <x:v>7485841</x:v>
      </x:c>
      <x:c r="AA345" s="11" t="n">
        <x:v>57988006</x:v>
      </x:c>
      <x:c r="AB345" s="11" t="n">
        <x:v>4031084</x:v>
      </x:c>
      <x:c r="AC345" s="11" t="n">
        <x:v>11516925</x:v>
      </x:c>
      <x:c r="AD345" s="11" t="n">
        <x:v>106511908</x:v>
      </x:c>
      <x:c r="AE345" s="11" t="n">
        <x:v>68602326</x:v>
      </x:c>
      <x:c r="AF345" s="11" t="n">
        <x:v>426047630</x:v>
      </x:c>
      <x:c r="AG345" s="11" t="n">
        <x:v>3833398191</x:v>
      </x:c>
      <x:c r="AH345" s="11" t="n">
        <x:v>1559181945</x:v>
      </x:c>
      <x:c r="AI345" s="11" t="n">
        <x:v>2274216246</x:v>
      </x:c>
      <x:c r="AJ345" s="11" t="n">
        <x:v>257715024</x:v>
      </x:c>
      <x:c r="AK345" s="11" t="n">
        <x:v>6257045800</x:v>
      </x:c>
      <x:c r="AL345" s="11" t="n">
        <x:v>147961523</x:v>
      </x:c>
      <x:c r="AM345" s="12" t="n">
        <x:v>0.9763528144543867</x:v>
      </x:c>
      <x:c r="AN345" s="12" t="n">
        <x:v>0.04118797148648009</x:v>
      </x:c>
      <x:c r="AO345" s="11" t="n">
        <x:v>357962519</x:v>
      </x:c>
      <x:c r="AP345" s="11" t="n">
        <x:v>346139407</x:v>
      </x:c>
      <x:c r="AQ345" s="12" t="n">
        <x:v>0.9669710895067201</x:v>
      </x:c>
      <x:c r="AR345" s="11" t="n">
        <x:v>3550.74820931839</x:v>
      </x:c>
      <x:c r="AS345" s="11" t="n">
        <x:v>2591.6998375784883</x:v>
      </x:c>
      <x:c r="AT345" s="11" t="n">
        <x:v>2921.7513768490226</x:v>
      </x:c>
      <x:c r="AU345" s="11" t="n">
        <x:v>1093.3312652075697</x:v>
      </x:c>
      <x:c r="AV345" s="11" t="n">
        <x:v>360.8620537297829</x:v>
      </x:c>
      <x:c r="AW345" s="11" t="n">
        <x:v>1.692317195910408</x:v>
      </x:c>
      <x:c r="AX345" s="12" t="n">
        <x:v>0.6440812796255607</x:v>
      </x:c>
      <x:c r="AY345" s="11" t="n">
        <x:v>3003.390678329474</x:v>
      </x:c>
      <x:c r="AZ345" s="11" t="n">
        <x:v>3546.5079302077975</x:v>
      </x:c>
      <x:c r="BA345" s="11" t="n">
        <x:v>2379.369597210911</x:v>
      </x:c>
      <x:c r="BB345" s="11" t="n">
        <x:v>2783.665107049771</x:v>
      </x:c>
      <x:c r="BC345" s="11" t="n">
        <x:v>2052.765446183268</x:v>
      </x:c>
      <x:c r="BD345" s="11" t="n">
        <x:v>2437.8724475115623</x:v>
      </x:c>
      <x:c r="BE345" s="11" t="n">
        <x:v>1093.3312652075697</x:v>
      </x:c>
      <x:c r="BF345" s="11" t="n">
        <x:v>1604.3462673977224</x:v>
      </x:c>
      <x:c r="BG345" s="11" t="n">
        <x:v>312.26099706744867</x:v>
      </x:c>
      <x:c r="BH345" s="11" t="n">
        <x:v>518.5374381567245</x:v>
      </x:c>
      <x:c r="BI345" s="11" t="n">
        <x:v>1.6357691597817738</x:v>
      </x:c>
      <x:c r="BJ345" s="11" t="n">
        <x:v>1.7099330852451193</x:v>
      </x:c>
      <x:c r="BK345" s="12" t="n">
        <x:v>0.025378934003535983</x:v>
      </x:c>
      <x:c r="BL345" s="12" t="n">
        <x:v>0.02529861000232605</x:v>
      </x:c>
      <x:c r="BM345" s="12" t="n">
        <x:v>0.9802497344746216</x:v>
      </x:c>
      <x:c r="BN345" s="12" t="n">
        <x:v>0.9815511712696461</x:v>
      </x:c>
      <x:c r="BO345" s="12" t="n">
        <x:v>0.9023585311053542</x:v>
      </x:c>
      <x:c r="BP345" s="12" t="n">
        <x:v>0.8619101997275483</x:v>
      </x:c>
      <x:c r="BQ345" s="12" t="n">
        <x:v>0.9669710895067201</x:v>
      </x:c>
      <x:c r="BR345" s="12" t="n">
        <x:v>0.9623635142836453</x:v>
      </x:c>
      <x:c r="BS345" s="12" t="n">
        <x:v>0.27009754429306687</x:v>
      </x:c>
      <x:c r="BT345" s="12" t="n">
        <x:v>0.19976549769108282</x:v>
      </x:c>
      <x:c r="BU345" s="11" t="n">
        <x:v>22898292</x:v>
      </x:c>
      <x:c r="BV345" s="11" t="n">
        <x:v>35424231</x:v>
      </x:c>
      <x:c r="BW345" s="11" t="n">
        <x:v>775873</x:v>
      </x:c>
      <x:c r="BX345" s="11" t="n">
        <x:v>34391412</x:v>
      </x:c>
      <x:c r="BY345" s="11" t="n">
        <x:v>0</x:v>
      </x:c>
      <x:c r="BZ345" s="11" t="n">
        <x:v>55641024</x:v>
      </x:c>
      <x:c r="CA345" s="11" t="n">
        <x:v>32912456</x:v>
      </x:c>
      <x:c r="CB345" s="11" t="n">
        <x:v>0</x:v>
      </x:c>
      <x:c r="CC345" s="11" t="n">
        <x:v>58988772</x:v>
      </x:c>
      <x:c r="CD345" s="11" t="n">
        <x:v>99182689</x:v>
      </x:c>
      <x:c r="CE345" s="11" t="n">
        <x:v>16869030</x:v>
      </x:c>
      <x:c r="CF345" s="11" t="n">
        <x:v>0</x:v>
      </x:c>
      <x:c r="CG345" s="11" t="n">
        <x:v>8671852</x:v>
      </x:c>
      <x:c r="CH345" s="11" t="n">
        <x:v>56138386</x:v>
      </x:c>
      <x:c r="CI345" s="11" t="n">
        <x:v>46010273</x:v>
      </x:c>
      <x:c r="CJ345" s="11" t="n">
        <x:v>11435860</x:v>
      </x:c>
      <x:c r="CK345" s="11" t="n">
        <x:v>14449926</x:v>
      </x:c>
      <x:c r="CL345" s="11" t="n">
        <x:v>26317901</x:v>
      </x:c>
      <x:c r="CM345" s="11" t="n">
        <x:v>1412002</x:v>
      </x:c>
      <x:c r="CN345" s="11" t="n">
        <x:v>463955</x:v>
      </x:c>
      <x:c r="CO345" s="11" t="n">
        <x:v>0</x:v>
      </x:c>
      <x:c r="CP345" s="8"/>
      <x:c r="CQ345" s="8"/>
    </x:row>
    <x:row r="346">
      <x:c r="A346" s="8" t="str">
        <x:v>Kent|2019</x:v>
      </x:c>
      <x:c r="B346" s="8" t="str">
        <x:v>kent-d</x:v>
      </x:c>
      <x:c r="C346" s="8" t="str">
        <x:v>Kent</x:v>
      </x:c>
      <x:c r="D346" s="8" t="str">
        <x:v>Kent</x:v>
      </x:c>
      <x:c r="E346" s="8" t="str">
        <x:v>D</x:v>
      </x:c>
      <x:c r="F346" s="8" t="str">
        <x:v>FVR</x:v>
      </x:c>
      <x:c r="G346" s="9" t="n">
        <x:v>2019</x:v>
      </x:c>
      <x:c r="H346" s="10" t="n">
        <x:v>6704</x:v>
      </x:c>
      <x:c r="I346" s="8" t="str">
        <x:v>5,000 to 19,999</x:v>
      </x:c>
      <x:c r="J346" s="11" t="n">
        <x:v>14822852</x:v>
      </x:c>
      <x:c r="K346" s="11" t="n">
        <x:v>11338185</x:v>
      </x:c>
      <x:c r="L346" s="11" t="n">
        <x:v>3484667</x:v>
      </x:c>
      <x:c r="M346" s="12" t="n">
        <x:v>0.23508748518841044</x:v>
      </x:c>
      <x:c r="N346" s="11" t="n">
        <x:v>7665527</x:v>
      </x:c>
      <x:c r="O346" s="11" t="n">
        <x:v>2752412</x:v>
      </x:c>
      <x:c r="P346" s="11" t="n">
        <x:v>3650938</x:v>
      </x:c>
      <x:c r="Q346" s="11" t="n">
        <x:v>753975</x:v>
      </x:c>
      <x:c r="R346" s="11" t="n">
        <x:v>9526117</x:v>
      </x:c>
      <x:c r="S346" s="11" t="n">
        <x:v>1751578</x:v>
      </x:c>
      <x:c r="T346" s="11" t="n">
        <x:v>23325675</x:v>
      </x:c>
      <x:c r="U346" s="11" t="n">
        <x:v>8174876</x:v>
      </x:c>
      <x:c r="V346" s="11" t="n">
        <x:v>15898548</x:v>
      </x:c>
      <x:c r="W346" s="11" t="n">
        <x:v>9263744</x:v>
      </x:c>
      <x:c r="X346" s="11" t="n">
        <x:v>2023322</x:v>
      </x:c>
      <x:c r="Y346" s="11" t="n">
        <x:v>0</x:v>
      </x:c>
      <x:c r="Z346" s="11" t="n">
        <x:v>755600</x:v>
      </x:c>
      <x:c r="AA346" s="11" t="n">
        <x:v>1245934</x:v>
      </x:c>
      <x:c r="AB346" s="11" t="n">
        <x:v>60490</x:v>
      </x:c>
      <x:c r="AC346" s="11" t="n">
        <x:v>816090</x:v>
      </x:c>
      <x:c r="AD346" s="11" t="n">
        <x:v>2880911</x:v>
      </x:c>
      <x:c r="AE346" s="11" t="n">
        <x:v>2064821</x:v>
      </x:c>
      <x:c r="AF346" s="11" t="n">
        <x:v>11523642</x:v>
      </x:c>
      <x:c r="AG346" s="11" t="n">
        <x:v>75710400</x:v>
      </x:c>
      <x:c r="AH346" s="11" t="n">
        <x:v>28860309</x:v>
      </x:c>
      <x:c r="AI346" s="11" t="n">
        <x:v>46850091</x:v>
      </x:c>
      <x:c r="AJ346" s="11" t="n">
        <x:v>3678047</x:v>
      </x:c>
      <x:c r="AK346" s="11" t="n">
        <x:v>4660689</x:v>
      </x:c>
      <x:c r="AL346" s="11" t="n">
        <x:v>0</x:v>
      </x:c>
      <x:c r="AM346" s="12" t="n">
        <x:v>1</x:v>
      </x:c>
      <x:c r="AN346" s="12" t="n">
        <x:v>0.7891637910188816</x:v>
      </x:c>
      <x:c r="AO346" s="11" t="n">
        <x:v>11091154</x:v>
      </x:c>
      <x:c r="AP346" s="11" t="n">
        <x:v>10723928</x:v>
      </x:c>
      <x:c r="AQ346" s="12" t="n">
        <x:v>0.9668901901461291</x:v>
      </x:c>
      <x:c r="AR346" s="11" t="n">
        <x:v>2211.045942720764</x:v>
      </x:c>
      <x:c r="AS346" s="11" t="n">
        <x:v>1691.2567124105012</x:v>
      </x:c>
      <x:c r="AT346" s="11" t="n">
        <x:v>2371.5017899761338</x:v>
      </x:c>
      <x:c r="AU346" s="11" t="n">
        <x:v>1381.8233890214797</x:v>
      </x:c>
      <x:c r="AV346" s="11" t="n">
        <x:v>185.84934367541766</x:v>
      </x:c>
      <x:c r="AW346" s="11" t="n">
        <x:v>2.8533368579535643</x:v>
      </x:c>
      <x:c r="AX346" s="12" t="n">
        <x:v>0.7167250220503167</x:v>
      </x:c>
      <x:c r="AY346" s="11"/>
      <x:c r="AZ346" s="11"/>
      <x:c r="BA346" s="11"/>
      <x:c r="BB346" s="11"/>
      <x:c r="BC346" s="11"/>
      <x:c r="BD346" s="11"/>
      <x:c r="BE346" s="11"/>
      <x:c r="BF346" s="11"/>
      <x:c r="BG346" s="11"/>
      <x:c r="BH346" s="11"/>
      <x:c r="BI346" s="11"/>
      <x:c r="BJ346" s="11"/>
      <x:c r="BK346" s="12"/>
      <x:c r="BL346" s="12"/>
      <x:c r="BM346" s="12"/>
      <x:c r="BN346" s="12"/>
      <x:c r="BO346" s="12"/>
      <x:c r="BP346" s="12"/>
      <x:c r="BQ346" s="12"/>
      <x:c r="BR346" s="12"/>
      <x:c r="BS346" s="12"/>
      <x:c r="BT346" s="12"/>
      <x:c r="BU346" s="11" t="n">
        <x:v>763708</x:v>
      </x:c>
      <x:c r="BV346" s="11" t="n">
        <x:v>2887230</x:v>
      </x:c>
      <x:c r="BW346" s="11" t="n">
        <x:v>0</x:v>
      </x:c>
      <x:c r="BX346" s="11" t="n">
        <x:v>548448</x:v>
      </x:c>
      <x:c r="BY346" s="11" t="n">
        <x:v>0</x:v>
      </x:c>
      <x:c r="BZ346" s="11" t="n">
        <x:v>205527</x:v>
      </x:c>
      <x:c r="CA346" s="11" t="n">
        <x:v>0</x:v>
      </x:c>
      <x:c r="CB346" s="11" t="n">
        <x:v>0</x:v>
      </x:c>
      <x:c r="CC346" s="11" t="n">
        <x:v>2148271</x:v>
      </x:c>
      <x:c r="CD346" s="11" t="n">
        <x:v>1709193</x:v>
      </x:c>
      <x:c r="CE346" s="11" t="n">
        <x:v>254432</x:v>
      </x:c>
      <x:c r="CF346" s="11" t="n">
        <x:v>0</x:v>
      </x:c>
      <x:c r="CG346" s="11" t="n">
        <x:v>864523</x:v>
      </x:c>
      <x:c r="CH346" s="11" t="n">
        <x:v>1572496</x:v>
      </x:c>
      <x:c r="CI346" s="11" t="n">
        <x:v>1906984</x:v>
      </x:c>
      <x:c r="CJ346" s="11" t="n">
        <x:v>293276</x:v>
      </x:c>
      <x:c r="CK346" s="11" t="n">
        <x:v>837432</x:v>
      </x:c>
      <x:c r="CL346" s="11" t="n">
        <x:v>0</x:v>
      </x:c>
      <x:c r="CM346" s="11"/>
      <x:c r="CN346" s="11" t="n">
        <x:v>0</x:v>
      </x:c>
      <x:c r="CO346" s="11" t="n">
        <x:v>0</x:v>
      </x:c>
      <x:c r="CP346" s="8"/>
      <x:c r="CQ346" s="8"/>
    </x:row>
    <x:row r="347">
      <x:c r="A347" s="8" t="str">
        <x:v>Kent|2020</x:v>
      </x:c>
      <x:c r="B347" s="8" t="str">
        <x:v>kent-d</x:v>
      </x:c>
      <x:c r="C347" s="8" t="str">
        <x:v>Kent</x:v>
      </x:c>
      <x:c r="D347" s="8" t="str">
        <x:v>Kent</x:v>
      </x:c>
      <x:c r="E347" s="8" t="str">
        <x:v>D</x:v>
      </x:c>
      <x:c r="F347" s="8" t="str">
        <x:v>FVR</x:v>
      </x:c>
      <x:c r="G347" s="9" t="n">
        <x:v>2020</x:v>
      </x:c>
      <x:c r="H347" s="10" t="n">
        <x:v>6641</x:v>
      </x:c>
      <x:c r="I347" s="8" t="str">
        <x:v>5,000 to 19,999</x:v>
      </x:c>
      <x:c r="J347" s="11" t="n">
        <x:v>15911565</x:v>
      </x:c>
      <x:c r="K347" s="11" t="n">
        <x:v>11490518</x:v>
      </x:c>
      <x:c r="L347" s="11" t="n">
        <x:v>4421047</x:v>
      </x:c>
      <x:c r="M347" s="12" t="n">
        <x:v>0.27785117303043416</x:v>
      </x:c>
      <x:c r="N347" s="11" t="n">
        <x:v>8013874</x:v>
      </x:c>
      <x:c r="O347" s="11" t="n">
        <x:v>2856966</x:v>
      </x:c>
      <x:c r="P347" s="11" t="n">
        <x:v>3002268</x:v>
      </x:c>
      <x:c r="Q347" s="11" t="n">
        <x:v>2038457</x:v>
      </x:c>
      <x:c r="R347" s="11" t="n">
        <x:v>9588322</x:v>
      </x:c>
      <x:c r="S347" s="11" t="n">
        <x:v>1868044</x:v>
      </x:c>
      <x:c r="T347" s="11" t="n">
        <x:v>28696243</x:v>
      </x:c>
      <x:c r="U347" s="11" t="n">
        <x:v>10606338</x:v>
      </x:c>
      <x:c r="V347" s="11" t="n">
        <x:v>19026465</x:v>
      </x:c>
      <x:c r="W347" s="11" t="n">
        <x:v>9687844</x:v>
      </x:c>
      <x:c r="X347" s="11" t="n">
        <x:v>1245934</x:v>
      </x:c>
      <x:c r="Y347" s="11" t="n">
        <x:v>36982</x:v>
      </x:c>
      <x:c r="Z347" s="11" t="n">
        <x:v>62166</x:v>
      </x:c>
      <x:c r="AA347" s="11" t="n">
        <x:v>1212208</x:v>
      </x:c>
      <x:c r="AB347" s="11" t="n">
        <x:v>34152</x:v>
      </x:c>
      <x:c r="AC347" s="11" t="n">
        <x:v>96318</x:v>
      </x:c>
      <x:c r="AD347" s="11" t="n">
        <x:v>2969221</x:v>
      </x:c>
      <x:c r="AE347" s="11" t="n">
        <x:v>2872903</x:v>
      </x:c>
      <x:c r="AF347" s="11" t="n">
        <x:v>11876885</x:v>
      </x:c>
      <x:c r="AG347" s="11" t="n">
        <x:v>80365536</x:v>
      </x:c>
      <x:c r="AH347" s="11" t="n">
        <x:v>32277450</x:v>
      </x:c>
      <x:c r="AI347" s="11" t="n">
        <x:v>48088086</x:v>
      </x:c>
      <x:c r="AJ347" s="11" t="n">
        <x:v>3106041</x:v>
      </x:c>
      <x:c r="AK347" s="11" t="n">
        <x:v>5518330</x:v>
      </x:c>
      <x:c r="AL347" s="11" t="n">
        <x:v>0</x:v>
      </x:c>
      <x:c r="AM347" s="12" t="n">
        <x:v>1</x:v>
      </x:c>
      <x:c r="AN347" s="12" t="n">
        <x:v>0.5628588721587872</x:v>
      </x:c>
      <x:c r="AO347" s="11" t="n">
        <x:v>11368233</x:v>
      </x:c>
      <x:c r="AP347" s="11" t="n">
        <x:v>11019329</x:v>
      </x:c>
      <x:c r="AQ347" s="12" t="n">
        <x:v>0.9693088626878074</x:v>
      </x:c>
      <x:c r="AR347" s="11" t="n">
        <x:v>2395.9591928926366</x:v>
      </x:c>
      <x:c r="AS347" s="11" t="n">
        <x:v>1730.2391206143652</x:v>
      </x:c>
      <x:c r="AT347" s="11" t="n">
        <x:v>2865</x:v>
      </x:c>
      <x:c r="AU347" s="11" t="n">
        <x:v>1458.7929528685438</x:v>
      </x:c>
      <x:c r="AV347" s="11" t="n">
        <x:v>182.5339557295588</x:v>
      </x:c>
      <x:c r="AW347" s="11" t="n">
        <x:v>2.705575006189695</x:v>
      </x:c>
      <x:c r="AX347" s="12" t="n">
        <x:v>0.9675611886080557</x:v>
      </x:c>
      <x:c r="AY347" s="11"/>
      <x:c r="AZ347" s="11"/>
      <x:c r="BA347" s="11"/>
      <x:c r="BB347" s="11"/>
      <x:c r="BC347" s="11"/>
      <x:c r="BD347" s="11"/>
      <x:c r="BE347" s="11"/>
      <x:c r="BF347" s="11"/>
      <x:c r="BG347" s="11"/>
      <x:c r="BH347" s="11"/>
      <x:c r="BI347" s="11"/>
      <x:c r="BJ347" s="11"/>
      <x:c r="BK347" s="12"/>
      <x:c r="BL347" s="12"/>
      <x:c r="BM347" s="12"/>
      <x:c r="BN347" s="12"/>
      <x:c r="BO347" s="12"/>
      <x:c r="BP347" s="12"/>
      <x:c r="BQ347" s="12"/>
      <x:c r="BR347" s="12"/>
      <x:c r="BS347" s="12"/>
      <x:c r="BT347" s="12"/>
      <x:c r="BU347" s="11" t="n">
        <x:v>343733</x:v>
      </x:c>
      <x:c r="BV347" s="11" t="n">
        <x:v>2658535</x:v>
      </x:c>
      <x:c r="BW347" s="11" t="n">
        <x:v>0</x:v>
      </x:c>
      <x:c r="BX347" s="11" t="n">
        <x:v>433656</x:v>
      </x:c>
      <x:c r="BY347" s="11" t="n">
        <x:v>0</x:v>
      </x:c>
      <x:c r="BZ347" s="11" t="n">
        <x:v>1586769</x:v>
      </x:c>
      <x:c r="CA347" s="11" t="n">
        <x:v>18032</x:v>
      </x:c>
      <x:c r="CB347" s="11" t="n">
        <x:v>0</x:v>
      </x:c>
      <x:c r="CC347" s="11" t="n">
        <x:v>2213600</x:v>
      </x:c>
      <x:c r="CD347" s="11" t="n">
        <x:v>2038989</x:v>
      </x:c>
      <x:c r="CE347" s="11" t="n">
        <x:v>275766</x:v>
      </x:c>
      <x:c r="CF347" s="11" t="n">
        <x:v>0</x:v>
      </x:c>
      <x:c r="CG347" s="11" t="n">
        <x:v>760150</x:v>
      </x:c>
      <x:c r="CH347" s="11" t="n">
        <x:v>1544345</x:v>
      </x:c>
      <x:c r="CI347" s="11" t="n">
        <x:v>1674688</x:v>
      </x:c>
      <x:c r="CJ347" s="11" t="n">
        <x:v>229248</x:v>
      </x:c>
      <x:c r="CK347" s="11" t="n">
        <x:v>885688</x:v>
      </x:c>
      <x:c r="CL347" s="11" t="n">
        <x:v>0</x:v>
      </x:c>
      <x:c r="CM347" s="11"/>
      <x:c r="CN347" s="11" t="n">
        <x:v>0</x:v>
      </x:c>
      <x:c r="CO347" s="11" t="n">
        <x:v>0</x:v>
      </x:c>
      <x:c r="CP347" s="8"/>
      <x:c r="CQ347" s="8"/>
    </x:row>
    <x:row r="348">
      <x:c r="A348" s="8" t="str">
        <x:v>Kent|2021</x:v>
      </x:c>
      <x:c r="B348" s="8" t="str">
        <x:v>kent-d</x:v>
      </x:c>
      <x:c r="C348" s="8" t="str">
        <x:v>Kent</x:v>
      </x:c>
      <x:c r="D348" s="8" t="str">
        <x:v>Kent</x:v>
      </x:c>
      <x:c r="E348" s="8" t="str">
        <x:v>D</x:v>
      </x:c>
      <x:c r="F348" s="8" t="str">
        <x:v>FVR</x:v>
      </x:c>
      <x:c r="G348" s="9" t="n">
        <x:v>2021</x:v>
      </x:c>
      <x:c r="H348" s="10" t="n">
        <x:v>6635</x:v>
      </x:c>
      <x:c r="I348" s="8" t="str">
        <x:v>5,000 to 19,999</x:v>
      </x:c>
      <x:c r="J348" s="11" t="n">
        <x:v>17466243</x:v>
      </x:c>
      <x:c r="K348" s="11" t="n">
        <x:v>12345483</x:v>
      </x:c>
      <x:c r="L348" s="11" t="n">
        <x:v>5120760</x:v>
      </x:c>
      <x:c r="M348" s="12" t="n">
        <x:v>0.2931803937458101</x:v>
      </x:c>
      <x:c r="N348" s="11" t="n">
        <x:v>8128859</x:v>
      </x:c>
      <x:c r="O348" s="11" t="n">
        <x:v>3321729</x:v>
      </x:c>
      <x:c r="P348" s="11" t="n">
        <x:v>3034496</x:v>
      </x:c>
      <x:c r="Q348" s="11" t="n">
        <x:v>2981159</x:v>
      </x:c>
      <x:c r="R348" s="11" t="n">
        <x:v>10424505</x:v>
      </x:c>
      <x:c r="S348" s="11" t="n">
        <x:v>1886520</x:v>
      </x:c>
      <x:c r="T348" s="11" t="n">
        <x:v>28289815</x:v>
      </x:c>
      <x:c r="U348" s="11" t="n">
        <x:v>7953693</x:v>
      </x:c>
      <x:c r="V348" s="11" t="n">
        <x:v>21513706</x:v>
      </x:c>
      <x:c r="W348" s="11" t="n">
        <x:v>11010615</x:v>
      </x:c>
      <x:c r="X348" s="11" t="n">
        <x:v>1212208</x:v>
      </x:c>
      <x:c r="Y348" s="11" t="n">
        <x:v>0</x:v>
      </x:c>
      <x:c r="Z348" s="11" t="n">
        <x:v>70700</x:v>
      </x:c>
      <x:c r="AA348" s="11" t="n">
        <x:v>1130491</x:v>
      </x:c>
      <x:c r="AB348" s="11" t="n">
        <x:v>34458</x:v>
      </x:c>
      <x:c r="AC348" s="11" t="n">
        <x:v>105158</x:v>
      </x:c>
      <x:c r="AD348" s="11" t="n">
        <x:v>3078234</x:v>
      </x:c>
      <x:c r="AE348" s="11" t="n">
        <x:v>2973076</x:v>
      </x:c>
      <x:c r="AF348" s="11" t="n">
        <x:v>12312934</x:v>
      </x:c>
      <x:c r="AG348" s="11" t="n">
        <x:v>84832048</x:v>
      </x:c>
      <x:c r="AH348" s="11" t="n">
        <x:v>34078953</x:v>
      </x:c>
      <x:c r="AI348" s="11" t="n">
        <x:v>50753095</x:v>
      </x:c>
      <x:c r="AJ348" s="11" t="n">
        <x:v>4916565</x:v>
      </x:c>
      <x:c r="AK348" s="11" t="n">
        <x:v>5497885</x:v>
      </x:c>
      <x:c r="AL348" s="11" t="n">
        <x:v>0</x:v>
      </x:c>
      <x:c r="AM348" s="12" t="n">
        <x:v>1</x:v>
      </x:c>
      <x:c r="AN348" s="12" t="n">
        <x:v>0.8942647945528144</x:v>
      </x:c>
      <x:c r="AO348" s="11" t="n">
        <x:v>11930137</x:v>
      </x:c>
      <x:c r="AP348" s="11" t="n">
        <x:v>11616496</x:v>
      </x:c>
      <x:c r="AQ348" s="12" t="n">
        <x:v>0.9737101929340795</x:v>
      </x:c>
      <x:c r="AR348" s="11" t="n">
        <x:v>2632.440542577242</x:v>
      </x:c>
      <x:c r="AS348" s="11" t="n">
        <x:v>1860.6605877920122</x:v>
      </x:c>
      <x:c r="AT348" s="11" t="n">
        <x:v>3242.4575734740015</x:v>
      </x:c>
      <x:c r="AU348" s="11" t="n">
        <x:v>1659.4747550866616</x:v>
      </x:c>
      <x:c r="AV348" s="11" t="n">
        <x:v>170.38296910324038</x:v>
      </x:c>
      <x:c r="AW348" s="11" t="n">
        <x:v>3.5568150543401664</x:v>
      </x:c>
      <x:c r="AX348" s="12" t="n">
        <x:v>0.9658382046329161</x:v>
      </x:c>
      <x:c r="AY348" s="11"/>
      <x:c r="AZ348" s="11"/>
      <x:c r="BA348" s="11"/>
      <x:c r="BB348" s="11"/>
      <x:c r="BC348" s="11"/>
      <x:c r="BD348" s="11"/>
      <x:c r="BE348" s="11"/>
      <x:c r="BF348" s="11"/>
      <x:c r="BG348" s="11"/>
      <x:c r="BH348" s="11"/>
      <x:c r="BI348" s="11"/>
      <x:c r="BJ348" s="11"/>
      <x:c r="BK348" s="12"/>
      <x:c r="BL348" s="12"/>
      <x:c r="BM348" s="12"/>
      <x:c r="BN348" s="12"/>
      <x:c r="BO348" s="12"/>
      <x:c r="BP348" s="12"/>
      <x:c r="BQ348" s="12"/>
      <x:c r="BR348" s="12"/>
      <x:c r="BS348" s="12"/>
      <x:c r="BT348" s="12"/>
      <x:c r="BU348" s="11" t="n">
        <x:v>707698</x:v>
      </x:c>
      <x:c r="BV348" s="11" t="n">
        <x:v>2326798</x:v>
      </x:c>
      <x:c r="BW348" s="11" t="n">
        <x:v>0</x:v>
      </x:c>
      <x:c r="BX348" s="11" t="n">
        <x:v>308959</x:v>
      </x:c>
      <x:c r="BY348" s="11" t="n">
        <x:v>0</x:v>
      </x:c>
      <x:c r="BZ348" s="11" t="n">
        <x:v>2672200</x:v>
      </x:c>
      <x:c r="CA348" s="11" t="n">
        <x:v>0</x:v>
      </x:c>
      <x:c r="CB348" s="11" t="n">
        <x:v>0</x:v>
      </x:c>
      <x:c r="CC348" s="11" t="n">
        <x:v>2412643</x:v>
      </x:c>
      <x:c r="CD348" s="11" t="n">
        <x:v>2113743</x:v>
      </x:c>
      <x:c r="CE348" s="11" t="n">
        <x:v>332430</x:v>
      </x:c>
      <x:c r="CF348" s="11" t="n">
        <x:v>0</x:v>
      </x:c>
      <x:c r="CG348" s="11" t="n">
        <x:v>804178</x:v>
      </x:c>
      <x:c r="CH348" s="11" t="n">
        <x:v>1691217</x:v>
      </x:c>
      <x:c r="CI348" s="11" t="n">
        <x:v>1746028</x:v>
      </x:c>
      <x:c r="CJ348" s="11" t="n">
        <x:v>310440</x:v>
      </x:c>
      <x:c r="CK348" s="11" t="n">
        <x:v>948164</x:v>
      </x:c>
      <x:c r="CL348" s="11" t="n">
        <x:v>0</x:v>
      </x:c>
      <x:c r="CM348" s="11"/>
      <x:c r="CN348" s="11" t="n">
        <x:v>100120</x:v>
      </x:c>
      <x:c r="CO348" s="11" t="n">
        <x:v>0</x:v>
      </x:c>
      <x:c r="CP348" s="8"/>
      <x:c r="CQ348" s="8"/>
    </x:row>
    <x:row r="349">
      <x:c r="A349" s="8" t="str">
        <x:v>Kent|2022</x:v>
      </x:c>
      <x:c r="B349" s="8" t="str">
        <x:v>kent-d</x:v>
      </x:c>
      <x:c r="C349" s="8" t="str">
        <x:v>Kent</x:v>
      </x:c>
      <x:c r="D349" s="8" t="str">
        <x:v>Kent</x:v>
      </x:c>
      <x:c r="E349" s="8" t="str">
        <x:v>D</x:v>
      </x:c>
      <x:c r="F349" s="8" t="str">
        <x:v>FVR</x:v>
      </x:c>
      <x:c r="G349" s="9" t="n">
        <x:v>2022</x:v>
      </x:c>
      <x:c r="H349" s="10" t="n">
        <x:v>1761</x:v>
      </x:c>
      <x:c r="I349" s="8" t="str">
        <x:v>Under 5,000</x:v>
      </x:c>
      <x:c r="J349" s="11" t="n">
        <x:v>14039602</x:v>
      </x:c>
      <x:c r="K349" s="11" t="n">
        <x:v>13098412</x:v>
      </x:c>
      <x:c r="L349" s="11" t="n">
        <x:v>941190</x:v>
      </x:c>
      <x:c r="M349" s="12" t="n">
        <x:v>0.06703822515766472</x:v>
      </x:c>
      <x:c r="N349" s="11" t="n">
        <x:v>8517932</x:v>
      </x:c>
      <x:c r="O349" s="11" t="n">
        <x:v>3297713</x:v>
      </x:c>
      <x:c r="P349" s="11" t="n">
        <x:v>1374308</x:v>
      </x:c>
      <x:c r="Q349" s="11" t="n">
        <x:v>849649</x:v>
      </x:c>
      <x:c r="R349" s="11" t="n">
        <x:v>11130453</x:v>
      </x:c>
      <x:c r="S349" s="11" t="n">
        <x:v>1933501</x:v>
      </x:c>
      <x:c r="T349" s="11" t="n">
        <x:v>31620821</x:v>
      </x:c>
      <x:c r="U349" s="11" t="n">
        <x:v>11178564</x:v>
      </x:c>
      <x:c r="V349" s="11" t="n">
        <x:v>21665550</x:v>
      </x:c>
      <x:c r="W349" s="11" t="n">
        <x:v>11092230</x:v>
      </x:c>
      <x:c r="X349" s="11" t="n">
        <x:v>1130491</x:v>
      </x:c>
      <x:c r="Y349" s="11" t="n">
        <x:v>0</x:v>
      </x:c>
      <x:c r="Z349" s="11" t="n">
        <x:v>70700</x:v>
      </x:c>
      <x:c r="AA349" s="11" t="n">
        <x:v>1046213</x:v>
      </x:c>
      <x:c r="AB349" s="11" t="n">
        <x:v>34458</x:v>
      </x:c>
      <x:c r="AC349" s="11" t="n">
        <x:v>105158</x:v>
      </x:c>
      <x:c r="AD349" s="11" t="n">
        <x:v>3267872</x:v>
      </x:c>
      <x:c r="AE349" s="11" t="n">
        <x:v>3162714</x:v>
      </x:c>
      <x:c r="AF349" s="11" t="n">
        <x:v>13071487</x:v>
      </x:c>
      <x:c r="AG349" s="11" t="n">
        <x:v>87181712</x:v>
      </x:c>
      <x:c r="AH349" s="11" t="n">
        <x:v>35756984</x:v>
      </x:c>
      <x:c r="AI349" s="11" t="n">
        <x:v>51424728</x:v>
      </x:c>
      <x:c r="AJ349" s="11" t="n">
        <x:v>2605944</x:v>
      </x:c>
      <x:c r="AK349" s="11" t="n">
        <x:v>6579125</x:v>
      </x:c>
      <x:c r="AL349" s="11" t="n">
        <x:v>0</x:v>
      </x:c>
      <x:c r="AM349" s="12" t="n">
        <x:v>1</x:v>
      </x:c>
      <x:c r="AN349" s="12" t="n">
        <x:v>0.39609279349457566</x:v>
      </x:c>
      <x:c r="AO349" s="11" t="n">
        <x:v>12547394</x:v>
      </x:c>
      <x:c r="AP349" s="11" t="n">
        <x:v>12254542</x:v>
      </x:c>
      <x:c r="AQ349" s="12" t="n">
        <x:v>0.9766603328149256</x:v>
      </x:c>
      <x:c r="AR349" s="11" t="n">
        <x:v>7972.516751845542</x:v>
      </x:c>
      <x:c r="AS349" s="11" t="n">
        <x:v>7438.053378762067</x:v>
      </x:c>
      <x:c r="AT349" s="11" t="n">
        <x:v>12302.981260647359</x:v>
      </x:c>
      <x:c r="AU349" s="11" t="n">
        <x:v>6298.824531516184</x:v>
      </x:c>
      <x:c r="AV349" s="11" t="n">
        <x:v>594.1016467915957</x:v>
      </x:c>
      <x:c r="AW349" s="11" t="n">
        <x:v>2.828701521948615</x:v>
      </x:c>
      <x:c r="AX349" s="12" t="n">
        <x:v>0.9678206490339891</x:v>
      </x:c>
      <x:c r="AY349" s="11"/>
      <x:c r="AZ349" s="11"/>
      <x:c r="BA349" s="11"/>
      <x:c r="BB349" s="11"/>
      <x:c r="BC349" s="11"/>
      <x:c r="BD349" s="11"/>
      <x:c r="BE349" s="11"/>
      <x:c r="BF349" s="11"/>
      <x:c r="BG349" s="11"/>
      <x:c r="BH349" s="11"/>
      <x:c r="BI349" s="11"/>
      <x:c r="BJ349" s="11"/>
      <x:c r="BK349" s="12"/>
      <x:c r="BL349" s="12"/>
      <x:c r="BM349" s="12"/>
      <x:c r="BN349" s="12"/>
      <x:c r="BO349" s="12"/>
      <x:c r="BP349" s="12"/>
      <x:c r="BQ349" s="12"/>
      <x:c r="BR349" s="12"/>
      <x:c r="BS349" s="12"/>
      <x:c r="BT349" s="12"/>
      <x:c r="BU349" s="11" t="n">
        <x:v>402385</x:v>
      </x:c>
      <x:c r="BV349" s="11" t="n">
        <x:v>971923</x:v>
      </x:c>
      <x:c r="BW349" s="11" t="n">
        <x:v>0</x:v>
      </x:c>
      <x:c r="BX349" s="11" t="n">
        <x:v>592974</x:v>
      </x:c>
      <x:c r="BY349" s="11" t="n">
        <x:v>0</x:v>
      </x:c>
      <x:c r="BZ349" s="11" t="n">
        <x:v>250483</x:v>
      </x:c>
      <x:c r="CA349" s="11" t="n">
        <x:v>6192</x:v>
      </x:c>
      <x:c r="CB349" s="11" t="n">
        <x:v>0</x:v>
      </x:c>
      <x:c r="CC349" s="11" t="n">
        <x:v>2528894</x:v>
      </x:c>
      <x:c r="CD349" s="11" t="n">
        <x:v>2165851</x:v>
      </x:c>
      <x:c r="CE349" s="11" t="n">
        <x:v>365021</x:v>
      </x:c>
      <x:c r="CF349" s="11" t="n">
        <x:v>0</x:v>
      </x:c>
      <x:c r="CG349" s="11" t="n">
        <x:v>927055</x:v>
      </x:c>
      <x:c r="CH349" s="11" t="n">
        <x:v>1863732</x:v>
      </x:c>
      <x:c r="CI349" s="11" t="n">
        <x:v>1983661</x:v>
      </x:c>
      <x:c r="CJ349" s="11" t="n">
        <x:v>308076</x:v>
      </x:c>
      <x:c r="CK349" s="11" t="n">
        <x:v>1022621</x:v>
      </x:c>
      <x:c r="CL349" s="11" t="n">
        <x:v>0</x:v>
      </x:c>
      <x:c r="CM349" s="11"/>
      <x:c r="CN349" s="11" t="n">
        <x:v>0</x:v>
      </x:c>
      <x:c r="CO349" s="11" t="n">
        <x:v>0</x:v>
      </x:c>
      <x:c r="CP349" s="8"/>
      <x:c r="CQ349" s="8"/>
    </x:row>
    <x:row r="350">
      <x:c r="A350" s="8" t="str">
        <x:v>Kent|2023</x:v>
      </x:c>
      <x:c r="B350" s="8" t="str">
        <x:v>kent-d</x:v>
      </x:c>
      <x:c r="C350" s="8" t="str">
        <x:v>Kent</x:v>
      </x:c>
      <x:c r="D350" s="8" t="str">
        <x:v>Kent</x:v>
      </x:c>
      <x:c r="E350" s="8" t="str">
        <x:v>D</x:v>
      </x:c>
      <x:c r="F350" s="8" t="str">
        <x:v>FVR</x:v>
      </x:c>
      <x:c r="G350" s="9" t="n">
        <x:v>2023</x:v>
      </x:c>
      <x:c r="H350" s="10" t="n">
        <x:v>7201</x:v>
      </x:c>
      <x:c r="I350" s="8" t="str">
        <x:v>5,000 to 19,999</x:v>
      </x:c>
      <x:c r="J350" s="11" t="n">
        <x:v>20988186</x:v>
      </x:c>
      <x:c r="K350" s="11" t="n">
        <x:v>12954257</x:v>
      </x:c>
      <x:c r="L350" s="11" t="n">
        <x:v>8033929</x:v>
      </x:c>
      <x:c r="M350" s="12" t="n">
        <x:v>0.382783390617941</x:v>
      </x:c>
      <x:c r="N350" s="11" t="n">
        <x:v>9350839</x:v>
      </x:c>
      <x:c r="O350" s="11" t="n">
        <x:v>3585400</x:v>
      </x:c>
      <x:c r="P350" s="11" t="n">
        <x:v>4012385</x:v>
      </x:c>
      <x:c r="Q350" s="11" t="n">
        <x:v>4039562</x:v>
      </x:c>
      <x:c r="R350" s="11" t="n">
        <x:v>10953840</x:v>
      </x:c>
      <x:c r="S350" s="11" t="n">
        <x:v>1966877</x:v>
      </x:c>
      <x:c r="T350" s="11" t="n">
        <x:v>39246916</x:v>
      </x:c>
      <x:c r="U350" s="11" t="n">
        <x:v>12470269</x:v>
      </x:c>
      <x:c r="V350" s="11" t="n">
        <x:v>28119528</x:v>
      </x:c>
      <x:c r="W350" s="11" t="n">
        <x:v>15072197</x:v>
      </x:c>
      <x:c r="X350" s="11" t="n">
        <x:v>1046213</x:v>
      </x:c>
      <x:c r="Y350" s="11" t="n">
        <x:v>0</x:v>
      </x:c>
      <x:c r="Z350" s="11" t="n">
        <x:v>70699</x:v>
      </x:c>
      <x:c r="AA350" s="11" t="n">
        <x:v>959284</x:v>
      </x:c>
      <x:c r="AB350" s="11" t="n">
        <x:v>33540</x:v>
      </x:c>
      <x:c r="AC350" s="11" t="n">
        <x:v>104239</x:v>
      </x:c>
      <x:c r="AD350" s="11" t="n">
        <x:v>3708338</x:v>
      </x:c>
      <x:c r="AE350" s="11" t="n">
        <x:v>3604099</x:v>
      </x:c>
      <x:c r="AF350" s="11" t="n">
        <x:v>14833350</x:v>
      </x:c>
      <x:c r="AG350" s="11" t="n">
        <x:v>90721954</x:v>
      </x:c>
      <x:c r="AH350" s="11" t="n">
        <x:v>37723863</x:v>
      </x:c>
      <x:c r="AI350" s="11" t="n">
        <x:v>52998091</x:v>
      </x:c>
      <x:c r="AJ350" s="11" t="n">
        <x:v>3419054</x:v>
      </x:c>
      <x:c r="AK350" s="11" t="n">
        <x:v>7473366</x:v>
      </x:c>
      <x:c r="AL350" s="11" t="n">
        <x:v>0</x:v>
      </x:c>
      <x:c r="AM350" s="12" t="n">
        <x:v>1</x:v>
      </x:c>
      <x:c r="AN350" s="12" t="n">
        <x:v>0.45749853546581287</x:v>
      </x:c>
      <x:c r="AO350" s="11" t="n">
        <x:v>13564985</x:v>
      </x:c>
      <x:c r="AP350" s="11" t="n">
        <x:v>13318817</x:v>
      </x:c>
      <x:c r="AQ350" s="12" t="n">
        <x:v>0.9818526891109721</x:v>
      </x:c>
      <x:c r="AR350" s="11" t="n">
        <x:v>2914.6210248576585</x:v>
      </x:c>
      <x:c r="AS350" s="11" t="n">
        <x:v>1798.952506596306</x:v>
      </x:c>
      <x:c r="AT350" s="11" t="n">
        <x:v>3904.9476461602553</x:v>
      </x:c>
      <x:c r="AU350" s="11" t="n">
        <x:v>2093.069990279128</x:v>
      </x:c>
      <x:c r="AV350" s="11" t="n">
        <x:v>133.21538675184001</x:v>
      </x:c>
      <x:c r="AW350" s="11" t="n">
        <x:v>3.1472389248379486</x:v>
      </x:c>
      <x:c r="AX350" s="12" t="n">
        <x:v>0.971890642115147</x:v>
      </x:c>
      <x:c r="AY350" s="11"/>
      <x:c r="AZ350" s="11"/>
      <x:c r="BA350" s="11"/>
      <x:c r="BB350" s="11"/>
      <x:c r="BC350" s="11"/>
      <x:c r="BD350" s="11"/>
      <x:c r="BE350" s="11"/>
      <x:c r="BF350" s="11"/>
      <x:c r="BG350" s="11"/>
      <x:c r="BH350" s="11"/>
      <x:c r="BI350" s="11"/>
      <x:c r="BJ350" s="11"/>
      <x:c r="BK350" s="12"/>
      <x:c r="BL350" s="12"/>
      <x:c r="BM350" s="12"/>
      <x:c r="BN350" s="12"/>
      <x:c r="BO350" s="12"/>
      <x:c r="BP350" s="12"/>
      <x:c r="BQ350" s="12"/>
      <x:c r="BR350" s="12"/>
      <x:c r="BS350" s="12"/>
      <x:c r="BT350" s="12"/>
      <x:c r="BU350" s="11" t="n">
        <x:v>346203</x:v>
      </x:c>
      <x:c r="BV350" s="11" t="n">
        <x:v>3666182</x:v>
      </x:c>
      <x:c r="BW350" s="11" t="n">
        <x:v>0</x:v>
      </x:c>
      <x:c r="BX350" s="11" t="n">
        <x:v>1382341</x:v>
      </x:c>
      <x:c r="BY350" s="11" t="n">
        <x:v>0</x:v>
      </x:c>
      <x:c r="BZ350" s="11" t="n">
        <x:v>1796353</x:v>
      </x:c>
      <x:c r="CA350" s="11" t="n">
        <x:v>860868</x:v>
      </x:c>
      <x:c r="CB350" s="11" t="n">
        <x:v>0</x:v>
      </x:c>
      <x:c r="CC350" s="11" t="n">
        <x:v>2597860</x:v>
      </x:c>
      <x:c r="CD350" s="11" t="n">
        <x:v>1739018</x:v>
      </x:c>
      <x:c r="CE350" s="11" t="n">
        <x:v>464771</x:v>
      </x:c>
      <x:c r="CF350" s="11" t="n">
        <x:v>0</x:v>
      </x:c>
      <x:c r="CG350" s="11" t="n">
        <x:v>817279</x:v>
      </x:c>
      <x:c r="CH350" s="11" t="n">
        <x:v>1800808</x:v>
      </x:c>
      <x:c r="CI350" s="11" t="n">
        <x:v>2146015</x:v>
      </x:c>
      <x:c r="CJ350" s="11" t="n">
        <x:v>328496</x:v>
      </x:c>
      <x:c r="CK350" s="11" t="n">
        <x:v>1083132</x:v>
      </x:c>
      <x:c r="CL350" s="11" t="n">
        <x:v>0</x:v>
      </x:c>
      <x:c r="CM350" s="11" t="n">
        <x:v>10001</x:v>
      </x:c>
      <x:c r="CN350" s="11" t="n">
        <x:v>0</x:v>
      </x:c>
      <x:c r="CO350" s="11" t="n">
        <x:v>0</x:v>
      </x:c>
      <x:c r="CP350" s="8"/>
      <x:c r="CQ350" s="8"/>
    </x:row>
    <x:row r="351">
      <x:c r="A351" s="8" t="str">
        <x:v>Kent|2024</x:v>
      </x:c>
      <x:c r="B351" s="8" t="str">
        <x:v>kent-d</x:v>
      </x:c>
      <x:c r="C351" s="8" t="str">
        <x:v>Kent</x:v>
      </x:c>
      <x:c r="D351" s="8" t="str">
        <x:v>Kent</x:v>
      </x:c>
      <x:c r="E351" s="8" t="str">
        <x:v>D</x:v>
      </x:c>
      <x:c r="F351" s="8" t="str">
        <x:v>FVR</x:v>
      </x:c>
      <x:c r="G351" s="9" t="n">
        <x:v>2024</x:v>
      </x:c>
      <x:c r="H351" s="10" t="n">
        <x:v>7201</x:v>
      </x:c>
      <x:c r="I351" s="8" t="str">
        <x:v>5,000 to 19,999</x:v>
      </x:c>
      <x:c r="J351" s="11" t="n">
        <x:v>22430839</x:v>
      </x:c>
      <x:c r="K351" s="11" t="n">
        <x:v>14405816</x:v>
      </x:c>
      <x:c r="L351" s="11" t="n">
        <x:v>8025023</x:v>
      </x:c>
      <x:c r="M351" s="12" t="n">
        <x:v>0.3577674022804051</x:v>
      </x:c>
      <x:c r="N351" s="11" t="n">
        <x:v>10032233</x:v>
      </x:c>
      <x:c r="O351" s="11" t="n">
        <x:v>3402267</x:v>
      </x:c>
      <x:c r="P351" s="11" t="n">
        <x:v>6341177</x:v>
      </x:c>
      <x:c r="Q351" s="11" t="n">
        <x:v>2655162</x:v>
      </x:c>
      <x:c r="R351" s="11" t="n">
        <x:v>12319873</x:v>
      </x:c>
      <x:c r="S351" s="11" t="n">
        <x:v>2051485</x:v>
      </x:c>
      <x:c r="T351" s="11" t="n">
        <x:v>36914375</x:v>
      </x:c>
      <x:c r="U351" s="11" t="n">
        <x:v>13118460</x:v>
      </x:c>
      <x:c r="V351" s="11" t="n">
        <x:v>28215110</x:v>
      </x:c>
      <x:c r="W351" s="11" t="n">
        <x:v>14636549</x:v>
      </x:c>
      <x:c r="X351" s="11" t="n">
        <x:v>959284</x:v>
      </x:c>
      <x:c r="Y351" s="11" t="n">
        <x:v>0</x:v>
      </x:c>
      <x:c r="Z351" s="11" t="n">
        <x:v>70699</x:v>
      </x:c>
      <x:c r="AA351" s="11" t="n">
        <x:v>869612</x:v>
      </x:c>
      <x:c r="AB351" s="11" t="n">
        <x:v>34458</x:v>
      </x:c>
      <x:c r="AC351" s="11" t="n">
        <x:v>105157</x:v>
      </x:c>
      <x:c r="AD351" s="11" t="n">
        <x:v>3982815</x:v>
      </x:c>
      <x:c r="AE351" s="11" t="n">
        <x:v>3877658</x:v>
      </x:c>
      <x:c r="AF351" s="11" t="n">
        <x:v>15931261</x:v>
      </x:c>
      <x:c r="AG351" s="11" t="n">
        <x:v>100599249</x:v>
      </x:c>
      <x:c r="AH351" s="11" t="n">
        <x:v>39688106</x:v>
      </x:c>
      <x:c r="AI351" s="11" t="n">
        <x:v>60911143</x:v>
      </x:c>
      <x:c r="AJ351" s="11" t="n">
        <x:v>9982773</x:v>
      </x:c>
      <x:c r="AK351" s="11" t="n">
        <x:v>119867105</x:v>
      </x:c>
      <x:c r="AL351" s="11" t="n">
        <x:v>2595758</x:v>
      </x:c>
      <x:c r="AM351" s="12" t="n">
        <x:v>0.9783447009919861</x:v>
      </x:c>
      <x:c r="AN351" s="12" t="n">
        <x:v>0.08328200635195118</x:v>
      </x:c>
      <x:c r="AO351" s="11" t="n">
        <x:v>14610099</x:v>
      </x:c>
      <x:c r="AP351" s="11" t="n">
        <x:v>14282659</x:v>
      </x:c>
      <x:c r="AQ351" s="12" t="n">
        <x:v>0.9775881053235848</x:v>
      </x:c>
      <x:c r="AR351" s="11" t="n">
        <x:v>3114.9616719900014</x:v>
      </x:c>
      <x:c r="AS351" s="11" t="n">
        <x:v>2000.5299263991112</x:v>
      </x:c>
      <x:c r="AT351" s="11" t="n">
        <x:v>3918.2210804054994</x:v>
      </x:c>
      <x:c r="AU351" s="11" t="n">
        <x:v>2032.571726149146</x:v>
      </x:c>
      <x:c r="AV351" s="11" t="n">
        <x:v>120.76267185113178</x:v>
      </x:c>
      <x:c r="AW351" s="11" t="n">
        <x:v>2.813925948625067</x:v>
      </x:c>
      <x:c r="AX351" s="12" t="n">
        <x:v>0.9735973174752028</x:v>
      </x:c>
      <x:c r="AY351" s="11" t="n">
        <x:v>2567.538946805667</x:v>
      </x:c>
      <x:c r="AZ351" s="11" t="n">
        <x:v>3546.5079302077975</x:v>
      </x:c>
      <x:c r="BA351" s="11" t="n">
        <x:v>2045.0195609464422</x:v>
      </x:c>
      <x:c r="BB351" s="11" t="n">
        <x:v>2783.665107049771</x:v>
      </x:c>
      <x:c r="BC351" s="11" t="n">
        <x:v>2217.25520024837</x:v>
      </x:c>
      <x:c r="BD351" s="11" t="n">
        <x:v>2437.8724475115623</x:v>
      </x:c>
      <x:c r="BE351" s="11" t="n">
        <x:v>799.2304887641933</x:v>
      </x:c>
      <x:c r="BF351" s="11" t="n">
        <x:v>1604.3462673977224</x:v>
      </x:c>
      <x:c r="BG351" s="11" t="n">
        <x:v>386.9249167164944</x:v>
      </x:c>
      <x:c r="BH351" s="11" t="n">
        <x:v>518.5374381567245</x:v>
      </x:c>
      <x:c r="BI351" s="11" t="n">
        <x:v>1.5629948984418691</x:v>
      </x:c>
      <x:c r="BJ351" s="11" t="n">
        <x:v>1.7099330852451193</x:v>
      </x:c>
      <x:c r="BK351" s="12" t="n">
        <x:v>0.04472396775938227</x:v>
      </x:c>
      <x:c r="BL351" s="12" t="n">
        <x:v>0.02529861000232605</x:v>
      </x:c>
      <x:c r="BM351" s="12" t="n">
        <x:v>0.9792813777328785</x:v>
      </x:c>
      <x:c r="BN351" s="12" t="n">
        <x:v>0.9815511712696461</x:v>
      </x:c>
      <x:c r="BO351" s="12" t="n">
        <x:v>0.8510570773833829</x:v>
      </x:c>
      <x:c r="BP351" s="12" t="n">
        <x:v>0.8619101997275483</x:v>
      </x:c>
      <x:c r="BQ351" s="12" t="n">
        <x:v>0.9732053424599786</x:v>
      </x:c>
      <x:c r="BR351" s="12" t="n">
        <x:v>0.9623635142836453</x:v>
      </x:c>
      <x:c r="BS351" s="12" t="n">
        <x:v>0.170495619408603</x:v>
      </x:c>
      <x:c r="BT351" s="12" t="n">
        <x:v>0.19976549769108282</x:v>
      </x:c>
      <x:c r="BU351" s="11" t="n">
        <x:v>357445</x:v>
      </x:c>
      <x:c r="BV351" s="11" t="n">
        <x:v>5983732</x:v>
      </x:c>
      <x:c r="BW351" s="11" t="n">
        <x:v>0</x:v>
      </x:c>
      <x:c r="BX351" s="11" t="n">
        <x:v>1939034</x:v>
      </x:c>
      <x:c r="BY351" s="11" t="n">
        <x:v>0</x:v>
      </x:c>
      <x:c r="BZ351" s="11" t="n">
        <x:v>716128</x:v>
      </x:c>
      <x:c r="CA351" s="11" t="n">
        <x:v>0</x:v>
      </x:c>
      <x:c r="CB351" s="11" t="n">
        <x:v>0</x:v>
      </x:c>
      <x:c r="CC351" s="11" t="n">
        <x:v>2689783</x:v>
      </x:c>
      <x:c r="CD351" s="11" t="n">
        <x:v>2284536</x:v>
      </x:c>
      <x:c r="CE351" s="11" t="n">
        <x:v>414777</x:v>
      </x:c>
      <x:c r="CF351" s="11" t="n">
        <x:v>0</x:v>
      </x:c>
      <x:c r="CG351" s="11" t="n">
        <x:v>846971</x:v>
      </x:c>
      <x:c r="CH351" s="11" t="n">
        <x:v>2230749</x:v>
      </x:c>
      <x:c r="CI351" s="11" t="n">
        <x:v>2264866</x:v>
      </x:c>
      <x:c r="CJ351" s="11" t="n">
        <x:v>354596</x:v>
      </x:c>
      <x:c r="CK351" s="11" t="n">
        <x:v>1239816</x:v>
      </x:c>
      <x:c r="CL351" s="11" t="n">
        <x:v>0</x:v>
      </x:c>
      <x:c r="CM351" s="11" t="n">
        <x:v>10001</x:v>
      </x:c>
      <x:c r="CN351" s="11" t="n">
        <x:v>18236</x:v>
      </x:c>
      <x:c r="CO351" s="11" t="n">
        <x:v>0</x:v>
      </x:c>
      <x:c r="CP351" s="8"/>
      <x:c r="CQ351" s="8"/>
    </x:row>
    <x:row r="352">
      <x:c r="A352" s="8" t="str">
        <x:v>Keremeos|2019</x:v>
      </x:c>
      <x:c r="B352" s="8" t="str">
        <x:v>keremeos-v</x:v>
      </x:c>
      <x:c r="C352" s="8" t="str">
        <x:v>Keremeos</x:v>
      </x:c>
      <x:c r="D352" s="8" t="str">
        <x:v>Keremeos</x:v>
      </x:c>
      <x:c r="E352" s="8" t="str">
        <x:v>V</x:v>
      </x:c>
      <x:c r="F352" s="8" t="str">
        <x:v>OKS</x:v>
      </x:c>
      <x:c r="G352" s="9" t="n">
        <x:v>2019</x:v>
      </x:c>
      <x:c r="H352" s="10" t="n">
        <x:v>1692</x:v>
      </x:c>
      <x:c r="I352" s="8" t="str">
        <x:v>Under 5,000</x:v>
      </x:c>
      <x:c r="J352" s="11" t="n">
        <x:v>1976115</x:v>
      </x:c>
      <x:c r="K352" s="11" t="n">
        <x:v>1989383</x:v>
      </x:c>
      <x:c r="L352" s="11" t="n">
        <x:v>-13268</x:v>
      </x:c>
      <x:c r="M352" s="12" t="n">
        <x:v>-0.006714184144141409</x:v>
      </x:c>
      <x:c r="N352" s="11" t="n">
        <x:v>960289</x:v>
      </x:c>
      <x:c r="O352" s="11" t="n">
        <x:v>411203</x:v>
      </x:c>
      <x:c r="P352" s="11" t="n">
        <x:v>570268</x:v>
      </x:c>
      <x:c r="Q352" s="11" t="n">
        <x:v>34355</x:v>
      </x:c>
      <x:c r="R352" s="11" t="n">
        <x:v>1612346</x:v>
      </x:c>
      <x:c r="S352" s="11" t="n">
        <x:v>368145</x:v>
      </x:c>
      <x:c r="T352" s="11" t="n">
        <x:v>2913117</x:v>
      </x:c>
      <x:c r="U352" s="11" t="n">
        <x:v>1584224</x:v>
      </x:c>
      <x:c r="V352" s="11" t="n">
        <x:v>1593646</x:v>
      </x:c>
      <x:c r="W352" s="11" t="n">
        <x:v>0</x:v>
      </x:c>
      <x:c r="X352" s="11" t="n">
        <x:v>242889</x:v>
      </x:c>
      <x:c r="Y352" s="11" t="n">
        <x:v>0</x:v>
      </x:c>
      <x:c r="Z352" s="11" t="n">
        <x:v>17985</x:v>
      </x:c>
      <x:c r="AA352" s="11" t="n">
        <x:v>222715</x:v>
      </x:c>
      <x:c r="AB352" s="11" t="n">
        <x:v>8892</x:v>
      </x:c>
      <x:c r="AC352" s="11" t="n">
        <x:v>26877</x:v>
      </x:c>
      <x:c r="AD352" s="11" t="n">
        <x:v>448315</x:v>
      </x:c>
      <x:c r="AE352" s="11" t="n">
        <x:v>421438</x:v>
      </x:c>
      <x:c r="AF352" s="11" t="n">
        <x:v>1793261</x:v>
      </x:c>
      <x:c r="AG352" s="11" t="n">
        <x:v>13832528</x:v>
      </x:c>
      <x:c r="AH352" s="11" t="n">
        <x:v>5768998</x:v>
      </x:c>
      <x:c r="AI352" s="11" t="n">
        <x:v>8063530</x:v>
      </x:c>
      <x:c r="AJ352" s="11" t="n">
        <x:v>76008</x:v>
      </x:c>
      <x:c r="AK352" s="11" t="n">
        <x:v>0</x:v>
      </x:c>
      <x:c r="AL352" s="11" t="n">
        <x:v>0</x:v>
      </x:c>
      <x:c r="AM352" s="12"/>
      <x:c r="AN352" s="12"/>
      <x:c r="AO352" s="11" t="n">
        <x:v>2256579</x:v>
      </x:c>
      <x:c r="AP352" s="11" t="n">
        <x:v>2143125</x:v>
      </x:c>
      <x:c r="AQ352" s="12" t="n">
        <x:v>0.9497230099189968</x:v>
      </x:c>
      <x:c r="AR352" s="11" t="n">
        <x:v>1167.9166666666667</x:v>
      </x:c>
      <x:c r="AS352" s="11" t="n">
        <x:v>1175.7582742316786</x:v>
      </x:c>
      <x:c r="AT352" s="11" t="n">
        <x:v>941.871158392435</x:v>
      </x:c>
      <x:c r="AU352" s="11" t="n">
        <x:v>0</x:v>
      </x:c>
      <x:c r="AV352" s="11" t="n">
        <x:v>131.62825059101655</x:v>
      </x:c>
      <x:c r="AW352" s="11" t="n">
        <x:v>1.8388289787302805</x:v>
      </x:c>
      <x:c r="AX352" s="12" t="n">
        <x:v>0.9400488495812096</x:v>
      </x:c>
      <x:c r="AY352" s="11"/>
      <x:c r="AZ352" s="11"/>
      <x:c r="BA352" s="11"/>
      <x:c r="BB352" s="11"/>
      <x:c r="BC352" s="11"/>
      <x:c r="BD352" s="11"/>
      <x:c r="BE352" s="11"/>
      <x:c r="BF352" s="11"/>
      <x:c r="BG352" s="11"/>
      <x:c r="BH352" s="11"/>
      <x:c r="BI352" s="11"/>
      <x:c r="BJ352" s="11"/>
      <x:c r="BK352" s="12"/>
      <x:c r="BL352" s="12"/>
      <x:c r="BM352" s="12"/>
      <x:c r="BN352" s="12"/>
      <x:c r="BO352" s="12"/>
      <x:c r="BP352" s="12"/>
      <x:c r="BQ352" s="12"/>
      <x:c r="BR352" s="12"/>
      <x:c r="BS352" s="12"/>
      <x:c r="BT352" s="12"/>
      <x:c r="BU352" s="11" t="n">
        <x:v>0</x:v>
      </x:c>
      <x:c r="BV352" s="11" t="n">
        <x:v>570268</x:v>
      </x:c>
      <x:c r="BW352" s="11" t="n">
        <x:v>0</x:v>
      </x:c>
      <x:c r="BX352" s="11" t="n">
        <x:v>34355</x:v>
      </x:c>
      <x:c r="BY352" s="11" t="n">
        <x:v>0</x:v>
      </x:c>
      <x:c r="BZ352" s="11" t="n">
        <x:v>0</x:v>
      </x:c>
      <x:c r="CA352" s="11" t="n">
        <x:v>0</x:v>
      </x:c>
      <x:c r="CB352" s="11" t="n">
        <x:v>0</x:v>
      </x:c>
      <x:c r="CC352" s="11" t="n">
        <x:v>762275</x:v>
      </x:c>
      <x:c r="CD352" s="11" t="n">
        <x:v>63621</x:v>
      </x:c>
      <x:c r="CE352" s="11" t="n">
        <x:v>94452</x:v>
      </x:c>
      <x:c r="CF352" s="11" t="n">
        <x:v>13874</x:v>
      </x:c>
      <x:c r="CG352" s="11" t="n">
        <x:v>0</x:v>
      </x:c>
      <x:c r="CH352" s="11" t="n">
        <x:v>289892</x:v>
      </x:c>
      <x:c r="CI352" s="11" t="n">
        <x:v>87317</x:v>
      </x:c>
      <x:c r="CJ352" s="11" t="n">
        <x:v>5359</x:v>
      </x:c>
      <x:c r="CK352" s="11" t="n">
        <x:v>304448</x:v>
      </x:c>
      <x:c r="CL352" s="11" t="n">
        <x:v>0</x:v>
      </x:c>
      <x:c r="CM352" s="11"/>
      <x:c r="CN352" s="11" t="n">
        <x:v>0</x:v>
      </x:c>
      <x:c r="CO352" s="11" t="n">
        <x:v>0</x:v>
      </x:c>
      <x:c r="CP352" s="8"/>
      <x:c r="CQ352" s="8"/>
    </x:row>
    <x:row r="353">
      <x:c r="A353" s="8" t="str">
        <x:v>Keremeos|2020</x:v>
      </x:c>
      <x:c r="B353" s="8" t="str">
        <x:v>keremeos-v</x:v>
      </x:c>
      <x:c r="C353" s="8" t="str">
        <x:v>Keremeos</x:v>
      </x:c>
      <x:c r="D353" s="8" t="str">
        <x:v>Keremeos</x:v>
      </x:c>
      <x:c r="E353" s="8" t="str">
        <x:v>V</x:v>
      </x:c>
      <x:c r="F353" s="8" t="str">
        <x:v>OKS</x:v>
      </x:c>
      <x:c r="G353" s="9" t="n">
        <x:v>2020</x:v>
      </x:c>
      <x:c r="H353" s="10" t="n">
        <x:v>1695</x:v>
      </x:c>
      <x:c r="I353" s="8" t="str">
        <x:v>Under 5,000</x:v>
      </x:c>
      <x:c r="J353" s="11" t="n">
        <x:v>3278270</x:v>
      </x:c>
      <x:c r="K353" s="11" t="n">
        <x:v>1970322</x:v>
      </x:c>
      <x:c r="L353" s="11" t="n">
        <x:v>1307948</x:v>
      </x:c>
      <x:c r="M353" s="12" t="n">
        <x:v>0.39897506916757924</x:v>
      </x:c>
      <x:c r="N353" s="11" t="n">
        <x:v>978566</x:v>
      </x:c>
      <x:c r="O353" s="11" t="n">
        <x:v>913651</x:v>
      </x:c>
      <x:c r="P353" s="11" t="n">
        <x:v>1370102</x:v>
      </x:c>
      <x:c r="Q353" s="11" t="n">
        <x:v>15951</x:v>
      </x:c>
      <x:c r="R353" s="11" t="n">
        <x:v>1584349</x:v>
      </x:c>
      <x:c r="S353" s="11" t="n">
        <x:v>381128</x:v>
      </x:c>
      <x:c r="T353" s="11" t="n">
        <x:v>4046611</x:v>
      </x:c>
      <x:c r="U353" s="11" t="n">
        <x:v>1872834</x:v>
      </x:c>
      <x:c r="V353" s="11" t="n">
        <x:v>2670731</x:v>
      </x:c>
      <x:c r="W353" s="11" t="n">
        <x:v>0</x:v>
      </x:c>
      <x:c r="X353" s="11" t="n">
        <x:v>222715</x:v>
      </x:c>
      <x:c r="Y353" s="11" t="n">
        <x:v>0</x:v>
      </x:c>
      <x:c r="Z353" s="11" t="n">
        <x:v>18799</x:v>
      </x:c>
      <x:c r="AA353" s="11" t="n">
        <x:v>201433</x:v>
      </x:c>
      <x:c r="AB353" s="11" t="n">
        <x:v>4845</x:v>
      </x:c>
      <x:c r="AC353" s="11" t="n">
        <x:v>23644</x:v>
      </x:c>
      <x:c r="AD353" s="11" t="n">
        <x:v>576797</x:v>
      </x:c>
      <x:c r="AE353" s="11" t="n">
        <x:v>553153</x:v>
      </x:c>
      <x:c r="AF353" s="11" t="n">
        <x:v>2307187</x:v>
      </x:c>
      <x:c r="AG353" s="11" t="n">
        <x:v>14444033</x:v>
      </x:c>
      <x:c r="AH353" s="11" t="n">
        <x:v>6143707</x:v>
      </x:c>
      <x:c r="AI353" s="11" t="n">
        <x:v>8300326</x:v>
      </x:c>
      <x:c r="AJ353" s="11" t="n">
        <x:v>617924</x:v>
      </x:c>
      <x:c r="AK353" s="11" t="n">
        <x:v>0</x:v>
      </x:c>
      <x:c r="AL353" s="11" t="n">
        <x:v>0</x:v>
      </x:c>
      <x:c r="AM353" s="12"/>
      <x:c r="AN353" s="12"/>
      <x:c r="AO353" s="11" t="n">
        <x:v>2309171</x:v>
      </x:c>
      <x:c r="AP353" s="11" t="n">
        <x:v>2180846</x:v>
      </x:c>
      <x:c r="AQ353" s="12" t="n">
        <x:v>0.9444281086156028</x:v>
      </x:c>
      <x:c r="AR353" s="11" t="n">
        <x:v>1934.0825958702064</x:v>
      </x:c>
      <x:c r="AS353" s="11" t="n">
        <x:v>1162.4318584070797</x:v>
      </x:c>
      <x:c r="AT353" s="11" t="n">
        <x:v>1575.6525073746313</x:v>
      </x:c>
      <x:c r="AU353" s="11" t="n">
        <x:v>0</x:v>
      </x:c>
      <x:c r="AV353" s="11" t="n">
        <x:v>118.83952802359882</x:v>
      </x:c>
      <x:c r="AW353" s="11" t="n">
        <x:v>2.1606885607587216</x:v>
      </x:c>
      <x:c r="AX353" s="12" t="n">
        <x:v>0.9590081085719933</x:v>
      </x:c>
      <x:c r="AY353" s="11"/>
      <x:c r="AZ353" s="11"/>
      <x:c r="BA353" s="11"/>
      <x:c r="BB353" s="11"/>
      <x:c r="BC353" s="11"/>
      <x:c r="BD353" s="11"/>
      <x:c r="BE353" s="11"/>
      <x:c r="BF353" s="11"/>
      <x:c r="BG353" s="11"/>
      <x:c r="BH353" s="11"/>
      <x:c r="BI353" s="11"/>
      <x:c r="BJ353" s="11"/>
      <x:c r="BK353" s="12"/>
      <x:c r="BL353" s="12"/>
      <x:c r="BM353" s="12"/>
      <x:c r="BN353" s="12"/>
      <x:c r="BO353" s="12"/>
      <x:c r="BP353" s="12"/>
      <x:c r="BQ353" s="12"/>
      <x:c r="BR353" s="12"/>
      <x:c r="BS353" s="12"/>
      <x:c r="BT353" s="12"/>
      <x:c r="BU353" s="11" t="n">
        <x:v>0</x:v>
      </x:c>
      <x:c r="BV353" s="11" t="n">
        <x:v>1370102</x:v>
      </x:c>
      <x:c r="BW353" s="11" t="n">
        <x:v>0</x:v>
      </x:c>
      <x:c r="BX353" s="11" t="n">
        <x:v>15951</x:v>
      </x:c>
      <x:c r="BY353" s="11" t="n">
        <x:v>0</x:v>
      </x:c>
      <x:c r="BZ353" s="11" t="n">
        <x:v>0</x:v>
      </x:c>
      <x:c r="CA353" s="11" t="n">
        <x:v>0</x:v>
      </x:c>
      <x:c r="CB353" s="11" t="n">
        <x:v>0</x:v>
      </x:c>
      <x:c r="CC353" s="11" t="n">
        <x:v>790268</x:v>
      </x:c>
      <x:c r="CD353" s="11" t="n">
        <x:v>66051</x:v>
      </x:c>
      <x:c r="CE353" s="11" t="n">
        <x:v>97140</x:v>
      </x:c>
      <x:c r="CF353" s="11" t="n">
        <x:v>13050</x:v>
      </x:c>
      <x:c r="CG353" s="11" t="n">
        <x:v>0</x:v>
      </x:c>
      <x:c r="CH353" s="11" t="n">
        <x:v>316501</x:v>
      </x:c>
      <x:c r="CI353" s="11" t="n">
        <x:v>67894</x:v>
      </x:c>
      <x:c r="CJ353" s="11" t="n">
        <x:v>492</x:v>
      </x:c>
      <x:c r="CK353" s="11" t="n">
        <x:v>237798</x:v>
      </x:c>
      <x:c r="CL353" s="11" t="n">
        <x:v>0</x:v>
      </x:c>
      <x:c r="CM353" s="11"/>
      <x:c r="CN353" s="11" t="n">
        <x:v>0</x:v>
      </x:c>
      <x:c r="CO353" s="11" t="n">
        <x:v>0</x:v>
      </x:c>
      <x:c r="CP353" s="8"/>
      <x:c r="CQ353" s="8"/>
    </x:row>
    <x:row r="354">
      <x:c r="A354" s="8" t="str">
        <x:v>Keremeos|2021</x:v>
      </x:c>
      <x:c r="B354" s="8" t="str">
        <x:v>keremeos-v</x:v>
      </x:c>
      <x:c r="C354" s="8" t="str">
        <x:v>Keremeos</x:v>
      </x:c>
      <x:c r="D354" s="8" t="str">
        <x:v>Keremeos</x:v>
      </x:c>
      <x:c r="E354" s="8" t="str">
        <x:v>V</x:v>
      </x:c>
      <x:c r="F354" s="8" t="str">
        <x:v>OKS</x:v>
      </x:c>
      <x:c r="G354" s="9" t="n">
        <x:v>2021</x:v>
      </x:c>
      <x:c r="H354" s="10" t="n">
        <x:v>1820</x:v>
      </x:c>
      <x:c r="I354" s="8" t="str">
        <x:v>Under 5,000</x:v>
      </x:c>
      <x:c r="J354" s="11" t="n">
        <x:v>2361878</x:v>
      </x:c>
      <x:c r="K354" s="11" t="n">
        <x:v>2073688</x:v>
      </x:c>
      <x:c r="L354" s="11" t="n">
        <x:v>288190</x:v>
      </x:c>
      <x:c r="M354" s="12" t="n">
        <x:v>0.12201730995419746</x:v>
      </x:c>
      <x:c r="N354" s="11" t="n">
        <x:v>1000650</x:v>
      </x:c>
      <x:c r="O354" s="11" t="n">
        <x:v>667193</x:v>
      </x:c>
      <x:c r="P354" s="11" t="n">
        <x:v>675387</x:v>
      </x:c>
      <x:c r="Q354" s="11" t="n">
        <x:v>18648</x:v>
      </x:c>
      <x:c r="R354" s="11" t="n">
        <x:v>1672761</x:v>
      </x:c>
      <x:c r="S354" s="11" t="n">
        <x:v>395623</x:v>
      </x:c>
      <x:c r="T354" s="11" t="n">
        <x:v>4906861</x:v>
      </x:c>
      <x:c r="U354" s="11" t="n">
        <x:v>2558998</x:v>
      </x:c>
      <x:c r="V354" s="11" t="n">
        <x:v>2732099</x:v>
      </x:c>
      <x:c r="W354" s="11" t="n">
        <x:v>0</x:v>
      </x:c>
      <x:c r="X354" s="11" t="n">
        <x:v>201433</x:v>
      </x:c>
      <x:c r="Y354" s="11" t="n">
        <x:v>0</x:v>
      </x:c>
      <x:c r="Z354" s="11" t="n">
        <x:v>19438</x:v>
      </x:c>
      <x:c r="AA354" s="11" t="n">
        <x:v>179206</x:v>
      </x:c>
      <x:c r="AB354" s="11" t="n">
        <x:v>5304</x:v>
      </x:c>
      <x:c r="AC354" s="11" t="n">
        <x:v>24742</x:v>
      </x:c>
      <x:c r="AD354" s="11" t="n">
        <x:v>526457</x:v>
      </x:c>
      <x:c r="AE354" s="11" t="n">
        <x:v>501715</x:v>
      </x:c>
      <x:c r="AF354" s="11" t="n">
        <x:v>2105826</x:v>
      </x:c>
      <x:c r="AG354" s="11" t="n">
        <x:v>15065047</x:v>
      </x:c>
      <x:c r="AH354" s="11" t="n">
        <x:v>6539329</x:v>
      </x:c>
      <x:c r="AI354" s="11" t="n">
        <x:v>8525718</x:v>
      </x:c>
      <x:c r="AJ354" s="11" t="n">
        <x:v>621014</x:v>
      </x:c>
      <x:c r="AK354" s="11" t="n">
        <x:v>579500</x:v>
      </x:c>
      <x:c r="AL354" s="11" t="n">
        <x:v>0</x:v>
      </x:c>
      <x:c r="AM354" s="12" t="n">
        <x:v>1</x:v>
      </x:c>
      <x:c r="AN354" s="12" t="n">
        <x:v>1.0716376186367558</x:v>
      </x:c>
      <x:c r="AO354" s="11" t="n">
        <x:v>2438374</x:v>
      </x:c>
      <x:c r="AP354" s="11" t="n">
        <x:v>2324030</x:v>
      </x:c>
      <x:c r="AQ354" s="12" t="n">
        <x:v>0.9531064553673883</x:v>
      </x:c>
      <x:c r="AR354" s="11" t="n">
        <x:v>1297.7351648351648</x:v>
      </x:c>
      <x:c r="AS354" s="11" t="n">
        <x:v>1139.389010989011</x:v>
      </x:c>
      <x:c r="AT354" s="11" t="n">
        <x:v>1501.1532967032967</x:v>
      </x:c>
      <x:c r="AU354" s="11" t="n">
        <x:v>0</x:v>
      </x:c>
      <x:c r="AV354" s="11" t="n">
        <x:v>98.46483516483516</x:v>
      </x:c>
      <x:c r="AW354" s="11" t="n">
        <x:v>1.9174930969074615</x:v>
      </x:c>
      <x:c r="AX354" s="12" t="n">
        <x:v>0.9530028093462524</x:v>
      </x:c>
      <x:c r="AY354" s="11"/>
      <x:c r="AZ354" s="11"/>
      <x:c r="BA354" s="11"/>
      <x:c r="BB354" s="11"/>
      <x:c r="BC354" s="11"/>
      <x:c r="BD354" s="11"/>
      <x:c r="BE354" s="11"/>
      <x:c r="BF354" s="11"/>
      <x:c r="BG354" s="11"/>
      <x:c r="BH354" s="11"/>
      <x:c r="BI354" s="11"/>
      <x:c r="BJ354" s="11"/>
      <x:c r="BK354" s="12"/>
      <x:c r="BL354" s="12"/>
      <x:c r="BM354" s="12"/>
      <x:c r="BN354" s="12"/>
      <x:c r="BO354" s="12"/>
      <x:c r="BP354" s="12"/>
      <x:c r="BQ354" s="12"/>
      <x:c r="BR354" s="12"/>
      <x:c r="BS354" s="12"/>
      <x:c r="BT354" s="12"/>
      <x:c r="BU354" s="11" t="n">
        <x:v>0</x:v>
      </x:c>
      <x:c r="BV354" s="11" t="n">
        <x:v>675387</x:v>
      </x:c>
      <x:c r="BW354" s="11" t="n">
        <x:v>0</x:v>
      </x:c>
      <x:c r="BX354" s="11" t="n">
        <x:v>18648</x:v>
      </x:c>
      <x:c r="BY354" s="11" t="n">
        <x:v>0</x:v>
      </x:c>
      <x:c r="BZ354" s="11" t="n">
        <x:v>0</x:v>
      </x:c>
      <x:c r="CA354" s="11" t="n">
        <x:v>0</x:v>
      </x:c>
      <x:c r="CB354" s="11" t="n">
        <x:v>0</x:v>
      </x:c>
      <x:c r="CC354" s="11" t="n">
        <x:v>725644</x:v>
      </x:c>
      <x:c r="CD354" s="11" t="n">
        <x:v>71742</x:v>
      </x:c>
      <x:c r="CE354" s="11" t="n">
        <x:v>102224</x:v>
      </x:c>
      <x:c r="CF354" s="11" t="n">
        <x:v>13223</x:v>
      </x:c>
      <x:c r="CG354" s="11" t="n">
        <x:v>0</x:v>
      </x:c>
      <x:c r="CH354" s="11" t="n">
        <x:v>381917</x:v>
      </x:c>
      <x:c r="CI354" s="11" t="n">
        <x:v>119225</x:v>
      </x:c>
      <x:c r="CJ354" s="11" t="n">
        <x:v>293</x:v>
      </x:c>
      <x:c r="CK354" s="11" t="n">
        <x:v>263797</x:v>
      </x:c>
      <x:c r="CL354" s="11" t="n">
        <x:v>0</x:v>
      </x:c>
      <x:c r="CM354" s="11"/>
      <x:c r="CN354" s="11" t="n">
        <x:v>0</x:v>
      </x:c>
      <x:c r="CO354" s="11" t="n">
        <x:v>0</x:v>
      </x:c>
      <x:c r="CP354" s="8"/>
      <x:c r="CQ354" s="8"/>
    </x:row>
    <x:row r="355">
      <x:c r="A355" s="8" t="str">
        <x:v>Keremeos|2022</x:v>
      </x:c>
      <x:c r="B355" s="8" t="str">
        <x:v>keremeos-v</x:v>
      </x:c>
      <x:c r="C355" s="8" t="str">
        <x:v>Keremeos</x:v>
      </x:c>
      <x:c r="D355" s="8" t="str">
        <x:v>Keremeos</x:v>
      </x:c>
      <x:c r="E355" s="8" t="str">
        <x:v>V</x:v>
      </x:c>
      <x:c r="F355" s="8" t="str">
        <x:v>OKS</x:v>
      </x:c>
      <x:c r="G355" s="9" t="n">
        <x:v>2022</x:v>
      </x:c>
      <x:c r="H355" s="10" t="n">
        <x:v>8394</x:v>
      </x:c>
      <x:c r="I355" s="8" t="str">
        <x:v>5,000 to 19,999</x:v>
      </x:c>
      <x:c r="J355" s="11" t="n">
        <x:v>4864362</x:v>
      </x:c>
      <x:c r="K355" s="11" t="n">
        <x:v>2247378</x:v>
      </x:c>
      <x:c r="L355" s="11" t="n">
        <x:v>2616984</x:v>
      </x:c>
      <x:c r="M355" s="12" t="n">
        <x:v>0.5379912103581107</x:v>
      </x:c>
      <x:c r="N355" s="11" t="n">
        <x:v>1038809</x:v>
      </x:c>
      <x:c r="O355" s="11" t="n">
        <x:v>447977</x:v>
      </x:c>
      <x:c r="P355" s="11" t="n">
        <x:v>3306940</x:v>
      </x:c>
      <x:c r="Q355" s="11" t="n">
        <x:v>70636</x:v>
      </x:c>
      <x:c r="R355" s="11" t="n">
        <x:v>1802354</x:v>
      </x:c>
      <x:c r="S355" s="11" t="n">
        <x:v>439418</x:v>
      </x:c>
      <x:c r="T355" s="11" t="n">
        <x:v>4887576</x:v>
      </x:c>
      <x:c r="U355" s="11" t="n">
        <x:v>2924125</x:v>
      </x:c>
      <x:c r="V355" s="11" t="n">
        <x:v>2662760</x:v>
      </x:c>
      <x:c r="W355" s="11" t="n">
        <x:v>0</x:v>
      </x:c>
      <x:c r="X355" s="11" t="n">
        <x:v>179206</x:v>
      </x:c>
      <x:c r="Y355" s="11" t="n">
        <x:v>53421</x:v>
      </x:c>
      <x:c r="Z355" s="11" t="n">
        <x:v>19644</x:v>
      </x:c>
      <x:c r="AA355" s="11" t="n">
        <x:v>209876</x:v>
      </x:c>
      <x:c r="AB355" s="11" t="n">
        <x:v>5606</x:v>
      </x:c>
      <x:c r="AC355" s="11" t="n">
        <x:v>25250</x:v>
      </x:c>
      <x:c r="AD355" s="11" t="n">
        <x:v>523079</x:v>
      </x:c>
      <x:c r="AE355" s="11" t="n">
        <x:v>497829</x:v>
      </x:c>
      <x:c r="AF355" s="11" t="n">
        <x:v>2092315</x:v>
      </x:c>
      <x:c r="AG355" s="11" t="n">
        <x:v>18187781</x:v>
      </x:c>
      <x:c r="AH355" s="11" t="n">
        <x:v>6978746</x:v>
      </x:c>
      <x:c r="AI355" s="11" t="n">
        <x:v>11209035</x:v>
      </x:c>
      <x:c r="AJ355" s="11" t="n">
        <x:v>3122734</x:v>
      </x:c>
      <x:c r="AK355" s="11" t="n">
        <x:v>579500</x:v>
      </x:c>
      <x:c r="AL355" s="11" t="n">
        <x:v>0</x:v>
      </x:c>
      <x:c r="AM355" s="12" t="n">
        <x:v>1</x:v>
      </x:c>
      <x:c r="AN355" s="12" t="n">
        <x:v>5.388669542709232</x:v>
      </x:c>
      <x:c r="AO355" s="11" t="n">
        <x:v>2570406</x:v>
      </x:c>
      <x:c r="AP355" s="11" t="n">
        <x:v>2487396</x:v>
      </x:c>
      <x:c r="AQ355" s="12" t="n">
        <x:v>0.9677054908835414</x:v>
      </x:c>
      <x:c r="AR355" s="11" t="n">
        <x:v>579.5046461758399</x:v>
      </x:c>
      <x:c r="AS355" s="11" t="n">
        <x:v>267.7362401715511</x:v>
      </x:c>
      <x:c r="AT355" s="11" t="n">
        <x:v>317.22182511317607</x:v>
      </x:c>
      <x:c r="AU355" s="11" t="n">
        <x:v>0</x:v>
      </x:c>
      <x:c r="AV355" s="11" t="n">
        <x:v>25.003097450559924</x:v>
      </x:c>
      <x:c r="AW355" s="11" t="n">
        <x:v>1.6714661650921216</x:v>
      </x:c>
      <x:c r="AX355" s="12" t="n">
        <x:v>0.9517281328441785</x:v>
      </x:c>
      <x:c r="AY355" s="11"/>
      <x:c r="AZ355" s="11"/>
      <x:c r="BA355" s="11"/>
      <x:c r="BB355" s="11"/>
      <x:c r="BC355" s="11"/>
      <x:c r="BD355" s="11"/>
      <x:c r="BE355" s="11"/>
      <x:c r="BF355" s="11"/>
      <x:c r="BG355" s="11"/>
      <x:c r="BH355" s="11"/>
      <x:c r="BI355" s="11"/>
      <x:c r="BJ355" s="11"/>
      <x:c r="BK355" s="12"/>
      <x:c r="BL355" s="12"/>
      <x:c r="BM355" s="12"/>
      <x:c r="BN355" s="12"/>
      <x:c r="BO355" s="12"/>
      <x:c r="BP355" s="12"/>
      <x:c r="BQ355" s="12"/>
      <x:c r="BR355" s="12"/>
      <x:c r="BS355" s="12"/>
      <x:c r="BT355" s="12"/>
      <x:c r="BU355" s="11" t="n">
        <x:v>96227</x:v>
      </x:c>
      <x:c r="BV355" s="11" t="n">
        <x:v>541747</x:v>
      </x:c>
      <x:c r="BW355" s="11" t="n">
        <x:v>2668966</x:v>
      </x:c>
      <x:c r="BX355" s="11" t="n">
        <x:v>70636</x:v>
      </x:c>
      <x:c r="BY355" s="11" t="n">
        <x:v>0</x:v>
      </x:c>
      <x:c r="BZ355" s="11" t="n">
        <x:v>0</x:v>
      </x:c>
      <x:c r="CA355" s="11" t="n">
        <x:v>0</x:v>
      </x:c>
      <x:c r="CB355" s="11" t="n">
        <x:v>0</x:v>
      </x:c>
      <x:c r="CC355" s="11" t="n">
        <x:v>766977</x:v>
      </x:c>
      <x:c r="CD355" s="11" t="n">
        <x:v>83155</x:v>
      </x:c>
      <x:c r="CE355" s="11" t="n">
        <x:v>113197</x:v>
      </x:c>
      <x:c r="CF355" s="11" t="n">
        <x:v>0</x:v>
      </x:c>
      <x:c r="CG355" s="11" t="n">
        <x:v>0</x:v>
      </x:c>
      <x:c r="CH355" s="11" t="n">
        <x:v>419493</x:v>
      </x:c>
      <x:c r="CI355" s="11" t="n">
        <x:v>133163</x:v>
      </x:c>
      <x:c r="CJ355" s="11" t="n">
        <x:v>7686</x:v>
      </x:c>
      <x:c r="CK355" s="11" t="n">
        <x:v>265482</x:v>
      </x:c>
      <x:c r="CL355" s="11" t="n">
        <x:v>18807</x:v>
      </x:c>
      <x:c r="CM355" s="11"/>
      <x:c r="CN355" s="11" t="n">
        <x:v>0</x:v>
      </x:c>
      <x:c r="CO355" s="11" t="n">
        <x:v>0</x:v>
      </x:c>
      <x:c r="CP355" s="8"/>
      <x:c r="CQ355" s="8"/>
    </x:row>
    <x:row r="356">
      <x:c r="A356" s="8" t="str">
        <x:v>Keremeos|2023</x:v>
      </x:c>
      <x:c r="B356" s="8" t="str">
        <x:v>keremeos-v</x:v>
      </x:c>
      <x:c r="C356" s="8" t="str">
        <x:v>Keremeos</x:v>
      </x:c>
      <x:c r="D356" s="8" t="str">
        <x:v>Keremeos</x:v>
      </x:c>
      <x:c r="E356" s="8" t="str">
        <x:v>V</x:v>
      </x:c>
      <x:c r="F356" s="8" t="str">
        <x:v>OKS</x:v>
      </x:c>
      <x:c r="G356" s="9" t="n">
        <x:v>2023</x:v>
      </x:c>
      <x:c r="H356" s="10" t="n">
        <x:v>1836</x:v>
      </x:c>
      <x:c r="I356" s="8" t="str">
        <x:v>Under 5,000</x:v>
      </x:c>
      <x:c r="J356" s="11" t="n">
        <x:v>4544676</x:v>
      </x:c>
      <x:c r="K356" s="11" t="n">
        <x:v>2259290</x:v>
      </x:c>
      <x:c r="L356" s="11" t="n">
        <x:v>2285386</x:v>
      </x:c>
      <x:c r="M356" s="12" t="n">
        <x:v>0.5028710517537444</x:v>
      </x:c>
      <x:c r="N356" s="11" t="n">
        <x:v>1077479</x:v>
      </x:c>
      <x:c r="O356" s="11" t="n">
        <x:v>430311</x:v>
      </x:c>
      <x:c r="P356" s="11" t="n">
        <x:v>2668626</x:v>
      </x:c>
      <x:c r="Q356" s="11" t="n">
        <x:v>368260</x:v>
      </x:c>
      <x:c r="R356" s="11" t="n">
        <x:v>1824710</x:v>
      </x:c>
      <x:c r="S356" s="11" t="n">
        <x:v>429735</x:v>
      </x:c>
      <x:c r="T356" s="11" t="n">
        <x:v>5898714</x:v>
      </x:c>
      <x:c r="U356" s="11" t="n">
        <x:v>3948810</x:v>
      </x:c>
      <x:c r="V356" s="11" t="n">
        <x:v>3202673</x:v>
      </x:c>
      <x:c r="W356" s="11" t="n">
        <x:v>0</x:v>
      </x:c>
      <x:c r="X356" s="11" t="n">
        <x:v>209876</x:v>
      </x:c>
      <x:c r="Y356" s="11" t="n">
        <x:v>0</x:v>
      </x:c>
      <x:c r="Z356" s="11" t="n">
        <x:v>42292</x:v>
      </x:c>
      <x:c r="AA356" s="11" t="n">
        <x:v>164146</x:v>
      </x:c>
      <x:c r="AB356" s="11" t="n">
        <x:v>4845</x:v>
      </x:c>
      <x:c r="AC356" s="11" t="n">
        <x:v>47137</x:v>
      </x:c>
      <x:c r="AD356" s="11" t="n">
        <x:v>532571</x:v>
      </x:c>
      <x:c r="AE356" s="11" t="n">
        <x:v>485434</x:v>
      </x:c>
      <x:c r="AF356" s="11" t="n">
        <x:v>2130285</x:v>
      </x:c>
      <x:c r="AG356" s="11" t="n">
        <x:v>20357323</x:v>
      </x:c>
      <x:c r="AH356" s="11" t="n">
        <x:v>7408481</x:v>
      </x:c>
      <x:c r="AI356" s="11" t="n">
        <x:v>12948842</x:v>
      </x:c>
      <x:c r="AJ356" s="11" t="n">
        <x:v>2169545</x:v>
      </x:c>
      <x:c r="AK356" s="11" t="n">
        <x:v>579500</x:v>
      </x:c>
      <x:c r="AL356" s="11" t="n">
        <x:v>0</x:v>
      </x:c>
      <x:c r="AM356" s="12" t="n">
        <x:v>1</x:v>
      </x:c>
      <x:c r="AN356" s="12" t="n">
        <x:v>3.7438222605694564</x:v>
      </x:c>
      <x:c r="AO356" s="11" t="n">
        <x:v>2714622</x:v>
      </x:c>
      <x:c r="AP356" s="11" t="n">
        <x:v>2604839</x:v>
      </x:c>
      <x:c r="AQ356" s="12" t="n">
        <x:v>0.9595586420503481</x:v>
      </x:c>
      <x:c r="AR356" s="11" t="n">
        <x:v>2475.3137254901962</x:v>
      </x:c>
      <x:c r="AS356" s="11" t="n">
        <x:v>1230.5501089324619</x:v>
      </x:c>
      <x:c r="AT356" s="11" t="n">
        <x:v>1744.3752723311547</x:v>
      </x:c>
      <x:c r="AU356" s="11" t="n">
        <x:v>0</x:v>
      </x:c>
      <x:c r="AV356" s="11" t="n">
        <x:v>89.4041394335512</x:v>
      </x:c>
      <x:c r="AW356" s="11" t="n">
        <x:v>1.493795345939663</x:v>
      </x:c>
      <x:c r="AX356" s="12" t="n">
        <x:v>0.9114916133247961</x:v>
      </x:c>
      <x:c r="AY356" s="11"/>
      <x:c r="AZ356" s="11"/>
      <x:c r="BA356" s="11"/>
      <x:c r="BB356" s="11"/>
      <x:c r="BC356" s="11"/>
      <x:c r="BD356" s="11"/>
      <x:c r="BE356" s="11"/>
      <x:c r="BF356" s="11"/>
      <x:c r="BG356" s="11"/>
      <x:c r="BH356" s="11"/>
      <x:c r="BI356" s="11"/>
      <x:c r="BJ356" s="11"/>
      <x:c r="BK356" s="12"/>
      <x:c r="BL356" s="12"/>
      <x:c r="BM356" s="12"/>
      <x:c r="BN356" s="12"/>
      <x:c r="BO356" s="12"/>
      <x:c r="BP356" s="12"/>
      <x:c r="BQ356" s="12"/>
      <x:c r="BR356" s="12"/>
      <x:c r="BS356" s="12"/>
      <x:c r="BT356" s="12"/>
      <x:c r="BU356" s="11" t="n">
        <x:v>0</x:v>
      </x:c>
      <x:c r="BV356" s="11" t="n">
        <x:v>476922</x:v>
      </x:c>
      <x:c r="BW356" s="11" t="n">
        <x:v>2191704</x:v>
      </x:c>
      <x:c r="BX356" s="11" t="n">
        <x:v>207933</x:v>
      </x:c>
      <x:c r="BY356" s="11" t="n">
        <x:v>0</x:v>
      </x:c>
      <x:c r="BZ356" s="11" t="n">
        <x:v>160327</x:v>
      </x:c>
      <x:c r="CA356" s="11" t="n">
        <x:v>0</x:v>
      </x:c>
      <x:c r="CB356" s="11" t="n">
        <x:v>0</x:v>
      </x:c>
      <x:c r="CC356" s="11" t="n">
        <x:v>761918</x:v>
      </x:c>
      <x:c r="CD356" s="11" t="n">
        <x:v>226493</x:v>
      </x:c>
      <x:c r="CE356" s="11" t="n">
        <x:v>109297</x:v>
      </x:c>
      <x:c r="CF356" s="11" t="n">
        <x:v>0</x:v>
      </x:c>
      <x:c r="CG356" s="11" t="n">
        <x:v>0</x:v>
      </x:c>
      <x:c r="CH356" s="11" t="n">
        <x:v>339256</x:v>
      </x:c>
      <x:c r="CI356" s="11" t="n">
        <x:v>103530</x:v>
      </x:c>
      <x:c r="CJ356" s="11" t="n">
        <x:v>3888</x:v>
      </x:c>
      <x:c r="CK356" s="11" t="n">
        <x:v>263643</x:v>
      </x:c>
      <x:c r="CL356" s="11" t="n">
        <x:v>21530</x:v>
      </x:c>
      <x:c r="CM356" s="11" t="n">
        <x:v>0</x:v>
      </x:c>
      <x:c r="CN356" s="11" t="n">
        <x:v>0</x:v>
      </x:c>
      <x:c r="CO356" s="11" t="n">
        <x:v>0</x:v>
      </x:c>
      <x:c r="CP356" s="8"/>
      <x:c r="CQ356" s="8"/>
    </x:row>
    <x:row r="357">
      <x:c r="A357" s="8" t="str">
        <x:v>Keremeos|2024</x:v>
      </x:c>
      <x:c r="B357" s="8" t="str">
        <x:v>keremeos-v</x:v>
      </x:c>
      <x:c r="C357" s="8" t="str">
        <x:v>Keremeos</x:v>
      </x:c>
      <x:c r="D357" s="8" t="str">
        <x:v>Keremeos</x:v>
      </x:c>
      <x:c r="E357" s="8" t="str">
        <x:v>V</x:v>
      </x:c>
      <x:c r="F357" s="8" t="str">
        <x:v>OKS</x:v>
      </x:c>
      <x:c r="G357" s="9" t="n">
        <x:v>2024</x:v>
      </x:c>
      <x:c r="H357" s="10" t="n">
        <x:v>1836</x:v>
      </x:c>
      <x:c r="I357" s="8" t="str">
        <x:v>Under 5,000</x:v>
      </x:c>
      <x:c r="J357" s="11" t="n">
        <x:v>2901723</x:v>
      </x:c>
      <x:c r="K357" s="11" t="n">
        <x:v>2831188</x:v>
      </x:c>
      <x:c r="L357" s="11" t="n">
        <x:v>70535</x:v>
      </x:c>
      <x:c r="M357" s="12" t="n">
        <x:v>0.0243079715052057</x:v>
      </x:c>
      <x:c r="N357" s="11" t="n">
        <x:v>1132001</x:v>
      </x:c>
      <x:c r="O357" s="11" t="n">
        <x:v>375195</x:v>
      </x:c>
      <x:c r="P357" s="11" t="n">
        <x:v>1141356</x:v>
      </x:c>
      <x:c r="Q357" s="11" t="n">
        <x:v>253171</x:v>
      </x:c>
      <x:c r="R357" s="11" t="n">
        <x:v>2239110</x:v>
      </x:c>
      <x:c r="S357" s="11" t="n">
        <x:v>587233</x:v>
      </x:c>
      <x:c r="T357" s="11" t="n">
        <x:v>5874544</x:v>
      </x:c>
      <x:c r="U357" s="11" t="n">
        <x:v>2451710</x:v>
      </x:c>
      <x:c r="V357" s="11" t="n">
        <x:v>3733997</x:v>
      </x:c>
      <x:c r="W357" s="11" t="n">
        <x:v>0</x:v>
      </x:c>
      <x:c r="X357" s="11" t="n">
        <x:v>164146</x:v>
      </x:c>
      <x:c r="Y357" s="11" t="n">
        <x:v>0</x:v>
      </x:c>
      <x:c r="Z357" s="11" t="n">
        <x:v>15186</x:v>
      </x:c>
      <x:c r="AA357" s="11" t="n">
        <x:v>145177</x:v>
      </x:c>
      <x:c r="AB357" s="11" t="n">
        <x:v>4845</x:v>
      </x:c>
      <x:c r="AC357" s="11" t="n">
        <x:v>20031</x:v>
      </x:c>
      <x:c r="AD357" s="11" t="n">
        <x:v>553571</x:v>
      </x:c>
      <x:c r="AE357" s="11" t="n">
        <x:v>533540</x:v>
      </x:c>
      <x:c r="AF357" s="11" t="n">
        <x:v>2214284</x:v>
      </x:c>
      <x:c r="AG357" s="11" t="n">
        <x:v>21830637</x:v>
      </x:c>
      <x:c r="AH357" s="11" t="n">
        <x:v>7995720</x:v>
      </x:c>
      <x:c r="AI357" s="11" t="n">
        <x:v>13834917</x:v>
      </x:c>
      <x:c r="AJ357" s="11" t="n">
        <x:v>1473311</x:v>
      </x:c>
      <x:c r="AK357" s="11" t="n">
        <x:v>738994</x:v>
      </x:c>
      <x:c r="AL357" s="11" t="n">
        <x:v>0</x:v>
      </x:c>
      <x:c r="AM357" s="12" t="n">
        <x:v>1</x:v>
      </x:c>
      <x:c r="AN357" s="12" t="n">
        <x:v>1.9936711258819422</x:v>
      </x:c>
      <x:c r="AO357" s="11" t="n">
        <x:v>2862020</x:v>
      </x:c>
      <x:c r="AP357" s="11" t="n">
        <x:v>2750163</x:v>
      </x:c>
      <x:c r="AQ357" s="12" t="n">
        <x:v>0.960916765082005</x:v>
      </x:c>
      <x:c r="AR357" s="11" t="n">
        <x:v>1580.4591503267975</x:v>
      </x:c>
      <x:c r="AS357" s="11" t="n">
        <x:v>1542.041394335512</x:v>
      </x:c>
      <x:c r="AT357" s="11" t="n">
        <x:v>2033.7674291938997</x:v>
      </x:c>
      <x:c r="AU357" s="11" t="n">
        <x:v>0</x:v>
      </x:c>
      <x:c r="AV357" s="11" t="n">
        <x:v>79.07244008714596</x:v>
      </x:c>
      <x:c r="AW357" s="11" t="n">
        <x:v>2.3961006807493543</x:v>
      </x:c>
      <x:c r="AX357" s="12" t="n">
        <x:v>0.9638149397276953</x:v>
      </x:c>
      <x:c r="AY357" s="11" t="n">
        <x:v>4648.097865362712</x:v>
      </x:c>
      <x:c r="AZ357" s="11" t="n">
        <x:v>3546.5079302077975</x:v>
      </x:c>
      <x:c r="BA357" s="11" t="n">
        <x:v>3428.422456291105</x:v>
      </x:c>
      <x:c r="BB357" s="11" t="n">
        <x:v>2783.665107049771</x:v>
      </x:c>
      <x:c r="BC357" s="11" t="n">
        <x:v>5030.364110900993</x:v>
      </x:c>
      <x:c r="BD357" s="11" t="n">
        <x:v>2437.8724475115623</x:v>
      </x:c>
      <x:c r="BE357" s="11" t="n">
        <x:v>2420.45</x:v>
      </x:c>
      <x:c r="BF357" s="11" t="n">
        <x:v>1604.3462673977224</x:v>
      </x:c>
      <x:c r="BG357" s="11" t="n">
        <x:v>224.31236112962716</x:v>
      </x:c>
      <x:c r="BH357" s="11" t="n">
        <x:v>518.5374381567245</x:v>
      </x:c>
      <x:c r="BI357" s="11" t="n">
        <x:v>2.204313821553219</x:v>
      </x:c>
      <x:c r="BJ357" s="11" t="n">
        <x:v>1.7099330852451193</x:v>
      </x:c>
      <x:c r="BK357" s="12" t="n">
        <x:v>0.030042455998363887</x:v>
      </x:c>
      <x:c r="BL357" s="12" t="n">
        <x:v>0.02529861000232605</x:v>
      </x:c>
      <x:c r="BM357" s="12" t="n">
        <x:v>0.9786113537119745</x:v>
      </x:c>
      <x:c r="BN357" s="12" t="n">
        <x:v>0.9815511712696461</x:v>
      </x:c>
      <x:c r="BO357" s="12" t="n">
        <x:v>0.9039920521842442</x:v>
      </x:c>
      <x:c r="BP357" s="12" t="n">
        <x:v>0.8619101997275483</x:v>
      </x:c>
      <x:c r="BQ357" s="12" t="n">
        <x:v>0.9333160528846489</x:v>
      </x:c>
      <x:c r="BR357" s="12" t="n">
        <x:v>0.9623635142836453</x:v>
      </x:c>
      <x:c r="BS357" s="12" t="n">
        <x:v>0.20869205825466772</x:v>
      </x:c>
      <x:c r="BT357" s="12" t="n">
        <x:v>0.19976549769108282</x:v>
      </x:c>
      <x:c r="BU357" s="11" t="n">
        <x:v>185374</x:v>
      </x:c>
      <x:c r="BV357" s="11" t="n">
        <x:v>955982</x:v>
      </x:c>
      <x:c r="BW357" s="11" t="n">
        <x:v>0</x:v>
      </x:c>
      <x:c r="BX357" s="11" t="n">
        <x:v>216437</x:v>
      </x:c>
      <x:c r="BY357" s="11" t="n">
        <x:v>0</x:v>
      </x:c>
      <x:c r="BZ357" s="11" t="n">
        <x:v>0</x:v>
      </x:c>
      <x:c r="CA357" s="11" t="n">
        <x:v>0</x:v>
      </x:c>
      <x:c r="CB357" s="11" t="n">
        <x:v>36734</x:v>
      </x:c>
      <x:c r="CC357" s="11" t="n">
        <x:v>1088413</x:v>
      </x:c>
      <x:c r="CD357" s="11" t="n">
        <x:v>77602</x:v>
      </x:c>
      <x:c r="CE357" s="11" t="n">
        <x:v>112852</x:v>
      </x:c>
      <x:c r="CF357" s="11" t="n">
        <x:v>18194</x:v>
      </x:c>
      <x:c r="CG357" s="11" t="n">
        <x:v>0</x:v>
      </x:c>
      <x:c r="CH357" s="11" t="n">
        <x:v>476592</x:v>
      </x:c>
      <x:c r="CI357" s="11" t="n">
        <x:v>168826</x:v>
      </x:c>
      <x:c r="CJ357" s="11" t="n">
        <x:v>2947</x:v>
      </x:c>
      <x:c r="CK357" s="11" t="n">
        <x:v>298529</x:v>
      </x:c>
      <x:c r="CL357" s="11" t="n">
        <x:v>0</x:v>
      </x:c>
      <x:c r="CM357" s="11" t="n">
        <x:v>0</x:v>
      </x:c>
      <x:c r="CN357" s="11" t="n">
        <x:v>0</x:v>
      </x:c>
      <x:c r="CO357" s="11" t="n">
        <x:v>0</x:v>
      </x:c>
      <x:c r="CP357" s="8"/>
      <x:c r="CQ357" s="8"/>
    </x:row>
    <x:row r="358">
      <x:c r="A358" s="8" t="str">
        <x:v>Kimberley|2019</x:v>
      </x:c>
      <x:c r="B358" s="8" t="str">
        <x:v>kimberley-c</x:v>
      </x:c>
      <x:c r="C358" s="8" t="str">
        <x:v>Kimberley</x:v>
      </x:c>
      <x:c r="D358" s="8" t="str">
        <x:v>Kimberley</x:v>
      </x:c>
      <x:c r="E358" s="8" t="str">
        <x:v>C</x:v>
      </x:c>
      <x:c r="F358" s="8" t="str">
        <x:v>EKO</x:v>
      </x:c>
      <x:c r="G358" s="9" t="n">
        <x:v>2019</x:v>
      </x:c>
      <x:c r="H358" s="10" t="n">
        <x:v>8038</x:v>
      </x:c>
      <x:c r="I358" s="8" t="str">
        <x:v>5,000 to 19,999</x:v>
      </x:c>
      <x:c r="J358" s="11" t="n">
        <x:v>24387465</x:v>
      </x:c>
      <x:c r="K358" s="11" t="n">
        <x:v>23364725</x:v>
      </x:c>
      <x:c r="L358" s="11" t="n">
        <x:v>1022740</x:v>
      </x:c>
      <x:c r="M358" s="12" t="n">
        <x:v>0.041937118105551355</x:v>
      </x:c>
      <x:c r="N358" s="11" t="n">
        <x:v>11369481</x:v>
      </x:c>
      <x:c r="O358" s="11" t="n">
        <x:v>9521013</x:v>
      </x:c>
      <x:c r="P358" s="11" t="n">
        <x:v>3028893</x:v>
      </x:c>
      <x:c r="Q358" s="11" t="n">
        <x:v>468078</x:v>
      </x:c>
      <x:c r="R358" s="11" t="n">
        <x:v>18564830</x:v>
      </x:c>
      <x:c r="S358" s="11" t="n">
        <x:v>4460900</x:v>
      </x:c>
      <x:c r="T358" s="11" t="n">
        <x:v>17348067</x:v>
      </x:c>
      <x:c r="U358" s="11" t="n">
        <x:v>13449514</x:v>
      </x:c>
      <x:c r="V358" s="11" t="n">
        <x:v>10970035</x:v>
      </x:c>
      <x:c r="W358" s="11" t="n">
        <x:v>2280753</x:v>
      </x:c>
      <x:c r="X358" s="11" t="n">
        <x:v>8979298</x:v>
      </x:c>
      <x:c r="Y358" s="11" t="n">
        <x:v>0</x:v>
      </x:c>
      <x:c r="Z358" s="11" t="n">
        <x:v>801057</x:v>
      </x:c>
      <x:c r="AA358" s="11" t="n">
        <x:v>8068676</x:v>
      </x:c>
      <x:c r="AB358" s="11" t="n">
        <x:v>338995</x:v>
      </x:c>
      <x:c r="AC358" s="11" t="n">
        <x:v>1140052</x:v>
      </x:c>
      <x:c r="AD358" s="11" t="n">
        <x:v>5449744</x:v>
      </x:c>
      <x:c r="AE358" s="11" t="n">
        <x:v>4309692</x:v>
      </x:c>
      <x:c r="AF358" s="11" t="n">
        <x:v>21798974</x:v>
      </x:c>
      <x:c r="AG358" s="11" t="n">
        <x:v>153783484</x:v>
      </x:c>
      <x:c r="AH358" s="11" t="n">
        <x:v>66673753</x:v>
      </x:c>
      <x:c r="AI358" s="11" t="n">
        <x:v>87109731</x:v>
      </x:c>
      <x:c r="AJ358" s="11" t="n">
        <x:v>4504393</x:v>
      </x:c>
      <x:c r="AK358" s="11" t="n">
        <x:v>23544297</x:v>
      </x:c>
      <x:c r="AL358" s="11" t="n">
        <x:v>0</x:v>
      </x:c>
      <x:c r="AM358" s="12" t="n">
        <x:v>1</x:v>
      </x:c>
      <x:c r="AN358" s="12" t="n">
        <x:v>0.1913156719013526</x:v>
      </x:c>
      <x:c r="AO358" s="11" t="n">
        <x:v>15651250</x:v>
      </x:c>
      <x:c r="AP358" s="11" t="n">
        <x:v>15005077</x:v>
      </x:c>
      <x:c r="AQ358" s="12" t="n">
        <x:v>0.9587142879961664</x:v>
      </x:c>
      <x:c r="AR358" s="11" t="n">
        <x:v>3034.0215227668573</x:v>
      </x:c>
      <x:c r="AS358" s="11" t="n">
        <x:v>2906.7834038317988</x:v>
      </x:c>
      <x:c r="AT358" s="11" t="n">
        <x:v>1364.7717093804429</x:v>
      </x:c>
      <x:c r="AU358" s="11" t="n">
        <x:v>283.7463299328191</x:v>
      </x:c>
      <x:c r="AV358" s="11" t="n">
        <x:v>1003.8163722318985</x:v>
      </x:c>
      <x:c r="AW358" s="11" t="n">
        <x:v>1.2898657155938869</x:v>
      </x:c>
      <x:c r="AX358" s="12" t="n">
        <x:v>0.7908063204436759</x:v>
      </x:c>
      <x:c r="AY358" s="11"/>
      <x:c r="AZ358" s="11"/>
      <x:c r="BA358" s="11"/>
      <x:c r="BB358" s="11"/>
      <x:c r="BC358" s="11"/>
      <x:c r="BD358" s="11"/>
      <x:c r="BE358" s="11"/>
      <x:c r="BF358" s="11"/>
      <x:c r="BG358" s="11"/>
      <x:c r="BH358" s="11"/>
      <x:c r="BI358" s="11"/>
      <x:c r="BJ358" s="11"/>
      <x:c r="BK358" s="12"/>
      <x:c r="BL358" s="12"/>
      <x:c r="BM358" s="12"/>
      <x:c r="BN358" s="12"/>
      <x:c r="BO358" s="12"/>
      <x:c r="BP358" s="12"/>
      <x:c r="BQ358" s="12"/>
      <x:c r="BR358" s="12"/>
      <x:c r="BS358" s="12"/>
      <x:c r="BT358" s="12"/>
      <x:c r="BU358" s="11" t="n">
        <x:v>4022</x:v>
      </x:c>
      <x:c r="BV358" s="11" t="n">
        <x:v>1643210</x:v>
      </x:c>
      <x:c r="BW358" s="11" t="n">
        <x:v>1381661</x:v>
      </x:c>
      <x:c r="BX358" s="11" t="n">
        <x:v>432931</x:v>
      </x:c>
      <x:c r="BY358" s="11" t="n">
        <x:v>0</x:v>
      </x:c>
      <x:c r="BZ358" s="11" t="n">
        <x:v>35147</x:v>
      </x:c>
      <x:c r="CA358" s="11" t="n">
        <x:v>0</x:v>
      </x:c>
      <x:c r="CB358" s="11" t="n">
        <x:v>0</x:v>
      </x:c>
      <x:c r="CC358" s="11" t="n">
        <x:v>2015980</x:v>
      </x:c>
      <x:c r="CD358" s="11" t="n">
        <x:v>2586927</x:v>
      </x:c>
      <x:c r="CE358" s="11" t="n">
        <x:v>135935</x:v>
      </x:c>
      <x:c r="CF358" s="11" t="n">
        <x:v>308109</x:v>
      </x:c>
      <x:c r="CG358" s="11" t="n">
        <x:v>781048</x:v>
      </x:c>
      <x:c r="CH358" s="11" t="n">
        <x:v>3175242</x:v>
      </x:c>
      <x:c r="CI358" s="11" t="n">
        <x:v>5010804</x:v>
      </x:c>
      <x:c r="CJ358" s="11" t="n">
        <x:v>1081969</x:v>
      </x:c>
      <x:c r="CK358" s="11" t="n">
        <x:v>1020431</x:v>
      </x:c>
      <x:c r="CL358" s="11" t="n">
        <x:v>145608</x:v>
      </x:c>
      <x:c r="CM358" s="11"/>
      <x:c r="CN358" s="11" t="n">
        <x:v>2641772</x:v>
      </x:c>
      <x:c r="CO358" s="11" t="n">
        <x:v>0</x:v>
      </x:c>
      <x:c r="CP358" s="8"/>
      <x:c r="CQ358" s="8"/>
    </x:row>
    <x:row r="359">
      <x:c r="A359" s="8" t="str">
        <x:v>Kimberley|2020</x:v>
      </x:c>
      <x:c r="B359" s="8" t="str">
        <x:v>kimberley-c</x:v>
      </x:c>
      <x:c r="C359" s="8" t="str">
        <x:v>Kimberley</x:v>
      </x:c>
      <x:c r="D359" s="8" t="str">
        <x:v>Kimberley</x:v>
      </x:c>
      <x:c r="E359" s="8" t="str">
        <x:v>C</x:v>
      </x:c>
      <x:c r="F359" s="8" t="str">
        <x:v>EKO</x:v>
      </x:c>
      <x:c r="G359" s="9" t="n">
        <x:v>2020</x:v>
      </x:c>
      <x:c r="H359" s="10" t="n">
        <x:v>8151</x:v>
      </x:c>
      <x:c r="I359" s="8" t="str">
        <x:v>5,000 to 19,999</x:v>
      </x:c>
      <x:c r="J359" s="11" t="n">
        <x:v>26727864</x:v>
      </x:c>
      <x:c r="K359" s="11" t="n">
        <x:v>19070628</x:v>
      </x:c>
      <x:c r="L359" s="11" t="n">
        <x:v>7657236</x:v>
      </x:c>
      <x:c r="M359" s="12" t="n">
        <x:v>0.28648888665401767</x:v>
      </x:c>
      <x:c r="N359" s="11" t="n">
        <x:v>11571082</x:v>
      </x:c>
      <x:c r="O359" s="11" t="n">
        <x:v>7630629</x:v>
      </x:c>
      <x:c r="P359" s="11" t="n">
        <x:v>4829982</x:v>
      </x:c>
      <x:c r="Q359" s="11" t="n">
        <x:v>2696171</x:v>
      </x:c>
      <x:c r="R359" s="11" t="n">
        <x:v>14566200</x:v>
      </x:c>
      <x:c r="S359" s="11" t="n">
        <x:v>4164510</x:v>
      </x:c>
      <x:c r="T359" s="11" t="n">
        <x:v>23988543</x:v>
      </x:c>
      <x:c r="U359" s="11" t="n">
        <x:v>12651969</x:v>
      </x:c>
      <x:c r="V359" s="11" t="n">
        <x:v>17564595</x:v>
      </x:c>
      <x:c r="W359" s="11" t="n">
        <x:v>5848658</x:v>
      </x:c>
      <x:c r="X359" s="11" t="n">
        <x:v>8068676</x:v>
      </x:c>
      <x:c r="Y359" s="11" t="n">
        <x:v>0</x:v>
      </x:c>
      <x:c r="Z359" s="11" t="n">
        <x:v>675202</x:v>
      </x:c>
      <x:c r="AA359" s="11" t="n">
        <x:v>7266805</x:v>
      </x:c>
      <x:c r="AB359" s="11" t="n">
        <x:v>339918</x:v>
      </x:c>
      <x:c r="AC359" s="11" t="n">
        <x:v>1015120</x:v>
      </x:c>
      <x:c r="AD359" s="11" t="n">
        <x:v>4967370</x:v>
      </x:c>
      <x:c r="AE359" s="11" t="n">
        <x:v>3952250</x:v>
      </x:c>
      <x:c r="AF359" s="11" t="n">
        <x:v>19869478</x:v>
      </x:c>
      <x:c r="AG359" s="11" t="n">
        <x:v>161974216</x:v>
      </x:c>
      <x:c r="AH359" s="11" t="n">
        <x:v>70531781</x:v>
      </x:c>
      <x:c r="AI359" s="11" t="n">
        <x:v>91442435</x:v>
      </x:c>
      <x:c r="AJ359" s="11" t="n">
        <x:v>6693885</x:v>
      </x:c>
      <x:c r="AK359" s="11" t="n">
        <x:v>23419203</x:v>
      </x:c>
      <x:c r="AL359" s="11" t="n">
        <x:v>0</x:v>
      </x:c>
      <x:c r="AM359" s="12" t="n">
        <x:v>1</x:v>
      </x:c>
      <x:c r="AN359" s="12" t="n">
        <x:v>0.28582889861794186</x:v>
      </x:c>
      <x:c r="AO359" s="11" t="n">
        <x:v>16123578</x:v>
      </x:c>
      <x:c r="AP359" s="11" t="n">
        <x:v>15427133</x:v>
      </x:c>
      <x:c r="AQ359" s="12" t="n">
        <x:v>0.9568058032776596</x:v>
      </x:c>
      <x:c r="AR359" s="11" t="n">
        <x:v>3279.0901729849097</x:v>
      </x:c>
      <x:c r="AS359" s="11" t="n">
        <x:v>2339.6672800883325</x:v>
      </x:c>
      <x:c r="AT359" s="11" t="n">
        <x:v>2154.9006256900993</x:v>
      </x:c>
      <x:c r="AU359" s="11" t="n">
        <x:v>717.5387069071279</x:v>
      </x:c>
      <x:c r="AV359" s="11" t="n">
        <x:v>891.5231259968102</x:v>
      </x:c>
      <x:c r="AW359" s="11" t="n">
        <x:v>1.8960323883183716</x:v>
      </x:c>
      <x:c r="AX359" s="12" t="n">
        <x:v>0.7956423620547695</x:v>
      </x:c>
      <x:c r="AY359" s="11"/>
      <x:c r="AZ359" s="11"/>
      <x:c r="BA359" s="11"/>
      <x:c r="BB359" s="11"/>
      <x:c r="BC359" s="11"/>
      <x:c r="BD359" s="11"/>
      <x:c r="BE359" s="11"/>
      <x:c r="BF359" s="11"/>
      <x:c r="BG359" s="11"/>
      <x:c r="BH359" s="11"/>
      <x:c r="BI359" s="11"/>
      <x:c r="BJ359" s="11"/>
      <x:c r="BK359" s="12"/>
      <x:c r="BL359" s="12"/>
      <x:c r="BM359" s="12"/>
      <x:c r="BN359" s="12"/>
      <x:c r="BO359" s="12"/>
      <x:c r="BP359" s="12"/>
      <x:c r="BQ359" s="12"/>
      <x:c r="BR359" s="12"/>
      <x:c r="BS359" s="12"/>
      <x:c r="BT359" s="12"/>
      <x:c r="BU359" s="11" t="n">
        <x:v>0</x:v>
      </x:c>
      <x:c r="BV359" s="11" t="n">
        <x:v>3954347</x:v>
      </x:c>
      <x:c r="BW359" s="11" t="n">
        <x:v>875635</x:v>
      </x:c>
      <x:c r="BX359" s="11" t="n">
        <x:v>192431</x:v>
      </x:c>
      <x:c r="BY359" s="11" t="n">
        <x:v>0</x:v>
      </x:c>
      <x:c r="BZ359" s="11" t="n">
        <x:v>943018</x:v>
      </x:c>
      <x:c r="CA359" s="11" t="n">
        <x:v>1560722</x:v>
      </x:c>
      <x:c r="CB359" s="11" t="n">
        <x:v>0</x:v>
      </x:c>
      <x:c r="CC359" s="11" t="n">
        <x:v>2164950</x:v>
      </x:c>
      <x:c r="CD359" s="11" t="n">
        <x:v>2223895</x:v>
      </x:c>
      <x:c r="CE359" s="11" t="n">
        <x:v>118818</x:v>
      </x:c>
      <x:c r="CF359" s="11" t="n">
        <x:v>264884</x:v>
      </x:c>
      <x:c r="CG359" s="11" t="n">
        <x:v>545109</x:v>
      </x:c>
      <x:c r="CH359" s="11" t="n">
        <x:v>3378328</x:v>
      </x:c>
      <x:c r="CI359" s="11" t="n">
        <x:v>3704177</x:v>
      </x:c>
      <x:c r="CJ359" s="11" t="n">
        <x:v>1192371</x:v>
      </x:c>
      <x:c r="CK359" s="11" t="n">
        <x:v>1117606</x:v>
      </x:c>
      <x:c r="CL359" s="11" t="n">
        <x:v>195980</x:v>
      </x:c>
      <x:c r="CM359" s="11"/>
      <x:c r="CN359" s="11" t="n">
        <x:v>0</x:v>
      </x:c>
      <x:c r="CO359" s="11" t="n">
        <x:v>0</x:v>
      </x:c>
      <x:c r="CP359" s="8"/>
      <x:c r="CQ359" s="8"/>
    </x:row>
    <x:row r="360">
      <x:c r="A360" s="8" t="str">
        <x:v>Kimberley|2021</x:v>
      </x:c>
      <x:c r="B360" s="8" t="str">
        <x:v>kimberley-c</x:v>
      </x:c>
      <x:c r="C360" s="8" t="str">
        <x:v>Kimberley</x:v>
      </x:c>
      <x:c r="D360" s="8" t="str">
        <x:v>Kimberley</x:v>
      </x:c>
      <x:c r="E360" s="8" t="str">
        <x:v>C</x:v>
      </x:c>
      <x:c r="F360" s="8" t="str">
        <x:v>EKO</x:v>
      </x:c>
      <x:c r="G360" s="9" t="n">
        <x:v>2021</x:v>
      </x:c>
      <x:c r="H360" s="10" t="n">
        <x:v>8308</x:v>
      </x:c>
      <x:c r="I360" s="8" t="str">
        <x:v>5,000 to 19,999</x:v>
      </x:c>
      <x:c r="J360" s="11" t="n">
        <x:v>21251754</x:v>
      </x:c>
      <x:c r="K360" s="11" t="n">
        <x:v>19433007</x:v>
      </x:c>
      <x:c r="L360" s="11" t="n">
        <x:v>1818747</x:v>
      </x:c>
      <x:c r="M360" s="12" t="n">
        <x:v>0.0855810301587342</x:v>
      </x:c>
      <x:c r="N360" s="11" t="n">
        <x:v>11456070</x:v>
      </x:c>
      <x:c r="O360" s="11" t="n">
        <x:v>6997382</x:v>
      </x:c>
      <x:c r="P360" s="11" t="n">
        <x:v>2542275</x:v>
      </x:c>
      <x:c r="Q360" s="11" t="n">
        <x:v>256027</x:v>
      </x:c>
      <x:c r="R360" s="11" t="n">
        <x:v>15294730</x:v>
      </x:c>
      <x:c r="S360" s="11" t="n">
        <x:v>3825817</x:v>
      </x:c>
      <x:c r="T360" s="11" t="n">
        <x:v>31346489</x:v>
      </x:c>
      <x:c r="U360" s="11" t="n">
        <x:v>12949990</x:v>
      </x:c>
      <x:c r="V360" s="11" t="n">
        <x:v>21126341</x:v>
      </x:c>
      <x:c r="W360" s="11" t="n">
        <x:v>8933379</x:v>
      </x:c>
      <x:c r="X360" s="11" t="n">
        <x:v>7266805</x:v>
      </x:c>
      <x:c r="Y360" s="11" t="n">
        <x:v>0</x:v>
      </x:c>
      <x:c r="Z360" s="11" t="n">
        <x:v>794518</x:v>
      </x:c>
      <x:c r="AA360" s="11" t="n">
        <x:v>6348401</x:v>
      </x:c>
      <x:c r="AB360" s="11" t="n">
        <x:v>312460</x:v>
      </x:c>
      <x:c r="AC360" s="11" t="n">
        <x:v>1106978</x:v>
      </x:c>
      <x:c r="AD360" s="11" t="n">
        <x:v>4790840</x:v>
      </x:c>
      <x:c r="AE360" s="11" t="n">
        <x:v>3683862</x:v>
      </x:c>
      <x:c r="AF360" s="11" t="n">
        <x:v>19163361</x:v>
      </x:c>
      <x:c r="AG360" s="11" t="n">
        <x:v>157958352</x:v>
      </x:c>
      <x:c r="AH360" s="11" t="n">
        <x:v>68339211</x:v>
      </x:c>
      <x:c r="AI360" s="11" t="n">
        <x:v>89619141</x:v>
      </x:c>
      <x:c r="AJ360" s="11" t="n">
        <x:v>2644572</x:v>
      </x:c>
      <x:c r="AK360" s="11" t="n">
        <x:v>23964727</x:v>
      </x:c>
      <x:c r="AL360" s="11" t="n">
        <x:v>0</x:v>
      </x:c>
      <x:c r="AM360" s="12" t="n">
        <x:v>1</x:v>
      </x:c>
      <x:c r="AN360" s="12" t="n">
        <x:v>0.11035268626260587</x:v>
      </x:c>
      <x:c r="AO360" s="11" t="n">
        <x:v>16621360</x:v>
      </x:c>
      <x:c r="AP360" s="11" t="n">
        <x:v>16098374</x:v>
      </x:c>
      <x:c r="AQ360" s="12" t="n">
        <x:v>0.9685353063768548</x:v>
      </x:c>
      <x:c r="AR360" s="11" t="n">
        <x:v>2557.986759749639</x:v>
      </x:c>
      <x:c r="AS360" s="11" t="n">
        <x:v>2339.0716177178624</x:v>
      </x:c>
      <x:c r="AT360" s="11" t="n">
        <x:v>2542.8913095811267</x:v>
      </x:c>
      <x:c r="AU360" s="11" t="n">
        <x:v>1075.2743139142995</x:v>
      </x:c>
      <x:c r="AV360" s="11" t="n">
        <x:v>764.1310784785749</x:v>
      </x:c>
      <x:c r="AW360" s="11" t="n">
        <x:v>2.420580170332178</x:v>
      </x:c>
      <x:c r="AX360" s="12" t="n">
        <x:v>0.768938641240367</x:v>
      </x:c>
      <x:c r="AY360" s="11"/>
      <x:c r="AZ360" s="11"/>
      <x:c r="BA360" s="11"/>
      <x:c r="BB360" s="11"/>
      <x:c r="BC360" s="11"/>
      <x:c r="BD360" s="11"/>
      <x:c r="BE360" s="11"/>
      <x:c r="BF360" s="11"/>
      <x:c r="BG360" s="11"/>
      <x:c r="BH360" s="11"/>
      <x:c r="BI360" s="11"/>
      <x:c r="BJ360" s="11"/>
      <x:c r="BK360" s="12"/>
      <x:c r="BL360" s="12"/>
      <x:c r="BM360" s="12"/>
      <x:c r="BN360" s="12"/>
      <x:c r="BO360" s="12"/>
      <x:c r="BP360" s="12"/>
      <x:c r="BQ360" s="12"/>
      <x:c r="BR360" s="12"/>
      <x:c r="BS360" s="12"/>
      <x:c r="BT360" s="12"/>
      <x:c r="BU360" s="11" t="n">
        <x:v>0</x:v>
      </x:c>
      <x:c r="BV360" s="11" t="n">
        <x:v>1349531</x:v>
      </x:c>
      <x:c r="BW360" s="11" t="n">
        <x:v>1192744</x:v>
      </x:c>
      <x:c r="BX360" s="11" t="n">
        <x:v>235811</x:v>
      </x:c>
      <x:c r="BY360" s="11" t="n">
        <x:v>0</x:v>
      </x:c>
      <x:c r="BZ360" s="11" t="n">
        <x:v>0</x:v>
      </x:c>
      <x:c r="CA360" s="11" t="n">
        <x:v>20216</x:v>
      </x:c>
      <x:c r="CB360" s="11" t="n">
        <x:v>0</x:v>
      </x:c>
      <x:c r="CC360" s="11" t="n">
        <x:v>2223044</x:v>
      </x:c>
      <x:c r="CD360" s="11" t="n">
        <x:v>2365477</x:v>
      </x:c>
      <x:c r="CE360" s="11" t="n">
        <x:v>424484</x:v>
      </x:c>
      <x:c r="CF360" s="11" t="n">
        <x:v>271749</x:v>
      </x:c>
      <x:c r="CG360" s="11" t="n">
        <x:v>703320</x:v>
      </x:c>
      <x:c r="CH360" s="11" t="n">
        <x:v>3262107</x:v>
      </x:c>
      <x:c r="CI360" s="11" t="n">
        <x:v>2976043</x:v>
      </x:c>
      <x:c r="CJ360" s="11" t="n">
        <x:v>1111114</x:v>
      </x:c>
      <x:c r="CK360" s="11" t="n">
        <x:v>1581375</x:v>
      </x:c>
      <x:c r="CL360" s="11" t="n">
        <x:v>154209</x:v>
      </x:c>
      <x:c r="CM360" s="11"/>
      <x:c r="CN360" s="11" t="n">
        <x:v>534268</x:v>
      </x:c>
      <x:c r="CO360" s="11" t="n">
        <x:v>0</x:v>
      </x:c>
      <x:c r="CP360" s="8"/>
      <x:c r="CQ360" s="8"/>
    </x:row>
    <x:row r="361">
      <x:c r="A361" s="8" t="str">
        <x:v>Kimberley|2022</x:v>
      </x:c>
      <x:c r="B361" s="8" t="str">
        <x:v>kimberley-c</x:v>
      </x:c>
      <x:c r="C361" s="8" t="str">
        <x:v>Kimberley</x:v>
      </x:c>
      <x:c r="D361" s="8" t="str">
        <x:v>Kimberley</x:v>
      </x:c>
      <x:c r="E361" s="8" t="str">
        <x:v>C</x:v>
      </x:c>
      <x:c r="F361" s="8" t="str">
        <x:v>EKO</x:v>
      </x:c>
      <x:c r="G361" s="9" t="n">
        <x:v>2022</x:v>
      </x:c>
      <x:c r="H361" s="10" t="n">
        <x:v>8647</x:v>
      </x:c>
      <x:c r="I361" s="8" t="str">
        <x:v>5,000 to 19,999</x:v>
      </x:c>
      <x:c r="J361" s="11" t="n">
        <x:v>26383049</x:v>
      </x:c>
      <x:c r="K361" s="11" t="n">
        <x:v>19740080</x:v>
      </x:c>
      <x:c r="L361" s="11" t="n">
        <x:v>6642969</x:v>
      </x:c>
      <x:c r="M361" s="12" t="n">
        <x:v>0.25178928333870737</x:v>
      </x:c>
      <x:c r="N361" s="11" t="n">
        <x:v>12678113</x:v>
      </x:c>
      <x:c r="O361" s="11" t="n">
        <x:v>7356809</x:v>
      </x:c>
      <x:c r="P361" s="11" t="n">
        <x:v>2886087</x:v>
      </x:c>
      <x:c r="Q361" s="11" t="n">
        <x:v>3462040</x:v>
      </x:c>
      <x:c r="R361" s="11" t="n">
        <x:v>15415519</x:v>
      </x:c>
      <x:c r="S361" s="11" t="n">
        <x:v>4088157</x:v>
      </x:c>
      <x:c r="T361" s="11" t="n">
        <x:v>32645126</x:v>
      </x:c>
      <x:c r="U361" s="11" t="n">
        <x:v>12301661</x:v>
      </x:c>
      <x:c r="V361" s="11" t="n">
        <x:v>23746139</x:v>
      </x:c>
      <x:c r="W361" s="11" t="n">
        <x:v>9188677</x:v>
      </x:c>
      <x:c r="X361" s="11" t="n">
        <x:v>6348401</x:v>
      </x:c>
      <x:c r="Y361" s="11" t="n">
        <x:v>0</x:v>
      </x:c>
      <x:c r="Z361" s="11" t="n">
        <x:v>463700</x:v>
      </x:c>
      <x:c r="AA361" s="11" t="n">
        <x:v>5774435</x:v>
      </x:c>
      <x:c r="AB361" s="11" t="n">
        <x:v>236404</x:v>
      </x:c>
      <x:c r="AC361" s="11" t="n">
        <x:v>700104</x:v>
      </x:c>
      <x:c r="AD361" s="11" t="n">
        <x:v>5373541</x:v>
      </x:c>
      <x:c r="AE361" s="11" t="n">
        <x:v>1540937</x:v>
      </x:c>
      <x:c r="AF361" s="11" t="n">
        <x:v>21494165</x:v>
      </x:c>
      <x:c r="AG361" s="11" t="n">
        <x:v>165600790</x:v>
      </x:c>
      <x:c r="AH361" s="11" t="n">
        <x:v>71991437</x:v>
      </x:c>
      <x:c r="AI361" s="11" t="n">
        <x:v>93609353</x:v>
      </x:c>
      <x:c r="AJ361" s="11" t="n">
        <x:v>8218231</x:v>
      </x:c>
      <x:c r="AK361" s="11" t="n">
        <x:v>24695142</x:v>
      </x:c>
      <x:c r="AL361" s="11" t="n">
        <x:v>0</x:v>
      </x:c>
      <x:c r="AM361" s="12" t="n">
        <x:v>1</x:v>
      </x:c>
      <x:c r="AN361" s="12" t="n">
        <x:v>0.3327873555049815</x:v>
      </x:c>
      <x:c r="AO361" s="11" t="n">
        <x:v>17953680</x:v>
      </x:c>
      <x:c r="AP361" s="11" t="n">
        <x:v>17292181</x:v>
      </x:c>
      <x:c r="AQ361" s="12" t="n">
        <x:v>0.9631552417108916</x:v>
      </x:c>
      <x:c r="AR361" s="11" t="n">
        <x:v>3051.121660691569</x:v>
      </x:c>
      <x:c r="AS361" s="11" t="n">
        <x:v>2282.881924366832</x:v>
      </x:c>
      <x:c r="AT361" s="11" t="n">
        <x:v>2746.170810685787</x:v>
      </x:c>
      <x:c r="AU361" s="11" t="n">
        <x:v>1062.6433445125476</x:v>
      </x:c>
      <x:c r="AV361" s="11" t="n">
        <x:v>667.7963455533711</x:v>
      </x:c>
      <x:c r="AW361" s="11" t="n">
        <x:v>2.6537169248933132</x:v>
      </x:c>
      <x:c r="AX361" s="12" t="n">
        <x:v>0.2867637931859085</x:v>
      </x:c>
      <x:c r="AY361" s="11"/>
      <x:c r="AZ361" s="11"/>
      <x:c r="BA361" s="11"/>
      <x:c r="BB361" s="11"/>
      <x:c r="BC361" s="11"/>
      <x:c r="BD361" s="11"/>
      <x:c r="BE361" s="11"/>
      <x:c r="BF361" s="11"/>
      <x:c r="BG361" s="11"/>
      <x:c r="BH361" s="11"/>
      <x:c r="BI361" s="11"/>
      <x:c r="BJ361" s="11"/>
      <x:c r="BK361" s="12"/>
      <x:c r="BL361" s="12"/>
      <x:c r="BM361" s="12"/>
      <x:c r="BN361" s="12"/>
      <x:c r="BO361" s="12"/>
      <x:c r="BP361" s="12"/>
      <x:c r="BQ361" s="12"/>
      <x:c r="BR361" s="12"/>
      <x:c r="BS361" s="12"/>
      <x:c r="BT361" s="12"/>
      <x:c r="BU361" s="11" t="n">
        <x:v>0</x:v>
      </x:c>
      <x:c r="BV361" s="11" t="n">
        <x:v>1932749</x:v>
      </x:c>
      <x:c r="BW361" s="11" t="n">
        <x:v>953338</x:v>
      </x:c>
      <x:c r="BX361" s="11" t="n">
        <x:v>891737</x:v>
      </x:c>
      <x:c r="BY361" s="11" t="n">
        <x:v>0</x:v>
      </x:c>
      <x:c r="BZ361" s="11" t="n">
        <x:v>2444766</x:v>
      </x:c>
      <x:c r="CA361" s="11" t="n">
        <x:v>125537</x:v>
      </x:c>
      <x:c r="CB361" s="11" t="n">
        <x:v>0</x:v>
      </x:c>
      <x:c r="CC361" s="11" t="n">
        <x:v>2258104</x:v>
      </x:c>
      <x:c r="CD361" s="11" t="n">
        <x:v>2765051</x:v>
      </x:c>
      <x:c r="CE361" s="11" t="n">
        <x:v>302895</x:v>
      </x:c>
      <x:c r="CF361" s="11" t="n">
        <x:v>333237</x:v>
      </x:c>
      <x:c r="CG361" s="11" t="n">
        <x:v>701249</x:v>
      </x:c>
      <x:c r="CH361" s="11" t="n">
        <x:v>3199039</x:v>
      </x:c>
      <x:c r="CI361" s="11" t="n">
        <x:v>3462044</x:v>
      </x:c>
      <x:c r="CJ361" s="11" t="n">
        <x:v>1217054</x:v>
      </x:c>
      <x:c r="CK361" s="11" t="n">
        <x:v>1319063</x:v>
      </x:c>
      <x:c r="CL361" s="11" t="n">
        <x:v>94187</x:v>
      </x:c>
      <x:c r="CM361" s="11"/>
      <x:c r="CN361" s="11" t="n">
        <x:v>0</x:v>
      </x:c>
      <x:c r="CO361" s="11" t="n">
        <x:v>0</x:v>
      </x:c>
      <x:c r="CP361" s="8"/>
      <x:c r="CQ361" s="8"/>
    </x:row>
    <x:row r="362">
      <x:c r="A362" s="8" t="str">
        <x:v>Kimberley|2023</x:v>
      </x:c>
      <x:c r="B362" s="8" t="str">
        <x:v>kimberley-c</x:v>
      </x:c>
      <x:c r="C362" s="8" t="str">
        <x:v>Kimberley</x:v>
      </x:c>
      <x:c r="D362" s="8" t="str">
        <x:v>Kimberley</x:v>
      </x:c>
      <x:c r="E362" s="8" t="str">
        <x:v>C</x:v>
      </x:c>
      <x:c r="F362" s="8" t="str">
        <x:v>EKO</x:v>
      </x:c>
      <x:c r="G362" s="9" t="n">
        <x:v>2023</x:v>
      </x:c>
      <x:c r="H362" s="10" t="n">
        <x:v>8674</x:v>
      </x:c>
      <x:c r="I362" s="8" t="str">
        <x:v>5,000 to 19,999</x:v>
      </x:c>
      <x:c r="J362" s="11" t="n">
        <x:v>32053919</x:v>
      </x:c>
      <x:c r="K362" s="11" t="n">
        <x:v>22177663</x:v>
      </x:c>
      <x:c r="L362" s="11" t="n">
        <x:v>9876256</x:v>
      </x:c>
      <x:c r="M362" s="12" t="n">
        <x:v>0.3081138378118445</x:v>
      </x:c>
      <x:c r="N362" s="11" t="n">
        <x:v>13351925</x:v>
      </x:c>
      <x:c r="O362" s="11" t="n">
        <x:v>8194050</x:v>
      </x:c>
      <x:c r="P362" s="11" t="n">
        <x:v>7433730</x:v>
      </x:c>
      <x:c r="Q362" s="11" t="n">
        <x:v>3074214</x:v>
      </x:c>
      <x:c r="R362" s="11" t="n">
        <x:v>17113955</x:v>
      </x:c>
      <x:c r="S362" s="11" t="n">
        <x:v>4835179</x:v>
      </x:c>
      <x:c r="T362" s="11" t="n">
        <x:v>37482771</x:v>
      </x:c>
      <x:c r="U362" s="11" t="n">
        <x:v>26820982</x:v>
      </x:c>
      <x:c r="V362" s="11" t="n">
        <x:v>15021208</x:v>
      </x:c>
      <x:c r="W362" s="11" t="n">
        <x:v>13122046</x:v>
      </x:c>
      <x:c r="X362" s="11" t="n">
        <x:v>5774435</x:v>
      </x:c>
      <x:c r="Y362" s="11" t="n">
        <x:v>0</x:v>
      </x:c>
      <x:c r="Z362" s="11" t="n">
        <x:v>468009</x:v>
      </x:c>
      <x:c r="AA362" s="11" t="n">
        <x:v>5181067</x:v>
      </x:c>
      <x:c r="AB362" s="11" t="n">
        <x:v>228529</x:v>
      </x:c>
      <x:c r="AC362" s="11" t="n">
        <x:v>696538</x:v>
      </x:c>
      <x:c r="AD362" s="11" t="n">
        <x:v>6248772</x:v>
      </x:c>
      <x:c r="AE362" s="11" t="n">
        <x:v>2335734</x:v>
      </x:c>
      <x:c r="AF362" s="11" t="n">
        <x:v>24995089</x:v>
      </x:c>
      <x:c r="AG362" s="11" t="n">
        <x:v>179043856</x:v>
      </x:c>
      <x:c r="AH362" s="11" t="n">
        <x:v>77507757</x:v>
      </x:c>
      <x:c r="AI362" s="11" t="n">
        <x:v>101536099</x:v>
      </x:c>
      <x:c r="AJ362" s="11" t="n">
        <x:v>11295249</x:v>
      </x:c>
      <x:c r="AK362" s="11" t="n">
        <x:v>26962160</x:v>
      </x:c>
      <x:c r="AL362" s="11" t="n">
        <x:v>0</x:v>
      </x:c>
      <x:c r="AM362" s="12" t="n">
        <x:v>1</x:v>
      </x:c>
      <x:c r="AN362" s="12" t="n">
        <x:v>0.4189296777409525</x:v>
      </x:c>
      <x:c r="AO362" s="11" t="n">
        <x:v>19356241</x:v>
      </x:c>
      <x:c r="AP362" s="11" t="n">
        <x:v>18746203</x:v>
      </x:c>
      <x:c r="AQ362" s="12" t="n">
        <x:v>0.9684836534118375</x:v>
      </x:c>
      <x:c r="AR362" s="11" t="n">
        <x:v>3695.402236569057</x:v>
      </x:c>
      <x:c r="AS362" s="11" t="n">
        <x:v>2556.797671201291</x:v>
      </x:c>
      <x:c r="AT362" s="11" t="n">
        <x:v>1731.7509799400507</x:v>
      </x:c>
      <x:c r="AU362" s="11" t="n">
        <x:v>1512.802167396818</x:v>
      </x:c>
      <x:c r="AV362" s="11" t="n">
        <x:v>597.3100069172239</x:v>
      </x:c>
      <x:c r="AW362" s="11" t="n">
        <x:v>1.3975167277618694</x:v>
      </x:c>
      <x:c r="AX362" s="12" t="n">
        <x:v>0.37379088243258035</x:v>
      </x:c>
      <x:c r="AY362" s="11"/>
      <x:c r="AZ362" s="11"/>
      <x:c r="BA362" s="11"/>
      <x:c r="BB362" s="11"/>
      <x:c r="BC362" s="11"/>
      <x:c r="BD362" s="11"/>
      <x:c r="BE362" s="11"/>
      <x:c r="BF362" s="11"/>
      <x:c r="BG362" s="11"/>
      <x:c r="BH362" s="11"/>
      <x:c r="BI362" s="11"/>
      <x:c r="BJ362" s="11"/>
      <x:c r="BK362" s="12"/>
      <x:c r="BL362" s="12"/>
      <x:c r="BM362" s="12"/>
      <x:c r="BN362" s="12"/>
      <x:c r="BO362" s="12"/>
      <x:c r="BP362" s="12"/>
      <x:c r="BQ362" s="12"/>
      <x:c r="BR362" s="12"/>
      <x:c r="BS362" s="12"/>
      <x:c r="BT362" s="12"/>
      <x:c r="BU362" s="11" t="n">
        <x:v>0</x:v>
      </x:c>
      <x:c r="BV362" s="11" t="n">
        <x:v>6297912</x:v>
      </x:c>
      <x:c r="BW362" s="11" t="n">
        <x:v>1135818</x:v>
      </x:c>
      <x:c r="BX362" s="11" t="n">
        <x:v>1933282</x:v>
      </x:c>
      <x:c r="BY362" s="11" t="n">
        <x:v>0</x:v>
      </x:c>
      <x:c r="BZ362" s="11" t="n">
        <x:v>29741</x:v>
      </x:c>
      <x:c r="CA362" s="11" t="n">
        <x:v>0</x:v>
      </x:c>
      <x:c r="CB362" s="11" t="n">
        <x:v>1111191</x:v>
      </x:c>
      <x:c r="CC362" s="11" t="n">
        <x:v>2254952</x:v>
      </x:c>
      <x:c r="CD362" s="11" t="n">
        <x:v>2724713</x:v>
      </x:c>
      <x:c r="CE362" s="11" t="n">
        <x:v>584918</x:v>
      </x:c>
      <x:c r="CF362" s="11" t="n">
        <x:v>363256</x:v>
      </x:c>
      <x:c r="CG362" s="11" t="n">
        <x:v>766486</x:v>
      </x:c>
      <x:c r="CH362" s="11" t="n">
        <x:v>3693048</x:v>
      </x:c>
      <x:c r="CI362" s="11" t="n">
        <x:v>3746320</x:v>
      </x:c>
      <x:c r="CJ362" s="11" t="n">
        <x:v>1233114</x:v>
      </x:c>
      <x:c r="CK362" s="11" t="n">
        <x:v>1417944</x:v>
      </x:c>
      <x:c r="CL362" s="11" t="n">
        <x:v>138741</x:v>
      </x:c>
      <x:c r="CM362" s="11" t="n">
        <x:v>415797</x:v>
      </x:c>
      <x:c r="CN362" s="11" t="n">
        <x:v>3195</x:v>
      </x:c>
      <x:c r="CO362" s="11" t="n">
        <x:v>0</x:v>
      </x:c>
      <x:c r="CP362" s="8"/>
      <x:c r="CQ362" s="8"/>
    </x:row>
    <x:row r="363">
      <x:c r="A363" s="8" t="str">
        <x:v>Kimberley|2024</x:v>
      </x:c>
      <x:c r="B363" s="8" t="str">
        <x:v>kimberley-c</x:v>
      </x:c>
      <x:c r="C363" s="8" t="str">
        <x:v>Kimberley</x:v>
      </x:c>
      <x:c r="D363" s="8" t="str">
        <x:v>Kimberley</x:v>
      </x:c>
      <x:c r="E363" s="8" t="str">
        <x:v>C</x:v>
      </x:c>
      <x:c r="F363" s="8" t="str">
        <x:v>EKO</x:v>
      </x:c>
      <x:c r="G363" s="9" t="n">
        <x:v>2024</x:v>
      </x:c>
      <x:c r="H363" s="10" t="n">
        <x:v>8674</x:v>
      </x:c>
      <x:c r="I363" s="8" t="str">
        <x:v>5,000 to 19,999</x:v>
      </x:c>
      <x:c r="J363" s="11" t="n">
        <x:v>31017668</x:v>
      </x:c>
      <x:c r="K363" s="11" t="n">
        <x:v>22870526</x:v>
      </x:c>
      <x:c r="L363" s="11" t="n">
        <x:v>8147142</x:v>
      </x:c>
      <x:c r="M363" s="12" t="n">
        <x:v>0.2626613322445775</x:v>
      </x:c>
      <x:c r="N363" s="11" t="n">
        <x:v>14220368</x:v>
      </x:c>
      <x:c r="O363" s="11" t="n">
        <x:v>8602038</x:v>
      </x:c>
      <x:c r="P363" s="11" t="n">
        <x:v>3976471</x:v>
      </x:c>
      <x:c r="Q363" s="11" t="n">
        <x:v>4218791</x:v>
      </x:c>
      <x:c r="R363" s="11" t="n">
        <x:v>18070041</x:v>
      </x:c>
      <x:c r="S363" s="11" t="n">
        <x:v>4580908</x:v>
      </x:c>
      <x:c r="T363" s="11" t="n">
        <x:v>41277649</x:v>
      </x:c>
      <x:c r="U363" s="11" t="n">
        <x:v>25250542</x:v>
      </x:c>
      <x:c r="V363" s="11" t="n">
        <x:v>18738173</x:v>
      </x:c>
      <x:c r="W363" s="11" t="n">
        <x:v>12596760</x:v>
      </x:c>
      <x:c r="X363" s="11" t="n">
        <x:v>5181067</x:v>
      </x:c>
      <x:c r="Y363" s="11" t="n">
        <x:v>0</x:v>
      </x:c>
      <x:c r="Z363" s="11" t="n">
        <x:v>472427</x:v>
      </x:c>
      <x:c r="AA363" s="11" t="n">
        <x:v>4567622</x:v>
      </x:c>
      <x:c r="AB363" s="11" t="n">
        <x:v>219577</x:v>
      </x:c>
      <x:c r="AC363" s="11" t="n">
        <x:v>692004</x:v>
      </x:c>
      <x:c r="AD363" s="11" t="n">
        <x:v>6314730</x:v>
      </x:c>
      <x:c r="AE363" s="11" t="n">
        <x:v>2434226</x:v>
      </x:c>
      <x:c r="AF363" s="11" t="n">
        <x:v>25258921</x:v>
      </x:c>
      <x:c r="AG363" s="11" t="n">
        <x:v>186978448</x:v>
      </x:c>
      <x:c r="AH363" s="11" t="n">
        <x:v>81015137</x:v>
      </x:c>
      <x:c r="AI363" s="11" t="n">
        <x:v>105963311</x:v>
      </x:c>
      <x:c r="AJ363" s="11" t="n">
        <x:v>9075249</x:v>
      </x:c>
      <x:c r="AK363" s="11" t="n">
        <x:v>421878397</x:v>
      </x:c>
      <x:c r="AL363" s="11" t="n">
        <x:v>9347632</x:v>
      </x:c>
      <x:c r="AM363" s="12" t="n">
        <x:v>0.9778428284869016</x:v>
      </x:c>
      <x:c r="AN363" s="12" t="n">
        <x:v>0.021511528119322023</x:v>
      </x:c>
      <x:c r="AO363" s="11" t="n">
        <x:v>20431709</x:v>
      </x:c>
      <x:c r="AP363" s="11" t="n">
        <x:v>19810891</x:v>
      </x:c>
      <x:c r="AQ363" s="12" t="n">
        <x:v>0.9696149744497633</x:v>
      </x:c>
      <x:c r="AR363" s="11" t="n">
        <x:v>3575.9359003919762</x:v>
      </x:c>
      <x:c r="AS363" s="11" t="n">
        <x:v>2636.6758127738067</x:v>
      </x:c>
      <x:c r="AT363" s="11" t="n">
        <x:v>2160.268964722158</x:v>
      </x:c>
      <x:c r="AU363" s="11" t="n">
        <x:v>1452.2434862808393</x:v>
      </x:c>
      <x:c r="AV363" s="11" t="n">
        <x:v>526.5877334563062</x:v>
      </x:c>
      <x:c r="AW363" s="11" t="n">
        <x:v>1.6347232863357943</x:v>
      </x:c>
      <x:c r="AX363" s="12" t="n">
        <x:v>0.3854837815710252</x:v>
      </x:c>
      <x:c r="AY363" s="11" t="n">
        <x:v>3601.3561989291247</x:v>
      </x:c>
      <x:c r="AZ363" s="11" t="n">
        <x:v>3546.5079302077975</x:v>
      </x:c>
      <x:c r="BA363" s="11" t="n">
        <x:v>2957.8976990295423</x:v>
      </x:c>
      <x:c r="BB363" s="11" t="n">
        <x:v>2783.665107049771</x:v>
      </x:c>
      <x:c r="BC363" s="11" t="n">
        <x:v>1917.0647247750476</x:v>
      </x:c>
      <x:c r="BD363" s="11" t="n">
        <x:v>2437.8724475115623</x:v>
      </x:c>
      <x:c r="BE363" s="11" t="n">
        <x:v>987.5598464714869</x:v>
      </x:c>
      <x:c r="BF363" s="11" t="n">
        <x:v>1604.3462673977224</x:v>
      </x:c>
      <x:c r="BG363" s="11" t="n">
        <x:v>936.3446522221191</x:v>
      </x:c>
      <x:c r="BH363" s="11" t="n">
        <x:v>518.5374381567245</x:v>
      </x:c>
      <x:c r="BI363" s="11" t="n">
        <x:v>1.3967465323081123</x:v>
      </x:c>
      <x:c r="BJ363" s="11" t="n">
        <x:v>1.7099330852451193</x:v>
      </x:c>
      <x:c r="BK363" s="12" t="n">
        <x:v>0.018327243000235003</x:v>
      </x:c>
      <x:c r="BL363" s="12" t="n">
        <x:v>0.02529861000232605</x:v>
      </x:c>
      <x:c r="BM363" s="12" t="n">
        <x:v>0.982034678745671</x:v>
      </x:c>
      <x:c r="BN363" s="12" t="n">
        <x:v>0.9815511712696461</x:v>
      </x:c>
      <x:c r="BO363" s="12" t="n">
        <x:v>0.7988058564062199</x:v>
      </x:c>
      <x:c r="BP363" s="12" t="n">
        <x:v>0.8619101997275483</x:v>
      </x:c>
      <x:c r="BQ363" s="12" t="n">
        <x:v>0.970292410805516</x:v>
      </x:c>
      <x:c r="BR363" s="12" t="n">
        <x:v>0.9623635142836453</x:v>
      </x:c>
      <x:c r="BS363" s="12" t="n">
        <x:v>0.19624174475580758</x:v>
      </x:c>
      <x:c r="BT363" s="12" t="n">
        <x:v>0.19976549769108282</x:v>
      </x:c>
      <x:c r="BU363" s="11" t="n">
        <x:v>432919</x:v>
      </x:c>
      <x:c r="BV363" s="11" t="n">
        <x:v>2218898</x:v>
      </x:c>
      <x:c r="BW363" s="11" t="n">
        <x:v>1324654</x:v>
      </x:c>
      <x:c r="BX363" s="11" t="n">
        <x:v>2090853</x:v>
      </x:c>
      <x:c r="BY363" s="11" t="n">
        <x:v>0</x:v>
      </x:c>
      <x:c r="BZ363" s="11" t="n">
        <x:v>1970345</x:v>
      </x:c>
      <x:c r="CA363" s="11" t="n">
        <x:v>0</x:v>
      </x:c>
      <x:c r="CB363" s="11" t="n">
        <x:v>157593</x:v>
      </x:c>
      <x:c r="CC363" s="11" t="n">
        <x:v>2552731</x:v>
      </x:c>
      <x:c r="CD363" s="11" t="n">
        <x:v>3044806</x:v>
      </x:c>
      <x:c r="CE363" s="11" t="n">
        <x:v>391389</x:v>
      </x:c>
      <x:c r="CF363" s="11" t="n">
        <x:v>403506</x:v>
      </x:c>
      <x:c r="CG363" s="11" t="n">
        <x:v>835988</x:v>
      </x:c>
      <x:c r="CH363" s="11" t="n">
        <x:v>4011230</x:v>
      </x:c>
      <x:c r="CI363" s="11" t="n">
        <x:v>3730461</x:v>
      </x:c>
      <x:c r="CJ363" s="11" t="n">
        <x:v>1487676</x:v>
      </x:c>
      <x:c r="CK363" s="11" t="n">
        <x:v>1316827</x:v>
      </x:c>
      <x:c r="CL363" s="11" t="n">
        <x:v>55312</x:v>
      </x:c>
      <x:c r="CM363" s="11" t="n">
        <x:v>403013</x:v>
      </x:c>
      <x:c r="CN363" s="11" t="n">
        <x:v>56679</x:v>
      </x:c>
      <x:c r="CO363" s="11" t="n">
        <x:v>0</x:v>
      </x:c>
      <x:c r="CP363" s="8"/>
      <x:c r="CQ363" s="8"/>
    </x:row>
    <x:row r="364">
      <x:c r="A364" s="8" t="str">
        <x:v>Kitimat|2019</x:v>
      </x:c>
      <x:c r="B364" s="8" t="str">
        <x:v>kitimat-d</x:v>
      </x:c>
      <x:c r="C364" s="8" t="str">
        <x:v>Kitimat</x:v>
      </x:c>
      <x:c r="D364" s="8" t="str">
        <x:v>Kitimat</x:v>
      </x:c>
      <x:c r="E364" s="8" t="str">
        <x:v>D</x:v>
      </x:c>
      <x:c r="F364" s="8" t="str">
        <x:v>KIT</x:v>
      </x:c>
      <x:c r="G364" s="9" t="n">
        <x:v>2019</x:v>
      </x:c>
      <x:c r="H364" s="10" t="n">
        <x:v>8200</x:v>
      </x:c>
      <x:c r="I364" s="8" t="str">
        <x:v>5,000 to 19,999</x:v>
      </x:c>
      <x:c r="J364" s="11" t="n">
        <x:v>36942776</x:v>
      </x:c>
      <x:c r="K364" s="11" t="n">
        <x:v>32659729</x:v>
      </x:c>
      <x:c r="L364" s="11" t="n">
        <x:v>4283047</x:v>
      </x:c>
      <x:c r="M364" s="12" t="n">
        <x:v>0.11593733508277776</x:v>
      </x:c>
      <x:c r="N364" s="11" t="n">
        <x:v>27053401</x:v>
      </x:c>
      <x:c r="O364" s="11" t="n">
        <x:v>5691380</x:v>
      </x:c>
      <x:c r="P364" s="11" t="n">
        <x:v>3011176</x:v>
      </x:c>
      <x:c r="Q364" s="11" t="n">
        <x:v>1186819</x:v>
      </x:c>
      <x:c r="R364" s="11" t="n">
        <x:v>29941912</x:v>
      </x:c>
      <x:c r="S364" s="11" t="n">
        <x:v>2570049</x:v>
      </x:c>
      <x:c r="T364" s="11" t="n">
        <x:v>29662775</x:v>
      </x:c>
      <x:c r="U364" s="11" t="n">
        <x:v>15250896</x:v>
      </x:c>
      <x:c r="V364" s="11" t="n">
        <x:v>16715046</x:v>
      </x:c>
      <x:c r="W364" s="11" t="n">
        <x:v>5566315</x:v>
      </x:c>
      <x:c r="X364" s="11" t="n">
        <x:v>3460410</x:v>
      </x:c>
      <x:c r="Y364" s="11" t="n">
        <x:v>0</x:v>
      </x:c>
      <x:c r="Z364" s="11" t="n">
        <x:v>146968</x:v>
      </x:c>
      <x:c r="AA364" s="11" t="n">
        <x:v>3251229</x:v>
      </x:c>
      <x:c r="AB364" s="11" t="n">
        <x:v>147768</x:v>
      </x:c>
      <x:c r="AC364" s="11" t="n">
        <x:v>294736</x:v>
      </x:c>
      <x:c r="AD364" s="11" t="n">
        <x:v>6401325</x:v>
      </x:c>
      <x:c r="AE364" s="11" t="n">
        <x:v>5894770</x:v>
      </x:c>
      <x:c r="AF364" s="11" t="n">
        <x:v>25605300</x:v>
      </x:c>
      <x:c r="AG364" s="11" t="n">
        <x:v>88285319</x:v>
      </x:c>
      <x:c r="AH364" s="11" t="n">
        <x:v>38347292</x:v>
      </x:c>
      <x:c r="AI364" s="11" t="n">
        <x:v>49938027</x:v>
      </x:c>
      <x:c r="AJ364" s="11" t="n">
        <x:v>2846820</x:v>
      </x:c>
      <x:c r="AK364" s="11" t="n">
        <x:v>4894708</x:v>
      </x:c>
      <x:c r="AL364" s="11" t="n">
        <x:v>0</x:v>
      </x:c>
      <x:c r="AM364" s="12" t="n">
        <x:v>1</x:v>
      </x:c>
      <x:c r="AN364" s="12" t="n">
        <x:v>0.5816118142287549</x:v>
      </x:c>
      <x:c r="AO364" s="11" t="n">
        <x:v>35275118</x:v>
      </x:c>
      <x:c r="AP364" s="11" t="n">
        <x:v>34853770</x:v>
      </x:c>
      <x:c r="AQ364" s="12" t="n">
        <x:v>0.988055376597181</x:v>
      </x:c>
      <x:c r="AR364" s="11" t="n">
        <x:v>4505.2165853658535</x:v>
      </x:c>
      <x:c r="AS364" s="11" t="n">
        <x:v>3982.893780487805</x:v>
      </x:c>
      <x:c r="AT364" s="11" t="n">
        <x:v>2038.420243902439</x:v>
      </x:c>
      <x:c r="AU364" s="11" t="n">
        <x:v>678.8189024390244</x:v>
      </x:c>
      <x:c r="AV364" s="11" t="n">
        <x:v>396.49134146341464</x:v>
      </x:c>
      <x:c r="AW364" s="11" t="n">
        <x:v>1.944985724117455</x:v>
      </x:c>
      <x:c r="AX364" s="12" t="n">
        <x:v>0.9208671642199076</x:v>
      </x:c>
      <x:c r="AY364" s="11"/>
      <x:c r="AZ364" s="11"/>
      <x:c r="BA364" s="11"/>
      <x:c r="BB364" s="11"/>
      <x:c r="BC364" s="11"/>
      <x:c r="BD364" s="11"/>
      <x:c r="BE364" s="11"/>
      <x:c r="BF364" s="11"/>
      <x:c r="BG364" s="11"/>
      <x:c r="BH364" s="11"/>
      <x:c r="BI364" s="11"/>
      <x:c r="BJ364" s="11"/>
      <x:c r="BK364" s="12"/>
      <x:c r="BL364" s="12"/>
      <x:c r="BM364" s="12"/>
      <x:c r="BN364" s="12"/>
      <x:c r="BO364" s="12"/>
      <x:c r="BP364" s="12"/>
      <x:c r="BQ364" s="12"/>
      <x:c r="BR364" s="12"/>
      <x:c r="BS364" s="12"/>
      <x:c r="BT364" s="12"/>
      <x:c r="BU364" s="11" t="n">
        <x:v>16256</x:v>
      </x:c>
      <x:c r="BV364" s="11" t="n">
        <x:v>582293</x:v>
      </x:c>
      <x:c r="BW364" s="11" t="n">
        <x:v>2412627</x:v>
      </x:c>
      <x:c r="BX364" s="11" t="n">
        <x:v>801309</x:v>
      </x:c>
      <x:c r="BY364" s="11" t="n">
        <x:v>0</x:v>
      </x:c>
      <x:c r="BZ364" s="11" t="n">
        <x:v>57119</x:v>
      </x:c>
      <x:c r="CA364" s="11" t="n">
        <x:v>328391</x:v>
      </x:c>
      <x:c r="CB364" s="11" t="n">
        <x:v>0</x:v>
      </x:c>
      <x:c r="CC364" s="11" t="n">
        <x:v>4449796</x:v>
      </x:c>
      <x:c r="CD364" s="11" t="n">
        <x:v>7205009</x:v>
      </x:c>
      <x:c r="CE364" s="11" t="n">
        <x:v>951322</x:v>
      </x:c>
      <x:c r="CF364" s="11" t="n">
        <x:v>128094</x:v>
      </x:c>
      <x:c r="CG364" s="11" t="n">
        <x:v>2154134</x:v>
      </x:c>
      <x:c r="CH364" s="11" t="n">
        <x:v>5729148</x:v>
      </x:c>
      <x:c r="CI364" s="11" t="n">
        <x:v>7207809</x:v>
      </x:c>
      <x:c r="CJ364" s="11" t="n">
        <x:v>1527300</x:v>
      </x:c>
      <x:c r="CK364" s="11" t="n">
        <x:v>629689</x:v>
      </x:c>
      <x:c r="CL364" s="11" t="n">
        <x:v>107379</x:v>
      </x:c>
      <x:c r="CM364" s="11"/>
      <x:c r="CN364" s="11" t="n">
        <x:v>0</x:v>
      </x:c>
      <x:c r="CO364" s="11" t="n">
        <x:v>0</x:v>
      </x:c>
      <x:c r="CP364" s="8"/>
      <x:c r="CQ364" s="8"/>
    </x:row>
    <x:row r="365">
      <x:c r="A365" s="8" t="str">
        <x:v>Kitimat|2020</x:v>
      </x:c>
      <x:c r="B365" s="8" t="str">
        <x:v>kitimat-d</x:v>
      </x:c>
      <x:c r="C365" s="8" t="str">
        <x:v>Kitimat</x:v>
      </x:c>
      <x:c r="D365" s="8" t="str">
        <x:v>Kitimat</x:v>
      </x:c>
      <x:c r="E365" s="8" t="str">
        <x:v>D</x:v>
      </x:c>
      <x:c r="F365" s="8" t="str">
        <x:v>KIT</x:v>
      </x:c>
      <x:c r="G365" s="9" t="n">
        <x:v>2020</x:v>
      </x:c>
      <x:c r="H365" s="10" t="n">
        <x:v>8548</x:v>
      </x:c>
      <x:c r="I365" s="8" t="str">
        <x:v>5,000 to 19,999</x:v>
      </x:c>
      <x:c r="J365" s="11" t="n">
        <x:v>46159686</x:v>
      </x:c>
      <x:c r="K365" s="11" t="n">
        <x:v>36155119</x:v>
      </x:c>
      <x:c r="L365" s="11" t="n">
        <x:v>10004567</x:v>
      </x:c>
      <x:c r="M365" s="12" t="n">
        <x:v>0.21673819444958964</x:v>
      </x:c>
      <x:c r="N365" s="11" t="n">
        <x:v>28652507</x:v>
      </x:c>
      <x:c r="O365" s="11" t="n">
        <x:v>5338279</x:v>
      </x:c>
      <x:c r="P365" s="11" t="n">
        <x:v>10460470</x:v>
      </x:c>
      <x:c r="Q365" s="11" t="n">
        <x:v>1708430</x:v>
      </x:c>
      <x:c r="R365" s="11" t="n">
        <x:v>33282375</x:v>
      </x:c>
      <x:c r="S365" s="11" t="n">
        <x:v>2774423</x:v>
      </x:c>
      <x:c r="T365" s="11" t="n">
        <x:v>36468973</x:v>
      </x:c>
      <x:c r="U365" s="11" t="n">
        <x:v>16083598</x:v>
      </x:c>
      <x:c r="V365" s="11" t="n">
        <x:v>22442583</x:v>
      </x:c>
      <x:c r="W365" s="11" t="n">
        <x:v>12652753</x:v>
      </x:c>
      <x:c r="X365" s="11" t="n">
        <x:v>3251229</x:v>
      </x:c>
      <x:c r="Y365" s="11" t="n">
        <x:v>0</x:v>
      </x:c>
      <x:c r="Z365" s="11" t="n">
        <x:v>146968</x:v>
      </x:c>
      <x:c r="AA365" s="11" t="n">
        <x:v>3033676</x:v>
      </x:c>
      <x:c r="AB365" s="11" t="n">
        <x:v>98321</x:v>
      </x:c>
      <x:c r="AC365" s="11" t="n">
        <x:v>245289</x:v>
      </x:c>
      <x:c r="AD365" s="11" t="n">
        <x:v>8343341</x:v>
      </x:c>
      <x:c r="AE365" s="11" t="n">
        <x:v>7886233</x:v>
      </x:c>
      <x:c r="AF365" s="11" t="n">
        <x:v>33373364</x:v>
      </x:c>
      <x:c r="AG365" s="11" t="n">
        <x:v>95154373</x:v>
      </x:c>
      <x:c r="AH365" s="11" t="n">
        <x:v>41038000</x:v>
      </x:c>
      <x:c r="AI365" s="11" t="n">
        <x:v>54116373</x:v>
      </x:c>
      <x:c r="AJ365" s="11" t="n">
        <x:v>6952766</x:v>
      </x:c>
      <x:c r="AK365" s="11" t="n">
        <x:v>4909077</x:v>
      </x:c>
      <x:c r="AL365" s="11" t="n">
        <x:v>0</x:v>
      </x:c>
      <x:c r="AM365" s="12" t="n">
        <x:v>1</x:v>
      </x:c>
      <x:c r="AN365" s="12" t="n">
        <x:v>1.4163081980584131</x:v>
      </x:c>
      <x:c r="AO365" s="11" t="n">
        <x:v>35804194</x:v>
      </x:c>
      <x:c r="AP365" s="11" t="n">
        <x:v>35334533</x:v>
      </x:c>
      <x:c r="AQ365" s="12" t="n">
        <x:v>0.9868825143780642</x:v>
      </x:c>
      <x:c r="AR365" s="11" t="n">
        <x:v>5400.056855404773</x:v>
      </x:c>
      <x:c r="AS365" s="11" t="n">
        <x:v>4229.658282639214</x:v>
      </x:c>
      <x:c r="AT365" s="11" t="n">
        <x:v>2625.477655591951</x:v>
      </x:c>
      <x:c r="AU365" s="11" t="n">
        <x:v>1480.2003977538604</x:v>
      </x:c>
      <x:c r="AV365" s="11" t="n">
        <x:v>354.8989237248479</x:v>
      </x:c>
      <x:c r="AW365" s="11" t="n">
        <x:v>2.2674635986301075</x:v>
      </x:c>
      <x:c r="AX365" s="12" t="n">
        <x:v>0.9452128350021892</x:v>
      </x:c>
      <x:c r="AY365" s="11"/>
      <x:c r="AZ365" s="11"/>
      <x:c r="BA365" s="11"/>
      <x:c r="BB365" s="11"/>
      <x:c r="BC365" s="11"/>
      <x:c r="BD365" s="11"/>
      <x:c r="BE365" s="11"/>
      <x:c r="BF365" s="11"/>
      <x:c r="BG365" s="11"/>
      <x:c r="BH365" s="11"/>
      <x:c r="BI365" s="11"/>
      <x:c r="BJ365" s="11"/>
      <x:c r="BK365" s="12"/>
      <x:c r="BL365" s="12"/>
      <x:c r="BM365" s="12"/>
      <x:c r="BN365" s="12"/>
      <x:c r="BO365" s="12"/>
      <x:c r="BP365" s="12"/>
      <x:c r="BQ365" s="12"/>
      <x:c r="BR365" s="12"/>
      <x:c r="BS365" s="12"/>
      <x:c r="BT365" s="12"/>
      <x:c r="BU365" s="11" t="n">
        <x:v>2018455</x:v>
      </x:c>
      <x:c r="BV365" s="11" t="n">
        <x:v>3870970</x:v>
      </x:c>
      <x:c r="BW365" s="11" t="n">
        <x:v>4571045</x:v>
      </x:c>
      <x:c r="BX365" s="11" t="n">
        <x:v>750129</x:v>
      </x:c>
      <x:c r="BY365" s="11" t="n">
        <x:v>0</x:v>
      </x:c>
      <x:c r="BZ365" s="11" t="n">
        <x:v>937271</x:v>
      </x:c>
      <x:c r="CA365" s="11" t="n">
        <x:v>21030</x:v>
      </x:c>
      <x:c r="CB365" s="11" t="n">
        <x:v>0</x:v>
      </x:c>
      <x:c r="CC365" s="11" t="n">
        <x:v>5605578</x:v>
      </x:c>
      <x:c r="CD365" s="11" t="n">
        <x:v>7315565</x:v>
      </x:c>
      <x:c r="CE365" s="11" t="n">
        <x:v>1012451</x:v>
      </x:c>
      <x:c r="CF365" s="11" t="n">
        <x:v>129366</x:v>
      </x:c>
      <x:c r="CG365" s="11" t="n">
        <x:v>2349761</x:v>
      </x:c>
      <x:c r="CH365" s="11" t="n">
        <x:v>7250753</x:v>
      </x:c>
      <x:c r="CI365" s="11" t="n">
        <x:v>6930796</x:v>
      </x:c>
      <x:c r="CJ365" s="11" t="n">
        <x:v>1738369</x:v>
      </x:c>
      <x:c r="CK365" s="11" t="n">
        <x:v>913702</x:v>
      </x:c>
      <x:c r="CL365" s="11" t="n">
        <x:v>134355</x:v>
      </x:c>
      <x:c r="CM365" s="11"/>
      <x:c r="CN365" s="11" t="n">
        <x:v>0</x:v>
      </x:c>
      <x:c r="CO365" s="11" t="n">
        <x:v>0</x:v>
      </x:c>
      <x:c r="CP365" s="8"/>
      <x:c r="CQ365" s="8"/>
    </x:row>
    <x:row r="366">
      <x:c r="A366" s="8" t="str">
        <x:v>Kitimat|2021</x:v>
      </x:c>
      <x:c r="B366" s="8" t="str">
        <x:v>kitimat-d</x:v>
      </x:c>
      <x:c r="C366" s="8" t="str">
        <x:v>Kitimat</x:v>
      </x:c>
      <x:c r="D366" s="8" t="str">
        <x:v>Kitimat</x:v>
      </x:c>
      <x:c r="E366" s="8" t="str">
        <x:v>D</x:v>
      </x:c>
      <x:c r="F366" s="8" t="str">
        <x:v>KIT</x:v>
      </x:c>
      <x:c r="G366" s="9" t="n">
        <x:v>2021</x:v>
      </x:c>
      <x:c r="H366" s="10" t="n">
        <x:v>8564</x:v>
      </x:c>
      <x:c r="I366" s="8" t="str">
        <x:v>5,000 to 19,999</x:v>
      </x:c>
      <x:c r="J366" s="11" t="n">
        <x:v>59441891</x:v>
      </x:c>
      <x:c r="K366" s="11" t="n">
        <x:v>38837461</x:v>
      </x:c>
      <x:c r="L366" s="11" t="n">
        <x:v>20604430</x:v>
      </x:c>
      <x:c r="M366" s="12" t="n">
        <x:v>0.3466314690425983</x:v>
      </x:c>
      <x:c r="N366" s="11" t="n">
        <x:v>31303191</x:v>
      </x:c>
      <x:c r="O366" s="11" t="n">
        <x:v>3436903</x:v>
      </x:c>
      <x:c r="P366" s="11" t="n">
        <x:v>23193712</x:v>
      </x:c>
      <x:c r="Q366" s="11" t="n">
        <x:v>1508085</x:v>
      </x:c>
      <x:c r="R366" s="11" t="n">
        <x:v>35947493</x:v>
      </x:c>
      <x:c r="S366" s="11" t="n">
        <x:v>2791647</x:v>
      </x:c>
      <x:c r="T366" s="11" t="n">
        <x:v>46497170</x:v>
      </x:c>
      <x:c r="U366" s="11" t="n">
        <x:v>26816300</x:v>
      </x:c>
      <x:c r="V366" s="11" t="n">
        <x:v>22699066</x:v>
      </x:c>
      <x:c r="W366" s="11" t="n">
        <x:v>11503069</x:v>
      </x:c>
      <x:c r="X366" s="11" t="n">
        <x:v>3033676</x:v>
      </x:c>
      <x:c r="Y366" s="11" t="n">
        <x:v>0</x:v>
      </x:c>
      <x:c r="Z366" s="11" t="n">
        <x:v>223469</x:v>
      </x:c>
      <x:c r="AA366" s="11" t="n">
        <x:v>2730924</x:v>
      </x:c>
      <x:c r="AB366" s="11" t="n">
        <x:v>98321</x:v>
      </x:c>
      <x:c r="AC366" s="11" t="n">
        <x:v>321790</x:v>
      </x:c>
      <x:c r="AD366" s="11" t="n">
        <x:v>7049373</x:v>
      </x:c>
      <x:c r="AE366" s="11" t="n">
        <x:v>6409855</x:v>
      </x:c>
      <x:c r="AF366" s="11" t="n">
        <x:v>28197490</x:v>
      </x:c>
      <x:c r="AG366" s="11" t="n">
        <x:v>118204091</x:v>
      </x:c>
      <x:c r="AH366" s="11" t="n">
        <x:v>43780402</x:v>
      </x:c>
      <x:c r="AI366" s="11" t="n">
        <x:v>74423689</x:v>
      </x:c>
      <x:c r="AJ366" s="11" t="n">
        <x:v>23098966</x:v>
      </x:c>
      <x:c r="AK366" s="11" t="n">
        <x:v>5222241</x:v>
      </x:c>
      <x:c r="AL366" s="11" t="n">
        <x:v>0</x:v>
      </x:c>
      <x:c r="AM366" s="12" t="n">
        <x:v>1</x:v>
      </x:c>
      <x:c r="AN366" s="12" t="n">
        <x:v>4.4231903506559735</x:v>
      </x:c>
      <x:c r="AO366" s="11" t="n">
        <x:v>40636250</x:v>
      </x:c>
      <x:c r="AP366" s="11" t="n">
        <x:v>40166662</x:v>
      </x:c>
      <x:c r="AQ366" s="12" t="n">
        <x:v>0.9884441108616075</x:v>
      </x:c>
      <x:c r="AR366" s="11" t="n">
        <x:v>6940.902732368052</x:v>
      </x:c>
      <x:c r="AS366" s="11" t="n">
        <x:v>4534.96742176553</x:v>
      </x:c>
      <x:c r="AT366" s="11" t="n">
        <x:v>2650.521485287249</x:v>
      </x:c>
      <x:c r="AU366" s="11" t="n">
        <x:v>1343.1888136384866</x:v>
      </x:c>
      <x:c r="AV366" s="11" t="n">
        <x:v>318.88416627744044</x:v>
      </x:c>
      <x:c r="AW366" s="11" t="n">
        <x:v>1.7339144475561505</x:v>
      </x:c>
      <x:c r="AX366" s="12" t="n">
        <x:v>0.9092801586751048</x:v>
      </x:c>
      <x:c r="AY366" s="11"/>
      <x:c r="AZ366" s="11"/>
      <x:c r="BA366" s="11"/>
      <x:c r="BB366" s="11"/>
      <x:c r="BC366" s="11"/>
      <x:c r="BD366" s="11"/>
      <x:c r="BE366" s="11"/>
      <x:c r="BF366" s="11"/>
      <x:c r="BG366" s="11"/>
      <x:c r="BH366" s="11"/>
      <x:c r="BI366" s="11"/>
      <x:c r="BJ366" s="11"/>
      <x:c r="BK366" s="12"/>
      <x:c r="BL366" s="12"/>
      <x:c r="BM366" s="12"/>
      <x:c r="BN366" s="12"/>
      <x:c r="BO366" s="12"/>
      <x:c r="BP366" s="12"/>
      <x:c r="BQ366" s="12"/>
      <x:c r="BR366" s="12"/>
      <x:c r="BS366" s="12"/>
      <x:c r="BT366" s="12"/>
      <x:c r="BU366" s="11" t="n">
        <x:v>20973903</x:v>
      </x:c>
      <x:c r="BV366" s="11" t="n">
        <x:v>1704892</x:v>
      </x:c>
      <x:c r="BW366" s="11" t="n">
        <x:v>514917</x:v>
      </x:c>
      <x:c r="BX366" s="11" t="n">
        <x:v>632100</x:v>
      </x:c>
      <x:c r="BY366" s="11" t="n">
        <x:v>0</x:v>
      </x:c>
      <x:c r="BZ366" s="11" t="n">
        <x:v>556002</x:v>
      </x:c>
      <x:c r="CA366" s="11" t="n">
        <x:v>319983</x:v>
      </x:c>
      <x:c r="CB366" s="11" t="n">
        <x:v>0</x:v>
      </x:c>
      <x:c r="CC366" s="11" t="n">
        <x:v>5718097</x:v>
      </x:c>
      <x:c r="CD366" s="11" t="n">
        <x:v>7671023</x:v>
      </x:c>
      <x:c r="CE366" s="11" t="n">
        <x:v>1229942</x:v>
      </x:c>
      <x:c r="CF366" s="11" t="n">
        <x:v>131113</x:v>
      </x:c>
      <x:c r="CG366" s="11" t="n">
        <x:v>2646596</x:v>
      </x:c>
      <x:c r="CH366" s="11" t="n">
        <x:v>8351438</x:v>
      </x:c>
      <x:c r="CI366" s="11" t="n">
        <x:v>7642255</x:v>
      </x:c>
      <x:c r="CJ366" s="11" t="n">
        <x:v>1555170</x:v>
      </x:c>
      <x:c r="CK366" s="11" t="n">
        <x:v>949979</x:v>
      </x:c>
      <x:c r="CL366" s="11" t="n">
        <x:v>150201</x:v>
      </x:c>
      <x:c r="CM366" s="11"/>
      <x:c r="CN366" s="11" t="n">
        <x:v>0</x:v>
      </x:c>
      <x:c r="CO366" s="11" t="n">
        <x:v>0</x:v>
      </x:c>
      <x:c r="CP366" s="8"/>
      <x:c r="CQ366" s="8"/>
    </x:row>
    <x:row r="367">
      <x:c r="A367" s="8" t="str">
        <x:v>Kitimat|2022</x:v>
      </x:c>
      <x:c r="B367" s="8" t="str">
        <x:v>kitimat-d</x:v>
      </x:c>
      <x:c r="C367" s="8" t="str">
        <x:v>Kitimat</x:v>
      </x:c>
      <x:c r="D367" s="8" t="str">
        <x:v>Kitimat</x:v>
      </x:c>
      <x:c r="E367" s="8" t="str">
        <x:v>D</x:v>
      </x:c>
      <x:c r="F367" s="8" t="str">
        <x:v>KIT</x:v>
      </x:c>
      <x:c r="G367" s="9" t="n">
        <x:v>2022</x:v>
      </x:c>
      <x:c r="H367" s="10" t="n">
        <x:v>9334</x:v>
      </x:c>
      <x:c r="I367" s="8" t="str">
        <x:v>5,000 to 19,999</x:v>
      </x:c>
      <x:c r="J367" s="11" t="n">
        <x:v>60303063</x:v>
      </x:c>
      <x:c r="K367" s="11" t="n">
        <x:v>42052877</x:v>
      </x:c>
      <x:c r="L367" s="11" t="n">
        <x:v>18250186</x:v>
      </x:c>
      <x:c r="M367" s="12" t="n">
        <x:v>0.3026411112815281</x:v>
      </x:c>
      <x:c r="N367" s="11" t="n">
        <x:v>32776073</x:v>
      </x:c>
      <x:c r="O367" s="11" t="n">
        <x:v>3930405</x:v>
      </x:c>
      <x:c r="P367" s="11" t="n">
        <x:v>22460112</x:v>
      </x:c>
      <x:c r="Q367" s="11" t="n">
        <x:v>1136473</x:v>
      </x:c>
      <x:c r="R367" s="11" t="n">
        <x:v>38950690</x:v>
      </x:c>
      <x:c r="S367" s="11" t="n">
        <x:v>3003866</x:v>
      </x:c>
      <x:c r="T367" s="11" t="n">
        <x:v>40475847</x:v>
      </x:c>
      <x:c r="U367" s="11" t="n">
        <x:v>26686980</x:v>
      </x:c>
      <x:c r="V367" s="11" t="n">
        <x:v>16808101</x:v>
      </x:c>
      <x:c r="W367" s="11" t="n">
        <x:v>8206488</x:v>
      </x:c>
      <x:c r="X367" s="11" t="n">
        <x:v>2730924</x:v>
      </x:c>
      <x:c r="Y367" s="11" t="n">
        <x:v>0</x:v>
      </x:c>
      <x:c r="Z367" s="11" t="n">
        <x:v>146969</x:v>
      </x:c>
      <x:c r="AA367" s="11" t="n">
        <x:v>2495622</x:v>
      </x:c>
      <x:c r="AB367" s="11" t="n">
        <x:v>98321</x:v>
      </x:c>
      <x:c r="AC367" s="11" t="n">
        <x:v>245290</x:v>
      </x:c>
      <x:c r="AD367" s="11" t="n">
        <x:v>6260000</x:v>
      </x:c>
      <x:c r="AE367" s="11" t="n">
        <x:v>5895476</x:v>
      </x:c>
      <x:c r="AF367" s="11" t="n">
        <x:v>25040000</x:v>
      </x:c>
      <x:c r="AG367" s="11" t="n">
        <x:v>144982378</x:v>
      </x:c>
      <x:c r="AH367" s="11" t="n">
        <x:v>46611718</x:v>
      </x:c>
      <x:c r="AI367" s="11" t="n">
        <x:v>98370660</x:v>
      </x:c>
      <x:c r="AJ367" s="11" t="n">
        <x:v>26950838</x:v>
      </x:c>
      <x:c r="AK367" s="11" t="n">
        <x:v>5252247</x:v>
      </x:c>
      <x:c r="AL367" s="11" t="n">
        <x:v>0</x:v>
      </x:c>
      <x:c r="AM367" s="12" t="n">
        <x:v>1</x:v>
      </x:c>
      <x:c r="AN367" s="12" t="n">
        <x:v>5.131296757368799</x:v>
      </x:c>
      <x:c r="AO367" s="11" t="n">
        <x:v>43163453</x:v>
      </x:c>
      <x:c r="AP367" s="11" t="n">
        <x:v>42631272</x:v>
      </x:c>
      <x:c r="AQ367" s="12" t="n">
        <x:v>0.9876705647252086</x:v>
      </x:c>
      <x:c r="AR367" s="11" t="n">
        <x:v>6460.580994214699</x:v>
      </x:c>
      <x:c r="AS367" s="11" t="n">
        <x:v>4505.343582601243</x:v>
      </x:c>
      <x:c r="AT367" s="11" t="n">
        <x:v>1800.7393400471394</x:v>
      </x:c>
      <x:c r="AU367" s="11" t="n">
        <x:v>879.2037711592029</x:v>
      </x:c>
      <x:c r="AV367" s="11" t="n">
        <x:v>267.36897364473964</x:v>
      </x:c>
      <x:c r="AW367" s="11" t="n">
        <x:v>1.5166889247116009</x:v>
      </x:c>
      <x:c r="AX367" s="12" t="n">
        <x:v>0.9417693290734824</x:v>
      </x:c>
      <x:c r="AY367" s="11"/>
      <x:c r="AZ367" s="11"/>
      <x:c r="BA367" s="11"/>
      <x:c r="BB367" s="11"/>
      <x:c r="BC367" s="11"/>
      <x:c r="BD367" s="11"/>
      <x:c r="BE367" s="11"/>
      <x:c r="BF367" s="11"/>
      <x:c r="BG367" s="11"/>
      <x:c r="BH367" s="11"/>
      <x:c r="BI367" s="11"/>
      <x:c r="BJ367" s="11"/>
      <x:c r="BK367" s="12"/>
      <x:c r="BL367" s="12"/>
      <x:c r="BM367" s="12"/>
      <x:c r="BN367" s="12"/>
      <x:c r="BO367" s="12"/>
      <x:c r="BP367" s="12"/>
      <x:c r="BQ367" s="12"/>
      <x:c r="BR367" s="12"/>
      <x:c r="BS367" s="12"/>
      <x:c r="BT367" s="12"/>
      <x:c r="BU367" s="11" t="n">
        <x:v>21546101</x:v>
      </x:c>
      <x:c r="BV367" s="11" t="n">
        <x:v>860760</x:v>
      </x:c>
      <x:c r="BW367" s="11" t="n">
        <x:v>53251</x:v>
      </x:c>
      <x:c r="BX367" s="11" t="n">
        <x:v>893234</x:v>
      </x:c>
      <x:c r="BY367" s="11" t="n">
        <x:v>0</x:v>
      </x:c>
      <x:c r="BZ367" s="11" t="n">
        <x:v>208239</x:v>
      </x:c>
      <x:c r="CA367" s="11" t="n">
        <x:v>35000</x:v>
      </x:c>
      <x:c r="CB367" s="11" t="n">
        <x:v>0</x:v>
      </x:c>
      <x:c r="CC367" s="11" t="n">
        <x:v>6482339</x:v>
      </x:c>
      <x:c r="CD367" s="11" t="n">
        <x:v>8459816</x:v>
      </x:c>
      <x:c r="CE367" s="11" t="n">
        <x:v>1398492</x:v>
      </x:c>
      <x:c r="CF367" s="11" t="n">
        <x:v>137159</x:v>
      </x:c>
      <x:c r="CG367" s="11" t="n">
        <x:v>2434558</x:v>
      </x:c>
      <x:c r="CH367" s="11" t="n">
        <x:v>8958126</x:v>
      </x:c>
      <x:c r="CI367" s="11" t="n">
        <x:v>8914610</x:v>
      </x:c>
      <x:c r="CJ367" s="11" t="n">
        <x:v>1590780</x:v>
      </x:c>
      <x:c r="CK367" s="11" t="n">
        <x:v>492595</x:v>
      </x:c>
      <x:c r="CL367" s="11" t="n">
        <x:v>180536</x:v>
      </x:c>
      <x:c r="CM367" s="11"/>
      <x:c r="CN367" s="11" t="n">
        <x:v>0</x:v>
      </x:c>
      <x:c r="CO367" s="11" t="n">
        <x:v>0</x:v>
      </x:c>
      <x:c r="CP367" s="8"/>
      <x:c r="CQ367" s="8"/>
    </x:row>
    <x:row r="368">
      <x:c r="A368" s="8" t="str">
        <x:v>Kitimat|2023</x:v>
      </x:c>
      <x:c r="B368" s="8" t="str">
        <x:v>kitimat-d</x:v>
      </x:c>
      <x:c r="C368" s="8" t="str">
        <x:v>Kitimat</x:v>
      </x:c>
      <x:c r="D368" s="8" t="str">
        <x:v>Kitimat</x:v>
      </x:c>
      <x:c r="E368" s="8" t="str">
        <x:v>D</x:v>
      </x:c>
      <x:c r="F368" s="8" t="str">
        <x:v>KIT</x:v>
      </x:c>
      <x:c r="G368" s="9" t="n">
        <x:v>2023</x:v>
      </x:c>
      <x:c r="H368" s="10" t="n">
        <x:v>8905</x:v>
      </x:c>
      <x:c r="I368" s="8" t="str">
        <x:v>5,000 to 19,999</x:v>
      </x:c>
      <x:c r="J368" s="11" t="n">
        <x:v>62452152</x:v>
      </x:c>
      <x:c r="K368" s="11" t="n">
        <x:v>48377770</x:v>
      </x:c>
      <x:c r="L368" s="11" t="n">
        <x:v>14074382</x:v>
      </x:c>
      <x:c r="M368" s="12" t="n">
        <x:v>0.2253626424274379</x:v>
      </x:c>
      <x:c r="N368" s="11" t="n">
        <x:v>37430426</x:v>
      </x:c>
      <x:c r="O368" s="11" t="n">
        <x:v>4050772</x:v>
      </x:c>
      <x:c r="P368" s="11" t="n">
        <x:v>18522801</x:v>
      </x:c>
      <x:c r="Q368" s="11" t="n">
        <x:v>2448153</x:v>
      </x:c>
      <x:c r="R368" s="11" t="n">
        <x:v>44351722</x:v>
      </x:c>
      <x:c r="S368" s="11" t="n">
        <x:v>3927727</x:v>
      </x:c>
      <x:c r="T368" s="11" t="n">
        <x:v>39455938</x:v>
      </x:c>
      <x:c r="U368" s="11" t="n">
        <x:v>53068591</x:v>
      </x:c>
      <x:c r="V368" s="11" t="n">
        <x:v>-10465401</x:v>
      </x:c>
      <x:c r="W368" s="11" t="n">
        <x:v>9446589</x:v>
      </x:c>
      <x:c r="X368" s="11" t="n">
        <x:v>2495626</x:v>
      </x:c>
      <x:c r="Y368" s="11" t="n">
        <x:v>0</x:v>
      </x:c>
      <x:c r="Z368" s="11" t="n">
        <x:v>146968</x:v>
      </x:c>
      <x:c r="AA368" s="11" t="n">
        <x:v>2250913</x:v>
      </x:c>
      <x:c r="AB368" s="11" t="n">
        <x:v>98321</x:v>
      </x:c>
      <x:c r="AC368" s="11" t="n">
        <x:v>245289</x:v>
      </x:c>
      <x:c r="AD368" s="11" t="n">
        <x:v>6291947</x:v>
      </x:c>
      <x:c r="AE368" s="11" t="n">
        <x:v>6046658</x:v>
      </x:c>
      <x:c r="AF368" s="11" t="n">
        <x:v>25167789</x:v>
      </x:c>
      <x:c r="AG368" s="11" t="n">
        <x:v>190181549</x:v>
      </x:c>
      <x:c r="AH368" s="11" t="n">
        <x:v>50539446</x:v>
      </x:c>
      <x:c r="AI368" s="11" t="n">
        <x:v>139642103</x:v>
      </x:c>
      <x:c r="AJ368" s="11" t="n">
        <x:v>18187435</x:v>
      </x:c>
      <x:c r="AK368" s="11" t="n">
        <x:v>274661885</x:v>
      </x:c>
      <x:c r="AL368" s="11" t="n">
        <x:v>7695620</x:v>
      </x:c>
      <x:c r="AM368" s="12" t="n">
        <x:v>0.9719814782455163</x:v>
      </x:c>
      <x:c r="AN368" s="12" t="n">
        <x:v>0.06621754234301566</x:v>
      </x:c>
      <x:c r="AO368" s="11" t="n">
        <x:v>48770468</x:v>
      </x:c>
      <x:c r="AP368" s="11" t="n">
        <x:v>48193629</x:v>
      </x:c>
      <x:c r="AQ368" s="12" t="n">
        <x:v>0.9881723710340446</x:v>
      </x:c>
      <x:c r="AR368" s="11" t="n">
        <x:v>7013.155755193711</x:v>
      </x:c>
      <x:c r="AS368" s="11" t="n">
        <x:v>5432.652442448063</x:v>
      </x:c>
      <x:c r="AT368" s="11" t="n">
        <x:v>-1175.227512633352</x:v>
      </x:c>
      <x:c r="AU368" s="11" t="n">
        <x:v>1060.8185289163391</x:v>
      </x:c>
      <x:c r="AV368" s="11" t="n">
        <x:v>252.76956765861874</x:v>
      </x:c>
      <x:c r="AW368" s="11" t="n">
        <x:v>0.7434894587647899</x:v>
      </x:c>
      <x:c r="AX368" s="12" t="n">
        <x:v>0.9610154058831074</x:v>
      </x:c>
      <x:c r="AY368" s="11"/>
      <x:c r="AZ368" s="11"/>
      <x:c r="BA368" s="11"/>
      <x:c r="BB368" s="11"/>
      <x:c r="BC368" s="11"/>
      <x:c r="BD368" s="11"/>
      <x:c r="BE368" s="11"/>
      <x:c r="BF368" s="11"/>
      <x:c r="BG368" s="11"/>
      <x:c r="BH368" s="11"/>
      <x:c r="BI368" s="11"/>
      <x:c r="BJ368" s="11"/>
      <x:c r="BK368" s="12"/>
      <x:c r="BL368" s="12"/>
      <x:c r="BM368" s="12"/>
      <x:c r="BN368" s="12"/>
      <x:c r="BO368" s="12"/>
      <x:c r="BP368" s="12"/>
      <x:c r="BQ368" s="12"/>
      <x:c r="BR368" s="12"/>
      <x:c r="BS368" s="12"/>
      <x:c r="BT368" s="12"/>
      <x:c r="BU368" s="11" t="n">
        <x:v>14708879</x:v>
      </x:c>
      <x:c r="BV368" s="11" t="n">
        <x:v>3813922</x:v>
      </x:c>
      <x:c r="BW368" s="11" t="n">
        <x:v>0</x:v>
      </x:c>
      <x:c r="BX368" s="11" t="n">
        <x:v>1912682</x:v>
      </x:c>
      <x:c r="BY368" s="11" t="n">
        <x:v>0</x:v>
      </x:c>
      <x:c r="BZ368" s="11" t="n">
        <x:v>533321</x:v>
      </x:c>
      <x:c r="CA368" s="11" t="n">
        <x:v>2150</x:v>
      </x:c>
      <x:c r="CB368" s="11" t="n">
        <x:v>0</x:v>
      </x:c>
      <x:c r="CC368" s="11" t="n">
        <x:v>6759853</x:v>
      </x:c>
      <x:c r="CD368" s="11" t="n">
        <x:v>9319473</x:v>
      </x:c>
      <x:c r="CE368" s="11" t="n">
        <x:v>2061913</x:v>
      </x:c>
      <x:c r="CF368" s="11" t="n">
        <x:v>158442</x:v>
      </x:c>
      <x:c r="CG368" s="11" t="n">
        <x:v>4333137</x:v>
      </x:c>
      <x:c r="CH368" s="11" t="n">
        <x:v>8767703</x:v>
      </x:c>
      <x:c r="CI368" s="11" t="n">
        <x:v>8891951</x:v>
      </x:c>
      <x:c r="CJ368" s="11" t="n">
        <x:v>2504179</x:v>
      </x:c>
      <x:c r="CK368" s="11" t="n">
        <x:v>1229921</x:v>
      </x:c>
      <x:c r="CL368" s="11" t="n">
        <x:v>211835</x:v>
      </x:c>
      <x:c r="CM368" s="11" t="n">
        <x:v>0</x:v>
      </x:c>
      <x:c r="CN368" s="11" t="n">
        <x:v>211636</x:v>
      </x:c>
      <x:c r="CO368" s="11" t="n">
        <x:v>0</x:v>
      </x:c>
      <x:c r="CP368" s="8"/>
      <x:c r="CQ368" s="8"/>
    </x:row>
    <x:row r="369">
      <x:c r="A369" s="8" t="str">
        <x:v>Kitimat|2024</x:v>
      </x:c>
      <x:c r="B369" s="8" t="str">
        <x:v>kitimat-d</x:v>
      </x:c>
      <x:c r="C369" s="8" t="str">
        <x:v>Kitimat</x:v>
      </x:c>
      <x:c r="D369" s="8" t="str">
        <x:v>Kitimat</x:v>
      </x:c>
      <x:c r="E369" s="8" t="str">
        <x:v>D</x:v>
      </x:c>
      <x:c r="F369" s="8" t="str">
        <x:v>KIT</x:v>
      </x:c>
      <x:c r="G369" s="9" t="n">
        <x:v>2024</x:v>
      </x:c>
      <x:c r="H369" s="10" t="n">
        <x:v>8905</x:v>
      </x:c>
      <x:c r="I369" s="8" t="str">
        <x:v>5,000 to 19,999</x:v>
      </x:c>
      <x:c r="J369" s="11"/>
      <x:c r="K369" s="11"/>
      <x:c r="L369" s="11"/>
      <x:c r="M369" s="12"/>
      <x:c r="N369" s="11"/>
      <x:c r="O369" s="11"/>
      <x:c r="P369" s="11" t="n">
        <x:v>0</x:v>
      </x:c>
      <x:c r="Q369" s="11" t="n">
        <x:v>0</x:v>
      </x:c>
      <x:c r="R369" s="11"/>
      <x:c r="S369" s="11"/>
      <x:c r="T369" s="11"/>
      <x:c r="U369" s="11"/>
      <x:c r="V369" s="11"/>
      <x:c r="W369" s="11" t="n">
        <x:v>0</x:v>
      </x:c>
      <x:c r="X369" s="11"/>
      <x:c r="Y369" s="11"/>
      <x:c r="Z369" s="11"/>
      <x:c r="AA369" s="11"/>
      <x:c r="AB369" s="11"/>
      <x:c r="AC369" s="11"/>
      <x:c r="AD369" s="11"/>
      <x:c r="AE369" s="11"/>
      <x:c r="AF369" s="11"/>
      <x:c r="AG369" s="11"/>
      <x:c r="AH369" s="11"/>
      <x:c r="AI369" s="11"/>
      <x:c r="AJ369" s="11"/>
      <x:c r="AK369" s="11"/>
      <x:c r="AL369" s="11"/>
      <x:c r="AM369" s="12"/>
      <x:c r="AN369" s="12"/>
      <x:c r="AO369" s="11"/>
      <x:c r="AP369" s="11"/>
      <x:c r="AQ369" s="12"/>
      <x:c r="AR369" s="11"/>
      <x:c r="AS369" s="11"/>
      <x:c r="AT369" s="11"/>
      <x:c r="AU369" s="11" t="n">
        <x:v>0</x:v>
      </x:c>
      <x:c r="AV369" s="11"/>
      <x:c r="AW369" s="11"/>
      <x:c r="AX369" s="12"/>
      <x:c r="AY369" s="11" t="n">
        <x:v>2567.538946805667</x:v>
      </x:c>
      <x:c r="AZ369" s="11" t="n">
        <x:v>3546.5079302077975</x:v>
      </x:c>
      <x:c r="BA369" s="11" t="n">
        <x:v>2045.0195609464422</x:v>
      </x:c>
      <x:c r="BB369" s="11" t="n">
        <x:v>2783.665107049771</x:v>
      </x:c>
      <x:c r="BC369" s="11" t="n">
        <x:v>2217.25520024837</x:v>
      </x:c>
      <x:c r="BD369" s="11" t="n">
        <x:v>2437.8724475115623</x:v>
      </x:c>
      <x:c r="BE369" s="11" t="n">
        <x:v>799.2304887641933</x:v>
      </x:c>
      <x:c r="BF369" s="11" t="n">
        <x:v>1604.3462673977224</x:v>
      </x:c>
      <x:c r="BG369" s="11" t="n">
        <x:v>386.9249167164944</x:v>
      </x:c>
      <x:c r="BH369" s="11" t="n">
        <x:v>518.5374381567245</x:v>
      </x:c>
      <x:c r="BI369" s="11" t="n">
        <x:v>1.5629948984418691</x:v>
      </x:c>
      <x:c r="BJ369" s="11" t="n">
        <x:v>1.7099330852451193</x:v>
      </x:c>
      <x:c r="BK369" s="12" t="n">
        <x:v>0.04472396775938227</x:v>
      </x:c>
      <x:c r="BL369" s="12" t="n">
        <x:v>0.02529861000232605</x:v>
      </x:c>
      <x:c r="BM369" s="12" t="n">
        <x:v>0.9792813777328785</x:v>
      </x:c>
      <x:c r="BN369" s="12" t="n">
        <x:v>0.9815511712696461</x:v>
      </x:c>
      <x:c r="BO369" s="12" t="n">
        <x:v>0.8510570773833829</x:v>
      </x:c>
      <x:c r="BP369" s="12" t="n">
        <x:v>0.8619101997275483</x:v>
      </x:c>
      <x:c r="BQ369" s="12" t="n">
        <x:v>0.9732053424599786</x:v>
      </x:c>
      <x:c r="BR369" s="12" t="n">
        <x:v>0.9623635142836453</x:v>
      </x:c>
      <x:c r="BS369" s="12" t="n">
        <x:v>0.170495619408603</x:v>
      </x:c>
      <x:c r="BT369" s="12" t="n">
        <x:v>0.19976549769108282</x:v>
      </x:c>
      <x:c r="BU369" s="11"/>
      <x:c r="BV369" s="11"/>
      <x:c r="BW369" s="11"/>
      <x:c r="BX369" s="11"/>
      <x:c r="BY369" s="11"/>
      <x:c r="BZ369" s="11"/>
      <x:c r="CA369" s="11"/>
      <x:c r="CB369" s="11"/>
      <x:c r="CC369" s="11"/>
      <x:c r="CD369" s="11"/>
      <x:c r="CE369" s="11"/>
      <x:c r="CF369" s="11"/>
      <x:c r="CG369" s="11"/>
      <x:c r="CH369" s="11"/>
      <x:c r="CI369" s="11"/>
      <x:c r="CJ369" s="11"/>
      <x:c r="CK369" s="11"/>
      <x:c r="CL369" s="11"/>
      <x:c r="CM369" s="11"/>
      <x:c r="CN369" s="11"/>
      <x:c r="CO369" s="11"/>
      <x:c r="CP369" s="8"/>
      <x:c r="CQ369" s="8"/>
    </x:row>
    <x:row r="370">
      <x:c r="A370" s="8" t="str">
        <x:v>Ladysmith|2019</x:v>
      </x:c>
      <x:c r="B370" s="8" t="str">
        <x:v>ladysmith-t</x:v>
      </x:c>
      <x:c r="C370" s="8" t="str">
        <x:v>Ladysmith</x:v>
      </x:c>
      <x:c r="D370" s="8" t="str">
        <x:v>Ladysmith</x:v>
      </x:c>
      <x:c r="E370" s="8" t="str">
        <x:v>T</x:v>
      </x:c>
      <x:c r="F370" s="8" t="str">
        <x:v>COW</x:v>
      </x:c>
      <x:c r="G370" s="9" t="n">
        <x:v>2019</x:v>
      </x:c>
      <x:c r="H370" s="10" t="n">
        <x:v>9031</x:v>
      </x:c>
      <x:c r="I370" s="8" t="str">
        <x:v>5,000 to 19,999</x:v>
      </x:c>
      <x:c r="J370" s="11" t="n">
        <x:v>27051293</x:v>
      </x:c>
      <x:c r="K370" s="11" t="n">
        <x:v>16348402</x:v>
      </x:c>
      <x:c r="L370" s="11" t="n">
        <x:v>10702891</x:v>
      </x:c>
      <x:c r="M370" s="12" t="n">
        <x:v>0.3956517346509093</x:v>
      </x:c>
      <x:c r="N370" s="11" t="n">
        <x:v>11701281</x:v>
      </x:c>
      <x:c r="O370" s="11" t="n">
        <x:v>4893339</x:v>
      </x:c>
      <x:c r="P370" s="11" t="n">
        <x:v>7735740</x:v>
      </x:c>
      <x:c r="Q370" s="11" t="n">
        <x:v>2720933</x:v>
      </x:c>
      <x:c r="R370" s="11" t="n">
        <x:v>12445157</x:v>
      </x:c>
      <x:c r="S370" s="11" t="n">
        <x:v>3489917</x:v>
      </x:c>
      <x:c r="T370" s="11" t="n">
        <x:v>24653055</x:v>
      </x:c>
      <x:c r="U370" s="11" t="n">
        <x:v>30363318</x:v>
      </x:c>
      <x:c r="V370" s="11" t="n">
        <x:v>558203</x:v>
      </x:c>
      <x:c r="W370" s="11" t="n">
        <x:v>1591351</x:v>
      </x:c>
      <x:c r="X370" s="11" t="n">
        <x:v>13537538</x:v>
      </x:c>
      <x:c r="Y370" s="11" t="n">
        <x:v>6000000</x:v>
      </x:c>
      <x:c r="Z370" s="11" t="n">
        <x:v>660706</x:v>
      </x:c>
      <x:c r="AA370" s="11" t="n">
        <x:v>18830773</x:v>
      </x:c>
      <x:c r="AB370" s="11" t="n">
        <x:v>413328</x:v>
      </x:c>
      <x:c r="AC370" s="11" t="n">
        <x:v>1074034</x:v>
      </x:c>
      <x:c r="AD370" s="11" t="n">
        <x:v>4218062</x:v>
      </x:c>
      <x:c r="AE370" s="11" t="n">
        <x:v>3144028</x:v>
      </x:c>
      <x:c r="AF370" s="11" t="n">
        <x:v>16872248</x:v>
      </x:c>
      <x:c r="AG370" s="11" t="n">
        <x:v>161151162</x:v>
      </x:c>
      <x:c r="AH370" s="11" t="n">
        <x:v>50545375</x:v>
      </x:c>
      <x:c r="AI370" s="11" t="n">
        <x:v>110605787</x:v>
      </x:c>
      <x:c r="AJ370" s="11" t="n">
        <x:v>16559019</x:v>
      </x:c>
      <x:c r="AK370" s="11" t="n">
        <x:v>26608731</x:v>
      </x:c>
      <x:c r="AL370" s="11" t="n">
        <x:v>0</x:v>
      </x:c>
      <x:c r="AM370" s="12" t="n">
        <x:v>1</x:v>
      </x:c>
      <x:c r="AN370" s="12" t="n">
        <x:v>0.6223152468263142</x:v>
      </x:c>
      <x:c r="AO370" s="11" t="n">
        <x:v>18658839</x:v>
      </x:c>
      <x:c r="AP370" s="11" t="n">
        <x:v>17806521</x:v>
      </x:c>
      <x:c r="AQ370" s="12" t="n">
        <x:v>0.9543209521235485</x:v>
      </x:c>
      <x:c r="AR370" s="11" t="n">
        <x:v>2995.3817960358765</x:v>
      </x:c>
      <x:c r="AS370" s="11" t="n">
        <x:v>1810.2537924925257</x:v>
      </x:c>
      <x:c r="AT370" s="11" t="n">
        <x:v>61.80965563060569</x:v>
      </x:c>
      <x:c r="AU370" s="11" t="n">
        <x:v>176.20983279813973</x:v>
      </x:c>
      <x:c r="AV370" s="11" t="n">
        <x:v>2085.1260104085927</x:v>
      </x:c>
      <x:c r="AW370" s="11" t="n">
        <x:v>0.8119354742456012</x:v>
      </x:c>
      <x:c r="AX370" s="12" t="n">
        <x:v>0.745372637955535</x:v>
      </x:c>
      <x:c r="AY370" s="11"/>
      <x:c r="AZ370" s="11"/>
      <x:c r="BA370" s="11"/>
      <x:c r="BB370" s="11"/>
      <x:c r="BC370" s="11"/>
      <x:c r="BD370" s="11"/>
      <x:c r="BE370" s="11"/>
      <x:c r="BF370" s="11"/>
      <x:c r="BG370" s="11"/>
      <x:c r="BH370" s="11"/>
      <x:c r="BI370" s="11"/>
      <x:c r="BJ370" s="11"/>
      <x:c r="BK370" s="12"/>
      <x:c r="BL370" s="12"/>
      <x:c r="BM370" s="12"/>
      <x:c r="BN370" s="12"/>
      <x:c r="BO370" s="12"/>
      <x:c r="BP370" s="12"/>
      <x:c r="BQ370" s="12"/>
      <x:c r="BR370" s="12"/>
      <x:c r="BS370" s="12"/>
      <x:c r="BT370" s="12"/>
      <x:c r="BU370" s="11" t="n">
        <x:v>12502</x:v>
      </x:c>
      <x:c r="BV370" s="11" t="n">
        <x:v>5918358</x:v>
      </x:c>
      <x:c r="BW370" s="11" t="n">
        <x:v>1804880</x:v>
      </x:c>
      <x:c r="BX370" s="11" t="n">
        <x:v>528984</x:v>
      </x:c>
      <x:c r="BY370" s="11" t="n">
        <x:v>0</x:v>
      </x:c>
      <x:c r="BZ370" s="11" t="n">
        <x:v>2191949</x:v>
      </x:c>
      <x:c r="CA370" s="11" t="n">
        <x:v>0</x:v>
      </x:c>
      <x:c r="CB370" s="11" t="n">
        <x:v>0</x:v>
      </x:c>
      <x:c r="CC370" s="11" t="n">
        <x:v>2541641</x:v>
      </x:c>
      <x:c r="CD370" s="11" t="n">
        <x:v>1262141</x:v>
      </x:c>
      <x:c r="CE370" s="11" t="n">
        <x:v>527606</x:v>
      </x:c>
      <x:c r="CF370" s="11" t="n">
        <x:v>0</x:v>
      </x:c>
      <x:c r="CG370" s="11" t="n">
        <x:v>569494</x:v>
      </x:c>
      <x:c r="CH370" s="11" t="n">
        <x:v>1382940</x:v>
      </x:c>
      <x:c r="CI370" s="11" t="n">
        <x:v>3520856</x:v>
      </x:c>
      <x:c r="CJ370" s="11" t="n">
        <x:v>1378331</x:v>
      </x:c>
      <x:c r="CK370" s="11" t="n">
        <x:v>1525573</x:v>
      </x:c>
      <x:c r="CL370" s="11" t="n">
        <x:v>29068</x:v>
      </x:c>
      <x:c r="CM370" s="11"/>
      <x:c r="CN370" s="11" t="n">
        <x:v>120835</x:v>
      </x:c>
      <x:c r="CO370" s="11" t="n">
        <x:v>0</x:v>
      </x:c>
      <x:c r="CP370" s="8"/>
      <x:c r="CQ370" s="8"/>
    </x:row>
    <x:row r="371">
      <x:c r="A371" s="8" t="str">
        <x:v>Ladysmith|2020</x:v>
      </x:c>
      <x:c r="B371" s="8" t="str">
        <x:v>ladysmith-t</x:v>
      </x:c>
      <x:c r="C371" s="8" t="str">
        <x:v>Ladysmith</x:v>
      </x:c>
      <x:c r="D371" s="8" t="str">
        <x:v>Ladysmith</x:v>
      </x:c>
      <x:c r="E371" s="8" t="str">
        <x:v>T</x:v>
      </x:c>
      <x:c r="F371" s="8" t="str">
        <x:v>COW</x:v>
      </x:c>
      <x:c r="G371" s="9" t="n">
        <x:v>2020</x:v>
      </x:c>
      <x:c r="H371" s="10" t="n">
        <x:v>9036</x:v>
      </x:c>
      <x:c r="I371" s="8" t="str">
        <x:v>5,000 to 19,999</x:v>
      </x:c>
      <x:c r="J371" s="11" t="n">
        <x:v>24539222</x:v>
      </x:c>
      <x:c r="K371" s="11" t="n">
        <x:v>18837750</x:v>
      </x:c>
      <x:c r="L371" s="11" t="n">
        <x:v>5701472</x:v>
      </x:c>
      <x:c r="M371" s="12" t="n">
        <x:v>0.2323411883229224</x:v>
      </x:c>
      <x:c r="N371" s="11" t="n">
        <x:v>12049982</x:v>
      </x:c>
      <x:c r="O371" s="11" t="n">
        <x:v>4838096</x:v>
      </x:c>
      <x:c r="P371" s="11" t="n">
        <x:v>4704310</x:v>
      </x:c>
      <x:c r="Q371" s="11" t="n">
        <x:v>2946834</x:v>
      </x:c>
      <x:c r="R371" s="11" t="n">
        <x:v>14535025</x:v>
      </x:c>
      <x:c r="S371" s="11" t="n">
        <x:v>3872923</x:v>
      </x:c>
      <x:c r="T371" s="11" t="n">
        <x:v>32457247</x:v>
      </x:c>
      <x:c r="U371" s="11" t="n">
        <x:v>32793862</x:v>
      </x:c>
      <x:c r="V371" s="11" t="n">
        <x:v>2867917</x:v>
      </x:c>
      <x:c r="W371" s="11" t="n">
        <x:v>3864577</x:v>
      </x:c>
      <x:c r="X371" s="11" t="n">
        <x:v>18830773</x:v>
      </x:c>
      <x:c r="Y371" s="11" t="n">
        <x:v>0</x:v>
      </x:c>
      <x:c r="Z371" s="11" t="n">
        <x:v>812837</x:v>
      </x:c>
      <x:c r="AA371" s="11" t="n">
        <x:v>17966433</x:v>
      </x:c>
      <x:c r="AB371" s="11" t="n">
        <x:v>429802</x:v>
      </x:c>
      <x:c r="AC371" s="11" t="n">
        <x:v>1242639</x:v>
      </x:c>
      <x:c r="AD371" s="11" t="n">
        <x:v>4224355</x:v>
      </x:c>
      <x:c r="AE371" s="11" t="n">
        <x:v>2507116</x:v>
      </x:c>
      <x:c r="AF371" s="11" t="n">
        <x:v>16897418</x:v>
      </x:c>
      <x:c r="AG371" s="11" t="n">
        <x:v>167669987</x:v>
      </x:c>
      <x:c r="AH371" s="11" t="n">
        <x:v>53678406</x:v>
      </x:c>
      <x:c r="AI371" s="11" t="n">
        <x:v>113991581</x:v>
      </x:c>
      <x:c r="AJ371" s="11" t="n">
        <x:v>7314206</x:v>
      </x:c>
      <x:c r="AK371" s="11" t="n">
        <x:v>11562848</x:v>
      </x:c>
      <x:c r="AL371" s="11" t="n">
        <x:v>0</x:v>
      </x:c>
      <x:c r="AM371" s="12" t="n">
        <x:v>1</x:v>
      </x:c>
      <x:c r="AN371" s="12" t="n">
        <x:v>0.6325609400037084</x:v>
      </x:c>
      <x:c r="AO371" s="11" t="n">
        <x:v>19106733</x:v>
      </x:c>
      <x:c r="AP371" s="11" t="n">
        <x:v>18179788</x:v>
      </x:c>
      <x:c r="AQ371" s="12" t="n">
        <x:v>0.9514859500051631</x:v>
      </x:c>
      <x:c r="AR371" s="11" t="n">
        <x:v>2715.7173528109784</x:v>
      </x:c>
      <x:c r="AS371" s="11" t="n">
        <x:v>2084.7443559096946</x:v>
      </x:c>
      <x:c r="AT371" s="11" t="n">
        <x:v>317.38789287295265</x:v>
      </x:c>
      <x:c r="AU371" s="11" t="n">
        <x:v>427.6866976538291</x:v>
      </x:c>
      <x:c r="AV371" s="11" t="n">
        <x:v>1988.3170650730412</x:v>
      </x:c>
      <x:c r="AW371" s="11" t="n">
        <x:v>0.9897354267088152</x:v>
      </x:c>
      <x:c r="AX371" s="12" t="n">
        <x:v>0.5934908406135374</x:v>
      </x:c>
      <x:c r="AY371" s="11"/>
      <x:c r="AZ371" s="11"/>
      <x:c r="BA371" s="11"/>
      <x:c r="BB371" s="11"/>
      <x:c r="BC371" s="11"/>
      <x:c r="BD371" s="11"/>
      <x:c r="BE371" s="11"/>
      <x:c r="BF371" s="11"/>
      <x:c r="BG371" s="11"/>
      <x:c r="BH371" s="11"/>
      <x:c r="BI371" s="11"/>
      <x:c r="BJ371" s="11"/>
      <x:c r="BK371" s="12"/>
      <x:c r="BL371" s="12"/>
      <x:c r="BM371" s="12"/>
      <x:c r="BN371" s="12"/>
      <x:c r="BO371" s="12"/>
      <x:c r="BP371" s="12"/>
      <x:c r="BQ371" s="12"/>
      <x:c r="BR371" s="12"/>
      <x:c r="BS371" s="12"/>
      <x:c r="BT371" s="12"/>
      <x:c r="BU371" s="11" t="n">
        <x:v>31416</x:v>
      </x:c>
      <x:c r="BV371" s="11" t="n">
        <x:v>2908171</x:v>
      </x:c>
      <x:c r="BW371" s="11" t="n">
        <x:v>1764723</x:v>
      </x:c>
      <x:c r="BX371" s="11" t="n">
        <x:v>279681</x:v>
      </x:c>
      <x:c r="BY371" s="11" t="n">
        <x:v>0</x:v>
      </x:c>
      <x:c r="BZ371" s="11" t="n">
        <x:v>2667153</x:v>
      </x:c>
      <x:c r="CA371" s="11" t="n">
        <x:v>0</x:v>
      </x:c>
      <x:c r="CB371" s="11" t="n">
        <x:v>0</x:v>
      </x:c>
      <x:c r="CC371" s="11" t="n">
        <x:v>2195493</x:v>
      </x:c>
      <x:c r="CD371" s="11" t="n">
        <x:v>1754610</x:v>
      </x:c>
      <x:c r="CE371" s="11" t="n">
        <x:v>429609</x:v>
      </x:c>
      <x:c r="CF371" s="11" t="n">
        <x:v>0</x:v>
      </x:c>
      <x:c r="CG371" s="11" t="n">
        <x:v>610804</x:v>
      </x:c>
      <x:c r="CH371" s="11" t="n">
        <x:v>1461873</x:v>
      </x:c>
      <x:c r="CI371" s="11" t="n">
        <x:v>3372469</x:v>
      </x:c>
      <x:c r="CJ371" s="11" t="n">
        <x:v>2376598</x:v>
      </x:c>
      <x:c r="CK371" s="11" t="n">
        <x:v>2696283</x:v>
      </x:c>
      <x:c r="CL371" s="11" t="n">
        <x:v>25910</x:v>
      </x:c>
      <x:c r="CM371" s="11"/>
      <x:c r="CN371" s="11" t="n">
        <x:v>41178</x:v>
      </x:c>
      <x:c r="CO371" s="11" t="n">
        <x:v>0</x:v>
      </x:c>
      <x:c r="CP371" s="8"/>
      <x:c r="CQ371" s="8"/>
    </x:row>
    <x:row r="372">
      <x:c r="A372" s="8" t="str">
        <x:v>Ladysmith|2021</x:v>
      </x:c>
      <x:c r="B372" s="8" t="str">
        <x:v>ladysmith-t</x:v>
      </x:c>
      <x:c r="C372" s="8" t="str">
        <x:v>Ladysmith</x:v>
      </x:c>
      <x:c r="D372" s="8" t="str">
        <x:v>Ladysmith</x:v>
      </x:c>
      <x:c r="E372" s="8" t="str">
        <x:v>T</x:v>
      </x:c>
      <x:c r="F372" s="8" t="str">
        <x:v>COW</x:v>
      </x:c>
      <x:c r="G372" s="9" t="n">
        <x:v>2021</x:v>
      </x:c>
      <x:c r="H372" s="10" t="n">
        <x:v>9213</x:v>
      </x:c>
      <x:c r="I372" s="8" t="str">
        <x:v>5,000 to 19,999</x:v>
      </x:c>
      <x:c r="J372" s="11" t="n">
        <x:v>22497144</x:v>
      </x:c>
      <x:c r="K372" s="11" t="n">
        <x:v>19169498</x:v>
      </x:c>
      <x:c r="L372" s="11" t="n">
        <x:v>3327646</x:v>
      </x:c>
      <x:c r="M372" s="12" t="n">
        <x:v>0.14791415301426705</x:v>
      </x:c>
      <x:c r="N372" s="11" t="n">
        <x:v>12283394</x:v>
      </x:c>
      <x:c r="O372" s="11" t="n">
        <x:v>5860516</x:v>
      </x:c>
      <x:c r="P372" s="11" t="n">
        <x:v>1505440</x:v>
      </x:c>
      <x:c r="Q372" s="11" t="n">
        <x:v>2847794</x:v>
      </x:c>
      <x:c r="R372" s="11" t="n">
        <x:v>14642878</x:v>
      </x:c>
      <x:c r="S372" s="11" t="n">
        <x:v>4180476</x:v>
      </x:c>
      <x:c r="T372" s="11" t="n">
        <x:v>40312838</x:v>
      </x:c>
      <x:c r="U372" s="11" t="n">
        <x:v>36736711</x:v>
      </x:c>
      <x:c r="V372" s="11" t="n">
        <x:v>6544326</x:v>
      </x:c>
      <x:c r="W372" s="11" t="n">
        <x:v>3592745</x:v>
      </x:c>
      <x:c r="X372" s="11" t="n">
        <x:v>17966433</x:v>
      </x:c>
      <x:c r="Y372" s="11" t="n">
        <x:v>0</x:v>
      </x:c>
      <x:c r="Z372" s="11" t="n">
        <x:v>820403</x:v>
      </x:c>
      <x:c r="AA372" s="11" t="n">
        <x:v>17083928</x:v>
      </x:c>
      <x:c r="AB372" s="11" t="n">
        <x:v>346144</x:v>
      </x:c>
      <x:c r="AC372" s="11" t="n">
        <x:v>1166547</x:v>
      </x:c>
      <x:c r="AD372" s="11" t="n">
        <x:v>4532646</x:v>
      </x:c>
      <x:c r="AE372" s="11" t="n">
        <x:v>2831659</x:v>
      </x:c>
      <x:c r="AF372" s="11" t="n">
        <x:v>18130582</x:v>
      </x:c>
      <x:c r="AG372" s="11" t="n">
        <x:v>170697621</x:v>
      </x:c>
      <x:c r="AH372" s="11" t="n">
        <x:v>57078306</x:v>
      </x:c>
      <x:c r="AI372" s="11" t="n">
        <x:v>113619315</x:v>
      </x:c>
      <x:c r="AJ372" s="11" t="n">
        <x:v>4287414</x:v>
      </x:c>
      <x:c r="AK372" s="11" t="n">
        <x:v>11985639</x:v>
      </x:c>
      <x:c r="AL372" s="11" t="n">
        <x:v>0</x:v>
      </x:c>
      <x:c r="AM372" s="12" t="n">
        <x:v>1</x:v>
      </x:c>
      <x:c r="AN372" s="12" t="n">
        <x:v>0.3577125925451284</x:v>
      </x:c>
      <x:c r="AO372" s="11" t="n">
        <x:v>19948456</x:v>
      </x:c>
      <x:c r="AP372" s="11" t="n">
        <x:v>19109487</x:v>
      </x:c>
      <x:c r="AQ372" s="12" t="n">
        <x:v>0.9579431611148251</x:v>
      </x:c>
      <x:c r="AR372" s="11" t="n">
        <x:v>2441.8912406382287</x:v>
      </x:c>
      <x:c r="AS372" s="11" t="n">
        <x:v>2080.7009660262675</x:v>
      </x:c>
      <x:c r="AT372" s="11" t="n">
        <x:v>710.3360468902638</x:v>
      </x:c>
      <x:c r="AU372" s="11" t="n">
        <x:v>389.9647237599045</x:v>
      </x:c>
      <x:c r="AV372" s="11" t="n">
        <x:v>1854.3284489308585</x:v>
      </x:c>
      <x:c r="AW372" s="11" t="n">
        <x:v>1.0973447786330137</x:v>
      </x:c>
      <x:c r="AX372" s="12" t="n">
        <x:v>0.6247253811570549</x:v>
      </x:c>
      <x:c r="AY372" s="11"/>
      <x:c r="AZ372" s="11"/>
      <x:c r="BA372" s="11"/>
      <x:c r="BB372" s="11"/>
      <x:c r="BC372" s="11"/>
      <x:c r="BD372" s="11"/>
      <x:c r="BE372" s="11"/>
      <x:c r="BF372" s="11"/>
      <x:c r="BG372" s="11"/>
      <x:c r="BH372" s="11"/>
      <x:c r="BI372" s="11"/>
      <x:c r="BJ372" s="11"/>
      <x:c r="BK372" s="12"/>
      <x:c r="BL372" s="12"/>
      <x:c r="BM372" s="12"/>
      <x:c r="BN372" s="12"/>
      <x:c r="BO372" s="12"/>
      <x:c r="BP372" s="12"/>
      <x:c r="BQ372" s="12"/>
      <x:c r="BR372" s="12"/>
      <x:c r="BS372" s="12"/>
      <x:c r="BT372" s="12"/>
      <x:c r="BU372" s="11" t="n">
        <x:v>180998</x:v>
      </x:c>
      <x:c r="BV372" s="11" t="n">
        <x:v>686069</x:v>
      </x:c>
      <x:c r="BW372" s="11" t="n">
        <x:v>638373</x:v>
      </x:c>
      <x:c r="BX372" s="11" t="n">
        <x:v>284829</x:v>
      </x:c>
      <x:c r="BY372" s="11" t="n">
        <x:v>0</x:v>
      </x:c>
      <x:c r="BZ372" s="11" t="n">
        <x:v>2562965</x:v>
      </x:c>
      <x:c r="CA372" s="11" t="n">
        <x:v>0</x:v>
      </x:c>
      <x:c r="CB372" s="11" t="n">
        <x:v>0</x:v>
      </x:c>
      <x:c r="CC372" s="11" t="n">
        <x:v>2200182</x:v>
      </x:c>
      <x:c r="CD372" s="11" t="n">
        <x:v>1555172</x:v>
      </x:c>
      <x:c r="CE372" s="11" t="n">
        <x:v>495217</x:v>
      </x:c>
      <x:c r="CF372" s="11" t="n">
        <x:v>0</x:v>
      </x:c>
      <x:c r="CG372" s="11" t="n">
        <x:v>806166</x:v>
      </x:c>
      <x:c r="CH372" s="11" t="n">
        <x:v>1458115</x:v>
      </x:c>
      <x:c r="CI372" s="11" t="n">
        <x:v>3691409</x:v>
      </x:c>
      <x:c r="CJ372" s="11" t="n">
        <x:v>2729584</x:v>
      </x:c>
      <x:c r="CK372" s="11" t="n">
        <x:v>1713988</x:v>
      </x:c>
      <x:c r="CL372" s="11" t="n">
        <x:v>41051</x:v>
      </x:c>
      <x:c r="CM372" s="11"/>
      <x:c r="CN372" s="11" t="n">
        <x:v>298138</x:v>
      </x:c>
      <x:c r="CO372" s="11" t="n">
        <x:v>0</x:v>
      </x:c>
      <x:c r="CP372" s="8"/>
      <x:c r="CQ372" s="8"/>
    </x:row>
    <x:row r="373">
      <x:c r="A373" s="8" t="str">
        <x:v>Ladysmith|2022</x:v>
      </x:c>
      <x:c r="B373" s="8" t="str">
        <x:v>ladysmith-t</x:v>
      </x:c>
      <x:c r="C373" s="8" t="str">
        <x:v>Ladysmith</x:v>
      </x:c>
      <x:c r="D373" s="8" t="str">
        <x:v>Ladysmith</x:v>
      </x:c>
      <x:c r="E373" s="8" t="str">
        <x:v>T</x:v>
      </x:c>
      <x:c r="F373" s="8" t="str">
        <x:v>COW</x:v>
      </x:c>
      <x:c r="G373" s="9" t="n">
        <x:v>2022</x:v>
      </x:c>
      <x:c r="H373" s="10" t="n">
        <x:v>17372</x:v>
      </x:c>
      <x:c r="I373" s="8" t="str">
        <x:v>5,000 to 19,999</x:v>
      </x:c>
      <x:c r="J373" s="11" t="n">
        <x:v>23660170</x:v>
      </x:c>
      <x:c r="K373" s="11" t="n">
        <x:v>20106332</x:v>
      </x:c>
      <x:c r="L373" s="11" t="n">
        <x:v>3553838</x:v>
      </x:c>
      <x:c r="M373" s="12" t="n">
        <x:v>0.15020340090540346</x:v>
      </x:c>
      <x:c r="N373" s="11" t="n">
        <x:v>12893052</x:v>
      </x:c>
      <x:c r="O373" s="11" t="n">
        <x:v>5803238</x:v>
      </x:c>
      <x:c r="P373" s="11" t="n">
        <x:v>3040647</x:v>
      </x:c>
      <x:c r="Q373" s="11" t="n">
        <x:v>1923233</x:v>
      </x:c>
      <x:c r="R373" s="11" t="n">
        <x:v>15512223</x:v>
      </x:c>
      <x:c r="S373" s="11" t="n">
        <x:v>4210984</x:v>
      </x:c>
      <x:c r="T373" s="11" t="n">
        <x:v>40683632</x:v>
      </x:c>
      <x:c r="U373" s="11" t="n">
        <x:v>36588568</x:v>
      </x:c>
      <x:c r="V373" s="11" t="n">
        <x:v>7428641</x:v>
      </x:c>
      <x:c r="W373" s="11" t="n">
        <x:v>2652576</x:v>
      </x:c>
      <x:c r="X373" s="11" t="n">
        <x:v>17083928</x:v>
      </x:c>
      <x:c r="Y373" s="11" t="n">
        <x:v>2100000</x:v>
      </x:c>
      <x:c r="Z373" s="11" t="n">
        <x:v>1764363</x:v>
      </x:c>
      <x:c r="AA373" s="11" t="n">
        <x:v>17346490</x:v>
      </x:c>
      <x:c r="AB373" s="11" t="n">
        <x:v>383125</x:v>
      </x:c>
      <x:c r="AC373" s="11" t="n">
        <x:v>2147488</x:v>
      </x:c>
      <x:c r="AD373" s="11" t="n">
        <x:v>4845620</x:v>
      </x:c>
      <x:c r="AE373" s="11" t="n">
        <x:v>2143232</x:v>
      </x:c>
      <x:c r="AF373" s="11" t="n">
        <x:v>19382480</x:v>
      </x:c>
      <x:c r="AG373" s="11" t="n">
        <x:v>177331573</x:v>
      </x:c>
      <x:c r="AH373" s="11" t="n">
        <x:v>61052402</x:v>
      </x:c>
      <x:c r="AI373" s="11" t="n">
        <x:v>116279171</x:v>
      </x:c>
      <x:c r="AJ373" s="11" t="n">
        <x:v>6997135</x:v>
      </x:c>
      <x:c r="AK373" s="11" t="n">
        <x:v>13954494</x:v>
      </x:c>
      <x:c r="AL373" s="11" t="n">
        <x:v>0</x:v>
      </x:c>
      <x:c r="AM373" s="12" t="n">
        <x:v>1</x:v>
      </x:c>
      <x:c r="AN373" s="12" t="n">
        <x:v>0.5014252039522178</x:v>
      </x:c>
      <x:c r="AO373" s="11" t="n">
        <x:v>21072587</x:v>
      </x:c>
      <x:c r="AP373" s="11" t="n">
        <x:v>20099966</x:v>
      </x:c>
      <x:c r="AQ373" s="12" t="n">
        <x:v>0.9538442527251163</x:v>
      </x:c>
      <x:c r="AR373" s="11" t="n">
        <x:v>1361.9715634354134</x:v>
      </x:c>
      <x:c r="AS373" s="11" t="n">
        <x:v>1157.3988026709649</x:v>
      </x:c>
      <x:c r="AT373" s="11" t="n">
        <x:v>427.62151738429657</x:v>
      </x:c>
      <x:c r="AU373" s="11" t="n">
        <x:v>152.6926087957633</x:v>
      </x:c>
      <x:c r="AV373" s="11" t="n">
        <x:v>998.5315450149666</x:v>
      </x:c>
      <x:c r="AW373" s="11" t="n">
        <x:v>1.111921953327061</x:v>
      </x:c>
      <x:c r="AX373" s="12" t="n">
        <x:v>0.44230294575307183</x:v>
      </x:c>
      <x:c r="AY373" s="11"/>
      <x:c r="AZ373" s="11"/>
      <x:c r="BA373" s="11"/>
      <x:c r="BB373" s="11"/>
      <x:c r="BC373" s="11"/>
      <x:c r="BD373" s="11"/>
      <x:c r="BE373" s="11"/>
      <x:c r="BF373" s="11"/>
      <x:c r="BG373" s="11"/>
      <x:c r="BH373" s="11"/>
      <x:c r="BI373" s="11"/>
      <x:c r="BJ373" s="11"/>
      <x:c r="BK373" s="12"/>
      <x:c r="BL373" s="12"/>
      <x:c r="BM373" s="12"/>
      <x:c r="BN373" s="12"/>
      <x:c r="BO373" s="12"/>
      <x:c r="BP373" s="12"/>
      <x:c r="BQ373" s="12"/>
      <x:c r="BR373" s="12"/>
      <x:c r="BS373" s="12"/>
      <x:c r="BT373" s="12"/>
      <x:c r="BU373" s="11" t="n">
        <x:v>323567</x:v>
      </x:c>
      <x:c r="BV373" s="11" t="n">
        <x:v>1866519</x:v>
      </x:c>
      <x:c r="BW373" s="11" t="n">
        <x:v>850561</x:v>
      </x:c>
      <x:c r="BX373" s="11" t="n">
        <x:v>899100</x:v>
      </x:c>
      <x:c r="BY373" s="11" t="n">
        <x:v>0</x:v>
      </x:c>
      <x:c r="BZ373" s="11" t="n">
        <x:v>954078</x:v>
      </x:c>
      <x:c r="CA373" s="11" t="n">
        <x:v>70055</x:v>
      </x:c>
      <x:c r="CB373" s="11" t="n">
        <x:v>0</x:v>
      </x:c>
      <x:c r="CC373" s="11" t="n">
        <x:v>2414811</x:v>
      </x:c>
      <x:c r="CD373" s="11" t="n">
        <x:v>1899861</x:v>
      </x:c>
      <x:c r="CE373" s="11" t="n">
        <x:v>501989</x:v>
      </x:c>
      <x:c r="CF373" s="11" t="n">
        <x:v>0</x:v>
      </x:c>
      <x:c r="CG373" s="11" t="n">
        <x:v>908096</x:v>
      </x:c>
      <x:c r="CH373" s="11" t="n">
        <x:v>1700852</x:v>
      </x:c>
      <x:c r="CI373" s="11" t="n">
        <x:v>3763862</x:v>
      </x:c>
      <x:c r="CJ373" s="11" t="n">
        <x:v>2709422</x:v>
      </x:c>
      <x:c r="CK373" s="11" t="n">
        <x:v>1955815</x:v>
      </x:c>
      <x:c r="CL373" s="11" t="n">
        <x:v>40640</x:v>
      </x:c>
      <x:c r="CM373" s="11"/>
      <x:c r="CN373" s="11" t="n">
        <x:v>0</x:v>
      </x:c>
      <x:c r="CO373" s="11" t="n">
        <x:v>0</x:v>
      </x:c>
      <x:c r="CP373" s="8"/>
      <x:c r="CQ373" s="8"/>
    </x:row>
    <x:row r="374">
      <x:c r="A374" s="8" t="str">
        <x:v>Ladysmith|2023</x:v>
      </x:c>
      <x:c r="B374" s="8" t="str">
        <x:v>ladysmith-t</x:v>
      </x:c>
      <x:c r="C374" s="8" t="str">
        <x:v>Ladysmith</x:v>
      </x:c>
      <x:c r="D374" s="8" t="str">
        <x:v>Ladysmith</x:v>
      </x:c>
      <x:c r="E374" s="8" t="str">
        <x:v>T</x:v>
      </x:c>
      <x:c r="F374" s="8" t="str">
        <x:v>COW</x:v>
      </x:c>
      <x:c r="G374" s="9" t="n">
        <x:v>2023</x:v>
      </x:c>
      <x:c r="H374" s="10" t="n">
        <x:v>9690</x:v>
      </x:c>
      <x:c r="I374" s="8" t="str">
        <x:v>5,000 to 19,999</x:v>
      </x:c>
      <x:c r="J374" s="11" t="n">
        <x:v>33022057</x:v>
      </x:c>
      <x:c r="K374" s="11" t="n">
        <x:v>24915727</x:v>
      </x:c>
      <x:c r="L374" s="11" t="n">
        <x:v>8106330</x:v>
      </x:c>
      <x:c r="M374" s="12" t="n">
        <x:v>0.24548228476499814</x:v>
      </x:c>
      <x:c r="N374" s="11" t="n">
        <x:v>13003358</x:v>
      </x:c>
      <x:c r="O374" s="11" t="n">
        <x:v>6303381</x:v>
      </x:c>
      <x:c r="P374" s="11" t="n">
        <x:v>6934948</x:v>
      </x:c>
      <x:c r="Q374" s="11" t="n">
        <x:v>6780370</x:v>
      </x:c>
      <x:c r="R374" s="11" t="n">
        <x:v>19976766</x:v>
      </x:c>
      <x:c r="S374" s="11" t="n">
        <x:v>4419318</x:v>
      </x:c>
      <x:c r="T374" s="11" t="n">
        <x:v>45156809</x:v>
      </x:c>
      <x:c r="U374" s="11" t="n">
        <x:v>38323459</x:v>
      </x:c>
      <x:c r="V374" s="11" t="n">
        <x:v>9893715</x:v>
      </x:c>
      <x:c r="W374" s="11" t="n">
        <x:v>6157954</x:v>
      </x:c>
      <x:c r="X374" s="11" t="n">
        <x:v>17346490</x:v>
      </x:c>
      <x:c r="Y374" s="11" t="n">
        <x:v>0</x:v>
      </x:c>
      <x:c r="Z374" s="11" t="n">
        <x:v>831318</x:v>
      </x:c>
      <x:c r="AA374" s="11" t="n">
        <x:v>16433618</x:v>
      </x:c>
      <x:c r="AB374" s="11" t="n">
        <x:v>519643</x:v>
      </x:c>
      <x:c r="AC374" s="11" t="n">
        <x:v>1350961</x:v>
      </x:c>
      <x:c r="AD374" s="11" t="n">
        <x:v>5192179</x:v>
      </x:c>
      <x:c r="AE374" s="11" t="n">
        <x:v>3271438</x:v>
      </x:c>
      <x:c r="AF374" s="11" t="n">
        <x:v>20768716</x:v>
      </x:c>
      <x:c r="AG374" s="11" t="n">
        <x:v>186768343</x:v>
      </x:c>
      <x:c r="AH374" s="11" t="n">
        <x:v>64826464</x:v>
      </x:c>
      <x:c r="AI374" s="11" t="n">
        <x:v>121941879</x:v>
      </x:c>
      <x:c r="AJ374" s="11" t="n">
        <x:v>10787906</x:v>
      </x:c>
      <x:c r="AK374" s="11" t="n">
        <x:v>13047443</x:v>
      </x:c>
      <x:c r="AL374" s="11" t="n">
        <x:v>0</x:v>
      </x:c>
      <x:c r="AM374" s="12" t="n">
        <x:v>1</x:v>
      </x:c>
      <x:c r="AN374" s="12" t="n">
        <x:v>0.8268214699232639</x:v>
      </x:c>
      <x:c r="AO374" s="11" t="n">
        <x:v>22493301</x:v>
      </x:c>
      <x:c r="AP374" s="11" t="n">
        <x:v>21160932</x:v>
      </x:c>
      <x:c r="AQ374" s="12" t="n">
        <x:v>0.9407659640530307</x:v>
      </x:c>
      <x:c r="AR374" s="11" t="n">
        <x:v>3407.8490196078433</x:v>
      </x:c>
      <x:c r="AS374" s="11" t="n">
        <x:v>2571.282456140351</x:v>
      </x:c>
      <x:c r="AT374" s="11" t="n">
        <x:v>1021.0232198142415</x:v>
      </x:c>
      <x:c r="AU374" s="11" t="n">
        <x:v>635.4957688338493</x:v>
      </x:c>
      <x:c r="AV374" s="11" t="n">
        <x:v>1695.935810113519</x:v>
      </x:c>
      <x:c r="AW374" s="11" t="n">
        <x:v>1.1783072347409977</x:v>
      </x:c>
      <x:c r="AX374" s="12" t="n">
        <x:v>0.6300703423360404</x:v>
      </x:c>
      <x:c r="AY374" s="11"/>
      <x:c r="AZ374" s="11"/>
      <x:c r="BA374" s="11"/>
      <x:c r="BB374" s="11"/>
      <x:c r="BC374" s="11"/>
      <x:c r="BD374" s="11"/>
      <x:c r="BE374" s="11"/>
      <x:c r="BF374" s="11"/>
      <x:c r="BG374" s="11"/>
      <x:c r="BH374" s="11"/>
      <x:c r="BI374" s="11"/>
      <x:c r="BJ374" s="11"/>
      <x:c r="BK374" s="12"/>
      <x:c r="BL374" s="12"/>
      <x:c r="BM374" s="12"/>
      <x:c r="BN374" s="12"/>
      <x:c r="BO374" s="12"/>
      <x:c r="BP374" s="12"/>
      <x:c r="BQ374" s="12"/>
      <x:c r="BR374" s="12"/>
      <x:c r="BS374" s="12"/>
      <x:c r="BT374" s="12"/>
      <x:c r="BU374" s="11" t="n">
        <x:v>411793</x:v>
      </x:c>
      <x:c r="BV374" s="11" t="n">
        <x:v>4761899</x:v>
      </x:c>
      <x:c r="BW374" s="11" t="n">
        <x:v>1761256</x:v>
      </x:c>
      <x:c r="BX374" s="11" t="n">
        <x:v>1792143</x:v>
      </x:c>
      <x:c r="BY374" s="11" t="n">
        <x:v>0</x:v>
      </x:c>
      <x:c r="BZ374" s="11" t="n">
        <x:v>4988227</x:v>
      </x:c>
      <x:c r="CA374" s="11" t="n">
        <x:v>0</x:v>
      </x:c>
      <x:c r="CB374" s="11" t="n">
        <x:v>0</x:v>
      </x:c>
      <x:c r="CC374" s="11" t="n">
        <x:v>2991836</x:v>
      </x:c>
      <x:c r="CD374" s="11" t="n">
        <x:v>2546354</x:v>
      </x:c>
      <x:c r="CE374" s="11" t="n">
        <x:v>552275</x:v>
      </x:c>
      <x:c r="CF374" s="11" t="n">
        <x:v>0</x:v>
      </x:c>
      <x:c r="CG374" s="11" t="n">
        <x:v>824987</x:v>
      </x:c>
      <x:c r="CH374" s="11" t="n">
        <x:v>1825676</x:v>
      </x:c>
      <x:c r="CI374" s="11" t="n">
        <x:v>4131556</x:v>
      </x:c>
      <x:c r="CJ374" s="11" t="n">
        <x:v>2084452</x:v>
      </x:c>
      <x:c r="CK374" s="11" t="n">
        <x:v>1734850</x:v>
      </x:c>
      <x:c r="CL374" s="11" t="n">
        <x:v>44236</x:v>
      </x:c>
      <x:c r="CM374" s="11" t="n">
        <x:v>3086870</x:v>
      </x:c>
      <x:c r="CN374" s="11" t="n">
        <x:v>673317</x:v>
      </x:c>
      <x:c r="CO374" s="11" t="n">
        <x:v>0</x:v>
      </x:c>
      <x:c r="CP374" s="8"/>
      <x:c r="CQ374" s="8"/>
    </x:row>
    <x:row r="375">
      <x:c r="A375" s="8" t="str">
        <x:v>Ladysmith|2024</x:v>
      </x:c>
      <x:c r="B375" s="8" t="str">
        <x:v>ladysmith-t</x:v>
      </x:c>
      <x:c r="C375" s="8" t="str">
        <x:v>Ladysmith</x:v>
      </x:c>
      <x:c r="D375" s="8" t="str">
        <x:v>Ladysmith</x:v>
      </x:c>
      <x:c r="E375" s="8" t="str">
        <x:v>T</x:v>
      </x:c>
      <x:c r="F375" s="8" t="str">
        <x:v>COW</x:v>
      </x:c>
      <x:c r="G375" s="9" t="n">
        <x:v>2024</x:v>
      </x:c>
      <x:c r="H375" s="10" t="n">
        <x:v>9690</x:v>
      </x:c>
      <x:c r="I375" s="8" t="str">
        <x:v>5,000 to 19,999</x:v>
      </x:c>
      <x:c r="J375" s="11" t="n">
        <x:v>26182818</x:v>
      </x:c>
      <x:c r="K375" s="11" t="n">
        <x:v>21766044</x:v>
      </x:c>
      <x:c r="L375" s="11" t="n">
        <x:v>4416774</x:v>
      </x:c>
      <x:c r="M375" s="12" t="n">
        <x:v>0.16868978732541318</x:v>
      </x:c>
      <x:c r="N375" s="11" t="n">
        <x:v>13815541</x:v>
      </x:c>
      <x:c r="O375" s="11" t="n">
        <x:v>6317801</x:v>
      </x:c>
      <x:c r="P375" s="11" t="n">
        <x:v>3553444</x:v>
      </x:c>
      <x:c r="Q375" s="11" t="n">
        <x:v>2496032</x:v>
      </x:c>
      <x:c r="R375" s="11" t="n">
        <x:v>16702595</x:v>
      </x:c>
      <x:c r="S375" s="11" t="n">
        <x:v>4557908</x:v>
      </x:c>
      <x:c r="T375" s="11" t="n">
        <x:v>54167730</x:v>
      </x:c>
      <x:c r="U375" s="11" t="n">
        <x:v>40129609</x:v>
      </x:c>
      <x:c r="V375" s="11" t="n">
        <x:v>17147811</x:v>
      </x:c>
      <x:c r="W375" s="11" t="n">
        <x:v>7477872</x:v>
      </x:c>
      <x:c r="X375" s="11" t="n">
        <x:v>16433618</x:v>
      </x:c>
      <x:c r="Y375" s="11" t="n">
        <x:v>0</x:v>
      </x:c>
      <x:c r="Z375" s="11" t="n">
        <x:v>864402</x:v>
      </x:c>
      <x:c r="AA375" s="11" t="n">
        <x:v>15476172</x:v>
      </x:c>
      <x:c r="AB375" s="11" t="n">
        <x:v>505541</x:v>
      </x:c>
      <x:c r="AC375" s="11" t="n">
        <x:v>1369943</x:v>
      </x:c>
      <x:c r="AD375" s="11" t="n">
        <x:v>5561862</x:v>
      </x:c>
      <x:c r="AE375" s="11" t="n">
        <x:v>3627099</x:v>
      </x:c>
      <x:c r="AF375" s="11" t="n">
        <x:v>22247446</x:v>
      </x:c>
      <x:c r="AG375" s="11" t="n">
        <x:v>187958005</x:v>
      </x:c>
      <x:c r="AH375" s="11" t="n">
        <x:v>68860037</x:v>
      </x:c>
      <x:c r="AI375" s="11" t="n">
        <x:v>119097968</x:v>
      </x:c>
      <x:c r="AJ375" s="11" t="n">
        <x:v>2952054</x:v>
      </x:c>
      <x:c r="AK375" s="11" t="n">
        <x:v>276549434</x:v>
      </x:c>
      <x:c r="AL375" s="11" t="n">
        <x:v>7203312</x:v>
      </x:c>
      <x:c r="AM375" s="12" t="n">
        <x:v>0.9739528955246388</x:v>
      </x:c>
      <x:c r="AN375" s="12" t="n">
        <x:v>0.010674597873159993</x:v>
      </x:c>
      <x:c r="AO375" s="11" t="n">
        <x:v>24704088</x:v>
      </x:c>
      <x:c r="AP375" s="11" t="n">
        <x:v>23974686</x:v>
      </x:c>
      <x:c r="AQ375" s="12" t="n">
        <x:v>0.9704744413151378</x:v>
      </x:c>
      <x:c r="AR375" s="11" t="n">
        <x:v>2702.0452012383903</x:v>
      </x:c>
      <x:c r="AS375" s="11" t="n">
        <x:v>2246.237770897833</x:v>
      </x:c>
      <x:c r="AT375" s="11" t="n">
        <x:v>1769.6399380804953</x:v>
      </x:c>
      <x:c r="AU375" s="11" t="n">
        <x:v>771.7102167182662</x:v>
      </x:c>
      <x:c r="AV375" s="11" t="n">
        <x:v>1597.128173374613</x:v>
      </x:c>
      <x:c r="AW375" s="11" t="n">
        <x:v>1.3498195310101326</x:v>
      </x:c>
      <x:c r="AX375" s="12" t="n">
        <x:v>0.6521375395506037</x:v>
      </x:c>
      <x:c r="AY375" s="11" t="n">
        <x:v>2866.2208483821423</x:v>
      </x:c>
      <x:c r="AZ375" s="11" t="n">
        <x:v>3546.5079302077975</x:v>
      </x:c>
      <x:c r="BA375" s="11" t="n">
        <x:v>2297.657175284081</x:v>
      </x:c>
      <x:c r="BB375" s="11" t="n">
        <x:v>2783.665107049771</x:v>
      </x:c>
      <x:c r="BC375" s="11" t="n">
        <x:v>1859.732534766857</x:v>
      </x:c>
      <x:c r="BD375" s="11" t="n">
        <x:v>2437.8724475115623</x:v>
      </x:c>
      <x:c r="BE375" s="11" t="n">
        <x:v>918.4907099893891</x:v>
      </x:c>
      <x:c r="BF375" s="11" t="n">
        <x:v>1604.3462673977224</x:v>
      </x:c>
      <x:c r="BG375" s="11" t="n">
        <x:v>814.8464198087386</x:v>
      </x:c>
      <x:c r="BH375" s="11" t="n">
        <x:v>518.5374381567245</x:v>
      </x:c>
      <x:c r="BI375" s="11" t="n">
        <x:v>1.5120151567026447</x:v>
      </x:c>
      <x:c r="BJ375" s="11" t="n">
        <x:v>1.7099330852451193</x:v>
      </x:c>
      <x:c r="BK375" s="12" t="n">
        <x:v>0.024769834473671436</x:v>
      </x:c>
      <x:c r="BL375" s="12" t="n">
        <x:v>0.02529861000232605</x:v>
      </x:c>
      <x:c r="BM375" s="12" t="n">
        <x:v>0.9804574834797263</x:v>
      </x:c>
      <x:c r="BN375" s="12" t="n">
        <x:v>0.9815511712696461</x:v>
      </x:c>
      <x:c r="BO375" s="12" t="n">
        <x:v>0.8566659461626738</x:v>
      </x:c>
      <x:c r="BP375" s="12" t="n">
        <x:v>0.8619101997275483</x:v>
      </x:c>
      <x:c r="BQ375" s="12" t="n">
        <x:v>0.9770312225566793</x:v>
      </x:c>
      <x:c r="BR375" s="12" t="n">
        <x:v>0.9623635142836453</x:v>
      </x:c>
      <x:c r="BS375" s="12" t="n">
        <x:v>0.17479552285244132</x:v>
      </x:c>
      <x:c r="BT375" s="12" t="n">
        <x:v>0.19976549769108282</x:v>
      </x:c>
      <x:c r="BU375" s="11" t="n">
        <x:v>647315</x:v>
      </x:c>
      <x:c r="BV375" s="11" t="n">
        <x:v>1102256</x:v>
      </x:c>
      <x:c r="BW375" s="11" t="n">
        <x:v>1803873</x:v>
      </x:c>
      <x:c r="BX375" s="11" t="n">
        <x:v>2011086</x:v>
      </x:c>
      <x:c r="BY375" s="11" t="n">
        <x:v>0</x:v>
      </x:c>
      <x:c r="BZ375" s="11" t="n">
        <x:v>459523</x:v>
      </x:c>
      <x:c r="CA375" s="11" t="n">
        <x:v>25423</x:v>
      </x:c>
      <x:c r="CB375" s="11" t="n">
        <x:v>0</x:v>
      </x:c>
      <x:c r="CC375" s="11" t="n">
        <x:v>2562953</x:v>
      </x:c>
      <x:c r="CD375" s="11" t="n">
        <x:v>2438333</x:v>
      </x:c>
      <x:c r="CE375" s="11" t="n">
        <x:v>582994</x:v>
      </x:c>
      <x:c r="CF375" s="11" t="n">
        <x:v>0</x:v>
      </x:c>
      <x:c r="CG375" s="11" t="n">
        <x:v>889415</x:v>
      </x:c>
      <x:c r="CH375" s="11" t="n">
        <x:v>1913013</x:v>
      </x:c>
      <x:c r="CI375" s="11" t="n">
        <x:v>4393547</x:v>
      </x:c>
      <x:c r="CJ375" s="11" t="n">
        <x:v>2016803</x:v>
      </x:c>
      <x:c r="CK375" s="11" t="n">
        <x:v>2021348</x:v>
      </x:c>
      <x:c r="CL375" s="11" t="n">
        <x:v>32328</x:v>
      </x:c>
      <x:c r="CM375" s="11" t="n">
        <x:v>13222</x:v>
      </x:c>
      <x:c r="CN375" s="11" t="n">
        <x:v>344180</x:v>
      </x:c>
      <x:c r="CO375" s="11" t="n">
        <x:v>0</x:v>
      </x:c>
      <x:c r="CP375" s="8"/>
      <x:c r="CQ375" s="8"/>
    </x:row>
    <x:row r="376">
      <x:c r="A376" s="8" t="str">
        <x:v>Lake Country|2019</x:v>
      </x:c>
      <x:c r="B376" s="8" t="str">
        <x:v>lake-country-d</x:v>
      </x:c>
      <x:c r="C376" s="8" t="str">
        <x:v>Lake Country</x:v>
      </x:c>
      <x:c r="D376" s="8" t="str">
        <x:v>Lake Country</x:v>
      </x:c>
      <x:c r="E376" s="8" t="str">
        <x:v>D</x:v>
      </x:c>
      <x:c r="F376" s="8" t="str">
        <x:v>COK</x:v>
      </x:c>
      <x:c r="G376" s="9" t="n">
        <x:v>2019</x:v>
      </x:c>
      <x:c r="H376" s="10" t="n">
        <x:v>15143</x:v>
      </x:c>
      <x:c r="I376" s="8" t="str">
        <x:v>5,000 to 19,999</x:v>
      </x:c>
      <x:c r="J376" s="11" t="n">
        <x:v>46449317</x:v>
      </x:c>
      <x:c r="K376" s="11" t="n">
        <x:v>25429534</x:v>
      </x:c>
      <x:c r="L376" s="11" t="n">
        <x:v>21019783</x:v>
      </x:c>
      <x:c r="M376" s="12" t="n">
        <x:v>0.45253158404891075</x:v>
      </x:c>
      <x:c r="N376" s="11" t="n">
        <x:v>16213474</x:v>
      </x:c>
      <x:c r="O376" s="11" t="n">
        <x:v>11104122</x:v>
      </x:c>
      <x:c r="P376" s="11" t="n">
        <x:v>2319008</x:v>
      </x:c>
      <x:c r="Q376" s="11" t="n">
        <x:v>16812713</x:v>
      </x:c>
      <x:c r="R376" s="11" t="n">
        <x:v>20646762</x:v>
      </x:c>
      <x:c r="S376" s="11" t="n">
        <x:v>4075366</x:v>
      </x:c>
      <x:c r="T376" s="11" t="n">
        <x:v>36800772</x:v>
      </x:c>
      <x:c r="U376" s="11" t="n">
        <x:v>28021870</x:v>
      </x:c>
      <x:c r="V376" s="11" t="n">
        <x:v>16635837</x:v>
      </x:c>
      <x:c r="W376" s="11" t="n">
        <x:v>531908</x:v>
      </x:c>
      <x:c r="X376" s="11" t="n">
        <x:v>8766410</x:v>
      </x:c>
      <x:c r="Y376" s="11" t="n">
        <x:v>0</x:v>
      </x:c>
      <x:c r="Z376" s="11" t="n">
        <x:v>710873</x:v>
      </x:c>
      <x:c r="AA376" s="11" t="n">
        <x:v>7604383</x:v>
      </x:c>
      <x:c r="AB376" s="11" t="n">
        <x:v>707406</x:v>
      </x:c>
      <x:c r="AC376" s="11" t="n">
        <x:v>1418279</x:v>
      </x:c>
      <x:c r="AD376" s="11" t="n">
        <x:v>7299799</x:v>
      </x:c>
      <x:c r="AE376" s="11" t="n">
        <x:v>5343216</x:v>
      </x:c>
      <x:c r="AF376" s="11" t="n">
        <x:v>29199194</x:v>
      </x:c>
      <x:c r="AG376" s="11" t="n">
        <x:v>217106040</x:v>
      </x:c>
      <x:c r="AH376" s="11" t="n">
        <x:v>44010940</x:v>
      </x:c>
      <x:c r="AI376" s="11" t="n">
        <x:v>173095100</x:v>
      </x:c>
      <x:c r="AJ376" s="11" t="n">
        <x:v>19700422</x:v>
      </x:c>
      <x:c r="AK376" s="11" t="n">
        <x:v>42182604</x:v>
      </x:c>
      <x:c r="AL376" s="11" t="n">
        <x:v>0</x:v>
      </x:c>
      <x:c r="AM376" s="12" t="n">
        <x:v>1</x:v>
      </x:c>
      <x:c r="AN376" s="12" t="n">
        <x:v>0.46702716598529576</x:v>
      </x:c>
      <x:c r="AO376" s="11" t="n">
        <x:v>27276231</x:v>
      </x:c>
      <x:c r="AP376" s="11" t="n">
        <x:v>26361187</x:v>
      </x:c>
      <x:c r="AQ376" s="12" t="n">
        <x:v>0.9664526964887488</x:v>
      </x:c>
      <x:c r="AR376" s="11" t="n">
        <x:v>3067.3787888793504</x:v>
      </x:c>
      <x:c r="AS376" s="11" t="n">
        <x:v>1679.2930066697484</x:v>
      </x:c>
      <x:c r="AT376" s="11" t="n">
        <x:v>1098.582645446741</x:v>
      </x:c>
      <x:c r="AU376" s="11" t="n">
        <x:v>35.12566862576768</x:v>
      </x:c>
      <x:c r="AV376" s="11" t="n">
        <x:v>502.17149838209076</x:v>
      </x:c>
      <x:c r="AW376" s="11" t="n">
        <x:v>1.3132875143593201</x:v>
      </x:c>
      <x:c r="AX376" s="12" t="n">
        <x:v>0.7319675514353203</x:v>
      </x:c>
      <x:c r="AY376" s="11"/>
      <x:c r="AZ376" s="11"/>
      <x:c r="BA376" s="11"/>
      <x:c r="BB376" s="11"/>
      <x:c r="BC376" s="11"/>
      <x:c r="BD376" s="11"/>
      <x:c r="BE376" s="11"/>
      <x:c r="BF376" s="11"/>
      <x:c r="BG376" s="11"/>
      <x:c r="BH376" s="11"/>
      <x:c r="BI376" s="11"/>
      <x:c r="BJ376" s="11"/>
      <x:c r="BK376" s="12"/>
      <x:c r="BL376" s="12"/>
      <x:c r="BM376" s="12"/>
      <x:c r="BN376" s="12"/>
      <x:c r="BO376" s="12"/>
      <x:c r="BP376" s="12"/>
      <x:c r="BQ376" s="12"/>
      <x:c r="BR376" s="12"/>
      <x:c r="BS376" s="12"/>
      <x:c r="BT376" s="12"/>
      <x:c r="BU376" s="11" t="n">
        <x:v>514781</x:v>
      </x:c>
      <x:c r="BV376" s="11" t="n">
        <x:v>422945</x:v>
      </x:c>
      <x:c r="BW376" s="11" t="n">
        <x:v>1381282</x:v>
      </x:c>
      <x:c r="BX376" s="11" t="n">
        <x:v>1019849</x:v>
      </x:c>
      <x:c r="BY376" s="11" t="n">
        <x:v>0</x:v>
      </x:c>
      <x:c r="BZ376" s="11" t="n">
        <x:v>14555239</x:v>
      </x:c>
      <x:c r="CA376" s="11" t="n">
        <x:v>323138</x:v>
      </x:c>
      <x:c r="CB376" s="11" t="n">
        <x:v>914487</x:v>
      </x:c>
      <x:c r="CC376" s="11" t="n">
        <x:v>3066595</x:v>
      </x:c>
      <x:c r="CD376" s="11" t="n">
        <x:v>3760400</x:v>
      </x:c>
      <x:c r="CE376" s="11" t="n">
        <x:v>1190446</x:v>
      </x:c>
      <x:c r="CF376" s="11" t="n">
        <x:v>0</x:v>
      </x:c>
      <x:c r="CG376" s="11" t="n">
        <x:v>1214545</x:v>
      </x:c>
      <x:c r="CH376" s="11" t="n">
        <x:v>3958890</x:v>
      </x:c>
      <x:c r="CI376" s="11" t="n">
        <x:v>3291636</x:v>
      </x:c>
      <x:c r="CJ376" s="11" t="n">
        <x:v>2395886</x:v>
      </x:c>
      <x:c r="CK376" s="11" t="n">
        <x:v>1916669</x:v>
      </x:c>
      <x:c r="CL376" s="11" t="n">
        <x:v>554065</x:v>
      </x:c>
      <x:c r="CM376" s="11"/>
      <x:c r="CN376" s="11" t="n">
        <x:v>5036</x:v>
      </x:c>
      <x:c r="CO376" s="11" t="n">
        <x:v>0</x:v>
      </x:c>
      <x:c r="CP376" s="8"/>
      <x:c r="CQ376" s="8"/>
    </x:row>
    <x:row r="377">
      <x:c r="A377" s="8" t="str">
        <x:v>Lake Country|2020</x:v>
      </x:c>
      <x:c r="B377" s="8" t="str">
        <x:v>lake-country-d</x:v>
      </x:c>
      <x:c r="C377" s="8" t="str">
        <x:v>Lake Country</x:v>
      </x:c>
      <x:c r="D377" s="8" t="str">
        <x:v>Lake Country</x:v>
      </x:c>
      <x:c r="E377" s="8" t="str">
        <x:v>D</x:v>
      </x:c>
      <x:c r="F377" s="8" t="str">
        <x:v>COK</x:v>
      </x:c>
      <x:c r="G377" s="9" t="n">
        <x:v>2020</x:v>
      </x:c>
      <x:c r="H377" s="10" t="n">
        <x:v>15654</x:v>
      </x:c>
      <x:c r="I377" s="8" t="str">
        <x:v>5,000 to 19,999</x:v>
      </x:c>
      <x:c r="J377" s="11" t="n">
        <x:v>42934429</x:v>
      </x:c>
      <x:c r="K377" s="11" t="n">
        <x:v>26231213</x:v>
      </x:c>
      <x:c r="L377" s="11" t="n">
        <x:v>16703216</x:v>
      </x:c>
      <x:c r="M377" s="12" t="n">
        <x:v>0.3890401337350964</x:v>
      </x:c>
      <x:c r="N377" s="11" t="n">
        <x:v>17520564</x:v>
      </x:c>
      <x:c r="O377" s="11" t="n">
        <x:v>10747622</x:v>
      </x:c>
      <x:c r="P377" s="11" t="n">
        <x:v>7627988</x:v>
      </x:c>
      <x:c r="Q377" s="11" t="n">
        <x:v>7038255</x:v>
      </x:c>
      <x:c r="R377" s="11" t="n">
        <x:v>21168904</x:v>
      </x:c>
      <x:c r="S377" s="11" t="n">
        <x:v>4419434</x:v>
      </x:c>
      <x:c r="T377" s="11" t="n">
        <x:v>44423360</x:v>
      </x:c>
      <x:c r="U377" s="11" t="n">
        <x:v>30975802</x:v>
      </x:c>
      <x:c r="V377" s="11" t="n">
        <x:v>21153296</x:v>
      </x:c>
      <x:c r="W377" s="11" t="n">
        <x:v>202630</x:v>
      </x:c>
      <x:c r="X377" s="11" t="n">
        <x:v>7604380</x:v>
      </x:c>
      <x:c r="Y377" s="11" t="n">
        <x:v>0</x:v>
      </x:c>
      <x:c r="Z377" s="11" t="n">
        <x:v>634310</x:v>
      </x:c>
      <x:c r="AA377" s="11" t="n">
        <x:v>6543916</x:v>
      </x:c>
      <x:c r="AB377" s="11" t="n">
        <x:v>642875</x:v>
      </x:c>
      <x:c r="AC377" s="11" t="n">
        <x:v>1277185</x:v>
      </x:c>
      <x:c r="AD377" s="11" t="n">
        <x:v>7601540</x:v>
      </x:c>
      <x:c r="AE377" s="11" t="n">
        <x:v>5751275</x:v>
      </x:c>
      <x:c r="AF377" s="11" t="n">
        <x:v>30406158</x:v>
      </x:c>
      <x:c r="AG377" s="11" t="n">
        <x:v>233460467</x:v>
      </x:c>
      <x:c r="AH377" s="11" t="n">
        <x:v>48174493</x:v>
      </x:c>
      <x:c r="AI377" s="11" t="n">
        <x:v>185285974</x:v>
      </x:c>
      <x:c r="AJ377" s="11" t="n">
        <x:v>16747695</x:v>
      </x:c>
      <x:c r="AK377" s="11" t="n">
        <x:v>52208611</x:v>
      </x:c>
      <x:c r="AL377" s="11" t="n">
        <x:v>0</x:v>
      </x:c>
      <x:c r="AM377" s="12" t="n">
        <x:v>1</x:v>
      </x:c>
      <x:c r="AN377" s="12" t="n">
        <x:v>0.32078415187103904</x:v>
      </x:c>
      <x:c r="AO377" s="11" t="n">
        <x:v>29118716</x:v>
      </x:c>
      <x:c r="AP377" s="11" t="n">
        <x:v>28049949</x:v>
      </x:c>
      <x:c r="AQ377" s="12" t="n">
        <x:v>0.9632962181436846</x:v>
      </x:c>
      <x:c r="AR377" s="11" t="n">
        <x:v>2742.7129807078063</x:v>
      </x:c>
      <x:c r="AS377" s="11" t="n">
        <x:v>1675.6875558962565</x:v>
      </x:c>
      <x:c r="AT377" s="11" t="n">
        <x:v>1351.3029257697713</x:v>
      </x:c>
      <x:c r="AU377" s="11" t="n">
        <x:v>12.944295387760317</x:v>
      </x:c>
      <x:c r="AV377" s="11" t="n">
        <x:v>418.03475150121375</x:v>
      </x:c>
      <x:c r="AW377" s="11" t="n">
        <x:v>1.4341310678574197</x:v>
      </x:c>
      <x:c r="AX377" s="12" t="n">
        <x:v>0.7565934008108883</x:v>
      </x:c>
      <x:c r="AY377" s="11"/>
      <x:c r="AZ377" s="11"/>
      <x:c r="BA377" s="11"/>
      <x:c r="BB377" s="11"/>
      <x:c r="BC377" s="11"/>
      <x:c r="BD377" s="11"/>
      <x:c r="BE377" s="11"/>
      <x:c r="BF377" s="11"/>
      <x:c r="BG377" s="11"/>
      <x:c r="BH377" s="11"/>
      <x:c r="BI377" s="11"/>
      <x:c r="BJ377" s="11"/>
      <x:c r="BK377" s="12"/>
      <x:c r="BL377" s="12"/>
      <x:c r="BM377" s="12"/>
      <x:c r="BN377" s="12"/>
      <x:c r="BO377" s="12"/>
      <x:c r="BP377" s="12"/>
      <x:c r="BQ377" s="12"/>
      <x:c r="BR377" s="12"/>
      <x:c r="BS377" s="12"/>
      <x:c r="BT377" s="12"/>
      <x:c r="BU377" s="11" t="n">
        <x:v>2661280</x:v>
      </x:c>
      <x:c r="BV377" s="11" t="n">
        <x:v>4139714</x:v>
      </x:c>
      <x:c r="BW377" s="11" t="n">
        <x:v>826994</x:v>
      </x:c>
      <x:c r="BX377" s="11" t="n">
        <x:v>730877</x:v>
      </x:c>
      <x:c r="BY377" s="11" t="n">
        <x:v>0</x:v>
      </x:c>
      <x:c r="BZ377" s="11" t="n">
        <x:v>3927306</x:v>
      </x:c>
      <x:c r="CA377" s="11" t="n">
        <x:v>951655</x:v>
      </x:c>
      <x:c r="CB377" s="11" t="n">
        <x:v>1428417</x:v>
      </x:c>
      <x:c r="CC377" s="11" t="n">
        <x:v>3549908</x:v>
      </x:c>
      <x:c r="CD377" s="11" t="n">
        <x:v>3713365</x:v>
      </x:c>
      <x:c r="CE377" s="11" t="n">
        <x:v>766100</x:v>
      </x:c>
      <x:c r="CF377" s="11" t="n">
        <x:v>0</x:v>
      </x:c>
      <x:c r="CG377" s="11" t="n">
        <x:v>1214213</x:v>
      </x:c>
      <x:c r="CH377" s="11" t="n">
        <x:v>4140158</x:v>
      </x:c>
      <x:c r="CI377" s="11" t="n">
        <x:v>3213226</x:v>
      </x:c>
      <x:c r="CJ377" s="11" t="n">
        <x:v>2653727</x:v>
      </x:c>
      <x:c r="CK377" s="11" t="n">
        <x:v>1853489</x:v>
      </x:c>
      <x:c r="CL377" s="11" t="n">
        <x:v>645138</x:v>
      </x:c>
      <x:c r="CM377" s="11"/>
      <x:c r="CN377" s="11" t="n">
        <x:v>62455</x:v>
      </x:c>
      <x:c r="CO377" s="11" t="n">
        <x:v>0</x:v>
      </x:c>
      <x:c r="CP377" s="8"/>
      <x:c r="CQ377" s="8"/>
    </x:row>
    <x:row r="378">
      <x:c r="A378" s="8" t="str">
        <x:v>Lake Country|2021</x:v>
      </x:c>
      <x:c r="B378" s="8" t="str">
        <x:v>lake-country-d</x:v>
      </x:c>
      <x:c r="C378" s="8" t="str">
        <x:v>Lake Country</x:v>
      </x:c>
      <x:c r="D378" s="8" t="str">
        <x:v>Lake Country</x:v>
      </x:c>
      <x:c r="E378" s="8" t="str">
        <x:v>D</x:v>
      </x:c>
      <x:c r="F378" s="8" t="str">
        <x:v>COK</x:v>
      </x:c>
      <x:c r="G378" s="9" t="n">
        <x:v>2021</x:v>
      </x:c>
      <x:c r="H378" s="10" t="n">
        <x:v>16238</x:v>
      </x:c>
      <x:c r="I378" s="8" t="str">
        <x:v>5,000 to 19,999</x:v>
      </x:c>
      <x:c r="J378" s="11" t="n">
        <x:v>41378387</x:v>
      </x:c>
      <x:c r="K378" s="11" t="n">
        <x:v>28992115</x:v>
      </x:c>
      <x:c r="L378" s="11" t="n">
        <x:v>12386272</x:v>
      </x:c>
      <x:c r="M378" s="12" t="n">
        <x:v>0.29934158622471196</x:v>
      </x:c>
      <x:c r="N378" s="11" t="n">
        <x:v>18600618</x:v>
      </x:c>
      <x:c r="O378" s="11" t="n">
        <x:v>10358030</x:v>
      </x:c>
      <x:c r="P378" s="11" t="n">
        <x:v>4390096</x:v>
      </x:c>
      <x:c r="Q378" s="11" t="n">
        <x:v>8029643</x:v>
      </x:c>
      <x:c r="R378" s="11" t="n">
        <x:v>23760140</x:v>
      </x:c>
      <x:c r="S378" s="11" t="n">
        <x:v>4659568</x:v>
      </x:c>
      <x:c r="T378" s="11" t="n">
        <x:v>31224222</x:v>
      </x:c>
      <x:c r="U378" s="11" t="n">
        <x:v>21922792</x:v>
      </x:c>
      <x:c r="V378" s="11" t="n">
        <x:v>14519118</x:v>
      </x:c>
      <x:c r="W378" s="11" t="n">
        <x:v>206643</x:v>
      </x:c>
      <x:c r="X378" s="11" t="n">
        <x:v>6543916</x:v>
      </x:c>
      <x:c r="Y378" s="11" t="n">
        <x:v>0</x:v>
      </x:c>
      <x:c r="Z378" s="11" t="n">
        <x:v>576266</x:v>
      </x:c>
      <x:c r="AA378" s="11" t="n">
        <x:v>5544583</x:v>
      </x:c>
      <x:c r="AB378" s="11" t="n">
        <x:v>572407</x:v>
      </x:c>
      <x:c r="AC378" s="11" t="n">
        <x:v>1148673</x:v>
      </x:c>
      <x:c r="AD378" s="11" t="n">
        <x:v>7541675</x:v>
      </x:c>
      <x:c r="AE378" s="11" t="n">
        <x:v>5006475</x:v>
      </x:c>
      <x:c r="AF378" s="11" t="n">
        <x:v>30166698</x:v>
      </x:c>
      <x:c r="AG378" s="11" t="n">
        <x:v>257154902</x:v>
      </x:c>
      <x:c r="AH378" s="11" t="n">
        <x:v>52831519</x:v>
      </x:c>
      <x:c r="AI378" s="11" t="n">
        <x:v>204323383</x:v>
      </x:c>
      <x:c r="AJ378" s="11" t="n">
        <x:v>23701978</x:v>
      </x:c>
      <x:c r="AK378" s="11" t="n">
        <x:v>56865010</x:v>
      </x:c>
      <x:c r="AL378" s="11" t="n">
        <x:v>0</x:v>
      </x:c>
      <x:c r="AM378" s="12" t="n">
        <x:v>1</x:v>
      </x:c>
      <x:c r="AN378" s="12" t="n">
        <x:v>0.4168112869407743</x:v>
      </x:c>
      <x:c r="AO378" s="11" t="n">
        <x:v>31754939</x:v>
      </x:c>
      <x:c r="AP378" s="11" t="n">
        <x:v>30785612</x:v>
      </x:c>
      <x:c r="AQ378" s="12" t="n">
        <x:v>0.9694747642248659</x:v>
      </x:c>
      <x:c r="AR378" s="11" t="n">
        <x:v>2548.2440571498955</x:v>
      </x:c>
      <x:c r="AS378" s="11" t="n">
        <x:v>1785.4486389949502</x:v>
      </x:c>
      <x:c r="AT378" s="11" t="n">
        <x:v>894.1444759206798</x:v>
      </x:c>
      <x:c r="AU378" s="11" t="n">
        <x:v>12.725889887917232</x:v>
      </x:c>
      <x:c r="AV378" s="11" t="n">
        <x:v>341.45726074639737</x:v>
      </x:c>
      <x:c r="AW378" s="11" t="n">
        <x:v>1.4242812685537498</x:v>
      </x:c>
      <x:c r="AX378" s="12" t="n">
        <x:v>0.6638412554240272</x:v>
      </x:c>
      <x:c r="AY378" s="11"/>
      <x:c r="AZ378" s="11"/>
      <x:c r="BA378" s="11"/>
      <x:c r="BB378" s="11"/>
      <x:c r="BC378" s="11"/>
      <x:c r="BD378" s="11"/>
      <x:c r="BE378" s="11"/>
      <x:c r="BF378" s="11"/>
      <x:c r="BG378" s="11"/>
      <x:c r="BH378" s="11"/>
      <x:c r="BI378" s="11"/>
      <x:c r="BJ378" s="11"/>
      <x:c r="BK378" s="12"/>
      <x:c r="BL378" s="12"/>
      <x:c r="BM378" s="12"/>
      <x:c r="BN378" s="12"/>
      <x:c r="BO378" s="12"/>
      <x:c r="BP378" s="12"/>
      <x:c r="BQ378" s="12"/>
      <x:c r="BR378" s="12"/>
      <x:c r="BS378" s="12"/>
      <x:c r="BT378" s="12"/>
      <x:c r="BU378" s="11" t="n">
        <x:v>1662562</x:v>
      </x:c>
      <x:c r="BV378" s="11" t="n">
        <x:v>1272379</x:v>
      </x:c>
      <x:c r="BW378" s="11" t="n">
        <x:v>1455155</x:v>
      </x:c>
      <x:c r="BX378" s="11" t="n">
        <x:v>797372</x:v>
      </x:c>
      <x:c r="BY378" s="11" t="n">
        <x:v>0</x:v>
      </x:c>
      <x:c r="BZ378" s="11" t="n">
        <x:v>6792040</x:v>
      </x:c>
      <x:c r="CA378" s="11" t="n">
        <x:v>2890</x:v>
      </x:c>
      <x:c r="CB378" s="11" t="n">
        <x:v>437341</x:v>
      </x:c>
      <x:c r="CC378" s="11" t="n">
        <x:v>4112593</x:v>
      </x:c>
      <x:c r="CD378" s="11" t="n">
        <x:v>4069709</x:v>
      </x:c>
      <x:c r="CE378" s="11" t="n">
        <x:v>847287</x:v>
      </x:c>
      <x:c r="CF378" s="11" t="n">
        <x:v>0</x:v>
      </x:c>
      <x:c r="CG378" s="11" t="n">
        <x:v>2344731</x:v>
      </x:c>
      <x:c r="CH378" s="11" t="n">
        <x:v>3702589</x:v>
      </x:c>
      <x:c r="CI378" s="11" t="n">
        <x:v>3694142</x:v>
      </x:c>
      <x:c r="CJ378" s="11" t="n">
        <x:v>2789348</x:v>
      </x:c>
      <x:c r="CK378" s="11" t="n">
        <x:v>2156696</x:v>
      </x:c>
      <x:c r="CL378" s="11" t="n">
        <x:v>614957</x:v>
      </x:c>
      <x:c r="CM378" s="11"/>
      <x:c r="CN378" s="11" t="n">
        <x:v>495</x:v>
      </x:c>
      <x:c r="CO378" s="11" t="n">
        <x:v>0</x:v>
      </x:c>
      <x:c r="CP378" s="8"/>
      <x:c r="CQ378" s="8"/>
    </x:row>
    <x:row r="379">
      <x:c r="A379" s="8" t="str">
        <x:v>Lake Country|2022</x:v>
      </x:c>
      <x:c r="B379" s="8" t="str">
        <x:v>lake-country-d</x:v>
      </x:c>
      <x:c r="C379" s="8" t="str">
        <x:v>Lake Country</x:v>
      </x:c>
      <x:c r="D379" s="8" t="str">
        <x:v>Lake Country</x:v>
      </x:c>
      <x:c r="E379" s="8" t="str">
        <x:v>D</x:v>
      </x:c>
      <x:c r="F379" s="8" t="str">
        <x:v>COK</x:v>
      </x:c>
      <x:c r="G379" s="9" t="n">
        <x:v>2022</x:v>
      </x:c>
      <x:c r="H379" s="10" t="n">
        <x:v>3612</x:v>
      </x:c>
      <x:c r="I379" s="8" t="str">
        <x:v>Under 5,000</x:v>
      </x:c>
      <x:c r="J379" s="11" t="n">
        <x:v>36912102</x:v>
      </x:c>
      <x:c r="K379" s="11" t="n">
        <x:v>31041642</x:v>
      </x:c>
      <x:c r="L379" s="11" t="n">
        <x:v>5870460</x:v>
      </x:c>
      <x:c r="M379" s="12" t="n">
        <x:v>0.15903889732424342</x:v>
      </x:c>
      <x:c r="N379" s="11" t="n">
        <x:v>19940042</x:v>
      </x:c>
      <x:c r="O379" s="11" t="n">
        <x:v>11090867</x:v>
      </x:c>
      <x:c r="P379" s="11" t="n">
        <x:v>1795768</x:v>
      </x:c>
      <x:c r="Q379" s="11" t="n">
        <x:v>4085425</x:v>
      </x:c>
      <x:c r="R379" s="11" t="n">
        <x:v>24880998</x:v>
      </x:c>
      <x:c r="S379" s="11" t="n">
        <x:v>5389600</x:v>
      </x:c>
      <x:c r="T379" s="11" t="n">
        <x:v>39367788</x:v>
      </x:c>
      <x:c r="U379" s="11" t="n">
        <x:v>37373284</x:v>
      </x:c>
      <x:c r="V379" s="11" t="n">
        <x:v>8716578</x:v>
      </x:c>
      <x:c r="W379" s="11" t="n">
        <x:v>211232</x:v>
      </x:c>
      <x:c r="X379" s="11" t="n">
        <x:v>5544583</x:v>
      </x:c>
      <x:c r="Y379" s="11" t="n">
        <x:v>14964000</x:v>
      </x:c>
      <x:c r="Z379" s="11" t="n">
        <x:v>502246</x:v>
      </x:c>
      <x:c r="AA379" s="11" t="n">
        <x:v>19666130</x:v>
      </x:c>
      <x:c r="AB379" s="11" t="n">
        <x:v>771044</x:v>
      </x:c>
      <x:c r="AC379" s="11" t="n">
        <x:v>1273290</x:v>
      </x:c>
      <x:c r="AD379" s="11" t="n">
        <x:v>8056803</x:v>
      </x:c>
      <x:c r="AE379" s="11" t="n">
        <x:v>6683183</x:v>
      </x:c>
      <x:c r="AF379" s="11" t="n">
        <x:v>32227210</x:v>
      </x:c>
      <x:c r="AG379" s="11" t="n">
        <x:v>273951929</x:v>
      </x:c>
      <x:c r="AH379" s="11" t="n">
        <x:v>58011575</x:v>
      </x:c>
      <x:c r="AI379" s="11" t="n">
        <x:v>215940354</x:v>
      </x:c>
      <x:c r="AJ379" s="11" t="n">
        <x:v>17050160</x:v>
      </x:c>
      <x:c r="AK379" s="11" t="n">
        <x:v>57120529</x:v>
      </x:c>
      <x:c r="AL379" s="11" t="n">
        <x:v>0</x:v>
      </x:c>
      <x:c r="AM379" s="12" t="n">
        <x:v>1</x:v>
      </x:c>
      <x:c r="AN379" s="12" t="n">
        <x:v>0.2984944344615576</x:v>
      </x:c>
      <x:c r="AO379" s="11" t="n">
        <x:v>33906185</x:v>
      </x:c>
      <x:c r="AP379" s="11" t="n">
        <x:v>33070522</x:v>
      </x:c>
      <x:c r="AQ379" s="12" t="n">
        <x:v>0.9753536707240876</x:v>
      </x:c>
      <x:c r="AR379" s="11" t="n">
        <x:v>10219.29734219269</x:v>
      </x:c>
      <x:c r="AS379" s="11" t="n">
        <x:v>8594.031561461794</x:v>
      </x:c>
      <x:c r="AT379" s="11" t="n">
        <x:v>2413.2275747508306</x:v>
      </x:c>
      <x:c r="AU379" s="11" t="n">
        <x:v>58.48062015503876</x:v>
      </x:c>
      <x:c r="AV379" s="11" t="n">
        <x:v>5444.665005537098</x:v>
      </x:c>
      <x:c r="AW379" s="11" t="n">
        <x:v>1.0533671057646419</x:v>
      </x:c>
      <x:c r="AX379" s="12" t="n">
        <x:v>0.8295080567316838</x:v>
      </x:c>
      <x:c r="AY379" s="11"/>
      <x:c r="AZ379" s="11"/>
      <x:c r="BA379" s="11"/>
      <x:c r="BB379" s="11"/>
      <x:c r="BC379" s="11"/>
      <x:c r="BD379" s="11"/>
      <x:c r="BE379" s="11"/>
      <x:c r="BF379" s="11"/>
      <x:c r="BG379" s="11"/>
      <x:c r="BH379" s="11"/>
      <x:c r="BI379" s="11"/>
      <x:c r="BJ379" s="11"/>
      <x:c r="BK379" s="12"/>
      <x:c r="BL379" s="12"/>
      <x:c r="BM379" s="12"/>
      <x:c r="BN379" s="12"/>
      <x:c r="BO379" s="12"/>
      <x:c r="BP379" s="12"/>
      <x:c r="BQ379" s="12"/>
      <x:c r="BR379" s="12"/>
      <x:c r="BS379" s="12"/>
      <x:c r="BT379" s="12"/>
      <x:c r="BU379" s="11" t="n">
        <x:v>0</x:v>
      </x:c>
      <x:c r="BV379" s="11" t="n">
        <x:v>933386</x:v>
      </x:c>
      <x:c r="BW379" s="11" t="n">
        <x:v>862382</x:v>
      </x:c>
      <x:c r="BX379" s="11" t="n">
        <x:v>1126020</x:v>
      </x:c>
      <x:c r="BY379" s="11" t="n">
        <x:v>0</x:v>
      </x:c>
      <x:c r="BZ379" s="11" t="n">
        <x:v>2954756</x:v>
      </x:c>
      <x:c r="CA379" s="11" t="n">
        <x:v>4649</x:v>
      </x:c>
      <x:c r="CB379" s="11" t="n">
        <x:v>0</x:v>
      </x:c>
      <x:c r="CC379" s="11" t="n">
        <x:v>4134742</x:v>
      </x:c>
      <x:c r="CD379" s="11" t="n">
        <x:v>4907417</x:v>
      </x:c>
      <x:c r="CE379" s="11" t="n">
        <x:v>864026</x:v>
      </x:c>
      <x:c r="CF379" s="11" t="n">
        <x:v>0</x:v>
      </x:c>
      <x:c r="CG379" s="11" t="n">
        <x:v>1596355</x:v>
      </x:c>
      <x:c r="CH379" s="11" t="n">
        <x:v>4029277</x:v>
      </x:c>
      <x:c r="CI379" s="11" t="n">
        <x:v>4136230</x:v>
      </x:c>
      <x:c r="CJ379" s="11" t="n">
        <x:v>3206679</x:v>
      </x:c>
      <x:c r="CK379" s="11" t="n">
        <x:v>2109948</x:v>
      </x:c>
      <x:c r="CL379" s="11" t="n">
        <x:v>642154</x:v>
      </x:c>
      <x:c r="CM379" s="11"/>
      <x:c r="CN379" s="11" t="n">
        <x:v>25214</x:v>
      </x:c>
      <x:c r="CO379" s="11" t="n">
        <x:v>0</x:v>
      </x:c>
      <x:c r="CP379" s="8"/>
      <x:c r="CQ379" s="8"/>
    </x:row>
    <x:row r="380">
      <x:c r="A380" s="8" t="str">
        <x:v>Lake Country|2023</x:v>
      </x:c>
      <x:c r="B380" s="8" t="str">
        <x:v>lake-country-d</x:v>
      </x:c>
      <x:c r="C380" s="8" t="str">
        <x:v>Lake Country</x:v>
      </x:c>
      <x:c r="D380" s="8" t="str">
        <x:v>Lake Country</x:v>
      </x:c>
      <x:c r="E380" s="8" t="str">
        <x:v>D</x:v>
      </x:c>
      <x:c r="F380" s="8" t="str">
        <x:v>COK</x:v>
      </x:c>
      <x:c r="G380" s="9" t="n">
        <x:v>2023</x:v>
      </x:c>
      <x:c r="H380" s="10" t="n">
        <x:v>18705</x:v>
      </x:c>
      <x:c r="I380" s="8" t="str">
        <x:v>5,000 to 19,999</x:v>
      </x:c>
      <x:c r="J380" s="11" t="n">
        <x:v>51784436</x:v>
      </x:c>
      <x:c r="K380" s="11" t="n">
        <x:v>36655740</x:v>
      </x:c>
      <x:c r="L380" s="11" t="n">
        <x:v>15128696</x:v>
      </x:c>
      <x:c r="M380" s="12" t="n">
        <x:v>0.29214754796209425</x:v>
      </x:c>
      <x:c r="N380" s="11" t="n">
        <x:v>23211440</x:v>
      </x:c>
      <x:c r="O380" s="11" t="n">
        <x:v>12282469</x:v>
      </x:c>
      <x:c r="P380" s="11" t="n">
        <x:v>8682478</x:v>
      </x:c>
      <x:c r="Q380" s="11" t="n">
        <x:v>7608049</x:v>
      </x:c>
      <x:c r="R380" s="11" t="n">
        <x:v>29553199</x:v>
      </x:c>
      <x:c r="S380" s="11" t="n">
        <x:v>5991423</x:v>
      </x:c>
      <x:c r="T380" s="11" t="n">
        <x:v>47733178</x:v>
      </x:c>
      <x:c r="U380" s="11" t="n">
        <x:v>37523822</x:v>
      </x:c>
      <x:c r="V380" s="11" t="n">
        <x:v>17411953</x:v>
      </x:c>
      <x:c r="W380" s="11" t="n">
        <x:v>798336</x:v>
      </x:c>
      <x:c r="X380" s="11" t="n">
        <x:v>19666130</x:v>
      </x:c>
      <x:c r="Y380" s="11" t="n">
        <x:v>0</x:v>
      </x:c>
      <x:c r="Z380" s="11" t="n">
        <x:v>1014857</x:v>
      </x:c>
      <x:c r="AA380" s="11" t="n">
        <x:v>18345449</x:v>
      </x:c>
      <x:c r="AB380" s="11" t="n">
        <x:v>1111118</x:v>
      </x:c>
      <x:c r="AC380" s="11" t="n">
        <x:v>2125975</x:v>
      </x:c>
      <x:c r="AD380" s="11" t="n">
        <x:v>9674455</x:v>
      </x:c>
      <x:c r="AE380" s="11" t="n">
        <x:v>7504736</x:v>
      </x:c>
      <x:c r="AF380" s="11" t="n">
        <x:v>38697821</x:v>
      </x:c>
      <x:c r="AG380" s="11" t="n">
        <x:v>285885385</x:v>
      </x:c>
      <x:c r="AH380" s="11" t="n">
        <x:v>63957063</x:v>
      </x:c>
      <x:c r="AI380" s="11" t="n">
        <x:v>221928322</x:v>
      </x:c>
      <x:c r="AJ380" s="11" t="n">
        <x:v>11460076</x:v>
      </x:c>
      <x:c r="AK380" s="11" t="n">
        <x:v>42271323</x:v>
      </x:c>
      <x:c r="AL380" s="11" t="n">
        <x:v>0</x:v>
      </x:c>
      <x:c r="AM380" s="12" t="n">
        <x:v>1</x:v>
      </x:c>
      <x:c r="AN380" s="12" t="n">
        <x:v>0.2711075780618459</x:v>
      </x:c>
      <x:c r="AO380" s="11" t="n">
        <x:v>37381209</x:v>
      </x:c>
      <x:c r="AP380" s="11" t="n">
        <x:v>36444814</x:v>
      </x:c>
      <x:c r="AQ380" s="12" t="n">
        <x:v>0.9749501146418245</x:v>
      </x:c>
      <x:c r="AR380" s="11" t="n">
        <x:v>2768.4809409248865</x:v>
      </x:c>
      <x:c r="AS380" s="11" t="n">
        <x:v>1959.6760224538893</x:v>
      </x:c>
      <x:c r="AT380" s="11" t="n">
        <x:v>930.8715851376637</x:v>
      </x:c>
      <x:c r="AU380" s="11" t="n">
        <x:v>42.6803528468324</x:v>
      </x:c>
      <x:c r="AV380" s="11" t="n">
        <x:v>980.7778134188719</x:v>
      </x:c>
      <x:c r="AW380" s="11" t="n">
        <x:v>1.272076655730858</x:v>
      </x:c>
      <x:c r="AX380" s="12" t="n">
        <x:v>0.7757270047770133</x:v>
      </x:c>
      <x:c r="AY380" s="11"/>
      <x:c r="AZ380" s="11"/>
      <x:c r="BA380" s="11"/>
      <x:c r="BB380" s="11"/>
      <x:c r="BC380" s="11"/>
      <x:c r="BD380" s="11"/>
      <x:c r="BE380" s="11"/>
      <x:c r="BF380" s="11"/>
      <x:c r="BG380" s="11"/>
      <x:c r="BH380" s="11"/>
      <x:c r="BI380" s="11"/>
      <x:c r="BJ380" s="11"/>
      <x:c r="BK380" s="12"/>
      <x:c r="BL380" s="12"/>
      <x:c r="BM380" s="12"/>
      <x:c r="BN380" s="12"/>
      <x:c r="BO380" s="12"/>
      <x:c r="BP380" s="12"/>
      <x:c r="BQ380" s="12"/>
      <x:c r="BR380" s="12"/>
      <x:c r="BS380" s="12"/>
      <x:c r="BT380" s="12"/>
      <x:c r="BU380" s="11" t="n">
        <x:v>0</x:v>
      </x:c>
      <x:c r="BV380" s="11" t="n">
        <x:v>7769172</x:v>
      </x:c>
      <x:c r="BW380" s="11" t="n">
        <x:v>913306</x:v>
      </x:c>
      <x:c r="BX380" s="11" t="n">
        <x:v>2383888</x:v>
      </x:c>
      <x:c r="BY380" s="11" t="n">
        <x:v>0</x:v>
      </x:c>
      <x:c r="BZ380" s="11" t="n">
        <x:v>4021652</x:v>
      </x:c>
      <x:c r="CA380" s="11" t="n">
        <x:v>389661</x:v>
      </x:c>
      <x:c r="CB380" s="11" t="n">
        <x:v>812848</x:v>
      </x:c>
      <x:c r="CC380" s="11" t="n">
        <x:v>4504165</x:v>
      </x:c>
      <x:c r="CD380" s="11" t="n">
        <x:v>7391794</x:v>
      </x:c>
      <x:c r="CE380" s="11" t="n">
        <x:v>1779858</x:v>
      </x:c>
      <x:c r="CF380" s="11" t="n">
        <x:v>0</x:v>
      </x:c>
      <x:c r="CG380" s="11" t="n">
        <x:v>1722258</x:v>
      </x:c>
      <x:c r="CH380" s="11" t="n">
        <x:v>4747356</x:v>
      </x:c>
      <x:c r="CI380" s="11" t="n">
        <x:v>4756474</x:v>
      </x:c>
      <x:c r="CJ380" s="11" t="n">
        <x:v>3395369</x:v>
      </x:c>
      <x:c r="CK380" s="11" t="n">
        <x:v>2343986</x:v>
      </x:c>
      <x:c r="CL380" s="11" t="n">
        <x:v>0</x:v>
      </x:c>
      <x:c r="CM380" s="11" t="n">
        <x:v>23057</x:v>
      </x:c>
      <x:c r="CN380" s="11" t="n">
        <x:v>0</x:v>
      </x:c>
      <x:c r="CO380" s="11" t="n">
        <x:v>0</x:v>
      </x:c>
      <x:c r="CP380" s="8"/>
      <x:c r="CQ380" s="8"/>
    </x:row>
    <x:row r="381">
      <x:c r="A381" s="8" t="str">
        <x:v>Lake Country|2024</x:v>
      </x:c>
      <x:c r="B381" s="8" t="str">
        <x:v>lake-country-d</x:v>
      </x:c>
      <x:c r="C381" s="8" t="str">
        <x:v>Lake Country</x:v>
      </x:c>
      <x:c r="D381" s="8" t="str">
        <x:v>Lake Country</x:v>
      </x:c>
      <x:c r="E381" s="8" t="str">
        <x:v>D</x:v>
      </x:c>
      <x:c r="F381" s="8" t="str">
        <x:v>COK</x:v>
      </x:c>
      <x:c r="G381" s="9" t="n">
        <x:v>2024</x:v>
      </x:c>
      <x:c r="H381" s="10" t="n">
        <x:v>18705</x:v>
      </x:c>
      <x:c r="I381" s="8" t="str">
        <x:v>5,000 to 19,999</x:v>
      </x:c>
      <x:c r="J381" s="11" t="n">
        <x:v>48025816</x:v>
      </x:c>
      <x:c r="K381" s="11" t="n">
        <x:v>39234756</x:v>
      </x:c>
      <x:c r="L381" s="11" t="n">
        <x:v>8791060</x:v>
      </x:c>
      <x:c r="M381" s="12" t="n">
        <x:v>0.18304863367652097</x:v>
      </x:c>
      <x:c r="N381" s="11" t="n">
        <x:v>25411940</x:v>
      </x:c>
      <x:c r="O381" s="11" t="n">
        <x:v>13312784</x:v>
      </x:c>
      <x:c r="P381" s="11" t="n">
        <x:v>4720442</x:v>
      </x:c>
      <x:c r="Q381" s="11" t="n">
        <x:v>4580650</x:v>
      </x:c>
      <x:c r="R381" s="11" t="n">
        <x:v>31936421</x:v>
      </x:c>
      <x:c r="S381" s="11" t="n">
        <x:v>6360172</x:v>
      </x:c>
      <x:c r="T381" s="11" t="n">
        <x:v>39152070</x:v>
      </x:c>
      <x:c r="U381" s="11" t="n">
        <x:v>35902557</x:v>
      </x:c>
      <x:c r="V381" s="11" t="n">
        <x:v>11377672</x:v>
      </x:c>
      <x:c r="W381" s="11" t="n">
        <x:v>26795</x:v>
      </x:c>
      <x:c r="X381" s="11" t="n">
        <x:v>18345449</x:v>
      </x:c>
      <x:c r="Y381" s="11" t="n">
        <x:v>0</x:v>
      </x:c>
      <x:c r="Z381" s="11" t="n">
        <x:v>1019966</x:v>
      </x:c>
      <x:c r="AA381" s="11" t="n">
        <x:v>16974916</x:v>
      </x:c>
      <x:c r="AB381" s="11" t="n">
        <x:v>938163</x:v>
      </x:c>
      <x:c r="AC381" s="11" t="n">
        <x:v>1958129</x:v>
      </x:c>
      <x:c r="AD381" s="11" t="n">
        <x:v>10271500</x:v>
      </x:c>
      <x:c r="AE381" s="11" t="n">
        <x:v>8313371</x:v>
      </x:c>
      <x:c r="AF381" s="11" t="n">
        <x:v>41086001</x:v>
      </x:c>
      <x:c r="AG381" s="11" t="n">
        <x:v>306978520</x:v>
      </x:c>
      <x:c r="AH381" s="11" t="n">
        <x:v>69785706</x:v>
      </x:c>
      <x:c r="AI381" s="11" t="n">
        <x:v>237192814</x:v>
      </x:c>
      <x:c r="AJ381" s="11" t="n">
        <x:v>21527333</x:v>
      </x:c>
      <x:c r="AK381" s="11" t="n">
        <x:v>306978520</x:v>
      </x:c>
      <x:c r="AL381" s="11" t="n">
        <x:v>6360172</x:v>
      </x:c>
      <x:c r="AM381" s="12" t="n">
        <x:v>0.9792813777328785</x:v>
      </x:c>
      <x:c r="AN381" s="12" t="n">
        <x:v>0.0701265124348114</x:v>
      </x:c>
      <x:c r="AO381" s="11" t="n">
        <x:v>41764785</x:v>
      </x:c>
      <x:c r="AP381" s="11" t="n">
        <x:v>40605625</x:v>
      </x:c>
      <x:c r="AQ381" s="12" t="n">
        <x:v>0.9722455173658862</x:v>
      </x:c>
      <x:c r="AR381" s="11" t="n">
        <x:v>2567.538946805667</x:v>
      </x:c>
      <x:c r="AS381" s="11" t="n">
        <x:v>2097.554450681636</x:v>
      </x:c>
      <x:c r="AT381" s="11" t="n">
        <x:v>608.2690189788826</x:v>
      </x:c>
      <x:c r="AU381" s="11" t="n">
        <x:v>1.4325046778936112</x:v>
      </x:c>
      <x:c r="AV381" s="11" t="n">
        <x:v>907.5068698209035</x:v>
      </x:c>
      <x:c r="AW381" s="11" t="n">
        <x:v>1.0905092358742026</x:v>
      </x:c>
      <x:c r="AX381" s="12" t="n">
        <x:v>0.8093628973372925</x:v>
      </x:c>
      <x:c r="AY381" s="11" t="n">
        <x:v>2567.538946805667</x:v>
      </x:c>
      <x:c r="AZ381" s="11" t="n">
        <x:v>3546.5079302077975</x:v>
      </x:c>
      <x:c r="BA381" s="11" t="n">
        <x:v>2045.0195609464422</x:v>
      </x:c>
      <x:c r="BB381" s="11" t="n">
        <x:v>2783.665107049771</x:v>
      </x:c>
      <x:c r="BC381" s="11" t="n">
        <x:v>2217.25520024837</x:v>
      </x:c>
      <x:c r="BD381" s="11" t="n">
        <x:v>2437.8724475115623</x:v>
      </x:c>
      <x:c r="BE381" s="11" t="n">
        <x:v>799.2304887641933</x:v>
      </x:c>
      <x:c r="BF381" s="11" t="n">
        <x:v>1604.3462673977224</x:v>
      </x:c>
      <x:c r="BG381" s="11" t="n">
        <x:v>386.9249167164944</x:v>
      </x:c>
      <x:c r="BH381" s="11" t="n">
        <x:v>518.5374381567245</x:v>
      </x:c>
      <x:c r="BI381" s="11" t="n">
        <x:v>1.5629948984418691</x:v>
      </x:c>
      <x:c r="BJ381" s="11" t="n">
        <x:v>1.7099330852451193</x:v>
      </x:c>
      <x:c r="BK381" s="12" t="n">
        <x:v>0.04472396775938227</x:v>
      </x:c>
      <x:c r="BL381" s="12" t="n">
        <x:v>0.02529861000232605</x:v>
      </x:c>
      <x:c r="BM381" s="12" t="n">
        <x:v>0.9792813777328785</x:v>
      </x:c>
      <x:c r="BN381" s="12" t="n">
        <x:v>0.9815511712696461</x:v>
      </x:c>
      <x:c r="BO381" s="12" t="n">
        <x:v>0.8510570773833829</x:v>
      </x:c>
      <x:c r="BP381" s="12" t="n">
        <x:v>0.8619101997275483</x:v>
      </x:c>
      <x:c r="BQ381" s="12" t="n">
        <x:v>0.9732053424599786</x:v>
      </x:c>
      <x:c r="BR381" s="12" t="n">
        <x:v>0.9623635142836453</x:v>
      </x:c>
      <x:c r="BS381" s="12" t="n">
        <x:v>0.170495619408603</x:v>
      </x:c>
      <x:c r="BT381" s="12" t="n">
        <x:v>0.19976549769108282</x:v>
      </x:c>
      <x:c r="BU381" s="11" t="n">
        <x:v>783621</x:v>
      </x:c>
      <x:c r="BV381" s="11" t="n">
        <x:v>3557223</x:v>
      </x:c>
      <x:c r="BW381" s="11" t="n">
        <x:v>379598</x:v>
      </x:c>
      <x:c r="BX381" s="11" t="n">
        <x:v>2386944</x:v>
      </x:c>
      <x:c r="BY381" s="11" t="n">
        <x:v>0</x:v>
      </x:c>
      <x:c r="BZ381" s="11" t="n">
        <x:v>2060790</x:v>
      </x:c>
      <x:c r="CA381" s="11" t="n">
        <x:v>132916</x:v>
      </x:c>
      <x:c r="CB381" s="11" t="n">
        <x:v>0</x:v>
      </x:c>
      <x:c r="CC381" s="11" t="n">
        <x:v>5086713</x:v>
      </x:c>
      <x:c r="CD381" s="11" t="n">
        <x:v>7413158</x:v>
      </x:c>
      <x:c r="CE381" s="11" t="n">
        <x:v>2008954</x:v>
      </x:c>
      <x:c r="CF381" s="11" t="n">
        <x:v>0</x:v>
      </x:c>
      <x:c r="CG381" s="11" t="n">
        <x:v>1882579</x:v>
      </x:c>
      <x:c r="CH381" s="11" t="n">
        <x:v>5239640</x:v>
      </x:c>
      <x:c r="CI381" s="11" t="n">
        <x:v>5047102</x:v>
      </x:c>
      <x:c r="CJ381" s="11" t="n">
        <x:v>3723469</x:v>
      </x:c>
      <x:c r="CK381" s="11" t="n">
        <x:v>2310609</x:v>
      </x:c>
      <x:c r="CL381" s="11" t="n">
        <x:v>93669</x:v>
      </x:c>
      <x:c r="CM381" s="11" t="n">
        <x:v>68691</x:v>
      </x:c>
      <x:c r="CN381" s="11" t="n">
        <x:v>0</x:v>
      </x:c>
      <x:c r="CO381" s="11" t="n">
        <x:v>0</x:v>
      </x:c>
      <x:c r="CP381" s="8"/>
      <x:c r="CQ381" s="8"/>
    </x:row>
    <x:row r="382">
      <x:c r="A382" s="8" t="str">
        <x:v>Lake Cowichan|2019</x:v>
      </x:c>
      <x:c r="B382" s="8" t="str">
        <x:v>lake-cowichan-t</x:v>
      </x:c>
      <x:c r="C382" s="8" t="str">
        <x:v>Lake Cowichan</x:v>
      </x:c>
      <x:c r="D382" s="8" t="str">
        <x:v>Lake Cowichan</x:v>
      </x:c>
      <x:c r="E382" s="8" t="str">
        <x:v>T</x:v>
      </x:c>
      <x:c r="F382" s="8" t="str">
        <x:v>COW</x:v>
      </x:c>
      <x:c r="G382" s="9" t="n">
        <x:v>2019</x:v>
      </x:c>
      <x:c r="H382" s="10" t="n">
        <x:v>3594</x:v>
      </x:c>
      <x:c r="I382" s="8" t="str">
        <x:v>Under 5,000</x:v>
      </x:c>
      <x:c r="J382" s="11" t="n">
        <x:v>6187226</x:v>
      </x:c>
      <x:c r="K382" s="11" t="n">
        <x:v>4862353</x:v>
      </x:c>
      <x:c r="L382" s="11" t="n">
        <x:v>1324873</x:v>
      </x:c>
      <x:c r="M382" s="12" t="n">
        <x:v>0.21413037118734632</x:v>
      </x:c>
      <x:c r="N382" s="11" t="n">
        <x:v>2669923</x:v>
      </x:c>
      <x:c r="O382" s="11" t="n">
        <x:v>2593383</x:v>
      </x:c>
      <x:c r="P382" s="11" t="n">
        <x:v>758527</x:v>
      </x:c>
      <x:c r="Q382" s="11" t="n">
        <x:v>165393</x:v>
      </x:c>
      <x:c r="R382" s="11" t="n">
        <x:v>3859946</x:v>
      </x:c>
      <x:c r="S382" s="11" t="n">
        <x:v>1002407</x:v>
      </x:c>
      <x:c r="T382" s="11" t="n">
        <x:v>11964924</x:v>
      </x:c>
      <x:c r="U382" s="11" t="n">
        <x:v>5172953</x:v>
      </x:c>
      <x:c r="V382" s="11" t="n">
        <x:v>7352470</x:v>
      </x:c>
      <x:c r="W382" s="11" t="n">
        <x:v>2007669</x:v>
      </x:c>
      <x:c r="X382" s="11" t="n">
        <x:v>659712</x:v>
      </x:c>
      <x:c r="Y382" s="11" t="n">
        <x:v>225000</x:v>
      </x:c>
      <x:c r="Z382" s="11" t="n">
        <x:v>156695</x:v>
      </x:c>
      <x:c r="AA382" s="11" t="n">
        <x:v>728017</x:v>
      </x:c>
      <x:c r="AB382" s="11" t="n">
        <x:v>0</x:v>
      </x:c>
      <x:c r="AC382" s="11" t="n">
        <x:v>156695</x:v>
      </x:c>
      <x:c r="AD382" s="11" t="n">
        <x:v>1473992</x:v>
      </x:c>
      <x:c r="AE382" s="11" t="n">
        <x:v>1317297</x:v>
      </x:c>
      <x:c r="AF382" s="11" t="n">
        <x:v>5895966</x:v>
      </x:c>
      <x:c r="AG382" s="11" t="n">
        <x:v>43891685</x:v>
      </x:c>
      <x:c r="AH382" s="11" t="n">
        <x:v>11890891</x:v>
      </x:c>
      <x:c r="AI382" s="11" t="n">
        <x:v>32000794</x:v>
      </x:c>
      <x:c r="AJ382" s="11" t="n">
        <x:v>2432416</x:v>
      </x:c>
      <x:c r="AK382" s="11" t="n">
        <x:v>6078722</x:v>
      </x:c>
      <x:c r="AL382" s="11" t="n">
        <x:v>0</x:v>
      </x:c>
      <x:c r="AM382" s="12" t="n">
        <x:v>1</x:v>
      </x:c>
      <x:c r="AN382" s="12" t="n">
        <x:v>0.400152532061838</x:v>
      </x:c>
      <x:c r="AO382" s="11" t="n">
        <x:v>5792291</x:v>
      </x:c>
      <x:c r="AP382" s="11" t="n">
        <x:v>5495523</x:v>
      </x:c>
      <x:c r="AQ382" s="12" t="n">
        <x:v>0.9487650050731222</x:v>
      </x:c>
      <x:c r="AR382" s="11" t="n">
        <x:v>1721.5431274346133</x:v>
      </x:c>
      <x:c r="AS382" s="11" t="n">
        <x:v>1352.9084585420144</x:v>
      </x:c>
      <x:c r="AT382" s="11" t="n">
        <x:v>2045.7623817473568</x:v>
      </x:c>
      <x:c r="AU382" s="11" t="n">
        <x:v>558.6168614357263</x:v>
      </x:c>
      <x:c r="AV382" s="11" t="n">
        <x:v>202.56455203116306</x:v>
      </x:c>
      <x:c r="AW382" s="11" t="n">
        <x:v>2.3129775198034856</x:v>
      </x:c>
      <x:c r="AX382" s="12" t="n">
        <x:v>0.8936934528816981</x:v>
      </x:c>
      <x:c r="AY382" s="11"/>
      <x:c r="AZ382" s="11"/>
      <x:c r="BA382" s="11"/>
      <x:c r="BB382" s="11"/>
      <x:c r="BC382" s="11"/>
      <x:c r="BD382" s="11"/>
      <x:c r="BE382" s="11"/>
      <x:c r="BF382" s="11"/>
      <x:c r="BG382" s="11"/>
      <x:c r="BH382" s="11"/>
      <x:c r="BI382" s="11"/>
      <x:c r="BJ382" s="11"/>
      <x:c r="BK382" s="12"/>
      <x:c r="BL382" s="12"/>
      <x:c r="BM382" s="12"/>
      <x:c r="BN382" s="12"/>
      <x:c r="BO382" s="12"/>
      <x:c r="BP382" s="12"/>
      <x:c r="BQ382" s="12"/>
      <x:c r="BR382" s="12"/>
      <x:c r="BS382" s="12"/>
      <x:c r="BT382" s="12"/>
      <x:c r="BU382" s="11" t="n">
        <x:v>0</x:v>
      </x:c>
      <x:c r="BV382" s="11" t="n">
        <x:v>731803</x:v>
      </x:c>
      <x:c r="BW382" s="11" t="n">
        <x:v>26724</x:v>
      </x:c>
      <x:c r="BX382" s="11" t="n">
        <x:v>157578</x:v>
      </x:c>
      <x:c r="BY382" s="11" t="n">
        <x:v>0</x:v>
      </x:c>
      <x:c r="BZ382" s="11" t="n">
        <x:v>0</x:v>
      </x:c>
      <x:c r="CA382" s="11" t="n">
        <x:v>7815</x:v>
      </x:c>
      <x:c r="CB382" s="11" t="n">
        <x:v>0</x:v>
      </x:c>
      <x:c r="CC382" s="11" t="n">
        <x:v>596074</x:v>
      </x:c>
      <x:c r="CD382" s="11" t="n">
        <x:v>639752</x:v>
      </x:c>
      <x:c r="CE382" s="11" t="n">
        <x:v>390275</x:v>
      </x:c>
      <x:c r="CF382" s="11" t="n">
        <x:v>0</x:v>
      </x:c>
      <x:c r="CG382" s="11" t="n">
        <x:v>0</x:v>
      </x:c>
      <x:c r="CH382" s="11" t="n">
        <x:v>277446</x:v>
      </x:c>
      <x:c r="CI382" s="11" t="n">
        <x:v>866393</x:v>
      </x:c>
      <x:c r="CJ382" s="11" t="n">
        <x:v>662720</x:v>
      </x:c>
      <x:c r="CK382" s="11" t="n">
        <x:v>427286</x:v>
      </x:c>
      <x:c r="CL382" s="11" t="n">
        <x:v>0</x:v>
      </x:c>
      <x:c r="CM382" s="11"/>
      <x:c r="CN382" s="11" t="n">
        <x:v>0</x:v>
      </x:c>
      <x:c r="CO382" s="11" t="n">
        <x:v>0</x:v>
      </x:c>
      <x:c r="CP382" s="8"/>
      <x:c r="CQ382" s="8"/>
    </x:row>
    <x:row r="383">
      <x:c r="A383" s="8" t="str">
        <x:v>Lake Cowichan|2020</x:v>
      </x:c>
      <x:c r="B383" s="8" t="str">
        <x:v>lake-cowichan-t</x:v>
      </x:c>
      <x:c r="C383" s="8" t="str">
        <x:v>Lake Cowichan</x:v>
      </x:c>
      <x:c r="D383" s="8" t="str">
        <x:v>Lake Cowichan</x:v>
      </x:c>
      <x:c r="E383" s="8" t="str">
        <x:v>T</x:v>
      </x:c>
      <x:c r="F383" s="8" t="str">
        <x:v>COW</x:v>
      </x:c>
      <x:c r="G383" s="9" t="n">
        <x:v>2020</x:v>
      </x:c>
      <x:c r="H383" s="10" t="n">
        <x:v>3651</x:v>
      </x:c>
      <x:c r="I383" s="8" t="str">
        <x:v>Under 5,000</x:v>
      </x:c>
      <x:c r="J383" s="11" t="n">
        <x:v>7105143</x:v>
      </x:c>
      <x:c r="K383" s="11" t="n">
        <x:v>5159067</x:v>
      </x:c>
      <x:c r="L383" s="11" t="n">
        <x:v>1946076</x:v>
      </x:c>
      <x:c r="M383" s="12" t="n">
        <x:v>0.2738968096771592</x:v>
      </x:c>
      <x:c r="N383" s="11" t="n">
        <x:v>2958243</x:v>
      </x:c>
      <x:c r="O383" s="11" t="n">
        <x:v>2359631</x:v>
      </x:c>
      <x:c r="P383" s="11" t="n">
        <x:v>1703206</x:v>
      </x:c>
      <x:c r="Q383" s="11" t="n">
        <x:v>84063</x:v>
      </x:c>
      <x:c r="R383" s="11" t="n">
        <x:v>4107734</x:v>
      </x:c>
      <x:c r="S383" s="11" t="n">
        <x:v>1036198</x:v>
      </x:c>
      <x:c r="T383" s="11" t="n">
        <x:v>14228078</x:v>
      </x:c>
      <x:c r="U383" s="11" t="n">
        <x:v>5533141</x:v>
      </x:c>
      <x:c r="V383" s="11" t="n">
        <x:v>9390934</x:v>
      </x:c>
      <x:c r="W383" s="11" t="n">
        <x:v>2960913</x:v>
      </x:c>
      <x:c r="X383" s="11" t="n">
        <x:v>728017</x:v>
      </x:c>
      <x:c r="Y383" s="11" t="n">
        <x:v>0</x:v>
      </x:c>
      <x:c r="Z383" s="11" t="n">
        <x:v>201387</x:v>
      </x:c>
      <x:c r="AA383" s="11" t="n">
        <x:v>526630</x:v>
      </x:c>
      <x:c r="AB383" s="11" t="n">
        <x:v>15135</x:v>
      </x:c>
      <x:c r="AC383" s="11" t="n">
        <x:v>216522</x:v>
      </x:c>
      <x:c r="AD383" s="11" t="n">
        <x:v>1469451</x:v>
      </x:c>
      <x:c r="AE383" s="11" t="n">
        <x:v>1252929</x:v>
      </x:c>
      <x:c r="AF383" s="11" t="n">
        <x:v>5877804</x:v>
      </x:c>
      <x:c r="AG383" s="11" t="n">
        <x:v>44819233</x:v>
      </x:c>
      <x:c r="AH383" s="11" t="n">
        <x:v>12892267</x:v>
      </x:c>
      <x:c r="AI383" s="11" t="n">
        <x:v>31926966</x:v>
      </x:c>
      <x:c r="AJ383" s="11" t="n">
        <x:v>1005684</x:v>
      </x:c>
      <x:c r="AK383" s="11" t="n">
        <x:v>5958372</x:v>
      </x:c>
      <x:c r="AL383" s="11" t="n">
        <x:v>0</x:v>
      </x:c>
      <x:c r="AM383" s="12" t="n">
        <x:v>1</x:v>
      </x:c>
      <x:c r="AN383" s="12" t="n">
        <x:v>0.1687850305418997</x:v>
      </x:c>
      <x:c r="AO383" s="11" t="n">
        <x:v>6193141</x:v>
      </x:c>
      <x:c r="AP383" s="11" t="n">
        <x:v>5744320</x:v>
      </x:c>
      <x:c r="AQ383" s="12" t="n">
        <x:v>0.9275293425420155</x:v>
      </x:c>
      <x:c r="AR383" s="11" t="n">
        <x:v>1946.0813475760065</x:v>
      </x:c>
      <x:c r="AS383" s="11" t="n">
        <x:v>1413.0558751027115</x:v>
      </x:c>
      <x:c r="AT383" s="11" t="n">
        <x:v>2572.153930430019</x:v>
      </x:c>
      <x:c r="AU383" s="11" t="n">
        <x:v>810.9868529170091</x:v>
      </x:c>
      <x:c r="AV383" s="11" t="n">
        <x:v>144.24267324020815</x:v>
      </x:c>
      <x:c r="AW383" s="11" t="n">
        <x:v>2.571428777976198</x:v>
      </x:c>
      <x:c r="AX383" s="12" t="n">
        <x:v>0.8526510921425757</x:v>
      </x:c>
      <x:c r="AY383" s="11"/>
      <x:c r="AZ383" s="11"/>
      <x:c r="BA383" s="11"/>
      <x:c r="BB383" s="11"/>
      <x:c r="BC383" s="11"/>
      <x:c r="BD383" s="11"/>
      <x:c r="BE383" s="11"/>
      <x:c r="BF383" s="11"/>
      <x:c r="BG383" s="11"/>
      <x:c r="BH383" s="11"/>
      <x:c r="BI383" s="11"/>
      <x:c r="BJ383" s="11"/>
      <x:c r="BK383" s="12"/>
      <x:c r="BL383" s="12"/>
      <x:c r="BM383" s="12"/>
      <x:c r="BN383" s="12"/>
      <x:c r="BO383" s="12"/>
      <x:c r="BP383" s="12"/>
      <x:c r="BQ383" s="12"/>
      <x:c r="BR383" s="12"/>
      <x:c r="BS383" s="12"/>
      <x:c r="BT383" s="12"/>
      <x:c r="BU383" s="11" t="n">
        <x:v>0</x:v>
      </x:c>
      <x:c r="BV383" s="11" t="n">
        <x:v>1660411</x:v>
      </x:c>
      <x:c r="BW383" s="11" t="n">
        <x:v>42795</x:v>
      </x:c>
      <x:c r="BX383" s="11" t="n">
        <x:v>76729</x:v>
      </x:c>
      <x:c r="BY383" s="11" t="n">
        <x:v>0</x:v>
      </x:c>
      <x:c r="BZ383" s="11" t="n">
        <x:v>0</x:v>
      </x:c>
      <x:c r="CA383" s="11" t="n">
        <x:v>0</x:v>
      </x:c>
      <x:c r="CB383" s="11" t="n">
        <x:v>7334</x:v>
      </x:c>
      <x:c r="CC383" s="11" t="n">
        <x:v>650848</x:v>
      </x:c>
      <x:c r="CD383" s="11" t="n">
        <x:v>533010</x:v>
      </x:c>
      <x:c r="CE383" s="11" t="n">
        <x:v>408715</x:v>
      </x:c>
      <x:c r="CF383" s="11" t="n">
        <x:v>0</x:v>
      </x:c>
      <x:c r="CG383" s="11" t="n">
        <x:v>0</x:v>
      </x:c>
      <x:c r="CH383" s="11" t="n">
        <x:v>411398</x:v>
      </x:c>
      <x:c r="CI383" s="11" t="n">
        <x:v>727592</x:v>
      </x:c>
      <x:c r="CJ383" s="11" t="n">
        <x:v>908130</x:v>
      </x:c>
      <x:c r="CK383" s="11" t="n">
        <x:v>466862</x:v>
      </x:c>
      <x:c r="CL383" s="11" t="n">
        <x:v>0</x:v>
      </x:c>
      <x:c r="CM383" s="11"/>
      <x:c r="CN383" s="11" t="n">
        <x:v>16314</x:v>
      </x:c>
      <x:c r="CO383" s="11" t="n">
        <x:v>0</x:v>
      </x:c>
      <x:c r="CP383" s="8"/>
      <x:c r="CQ383" s="8"/>
    </x:row>
    <x:row r="384">
      <x:c r="A384" s="8" t="str">
        <x:v>Lake Cowichan|2021</x:v>
      </x:c>
      <x:c r="B384" s="8" t="str">
        <x:v>lake-cowichan-t</x:v>
      </x:c>
      <x:c r="C384" s="8" t="str">
        <x:v>Lake Cowichan</x:v>
      </x:c>
      <x:c r="D384" s="8" t="str">
        <x:v>Lake Cowichan</x:v>
      </x:c>
      <x:c r="E384" s="8" t="str">
        <x:v>T</x:v>
      </x:c>
      <x:c r="F384" s="8" t="str">
        <x:v>COW</x:v>
      </x:c>
      <x:c r="G384" s="9" t="n">
        <x:v>2021</x:v>
      </x:c>
      <x:c r="H384" s="10" t="n">
        <x:v>3600</x:v>
      </x:c>
      <x:c r="I384" s="8" t="str">
        <x:v>Under 5,000</x:v>
      </x:c>
      <x:c r="J384" s="11" t="n">
        <x:v>7975507</x:v>
      </x:c>
      <x:c r="K384" s="11" t="n">
        <x:v>5661128</x:v>
      </x:c>
      <x:c r="L384" s="11" t="n">
        <x:v>2314379</x:v>
      </x:c>
      <x:c r="M384" s="12" t="n">
        <x:v>0.29018581514629727</x:v>
      </x:c>
      <x:c r="N384" s="11" t="n">
        <x:v>3027862</x:v>
      </x:c>
      <x:c r="O384" s="11" t="n">
        <x:v>2986289</x:v>
      </x:c>
      <x:c r="P384" s="11" t="n">
        <x:v>651083</x:v>
      </x:c>
      <x:c r="Q384" s="11" t="n">
        <x:v>1310273</x:v>
      </x:c>
      <x:c r="R384" s="11" t="n">
        <x:v>4440382</x:v>
      </x:c>
      <x:c r="S384" s="11" t="n">
        <x:v>1213466</x:v>
      </x:c>
      <x:c r="T384" s="11" t="n">
        <x:v>16269986</x:v>
      </x:c>
      <x:c r="U384" s="11" t="n">
        <x:v>6335826</x:v>
      </x:c>
      <x:c r="V384" s="11" t="n">
        <x:v>10541724</x:v>
      </x:c>
      <x:c r="W384" s="11" t="n">
        <x:v>2826504</x:v>
      </x:c>
      <x:c r="X384" s="11" t="n">
        <x:v>526630</x:v>
      </x:c>
      <x:c r="Y384" s="11" t="n">
        <x:v>0</x:v>
      </x:c>
      <x:c r="Z384" s="11" t="n">
        <x:v>190192</x:v>
      </x:c>
      <x:c r="AA384" s="11" t="n">
        <x:v>336438</x:v>
      </x:c>
      <x:c r="AB384" s="11" t="n">
        <x:v>7280</x:v>
      </x:c>
      <x:c r="AC384" s="11" t="n">
        <x:v>197472</x:v>
      </x:c>
      <x:c r="AD384" s="11" t="n">
        <x:v>1631723</x:v>
      </x:c>
      <x:c r="AE384" s="11" t="n">
        <x:v>1434251</x:v>
      </x:c>
      <x:c r="AF384" s="11" t="n">
        <x:v>6526893</x:v>
      </x:c>
      <x:c r="AG384" s="11" t="n">
        <x:v>47106456</x:v>
      </x:c>
      <x:c r="AH384" s="11" t="n">
        <x:v>14062592</x:v>
      </x:c>
      <x:c r="AI384" s="11" t="n">
        <x:v>33043864</x:v>
      </x:c>
      <x:c r="AJ384" s="11" t="n">
        <x:v>2610015</x:v>
      </x:c>
      <x:c r="AK384" s="11" t="n">
        <x:v>6071874</x:v>
      </x:c>
      <x:c r="AL384" s="11" t="n">
        <x:v>0</x:v>
      </x:c>
      <x:c r="AM384" s="12" t="n">
        <x:v>1</x:v>
      </x:c>
      <x:c r="AN384" s="12" t="n">
        <x:v>0.429853287469404</x:v>
      </x:c>
      <x:c r="AO384" s="11" t="n">
        <x:v>6355627</x:v>
      </x:c>
      <x:c r="AP384" s="11" t="n">
        <x:v>6008381</x:v>
      </x:c>
      <x:c r="AQ384" s="12" t="n">
        <x:v>0.9453640057857392</x:v>
      </x:c>
      <x:c r="AR384" s="11" t="n">
        <x:v>2215.418611111111</x:v>
      </x:c>
      <x:c r="AS384" s="11" t="n">
        <x:v>1572.5355555555554</x:v>
      </x:c>
      <x:c r="AT384" s="11" t="n">
        <x:v>2928.2566666666667</x:v>
      </x:c>
      <x:c r="AU384" s="11" t="n">
        <x:v>785.14</x:v>
      </x:c>
      <x:c r="AV384" s="11" t="n">
        <x:v>93.455</x:v>
      </x:c>
      <x:c r="AW384" s="11" t="n">
        <x:v>2.5679344729479627</x:v>
      </x:c>
      <x:c r="AX384" s="12" t="n">
        <x:v>0.8789794591361402</x:v>
      </x:c>
      <x:c r="AY384" s="11"/>
      <x:c r="AZ384" s="11"/>
      <x:c r="BA384" s="11"/>
      <x:c r="BB384" s="11"/>
      <x:c r="BC384" s="11"/>
      <x:c r="BD384" s="11"/>
      <x:c r="BE384" s="11"/>
      <x:c r="BF384" s="11"/>
      <x:c r="BG384" s="11"/>
      <x:c r="BH384" s="11"/>
      <x:c r="BI384" s="11"/>
      <x:c r="BJ384" s="11"/>
      <x:c r="BK384" s="12"/>
      <x:c r="BL384" s="12"/>
      <x:c r="BM384" s="12"/>
      <x:c r="BN384" s="12"/>
      <x:c r="BO384" s="12"/>
      <x:c r="BP384" s="12"/>
      <x:c r="BQ384" s="12"/>
      <x:c r="BR384" s="12"/>
      <x:c r="BS384" s="12"/>
      <x:c r="BT384" s="12"/>
      <x:c r="BU384" s="11" t="n">
        <x:v>0</x:v>
      </x:c>
      <x:c r="BV384" s="11" t="n">
        <x:v>517792</x:v>
      </x:c>
      <x:c r="BW384" s="11" t="n">
        <x:v>133291</x:v>
      </x:c>
      <x:c r="BX384" s="11" t="n">
        <x:v>19914</x:v>
      </x:c>
      <x:c r="BY384" s="11" t="n">
        <x:v>0</x:v>
      </x:c>
      <x:c r="BZ384" s="11" t="n">
        <x:v>1290359</x:v>
      </x:c>
      <x:c r="CA384" s="11" t="n">
        <x:v>0</x:v>
      </x:c>
      <x:c r="CB384" s="11" t="n">
        <x:v>0</x:v>
      </x:c>
      <x:c r="CC384" s="11" t="n">
        <x:v>990823</x:v>
      </x:c>
      <x:c r="CD384" s="11" t="n">
        <x:v>631038</x:v>
      </x:c>
      <x:c r="CE384" s="11" t="n">
        <x:v>410766</x:v>
      </x:c>
      <x:c r="CF384" s="11" t="n">
        <x:v>0</x:v>
      </x:c>
      <x:c r="CG384" s="11" t="n">
        <x:v>0</x:v>
      </x:c>
      <x:c r="CH384" s="11" t="n">
        <x:v>374842</x:v>
      </x:c>
      <x:c r="CI384" s="11" t="n">
        <x:v>834422</x:v>
      </x:c>
      <x:c r="CJ384" s="11" t="n">
        <x:v>716571</x:v>
      </x:c>
      <x:c r="CK384" s="11" t="n">
        <x:v>480833</x:v>
      </x:c>
      <x:c r="CL384" s="11" t="n">
        <x:v>0</x:v>
      </x:c>
      <x:c r="CM384" s="11"/>
      <x:c r="CN384" s="11" t="n">
        <x:v>8367</x:v>
      </x:c>
      <x:c r="CO384" s="11" t="n">
        <x:v>0</x:v>
      </x:c>
      <x:c r="CP384" s="8"/>
      <x:c r="CQ384" s="8"/>
    </x:row>
    <x:row r="385">
      <x:c r="A385" s="8" t="str">
        <x:v>Lake Cowichan|2022</x:v>
      </x:c>
      <x:c r="B385" s="8" t="str">
        <x:v>lake-cowichan-t</x:v>
      </x:c>
      <x:c r="C385" s="8" t="str">
        <x:v>Lake Cowichan</x:v>
      </x:c>
      <x:c r="D385" s="8" t="str">
        <x:v>Lake Cowichan</x:v>
      </x:c>
      <x:c r="E385" s="8" t="str">
        <x:v>T</x:v>
      </x:c>
      <x:c r="F385" s="8" t="str">
        <x:v>COW</x:v>
      </x:c>
      <x:c r="G385" s="9" t="n">
        <x:v>2022</x:v>
      </x:c>
      <x:c r="H385" s="10" t="n">
        <x:v>49345</x:v>
      </x:c>
      <x:c r="I385" s="8" t="str">
        <x:v>20,000 to 99,999</x:v>
      </x:c>
      <x:c r="J385" s="11" t="n">
        <x:v>9572754</x:v>
      </x:c>
      <x:c r="K385" s="11" t="n">
        <x:v>5669280</x:v>
      </x:c>
      <x:c r="L385" s="11" t="n">
        <x:v>3903474</x:v>
      </x:c>
      <x:c r="M385" s="12" t="n">
        <x:v>0.4077691748894832</x:v>
      </x:c>
      <x:c r="N385" s="11" t="n">
        <x:v>3506809</x:v>
      </x:c>
      <x:c r="O385" s="11" t="n">
        <x:v>3319765</x:v>
      </x:c>
      <x:c r="P385" s="11" t="n">
        <x:v>2484481</x:v>
      </x:c>
      <x:c r="Q385" s="11" t="n">
        <x:v>261699</x:v>
      </x:c>
      <x:c r="R385" s="11" t="n">
        <x:v>4387823</x:v>
      </x:c>
      <x:c r="S385" s="11" t="n">
        <x:v>1272407</x:v>
      </x:c>
      <x:c r="T385" s="11" t="n">
        <x:v>17961979</x:v>
      </x:c>
      <x:c r="U385" s="11" t="n">
        <x:v>5604802</x:v>
      </x:c>
      <x:c r="V385" s="11" t="n">
        <x:v>13221600</x:v>
      </x:c>
      <x:c r="W385" s="11" t="n">
        <x:v>2008996</x:v>
      </x:c>
      <x:c r="X385" s="11" t="n">
        <x:v>336438</x:v>
      </x:c>
      <x:c r="Y385" s="11" t="n">
        <x:v>0</x:v>
      </x:c>
      <x:c r="Z385" s="11" t="n">
        <x:v>170986</x:v>
      </x:c>
      <x:c r="AA385" s="11" t="n">
        <x:v>165452</x:v>
      </x:c>
      <x:c r="AB385" s="11" t="n">
        <x:v>9050</x:v>
      </x:c>
      <x:c r="AC385" s="11" t="n">
        <x:v>180036</x:v>
      </x:c>
      <x:c r="AD385" s="11" t="n">
        <x:v>1975155</x:v>
      </x:c>
      <x:c r="AE385" s="11" t="n">
        <x:v>1795119</x:v>
      </x:c>
      <x:c r="AF385" s="11" t="n">
        <x:v>7900619</x:v>
      </x:c>
      <x:c r="AG385" s="11" t="n">
        <x:v>49604010</x:v>
      </x:c>
      <x:c r="AH385" s="11" t="n">
        <x:v>15334999</x:v>
      </x:c>
      <x:c r="AI385" s="11" t="n">
        <x:v>34269011</x:v>
      </x:c>
      <x:c r="AJ385" s="11" t="n">
        <x:v>2497554</x:v>
      </x:c>
      <x:c r="AK385" s="11" t="n">
        <x:v>8108112</x:v>
      </x:c>
      <x:c r="AL385" s="11" t="n">
        <x:v>0</x:v>
      </x:c>
      <x:c r="AM385" s="12" t="n">
        <x:v>1</x:v>
      </x:c>
      <x:c r="AN385" s="12" t="n">
        <x:v>0.3080315121448742</x:v>
      </x:c>
      <x:c r="AO385" s="11" t="n">
        <x:v>7316858</x:v>
      </x:c>
      <x:c r="AP385" s="11" t="n">
        <x:v>6905702</x:v>
      </x:c>
      <x:c r="AQ385" s="12" t="n">
        <x:v>0.9438070275519902</x:v>
      </x:c>
      <x:c r="AR385" s="11" t="n">
        <x:v>193.99643327591448</x:v>
      </x:c>
      <x:c r="AS385" s="11" t="n">
        <x:v>114.89066774749215</x:v>
      </x:c>
      <x:c r="AT385" s="11" t="n">
        <x:v>267.94204073361027</x:v>
      </x:c>
      <x:c r="AU385" s="11" t="n">
        <x:v>40.713263755193026</x:v>
      </x:c>
      <x:c r="AV385" s="11" t="n">
        <x:v>3.352963826122201</x:v>
      </x:c>
      <x:c r="AW385" s="11" t="n">
        <x:v>3.2047481784369904</x:v>
      </x:c>
      <x:c r="AX385" s="12" t="n">
        <x:v>0.9088496852145781</x:v>
      </x:c>
      <x:c r="AY385" s="11"/>
      <x:c r="AZ385" s="11"/>
      <x:c r="BA385" s="11"/>
      <x:c r="BB385" s="11"/>
      <x:c r="BC385" s="11"/>
      <x:c r="BD385" s="11"/>
      <x:c r="BE385" s="11"/>
      <x:c r="BF385" s="11"/>
      <x:c r="BG385" s="11"/>
      <x:c r="BH385" s="11"/>
      <x:c r="BI385" s="11"/>
      <x:c r="BJ385" s="11"/>
      <x:c r="BK385" s="12"/>
      <x:c r="BL385" s="12"/>
      <x:c r="BM385" s="12"/>
      <x:c r="BN385" s="12"/>
      <x:c r="BO385" s="12"/>
      <x:c r="BP385" s="12"/>
      <x:c r="BQ385" s="12"/>
      <x:c r="BR385" s="12"/>
      <x:c r="BS385" s="12"/>
      <x:c r="BT385" s="12"/>
      <x:c r="BU385" s="11" t="n">
        <x:v>0</x:v>
      </x:c>
      <x:c r="BV385" s="11" t="n">
        <x:v>829733</x:v>
      </x:c>
      <x:c r="BW385" s="11" t="n">
        <x:v>1654748</x:v>
      </x:c>
      <x:c r="BX385" s="11" t="n">
        <x:v>261699</x:v>
      </x:c>
      <x:c r="BY385" s="11" t="n">
        <x:v>0</x:v>
      </x:c>
      <x:c r="BZ385" s="11" t="n">
        <x:v>0</x:v>
      </x:c>
      <x:c r="CA385" s="11" t="n">
        <x:v>0</x:v>
      </x:c>
      <x:c r="CB385" s="11" t="n">
        <x:v>0</x:v>
      </x:c>
      <x:c r="CC385" s="11" t="n">
        <x:v>740365</x:v>
      </x:c>
      <x:c r="CD385" s="11" t="n">
        <x:v>790782</x:v>
      </x:c>
      <x:c r="CE385" s="11" t="n">
        <x:v>412771</x:v>
      </x:c>
      <x:c r="CF385" s="11" t="n">
        <x:v>0</x:v>
      </x:c>
      <x:c r="CG385" s="11" t="n">
        <x:v>0</x:v>
      </x:c>
      <x:c r="CH385" s="11" t="n">
        <x:v>294850</x:v>
      </x:c>
      <x:c r="CI385" s="11" t="n">
        <x:v>934851</x:v>
      </x:c>
      <x:c r="CJ385" s="11" t="n">
        <x:v>778370</x:v>
      </x:c>
      <x:c r="CK385" s="11" t="n">
        <x:v>444884</x:v>
      </x:c>
      <x:c r="CL385" s="11" t="n">
        <x:v>0</x:v>
      </x:c>
      <x:c r="CM385" s="11"/>
      <x:c r="CN385" s="11" t="n">
        <x:v>0</x:v>
      </x:c>
      <x:c r="CO385" s="11" t="n">
        <x:v>0</x:v>
      </x:c>
      <x:c r="CP385" s="8"/>
      <x:c r="CQ385" s="8"/>
    </x:row>
    <x:row r="386">
      <x:c r="A386" s="8" t="str">
        <x:v>Lake Cowichan|2023</x:v>
      </x:c>
      <x:c r="B386" s="8" t="str">
        <x:v>lake-cowichan-t</x:v>
      </x:c>
      <x:c r="C386" s="8" t="str">
        <x:v>Lake Cowichan</x:v>
      </x:c>
      <x:c r="D386" s="8" t="str">
        <x:v>Lake Cowichan</x:v>
      </x:c>
      <x:c r="E386" s="8" t="str">
        <x:v>T</x:v>
      </x:c>
      <x:c r="F386" s="8" t="str">
        <x:v>COW</x:v>
      </x:c>
      <x:c r="G386" s="9" t="n">
        <x:v>2023</x:v>
      </x:c>
      <x:c r="H386" s="10" t="n">
        <x:v>3748</x:v>
      </x:c>
      <x:c r="I386" s="8" t="str">
        <x:v>Under 5,000</x:v>
      </x:c>
      <x:c r="J386" s="11" t="n">
        <x:v>14337729</x:v>
      </x:c>
      <x:c r="K386" s="11" t="n">
        <x:v>6420031</x:v>
      </x:c>
      <x:c r="L386" s="11" t="n">
        <x:v>7917698</x:v>
      </x:c>
      <x:c r="M386" s="12" t="n">
        <x:v>0.5522281806274899</x:v>
      </x:c>
      <x:c r="N386" s="11" t="n">
        <x:v>3680980</x:v>
      </x:c>
      <x:c r="O386" s="11" t="n">
        <x:v>3603347</x:v>
      </x:c>
      <x:c r="P386" s="11" t="n">
        <x:v>4146008</x:v>
      </x:c>
      <x:c r="Q386" s="11" t="n">
        <x:v>2907394</x:v>
      </x:c>
      <x:c r="R386" s="11" t="n">
        <x:v>5115290</x:v>
      </x:c>
      <x:c r="S386" s="11" t="n">
        <x:v>1295371</x:v>
      </x:c>
      <x:c r="T386" s="11" t="n">
        <x:v>22278043</x:v>
      </x:c>
      <x:c r="U386" s="11" t="n">
        <x:v>5182609</x:v>
      </x:c>
      <x:c r="V386" s="11" t="n">
        <x:v>17960731</x:v>
      </x:c>
      <x:c r="W386" s="11" t="n">
        <x:v>2184290</x:v>
      </x:c>
      <x:c r="X386" s="11" t="n">
        <x:v>165452</x:v>
      </x:c>
      <x:c r="Y386" s="11" t="n">
        <x:v>0</x:v>
      </x:c>
      <x:c r="Z386" s="11" t="n">
        <x:v>132559</x:v>
      </x:c>
      <x:c r="AA386" s="11" t="n">
        <x:v>32893</x:v>
      </x:c>
      <x:c r="AB386" s="11" t="n">
        <x:v>9370</x:v>
      </x:c>
      <x:c r="AC386" s="11" t="n">
        <x:v>141929</x:v>
      </x:c>
      <x:c r="AD386" s="11" t="n">
        <x:v>2166749</x:v>
      </x:c>
      <x:c r="AE386" s="11" t="n">
        <x:v>2024820</x:v>
      </x:c>
      <x:c r="AF386" s="11" t="n">
        <x:v>8666996</x:v>
      </x:c>
      <x:c r="AG386" s="11" t="n">
        <x:v>53982353</x:v>
      </x:c>
      <x:c r="AH386" s="11" t="n">
        <x:v>16595498</x:v>
      </x:c>
      <x:c r="AI386" s="11" t="n">
        <x:v>37386855</x:v>
      </x:c>
      <x:c r="AJ386" s="11" t="n">
        <x:v>4040015</x:v>
      </x:c>
      <x:c r="AK386" s="11" t="n">
        <x:v>5621318</x:v>
      </x:c>
      <x:c r="AL386" s="11" t="n">
        <x:v>0</x:v>
      </x:c>
      <x:c r="AM386" s="12" t="n">
        <x:v>1</x:v>
      </x:c>
      <x:c r="AN386" s="12" t="n">
        <x:v>0.7186953308814765</x:v>
      </x:c>
      <x:c r="AO386" s="11" t="n">
        <x:v>8126337</x:v>
      </x:c>
      <x:c r="AP386" s="11" t="n">
        <x:v>7690959</x:v>
      </x:c>
      <x:c r="AQ386" s="12" t="n">
        <x:v>0.9464238315491962</x:v>
      </x:c>
      <x:c r="AR386" s="11" t="n">
        <x:v>3825.4346318036287</x:v>
      </x:c>
      <x:c r="AS386" s="11" t="n">
        <x:v>1712.9218249733192</x:v>
      </x:c>
      <x:c r="AT386" s="11" t="n">
        <x:v>4792.084044823906</x:v>
      </x:c>
      <x:c r="AU386" s="11" t="n">
        <x:v>582.7881536819638</x:v>
      </x:c>
      <x:c r="AV386" s="11" t="n">
        <x:v>8.776147278548558</x:v>
      </x:c>
      <x:c r="AW386" s="11" t="n">
        <x:v>4.298615427094732</x:v>
      </x:c>
      <x:c r="AX386" s="12" t="n">
        <x:v>0.9344967968140288</x:v>
      </x:c>
      <x:c r="AY386" s="11"/>
      <x:c r="AZ386" s="11"/>
      <x:c r="BA386" s="11"/>
      <x:c r="BB386" s="11"/>
      <x:c r="BC386" s="11"/>
      <x:c r="BD386" s="11"/>
      <x:c r="BE386" s="11"/>
      <x:c r="BF386" s="11"/>
      <x:c r="BG386" s="11"/>
      <x:c r="BH386" s="11"/>
      <x:c r="BI386" s="11"/>
      <x:c r="BJ386" s="11"/>
      <x:c r="BK386" s="12"/>
      <x:c r="BL386" s="12"/>
      <x:c r="BM386" s="12"/>
      <x:c r="BN386" s="12"/>
      <x:c r="BO386" s="12"/>
      <x:c r="BP386" s="12"/>
      <x:c r="BQ386" s="12"/>
      <x:c r="BR386" s="12"/>
      <x:c r="BS386" s="12"/>
      <x:c r="BT386" s="12"/>
      <x:c r="BU386" s="11" t="n">
        <x:v>0</x:v>
      </x:c>
      <x:c r="BV386" s="11" t="n">
        <x:v>2787228</x:v>
      </x:c>
      <x:c r="BW386" s="11" t="n">
        <x:v>1358780</x:v>
      </x:c>
      <x:c r="BX386" s="11" t="n">
        <x:v>908026</x:v>
      </x:c>
      <x:c r="BY386" s="11" t="n">
        <x:v>0</x:v>
      </x:c>
      <x:c r="BZ386" s="11" t="n">
        <x:v>1999368</x:v>
      </x:c>
      <x:c r="CA386" s="11" t="n">
        <x:v>0</x:v>
      </x:c>
      <x:c r="CB386" s="11" t="n">
        <x:v>0</x:v>
      </x:c>
      <x:c r="CC386" s="11" t="n">
        <x:v>956095</x:v>
      </x:c>
      <x:c r="CD386" s="11" t="n">
        <x:v>861685</x:v>
      </x:c>
      <x:c r="CE386" s="11" t="n">
        <x:v>507941</x:v>
      </x:c>
      <x:c r="CF386" s="11" t="n">
        <x:v>0</x:v>
      </x:c>
      <x:c r="CG386" s="11" t="n">
        <x:v>0</x:v>
      </x:c>
      <x:c r="CH386" s="11" t="n">
        <x:v>256825</x:v>
      </x:c>
      <x:c r="CI386" s="11" t="n">
        <x:v>1051054</x:v>
      </x:c>
      <x:c r="CJ386" s="11" t="n">
        <x:v>832949</x:v>
      </x:c>
      <x:c r="CK386" s="11" t="n">
        <x:v>658111</x:v>
      </x:c>
      <x:c r="CL386" s="11" t="n">
        <x:v>0</x:v>
      </x:c>
      <x:c r="CM386" s="11" t="n">
        <x:v>0</x:v>
      </x:c>
      <x:c r="CN386" s="11" t="n">
        <x:v>0</x:v>
      </x:c>
      <x:c r="CO386" s="11" t="n">
        <x:v>0</x:v>
      </x:c>
      <x:c r="CP386" s="8"/>
      <x:c r="CQ386" s="8"/>
    </x:row>
    <x:row r="387">
      <x:c r="A387" s="8" t="str">
        <x:v>Lake Cowichan|2024</x:v>
      </x:c>
      <x:c r="B387" s="8" t="str">
        <x:v>lake-cowichan-t</x:v>
      </x:c>
      <x:c r="C387" s="8" t="str">
        <x:v>Lake Cowichan</x:v>
      </x:c>
      <x:c r="D387" s="8" t="str">
        <x:v>Lake Cowichan</x:v>
      </x:c>
      <x:c r="E387" s="8" t="str">
        <x:v>T</x:v>
      </x:c>
      <x:c r="F387" s="8" t="str">
        <x:v>COW</x:v>
      </x:c>
      <x:c r="G387" s="9" t="n">
        <x:v>2024</x:v>
      </x:c>
      <x:c r="H387" s="10" t="n">
        <x:v>3748</x:v>
      </x:c>
      <x:c r="I387" s="8" t="str">
        <x:v>Under 5,000</x:v>
      </x:c>
      <x:c r="J387" s="11" t="n">
        <x:v>10555715</x:v>
      </x:c>
      <x:c r="K387" s="11" t="n">
        <x:v>6531044</x:v>
      </x:c>
      <x:c r="L387" s="11" t="n">
        <x:v>4024671</x:v>
      </x:c>
      <x:c r="M387" s="12" t="n">
        <x:v>0.3812788617350885</x:v>
      </x:c>
      <x:c r="N387" s="11" t="n">
        <x:v>3816193</x:v>
      </x:c>
      <x:c r="O387" s="11" t="n">
        <x:v>3510725</x:v>
      </x:c>
      <x:c r="P387" s="11" t="n">
        <x:v>1562624</x:v>
      </x:c>
      <x:c r="Q387" s="11" t="n">
        <x:v>1666173</x:v>
      </x:c>
      <x:c r="R387" s="11" t="n">
        <x:v>5101161</x:v>
      </x:c>
      <x:c r="S387" s="11" t="n">
        <x:v>1420537</x:v>
      </x:c>
      <x:c r="T387" s="11" t="n">
        <x:v>25868014</x:v>
      </x:c>
      <x:c r="U387" s="11" t="n">
        <x:v>5367090</x:v>
      </x:c>
      <x:c r="V387" s="11" t="n">
        <x:v>21408634</x:v>
      </x:c>
      <x:c r="W387" s="11" t="n">
        <x:v>3825070</x:v>
      </x:c>
      <x:c r="X387" s="11" t="n">
        <x:v>0</x:v>
      </x:c>
      <x:c r="Y387" s="11" t="n">
        <x:v>0</x:v>
      </x:c>
      <x:c r="Z387" s="11" t="n">
        <x:v>0</x:v>
      </x:c>
      <x:c r="AA387" s="11" t="n">
        <x:v>0</x:v>
      </x:c>
      <x:c r="AB387" s="11" t="n">
        <x:v>9346</x:v>
      </x:c>
      <x:c r="AC387" s="11" t="n">
        <x:v>9346</x:v>
      </x:c>
      <x:c r="AD387" s="11" t="n">
        <x:v>2220121</x:v>
      </x:c>
      <x:c r="AE387" s="11" t="n">
        <x:v>2210775</x:v>
      </x:c>
      <x:c r="AF387" s="11" t="n">
        <x:v>8880484</x:v>
      </x:c>
      <x:c r="AG387" s="11" t="n">
        <x:v>55966678</x:v>
      </x:c>
      <x:c r="AH387" s="11" t="n">
        <x:v>18016035</x:v>
      </x:c>
      <x:c r="AI387" s="11" t="n">
        <x:v>37950643</x:v>
      </x:c>
      <x:c r="AJ387" s="11" t="n">
        <x:v>2084080</x:v>
      </x:c>
      <x:c r="AK387" s="11" t="n">
        <x:v>194568923</x:v>
      </x:c>
      <x:c r="AL387" s="11" t="n">
        <x:v>4210340</x:v>
      </x:c>
      <x:c r="AM387" s="12" t="n">
        <x:v>0.9783606758207732</x:v>
      </x:c>
      <x:c r="AN387" s="12" t="n">
        <x:v>0.010711268623304246</x:v>
      </x:c>
      <x:c r="AO387" s="11" t="n">
        <x:v>8521806</x:v>
      </x:c>
      <x:c r="AP387" s="11" t="n">
        <x:v>8071088</x:v>
      </x:c>
      <x:c r="AQ387" s="12" t="n">
        <x:v>0.9471100374732774</x:v>
      </x:c>
      <x:c r="AR387" s="11" t="n">
        <x:v>2816.3593916755603</x:v>
      </x:c>
      <x:c r="AS387" s="11" t="n">
        <x:v>1742.5410885805763</x:v>
      </x:c>
      <x:c r="AT387" s="11" t="n">
        <x:v>5712.015474919957</x:v>
      </x:c>
      <x:c r="AU387" s="11" t="n">
        <x:v>1020.5629669156883</x:v>
      </x:c>
      <x:c r="AV387" s="11" t="n">
        <x:v>0</x:v>
      </x:c>
      <x:c r="AW387" s="11" t="n">
        <x:v>4.819746641103466</x:v>
      </x:c>
      <x:c r="AX387" s="12" t="n">
        <x:v>0.9957903195366379</x:v>
      </x:c>
      <x:c r="AY387" s="11" t="n">
        <x:v>3295.226833884918</x:v>
      </x:c>
      <x:c r="AZ387" s="11" t="n">
        <x:v>3546.5079302077975</x:v>
      </x:c>
      <x:c r="BA387" s="11" t="n">
        <x:v>2651.6543505296113</x:v>
      </x:c>
      <x:c r="BB387" s="11" t="n">
        <x:v>2783.665107049771</x:v>
      </x:c>
      <x:c r="BC387" s="11" t="n">
        <x:v>2725.020435376871</x:v>
      </x:c>
      <x:c r="BD387" s="11" t="n">
        <x:v>2437.8724475115623</x:v>
      </x:c>
      <x:c r="BE387" s="11" t="n">
        <x:v>1311.726099436231</x:v>
      </x:c>
      <x:c r="BF387" s="11" t="n">
        <x:v>1604.3462673977224</x:v>
      </x:c>
      <x:c r="BG387" s="11" t="n">
        <x:v>745.266315888418</x:v>
      </x:c>
      <x:c r="BH387" s="11" t="n">
        <x:v>518.5374381567245</x:v>
      </x:c>
      <x:c r="BI387" s="11" t="n">
        <x:v>2.026605100433861</x:v>
      </x:c>
      <x:c r="BJ387" s="11" t="n">
        <x:v>1.7099330852451193</x:v>
      </x:c>
      <x:c r="BK387" s="12" t="n">
        <x:v>0.015313583120714683</x:v>
      </x:c>
      <x:c r="BL387" s="12" t="n">
        <x:v>0.02529861000232605</x:v>
      </x:c>
      <x:c r="BM387" s="12" t="n">
        <x:v>0.9862284812495371</x:v>
      </x:c>
      <x:c r="BN387" s="12" t="n">
        <x:v>0.9815511712696461</x:v>
      </x:c>
      <x:c r="BO387" s="12" t="n">
        <x:v>0.804628726290725</x:v>
      </x:c>
      <x:c r="BP387" s="12" t="n">
        <x:v>0.8619101997275483</x:v>
      </x:c>
      <x:c r="BQ387" s="12" t="n">
        <x:v>0.9387070475233437</x:v>
      </x:c>
      <x:c r="BR387" s="12" t="n">
        <x:v>0.9623635142836453</x:v>
      </x:c>
      <x:c r="BS387" s="12" t="n">
        <x:v>0.26007843824193605</x:v>
      </x:c>
      <x:c r="BT387" s="12" t="n">
        <x:v>0.19976549769108282</x:v>
      </x:c>
      <x:c r="BU387" s="11" t="n">
        <x:v>257158</x:v>
      </x:c>
      <x:c r="BV387" s="11" t="n">
        <x:v>1111841</x:v>
      </x:c>
      <x:c r="BW387" s="11" t="n">
        <x:v>193625</x:v>
      </x:c>
      <x:c r="BX387" s="11" t="n">
        <x:v>1040675</x:v>
      </x:c>
      <x:c r="BY387" s="11" t="n">
        <x:v>0</x:v>
      </x:c>
      <x:c r="BZ387" s="11" t="n">
        <x:v>625498</x:v>
      </x:c>
      <x:c r="CA387" s="11" t="n">
        <x:v>0</x:v>
      </x:c>
      <x:c r="CB387" s="11" t="n">
        <x:v>0</x:v>
      </x:c>
      <x:c r="CC387" s="11" t="n">
        <x:v>949516</x:v>
      </x:c>
      <x:c r="CD387" s="11" t="n">
        <x:v>671269</x:v>
      </x:c>
      <x:c r="CE387" s="11" t="n">
        <x:v>521102</x:v>
      </x:c>
      <x:c r="CF387" s="11" t="n">
        <x:v>0</x:v>
      </x:c>
      <x:c r="CG387" s="11" t="n">
        <x:v>0</x:v>
      </x:c>
      <x:c r="CH387" s="11" t="n">
        <x:v>201273</x:v>
      </x:c>
      <x:c r="CI387" s="11" t="n">
        <x:v>1058209</x:v>
      </x:c>
      <x:c r="CJ387" s="11" t="n">
        <x:v>904438</x:v>
      </x:c>
      <x:c r="CK387" s="11" t="n">
        <x:v>804700</x:v>
      </x:c>
      <x:c r="CL387" s="11" t="n">
        <x:v>0</x:v>
      </x:c>
      <x:c r="CM387" s="11" t="n">
        <x:v>0</x:v>
      </x:c>
      <x:c r="CN387" s="11" t="n">
        <x:v>0</x:v>
      </x:c>
      <x:c r="CO387" s="11" t="n">
        <x:v>0</x:v>
      </x:c>
      <x:c r="CP387" s="8"/>
      <x:c r="CQ387" s="8"/>
    </x:row>
    <x:row r="388">
      <x:c r="A388" s="8" t="str">
        <x:v>Langford|2019</x:v>
      </x:c>
      <x:c r="B388" s="8" t="str">
        <x:v>langford-c</x:v>
      </x:c>
      <x:c r="C388" s="8" t="str">
        <x:v>Langford</x:v>
      </x:c>
      <x:c r="D388" s="8" t="str">
        <x:v>Langford</x:v>
      </x:c>
      <x:c r="E388" s="8" t="str">
        <x:v>C</x:v>
      </x:c>
      <x:c r="F388" s="8" t="str">
        <x:v>CAP</x:v>
      </x:c>
      <x:c r="G388" s="9" t="n">
        <x:v>2019</x:v>
      </x:c>
      <x:c r="H388" s="10" t="n">
        <x:v>42653</x:v>
      </x:c>
      <x:c r="I388" s="8" t="str">
        <x:v>20,000 to 99,999</x:v>
      </x:c>
      <x:c r="J388" s="11" t="n">
        <x:v>97848227</x:v>
      </x:c>
      <x:c r="K388" s="11" t="n">
        <x:v>66127458</x:v>
      </x:c>
      <x:c r="L388" s="11" t="n">
        <x:v>31720769</x:v>
      </x:c>
      <x:c r="M388" s="12" t="n">
        <x:v>0.3241833804510326</x:v>
      </x:c>
      <x:c r="N388" s="11" t="n">
        <x:v>33388910</x:v>
      </x:c>
      <x:c r="O388" s="11" t="n">
        <x:v>28156608</x:v>
      </x:c>
      <x:c r="P388" s="11" t="n">
        <x:v>7324896</x:v>
      </x:c>
      <x:c r="Q388" s="11" t="n">
        <x:v>28977813</x:v>
      </x:c>
      <x:c r="R388" s="11" t="n">
        <x:v>56380860</x:v>
      </x:c>
      <x:c r="S388" s="11" t="n">
        <x:v>9042170</x:v>
      </x:c>
      <x:c r="T388" s="11" t="n">
        <x:v>50849430</x:v>
      </x:c>
      <x:c r="U388" s="11" t="n">
        <x:v>73783059</x:v>
      </x:c>
      <x:c r="V388" s="11" t="n">
        <x:v>-8018892</x:v>
      </x:c>
      <x:c r="W388" s="11" t="n">
        <x:v>14614836</x:v>
      </x:c>
      <x:c r="X388" s="11" t="n">
        <x:v>25426850</x:v>
      </x:c>
      <x:c r="Y388" s="11" t="n">
        <x:v>0</x:v>
      </x:c>
      <x:c r="Z388" s="11" t="n">
        <x:v>2126025</x:v>
      </x:c>
      <x:c r="AA388" s="11" t="n">
        <x:v>23300825</x:v>
      </x:c>
      <x:c r="AB388" s="11" t="n">
        <x:v>704428</x:v>
      </x:c>
      <x:c r="AC388" s="11" t="n">
        <x:v>2830453</x:v>
      </x:c>
      <x:c r="AD388" s="11" t="n">
        <x:v>16050309</x:v>
      </x:c>
      <x:c r="AE388" s="11" t="n">
        <x:v>13219856</x:v>
      </x:c>
      <x:c r="AF388" s="11" t="n">
        <x:v>64201235</x:v>
      </x:c>
      <x:c r="AG388" s="11" t="n">
        <x:v>610543259</x:v>
      </x:c>
      <x:c r="AH388" s="11" t="n">
        <x:v>99106578</x:v>
      </x:c>
      <x:c r="AI388" s="11" t="n">
        <x:v>511436681</x:v>
      </x:c>
      <x:c r="AJ388" s="11" t="n">
        <x:v>43461970</x:v>
      </x:c>
      <x:c r="AK388" s="11" t="n">
        <x:v>222194898</x:v>
      </x:c>
      <x:c r="AL388" s="11" t="n">
        <x:v>0</x:v>
      </x:c>
      <x:c r="AM388" s="12" t="n">
        <x:v>1</x:v>
      </x:c>
      <x:c r="AN388" s="12" t="n">
        <x:v>0.19560291613896552</x:v>
      </x:c>
      <x:c r="AO388" s="11" t="n">
        <x:v>66906970</x:v>
      </x:c>
      <x:c r="AP388" s="11" t="n">
        <x:v>65118039</x:v>
      </x:c>
      <x:c r="AQ388" s="12" t="n">
        <x:v>0.973262411972923</x:v>
      </x:c>
      <x:c r="AR388" s="11" t="n">
        <x:v>2294.052634046843</x:v>
      </x:c>
      <x:c r="AS388" s="11" t="n">
        <x:v>1550.3588962089418</x:v>
      </x:c>
      <x:c r="AT388" s="11" t="n">
        <x:v>-188.0030009612454</x:v>
      </x:c>
      <x:c r="AU388" s="11" t="n">
        <x:v>342.64497221766345</x:v>
      </x:c>
      <x:c r="AV388" s="11" t="n">
        <x:v>546.2880688345485</x:v>
      </x:c>
      <x:c r="AW388" s="11" t="n">
        <x:v>0.6891748687188478</x:v>
      </x:c>
      <x:c r="AX388" s="12" t="n">
        <x:v>0.8236511832887454</x:v>
      </x:c>
      <x:c r="AY388" s="11"/>
      <x:c r="AZ388" s="11"/>
      <x:c r="BA388" s="11"/>
      <x:c r="BB388" s="11"/>
      <x:c r="BC388" s="11"/>
      <x:c r="BD388" s="11"/>
      <x:c r="BE388" s="11"/>
      <x:c r="BF388" s="11"/>
      <x:c r="BG388" s="11"/>
      <x:c r="BH388" s="11"/>
      <x:c r="BI388" s="11"/>
      <x:c r="BJ388" s="11"/>
      <x:c r="BK388" s="12"/>
      <x:c r="BL388" s="12"/>
      <x:c r="BM388" s="12"/>
      <x:c r="BN388" s="12"/>
      <x:c r="BO388" s="12"/>
      <x:c r="BP388" s="12"/>
      <x:c r="BQ388" s="12"/>
      <x:c r="BR388" s="12"/>
      <x:c r="BS388" s="12"/>
      <x:c r="BT388" s="12"/>
      <x:c r="BU388" s="11" t="n">
        <x:v>102027</x:v>
      </x:c>
      <x:c r="BV388" s="11" t="n">
        <x:v>1767041</x:v>
      </x:c>
      <x:c r="BW388" s="11" t="n">
        <x:v>5455828</x:v>
      </x:c>
      <x:c r="BX388" s="11" t="n">
        <x:v>888676</x:v>
      </x:c>
      <x:c r="BY388" s="11" t="n">
        <x:v>0</x:v>
      </x:c>
      <x:c r="BZ388" s="11" t="n">
        <x:v>27984167</x:v>
      </x:c>
      <x:c r="CA388" s="11" t="n">
        <x:v>104970</x:v>
      </x:c>
      <x:c r="CB388" s="11" t="n">
        <x:v>0</x:v>
      </x:c>
      <x:c r="CC388" s="11" t="n">
        <x:v>6464241</x:v>
      </x:c>
      <x:c r="CD388" s="11" t="n">
        <x:v>13968363</x:v>
      </x:c>
      <x:c r="CE388" s="11" t="n">
        <x:v>0</x:v>
      </x:c>
      <x:c r="CF388" s="11" t="n">
        <x:v>0</x:v>
      </x:c>
      <x:c r="CG388" s="11" t="n">
        <x:v>1047989</x:v>
      </x:c>
      <x:c r="CH388" s="11" t="n">
        <x:v>7519962</x:v>
      </x:c>
      <x:c r="CI388" s="11" t="n">
        <x:v>18569324</x:v>
      </x:c>
      <x:c r="CJ388" s="11" t="n">
        <x:v>0</x:v>
      </x:c>
      <x:c r="CK388" s="11" t="n">
        <x:v>9241729</x:v>
      </x:c>
      <x:c r="CL388" s="11" t="n">
        <x:v>0</x:v>
      </x:c>
      <x:c r="CM388" s="11"/>
      <x:c r="CN388" s="11" t="n">
        <x:v>273680</x:v>
      </x:c>
      <x:c r="CO388" s="11" t="n">
        <x:v>0</x:v>
      </x:c>
      <x:c r="CP388" s="8"/>
      <x:c r="CQ388" s="8"/>
    </x:row>
    <x:row r="389">
      <x:c r="A389" s="8" t="str">
        <x:v>Langford|2020</x:v>
      </x:c>
      <x:c r="B389" s="8" t="str">
        <x:v>langford-c</x:v>
      </x:c>
      <x:c r="C389" s="8" t="str">
        <x:v>Langford</x:v>
      </x:c>
      <x:c r="D389" s="8" t="str">
        <x:v>Langford</x:v>
      </x:c>
      <x:c r="E389" s="8" t="str">
        <x:v>C</x:v>
      </x:c>
      <x:c r="F389" s="8" t="str">
        <x:v>CAP</x:v>
      </x:c>
      <x:c r="G389" s="9" t="n">
        <x:v>2020</x:v>
      </x:c>
      <x:c r="H389" s="10" t="n">
        <x:v>44069</x:v>
      </x:c>
      <x:c r="I389" s="8" t="str">
        <x:v>20,000 to 99,999</x:v>
      </x:c>
      <x:c r="J389" s="11" t="n">
        <x:v>106408451</x:v>
      </x:c>
      <x:c r="K389" s="11" t="n">
        <x:v>63679794</x:v>
      </x:c>
      <x:c r="L389" s="11" t="n">
        <x:v>42728657</x:v>
      </x:c>
      <x:c r="M389" s="12" t="n">
        <x:v>0.40155322813598704</x:v>
      </x:c>
      <x:c r="N389" s="11" t="n">
        <x:v>35459312</x:v>
      </x:c>
      <x:c r="O389" s="11" t="n">
        <x:v>20841820</x:v>
      </x:c>
      <x:c r="P389" s="11" t="n">
        <x:v>9027915</x:v>
      </x:c>
      <x:c r="Q389" s="11" t="n">
        <x:v>41079404</x:v>
      </x:c>
      <x:c r="R389" s="11" t="n">
        <x:v>53468894</x:v>
      </x:c>
      <x:c r="S389" s="11" t="n">
        <x:v>9747860</x:v>
      </x:c>
      <x:c r="T389" s="11" t="n">
        <x:v>69718046</x:v>
      </x:c>
      <x:c r="U389" s="11" t="n">
        <x:v>80518750</x:v>
      </x:c>
      <x:c r="V389" s="11" t="n">
        <x:v>1259189</x:v>
      </x:c>
      <x:c r="W389" s="11" t="n">
        <x:v>19839193</x:v>
      </x:c>
      <x:c r="X389" s="11" t="n">
        <x:v>23300825</x:v>
      </x:c>
      <x:c r="Y389" s="11" t="n">
        <x:v>0</x:v>
      </x:c>
      <x:c r="Z389" s="11" t="n">
        <x:v>2197016</x:v>
      </x:c>
      <x:c r="AA389" s="11" t="n">
        <x:v>21103809</x:v>
      </x:c>
      <x:c r="AB389" s="11" t="n">
        <x:v>463040</x:v>
      </x:c>
      <x:c r="AC389" s="11" t="n">
        <x:v>2660056</x:v>
      </x:c>
      <x:c r="AD389" s="11" t="n">
        <x:v>14384425</x:v>
      </x:c>
      <x:c r="AE389" s="11" t="n">
        <x:v>11724369</x:v>
      </x:c>
      <x:c r="AF389" s="11" t="n">
        <x:v>57537699</x:v>
      </x:c>
      <x:c r="AG389" s="11" t="n">
        <x:v>653274475</x:v>
      </x:c>
      <x:c r="AH389" s="11" t="n">
        <x:v>108190802</x:v>
      </x:c>
      <x:c r="AI389" s="11" t="n">
        <x:v>545083673</x:v>
      </x:c>
      <x:c r="AJ389" s="11" t="n">
        <x:v>43293536</x:v>
      </x:c>
      <x:c r="AK389" s="11" t="n">
        <x:v>240189190</x:v>
      </x:c>
      <x:c r="AL389" s="11" t="n">
        <x:v>0</x:v>
      </x:c>
      <x:c r="AM389" s="12" t="n">
        <x:v>1</x:v>
      </x:c>
      <x:c r="AN389" s="12" t="n">
        <x:v>0.18024764561635767</x:v>
      </x:c>
      <x:c r="AO389" s="11" t="n">
        <x:v>68315104</x:v>
      </x:c>
      <x:c r="AP389" s="11" t="n">
        <x:v>67266974</x:v>
      </x:c>
      <x:c r="AQ389" s="12" t="n">
        <x:v>0.9846574192436273</x:v>
      </x:c>
      <x:c r="AR389" s="11" t="n">
        <x:v>2414.5873743447773</x:v>
      </x:c>
      <x:c r="AS389" s="11" t="n">
        <x:v>1445.002019560235</x:v>
      </x:c>
      <x:c r="AT389" s="11" t="n">
        <x:v>28.57312396469173</x:v>
      </x:c>
      <x:c r="AU389" s="11" t="n">
        <x:v>450.18477841566636</x:v>
      </x:c>
      <x:c r="AV389" s="11" t="n">
        <x:v>478.8810501713223</x:v>
      </x:c>
      <x:c r="AW389" s="11" t="n">
        <x:v>0.8658610075293022</x:v>
      </x:c>
      <x:c r="AX389" s="12" t="n">
        <x:v>0.8150738733039381</x:v>
      </x:c>
      <x:c r="AY389" s="11"/>
      <x:c r="AZ389" s="11"/>
      <x:c r="BA389" s="11"/>
      <x:c r="BB389" s="11"/>
      <x:c r="BC389" s="11"/>
      <x:c r="BD389" s="11"/>
      <x:c r="BE389" s="11"/>
      <x:c r="BF389" s="11"/>
      <x:c r="BG389" s="11"/>
      <x:c r="BH389" s="11"/>
      <x:c r="BI389" s="11"/>
      <x:c r="BJ389" s="11"/>
      <x:c r="BK389" s="12"/>
      <x:c r="BL389" s="12"/>
      <x:c r="BM389" s="12"/>
      <x:c r="BN389" s="12"/>
      <x:c r="BO389" s="12"/>
      <x:c r="BP389" s="12"/>
      <x:c r="BQ389" s="12"/>
      <x:c r="BR389" s="12"/>
      <x:c r="BS389" s="12"/>
      <x:c r="BT389" s="12"/>
      <x:c r="BU389" s="11" t="n">
        <x:v>33908</x:v>
      </x:c>
      <x:c r="BV389" s="11" t="n">
        <x:v>5740676</x:v>
      </x:c>
      <x:c r="BW389" s="11" t="n">
        <x:v>3253331</x:v>
      </x:c>
      <x:c r="BX389" s="11" t="n">
        <x:v>606955</x:v>
      </x:c>
      <x:c r="BY389" s="11" t="n">
        <x:v>0</x:v>
      </x:c>
      <x:c r="BZ389" s="11" t="n">
        <x:v>39065224</x:v>
      </x:c>
      <x:c r="CA389" s="11" t="n">
        <x:v>1407225</x:v>
      </x:c>
      <x:c r="CB389" s="11" t="n">
        <x:v>0</x:v>
      </x:c>
      <x:c r="CC389" s="11" t="n">
        <x:v>6585289</x:v>
      </x:c>
      <x:c r="CD389" s="11" t="n">
        <x:v>18049444</x:v>
      </x:c>
      <x:c r="CE389" s="11" t="n">
        <x:v>0</x:v>
      </x:c>
      <x:c r="CF389" s="11" t="n">
        <x:v>0</x:v>
      </x:c>
      <x:c r="CG389" s="11" t="n">
        <x:v>1056352</x:v>
      </x:c>
      <x:c r="CH389" s="11" t="n">
        <x:v>7167799</x:v>
      </x:c>
      <x:c r="CI389" s="11" t="n">
        <x:v>16115617</x:v>
      </x:c>
      <x:c r="CJ389" s="11" t="n">
        <x:v>0</x:v>
      </x:c>
      <x:c r="CK389" s="11" t="n">
        <x:v>4020753</x:v>
      </x:c>
      <x:c r="CL389" s="11" t="n">
        <x:v>0</x:v>
      </x:c>
      <x:c r="CM389" s="11"/>
      <x:c r="CN389" s="11" t="n">
        <x:v>936680</x:v>
      </x:c>
      <x:c r="CO389" s="11" t="n">
        <x:v>0</x:v>
      </x:c>
      <x:c r="CP389" s="8"/>
      <x:c r="CQ389" s="8"/>
    </x:row>
    <x:row r="390">
      <x:c r="A390" s="8" t="str">
        <x:v>Langford|2021</x:v>
      </x:c>
      <x:c r="B390" s="8" t="str">
        <x:v>langford-c</x:v>
      </x:c>
      <x:c r="C390" s="8" t="str">
        <x:v>Langford</x:v>
      </x:c>
      <x:c r="D390" s="8" t="str">
        <x:v>Langford</x:v>
      </x:c>
      <x:c r="E390" s="8" t="str">
        <x:v>C</x:v>
      </x:c>
      <x:c r="F390" s="8" t="str">
        <x:v>CAP</x:v>
      </x:c>
      <x:c r="G390" s="9" t="n">
        <x:v>2021</x:v>
      </x:c>
      <x:c r="H390" s="10" t="n">
        <x:v>47313</x:v>
      </x:c>
      <x:c r="I390" s="8" t="str">
        <x:v>20,000 to 99,999</x:v>
      </x:c>
      <x:c r="J390" s="11" t="n">
        <x:v>131520007</x:v>
      </x:c>
      <x:c r="K390" s="11" t="n">
        <x:v>68561269</x:v>
      </x:c>
      <x:c r="L390" s="11" t="n">
        <x:v>62958738</x:v>
      </x:c>
      <x:c r="M390" s="12" t="n">
        <x:v>0.4787008413100221</x:v>
      </x:c>
      <x:c r="N390" s="11" t="n">
        <x:v>38275961</x:v>
      </x:c>
      <x:c r="O390" s="11" t="n">
        <x:v>26239910</x:v>
      </x:c>
      <x:c r="P390" s="11" t="n">
        <x:v>6967768</x:v>
      </x:c>
      <x:c r="Q390" s="11" t="n">
        <x:v>60036368</x:v>
      </x:c>
      <x:c r="R390" s="11" t="n">
        <x:v>58029419</x:v>
      </x:c>
      <x:c r="S390" s="11" t="n">
        <x:v>10304149</x:v>
      </x:c>
      <x:c r="T390" s="11" t="n">
        <x:v>63784815</x:v>
      </x:c>
      <x:c r="U390" s="11" t="n">
        <x:v>72715556</x:v>
      </x:c>
      <x:c r="V390" s="11" t="n">
        <x:v>8722914</x:v>
      </x:c>
      <x:c r="W390" s="11" t="n">
        <x:v>22632519</x:v>
      </x:c>
      <x:c r="X390" s="11" t="n">
        <x:v>21103809</x:v>
      </x:c>
      <x:c r="Y390" s="11" t="n">
        <x:v>0</x:v>
      </x:c>
      <x:c r="Z390" s="11" t="n">
        <x:v>2339920</x:v>
      </x:c>
      <x:c r="AA390" s="11" t="n">
        <x:v>18763889</x:v>
      </x:c>
      <x:c r="AB390" s="11" t="n">
        <x:v>227701</x:v>
      </x:c>
      <x:c r="AC390" s="11" t="n">
        <x:v>2567621</x:v>
      </x:c>
      <x:c r="AD390" s="11" t="n">
        <x:v>16534606</x:v>
      </x:c>
      <x:c r="AE390" s="11" t="n">
        <x:v>13966985</x:v>
      </x:c>
      <x:c r="AF390" s="11" t="n">
        <x:v>66138425</x:v>
      </x:c>
      <x:c r="AG390" s="11" t="n">
        <x:v>719201237</x:v>
      </x:c>
      <x:c r="AH390" s="11" t="n">
        <x:v>118597045</x:v>
      </x:c>
      <x:c r="AI390" s="11" t="n">
        <x:v>600604192</x:v>
      </x:c>
      <x:c r="AJ390" s="11" t="n">
        <x:v>64143066</x:v>
      </x:c>
      <x:c r="AK390" s="11" t="n">
        <x:v>275862689</x:v>
      </x:c>
      <x:c r="AL390" s="11" t="n">
        <x:v>0</x:v>
      </x:c>
      <x:c r="AM390" s="12" t="n">
        <x:v>1</x:v>
      </x:c>
      <x:c r="AN390" s="12" t="n">
        <x:v>0.2325180916365243</x:v>
      </x:c>
      <x:c r="AO390" s="11" t="n">
        <x:v>76057512</x:v>
      </x:c>
      <x:c r="AP390" s="11" t="n">
        <x:v>73913315</x:v>
      </x:c>
      <x:c r="AQ390" s="12" t="n">
        <x:v>0.9718082153410434</x:v>
      </x:c>
      <x:c r="AR390" s="11" t="n">
        <x:v>2779.7858305328346</x:v>
      </x:c>
      <x:c r="AS390" s="11" t="n">
        <x:v>1449.100014795088</x:v>
      </x:c>
      <x:c r="AT390" s="11" t="n">
        <x:v>184.3661150212415</x:v>
      </x:c>
      <x:c r="AU390" s="11" t="n">
        <x:v>478.35730137594317</x:v>
      </x:c>
      <x:c r="AV390" s="11" t="n">
        <x:v>396.59055650666835</x:v>
      </x:c>
      <x:c r="AW390" s="11" t="n">
        <x:v>0.8771825247406484</x:v>
      </x:c>
      <x:c r="AX390" s="12" t="n">
        <x:v>0.8447122961381722</x:v>
      </x:c>
      <x:c r="AY390" s="11"/>
      <x:c r="AZ390" s="11"/>
      <x:c r="BA390" s="11"/>
      <x:c r="BB390" s="11"/>
      <x:c r="BC390" s="11"/>
      <x:c r="BD390" s="11"/>
      <x:c r="BE390" s="11"/>
      <x:c r="BF390" s="11"/>
      <x:c r="BG390" s="11"/>
      <x:c r="BH390" s="11"/>
      <x:c r="BI390" s="11"/>
      <x:c r="BJ390" s="11"/>
      <x:c r="BK390" s="12"/>
      <x:c r="BL390" s="12"/>
      <x:c r="BM390" s="12"/>
      <x:c r="BN390" s="12"/>
      <x:c r="BO390" s="12"/>
      <x:c r="BP390" s="12"/>
      <x:c r="BQ390" s="12"/>
      <x:c r="BR390" s="12"/>
      <x:c r="BS390" s="12"/>
      <x:c r="BT390" s="12"/>
      <x:c r="BU390" s="11" t="n">
        <x:v>0</x:v>
      </x:c>
      <x:c r="BV390" s="11" t="n">
        <x:v>2251115</x:v>
      </x:c>
      <x:c r="BW390" s="11" t="n">
        <x:v>4716653</x:v>
      </x:c>
      <x:c r="BX390" s="11" t="n">
        <x:v>450369</x:v>
      </x:c>
      <x:c r="BY390" s="11" t="n">
        <x:v>0</x:v>
      </x:c>
      <x:c r="BZ390" s="11" t="n">
        <x:v>56006342</x:v>
      </x:c>
      <x:c r="CA390" s="11" t="n">
        <x:v>3579657</x:v>
      </x:c>
      <x:c r="CB390" s="11" t="n">
        <x:v>0</x:v>
      </x:c>
      <x:c r="CC390" s="11" t="n">
        <x:v>6972586</x:v>
      </x:c>
      <x:c r="CD390" s="11" t="n">
        <x:v>18106235</x:v>
      </x:c>
      <x:c r="CE390" s="11" t="n">
        <x:v>0</x:v>
      </x:c>
      <x:c r="CF390" s="11" t="n">
        <x:v>0</x:v>
      </x:c>
      <x:c r="CG390" s="11" t="n">
        <x:v>1190479</x:v>
      </x:c>
      <x:c r="CH390" s="11" t="n">
        <x:v>8679697</x:v>
      </x:c>
      <x:c r="CI390" s="11" t="n">
        <x:v>18350112</x:v>
      </x:c>
      <x:c r="CJ390" s="11" t="n">
        <x:v>0</x:v>
      </x:c>
      <x:c r="CK390" s="11" t="n">
        <x:v>4655362</x:v>
      </x:c>
      <x:c r="CL390" s="11" t="n">
        <x:v>0</x:v>
      </x:c>
      <x:c r="CM390" s="11"/>
      <x:c r="CN390" s="11" t="n">
        <x:v>302649</x:v>
      </x:c>
      <x:c r="CO390" s="11" t="n">
        <x:v>0</x:v>
      </x:c>
      <x:c r="CP390" s="8"/>
      <x:c r="CQ390" s="8"/>
    </x:row>
    <x:row r="391">
      <x:c r="A391" s="8" t="str">
        <x:v>Langford|2022</x:v>
      </x:c>
      <x:c r="B391" s="8" t="str">
        <x:v>langford-c</x:v>
      </x:c>
      <x:c r="C391" s="8" t="str">
        <x:v>Langford</x:v>
      </x:c>
      <x:c r="D391" s="8" t="str">
        <x:v>Langford</x:v>
      </x:c>
      <x:c r="E391" s="8" t="str">
        <x:v>C</x:v>
      </x:c>
      <x:c r="F391" s="8" t="str">
        <x:v>CAP</x:v>
      </x:c>
      <x:c r="G391" s="9" t="n">
        <x:v>2022</x:v>
      </x:c>
      <x:c r="H391" s="10" t="n">
        <x:v>30084</x:v>
      </x:c>
      <x:c r="I391" s="8" t="str">
        <x:v>20,000 to 99,999</x:v>
      </x:c>
      <x:c r="J391" s="11" t="n">
        <x:v>126691913</x:v>
      </x:c>
      <x:c r="K391" s="11" t="n">
        <x:v>77613305</x:v>
      </x:c>
      <x:c r="L391" s="11" t="n">
        <x:v>49078608</x:v>
      </x:c>
      <x:c r="M391" s="12" t="n">
        <x:v>0.3873854837127607</x:v>
      </x:c>
      <x:c r="N391" s="11" t="n">
        <x:v>41995467</x:v>
      </x:c>
      <x:c r="O391" s="11" t="n">
        <x:v>28367895</x:v>
      </x:c>
      <x:c r="P391" s="11" t="n">
        <x:v>4709043</x:v>
      </x:c>
      <x:c r="Q391" s="11" t="n">
        <x:v>51619508</x:v>
      </x:c>
      <x:c r="R391" s="11" t="n">
        <x:v>65971767</x:v>
      </x:c>
      <x:c r="S391" s="11" t="n">
        <x:v>11189469</x:v>
      </x:c>
      <x:c r="T391" s="11" t="n">
        <x:v>64919845</x:v>
      </x:c>
      <x:c r="U391" s="11" t="n">
        <x:v>70812006</x:v>
      </x:c>
      <x:c r="V391" s="11" t="n">
        <x:v>9476294</x:v>
      </x:c>
      <x:c r="W391" s="11" t="n">
        <x:v>19671174</x:v>
      </x:c>
      <x:c r="X391" s="11" t="n">
        <x:v>18763889</x:v>
      </x:c>
      <x:c r="Y391" s="11" t="n">
        <x:v>0</x:v>
      </x:c>
      <x:c r="Z391" s="11" t="n">
        <x:v>1953549</x:v>
      </x:c>
      <x:c r="AA391" s="11" t="n">
        <x:v>16810340</x:v>
      </x:c>
      <x:c r="AB391" s="11" t="n">
        <x:v>452069</x:v>
      </x:c>
      <x:c r="AC391" s="11" t="n">
        <x:v>2405618</x:v>
      </x:c>
      <x:c r="AD391" s="11" t="n">
        <x:v>18289778</x:v>
      </x:c>
      <x:c r="AE391" s="11" t="n">
        <x:v>11767160</x:v>
      </x:c>
      <x:c r="AF391" s="11" t="n">
        <x:v>73159110</x:v>
      </x:c>
      <x:c r="AG391" s="11" t="n">
        <x:v>776944299</x:v>
      </x:c>
      <x:c r="AH391" s="11" t="n">
        <x:v>128996880</x:v>
      </x:c>
      <x:c r="AI391" s="11" t="n">
        <x:v>647947419</x:v>
      </x:c>
      <x:c r="AJ391" s="11" t="n">
        <x:v>60328379</x:v>
      </x:c>
      <x:c r="AK391" s="11" t="n">
        <x:v>298419774</x:v>
      </x:c>
      <x:c r="AL391" s="11" t="n">
        <x:v>0</x:v>
      </x:c>
      <x:c r="AM391" s="12" t="n">
        <x:v>1</x:v>
      </x:c>
      <x:c r="AN391" s="12" t="n">
        <x:v>0.20215945542536334</x:v>
      </x:c>
      <x:c r="AO391" s="11" t="n">
        <x:v>82303422</x:v>
      </x:c>
      <x:c r="AP391" s="11" t="n">
        <x:v>80894985</x:v>
      </x:c>
      <x:c r="AQ391" s="12" t="n">
        <x:v>0.9828872607508349</x:v>
      </x:c>
      <x:c r="AR391" s="11" t="n">
        <x:v>4211.272204494083</x:v>
      </x:c>
      <x:c r="AS391" s="11" t="n">
        <x:v>2579.8864845100384</x:v>
      </x:c>
      <x:c r="AT391" s="11" t="n">
        <x:v>314.9944821167398</x:v>
      </x:c>
      <x:c r="AU391" s="11" t="n">
        <x:v>653.874950139609</x:v>
      </x:c>
      <x:c r="AV391" s="11" t="n">
        <x:v>558.7800824358463</x:v>
      </x:c>
      <x:c r="AW391" s="11" t="n">
        <x:v>0.9167914971932867</x:v>
      </x:c>
      <x:c r="AX391" s="12" t="n">
        <x:v>0.6433735827739407</x:v>
      </x:c>
      <x:c r="AY391" s="11"/>
      <x:c r="AZ391" s="11"/>
      <x:c r="BA391" s="11"/>
      <x:c r="BB391" s="11"/>
      <x:c r="BC391" s="11"/>
      <x:c r="BD391" s="11"/>
      <x:c r="BE391" s="11"/>
      <x:c r="BF391" s="11"/>
      <x:c r="BG391" s="11"/>
      <x:c r="BH391" s="11"/>
      <x:c r="BI391" s="11"/>
      <x:c r="BJ391" s="11"/>
      <x:c r="BK391" s="12"/>
      <x:c r="BL391" s="12"/>
      <x:c r="BM391" s="12"/>
      <x:c r="BN391" s="12"/>
      <x:c r="BO391" s="12"/>
      <x:c r="BP391" s="12"/>
      <x:c r="BQ391" s="12"/>
      <x:c r="BR391" s="12"/>
      <x:c r="BS391" s="12"/>
      <x:c r="BT391" s="12"/>
      <x:c r="BU391" s="11" t="n">
        <x:v>358443</x:v>
      </x:c>
      <x:c r="BV391" s="11" t="n">
        <x:v>2585760</x:v>
      </x:c>
      <x:c r="BW391" s="11" t="n">
        <x:v>1764840</x:v>
      </x:c>
      <x:c r="BX391" s="11" t="n">
        <x:v>1479452</x:v>
      </x:c>
      <x:c r="BY391" s="11" t="n">
        <x:v>0</x:v>
      </x:c>
      <x:c r="BZ391" s="11" t="n">
        <x:v>43063486</x:v>
      </x:c>
      <x:c r="CA391" s="11" t="n">
        <x:v>7076570</x:v>
      </x:c>
      <x:c r="CB391" s="11" t="n">
        <x:v>0</x:v>
      </x:c>
      <x:c r="CC391" s="11" t="n">
        <x:v>7698107</x:v>
      </x:c>
      <x:c r="CD391" s="11" t="n">
        <x:v>18945902</x:v>
      </x:c>
      <x:c r="CE391" s="11" t="n">
        <x:v>0</x:v>
      </x:c>
      <x:c r="CF391" s="11" t="n">
        <x:v>0</x:v>
      </x:c>
      <x:c r="CG391" s="11" t="n">
        <x:v>1224964</x:v>
      </x:c>
      <x:c r="CH391" s="11" t="n">
        <x:v>10750296</x:v>
      </x:c>
      <x:c r="CI391" s="11" t="n">
        <x:v>21738144</x:v>
      </x:c>
      <x:c r="CJ391" s="11" t="n">
        <x:v>0</x:v>
      </x:c>
      <x:c r="CK391" s="11" t="n">
        <x:v>5858523</x:v>
      </x:c>
      <x:c r="CL391" s="11" t="n">
        <x:v>0</x:v>
      </x:c>
      <x:c r="CM391" s="11"/>
      <x:c r="CN391" s="11" t="n">
        <x:v>207900</x:v>
      </x:c>
      <x:c r="CO391" s="11" t="n">
        <x:v>0</x:v>
      </x:c>
      <x:c r="CP391" s="8"/>
      <x:c r="CQ391" s="8"/>
    </x:row>
    <x:row r="392">
      <x:c r="A392" s="8" t="str">
        <x:v>Langford|2023</x:v>
      </x:c>
      <x:c r="B392" s="8" t="str">
        <x:v>langford-c</x:v>
      </x:c>
      <x:c r="C392" s="8" t="str">
        <x:v>Langford</x:v>
      </x:c>
      <x:c r="D392" s="8" t="str">
        <x:v>Langford</x:v>
      </x:c>
      <x:c r="E392" s="8" t="str">
        <x:v>C</x:v>
      </x:c>
      <x:c r="F392" s="8" t="str">
        <x:v>CAP</x:v>
      </x:c>
      <x:c r="G392" s="9" t="n">
        <x:v>2023</x:v>
      </x:c>
      <x:c r="H392" s="10" t="n">
        <x:v>52953</x:v>
      </x:c>
      <x:c r="I392" s="8" t="str">
        <x:v>20,000 to 99,999</x:v>
      </x:c>
      <x:c r="J392" s="11" t="n">
        <x:v>138329863</x:v>
      </x:c>
      <x:c r="K392" s="11" t="n">
        <x:v>84390491</x:v>
      </x:c>
      <x:c r="L392" s="11" t="n">
        <x:v>53939372</x:v>
      </x:c>
      <x:c r="M392" s="12" t="n">
        <x:v>0.3899329532336774</x:v>
      </x:c>
      <x:c r="N392" s="11" t="n">
        <x:v>48345289</x:v>
      </x:c>
      <x:c r="O392" s="11" t="n">
        <x:v>27282327</x:v>
      </x:c>
      <x:c r="P392" s="11" t="n">
        <x:v>20738798</x:v>
      </x:c>
      <x:c r="Q392" s="11" t="n">
        <x:v>41963449</x:v>
      </x:c>
      <x:c r="R392" s="11" t="n">
        <x:v>71434254</x:v>
      </x:c>
      <x:c r="S392" s="11" t="n">
        <x:v>11979436</x:v>
      </x:c>
      <x:c r="T392" s="11" t="n">
        <x:v>80202005</x:v>
      </x:c>
      <x:c r="U392" s="11" t="n">
        <x:v>88557075</x:v>
      </x:c>
      <x:c r="V392" s="11" t="n">
        <x:v>8368833</x:v>
      </x:c>
      <x:c r="W392" s="11" t="n">
        <x:v>34248262</x:v>
      </x:c>
      <x:c r="X392" s="11" t="n">
        <x:v>16810340</x:v>
      </x:c>
      <x:c r="Y392" s="11" t="n">
        <x:v>12485509</x:v>
      </x:c>
      <x:c r="Z392" s="11" t="n">
        <x:v>2520338</x:v>
      </x:c>
      <x:c r="AA392" s="11" t="n">
        <x:v>26775511</x:v>
      </x:c>
      <x:c r="AB392" s="11" t="n">
        <x:v>976801</x:v>
      </x:c>
      <x:c r="AC392" s="11" t="n">
        <x:v>3497139</x:v>
      </x:c>
      <x:c r="AD392" s="11" t="n">
        <x:v>19952488</x:v>
      </x:c>
      <x:c r="AE392" s="11" t="n">
        <x:v>12227949</x:v>
      </x:c>
      <x:c r="AF392" s="11" t="n">
        <x:v>79809952</x:v>
      </x:c>
      <x:c r="AG392" s="11" t="n">
        <x:v>842621090</x:v>
      </x:c>
      <x:c r="AH392" s="11" t="n">
        <x:v>139253544</x:v>
      </x:c>
      <x:c r="AI392" s="11" t="n">
        <x:v>703367546</x:v>
      </x:c>
      <x:c r="AJ392" s="11" t="n">
        <x:v>66445773</x:v>
      </x:c>
      <x:c r="AK392" s="11" t="n">
        <x:v>340130721</x:v>
      </x:c>
      <x:c r="AL392" s="11" t="n">
        <x:v>0</x:v>
      </x:c>
      <x:c r="AM392" s="12" t="n">
        <x:v>1</x:v>
      </x:c>
      <x:c r="AN392" s="12" t="n">
        <x:v>0.19535363581580154</x:v>
      </x:c>
      <x:c r="AO392" s="11" t="n">
        <x:v>92463015</x:v>
      </x:c>
      <x:c r="AP392" s="11" t="n">
        <x:v>90575323</x:v>
      </x:c>
      <x:c r="AQ392" s="12" t="n">
        <x:v>0.9795843559719527</x:v>
      </x:c>
      <x:c r="AR392" s="11" t="n">
        <x:v>2612.3139954299095</x:v>
      </x:c>
      <x:c r="AS392" s="11" t="n">
        <x:v>1593.6866844182578</x:v>
      </x:c>
      <x:c r="AT392" s="11" t="n">
        <x:v>158.04266047249448</x:v>
      </x:c>
      <x:c r="AU392" s="11" t="n">
        <x:v>646.7671708873906</x:v>
      </x:c>
      <x:c r="AV392" s="11" t="n">
        <x:v>505.6467244537609</x:v>
      </x:c>
      <x:c r="AW392" s="11" t="n">
        <x:v>0.9056532750206576</x:v>
      </x:c>
      <x:c r="AX392" s="12" t="n">
        <x:v>0.6128533444049684</x:v>
      </x:c>
      <x:c r="AY392" s="11"/>
      <x:c r="AZ392" s="11"/>
      <x:c r="BA392" s="11"/>
      <x:c r="BB392" s="11"/>
      <x:c r="BC392" s="11"/>
      <x:c r="BD392" s="11"/>
      <x:c r="BE392" s="11"/>
      <x:c r="BF392" s="11"/>
      <x:c r="BG392" s="11"/>
      <x:c r="BH392" s="11"/>
      <x:c r="BI392" s="11"/>
      <x:c r="BJ392" s="11"/>
      <x:c r="BK392" s="12"/>
      <x:c r="BL392" s="12"/>
      <x:c r="BM392" s="12"/>
      <x:c r="BN392" s="12"/>
      <x:c r="BO392" s="12"/>
      <x:c r="BP392" s="12"/>
      <x:c r="BQ392" s="12"/>
      <x:c r="BR392" s="12"/>
      <x:c r="BS392" s="12"/>
      <x:c r="BT392" s="12"/>
      <x:c r="BU392" s="11" t="n">
        <x:v>7040</x:v>
      </x:c>
      <x:c r="BV392" s="11" t="n">
        <x:v>18645270</x:v>
      </x:c>
      <x:c r="BW392" s="11" t="n">
        <x:v>2086488</x:v>
      </x:c>
      <x:c r="BX392" s="11" t="n">
        <x:v>2902211</x:v>
      </x:c>
      <x:c r="BY392" s="11" t="n">
        <x:v>0</x:v>
      </x:c>
      <x:c r="BZ392" s="11" t="n">
        <x:v>39055160</x:v>
      </x:c>
      <x:c r="CA392" s="11" t="n">
        <x:v>6078</x:v>
      </x:c>
      <x:c r="CB392" s="11" t="n">
        <x:v>0</x:v>
      </x:c>
      <x:c r="CC392" s="11" t="n">
        <x:v>8926378</x:v>
      </x:c>
      <x:c r="CD392" s="11" t="n">
        <x:v>21955702</x:v>
      </x:c>
      <x:c r="CE392" s="11" t="n">
        <x:v>0</x:v>
      </x:c>
      <x:c r="CF392" s="11" t="n">
        <x:v>0</x:v>
      </x:c>
      <x:c r="CG392" s="11" t="n">
        <x:v>1434204</x:v>
      </x:c>
      <x:c r="CH392" s="11" t="n">
        <x:v>11730473</x:v>
      </x:c>
      <x:c r="CI392" s="11" t="n">
        <x:v>24869461</x:v>
      </x:c>
      <x:c r="CJ392" s="11" t="n">
        <x:v>0</x:v>
      </x:c>
      <x:c r="CK392" s="11" t="n">
        <x:v>2442573</x:v>
      </x:c>
      <x:c r="CL392" s="11" t="n">
        <x:v>0</x:v>
      </x:c>
      <x:c r="CM392" s="11" t="n">
        <x:v>0</x:v>
      </x:c>
      <x:c r="CN392" s="11" t="n">
        <x:v>1052264</x:v>
      </x:c>
      <x:c r="CO392" s="11" t="n">
        <x:v>0</x:v>
      </x:c>
      <x:c r="CP392" s="8"/>
      <x:c r="CQ392" s="8"/>
    </x:row>
    <x:row r="393">
      <x:c r="A393" s="8" t="str">
        <x:v>Langford|2024</x:v>
      </x:c>
      <x:c r="B393" s="8" t="str">
        <x:v>langford-c</x:v>
      </x:c>
      <x:c r="C393" s="8" t="str">
        <x:v>Langford</x:v>
      </x:c>
      <x:c r="D393" s="8" t="str">
        <x:v>Langford</x:v>
      </x:c>
      <x:c r="E393" s="8" t="str">
        <x:v>C</x:v>
      </x:c>
      <x:c r="F393" s="8" t="str">
        <x:v>CAP</x:v>
      </x:c>
      <x:c r="G393" s="9" t="n">
        <x:v>2024</x:v>
      </x:c>
      <x:c r="H393" s="10" t="n">
        <x:v>52953</x:v>
      </x:c>
      <x:c r="I393" s="8" t="str">
        <x:v>20,000 to 99,999</x:v>
      </x:c>
      <x:c r="J393" s="11" t="n">
        <x:v>129192208</x:v>
      </x:c>
      <x:c r="K393" s="11" t="n">
        <x:v>92432759</x:v>
      </x:c>
      <x:c r="L393" s="11" t="n">
        <x:v>36759449</x:v>
      </x:c>
      <x:c r="M393" s="12" t="n">
        <x:v>0.28453301920499724</x:v>
      </x:c>
      <x:c r="N393" s="11" t="n">
        <x:v>57759289</x:v>
      </x:c>
      <x:c r="O393" s="11" t="n">
        <x:v>29245680</x:v>
      </x:c>
      <x:c r="P393" s="11" t="n">
        <x:v>4986829</x:v>
      </x:c>
      <x:c r="Q393" s="11" t="n">
        <x:v>37200410</x:v>
      </x:c>
      <x:c r="R393" s="11" t="n">
        <x:v>78931861</x:v>
      </x:c>
      <x:c r="S393" s="11" t="n">
        <x:v>12580370</x:v>
      </x:c>
      <x:c r="T393" s="11" t="n">
        <x:v>73644747</x:v>
      </x:c>
      <x:c r="U393" s="11" t="n">
        <x:v>103981931</x:v>
      </x:c>
      <x:c r="V393" s="11" t="n">
        <x:v>-11131533</x:v>
      </x:c>
      <x:c r="W393" s="11" t="n">
        <x:v>34558492</x:v>
      </x:c>
      <x:c r="X393" s="11" t="n">
        <x:v>26775511</x:v>
      </x:c>
      <x:c r="Y393" s="11" t="n">
        <x:v>15010000</x:v>
      </x:c>
      <x:c r="Z393" s="11" t="n">
        <x:v>3112017</x:v>
      </x:c>
      <x:c r="AA393" s="11" t="n">
        <x:v>38673494</x:v>
      </x:c>
      <x:c r="AB393" s="11" t="n">
        <x:v>920528</x:v>
      </x:c>
      <x:c r="AC393" s="11" t="n">
        <x:v>4032545</x:v>
      </x:c>
      <x:c r="AD393" s="11" t="n">
        <x:v>22750792</x:v>
      </x:c>
      <x:c r="AE393" s="11" t="n">
        <x:v>14527647</x:v>
      </x:c>
      <x:c r="AF393" s="11" t="n">
        <x:v>91003168</x:v>
      </x:c>
      <x:c r="AG393" s="11" t="n">
        <x:v>910392260</x:v>
      </x:c>
      <x:c r="AH393" s="11" t="n">
        <x:v>150371781</x:v>
      </x:c>
      <x:c r="AI393" s="11" t="n">
        <x:v>760020479</x:v>
      </x:c>
      <x:c r="AJ393" s="11" t="n">
        <x:v>64432188</x:v>
      </x:c>
      <x:c r="AK393" s="11" t="n">
        <x:v>910392260</x:v>
      </x:c>
      <x:c r="AL393" s="11" t="n">
        <x:v>10704877</x:v>
      </x:c>
      <x:c r="AM393" s="12" t="n">
        <x:v>0.9882414674746905</x:v>
      </x:c>
      <x:c r="AN393" s="12" t="n">
        <x:v>0.07077409467431105</x:v>
      </x:c>
      <x:c r="AO393" s="11" t="n">
        <x:v>107787821</x:v>
      </x:c>
      <x:c r="AP393" s="11" t="n">
        <x:v>103412192</x:v>
      </x:c>
      <x:c r="AQ393" s="12" t="n">
        <x:v>0.9594051632234035</x:v>
      </x:c>
      <x:c r="AR393" s="11" t="n">
        <x:v>2439.7523841897532</x:v>
      </x:c>
      <x:c r="AS393" s="11" t="n">
        <x:v>1745.5622722036524</x:v>
      </x:c>
      <x:c r="AT393" s="11" t="n">
        <x:v>-210.21534190697412</x:v>
      </x:c>
      <x:c r="AU393" s="11" t="n">
        <x:v>652.6257624686042</x:v>
      </x:c>
      <x:c r="AV393" s="11" t="n">
        <x:v>730.3362226880441</x:v>
      </x:c>
      <x:c r="AW393" s="11" t="n">
        <x:v>0.7082456181737959</x:v>
      </x:c>
      <x:c r="AX393" s="12" t="n">
        <x:v>0.6385556599524096</x:v>
      </x:c>
      <x:c r="AY393" s="11" t="n">
        <x:v>2823.8160359162957</x:v>
      </x:c>
      <x:c r="AZ393" s="11" t="n">
        <x:v>3546.5079302077975</x:v>
      </x:c>
      <x:c r="BA393" s="11" t="n">
        <x:v>2313.177731087988</x:v>
      </x:c>
      <x:c r="BB393" s="11" t="n">
        <x:v>2783.665107049771</x:v>
      </x:c>
      <x:c r="BC393" s="11" t="n">
        <x:v>1634.933826557682</x:v>
      </x:c>
      <x:c r="BD393" s="11" t="n">
        <x:v>2437.8724475115623</x:v>
      </x:c>
      <x:c r="BE393" s="11" t="n">
        <x:v>1015.8871081440785</x:v>
      </x:c>
      <x:c r="BF393" s="11" t="n">
        <x:v>1604.3462673977224</x:v>
      </x:c>
      <x:c r="BG393" s="11" t="n">
        <x:v>757.3716446138835</x:v>
      </x:c>
      <x:c r="BH393" s="11" t="n">
        <x:v>518.5374381567245</x:v>
      </x:c>
      <x:c r="BI393" s="11" t="n">
        <x:v>1.4428133381403412</x:v>
      </x:c>
      <x:c r="BJ393" s="11" t="n">
        <x:v>1.7099330852451193</x:v>
      </x:c>
      <x:c r="BK393" s="12" t="n">
        <x:v>0.021350493990494074</x:v>
      </x:c>
      <x:c r="BL393" s="12" t="n">
        <x:v>0.02529861000232605</x:v>
      </x:c>
      <x:c r="BM393" s="12" t="n">
        <x:v>0.9847118933607182</x:v>
      </x:c>
      <x:c r="BN393" s="12" t="n">
        <x:v>0.9815511712696461</x:v>
      </x:c>
      <x:c r="BO393" s="12" t="n">
        <x:v>0.8457939120832807</x:v>
      </x:c>
      <x:c r="BP393" s="12" t="n">
        <x:v>0.8619101997275483</x:v>
      </x:c>
      <x:c r="BQ393" s="12" t="n">
        <x:v>0.9744645665293163</x:v>
      </x:c>
      <x:c r="BR393" s="12" t="n">
        <x:v>0.9623635142836453</x:v>
      </x:c>
      <x:c r="BS393" s="12" t="n">
        <x:v>0.16542076645989975</x:v>
      </x:c>
      <x:c r="BT393" s="12" t="n">
        <x:v>0.19976549769108282</x:v>
      </x:c>
      <x:c r="BU393" s="11" t="n">
        <x:v>2257171</x:v>
      </x:c>
      <x:c r="BV393" s="11" t="n">
        <x:v>2475417</x:v>
      </x:c>
      <x:c r="BW393" s="11" t="n">
        <x:v>254241</x:v>
      </x:c>
      <x:c r="BX393" s="11" t="n">
        <x:v>2788133</x:v>
      </x:c>
      <x:c r="BY393" s="11" t="n">
        <x:v>0</x:v>
      </x:c>
      <x:c r="BZ393" s="11" t="n">
        <x:v>34216450</x:v>
      </x:c>
      <x:c r="CA393" s="11" t="n">
        <x:v>195827</x:v>
      </x:c>
      <x:c r="CB393" s="11" t="n">
        <x:v>0</x:v>
      </x:c>
      <x:c r="CC393" s="11" t="n">
        <x:v>10480775</x:v>
      </x:c>
      <x:c r="CD393" s="11" t="n">
        <x:v>26194250</x:v>
      </x:c>
      <x:c r="CE393" s="11" t="n">
        <x:v>0</x:v>
      </x:c>
      <x:c r="CF393" s="11" t="n">
        <x:v>0</x:v>
      </x:c>
      <x:c r="CG393" s="11" t="n">
        <x:v>1980254</x:v>
      </x:c>
      <x:c r="CH393" s="11" t="n">
        <x:v>11234889</x:v>
      </x:c>
      <x:c r="CI393" s="11" t="n">
        <x:v>26984329</x:v>
      </x:c>
      <x:c r="CJ393" s="11" t="n">
        <x:v>0</x:v>
      </x:c>
      <x:c r="CK393" s="11" t="n">
        <x:v>2916315</x:v>
      </x:c>
      <x:c r="CL393" s="11" t="n">
        <x:v>0</x:v>
      </x:c>
      <x:c r="CM393" s="11" t="n">
        <x:v>0</x:v>
      </x:c>
      <x:c r="CN393" s="11" t="n">
        <x:v>61577</x:v>
      </x:c>
      <x:c r="CO393" s="11" t="n">
        <x:v>0</x:v>
      </x:c>
      <x:c r="CP393" s="8"/>
      <x:c r="CQ393" s="8"/>
    </x:row>
    <x:row r="394">
      <x:c r="A394" s="8" t="str">
        <x:v>Langley (City)|2019</x:v>
      </x:c>
      <x:c r="B394" s="8" t="str">
        <x:v>langley-c</x:v>
      </x:c>
      <x:c r="C394" s="8" t="str">
        <x:v>Langley (City)</x:v>
      </x:c>
      <x:c r="D394" s="8" t="str">
        <x:v>Langley</x:v>
      </x:c>
      <x:c r="E394" s="8" t="str">
        <x:v>C</x:v>
      </x:c>
      <x:c r="F394" s="8" t="str">
        <x:v>GVR</x:v>
      </x:c>
      <x:c r="G394" s="9" t="n">
        <x:v>2019</x:v>
      </x:c>
      <x:c r="H394" s="10" t="n">
        <x:v>27718</x:v>
      </x:c>
      <x:c r="I394" s="8" t="str">
        <x:v>20,000 to 99,999</x:v>
      </x:c>
      <x:c r="J394" s="11" t="n">
        <x:v>56690704</x:v>
      </x:c>
      <x:c r="K394" s="11" t="n">
        <x:v>47384586</x:v>
      </x:c>
      <x:c r="L394" s="11" t="n">
        <x:v>9306118</x:v>
      </x:c>
      <x:c r="M394" s="12" t="n">
        <x:v>0.16415597872977553</x:v>
      </x:c>
      <x:c r="N394" s="11" t="n">
        <x:v>29959362</x:v>
      </x:c>
      <x:c r="O394" s="11" t="n">
        <x:v>13253385</x:v>
      </x:c>
      <x:c r="P394" s="11" t="n">
        <x:v>9496250</x:v>
      </x:c>
      <x:c r="Q394" s="11" t="n">
        <x:v>3981707</x:v>
      </x:c>
      <x:c r="R394" s="11" t="n">
        <x:v>41425420</x:v>
      </x:c>
      <x:c r="S394" s="11" t="n">
        <x:v>5959166</x:v>
      </x:c>
      <x:c r="T394" s="11" t="n">
        <x:v>74975231</x:v>
      </x:c>
      <x:c r="U394" s="11" t="n">
        <x:v>38301961</x:v>
      </x:c>
      <x:c r="V394" s="11" t="n">
        <x:v>45618353</x:v>
      </x:c>
      <x:c r="W394" s="11" t="n">
        <x:v>10039764</x:v>
      </x:c>
      <x:c r="X394" s="11" t="n">
        <x:v>0</x:v>
      </x:c>
      <x:c r="Y394" s="11" t="n">
        <x:v>0</x:v>
      </x:c>
      <x:c r="Z394" s="11" t="n">
        <x:v>0</x:v>
      </x:c>
      <x:c r="AA394" s="11" t="n">
        <x:v>0</x:v>
      </x:c>
      <x:c r="AB394" s="11" t="n">
        <x:v>0</x:v>
      </x:c>
      <x:c r="AC394" s="11" t="n">
        <x:v>0</x:v>
      </x:c>
      <x:c r="AD394" s="11" t="n">
        <x:v>13149650</x:v>
      </x:c>
      <x:c r="AE394" s="11" t="n">
        <x:v>13127060</x:v>
      </x:c>
      <x:c r="AF394" s="11" t="n">
        <x:v>52598600</x:v>
      </x:c>
      <x:c r="AG394" s="11" t="n">
        <x:v>367244503</x:v>
      </x:c>
      <x:c r="AH394" s="11" t="n">
        <x:v>107075325</x:v>
      </x:c>
      <x:c r="AI394" s="11" t="n">
        <x:v>260169178</x:v>
      </x:c>
      <x:c r="AJ394" s="11" t="n">
        <x:v>8225032</x:v>
      </x:c>
      <x:c r="AK394" s="11" t="n">
        <x:v>66754749</x:v>
      </x:c>
      <x:c r="AL394" s="11" t="n">
        <x:v>0</x:v>
      </x:c>
      <x:c r="AM394" s="12" t="n">
        <x:v>1</x:v>
      </x:c>
      <x:c r="AN394" s="12" t="n">
        <x:v>0.12321268708537875</x:v>
      </x:c>
      <x:c r="AO394" s="11" t="n">
        <x:v>49733623</x:v>
      </x:c>
      <x:c r="AP394" s="11" t="n">
        <x:v>48879439</x:v>
      </x:c>
      <x:c r="AQ394" s="12" t="n">
        <x:v>0.9828248185337312</x:v>
      </x:c>
      <x:c r="AR394" s="11" t="n">
        <x:v>2045.2667580633524</x:v>
      </x:c>
      <x:c r="AS394" s="11" t="n">
        <x:v>1709.5239916299877</x:v>
      </x:c>
      <x:c r="AT394" s="11" t="n">
        <x:v>1645.8024749260408</x:v>
      </x:c>
      <x:c r="AU394" s="11" t="n">
        <x:v>362.2109820333357</x:v>
      </x:c>
      <x:c r="AV394" s="11" t="n">
        <x:v>0</x:v>
      </x:c>
      <x:c r="AW394" s="11" t="n">
        <x:v>1.9574776080002796</x:v>
      </x:c>
      <x:c r="AX394" s="12" t="n">
        <x:v>0.9982820835535546</x:v>
      </x:c>
      <x:c r="AY394" s="11"/>
      <x:c r="AZ394" s="11"/>
      <x:c r="BA394" s="11"/>
      <x:c r="BB394" s="11"/>
      <x:c r="BC394" s="11"/>
      <x:c r="BD394" s="11"/>
      <x:c r="BE394" s="11"/>
      <x:c r="BF394" s="11"/>
      <x:c r="BG394" s="11"/>
      <x:c r="BH394" s="11"/>
      <x:c r="BI394" s="11"/>
      <x:c r="BJ394" s="11"/>
      <x:c r="BK394" s="12"/>
      <x:c r="BL394" s="12"/>
      <x:c r="BM394" s="12"/>
      <x:c r="BN394" s="12"/>
      <x:c r="BO394" s="12"/>
      <x:c r="BP394" s="12"/>
      <x:c r="BQ394" s="12"/>
      <x:c r="BR394" s="12"/>
      <x:c r="BS394" s="12"/>
      <x:c r="BT394" s="12"/>
      <x:c r="BU394" s="11" t="n">
        <x:v>0</x:v>
      </x:c>
      <x:c r="BV394" s="11" t="n">
        <x:v>7989618</x:v>
      </x:c>
      <x:c r="BW394" s="11" t="n">
        <x:v>1506632</x:v>
      </x:c>
      <x:c r="BX394" s="11" t="n">
        <x:v>1596503</x:v>
      </x:c>
      <x:c r="BY394" s="11" t="n">
        <x:v>0</x:v>
      </x:c>
      <x:c r="BZ394" s="11" t="n">
        <x:v>2385204</x:v>
      </x:c>
      <x:c r="CA394" s="11" t="n">
        <x:v>0</x:v>
      </x:c>
      <x:c r="CB394" s="11" t="n">
        <x:v>0</x:v>
      </x:c>
      <x:c r="CC394" s="11" t="n">
        <x:v>4908299</x:v>
      </x:c>
      <x:c r="CD394" s="11" t="n">
        <x:v>17443222</x:v>
      </x:c>
      <x:c r="CE394" s="11" t="n">
        <x:v>683060</x:v>
      </x:c>
      <x:c r="CF394" s="11" t="n">
        <x:v>0</x:v>
      </x:c>
      <x:c r="CG394" s="11" t="n">
        <x:v>1549742</x:v>
      </x:c>
      <x:c r="CH394" s="11" t="n">
        <x:v>3675917</x:v>
      </x:c>
      <x:c r="CI394" s="11" t="n">
        <x:v>6408769</x:v>
      </x:c>
      <x:c r="CJ394" s="11" t="n">
        <x:v>3683051</x:v>
      </x:c>
      <x:c r="CK394" s="11" t="n">
        <x:v>3041500</x:v>
      </x:c>
      <x:c r="CL394" s="11" t="n">
        <x:v>0</x:v>
      </x:c>
      <x:c r="CM394" s="11"/>
      <x:c r="CN394" s="11" t="n">
        <x:v>31860</x:v>
      </x:c>
      <x:c r="CO394" s="11" t="n">
        <x:v>0</x:v>
      </x:c>
      <x:c r="CP394" s="8"/>
      <x:c r="CQ394" s="8"/>
    </x:row>
    <x:row r="395">
      <x:c r="A395" s="8" t="str">
        <x:v>Langley (City)|2020</x:v>
      </x:c>
      <x:c r="B395" s="8" t="str">
        <x:v>langley-c</x:v>
      </x:c>
      <x:c r="C395" s="8" t="str">
        <x:v>Langley (City)</x:v>
      </x:c>
      <x:c r="D395" s="8" t="str">
        <x:v>Langley</x:v>
      </x:c>
      <x:c r="E395" s="8" t="str">
        <x:v>C</x:v>
      </x:c>
      <x:c r="F395" s="8" t="str">
        <x:v>GVR</x:v>
      </x:c>
      <x:c r="G395" s="9" t="n">
        <x:v>2020</x:v>
      </x:c>
      <x:c r="H395" s="10" t="n">
        <x:v>27774</x:v>
      </x:c>
      <x:c r="I395" s="8" t="str">
        <x:v>20,000 to 99,999</x:v>
      </x:c>
      <x:c r="J395" s="11" t="n">
        <x:v>56560875</x:v>
      </x:c>
      <x:c r="K395" s="11" t="n">
        <x:v>48682189</x:v>
      </x:c>
      <x:c r="L395" s="11" t="n">
        <x:v>7878686</x:v>
      </x:c>
      <x:c r="M395" s="12" t="n">
        <x:v>0.13929568805291645</x:v>
      </x:c>
      <x:c r="N395" s="11" t="n">
        <x:v>30627832</x:v>
      </x:c>
      <x:c r="O395" s="11" t="n">
        <x:v>14027819</x:v>
      </x:c>
      <x:c r="P395" s="11" t="n">
        <x:v>7622035</x:v>
      </x:c>
      <x:c r="Q395" s="11" t="n">
        <x:v>4283189</x:v>
      </x:c>
      <x:c r="R395" s="11" t="n">
        <x:v>42714876</x:v>
      </x:c>
      <x:c r="S395" s="11" t="n">
        <x:v>5967313</x:v>
      </x:c>
      <x:c r="T395" s="11" t="n">
        <x:v>90242672</x:v>
      </x:c>
      <x:c r="U395" s="11" t="n">
        <x:v>50478969</x:v>
      </x:c>
      <x:c r="V395" s="11" t="n">
        <x:v>48642351</x:v>
      </x:c>
      <x:c r="W395" s="11" t="n">
        <x:v>14891748</x:v>
      </x:c>
      <x:c r="X395" s="11" t="n">
        <x:v>0</x:v>
      </x:c>
      <x:c r="Y395" s="11" t="n">
        <x:v>0</x:v>
      </x:c>
      <x:c r="Z395" s="11" t="n">
        <x:v>0</x:v>
      </x:c>
      <x:c r="AA395" s="11" t="n">
        <x:v>0</x:v>
      </x:c>
      <x:c r="AB395" s="11" t="n">
        <x:v>0</x:v>
      </x:c>
      <x:c r="AC395" s="11" t="n">
        <x:v>0</x:v>
      </x:c>
      <x:c r="AD395" s="11" t="n">
        <x:v>12003870</x:v>
      </x:c>
      <x:c r="AE395" s="11" t="n">
        <x:v>11981149</x:v>
      </x:c>
      <x:c r="AF395" s="11" t="n">
        <x:v>48015481</x:v>
      </x:c>
      <x:c r="AG395" s="11" t="n">
        <x:v>377217311</x:v>
      </x:c>
      <x:c r="AH395" s="11" t="n">
        <x:v>112303642</x:v>
      </x:c>
      <x:c r="AI395" s="11" t="n">
        <x:v>264913669</x:v>
      </x:c>
      <x:c r="AJ395" s="11" t="n">
        <x:v>10906932</x:v>
      </x:c>
      <x:c r="AK395" s="11" t="n">
        <x:v>107133894</x:v>
      </x:c>
      <x:c r="AL395" s="11" t="n">
        <x:v>0</x:v>
      </x:c>
      <x:c r="AM395" s="12" t="n">
        <x:v>1</x:v>
      </x:c>
      <x:c r="AN395" s="12" t="n">
        <x:v>0.10180654872864044</x:v>
      </x:c>
      <x:c r="AO395" s="11" t="n">
        <x:v>46611330</x:v>
      </x:c>
      <x:c r="AP395" s="11" t="n">
        <x:v>45601572</x:v>
      </x:c>
      <x:c r="AQ395" s="12" t="n">
        <x:v>0.9783366404691735</x:v>
      </x:c>
      <x:c r="AR395" s="11" t="n">
        <x:v>2036.4684597105206</x:v>
      </x:c>
      <x:c r="AS395" s="11" t="n">
        <x:v>1752.7971844170806</x:v>
      </x:c>
      <x:c r="AT395" s="11" t="n">
        <x:v>1751.3628213437028</x:v>
      </x:c>
      <x:c r="AU395" s="11" t="n">
        <x:v>536.1758479153165</x:v>
      </x:c>
      <x:c r="AV395" s="11" t="n">
        <x:v>0</x:v>
      </x:c>
      <x:c r="AW395" s="11" t="n">
        <x:v>1.7877281130682363</x:v>
      </x:c>
      <x:c r="AX395" s="12" t="n">
        <x:v>0.9981071937633447</x:v>
      </x:c>
      <x:c r="AY395" s="11"/>
      <x:c r="AZ395" s="11"/>
      <x:c r="BA395" s="11"/>
      <x:c r="BB395" s="11"/>
      <x:c r="BC395" s="11"/>
      <x:c r="BD395" s="11"/>
      <x:c r="BE395" s="11"/>
      <x:c r="BF395" s="11"/>
      <x:c r="BG395" s="11"/>
      <x:c r="BH395" s="11"/>
      <x:c r="BI395" s="11"/>
      <x:c r="BJ395" s="11"/>
      <x:c r="BK395" s="12"/>
      <x:c r="BL395" s="12"/>
      <x:c r="BM395" s="12"/>
      <x:c r="BN395" s="12"/>
      <x:c r="BO395" s="12"/>
      <x:c r="BP395" s="12"/>
      <x:c r="BQ395" s="12"/>
      <x:c r="BR395" s="12"/>
      <x:c r="BS395" s="12"/>
      <x:c r="BT395" s="12"/>
      <x:c r="BU395" s="11" t="n">
        <x:v>0</x:v>
      </x:c>
      <x:c r="BV395" s="11" t="n">
        <x:v>6308010</x:v>
      </x:c>
      <x:c r="BW395" s="11" t="n">
        <x:v>1314025</x:v>
      </x:c>
      <x:c r="BX395" s="11" t="n">
        <x:v>1280883</x:v>
      </x:c>
      <x:c r="BY395" s="11" t="n">
        <x:v>0</x:v>
      </x:c>
      <x:c r="BZ395" s="11" t="n">
        <x:v>3002306</x:v>
      </x:c>
      <x:c r="CA395" s="11" t="n">
        <x:v>0</x:v>
      </x:c>
      <x:c r="CB395" s="11" t="n">
        <x:v>0</x:v>
      </x:c>
      <x:c r="CC395" s="11" t="n">
        <x:v>4907852</x:v>
      </x:c>
      <x:c r="CD395" s="11" t="n">
        <x:v>18615742</x:v>
      </x:c>
      <x:c r="CE395" s="11" t="n">
        <x:v>688451</x:v>
      </x:c>
      <x:c r="CF395" s="11" t="n">
        <x:v>0</x:v>
      </x:c>
      <x:c r="CG395" s="11" t="n">
        <x:v>1190118</x:v>
      </x:c>
      <x:c r="CH395" s="11" t="n">
        <x:v>3674890</x:v>
      </x:c>
      <x:c r="CI395" s="11" t="n">
        <x:v>5878982</x:v>
      </x:c>
      <x:c r="CJ395" s="11" t="n">
        <x:v>3900704</x:v>
      </x:c>
      <x:c r="CK395" s="11" t="n">
        <x:v>3731759</x:v>
      </x:c>
      <x:c r="CL395" s="11" t="n">
        <x:v>0</x:v>
      </x:c>
      <x:c r="CM395" s="11"/>
      <x:c r="CN395" s="11" t="n">
        <x:v>126378</x:v>
      </x:c>
      <x:c r="CO395" s="11" t="n">
        <x:v>0</x:v>
      </x:c>
      <x:c r="CP395" s="8"/>
      <x:c r="CQ395" s="8"/>
    </x:row>
    <x:row r="396">
      <x:c r="A396" s="8" t="str">
        <x:v>Langley (City)|2021</x:v>
      </x:c>
      <x:c r="B396" s="8" t="str">
        <x:v>langley-c</x:v>
      </x:c>
      <x:c r="C396" s="8" t="str">
        <x:v>Langley (City)</x:v>
      </x:c>
      <x:c r="D396" s="8" t="str">
        <x:v>Langley</x:v>
      </x:c>
      <x:c r="E396" s="8" t="str">
        <x:v>C</x:v>
      </x:c>
      <x:c r="F396" s="8" t="str">
        <x:v>MVRD</x:v>
      </x:c>
      <x:c r="G396" s="9" t="n">
        <x:v>2021</x:v>
      </x:c>
      <x:c r="H396" s="10" t="n">
        <x:v>28957</x:v>
      </x:c>
      <x:c r="I396" s="8" t="str">
        <x:v>20,000 to 99,999</x:v>
      </x:c>
      <x:c r="J396" s="11" t="n">
        <x:v>60163860</x:v>
      </x:c>
      <x:c r="K396" s="11" t="n">
        <x:v>53355491</x:v>
      </x:c>
      <x:c r="L396" s="11" t="n">
        <x:v>6808369</x:v>
      </x:c>
      <x:c r="M396" s="12" t="n">
        <x:v>0.11316376642057209</x:v>
      </x:c>
      <x:c r="N396" s="11" t="n">
        <x:v>32373654</x:v>
      </x:c>
      <x:c r="O396" s="11" t="n">
        <x:v>14545301</x:v>
      </x:c>
      <x:c r="P396" s="11" t="n">
        <x:v>8514376</x:v>
      </x:c>
      <x:c r="Q396" s="11" t="n">
        <x:v>4730529</x:v>
      </x:c>
      <x:c r="R396" s="11" t="n">
        <x:v>46929658</x:v>
      </x:c>
      <x:c r="S396" s="11" t="n">
        <x:v>6425833</x:v>
      </x:c>
      <x:c r="T396" s="11" t="n">
        <x:v>90298391</x:v>
      </x:c>
      <x:c r="U396" s="11" t="n">
        <x:v>56069816</x:v>
      </x:c>
      <x:c r="V396" s="11" t="n">
        <x:v>48058516</x:v>
      </x:c>
      <x:c r="W396" s="11" t="n">
        <x:v>15143624</x:v>
      </x:c>
      <x:c r="X396" s="11" t="n">
        <x:v>0</x:v>
      </x:c>
      <x:c r="Y396" s="11" t="n">
        <x:v>0</x:v>
      </x:c>
      <x:c r="Z396" s="11" t="n">
        <x:v>0</x:v>
      </x:c>
      <x:c r="AA396" s="11" t="n">
        <x:v>0</x:v>
      </x:c>
      <x:c r="AB396" s="11" t="n">
        <x:v>0</x:v>
      </x:c>
      <x:c r="AC396" s="11" t="n">
        <x:v>0</x:v>
      </x:c>
      <x:c r="AD396" s="11" t="n">
        <x:v>13089816</x:v>
      </x:c>
      <x:c r="AE396" s="11" t="n">
        <x:v>12420557</x:v>
      </x:c>
      <x:c r="AF396" s="11" t="n">
        <x:v>52359262</x:v>
      </x:c>
      <x:c r="AG396" s="11" t="n">
        <x:v>389968733</x:v>
      </x:c>
      <x:c r="AH396" s="11" t="n">
        <x:v>117707005</x:v>
      </x:c>
      <x:c r="AI396" s="11" t="n">
        <x:v>272261728</x:v>
      </x:c>
      <x:c r="AJ396" s="11" t="n">
        <x:v>14251062</x:v>
      </x:c>
      <x:c r="AK396" s="11" t="n">
        <x:v>108137963</x:v>
      </x:c>
      <x:c r="AL396" s="11" t="n">
        <x:v>0</x:v>
      </x:c>
      <x:c r="AM396" s="12" t="n">
        <x:v>1</x:v>
      </x:c>
      <x:c r="AN396" s="12" t="n">
        <x:v>0.13178592979414638</x:v>
      </x:c>
      <x:c r="AO396" s="11" t="n">
        <x:v>55638148</x:v>
      </x:c>
      <x:c r="AP396" s="11" t="n">
        <x:v>54730235</x:v>
      </x:c>
      <x:c r="AQ396" s="12" t="n">
        <x:v>0.9836818256423632</x:v>
      </x:c>
      <x:c r="AR396" s="11" t="n">
        <x:v>2077.6965845909453</x:v>
      </x:c>
      <x:c r="AS396" s="11" t="n">
        <x:v>1842.5766135994752</x:v>
      </x:c>
      <x:c r="AT396" s="11" t="n">
        <x:v>1659.6510688261906</x:v>
      </x:c>
      <x:c r="AU396" s="11" t="n">
        <x:v>522.9693683737956</x:v>
      </x:c>
      <x:c r="AV396" s="11" t="n">
        <x:v>0</x:v>
      </x:c>
      <x:c r="AW396" s="11" t="n">
        <x:v>1.6104634800299684</x:v>
      </x:c>
      <x:c r="AX396" s="12" t="n">
        <x:v>0.9488717794046914</x:v>
      </x:c>
      <x:c r="AY396" s="11"/>
      <x:c r="AZ396" s="11"/>
      <x:c r="BA396" s="11"/>
      <x:c r="BB396" s="11"/>
      <x:c r="BC396" s="11"/>
      <x:c r="BD396" s="11"/>
      <x:c r="BE396" s="11"/>
      <x:c r="BF396" s="11"/>
      <x:c r="BG396" s="11"/>
      <x:c r="BH396" s="11"/>
      <x:c r="BI396" s="11"/>
      <x:c r="BJ396" s="11"/>
      <x:c r="BK396" s="12"/>
      <x:c r="BL396" s="12"/>
      <x:c r="BM396" s="12"/>
      <x:c r="BN396" s="12"/>
      <x:c r="BO396" s="12"/>
      <x:c r="BP396" s="12"/>
      <x:c r="BQ396" s="12"/>
      <x:c r="BR396" s="12"/>
      <x:c r="BS396" s="12"/>
      <x:c r="BT396" s="12"/>
      <x:c r="BU396" s="11" t="n">
        <x:v>50000</x:v>
      </x:c>
      <x:c r="BV396" s="11" t="n">
        <x:v>4665279</x:v>
      </x:c>
      <x:c r="BW396" s="11" t="n">
        <x:v>3799097</x:v>
      </x:c>
      <x:c r="BX396" s="11" t="n">
        <x:v>907665</x:v>
      </x:c>
      <x:c r="BY396" s="11" t="n">
        <x:v>0</x:v>
      </x:c>
      <x:c r="BZ396" s="11" t="n">
        <x:v>3822864</x:v>
      </x:c>
      <x:c r="CA396" s="11" t="n">
        <x:v>0</x:v>
      </x:c>
      <x:c r="CB396" s="11" t="n">
        <x:v>0</x:v>
      </x:c>
      <x:c r="CC396" s="11" t="n">
        <x:v>5387187</x:v>
      </x:c>
      <x:c r="CD396" s="11" t="n">
        <x:v>19313013</x:v>
      </x:c>
      <x:c r="CE396" s="11" t="n">
        <x:v>715036</x:v>
      </x:c>
      <x:c r="CF396" s="11" t="n">
        <x:v>0</x:v>
      </x:c>
      <x:c r="CG396" s="11" t="n">
        <x:v>1250675</x:v>
      </x:c>
      <x:c r="CH396" s="11" t="n">
        <x:v>4162423</x:v>
      </x:c>
      <x:c r="CI396" s="11" t="n">
        <x:v>6748601</x:v>
      </x:c>
      <x:c r="CJ396" s="11" t="n">
        <x:v>5130414</x:v>
      </x:c>
      <x:c r="CK396" s="11" t="n">
        <x:v>3766650</x:v>
      </x:c>
      <x:c r="CL396" s="11" t="n">
        <x:v>0</x:v>
      </x:c>
      <x:c r="CM396" s="11"/>
      <x:c r="CN396" s="11" t="n">
        <x:v>455659</x:v>
      </x:c>
      <x:c r="CO396" s="11" t="n">
        <x:v>0</x:v>
      </x:c>
      <x:c r="CP396" s="8"/>
      <x:c r="CQ396" s="8"/>
    </x:row>
    <x:row r="397">
      <x:c r="A397" s="8" t="str">
        <x:v>Langley (City)|2022</x:v>
      </x:c>
      <x:c r="B397" s="8" t="str">
        <x:v>langley-c</x:v>
      </x:c>
      <x:c r="C397" s="8" t="str">
        <x:v>Langley (City)</x:v>
      </x:c>
      <x:c r="D397" s="8" t="str">
        <x:v>Langley</x:v>
      </x:c>
      <x:c r="E397" s="8" t="str">
        <x:v>C</x:v>
      </x:c>
      <x:c r="F397" s="8" t="str">
        <x:v>MVRD</x:v>
      </x:c>
      <x:c r="G397" s="9" t="n">
        <x:v>2022</x:v>
      </x:c>
      <x:c r="H397" s="10" t="n">
        <x:v>142043</x:v>
      </x:c>
      <x:c r="I397" s="8" t="str">
        <x:v>100,000 and over</x:v>
      </x:c>
      <x:c r="J397" s="11" t="n">
        <x:v>66675849</x:v>
      </x:c>
      <x:c r="K397" s="11" t="n">
        <x:v>54961078</x:v>
      </x:c>
      <x:c r="L397" s="11" t="n">
        <x:v>11714771</x:v>
      </x:c>
      <x:c r="M397" s="12" t="n">
        <x:v>0.17569736532338717</x:v>
      </x:c>
      <x:c r="N397" s="11" t="n">
        <x:v>34160270</x:v>
      </x:c>
      <x:c r="O397" s="11" t="n">
        <x:v>17092293</x:v>
      </x:c>
      <x:c r="P397" s="11" t="n">
        <x:v>11360709</x:v>
      </x:c>
      <x:c r="Q397" s="11" t="n">
        <x:v>4062577</x:v>
      </x:c>
      <x:c r="R397" s="11" t="n">
        <x:v>48399362</x:v>
      </x:c>
      <x:c r="S397" s="11" t="n">
        <x:v>6377562</x:v>
      </x:c>
      <x:c r="T397" s="11" t="n">
        <x:v>120552867</x:v>
      </x:c>
      <x:c r="U397" s="11" t="n">
        <x:v>80533097</x:v>
      </x:c>
      <x:c r="V397" s="11" t="n">
        <x:v>54914920</x:v>
      </x:c>
      <x:c r="W397" s="11" t="n">
        <x:v>15785133</x:v>
      </x:c>
      <x:c r="X397" s="11" t="n">
        <x:v>0</x:v>
      </x:c>
      <x:c r="Y397" s="11" t="n">
        <x:v>7500000</x:v>
      </x:c>
      <x:c r="Z397" s="11" t="n">
        <x:v>0</x:v>
      </x:c>
      <x:c r="AA397" s="11" t="n">
        <x:v>7500000</x:v>
      </x:c>
      <x:c r="AB397" s="11" t="n">
        <x:v>184154</x:v>
      </x:c>
      <x:c r="AC397" s="11" t="n">
        <x:v>184154</x:v>
      </x:c>
      <x:c r="AD397" s="11" t="n">
        <x:v>15394305</x:v>
      </x:c>
      <x:c r="AE397" s="11" t="n">
        <x:v>15187341</x:v>
      </x:c>
      <x:c r="AF397" s="11" t="n">
        <x:v>61577218</x:v>
      </x:c>
      <x:c r="AG397" s="11" t="n">
        <x:v>400958693</x:v>
      </x:c>
      <x:c r="AH397" s="11" t="n">
        <x:v>123887353</x:v>
      </x:c>
      <x:c r="AI397" s="11" t="n">
        <x:v>277071340</x:v>
      </x:c>
      <x:c r="AJ397" s="11" t="n">
        <x:v>11290942</x:v>
      </x:c>
      <x:c r="AK397" s="11" t="n">
        <x:v>118610465</x:v>
      </x:c>
      <x:c r="AL397" s="11" t="n">
        <x:v>0</x:v>
      </x:c>
      <x:c r="AM397" s="12" t="n">
        <x:v>1</x:v>
      </x:c>
      <x:c r="AN397" s="12" t="n">
        <x:v>0.09519347217802408</x:v>
      </x:c>
      <x:c r="AO397" s="11" t="n">
        <x:v>58560587</x:v>
      </x:c>
      <x:c r="AP397" s="11" t="n">
        <x:v>57492659</x:v>
      </x:c>
      <x:c r="AQ397" s="12" t="n">
        <x:v>0.9817637073890669</x:v>
      </x:c>
      <x:c r="AR397" s="11" t="n">
        <x:v>469.40608829720577</x:v>
      </x:c>
      <x:c r="AS397" s="11" t="n">
        <x:v>386.93267531662946</x:v>
      </x:c>
      <x:c r="AT397" s="11" t="n">
        <x:v>386.60771738135634</x:v>
      </x:c>
      <x:c r="AU397" s="11" t="n">
        <x:v>111.12925663355463</x:v>
      </x:c>
      <x:c r="AV397" s="11" t="n">
        <x:v>52.80091239976627</x:v>
      </x:c>
      <x:c r="AW397" s="11" t="n">
        <x:v>1.496935688441238</x:v>
      </x:c>
      <x:c r="AX397" s="12" t="n">
        <x:v>0.9865558074885485</x:v>
      </x:c>
      <x:c r="AY397" s="11"/>
      <x:c r="AZ397" s="11"/>
      <x:c r="BA397" s="11"/>
      <x:c r="BB397" s="11"/>
      <x:c r="BC397" s="11"/>
      <x:c r="BD397" s="11"/>
      <x:c r="BE397" s="11"/>
      <x:c r="BF397" s="11"/>
      <x:c r="BG397" s="11"/>
      <x:c r="BH397" s="11"/>
      <x:c r="BI397" s="11"/>
      <x:c r="BJ397" s="11"/>
      <x:c r="BK397" s="12"/>
      <x:c r="BL397" s="12"/>
      <x:c r="BM397" s="12"/>
      <x:c r="BN397" s="12"/>
      <x:c r="BO397" s="12"/>
      <x:c r="BP397" s="12"/>
      <x:c r="BQ397" s="12"/>
      <x:c r="BR397" s="12"/>
      <x:c r="BS397" s="12"/>
      <x:c r="BT397" s="12"/>
      <x:c r="BU397" s="11" t="n">
        <x:v>0</x:v>
      </x:c>
      <x:c r="BV397" s="11" t="n">
        <x:v>8561302</x:v>
      </x:c>
      <x:c r="BW397" s="11" t="n">
        <x:v>2799407</x:v>
      </x:c>
      <x:c r="BX397" s="11" t="n">
        <x:v>2096198</x:v>
      </x:c>
      <x:c r="BY397" s="11" t="n">
        <x:v>0</x:v>
      </x:c>
      <x:c r="BZ397" s="11" t="n">
        <x:v>1966379</x:v>
      </x:c>
      <x:c r="CA397" s="11" t="n">
        <x:v>0</x:v>
      </x:c>
      <x:c r="CB397" s="11" t="n">
        <x:v>0</x:v>
      </x:c>
      <x:c r="CC397" s="11" t="n">
        <x:v>5882678</x:v>
      </x:c>
      <x:c r="CD397" s="11" t="n">
        <x:v>20716473</x:v>
      </x:c>
      <x:c r="CE397" s="11" t="n">
        <x:v>747432</x:v>
      </x:c>
      <x:c r="CF397" s="11" t="n">
        <x:v>0</x:v>
      </x:c>
      <x:c r="CG397" s="11" t="n">
        <x:v>1550280</x:v>
      </x:c>
      <x:c r="CH397" s="11" t="n">
        <x:v>3982564</x:v>
      </x:c>
      <x:c r="CI397" s="11" t="n">
        <x:v>7315248</x:v>
      </x:c>
      <x:c r="CJ397" s="11" t="n">
        <x:v>4682468</x:v>
      </x:c>
      <x:c r="CK397" s="11" t="n">
        <x:v>3611384</x:v>
      </x:c>
      <x:c r="CL397" s="11" t="n">
        <x:v>0</x:v>
      </x:c>
      <x:c r="CM397" s="11"/>
      <x:c r="CN397" s="11" t="n">
        <x:v>94989</x:v>
      </x:c>
      <x:c r="CO397" s="11" t="n">
        <x:v>0</x:v>
      </x:c>
      <x:c r="CP397" s="8"/>
      <x:c r="CQ397" s="8"/>
    </x:row>
    <x:row r="398">
      <x:c r="A398" s="8" t="str">
        <x:v>Langley (City)|2023</x:v>
      </x:c>
      <x:c r="B398" s="8" t="str">
        <x:v>langley-c</x:v>
      </x:c>
      <x:c r="C398" s="8" t="str">
        <x:v>Langley (City)</x:v>
      </x:c>
      <x:c r="D398" s="8" t="str">
        <x:v>Langley</x:v>
      </x:c>
      <x:c r="E398" s="8" t="str">
        <x:v>C</x:v>
      </x:c>
      <x:c r="F398" s="8" t="str">
        <x:v>MVRD</x:v>
      </x:c>
      <x:c r="G398" s="9" t="n">
        <x:v>2023</x:v>
      </x:c>
      <x:c r="H398" s="10" t="n">
        <x:v>31936</x:v>
      </x:c>
      <x:c r="I398" s="8" t="str">
        <x:v>20,000 to 99,999</x:v>
      </x:c>
      <x:c r="J398" s="11" t="n">
        <x:v>80950511</x:v>
      </x:c>
      <x:c r="K398" s="11" t="n">
        <x:v>59402311</x:v>
      </x:c>
      <x:c r="L398" s="11" t="n">
        <x:v>21548200</x:v>
      </x:c>
      <x:c r="M398" s="12" t="n">
        <x:v>0.26618979588652625</x:v>
      </x:c>
      <x:c r="N398" s="11" t="n">
        <x:v>38472924</x:v>
      </x:c>
      <x:c r="O398" s="11" t="n">
        <x:v>17072635</x:v>
      </x:c>
      <x:c r="P398" s="11" t="n">
        <x:v>17712214</x:v>
      </x:c>
      <x:c r="Q398" s="11" t="n">
        <x:v>7692738</x:v>
      </x:c>
      <x:c r="R398" s="11" t="n">
        <x:v>52234211</x:v>
      </x:c>
      <x:c r="S398" s="11" t="n">
        <x:v>6916100</x:v>
      </x:c>
      <x:c r="T398" s="11" t="n">
        <x:v>132666612</x:v>
      </x:c>
      <x:c r="U398" s="11" t="n">
        <x:v>90813735</x:v>
      </x:c>
      <x:c r="V398" s="11" t="n">
        <x:v>52769102</x:v>
      </x:c>
      <x:c r="W398" s="11" t="n">
        <x:v>20021802</x:v>
      </x:c>
      <x:c r="X398" s="11" t="n">
        <x:v>7500000</x:v>
      </x:c>
      <x:c r="Y398" s="11" t="n">
        <x:v>0</x:v>
      </x:c>
      <x:c r="Z398" s="11" t="n">
        <x:v>418248</x:v>
      </x:c>
      <x:c r="AA398" s="11" t="n">
        <x:v>7081752</x:v>
      </x:c>
      <x:c r="AB398" s="11" t="n">
        <x:v>252000</x:v>
      </x:c>
      <x:c r="AC398" s="11" t="n">
        <x:v>670248</x:v>
      </x:c>
      <x:c r="AD398" s="11" t="n">
        <x:v>17163405</x:v>
      </x:c>
      <x:c r="AE398" s="11" t="n">
        <x:v>14978736</x:v>
      </x:c>
      <x:c r="AF398" s="11" t="n">
        <x:v>68653618</x:v>
      </x:c>
      <x:c r="AG398" s="11" t="n">
        <x:v>431389226</x:v>
      </x:c>
      <x:c r="AH398" s="11" t="n">
        <x:v>130643370</x:v>
      </x:c>
      <x:c r="AI398" s="11" t="n">
        <x:v>300745856</x:v>
      </x:c>
      <x:c r="AJ398" s="11" t="n">
        <x:v>29738848</x:v>
      </x:c>
      <x:c r="AK398" s="11" t="n">
        <x:v>127764922</x:v>
      </x:c>
      <x:c r="AL398" s="11" t="n">
        <x:v>0</x:v>
      </x:c>
      <x:c r="AM398" s="12" t="n">
        <x:v>1</x:v>
      </x:c>
      <x:c r="AN398" s="12" t="n">
        <x:v>0.2327622287438175</x:v>
      </x:c>
      <x:c r="AO398" s="11" t="n">
        <x:v>66983888</x:v>
      </x:c>
      <x:c r="AP398" s="11" t="n">
        <x:v>65651099</x:v>
      </x:c>
      <x:c r="AQ398" s="12" t="n">
        <x:v>0.9801028420446422</x:v>
      </x:c>
      <x:c r="AR398" s="11" t="n">
        <x:v>2534.773014779559</x:v>
      </x:c>
      <x:c r="AS398" s="11" t="n">
        <x:v>1860.0423033567133</x:v>
      </x:c>
      <x:c r="AT398" s="11" t="n">
        <x:v>1652.339115731463</x:v>
      </x:c>
      <x:c r="AU398" s="11" t="n">
        <x:v>626.9351828657315</x:v>
      </x:c>
      <x:c r="AV398" s="11" t="n">
        <x:v>221.74824649298597</x:v>
      </x:c>
      <x:c r="AW398" s="11" t="n">
        <x:v>1.460865055269448</x:v>
      </x:c>
      <x:c r="AX398" s="12" t="n">
        <x:v>0.8727135437286483</x:v>
      </x:c>
      <x:c r="AY398" s="11"/>
      <x:c r="AZ398" s="11"/>
      <x:c r="BA398" s="11"/>
      <x:c r="BB398" s="11"/>
      <x:c r="BC398" s="11"/>
      <x:c r="BD398" s="11"/>
      <x:c r="BE398" s="11"/>
      <x:c r="BF398" s="11"/>
      <x:c r="BG398" s="11"/>
      <x:c r="BH398" s="11"/>
      <x:c r="BI398" s="11"/>
      <x:c r="BJ398" s="11"/>
      <x:c r="BK398" s="12"/>
      <x:c r="BL398" s="12"/>
      <x:c r="BM398" s="12"/>
      <x:c r="BN398" s="12"/>
      <x:c r="BO398" s="12"/>
      <x:c r="BP398" s="12"/>
      <x:c r="BQ398" s="12"/>
      <x:c r="BR398" s="12"/>
      <x:c r="BS398" s="12"/>
      <x:c r="BT398" s="12"/>
      <x:c r="BU398" s="11" t="n">
        <x:v>160698</x:v>
      </x:c>
      <x:c r="BV398" s="11" t="n">
        <x:v>15822564</x:v>
      </x:c>
      <x:c r="BW398" s="11" t="n">
        <x:v>1728952</x:v>
      </x:c>
      <x:c r="BX398" s="11" t="n">
        <x:v>5078758</x:v>
      </x:c>
      <x:c r="BY398" s="11" t="n">
        <x:v>0</x:v>
      </x:c>
      <x:c r="BZ398" s="11" t="n">
        <x:v>2600733</x:v>
      </x:c>
      <x:c r="CA398" s="11" t="n">
        <x:v>13247</x:v>
      </x:c>
      <x:c r="CB398" s="11" t="n">
        <x:v>0</x:v>
      </x:c>
      <x:c r="CC398" s="11" t="n">
        <x:v>6384891</x:v>
      </x:c>
      <x:c r="CD398" s="11" t="n">
        <x:v>23183837</x:v>
      </x:c>
      <x:c r="CE398" s="11" t="n">
        <x:v>815521</x:v>
      </x:c>
      <x:c r="CF398" s="11" t="n">
        <x:v>0</x:v>
      </x:c>
      <x:c r="CG398" s="11" t="n">
        <x:v>1783238</x:v>
      </x:c>
      <x:c r="CH398" s="11" t="n">
        <x:v>3976693</x:v>
      </x:c>
      <x:c r="CI398" s="11" t="n">
        <x:v>7543979</x:v>
      </x:c>
      <x:c r="CJ398" s="11" t="n">
        <x:v>4732243</x:v>
      </x:c>
      <x:c r="CK398" s="11" t="n">
        <x:v>4019318</x:v>
      </x:c>
      <x:c r="CL398" s="11" t="n">
        <x:v>0</x:v>
      </x:c>
      <x:c r="CM398" s="11" t="n">
        <x:v>46491</x:v>
      </x:c>
      <x:c r="CN398" s="11" t="n">
        <x:v>0</x:v>
      </x:c>
      <x:c r="CO398" s="11" t="n">
        <x:v>0</x:v>
      </x:c>
      <x:c r="CP398" s="8"/>
      <x:c r="CQ398" s="8"/>
    </x:row>
    <x:row r="399">
      <x:c r="A399" s="8" t="str">
        <x:v>Langley (City)|2024</x:v>
      </x:c>
      <x:c r="B399" s="8" t="str">
        <x:v>langley-c</x:v>
      </x:c>
      <x:c r="C399" s="8" t="str">
        <x:v>Langley (City)</x:v>
      </x:c>
      <x:c r="D399" s="8" t="str">
        <x:v>Langley</x:v>
      </x:c>
      <x:c r="E399" s="8" t="str">
        <x:v>C</x:v>
      </x:c>
      <x:c r="F399" s="8" t="str">
        <x:v>MVRD</x:v>
      </x:c>
      <x:c r="G399" s="9" t="n">
        <x:v>2024</x:v>
      </x:c>
      <x:c r="H399" s="10" t="n">
        <x:v>31936</x:v>
      </x:c>
      <x:c r="I399" s="8" t="str">
        <x:v>20,000 to 99,999</x:v>
      </x:c>
      <x:c r="J399" s="11" t="n">
        <x:v>87019727</x:v>
      </x:c>
      <x:c r="K399" s="11" t="n">
        <x:v>65097817</x:v>
      </x:c>
      <x:c r="L399" s="11" t="n">
        <x:v>21921910</x:v>
      </x:c>
      <x:c r="M399" s="12" t="n">
        <x:v>0.2519188551349971</x:v>
      </x:c>
      <x:c r="N399" s="11" t="n">
        <x:v>42726338</x:v>
      </x:c>
      <x:c r="O399" s="11" t="n">
        <x:v>23212400</x:v>
      </x:c>
      <x:c r="P399" s="11" t="n">
        <x:v>11814909</x:v>
      </x:c>
      <x:c r="Q399" s="11" t="n">
        <x:v>9266080</x:v>
      </x:c>
      <x:c r="R399" s="11" t="n">
        <x:v>57538252</x:v>
      </x:c>
      <x:c r="S399" s="11" t="n">
        <x:v>7168443</x:v>
      </x:c>
      <x:c r="T399" s="11" t="n">
        <x:v>148188796</x:v>
      </x:c>
      <x:c r="U399" s="11" t="n">
        <x:v>113758000</x:v>
      </x:c>
      <x:c r="V399" s="11" t="n">
        <x:v>51584299</x:v>
      </x:c>
      <x:c r="W399" s="11" t="n">
        <x:v>22651235</x:v>
      </x:c>
      <x:c r="X399" s="11" t="n">
        <x:v>7081752</x:v>
      </x:c>
      <x:c r="Y399" s="11" t="n">
        <x:v>15000000</x:v>
      </x:c>
      <x:c r="Z399" s="11" t="n">
        <x:v>418249</x:v>
      </x:c>
      <x:c r="AA399" s="11" t="n">
        <x:v>21653047</x:v>
      </x:c>
      <x:c r="AB399" s="11" t="n">
        <x:v>391122</x:v>
      </x:c>
      <x:c r="AC399" s="11" t="n">
        <x:v>809371</x:v>
      </x:c>
      <x:c r="AD399" s="11" t="n">
        <x:v>19906014</x:v>
      </x:c>
      <x:c r="AE399" s="11" t="n">
        <x:v>19096643</x:v>
      </x:c>
      <x:c r="AF399" s="11" t="n">
        <x:v>79624056</x:v>
      </x:c>
      <x:c r="AG399" s="11" t="n">
        <x:v>464011699</x:v>
      </x:c>
      <x:c r="AH399" s="11" t="n">
        <x:v>137641757</x:v>
      </x:c>
      <x:c r="AI399" s="11" t="n">
        <x:v>326369942</x:v>
      </x:c>
      <x:c r="AJ399" s="11" t="n">
        <x:v>32857174</x:v>
      </x:c>
      <x:c r="AK399" s="11" t="n">
        <x:v>1254860022</x:v>
      </x:c>
      <x:c r="AL399" s="11" t="n">
        <x:v>26147061</x:v>
      </x:c>
      <x:c r="AM399" s="12" t="n">
        <x:v>0.9791633644059146</x:v>
      </x:c>
      <x:c r="AN399" s="12" t="n">
        <x:v>0.026183935597559424</x:v>
      </x:c>
      <x:c r="AO399" s="11" t="n">
        <x:v>74816673</x:v>
      </x:c>
      <x:c r="AP399" s="11" t="n">
        <x:v>72880749</x:v>
      </x:c>
      <x:c r="AQ399" s="12" t="n">
        <x:v>0.9741244307936547</x:v>
      </x:c>
      <x:c r="AR399" s="11" t="n">
        <x:v>2724.816100951904</x:v>
      </x:c>
      <x:c r="AS399" s="11" t="n">
        <x:v>2038.3835483466935</x:v>
      </x:c>
      <x:c r="AT399" s="11" t="n">
        <x:v>1615.2398233967936</x:v>
      </x:c>
      <x:c r="AU399" s="11" t="n">
        <x:v>709.2696330160321</x:v>
      </x:c>
      <x:c r="AV399" s="11" t="n">
        <x:v>678.013746242485</x:v>
      </x:c>
      <x:c r="AW399" s="11" t="n">
        <x:v>1.302667030011076</x:v>
      </x:c>
      <x:c r="AX399" s="12" t="n">
        <x:v>0.9593403782394607</x:v>
      </x:c>
      <x:c r="AY399" s="11" t="n">
        <x:v>2823.8160359162957</x:v>
      </x:c>
      <x:c r="AZ399" s="11" t="n">
        <x:v>3546.5079302077975</x:v>
      </x:c>
      <x:c r="BA399" s="11" t="n">
        <x:v>2313.177731087988</x:v>
      </x:c>
      <x:c r="BB399" s="11" t="n">
        <x:v>2783.665107049771</x:v>
      </x:c>
      <x:c r="BC399" s="11" t="n">
        <x:v>1634.933826557682</x:v>
      </x:c>
      <x:c r="BD399" s="11" t="n">
        <x:v>2437.8724475115623</x:v>
      </x:c>
      <x:c r="BE399" s="11" t="n">
        <x:v>1015.8871081440785</x:v>
      </x:c>
      <x:c r="BF399" s="11" t="n">
        <x:v>1604.3462673977224</x:v>
      </x:c>
      <x:c r="BG399" s="11" t="n">
        <x:v>757.3716446138835</x:v>
      </x:c>
      <x:c r="BH399" s="11" t="n">
        <x:v>518.5374381567245</x:v>
      </x:c>
      <x:c r="BI399" s="11" t="n">
        <x:v>1.4428133381403412</x:v>
      </x:c>
      <x:c r="BJ399" s="11" t="n">
        <x:v>1.7099330852451193</x:v>
      </x:c>
      <x:c r="BK399" s="12" t="n">
        <x:v>0.021350493990494074</x:v>
      </x:c>
      <x:c r="BL399" s="12" t="n">
        <x:v>0.02529861000232605</x:v>
      </x:c>
      <x:c r="BM399" s="12" t="n">
        <x:v>0.9847118933607182</x:v>
      </x:c>
      <x:c r="BN399" s="12" t="n">
        <x:v>0.9815511712696461</x:v>
      </x:c>
      <x:c r="BO399" s="12" t="n">
        <x:v>0.8457939120832807</x:v>
      </x:c>
      <x:c r="BP399" s="12" t="n">
        <x:v>0.8619101997275483</x:v>
      </x:c>
      <x:c r="BQ399" s="12" t="n">
        <x:v>0.9744645665293163</x:v>
      </x:c>
      <x:c r="BR399" s="12" t="n">
        <x:v>0.9623635142836453</x:v>
      </x:c>
      <x:c r="BS399" s="12" t="n">
        <x:v>0.16542076645989975</x:v>
      </x:c>
      <x:c r="BT399" s="12" t="n">
        <x:v>0.19976549769108282</x:v>
      </x:c>
      <x:c r="BU399" s="11" t="n">
        <x:v>526965</x:v>
      </x:c>
      <x:c r="BV399" s="11" t="n">
        <x:v>10068913</x:v>
      </x:c>
      <x:c r="BW399" s="11" t="n">
        <x:v>1219031</x:v>
      </x:c>
      <x:c r="BX399" s="11" t="n">
        <x:v>6014383</x:v>
      </x:c>
      <x:c r="BY399" s="11" t="n">
        <x:v>0</x:v>
      </x:c>
      <x:c r="BZ399" s="11" t="n">
        <x:v>3251697</x:v>
      </x:c>
      <x:c r="CA399" s="11" t="n">
        <x:v>0</x:v>
      </x:c>
      <x:c r="CB399" s="11" t="n">
        <x:v>0</x:v>
      </x:c>
      <x:c r="CC399" s="11" t="n">
        <x:v>7600799</x:v>
      </x:c>
      <x:c r="CD399" s="11" t="n">
        <x:v>25207991</x:v>
      </x:c>
      <x:c r="CE399" s="11" t="n">
        <x:v>874701</x:v>
      </x:c>
      <x:c r="CF399" s="11" t="n">
        <x:v>0</x:v>
      </x:c>
      <x:c r="CG399" s="11" t="n">
        <x:v>1983730</x:v>
      </x:c>
      <x:c r="CH399" s="11" t="n">
        <x:v>4135400</x:v>
      </x:c>
      <x:c r="CI399" s="11" t="n">
        <x:v>9168898</x:v>
      </x:c>
      <x:c r="CJ399" s="11" t="n">
        <x:v>4949033</x:v>
      </x:c>
      <x:c r="CK399" s="11" t="n">
        <x:v>3898626</x:v>
      </x:c>
      <x:c r="CL399" s="11" t="n">
        <x:v>0</x:v>
      </x:c>
      <x:c r="CM399" s="11" t="n">
        <x:v>50396</x:v>
      </x:c>
      <x:c r="CN399" s="11" t="n">
        <x:v>59800</x:v>
      </x:c>
      <x:c r="CO399" s="11" t="n">
        <x:v>0</x:v>
      </x:c>
      <x:c r="CP399" s="8"/>
      <x:c r="CQ399" s="8"/>
    </x:row>
    <x:row r="400">
      <x:c r="A400" s="8" t="str">
        <x:v>Langley (District)|2019</x:v>
      </x:c>
      <x:c r="B400" s="8" t="str">
        <x:v>langley-d</x:v>
      </x:c>
      <x:c r="C400" s="8" t="str">
        <x:v>Langley (District)</x:v>
      </x:c>
      <x:c r="D400" s="8" t="str">
        <x:v>Langley</x:v>
      </x:c>
      <x:c r="E400" s="8" t="str">
        <x:v>D</x:v>
      </x:c>
      <x:c r="F400" s="8" t="str">
        <x:v>GVR</x:v>
      </x:c>
      <x:c r="G400" s="9" t="n">
        <x:v>2019</x:v>
      </x:c>
      <x:c r="H400" s="10" t="n">
        <x:v>130924</x:v>
      </x:c>
      <x:c r="I400" s="8" t="str">
        <x:v>100,000 and over</x:v>
      </x:c>
      <x:c r="J400" s="11" t="n">
        <x:v>371482000</x:v>
      </x:c>
      <x:c r="K400" s="11" t="n">
        <x:v>258641000</x:v>
      </x:c>
      <x:c r="L400" s="11" t="n">
        <x:v>112841000</x:v>
      </x:c>
      <x:c r="M400" s="12" t="n">
        <x:v>0.30375899774417064</x:v>
      </x:c>
      <x:c r="N400" s="11" t="n">
        <x:v>144279000</x:v>
      </x:c>
      <x:c r="O400" s="11" t="n">
        <x:v>97875000</x:v>
      </x:c>
      <x:c r="P400" s="11" t="n">
        <x:v>8554000</x:v>
      </x:c>
      <x:c r="Q400" s="11" t="n">
        <x:v>120774000</x:v>
      </x:c>
      <x:c r="R400" s="11" t="n">
        <x:v>216129000</x:v>
      </x:c>
      <x:c r="S400" s="11" t="n">
        <x:v>38646000</x:v>
      </x:c>
      <x:c r="T400" s="11" t="n">
        <x:v>300940000</x:v>
      </x:c>
      <x:c r="U400" s="11" t="n">
        <x:v>329645000</x:v>
      </x:c>
      <x:c r="V400" s="11" t="n">
        <x:v>39168000</x:v>
      </x:c>
      <x:c r="W400" s="11" t="n">
        <x:v>33056000</x:v>
      </x:c>
      <x:c r="X400" s="11" t="n">
        <x:v>111501000</x:v>
      </x:c>
      <x:c r="Y400" s="11" t="n">
        <x:v>8950000</x:v>
      </x:c>
      <x:c r="Z400" s="11" t="n">
        <x:v>4918806</x:v>
      </x:c>
      <x:c r="AA400" s="11" t="n">
        <x:v>114969000</x:v>
      </x:c>
      <x:c r="AB400" s="11" t="n">
        <x:v>3866000</x:v>
      </x:c>
      <x:c r="AC400" s="11" t="n">
        <x:v>8784806</x:v>
      </x:c>
      <x:c r="AD400" s="11" t="n">
        <x:v>64321766</x:v>
      </x:c>
      <x:c r="AE400" s="11" t="n">
        <x:v>51953627</x:v>
      </x:c>
      <x:c r="AF400" s="11" t="n">
        <x:v>257287063</x:v>
      </x:c>
      <x:c r="AG400" s="11" t="n">
        <x:v>2360667000</x:v>
      </x:c>
      <x:c r="AH400" s="11" t="n">
        <x:v>636217000</x:v>
      </x:c>
      <x:c r="AI400" s="11" t="n">
        <x:v>1724450000</x:v>
      </x:c>
      <x:c r="AJ400" s="11" t="n">
        <x:v>170433000</x:v>
      </x:c>
      <x:c r="AK400" s="11" t="n">
        <x:v>2360668000</x:v>
      </x:c>
      <x:c r="AL400" s="11" t="n">
        <x:v>38646000</x:v>
      </x:c>
      <x:c r="AM400" s="12" t="n">
        <x:v>0.983629210037159</x:v>
      </x:c>
      <x:c r="AN400" s="12" t="n">
        <x:v>0.07219693747701922</x:v>
      </x:c>
      <x:c r="AO400" s="11" t="n">
        <x:v>254409000</x:v>
      </x:c>
      <x:c r="AP400" s="11" t="n">
        <x:v>247852000</x:v>
      </x:c>
      <x:c r="AQ400" s="12" t="n">
        <x:v>0.9742265407277259</x:v>
      </x:c>
      <x:c r="AR400" s="11" t="n">
        <x:v>2837.3865754177996</x:v>
      </x:c>
      <x:c r="AS400" s="11" t="n">
        <x:v>1975.504873056124</x:v>
      </x:c>
      <x:c r="AT400" s="11" t="n">
        <x:v>299.1659283248297</x:v>
      </x:c>
      <x:c r="AU400" s="11" t="n">
        <x:v>252.48235617610217</x:v>
      </x:c>
      <x:c r="AV400" s="11" t="n">
        <x:v>878.1354068008922</x:v>
      </x:c>
      <x:c r="AW400" s="11" t="n">
        <x:v>0.9129214761334162</x:v>
      </x:c>
      <x:c r="AX400" s="12" t="n">
        <x:v>0.8077145611953502</x:v>
      </x:c>
      <x:c r="AY400" s="11"/>
      <x:c r="AZ400" s="11"/>
      <x:c r="BA400" s="11"/>
      <x:c r="BB400" s="11"/>
      <x:c r="BC400" s="11"/>
      <x:c r="BD400" s="11"/>
      <x:c r="BE400" s="11"/>
      <x:c r="BF400" s="11"/>
      <x:c r="BG400" s="11"/>
      <x:c r="BH400" s="11"/>
      <x:c r="BI400" s="11"/>
      <x:c r="BJ400" s="11"/>
      <x:c r="BK400" s="12"/>
      <x:c r="BL400" s="12"/>
      <x:c r="BM400" s="12"/>
      <x:c r="BN400" s="12"/>
      <x:c r="BO400" s="12"/>
      <x:c r="BP400" s="12"/>
      <x:c r="BQ400" s="12"/>
      <x:c r="BR400" s="12"/>
      <x:c r="BS400" s="12"/>
      <x:c r="BT400" s="12"/>
      <x:c r="BU400" s="11" t="n">
        <x:v>1992000</x:v>
      </x:c>
      <x:c r="BV400" s="11" t="n">
        <x:v>1734000</x:v>
      </x:c>
      <x:c r="BW400" s="11" t="n">
        <x:v>4828000</x:v>
      </x:c>
      <x:c r="BX400" s="11" t="n">
        <x:v>6924000</x:v>
      </x:c>
      <x:c r="BY400" s="11" t="n">
        <x:v>0</x:v>
      </x:c>
      <x:c r="BZ400" s="11" t="n">
        <x:v>105641000</x:v>
      </x:c>
      <x:c r="CA400" s="11" t="n">
        <x:v>339000</x:v>
      </x:c>
      <x:c r="CB400" s="11" t="n">
        <x:v>7870000</x:v>
      </x:c>
      <x:c r="CC400" s="11" t="n">
        <x:v>25792000</x:v>
      </x:c>
      <x:c r="CD400" s="11" t="n">
        <x:v>58279000</x:v>
      </x:c>
      <x:c r="CE400" s="11" t="n">
        <x:v>10896000</x:v>
      </x:c>
      <x:c r="CF400" s="11" t="n">
        <x:v>0</x:v>
      </x:c>
      <x:c r="CG400" s="11" t="n">
        <x:v>6571000</x:v>
      </x:c>
      <x:c r="CH400" s="11" t="n">
        <x:v>21634000</x:v>
      </x:c>
      <x:c r="CI400" s="11" t="n">
        <x:v>52274000</x:v>
      </x:c>
      <x:c r="CJ400" s="11" t="n">
        <x:v>19535000</x:v>
      </x:c>
      <x:c r="CK400" s="11" t="n">
        <x:v>14551000</x:v>
      </x:c>
      <x:c r="CL400" s="11" t="n">
        <x:v>9549000</x:v>
      </x:c>
      <x:c r="CM400" s="11"/>
      <x:c r="CN400" s="11" t="n">
        <x:v>914000</x:v>
      </x:c>
      <x:c r="CO400" s="11" t="n">
        <x:v>0</x:v>
      </x:c>
      <x:c r="CP400" s="8"/>
      <x:c r="CQ400" s="8"/>
    </x:row>
    <x:row r="401">
      <x:c r="A401" s="8" t="str">
        <x:v>Langley (District)|2020</x:v>
      </x:c>
      <x:c r="B401" s="8" t="str">
        <x:v>langley-d</x:v>
      </x:c>
      <x:c r="C401" s="8" t="str">
        <x:v>Langley (District)</x:v>
      </x:c>
      <x:c r="D401" s="8" t="str">
        <x:v>Langley</x:v>
      </x:c>
      <x:c r="E401" s="8" t="str">
        <x:v>D</x:v>
      </x:c>
      <x:c r="F401" s="8" t="str">
        <x:v>GVR</x:v>
      </x:c>
      <x:c r="G401" s="9" t="n">
        <x:v>2020</x:v>
      </x:c>
      <x:c r="H401" s="10" t="n">
        <x:v>133302</x:v>
      </x:c>
      <x:c r="I401" s="8" t="str">
        <x:v>100,000 and over</x:v>
      </x:c>
      <x:c r="J401" s="11" t="n">
        <x:v>399710000</x:v>
      </x:c>
      <x:c r="K401" s="11" t="n">
        <x:v>253291000</x:v>
      </x:c>
      <x:c r="L401" s="11" t="n">
        <x:v>146419000</x:v>
      </x:c>
      <x:c r="M401" s="12" t="n">
        <x:v>0.3663130769808111</x:v>
      </x:c>
      <x:c r="N401" s="11" t="n">
        <x:v>150257000</x:v>
      </x:c>
      <x:c r="O401" s="11" t="n">
        <x:v>90821000</x:v>
      </x:c>
      <x:c r="P401" s="11" t="n">
        <x:v>15685000</x:v>
      </x:c>
      <x:c r="Q401" s="11" t="n">
        <x:v>142947000</x:v>
      </x:c>
      <x:c r="R401" s="11" t="n">
        <x:v>208005000</x:v>
      </x:c>
      <x:c r="S401" s="11" t="n">
        <x:v>40737000</x:v>
      </x:c>
      <x:c r="T401" s="11" t="n">
        <x:v>394146000</x:v>
      </x:c>
      <x:c r="U401" s="11" t="n">
        <x:v>465897000</x:v>
      </x:c>
      <x:c r="V401" s="11" t="n">
        <x:v>3437000</x:v>
      </x:c>
      <x:c r="W401" s="11" t="n">
        <x:v>55573000</x:v>
      </x:c>
      <x:c r="X401" s="11" t="n">
        <x:v>114969000</x:v>
      </x:c>
      <x:c r="Y401" s="11" t="n">
        <x:v>88626000</x:v>
      </x:c>
      <x:c r="Z401" s="11" t="n">
        <x:v>5687640</x:v>
      </x:c>
      <x:c r="AA401" s="11" t="n">
        <x:v>197200000</x:v>
      </x:c>
      <x:c r="AB401" s="11" t="n">
        <x:v>4549000</x:v>
      </x:c>
      <x:c r="AC401" s="11" t="n">
        <x:v>10236640</x:v>
      </x:c>
      <x:c r="AD401" s="11" t="n">
        <x:v>62857999</x:v>
      </x:c>
      <x:c r="AE401" s="11" t="n">
        <x:v>48398918</x:v>
      </x:c>
      <x:c r="AF401" s="11" t="n">
        <x:v>251431997</x:v>
      </x:c>
      <x:c r="AG401" s="11" t="n">
        <x:v>2578165000</x:v>
      </x:c>
      <x:c r="AH401" s="11" t="n">
        <x:v>672399000</x:v>
      </x:c>
      <x:c r="AI401" s="11" t="n">
        <x:v>1905766000</x:v>
      </x:c>
      <x:c r="AJ401" s="11" t="n">
        <x:v>224853000</x:v>
      </x:c>
      <x:c r="AK401" s="11" t="n">
        <x:v>2578165000</x:v>
      </x:c>
      <x:c r="AL401" s="11" t="n">
        <x:v>40737000</x:v>
      </x:c>
      <x:c r="AM401" s="12" t="n">
        <x:v>0.9841992269695694</x:v>
      </x:c>
      <x:c r="AN401" s="12" t="n">
        <x:v>0.08721435594696228</x:v>
      </x:c>
      <x:c r="AO401" s="11" t="n">
        <x:v>250208000</x:v>
      </x:c>
      <x:c r="AP401" s="11" t="n">
        <x:v>243416000</x:v>
      </x:c>
      <x:c r="AQ401" s="12" t="n">
        <x:v>0.9728545849852922</x:v>
      </x:c>
      <x:c r="AR401" s="11" t="n">
        <x:v>2998.5296544688003</x:v>
      </x:c>
      <x:c r="AS401" s="11" t="n">
        <x:v>1900.1290303221258</x:v>
      </x:c>
      <x:c r="AT401" s="11" t="n">
        <x:v>25.783559136397052</x:v>
      </x:c>
      <x:c r="AU401" s="11" t="n">
        <x:v>416.89547043555234</x:v>
      </x:c>
      <x:c r="AV401" s="11" t="n">
        <x:v>1479.3476466969737</x:v>
      </x:c>
      <x:c r="AW401" s="11" t="n">
        <x:v>0.8459938570113137</x:v>
      </x:c>
      <x:c r="AX401" s="12" t="n">
        <x:v>0.7699722989909367</x:v>
      </x:c>
      <x:c r="AY401" s="11"/>
      <x:c r="AZ401" s="11"/>
      <x:c r="BA401" s="11"/>
      <x:c r="BB401" s="11"/>
      <x:c r="BC401" s="11"/>
      <x:c r="BD401" s="11"/>
      <x:c r="BE401" s="11"/>
      <x:c r="BF401" s="11"/>
      <x:c r="BG401" s="11"/>
      <x:c r="BH401" s="11"/>
      <x:c r="BI401" s="11"/>
      <x:c r="BJ401" s="11"/>
      <x:c r="BK401" s="12"/>
      <x:c r="BL401" s="12"/>
      <x:c r="BM401" s="12"/>
      <x:c r="BN401" s="12"/>
      <x:c r="BO401" s="12"/>
      <x:c r="BP401" s="12"/>
      <x:c r="BQ401" s="12"/>
      <x:c r="BR401" s="12"/>
      <x:c r="BS401" s="12"/>
      <x:c r="BT401" s="12"/>
      <x:c r="BU401" s="11" t="n">
        <x:v>677000</x:v>
      </x:c>
      <x:c r="BV401" s="11" t="n">
        <x:v>11652000</x:v>
      </x:c>
      <x:c r="BW401" s="11" t="n">
        <x:v>3356000</x:v>
      </x:c>
      <x:c r="BX401" s="11" t="n">
        <x:v>5082000</x:v>
      </x:c>
      <x:c r="BY401" s="11" t="n">
        <x:v>0</x:v>
      </x:c>
      <x:c r="BZ401" s="11" t="n">
        <x:v>129027000</x:v>
      </x:c>
      <x:c r="CA401" s="11" t="n">
        <x:v>4308000</x:v>
      </x:c>
      <x:c r="CB401" s="11" t="n">
        <x:v>4530000</x:v>
      </x:c>
      <x:c r="CC401" s="11" t="n">
        <x:v>25124000</x:v>
      </x:c>
      <x:c r="CD401" s="11" t="n">
        <x:v>52872000</x:v>
      </x:c>
      <x:c r="CE401" s="11" t="n">
        <x:v>11135000</x:v>
      </x:c>
      <x:c r="CF401" s="11" t="n">
        <x:v>0</x:v>
      </x:c>
      <x:c r="CG401" s="11" t="n">
        <x:v>10261000</x:v>
      </x:c>
      <x:c r="CH401" s="11" t="n">
        <x:v>24475000</x:v>
      </x:c>
      <x:c r="CI401" s="11" t="n">
        <x:v>40582000</x:v>
      </x:c>
      <x:c r="CJ401" s="11" t="n">
        <x:v>22582000</x:v>
      </x:c>
      <x:c r="CK401" s="11" t="n">
        <x:v>14992000</x:v>
      </x:c>
      <x:c r="CL401" s="11" t="n">
        <x:v>10531000</x:v>
      </x:c>
      <x:c r="CM401" s="11"/>
      <x:c r="CN401" s="11" t="n">
        <x:v>0</x:v>
      </x:c>
      <x:c r="CO401" s="11" t="n">
        <x:v>0</x:v>
      </x:c>
      <x:c r="CP401" s="8"/>
      <x:c r="CQ401" s="8"/>
    </x:row>
    <x:row r="402">
      <x:c r="A402" s="8" t="str">
        <x:v>Langley (District)|2021</x:v>
      </x:c>
      <x:c r="B402" s="8" t="str">
        <x:v>langley-d</x:v>
      </x:c>
      <x:c r="C402" s="8" t="str">
        <x:v>Langley (District)</x:v>
      </x:c>
      <x:c r="D402" s="8" t="str">
        <x:v>Langley</x:v>
      </x:c>
      <x:c r="E402" s="8" t="str">
        <x:v>D</x:v>
      </x:c>
      <x:c r="F402" s="8" t="str">
        <x:v>MVRD</x:v>
      </x:c>
      <x:c r="G402" s="9" t="n">
        <x:v>2021</x:v>
      </x:c>
      <x:c r="H402" s="10" t="n">
        <x:v>137399</x:v>
      </x:c>
      <x:c r="I402" s="8" t="str">
        <x:v>100,000 and over</x:v>
      </x:c>
      <x:c r="J402" s="11" t="n">
        <x:v>522954000</x:v>
      </x:c>
      <x:c r="K402" s="11" t="n">
        <x:v>265591000</x:v>
      </x:c>
      <x:c r="L402" s="11" t="n">
        <x:v>257363000</x:v>
      </x:c>
      <x:c r="M402" s="12" t="n">
        <x:v>0.4921331512905533</x:v>
      </x:c>
      <x:c r="N402" s="11" t="n">
        <x:v>157650000</x:v>
      </x:c>
      <x:c r="O402" s="11" t="n">
        <x:v>116696000</x:v>
      </x:c>
      <x:c r="P402" s="11" t="n">
        <x:v>10521000</x:v>
      </x:c>
      <x:c r="Q402" s="11" t="n">
        <x:v>238087000</x:v>
      </x:c>
      <x:c r="R402" s="11" t="n">
        <x:v>219478000</x:v>
      </x:c>
      <x:c r="S402" s="11" t="n">
        <x:v>41461000</x:v>
      </x:c>
      <x:c r="T402" s="11" t="n">
        <x:v>474028000</x:v>
      </x:c>
      <x:c r="U402" s="11" t="n">
        <x:v>497040000</x:v>
      </x:c>
      <x:c r="V402" s="11" t="n">
        <x:v>56518000</x:v>
      </x:c>
      <x:c r="W402" s="11" t="n">
        <x:v>67292000</x:v>
      </x:c>
      <x:c r="X402" s="11" t="n">
        <x:v>197200000</x:v>
      </x:c>
      <x:c r="Y402" s="11" t="n">
        <x:v>822000</x:v>
      </x:c>
      <x:c r="Z402" s="11" t="n">
        <x:v>8308000</x:v>
      </x:c>
      <x:c r="AA402" s="11" t="n">
        <x:v>188910000</x:v>
      </x:c>
      <x:c r="AB402" s="11" t="n">
        <x:v>4652000</x:v>
      </x:c>
      <x:c r="AC402" s="11" t="n">
        <x:v>12960000</x:v>
      </x:c>
      <x:c r="AD402" s="11" t="n">
        <x:v>71219000</x:v>
      </x:c>
      <x:c r="AE402" s="11" t="n">
        <x:v>53880373</x:v>
      </x:c>
      <x:c r="AF402" s="11" t="n">
        <x:v>284876000</x:v>
      </x:c>
      <x:c r="AG402" s="11" t="n">
        <x:v>2819289000</x:v>
      </x:c>
      <x:c r="AH402" s="11" t="n">
        <x:v>709120000</x:v>
      </x:c>
      <x:c r="AI402" s="11" t="n">
        <x:v>2110169000</x:v>
      </x:c>
      <x:c r="AJ402" s="11" t="n">
        <x:v>248381000</x:v>
      </x:c>
      <x:c r="AK402" s="11" t="n">
        <x:v>2819289000</x:v>
      </x:c>
      <x:c r="AL402" s="11" t="n">
        <x:v>41461000</x:v>
      </x:c>
      <x:c r="AM402" s="12" t="n">
        <x:v>0.9852938098932036</x:v>
      </x:c>
      <x:c r="AN402" s="12" t="n">
        <x:v>0.08810058138771867</x:v>
      </x:c>
      <x:c r="AO402" s="11" t="n">
        <x:v>286429000</x:v>
      </x:c>
      <x:c r="AP402" s="11" t="n">
        <x:v>278589000</x:v>
      </x:c>
      <x:c r="AQ402" s="12" t="n">
        <x:v>0.9726284698825887</x:v>
      </x:c>
      <x:c r="AR402" s="11" t="n">
        <x:v>3806.097569851309</x:v>
      </x:c>
      <x:c r="AS402" s="11" t="n">
        <x:v>1932.9907786810675</x:v>
      </x:c>
      <x:c r="AT402" s="11" t="n">
        <x:v>411.34214950618275</x:v>
      </x:c>
      <x:c r="AU402" s="11" t="n">
        <x:v>489.75611176209435</x:v>
      </x:c>
      <x:c r="AV402" s="11" t="n">
        <x:v>1374.9008362506277</x:v>
      </x:c>
      <x:c r="AW402" s="11" t="n">
        <x:v>0.9537019153388058</x:v>
      </x:c>
      <x:c r="AX402" s="12" t="n">
        <x:v>0.7565449248093907</x:v>
      </x:c>
      <x:c r="AY402" s="11"/>
      <x:c r="AZ402" s="11"/>
      <x:c r="BA402" s="11"/>
      <x:c r="BB402" s="11"/>
      <x:c r="BC402" s="11"/>
      <x:c r="BD402" s="11"/>
      <x:c r="BE402" s="11"/>
      <x:c r="BF402" s="11"/>
      <x:c r="BG402" s="11"/>
      <x:c r="BH402" s="11"/>
      <x:c r="BI402" s="11"/>
      <x:c r="BJ402" s="11"/>
      <x:c r="BK402" s="12"/>
      <x:c r="BL402" s="12"/>
      <x:c r="BM402" s="12"/>
      <x:c r="BN402" s="12"/>
      <x:c r="BO402" s="12"/>
      <x:c r="BP402" s="12"/>
      <x:c r="BQ402" s="12"/>
      <x:c r="BR402" s="12"/>
      <x:c r="BS402" s="12"/>
      <x:c r="BT402" s="12"/>
      <x:c r="BU402" s="11" t="n">
        <x:v>831000</x:v>
      </x:c>
      <x:c r="BV402" s="11" t="n">
        <x:v>3873000</x:v>
      </x:c>
      <x:c r="BW402" s="11" t="n">
        <x:v>5817000</x:v>
      </x:c>
      <x:c r="BX402" s="11" t="n">
        <x:v>4694000</x:v>
      </x:c>
      <x:c r="BY402" s="11" t="n">
        <x:v>0</x:v>
      </x:c>
      <x:c r="BZ402" s="11" t="n">
        <x:v>215680000</x:v>
      </x:c>
      <x:c r="CA402" s="11" t="n">
        <x:v>12424000</x:v>
      </x:c>
      <x:c r="CB402" s="11" t="n">
        <x:v>5289000</x:v>
      </x:c>
      <x:c r="CC402" s="11" t="n">
        <x:v>26987000</x:v>
      </x:c>
      <x:c r="CD402" s="11" t="n">
        <x:v>57189000</x:v>
      </x:c>
      <x:c r="CE402" s="11" t="n">
        <x:v>11901000</x:v>
      </x:c>
      <x:c r="CF402" s="11" t="n">
        <x:v>0</x:v>
      </x:c>
      <x:c r="CG402" s="11" t="n">
        <x:v>10987000</x:v>
      </x:c>
      <x:c r="CH402" s="11" t="n">
        <x:v>26157000</x:v>
      </x:c>
      <x:c r="CI402" s="11" t="n">
        <x:v>41324000</x:v>
      </x:c>
      <x:c r="CJ402" s="11" t="n">
        <x:v>25432000</x:v>
      </x:c>
      <x:c r="CK402" s="11" t="n">
        <x:v>15516000</x:v>
      </x:c>
      <x:c r="CL402" s="11" t="n">
        <x:v>8637000</x:v>
      </x:c>
      <x:c r="CM402" s="11"/>
      <x:c r="CN402" s="11" t="n">
        <x:v>0</x:v>
      </x:c>
      <x:c r="CO402" s="11" t="n">
        <x:v>0</x:v>
      </x:c>
      <x:c r="CP402" s="8"/>
      <x:c r="CQ402" s="8"/>
    </x:row>
    <x:row r="403">
      <x:c r="A403" s="8" t="str">
        <x:v>Langley (District)|2022</x:v>
      </x:c>
      <x:c r="B403" s="8" t="str">
        <x:v>langley-d</x:v>
      </x:c>
      <x:c r="C403" s="8" t="str">
        <x:v>Langley (District)</x:v>
      </x:c>
      <x:c r="D403" s="8" t="str">
        <x:v>Langley</x:v>
      </x:c>
      <x:c r="E403" s="8" t="str">
        <x:v>D</x:v>
      </x:c>
      <x:c r="F403" s="8" t="str">
        <x:v>MVRD</x:v>
      </x:c>
      <x:c r="G403" s="9" t="n">
        <x:v>2022</x:v>
      </x:c>
      <x:c r="H403" s="10" t="n">
        <x:v>3969</x:v>
      </x:c>
      <x:c r="I403" s="8" t="str">
        <x:v>Under 5,000</x:v>
      </x:c>
      <x:c r="J403" s="11" t="n">
        <x:v>470469000</x:v>
      </x:c>
      <x:c r="K403" s="11" t="n">
        <x:v>300241000</x:v>
      </x:c>
      <x:c r="L403" s="11" t="n">
        <x:v>170228000</x:v>
      </x:c>
      <x:c r="M403" s="12" t="n">
        <x:v>0.3618261777077767</x:v>
      </x:c>
      <x:c r="N403" s="11" t="n">
        <x:v>167465000</x:v>
      </x:c>
      <x:c r="O403" s="11" t="n">
        <x:v>122396000</x:v>
      </x:c>
      <x:c r="P403" s="11" t="n">
        <x:v>15702000</x:v>
      </x:c>
      <x:c r="Q403" s="11" t="n">
        <x:v>164906000</x:v>
      </x:c>
      <x:c r="R403" s="11" t="n">
        <x:v>253077970</x:v>
      </x:c>
      <x:c r="S403" s="11" t="n">
        <x:v>42684000</x:v>
      </x:c>
      <x:c r="T403" s="11" t="n">
        <x:v>557850000</x:v>
      </x:c>
      <x:c r="U403" s="11" t="n">
        <x:v>517703000</x:v>
      </x:c>
      <x:c r="V403" s="11" t="n">
        <x:v>124716000</x:v>
      </x:c>
      <x:c r="W403" s="11" t="n">
        <x:v>99330000</x:v>
      </x:c>
      <x:c r="X403" s="11" t="n">
        <x:v>188910000</x:v>
      </x:c>
      <x:c r="Y403" s="11" t="n">
        <x:v>0</x:v>
      </x:c>
      <x:c r="Z403" s="11" t="n">
        <x:v>10806000</x:v>
      </x:c>
      <x:c r="AA403" s="11" t="n">
        <x:v>177091000</x:v>
      </x:c>
      <x:c r="AB403" s="11" t="n">
        <x:v>4479030</x:v>
      </x:c>
      <x:c r="AC403" s="11" t="n">
        <x:v>15285030</x:v>
      </x:c>
      <x:c r="AD403" s="11" t="n">
        <x:v>77684250</x:v>
      </x:c>
      <x:c r="AE403" s="11" t="n">
        <x:v>58006098</x:v>
      </x:c>
      <x:c r="AF403" s="11" t="n">
        <x:v>310737000</x:v>
      </x:c>
      <x:c r="AG403" s="11" t="n">
        <x:v>2959326000</x:v>
      </x:c>
      <x:c r="AH403" s="11" t="n">
        <x:v>747687000</x:v>
      </x:c>
      <x:c r="AI403" s="11" t="n">
        <x:v>2211639000</x:v>
      </x:c>
      <x:c r="AJ403" s="11" t="n">
        <x:v>156075000</x:v>
      </x:c>
      <x:c r="AK403" s="11" t="n">
        <x:v>2211639000</x:v>
      </x:c>
      <x:c r="AL403" s="11" t="n">
        <x:v>42684000</x:v>
      </x:c>
      <x:c r="AM403" s="12" t="n">
        <x:v>0.9807002860774294</x:v>
      </x:c>
      <x:c r="AN403" s="12" t="n">
        <x:v>0.0705698353121825</x:v>
      </x:c>
      <x:c r="AO403" s="11" t="n">
        <x:v>313615000</x:v>
      </x:c>
      <x:c r="AP403" s="11" t="n">
        <x:v>304799000</x:v>
      </x:c>
      <x:c r="AQ403" s="12" t="n">
        <x:v>0.9718890996922979</x:v>
      </x:c>
      <x:c r="AR403" s="11" t="n">
        <x:v>118535.90325018896</x:v>
      </x:c>
      <x:c r="AS403" s="11" t="n">
        <x:v>75646.51045603426</x:v>
      </x:c>
      <x:c r="AT403" s="11" t="n">
        <x:v>31422.524565381707</x:v>
      </x:c>
      <x:c r="AU403" s="11" t="n">
        <x:v>25026.455026455027</x:v>
      </x:c>
      <x:c r="AV403" s="11" t="n">
        <x:v>44618.54371378181</x:v>
      </x:c>
      <x:c r="AW403" s="11" t="n">
        <x:v>1.0775483240390726</x:v>
      </x:c>
      <x:c r="AX403" s="12" t="n">
        <x:v>0.746690583998687</x:v>
      </x:c>
      <x:c r="AY403" s="11"/>
      <x:c r="AZ403" s="11"/>
      <x:c r="BA403" s="11"/>
      <x:c r="BB403" s="11"/>
      <x:c r="BC403" s="11"/>
      <x:c r="BD403" s="11"/>
      <x:c r="BE403" s="11"/>
      <x:c r="BF403" s="11"/>
      <x:c r="BG403" s="11"/>
      <x:c r="BH403" s="11"/>
      <x:c r="BI403" s="11"/>
      <x:c r="BJ403" s="11"/>
      <x:c r="BK403" s="12"/>
      <x:c r="BL403" s="12"/>
      <x:c r="BM403" s="12"/>
      <x:c r="BN403" s="12"/>
      <x:c r="BO403" s="12"/>
      <x:c r="BP403" s="12"/>
      <x:c r="BQ403" s="12"/>
      <x:c r="BR403" s="12"/>
      <x:c r="BS403" s="12"/>
      <x:c r="BT403" s="12"/>
      <x:c r="BU403" s="11" t="n">
        <x:v>2978000</x:v>
      </x:c>
      <x:c r="BV403" s="11" t="n">
        <x:v>5666000</x:v>
      </x:c>
      <x:c r="BW403" s="11" t="n">
        <x:v>7058000</x:v>
      </x:c>
      <x:c r="BX403" s="11" t="n">
        <x:v>13721000</x:v>
      </x:c>
      <x:c r="BY403" s="11" t="n">
        <x:v>0</x:v>
      </x:c>
      <x:c r="BZ403" s="11" t="n">
        <x:v>98981000</x:v>
      </x:c>
      <x:c r="CA403" s="11" t="n">
        <x:v>44645000</x:v>
      </x:c>
      <x:c r="CB403" s="11" t="n">
        <x:v>7559000</x:v>
      </x:c>
      <x:c r="CC403" s="11" t="n">
        <x:v>30358000</x:v>
      </x:c>
      <x:c r="CD403" s="11" t="n">
        <x:v>62777000</x:v>
      </x:c>
      <x:c r="CE403" s="11" t="n">
        <x:v>13114000</x:v>
      </x:c>
      <x:c r="CF403" s="11" t="n">
        <x:v>0</x:v>
      </x:c>
      <x:c r="CG403" s="11" t="n">
        <x:v>13175000</x:v>
      </x:c>
      <x:c r="CH403" s="11" t="n">
        <x:v>29159000</x:v>
      </x:c>
      <x:c r="CI403" s="11" t="n">
        <x:v>53705000</x:v>
      </x:c>
      <x:c r="CJ403" s="11" t="n">
        <x:v>30400000</x:v>
      </x:c>
      <x:c r="CK403" s="11" t="n">
        <x:v>16106000</x:v>
      </x:c>
      <x:c r="CL403" s="11" t="n">
        <x:v>8763000</x:v>
      </x:c>
      <x:c r="CM403" s="11"/>
      <x:c r="CN403" s="11" t="n">
        <x:v>0</x:v>
      </x:c>
      <x:c r="CO403" s="11" t="n">
        <x:v>0</x:v>
      </x:c>
      <x:c r="CP403" s="8"/>
      <x:c r="CQ403" s="8"/>
    </x:row>
    <x:row r="404">
      <x:c r="A404" s="8" t="str">
        <x:v>Langley (District)|2023</x:v>
      </x:c>
      <x:c r="B404" s="8" t="str">
        <x:v>langley-d</x:v>
      </x:c>
      <x:c r="C404" s="8" t="str">
        <x:v>Langley (District)</x:v>
      </x:c>
      <x:c r="D404" s="8" t="str">
        <x:v>Langley</x:v>
      </x:c>
      <x:c r="E404" s="8" t="str">
        <x:v>D</x:v>
      </x:c>
      <x:c r="F404" s="8" t="str">
        <x:v>MVRD</x:v>
      </x:c>
      <x:c r="G404" s="9" t="n">
        <x:v>2023</x:v>
      </x:c>
      <x:c r="H404" s="10" t="n">
        <x:v>148653</x:v>
      </x:c>
      <x:c r="I404" s="8" t="str">
        <x:v>100,000 and over</x:v>
      </x:c>
      <x:c r="J404" s="11" t="n">
        <x:v>480186000</x:v>
      </x:c>
      <x:c r="K404" s="11" t="n">
        <x:v>336248000</x:v>
      </x:c>
      <x:c r="L404" s="11" t="n">
        <x:v>143938000</x:v>
      </x:c>
      <x:c r="M404" s="12" t="n">
        <x:v>0.2997546783954551</x:v>
      </x:c>
      <x:c r="N404" s="11" t="n">
        <x:v>178335000</x:v>
      </x:c>
      <x:c r="O404" s="11" t="n">
        <x:v>115690000</x:v>
      </x:c>
      <x:c r="P404" s="11" t="n">
        <x:v>46029000</x:v>
      </x:c>
      <x:c r="Q404" s="11" t="n">
        <x:v>140132000</x:v>
      </x:c>
      <x:c r="R404" s="11" t="n">
        <x:v>285277350</x:v>
      </x:c>
      <x:c r="S404" s="11" t="n">
        <x:v>46240000</x:v>
      </x:c>
      <x:c r="T404" s="11" t="n">
        <x:v>475500000</x:v>
      </x:c>
      <x:c r="U404" s="11" t="n">
        <x:v>504368000</x:v>
      </x:c>
      <x:c r="V404" s="11" t="n">
        <x:v>74947000</x:v>
      </x:c>
      <x:c r="W404" s="11" t="n">
        <x:v>91549000</x:v>
      </x:c>
      <x:c r="X404" s="11" t="n">
        <x:v>177091000</x:v>
      </x:c>
      <x:c r="Y404" s="11" t="n">
        <x:v>0</x:v>
      </x:c>
      <x:c r="Z404" s="11" t="n">
        <x:v>8537000</x:v>
      </x:c>
      <x:c r="AA404" s="11" t="n">
        <x:v>167263000</x:v>
      </x:c>
      <x:c r="AB404" s="11" t="n">
        <x:v>4730650</x:v>
      </x:c>
      <x:c r="AC404" s="11" t="n">
        <x:v>13267650</x:v>
      </x:c>
      <x:c r="AD404" s="11" t="n">
        <x:v>79137000</x:v>
      </x:c>
      <x:c r="AE404" s="11" t="n">
        <x:v>61938564</x:v>
      </x:c>
      <x:c r="AF404" s="11" t="n">
        <x:v>316548000</x:v>
      </x:c>
      <x:c r="AG404" s="11" t="n">
        <x:v>3192715000</x:v>
      </x:c>
      <x:c r="AH404" s="11" t="n">
        <x:v>787700000</x:v>
      </x:c>
      <x:c r="AI404" s="11" t="n">
        <x:v>2405015000</x:v>
      </x:c>
      <x:c r="AJ404" s="11" t="n">
        <x:v>239021000</x:v>
      </x:c>
      <x:c r="AK404" s="11" t="n">
        <x:v>2405015000</x:v>
      </x:c>
      <x:c r="AL404" s="11" t="n">
        <x:v>46240000</x:v>
      </x:c>
      <x:c r="AM404" s="12" t="n">
        <x:v>0.980773508689135</x:v>
      </x:c>
      <x:c r="AN404" s="12" t="n">
        <x:v>0.09938441132383789</x:v>
      </x:c>
      <x:c r="AO404" s="11" t="n">
        <x:v>345398730</x:v>
      </x:c>
      <x:c r="AP404" s="11" t="n">
        <x:v>333075730</x:v>
      </x:c>
      <x:c r="AQ404" s="12" t="n">
        <x:v>0.9643223934262873</x:v>
      </x:c>
      <x:c r="AR404" s="11" t="n">
        <x:v>3230.247623660471</x:v>
      </x:c>
      <x:c r="AS404" s="11" t="n">
        <x:v>2261.9657860924435</x:v>
      </x:c>
      <x:c r="AT404" s="11" t="n">
        <x:v>504.17415053850243</x:v>
      </x:c>
      <x:c r="AU404" s="11" t="n">
        <x:v>615.857063093244</x:v>
      </x:c>
      <x:c r="AV404" s="11" t="n">
        <x:v>1125.1908807760356</x:v>
      </x:c>
      <x:c r="AW404" s="11" t="n">
        <x:v>0.9427640135773879</x:v>
      </x:c>
      <x:c r="AX404" s="12" t="n">
        <x:v>0.7826751582698358</x:v>
      </x:c>
      <x:c r="AY404" s="11"/>
      <x:c r="AZ404" s="11"/>
      <x:c r="BA404" s="11"/>
      <x:c r="BB404" s="11"/>
      <x:c r="BC404" s="11"/>
      <x:c r="BD404" s="11"/>
      <x:c r="BE404" s="11"/>
      <x:c r="BF404" s="11"/>
      <x:c r="BG404" s="11"/>
      <x:c r="BH404" s="11"/>
      <x:c r="BI404" s="11"/>
      <x:c r="BJ404" s="11"/>
      <x:c r="BK404" s="12"/>
      <x:c r="BL404" s="12"/>
      <x:c r="BM404" s="12"/>
      <x:c r="BN404" s="12"/>
      <x:c r="BO404" s="12"/>
      <x:c r="BP404" s="12"/>
      <x:c r="BQ404" s="12"/>
      <x:c r="BR404" s="12"/>
      <x:c r="BS404" s="12"/>
      <x:c r="BT404" s="12"/>
      <x:c r="BU404" s="11" t="n">
        <x:v>1744000</x:v>
      </x:c>
      <x:c r="BV404" s="11" t="n">
        <x:v>28682000</x:v>
      </x:c>
      <x:c r="BW404" s="11" t="n">
        <x:v>15603000</x:v>
      </x:c>
      <x:c r="BX404" s="11" t="n">
        <x:v>22727000</x:v>
      </x:c>
      <x:c r="BY404" s="11" t="n">
        <x:v>0</x:v>
      </x:c>
      <x:c r="BZ404" s="11" t="n">
        <x:v>115500000</x:v>
      </x:c>
      <x:c r="CA404" s="11" t="n">
        <x:v>1905000</x:v>
      </x:c>
      <x:c r="CB404" s="11" t="n">
        <x:v>0</x:v>
      </x:c>
      <x:c r="CC404" s="11" t="n">
        <x:v>33998000</x:v>
      </x:c>
      <x:c r="CD404" s="11" t="n">
        <x:v>67526000</x:v>
      </x:c>
      <x:c r="CE404" s="11" t="n">
        <x:v>13838000</x:v>
      </x:c>
      <x:c r="CF404" s="11" t="n">
        <x:v>0</x:v>
      </x:c>
      <x:c r="CG404" s="11" t="n">
        <x:v>13277000</x:v>
      </x:c>
      <x:c r="CH404" s="11" t="n">
        <x:v>36973000</x:v>
      </x:c>
      <x:c r="CI404" s="11" t="n">
        <x:v>54843000</x:v>
      </x:c>
      <x:c r="CJ404" s="11" t="n">
        <x:v>38128000</x:v>
      </x:c>
      <x:c r="CK404" s="11" t="n">
        <x:v>18711000</x:v>
      </x:c>
      <x:c r="CL404" s="11" t="n">
        <x:v>10041000</x:v>
      </x:c>
      <x:c r="CM404" s="11" t="n">
        <x:v>0</x:v>
      </x:c>
      <x:c r="CN404" s="11" t="n">
        <x:v>2673000</x:v>
      </x:c>
      <x:c r="CO404" s="11" t="n">
        <x:v>0</x:v>
      </x:c>
      <x:c r="CP404" s="8"/>
      <x:c r="CQ404" s="8"/>
    </x:row>
    <x:row r="405">
      <x:c r="A405" s="8" t="str">
        <x:v>Langley (District)|2024</x:v>
      </x:c>
      <x:c r="B405" s="8" t="str">
        <x:v>langley-d</x:v>
      </x:c>
      <x:c r="C405" s="8" t="str">
        <x:v>Langley (District)</x:v>
      </x:c>
      <x:c r="D405" s="8" t="str">
        <x:v>Langley</x:v>
      </x:c>
      <x:c r="E405" s="8" t="str">
        <x:v>D</x:v>
      </x:c>
      <x:c r="F405" s="8" t="str">
        <x:v>MVRD</x:v>
      </x:c>
      <x:c r="G405" s="9" t="n">
        <x:v>2024</x:v>
      </x:c>
      <x:c r="H405" s="10" t="n">
        <x:v>148653</x:v>
      </x:c>
      <x:c r="I405" s="8" t="str">
        <x:v>100,000 and over</x:v>
      </x:c>
      <x:c r="J405" s="11" t="n">
        <x:v>510916000</x:v>
      </x:c>
      <x:c r="K405" s="11" t="n">
        <x:v>350999000</x:v>
      </x:c>
      <x:c r="L405" s="11" t="n">
        <x:v>159917000</x:v>
      </x:c>
      <x:c r="M405" s="12" t="n">
        <x:v>0.3130005715225203</x:v>
      </x:c>
      <x:c r="N405" s="11" t="n">
        <x:v>194972000</x:v>
      </x:c>
      <x:c r="O405" s="11" t="n">
        <x:v>162517000</x:v>
      </x:c>
      <x:c r="P405" s="11" t="n">
        <x:v>18040000</x:v>
      </x:c>
      <x:c r="Q405" s="11" t="n">
        <x:v>135387000</x:v>
      </x:c>
      <x:c r="R405" s="11" t="n">
        <x:v>297603000</x:v>
      </x:c>
      <x:c r="S405" s="11" t="n">
        <x:v>47786000</x:v>
      </x:c>
      <x:c r="T405" s="11" t="n">
        <x:v>596810000</x:v>
      </x:c>
      <x:c r="U405" s="11" t="n">
        <x:v>717913000</x:v>
      </x:c>
      <x:c r="V405" s="11" t="n">
        <x:v>-8529000</x:v>
      </x:c>
      <x:c r="W405" s="11" t="n">
        <x:v>98517000</x:v>
      </x:c>
      <x:c r="X405" s="11" t="n">
        <x:v>167263000</x:v>
      </x:c>
      <x:c r="Y405" s="11" t="n">
        <x:v>164387000</x:v>
      </x:c>
      <x:c r="Z405" s="11" t="n">
        <x:v>12824000</x:v>
      </x:c>
      <x:c r="AA405" s="11" t="n">
        <x:v>317305000</x:v>
      </x:c>
      <x:c r="AB405" s="11" t="n">
        <x:v>5610000</x:v>
      </x:c>
      <x:c r="AC405" s="11" t="n">
        <x:v>18434000</x:v>
      </x:c>
      <x:c r="AD405" s="11" t="n">
        <x:v>94880500</x:v>
      </x:c>
      <x:c r="AE405" s="11" t="n">
        <x:v>67329681</x:v>
      </x:c>
      <x:c r="AF405" s="11" t="n">
        <x:v>379522000</x:v>
      </x:c>
      <x:c r="AG405" s="11" t="n">
        <x:v>3466955000</x:v>
      </x:c>
      <x:c r="AH405" s="11" t="n">
        <x:v>827340000</x:v>
      </x:c>
      <x:c r="AI405" s="11" t="n">
        <x:v>2639615000</x:v>
      </x:c>
      <x:c r="AJ405" s="11" t="n">
        <x:v>295359000</x:v>
      </x:c>
      <x:c r="AK405" s="11" t="n">
        <x:v>2639615000</x:v>
      </x:c>
      <x:c r="AL405" s="11" t="n">
        <x:v>47855000</x:v>
      </x:c>
      <x:c r="AM405" s="12" t="n">
        <x:v>0.9818704621696724</x:v>
      </x:c>
      <x:c r="AN405" s="12" t="n">
        <x:v>0.11189472707194041</x:v>
      </x:c>
      <x:c r="AO405" s="11" t="n">
        <x:v>385054000</x:v>
      </x:c>
      <x:c r="AP405" s="11" t="n">
        <x:v>367283000</x:v>
      </x:c>
      <x:c r="AQ405" s="12" t="n">
        <x:v>0.953848031704644</x:v>
      </x:c>
      <x:c r="AR405" s="11" t="n">
        <x:v>3436.970663222404</x:v>
      </x:c>
      <x:c r="AS405" s="11" t="n">
        <x:v>2361.196881327656</x:v>
      </x:c>
      <x:c r="AT405" s="11" t="n">
        <x:v>-57.37522956146193</x:v>
      </x:c>
      <x:c r="AU405" s="11" t="n">
        <x:v>662.7313273193275</x:v>
      </x:c>
      <x:c r="AV405" s="11" t="n">
        <x:v>2134.534789072538</x:v>
      </x:c>
      <x:c r="AW405" s="11" t="n">
        <x:v>0.8313124292219252</x:v>
      </x:c>
      <x:c r="AX405" s="12" t="n">
        <x:v>0.7096261191709572</x:v>
      </x:c>
      <x:c r="AY405" s="11" t="n">
        <x:v>2926.770007924518</x:v>
      </x:c>
      <x:c r="AZ405" s="11" t="n">
        <x:v>3546.5079302077975</x:v>
      </x:c>
      <x:c r="BA405" s="11" t="n">
        <x:v>2253.2286473116947</x:v>
      </x:c>
      <x:c r="BB405" s="11" t="n">
        <x:v>2783.665107049771</x:v>
      </x:c>
      <x:c r="BC405" s="11" t="n">
        <x:v>505.31078643357574</x:v>
      </x:c>
      <x:c r="BD405" s="11" t="n">
        <x:v>2437.8724475115623</x:v>
      </x:c>
      <x:c r="BE405" s="11" t="n">
        <x:v>835.9639870535584</x:v>
      </x:c>
      <x:c r="BF405" s="11" t="n">
        <x:v>1604.3462673977224</x:v>
      </x:c>
      <x:c r="BG405" s="11" t="n">
        <x:v>1385.6199903478357</x:v>
      </x:c>
      <x:c r="BH405" s="11" t="n">
        <x:v>518.5374381567245</x:v>
      </x:c>
      <x:c r="BI405" s="11" t="n">
        <x:v>1.168434818156359</x:v>
      </x:c>
      <x:c r="BJ405" s="11" t="n">
        <x:v>1.7099330852451193</x:v>
      </x:c>
      <x:c r="BK405" s="12" t="n">
        <x:v>0.06451572223281492</x:v>
      </x:c>
      <x:c r="BL405" s="12" t="n">
        <x:v>0.02529861000232605</x:v>
      </x:c>
      <x:c r="BM405" s="12" t="n">
        <x:v>0.982732789016175</x:v>
      </x:c>
      <x:c r="BN405" s="12" t="n">
        <x:v>0.9815511712696461</x:v>
      </x:c>
      <x:c r="BO405" s="12" t="n">
        <x:v>0.742372553201734</x:v>
      </x:c>
      <x:c r="BP405" s="12" t="n">
        <x:v>0.8619101997275483</x:v>
      </x:c>
      <x:c r="BQ405" s="12" t="n">
        <x:v>0.9707950553258613</x:v>
      </x:c>
      <x:c r="BR405" s="12" t="n">
        <x:v>0.9623635142836453</x:v>
      </x:c>
      <x:c r="BS405" s="12" t="n">
        <x:v>0.21263543020394</x:v>
      </x:c>
      <x:c r="BT405" s="12" t="n">
        <x:v>0.19976549769108282</x:v>
      </x:c>
      <x:c r="BU405" s="11" t="n">
        <x:v>2323000</x:v>
      </x:c>
      <x:c r="BV405" s="11" t="n">
        <x:v>5220000</x:v>
      </x:c>
      <x:c r="BW405" s="11" t="n">
        <x:v>10497000</x:v>
      </x:c>
      <x:c r="BX405" s="11" t="n">
        <x:v>22235000</x:v>
      </x:c>
      <x:c r="BY405" s="11" t="n">
        <x:v>0</x:v>
      </x:c>
      <x:c r="BZ405" s="11" t="n">
        <x:v>110720000</x:v>
      </x:c>
      <x:c r="CA405" s="11" t="n">
        <x:v>2161000</x:v>
      </x:c>
      <x:c r="CB405" s="11" t="n">
        <x:v>271000</x:v>
      </x:c>
      <x:c r="CC405" s="11" t="n">
        <x:v>36175000</x:v>
      </x:c>
      <x:c r="CD405" s="11" t="n">
        <x:v>72552000</x:v>
      </x:c>
      <x:c r="CE405" s="11" t="n">
        <x:v>9354000</x:v>
      </x:c>
      <x:c r="CF405" s="11" t="n">
        <x:v>0</x:v>
      </x:c>
      <x:c r="CG405" s="11" t="n">
        <x:v>15680000</x:v>
      </x:c>
      <x:c r="CH405" s="11" t="n">
        <x:v>42871000</x:v>
      </x:c>
      <x:c r="CI405" s="11" t="n">
        <x:v>64594000</x:v>
      </x:c>
      <x:c r="CJ405" s="11" t="n">
        <x:v>24428000</x:v>
      </x:c>
      <x:c r="CK405" s="11" t="n">
        <x:v>20773000</x:v>
      </x:c>
      <x:c r="CL405" s="11" t="n">
        <x:v>16786000</x:v>
      </x:c>
      <x:c r="CM405" s="11" t="n">
        <x:v>0</x:v>
      </x:c>
      <x:c r="CN405" s="11" t="n">
        <x:v>0</x:v>
      </x:c>
      <x:c r="CO405" s="11" t="n">
        <x:v>0</x:v>
      </x:c>
      <x:c r="CP405" s="8"/>
      <x:c r="CQ405" s="8"/>
    </x:row>
    <x:row r="406">
      <x:c r="A406" s="8" t="str">
        <x:v>Lantzville|2019</x:v>
      </x:c>
      <x:c r="B406" s="8" t="str">
        <x:v>lantzville-d</x:v>
      </x:c>
      <x:c r="C406" s="8" t="str">
        <x:v>Lantzville</x:v>
      </x:c>
      <x:c r="D406" s="8" t="str">
        <x:v>Lantzville</x:v>
      </x:c>
      <x:c r="E406" s="8" t="str">
        <x:v>D</x:v>
      </x:c>
      <x:c r="F406" s="8" t="str">
        <x:v>NAN</x:v>
      </x:c>
      <x:c r="G406" s="9" t="n">
        <x:v>2019</x:v>
      </x:c>
      <x:c r="H406" s="10" t="n">
        <x:v>3790</x:v>
      </x:c>
      <x:c r="I406" s="8" t="str">
        <x:v>Under 5,000</x:v>
      </x:c>
      <x:c r="J406" s="11" t="n">
        <x:v>20840519</x:v>
      </x:c>
      <x:c r="K406" s="11" t="n">
        <x:v>4116196</x:v>
      </x:c>
      <x:c r="L406" s="11" t="n">
        <x:v>16724323</x:v>
      </x:c>
      <x:c r="M406" s="12" t="n">
        <x:v>0.8024907153223967</x:v>
      </x:c>
      <x:c r="N406" s="11" t="n">
        <x:v>2600254</x:v>
      </x:c>
      <x:c r="O406" s="11" t="n">
        <x:v>857757</x:v>
      </x:c>
      <x:c r="P406" s="11" t="n">
        <x:v>845750</x:v>
      </x:c>
      <x:c r="Q406" s="11" t="n">
        <x:v>16536758</x:v>
      </x:c>
      <x:c r="R406" s="11" t="n">
        <x:v>3226305</x:v>
      </x:c>
      <x:c r="S406" s="11" t="n">
        <x:v>889891</x:v>
      </x:c>
      <x:c r="T406" s="11" t="n">
        <x:v>12149352</x:v>
      </x:c>
      <x:c r="U406" s="11" t="n">
        <x:v>7581333</x:v>
      </x:c>
      <x:c r="V406" s="11" t="n">
        <x:v>4993727</x:v>
      </x:c>
      <x:c r="W406" s="11" t="n">
        <x:v>4350015</x:v>
      </x:c>
      <x:c r="X406" s="11" t="n">
        <x:v>0</x:v>
      </x:c>
      <x:c r="Y406" s="11" t="n">
        <x:v>0</x:v>
      </x:c>
      <x:c r="Z406" s="11" t="n">
        <x:v>0</x:v>
      </x:c>
      <x:c r="AA406" s="11" t="n">
        <x:v>0</x:v>
      </x:c>
      <x:c r="AB406" s="11" t="n">
        <x:v>0</x:v>
      </x:c>
      <x:c r="AC406" s="11" t="n">
        <x:v>0</x:v>
      </x:c>
      <x:c r="AD406" s="11" t="n">
        <x:v>1094029</x:v>
      </x:c>
      <x:c r="AE406" s="11" t="n">
        <x:v>907784</x:v>
      </x:c>
      <x:c r="AF406" s="11" t="n">
        <x:v>4376117</x:v>
      </x:c>
      <x:c r="AG406" s="11" t="n">
        <x:v>61431844</x:v>
      </x:c>
      <x:c r="AH406" s="11" t="n">
        <x:v>10564049</x:v>
      </x:c>
      <x:c r="AI406" s="11" t="n">
        <x:v>50867795</x:v>
      </x:c>
      <x:c r="AJ406" s="11" t="n">
        <x:v>17780610</x:v>
      </x:c>
      <x:c r="AK406" s="11" t="n">
        <x:v>78419847</x:v>
      </x:c>
      <x:c r="AL406" s="11" t="n">
        <x:v>696757</x:v>
      </x:c>
      <x:c r="AM406" s="12" t="n">
        <x:v>0.9911150425988462</x:v>
      </x:c>
      <x:c r="AN406" s="12" t="n">
        <x:v>0.22673609653943855</x:v>
      </x:c>
      <x:c r="AO406" s="11" t="n">
        <x:v>6102302</x:v>
      </x:c>
      <x:c r="AP406" s="11" t="n">
        <x:v>5982539</x:v>
      </x:c>
      <x:c r="AQ406" s="12" t="n">
        <x:v>0.9803741276652647</x:v>
      </x:c>
      <x:c r="AR406" s="11" t="n">
        <x:v>5498.817678100264</x:v>
      </x:c>
      <x:c r="AS406" s="11" t="n">
        <x:v>1086.0675461741425</x:v>
      </x:c>
      <x:c r="AT406" s="11" t="n">
        <x:v>1317.606068601583</x:v>
      </x:c>
      <x:c r="AU406" s="11" t="n">
        <x:v>1147.7612137203166</x:v>
      </x:c>
      <x:c r="AV406" s="11" t="n">
        <x:v>0</x:v>
      </x:c>
      <x:c r="AW406" s="11" t="n">
        <x:v>1.6025350687009792</x:v>
      </x:c>
      <x:c r="AX406" s="12" t="n">
        <x:v>0.8297622823526616</x:v>
      </x:c>
      <x:c r="AY406" s="11"/>
      <x:c r="AZ406" s="11"/>
      <x:c r="BA406" s="11"/>
      <x:c r="BB406" s="11"/>
      <x:c r="BC406" s="11"/>
      <x:c r="BD406" s="11"/>
      <x:c r="BE406" s="11"/>
      <x:c r="BF406" s="11"/>
      <x:c r="BG406" s="11"/>
      <x:c r="BH406" s="11"/>
      <x:c r="BI406" s="11"/>
      <x:c r="BJ406" s="11"/>
      <x:c r="BK406" s="12"/>
      <x:c r="BL406" s="12"/>
      <x:c r="BM406" s="12"/>
      <x:c r="BN406" s="12"/>
      <x:c r="BO406" s="12"/>
      <x:c r="BP406" s="12"/>
      <x:c r="BQ406" s="12"/>
      <x:c r="BR406" s="12"/>
      <x:c r="BS406" s="12"/>
      <x:c r="BT406" s="12"/>
      <x:c r="BU406" s="11" t="n">
        <x:v>273905</x:v>
      </x:c>
      <x:c r="BV406" s="11" t="n">
        <x:v>561541</x:v>
      </x:c>
      <x:c r="BW406" s="11" t="n">
        <x:v>10304</x:v>
      </x:c>
      <x:c r="BX406" s="11" t="n">
        <x:v>226333</x:v>
      </x:c>
      <x:c r="BY406" s="11" t="n">
        <x:v>0</x:v>
      </x:c>
      <x:c r="BZ406" s="11" t="n">
        <x:v>16067307</x:v>
      </x:c>
      <x:c r="CA406" s="11" t="n">
        <x:v>0</x:v>
      </x:c>
      <x:c r="CB406" s="11" t="n">
        <x:v>243118</x:v>
      </x:c>
      <x:c r="CC406" s="11" t="n">
        <x:v>1140430</x:v>
      </x:c>
      <x:c r="CD406" s="11" t="n">
        <x:v>436404</x:v>
      </x:c>
      <x:c r="CE406" s="11" t="n">
        <x:v>203786</x:v>
      </x:c>
      <x:c r="CF406" s="11" t="n">
        <x:v>0</x:v>
      </x:c>
      <x:c r="CG406" s="11" t="n">
        <x:v>167252</x:v>
      </x:c>
      <x:c r="CH406" s="11" t="n">
        <x:v>503581</x:v>
      </x:c>
      <x:c r="CI406" s="11" t="n">
        <x:v>347700</x:v>
      </x:c>
      <x:c r="CJ406" s="11" t="n">
        <x:v>270174</x:v>
      </x:c>
      <x:c r="CK406" s="11" t="n">
        <x:v>150786</x:v>
      </x:c>
      <x:c r="CL406" s="11" t="n">
        <x:v>0</x:v>
      </x:c>
      <x:c r="CM406" s="11"/>
      <x:c r="CN406" s="11" t="n">
        <x:v>6192</x:v>
      </x:c>
      <x:c r="CO406" s="11" t="n">
        <x:v>0</x:v>
      </x:c>
      <x:c r="CP406" s="8"/>
      <x:c r="CQ406" s="8"/>
    </x:row>
    <x:row r="407">
      <x:c r="A407" s="8" t="str">
        <x:v>Lantzville|2020</x:v>
      </x:c>
      <x:c r="B407" s="8" t="str">
        <x:v>lantzville-d</x:v>
      </x:c>
      <x:c r="C407" s="8" t="str">
        <x:v>Lantzville</x:v>
      </x:c>
      <x:c r="D407" s="8" t="str">
        <x:v>Lantzville</x:v>
      </x:c>
      <x:c r="E407" s="8" t="str">
        <x:v>D</x:v>
      </x:c>
      <x:c r="F407" s="8" t="str">
        <x:v>NAN</x:v>
      </x:c>
      <x:c r="G407" s="9" t="n">
        <x:v>2020</x:v>
      </x:c>
      <x:c r="H407" s="10" t="n">
        <x:v>3816</x:v>
      </x:c>
      <x:c r="I407" s="8" t="str">
        <x:v>Under 5,000</x:v>
      </x:c>
      <x:c r="J407" s="11" t="n">
        <x:v>10490982</x:v>
      </x:c>
      <x:c r="K407" s="11" t="n">
        <x:v>4316964</x:v>
      </x:c>
      <x:c r="L407" s="11" t="n">
        <x:v>6174018</x:v>
      </x:c>
      <x:c r="M407" s="12" t="n">
        <x:v>0.5885071578618665</x:v>
      </x:c>
      <x:c r="N407" s="11" t="n">
        <x:v>2779505</x:v>
      </x:c>
      <x:c r="O407" s="11" t="n">
        <x:v>1153600</x:v>
      </x:c>
      <x:c r="P407" s="11" t="n">
        <x:v>5858507</x:v>
      </x:c>
      <x:c r="Q407" s="11" t="n">
        <x:v>699370</x:v>
      </x:c>
      <x:c r="R407" s="11" t="n">
        <x:v>3391026</x:v>
      </x:c>
      <x:c r="S407" s="11" t="n">
        <x:v>925938</x:v>
      </x:c>
      <x:c r="T407" s="11" t="n">
        <x:v>13000698</x:v>
      </x:c>
      <x:c r="U407" s="11" t="n">
        <x:v>10267208</x:v>
      </x:c>
      <x:c r="V407" s="11" t="n">
        <x:v>3998110</x:v>
      </x:c>
      <x:c r="W407" s="11" t="n">
        <x:v>4870804</x:v>
      </x:c>
      <x:c r="X407" s="11" t="n">
        <x:v>0</x:v>
      </x:c>
      <x:c r="Y407" s="11" t="n">
        <x:v>4300000</x:v>
      </x:c>
      <x:c r="Z407" s="11" t="n">
        <x:v>0</x:v>
      </x:c>
      <x:c r="AA407" s="11" t="n">
        <x:v>4300000</x:v>
      </x:c>
      <x:c r="AB407" s="11" t="n">
        <x:v>0</x:v>
      </x:c>
      <x:c r="AC407" s="11" t="n">
        <x:v>0</x:v>
      </x:c>
      <x:c r="AD407" s="11" t="n">
        <x:v>1198575</x:v>
      </x:c>
      <x:c r="AE407" s="11" t="n">
        <x:v>1000298</x:v>
      </x:c>
      <x:c r="AF407" s="11" t="n">
        <x:v>4794301</x:v>
      </x:c>
      <x:c r="AG407" s="11" t="n">
        <x:v>69399868</x:v>
      </x:c>
      <x:c r="AH407" s="11" t="n">
        <x:v>11362476</x:v>
      </x:c>
      <x:c r="AI407" s="11" t="n">
        <x:v>58037392</x:v>
      </x:c>
      <x:c r="AJ407" s="11" t="n">
        <x:v>8105926</x:v>
      </x:c>
      <x:c r="AK407" s="11" t="n">
        <x:v>87403453</x:v>
      </x:c>
      <x:c r="AL407" s="11" t="n">
        <x:v>912911</x:v>
      </x:c>
      <x:c r="AM407" s="12" t="n">
        <x:v>0.9895552067033324</x:v>
      </x:c>
      <x:c r="AN407" s="12" t="n">
        <x:v>0.09274148470999195</x:v>
      </x:c>
      <x:c r="AO407" s="11" t="n">
        <x:v>6422536</x:v>
      </x:c>
      <x:c r="AP407" s="11" t="n">
        <x:v>6288699</x:v>
      </x:c>
      <x:c r="AQ407" s="12" t="n">
        <x:v>0.9791613468573784</x:v>
      </x:c>
      <x:c r="AR407" s="11" t="n">
        <x:v>2749.2091194968552</x:v>
      </x:c>
      <x:c r="AS407" s="11" t="n">
        <x:v>1131.2798742138364</x:v>
      </x:c>
      <x:c r="AT407" s="11" t="n">
        <x:v>1047.722746331237</x:v>
      </x:c>
      <x:c r="AU407" s="11" t="n">
        <x:v>1276.416142557652</x:v>
      </x:c>
      <x:c r="AV407" s="11" t="n">
        <x:v>1126.8343815513626</x:v>
      </x:c>
      <x:c r="AW407" s="11" t="n">
        <x:v>1.2662349881291974</x:v>
      </x:c>
      <x:c r="AX407" s="12" t="n">
        <x:v>0.8345727217737731</x:v>
      </x:c>
      <x:c r="AY407" s="11"/>
      <x:c r="AZ407" s="11"/>
      <x:c r="BA407" s="11"/>
      <x:c r="BB407" s="11"/>
      <x:c r="BC407" s="11"/>
      <x:c r="BD407" s="11"/>
      <x:c r="BE407" s="11"/>
      <x:c r="BF407" s="11"/>
      <x:c r="BG407" s="11"/>
      <x:c r="BH407" s="11"/>
      <x:c r="BI407" s="11"/>
      <x:c r="BJ407" s="11"/>
      <x:c r="BK407" s="12"/>
      <x:c r="BL407" s="12"/>
      <x:c r="BM407" s="12"/>
      <x:c r="BN407" s="12"/>
      <x:c r="BO407" s="12"/>
      <x:c r="BP407" s="12"/>
      <x:c r="BQ407" s="12"/>
      <x:c r="BR407" s="12"/>
      <x:c r="BS407" s="12"/>
      <x:c r="BT407" s="12"/>
      <x:c r="BU407" s="11" t="n">
        <x:v>2354078</x:v>
      </x:c>
      <x:c r="BV407" s="11" t="n">
        <x:v>3492290</x:v>
      </x:c>
      <x:c r="BW407" s="11" t="n">
        <x:v>12139</x:v>
      </x:c>
      <x:c r="BX407" s="11" t="n">
        <x:v>128063</x:v>
      </x:c>
      <x:c r="BY407" s="11" t="n">
        <x:v>0</x:v>
      </x:c>
      <x:c r="BZ407" s="11" t="n">
        <x:v>267966</x:v>
      </x:c>
      <x:c r="CA407" s="11" t="n">
        <x:v>21109</x:v>
      </x:c>
      <x:c r="CB407" s="11" t="n">
        <x:v>282232</x:v>
      </x:c>
      <x:c r="CC407" s="11" t="n">
        <x:v>1269892</x:v>
      </x:c>
      <x:c r="CD407" s="11" t="n">
        <x:v>447329</x:v>
      </x:c>
      <x:c r="CE407" s="11" t="n">
        <x:v>213469</x:v>
      </x:c>
      <x:c r="CF407" s="11" t="n">
        <x:v>0</x:v>
      </x:c>
      <x:c r="CG407" s="11" t="n">
        <x:v>299608</x:v>
      </x:c>
      <x:c r="CH407" s="11" t="n">
        <x:v>470225</x:v>
      </x:c>
      <x:c r="CI407" s="11" t="n">
        <x:v>150642</x:v>
      </x:c>
      <x:c r="CJ407" s="11" t="n">
        <x:v>315713</x:v>
      </x:c>
      <x:c r="CK407" s="11" t="n">
        <x:v>179449</x:v>
      </x:c>
      <x:c r="CL407" s="11" t="n">
        <x:v>44699</x:v>
      </x:c>
      <x:c r="CM407" s="11"/>
      <x:c r="CN407" s="11" t="n">
        <x:v>0</x:v>
      </x:c>
      <x:c r="CO407" s="11" t="n">
        <x:v>0</x:v>
      </x:c>
      <x:c r="CP407" s="8"/>
      <x:c r="CQ407" s="8"/>
    </x:row>
    <x:row r="408">
      <x:c r="A408" s="8" t="str">
        <x:v>Lantzville|2021</x:v>
      </x:c>
      <x:c r="B408" s="8" t="str">
        <x:v>lantzville-d</x:v>
      </x:c>
      <x:c r="C408" s="8" t="str">
        <x:v>Lantzville</x:v>
      </x:c>
      <x:c r="D408" s="8" t="str">
        <x:v>Lantzville</x:v>
      </x:c>
      <x:c r="E408" s="8" t="str">
        <x:v>D</x:v>
      </x:c>
      <x:c r="F408" s="8" t="str">
        <x:v>NAN</x:v>
      </x:c>
      <x:c r="G408" s="9" t="n">
        <x:v>2021</x:v>
      </x:c>
      <x:c r="H408" s="10" t="n">
        <x:v>3874</x:v>
      </x:c>
      <x:c r="I408" s="8" t="str">
        <x:v>Under 5,000</x:v>
      </x:c>
      <x:c r="J408" s="11" t="n">
        <x:v>11149306</x:v>
      </x:c>
      <x:c r="K408" s="11" t="n">
        <x:v>5083604</x:v>
      </x:c>
      <x:c r="L408" s="11" t="n">
        <x:v>6065702</x:v>
      </x:c>
      <x:c r="M408" s="12" t="n">
        <x:v>0.5440430103900638</x:v>
      </x:c>
      <x:c r="N408" s="11" t="n">
        <x:v>2954176</x:v>
      </x:c>
      <x:c r="O408" s="11" t="n">
        <x:v>1928497</x:v>
      </x:c>
      <x:c r="P408" s="11" t="n">
        <x:v>1533748</x:v>
      </x:c>
      <x:c r="Q408" s="11" t="n">
        <x:v>4732885</x:v>
      </x:c>
      <x:c r="R408" s="11" t="n">
        <x:v>4034581</x:v>
      </x:c>
      <x:c r="S408" s="11" t="n">
        <x:v>1009893</x:v>
      </x:c>
      <x:c r="T408" s="11" t="n">
        <x:v>13231300</x:v>
      </x:c>
      <x:c r="U408" s="11" t="n">
        <x:v>10065869</x:v>
      </x:c>
      <x:c r="V408" s="11" t="n">
        <x:v>3823073</x:v>
      </x:c>
      <x:c r="W408" s="11" t="n">
        <x:v>6348066</x:v>
      </x:c>
      <x:c r="X408" s="11" t="n">
        <x:v>4300000</x:v>
      </x:c>
      <x:c r="Y408" s="11" t="n">
        <x:v>0</x:v>
      </x:c>
      <x:c r="Z408" s="11" t="n">
        <x:v>110208</x:v>
      </x:c>
      <x:c r="AA408" s="11" t="n">
        <x:v>4189792</x:v>
      </x:c>
      <x:c r="AB408" s="11" t="n">
        <x:v>39130</x:v>
      </x:c>
      <x:c r="AC408" s="11" t="n">
        <x:v>149338</x:v>
      </x:c>
      <x:c r="AD408" s="11" t="n">
        <x:v>1414499</x:v>
      </x:c>
      <x:c r="AE408" s="11" t="n">
        <x:v>894501</x:v>
      </x:c>
      <x:c r="AF408" s="11" t="n">
        <x:v>5657994</x:v>
      </x:c>
      <x:c r="AG408" s="11" t="n">
        <x:v>76649736</x:v>
      </x:c>
      <x:c r="AH408" s="11" t="n">
        <x:v>12359874</x:v>
      </x:c>
      <x:c r="AI408" s="11" t="n">
        <x:v>64289862</x:v>
      </x:c>
      <x:c r="AJ408" s="11" t="n">
        <x:v>7262363</x:v>
      </x:c>
      <x:c r="AK408" s="11" t="n">
        <x:v>19650993</x:v>
      </x:c>
      <x:c r="AL408" s="11" t="n">
        <x:v>0</x:v>
      </x:c>
      <x:c r="AM408" s="12" t="n">
        <x:v>1</x:v>
      </x:c>
      <x:c r="AN408" s="12" t="n">
        <x:v>0.3695672274678435</x:v>
      </x:c>
      <x:c r="AO408" s="11" t="n">
        <x:v>6859578</x:v>
      </x:c>
      <x:c r="AP408" s="11" t="n">
        <x:v>6673997</x:v>
      </x:c>
      <x:c r="AQ408" s="12" t="n">
        <x:v>0.9729457118207563</x:v>
      </x:c>
      <x:c r="AR408" s="11" t="n">
        <x:v>2877.9829633453796</x:v>
      </x:c>
      <x:c r="AS408" s="11" t="n">
        <x:v>1312.2364481156428</x:v>
      </x:c>
      <x:c r="AT408" s="11" t="n">
        <x:v>986.8541559112028</x:v>
      </x:c>
      <x:c r="AU408" s="11" t="n">
        <x:v>1638.6334537945277</x:v>
      </x:c>
      <x:c r="AV408" s="11" t="n">
        <x:v>1081.5157459989675</x:v>
      </x:c>
      <x:c r="AW408" s="11" t="n">
        <x:v>1.3144717063176563</x:v>
      </x:c>
      <x:c r="AX408" s="12" t="n">
        <x:v>0.6323800865182655</x:v>
      </x:c>
      <x:c r="AY408" s="11"/>
      <x:c r="AZ408" s="11"/>
      <x:c r="BA408" s="11"/>
      <x:c r="BB408" s="11"/>
      <x:c r="BC408" s="11"/>
      <x:c r="BD408" s="11"/>
      <x:c r="BE408" s="11"/>
      <x:c r="BF408" s="11"/>
      <x:c r="BG408" s="11"/>
      <x:c r="BH408" s="11"/>
      <x:c r="BI408" s="11"/>
      <x:c r="BJ408" s="11"/>
      <x:c r="BK408" s="12"/>
      <x:c r="BL408" s="12"/>
      <x:c r="BM408" s="12"/>
      <x:c r="BN408" s="12"/>
      <x:c r="BO408" s="12"/>
      <x:c r="BP408" s="12"/>
      <x:c r="BQ408" s="12"/>
      <x:c r="BR408" s="12"/>
      <x:c r="BS408" s="12"/>
      <x:c r="BT408" s="12"/>
      <x:c r="BU408" s="11" t="n">
        <x:v>646766</x:v>
      </x:c>
      <x:c r="BV408" s="11" t="n">
        <x:v>704561</x:v>
      </x:c>
      <x:c r="BW408" s="11" t="n">
        <x:v>182421</x:v>
      </x:c>
      <x:c r="BX408" s="11" t="n">
        <x:v>106281</x:v>
      </x:c>
      <x:c r="BY408" s="11" t="n">
        <x:v>0</x:v>
      </x:c>
      <x:c r="BZ408" s="11" t="n">
        <x:v>4417045</x:v>
      </x:c>
      <x:c r="CA408" s="11" t="n">
        <x:v>0</x:v>
      </x:c>
      <x:c r="CB408" s="11" t="n">
        <x:v>209559</x:v>
      </x:c>
      <x:c r="CC408" s="11" t="n">
        <x:v>1514362</x:v>
      </x:c>
      <x:c r="CD408" s="11" t="n">
        <x:v>529621</x:v>
      </x:c>
      <x:c r="CE408" s="11" t="n">
        <x:v>248121</x:v>
      </x:c>
      <x:c r="CF408" s="11" t="n">
        <x:v>0</x:v>
      </x:c>
      <x:c r="CG408" s="11" t="n">
        <x:v>400686</x:v>
      </x:c>
      <x:c r="CH408" s="11" t="n">
        <x:v>609380</x:v>
      </x:c>
      <x:c r="CI408" s="11" t="n">
        <x:v>162750</x:v>
      </x:c>
      <x:c r="CJ408" s="11" t="n">
        <x:v>352543</x:v>
      </x:c>
      <x:c r="CK408" s="11" t="n">
        <x:v>256248</x:v>
      </x:c>
      <x:c r="CL408" s="11" t="n">
        <x:v>0</x:v>
      </x:c>
      <x:c r="CM408" s="11"/>
      <x:c r="CN408" s="11" t="n">
        <x:v>0</x:v>
      </x:c>
      <x:c r="CO408" s="11" t="n">
        <x:v>0</x:v>
      </x:c>
      <x:c r="CP408" s="8"/>
      <x:c r="CQ408" s="8"/>
    </x:row>
    <x:row r="409">
      <x:c r="A409" s="8" t="str">
        <x:v>Lantzville|2022</x:v>
      </x:c>
      <x:c r="B409" s="8" t="str">
        <x:v>lantzville-d</x:v>
      </x:c>
      <x:c r="C409" s="8" t="str">
        <x:v>Lantzville</x:v>
      </x:c>
      <x:c r="D409" s="8" t="str">
        <x:v>Lantzville</x:v>
      </x:c>
      <x:c r="E409" s="8" t="str">
        <x:v>D</x:v>
      </x:c>
      <x:c r="F409" s="8" t="str">
        <x:v>NAN</x:v>
      </x:c>
      <x:c r="G409" s="9" t="n">
        <x:v>2022</x:v>
      </x:c>
      <x:c r="H409" s="10" t="n">
        <x:v>2179</x:v>
      </x:c>
      <x:c r="I409" s="8" t="str">
        <x:v>Under 5,000</x:v>
      </x:c>
      <x:c r="J409" s="11" t="n">
        <x:v>8841594</x:v>
      </x:c>
      <x:c r="K409" s="11" t="n">
        <x:v>5375853</x:v>
      </x:c>
      <x:c r="L409" s="11" t="n">
        <x:v>3465741</x:v>
      </x:c>
      <x:c r="M409" s="12" t="n">
        <x:v>0.3919814684999108</x:v>
      </x:c>
      <x:c r="N409" s="11" t="n">
        <x:v>3753054</x:v>
      </x:c>
      <x:c r="O409" s="11" t="n">
        <x:v>1587074</x:v>
      </x:c>
      <x:c r="P409" s="11" t="n">
        <x:v>815186</x:v>
      </x:c>
      <x:c r="Q409" s="11" t="n">
        <x:v>2686280</x:v>
      </x:c>
      <x:c r="R409" s="11" t="n">
        <x:v>4198778</x:v>
      </x:c>
      <x:c r="S409" s="11" t="n">
        <x:v>1137945</x:v>
      </x:c>
      <x:c r="T409" s="11" t="n">
        <x:v>14770860</x:v>
      </x:c>
      <x:c r="U409" s="11" t="n">
        <x:v>10900887</x:v>
      </x:c>
      <x:c r="V409" s="11" t="n">
        <x:v>4589325</x:v>
      </x:c>
      <x:c r="W409" s="11" t="n">
        <x:v>6734029</x:v>
      </x:c>
      <x:c r="X409" s="11" t="n">
        <x:v>4189792</x:v>
      </x:c>
      <x:c r="Y409" s="11" t="n">
        <x:v>0</x:v>
      </x:c>
      <x:c r="Z409" s="11" t="n">
        <x:v>110208</x:v>
      </x:c>
      <x:c r="AA409" s="11" t="n">
        <x:v>4077655</x:v>
      </x:c>
      <x:c r="AB409" s="11" t="n">
        <x:v>39130</x:v>
      </x:c>
      <x:c r="AC409" s="11" t="n">
        <x:v>149338</x:v>
      </x:c>
      <x:c r="AD409" s="11" t="n">
        <x:v>1579497</x:v>
      </x:c>
      <x:c r="AE409" s="11" t="n">
        <x:v>1045309</x:v>
      </x:c>
      <x:c r="AF409" s="11" t="n">
        <x:v>6317987</x:v>
      </x:c>
      <x:c r="AG409" s="11" t="n">
        <x:v>80362527</x:v>
      </x:c>
      <x:c r="AH409" s="11" t="n">
        <x:v>13497820</x:v>
      </x:c>
      <x:c r="AI409" s="11" t="n">
        <x:v>66864707</x:v>
      </x:c>
      <x:c r="AJ409" s="11" t="n">
        <x:v>3759565</x:v>
      </x:c>
      <x:c r="AK409" s="11" t="n">
        <x:v>92642198</x:v>
      </x:c>
      <x:c r="AL409" s="11" t="n">
        <x:v>2456900</x:v>
      </x:c>
      <x:c r="AM409" s="12" t="n">
        <x:v>0.9734796879495454</x:v>
      </x:c>
      <x:c r="AN409" s="12" t="n">
        <x:v>0.040581560899494204</x:v>
      </x:c>
      <x:c r="AO409" s="11" t="n">
        <x:v>8435175</x:v>
      </x:c>
      <x:c r="AP409" s="11" t="n">
        <x:v>8193837</x:v>
      </x:c>
      <x:c r="AQ409" s="12" t="n">
        <x:v>0.9713890938836479</x:v>
      </x:c>
      <x:c r="AR409" s="11" t="n">
        <x:v>4057.6383662230382</x:v>
      </x:c>
      <x:c r="AS409" s="11" t="n">
        <x:v>2467.119320789353</x:v>
      </x:c>
      <x:c r="AT409" s="11" t="n">
        <x:v>2106.1610830656264</x:v>
      </x:c>
      <x:c r="AU409" s="11" t="n">
        <x:v>3090.421753097751</x:v>
      </x:c>
      <x:c r="AV409" s="11" t="n">
        <x:v>1871.3423588802202</x:v>
      </x:c>
      <x:c r="AW409" s="11" t="n">
        <x:v>1.3550145047829594</x:v>
      </x:c>
      <x:c r="AX409" s="12" t="n">
        <x:v>0.6617986612193629</x:v>
      </x:c>
      <x:c r="AY409" s="11"/>
      <x:c r="AZ409" s="11"/>
      <x:c r="BA409" s="11"/>
      <x:c r="BB409" s="11"/>
      <x:c r="BC409" s="11"/>
      <x:c r="BD409" s="11"/>
      <x:c r="BE409" s="11"/>
      <x:c r="BF409" s="11"/>
      <x:c r="BG409" s="11"/>
      <x:c r="BH409" s="11"/>
      <x:c r="BI409" s="11"/>
      <x:c r="BJ409" s="11"/>
      <x:c r="BK409" s="12"/>
      <x:c r="BL409" s="12"/>
      <x:c r="BM409" s="12"/>
      <x:c r="BN409" s="12"/>
      <x:c r="BO409" s="12"/>
      <x:c r="BP409" s="12"/>
      <x:c r="BQ409" s="12"/>
      <x:c r="BR409" s="12"/>
      <x:c r="BS409" s="12"/>
      <x:c r="BT409" s="12"/>
      <x:c r="BU409" s="11" t="n">
        <x:v>32115</x:v>
      </x:c>
      <x:c r="BV409" s="11" t="n">
        <x:v>659528</x:v>
      </x:c>
      <x:c r="BW409" s="11" t="n">
        <x:v>123543</x:v>
      </x:c>
      <x:c r="BX409" s="11" t="n">
        <x:v>297832</x:v>
      </x:c>
      <x:c r="BY409" s="11" t="n">
        <x:v>0</x:v>
      </x:c>
      <x:c r="BZ409" s="11" t="n">
        <x:v>2298938</x:v>
      </x:c>
      <x:c r="CA409" s="11" t="n">
        <x:v>0</x:v>
      </x:c>
      <x:c r="CB409" s="11" t="n">
        <x:v>89510</x:v>
      </x:c>
      <x:c r="CC409" s="11" t="n">
        <x:v>1331850</x:v>
      </x:c>
      <x:c r="CD409" s="11" t="n">
        <x:v>511392</x:v>
      </x:c>
      <x:c r="CE409" s="11" t="n">
        <x:v>205613</x:v>
      </x:c>
      <x:c r="CF409" s="11" t="n">
        <x:v>0</x:v>
      </x:c>
      <x:c r="CG409" s="11" t="n">
        <x:v>372224</x:v>
      </x:c>
      <x:c r="CH409" s="11" t="n">
        <x:v>691668</x:v>
      </x:c>
      <x:c r="CI409" s="11" t="n">
        <x:v>215195</x:v>
      </x:c>
      <x:c r="CJ409" s="11" t="n">
        <x:v>586927</x:v>
      </x:c>
      <x:c r="CK409" s="11" t="n">
        <x:v>276264</x:v>
      </x:c>
      <x:c r="CL409" s="11" t="n">
        <x:v>0</x:v>
      </x:c>
      <x:c r="CM409" s="11"/>
      <x:c r="CN409" s="11" t="n">
        <x:v>46775</x:v>
      </x:c>
      <x:c r="CO409" s="11" t="n">
        <x:v>0</x:v>
      </x:c>
      <x:c r="CP409" s="8"/>
      <x:c r="CQ409" s="8"/>
    </x:row>
    <x:row r="410">
      <x:c r="A410" s="8" t="str">
        <x:v>Lantzville|2023</x:v>
      </x:c>
      <x:c r="B410" s="8" t="str">
        <x:v>lantzville-d</x:v>
      </x:c>
      <x:c r="C410" s="8" t="str">
        <x:v>Lantzville</x:v>
      </x:c>
      <x:c r="D410" s="8" t="str">
        <x:v>Lantzville</x:v>
      </x:c>
      <x:c r="E410" s="8" t="str">
        <x:v>D</x:v>
      </x:c>
      <x:c r="F410" s="8" t="str">
        <x:v>NAN</x:v>
      </x:c>
      <x:c r="G410" s="9" t="n">
        <x:v>2023</x:v>
      </x:c>
      <x:c r="H410" s="10" t="n">
        <x:v>4099</x:v>
      </x:c>
      <x:c r="I410" s="8" t="str">
        <x:v>Under 5,000</x:v>
      </x:c>
      <x:c r="J410" s="11" t="n">
        <x:v>10375972</x:v>
      </x:c>
      <x:c r="K410" s="11" t="n">
        <x:v>5680355</x:v>
      </x:c>
      <x:c r="L410" s="11" t="n">
        <x:v>4695617</x:v>
      </x:c>
      <x:c r="M410" s="12" t="n">
        <x:v>0.4525471926871044</x:v>
      </x:c>
      <x:c r="N410" s="11" t="n">
        <x:v>3795168</x:v>
      </x:c>
      <x:c r="O410" s="11" t="n">
        <x:v>1744023</x:v>
      </x:c>
      <x:c r="P410" s="11" t="n">
        <x:v>3617994</x:v>
      </x:c>
      <x:c r="Q410" s="11" t="n">
        <x:v>1218787</x:v>
      </x:c>
      <x:c r="R410" s="11" t="n">
        <x:v>4309128</x:v>
      </x:c>
      <x:c r="S410" s="11" t="n">
        <x:v>1332097</x:v>
      </x:c>
      <x:c r="T410" s="11" t="n">
        <x:v>18496961</x:v>
      </x:c>
      <x:c r="U410" s="11" t="n">
        <x:v>11352737</x:v>
      </x:c>
      <x:c r="V410" s="11" t="n">
        <x:v>8351347</x:v>
      </x:c>
      <x:c r="W410" s="11" t="n">
        <x:v>10351985</x:v>
      </x:c>
      <x:c r="X410" s="11" t="n">
        <x:v>4077655</x:v>
      </x:c>
      <x:c r="Y410" s="11" t="n">
        <x:v>0</x:v>
      </x:c>
      <x:c r="Z410" s="11" t="n">
        <x:v>110208</x:v>
      </x:c>
      <x:c r="AA410" s="11" t="n">
        <x:v>3963556</x:v>
      </x:c>
      <x:c r="AB410" s="11" t="n">
        <x:v>39130</x:v>
      </x:c>
      <x:c r="AC410" s="11" t="n">
        <x:v>149338</x:v>
      </x:c>
      <x:c r="AD410" s="11" t="n">
        <x:v>1681722</x:v>
      </x:c>
      <x:c r="AE410" s="11" t="n">
        <x:v>1532384</x:v>
      </x:c>
      <x:c r="AF410" s="11" t="n">
        <x:v>6726889</x:v>
      </x:c>
      <x:c r="AG410" s="11" t="n">
        <x:v>82472032</x:v>
      </x:c>
      <x:c r="AH410" s="11" t="n">
        <x:v>14639741</x:v>
      </x:c>
      <x:c r="AI410" s="11" t="n">
        <x:v>67832291</x:v>
      </x:c>
      <x:c r="AJ410" s="11" t="n">
        <x:v>2309386</x:v>
      </x:c>
      <x:c r="AK410" s="11" t="n">
        <x:v>91892408</x:v>
      </x:c>
      <x:c r="AL410" s="11" t="n">
        <x:v>2570024</x:v>
      </x:c>
      <x:c r="AM410" s="12" t="n">
        <x:v>0.9720322488447577</x:v>
      </x:c>
      <x:c r="AN410" s="12" t="n">
        <x:v>0.025131412379573295</x:v>
      </x:c>
      <x:c r="AO410" s="11" t="n">
        <x:v>9239688</x:v>
      </x:c>
      <x:c r="AP410" s="11" t="n">
        <x:v>9094127</x:v>
      </x:c>
      <x:c r="AQ410" s="12" t="n">
        <x:v>0.9842461130722163</x:v>
      </x:c>
      <x:c r="AR410" s="11" t="n">
        <x:v>2531.3422786045376</x:v>
      </x:c>
      <x:c r="AS410" s="11" t="n">
        <x:v>1385.790436691876</x:v>
      </x:c>
      <x:c r="AT410" s="11" t="n">
        <x:v>2037.410831910222</x:v>
      </x:c>
      <x:c r="AU410" s="11" t="n">
        <x:v>2525.4903635032933</x:v>
      </x:c>
      <x:c r="AV410" s="11" t="n">
        <x:v>966.9568187362771</x:v>
      </x:c>
      <x:c r="AW410" s="11" t="n">
        <x:v>1.6292952968081618</x:v>
      </x:c>
      <x:c r="AX410" s="12" t="n">
        <x:v>0.9111993539954879</x:v>
      </x:c>
      <x:c r="AY410" s="11"/>
      <x:c r="AZ410" s="11"/>
      <x:c r="BA410" s="11"/>
      <x:c r="BB410" s="11"/>
      <x:c r="BC410" s="11"/>
      <x:c r="BD410" s="11"/>
      <x:c r="BE410" s="11"/>
      <x:c r="BF410" s="11"/>
      <x:c r="BG410" s="11"/>
      <x:c r="BH410" s="11"/>
      <x:c r="BI410" s="11"/>
      <x:c r="BJ410" s="11"/>
      <x:c r="BK410" s="12"/>
      <x:c r="BL410" s="12"/>
      <x:c r="BM410" s="12"/>
      <x:c r="BN410" s="12"/>
      <x:c r="BO410" s="12"/>
      <x:c r="BP410" s="12"/>
      <x:c r="BQ410" s="12"/>
      <x:c r="BR410" s="12"/>
      <x:c r="BS410" s="12"/>
      <x:c r="BT410" s="12"/>
      <x:c r="BU410" s="11" t="n">
        <x:v>448877</x:v>
      </x:c>
      <x:c r="BV410" s="11" t="n">
        <x:v>2504230</x:v>
      </x:c>
      <x:c r="BW410" s="11" t="n">
        <x:v>664887</x:v>
      </x:c>
      <x:c r="BX410" s="11" t="n">
        <x:v>735589</x:v>
      </x:c>
      <x:c r="BY410" s="11" t="n">
        <x:v>0</x:v>
      </x:c>
      <x:c r="BZ410" s="11" t="n">
        <x:v>417433</x:v>
      </x:c>
      <x:c r="CA410" s="11" t="n">
        <x:v>65765</x:v>
      </x:c>
      <x:c r="CB410" s="11" t="n">
        <x:v>0</x:v>
      </x:c>
      <x:c r="CC410" s="11" t="n">
        <x:v>1749631</x:v>
      </x:c>
      <x:c r="CD410" s="11" t="n">
        <x:v>675156</x:v>
      </x:c>
      <x:c r="CE410" s="11" t="n">
        <x:v>251462</x:v>
      </x:c>
      <x:c r="CF410" s="11" t="n">
        <x:v>0</x:v>
      </x:c>
      <x:c r="CG410" s="11" t="n">
        <x:v>229873</x:v>
      </x:c>
      <x:c r="CH410" s="11" t="n">
        <x:v>614952</x:v>
      </x:c>
      <x:c r="CI410" s="11" t="n">
        <x:v>238069</x:v>
      </x:c>
      <x:c r="CJ410" s="11" t="n">
        <x:v>462491</x:v>
      </x:c>
      <x:c r="CK410" s="11" t="n">
        <x:v>147133</x:v>
      </x:c>
      <x:c r="CL410" s="11" t="n">
        <x:v>0</x:v>
      </x:c>
      <x:c r="CM410" s="11" t="n">
        <x:v>0</x:v>
      </x:c>
      <x:c r="CN410" s="11" t="n">
        <x:v>105010</x:v>
      </x:c>
      <x:c r="CO410" s="11" t="n">
        <x:v>-125519</x:v>
      </x:c>
      <x:c r="CP410" s="8"/>
      <x:c r="CQ410" s="8"/>
    </x:row>
    <x:row r="411">
      <x:c r="A411" s="8" t="str">
        <x:v>Lantzville|2024</x:v>
      </x:c>
      <x:c r="B411" s="8" t="str">
        <x:v>lantzville-d</x:v>
      </x:c>
      <x:c r="C411" s="8" t="str">
        <x:v>Lantzville</x:v>
      </x:c>
      <x:c r="D411" s="8" t="str">
        <x:v>Lantzville</x:v>
      </x:c>
      <x:c r="E411" s="8" t="str">
        <x:v>D</x:v>
      </x:c>
      <x:c r="F411" s="8" t="str">
        <x:v>NAN</x:v>
      </x:c>
      <x:c r="G411" s="9" t="n">
        <x:v>2024</x:v>
      </x:c>
      <x:c r="H411" s="10" t="n">
        <x:v>4099</x:v>
      </x:c>
      <x:c r="I411" s="8" t="str">
        <x:v>Under 5,000</x:v>
      </x:c>
      <x:c r="J411" s="11" t="n">
        <x:v>7382334</x:v>
      </x:c>
      <x:c r="K411" s="11" t="n">
        <x:v>6135369</x:v>
      </x:c>
      <x:c r="L411" s="11" t="n">
        <x:v>1246965</x:v>
      </x:c>
      <x:c r="M411" s="12" t="n">
        <x:v>0.1689120270093442</x:v>
      </x:c>
      <x:c r="N411" s="11" t="n">
        <x:v>3889550</x:v>
      </x:c>
      <x:c r="O411" s="11" t="n">
        <x:v>1534984</x:v>
      </x:c>
      <x:c r="P411" s="11" t="n">
        <x:v>1046358</x:v>
      </x:c>
      <x:c r="Q411" s="11" t="n">
        <x:v>911442</x:v>
      </x:c>
      <x:c r="R411" s="11" t="n">
        <x:v>4771912</x:v>
      </x:c>
      <x:c r="S411" s="11" t="n">
        <x:v>1324327</x:v>
      </x:c>
      <x:c r="T411" s="11" t="n">
        <x:v>19260961</x:v>
      </x:c>
      <x:c r="U411" s="11" t="n">
        <x:v>10671969</x:v>
      </x:c>
      <x:c r="V411" s="11" t="n">
        <x:v>9408676</x:v>
      </x:c>
      <x:c r="W411" s="11" t="n">
        <x:v>10848912</x:v>
      </x:c>
      <x:c r="X411" s="11" t="n">
        <x:v>3963556</x:v>
      </x:c>
      <x:c r="Y411" s="11" t="n">
        <x:v>0</x:v>
      </x:c>
      <x:c r="Z411" s="11" t="n">
        <x:v>110208</x:v>
      </x:c>
      <x:c r="AA411" s="11" t="n">
        <x:v>3847461</x:v>
      </x:c>
      <x:c r="AB411" s="11" t="n">
        <x:v>39130</x:v>
      </x:c>
      <x:c r="AC411" s="11" t="n">
        <x:v>149338</x:v>
      </x:c>
      <x:c r="AD411" s="11" t="n">
        <x:v>1700101</x:v>
      </x:c>
      <x:c r="AE411" s="11" t="n">
        <x:v>1550763</x:v>
      </x:c>
      <x:c r="AF411" s="11" t="n">
        <x:v>6800404</x:v>
      </x:c>
      <x:c r="AG411" s="11" t="n">
        <x:v>85368716</x:v>
      </x:c>
      <x:c r="AH411" s="11" t="n">
        <x:v>15964076</x:v>
      </x:c>
      <x:c r="AI411" s="11" t="n">
        <x:v>69404640</x:v>
      </x:c>
      <x:c r="AJ411" s="11" t="n">
        <x:v>2944349</x:v>
      </x:c>
      <x:c r="AK411" s="11" t="n">
        <x:v>105384662</x:v>
      </x:c>
      <x:c r="AL411" s="11" t="n">
        <x:v>1389488</x:v>
      </x:c>
      <x:c r="AM411" s="12" t="n">
        <x:v>0.986815083204423</x:v>
      </x:c>
      <x:c r="AN411" s="12" t="n">
        <x:v>0.027939065743741723</x:v>
      </x:c>
      <x:c r="AO411" s="11" t="n">
        <x:v>10490838</x:v>
      </x:c>
      <x:c r="AP411" s="11" t="n">
        <x:v>10091146</x:v>
      </x:c>
      <x:c r="AQ411" s="12" t="n">
        <x:v>0.9619008510092331</x:v>
      </x:c>
      <x:c r="AR411" s="11" t="n">
        <x:v>1801.0085386679677</x:v>
      </x:c>
      <x:c r="AS411" s="11" t="n">
        <x:v>1496.7965357404246</x:v>
      </x:c>
      <x:c r="AT411" s="11" t="n">
        <x:v>2295.3588680165894</x:v>
      </x:c>
      <x:c r="AU411" s="11" t="n">
        <x:v>2646.72163942425</x:v>
      </x:c>
      <x:c r="AV411" s="11" t="n">
        <x:v>938.6340570870944</x:v>
      </x:c>
      <x:c r="AW411" s="11" t="n">
        <x:v>1.8048179300370906</x:v>
      </x:c>
      <x:c r="AX411" s="12" t="n">
        <x:v>0.9121593364158953</x:v>
      </x:c>
      <x:c r="AY411" s="11" t="n">
        <x:v>4486.511144130758</x:v>
      </x:c>
      <x:c r="AZ411" s="11" t="n">
        <x:v>3546.5079302077975</x:v>
      </x:c>
      <x:c r="BA411" s="11" t="n">
        <x:v>3557.844717668488</x:v>
      </x:c>
      <x:c r="BB411" s="11" t="n">
        <x:v>2783.665107049771</x:v>
      </x:c>
      <x:c r="BC411" s="11" t="n">
        <x:v>5496.677373974208</x:v>
      </x:c>
      <x:c r="BD411" s="11" t="n">
        <x:v>2437.8724475115623</x:v>
      </x:c>
      <x:c r="BE411" s="11" t="n">
        <x:v>3386.4506393861893</x:v>
      </x:c>
      <x:c r="BF411" s="11" t="n">
        <x:v>1604.3462673977224</x:v>
      </x:c>
      <x:c r="BG411" s="11" t="n">
        <x:v>624.7436119532265</x:v>
      </x:c>
      <x:c r="BH411" s="11" t="n">
        <x:v>518.5374381567245</x:v>
      </x:c>
      <x:c r="BI411" s="11" t="n">
        <x:v>3.324657351485151</x:v>
      </x:c>
      <x:c r="BJ411" s="11" t="n">
        <x:v>1.7099330852451193</x:v>
      </x:c>
      <x:c r="BK411" s="12" t="n">
        <x:v>0.02521828600111612</x:v>
      </x:c>
      <x:c r="BL411" s="12" t="n">
        <x:v>0.02529861000232605</x:v>
      </x:c>
      <x:c r="BM411" s="12" t="n">
        <x:v>0.9816336034641139</x:v>
      </x:c>
      <x:c r="BN411" s="12" t="n">
        <x:v>0.9815511712696461</x:v>
      </x:c>
      <x:c r="BO411" s="12" t="n">
        <x:v>0.8531878894527055</x:v>
      </x:c>
      <x:c r="BP411" s="12" t="n">
        <x:v>0.8619101997275483</x:v>
      </x:c>
      <x:c r="BQ411" s="12" t="n">
        <x:v>0.9614729661922712</x:v>
      </x:c>
      <x:c r="BR411" s="12" t="n">
        <x:v>0.9623635142836453</x:v>
      </x:c>
      <x:c r="BS411" s="12" t="n">
        <x:v>0.23352896680225554</x:v>
      </x:c>
      <x:c r="BT411" s="12" t="n">
        <x:v>0.19976549769108282</x:v>
      </x:c>
      <x:c r="BU411" s="11" t="n">
        <x:v>8675</x:v>
      </x:c>
      <x:c r="BV411" s="11" t="n">
        <x:v>1031958</x:v>
      </x:c>
      <x:c r="BW411" s="11" t="n">
        <x:v>5725</x:v>
      </x:c>
      <x:c r="BX411" s="11" t="n">
        <x:v>753243</x:v>
      </x:c>
      <x:c r="BY411" s="11" t="n">
        <x:v>0</x:v>
      </x:c>
      <x:c r="BZ411" s="11" t="n">
        <x:v>34985</x:v>
      </x:c>
      <x:c r="CA411" s="11" t="n">
        <x:v>0</x:v>
      </x:c>
      <x:c r="CB411" s="11" t="n">
        <x:v>123214</x:v>
      </x:c>
      <x:c r="CC411" s="11" t="n">
        <x:v>1614080</x:v>
      </x:c>
      <x:c r="CD411" s="11" t="n">
        <x:v>690721</x:v>
      </x:c>
      <x:c r="CE411" s="11" t="n">
        <x:v>287809</x:v>
      </x:c>
      <x:c r="CF411" s="11" t="n">
        <x:v>0</x:v>
      </x:c>
      <x:c r="CG411" s="11" t="n">
        <x:v>452911</x:v>
      </x:c>
      <x:c r="CH411" s="11" t="n">
        <x:v>660957</x:v>
      </x:c>
      <x:c r="CI411" s="11" t="n">
        <x:v>255290</x:v>
      </x:c>
      <x:c r="CJ411" s="11" t="n">
        <x:v>628878</x:v>
      </x:c>
      <x:c r="CK411" s="11" t="n">
        <x:v>220396</x:v>
      </x:c>
      <x:c r="CL411" s="11" t="n">
        <x:v>0</x:v>
      </x:c>
      <x:c r="CM411" s="11" t="n">
        <x:v>0</x:v>
      </x:c>
      <x:c r="CN411" s="11" t="n">
        <x:v>0</x:v>
      </x:c>
      <x:c r="CO411" s="11" t="n">
        <x:v>0</x:v>
      </x:c>
      <x:c r="CP411" s="8"/>
      <x:c r="CQ411" s="8"/>
    </x:row>
    <x:row r="412">
      <x:c r="A412" s="8" t="str">
        <x:v>Lillooet|2019</x:v>
      </x:c>
      <x:c r="B412" s="8" t="str">
        <x:v>lillooet-d</x:v>
      </x:c>
      <x:c r="C412" s="8" t="str">
        <x:v>Lillooet</x:v>
      </x:c>
      <x:c r="D412" s="8" t="str">
        <x:v>Lillooet</x:v>
      </x:c>
      <x:c r="E412" s="8" t="str">
        <x:v>D</x:v>
      </x:c>
      <x:c r="F412" s="8" t="str">
        <x:v>SQL</x:v>
      </x:c>
      <x:c r="G412" s="9" t="n">
        <x:v>2019</x:v>
      </x:c>
      <x:c r="H412" s="10" t="n">
        <x:v>2249</x:v>
      </x:c>
      <x:c r="I412" s="8" t="str">
        <x:v>Under 5,000</x:v>
      </x:c>
      <x:c r="J412" s="11" t="n">
        <x:v>6120386</x:v>
      </x:c>
      <x:c r="K412" s="11" t="n">
        <x:v>5793536</x:v>
      </x:c>
      <x:c r="L412" s="11" t="n">
        <x:v>326850</x:v>
      </x:c>
      <x:c r="M412" s="12" t="n">
        <x:v>0.05340349448547853</x:v>
      </x:c>
      <x:c r="N412" s="11" t="n">
        <x:v>2575561</x:v>
      </x:c>
      <x:c r="O412" s="11" t="n">
        <x:v>2309506</x:v>
      </x:c>
      <x:c r="P412" s="11" t="n">
        <x:v>1019893</x:v>
      </x:c>
      <x:c r="Q412" s="11" t="n">
        <x:v>215426</x:v>
      </x:c>
      <x:c r="R412" s="11" t="n">
        <x:v>4452091</x:v>
      </x:c>
      <x:c r="S412" s="11" t="n">
        <x:v>1321319</x:v>
      </x:c>
      <x:c r="T412" s="11" t="n">
        <x:v>7646150</x:v>
      </x:c>
      <x:c r="U412" s="11" t="n">
        <x:v>1316842</x:v>
      </x:c>
      <x:c r="V412" s="11" t="n">
        <x:v>7059049</x:v>
      </x:c>
      <x:c r="W412" s="11" t="n">
        <x:v>5332498</x:v>
      </x:c>
      <x:c r="X412" s="11" t="n">
        <x:v>249820</x:v>
      </x:c>
      <x:c r="Y412" s="11" t="n">
        <x:v>0</x:v>
      </x:c>
      <x:c r="Z412" s="11" t="n">
        <x:v>61568</x:v>
      </x:c>
      <x:c r="AA412" s="11" t="n">
        <x:v>148933</x:v>
      </x:c>
      <x:c r="AB412" s="11" t="n">
        <x:v>20126</x:v>
      </x:c>
      <x:c r="AC412" s="11" t="n">
        <x:v>81694</x:v>
      </x:c>
      <x:c r="AD412" s="11" t="n">
        <x:v>1379715</x:v>
      </x:c>
      <x:c r="AE412" s="11" t="n">
        <x:v>1298021</x:v>
      </x:c>
      <x:c r="AF412" s="11" t="n">
        <x:v>5518861</x:v>
      </x:c>
      <x:c r="AG412" s="11" t="n">
        <x:v>49041771</x:v>
      </x:c>
      <x:c r="AH412" s="11" t="n">
        <x:v>19980594</x:v>
      </x:c>
      <x:c r="AI412" s="11" t="n">
        <x:v>29061177</x:v>
      </x:c>
      <x:c r="AJ412" s="11" t="n">
        <x:v>1360089</x:v>
      </x:c>
      <x:c r="AK412" s="11" t="n">
        <x:v>77755810</x:v>
      </x:c>
      <x:c r="AL412" s="11" t="n">
        <x:v>1910465</x:v>
      </x:c>
      <x:c r="AM412" s="12" t="n">
        <x:v>0.9754299389331806</x:v>
      </x:c>
      <x:c r="AN412" s="12" t="n">
        <x:v>0.017491799005116146</x:v>
      </x:c>
      <x:c r="AO412" s="11" t="n">
        <x:v>4769767</x:v>
      </x:c>
      <x:c r="AP412" s="11" t="n">
        <x:v>4520611</x:v>
      </x:c>
      <x:c r="AQ412" s="12" t="n">
        <x:v>0.9477634861409373</x:v>
      </x:c>
      <x:c r="AR412" s="11" t="n">
        <x:v>2721.38105824811</x:v>
      </x:c>
      <x:c r="AS412" s="11" t="n">
        <x:v>2576.0497999110717</x:v>
      </x:c>
      <x:c r="AT412" s="11" t="n">
        <x:v>3138.7501111605156</x:v>
      </x:c>
      <x:c r="AU412" s="11" t="n">
        <x:v>2371.052912405514</x:v>
      </x:c>
      <x:c r="AV412" s="11" t="n">
        <x:v>66.22187638950645</x:v>
      </x:c>
      <x:c r="AW412" s="11" t="n">
        <x:v>5.806429321057499</x:v>
      </x:c>
      <x:c r="AX412" s="12" t="n">
        <x:v>0.9407892209623002</x:v>
      </x:c>
      <x:c r="AY412" s="11"/>
      <x:c r="AZ412" s="11"/>
      <x:c r="BA412" s="11"/>
      <x:c r="BB412" s="11"/>
      <x:c r="BC412" s="11"/>
      <x:c r="BD412" s="11"/>
      <x:c r="BE412" s="11"/>
      <x:c r="BF412" s="11"/>
      <x:c r="BG412" s="11"/>
      <x:c r="BH412" s="11"/>
      <x:c r="BI412" s="11"/>
      <x:c r="BJ412" s="11"/>
      <x:c r="BK412" s="12"/>
      <x:c r="BL412" s="12"/>
      <x:c r="BM412" s="12"/>
      <x:c r="BN412" s="12"/>
      <x:c r="BO412" s="12"/>
      <x:c r="BP412" s="12"/>
      <x:c r="BQ412" s="12"/>
      <x:c r="BR412" s="12"/>
      <x:c r="BS412" s="12"/>
      <x:c r="BT412" s="12"/>
      <x:c r="BU412" s="11" t="n">
        <x:v>9702</x:v>
      </x:c>
      <x:c r="BV412" s="11" t="n">
        <x:v>772749</x:v>
      </x:c>
      <x:c r="BW412" s="11" t="n">
        <x:v>237442</x:v>
      </x:c>
      <x:c r="BX412" s="11" t="n">
        <x:v>187284</x:v>
      </x:c>
      <x:c r="BY412" s="11" t="n">
        <x:v>0</x:v>
      </x:c>
      <x:c r="BZ412" s="11" t="n">
        <x:v>28142</x:v>
      </x:c>
      <x:c r="CA412" s="11" t="n">
        <x:v>0</x:v>
      </x:c>
      <x:c r="CB412" s="11" t="n">
        <x:v>0</x:v>
      </x:c>
      <x:c r="CC412" s="11" t="n">
        <x:v>874153</x:v>
      </x:c>
      <x:c r="CD412" s="11" t="n">
        <x:v>462586</x:v>
      </x:c>
      <x:c r="CE412" s="11" t="n">
        <x:v>145239</x:v>
      </x:c>
      <x:c r="CF412" s="11" t="n">
        <x:v>0</x:v>
      </x:c>
      <x:c r="CG412" s="11" t="n">
        <x:v>132702</x:v>
      </x:c>
      <x:c r="CH412" s="11" t="n">
        <x:v>856000</x:v>
      </x:c>
      <x:c r="CI412" s="11" t="n">
        <x:v>797872</x:v>
      </x:c>
      <x:c r="CJ412" s="11" t="n">
        <x:v>675657</x:v>
      </x:c>
      <x:c r="CK412" s="11" t="n">
        <x:v>364062</x:v>
      </x:c>
      <x:c r="CL412" s="11" t="n">
        <x:v>163946</x:v>
      </x:c>
      <x:c r="CM412" s="11"/>
      <x:c r="CN412" s="11" t="n">
        <x:v>0</x:v>
      </x:c>
      <x:c r="CO412" s="11" t="n">
        <x:v>0</x:v>
      </x:c>
      <x:c r="CP412" s="8"/>
      <x:c r="CQ412" s="8"/>
    </x:row>
    <x:row r="413">
      <x:c r="A413" s="8" t="str">
        <x:v>Lillooet|2020</x:v>
      </x:c>
      <x:c r="B413" s="8" t="str">
        <x:v>lillooet-d</x:v>
      </x:c>
      <x:c r="C413" s="8" t="str">
        <x:v>Lillooet</x:v>
      </x:c>
      <x:c r="D413" s="8" t="str">
        <x:v>Lillooet</x:v>
      </x:c>
      <x:c r="E413" s="8" t="str">
        <x:v>D</x:v>
      </x:c>
      <x:c r="F413" s="8" t="str">
        <x:v>SQL</x:v>
      </x:c>
      <x:c r="G413" s="9" t="n">
        <x:v>2020</x:v>
      </x:c>
      <x:c r="H413" s="10" t="n">
        <x:v>2132</x:v>
      </x:c>
      <x:c r="I413" s="8" t="str">
        <x:v>Under 5,000</x:v>
      </x:c>
      <x:c r="J413" s="11" t="n">
        <x:v>7032751</x:v>
      </x:c>
      <x:c r="K413" s="11" t="n">
        <x:v>5595135</x:v>
      </x:c>
      <x:c r="L413" s="11" t="n">
        <x:v>1437616</x:v>
      </x:c>
      <x:c r="M413" s="12" t="n">
        <x:v>0.20441730412465905</x:v>
      </x:c>
      <x:c r="N413" s="11" t="n">
        <x:v>2613236</x:v>
      </x:c>
      <x:c r="O413" s="11" t="n">
        <x:v>1978939</x:v>
      </x:c>
      <x:c r="P413" s="11" t="n">
        <x:v>2272690</x:v>
      </x:c>
      <x:c r="Q413" s="11" t="n">
        <x:v>167886</x:v>
      </x:c>
      <x:c r="R413" s="11" t="n">
        <x:v>4207638</x:v>
      </x:c>
      <x:c r="S413" s="11" t="n">
        <x:v>1372981</x:v>
      </x:c>
      <x:c r="T413" s="11" t="n">
        <x:v>9352082</x:v>
      </x:c>
      <x:c r="U413" s="11" t="n">
        <x:v>1386039</x:v>
      </x:c>
      <x:c r="V413" s="11" t="n">
        <x:v>9072955</x:v>
      </x:c>
      <x:c r="W413" s="11" t="n">
        <x:v>6008013</x:v>
      </x:c>
      <x:c r="X413" s="11" t="n">
        <x:v>148933</x:v>
      </x:c>
      <x:c r="Y413" s="11" t="n">
        <x:v>0</x:v>
      </x:c>
      <x:c r="Z413" s="11" t="n">
        <x:v>61567</x:v>
      </x:c>
      <x:c r="AA413" s="11" t="n">
        <x:v>44011</x:v>
      </x:c>
      <x:c r="AB413" s="11" t="n">
        <x:v>14516</x:v>
      </x:c>
      <x:c r="AC413" s="11" t="n">
        <x:v>76083</x:v>
      </x:c>
      <x:c r="AD413" s="11" t="n">
        <x:v>1284787</x:v>
      </x:c>
      <x:c r="AE413" s="11" t="n">
        <x:v>1208704</x:v>
      </x:c>
      <x:c r="AF413" s="11" t="n">
        <x:v>5139148</x:v>
      </x:c>
      <x:c r="AG413" s="11" t="n">
        <x:v>49838583</x:v>
      </x:c>
      <x:c r="AH413" s="11" t="n">
        <x:v>21353573</x:v>
      </x:c>
      <x:c r="AI413" s="11" t="n">
        <x:v>28485010</x:v>
      </x:c>
      <x:c r="AJ413" s="11" t="n">
        <x:v>796814</x:v>
      </x:c>
      <x:c r="AK413" s="11" t="n">
        <x:v>80351894</x:v>
      </x:c>
      <x:c r="AL413" s="11" t="n">
        <x:v>1960170</x:v>
      </x:c>
      <x:c r="AM413" s="12" t="n">
        <x:v>0.9756051798853678</x:v>
      </x:c>
      <x:c r="AN413" s="12" t="n">
        <x:v>0.009916555296132784</x:v>
      </x:c>
      <x:c r="AO413" s="11" t="n">
        <x:v>4868305</x:v>
      </x:c>
      <x:c r="AP413" s="11" t="n">
        <x:v>4672762</x:v>
      </x:c>
      <x:c r="AQ413" s="12" t="n">
        <x:v>0.9598334533271847</x:v>
      </x:c>
      <x:c r="AR413" s="11" t="n">
        <x:v>3298.6636960600376</x:v>
      </x:c>
      <x:c r="AS413" s="11" t="n">
        <x:v>2624.359756097561</x:v>
      </x:c>
      <x:c r="AT413" s="11" t="n">
        <x:v>4255.607410881801</x:v>
      </x:c>
      <x:c r="AU413" s="11" t="n">
        <x:v>2818.0173545966227</x:v>
      </x:c>
      <x:c r="AV413" s="11" t="n">
        <x:v>20.643058161350844</x:v>
      </x:c>
      <x:c r="AW413" s="11" t="n">
        <x:v>6.747344050203494</x:v>
      </x:c>
      <x:c r="AX413" s="12" t="n">
        <x:v>0.9407816237243994</x:v>
      </x:c>
      <x:c r="AY413" s="11"/>
      <x:c r="AZ413" s="11"/>
      <x:c r="BA413" s="11"/>
      <x:c r="BB413" s="11"/>
      <x:c r="BC413" s="11"/>
      <x:c r="BD413" s="11"/>
      <x:c r="BE413" s="11"/>
      <x:c r="BF413" s="11"/>
      <x:c r="BG413" s="11"/>
      <x:c r="BH413" s="11"/>
      <x:c r="BI413" s="11"/>
      <x:c r="BJ413" s="11"/>
      <x:c r="BK413" s="12"/>
      <x:c r="BL413" s="12"/>
      <x:c r="BM413" s="12"/>
      <x:c r="BN413" s="12"/>
      <x:c r="BO413" s="12"/>
      <x:c r="BP413" s="12"/>
      <x:c r="BQ413" s="12"/>
      <x:c r="BR413" s="12"/>
      <x:c r="BS413" s="12"/>
      <x:c r="BT413" s="12"/>
      <x:c r="BU413" s="11" t="n">
        <x:v>10570</x:v>
      </x:c>
      <x:c r="BV413" s="11" t="n">
        <x:v>1630133</x:v>
      </x:c>
      <x:c r="BW413" s="11" t="n">
        <x:v>631987</x:v>
      </x:c>
      <x:c r="BX413" s="11" t="n">
        <x:v>116223</x:v>
      </x:c>
      <x:c r="BY413" s="11" t="n">
        <x:v>0</x:v>
      </x:c>
      <x:c r="BZ413" s="11" t="n">
        <x:v>51663</x:v>
      </x:c>
      <x:c r="CA413" s="11" t="n">
        <x:v>0</x:v>
      </x:c>
      <x:c r="CB413" s="11" t="n">
        <x:v>0</x:v>
      </x:c>
      <x:c r="CC413" s="11" t="n">
        <x:v>659476</x:v>
      </x:c>
      <x:c r="CD413" s="11" t="n">
        <x:v>531476</x:v>
      </x:c>
      <x:c r="CE413" s="11" t="n">
        <x:v>147001</x:v>
      </x:c>
      <x:c r="CF413" s="11" t="n">
        <x:v>0</x:v>
      </x:c>
      <x:c r="CG413" s="11" t="n">
        <x:v>213455</x:v>
      </x:c>
      <x:c r="CH413" s="11" t="n">
        <x:v>786956</x:v>
      </x:c>
      <x:c r="CI413" s="11" t="n">
        <x:v>641446</x:v>
      </x:c>
      <x:c r="CJ413" s="11" t="n">
        <x:v>687081</x:v>
      </x:c>
      <x:c r="CK413" s="11" t="n">
        <x:v>449888</x:v>
      </x:c>
      <x:c r="CL413" s="11" t="n">
        <x:v>105375</x:v>
      </x:c>
      <x:c r="CM413" s="11"/>
      <x:c r="CN413" s="11" t="n">
        <x:v>0</x:v>
      </x:c>
      <x:c r="CO413" s="11" t="n">
        <x:v>0</x:v>
      </x:c>
      <x:c r="CP413" s="8"/>
      <x:c r="CQ413" s="8"/>
    </x:row>
    <x:row r="414">
      <x:c r="A414" s="8" t="str">
        <x:v>Lillooet|2021</x:v>
      </x:c>
      <x:c r="B414" s="8" t="str">
        <x:v>lillooet-d</x:v>
      </x:c>
      <x:c r="C414" s="8" t="str">
        <x:v>Lillooet</x:v>
      </x:c>
      <x:c r="D414" s="8" t="str">
        <x:v>Lillooet</x:v>
      </x:c>
      <x:c r="E414" s="8" t="str">
        <x:v>D</x:v>
      </x:c>
      <x:c r="F414" s="8" t="str">
        <x:v>SQL</x:v>
      </x:c>
      <x:c r="G414" s="9" t="n">
        <x:v>2021</x:v>
      </x:c>
      <x:c r="H414" s="10" t="n">
        <x:v>2181</x:v>
      </x:c>
      <x:c r="I414" s="8" t="str">
        <x:v>Under 5,000</x:v>
      </x:c>
      <x:c r="J414" s="11" t="n">
        <x:v>7434321</x:v>
      </x:c>
      <x:c r="K414" s="11" t="n">
        <x:v>6036170</x:v>
      </x:c>
      <x:c r="L414" s="11" t="n">
        <x:v>1398151</x:v>
      </x:c>
      <x:c r="M414" s="12" t="n">
        <x:v>0.18806707431653813</x:v>
      </x:c>
      <x:c r="N414" s="11" t="n">
        <x:v>2628150</x:v>
      </x:c>
      <x:c r="O414" s="11" t="n">
        <x:v>2184611</x:v>
      </x:c>
      <x:c r="P414" s="11" t="n">
        <x:v>2475171</x:v>
      </x:c>
      <x:c r="Q414" s="11" t="n">
        <x:v>146389</x:v>
      </x:c>
      <x:c r="R414" s="11" t="n">
        <x:v>4638358</x:v>
      </x:c>
      <x:c r="S414" s="11" t="n">
        <x:v>1393359</x:v>
      </x:c>
      <x:c r="T414" s="11" t="n">
        <x:v>12375597</x:v>
      </x:c>
      <x:c r="U414" s="11" t="n">
        <x:v>3135255</x:v>
      </x:c>
      <x:c r="V414" s="11" t="n">
        <x:v>9706262</x:v>
      </x:c>
      <x:c r="W414" s="11" t="n">
        <x:v>7451845</x:v>
      </x:c>
      <x:c r="X414" s="11" t="n">
        <x:v>44011</x:v>
      </x:c>
      <x:c r="Y414" s="11" t="n">
        <x:v>0</x:v>
      </x:c>
      <x:c r="Z414" s="11" t="n">
        <x:v>25415</x:v>
      </x:c>
      <x:c r="AA414" s="11" t="n">
        <x:v>0</x:v>
      </x:c>
      <x:c r="AB414" s="11" t="n">
        <x:v>4453</x:v>
      </x:c>
      <x:c r="AC414" s="11" t="n">
        <x:v>29868</x:v>
      </x:c>
      <x:c r="AD414" s="11" t="n">
        <x:v>1356594</x:v>
      </x:c>
      <x:c r="AE414" s="11" t="n">
        <x:v>1326726</x:v>
      </x:c>
      <x:c r="AF414" s="11" t="n">
        <x:v>5426377</x:v>
      </x:c>
      <x:c r="AG414" s="11" t="n">
        <x:v>50944351</x:v>
      </x:c>
      <x:c r="AH414" s="11" t="n">
        <x:v>22574320</x:v>
      </x:c>
      <x:c r="AI414" s="11" t="n">
        <x:v>28370031</x:v>
      </x:c>
      <x:c r="AJ414" s="11" t="n">
        <x:v>1396071</x:v>
      </x:c>
      <x:c r="AK414" s="11" t="n">
        <x:v>88392844</x:v>
      </x:c>
      <x:c r="AL414" s="11" t="n">
        <x:v>2232805</x:v>
      </x:c>
      <x:c r="AM414" s="12" t="n">
        <x:v>0.9747399800825506</x:v>
      </x:c>
      <x:c r="AN414" s="12" t="n">
        <x:v>0.015793936893805566</x:v>
      </x:c>
      <x:c r="AO414" s="11" t="n">
        <x:v>4880582</x:v>
      </x:c>
      <x:c r="AP414" s="11" t="n">
        <x:v>4747477</x:v>
      </x:c>
      <x:c r="AQ414" s="12" t="n">
        <x:v>0.9727276378104087</x:v>
      </x:c>
      <x:c r="AR414" s="11" t="n">
        <x:v>3408.67537826685</x:v>
      </x:c>
      <x:c r="AS414" s="11" t="n">
        <x:v>2767.6157725813846</x:v>
      </x:c>
      <x:c r="AT414" s="11" t="n">
        <x:v>4450.3723062815225</x:v>
      </x:c>
      <x:c r="AU414" s="11" t="n">
        <x:v>3416.7102246675836</x:v>
      </x:c>
      <x:c r="AV414" s="11" t="n">
        <x:v>0</x:v>
      </x:c>
      <x:c r="AW414" s="11" t="n">
        <x:v>3.9472377844864295</x:v>
      </x:c>
      <x:c r="AX414" s="12" t="n">
        <x:v>0.9779830959004684</x:v>
      </x:c>
      <x:c r="AY414" s="11"/>
      <x:c r="AZ414" s="11"/>
      <x:c r="BA414" s="11"/>
      <x:c r="BB414" s="11"/>
      <x:c r="BC414" s="11"/>
      <x:c r="BD414" s="11"/>
      <x:c r="BE414" s="11"/>
      <x:c r="BF414" s="11"/>
      <x:c r="BG414" s="11"/>
      <x:c r="BH414" s="11"/>
      <x:c r="BI414" s="11"/>
      <x:c r="BJ414" s="11"/>
      <x:c r="BK414" s="12"/>
      <x:c r="BL414" s="12"/>
      <x:c r="BM414" s="12"/>
      <x:c r="BN414" s="12"/>
      <x:c r="BO414" s="12"/>
      <x:c r="BP414" s="12"/>
      <x:c r="BQ414" s="12"/>
      <x:c r="BR414" s="12"/>
      <x:c r="BS414" s="12"/>
      <x:c r="BT414" s="12"/>
      <x:c r="BU414" s="11" t="n">
        <x:v>739137</x:v>
      </x:c>
      <x:c r="BV414" s="11" t="n">
        <x:v>1212654</x:v>
      </x:c>
      <x:c r="BW414" s="11" t="n">
        <x:v>523380</x:v>
      </x:c>
      <x:c r="BX414" s="11" t="n">
        <x:v>78395</x:v>
      </x:c>
      <x:c r="BY414" s="11" t="n">
        <x:v>0</x:v>
      </x:c>
      <x:c r="BZ414" s="11" t="n">
        <x:v>67994</x:v>
      </x:c>
      <x:c r="CA414" s="11" t="n">
        <x:v>0</x:v>
      </x:c>
      <x:c r="CB414" s="11" t="n">
        <x:v>0</x:v>
      </x:c>
      <x:c r="CC414" s="11" t="n">
        <x:v>845948</x:v>
      </x:c>
      <x:c r="CD414" s="11" t="n">
        <x:v>426464</x:v>
      </x:c>
      <x:c r="CE414" s="11" t="n">
        <x:v>150915</x:v>
      </x:c>
      <x:c r="CF414" s="11" t="n">
        <x:v>0</x:v>
      </x:c>
      <x:c r="CG414" s="11" t="n">
        <x:v>303273</x:v>
      </x:c>
      <x:c r="CH414" s="11" t="n">
        <x:v>821440</x:v>
      </x:c>
      <x:c r="CI414" s="11" t="n">
        <x:v>778698</x:v>
      </x:c>
      <x:c r="CJ414" s="11" t="n">
        <x:v>677655</x:v>
      </x:c>
      <x:c r="CK414" s="11" t="n">
        <x:v>360786</x:v>
      </x:c>
      <x:c r="CL414" s="11" t="n">
        <x:v>160441</x:v>
      </x:c>
      <x:c r="CM414" s="11"/>
      <x:c r="CN414" s="11" t="n">
        <x:v>117191</x:v>
      </x:c>
      <x:c r="CO414" s="11" t="n">
        <x:v>0</x:v>
      </x:c>
      <x:c r="CP414" s="8"/>
      <x:c r="CQ414" s="8"/>
    </x:row>
    <x:row r="415">
      <x:c r="A415" s="8" t="str">
        <x:v>Lillooet|2022</x:v>
      </x:c>
      <x:c r="B415" s="8" t="str">
        <x:v>lillooet-d</x:v>
      </x:c>
      <x:c r="C415" s="8" t="str">
        <x:v>Lillooet</x:v>
      </x:c>
      <x:c r="D415" s="8" t="str">
        <x:v>Lillooet</x:v>
      </x:c>
      <x:c r="E415" s="8" t="str">
        <x:v>D</x:v>
      </x:c>
      <x:c r="F415" s="8" t="str">
        <x:v>SQL</x:v>
      </x:c>
      <x:c r="G415" s="9" t="n">
        <x:v>2022</x:v>
      </x:c>
      <x:c r="H415" s="10" t="n">
        <x:v>1325</x:v>
      </x:c>
      <x:c r="I415" s="8" t="str">
        <x:v>Under 5,000</x:v>
      </x:c>
      <x:c r="J415" s="11" t="n">
        <x:v>7611951</x:v>
      </x:c>
      <x:c r="K415" s="11" t="n">
        <x:v>6672935</x:v>
      </x:c>
      <x:c r="L415" s="11" t="n">
        <x:v>939016</x:v>
      </x:c>
      <x:c r="M415" s="12" t="n">
        <x:v>0.12336075205949171</x:v>
      </x:c>
      <x:c r="N415" s="11" t="n">
        <x:v>2764697</x:v>
      </x:c>
      <x:c r="O415" s="11" t="n">
        <x:v>2445499</x:v>
      </x:c>
      <x:c r="P415" s="11" t="n">
        <x:v>2059772</x:v>
      </x:c>
      <x:c r="Q415" s="11" t="n">
        <x:v>341983</x:v>
      </x:c>
      <x:c r="R415" s="11" t="n">
        <x:v>5305055</x:v>
      </x:c>
      <x:c r="S415" s="11" t="n">
        <x:v>1367880</x:v>
      </x:c>
      <x:c r="T415" s="11" t="n">
        <x:v>13666558</x:v>
      </x:c>
      <x:c r="U415" s="11" t="n">
        <x:v>2876139</x:v>
      </x:c>
      <x:c r="V415" s="11" t="n">
        <x:v>11456655</x:v>
      </x:c>
      <x:c r="W415" s="11" t="n">
        <x:v>7892688</x:v>
      </x:c>
      <x:c r="X415" s="11" t="n">
        <x:v>0</x:v>
      </x:c>
      <x:c r="Y415" s="11" t="n">
        <x:v>0</x:v>
      </x:c>
      <x:c r="Z415" s="11" t="n">
        <x:v>0</x:v>
      </x:c>
      <x:c r="AA415" s="11" t="n">
        <x:v>0</x:v>
      </x:c>
      <x:c r="AB415" s="11" t="n">
        <x:v>0</x:v>
      </x:c>
      <x:c r="AC415" s="11" t="n">
        <x:v>0</x:v>
      </x:c>
      <x:c r="AD415" s="11" t="n">
        <x:v>1498968</x:v>
      </x:c>
      <x:c r="AE415" s="11" t="n">
        <x:v>1498968</x:v>
      </x:c>
      <x:c r="AF415" s="11" t="n">
        <x:v>5995871</x:v>
      </x:c>
      <x:c r="AG415" s="11" t="n">
        <x:v>51469819</x:v>
      </x:c>
      <x:c r="AH415" s="11" t="n">
        <x:v>23913661</x:v>
      </x:c>
      <x:c r="AI415" s="11" t="n">
        <x:v>27556158</x:v>
      </x:c>
      <x:c r="AJ415" s="11" t="n">
        <x:v>562957</x:v>
      </x:c>
      <x:c r="AK415" s="11" t="n">
        <x:v>97079225</x:v>
      </x:c>
      <x:c r="AL415" s="11" t="n">
        <x:v>2483109</x:v>
      </x:c>
      <x:c r="AM415" s="12" t="n">
        <x:v>0.9744218291812692</x:v>
      </x:c>
      <x:c r="AN415" s="12" t="n">
        <x:v>0.005798944109823703</x:v>
      </x:c>
      <x:c r="AO415" s="11" t="n">
        <x:v>5085416</x:v>
      </x:c>
      <x:c r="AP415" s="11" t="n">
        <x:v>4944810</x:v>
      </x:c>
      <x:c r="AQ415" s="12" t="n">
        <x:v>0.9723511311562318</x:v>
      </x:c>
      <x:c r="AR415" s="11" t="n">
        <x:v>5744.868679245283</x:v>
      </x:c>
      <x:c r="AS415" s="11" t="n">
        <x:v>5036.177358490566</x:v>
      </x:c>
      <x:c r="AT415" s="11" t="n">
        <x:v>8646.532075471698</x:v>
      </x:c>
      <x:c r="AU415" s="11" t="n">
        <x:v>5956.745660377359</x:v>
      </x:c>
      <x:c r="AV415" s="11" t="n">
        <x:v>0</x:v>
      </x:c>
      <x:c r="AW415" s="11" t="n">
        <x:v>4.751702890576568</x:v>
      </x:c>
      <x:c r="AX415" s="12" t="n">
        <x:v>1</x:v>
      </x:c>
      <x:c r="AY415" s="11"/>
      <x:c r="AZ415" s="11"/>
      <x:c r="BA415" s="11"/>
      <x:c r="BB415" s="11"/>
      <x:c r="BC415" s="11"/>
      <x:c r="BD415" s="11"/>
      <x:c r="BE415" s="11"/>
      <x:c r="BF415" s="11"/>
      <x:c r="BG415" s="11"/>
      <x:c r="BH415" s="11"/>
      <x:c r="BI415" s="11"/>
      <x:c r="BJ415" s="11"/>
      <x:c r="BK415" s="12"/>
      <x:c r="BL415" s="12"/>
      <x:c r="BM415" s="12"/>
      <x:c r="BN415" s="12"/>
      <x:c r="BO415" s="12"/>
      <x:c r="BP415" s="12"/>
      <x:c r="BQ415" s="12"/>
      <x:c r="BR415" s="12"/>
      <x:c r="BS415" s="12"/>
      <x:c r="BT415" s="12"/>
      <x:c r="BU415" s="11" t="n">
        <x:v>-55259</x:v>
      </x:c>
      <x:c r="BV415" s="11" t="n">
        <x:v>1637454</x:v>
      </x:c>
      <x:c r="BW415" s="11" t="n">
        <x:v>477577</x:v>
      </x:c>
      <x:c r="BX415" s="11" t="n">
        <x:v>241675</x:v>
      </x:c>
      <x:c r="BY415" s="11" t="n">
        <x:v>0</x:v>
      </x:c>
      <x:c r="BZ415" s="11" t="n">
        <x:v>100308</x:v>
      </x:c>
      <x:c r="CA415" s="11" t="n">
        <x:v>0</x:v>
      </x:c>
      <x:c r="CB415" s="11" t="n">
        <x:v>0</x:v>
      </x:c>
      <x:c r="CC415" s="11" t="n">
        <x:v>1125467</x:v>
      </x:c>
      <x:c r="CD415" s="11" t="n">
        <x:v>572951</x:v>
      </x:c>
      <x:c r="CE415" s="11" t="n">
        <x:v>170090</x:v>
      </x:c>
      <x:c r="CF415" s="11" t="n">
        <x:v>0</x:v>
      </x:c>
      <x:c r="CG415" s="11" t="n">
        <x:v>343632</x:v>
      </x:c>
      <x:c r="CH415" s="11" t="n">
        <x:v>903852</x:v>
      </x:c>
      <x:c r="CI415" s="11" t="n">
        <x:v>946160</x:v>
      </x:c>
      <x:c r="CJ415" s="11" t="n">
        <x:v>824436</x:v>
      </x:c>
      <x:c r="CK415" s="11" t="n">
        <x:v>263806</x:v>
      </x:c>
      <x:c r="CL415" s="11" t="n">
        <x:v>145711</x:v>
      </x:c>
      <x:c r="CM415" s="11"/>
      <x:c r="CN415" s="11" t="n">
        <x:v>8950</x:v>
      </x:c>
      <x:c r="CO415" s="11" t="n">
        <x:v>0</x:v>
      </x:c>
      <x:c r="CP415" s="8"/>
      <x:c r="CQ415" s="8"/>
    </x:row>
    <x:row r="416">
      <x:c r="A416" s="8" t="str">
        <x:v>Lillooet|2023</x:v>
      </x:c>
      <x:c r="B416" s="8" t="str">
        <x:v>lillooet-d</x:v>
      </x:c>
      <x:c r="C416" s="8" t="str">
        <x:v>Lillooet</x:v>
      </x:c>
      <x:c r="D416" s="8" t="str">
        <x:v>Lillooet</x:v>
      </x:c>
      <x:c r="E416" s="8" t="str">
        <x:v>D</x:v>
      </x:c>
      <x:c r="F416" s="8" t="str">
        <x:v>SQL</x:v>
      </x:c>
      <x:c r="G416" s="9" t="n">
        <x:v>2023</x:v>
      </x:c>
      <x:c r="H416" s="10" t="n">
        <x:v>2196</x:v>
      </x:c>
      <x:c r="I416" s="8" t="str">
        <x:v>Under 5,000</x:v>
      </x:c>
      <x:c r="J416" s="11" t="n">
        <x:v>9994451</x:v>
      </x:c>
      <x:c r="K416" s="11" t="n">
        <x:v>7043488</x:v>
      </x:c>
      <x:c r="L416" s="11" t="n">
        <x:v>2950963</x:v>
      </x:c>
      <x:c r="M416" s="12" t="n">
        <x:v>0.29526013985160365</x:v>
      </x:c>
      <x:c r="N416" s="11" t="n">
        <x:v>2969995</x:v>
      </x:c>
      <x:c r="O416" s="11" t="n">
        <x:v>2577466</x:v>
      </x:c>
      <x:c r="P416" s="11" t="n">
        <x:v>3306146</x:v>
      </x:c>
      <x:c r="Q416" s="11" t="n">
        <x:v>1140844</x:v>
      </x:c>
      <x:c r="R416" s="11" t="n">
        <x:v>5588849</x:v>
      </x:c>
      <x:c r="S416" s="11" t="n">
        <x:v>1454639</x:v>
      </x:c>
      <x:c r="T416" s="11" t="n">
        <x:v>15728760</x:v>
      </x:c>
      <x:c r="U416" s="11" t="n">
        <x:v>2230151</x:v>
      </x:c>
      <x:c r="V416" s="11" t="n">
        <x:v>14087544</x:v>
      </x:c>
      <x:c r="W416" s="11" t="n">
        <x:v>9821637</x:v>
      </x:c>
      <x:c r="X416" s="11" t="n">
        <x:v>0</x:v>
      </x:c>
      <x:c r="Y416" s="11" t="n">
        <x:v>0</x:v>
      </x:c>
      <x:c r="Z416" s="11" t="n">
        <x:v>0</x:v>
      </x:c>
      <x:c r="AA416" s="11" t="n">
        <x:v>0</x:v>
      </x:c>
      <x:c r="AB416" s="11" t="n">
        <x:v>0</x:v>
      </x:c>
      <x:c r="AC416" s="11" t="n">
        <x:v>0</x:v>
      </x:c>
      <x:c r="AD416" s="11" t="n">
        <x:v>1683416</x:v>
      </x:c>
      <x:c r="AE416" s="11" t="n">
        <x:v>1683416</x:v>
      </x:c>
      <x:c r="AF416" s="11" t="n">
        <x:v>6733662</x:v>
      </x:c>
      <x:c r="AG416" s="11" t="n">
        <x:v>53007026</x:v>
      </x:c>
      <x:c r="AH416" s="11" t="n">
        <x:v>25178532</x:v>
      </x:c>
      <x:c r="AI416" s="11" t="n">
        <x:v>27828494</x:v>
      </x:c>
      <x:c r="AJ416" s="11" t="n">
        <x:v>1252111</x:v>
      </x:c>
      <x:c r="AK416" s="11" t="n">
        <x:v>97514614</x:v>
      </x:c>
      <x:c r="AL416" s="11" t="n">
        <x:v>2496551</x:v>
      </x:c>
      <x:c r="AM416" s="12" t="n">
        <x:v>0.9743981861016237</x:v>
      </x:c>
      <x:c r="AN416" s="12" t="n">
        <x:v>0.012840239515279217</x:v>
      </x:c>
      <x:c r="AO416" s="11" t="n">
        <x:v>5528340</x:v>
      </x:c>
      <x:c r="AP416" s="11" t="n">
        <x:v>5274749</x:v>
      </x:c>
      <x:c r="AQ416" s="12" t="n">
        <x:v>0.9541289066880836</x:v>
      </x:c>
      <x:c r="AR416" s="11" t="n">
        <x:v>4551.207194899818</x:v>
      </x:c>
      <x:c r="AS416" s="11" t="n">
        <x:v>3207.417122040073</x:v>
      </x:c>
      <x:c r="AT416" s="11" t="n">
        <x:v>6415.092896174863</x:v>
      </x:c>
      <x:c r="AU416" s="11" t="n">
        <x:v>4472.512295081967</x:v>
      </x:c>
      <x:c r="AV416" s="11" t="n">
        <x:v>0</x:v>
      </x:c>
      <x:c r="AW416" s="11" t="n">
        <x:v>7.052778040590077</x:v>
      </x:c>
      <x:c r="AX416" s="12" t="n">
        <x:v>1</x:v>
      </x:c>
      <x:c r="AY416" s="11"/>
      <x:c r="AZ416" s="11"/>
      <x:c r="BA416" s="11"/>
      <x:c r="BB416" s="11"/>
      <x:c r="BC416" s="11"/>
      <x:c r="BD416" s="11"/>
      <x:c r="BE416" s="11"/>
      <x:c r="BF416" s="11"/>
      <x:c r="BG416" s="11"/>
      <x:c r="BH416" s="11"/>
      <x:c r="BI416" s="11"/>
      <x:c r="BJ416" s="11"/>
      <x:c r="BK416" s="12"/>
      <x:c r="BL416" s="12"/>
      <x:c r="BM416" s="12"/>
      <x:c r="BN416" s="12"/>
      <x:c r="BO416" s="12"/>
      <x:c r="BP416" s="12"/>
      <x:c r="BQ416" s="12"/>
      <x:c r="BR416" s="12"/>
      <x:c r="BS416" s="12"/>
      <x:c r="BT416" s="12"/>
      <x:c r="BU416" s="11" t="n">
        <x:v>60698</x:v>
      </x:c>
      <x:c r="BV416" s="11" t="n">
        <x:v>2839049</x:v>
      </x:c>
      <x:c r="BW416" s="11" t="n">
        <x:v>406399</x:v>
      </x:c>
      <x:c r="BX416" s="11" t="n">
        <x:v>773201</x:v>
      </x:c>
      <x:c r="BY416" s="11" t="n">
        <x:v>0</x:v>
      </x:c>
      <x:c r="BZ416" s="11" t="n">
        <x:v>367643</x:v>
      </x:c>
      <x:c r="CA416" s="11" t="n">
        <x:v>0</x:v>
      </x:c>
      <x:c r="CB416" s="11" t="n">
        <x:v>0</x:v>
      </x:c>
      <x:c r="CC416" s="11" t="n">
        <x:v>840838</x:v>
      </x:c>
      <x:c r="CD416" s="11" t="n">
        <x:v>452048</x:v>
      </x:c>
      <x:c r="CE416" s="11" t="n">
        <x:v>161665</x:v>
      </x:c>
      <x:c r="CF416" s="11" t="n">
        <x:v>0</x:v>
      </x:c>
      <x:c r="CG416" s="11" t="n">
        <x:v>261760</x:v>
      </x:c>
      <x:c r="CH416" s="11" t="n">
        <x:v>1025491</x:v>
      </x:c>
      <x:c r="CI416" s="11" t="n">
        <x:v>1118949</x:v>
      </x:c>
      <x:c r="CJ416" s="11" t="n">
        <x:v>1057139</x:v>
      </x:c>
      <x:c r="CK416" s="11" t="n">
        <x:v>425189</x:v>
      </x:c>
      <x:c r="CL416" s="11" t="n">
        <x:v>209716</x:v>
      </x:c>
      <x:c r="CM416" s="11" t="n">
        <x:v>8584</x:v>
      </x:c>
      <x:c r="CN416" s="11" t="n">
        <x:v>27470</x:v>
      </x:c>
      <x:c r="CO416" s="11" t="n">
        <x:v>0</x:v>
      </x:c>
      <x:c r="CP416" s="8"/>
      <x:c r="CQ416" s="8"/>
    </x:row>
    <x:row r="417">
      <x:c r="A417" s="8" t="str">
        <x:v>Lillooet|2024</x:v>
      </x:c>
      <x:c r="B417" s="8" t="str">
        <x:v>lillooet-d</x:v>
      </x:c>
      <x:c r="C417" s="8" t="str">
        <x:v>Lillooet</x:v>
      </x:c>
      <x:c r="D417" s="8" t="str">
        <x:v>Lillooet</x:v>
      </x:c>
      <x:c r="E417" s="8" t="str">
        <x:v>D</x:v>
      </x:c>
      <x:c r="F417" s="8" t="str">
        <x:v>SQL</x:v>
      </x:c>
      <x:c r="G417" s="9" t="n">
        <x:v>2024</x:v>
      </x:c>
      <x:c r="H417" s="10" t="n">
        <x:v>2196</x:v>
      </x:c>
      <x:c r="I417" s="8" t="str">
        <x:v>Under 5,000</x:v>
      </x:c>
      <x:c r="J417" s="11" t="n">
        <x:v>8285547</x:v>
      </x:c>
      <x:c r="K417" s="11" t="n">
        <x:v>7813027</x:v>
      </x:c>
      <x:c r="L417" s="11" t="n">
        <x:v>472520</x:v>
      </x:c>
      <x:c r="M417" s="12" t="n">
        <x:v>0.05702942726654016</x:v>
      </x:c>
      <x:c r="N417" s="11" t="n">
        <x:v>3168663</x:v>
      </x:c>
      <x:c r="O417" s="11" t="n">
        <x:v>2531470</x:v>
      </x:c>
      <x:c r="P417" s="11" t="n">
        <x:v>1704878</x:v>
      </x:c>
      <x:c r="Q417" s="11" t="n">
        <x:v>880536</x:v>
      </x:c>
      <x:c r="R417" s="11" t="n">
        <x:v>6316921</x:v>
      </x:c>
      <x:c r="S417" s="11" t="n">
        <x:v>1496106</x:v>
      </x:c>
      <x:c r="T417" s="11" t="n">
        <x:v>16545743</x:v>
      </x:c>
      <x:c r="U417" s="11" t="n">
        <x:v>2418232</x:v>
      </x:c>
      <x:c r="V417" s="11" t="n">
        <x:v>14989589</x:v>
      </x:c>
      <x:c r="W417" s="11" t="n">
        <x:v>10742405</x:v>
      </x:c>
      <x:c r="X417" s="11" t="n">
        <x:v>0</x:v>
      </x:c>
      <x:c r="Y417" s="11" t="n">
        <x:v>0</x:v>
      </x:c>
      <x:c r="Z417" s="11" t="n">
        <x:v>0</x:v>
      </x:c>
      <x:c r="AA417" s="11" t="n">
        <x:v>0</x:v>
      </x:c>
      <x:c r="AB417" s="11" t="n">
        <x:v>0</x:v>
      </x:c>
      <x:c r="AC417" s="11" t="n">
        <x:v>0</x:v>
      </x:c>
      <x:c r="AD417" s="11" t="n">
        <x:v>1753731</x:v>
      </x:c>
      <x:c r="AE417" s="11" t="n">
        <x:v>1753731</x:v>
      </x:c>
      <x:c r="AF417" s="11" t="n">
        <x:v>7014922</x:v>
      </x:c>
      <x:c r="AG417" s="11" t="n">
        <x:v>53418458</x:v>
      </x:c>
      <x:c r="AH417" s="11" t="n">
        <x:v>25967592</x:v>
      </x:c>
      <x:c r="AI417" s="11" t="n">
        <x:v>27450866</x:v>
      </x:c>
      <x:c r="AJ417" s="11" t="n">
        <x:v>1143479</x:v>
      </x:c>
      <x:c r="AK417" s="11" t="n">
        <x:v>98120554</x:v>
      </x:c>
      <x:c r="AL417" s="11" t="n">
        <x:v>2512391</x:v>
      </x:c>
      <x:c r="AM417" s="12" t="n">
        <x:v>0.9743948551289264</x:v>
      </x:c>
      <x:c r="AN417" s="12" t="n">
        <x:v>0.011653817201235941</x:v>
      </x:c>
      <x:c r="AO417" s="11" t="n">
        <x:v>6041900</x:v>
      </x:c>
      <x:c r="AP417" s="11" t="n">
        <x:v>5679617</x:v>
      </x:c>
      <x:c r="AQ417" s="12" t="n">
        <x:v>0.9400382330061735</x:v>
      </x:c>
      <x:c r="AR417" s="11" t="n">
        <x:v>3773.0177595628415</x:v>
      </x:c>
      <x:c r="AS417" s="11" t="n">
        <x:v>3557.844717668488</x:v>
      </x:c>
      <x:c r="AT417" s="11" t="n">
        <x:v>6825.860200364299</x:v>
      </x:c>
      <x:c r="AU417" s="11" t="n">
        <x:v>4891.805555555556</x:v>
      </x:c>
      <x:c r="AV417" s="11" t="n">
        <x:v>0</x:v>
      </x:c>
      <x:c r="AW417" s="11" t="n">
        <x:v>6.842082562797945</x:v>
      </x:c>
      <x:c r="AX417" s="12" t="n">
        <x:v>1</x:v>
      </x:c>
      <x:c r="AY417" s="11" t="n">
        <x:v>4486.511144130758</x:v>
      </x:c>
      <x:c r="AZ417" s="11" t="n">
        <x:v>3546.5079302077975</x:v>
      </x:c>
      <x:c r="BA417" s="11" t="n">
        <x:v>3557.844717668488</x:v>
      </x:c>
      <x:c r="BB417" s="11" t="n">
        <x:v>2783.665107049771</x:v>
      </x:c>
      <x:c r="BC417" s="11" t="n">
        <x:v>5496.677373974208</x:v>
      </x:c>
      <x:c r="BD417" s="11" t="n">
        <x:v>2437.8724475115623</x:v>
      </x:c>
      <x:c r="BE417" s="11" t="n">
        <x:v>3386.4506393861893</x:v>
      </x:c>
      <x:c r="BF417" s="11" t="n">
        <x:v>1604.3462673977224</x:v>
      </x:c>
      <x:c r="BG417" s="11" t="n">
        <x:v>624.7436119532265</x:v>
      </x:c>
      <x:c r="BH417" s="11" t="n">
        <x:v>518.5374381567245</x:v>
      </x:c>
      <x:c r="BI417" s="11" t="n">
        <x:v>3.324657351485151</x:v>
      </x:c>
      <x:c r="BJ417" s="11" t="n">
        <x:v>1.7099330852451193</x:v>
      </x:c>
      <x:c r="BK417" s="12" t="n">
        <x:v>0.02521828600111612</x:v>
      </x:c>
      <x:c r="BL417" s="12" t="n">
        <x:v>0.02529861000232605</x:v>
      </x:c>
      <x:c r="BM417" s="12" t="n">
        <x:v>0.9816336034641139</x:v>
      </x:c>
      <x:c r="BN417" s="12" t="n">
        <x:v>0.9815511712696461</x:v>
      </x:c>
      <x:c r="BO417" s="12" t="n">
        <x:v>0.8531878894527055</x:v>
      </x:c>
      <x:c r="BP417" s="12" t="n">
        <x:v>0.8619101997275483</x:v>
      </x:c>
      <x:c r="BQ417" s="12" t="n">
        <x:v>0.9614729661922712</x:v>
      </x:c>
      <x:c r="BR417" s="12" t="n">
        <x:v>0.9623635142836453</x:v>
      </x:c>
      <x:c r="BS417" s="12" t="n">
        <x:v>0.23352896680225554</x:v>
      </x:c>
      <x:c r="BT417" s="12" t="n">
        <x:v>0.19976549769108282</x:v>
      </x:c>
      <x:c r="BU417" s="11" t="n">
        <x:v>65643</x:v>
      </x:c>
      <x:c r="BV417" s="11" t="n">
        <x:v>1285438</x:v>
      </x:c>
      <x:c r="BW417" s="11" t="n">
        <x:v>353797</x:v>
      </x:c>
      <x:c r="BX417" s="11" t="n">
        <x:v>859289</x:v>
      </x:c>
      <x:c r="BY417" s="11" t="n">
        <x:v>0</x:v>
      </x:c>
      <x:c r="BZ417" s="11" t="n">
        <x:v>17947</x:v>
      </x:c>
      <x:c r="CA417" s="11" t="n">
        <x:v>3300</x:v>
      </x:c>
      <x:c r="CB417" s="11" t="n">
        <x:v>0</x:v>
      </x:c>
      <x:c r="CC417" s="11" t="n">
        <x:v>824577</x:v>
      </x:c>
      <x:c r="CD417" s="11" t="n">
        <x:v>405067</x:v>
      </x:c>
      <x:c r="CE417" s="11" t="n">
        <x:v>176938</x:v>
      </x:c>
      <x:c r="CF417" s="11" t="n">
        <x:v>0</x:v>
      </x:c>
      <x:c r="CG417" s="11" t="n">
        <x:v>337799</x:v>
      </x:c>
      <x:c r="CH417" s="11" t="n">
        <x:v>1597243</x:v>
      </x:c>
      <x:c r="CI417" s="11" t="n">
        <x:v>1059694</x:v>
      </x:c>
      <x:c r="CJ417" s="11" t="n">
        <x:v>1283485</x:v>
      </x:c>
      <x:c r="CK417" s="11" t="n">
        <x:v>448044</x:v>
      </x:c>
      <x:c r="CL417" s="11" t="n">
        <x:v>153426</x:v>
      </x:c>
      <x:c r="CM417" s="11" t="n">
        <x:v>8947</x:v>
      </x:c>
      <x:c r="CN417" s="11" t="n">
        <x:v>21701</x:v>
      </x:c>
      <x:c r="CO417" s="11" t="n">
        <x:v>0</x:v>
      </x:c>
      <x:c r="CP417" s="8"/>
      <x:c r="CQ417" s="8"/>
    </x:row>
    <x:row r="418">
      <x:c r="A418" s="8" t="str">
        <x:v>Lions Bay|2019</x:v>
      </x:c>
      <x:c r="B418" s="8" t="str">
        <x:v>lions-bay-v</x:v>
      </x:c>
      <x:c r="C418" s="8" t="str">
        <x:v>Lions Bay</x:v>
      </x:c>
      <x:c r="D418" s="8" t="str">
        <x:v>Lions Bay</x:v>
      </x:c>
      <x:c r="E418" s="8" t="str">
        <x:v>V</x:v>
      </x:c>
      <x:c r="F418" s="8" t="str">
        <x:v>GVR</x:v>
      </x:c>
      <x:c r="G418" s="9" t="n">
        <x:v>2019</x:v>
      </x:c>
      <x:c r="H418" s="10" t="n">
        <x:v>1366</x:v>
      </x:c>
      <x:c r="I418" s="8" t="str">
        <x:v>Under 5,000</x:v>
      </x:c>
      <x:c r="J418" s="11" t="n">
        <x:v>7144481</x:v>
      </x:c>
      <x:c r="K418" s="11" t="n">
        <x:v>3328129</x:v>
      </x:c>
      <x:c r="L418" s="11" t="n">
        <x:v>3816352</x:v>
      </x:c>
      <x:c r="M418" s="12" t="n">
        <x:v>0.5341678422827354</x:v>
      </x:c>
      <x:c r="N418" s="11" t="n">
        <x:v>1717593</x:v>
      </x:c>
      <x:c r="O418" s="11" t="n">
        <x:v>1397826</x:v>
      </x:c>
      <x:c r="P418" s="11" t="n">
        <x:v>2025628</x:v>
      </x:c>
      <x:c r="Q418" s="11" t="n">
        <x:v>2003434</x:v>
      </x:c>
      <x:c r="R418" s="11" t="n">
        <x:v>2692740</x:v>
      </x:c>
      <x:c r="S418" s="11" t="n">
        <x:v>557046</x:v>
      </x:c>
      <x:c r="T418" s="11" t="n">
        <x:v>3780886</x:v>
      </x:c>
      <x:c r="U418" s="11" t="n">
        <x:v>2626423</x:v>
      </x:c>
      <x:c r="V418" s="11" t="n">
        <x:v>2682178</x:v>
      </x:c>
      <x:c r="W418" s="11" t="n">
        <x:v>2264396</x:v>
      </x:c>
      <x:c r="X418" s="11" t="n">
        <x:v>1710499</x:v>
      </x:c>
      <x:c r="Y418" s="11" t="n">
        <x:v>385645</x:v>
      </x:c>
      <x:c r="Z418" s="11" t="n">
        <x:v>190934</x:v>
      </x:c>
      <x:c r="AA418" s="11" t="n">
        <x:v>1872664</x:v>
      </x:c>
      <x:c r="AB418" s="11" t="n">
        <x:v>78343</x:v>
      </x:c>
      <x:c r="AC418" s="11" t="n">
        <x:v>269277</x:v>
      </x:c>
      <x:c r="AD418" s="11" t="n">
        <x:v>893340</x:v>
      </x:c>
      <x:c r="AE418" s="11" t="n">
        <x:v>435408</x:v>
      </x:c>
      <x:c r="AF418" s="11" t="n">
        <x:v>3573358</x:v>
      </x:c>
      <x:c r="AG418" s="11" t="n">
        <x:v>31527958</x:v>
      </x:c>
      <x:c r="AH418" s="11" t="n">
        <x:v>9235184</x:v>
      </x:c>
      <x:c r="AI418" s="11" t="n">
        <x:v>22292774</x:v>
      </x:c>
      <x:c r="AJ418" s="11" t="n">
        <x:v>2532333</x:v>
      </x:c>
      <x:c r="AK418" s="11" t="n">
        <x:v>57142140</x:v>
      </x:c>
      <x:c r="AL418" s="11" t="n">
        <x:v>1033766</x:v>
      </x:c>
      <x:c r="AM418" s="12" t="n">
        <x:v>0.9819088679562928</x:v>
      </x:c>
      <x:c r="AN418" s="12" t="n">
        <x:v>0.044316383670615064</x:v>
      </x:c>
      <x:c r="AO418" s="11" t="n">
        <x:v>3162885</x:v>
      </x:c>
      <x:c r="AP418" s="11" t="n">
        <x:v>3097790</x:v>
      </x:c>
      <x:c r="AQ418" s="12" t="n">
        <x:v>0.9794191062906176</x:v>
      </x:c>
      <x:c r="AR418" s="11" t="n">
        <x:v>5230.220351390923</x:v>
      </x:c>
      <x:c r="AS418" s="11" t="n">
        <x:v>2436.404831625183</x:v>
      </x:c>
      <x:c r="AT418" s="11" t="n">
        <x:v>1963.5270863836017</x:v>
      </x:c>
      <x:c r="AU418" s="11" t="n">
        <x:v>1657.683748169839</x:v>
      </x:c>
      <x:c r="AV418" s="11" t="n">
        <x:v>1370.9106881405564</x:v>
      </x:c>
      <x:c r="AW418" s="11" t="n">
        <x:v>1.4395571467353125</x:v>
      </x:c>
      <x:c r="AX418" s="12" t="n">
        <x:v>0.48739337766136076</x:v>
      </x:c>
      <x:c r="AY418" s="11"/>
      <x:c r="AZ418" s="11"/>
      <x:c r="BA418" s="11"/>
      <x:c r="BB418" s="11"/>
      <x:c r="BC418" s="11"/>
      <x:c r="BD418" s="11"/>
      <x:c r="BE418" s="11"/>
      <x:c r="BF418" s="11"/>
      <x:c r="BG418" s="11"/>
      <x:c r="BH418" s="11"/>
      <x:c r="BI418" s="11"/>
      <x:c r="BJ418" s="11"/>
      <x:c r="BK418" s="12"/>
      <x:c r="BL418" s="12"/>
      <x:c r="BM418" s="12"/>
      <x:c r="BN418" s="12"/>
      <x:c r="BO418" s="12"/>
      <x:c r="BP418" s="12"/>
      <x:c r="BQ418" s="12"/>
      <x:c r="BR418" s="12"/>
      <x:c r="BS418" s="12"/>
      <x:c r="BT418" s="12"/>
      <x:c r="BU418" s="11" t="n">
        <x:v>943207</x:v>
      </x:c>
      <x:c r="BV418" s="11" t="n">
        <x:v>952910</x:v>
      </x:c>
      <x:c r="BW418" s="11" t="n">
        <x:v>129511</x:v>
      </x:c>
      <x:c r="BX418" s="11" t="n">
        <x:v>91958</x:v>
      </x:c>
      <x:c r="BY418" s="11" t="n">
        <x:v>0</x:v>
      </x:c>
      <x:c r="BZ418" s="11" t="n">
        <x:v>0</x:v>
      </x:c>
      <x:c r="CA418" s="11" t="n">
        <x:v>1810716</x:v>
      </x:c>
      <x:c r="CB418" s="11" t="n">
        <x:v>100760</x:v>
      </x:c>
      <x:c r="CC418" s="11" t="n">
        <x:v>682573</x:v>
      </x:c>
      <x:c r="CD418" s="11" t="n">
        <x:v>397267</x:v>
      </x:c>
      <x:c r="CE418" s="11" t="n">
        <x:v>187969</x:v>
      </x:c>
      <x:c r="CF418" s="11" t="n">
        <x:v>0</x:v>
      </x:c>
      <x:c r="CG418" s="11" t="n">
        <x:v>38963</x:v>
      </x:c>
      <x:c r="CH418" s="11" t="n">
        <x:v>459240</x:v>
      </x:c>
      <x:c r="CI418" s="11" t="n">
        <x:v>221014</x:v>
      </x:c>
      <x:c r="CJ418" s="11" t="n">
        <x:v>637871</x:v>
      </x:c>
      <x:c r="CK418" s="11" t="n">
        <x:v>82473</x:v>
      </x:c>
      <x:c r="CL418" s="11" t="n">
        <x:v>0</x:v>
      </x:c>
      <x:c r="CM418" s="11"/>
      <x:c r="CN418" s="11" t="n">
        <x:v>63713</x:v>
      </x:c>
      <x:c r="CO418" s="11" t="n">
        <x:v>0</x:v>
      </x:c>
      <x:c r="CP418" s="8"/>
      <x:c r="CQ418" s="8"/>
    </x:row>
    <x:row r="419">
      <x:c r="A419" s="8" t="str">
        <x:v>Lions Bay|2020</x:v>
      </x:c>
      <x:c r="B419" s="8" t="str">
        <x:v>lions-bay-v</x:v>
      </x:c>
      <x:c r="C419" s="8" t="str">
        <x:v>Lions Bay</x:v>
      </x:c>
      <x:c r="D419" s="8" t="str">
        <x:v>Lions Bay</x:v>
      </x:c>
      <x:c r="E419" s="8" t="str">
        <x:v>V</x:v>
      </x:c>
      <x:c r="F419" s="8" t="str">
        <x:v>GVR</x:v>
      </x:c>
      <x:c r="G419" s="9" t="n">
        <x:v>2020</x:v>
      </x:c>
      <x:c r="H419" s="10" t="n">
        <x:v>1357</x:v>
      </x:c>
      <x:c r="I419" s="8" t="str">
        <x:v>Under 5,000</x:v>
      </x:c>
      <x:c r="J419" s="11" t="n">
        <x:v>4511855</x:v>
      </x:c>
      <x:c r="K419" s="11" t="n">
        <x:v>3529867</x:v>
      </x:c>
      <x:c r="L419" s="11" t="n">
        <x:v>981988</x:v>
      </x:c>
      <x:c r="M419" s="12" t="n">
        <x:v>0.21764617878899034</x:v>
      </x:c>
      <x:c r="N419" s="11" t="n">
        <x:v>1768267</x:v>
      </x:c>
      <x:c r="O419" s="11" t="n">
        <x:v>1440913</x:v>
      </x:c>
      <x:c r="P419" s="11" t="n">
        <x:v>1190059</x:v>
      </x:c>
      <x:c r="Q419" s="11" t="n">
        <x:v>112616</x:v>
      </x:c>
      <x:c r="R419" s="11" t="n">
        <x:v>2838549</x:v>
      </x:c>
      <x:c r="S419" s="11" t="n">
        <x:v>612374</x:v>
      </x:c>
      <x:c r="T419" s="11" t="n">
        <x:v>5493309</x:v>
      </x:c>
      <x:c r="U419" s="11" t="n">
        <x:v>3671463</x:v>
      </x:c>
      <x:c r="V419" s="11" t="n">
        <x:v>2548121</x:v>
      </x:c>
      <x:c r="W419" s="11" t="n">
        <x:v>1548309</x:v>
      </x:c>
      <x:c r="X419" s="11" t="n">
        <x:v>1872664</x:v>
      </x:c>
      <x:c r="Y419" s="11" t="n">
        <x:v>600000</x:v>
      </x:c>
      <x:c r="Z419" s="11" t="n">
        <x:v>192703</x:v>
      </x:c>
      <x:c r="AA419" s="11" t="n">
        <x:v>2249480</x:v>
      </x:c>
      <x:c r="AB419" s="11" t="n">
        <x:v>78944</x:v>
      </x:c>
      <x:c r="AC419" s="11" t="n">
        <x:v>271647</x:v>
      </x:c>
      <x:c r="AD419" s="11" t="n">
        <x:v>897696</x:v>
      </x:c>
      <x:c r="AE419" s="11" t="n">
        <x:v>472666</x:v>
      </x:c>
      <x:c r="AF419" s="11" t="n">
        <x:v>3590785</x:v>
      </x:c>
      <x:c r="AG419" s="11" t="n">
        <x:v>32773923</x:v>
      </x:c>
      <x:c r="AH419" s="11" t="n">
        <x:v>9361623</x:v>
      </x:c>
      <x:c r="AI419" s="11" t="n">
        <x:v>23412300</x:v>
      </x:c>
      <x:c r="AJ419" s="11" t="n">
        <x:v>1757070</x:v>
      </x:c>
      <x:c r="AK419" s="11" t="n">
        <x:v>11927455</x:v>
      </x:c>
      <x:c r="AL419" s="11" t="n">
        <x:v>0</x:v>
      </x:c>
      <x:c r="AM419" s="12" t="n">
        <x:v>1</x:v>
      </x:c>
      <x:c r="AN419" s="12" t="n">
        <x:v>0.14731306888183607</x:v>
      </x:c>
      <x:c r="AO419" s="11" t="n">
        <x:v>3184371</x:v>
      </x:c>
      <x:c r="AP419" s="11" t="n">
        <x:v>3124140</x:v>
      </x:c>
      <x:c r="AQ419" s="12" t="n">
        <x:v>0.981085432570514</x:v>
      </x:c>
      <x:c r="AR419" s="11" t="n">
        <x:v>3324.8747236551217</x:v>
      </x:c>
      <x:c r="AS419" s="11" t="n">
        <x:v>2601.2284450994844</x:v>
      </x:c>
      <x:c r="AT419" s="11" t="n">
        <x:v>1877.7605011053795</x:v>
      </x:c>
      <x:c r="AU419" s="11" t="n">
        <x:v>1140.9793662490788</x:v>
      </x:c>
      <x:c r="AV419" s="11" t="n">
        <x:v>1657.6860722181282</x:v>
      </x:c>
      <x:c r="AW419" s="11" t="n">
        <x:v>1.4962179926639598</x:v>
      </x:c>
      <x:c r="AX419" s="12" t="n">
        <x:v>0.5265323673047446</x:v>
      </x:c>
      <x:c r="AY419" s="11"/>
      <x:c r="AZ419" s="11"/>
      <x:c r="BA419" s="11"/>
      <x:c r="BB419" s="11"/>
      <x:c r="BC419" s="11"/>
      <x:c r="BD419" s="11"/>
      <x:c r="BE419" s="11"/>
      <x:c r="BF419" s="11"/>
      <x:c r="BG419" s="11"/>
      <x:c r="BH419" s="11"/>
      <x:c r="BI419" s="11"/>
      <x:c r="BJ419" s="11"/>
      <x:c r="BK419" s="12"/>
      <x:c r="BL419" s="12"/>
      <x:c r="BM419" s="12"/>
      <x:c r="BN419" s="12"/>
      <x:c r="BO419" s="12"/>
      <x:c r="BP419" s="12"/>
      <x:c r="BQ419" s="12"/>
      <x:c r="BR419" s="12"/>
      <x:c r="BS419" s="12"/>
      <x:c r="BT419" s="12"/>
      <x:c r="BU419" s="11" t="n">
        <x:v>650</x:v>
      </x:c>
      <x:c r="BV419" s="11" t="n">
        <x:v>1052942</x:v>
      </x:c>
      <x:c r="BW419" s="11" t="n">
        <x:v>136467</x:v>
      </x:c>
      <x:c r="BX419" s="11" t="n">
        <x:v>76575</x:v>
      </x:c>
      <x:c r="BY419" s="11" t="n">
        <x:v>0</x:v>
      </x:c>
      <x:c r="BZ419" s="11" t="n">
        <x:v>0</x:v>
      </x:c>
      <x:c r="CA419" s="11" t="n">
        <x:v>0</x:v>
      </x:c>
      <x:c r="CB419" s="11" t="n">
        <x:v>36041</x:v>
      </x:c>
      <x:c r="CC419" s="11" t="n">
        <x:v>865158</x:v>
      </x:c>
      <x:c r="CD419" s="11" t="n">
        <x:v>456089</x:v>
      </x:c>
      <x:c r="CE419" s="11" t="n">
        <x:v>186343</x:v>
      </x:c>
      <x:c r="CF419" s="11" t="n">
        <x:v>0</x:v>
      </x:c>
      <x:c r="CG419" s="11" t="n">
        <x:v>40256</x:v>
      </x:c>
      <x:c r="CH419" s="11" t="n">
        <x:v>404216</x:v>
      </x:c>
      <x:c r="CI419" s="11" t="n">
        <x:v>242466</x:v>
      </x:c>
      <x:c r="CJ419" s="11" t="n">
        <x:v>659773</x:v>
      </x:c>
      <x:c r="CK419" s="11" t="n">
        <x:v>38022</x:v>
      </x:c>
      <x:c r="CL419" s="11" t="n">
        <x:v>0</x:v>
      </x:c>
      <x:c r="CM419" s="11"/>
      <x:c r="CN419" s="11" t="n">
        <x:v>25170</x:v>
      </x:c>
      <x:c r="CO419" s="11" t="n">
        <x:v>0</x:v>
      </x:c>
      <x:c r="CP419" s="8"/>
      <x:c r="CQ419" s="8"/>
    </x:row>
    <x:row r="420">
      <x:c r="A420" s="8" t="str">
        <x:v>Lions Bay|2021</x:v>
      </x:c>
      <x:c r="B420" s="8" t="str">
        <x:v>lions-bay-v</x:v>
      </x:c>
      <x:c r="C420" s="8" t="str">
        <x:v>Lions Bay</x:v>
      </x:c>
      <x:c r="D420" s="8" t="str">
        <x:v>Lions Bay</x:v>
      </x:c>
      <x:c r="E420" s="8" t="str">
        <x:v>V</x:v>
      </x:c>
      <x:c r="F420" s="8" t="str">
        <x:v>MVRD</x:v>
      </x:c>
      <x:c r="G420" s="9" t="n">
        <x:v>2021</x:v>
      </x:c>
      <x:c r="H420" s="10" t="n">
        <x:v>1338</x:v>
      </x:c>
      <x:c r="I420" s="8" t="str">
        <x:v>Under 5,000</x:v>
      </x:c>
      <x:c r="J420" s="11" t="n">
        <x:v>4846344</x:v>
      </x:c>
      <x:c r="K420" s="11" t="n">
        <x:v>3952732</x:v>
      </x:c>
      <x:c r="L420" s="11" t="n">
        <x:v>893612</x:v>
      </x:c>
      <x:c r="M420" s="12" t="n">
        <x:v>0.18438889191522517</x:v>
      </x:c>
      <x:c r="N420" s="11" t="n">
        <x:v>1931350</x:v>
      </x:c>
      <x:c r="O420" s="11" t="n">
        <x:v>1646966</x:v>
      </x:c>
      <x:c r="P420" s="11" t="n">
        <x:v>732450</x:v>
      </x:c>
      <x:c r="Q420" s="11" t="n">
        <x:v>535578</x:v>
      </x:c>
      <x:c r="R420" s="11" t="n">
        <x:v>3296672</x:v>
      </x:c>
      <x:c r="S420" s="11" t="n">
        <x:v>575808</x:v>
      </x:c>
      <x:c r="T420" s="11" t="n">
        <x:v>5709347</x:v>
      </x:c>
      <x:c r="U420" s="11" t="n">
        <x:v>2865174</x:v>
      </x:c>
      <x:c r="V420" s="11" t="n">
        <x:v>3133599</x:v>
      </x:c>
      <x:c r="W420" s="11" t="n">
        <x:v>1986485</x:v>
      </x:c>
      <x:c r="X420" s="11" t="n">
        <x:v>2249480</x:v>
      </x:c>
      <x:c r="Y420" s="11" t="n">
        <x:v>0</x:v>
      </x:c>
      <x:c r="Z420" s="11" t="n">
        <x:v>221890</x:v>
      </x:c>
      <x:c r="AA420" s="11" t="n">
        <x:v>1993388</x:v>
      </x:c>
      <x:c r="AB420" s="11" t="n">
        <x:v>80252</x:v>
      </x:c>
      <x:c r="AC420" s="11" t="n">
        <x:v>302142</x:v>
      </x:c>
      <x:c r="AD420" s="11" t="n">
        <x:v>987811</x:v>
      </x:c>
      <x:c r="AE420" s="11" t="n">
        <x:v>518519</x:v>
      </x:c>
      <x:c r="AF420" s="11" t="n">
        <x:v>3951242</x:v>
      </x:c>
      <x:c r="AG420" s="11" t="n">
        <x:v>33374317</x:v>
      </x:c>
      <x:c r="AH420" s="11" t="n">
        <x:v>9667664</x:v>
      </x:c>
      <x:c r="AI420" s="11" t="n">
        <x:v>23706653</x:v>
      </x:c>
      <x:c r="AJ420" s="11" t="n">
        <x:v>872582</x:v>
      </x:c>
      <x:c r="AK420" s="11" t="n">
        <x:v>12609262</x:v>
      </x:c>
      <x:c r="AL420" s="11" t="n">
        <x:v>0</x:v>
      </x:c>
      <x:c r="AM420" s="12" t="n">
        <x:v>1</x:v>
      </x:c>
      <x:c r="AN420" s="12" t="n">
        <x:v>0.06920167096218637</x:v>
      </x:c>
      <x:c r="AO420" s="11" t="n">
        <x:v>3379629</x:v>
      </x:c>
      <x:c r="AP420" s="11" t="n">
        <x:v>3280876</x:v>
      </x:c>
      <x:c r="AQ420" s="12" t="n">
        <x:v>0.970779928802836</x:v>
      </x:c>
      <x:c r="AR420" s="11" t="n">
        <x:v>3622.080717488789</x:v>
      </x:c>
      <x:c r="AS420" s="11" t="n">
        <x:v>2954.2092675635276</x:v>
      </x:c>
      <x:c r="AT420" s="11" t="n">
        <x:v>2342.0022421524664</x:v>
      </x:c>
      <x:c r="AU420" s="11" t="n">
        <x:v>1484.6674140508221</x:v>
      </x:c>
      <x:c r="AV420" s="11" t="n">
        <x:v>1489.8266068759342</x:v>
      </x:c>
      <x:c r="AW420" s="11" t="n">
        <x:v>1.9926702531853213</x:v>
      </x:c>
      <x:c r="AX420" s="12" t="n">
        <x:v>0.5249172159451555</x:v>
      </x:c>
      <x:c r="AY420" s="11"/>
      <x:c r="AZ420" s="11"/>
      <x:c r="BA420" s="11"/>
      <x:c r="BB420" s="11"/>
      <x:c r="BC420" s="11"/>
      <x:c r="BD420" s="11"/>
      <x:c r="BE420" s="11"/>
      <x:c r="BF420" s="11"/>
      <x:c r="BG420" s="11"/>
      <x:c r="BH420" s="11"/>
      <x:c r="BI420" s="11"/>
      <x:c r="BJ420" s="11"/>
      <x:c r="BK420" s="12"/>
      <x:c r="BL420" s="12"/>
      <x:c r="BM420" s="12"/>
      <x:c r="BN420" s="12"/>
      <x:c r="BO420" s="12"/>
      <x:c r="BP420" s="12"/>
      <x:c r="BQ420" s="12"/>
      <x:c r="BR420" s="12"/>
      <x:c r="BS420" s="12"/>
      <x:c r="BT420" s="12"/>
      <x:c r="BU420" s="11" t="n">
        <x:v>162985</x:v>
      </x:c>
      <x:c r="BV420" s="11" t="n">
        <x:v>448295</x:v>
      </x:c>
      <x:c r="BW420" s="11" t="n">
        <x:v>121170</x:v>
      </x:c>
      <x:c r="BX420" s="11" t="n">
        <x:v>65649</x:v>
      </x:c>
      <x:c r="BY420" s="11" t="n">
        <x:v>0</x:v>
      </x:c>
      <x:c r="BZ420" s="11" t="n">
        <x:v>0</x:v>
      </x:c>
      <x:c r="CA420" s="11" t="n">
        <x:v>430186</x:v>
      </x:c>
      <x:c r="CB420" s="11" t="n">
        <x:v>39743</x:v>
      </x:c>
      <x:c r="CC420" s="11" t="n">
        <x:v>888549</x:v>
      </x:c>
      <x:c r="CD420" s="11" t="n">
        <x:v>531899</x:v>
      </x:c>
      <x:c r="CE420" s="11" t="n">
        <x:v>192751</x:v>
      </x:c>
      <x:c r="CF420" s="11" t="n">
        <x:v>0</x:v>
      </x:c>
      <x:c r="CG420" s="11" t="n">
        <x:v>55470</x:v>
      </x:c>
      <x:c r="CH420" s="11" t="n">
        <x:v>582768</x:v>
      </x:c>
      <x:c r="CI420" s="11" t="n">
        <x:v>293341</x:v>
      </x:c>
      <x:c r="CJ420" s="11" t="n">
        <x:v>765825</x:v>
      </x:c>
      <x:c r="CK420" s="11" t="n">
        <x:v>66321</x:v>
      </x:c>
      <x:c r="CL420" s="11" t="n">
        <x:v>0</x:v>
      </x:c>
      <x:c r="CM420" s="11"/>
      <x:c r="CN420" s="11" t="n">
        <x:v>0</x:v>
      </x:c>
      <x:c r="CO420" s="11" t="n">
        <x:v>0</x:v>
      </x:c>
      <x:c r="CP420" s="8"/>
      <x:c r="CQ420" s="8"/>
    </x:row>
    <x:row r="421">
      <x:c r="A421" s="8" t="str">
        <x:v>Lions Bay|2022</x:v>
      </x:c>
      <x:c r="B421" s="8" t="str">
        <x:v>lions-bay-v</x:v>
      </x:c>
      <x:c r="C421" s="8" t="str">
        <x:v>Lions Bay</x:v>
      </x:c>
      <x:c r="D421" s="8" t="str">
        <x:v>Lions Bay</x:v>
      </x:c>
      <x:c r="E421" s="8" t="str">
        <x:v>V</x:v>
      </x:c>
      <x:c r="F421" s="8" t="str">
        <x:v>MVRD</x:v>
      </x:c>
      <x:c r="G421" s="9" t="n">
        <x:v>2022</x:v>
      </x:c>
      <x:c r="H421" s="10" t="n">
        <x:v>2298</x:v>
      </x:c>
      <x:c r="I421" s="8" t="str">
        <x:v>Under 5,000</x:v>
      </x:c>
      <x:c r="J421" s="11" t="n">
        <x:v>4477441</x:v>
      </x:c>
      <x:c r="K421" s="11" t="n">
        <x:v>4518833</x:v>
      </x:c>
      <x:c r="L421" s="11" t="n">
        <x:v>-41392</x:v>
      </x:c>
      <x:c r="M421" s="12" t="n">
        <x:v>-0.009244566260057922</x:v>
      </x:c>
      <x:c r="N421" s="11" t="n">
        <x:v>2021691</x:v>
      </x:c>
      <x:c r="O421" s="11" t="n">
        <x:v>1735115</x:v>
      </x:c>
      <x:c r="P421" s="11" t="n">
        <x:v>520755</x:v>
      </x:c>
      <x:c r="Q421" s="11" t="n">
        <x:v>199880</x:v>
      </x:c>
      <x:c r="R421" s="11" t="n">
        <x:v>3870733</x:v>
      </x:c>
      <x:c r="S421" s="11" t="n">
        <x:v>567755</x:v>
      </x:c>
      <x:c r="T421" s="11" t="n">
        <x:v>5663477</x:v>
      </x:c>
      <x:c r="U421" s="11" t="n">
        <x:v>2978103</x:v>
      </x:c>
      <x:c r="V421" s="11" t="n">
        <x:v>2918448</x:v>
      </x:c>
      <x:c r="W421" s="11" t="n">
        <x:v>2760826</x:v>
      </x:c>
      <x:c r="X421" s="11" t="n">
        <x:v>1993388</x:v>
      </x:c>
      <x:c r="Y421" s="11" t="n">
        <x:v>195000</x:v>
      </x:c>
      <x:c r="Z421" s="11" t="n">
        <x:v>217838</x:v>
      </x:c>
      <x:c r="AA421" s="11" t="n">
        <x:v>1931989</x:v>
      </x:c>
      <x:c r="AB421" s="11" t="n">
        <x:v>80345</x:v>
      </x:c>
      <x:c r="AC421" s="11" t="n">
        <x:v>298183</x:v>
      </x:c>
      <x:c r="AD421" s="11" t="n">
        <x:v>1064656</x:v>
      </x:c>
      <x:c r="AE421" s="11" t="n">
        <x:v>592924</x:v>
      </x:c>
      <x:c r="AF421" s="11" t="n">
        <x:v>4258625</x:v>
      </x:c>
      <x:c r="AG421" s="11" t="n">
        <x:v>34031739</x:v>
      </x:c>
      <x:c r="AH421" s="11" t="n">
        <x:v>10160429</x:v>
      </x:c>
      <x:c r="AI421" s="11" t="n">
        <x:v>23871310</x:v>
      </x:c>
      <x:c r="AJ421" s="11" t="n">
        <x:v>732412</x:v>
      </x:c>
      <x:c r="AK421" s="11" t="n">
        <x:v>12739710</x:v>
      </x:c>
      <x:c r="AL421" s="11" t="n">
        <x:v>0</x:v>
      </x:c>
      <x:c r="AM421" s="12" t="n">
        <x:v>1</x:v>
      </x:c>
      <x:c r="AN421" s="12" t="n">
        <x:v>0.05749047662780393</x:v>
      </x:c>
      <x:c r="AO421" s="11" t="n">
        <x:v>3775612</x:v>
      </x:c>
      <x:c r="AP421" s="11" t="n">
        <x:v>3701340</x:v>
      </x:c>
      <x:c r="AQ421" s="12" t="n">
        <x:v>0.9803284871432764</x:v>
      </x:c>
      <x:c r="AR421" s="11" t="n">
        <x:v>1948.4077458659704</x:v>
      </x:c>
      <x:c r="AS421" s="11" t="n">
        <x:v>1966.4199303742384</x:v>
      </x:c>
      <x:c r="AT421" s="11" t="n">
        <x:v>1269.9947780678851</x:v>
      </x:c>
      <x:c r="AU421" s="11" t="n">
        <x:v>1201.4038294168843</x:v>
      </x:c>
      <x:c r="AV421" s="11" t="n">
        <x:v>840.7262837249782</x:v>
      </x:c>
      <x:c r="AW421" s="11" t="n">
        <x:v>1.901706220369141</x:v>
      </x:c>
      <x:c r="AX421" s="12" t="n">
        <x:v>0.5569160367292346</x:v>
      </x:c>
      <x:c r="AY421" s="11"/>
      <x:c r="AZ421" s="11"/>
      <x:c r="BA421" s="11"/>
      <x:c r="BB421" s="11"/>
      <x:c r="BC421" s="11"/>
      <x:c r="BD421" s="11"/>
      <x:c r="BE421" s="11"/>
      <x:c r="BF421" s="11"/>
      <x:c r="BG421" s="11"/>
      <x:c r="BH421" s="11"/>
      <x:c r="BI421" s="11"/>
      <x:c r="BJ421" s="11"/>
      <x:c r="BK421" s="12"/>
      <x:c r="BL421" s="12"/>
      <x:c r="BM421" s="12"/>
      <x:c r="BN421" s="12"/>
      <x:c r="BO421" s="12"/>
      <x:c r="BP421" s="12"/>
      <x:c r="BQ421" s="12"/>
      <x:c r="BR421" s="12"/>
      <x:c r="BS421" s="12"/>
      <x:c r="BT421" s="12"/>
      <x:c r="BU421" s="11" t="n">
        <x:v>0</x:v>
      </x:c>
      <x:c r="BV421" s="11" t="n">
        <x:v>494135</x:v>
      </x:c>
      <x:c r="BW421" s="11" t="n">
        <x:v>26620</x:v>
      </x:c>
      <x:c r="BX421" s="11" t="n">
        <x:v>159380</x:v>
      </x:c>
      <x:c r="BY421" s="11" t="n">
        <x:v>0</x:v>
      </x:c>
      <x:c r="BZ421" s="11" t="n">
        <x:v>0</x:v>
      </x:c>
      <x:c r="CA421" s="11" t="n">
        <x:v>40500</x:v>
      </x:c>
      <x:c r="CB421" s="11" t="n">
        <x:v>0</x:v>
      </x:c>
      <x:c r="CC421" s="11" t="n">
        <x:v>1218850</x:v>
      </x:c>
      <x:c r="CD421" s="11" t="n">
        <x:v>551889</x:v>
      </x:c>
      <x:c r="CE421" s="11" t="n">
        <x:v>198788</x:v>
      </x:c>
      <x:c r="CF421" s="11" t="n">
        <x:v>0</x:v>
      </x:c>
      <x:c r="CG421" s="11" t="n">
        <x:v>47406</x:v>
      </x:c>
      <x:c r="CH421" s="11" t="n">
        <x:v>757987</x:v>
      </x:c>
      <x:c r="CI421" s="11" t="n">
        <x:v>311700</x:v>
      </x:c>
      <x:c r="CJ421" s="11" t="n">
        <x:v>795144</x:v>
      </x:c>
      <x:c r="CK421" s="11" t="n">
        <x:v>69314</x:v>
      </x:c>
      <x:c r="CL421" s="11" t="n">
        <x:v>0</x:v>
      </x:c>
      <x:c r="CM421" s="11"/>
      <x:c r="CN421" s="11" t="n">
        <x:v>0</x:v>
      </x:c>
      <x:c r="CO421" s="11" t="n">
        <x:v>0</x:v>
      </x:c>
      <x:c r="CP421" s="8"/>
      <x:c r="CQ421" s="8"/>
    </x:row>
    <x:row r="422">
      <x:c r="A422" s="8" t="str">
        <x:v>Lions Bay|2023</x:v>
      </x:c>
      <x:c r="B422" s="8" t="str">
        <x:v>lions-bay-v</x:v>
      </x:c>
      <x:c r="C422" s="8" t="str">
        <x:v>Lions Bay</x:v>
      </x:c>
      <x:c r="D422" s="8" t="str">
        <x:v>Lions Bay</x:v>
      </x:c>
      <x:c r="E422" s="8" t="str">
        <x:v>V</x:v>
      </x:c>
      <x:c r="F422" s="8" t="str">
        <x:v>MVRD</x:v>
      </x:c>
      <x:c r="G422" s="9" t="n">
        <x:v>2023</x:v>
      </x:c>
      <x:c r="H422" s="10" t="n">
        <x:v>1353</x:v>
      </x:c>
      <x:c r="I422" s="8" t="str">
        <x:v>Under 5,000</x:v>
      </x:c>
      <x:c r="J422" s="11" t="n">
        <x:v>5696670</x:v>
      </x:c>
      <x:c r="K422" s="11" t="n">
        <x:v>4610507</x:v>
      </x:c>
      <x:c r="L422" s="11" t="n">
        <x:v>1086163</x:v>
      </x:c>
      <x:c r="M422" s="12" t="n">
        <x:v>0.19066630154107575</x:v>
      </x:c>
      <x:c r="N422" s="11" t="n">
        <x:v>2160360</x:v>
      </x:c>
      <x:c r="O422" s="11" t="n">
        <x:v>1826408</x:v>
      </x:c>
      <x:c r="P422" s="11" t="n">
        <x:v>1492761</x:v>
      </x:c>
      <x:c r="Q422" s="11" t="n">
        <x:v>217141</x:v>
      </x:c>
      <x:c r="R422" s="11" t="n">
        <x:v>3908569</x:v>
      </x:c>
      <x:c r="S422" s="11" t="n">
        <x:v>617926</x:v>
      </x:c>
      <x:c r="T422" s="11" t="n">
        <x:v>6421298</x:v>
      </x:c>
      <x:c r="U422" s="11" t="n">
        <x:v>2448668</x:v>
      </x:c>
      <x:c r="V422" s="11" t="n">
        <x:v>4465725</x:v>
      </x:c>
      <x:c r="W422" s="11" t="n">
        <x:v>3129251</x:v>
      </x:c>
      <x:c r="X422" s="11" t="n">
        <x:v>1931989</x:v>
      </x:c>
      <x:c r="Y422" s="11" t="n">
        <x:v>0</x:v>
      </x:c>
      <x:c r="Z422" s="11" t="n">
        <x:v>228078</x:v>
      </x:c>
      <x:c r="AA422" s="11" t="n">
        <x:v>1660828</x:v>
      </x:c>
      <x:c r="AB422" s="11" t="n">
        <x:v>84012</x:v>
      </x:c>
      <x:c r="AC422" s="11" t="n">
        <x:v>312090</x:v>
      </x:c>
      <x:c r="AD422" s="11" t="n">
        <x:v>1114707</x:v>
      </x:c>
      <x:c r="AE422" s="11" t="n">
        <x:v>802617</x:v>
      </x:c>
      <x:c r="AF422" s="11" t="n">
        <x:v>4458826</x:v>
      </x:c>
      <x:c r="AG422" s="11" t="n">
        <x:v>34183451</x:v>
      </x:c>
      <x:c r="AH422" s="11" t="n">
        <x:v>10778355</x:v>
      </x:c>
      <x:c r="AI422" s="11" t="n">
        <x:v>23405096</x:v>
      </x:c>
      <x:c r="AJ422" s="11" t="n">
        <x:v>150017</x:v>
      </x:c>
      <x:c r="AK422" s="11" t="n">
        <x:v>11844831</x:v>
      </x:c>
      <x:c r="AL422" s="11" t="n">
        <x:v>0</x:v>
      </x:c>
      <x:c r="AM422" s="12" t="n">
        <x:v>1</x:v>
      </x:c>
      <x:c r="AN422" s="12" t="n">
        <x:v>0.012665187033905338</x:v>
      </x:c>
      <x:c r="AO422" s="11" t="n">
        <x:v>3948469</x:v>
      </x:c>
      <x:c r="AP422" s="11" t="n">
        <x:v>3765486</x:v>
      </x:c>
      <x:c r="AQ422" s="12" t="n">
        <x:v>0.9536572276495017</x:v>
      </x:c>
      <x:c r="AR422" s="11" t="n">
        <x:v>4210.39911308204</x:v>
      </x:c>
      <x:c r="AS422" s="11" t="n">
        <x:v>3407.6178861788617</x:v>
      </x:c>
      <x:c r="AT422" s="11" t="n">
        <x:v>3300.609756097561</x:v>
      </x:c>
      <x:c r="AU422" s="11" t="n">
        <x:v>2312.8240946045826</x:v>
      </x:c>
      <x:c r="AV422" s="11" t="n">
        <x:v>1227.5151515151515</x:v>
      </x:c>
      <x:c r="AW422" s="11" t="n">
        <x:v>2.6223636687374525</x:v>
      </x:c>
      <x:c r="AX422" s="12" t="n">
        <x:v>0.7200250828244552</x:v>
      </x:c>
      <x:c r="AY422" s="11"/>
      <x:c r="AZ422" s="11"/>
      <x:c r="BA422" s="11"/>
      <x:c r="BB422" s="11"/>
      <x:c r="BC422" s="11"/>
      <x:c r="BD422" s="11"/>
      <x:c r="BE422" s="11"/>
      <x:c r="BF422" s="11"/>
      <x:c r="BG422" s="11"/>
      <x:c r="BH422" s="11"/>
      <x:c r="BI422" s="11"/>
      <x:c r="BJ422" s="11"/>
      <x:c r="BK422" s="12"/>
      <x:c r="BL422" s="12"/>
      <x:c r="BM422" s="12"/>
      <x:c r="BN422" s="12"/>
      <x:c r="BO422" s="12"/>
      <x:c r="BP422" s="12"/>
      <x:c r="BQ422" s="12"/>
      <x:c r="BR422" s="12"/>
      <x:c r="BS422" s="12"/>
      <x:c r="BT422" s="12"/>
      <x:c r="BU422" s="11" t="n">
        <x:v>38200</x:v>
      </x:c>
      <x:c r="BV422" s="11" t="n">
        <x:v>1441266</x:v>
      </x:c>
      <x:c r="BW422" s="11" t="n">
        <x:v>13295</x:v>
      </x:c>
      <x:c r="BX422" s="11" t="n">
        <x:v>217141</x:v>
      </x:c>
      <x:c r="BY422" s="11" t="n">
        <x:v>0</x:v>
      </x:c>
      <x:c r="BZ422" s="11" t="n">
        <x:v>0</x:v>
      </x:c>
      <x:c r="CA422" s="11" t="n">
        <x:v>0</x:v>
      </x:c>
      <x:c r="CB422" s="11" t="n">
        <x:v>0</x:v>
      </x:c>
      <x:c r="CC422" s="11" t="n">
        <x:v>1115309</x:v>
      </x:c>
      <x:c r="CD422" s="11" t="n">
        <x:v>580969</x:v>
      </x:c>
      <x:c r="CE422" s="11" t="n">
        <x:v>192771</x:v>
      </x:c>
      <x:c r="CF422" s="11" t="n">
        <x:v>0</x:v>
      </x:c>
      <x:c r="CG422" s="11" t="n">
        <x:v>39853</x:v>
      </x:c>
      <x:c r="CH422" s="11" t="n">
        <x:v>1130577</x:v>
      </x:c>
      <x:c r="CI422" s="11" t="n">
        <x:v>247783</x:v>
      </x:c>
      <x:c r="CJ422" s="11" t="n">
        <x:v>630460</x:v>
      </x:c>
      <x:c r="CK422" s="11" t="n">
        <x:v>54859</x:v>
      </x:c>
      <x:c r="CL422" s="11" t="n">
        <x:v>0</x:v>
      </x:c>
      <x:c r="CM422" s="11" t="n">
        <x:v>0</x:v>
      </x:c>
      <x:c r="CN422" s="11" t="n">
        <x:v>0</x:v>
      </x:c>
      <x:c r="CO422" s="11" t="n">
        <x:v>0</x:v>
      </x:c>
      <x:c r="CP422" s="8"/>
      <x:c r="CQ422" s="8"/>
    </x:row>
    <x:row r="423">
      <x:c r="A423" s="8" t="str">
        <x:v>Lions Bay|2024</x:v>
      </x:c>
      <x:c r="B423" s="8" t="str">
        <x:v>lions-bay-v</x:v>
      </x:c>
      <x:c r="C423" s="8" t="str">
        <x:v>Lions Bay</x:v>
      </x:c>
      <x:c r="D423" s="8" t="str">
        <x:v>Lions Bay</x:v>
      </x:c>
      <x:c r="E423" s="8" t="str">
        <x:v>V</x:v>
      </x:c>
      <x:c r="F423" s="8" t="str">
        <x:v>MVRD</x:v>
      </x:c>
      <x:c r="G423" s="9" t="n">
        <x:v>2024</x:v>
      </x:c>
      <x:c r="H423" s="10" t="n">
        <x:v>1353</x:v>
      </x:c>
      <x:c r="I423" s="8" t="str">
        <x:v>Under 5,000</x:v>
      </x:c>
      <x:c r="J423" s="11" t="n">
        <x:v>5562440</x:v>
      </x:c>
      <x:c r="K423" s="11" t="n">
        <x:v>4884232</x:v>
      </x:c>
      <x:c r="L423" s="11" t="n">
        <x:v>678208</x:v>
      </x:c>
      <x:c r="M423" s="12" t="n">
        <x:v>0.12192634886848218</x:v>
      </x:c>
      <x:c r="N423" s="11" t="n">
        <x:v>2321492</x:v>
      </x:c>
      <x:c r="O423" s="11" t="n">
        <x:v>1986140</x:v>
      </x:c>
      <x:c r="P423" s="11" t="n">
        <x:v>965343</x:v>
      </x:c>
      <x:c r="Q423" s="11" t="n">
        <x:v>289465</x:v>
      </x:c>
      <x:c r="R423" s="11" t="n">
        <x:v>4163006</x:v>
      </x:c>
      <x:c r="S423" s="11" t="n">
        <x:v>616715</x:v>
      </x:c>
      <x:c r="T423" s="11" t="n">
        <x:v>6218225</x:v>
      </x:c>
      <x:c r="U423" s="11" t="n">
        <x:v>2606180</x:v>
      </x:c>
      <x:c r="V423" s="11" t="n">
        <x:v>4348455</x:v>
      </x:c>
      <x:c r="W423" s="11" t="n">
        <x:v>4216538</x:v>
      </x:c>
      <x:c r="X423" s="11" t="n">
        <x:v>1660828</x:v>
      </x:c>
      <x:c r="Y423" s="11" t="n">
        <x:v>0</x:v>
      </x:c>
      <x:c r="Z423" s="11" t="n">
        <x:v>151907</x:v>
      </x:c>
      <x:c r="AA423" s="11" t="n">
        <x:v>1461149</x:v>
      </x:c>
      <x:c r="AB423" s="11" t="n">
        <x:v>104511</x:v>
      </x:c>
      <x:c r="AC423" s="11" t="n">
        <x:v>256418</x:v>
      </x:c>
      <x:c r="AD423" s="11" t="n">
        <x:v>1212137</x:v>
      </x:c>
      <x:c r="AE423" s="11" t="n">
        <x:v>955719</x:v>
      </x:c>
      <x:c r="AF423" s="11" t="n">
        <x:v>4848548</x:v>
      </x:c>
      <x:c r="AG423" s="11" t="n">
        <x:v>35618298</x:v>
      </x:c>
      <x:c r="AH423" s="11" t="n">
        <x:v>11395070</x:v>
      </x:c>
      <x:c r="AI423" s="11" t="n">
        <x:v>24223228</x:v>
      </x:c>
      <x:c r="AJ423" s="11" t="n">
        <x:v>1434847</x:v>
      </x:c>
      <x:c r="AK423" s="11" t="n">
        <x:v>35618297</x:v>
      </x:c>
      <x:c r="AL423" s="11" t="n">
        <x:v>434741</x:v>
      </x:c>
      <x:c r="AM423" s="12" t="n">
        <x:v>0.9877944473313814</x:v>
      </x:c>
      <x:c r="AN423" s="12" t="n">
        <x:v>0.04028398662631175</x:v>
      </x:c>
      <x:c r="AO423" s="11" t="n">
        <x:v>4485015</x:v>
      </x:c>
      <x:c r="AP423" s="11" t="n">
        <x:v>4228963</x:v>
      </x:c>
      <x:c r="AQ423" s="12" t="n">
        <x:v>0.9429094440040892</x:v>
      </x:c>
      <x:c r="AR423" s="11" t="n">
        <x:v>4111.189948263119</x:v>
      </x:c>
      <x:c r="AS423" s="11" t="n">
        <x:v>3609.927568366593</x:v>
      </x:c>
      <x:c r="AT423" s="11" t="n">
        <x:v>3213.9356984478936</x:v>
      </x:c>
      <x:c r="AU423" s="11" t="n">
        <x:v>3116.4360679970437</x:v>
      </x:c>
      <x:c r="AV423" s="11" t="n">
        <x:v>1079.9327420546933</x:v>
      </x:c>
      <x:c r="AW423" s="11" t="n">
        <x:v>2.3859537714202395</x:v>
      </x:c>
      <x:c r="AX423" s="12" t="n">
        <x:v>0.788457905335783</x:v>
      </x:c>
      <x:c r="AY423" s="11" t="n">
        <x:v>4648.097865362712</x:v>
      </x:c>
      <x:c r="AZ423" s="11" t="n">
        <x:v>3546.5079302077975</x:v>
      </x:c>
      <x:c r="BA423" s="11" t="n">
        <x:v>3428.422456291105</x:v>
      </x:c>
      <x:c r="BB423" s="11" t="n">
        <x:v>2783.665107049771</x:v>
      </x:c>
      <x:c r="BC423" s="11" t="n">
        <x:v>5030.364110900993</x:v>
      </x:c>
      <x:c r="BD423" s="11" t="n">
        <x:v>2437.8724475115623</x:v>
      </x:c>
      <x:c r="BE423" s="11" t="n">
        <x:v>2420.45</x:v>
      </x:c>
      <x:c r="BF423" s="11" t="n">
        <x:v>1604.3462673977224</x:v>
      </x:c>
      <x:c r="BG423" s="11" t="n">
        <x:v>224.31236112962716</x:v>
      </x:c>
      <x:c r="BH423" s="11" t="n">
        <x:v>518.5374381567245</x:v>
      </x:c>
      <x:c r="BI423" s="11" t="n">
        <x:v>2.204313821553219</x:v>
      </x:c>
      <x:c r="BJ423" s="11" t="n">
        <x:v>1.7099330852451193</x:v>
      </x:c>
      <x:c r="BK423" s="12" t="n">
        <x:v>0.030042455998363887</x:v>
      </x:c>
      <x:c r="BL423" s="12" t="n">
        <x:v>0.02529861000232605</x:v>
      </x:c>
      <x:c r="BM423" s="12" t="n">
        <x:v>0.9786113537119745</x:v>
      </x:c>
      <x:c r="BN423" s="12" t="n">
        <x:v>0.9815511712696461</x:v>
      </x:c>
      <x:c r="BO423" s="12" t="n">
        <x:v>0.9039920521842442</x:v>
      </x:c>
      <x:c r="BP423" s="12" t="n">
        <x:v>0.8619101997275483</x:v>
      </x:c>
      <x:c r="BQ423" s="12" t="n">
        <x:v>0.9333160528846489</x:v>
      </x:c>
      <x:c r="BR423" s="12" t="n">
        <x:v>0.9623635142836453</x:v>
      </x:c>
      <x:c r="BS423" s="12" t="n">
        <x:v>0.20869205825466772</x:v>
      </x:c>
      <x:c r="BT423" s="12" t="n">
        <x:v>0.19976549769108282</x:v>
      </x:c>
      <x:c r="BU423" s="11" t="n">
        <x:v>8200</x:v>
      </x:c>
      <x:c r="BV423" s="11" t="n">
        <x:v>854328</x:v>
      </x:c>
      <x:c r="BW423" s="11" t="n">
        <x:v>102815</x:v>
      </x:c>
      <x:c r="BX423" s="11" t="n">
        <x:v>260288</x:v>
      </x:c>
      <x:c r="BY423" s="11" t="n">
        <x:v>0</x:v>
      </x:c>
      <x:c r="BZ423" s="11" t="n">
        <x:v>13082</x:v>
      </x:c>
      <x:c r="CA423" s="11" t="n">
        <x:v>16095</x:v>
      </x:c>
      <x:c r="CB423" s="11" t="n">
        <x:v>0</x:v>
      </x:c>
      <x:c r="CC423" s="11" t="n">
        <x:v>1328665</x:v>
      </x:c>
      <x:c r="CD423" s="11" t="n">
        <x:v>845364</x:v>
      </x:c>
      <x:c r="CE423" s="11" t="n">
        <x:v>201913</x:v>
      </x:c>
      <x:c r="CF423" s="11" t="n">
        <x:v>0</x:v>
      </x:c>
      <x:c r="CG423" s="11" t="n">
        <x:v>40296</x:v>
      </x:c>
      <x:c r="CH423" s="11" t="n">
        <x:v>381055</x:v>
      </x:c>
      <x:c r="CI423" s="11" t="n">
        <x:v>383315</x:v>
      </x:c>
      <x:c r="CJ423" s="11" t="n">
        <x:v>998803</x:v>
      </x:c>
      <x:c r="CK423" s="11" t="n">
        <x:v>85747</x:v>
      </x:c>
      <x:c r="CL423" s="11" t="n">
        <x:v>0</x:v>
      </x:c>
      <x:c r="CM423" s="11" t="n">
        <x:v>2359</x:v>
      </x:c>
      <x:c r="CN423" s="11" t="n">
        <x:v>0</x:v>
      </x:c>
      <x:c r="CO423" s="11" t="n">
        <x:v>0</x:v>
      </x:c>
      <x:c r="CP423" s="8"/>
      <x:c r="CQ423" s="8"/>
    </x:row>
    <x:row r="424">
      <x:c r="A424" s="8" t="str">
        <x:v>Logan Lake|2019</x:v>
      </x:c>
      <x:c r="B424" s="8" t="str">
        <x:v>logan-lake-d</x:v>
      </x:c>
      <x:c r="C424" s="8" t="str">
        <x:v>Logan Lake</x:v>
      </x:c>
      <x:c r="D424" s="8" t="str">
        <x:v>Logan Lake</x:v>
      </x:c>
      <x:c r="E424" s="8" t="str">
        <x:v>D</x:v>
      </x:c>
      <x:c r="F424" s="8" t="str">
        <x:v>TNR</x:v>
      </x:c>
      <x:c r="G424" s="9" t="n">
        <x:v>2019</x:v>
      </x:c>
      <x:c r="H424" s="10" t="n">
        <x:v>2117</x:v>
      </x:c>
      <x:c r="I424" s="8" t="str">
        <x:v>Under 5,000</x:v>
      </x:c>
      <x:c r="J424" s="11" t="n">
        <x:v>6851248</x:v>
      </x:c>
      <x:c r="K424" s="11" t="n">
        <x:v>5916414</x:v>
      </x:c>
      <x:c r="L424" s="11" t="n">
        <x:v>934834</x:v>
      </x:c>
      <x:c r="M424" s="12" t="n">
        <x:v>0.1364472574923576</x:v>
      </x:c>
      <x:c r="N424" s="11" t="n">
        <x:v>3919346</x:v>
      </x:c>
      <x:c r="O424" s="11" t="n">
        <x:v>1011244</x:v>
      </x:c>
      <x:c r="P424" s="11" t="n">
        <x:v>832384</x:v>
      </x:c>
      <x:c r="Q424" s="11" t="n">
        <x:v>1088274</x:v>
      </x:c>
      <x:c r="R424" s="11" t="n">
        <x:v>4973157</x:v>
      </x:c>
      <x:c r="S424" s="11" t="n">
        <x:v>887363</x:v>
      </x:c>
      <x:c r="T424" s="11" t="n">
        <x:v>5159788</x:v>
      </x:c>
      <x:c r="U424" s="11" t="n">
        <x:v>3212544</x:v>
      </x:c>
      <x:c r="V424" s="11" t="n">
        <x:v>7016330</x:v>
      </x:c>
      <x:c r="W424" s="11" t="n">
        <x:v>2091677</x:v>
      </x:c>
      <x:c r="X424" s="11" t="n">
        <x:v>1867939</x:v>
      </x:c>
      <x:c r="Y424" s="11" t="n">
        <x:v>0</x:v>
      </x:c>
      <x:c r="Z424" s="11" t="n">
        <x:v>216568</x:v>
      </x:c>
      <x:c r="AA424" s="11" t="n">
        <x:v>1627826</x:v>
      </x:c>
      <x:c r="AB424" s="11" t="n">
        <x:v>55894</x:v>
      </x:c>
      <x:c r="AC424" s="11" t="n">
        <x:v>272462</x:v>
      </x:c>
      <x:c r="AD424" s="11" t="n">
        <x:v>1121914</x:v>
      </x:c>
      <x:c r="AE424" s="11" t="n">
        <x:v>849452</x:v>
      </x:c>
      <x:c r="AF424" s="11" t="n">
        <x:v>4487655</x:v>
      </x:c>
      <x:c r="AG424" s="11" t="n">
        <x:v>36267676</x:v>
      </x:c>
      <x:c r="AH424" s="11" t="n">
        <x:v>17417276</x:v>
      </x:c>
      <x:c r="AI424" s="11" t="n">
        <x:v>18850400</x:v>
      </x:c>
      <x:c r="AJ424" s="11" t="n">
        <x:v>1639574</x:v>
      </x:c>
      <x:c r="AK424" s="11" t="n">
        <x:v>3324793</x:v>
      </x:c>
      <x:c r="AL424" s="11" t="n">
        <x:v>0</x:v>
      </x:c>
      <x:c r="AM424" s="12" t="n">
        <x:v>1</x:v>
      </x:c>
      <x:c r="AN424" s="12" t="n">
        <x:v>0.49313566288186966</x:v>
      </x:c>
      <x:c r="AO424" s="11" t="n">
        <x:v>6331032</x:v>
      </x:c>
      <x:c r="AP424" s="11" t="n">
        <x:v>6175741</x:v>
      </x:c>
      <x:c r="AQ424" s="12" t="n">
        <x:v>0.9754714555225752</x:v>
      </x:c>
      <x:c r="AR424" s="11" t="n">
        <x:v>3236.3004251299008</x:v>
      </x:c>
      <x:c r="AS424" s="11" t="n">
        <x:v>2794.716107699575</x:v>
      </x:c>
      <x:c r="AT424" s="11" t="n">
        <x:v>3314.279641001417</x:v>
      </x:c>
      <x:c r="AU424" s="11" t="n">
        <x:v>988.0382616910723</x:v>
      </x:c>
      <x:c r="AV424" s="11" t="n">
        <x:v>768.9305621162022</x:v>
      </x:c>
      <x:c r="AW424" s="11" t="n">
        <x:v>1.6061376902542035</x:v>
      </x:c>
      <x:c r="AX424" s="12" t="n">
        <x:v>0.7571453783445077</x:v>
      </x:c>
      <x:c r="AY424" s="11"/>
      <x:c r="AZ424" s="11"/>
      <x:c r="BA424" s="11"/>
      <x:c r="BB424" s="11"/>
      <x:c r="BC424" s="11"/>
      <x:c r="BD424" s="11"/>
      <x:c r="BE424" s="11"/>
      <x:c r="BF424" s="11"/>
      <x:c r="BG424" s="11"/>
      <x:c r="BH424" s="11"/>
      <x:c r="BI424" s="11"/>
      <x:c r="BJ424" s="11"/>
      <x:c r="BK424" s="12"/>
      <x:c r="BL424" s="12"/>
      <x:c r="BM424" s="12"/>
      <x:c r="BN424" s="12"/>
      <x:c r="BO424" s="12"/>
      <x:c r="BP424" s="12"/>
      <x:c r="BQ424" s="12"/>
      <x:c r="BR424" s="12"/>
      <x:c r="BS424" s="12"/>
      <x:c r="BT424" s="12"/>
      <x:c r="BU424" s="11" t="n">
        <x:v>36497</x:v>
      </x:c>
      <x:c r="BV424" s="11" t="n">
        <x:v>603999</x:v>
      </x:c>
      <x:c r="BW424" s="11" t="n">
        <x:v>191888</x:v>
      </x:c>
      <x:c r="BX424" s="11" t="n">
        <x:v>68379</x:v>
      </x:c>
      <x:c r="BY424" s="11" t="n">
        <x:v>291475</x:v>
      </x:c>
      <x:c r="BZ424" s="11" t="n">
        <x:v>0</x:v>
      </x:c>
      <x:c r="CA424" s="11" t="n">
        <x:v>728420</x:v>
      </x:c>
      <x:c r="CB424" s="11" t="n">
        <x:v>0</x:v>
      </x:c>
      <x:c r="CC424" s="11" t="n">
        <x:v>1071774</x:v>
      </x:c>
      <x:c r="CD424" s="11" t="n">
        <x:v>475052</x:v>
      </x:c>
      <x:c r="CE424" s="11" t="n">
        <x:v>213853</x:v>
      </x:c>
      <x:c r="CF424" s="11" t="n">
        <x:v>0</x:v>
      </x:c>
      <x:c r="CG424" s="11" t="n">
        <x:v>40354</x:v>
      </x:c>
      <x:c r="CH424" s="11" t="n">
        <x:v>1430429</x:v>
      </x:c>
      <x:c r="CI424" s="11" t="n">
        <x:v>1405466</x:v>
      </x:c>
      <x:c r="CJ424" s="11" t="n">
        <x:v>307584</x:v>
      </x:c>
      <x:c r="CK424" s="11" t="n">
        <x:v>84539</x:v>
      </x:c>
      <x:c r="CL424" s="11" t="n">
        <x:v>0</x:v>
      </x:c>
      <x:c r="CM424" s="11"/>
      <x:c r="CN424" s="11" t="n">
        <x:v>0</x:v>
      </x:c>
      <x:c r="CO424" s="11" t="n">
        <x:v>0</x:v>
      </x:c>
      <x:c r="CP424" s="8"/>
      <x:c r="CQ424" s="8"/>
    </x:row>
    <x:row r="425">
      <x:c r="A425" s="8" t="str">
        <x:v>Logan Lake|2020</x:v>
      </x:c>
      <x:c r="B425" s="8" t="str">
        <x:v>logan-lake-d</x:v>
      </x:c>
      <x:c r="C425" s="8" t="str">
        <x:v>Logan Lake</x:v>
      </x:c>
      <x:c r="D425" s="8" t="str">
        <x:v>Logan Lake</x:v>
      </x:c>
      <x:c r="E425" s="8" t="str">
        <x:v>D</x:v>
      </x:c>
      <x:c r="F425" s="8" t="str">
        <x:v>TNR</x:v>
      </x:c>
      <x:c r="G425" s="9" t="n">
        <x:v>2020</x:v>
      </x:c>
      <x:c r="H425" s="10" t="n">
        <x:v>2292</x:v>
      </x:c>
      <x:c r="I425" s="8" t="str">
        <x:v>Under 5,000</x:v>
      </x:c>
      <x:c r="J425" s="11" t="n">
        <x:v>6759356</x:v>
      </x:c>
      <x:c r="K425" s="11" t="n">
        <x:v>5628226</x:v>
      </x:c>
      <x:c r="L425" s="11" t="n">
        <x:v>1131130</x:v>
      </x:c>
      <x:c r="M425" s="12" t="n">
        <x:v>0.16734286520786892</x:v>
      </x:c>
      <x:c r="N425" s="11" t="n">
        <x:v>3967050</x:v>
      </x:c>
      <x:c r="O425" s="11" t="n">
        <x:v>1177905</x:v>
      </x:c>
      <x:c r="P425" s="11" t="n">
        <x:v>1742887</x:v>
      </x:c>
      <x:c r="Q425" s="11" t="n">
        <x:v>-128486</x:v>
      </x:c>
      <x:c r="R425" s="11" t="n">
        <x:v>4714531</x:v>
      </x:c>
      <x:c r="S425" s="11" t="n">
        <x:v>857801</x:v>
      </x:c>
      <x:c r="T425" s="11" t="n">
        <x:v>6431070</x:v>
      </x:c>
      <x:c r="U425" s="11" t="n">
        <x:v>3256534</x:v>
      </x:c>
      <x:c r="V425" s="11" t="n">
        <x:v>8519858</x:v>
      </x:c>
      <x:c r="W425" s="11" t="n">
        <x:v>1465111</x:v>
      </x:c>
      <x:c r="X425" s="11" t="n">
        <x:v>1598092</x:v>
      </x:c>
      <x:c r="Y425" s="11" t="n">
        <x:v>0</x:v>
      </x:c>
      <x:c r="Z425" s="11" t="n">
        <x:v>216568</x:v>
      </x:c>
      <x:c r="AA425" s="11" t="n">
        <x:v>1349575</x:v>
      </x:c>
      <x:c r="AB425" s="11" t="n">
        <x:v>55894</x:v>
      </x:c>
      <x:c r="AC425" s="11" t="n">
        <x:v>272462</x:v>
      </x:c>
      <x:c r="AD425" s="11" t="n">
        <x:v>1188399</x:v>
      </x:c>
      <x:c r="AE425" s="11" t="n">
        <x:v>915937</x:v>
      </x:c>
      <x:c r="AF425" s="11" t="n">
        <x:v>4753597</x:v>
      </x:c>
      <x:c r="AG425" s="11" t="n">
        <x:v>36754953</x:v>
      </x:c>
      <x:c r="AH425" s="11" t="n">
        <x:v>18275339</x:v>
      </x:c>
      <x:c r="AI425" s="11" t="n">
        <x:v>18479614</x:v>
      </x:c>
      <x:c r="AJ425" s="11" t="n">
        <x:v>487015</x:v>
      </x:c>
      <x:c r="AK425" s="11" t="n">
        <x:v>3245485</x:v>
      </x:c>
      <x:c r="AL425" s="11" t="n">
        <x:v>0</x:v>
      </x:c>
      <x:c r="AM425" s="12" t="n">
        <x:v>1</x:v>
      </x:c>
      <x:c r="AN425" s="12" t="n">
        <x:v>0.15005923613882055</x:v>
      </x:c>
      <x:c r="AO425" s="11" t="n">
        <x:v>6059647</x:v>
      </x:c>
      <x:c r="AP425" s="11" t="n">
        <x:v>5858595</x:v>
      </x:c>
      <x:c r="AQ425" s="12" t="n">
        <x:v>0.9668211696159859</x:v>
      </x:c>
      <x:c r="AR425" s="11" t="n">
        <x:v>2949.108202443281</x:v>
      </x:c>
      <x:c r="AS425" s="11" t="n">
        <x:v>2455.5959860383946</x:v>
      </x:c>
      <x:c r="AT425" s="11" t="n">
        <x:v>3717.2155322862127</x:v>
      </x:c>
      <x:c r="AU425" s="11" t="n">
        <x:v>639.228184991274</x:v>
      </x:c>
      <x:c r="AV425" s="11" t="n">
        <x:v>588.8198080279232</x:v>
      </x:c>
      <x:c r="AW425" s="11" t="n">
        <x:v>1.9748204686332156</x:v>
      </x:c>
      <x:c r="AX425" s="12" t="n">
        <x:v>0.7707318838201648</x:v>
      </x:c>
      <x:c r="AY425" s="11"/>
      <x:c r="AZ425" s="11"/>
      <x:c r="BA425" s="11"/>
      <x:c r="BB425" s="11"/>
      <x:c r="BC425" s="11"/>
      <x:c r="BD425" s="11"/>
      <x:c r="BE425" s="11"/>
      <x:c r="BF425" s="11"/>
      <x:c r="BG425" s="11"/>
      <x:c r="BH425" s="11"/>
      <x:c r="BI425" s="11"/>
      <x:c r="BJ425" s="11"/>
      <x:c r="BK425" s="12"/>
      <x:c r="BL425" s="12"/>
      <x:c r="BM425" s="12"/>
      <x:c r="BN425" s="12"/>
      <x:c r="BO425" s="12"/>
      <x:c r="BP425" s="12"/>
      <x:c r="BQ425" s="12"/>
      <x:c r="BR425" s="12"/>
      <x:c r="BS425" s="12"/>
      <x:c r="BT425" s="12"/>
      <x:c r="BU425" s="11" t="n">
        <x:v>32704</x:v>
      </x:c>
      <x:c r="BV425" s="11" t="n">
        <x:v>1595434</x:v>
      </x:c>
      <x:c r="BW425" s="11" t="n">
        <x:v>114749</x:v>
      </x:c>
      <x:c r="BX425" s="11" t="n">
        <x:v>31522</x:v>
      </x:c>
      <x:c r="BY425" s="11" t="n">
        <x:v>-727144</x:v>
      </x:c>
      <x:c r="BZ425" s="11" t="n">
        <x:v>0</x:v>
      </x:c>
      <x:c r="CA425" s="11" t="n">
        <x:v>567136</x:v>
      </x:c>
      <x:c r="CB425" s="11" t="n">
        <x:v>0</x:v>
      </x:c>
      <x:c r="CC425" s="11" t="n">
        <x:v>1200585</x:v>
      </x:c>
      <x:c r="CD425" s="11" t="n">
        <x:v>470931</x:v>
      </x:c>
      <x:c r="CE425" s="11" t="n">
        <x:v>186134</x:v>
      </x:c>
      <x:c r="CF425" s="11" t="n">
        <x:v>0</x:v>
      </x:c>
      <x:c r="CG425" s="11" t="n">
        <x:v>600538</x:v>
      </x:c>
      <x:c r="CH425" s="11" t="n">
        <x:v>742911</x:v>
      </x:c>
      <x:c r="CI425" s="11" t="n">
        <x:v>1191599</x:v>
      </x:c>
      <x:c r="CJ425" s="11" t="n">
        <x:v>268956</x:v>
      </x:c>
      <x:c r="CK425" s="11" t="n">
        <x:v>108771</x:v>
      </x:c>
      <x:c r="CL425" s="11" t="n">
        <x:v>0</x:v>
      </x:c>
      <x:c r="CM425" s="11"/>
      <x:c r="CN425" s="11" t="n">
        <x:v>0</x:v>
      </x:c>
      <x:c r="CO425" s="11" t="n">
        <x:v>0</x:v>
      </x:c>
      <x:c r="CP425" s="8"/>
      <x:c r="CQ425" s="8"/>
    </x:row>
    <x:row r="426">
      <x:c r="A426" s="8" t="str">
        <x:v>Logan Lake|2021</x:v>
      </x:c>
      <x:c r="B426" s="8" t="str">
        <x:v>logan-lake-d</x:v>
      </x:c>
      <x:c r="C426" s="8" t="str">
        <x:v>Logan Lake</x:v>
      </x:c>
      <x:c r="D426" s="8" t="str">
        <x:v>Logan Lake</x:v>
      </x:c>
      <x:c r="E426" s="8" t="str">
        <x:v>D</x:v>
      </x:c>
      <x:c r="F426" s="8" t="str">
        <x:v>TNR</x:v>
      </x:c>
      <x:c r="G426" s="9" t="n">
        <x:v>2021</x:v>
      </x:c>
      <x:c r="H426" s="10" t="n">
        <x:v>2272</x:v>
      </x:c>
      <x:c r="I426" s="8" t="str">
        <x:v>Under 5,000</x:v>
      </x:c>
      <x:c r="J426" s="11" t="n">
        <x:v>5971195</x:v>
      </x:c>
      <x:c r="K426" s="11" t="n">
        <x:v>5489989</x:v>
      </x:c>
      <x:c r="L426" s="11" t="n">
        <x:v>481206</x:v>
      </x:c>
      <x:c r="M426" s="12" t="n">
        <x:v>0.08058788902388886</x:v>
      </x:c>
      <x:c r="N426" s="11" t="n">
        <x:v>4056313</x:v>
      </x:c>
      <x:c r="O426" s="11" t="n">
        <x:v>1002915</x:v>
      </x:c>
      <x:c r="P426" s="11" t="n">
        <x:v>1156007</x:v>
      </x:c>
      <x:c r="Q426" s="11" t="n">
        <x:v>-244040</x:v>
      </x:c>
      <x:c r="R426" s="11" t="n">
        <x:v>4538764</x:v>
      </x:c>
      <x:c r="S426" s="11" t="n">
        <x:v>895331</x:v>
      </x:c>
      <x:c r="T426" s="11" t="n">
        <x:v>7051178</x:v>
      </x:c>
      <x:c r="U426" s="11" t="n">
        <x:v>3264411</x:v>
      </x:c>
      <x:c r="V426" s="11" t="n">
        <x:v>8383946</x:v>
      </x:c>
      <x:c r="W426" s="11" t="n">
        <x:v>1455059</x:v>
      </x:c>
      <x:c r="X426" s="11" t="n">
        <x:v>1349575</x:v>
      </x:c>
      <x:c r="Y426" s="11" t="n">
        <x:v>0</x:v>
      </x:c>
      <x:c r="Z426" s="11" t="n">
        <x:v>216568</x:v>
      </x:c>
      <x:c r="AA426" s="11" t="n">
        <x:v>1085775</x:v>
      </x:c>
      <x:c r="AB426" s="11" t="n">
        <x:v>55894</x:v>
      </x:c>
      <x:c r="AC426" s="11" t="n">
        <x:v>272462</x:v>
      </x:c>
      <x:c r="AD426" s="11" t="n">
        <x:v>1196675</x:v>
      </x:c>
      <x:c r="AE426" s="11" t="n">
        <x:v>924213</x:v>
      </x:c>
      <x:c r="AF426" s="11" t="n">
        <x:v>4786699</x:v>
      </x:c>
      <x:c r="AG426" s="11" t="n">
        <x:v>38205478</x:v>
      </x:c>
      <x:c r="AH426" s="11" t="n">
        <x:v>19111863</x:v>
      </x:c>
      <x:c r="AI426" s="11" t="n">
        <x:v>19093615</x:v>
      </x:c>
      <x:c r="AJ426" s="11" t="n">
        <x:v>1515837</x:v>
      </x:c>
      <x:c r="AK426" s="11" t="n">
        <x:v>3245485</x:v>
      </x:c>
      <x:c r="AL426" s="11" t="n">
        <x:v>0</x:v>
      </x:c>
      <x:c r="AM426" s="12" t="n">
        <x:v>1</x:v>
      </x:c>
      <x:c r="AN426" s="12" t="n">
        <x:v>0.46706023907058575</x:v>
      </x:c>
      <x:c r="AO426" s="11" t="n">
        <x:v>6465917</x:v>
      </x:c>
      <x:c r="AP426" s="11" t="n">
        <x:v>6325720</x:v>
      </x:c>
      <x:c r="AQ426" s="12" t="n">
        <x:v>0.9783175379455072</x:v>
      </x:c>
      <x:c r="AR426" s="11" t="n">
        <x:v>2628.166813380282</x:v>
      </x:c>
      <x:c r="AS426" s="11" t="n">
        <x:v>2416.368397887324</x:v>
      </x:c>
      <x:c r="AT426" s="11" t="n">
        <x:v>3690.1170774647885</x:v>
      </x:c>
      <x:c r="AU426" s="11" t="n">
        <x:v>640.4308978873239</x:v>
      </x:c>
      <x:c r="AV426" s="11" t="n">
        <x:v>477.89392605633805</x:v>
      </x:c>
      <x:c r="AW426" s="11" t="n">
        <x:v>2.16001539021894</x:v>
      </x:c>
      <x:c r="AX426" s="12" t="n">
        <x:v>0.7723174629703136</x:v>
      </x:c>
      <x:c r="AY426" s="11"/>
      <x:c r="AZ426" s="11"/>
      <x:c r="BA426" s="11"/>
      <x:c r="BB426" s="11"/>
      <x:c r="BC426" s="11"/>
      <x:c r="BD426" s="11"/>
      <x:c r="BE426" s="11"/>
      <x:c r="BF426" s="11"/>
      <x:c r="BG426" s="11"/>
      <x:c r="BH426" s="11"/>
      <x:c r="BI426" s="11"/>
      <x:c r="BJ426" s="11"/>
      <x:c r="BK426" s="12"/>
      <x:c r="BL426" s="12"/>
      <x:c r="BM426" s="12"/>
      <x:c r="BN426" s="12"/>
      <x:c r="BO426" s="12"/>
      <x:c r="BP426" s="12"/>
      <x:c r="BQ426" s="12"/>
      <x:c r="BR426" s="12"/>
      <x:c r="BS426" s="12"/>
      <x:c r="BT426" s="12"/>
      <x:c r="BU426" s="11" t="n">
        <x:v>25102</x:v>
      </x:c>
      <x:c r="BV426" s="11" t="n">
        <x:v>1079968</x:v>
      </x:c>
      <x:c r="BW426" s="11" t="n">
        <x:v>50937</x:v>
      </x:c>
      <x:c r="BX426" s="11" t="n">
        <x:v>14916</x:v>
      </x:c>
      <x:c r="BY426" s="11" t="n">
        <x:v>-1055517</x:v>
      </x:c>
      <x:c r="BZ426" s="11" t="n">
        <x:v>0</x:v>
      </x:c>
      <x:c r="CA426" s="11" t="n">
        <x:v>796561</x:v>
      </x:c>
      <x:c r="CB426" s="11" t="n">
        <x:v>0</x:v>
      </x:c>
      <x:c r="CC426" s="11" t="n">
        <x:v>1072717</x:v>
      </x:c>
      <x:c r="CD426" s="11" t="n">
        <x:v>455303</x:v>
      </x:c>
      <x:c r="CE426" s="11" t="n">
        <x:v>185442</x:v>
      </x:c>
      <x:c r="CF426" s="11" t="n">
        <x:v>0</x:v>
      </x:c>
      <x:c r="CG426" s="11" t="n">
        <x:v>706494</x:v>
      </x:c>
      <x:c r="CH426" s="11" t="n">
        <x:v>697064</x:v>
      </x:c>
      <x:c r="CI426" s="11" t="n">
        <x:v>1226920</x:v>
      </x:c>
      <x:c r="CJ426" s="11" t="n">
        <x:v>188895</x:v>
      </x:c>
      <x:c r="CK426" s="11" t="n">
        <x:v>58818</x:v>
      </x:c>
      <x:c r="CL426" s="11" t="n">
        <x:v>0</x:v>
      </x:c>
      <x:c r="CM426" s="11"/>
      <x:c r="CN426" s="11" t="n">
        <x:v>3005</x:v>
      </x:c>
      <x:c r="CO426" s="11" t="n">
        <x:v>0</x:v>
      </x:c>
      <x:c r="CP426" s="8"/>
      <x:c r="CQ426" s="8"/>
    </x:row>
    <x:row r="427">
      <x:c r="A427" s="8" t="str">
        <x:v>Logan Lake|2022</x:v>
      </x:c>
      <x:c r="B427" s="8" t="str">
        <x:v>logan-lake-d</x:v>
      </x:c>
      <x:c r="C427" s="8" t="str">
        <x:v>Logan Lake</x:v>
      </x:c>
      <x:c r="D427" s="8" t="str">
        <x:v>Logan Lake</x:v>
      </x:c>
      <x:c r="E427" s="8" t="str">
        <x:v>D</x:v>
      </x:c>
      <x:c r="F427" s="8" t="str">
        <x:v>TNR</x:v>
      </x:c>
      <x:c r="G427" s="9" t="n">
        <x:v>2022</x:v>
      </x:c>
      <x:c r="H427" s="10" t="n">
        <x:v>2072</x:v>
      </x:c>
      <x:c r="I427" s="8" t="str">
        <x:v>Under 5,000</x:v>
      </x:c>
      <x:c r="J427" s="11" t="n">
        <x:v>7505319</x:v>
      </x:c>
      <x:c r="K427" s="11" t="n">
        <x:v>6530722</x:v>
      </x:c>
      <x:c r="L427" s="11" t="n">
        <x:v>974597</x:v>
      </x:c>
      <x:c r="M427" s="12" t="n">
        <x:v>0.1298541740864046</x:v>
      </x:c>
      <x:c r="N427" s="11" t="n">
        <x:v>4178436</x:v>
      </x:c>
      <x:c r="O427" s="11" t="n">
        <x:v>1066059</x:v>
      </x:c>
      <x:c r="P427" s="11" t="n">
        <x:v>1264473</x:v>
      </x:c>
      <x:c r="Q427" s="11" t="n">
        <x:v>996351</x:v>
      </x:c>
      <x:c r="R427" s="11" t="n">
        <x:v>5526923</x:v>
      </x:c>
      <x:c r="S427" s="11" t="n">
        <x:v>947905</x:v>
      </x:c>
      <x:c r="T427" s="11" t="n">
        <x:v>7473307</x:v>
      </x:c>
      <x:c r="U427" s="11" t="n">
        <x:v>3044681</x:v>
      </x:c>
      <x:c r="V427" s="11" t="n">
        <x:v>9500891</x:v>
      </x:c>
      <x:c r="W427" s="11" t="n">
        <x:v>774401</x:v>
      </x:c>
      <x:c r="X427" s="11" t="n">
        <x:v>1085775</x:v>
      </x:c>
      <x:c r="Y427" s="11" t="n">
        <x:v>0</x:v>
      </x:c>
      <x:c r="Z427" s="11" t="n">
        <x:v>216568</x:v>
      </x:c>
      <x:c r="AA427" s="11" t="n">
        <x:v>812741</x:v>
      </x:c>
      <x:c r="AB427" s="11" t="n">
        <x:v>55894</x:v>
      </x:c>
      <x:c r="AC427" s="11" t="n">
        <x:v>272462</x:v>
      </x:c>
      <x:c r="AD427" s="11" t="n">
        <x:v>1397162</x:v>
      </x:c>
      <x:c r="AE427" s="11" t="n">
        <x:v>1124700</x:v>
      </x:c>
      <x:c r="AF427" s="11" t="n">
        <x:v>5588646</x:v>
      </x:c>
      <x:c r="AG427" s="11" t="n">
        <x:v>38977265</x:v>
      </x:c>
      <x:c r="AH427" s="11" t="n">
        <x:v>20016881</x:v>
      </x:c>
      <x:c r="AI427" s="11" t="n">
        <x:v>18960384</x:v>
      </x:c>
      <x:c r="AJ427" s="11" t="n">
        <x:v>838685</x:v>
      </x:c>
      <x:c r="AK427" s="11" t="n">
        <x:v>3245485</x:v>
      </x:c>
      <x:c r="AL427" s="11" t="n">
        <x:v>0</x:v>
      </x:c>
      <x:c r="AM427" s="12" t="n">
        <x:v>1</x:v>
      </x:c>
      <x:c r="AN427" s="12" t="n">
        <x:v>0.2584159224276187</x:v>
      </x:c>
      <x:c r="AO427" s="11" t="n">
        <x:v>6634044</x:v>
      </x:c>
      <x:c r="AP427" s="11" t="n">
        <x:v>6571487</x:v>
      </x:c>
      <x:c r="AQ427" s="12" t="n">
        <x:v>0.9905703067389966</x:v>
      </x:c>
      <x:c r="AR427" s="11" t="n">
        <x:v>3622.2582046332045</x:v>
      </x:c>
      <x:c r="AS427" s="11" t="n">
        <x:v>3151.8928571428573</x:v>
      </x:c>
      <x:c r="AT427" s="11" t="n">
        <x:v>4585.372104247104</x:v>
      </x:c>
      <x:c r="AU427" s="11" t="n">
        <x:v>373.7456563706564</x:v>
      </x:c>
      <x:c r="AV427" s="11" t="n">
        <x:v>392.2495173745174</x:v>
      </x:c>
      <x:c r="AW427" s="11" t="n">
        <x:v>2.4545451559621516</x:v>
      </x:c>
      <x:c r="AX427" s="12" t="n">
        <x:v>0.8049889704987682</x:v>
      </x:c>
      <x:c r="AY427" s="11"/>
      <x:c r="AZ427" s="11"/>
      <x:c r="BA427" s="11"/>
      <x:c r="BB427" s="11"/>
      <x:c r="BC427" s="11"/>
      <x:c r="BD427" s="11"/>
      <x:c r="BE427" s="11"/>
      <x:c r="BF427" s="11"/>
      <x:c r="BG427" s="11"/>
      <x:c r="BH427" s="11"/>
      <x:c r="BI427" s="11"/>
      <x:c r="BJ427" s="11"/>
      <x:c r="BK427" s="12"/>
      <x:c r="BL427" s="12"/>
      <x:c r="BM427" s="12"/>
      <x:c r="BN427" s="12"/>
      <x:c r="BO427" s="12"/>
      <x:c r="BP427" s="12"/>
      <x:c r="BQ427" s="12"/>
      <x:c r="BR427" s="12"/>
      <x:c r="BS427" s="12"/>
      <x:c r="BT427" s="12"/>
      <x:c r="BU427" s="11" t="n">
        <x:v>0</x:v>
      </x:c>
      <x:c r="BV427" s="11" t="n">
        <x:v>638829</x:v>
      </x:c>
      <x:c r="BW427" s="11" t="n">
        <x:v>625644</x:v>
      </x:c>
      <x:c r="BX427" s="11" t="n">
        <x:v>121727</x:v>
      </x:c>
      <x:c r="BY427" s="11" t="n">
        <x:v>196772</x:v>
      </x:c>
      <x:c r="BZ427" s="11" t="n">
        <x:v>0</x:v>
      </x:c>
      <x:c r="CA427" s="11" t="n">
        <x:v>677852</x:v>
      </x:c>
      <x:c r="CB427" s="11" t="n">
        <x:v>0</x:v>
      </x:c>
      <x:c r="CC427" s="11" t="n">
        <x:v>1185576</x:v>
      </x:c>
      <x:c r="CD427" s="11" t="n">
        <x:v>672327</x:v>
      </x:c>
      <x:c r="CE427" s="11" t="n">
        <x:v>197595</x:v>
      </x:c>
      <x:c r="CF427" s="11" t="n">
        <x:v>0</x:v>
      </x:c>
      <x:c r="CG427" s="11" t="n">
        <x:v>1068244</x:v>
      </x:c>
      <x:c r="CH427" s="11" t="n">
        <x:v>683582</x:v>
      </x:c>
      <x:c r="CI427" s="11" t="n">
        <x:v>1421040</x:v>
      </x:c>
      <x:c r="CJ427" s="11" t="n">
        <x:v>206864</x:v>
      </x:c>
      <x:c r="CK427" s="11" t="n">
        <x:v>123578</x:v>
      </x:c>
      <x:c r="CL427" s="11" t="n">
        <x:v>0</x:v>
      </x:c>
      <x:c r="CM427" s="11"/>
      <x:c r="CN427" s="11" t="n">
        <x:v>24011</x:v>
      </x:c>
      <x:c r="CO427" s="11" t="n">
        <x:v>0</x:v>
      </x:c>
      <x:c r="CP427" s="8"/>
      <x:c r="CQ427" s="8"/>
    </x:row>
    <x:row r="428">
      <x:c r="A428" s="8" t="str">
        <x:v>Logan Lake|2023</x:v>
      </x:c>
      <x:c r="B428" s="8" t="str">
        <x:v>logan-lake-d</x:v>
      </x:c>
      <x:c r="C428" s="8" t="str">
        <x:v>Logan Lake</x:v>
      </x:c>
      <x:c r="D428" s="8" t="str">
        <x:v>Logan Lake</x:v>
      </x:c>
      <x:c r="E428" s="8" t="str">
        <x:v>D</x:v>
      </x:c>
      <x:c r="F428" s="8" t="str">
        <x:v>TNR</x:v>
      </x:c>
      <x:c r="G428" s="9" t="n">
        <x:v>2023</x:v>
      </x:c>
      <x:c r="H428" s="10" t="n">
        <x:v>2371</x:v>
      </x:c>
      <x:c r="I428" s="8" t="str">
        <x:v>Under 5,000</x:v>
      </x:c>
      <x:c r="J428" s="11" t="n">
        <x:v>9191427</x:v>
      </x:c>
      <x:c r="K428" s="11" t="n">
        <x:v>6759398</x:v>
      </x:c>
      <x:c r="L428" s="11" t="n">
        <x:v>2432029</x:v>
      </x:c>
      <x:c r="M428" s="12" t="n">
        <x:v>0.2645975429060145</x:v>
      </x:c>
      <x:c r="N428" s="11" t="n">
        <x:v>4416813</x:v>
      </x:c>
      <x:c r="O428" s="11" t="n">
        <x:v>1185634</x:v>
      </x:c>
      <x:c r="P428" s="11" t="n">
        <x:v>3212981</x:v>
      </x:c>
      <x:c r="Q428" s="11" t="n">
        <x:v>375999</x:v>
      </x:c>
      <x:c r="R428" s="11" t="n">
        <x:v>5750545</x:v>
      </x:c>
      <x:c r="S428" s="11" t="n">
        <x:v>952959</x:v>
      </x:c>
      <x:c r="T428" s="11" t="n">
        <x:v>11340447</x:v>
      </x:c>
      <x:c r="U428" s="11" t="n">
        <x:v>4043812</x:v>
      </x:c>
      <x:c r="V428" s="11" t="n">
        <x:v>11322126</x:v>
      </x:c>
      <x:c r="W428" s="11" t="n">
        <x:v>2525505</x:v>
      </x:c>
      <x:c r="X428" s="11" t="n">
        <x:v>812741</x:v>
      </x:c>
      <x:c r="Y428" s="11" t="n">
        <x:v>0</x:v>
      </x:c>
      <x:c r="Z428" s="11" t="n">
        <x:v>226559</x:v>
      </x:c>
      <x:c r="AA428" s="11" t="n">
        <x:v>530288</x:v>
      </x:c>
      <x:c r="AB428" s="11" t="n">
        <x:v>55894</x:v>
      </x:c>
      <x:c r="AC428" s="11" t="n">
        <x:v>282453</x:v>
      </x:c>
      <x:c r="AD428" s="11" t="n">
        <x:v>1569632</x:v>
      </x:c>
      <x:c r="AE428" s="11" t="n">
        <x:v>1287179</x:v>
      </x:c>
      <x:c r="AF428" s="11" t="n">
        <x:v>6278527</x:v>
      </x:c>
      <x:c r="AG428" s="11" t="n">
        <x:v>40544315</x:v>
      </x:c>
      <x:c r="AH428" s="11" t="n">
        <x:v>20969840</x:v>
      </x:c>
      <x:c r="AI428" s="11" t="n">
        <x:v>19574475</x:v>
      </x:c>
      <x:c r="AJ428" s="11" t="n">
        <x:v>1567050</x:v>
      </x:c>
      <x:c r="AK428" s="11" t="n">
        <x:v>22459979</x:v>
      </x:c>
      <x:c r="AL428" s="11" t="n">
        <x:v>0</x:v>
      </x:c>
      <x:c r="AM428" s="12" t="n">
        <x:v>1</x:v>
      </x:c>
      <x:c r="AN428" s="12" t="n">
        <x:v>0.0697707687081987</x:v>
      </x:c>
      <x:c r="AO428" s="11" t="n">
        <x:v>6870745</x:v>
      </x:c>
      <x:c r="AP428" s="11" t="n">
        <x:v>6758576</x:v>
      </x:c>
      <x:c r="AQ428" s="12" t="n">
        <x:v>0.9836744050317687</x:v>
      </x:c>
      <x:c r="AR428" s="11" t="n">
        <x:v>3876.6035428089413</x:v>
      </x:c>
      <x:c r="AS428" s="11" t="n">
        <x:v>2850.863770560945</x:v>
      </x:c>
      <x:c r="AT428" s="11" t="n">
        <x:v>4775.253479544496</x:v>
      </x:c>
      <x:c r="AU428" s="11" t="n">
        <x:v>1065.1644875579925</x:v>
      </x:c>
      <x:c r="AV428" s="11" t="n">
        <x:v>223.65584141712358</x:v>
      </x:c>
      <x:c r="AW428" s="11" t="n">
        <x:v>2.8043952092728346</x:v>
      </x:c>
      <x:c r="AX428" s="12" t="n">
        <x:v>0.8200514515504271</x:v>
      </x:c>
      <x:c r="AY428" s="11"/>
      <x:c r="AZ428" s="11"/>
      <x:c r="BA428" s="11"/>
      <x:c r="BB428" s="11"/>
      <x:c r="BC428" s="11"/>
      <x:c r="BD428" s="11"/>
      <x:c r="BE428" s="11"/>
      <x:c r="BF428" s="11"/>
      <x:c r="BG428" s="11"/>
      <x:c r="BH428" s="11"/>
      <x:c r="BI428" s="11"/>
      <x:c r="BJ428" s="11"/>
      <x:c r="BK428" s="12"/>
      <x:c r="BL428" s="12"/>
      <x:c r="BM428" s="12"/>
      <x:c r="BN428" s="12"/>
      <x:c r="BO428" s="12"/>
      <x:c r="BP428" s="12"/>
      <x:c r="BQ428" s="12"/>
      <x:c r="BR428" s="12"/>
      <x:c r="BS428" s="12"/>
      <x:c r="BT428" s="12"/>
      <x:c r="BU428" s="11" t="n">
        <x:v>11886</x:v>
      </x:c>
      <x:c r="BV428" s="11" t="n">
        <x:v>2781186</x:v>
      </x:c>
      <x:c r="BW428" s="11" t="n">
        <x:v>419909</x:v>
      </x:c>
      <x:c r="BX428" s="11" t="n">
        <x:v>349974</x:v>
      </x:c>
      <x:c r="BY428" s="11" t="n">
        <x:v>0</x:v>
      </x:c>
      <x:c r="BZ428" s="11" t="n">
        <x:v>0</x:v>
      </x:c>
      <x:c r="CA428" s="11" t="n">
        <x:v>26025</x:v>
      </x:c>
      <x:c r="CB428" s="11" t="n">
        <x:v>0</x:v>
      </x:c>
      <x:c r="CC428" s="11" t="n">
        <x:v>1452990</x:v>
      </x:c>
      <x:c r="CD428" s="11" t="n">
        <x:v>711493</x:v>
      </x:c>
      <x:c r="CE428" s="11" t="n">
        <x:v>198339</x:v>
      </x:c>
      <x:c r="CF428" s="11" t="n">
        <x:v>0</x:v>
      </x:c>
      <x:c r="CG428" s="11" t="n">
        <x:v>37821</x:v>
      </x:c>
      <x:c r="CH428" s="11" t="n">
        <x:v>796656</x:v>
      </x:c>
      <x:c r="CI428" s="11" t="n">
        <x:v>1552946</x:v>
      </x:c>
      <x:c r="CJ428" s="11" t="n">
        <x:v>231676</x:v>
      </x:c>
      <x:c r="CK428" s="11" t="n">
        <x:v>92495</x:v>
      </x:c>
      <x:c r="CL428" s="11" t="n">
        <x:v>0</x:v>
      </x:c>
      <x:c r="CM428" s="11" t="n">
        <x:v>0</x:v>
      </x:c>
      <x:c r="CN428" s="11" t="n">
        <x:v>732023</x:v>
      </x:c>
      <x:c r="CO428" s="11" t="n">
        <x:v>0</x:v>
      </x:c>
      <x:c r="CP428" s="8"/>
      <x:c r="CQ428" s="8"/>
    </x:row>
    <x:row r="429">
      <x:c r="A429" s="8" t="str">
        <x:v>Logan Lake|2024</x:v>
      </x:c>
      <x:c r="B429" s="8" t="str">
        <x:v>logan-lake-d</x:v>
      </x:c>
      <x:c r="C429" s="8" t="str">
        <x:v>Logan Lake</x:v>
      </x:c>
      <x:c r="D429" s="8" t="str">
        <x:v>Logan Lake</x:v>
      </x:c>
      <x:c r="E429" s="8" t="str">
        <x:v>D</x:v>
      </x:c>
      <x:c r="F429" s="8" t="str">
        <x:v>TNR</x:v>
      </x:c>
      <x:c r="G429" s="9" t="n">
        <x:v>2024</x:v>
      </x:c>
      <x:c r="H429" s="10" t="n">
        <x:v>2371</x:v>
      </x:c>
      <x:c r="I429" s="8" t="str">
        <x:v>Under 5,000</x:v>
      </x:c>
      <x:c r="J429" s="11" t="n">
        <x:v>10093185</x:v>
      </x:c>
      <x:c r="K429" s="11" t="n">
        <x:v>6431105</x:v>
      </x:c>
      <x:c r="L429" s="11" t="n">
        <x:v>3662080</x:v>
      </x:c>
      <x:c r="M429" s="12" t="n">
        <x:v>0.3628269966318858</x:v>
      </x:c>
      <x:c r="N429" s="11" t="n">
        <x:v>4585490</x:v>
      </x:c>
      <x:c r="O429" s="11" t="n">
        <x:v>1236693</x:v>
      </x:c>
      <x:c r="P429" s="11" t="n">
        <x:v>2698578</x:v>
      </x:c>
      <x:c r="Q429" s="11" t="n">
        <x:v>1572424</x:v>
      </x:c>
      <x:c r="R429" s="11" t="n">
        <x:v>5411217</x:v>
      </x:c>
      <x:c r="S429" s="11" t="n">
        <x:v>963994</x:v>
      </x:c>
      <x:c r="T429" s="11" t="n">
        <x:v>9626757</x:v>
      </x:c>
      <x:c r="U429" s="11" t="n">
        <x:v>2720924</x:v>
      </x:c>
      <x:c r="V429" s="11" t="n">
        <x:v>11866306</x:v>
      </x:c>
      <x:c r="W429" s="11" t="n">
        <x:v>3803905</x:v>
      </x:c>
      <x:c r="X429" s="11" t="n">
        <x:v>530288</x:v>
      </x:c>
      <x:c r="Y429" s="11" t="n">
        <x:v>0</x:v>
      </x:c>
      <x:c r="Z429" s="11" t="n">
        <x:v>216568</x:v>
      </x:c>
      <x:c r="AA429" s="11" t="n">
        <x:v>237670</x:v>
      </x:c>
      <x:c r="AB429" s="11" t="n">
        <x:v>55894</x:v>
      </x:c>
      <x:c r="AC429" s="11" t="n">
        <x:v>272462</x:v>
      </x:c>
      <x:c r="AD429" s="11" t="n">
        <x:v>1659072</x:v>
      </x:c>
      <x:c r="AE429" s="11" t="n">
        <x:v>1386610</x:v>
      </x:c>
      <x:c r="AF429" s="11" t="n">
        <x:v>6636288</x:v>
      </x:c>
      <x:c r="AG429" s="11" t="n">
        <x:v>44542565</x:v>
      </x:c>
      <x:c r="AH429" s="11" t="n">
        <x:v>21883395</x:v>
      </x:c>
      <x:c r="AI429" s="11" t="n">
        <x:v>22659170</x:v>
      </x:c>
      <x:c r="AJ429" s="11" t="n">
        <x:v>4051499</x:v>
      </x:c>
      <x:c r="AK429" s="11" t="n">
        <x:v>79828797</x:v>
      </x:c>
      <x:c r="AL429" s="11" t="n">
        <x:v>1956806</x:v>
      </x:c>
      <x:c r="AM429" s="12" t="n">
        <x:v>0.975487467260718</x:v>
      </x:c>
      <x:c r="AN429" s="12" t="n">
        <x:v>0.050752349430995436</x:v>
      </x:c>
      <x:c r="AO429" s="11" t="n">
        <x:v>7227355</x:v>
      </x:c>
      <x:c r="AP429" s="11" t="n">
        <x:v>7025537</x:v>
      </x:c>
      <x:c r="AQ429" s="12" t="n">
        <x:v>0.972075814734436</x:v>
      </x:c>
      <x:c r="AR429" s="11" t="n">
        <x:v>4256.9316743989875</x:v>
      </x:c>
      <x:c r="AS429" s="11" t="n">
        <x:v>2712.4019401096584</x:v>
      </x:c>
      <x:c r="AT429" s="11" t="n">
        <x:v>5004.768452129903</x:v>
      </x:c>
      <x:c r="AU429" s="11" t="n">
        <x:v>1604.3462673977224</x:v>
      </x:c>
      <x:c r="AV429" s="11" t="n">
        <x:v>100.24040489245044</x:v>
      </x:c>
      <x:c r="AW429" s="11" t="n">
        <x:v>3.5380470016803116</x:v>
      </x:c>
      <x:c r="AX429" s="12" t="n">
        <x:v>0.8357744570458666</x:v>
      </x:c>
      <x:c r="AY429" s="11" t="n">
        <x:v>4486.511144130758</x:v>
      </x:c>
      <x:c r="AZ429" s="11" t="n">
        <x:v>3546.5079302077975</x:v>
      </x:c>
      <x:c r="BA429" s="11" t="n">
        <x:v>3557.844717668488</x:v>
      </x:c>
      <x:c r="BB429" s="11" t="n">
        <x:v>2783.665107049771</x:v>
      </x:c>
      <x:c r="BC429" s="11" t="n">
        <x:v>5496.677373974208</x:v>
      </x:c>
      <x:c r="BD429" s="11" t="n">
        <x:v>2437.8724475115623</x:v>
      </x:c>
      <x:c r="BE429" s="11" t="n">
        <x:v>3386.4506393861893</x:v>
      </x:c>
      <x:c r="BF429" s="11" t="n">
        <x:v>1604.3462673977224</x:v>
      </x:c>
      <x:c r="BG429" s="11" t="n">
        <x:v>624.7436119532265</x:v>
      </x:c>
      <x:c r="BH429" s="11" t="n">
        <x:v>518.5374381567245</x:v>
      </x:c>
      <x:c r="BI429" s="11" t="n">
        <x:v>3.324657351485151</x:v>
      </x:c>
      <x:c r="BJ429" s="11" t="n">
        <x:v>1.7099330852451193</x:v>
      </x:c>
      <x:c r="BK429" s="12" t="n">
        <x:v>0.02521828600111612</x:v>
      </x:c>
      <x:c r="BL429" s="12" t="n">
        <x:v>0.02529861000232605</x:v>
      </x:c>
      <x:c r="BM429" s="12" t="n">
        <x:v>0.9816336034641139</x:v>
      </x:c>
      <x:c r="BN429" s="12" t="n">
        <x:v>0.9815511712696461</x:v>
      </x:c>
      <x:c r="BO429" s="12" t="n">
        <x:v>0.8531878894527055</x:v>
      </x:c>
      <x:c r="BP429" s="12" t="n">
        <x:v>0.8619101997275483</x:v>
      </x:c>
      <x:c r="BQ429" s="12" t="n">
        <x:v>0.9614729661922712</x:v>
      </x:c>
      <x:c r="BR429" s="12" t="n">
        <x:v>0.9623635142836453</x:v>
      </x:c>
      <x:c r="BS429" s="12" t="n">
        <x:v>0.23352896680225554</x:v>
      </x:c>
      <x:c r="BT429" s="12" t="n">
        <x:v>0.19976549769108282</x:v>
      </x:c>
      <x:c r="BU429" s="11" t="n">
        <x:v>1050178</x:v>
      </x:c>
      <x:c r="BV429" s="11" t="n">
        <x:v>1344706</x:v>
      </x:c>
      <x:c r="BW429" s="11" t="n">
        <x:v>303694</x:v>
      </x:c>
      <x:c r="BX429" s="11" t="n">
        <x:v>464455</x:v>
      </x:c>
      <x:c r="BY429" s="11" t="n">
        <x:v>990836</x:v>
      </x:c>
      <x:c r="BZ429" s="11" t="n">
        <x:v>0</x:v>
      </x:c>
      <x:c r="CA429" s="11" t="n">
        <x:v>117133</x:v>
      </x:c>
      <x:c r="CB429" s="11" t="n">
        <x:v>0</x:v>
      </x:c>
      <x:c r="CC429" s="11" t="n">
        <x:v>1468077</x:v>
      </x:c>
      <x:c r="CD429" s="11" t="n">
        <x:v>724927</x:v>
      </x:c>
      <x:c r="CE429" s="11" t="n">
        <x:v>215997</x:v>
      </x:c>
      <x:c r="CF429" s="11" t="n">
        <x:v>0</x:v>
      </x:c>
      <x:c r="CG429" s="11" t="n">
        <x:v>74930</x:v>
      </x:c>
      <x:c r="CH429" s="11" t="n">
        <x:v>881148</x:v>
      </x:c>
      <x:c r="CI429" s="11" t="n">
        <x:v>1678224</x:v>
      </x:c>
      <x:c r="CJ429" s="11" t="n">
        <x:v>261381</x:v>
      </x:c>
      <x:c r="CK429" s="11" t="n">
        <x:v>156093</x:v>
      </x:c>
      <x:c r="CL429" s="11" t="n">
        <x:v>3524</x:v>
      </x:c>
      <x:c r="CM429" s="11" t="n">
        <x:v>0</x:v>
      </x:c>
      <x:c r="CN429" s="11" t="n">
        <x:v>2810</x:v>
      </x:c>
      <x:c r="CO429" s="11" t="n">
        <x:v>0</x:v>
      </x:c>
      <x:c r="CP429" s="8"/>
      <x:c r="CQ429" s="8"/>
    </x:row>
    <x:row r="430">
      <x:c r="A430" s="8" t="str">
        <x:v>Lumby|2019</x:v>
      </x:c>
      <x:c r="B430" s="8" t="str">
        <x:v>lumby-v</x:v>
      </x:c>
      <x:c r="C430" s="8" t="str">
        <x:v>Lumby</x:v>
      </x:c>
      <x:c r="D430" s="8" t="str">
        <x:v>Lumby</x:v>
      </x:c>
      <x:c r="E430" s="8" t="str">
        <x:v>V</x:v>
      </x:c>
      <x:c r="F430" s="8" t="str">
        <x:v>NOK</x:v>
      </x:c>
      <x:c r="G430" s="9" t="n">
        <x:v>2019</x:v>
      </x:c>
      <x:c r="H430" s="10" t="n">
        <x:v>1984</x:v>
      </x:c>
      <x:c r="I430" s="8" t="str">
        <x:v>Under 5,000</x:v>
      </x:c>
      <x:c r="J430" s="11" t="n">
        <x:v>5414528</x:v>
      </x:c>
      <x:c r="K430" s="11" t="n">
        <x:v>5085002</x:v>
      </x:c>
      <x:c r="L430" s="11" t="n">
        <x:v>329526</x:v>
      </x:c>
      <x:c r="M430" s="12" t="n">
        <x:v>0.060859598472849344</x:v>
      </x:c>
      <x:c r="N430" s="11" t="n">
        <x:v>984829</x:v>
      </x:c>
      <x:c r="O430" s="11" t="n">
        <x:v>1289903</x:v>
      </x:c>
      <x:c r="P430" s="11" t="n">
        <x:v>2726280</x:v>
      </x:c>
      <x:c r="Q430" s="11" t="n">
        <x:v>413516</x:v>
      </x:c>
      <x:c r="R430" s="11" t="n">
        <x:v>4406760</x:v>
      </x:c>
      <x:c r="S430" s="11" t="n">
        <x:v>653577</x:v>
      </x:c>
      <x:c r="T430" s="11" t="n">
        <x:v>2168747</x:v>
      </x:c>
      <x:c r="U430" s="11" t="n">
        <x:v>2002686</x:v>
      </x:c>
      <x:c r="V430" s="11" t="n">
        <x:v>3610510</x:v>
      </x:c>
      <x:c r="W430" s="11" t="n">
        <x:v>461828</x:v>
      </x:c>
      <x:c r="X430" s="11" t="n">
        <x:v>416015</x:v>
      </x:c>
      <x:c r="Y430" s="11" t="n">
        <x:v>0</x:v>
      </x:c>
      <x:c r="Z430" s="11" t="n">
        <x:v>25056</x:v>
      </x:c>
      <x:c r="AA430" s="11" t="n">
        <x:v>371135</x:v>
      </x:c>
      <x:c r="AB430" s="11" t="n">
        <x:v>24665</x:v>
      </x:c>
      <x:c r="AC430" s="11" t="n">
        <x:v>49721</x:v>
      </x:c>
      <x:c r="AD430" s="11" t="n">
        <x:v>684701</x:v>
      </x:c>
      <x:c r="AE430" s="11" t="n">
        <x:v>634980</x:v>
      </x:c>
      <x:c r="AF430" s="11" t="n">
        <x:v>2738803</x:v>
      </x:c>
      <x:c r="AG430" s="11" t="n">
        <x:v>29448751</x:v>
      </x:c>
      <x:c r="AH430" s="11" t="n">
        <x:v>12982564</x:v>
      </x:c>
      <x:c r="AI430" s="11" t="n">
        <x:v>16466187</x:v>
      </x:c>
      <x:c r="AJ430" s="11" t="n">
        <x:v>716018</x:v>
      </x:c>
      <x:c r="AK430" s="11" t="n">
        <x:v>1292337</x:v>
      </x:c>
      <x:c r="AL430" s="11" t="n">
        <x:v>0</x:v>
      </x:c>
      <x:c r="AM430" s="12" t="n">
        <x:v>1</x:v>
      </x:c>
      <x:c r="AN430" s="12" t="n">
        <x:v>0.5540489825796212</x:v>
      </x:c>
      <x:c r="AO430" s="11" t="n">
        <x:v>2661771</x:v>
      </x:c>
      <x:c r="AP430" s="11" t="n">
        <x:v>2569677</x:v>
      </x:c>
      <x:c r="AQ430" s="12" t="n">
        <x:v>0.9654012309849345</x:v>
      </x:c>
      <x:c r="AR430" s="11" t="n">
        <x:v>2729.0967741935483</x:v>
      </x:c>
      <x:c r="AS430" s="11" t="n">
        <x:v>2563.0050403225805</x:v>
      </x:c>
      <x:c r="AT430" s="11" t="n">
        <x:v>1819.813508064516</x:v>
      </x:c>
      <x:c r="AU430" s="11" t="n">
        <x:v>232.77620967741936</x:v>
      </x:c>
      <x:c r="AV430" s="11" t="n">
        <x:v>187.0640120967742</x:v>
      </x:c>
      <x:c r="AW430" s="11" t="n">
        <x:v>1.082919139595523</x:v>
      </x:c>
      <x:c r="AX430" s="12" t="n">
        <x:v>0.9273829014416511</x:v>
      </x:c>
      <x:c r="AY430" s="11"/>
      <x:c r="AZ430" s="11"/>
      <x:c r="BA430" s="11"/>
      <x:c r="BB430" s="11"/>
      <x:c r="BC430" s="11"/>
      <x:c r="BD430" s="11"/>
      <x:c r="BE430" s="11"/>
      <x:c r="BF430" s="11"/>
      <x:c r="BG430" s="11"/>
      <x:c r="BH430" s="11"/>
      <x:c r="BI430" s="11"/>
      <x:c r="BJ430" s="11"/>
      <x:c r="BK430" s="12"/>
      <x:c r="BL430" s="12"/>
      <x:c r="BM430" s="12"/>
      <x:c r="BN430" s="12"/>
      <x:c r="BO430" s="12"/>
      <x:c r="BP430" s="12"/>
      <x:c r="BQ430" s="12"/>
      <x:c r="BR430" s="12"/>
      <x:c r="BS430" s="12"/>
      <x:c r="BT430" s="12"/>
      <x:c r="BU430" s="11" t="n">
        <x:v>0</x:v>
      </x:c>
      <x:c r="BV430" s="11" t="n">
        <x:v>2462388</x:v>
      </x:c>
      <x:c r="BW430" s="11" t="n">
        <x:v>263892</x:v>
      </x:c>
      <x:c r="BX430" s="11" t="n">
        <x:v>78157</x:v>
      </x:c>
      <x:c r="BY430" s="11" t="n">
        <x:v>335359</x:v>
      </x:c>
      <x:c r="BZ430" s="11" t="n">
        <x:v>0</x:v>
      </x:c>
      <x:c r="CA430" s="11" t="n">
        <x:v>0</x:v>
      </x:c>
      <x:c r="CB430" s="11" t="n">
        <x:v>0</x:v>
      </x:c>
      <x:c r="CC430" s="11" t="n">
        <x:v>826763</x:v>
      </x:c>
      <x:c r="CD430" s="11" t="n">
        <x:v>121306</x:v>
      </x:c>
      <x:c r="CE430" s="11" t="n">
        <x:v>80592</x:v>
      </x:c>
      <x:c r="CF430" s="11" t="n">
        <x:v>24156</x:v>
      </x:c>
      <x:c r="CG430" s="11" t="n">
        <x:v>365523</x:v>
      </x:c>
      <x:c r="CH430" s="11" t="n">
        <x:v>725094</x:v>
      </x:c>
      <x:c r="CI430" s="11" t="n">
        <x:v>181181</x:v>
      </x:c>
      <x:c r="CJ430" s="11" t="n">
        <x:v>257757</x:v>
      </x:c>
      <x:c r="CK430" s="11" t="n">
        <x:v>283673</x:v>
      </x:c>
      <x:c r="CL430" s="11" t="n">
        <x:v>1516226</x:v>
      </x:c>
      <x:c r="CM430" s="11"/>
      <x:c r="CN430" s="11" t="n">
        <x:v>49154</x:v>
      </x:c>
      <x:c r="CO430" s="11" t="n">
        <x:v>0</x:v>
      </x:c>
      <x:c r="CP430" s="8"/>
      <x:c r="CQ430" s="8"/>
    </x:row>
    <x:row r="431">
      <x:c r="A431" s="8" t="str">
        <x:v>Lumby|2020</x:v>
      </x:c>
      <x:c r="B431" s="8" t="str">
        <x:v>lumby-v</x:v>
      </x:c>
      <x:c r="C431" s="8" t="str">
        <x:v>Lumby</x:v>
      </x:c>
      <x:c r="D431" s="8" t="str">
        <x:v>Lumby</x:v>
      </x:c>
      <x:c r="E431" s="8" t="str">
        <x:v>V</x:v>
      </x:c>
      <x:c r="F431" s="8" t="str">
        <x:v>NOK</x:v>
      </x:c>
      <x:c r="G431" s="9" t="n">
        <x:v>2020</x:v>
      </x:c>
      <x:c r="H431" s="10" t="n">
        <x:v>2014</x:v>
      </x:c>
      <x:c r="I431" s="8" t="str">
        <x:v>Under 5,000</x:v>
      </x:c>
      <x:c r="J431" s="11" t="n">
        <x:v>4785329</x:v>
      </x:c>
      <x:c r="K431" s="11" t="n">
        <x:v>3667668</x:v>
      </x:c>
      <x:c r="L431" s="11" t="n">
        <x:v>1117661</x:v>
      </x:c>
      <x:c r="M431" s="12" t="n">
        <x:v>0.23355990779317368</x:v>
      </x:c>
      <x:c r="N431" s="11" t="n">
        <x:v>1024454</x:v>
      </x:c>
      <x:c r="O431" s="11" t="n">
        <x:v>1239493</x:v>
      </x:c>
      <x:c r="P431" s="11" t="n">
        <x:v>1756602</x:v>
      </x:c>
      <x:c r="Q431" s="11" t="n">
        <x:v>764780</x:v>
      </x:c>
      <x:c r="R431" s="11" t="n">
        <x:v>2979393</x:v>
      </x:c>
      <x:c r="S431" s="11" t="n">
        <x:v>666800</x:v>
      </x:c>
      <x:c r="T431" s="11" t="n">
        <x:v>5367840</x:v>
      </x:c>
      <x:c r="U431" s="11" t="n">
        <x:v>2011265</x:v>
      </x:c>
      <x:c r="V431" s="11" t="n">
        <x:v>4915494</x:v>
      </x:c>
      <x:c r="W431" s="11" t="n">
        <x:v>219993</x:v>
      </x:c>
      <x:c r="X431" s="11" t="n">
        <x:v>371135</x:v>
      </x:c>
      <x:c r="Y431" s="11" t="n">
        <x:v>0</x:v>
      </x:c>
      <x:c r="Z431" s="11" t="n">
        <x:v>25056</x:v>
      </x:c>
      <x:c r="AA431" s="11" t="n">
        <x:v>324211</x:v>
      </x:c>
      <x:c r="AB431" s="11" t="n">
        <x:v>21475</x:v>
      </x:c>
      <x:c r="AC431" s="11" t="n">
        <x:v>46531</x:v>
      </x:c>
      <x:c r="AD431" s="11" t="n">
        <x:v>683193</x:v>
      </x:c>
      <x:c r="AE431" s="11" t="n">
        <x:v>636662</x:v>
      </x:c>
      <x:c r="AF431" s="11" t="n">
        <x:v>2732772</x:v>
      </x:c>
      <x:c r="AG431" s="11" t="n">
        <x:v>29919570</x:v>
      </x:c>
      <x:c r="AH431" s="11" t="n">
        <x:v>13643257</x:v>
      </x:c>
      <x:c r="AI431" s="11" t="n">
        <x:v>16276313</x:v>
      </x:c>
      <x:c r="AJ431" s="11" t="n">
        <x:v>477765</x:v>
      </x:c>
      <x:c r="AK431" s="11" t="n">
        <x:v>66411542</x:v>
      </x:c>
      <x:c r="AL431" s="11" t="n">
        <x:v>1256071</x:v>
      </x:c>
      <x:c r="AM431" s="12" t="n">
        <x:v>0.9810865557074401</x:v>
      </x:c>
      <x:c r="AN431" s="12" t="n">
        <x:v>0.007194005523919321</x:v>
      </x:c>
      <x:c r="AO431" s="11" t="n">
        <x:v>2728471</x:v>
      </x:c>
      <x:c r="AP431" s="11" t="n">
        <x:v>2434939</x:v>
      </x:c>
      <x:c r="AQ431" s="12" t="n">
        <x:v>0.8924188675635548</x:v>
      </x:c>
      <x:c r="AR431" s="11" t="n">
        <x:v>2376.03227408143</x:v>
      </x:c>
      <x:c r="AS431" s="11" t="n">
        <x:v>1821.0863952333664</x:v>
      </x:c>
      <x:c r="AT431" s="11" t="n">
        <x:v>2440.6623634558096</x:v>
      </x:c>
      <x:c r="AU431" s="11" t="n">
        <x:v>109.23187686196624</x:v>
      </x:c>
      <x:c r="AV431" s="11" t="n">
        <x:v>160.97864945382324</x:v>
      </x:c>
      <x:c r="AW431" s="11" t="n">
        <x:v>2.6688874912057834</x:v>
      </x:c>
      <x:c r="AX431" s="12" t="n">
        <x:v>0.9318918665735744</x:v>
      </x:c>
      <x:c r="AY431" s="11"/>
      <x:c r="AZ431" s="11"/>
      <x:c r="BA431" s="11"/>
      <x:c r="BB431" s="11"/>
      <x:c r="BC431" s="11"/>
      <x:c r="BD431" s="11"/>
      <x:c r="BE431" s="11"/>
      <x:c r="BF431" s="11"/>
      <x:c r="BG431" s="11"/>
      <x:c r="BH431" s="11"/>
      <x:c r="BI431" s="11"/>
      <x:c r="BJ431" s="11"/>
      <x:c r="BK431" s="12"/>
      <x:c r="BL431" s="12"/>
      <x:c r="BM431" s="12"/>
      <x:c r="BN431" s="12"/>
      <x:c r="BO431" s="12"/>
      <x:c r="BP431" s="12"/>
      <x:c r="BQ431" s="12"/>
      <x:c r="BR431" s="12"/>
      <x:c r="BS431" s="12"/>
      <x:c r="BT431" s="12"/>
      <x:c r="BU431" s="11" t="n">
        <x:v>0</x:v>
      </x:c>
      <x:c r="BV431" s="11" t="n">
        <x:v>1624286</x:v>
      </x:c>
      <x:c r="BW431" s="11" t="n">
        <x:v>132316</x:v>
      </x:c>
      <x:c r="BX431" s="11" t="n">
        <x:v>80781</x:v>
      </x:c>
      <x:c r="BY431" s="11" t="n">
        <x:v>638999</x:v>
      </x:c>
      <x:c r="BZ431" s="11" t="n">
        <x:v>0</x:v>
      </x:c>
      <x:c r="CA431" s="11" t="n">
        <x:v>45000</x:v>
      </x:c>
      <x:c r="CB431" s="11" t="n">
        <x:v>0</x:v>
      </x:c>
      <x:c r="CC431" s="11" t="n">
        <x:v>867960</x:v>
      </x:c>
      <x:c r="CD431" s="11" t="n">
        <x:v>120316</x:v>
      </x:c>
      <x:c r="CE431" s="11" t="n">
        <x:v>94444</x:v>
      </x:c>
      <x:c r="CF431" s="11" t="n">
        <x:v>31470</x:v>
      </x:c>
      <x:c r="CG431" s="11" t="n">
        <x:v>185679</x:v>
      </x:c>
      <x:c r="CH431" s="11" t="n">
        <x:v>531166</x:v>
      </x:c>
      <x:c r="CI431" s="11" t="n">
        <x:v>257270</x:v>
      </x:c>
      <x:c r="CJ431" s="11" t="n">
        <x:v>312158</x:v>
      </x:c>
      <x:c r="CK431" s="11" t="n">
        <x:v>236182</x:v>
      </x:c>
      <x:c r="CL431" s="11" t="n">
        <x:v>364223</x:v>
      </x:c>
      <x:c r="CM431" s="11"/>
      <x:c r="CN431" s="11" t="n">
        <x:v>0</x:v>
      </x:c>
      <x:c r="CO431" s="11" t="n">
        <x:v>0</x:v>
      </x:c>
      <x:c r="CP431" s="8"/>
      <x:c r="CQ431" s="8"/>
    </x:row>
    <x:row r="432">
      <x:c r="A432" s="8" t="str">
        <x:v>Lumby|2021</x:v>
      </x:c>
      <x:c r="B432" s="8" t="str">
        <x:v>lumby-v</x:v>
      </x:c>
      <x:c r="C432" s="8" t="str">
        <x:v>Lumby</x:v>
      </x:c>
      <x:c r="D432" s="8" t="str">
        <x:v>Lumby</x:v>
      </x:c>
      <x:c r="E432" s="8" t="str">
        <x:v>V</x:v>
      </x:c>
      <x:c r="F432" s="8" t="str">
        <x:v>NOK</x:v>
      </x:c>
      <x:c r="G432" s="9" t="n">
        <x:v>2021</x:v>
      </x:c>
      <x:c r="H432" s="10" t="n">
        <x:v>2042</x:v>
      </x:c>
      <x:c r="I432" s="8" t="str">
        <x:v>Under 5,000</x:v>
      </x:c>
      <x:c r="J432" s="11" t="n">
        <x:v>5198542</x:v>
      </x:c>
      <x:c r="K432" s="11" t="n">
        <x:v>3589937</x:v>
      </x:c>
      <x:c r="L432" s="11" t="n">
        <x:v>1608605</x:v>
      </x:c>
      <x:c r="M432" s="12" t="n">
        <x:v>0.3094338758828918</x:v>
      </x:c>
      <x:c r="N432" s="11" t="n">
        <x:v>1067015</x:v>
      </x:c>
      <x:c r="O432" s="11" t="n">
        <x:v>1270471</x:v>
      </x:c>
      <x:c r="P432" s="11" t="n">
        <x:v>1415322</x:v>
      </x:c>
      <x:c r="Q432" s="11" t="n">
        <x:v>1445734</x:v>
      </x:c>
      <x:c r="R432" s="11" t="n">
        <x:v>2964029</x:v>
      </x:c>
      <x:c r="S432" s="11" t="n">
        <x:v>604433</x:v>
      </x:c>
      <x:c r="T432" s="11" t="n">
        <x:v>4933066</x:v>
      </x:c>
      <x:c r="U432" s="11" t="n">
        <x:v>1513173</x:v>
      </x:c>
      <x:c r="V432" s="11" t="n">
        <x:v>6175506</x:v>
      </x:c>
      <x:c r="W432" s="11" t="n">
        <x:v>195635</x:v>
      </x:c>
      <x:c r="X432" s="11" t="n">
        <x:v>324211</x:v>
      </x:c>
      <x:c r="Y432" s="11" t="n">
        <x:v>0</x:v>
      </x:c>
      <x:c r="Z432" s="11" t="n">
        <x:v>25057</x:v>
      </x:c>
      <x:c r="AA432" s="11" t="n">
        <x:v>275149</x:v>
      </x:c>
      <x:c r="AB432" s="11" t="n">
        <x:v>21475</x:v>
      </x:c>
      <x:c r="AC432" s="11" t="n">
        <x:v>46532</x:v>
      </x:c>
      <x:c r="AD432" s="11" t="n">
        <x:v>740957</x:v>
      </x:c>
      <x:c r="AE432" s="11" t="n">
        <x:v>694425</x:v>
      </x:c>
      <x:c r="AF432" s="11" t="n">
        <x:v>2963829</x:v>
      </x:c>
      <x:c r="AG432" s="11" t="n">
        <x:v>30797100</x:v>
      </x:c>
      <x:c r="AH432" s="11" t="n">
        <x:v>14172489</x:v>
      </x:c>
      <x:c r="AI432" s="11" t="n">
        <x:v>16624611</x:v>
      </x:c>
      <x:c r="AJ432" s="11" t="n">
        <x:v>1002070</x:v>
      </x:c>
      <x:c r="AK432" s="11" t="n">
        <x:v>74332671</x:v>
      </x:c>
      <x:c r="AL432" s="11" t="n">
        <x:v>1725227</x:v>
      </x:c>
      <x:c r="AM432" s="12" t="n">
        <x:v>0.9767904613571602</x:v>
      </x:c>
      <x:c r="AN432" s="12" t="n">
        <x:v>0.013480882450732869</x:v>
      </x:c>
      <x:c r="AO432" s="11" t="n">
        <x:v>2943537</x:v>
      </x:c>
      <x:c r="AP432" s="11" t="n">
        <x:v>2822066</x:v>
      </x:c>
      <x:c r="AQ432" s="12" t="n">
        <x:v>0.9587329800848435</x:v>
      </x:c>
      <x:c r="AR432" s="11" t="n">
        <x:v>2545.809010773751</x:v>
      </x:c>
      <x:c r="AS432" s="11" t="n">
        <x:v>1758.0494613124388</x:v>
      </x:c>
      <x:c r="AT432" s="11" t="n">
        <x:v>3024.243878550441</x:v>
      </x:c>
      <x:c r="AU432" s="11" t="n">
        <x:v>95.80558276199804</x:v>
      </x:c>
      <x:c r="AV432" s="11" t="n">
        <x:v>134.74485798237023</x:v>
      </x:c>
      <x:c r="AW432" s="11" t="n">
        <x:v>3.2600806384993652</x:v>
      </x:c>
      <x:c r="AX432" s="12" t="n">
        <x:v>0.9372001344207559</x:v>
      </x:c>
      <x:c r="AY432" s="11"/>
      <x:c r="AZ432" s="11"/>
      <x:c r="BA432" s="11"/>
      <x:c r="BB432" s="11"/>
      <x:c r="BC432" s="11"/>
      <x:c r="BD432" s="11"/>
      <x:c r="BE432" s="11"/>
      <x:c r="BF432" s="11"/>
      <x:c r="BG432" s="11"/>
      <x:c r="BH432" s="11"/>
      <x:c r="BI432" s="11"/>
      <x:c r="BJ432" s="11"/>
      <x:c r="BK432" s="12"/>
      <x:c r="BL432" s="12"/>
      <x:c r="BM432" s="12"/>
      <x:c r="BN432" s="12"/>
      <x:c r="BO432" s="12"/>
      <x:c r="BP432" s="12"/>
      <x:c r="BQ432" s="12"/>
      <x:c r="BR432" s="12"/>
      <x:c r="BS432" s="12"/>
      <x:c r="BT432" s="12"/>
      <x:c r="BU432" s="11" t="n">
        <x:v>0</x:v>
      </x:c>
      <x:c r="BV432" s="11" t="n">
        <x:v>1201526</x:v>
      </x:c>
      <x:c r="BW432" s="11" t="n">
        <x:v>213796</x:v>
      </x:c>
      <x:c r="BX432" s="11" t="n">
        <x:v>112505</x:v>
      </x:c>
      <x:c r="BY432" s="11" t="n">
        <x:v>1327567</x:v>
      </x:c>
      <x:c r="BZ432" s="11" t="n">
        <x:v>0</x:v>
      </x:c>
      <x:c r="CA432" s="11" t="n">
        <x:v>5662</x:v>
      </x:c>
      <x:c r="CB432" s="11" t="n">
        <x:v>0</x:v>
      </x:c>
      <x:c r="CC432" s="11" t="n">
        <x:v>743691</x:v>
      </x:c>
      <x:c r="CD432" s="11" t="n">
        <x:v>113264</x:v>
      </x:c>
      <x:c r="CE432" s="11" t="n">
        <x:v>102542</x:v>
      </x:c>
      <x:c r="CF432" s="11" t="n">
        <x:v>15877</x:v>
      </x:c>
      <x:c r="CG432" s="11" t="n">
        <x:v>191676</x:v>
      </x:c>
      <x:c r="CH432" s="11" t="n">
        <x:v>1167745</x:v>
      </x:c>
      <x:c r="CI432" s="11" t="n">
        <x:v>156483</x:v>
      </x:c>
      <x:c r="CJ432" s="11" t="n">
        <x:v>307366</x:v>
      </x:c>
      <x:c r="CK432" s="11" t="n">
        <x:v>186860</x:v>
      </x:c>
      <x:c r="CL432" s="11" t="n">
        <x:v>0</x:v>
      </x:c>
      <x:c r="CM432" s="11"/>
      <x:c r="CN432" s="11" t="n">
        <x:v>0</x:v>
      </x:c>
      <x:c r="CO432" s="11" t="n">
        <x:v>0</x:v>
      </x:c>
      <x:c r="CP432" s="8"/>
      <x:c r="CQ432" s="8"/>
    </x:row>
    <x:row r="433">
      <x:c r="A433" s="8" t="str">
        <x:v>Lumby|2022</x:v>
      </x:c>
      <x:c r="B433" s="8" t="str">
        <x:v>lumby-v</x:v>
      </x:c>
      <x:c r="C433" s="8" t="str">
        <x:v>Lumby</x:v>
      </x:c>
      <x:c r="D433" s="8" t="str">
        <x:v>Lumby</x:v>
      </x:c>
      <x:c r="E433" s="8" t="str">
        <x:v>V</x:v>
      </x:c>
      <x:c r="F433" s="8" t="str">
        <x:v>NOK</x:v>
      </x:c>
      <x:c r="G433" s="9" t="n">
        <x:v>2022</x:v>
      </x:c>
      <x:c r="H433" s="10" t="n">
        <x:v>279</x:v>
      </x:c>
      <x:c r="I433" s="8" t="str">
        <x:v>Under 5,000</x:v>
      </x:c>
      <x:c r="J433" s="11" t="n">
        <x:v>5287804</x:v>
      </x:c>
      <x:c r="K433" s="11" t="n">
        <x:v>3341912</x:v>
      </x:c>
      <x:c r="L433" s="11" t="n">
        <x:v>1945892</x:v>
      </x:c>
      <x:c r="M433" s="12" t="n">
        <x:v>0.36799624191819513</x:v>
      </x:c>
      <x:c r="N433" s="11" t="n">
        <x:v>1070772</x:v>
      </x:c>
      <x:c r="O433" s="11" t="n">
        <x:v>1486859</x:v>
      </x:c>
      <x:c r="P433" s="11" t="n">
        <x:v>1076302</x:v>
      </x:c>
      <x:c r="Q433" s="11" t="n">
        <x:v>1653871</x:v>
      </x:c>
      <x:c r="R433" s="11" t="n">
        <x:v>2708022</x:v>
      </x:c>
      <x:c r="S433" s="11" t="n">
        <x:v>613106</x:v>
      </x:c>
      <x:c r="T433" s="11" t="n">
        <x:v>4921704</x:v>
      </x:c>
      <x:c r="U433" s="11" t="n">
        <x:v>1718740</x:v>
      </x:c>
      <x:c r="V433" s="11" t="n">
        <x:v>6310690</x:v>
      </x:c>
      <x:c r="W433" s="11" t="n">
        <x:v>330839</x:v>
      </x:c>
      <x:c r="X433" s="11" t="n">
        <x:v>275149</x:v>
      </x:c>
      <x:c r="Y433" s="11" t="n">
        <x:v>0</x:v>
      </x:c>
      <x:c r="Z433" s="11" t="n">
        <x:v>12571</x:v>
      </x:c>
      <x:c r="AA433" s="11" t="n">
        <x:v>246335</x:v>
      </x:c>
      <x:c r="AB433" s="11" t="n">
        <x:v>20784</x:v>
      </x:c>
      <x:c r="AC433" s="11" t="n">
        <x:v>33355</x:v>
      </x:c>
      <x:c r="AD433" s="11" t="n">
        <x:v>894002</x:v>
      </x:c>
      <x:c r="AE433" s="11" t="n">
        <x:v>600945</x:v>
      </x:c>
      <x:c r="AF433" s="11" t="n">
        <x:v>3576008</x:v>
      </x:c>
      <x:c r="AG433" s="11" t="n">
        <x:v>33169554</x:v>
      </x:c>
      <x:c r="AH433" s="11" t="n">
        <x:v>14785396</x:v>
      </x:c>
      <x:c r="AI433" s="11" t="n">
        <x:v>18384158</x:v>
      </x:c>
      <x:c r="AJ433" s="11" t="n">
        <x:v>2372653</x:v>
      </x:c>
      <x:c r="AK433" s="11" t="n">
        <x:v>104425116</x:v>
      </x:c>
      <x:c r="AL433" s="11" t="n">
        <x:v>2094881</x:v>
      </x:c>
      <x:c r="AM433" s="12" t="n">
        <x:v>0.979938916227778</x:v>
      </x:c>
      <x:c r="AN433" s="12" t="n">
        <x:v>0.022721095181737695</x:v>
      </x:c>
      <x:c r="AO433" s="11" t="n">
        <x:v>2961792</x:v>
      </x:c>
      <x:c r="AP433" s="11" t="n">
        <x:v>2856590</x:v>
      </x:c>
      <x:c r="AQ433" s="12" t="n">
        <x:v>0.9644802876096633</x:v>
      </x:c>
      <x:c r="AR433" s="11" t="n">
        <x:v>18952.702508960574</x:v>
      </x:c>
      <x:c r="AS433" s="11" t="n">
        <x:v>11978.179211469534</x:v>
      </x:c>
      <x:c r="AT433" s="11" t="n">
        <x:v>22618.960573476703</x:v>
      </x:c>
      <x:c r="AU433" s="11" t="n">
        <x:v>1185.8028673835126</x:v>
      </x:c>
      <x:c r="AV433" s="11" t="n">
        <x:v>882.921146953405</x:v>
      </x:c>
      <x:c r="AW433" s="11" t="n">
        <x:v>2.863553533402376</x:v>
      </x:c>
      <x:c r="AX433" s="12" t="n">
        <x:v>0.6721964827819177</x:v>
      </x:c>
      <x:c r="AY433" s="11"/>
      <x:c r="AZ433" s="11"/>
      <x:c r="BA433" s="11"/>
      <x:c r="BB433" s="11"/>
      <x:c r="BC433" s="11"/>
      <x:c r="BD433" s="11"/>
      <x:c r="BE433" s="11"/>
      <x:c r="BF433" s="11"/>
      <x:c r="BG433" s="11"/>
      <x:c r="BH433" s="11"/>
      <x:c r="BI433" s="11"/>
      <x:c r="BJ433" s="11"/>
      <x:c r="BK433" s="12"/>
      <x:c r="BL433" s="12"/>
      <x:c r="BM433" s="12"/>
      <x:c r="BN433" s="12"/>
      <x:c r="BO433" s="12"/>
      <x:c r="BP433" s="12"/>
      <x:c r="BQ433" s="12"/>
      <x:c r="BR433" s="12"/>
      <x:c r="BS433" s="12"/>
      <x:c r="BT433" s="12"/>
      <x:c r="BU433" s="11" t="n">
        <x:v>0</x:v>
      </x:c>
      <x:c r="BV433" s="11" t="n">
        <x:v>937748</x:v>
      </x:c>
      <x:c r="BW433" s="11" t="n">
        <x:v>138554</x:v>
      </x:c>
      <x:c r="BX433" s="11" t="n">
        <x:v>203943</x:v>
      </x:c>
      <x:c r="BY433" s="11" t="n">
        <x:v>1449928</x:v>
      </x:c>
      <x:c r="BZ433" s="11" t="n">
        <x:v>0</x:v>
      </x:c>
      <x:c r="CA433" s="11" t="n">
        <x:v>0</x:v>
      </x:c>
      <x:c r="CB433" s="11" t="n">
        <x:v>0</x:v>
      </x:c>
      <x:c r="CC433" s="11" t="n">
        <x:v>812734</x:v>
      </x:c>
      <x:c r="CD433" s="11" t="n">
        <x:v>124135</x:v>
      </x:c>
      <x:c r="CE433" s="11" t="n">
        <x:v>152506</x:v>
      </x:c>
      <x:c r="CF433" s="11" t="n">
        <x:v>28192</x:v>
      </x:c>
      <x:c r="CG433" s="11" t="n">
        <x:v>116486</x:v>
      </x:c>
      <x:c r="CH433" s="11" t="n">
        <x:v>759631</x:v>
      </x:c>
      <x:c r="CI433" s="11" t="n">
        <x:v>219489</x:v>
      </x:c>
      <x:c r="CJ433" s="11" t="n">
        <x:v>304951</x:v>
      </x:c>
      <x:c r="CK433" s="11" t="n">
        <x:v>210682</x:v>
      </x:c>
      <x:c r="CL433" s="11" t="n">
        <x:v>0</x:v>
      </x:c>
      <x:c r="CM433" s="11"/>
      <x:c r="CN433" s="11" t="n">
        <x:v>0</x:v>
      </x:c>
      <x:c r="CO433" s="11" t="n">
        <x:v>0</x:v>
      </x:c>
      <x:c r="CP433" s="8"/>
      <x:c r="CQ433" s="8"/>
    </x:row>
    <x:row r="434">
      <x:c r="A434" s="8" t="str">
        <x:v>Lumby|2023</x:v>
      </x:c>
      <x:c r="B434" s="8" t="str">
        <x:v>lumby-v</x:v>
      </x:c>
      <x:c r="C434" s="8" t="str">
        <x:v>Lumby</x:v>
      </x:c>
      <x:c r="D434" s="8" t="str">
        <x:v>Lumby</x:v>
      </x:c>
      <x:c r="E434" s="8" t="str">
        <x:v>V</x:v>
      </x:c>
      <x:c r="F434" s="8" t="str">
        <x:v>NOK</x:v>
      </x:c>
      <x:c r="G434" s="9" t="n">
        <x:v>2023</x:v>
      </x:c>
      <x:c r="H434" s="10" t="n">
        <x:v>2147</x:v>
      </x:c>
      <x:c r="I434" s="8" t="str">
        <x:v>Under 5,000</x:v>
      </x:c>
      <x:c r="J434" s="11" t="n">
        <x:v>6266755</x:v>
      </x:c>
      <x:c r="K434" s="11" t="n">
        <x:v>3613851</x:v>
      </x:c>
      <x:c r="L434" s="11" t="n">
        <x:v>2652904</x:v>
      </x:c>
      <x:c r="M434" s="12" t="n">
        <x:v>0.42332977753239115</x:v>
      </x:c>
      <x:c r="N434" s="11" t="n">
        <x:v>1169810</x:v>
      </x:c>
      <x:c r="O434" s="11" t="n">
        <x:v>1390135</x:v>
      </x:c>
      <x:c r="P434" s="11" t="n">
        <x:v>2679378</x:v>
      </x:c>
      <x:c r="Q434" s="11" t="n">
        <x:v>1027432</x:v>
      </x:c>
      <x:c r="R434" s="11" t="n">
        <x:v>2956138</x:v>
      </x:c>
      <x:c r="S434" s="11" t="n">
        <x:v>633475</x:v>
      </x:c>
      <x:c r="T434" s="11" t="n">
        <x:v>8174849</x:v>
      </x:c>
      <x:c r="U434" s="11" t="n">
        <x:v>2913653</x:v>
      </x:c>
      <x:c r="V434" s="11" t="n">
        <x:v>8358079</x:v>
      </x:c>
      <x:c r="W434" s="11" t="n">
        <x:v>380897</x:v>
      </x:c>
      <x:c r="X434" s="11" t="n">
        <x:v>246335</x:v>
      </x:c>
      <x:c r="Y434" s="11" t="n">
        <x:v>0</x:v>
      </x:c>
      <x:c r="Z434" s="11" t="n">
        <x:v>12571</x:v>
      </x:c>
      <x:c r="AA434" s="11" t="n">
        <x:v>216080</x:v>
      </x:c>
      <x:c r="AB434" s="11" t="n">
        <x:v>24238</x:v>
      </x:c>
      <x:c r="AC434" s="11" t="n">
        <x:v>36809</x:v>
      </x:c>
      <x:c r="AD434" s="11" t="n">
        <x:v>876286</x:v>
      </x:c>
      <x:c r="AE434" s="11" t="n">
        <x:v>572811</x:v>
      </x:c>
      <x:c r="AF434" s="11" t="n">
        <x:v>3505145</x:v>
      </x:c>
      <x:c r="AG434" s="11" t="n">
        <x:v>34231852</x:v>
      </x:c>
      <x:c r="AH434" s="11" t="n">
        <x:v>15391486</x:v>
      </x:c>
      <x:c r="AI434" s="11" t="n">
        <x:v>18840366</x:v>
      </x:c>
      <x:c r="AJ434" s="11" t="n">
        <x:v>1092609</x:v>
      </x:c>
      <x:c r="AK434" s="11" t="n">
        <x:v>105091701</x:v>
      </x:c>
      <x:c r="AL434" s="11" t="n">
        <x:v>2094881</x:v>
      </x:c>
      <x:c r="AM434" s="12" t="n">
        <x:v>0.9800661614564599</x:v>
      </x:c>
      <x:c r="AN434" s="12" t="n">
        <x:v>0.010396720098764032</x:v>
      </x:c>
      <x:c r="AO434" s="11" t="n">
        <x:v>3384483</x:v>
      </x:c>
      <x:c r="AP434" s="11" t="n">
        <x:v>2981878</x:v>
      </x:c>
      <x:c r="AQ434" s="12" t="n">
        <x:v>0.8810438699204576</x:v>
      </x:c>
      <x:c r="AR434" s="11" t="n">
        <x:v>2918.842571029343</x:v>
      </x:c>
      <x:c r="AS434" s="11" t="n">
        <x:v>1683.2095947834187</x:v>
      </x:c>
      <x:c r="AT434" s="11" t="n">
        <x:v>3892.910572892408</x:v>
      </x:c>
      <x:c r="AU434" s="11" t="n">
        <x:v>177.4089427107592</x:v>
      </x:c>
      <x:c r="AV434" s="11" t="n">
        <x:v>100.64275733581742</x:v>
      </x:c>
      <x:c r="AW434" s="11" t="n">
        <x:v>2.8057043855256616</x:v>
      </x:c>
      <x:c r="AX434" s="12" t="n">
        <x:v>0.6536804194064495</x:v>
      </x:c>
      <x:c r="AY434" s="11"/>
      <x:c r="AZ434" s="11"/>
      <x:c r="BA434" s="11"/>
      <x:c r="BB434" s="11"/>
      <x:c r="BC434" s="11"/>
      <x:c r="BD434" s="11"/>
      <x:c r="BE434" s="11"/>
      <x:c r="BF434" s="11"/>
      <x:c r="BG434" s="11"/>
      <x:c r="BH434" s="11"/>
      <x:c r="BI434" s="11"/>
      <x:c r="BJ434" s="11"/>
      <x:c r="BK434" s="12"/>
      <x:c r="BL434" s="12"/>
      <x:c r="BM434" s="12"/>
      <x:c r="BN434" s="12"/>
      <x:c r="BO434" s="12"/>
      <x:c r="BP434" s="12"/>
      <x:c r="BQ434" s="12"/>
      <x:c r="BR434" s="12"/>
      <x:c r="BS434" s="12"/>
      <x:c r="BT434" s="12"/>
      <x:c r="BU434" s="11" t="n">
        <x:v>0</x:v>
      </x:c>
      <x:c r="BV434" s="11" t="n">
        <x:v>2432437</x:v>
      </x:c>
      <x:c r="BW434" s="11" t="n">
        <x:v>246941</x:v>
      </x:c>
      <x:c r="BX434" s="11" t="n">
        <x:v>379590</x:v>
      </x:c>
      <x:c r="BY434" s="11" t="n">
        <x:v>619353</x:v>
      </x:c>
      <x:c r="BZ434" s="11" t="n">
        <x:v>0</x:v>
      </x:c>
      <x:c r="CA434" s="11" t="n">
        <x:v>28489</x:v>
      </x:c>
      <x:c r="CB434" s="11" t="n">
        <x:v>0</x:v>
      </x:c>
      <x:c r="CC434" s="11" t="n">
        <x:v>1069137</x:v>
      </x:c>
      <x:c r="CD434" s="11" t="n">
        <x:v>143939</x:v>
      </x:c>
      <x:c r="CE434" s="11" t="n">
        <x:v>118442</x:v>
      </x:c>
      <x:c r="CF434" s="11" t="n">
        <x:v>15609</x:v>
      </x:c>
      <x:c r="CG434" s="11" t="n">
        <x:v>127143</x:v>
      </x:c>
      <x:c r="CH434" s="11" t="n">
        <x:v>762642</x:v>
      </x:c>
      <x:c r="CI434" s="11" t="n">
        <x:v>189514</x:v>
      </x:c>
      <x:c r="CJ434" s="11" t="n">
        <x:v>330724</x:v>
      </x:c>
      <x:c r="CK434" s="11" t="n">
        <x:v>213560</x:v>
      </x:c>
      <x:c r="CL434" s="11" t="n">
        <x:v>0</x:v>
      </x:c>
      <x:c r="CM434" s="11" t="n">
        <x:v>9666</x:v>
      </x:c>
      <x:c r="CN434" s="11" t="n">
        <x:v>0</x:v>
      </x:c>
      <x:c r="CO434" s="11" t="n">
        <x:v>0</x:v>
      </x:c>
      <x:c r="CP434" s="8"/>
      <x:c r="CQ434" s="8"/>
    </x:row>
    <x:row r="435">
      <x:c r="A435" s="8" t="str">
        <x:v>Lumby|2024</x:v>
      </x:c>
      <x:c r="B435" s="8" t="str">
        <x:v>lumby-v</x:v>
      </x:c>
      <x:c r="C435" s="8" t="str">
        <x:v>Lumby</x:v>
      </x:c>
      <x:c r="D435" s="8" t="str">
        <x:v>Lumby</x:v>
      </x:c>
      <x:c r="E435" s="8" t="str">
        <x:v>V</x:v>
      </x:c>
      <x:c r="F435" s="8" t="str">
        <x:v>NOK</x:v>
      </x:c>
      <x:c r="G435" s="9" t="n">
        <x:v>2024</x:v>
      </x:c>
      <x:c r="H435" s="10" t="n">
        <x:v>2147</x:v>
      </x:c>
      <x:c r="I435" s="8" t="str">
        <x:v>Under 5,000</x:v>
      </x:c>
      <x:c r="J435" s="11" t="n">
        <x:v>6410591</x:v>
      </x:c>
      <x:c r="K435" s="11" t="n">
        <x:v>3711857</x:v>
      </x:c>
      <x:c r="L435" s="11" t="n">
        <x:v>2698734</x:v>
      </x:c>
      <x:c r="M435" s="12" t="n">
        <x:v>0.42098053050023</x:v>
      </x:c>
      <x:c r="N435" s="11" t="n">
        <x:v>1307661</x:v>
      </x:c>
      <x:c r="O435" s="11" t="n">
        <x:v>1580688</x:v>
      </x:c>
      <x:c r="P435" s="11" t="n">
        <x:v>2462697</x:v>
      </x:c>
      <x:c r="Q435" s="11" t="n">
        <x:v>1059545</x:v>
      </x:c>
      <x:c r="R435" s="11" t="n">
        <x:v>2967422</x:v>
      </x:c>
      <x:c r="S435" s="11" t="n">
        <x:v>721433</x:v>
      </x:c>
      <x:c r="T435" s="11" t="n">
        <x:v>7419875</x:v>
      </x:c>
      <x:c r="U435" s="11" t="n">
        <x:v>4504115</x:v>
      </x:c>
      <x:c r="V435" s="11" t="n">
        <x:v>6723847</x:v>
      </x:c>
      <x:c r="W435" s="11" t="n">
        <x:v>552428</x:v>
      </x:c>
      <x:c r="X435" s="11" t="n">
        <x:v>216080</x:v>
      </x:c>
      <x:c r="Y435" s="11" t="n">
        <x:v>0</x:v>
      </x:c>
      <x:c r="Z435" s="11" t="n">
        <x:v>12571</x:v>
      </x:c>
      <x:c r="AA435" s="11" t="n">
        <x:v>184312</x:v>
      </x:c>
      <x:c r="AB435" s="11" t="n">
        <x:v>23002</x:v>
      </x:c>
      <x:c r="AC435" s="11" t="n">
        <x:v>35573</x:v>
      </x:c>
      <x:c r="AD435" s="11" t="n">
        <x:v>919053</x:v>
      </x:c>
      <x:c r="AE435" s="11" t="n">
        <x:v>619135</x:v>
      </x:c>
      <x:c r="AF435" s="11" t="n">
        <x:v>3676210</x:v>
      </x:c>
      <x:c r="AG435" s="11" t="n">
        <x:v>39306067</x:v>
      </x:c>
      <x:c r="AH435" s="11" t="n">
        <x:v>16117951</x:v>
      </x:c>
      <x:c r="AI435" s="11" t="n">
        <x:v>23188116</x:v>
      </x:c>
      <x:c r="AJ435" s="11" t="n">
        <x:v>4979400</x:v>
      </x:c>
      <x:c r="AK435" s="11" t="n">
        <x:v>111452752</x:v>
      </x:c>
      <x:c r="AL435" s="11" t="n">
        <x:v>2164881</x:v>
      </x:c>
      <x:c r="AM435" s="12" t="n">
        <x:v>0.9805757959211272</x:v>
      </x:c>
      <x:c r="AN435" s="12" t="n">
        <x:v>0.044677227889357095</x:v>
      </x:c>
      <x:c r="AO435" s="11" t="n">
        <x:v>3931905</x:v>
      </x:c>
      <x:c r="AP435" s="11" t="n">
        <x:v>3436561</x:v>
      </x:c>
      <x:c r="AQ435" s="12" t="n">
        <x:v>0.8740193366828547</x:v>
      </x:c>
      <x:c r="AR435" s="11" t="n">
        <x:v>2985.836516068933</x:v>
      </x:c>
      <x:c r="AS435" s="11" t="n">
        <x:v>1728.8574755472753</x:v>
      </x:c>
      <x:c r="AT435" s="11" t="n">
        <x:v>3131.740568234746</x:v>
      </x:c>
      <x:c r="AU435" s="11" t="n">
        <x:v>257.30228225430835</x:v>
      </x:c>
      <x:c r="AV435" s="11" t="n">
        <x:v>85.84629715882627</x:v>
      </x:c>
      <x:c r="AW435" s="11" t="n">
        <x:v>1.647354696760629</x:v>
      </x:c>
      <x:c r="AX435" s="12" t="n">
        <x:v>0.6736662629902737</x:v>
      </x:c>
      <x:c r="AY435" s="11" t="n">
        <x:v>4648.097865362712</x:v>
      </x:c>
      <x:c r="AZ435" s="11" t="n">
        <x:v>3546.5079302077975</x:v>
      </x:c>
      <x:c r="BA435" s="11" t="n">
        <x:v>3428.422456291105</x:v>
      </x:c>
      <x:c r="BB435" s="11" t="n">
        <x:v>2783.665107049771</x:v>
      </x:c>
      <x:c r="BC435" s="11" t="n">
        <x:v>5030.364110900993</x:v>
      </x:c>
      <x:c r="BD435" s="11" t="n">
        <x:v>2437.8724475115623</x:v>
      </x:c>
      <x:c r="BE435" s="11" t="n">
        <x:v>2420.45</x:v>
      </x:c>
      <x:c r="BF435" s="11" t="n">
        <x:v>1604.3462673977224</x:v>
      </x:c>
      <x:c r="BG435" s="11" t="n">
        <x:v>224.31236112962716</x:v>
      </x:c>
      <x:c r="BH435" s="11" t="n">
        <x:v>518.5374381567245</x:v>
      </x:c>
      <x:c r="BI435" s="11" t="n">
        <x:v>2.204313821553219</x:v>
      </x:c>
      <x:c r="BJ435" s="11" t="n">
        <x:v>1.7099330852451193</x:v>
      </x:c>
      <x:c r="BK435" s="12" t="n">
        <x:v>0.030042455998363887</x:v>
      </x:c>
      <x:c r="BL435" s="12" t="n">
        <x:v>0.02529861000232605</x:v>
      </x:c>
      <x:c r="BM435" s="12" t="n">
        <x:v>0.9786113537119745</x:v>
      </x:c>
      <x:c r="BN435" s="12" t="n">
        <x:v>0.9815511712696461</x:v>
      </x:c>
      <x:c r="BO435" s="12" t="n">
        <x:v>0.9039920521842442</x:v>
      </x:c>
      <x:c r="BP435" s="12" t="n">
        <x:v>0.8619101997275483</x:v>
      </x:c>
      <x:c r="BQ435" s="12" t="n">
        <x:v>0.9333160528846489</x:v>
      </x:c>
      <x:c r="BR435" s="12" t="n">
        <x:v>0.9623635142836453</x:v>
      </x:c>
      <x:c r="BS435" s="12" t="n">
        <x:v>0.20869205825466772</x:v>
      </x:c>
      <x:c r="BT435" s="12" t="n">
        <x:v>0.19976549769108282</x:v>
      </x:c>
      <x:c r="BU435" s="11" t="n">
        <x:v>157348</x:v>
      </x:c>
      <x:c r="BV435" s="11" t="n">
        <x:v>2305349</x:v>
      </x:c>
      <x:c r="BW435" s="11" t="n">
        <x:v>0</x:v>
      </x:c>
      <x:c r="BX435" s="11" t="n">
        <x:v>357058</x:v>
      </x:c>
      <x:c r="BY435" s="11" t="n">
        <x:v>702487</x:v>
      </x:c>
      <x:c r="BZ435" s="11" t="n">
        <x:v>0</x:v>
      </x:c>
      <x:c r="CA435" s="11" t="n">
        <x:v>0</x:v>
      </x:c>
      <x:c r="CB435" s="11" t="n">
        <x:v>0</x:v>
      </x:c>
      <x:c r="CC435" s="11" t="n">
        <x:v>1167972</x:v>
      </x:c>
      <x:c r="CD435" s="11" t="n">
        <x:v>189068</x:v>
      </x:c>
      <x:c r="CE435" s="11" t="n">
        <x:v>126792</x:v>
      </x:c>
      <x:c r="CF435" s="11" t="n">
        <x:v>16446</x:v>
      </x:c>
      <x:c r="CG435" s="11" t="n">
        <x:v>154587</x:v>
      </x:c>
      <x:c r="CH435" s="11" t="n">
        <x:v>579867</x:v>
      </x:c>
      <x:c r="CI435" s="11" t="n">
        <x:v>235086</x:v>
      </x:c>
      <x:c r="CJ435" s="11" t="n">
        <x:v>260483</x:v>
      </x:c>
      <x:c r="CK435" s="11" t="n">
        <x:v>260123</x:v>
      </x:c>
      <x:c r="CL435" s="11" t="n">
        <x:v>0</x:v>
      </x:c>
      <x:c r="CM435" s="11" t="n">
        <x:v>0</x:v>
      </x:c>
      <x:c r="CN435" s="11" t="n">
        <x:v>0</x:v>
      </x:c>
      <x:c r="CO435" s="11" t="n">
        <x:v>0</x:v>
      </x:c>
      <x:c r="CP435" s="8"/>
      <x:c r="CQ435" s="8"/>
    </x:row>
    <x:row r="436">
      <x:c r="A436" s="8" t="str">
        <x:v>Lytton|2019</x:v>
      </x:c>
      <x:c r="B436" s="8" t="str">
        <x:v>lytton-v</x:v>
      </x:c>
      <x:c r="C436" s="8" t="str">
        <x:v>Lytton</x:v>
      </x:c>
      <x:c r="D436" s="8" t="str">
        <x:v>Lytton</x:v>
      </x:c>
      <x:c r="E436" s="8" t="str">
        <x:v>V</x:v>
      </x:c>
      <x:c r="F436" s="8" t="str">
        <x:v>TNR</x:v>
      </x:c>
      <x:c r="G436" s="9" t="n">
        <x:v>2019</x:v>
      </x:c>
      <x:c r="H436" s="10" t="n">
        <x:v>273</x:v>
      </x:c>
      <x:c r="I436" s="8" t="str">
        <x:v>Under 5,000</x:v>
      </x:c>
      <x:c r="J436" s="11" t="n">
        <x:v>2924243</x:v>
      </x:c>
      <x:c r="K436" s="11" t="n">
        <x:v>1232668</x:v>
      </x:c>
      <x:c r="L436" s="11" t="n">
        <x:v>1691575</x:v>
      </x:c>
      <x:c r="M436" s="12" t="n">
        <x:v>0.5784659482813159</x:v>
      </x:c>
      <x:c r="N436" s="11" t="n">
        <x:v>372326</x:v>
      </x:c>
      <x:c r="O436" s="11" t="n">
        <x:v>376025</x:v>
      </x:c>
      <x:c r="P436" s="11" t="n">
        <x:v>2143662</x:v>
      </x:c>
      <x:c r="Q436" s="11" t="n">
        <x:v>32230</x:v>
      </x:c>
      <x:c r="R436" s="11" t="n">
        <x:v>1106968</x:v>
      </x:c>
      <x:c r="S436" s="11" t="n">
        <x:v>112991</x:v>
      </x:c>
      <x:c r="T436" s="11" t="n">
        <x:v>1910757</x:v>
      </x:c>
      <x:c r="U436" s="11" t="n">
        <x:v>452147</x:v>
      </x:c>
      <x:c r="V436" s="11" t="n">
        <x:v>1886859</x:v>
      </x:c>
      <x:c r="W436" s="11" t="n">
        <x:v>1080</x:v>
      </x:c>
      <x:c r="X436" s="11" t="n">
        <x:v>104222</x:v>
      </x:c>
      <x:c r="Y436" s="11" t="n">
        <x:v>0</x:v>
      </x:c>
      <x:c r="Z436" s="11" t="n">
        <x:v>9073</x:v>
      </x:c>
      <x:c r="AA436" s="11" t="n">
        <x:v>85361</x:v>
      </x:c>
      <x:c r="AB436" s="11" t="n">
        <x:v>12709</x:v>
      </x:c>
      <x:c r="AC436" s="11" t="n">
        <x:v>21782</x:v>
      </x:c>
      <x:c r="AD436" s="11" t="n">
        <x:v>265117</x:v>
      </x:c>
      <x:c r="AE436" s="11" t="n">
        <x:v>243335</x:v>
      </x:c>
      <x:c r="AF436" s="11" t="n">
        <x:v>1060469</x:v>
      </x:c>
      <x:c r="AG436" s="11" t="n">
        <x:v>8700704</x:v>
      </x:c>
      <x:c r="AH436" s="11" t="n">
        <x:v>2296496</x:v>
      </x:c>
      <x:c r="AI436" s="11" t="n">
        <x:v>6404208</x:v>
      </x:c>
      <x:c r="AJ436" s="11" t="n">
        <x:v>1389137</x:v>
      </x:c>
      <x:c r="AK436" s="11" t="n">
        <x:v>3555307</x:v>
      </x:c>
      <x:c r="AL436" s="11" t="n">
        <x:v>0</x:v>
      </x:c>
      <x:c r="AM436" s="12" t="n">
        <x:v>1</x:v>
      </x:c>
      <x:c r="AN436" s="12" t="n">
        <x:v>0.3907220951664652</x:v>
      </x:c>
      <x:c r="AO436" s="11" t="n">
        <x:v>581005</x:v>
      </x:c>
      <x:c r="AP436" s="11" t="n">
        <x:v>501191</x:v>
      </x:c>
      <x:c r="AQ436" s="12" t="n">
        <x:v>0.8626276882298776</x:v>
      </x:c>
      <x:c r="AR436" s="11" t="n">
        <x:v>10711.51282051282</x:v>
      </x:c>
      <x:c r="AS436" s="11" t="n">
        <x:v>4515.267399267399</x:v>
      </x:c>
      <x:c r="AT436" s="11" t="n">
        <x:v>6911.571428571428</x:v>
      </x:c>
      <x:c r="AU436" s="11" t="n">
        <x:v>3.956043956043956</x:v>
      </x:c>
      <x:c r="AV436" s="11" t="n">
        <x:v>312.67765567765565</x:v>
      </x:c>
      <x:c r="AW436" s="11" t="n">
        <x:v>4.225964122287663</x:v>
      </x:c>
      <x:c r="AX436" s="12" t="n">
        <x:v>0.9178400479788169</x:v>
      </x:c>
      <x:c r="AY436" s="11"/>
      <x:c r="AZ436" s="11"/>
      <x:c r="BA436" s="11"/>
      <x:c r="BB436" s="11"/>
      <x:c r="BC436" s="11"/>
      <x:c r="BD436" s="11"/>
      <x:c r="BE436" s="11"/>
      <x:c r="BF436" s="11"/>
      <x:c r="BG436" s="11"/>
      <x:c r="BH436" s="11"/>
      <x:c r="BI436" s="11"/>
      <x:c r="BJ436" s="11"/>
      <x:c r="BK436" s="12"/>
      <x:c r="BL436" s="12"/>
      <x:c r="BM436" s="12"/>
      <x:c r="BN436" s="12"/>
      <x:c r="BO436" s="12"/>
      <x:c r="BP436" s="12"/>
      <x:c r="BQ436" s="12"/>
      <x:c r="BR436" s="12"/>
      <x:c r="BS436" s="12"/>
      <x:c r="BT436" s="12"/>
      <x:c r="BU436" s="11" t="n">
        <x:v>130806</x:v>
      </x:c>
      <x:c r="BV436" s="11" t="n">
        <x:v>1439988</x:v>
      </x:c>
      <x:c r="BW436" s="11" t="n">
        <x:v>572868</x:v>
      </x:c>
      <x:c r="BX436" s="11" t="n">
        <x:v>32230</x:v>
      </x:c>
      <x:c r="BY436" s="11" t="n">
        <x:v>0</x:v>
      </x:c>
      <x:c r="BZ436" s="11" t="n">
        <x:v>0</x:v>
      </x:c>
      <x:c r="CA436" s="11" t="n">
        <x:v>0</x:v>
      </x:c>
      <x:c r="CB436" s="11" t="n">
        <x:v>0</x:v>
      </x:c>
      <x:c r="CC436" s="11" t="n">
        <x:v>553647</x:v>
      </x:c>
      <x:c r="CD436" s="11" t="n">
        <x:v>65418</x:v>
      </x:c>
      <x:c r="CE436" s="11" t="n">
        <x:v>0</x:v>
      </x:c>
      <x:c r="CF436" s="11" t="n">
        <x:v>0</x:v>
      </x:c>
      <x:c r="CG436" s="11" t="n">
        <x:v>68111</x:v>
      </x:c>
      <x:c r="CH436" s="11" t="n">
        <x:v>177090</x:v>
      </x:c>
      <x:c r="CI436" s="11" t="n">
        <x:v>75977</x:v>
      </x:c>
      <x:c r="CJ436" s="11" t="n">
        <x:v>73206</x:v>
      </x:c>
      <x:c r="CK436" s="11" t="n">
        <x:v>104148</x:v>
      </x:c>
      <x:c r="CL436" s="11" t="n">
        <x:v>2080</x:v>
      </x:c>
      <x:c r="CM436" s="11"/>
      <x:c r="CN436" s="11" t="n">
        <x:v>0</x:v>
      </x:c>
      <x:c r="CO436" s="11" t="n">
        <x:v>0</x:v>
      </x:c>
      <x:c r="CP436" s="8"/>
      <x:c r="CQ436" s="8"/>
    </x:row>
    <x:row r="437">
      <x:c r="A437" s="8" t="str">
        <x:v>Lytton|2020</x:v>
      </x:c>
      <x:c r="B437" s="8" t="str">
        <x:v>lytton-v</x:v>
      </x:c>
      <x:c r="C437" s="8" t="str">
        <x:v>Lytton</x:v>
      </x:c>
      <x:c r="D437" s="8" t="str">
        <x:v>Lytton</x:v>
      </x:c>
      <x:c r="E437" s="8" t="str">
        <x:v>V</x:v>
      </x:c>
      <x:c r="F437" s="8" t="str">
        <x:v>TNR</x:v>
      </x:c>
      <x:c r="G437" s="9" t="n">
        <x:v>2020</x:v>
      </x:c>
      <x:c r="H437" s="10" t="n">
        <x:v>275</x:v>
      </x:c>
      <x:c r="I437" s="8" t="str">
        <x:v>Under 5,000</x:v>
      </x:c>
      <x:c r="J437" s="11" t="n">
        <x:v>1650042</x:v>
      </x:c>
      <x:c r="K437" s="11" t="n">
        <x:v>1378679</x:v>
      </x:c>
      <x:c r="L437" s="11" t="n">
        <x:v>271363</x:v>
      </x:c>
      <x:c r="M437" s="12" t="n">
        <x:v>0.16445823803272885</x:v>
      </x:c>
      <x:c r="N437" s="11" t="n">
        <x:v>376457</x:v>
      </x:c>
      <x:c r="O437" s="11" t="n">
        <x:v>360783</x:v>
      </x:c>
      <x:c r="P437" s="11" t="n">
        <x:v>888725</x:v>
      </x:c>
      <x:c r="Q437" s="11" t="n">
        <x:v>24077</x:v>
      </x:c>
      <x:c r="R437" s="11" t="n">
        <x:v>1194962</x:v>
      </x:c>
      <x:c r="S437" s="11" t="n">
        <x:v>175167</x:v>
      </x:c>
      <x:c r="T437" s="11" t="n">
        <x:v>2229743</x:v>
      </x:c>
      <x:c r="U437" s="11" t="n">
        <x:v>407717</x:v>
      </x:c>
      <x:c r="V437" s="11" t="n">
        <x:v>2103985</x:v>
      </x:c>
      <x:c r="W437" s="11" t="n">
        <x:v>1080</x:v>
      </x:c>
      <x:c r="X437" s="11" t="n">
        <x:v>85361</x:v>
      </x:c>
      <x:c r="Y437" s="11" t="n">
        <x:v>0</x:v>
      </x:c>
      <x:c r="Z437" s="11" t="n">
        <x:v>9073</x:v>
      </x:c>
      <x:c r="AA437" s="11" t="n">
        <x:v>65556</x:v>
      </x:c>
      <x:c r="AB437" s="11" t="n">
        <x:v>8550</x:v>
      </x:c>
      <x:c r="AC437" s="11" t="n">
        <x:v>17623</x:v>
      </x:c>
      <x:c r="AD437" s="11" t="n">
        <x:v>264007</x:v>
      </x:c>
      <x:c r="AE437" s="11" t="n">
        <x:v>246384</x:v>
      </x:c>
      <x:c r="AF437" s="11" t="n">
        <x:v>1056029</x:v>
      </x:c>
      <x:c r="AG437" s="11" t="n">
        <x:v>8917933</x:v>
      </x:c>
      <x:c r="AH437" s="11" t="n">
        <x:v>2471663</x:v>
      </x:c>
      <x:c r="AI437" s="11" t="n">
        <x:v>6446270</x:v>
      </x:c>
      <x:c r="AJ437" s="11" t="n">
        <x:v>217229</x:v>
      </x:c>
      <x:c r="AK437" s="11" t="n">
        <x:v>292870</x:v>
      </x:c>
      <x:c r="AL437" s="11" t="n">
        <x:v>0</x:v>
      </x:c>
      <x:c r="AM437" s="12" t="n">
        <x:v>1</x:v>
      </x:c>
      <x:c r="AN437" s="12" t="n">
        <x:v>0.7417249974391368</x:v>
      </x:c>
      <x:c r="AO437" s="11" t="n">
        <x:v>576983</x:v>
      </x:c>
      <x:c r="AP437" s="11" t="n">
        <x:v>491400</x:v>
      </x:c>
      <x:c r="AQ437" s="12" t="n">
        <x:v>0.8516715397160748</x:v>
      </x:c>
      <x:c r="AR437" s="11" t="n">
        <x:v>6000.152727272727</x:v>
      </x:c>
      <x:c r="AS437" s="11" t="n">
        <x:v>5013.3781818181815</x:v>
      </x:c>
      <x:c r="AT437" s="11" t="n">
        <x:v>7650.854545454546</x:v>
      </x:c>
      <x:c r="AU437" s="11" t="n">
        <x:v>3.9272727272727272</x:v>
      </x:c>
      <x:c r="AV437" s="11" t="n">
        <x:v>238.38545454545454</x:v>
      </x:c>
      <x:c r="AW437" s="11" t="n">
        <x:v>5.468849716837905</x:v>
      </x:c>
      <x:c r="AX437" s="12" t="n">
        <x:v>0.9332479820610817</x:v>
      </x:c>
      <x:c r="AY437" s="11"/>
      <x:c r="AZ437" s="11"/>
      <x:c r="BA437" s="11"/>
      <x:c r="BB437" s="11"/>
      <x:c r="BC437" s="11"/>
      <x:c r="BD437" s="11"/>
      <x:c r="BE437" s="11"/>
      <x:c r="BF437" s="11"/>
      <x:c r="BG437" s="11"/>
      <x:c r="BH437" s="11"/>
      <x:c r="BI437" s="11"/>
      <x:c r="BJ437" s="11"/>
      <x:c r="BK437" s="12"/>
      <x:c r="BL437" s="12"/>
      <x:c r="BM437" s="12"/>
      <x:c r="BN437" s="12"/>
      <x:c r="BO437" s="12"/>
      <x:c r="BP437" s="12"/>
      <x:c r="BQ437" s="12"/>
      <x:c r="BR437" s="12"/>
      <x:c r="BS437" s="12"/>
      <x:c r="BT437" s="12"/>
      <x:c r="BU437" s="11" t="n">
        <x:v>69035</x:v>
      </x:c>
      <x:c r="BV437" s="11" t="n">
        <x:v>819690</x:v>
      </x:c>
      <x:c r="BW437" s="11" t="n">
        <x:v>0</x:v>
      </x:c>
      <x:c r="BX437" s="11" t="n">
        <x:v>24077</x:v>
      </x:c>
      <x:c r="BY437" s="11" t="n">
        <x:v>0</x:v>
      </x:c>
      <x:c r="BZ437" s="11" t="n">
        <x:v>0</x:v>
      </x:c>
      <x:c r="CA437" s="11" t="n">
        <x:v>0</x:v>
      </x:c>
      <x:c r="CB437" s="11" t="n">
        <x:v>0</x:v>
      </x:c>
      <x:c r="CC437" s="11" t="n">
        <x:v>599527</x:v>
      </x:c>
      <x:c r="CD437" s="11" t="n">
        <x:v>74536</x:v>
      </x:c>
      <x:c r="CE437" s="11" t="n">
        <x:v>0</x:v>
      </x:c>
      <x:c r="CF437" s="11" t="n">
        <x:v>0</x:v>
      </x:c>
      <x:c r="CG437" s="11" t="n">
        <x:v>65805</x:v>
      </x:c>
      <x:c r="CH437" s="11" t="n">
        <x:v>219286</x:v>
      </x:c>
      <x:c r="CI437" s="11" t="n">
        <x:v>24987</x:v>
      </x:c>
      <x:c r="CJ437" s="11" t="n">
        <x:v>140024</x:v>
      </x:c>
      <x:c r="CK437" s="11" t="n">
        <x:v>79347</x:v>
      </x:c>
      <x:c r="CL437" s="11" t="n">
        <x:v>0</x:v>
      </x:c>
      <x:c r="CM437" s="11"/>
      <x:c r="CN437" s="11" t="n">
        <x:v>0</x:v>
      </x:c>
      <x:c r="CO437" s="11" t="n">
        <x:v>0</x:v>
      </x:c>
      <x:c r="CP437" s="8"/>
      <x:c r="CQ437" s="8"/>
    </x:row>
    <x:row r="438">
      <x:c r="A438" s="8" t="str">
        <x:v>Lytton|2021</x:v>
      </x:c>
      <x:c r="B438" s="8" t="str">
        <x:v>lytton-v</x:v>
      </x:c>
      <x:c r="C438" s="8" t="str">
        <x:v>Lytton</x:v>
      </x:c>
      <x:c r="D438" s="8" t="str">
        <x:v>Lytton</x:v>
      </x:c>
      <x:c r="E438" s="8" t="str">
        <x:v>V</x:v>
      </x:c>
      <x:c r="F438" s="8" t="str">
        <x:v>TNR</x:v>
      </x:c>
      <x:c r="G438" s="9" t="n">
        <x:v>2021</x:v>
      </x:c>
      <x:c r="H438" s="10" t="n">
        <x:v>276</x:v>
      </x:c>
      <x:c r="I438" s="8" t="str">
        <x:v>Under 5,000</x:v>
      </x:c>
      <x:c r="J438" s="11" t="n">
        <x:v>4854013</x:v>
      </x:c>
      <x:c r="K438" s="11" t="n">
        <x:v>5244792</x:v>
      </x:c>
      <x:c r="L438" s="11" t="n">
        <x:v>-390779</x:v>
      </x:c>
      <x:c r="M438" s="12" t="n">
        <x:v>-0.08050637688856623</x:v>
      </x:c>
      <x:c r="N438" s="11" t="n">
        <x:v>391965</x:v>
      </x:c>
      <x:c r="O438" s="11" t="n">
        <x:v>379836</x:v>
      </x:c>
      <x:c r="P438" s="11" t="n">
        <x:v>4060589</x:v>
      </x:c>
      <x:c r="Q438" s="11" t="n">
        <x:v>21623</x:v>
      </x:c>
      <x:c r="R438" s="11" t="n">
        <x:v>5081704</x:v>
      </x:c>
      <x:c r="S438" s="11" t="n">
        <x:v>154538</x:v>
      </x:c>
      <x:c r="T438" s="11" t="n">
        <x:v>3465449</x:v>
      </x:c>
      <x:c r="U438" s="11" t="n">
        <x:v>4107811</x:v>
      </x:c>
      <x:c r="V438" s="11" t="n">
        <x:v>2597983</x:v>
      </x:c>
      <x:c r="W438" s="11" t="n">
        <x:v>0</x:v>
      </x:c>
      <x:c r="X438" s="11" t="n">
        <x:v>65556</x:v>
      </x:c>
      <x:c r="Y438" s="11" t="n">
        <x:v>0</x:v>
      </x:c>
      <x:c r="Z438" s="11" t="n">
        <x:v>9073</x:v>
      </x:c>
      <x:c r="AA438" s="11" t="n">
        <x:v>44761</x:v>
      </x:c>
      <x:c r="AB438" s="11" t="n">
        <x:v>8550</x:v>
      </x:c>
      <x:c r="AC438" s="11" t="n">
        <x:v>17623</x:v>
      </x:c>
      <x:c r="AD438" s="11" t="n">
        <x:v>273136</x:v>
      </x:c>
      <x:c r="AE438" s="11" t="n">
        <x:v>255513</x:v>
      </x:c>
      <x:c r="AF438" s="11" t="n">
        <x:v>1092542</x:v>
      </x:c>
      <x:c r="AG438" s="11" t="n">
        <x:v>7431772</x:v>
      </x:c>
      <x:c r="AH438" s="11" t="n">
        <x:v>1848267</x:v>
      </x:c>
      <x:c r="AI438" s="11" t="n">
        <x:v>5583505</x:v>
      </x:c>
      <x:c r="AJ438" s="11" t="n">
        <x:v>102130</x:v>
      </x:c>
      <x:c r="AK438" s="11" t="n">
        <x:v>75641</x:v>
      </x:c>
      <x:c r="AL438" s="11" t="n">
        <x:v>0</x:v>
      </x:c>
      <x:c r="AM438" s="12" t="n">
        <x:v>1</x:v>
      </x:c>
      <x:c r="AN438" s="12" t="n">
        <x:v>1.3501936780317552</x:v>
      </x:c>
      <x:c r="AO438" s="11" t="n">
        <x:v>630449</x:v>
      </x:c>
      <x:c r="AP438" s="11" t="n">
        <x:v>315830</x:v>
      </x:c>
      <x:c r="AQ438" s="12" t="n">
        <x:v>0.5009604266165859</x:v>
      </x:c>
      <x:c r="AR438" s="11" t="n">
        <x:v>17587.003623188404</x:v>
      </x:c>
      <x:c r="AS438" s="11" t="n">
        <x:v>19002.869565217392</x:v>
      </x:c>
      <x:c r="AT438" s="11" t="n">
        <x:v>9412.981884057972</x:v>
      </x:c>
      <x:c r="AU438" s="11" t="n">
        <x:v>0</x:v>
      </x:c>
      <x:c r="AV438" s="11" t="n">
        <x:v>162.17753623188406</x:v>
      </x:c>
      <x:c r="AW438" s="11" t="n">
        <x:v>0.8436242563253276</x:v>
      </x:c>
      <x:c r="AX438" s="12" t="n">
        <x:v>0.9354790287622283</x:v>
      </x:c>
      <x:c r="AY438" s="11"/>
      <x:c r="AZ438" s="11"/>
      <x:c r="BA438" s="11"/>
      <x:c r="BB438" s="11"/>
      <x:c r="BC438" s="11"/>
      <x:c r="BD438" s="11"/>
      <x:c r="BE438" s="11"/>
      <x:c r="BF438" s="11"/>
      <x:c r="BG438" s="11"/>
      <x:c r="BH438" s="11"/>
      <x:c r="BI438" s="11"/>
      <x:c r="BJ438" s="11"/>
      <x:c r="BK438" s="12"/>
      <x:c r="BL438" s="12"/>
      <x:c r="BM438" s="12"/>
      <x:c r="BN438" s="12"/>
      <x:c r="BO438" s="12"/>
      <x:c r="BP438" s="12"/>
      <x:c r="BQ438" s="12"/>
      <x:c r="BR438" s="12"/>
      <x:c r="BS438" s="12"/>
      <x:c r="BT438" s="12"/>
      <x:c r="BU438" s="11" t="n">
        <x:v>138222</x:v>
      </x:c>
      <x:c r="BV438" s="11" t="n">
        <x:v>3699824</x:v>
      </x:c>
      <x:c r="BW438" s="11" t="n">
        <x:v>222543</x:v>
      </x:c>
      <x:c r="BX438" s="11" t="n">
        <x:v>16053</x:v>
      </x:c>
      <x:c r="BY438" s="11" t="n">
        <x:v>0</x:v>
      </x:c>
      <x:c r="BZ438" s="11" t="n">
        <x:v>0</x:v>
      </x:c>
      <x:c r="CA438" s="11" t="n">
        <x:v>0</x:v>
      </x:c>
      <x:c r="CB438" s="11" t="n">
        <x:v>5570</x:v>
      </x:c>
      <x:c r="CC438" s="11" t="n">
        <x:v>648294</x:v>
      </x:c>
      <x:c r="CD438" s="11" t="n">
        <x:v>119019</x:v>
      </x:c>
      <x:c r="CE438" s="11" t="n">
        <x:v>0</x:v>
      </x:c>
      <x:c r="CF438" s="11" t="n">
        <x:v>0</x:v>
      </x:c>
      <x:c r="CG438" s="11" t="n">
        <x:v>2930198</x:v>
      </x:c>
      <x:c r="CH438" s="11" t="n">
        <x:v>164406</x:v>
      </x:c>
      <x:c r="CI438" s="11" t="n">
        <x:v>48915</x:v>
      </x:c>
      <x:c r="CJ438" s="11" t="n">
        <x:v>202439</x:v>
      </x:c>
      <x:c r="CK438" s="11" t="n">
        <x:v>166626</x:v>
      </x:c>
      <x:c r="CL438" s="11" t="n">
        <x:v>0</x:v>
      </x:c>
      <x:c r="CM438" s="11"/>
      <x:c r="CN438" s="11" t="n">
        <x:v>810357</x:v>
      </x:c>
      <x:c r="CO438" s="11" t="n">
        <x:v>0</x:v>
      </x:c>
      <x:c r="CP438" s="8"/>
      <x:c r="CQ438" s="8"/>
    </x:row>
    <x:row r="439">
      <x:c r="A439" s="8" t="str">
        <x:v>Lytton|2022</x:v>
      </x:c>
      <x:c r="B439" s="8" t="str">
        <x:v>lytton-v</x:v>
      </x:c>
      <x:c r="C439" s="8" t="str">
        <x:v>Lytton</x:v>
      </x:c>
      <x:c r="D439" s="8" t="str">
        <x:v>Lytton</x:v>
      </x:c>
      <x:c r="E439" s="8" t="str">
        <x:v>V</x:v>
      </x:c>
      <x:c r="F439" s="8" t="str">
        <x:v>TNR</x:v>
      </x:c>
      <x:c r="G439" s="9" t="n">
        <x:v>2022</x:v>
      </x:c>
      <x:c r="H439" s="10" t="n">
        <x:v>3592</x:v>
      </x:c>
      <x:c r="I439" s="8" t="str">
        <x:v>Under 5,000</x:v>
      </x:c>
      <x:c r="J439" s="11" t="n">
        <x:v>25530377</x:v>
      </x:c>
      <x:c r="K439" s="11" t="n">
        <x:v>20312164</x:v>
      </x:c>
      <x:c r="L439" s="11" t="n">
        <x:v>5218213</x:v>
      </x:c>
      <x:c r="M439" s="12" t="n">
        <x:v>0.20439232056776913</x:v>
      </x:c>
      <x:c r="N439" s="11" t="n">
        <x:v>343183</x:v>
      </x:c>
      <x:c r="O439" s="11" t="n">
        <x:v>82933</x:v>
      </x:c>
      <x:c r="P439" s="11" t="n">
        <x:v>24812794</x:v>
      </x:c>
      <x:c r="Q439" s="11" t="n">
        <x:v>291467</x:v>
      </x:c>
      <x:c r="R439" s="11" t="n">
        <x:v>20137030</x:v>
      </x:c>
      <x:c r="S439" s="11" t="n">
        <x:v>166584</x:v>
      </x:c>
      <x:c r="T439" s="11" t="n">
        <x:v>23300402</x:v>
      </x:c>
      <x:c r="U439" s="11" t="n">
        <x:v>17163497</x:v>
      </x:c>
      <x:c r="V439" s="11" t="n">
        <x:v>7287503</x:v>
      </x:c>
      <x:c r="W439" s="11" t="n">
        <x:v>0</x:v>
      </x:c>
      <x:c r="X439" s="11" t="n">
        <x:v>44761</x:v>
      </x:c>
      <x:c r="Y439" s="11" t="n">
        <x:v>0</x:v>
      </x:c>
      <x:c r="Z439" s="11" t="n">
        <x:v>9073</x:v>
      </x:c>
      <x:c r="AA439" s="11" t="n">
        <x:v>22926</x:v>
      </x:c>
      <x:c r="AB439" s="11" t="n">
        <x:v>8550</x:v>
      </x:c>
      <x:c r="AC439" s="11" t="n">
        <x:v>17623</x:v>
      </x:c>
      <x:c r="AD439" s="11" t="n">
        <x:v>280432</x:v>
      </x:c>
      <x:c r="AE439" s="11" t="n">
        <x:v>262809</x:v>
      </x:c>
      <x:c r="AF439" s="11" t="n">
        <x:v>1121728</x:v>
      </x:c>
      <x:c r="AG439" s="11" t="n">
        <x:v>8122306</x:v>
      </x:c>
      <x:c r="AH439" s="11" t="n">
        <x:v>2014852</x:v>
      </x:c>
      <x:c r="AI439" s="11" t="n">
        <x:v>6107454</x:v>
      </x:c>
      <x:c r="AJ439" s="11" t="n">
        <x:v>690533</x:v>
      </x:c>
      <x:c r="AK439" s="11" t="n">
        <x:v>75641</x:v>
      </x:c>
      <x:c r="AL439" s="11" t="n">
        <x:v>0</x:v>
      </x:c>
      <x:c r="AM439" s="12" t="n">
        <x:v>1</x:v>
      </x:c>
      <x:c r="AN439" s="12" t="n">
        <x:v>9.129083433587605</x:v>
      </x:c>
      <x:c r="AO439" s="11" t="n">
        <x:v>745626</x:v>
      </x:c>
      <x:c r="AP439" s="11" t="n">
        <x:v>520537</x:v>
      </x:c>
      <x:c r="AQ439" s="12" t="n">
        <x:v>0.698120773685467</x:v>
      </x:c>
      <x:c r="AR439" s="11" t="n">
        <x:v>7107.565979955457</x:v>
      </x:c>
      <x:c r="AS439" s="11" t="n">
        <x:v>5654.834075723831</x:v>
      </x:c>
      <x:c r="AT439" s="11" t="n">
        <x:v>2028.8148663697104</x:v>
      </x:c>
      <x:c r="AU439" s="11" t="n">
        <x:v>0</x:v>
      </x:c>
      <x:c r="AV439" s="11" t="n">
        <x:v>6.382516703786192</x:v>
      </x:c>
      <x:c r="AW439" s="11" t="n">
        <x:v>1.3575556309999064</x:v>
      </x:c>
      <x:c r="AX439" s="12" t="n">
        <x:v>0.937157671021852</x:v>
      </x:c>
      <x:c r="AY439" s="11"/>
      <x:c r="AZ439" s="11"/>
      <x:c r="BA439" s="11"/>
      <x:c r="BB439" s="11"/>
      <x:c r="BC439" s="11"/>
      <x:c r="BD439" s="11"/>
      <x:c r="BE439" s="11"/>
      <x:c r="BF439" s="11"/>
      <x:c r="BG439" s="11"/>
      <x:c r="BH439" s="11"/>
      <x:c r="BI439" s="11"/>
      <x:c r="BJ439" s="11"/>
      <x:c r="BK439" s="12"/>
      <x:c r="BL439" s="12"/>
      <x:c r="BM439" s="12"/>
      <x:c r="BN439" s="12"/>
      <x:c r="BO439" s="12"/>
      <x:c r="BP439" s="12"/>
      <x:c r="BQ439" s="12"/>
      <x:c r="BR439" s="12"/>
      <x:c r="BS439" s="12"/>
      <x:c r="BT439" s="12"/>
      <x:c r="BU439" s="11" t="n">
        <x:v>68839</x:v>
      </x:c>
      <x:c r="BV439" s="11" t="n">
        <x:v>24743955</x:v>
      </x:c>
      <x:c r="BW439" s="11" t="n">
        <x:v>0</x:v>
      </x:c>
      <x:c r="BX439" s="11" t="n">
        <x:v>183895</x:v>
      </x:c>
      <x:c r="BY439" s="11" t="n">
        <x:v>0</x:v>
      </x:c>
      <x:c r="BZ439" s="11" t="n">
        <x:v>0</x:v>
      </x:c>
      <x:c r="CA439" s="11" t="n">
        <x:v>0</x:v>
      </x:c>
      <x:c r="CB439" s="11" t="n">
        <x:v>107572</x:v>
      </x:c>
      <x:c r="CC439" s="11" t="n">
        <x:v>461427</x:v>
      </x:c>
      <x:c r="CD439" s="11" t="n">
        <x:v>24842</x:v>
      </x:c>
      <x:c r="CE439" s="11" t="n">
        <x:v>0</x:v>
      </x:c>
      <x:c r="CF439" s="11" t="n">
        <x:v>0</x:v>
      </x:c>
      <x:c r="CG439" s="11" t="n">
        <x:v>19399440</x:v>
      </x:c>
      <x:c r="CH439" s="11" t="n">
        <x:v>77917</x:v>
      </x:c>
      <x:c r="CI439" s="11" t="n">
        <x:v>3678</x:v>
      </x:c>
      <x:c r="CJ439" s="11" t="n">
        <x:v>125220</x:v>
      </x:c>
      <x:c r="CK439" s="11" t="n">
        <x:v>53056</x:v>
      </x:c>
      <x:c r="CL439" s="11" t="n">
        <x:v>0</x:v>
      </x:c>
      <x:c r="CM439" s="11"/>
      <x:c r="CN439" s="11" t="n">
        <x:v>0</x:v>
      </x:c>
      <x:c r="CO439" s="11" t="n">
        <x:v>0</x:v>
      </x:c>
      <x:c r="CP439" s="8"/>
      <x:c r="CQ439" s="8"/>
    </x:row>
    <x:row r="440">
      <x:c r="A440" s="8" t="str">
        <x:v>Lytton|2023</x:v>
      </x:c>
      <x:c r="B440" s="8" t="str">
        <x:v>lytton-v</x:v>
      </x:c>
      <x:c r="C440" s="8" t="str">
        <x:v>Lytton</x:v>
      </x:c>
      <x:c r="D440" s="8" t="str">
        <x:v>Lytton</x:v>
      </x:c>
      <x:c r="E440" s="8" t="str">
        <x:v>V</x:v>
      </x:c>
      <x:c r="F440" s="8" t="str">
        <x:v>TNR</x:v>
      </x:c>
      <x:c r="G440" s="9" t="n">
        <x:v>2023</x:v>
      </x:c>
      <x:c r="H440" s="10" t="n">
        <x:v>281</x:v>
      </x:c>
      <x:c r="I440" s="8" t="str">
        <x:v>Under 5,000</x:v>
      </x:c>
      <x:c r="J440" s="11" t="n">
        <x:v>19785952</x:v>
      </x:c>
      <x:c r="K440" s="11" t="n">
        <x:v>19064639</x:v>
      </x:c>
      <x:c r="L440" s="11" t="n">
        <x:v>721313</x:v>
      </x:c>
      <x:c r="M440" s="12" t="n">
        <x:v>0.036455814711366934</x:v>
      </x:c>
      <x:c r="N440" s="11" t="n">
        <x:v>363872</x:v>
      </x:c>
      <x:c r="O440" s="11" t="n">
        <x:v>100552</x:v>
      </x:c>
      <x:c r="P440" s="11" t="n">
        <x:v>17785584</x:v>
      </x:c>
      <x:c r="Q440" s="11" t="n">
        <x:v>1535944</x:v>
      </x:c>
      <x:c r="R440" s="11" t="n">
        <x:v>18860549</x:v>
      </x:c>
      <x:c r="S440" s="11" t="n">
        <x:v>195540</x:v>
      </x:c>
      <x:c r="T440" s="11" t="n">
        <x:v>12754569</x:v>
      </x:c>
      <x:c r="U440" s="11" t="n">
        <x:v>11965522</x:v>
      </x:c>
      <x:c r="V440" s="11" t="n">
        <x:v>7728618</x:v>
      </x:c>
      <x:c r="W440" s="11" t="n">
        <x:v>0</x:v>
      </x:c>
      <x:c r="X440" s="11" t="n">
        <x:v>35688</x:v>
      </x:c>
      <x:c r="Y440" s="11" t="n">
        <x:v>0</x:v>
      </x:c>
      <x:c r="Z440" s="11" t="n">
        <x:v>9072</x:v>
      </x:c>
      <x:c r="AA440" s="11" t="n">
        <x:v>0</x:v>
      </x:c>
      <x:c r="AB440" s="11" t="n">
        <x:v>8550</x:v>
      </x:c>
      <x:c r="AC440" s="11" t="n">
        <x:v>17622</x:v>
      </x:c>
      <x:c r="AD440" s="11" t="n">
        <x:v>577722</x:v>
      </x:c>
      <x:c r="AE440" s="11" t="n">
        <x:v>560100</x:v>
      </x:c>
      <x:c r="AF440" s="11" t="n">
        <x:v>2310887</x:v>
      </x:c>
      <x:c r="AG440" s="11" t="n">
        <x:v>8585281</x:v>
      </x:c>
      <x:c r="AH440" s="11" t="n">
        <x:v>2210391</x:v>
      </x:c>
      <x:c r="AI440" s="11" t="n">
        <x:v>6374890</x:v>
      </x:c>
      <x:c r="AJ440" s="11" t="n">
        <x:v>462976</x:v>
      </x:c>
      <x:c r="AK440" s="11" t="n">
        <x:v>14444161</x:v>
      </x:c>
      <x:c r="AL440" s="11" t="n">
        <x:v>323673</x:v>
      </x:c>
      <x:c r="AM440" s="12" t="n">
        <x:v>0.9775914295056667</x:v>
      </x:c>
      <x:c r="AN440" s="12" t="n">
        <x:v>0.032052813590211296</x:v>
      </x:c>
      <x:c r="AO440" s="11" t="n">
        <x:v>834941</x:v>
      </x:c>
      <x:c r="AP440" s="11" t="n">
        <x:v>737450</x:v>
      </x:c>
      <x:c r="AQ440" s="12" t="n">
        <x:v>0.8832360609911359</x:v>
      </x:c>
      <x:c r="AR440" s="11" t="n">
        <x:v>70412.64056939502</x:v>
      </x:c>
      <x:c r="AS440" s="11" t="n">
        <x:v>67845.69039145908</x:v>
      </x:c>
      <x:c r="AT440" s="11" t="n">
        <x:v>27503.978647686832</x:v>
      </x:c>
      <x:c r="AU440" s="11" t="n">
        <x:v>0</x:v>
      </x:c>
      <x:c r="AV440" s="11" t="n">
        <x:v>0</x:v>
      </x:c>
      <x:c r="AW440" s="11" t="n">
        <x:v>1.0659433829965796</x:v>
      </x:c>
      <x:c r="AX440" s="12" t="n">
        <x:v>0.9694974399451639</x:v>
      </x:c>
      <x:c r="AY440" s="11"/>
      <x:c r="AZ440" s="11"/>
      <x:c r="BA440" s="11"/>
      <x:c r="BB440" s="11"/>
      <x:c r="BC440" s="11"/>
      <x:c r="BD440" s="11"/>
      <x:c r="BE440" s="11"/>
      <x:c r="BF440" s="11"/>
      <x:c r="BG440" s="11"/>
      <x:c r="BH440" s="11"/>
      <x:c r="BI440" s="11"/>
      <x:c r="BJ440" s="11"/>
      <x:c r="BK440" s="12"/>
      <x:c r="BL440" s="12"/>
      <x:c r="BM440" s="12"/>
      <x:c r="BN440" s="12"/>
      <x:c r="BO440" s="12"/>
      <x:c r="BP440" s="12"/>
      <x:c r="BQ440" s="12"/>
      <x:c r="BR440" s="12"/>
      <x:c r="BS440" s="12"/>
      <x:c r="BT440" s="12"/>
      <x:c r="BU440" s="11" t="n">
        <x:v>0</x:v>
      </x:c>
      <x:c r="BV440" s="11" t="n">
        <x:v>17735584</x:v>
      </x:c>
      <x:c r="BW440" s="11" t="n">
        <x:v>50000</x:v>
      </x:c>
      <x:c r="BX440" s="11" t="n">
        <x:v>878540</x:v>
      </x:c>
      <x:c r="BY440" s="11" t="n">
        <x:v>0</x:v>
      </x:c>
      <x:c r="BZ440" s="11" t="n">
        <x:v>0</x:v>
      </x:c>
      <x:c r="CA440" s="11" t="n">
        <x:v>0</x:v>
      </x:c>
      <x:c r="CB440" s="11" t="n">
        <x:v>657404</x:v>
      </x:c>
      <x:c r="CC440" s="11" t="n">
        <x:v>966095</x:v>
      </x:c>
      <x:c r="CD440" s="11" t="n">
        <x:v>53590</x:v>
      </x:c>
      <x:c r="CE440" s="11" t="n">
        <x:v>0</x:v>
      </x:c>
      <x:c r="CF440" s="11" t="n">
        <x:v>0</x:v>
      </x:c>
      <x:c r="CG440" s="11" t="n">
        <x:v>17476419</x:v>
      </x:c>
      <x:c r="CH440" s="11" t="n">
        <x:v>156107</x:v>
      </x:c>
      <x:c r="CI440" s="11" t="n">
        <x:v>1981</x:v>
      </x:c>
      <x:c r="CJ440" s="11" t="n">
        <x:v>152684</x:v>
      </x:c>
      <x:c r="CK440" s="11" t="n">
        <x:v>62223</x:v>
      </x:c>
      <x:c r="CL440" s="11" t="n">
        <x:v>0</x:v>
      </x:c>
      <x:c r="CM440" s="11" t="n">
        <x:v>0</x:v>
      </x:c>
      <x:c r="CN440" s="11" t="n">
        <x:v>0</x:v>
      </x:c>
      <x:c r="CO440" s="11" t="n">
        <x:v>0</x:v>
      </x:c>
      <x:c r="CP440" s="8"/>
      <x:c r="CQ440" s="8"/>
    </x:row>
    <x:row r="441">
      <x:c r="A441" s="8" t="str">
        <x:v>Lytton|2024</x:v>
      </x:c>
      <x:c r="B441" s="8" t="str">
        <x:v>lytton-v</x:v>
      </x:c>
      <x:c r="C441" s="8" t="str">
        <x:v>Lytton</x:v>
      </x:c>
      <x:c r="D441" s="8" t="str">
        <x:v>Lytton</x:v>
      </x:c>
      <x:c r="E441" s="8" t="str">
        <x:v>V</x:v>
      </x:c>
      <x:c r="F441" s="8" t="str">
        <x:v>TNR</x:v>
      </x:c>
      <x:c r="G441" s="9" t="n">
        <x:v>2024</x:v>
      </x:c>
      <x:c r="H441" s="10" t="n">
        <x:v>281</x:v>
      </x:c>
      <x:c r="I441" s="8" t="str">
        <x:v>Under 5,000</x:v>
      </x:c>
      <x:c r="J441" s="11" t="n">
        <x:v>7680080</x:v>
      </x:c>
      <x:c r="K441" s="11" t="n">
        <x:v>4337389</x:v>
      </x:c>
      <x:c r="L441" s="11" t="n">
        <x:v>3342691</x:v>
      </x:c>
      <x:c r="M441" s="12" t="n">
        <x:v>0.43524169019072717</x:v>
      </x:c>
      <x:c r="N441" s="11" t="n">
        <x:v>352662</x:v>
      </x:c>
      <x:c r="O441" s="11" t="n">
        <x:v>178120</x:v>
      </x:c>
      <x:c r="P441" s="11" t="n">
        <x:v>3324510</x:v>
      </x:c>
      <x:c r="Q441" s="11" t="n">
        <x:v>3824788</x:v>
      </x:c>
      <x:c r="R441" s="11" t="n">
        <x:v>4143281</x:v>
      </x:c>
      <x:c r="S441" s="11" t="n">
        <x:v>194108</x:v>
      </x:c>
      <x:c r="T441" s="11" t="n">
        <x:v>20071789</x:v>
      </x:c>
      <x:c r="U441" s="11" t="n">
        <x:v>10132187</x:v>
      </x:c>
      <x:c r="V441" s="11" t="n">
        <x:v>10722594</x:v>
      </x:c>
      <x:c r="W441" s="11" t="n">
        <x:v>0</x:v>
      </x:c>
      <x:c r="X441" s="11" t="n">
        <x:v>0</x:v>
      </x:c>
      <x:c r="Y441" s="11" t="n">
        <x:v>0</x:v>
      </x:c>
      <x:c r="Z441" s="11" t="n">
        <x:v>0</x:v>
      </x:c>
      <x:c r="AA441" s="11" t="n">
        <x:v>0</x:v>
      </x:c>
      <x:c r="AB441" s="11" t="n">
        <x:v>0</x:v>
      </x:c>
      <x:c r="AC441" s="11" t="n">
        <x:v>0</x:v>
      </x:c>
      <x:c r="AD441" s="11" t="n">
        <x:v>391942</x:v>
      </x:c>
      <x:c r="AE441" s="11" t="n">
        <x:v>391942</x:v>
      </x:c>
      <x:c r="AF441" s="11" t="n">
        <x:v>1567769</x:v>
      </x:c>
      <x:c r="AG441" s="11" t="n">
        <x:v>9059424</x:v>
      </x:c>
      <x:c r="AH441" s="11" t="n">
        <x:v>2404499</x:v>
      </x:c>
      <x:c r="AI441" s="11" t="n">
        <x:v>6654925</x:v>
      </x:c>
      <x:c r="AJ441" s="11" t="n">
        <x:v>474143</x:v>
      </x:c>
      <x:c r="AK441" s="11" t="n">
        <x:v>6654925</x:v>
      </x:c>
      <x:c r="AL441" s="11" t="n">
        <x:v>6134925</x:v>
      </x:c>
      <x:c r="AM441" s="12" t="n">
        <x:v>0.07813761988301893</x:v>
      </x:c>
      <x:c r="AN441" s="12" t="n">
        <x:v>0.07124693366191204</x:v>
      </x:c>
      <x:c r="AO441" s="11" t="n">
        <x:v>607948</x:v>
      </x:c>
      <x:c r="AP441" s="11" t="n">
        <x:v>584309</x:v>
      </x:c>
      <x:c r="AQ441" s="12" t="n">
        <x:v>0.9611167402475211</x:v>
      </x:c>
      <x:c r="AR441" s="11" t="n">
        <x:v>27331.245551601423</x:v>
      </x:c>
      <x:c r="AS441" s="11" t="n">
        <x:v>15435.548042704626</x:v>
      </x:c>
      <x:c r="AT441" s="11" t="n">
        <x:v>38158.697508896796</x:v>
      </x:c>
      <x:c r="AU441" s="11" t="n">
        <x:v>0</x:v>
      </x:c>
      <x:c r="AV441" s="11" t="n">
        <x:v>0</x:v>
      </x:c>
      <x:c r="AW441" s="11" t="n">
        <x:v>1.9809927511207601</x:v>
      </x:c>
      <x:c r="AX441" s="12" t="n">
        <x:v>1</x:v>
      </x:c>
      <x:c r="AY441" s="11" t="n">
        <x:v>4648.097865362712</x:v>
      </x:c>
      <x:c r="AZ441" s="11" t="n">
        <x:v>3546.5079302077975</x:v>
      </x:c>
      <x:c r="BA441" s="11" t="n">
        <x:v>3428.422456291105</x:v>
      </x:c>
      <x:c r="BB441" s="11" t="n">
        <x:v>2783.665107049771</x:v>
      </x:c>
      <x:c r="BC441" s="11" t="n">
        <x:v>5030.364110900993</x:v>
      </x:c>
      <x:c r="BD441" s="11" t="n">
        <x:v>2437.8724475115623</x:v>
      </x:c>
      <x:c r="BE441" s="11" t="n">
        <x:v>2420.45</x:v>
      </x:c>
      <x:c r="BF441" s="11" t="n">
        <x:v>1604.3462673977224</x:v>
      </x:c>
      <x:c r="BG441" s="11" t="n">
        <x:v>224.31236112962716</x:v>
      </x:c>
      <x:c r="BH441" s="11" t="n">
        <x:v>518.5374381567245</x:v>
      </x:c>
      <x:c r="BI441" s="11" t="n">
        <x:v>2.204313821553219</x:v>
      </x:c>
      <x:c r="BJ441" s="11" t="n">
        <x:v>1.7099330852451193</x:v>
      </x:c>
      <x:c r="BK441" s="12" t="n">
        <x:v>0.030042455998363887</x:v>
      </x:c>
      <x:c r="BL441" s="12" t="n">
        <x:v>0.02529861000232605</x:v>
      </x:c>
      <x:c r="BM441" s="12" t="n">
        <x:v>0.9786113537119745</x:v>
      </x:c>
      <x:c r="BN441" s="12" t="n">
        <x:v>0.9815511712696461</x:v>
      </x:c>
      <x:c r="BO441" s="12" t="n">
        <x:v>0.9039920521842442</x:v>
      </x:c>
      <x:c r="BP441" s="12" t="n">
        <x:v>0.8619101997275483</x:v>
      </x:c>
      <x:c r="BQ441" s="12" t="n">
        <x:v>0.9333160528846489</x:v>
      </x:c>
      <x:c r="BR441" s="12" t="n">
        <x:v>0.9623635142836453</x:v>
      </x:c>
      <x:c r="BS441" s="12" t="n">
        <x:v>0.20869205825466772</x:v>
      </x:c>
      <x:c r="BT441" s="12" t="n">
        <x:v>0.19976549769108282</x:v>
      </x:c>
      <x:c r="BU441" s="11" t="n">
        <x:v>219826</x:v>
      </x:c>
      <x:c r="BV441" s="11" t="n">
        <x:v>2865270</x:v>
      </x:c>
      <x:c r="BW441" s="11" t="n">
        <x:v>239414</x:v>
      </x:c>
      <x:c r="BX441" s="11" t="n">
        <x:v>622750</x:v>
      </x:c>
      <x:c r="BY441" s="11" t="n">
        <x:v>0</x:v>
      </x:c>
      <x:c r="BZ441" s="11" t="n">
        <x:v>70</x:v>
      </x:c>
      <x:c r="CA441" s="11" t="n">
        <x:v>3201968</x:v>
      </x:c>
      <x:c r="CB441" s="11" t="n">
        <x:v>0</x:v>
      </x:c>
      <x:c r="CC441" s="11" t="n">
        <x:v>1348834</x:v>
      </x:c>
      <x:c r="CD441" s="11" t="n">
        <x:v>97353</x:v>
      </x:c>
      <x:c r="CE441" s="11" t="n">
        <x:v>0</x:v>
      </x:c>
      <x:c r="CF441" s="11" t="n">
        <x:v>0</x:v>
      </x:c>
      <x:c r="CG441" s="11" t="n">
        <x:v>2119209</x:v>
      </x:c>
      <x:c r="CH441" s="11" t="n">
        <x:v>201180</x:v>
      </x:c>
      <x:c r="CI441" s="11" t="n">
        <x:v>6912</x:v>
      </x:c>
      <x:c r="CJ441" s="11" t="n">
        <x:v>242865</x:v>
      </x:c>
      <x:c r="CK441" s="11" t="n">
        <x:v>126928</x:v>
      </x:c>
      <x:c r="CL441" s="11" t="n">
        <x:v>0</x:v>
      </x:c>
      <x:c r="CM441" s="11" t="n">
        <x:v>0</x:v>
      </x:c>
      <x:c r="CN441" s="11" t="n">
        <x:v>0</x:v>
      </x:c>
      <x:c r="CO441" s="11" t="n">
        <x:v>0</x:v>
      </x:c>
      <x:c r="CP441" s="8"/>
      <x:c r="CQ441" s="8"/>
    </x:row>
    <x:row r="442">
      <x:c r="A442" s="8" t="str">
        <x:v>Mackenzie|2019</x:v>
      </x:c>
      <x:c r="B442" s="8" t="str">
        <x:v>mackenzie-d</x:v>
      </x:c>
      <x:c r="C442" s="8" t="str">
        <x:v>Mackenzie</x:v>
      </x:c>
      <x:c r="D442" s="8" t="str">
        <x:v>Mackenzie</x:v>
      </x:c>
      <x:c r="E442" s="8" t="str">
        <x:v>D</x:v>
      </x:c>
      <x:c r="F442" s="8" t="str">
        <x:v>FFG</x:v>
      </x:c>
      <x:c r="G442" s="9" t="n">
        <x:v>2019</x:v>
      </x:c>
      <x:c r="H442" s="10" t="n">
        <x:v>4046</x:v>
      </x:c>
      <x:c r="I442" s="8" t="str">
        <x:v>Under 5,000</x:v>
      </x:c>
      <x:c r="J442" s="11" t="n">
        <x:v>17988777</x:v>
      </x:c>
      <x:c r="K442" s="11" t="n">
        <x:v>11459750</x:v>
      </x:c>
      <x:c r="L442" s="11" t="n">
        <x:v>6529027</x:v>
      </x:c>
      <x:c r="M442" s="12" t="n">
        <x:v>0.3629500215606653</x:v>
      </x:c>
      <x:c r="N442" s="11" t="n">
        <x:v>8095222</x:v>
      </x:c>
      <x:c r="O442" s="11" t="n">
        <x:v>2384731</x:v>
      </x:c>
      <x:c r="P442" s="11" t="n">
        <x:v>6345101</x:v>
      </x:c>
      <x:c r="Q442" s="11" t="n">
        <x:v>1163723</x:v>
      </x:c>
      <x:c r="R442" s="11" t="n">
        <x:v>9790453</x:v>
      </x:c>
      <x:c r="S442" s="11" t="n">
        <x:v>1668673</x:v>
      </x:c>
      <x:c r="T442" s="11" t="n">
        <x:v>18583816</x:v>
      </x:c>
      <x:c r="U442" s="11" t="n">
        <x:v>1565585</x:v>
      </x:c>
      <x:c r="V442" s="11" t="n">
        <x:v>22357912</x:v>
      </x:c>
      <x:c r="W442" s="11" t="n">
        <x:v>9291565</x:v>
      </x:c>
      <x:c r="X442" s="11" t="n">
        <x:v>0</x:v>
      </x:c>
      <x:c r="Y442" s="11" t="n">
        <x:v>0</x:v>
      </x:c>
      <x:c r="Z442" s="11" t="n">
        <x:v>0</x:v>
      </x:c>
      <x:c r="AA442" s="11" t="n">
        <x:v>0</x:v>
      </x:c>
      <x:c r="AB442" s="11" t="n">
        <x:v>624</x:v>
      </x:c>
      <x:c r="AC442" s="11" t="n">
        <x:v>624</x:v>
      </x:c>
      <x:c r="AD442" s="11" t="n">
        <x:v>2672787</x:v>
      </x:c>
      <x:c r="AE442" s="11" t="n">
        <x:v>2672163</x:v>
      </x:c>
      <x:c r="AF442" s="11" t="n">
        <x:v>10691147</x:v>
      </x:c>
      <x:c r="AG442" s="11" t="n">
        <x:v>68878450</x:v>
      </x:c>
      <x:c r="AH442" s="11" t="n">
        <x:v>27238372</x:v>
      </x:c>
      <x:c r="AI442" s="11" t="n">
        <x:v>41640078</x:v>
      </x:c>
      <x:c r="AJ442" s="11" t="n">
        <x:v>2819748</x:v>
      </x:c>
      <x:c r="AK442" s="11" t="n">
        <x:v>39879840</x:v>
      </x:c>
      <x:c r="AL442" s="11" t="n">
        <x:v>1200448</x:v>
      </x:c>
      <x:c r="AM442" s="12" t="n">
        <x:v>0.9698983747176518</x:v>
      </x:c>
      <x:c r="AN442" s="12" t="n">
        <x:v>0.07070610112778787</x:v>
      </x:c>
      <x:c r="AO442" s="11" t="n">
        <x:v>9638807</x:v>
      </x:c>
      <x:c r="AP442" s="11" t="n">
        <x:v>8622180</x:v>
      </x:c>
      <x:c r="AQ442" s="12" t="n">
        <x:v>0.8945277148925173</x:v>
      </x:c>
      <x:c r="AR442" s="11" t="n">
        <x:v>4446.064508156203</x:v>
      </x:c>
      <x:c r="AS442" s="11" t="n">
        <x:v>2832.3652990608007</x:v>
      </x:c>
      <x:c r="AT442" s="11" t="n">
        <x:v>5525.929807217004</x:v>
      </x:c>
      <x:c r="AU442" s="11" t="n">
        <x:v>2296.481710331191</x:v>
      </x:c>
      <x:c r="AV442" s="11" t="n">
        <x:v>0</x:v>
      </x:c>
      <x:c r="AW442" s="11" t="n">
        <x:v>11.870205705854362</x:v>
      </x:c>
      <x:c r="AX442" s="12" t="n">
        <x:v>0.9997665358294544</x:v>
      </x:c>
      <x:c r="AY442" s="11"/>
      <x:c r="AZ442" s="11"/>
      <x:c r="BA442" s="11"/>
      <x:c r="BB442" s="11"/>
      <x:c r="BC442" s="11"/>
      <x:c r="BD442" s="11"/>
      <x:c r="BE442" s="11"/>
      <x:c r="BF442" s="11"/>
      <x:c r="BG442" s="11"/>
      <x:c r="BH442" s="11"/>
      <x:c r="BI442" s="11"/>
      <x:c r="BJ442" s="11"/>
      <x:c r="BK442" s="12"/>
      <x:c r="BL442" s="12"/>
      <x:c r="BM442" s="12"/>
      <x:c r="BN442" s="12"/>
      <x:c r="BO442" s="12"/>
      <x:c r="BP442" s="12"/>
      <x:c r="BQ442" s="12"/>
      <x:c r="BR442" s="12"/>
      <x:c r="BS442" s="12"/>
      <x:c r="BT442" s="12"/>
      <x:c r="BU442" s="11" t="n">
        <x:v>5000</x:v>
      </x:c>
      <x:c r="BV442" s="11" t="n">
        <x:v>5869699</x:v>
      </x:c>
      <x:c r="BW442" s="11" t="n">
        <x:v>470402</x:v>
      </x:c>
      <x:c r="BX442" s="11" t="n">
        <x:v>398815</x:v>
      </x:c>
      <x:c r="BY442" s="11" t="n">
        <x:v>764908</x:v>
      </x:c>
      <x:c r="BZ442" s="11" t="n">
        <x:v>0</x:v>
      </x:c>
      <x:c r="CA442" s="11" t="n">
        <x:v>0</x:v>
      </x:c>
      <x:c r="CB442" s="11" t="n">
        <x:v>0</x:v>
      </x:c>
      <x:c r="CC442" s="11" t="n">
        <x:v>2261471</x:v>
      </x:c>
      <x:c r="CD442" s="11" t="n">
        <x:v>1122158</x:v>
      </x:c>
      <x:c r="CE442" s="11" t="n">
        <x:v>362097</x:v>
      </x:c>
      <x:c r="CF442" s="11" t="n">
        <x:v>41911</x:v>
      </x:c>
      <x:c r="CG442" s="11" t="n">
        <x:v>0</x:v>
      </x:c>
      <x:c r="CH442" s="11" t="n">
        <x:v>1733724</x:v>
      </x:c>
      <x:c r="CI442" s="11" t="n">
        <x:v>3534844</x:v>
      </x:c>
      <x:c r="CJ442" s="11" t="n">
        <x:v>336679</x:v>
      </x:c>
      <x:c r="CK442" s="11" t="n">
        <x:v>284451</x:v>
      </x:c>
      <x:c r="CL442" s="11" t="n">
        <x:v>0</x:v>
      </x:c>
      <x:c r="CM442" s="11"/>
      <x:c r="CN442" s="11" t="n">
        <x:v>113742</x:v>
      </x:c>
      <x:c r="CO442" s="11" t="n">
        <x:v>0</x:v>
      </x:c>
      <x:c r="CP442" s="8"/>
      <x:c r="CQ442" s="8"/>
    </x:row>
    <x:row r="443">
      <x:c r="A443" s="8" t="str">
        <x:v>Mackenzie|2020</x:v>
      </x:c>
      <x:c r="B443" s="8" t="str">
        <x:v>mackenzie-d</x:v>
      </x:c>
      <x:c r="C443" s="8" t="str">
        <x:v>Mackenzie</x:v>
      </x:c>
      <x:c r="D443" s="8" t="str">
        <x:v>Mackenzie</x:v>
      </x:c>
      <x:c r="E443" s="8" t="str">
        <x:v>D</x:v>
      </x:c>
      <x:c r="F443" s="8" t="str">
        <x:v>FFG</x:v>
      </x:c>
      <x:c r="G443" s="9" t="n">
        <x:v>2020</x:v>
      </x:c>
      <x:c r="H443" s="10" t="n">
        <x:v>3830</x:v>
      </x:c>
      <x:c r="I443" s="8" t="str">
        <x:v>Under 5,000</x:v>
      </x:c>
      <x:c r="J443" s="11" t="n">
        <x:v>18899298</x:v>
      </x:c>
      <x:c r="K443" s="11" t="n">
        <x:v>12049544</x:v>
      </x:c>
      <x:c r="L443" s="11" t="n">
        <x:v>6849754</x:v>
      </x:c>
      <x:c r="M443" s="12" t="n">
        <x:v>0.36243430840658736</x:v>
      </x:c>
      <x:c r="N443" s="11" t="n">
        <x:v>8452096</x:v>
      </x:c>
      <x:c r="O443" s="11" t="n">
        <x:v>2056556</x:v>
      </x:c>
      <x:c r="P443" s="11" t="n">
        <x:v>6389550</x:v>
      </x:c>
      <x:c r="Q443" s="11" t="n">
        <x:v>2001096</x:v>
      </x:c>
      <x:c r="R443" s="11" t="n">
        <x:v>10331074</x:v>
      </x:c>
      <x:c r="S443" s="11" t="n">
        <x:v>1718076</x:v>
      </x:c>
      <x:c r="T443" s="11" t="n">
        <x:v>23900005</x:v>
      </x:c>
      <x:c r="U443" s="11" t="n">
        <x:v>3434986</x:v>
      </x:c>
      <x:c r="V443" s="11" t="n">
        <x:v>29130511</x:v>
      </x:c>
      <x:c r="W443" s="11" t="n">
        <x:v>18529887</x:v>
      </x:c>
      <x:c r="X443" s="11" t="n">
        <x:v>0</x:v>
      </x:c>
      <x:c r="Y443" s="11" t="n">
        <x:v>0</x:v>
      </x:c>
      <x:c r="Z443" s="11" t="n">
        <x:v>0</x:v>
      </x:c>
      <x:c r="AA443" s="11" t="n">
        <x:v>0</x:v>
      </x:c>
      <x:c r="AB443" s="11" t="n">
        <x:v>394</x:v>
      </x:c>
      <x:c r="AC443" s="11" t="n">
        <x:v>394</x:v>
      </x:c>
      <x:c r="AD443" s="11" t="n">
        <x:v>2722161</x:v>
      </x:c>
      <x:c r="AE443" s="11" t="n">
        <x:v>2721767</x:v>
      </x:c>
      <x:c r="AF443" s="11" t="n">
        <x:v>10888643</x:v>
      </x:c>
      <x:c r="AG443" s="11" t="n">
        <x:v>69973875</x:v>
      </x:c>
      <x:c r="AH443" s="11" t="n">
        <x:v>28273143</x:v>
      </x:c>
      <x:c r="AI443" s="11" t="n">
        <x:v>41700732</x:v>
      </x:c>
      <x:c r="AJ443" s="11" t="n">
        <x:v>3722964</x:v>
      </x:c>
      <x:c r="AK443" s="11" t="n">
        <x:v>41700731</x:v>
      </x:c>
      <x:c r="AL443" s="11" t="n">
        <x:v>1355677</x:v>
      </x:c>
      <x:c r="AM443" s="12" t="n">
        <x:v>0.9674903300855805</x:v>
      </x:c>
      <x:c r="AN443" s="12" t="n">
        <x:v>0.08927814718643662</x:v>
      </x:c>
      <x:c r="AO443" s="11" t="n">
        <x:v>9694960</x:v>
      </x:c>
      <x:c r="AP443" s="11" t="n">
        <x:v>8882303</x:v>
      </x:c>
      <x:c r="AQ443" s="12" t="n">
        <x:v>0.9161773746358933</x:v>
      </x:c>
      <x:c r="AR443" s="11" t="n">
        <x:v>4934.542558746736</x:v>
      </x:c>
      <x:c r="AS443" s="11" t="n">
        <x:v>3146.095039164491</x:v>
      </x:c>
      <x:c r="AT443" s="11" t="n">
        <x:v>7605.877545691906</x:v>
      </x:c>
      <x:c r="AU443" s="11" t="n">
        <x:v>4838.090600522193</x:v>
      </x:c>
      <x:c r="AV443" s="11" t="n">
        <x:v>0</x:v>
      </x:c>
      <x:c r="AW443" s="11" t="n">
        <x:v>6.9578172953252215</x:v>
      </x:c>
      <x:c r="AX443" s="12" t="n">
        <x:v>0.9998552620509955</x:v>
      </x:c>
      <x:c r="AY443" s="11"/>
      <x:c r="AZ443" s="11"/>
      <x:c r="BA443" s="11"/>
      <x:c r="BB443" s="11"/>
      <x:c r="BC443" s="11"/>
      <x:c r="BD443" s="11"/>
      <x:c r="BE443" s="11"/>
      <x:c r="BF443" s="11"/>
      <x:c r="BG443" s="11"/>
      <x:c r="BH443" s="11"/>
      <x:c r="BI443" s="11"/>
      <x:c r="BJ443" s="11"/>
      <x:c r="BK443" s="12"/>
      <x:c r="BL443" s="12"/>
      <x:c r="BM443" s="12"/>
      <x:c r="BN443" s="12"/>
      <x:c r="BO443" s="12"/>
      <x:c r="BP443" s="12"/>
      <x:c r="BQ443" s="12"/>
      <x:c r="BR443" s="12"/>
      <x:c r="BS443" s="12"/>
      <x:c r="BT443" s="12"/>
      <x:c r="BU443" s="11" t="n">
        <x:v>102883</x:v>
      </x:c>
      <x:c r="BV443" s="11" t="n">
        <x:v>4317912</x:v>
      </x:c>
      <x:c r="BW443" s="11" t="n">
        <x:v>1968755</x:v>
      </x:c>
      <x:c r="BX443" s="11" t="n">
        <x:v>358856</x:v>
      </x:c>
      <x:c r="BY443" s="11" t="n">
        <x:v>1367256</x:v>
      </x:c>
      <x:c r="BZ443" s="11" t="n">
        <x:v>0</x:v>
      </x:c>
      <x:c r="CA443" s="11" t="n">
        <x:v>0</x:v>
      </x:c>
      <x:c r="CB443" s="11" t="n">
        <x:v>274984</x:v>
      </x:c>
      <x:c r="CC443" s="11" t="n">
        <x:v>2153682</x:v>
      </x:c>
      <x:c r="CD443" s="11" t="n">
        <x:v>1862623</x:v>
      </x:c>
      <x:c r="CE443" s="11" t="n">
        <x:v>314941</x:v>
      </x:c>
      <x:c r="CF443" s="11" t="n">
        <x:v>79039</x:v>
      </x:c>
      <x:c r="CG443" s="11" t="n">
        <x:v>0</x:v>
      </x:c>
      <x:c r="CH443" s="11" t="n">
        <x:v>1956161</x:v>
      </x:c>
      <x:c r="CI443" s="11" t="n">
        <x:v>3187283</x:v>
      </x:c>
      <x:c r="CJ443" s="11" t="n">
        <x:v>320078</x:v>
      </x:c>
      <x:c r="CK443" s="11" t="n">
        <x:v>248001</x:v>
      </x:c>
      <x:c r="CL443" s="11" t="n">
        <x:v>0</x:v>
      </x:c>
      <x:c r="CM443" s="11"/>
      <x:c r="CN443" s="11" t="n">
        <x:v>209660</x:v>
      </x:c>
      <x:c r="CO443" s="11" t="n">
        <x:v>0</x:v>
      </x:c>
      <x:c r="CP443" s="8"/>
      <x:c r="CQ443" s="8"/>
    </x:row>
    <x:row r="444">
      <x:c r="A444" s="8" t="str">
        <x:v>Mackenzie|2021</x:v>
      </x:c>
      <x:c r="B444" s="8" t="str">
        <x:v>mackenzie-d</x:v>
      </x:c>
      <x:c r="C444" s="8" t="str">
        <x:v>Mackenzie</x:v>
      </x:c>
      <x:c r="D444" s="8" t="str">
        <x:v>Mackenzie</x:v>
      </x:c>
      <x:c r="E444" s="8" t="str">
        <x:v>D</x:v>
      </x:c>
      <x:c r="F444" s="8" t="str">
        <x:v>FFG</x:v>
      </x:c>
      <x:c r="G444" s="9" t="n">
        <x:v>2021</x:v>
      </x:c>
      <x:c r="H444" s="10" t="n">
        <x:v>3692</x:v>
      </x:c>
      <x:c r="I444" s="8" t="str">
        <x:v>Under 5,000</x:v>
      </x:c>
      <x:c r="J444" s="11" t="n">
        <x:v>13754190</x:v>
      </x:c>
      <x:c r="K444" s="11" t="n">
        <x:v>12035984</x:v>
      </x:c>
      <x:c r="L444" s="11" t="n">
        <x:v>1718206</x:v>
      </x:c>
      <x:c r="M444" s="12" t="n">
        <x:v>0.1249223691107946</x:v>
      </x:c>
      <x:c r="N444" s="11" t="n">
        <x:v>8074637</x:v>
      </x:c>
      <x:c r="O444" s="11" t="n">
        <x:v>1898723</x:v>
      </x:c>
      <x:c r="P444" s="11" t="n">
        <x:v>3218404</x:v>
      </x:c>
      <x:c r="Q444" s="11" t="n">
        <x:v>562426</x:v>
      </x:c>
      <x:c r="R444" s="11" t="n">
        <x:v>10243940</x:v>
      </x:c>
      <x:c r="S444" s="11" t="n">
        <x:v>1792044</x:v>
      </x:c>
      <x:c r="T444" s="11" t="n">
        <x:v>23669815</x:v>
      </x:c>
      <x:c r="U444" s="11" t="n">
        <x:v>2758091</x:v>
      </x:c>
      <x:c r="V444" s="11" t="n">
        <x:v>28035408</x:v>
      </x:c>
      <x:c r="W444" s="11" t="n">
        <x:v>18557853</x:v>
      </x:c>
      <x:c r="X444" s="11" t="n">
        <x:v>0</x:v>
      </x:c>
      <x:c r="Y444" s="11" t="n">
        <x:v>0</x:v>
      </x:c>
      <x:c r="Z444" s="11" t="n">
        <x:v>0</x:v>
      </x:c>
      <x:c r="AA444" s="11" t="n">
        <x:v>0</x:v>
      </x:c>
      <x:c r="AB444" s="11" t="n">
        <x:v>0</x:v>
      </x:c>
      <x:c r="AC444" s="11" t="n">
        <x:v>0</x:v>
      </x:c>
      <x:c r="AD444" s="11" t="n">
        <x:v>2520453</x:v>
      </x:c>
      <x:c r="AE444" s="11" t="n">
        <x:v>2520453</x:v>
      </x:c>
      <x:c r="AF444" s="11" t="n">
        <x:v>10081813</x:v>
      </x:c>
      <x:c r="AG444" s="11" t="n">
        <x:v>75655965</x:v>
      </x:c>
      <x:c r="AH444" s="11" t="n">
        <x:v>30879083</x:v>
      </x:c>
      <x:c r="AI444" s="11" t="n">
        <x:v>44776882</x:v>
      </x:c>
      <x:c r="AJ444" s="11" t="n">
        <x:v>4791134</x:v>
      </x:c>
      <x:c r="AK444" s="11" t="n">
        <x:v>44776883</x:v>
      </x:c>
      <x:c r="AL444" s="11" t="n">
        <x:v>1426164</x:v>
      </x:c>
      <x:c r="AM444" s="12" t="n">
        <x:v>0.9681495471670059</x:v>
      </x:c>
      <x:c r="AN444" s="12" t="n">
        <x:v>0.10700016792146966</x:v>
      </x:c>
      <x:c r="AO444" s="11" t="n">
        <x:v>9152879</x:v>
      </x:c>
      <x:c r="AP444" s="11" t="n">
        <x:v>8900288</x:v>
      </x:c>
      <x:c r="AQ444" s="12" t="n">
        <x:v>0.9724031094478579</x:v>
      </x:c>
      <x:c r="AR444" s="11" t="n">
        <x:v>3725.4035752979416</x:v>
      </x:c>
      <x:c r="AS444" s="11" t="n">
        <x:v>3260.017334777898</x:v>
      </x:c>
      <x:c r="AT444" s="11" t="n">
        <x:v>7593.55579631636</x:v>
      </x:c>
      <x:c r="AU444" s="11" t="n">
        <x:v>5026.50406283857</x:v>
      </x:c>
      <x:c r="AV444" s="11" t="n">
        <x:v>0</x:v>
      </x:c>
      <x:c r="AW444" s="11" t="n">
        <x:v>8.581955780284261</x:v>
      </x:c>
      <x:c r="AX444" s="12" t="n">
        <x:v>1</x:v>
      </x:c>
      <x:c r="AY444" s="11"/>
      <x:c r="AZ444" s="11"/>
      <x:c r="BA444" s="11"/>
      <x:c r="BB444" s="11"/>
      <x:c r="BC444" s="11"/>
      <x:c r="BD444" s="11"/>
      <x:c r="BE444" s="11"/>
      <x:c r="BF444" s="11"/>
      <x:c r="BG444" s="11"/>
      <x:c r="BH444" s="11"/>
      <x:c r="BI444" s="11"/>
      <x:c r="BJ444" s="11"/>
      <x:c r="BK444" s="12"/>
      <x:c r="BL444" s="12"/>
      <x:c r="BM444" s="12"/>
      <x:c r="BN444" s="12"/>
      <x:c r="BO444" s="12"/>
      <x:c r="BP444" s="12"/>
      <x:c r="BQ444" s="12"/>
      <x:c r="BR444" s="12"/>
      <x:c r="BS444" s="12"/>
      <x:c r="BT444" s="12"/>
      <x:c r="BU444" s="11" t="n">
        <x:v>39749</x:v>
      </x:c>
      <x:c r="BV444" s="11" t="n">
        <x:v>1618021</x:v>
      </x:c>
      <x:c r="BW444" s="11" t="n">
        <x:v>1560634</x:v>
      </x:c>
      <x:c r="BX444" s="11" t="n">
        <x:v>216829</x:v>
      </x:c>
      <x:c r="BY444" s="11" t="n">
        <x:v>0</x:v>
      </x:c>
      <x:c r="BZ444" s="11" t="n">
        <x:v>0</x:v>
      </x:c>
      <x:c r="CA444" s="11" t="n">
        <x:v>262292</x:v>
      </x:c>
      <x:c r="CB444" s="11" t="n">
        <x:v>83305</x:v>
      </x:c>
      <x:c r="CC444" s="11" t="n">
        <x:v>1992327</x:v>
      </x:c>
      <x:c r="CD444" s="11" t="n">
        <x:v>1842151</x:v>
      </x:c>
      <x:c r="CE444" s="11" t="n">
        <x:v>344385</x:v>
      </x:c>
      <x:c r="CF444" s="11" t="n">
        <x:v>52034</x:v>
      </x:c>
      <x:c r="CG444" s="11" t="n">
        <x:v>0</x:v>
      </x:c>
      <x:c r="CH444" s="11" t="n">
        <x:v>1881827</x:v>
      </x:c>
      <x:c r="CI444" s="11" t="n">
        <x:v>3167250</x:v>
      </x:c>
      <x:c r="CJ444" s="11" t="n">
        <x:v>411661</x:v>
      </x:c>
      <x:c r="CK444" s="11" t="n">
        <x:v>283860</x:v>
      </x:c>
      <x:c r="CL444" s="11" t="n">
        <x:v>232267</x:v>
      </x:c>
      <x:c r="CM444" s="11"/>
      <x:c r="CN444" s="11" t="n">
        <x:v>36178</x:v>
      </x:c>
      <x:c r="CO444" s="11" t="n">
        <x:v>0</x:v>
      </x:c>
      <x:c r="CP444" s="8"/>
      <x:c r="CQ444" s="8"/>
    </x:row>
    <x:row r="445">
      <x:c r="A445" s="8" t="str">
        <x:v>Mackenzie|2022</x:v>
      </x:c>
      <x:c r="B445" s="8" t="str">
        <x:v>mackenzie-d</x:v>
      </x:c>
      <x:c r="C445" s="8" t="str">
        <x:v>Mackenzie</x:v>
      </x:c>
      <x:c r="D445" s="8" t="str">
        <x:v>Mackenzie</x:v>
      </x:c>
      <x:c r="E445" s="8" t="str">
        <x:v>D</x:v>
      </x:c>
      <x:c r="F445" s="8" t="str">
        <x:v>FFG</x:v>
      </x:c>
      <x:c r="G445" s="9" t="n">
        <x:v>2022</x:v>
      </x:c>
      <x:c r="H445" s="10" t="n">
        <x:v>96378</x:v>
      </x:c>
      <x:c r="I445" s="8" t="str">
        <x:v>20,000 to 99,999</x:v>
      </x:c>
      <x:c r="J445" s="11" t="n">
        <x:v>12721276</x:v>
      </x:c>
      <x:c r="K445" s="11" t="n">
        <x:v>11587885</x:v>
      </x:c>
      <x:c r="L445" s="11" t="n">
        <x:v>1133391</x:v>
      </x:c>
      <x:c r="M445" s="12" t="n">
        <x:v>0.08909412860785348</x:v>
      </x:c>
      <x:c r="N445" s="11" t="n">
        <x:v>7747371</x:v>
      </x:c>
      <x:c r="O445" s="11" t="n">
        <x:v>2144992</x:v>
      </x:c>
      <x:c r="P445" s="11" t="n">
        <x:v>2048289</x:v>
      </x:c>
      <x:c r="Q445" s="11" t="n">
        <x:v>780624</x:v>
      </x:c>
      <x:c r="R445" s="11" t="n">
        <x:v>9742057</x:v>
      </x:c>
      <x:c r="S445" s="11" t="n">
        <x:v>1845828</x:v>
      </x:c>
      <x:c r="T445" s="11" t="n">
        <x:v>23771995</x:v>
      </x:c>
      <x:c r="U445" s="11" t="n">
        <x:v>2054909</x:v>
      </x:c>
      <x:c r="V445" s="11" t="n">
        <x:v>28117830</x:v>
      </x:c>
      <x:c r="W445" s="11" t="n">
        <x:v>18514023</x:v>
      </x:c>
      <x:c r="X445" s="11" t="n">
        <x:v>0</x:v>
      </x:c>
      <x:c r="Y445" s="11" t="n">
        <x:v>0</x:v>
      </x:c>
      <x:c r="Z445" s="11" t="n">
        <x:v>0</x:v>
      </x:c>
      <x:c r="AA445" s="11" t="n">
        <x:v>0</x:v>
      </x:c>
      <x:c r="AB445" s="11" t="n">
        <x:v>0</x:v>
      </x:c>
      <x:c r="AC445" s="11" t="n">
        <x:v>0</x:v>
      </x:c>
      <x:c r="AD445" s="11" t="n">
        <x:v>2662896</x:v>
      </x:c>
      <x:c r="AE445" s="11" t="n">
        <x:v>2662896</x:v>
      </x:c>
      <x:c r="AF445" s="11" t="n">
        <x:v>10651584</x:v>
      </x:c>
      <x:c r="AG445" s="11" t="n">
        <x:v>78353859</x:v>
      </x:c>
      <x:c r="AH445" s="11" t="n">
        <x:v>32586007</x:v>
      </x:c>
      <x:c r="AI445" s="11" t="n">
        <x:v>45767852</x:v>
      </x:c>
      <x:c r="AJ445" s="11" t="n">
        <x:v>2901509</x:v>
      </x:c>
      <x:c r="AK445" s="11" t="n">
        <x:v>45767853</x:v>
      </x:c>
      <x:c r="AL445" s="11" t="n">
        <x:v>1458930</x:v>
      </x:c>
      <x:c r="AM445" s="12" t="n">
        <x:v>0.9681232589171268</x:v>
      </x:c>
      <x:c r="AN445" s="12" t="n">
        <x:v>0.06339622267183911</x:v>
      </x:c>
      <x:c r="AO445" s="11" t="n">
        <x:v>8016069</x:v>
      </x:c>
      <x:c r="AP445" s="11" t="n">
        <x:v>7708288</x:v>
      </x:c>
      <x:c r="AQ445" s="12" t="n">
        <x:v>0.9616044971668781</x:v>
      </x:c>
      <x:c r="AR445" s="11" t="n">
        <x:v>131.9935669966175</x:v>
      </x:c>
      <x:c r="AS445" s="11" t="n">
        <x:v>120.23371516321153</x:v>
      </x:c>
      <x:c r="AT445" s="11" t="n">
        <x:v>291.74531532092385</x:v>
      </x:c>
      <x:c r="AU445" s="11" t="n">
        <x:v>192.09802029508808</x:v>
      </x:c>
      <x:c r="AV445" s="11" t="n">
        <x:v>0</x:v>
      </x:c>
      <x:c r="AW445" s="11" t="n">
        <x:v>11.568393052928378</x:v>
      </x:c>
      <x:c r="AX445" s="12" t="n">
        <x:v>1</x:v>
      </x:c>
      <x:c r="AY445" s="11"/>
      <x:c r="AZ445" s="11"/>
      <x:c r="BA445" s="11"/>
      <x:c r="BB445" s="11"/>
      <x:c r="BC445" s="11"/>
      <x:c r="BD445" s="11"/>
      <x:c r="BE445" s="11"/>
      <x:c r="BF445" s="11"/>
      <x:c r="BG445" s="11"/>
      <x:c r="BH445" s="11"/>
      <x:c r="BI445" s="11"/>
      <x:c r="BJ445" s="11"/>
      <x:c r="BK445" s="12"/>
      <x:c r="BL445" s="12"/>
      <x:c r="BM445" s="12"/>
      <x:c r="BN445" s="12"/>
      <x:c r="BO445" s="12"/>
      <x:c r="BP445" s="12"/>
      <x:c r="BQ445" s="12"/>
      <x:c r="BR445" s="12"/>
      <x:c r="BS445" s="12"/>
      <x:c r="BT445" s="12"/>
      <x:c r="BU445" s="11" t="n">
        <x:v>62089</x:v>
      </x:c>
      <x:c r="BV445" s="11" t="n">
        <x:v>1264373</x:v>
      </x:c>
      <x:c r="BW445" s="11" t="n">
        <x:v>721827</x:v>
      </x:c>
      <x:c r="BX445" s="11" t="n">
        <x:v>595647</x:v>
      </x:c>
      <x:c r="BY445" s="11" t="n">
        <x:v>9974</x:v>
      </x:c>
      <x:c r="BZ445" s="11" t="n">
        <x:v>0</x:v>
      </x:c>
      <x:c r="CA445" s="11" t="n">
        <x:v>0</x:v>
      </x:c>
      <x:c r="CB445" s="11" t="n">
        <x:v>175003</x:v>
      </x:c>
      <x:c r="CC445" s="11" t="n">
        <x:v>2115429</x:v>
      </x:c>
      <x:c r="CD445" s="11" t="n">
        <x:v>1037296</x:v>
      </x:c>
      <x:c r="CE445" s="11" t="n">
        <x:v>361703</x:v>
      </x:c>
      <x:c r="CF445" s="11" t="n">
        <x:v>91122</x:v>
      </x:c>
      <x:c r="CG445" s="11" t="n">
        <x:v>0</x:v>
      </x:c>
      <x:c r="CH445" s="11" t="n">
        <x:v>1825352</x:v>
      </x:c>
      <x:c r="CI445" s="11" t="n">
        <x:v>3251366</x:v>
      </x:c>
      <x:c r="CJ445" s="11" t="n">
        <x:v>480664</x:v>
      </x:c>
      <x:c r="CK445" s="11" t="n">
        <x:v>305182</x:v>
      </x:c>
      <x:c r="CL445" s="11" t="n">
        <x:v>209232</x:v>
      </x:c>
      <x:c r="CM445" s="11"/>
      <x:c r="CN445" s="11" t="n">
        <x:v>64711</x:v>
      </x:c>
      <x:c r="CO445" s="11" t="n">
        <x:v>0</x:v>
      </x:c>
      <x:c r="CP445" s="8"/>
      <x:c r="CQ445" s="8"/>
    </x:row>
    <x:row r="446">
      <x:c r="A446" s="8" t="str">
        <x:v>Mackenzie|2023</x:v>
      </x:c>
      <x:c r="B446" s="8" t="str">
        <x:v>mackenzie-d</x:v>
      </x:c>
      <x:c r="C446" s="8" t="str">
        <x:v>Mackenzie</x:v>
      </x:c>
      <x:c r="D446" s="8" t="str">
        <x:v>Mackenzie</x:v>
      </x:c>
      <x:c r="E446" s="8" t="str">
        <x:v>D</x:v>
      </x:c>
      <x:c r="F446" s="8" t="str">
        <x:v>FFG</x:v>
      </x:c>
      <x:c r="G446" s="9" t="n">
        <x:v>2023</x:v>
      </x:c>
      <x:c r="H446" s="10" t="n">
        <x:v>3729</x:v>
      </x:c>
      <x:c r="I446" s="8" t="str">
        <x:v>Under 5,000</x:v>
      </x:c>
      <x:c r="J446" s="11" t="n">
        <x:v>17384848</x:v>
      </x:c>
      <x:c r="K446" s="11" t="n">
        <x:v>12402012</x:v>
      </x:c>
      <x:c r="L446" s="11" t="n">
        <x:v>4982836</x:v>
      </x:c>
      <x:c r="M446" s="12" t="n">
        <x:v>0.2866194746137556</x:v>
      </x:c>
      <x:c r="N446" s="11" t="n">
        <x:v>8242248</x:v>
      </x:c>
      <x:c r="O446" s="11" t="n">
        <x:v>2491058</x:v>
      </x:c>
      <x:c r="P446" s="11" t="n">
        <x:v>4196270</x:v>
      </x:c>
      <x:c r="Q446" s="11" t="n">
        <x:v>2455272</x:v>
      </x:c>
      <x:c r="R446" s="11" t="n">
        <x:v>10458718</x:v>
      </x:c>
      <x:c r="S446" s="11" t="n">
        <x:v>1943294</x:v>
      </x:c>
      <x:c r="T446" s="11" t="n">
        <x:v>25908355</x:v>
      </x:c>
      <x:c r="U446" s="11" t="n">
        <x:v>3479578</x:v>
      </x:c>
      <x:c r="V446" s="11" t="n">
        <x:v>30064246</x:v>
      </x:c>
      <x:c r="W446" s="11" t="n">
        <x:v>4134402</x:v>
      </x:c>
      <x:c r="X446" s="11" t="n">
        <x:v>0</x:v>
      </x:c>
      <x:c r="Y446" s="11" t="n">
        <x:v>0</x:v>
      </x:c>
      <x:c r="Z446" s="11" t="n">
        <x:v>0</x:v>
      </x:c>
      <x:c r="AA446" s="11" t="n">
        <x:v>0</x:v>
      </x:c>
      <x:c r="AB446" s="11" t="n">
        <x:v>0</x:v>
      </x:c>
      <x:c r="AC446" s="11" t="n">
        <x:v>0</x:v>
      </x:c>
      <x:c r="AD446" s="11" t="n">
        <x:v>2988526</x:v>
      </x:c>
      <x:c r="AE446" s="11" t="n">
        <x:v>2988526</x:v>
      </x:c>
      <x:c r="AF446" s="11" t="n">
        <x:v>11954103</x:v>
      </x:c>
      <x:c r="AG446" s="11" t="n">
        <x:v>82320929</x:v>
      </x:c>
      <x:c r="AH446" s="11" t="n">
        <x:v>34264322</x:v>
      </x:c>
      <x:c r="AI446" s="11" t="n">
        <x:v>48056607</x:v>
      </x:c>
      <x:c r="AJ446" s="11" t="n">
        <x:v>5036745</x:v>
      </x:c>
      <x:c r="AK446" s="11" t="n">
        <x:v>48056607</x:v>
      </x:c>
      <x:c r="AL446" s="11" t="n">
        <x:v>1552324</x:v>
      </x:c>
      <x:c r="AM446" s="12" t="n">
        <x:v>0.9676980108062977</x:v>
      </x:c>
      <x:c r="AN446" s="12" t="n">
        <x:v>0.10480858542510087</x:v>
      </x:c>
      <x:c r="AO446" s="11" t="n">
        <x:v>8568421</x:v>
      </x:c>
      <x:c r="AP446" s="11" t="n">
        <x:v>8187041</x:v>
      </x:c>
      <x:c r="AQ446" s="12" t="n">
        <x:v>0.9554900488666465</x:v>
      </x:c>
      <x:c r="AR446" s="11" t="n">
        <x:v>4662.067042102441</x:v>
      </x:c>
      <x:c r="AS446" s="11" t="n">
        <x:v>3325.8278358809334</x:v>
      </x:c>
      <x:c r="AT446" s="11" t="n">
        <x:v>8062.28104049343</x:v>
      </x:c>
      <x:c r="AU446" s="11" t="n">
        <x:v>1108.7160096540626</x:v>
      </x:c>
      <x:c r="AV446" s="11" t="n">
        <x:v>0</x:v>
      </x:c>
      <x:c r="AW446" s="11" t="n">
        <x:v>7.445832511873566</x:v>
      </x:c>
      <x:c r="AX446" s="12" t="n">
        <x:v>1</x:v>
      </x:c>
      <x:c r="AY446" s="11"/>
      <x:c r="AZ446" s="11"/>
      <x:c r="BA446" s="11"/>
      <x:c r="BB446" s="11"/>
      <x:c r="BC446" s="11"/>
      <x:c r="BD446" s="11"/>
      <x:c r="BE446" s="11"/>
      <x:c r="BF446" s="11"/>
      <x:c r="BG446" s="11"/>
      <x:c r="BH446" s="11"/>
      <x:c r="BI446" s="11"/>
      <x:c r="BJ446" s="11"/>
      <x:c r="BK446" s="12"/>
      <x:c r="BL446" s="12"/>
      <x:c r="BM446" s="12"/>
      <x:c r="BN446" s="12"/>
      <x:c r="BO446" s="12"/>
      <x:c r="BP446" s="12"/>
      <x:c r="BQ446" s="12"/>
      <x:c r="BR446" s="12"/>
      <x:c r="BS446" s="12"/>
      <x:c r="BT446" s="12"/>
      <x:c r="BU446" s="11" t="n">
        <x:v>142424</x:v>
      </x:c>
      <x:c r="BV446" s="11" t="n">
        <x:v>2625716</x:v>
      </x:c>
      <x:c r="BW446" s="11" t="n">
        <x:v>1428130</x:v>
      </x:c>
      <x:c r="BX446" s="11" t="n">
        <x:v>1150001</x:v>
      </x:c>
      <x:c r="BY446" s="11" t="n">
        <x:v>989769</x:v>
      </x:c>
      <x:c r="BZ446" s="11" t="n">
        <x:v>0</x:v>
      </x:c>
      <x:c r="CA446" s="11" t="n">
        <x:v>0</x:v>
      </x:c>
      <x:c r="CB446" s="11" t="n">
        <x:v>315502</x:v>
      </x:c>
      <x:c r="CC446" s="11" t="n">
        <x:v>1658218</x:v>
      </x:c>
      <x:c r="CD446" s="11" t="n">
        <x:v>1110071</x:v>
      </x:c>
      <x:c r="CE446" s="11" t="n">
        <x:v>314696</x:v>
      </x:c>
      <x:c r="CF446" s="11" t="n">
        <x:v>44447</x:v>
      </x:c>
      <x:c r="CG446" s="11" t="n">
        <x:v>0</x:v>
      </x:c>
      <x:c r="CH446" s="11" t="n">
        <x:v>1835254</x:v>
      </x:c>
      <x:c r="CI446" s="11" t="n">
        <x:v>3291781</x:v>
      </x:c>
      <x:c r="CJ446" s="11" t="n">
        <x:v>501494</x:v>
      </x:c>
      <x:c r="CK446" s="11" t="n">
        <x:v>286176</x:v>
      </x:c>
      <x:c r="CL446" s="11" t="n">
        <x:v>201398</x:v>
      </x:c>
      <x:c r="CM446" s="11" t="n">
        <x:v>0</x:v>
      </x:c>
      <x:c r="CN446" s="11" t="n">
        <x:v>1215183</x:v>
      </x:c>
      <x:c r="CO446" s="11" t="n">
        <x:v>0</x:v>
      </x:c>
      <x:c r="CP446" s="8"/>
      <x:c r="CQ446" s="8"/>
    </x:row>
    <x:row r="447">
      <x:c r="A447" s="8" t="str">
        <x:v>Mackenzie|2024</x:v>
      </x:c>
      <x:c r="B447" s="8" t="str">
        <x:v>mackenzie-d</x:v>
      </x:c>
      <x:c r="C447" s="8" t="str">
        <x:v>Mackenzie</x:v>
      </x:c>
      <x:c r="D447" s="8" t="str">
        <x:v>Mackenzie</x:v>
      </x:c>
      <x:c r="E447" s="8" t="str">
        <x:v>D</x:v>
      </x:c>
      <x:c r="F447" s="8" t="str">
        <x:v>FFG</x:v>
      </x:c>
      <x:c r="G447" s="9" t="n">
        <x:v>2024</x:v>
      </x:c>
      <x:c r="H447" s="10" t="n">
        <x:v>3729</x:v>
      </x:c>
      <x:c r="I447" s="8" t="str">
        <x:v>Under 5,000</x:v>
      </x:c>
      <x:c r="J447" s="11" t="n">
        <x:v>18215598</x:v>
      </x:c>
      <x:c r="K447" s="11" t="n">
        <x:v>13950700</x:v>
      </x:c>
      <x:c r="L447" s="11" t="n">
        <x:v>4264898</x:v>
      </x:c>
      <x:c r="M447" s="12" t="n">
        <x:v>0.23413439405063727</x:v>
      </x:c>
      <x:c r="N447" s="11" t="n">
        <x:v>8854511</x:v>
      </x:c>
      <x:c r="O447" s="11" t="n">
        <x:v>2554588</x:v>
      </x:c>
      <x:c r="P447" s="11" t="n">
        <x:v>4672158</x:v>
      </x:c>
      <x:c r="Q447" s="11" t="n">
        <x:v>2134341</x:v>
      </x:c>
      <x:c r="R447" s="11" t="n">
        <x:v>11705781</x:v>
      </x:c>
      <x:c r="S447" s="11" t="n">
        <x:v>2240036</x:v>
      </x:c>
      <x:c r="T447" s="11" t="n">
        <x:v>20878729</x:v>
      </x:c>
      <x:c r="U447" s="11" t="n">
        <x:v>4569109</x:v>
      </x:c>
      <x:c r="V447" s="11" t="n">
        <x:v>26583563</x:v>
      </x:c>
      <x:c r="W447" s="11" t="n">
        <x:v>2342325</x:v>
      </x:c>
      <x:c r="X447" s="11" t="n">
        <x:v>0</x:v>
      </x:c>
      <x:c r="Y447" s="11" t="n">
        <x:v>0</x:v>
      </x:c>
      <x:c r="Z447" s="11" t="n">
        <x:v>0</x:v>
      </x:c>
      <x:c r="AA447" s="11" t="n">
        <x:v>0</x:v>
      </x:c>
      <x:c r="AB447" s="11" t="n">
        <x:v>4883</x:v>
      </x:c>
      <x:c r="AC447" s="11" t="n">
        <x:v>4883</x:v>
      </x:c>
      <x:c r="AD447" s="11" t="n">
        <x:v>3187746</x:v>
      </x:c>
      <x:c r="AE447" s="11" t="n">
        <x:v>3182863</x:v>
      </x:c>
      <x:c r="AF447" s="11" t="n">
        <x:v>12750984</x:v>
      </x:c>
      <x:c r="AG447" s="11" t="n">
        <x:v>90139826</x:v>
      </x:c>
      <x:c r="AH447" s="11" t="n">
        <x:v>35956828</x:v>
      </x:c>
      <x:c r="AI447" s="11" t="n">
        <x:v>54182998</x:v>
      </x:c>
      <x:c r="AJ447" s="11" t="n">
        <x:v>8590629</x:v>
      </x:c>
      <x:c r="AK447" s="11" t="n">
        <x:v>53471714</x:v>
      </x:c>
      <x:c r="AL447" s="11" t="n">
        <x:v>1841026</x:v>
      </x:c>
      <x:c r="AM447" s="12" t="n">
        <x:v>0.9655700956210231</x:v>
      </x:c>
      <x:c r="AN447" s="12" t="n">
        <x:v>0.16065744591617168</x:v>
      </x:c>
      <x:c r="AO447" s="11" t="n">
        <x:v>9296326</x:v>
      </x:c>
      <x:c r="AP447" s="11" t="n">
        <x:v>7358546</x:v>
      </x:c>
      <x:c r="AQ447" s="12" t="n">
        <x:v>0.7915542118467016</x:v>
      </x:c>
      <x:c r="AR447" s="11" t="n">
        <x:v>4884.847948511665</x:v>
      </x:c>
      <x:c r="AS447" s="11" t="n">
        <x:v>3741.137034057388</x:v>
      </x:c>
      <x:c r="AT447" s="11" t="n">
        <x:v>7128.871815500134</x:v>
      </x:c>
      <x:c r="AU447" s="11" t="n">
        <x:v>628.1375703942076</x:v>
      </x:c>
      <x:c r="AV447" s="11" t="n">
        <x:v>0</x:v>
      </x:c>
      <x:c r="AW447" s="11" t="n">
        <x:v>4.5695405822010375</x:v>
      </x:c>
      <x:c r="AX447" s="12" t="n">
        <x:v>0.9984681966505486</x:v>
      </x:c>
      <x:c r="AY447" s="11" t="n">
        <x:v>4486.511144130758</x:v>
      </x:c>
      <x:c r="AZ447" s="11" t="n">
        <x:v>3546.5079302077975</x:v>
      </x:c>
      <x:c r="BA447" s="11" t="n">
        <x:v>3557.844717668488</x:v>
      </x:c>
      <x:c r="BB447" s="11" t="n">
        <x:v>2783.665107049771</x:v>
      </x:c>
      <x:c r="BC447" s="11" t="n">
        <x:v>5496.677373974208</x:v>
      </x:c>
      <x:c r="BD447" s="11" t="n">
        <x:v>2437.8724475115623</x:v>
      </x:c>
      <x:c r="BE447" s="11" t="n">
        <x:v>3386.4506393861893</x:v>
      </x:c>
      <x:c r="BF447" s="11" t="n">
        <x:v>1604.3462673977224</x:v>
      </x:c>
      <x:c r="BG447" s="11" t="n">
        <x:v>624.7436119532265</x:v>
      </x:c>
      <x:c r="BH447" s="11" t="n">
        <x:v>518.5374381567245</x:v>
      </x:c>
      <x:c r="BI447" s="11" t="n">
        <x:v>3.324657351485151</x:v>
      </x:c>
      <x:c r="BJ447" s="11" t="n">
        <x:v>1.7099330852451193</x:v>
      </x:c>
      <x:c r="BK447" s="12" t="n">
        <x:v>0.02521828600111612</x:v>
      </x:c>
      <x:c r="BL447" s="12" t="n">
        <x:v>0.02529861000232605</x:v>
      </x:c>
      <x:c r="BM447" s="12" t="n">
        <x:v>0.9816336034641139</x:v>
      </x:c>
      <x:c r="BN447" s="12" t="n">
        <x:v>0.9815511712696461</x:v>
      </x:c>
      <x:c r="BO447" s="12" t="n">
        <x:v>0.8531878894527055</x:v>
      </x:c>
      <x:c r="BP447" s="12" t="n">
        <x:v>0.8619101997275483</x:v>
      </x:c>
      <x:c r="BQ447" s="12" t="n">
        <x:v>0.9614729661922712</x:v>
      </x:c>
      <x:c r="BR447" s="12" t="n">
        <x:v>0.9623635142836453</x:v>
      </x:c>
      <x:c r="BS447" s="12" t="n">
        <x:v>0.23352896680225554</x:v>
      </x:c>
      <x:c r="BT447" s="12" t="n">
        <x:v>0.19976549769108282</x:v>
      </x:c>
      <x:c r="BU447" s="11" t="n">
        <x:v>2630080</x:v>
      </x:c>
      <x:c r="BV447" s="11" t="n">
        <x:v>967663</x:v>
      </x:c>
      <x:c r="BW447" s="11" t="n">
        <x:v>1074415</x:v>
      </x:c>
      <x:c r="BX447" s="11" t="n">
        <x:v>1302325</x:v>
      </x:c>
      <x:c r="BY447" s="11" t="n">
        <x:v>502681</x:v>
      </x:c>
      <x:c r="BZ447" s="11" t="n">
        <x:v>0</x:v>
      </x:c>
      <x:c r="CA447" s="11" t="n">
        <x:v>0</x:v>
      </x:c>
      <x:c r="CB447" s="11" t="n">
        <x:v>329335</x:v>
      </x:c>
      <x:c r="CC447" s="11" t="n">
        <x:v>3215036</x:v>
      </x:c>
      <x:c r="CD447" s="11" t="n">
        <x:v>1158491</x:v>
      </x:c>
      <x:c r="CE447" s="11" t="n">
        <x:v>285548</x:v>
      </x:c>
      <x:c r="CF447" s="11" t="n">
        <x:v>50558</x:v>
      </x:c>
      <x:c r="CG447" s="11" t="n">
        <x:v>0</x:v>
      </x:c>
      <x:c r="CH447" s="11" t="n">
        <x:v>2257135</x:v>
      </x:c>
      <x:c r="CI447" s="11" t="n">
        <x:v>3545689</x:v>
      </x:c>
      <x:c r="CJ447" s="11" t="n">
        <x:v>589070</x:v>
      </x:c>
      <x:c r="CK447" s="11" t="n">
        <x:v>343739</x:v>
      </x:c>
      <x:c r="CL447" s="11" t="n">
        <x:v>0</x:v>
      </x:c>
      <x:c r="CM447" s="11" t="n">
        <x:v>0</x:v>
      </x:c>
      <x:c r="CN447" s="11" t="n">
        <x:v>265398</x:v>
      </x:c>
      <x:c r="CO447" s="11" t="n">
        <x:v>0</x:v>
      </x:c>
      <x:c r="CP447" s="8"/>
      <x:c r="CQ447" s="8"/>
    </x:row>
    <x:row r="448">
      <x:c r="A448" s="8" t="str">
        <x:v>Maple Ridge|2019</x:v>
      </x:c>
      <x:c r="B448" s="8" t="str">
        <x:v>maple-ridge-c</x:v>
      </x:c>
      <x:c r="C448" s="8" t="str">
        <x:v>Maple Ridge</x:v>
      </x:c>
      <x:c r="D448" s="8" t="str">
        <x:v>Maple Ridge</x:v>
      </x:c>
      <x:c r="E448" s="8" t="str">
        <x:v>C</x:v>
      </x:c>
      <x:c r="F448" s="8" t="str">
        <x:v>GVR</x:v>
      </x:c>
      <x:c r="G448" s="9" t="n">
        <x:v>2019</x:v>
      </x:c>
      <x:c r="H448" s="10" t="n">
        <x:v>91222</x:v>
      </x:c>
      <x:c r="I448" s="8" t="str">
        <x:v>20,000 to 99,999</x:v>
      </x:c>
      <x:c r="J448" s="11" t="n">
        <x:v>200634821</x:v>
      </x:c>
      <x:c r="K448" s="11" t="n">
        <x:v>136188010</x:v>
      </x:c>
      <x:c r="L448" s="11" t="n">
        <x:v>64446811</x:v>
      </x:c>
      <x:c r="M448" s="12" t="n">
        <x:v>0.3212144864923522</x:v>
      </x:c>
      <x:c r="N448" s="11" t="n">
        <x:v>91155385</x:v>
      </x:c>
      <x:c r="O448" s="11" t="n">
        <x:v>44728329</x:v>
      </x:c>
      <x:c r="P448" s="11" t="n">
        <x:v>7130538</x:v>
      </x:c>
      <x:c r="Q448" s="11" t="n">
        <x:v>57620569</x:v>
      </x:c>
      <x:c r="R448" s="11" t="n">
        <x:v>113200940</x:v>
      </x:c>
      <x:c r="S448" s="11" t="n">
        <x:v>21257458</x:v>
      </x:c>
      <x:c r="T448" s="11" t="n">
        <x:v>228328719</x:v>
      </x:c>
      <x:c r="U448" s="11" t="n">
        <x:v>137004272</x:v>
      </x:c>
      <x:c r="V448" s="11" t="n">
        <x:v>112254187</x:v>
      </x:c>
      <x:c r="W448" s="11" t="n">
        <x:v>33375907</x:v>
      </x:c>
      <x:c r="X448" s="11" t="n">
        <x:v>25822631</x:v>
      </x:c>
      <x:c r="Y448" s="11" t="n">
        <x:v>0</x:v>
      </x:c>
      <x:c r="Z448" s="11" t="n">
        <x:v>2100831</x:v>
      </x:c>
      <x:c r="AA448" s="11" t="n">
        <x:v>23370381</x:v>
      </x:c>
      <x:c r="AB448" s="11" t="n">
        <x:v>1729612</x:v>
      </x:c>
      <x:c r="AC448" s="11" t="n">
        <x:v>3830443</x:v>
      </x:c>
      <x:c r="AD448" s="11" t="n">
        <x:v>35965266</x:v>
      </x:c>
      <x:c r="AE448" s="11" t="n">
        <x:v>27612177</x:v>
      </x:c>
      <x:c r="AF448" s="11" t="n">
        <x:v>143861062</x:v>
      </x:c>
      <x:c r="AG448" s="11" t="n">
        <x:v>1490915031</x:v>
      </x:c>
      <x:c r="AH448" s="11" t="n">
        <x:v>381073450</x:v>
      </x:c>
      <x:c r="AI448" s="11" t="n">
        <x:v>1109841581</x:v>
      </x:c>
      <x:c r="AJ448" s="11" t="n">
        <x:v>92131841</x:v>
      </x:c>
      <x:c r="AK448" s="11" t="n">
        <x:v>2549534687</x:v>
      </x:c>
      <x:c r="AL448" s="11" t="n">
        <x:v>47076848</x:v>
      </x:c>
      <x:c r="AM448" s="12" t="n">
        <x:v>0.9815351215890321</x:v>
      </x:c>
      <x:c r="AN448" s="12" t="n">
        <x:v>0.03613672779969516</x:v>
      </x:c>
      <x:c r="AO448" s="11" t="n">
        <x:v>142399289</x:v>
      </x:c>
      <x:c r="AP448" s="11" t="n">
        <x:v>137021773</x:v>
      </x:c>
      <x:c r="AQ448" s="12" t="n">
        <x:v>0.9622363563907963</x:v>
      </x:c>
      <x:c r="AR448" s="11" t="n">
        <x:v>2199.41265264958</x:v>
      </x:c>
      <x:c r="AS448" s="11" t="n">
        <x:v>1492.929446843963</x:v>
      </x:c>
      <x:c r="AT448" s="11" t="n">
        <x:v>1230.560467869593</x:v>
      </x:c>
      <x:c r="AU448" s="11" t="n">
        <x:v>365.87563307096974</x:v>
      </x:c>
      <x:c r="AV448" s="11" t="n">
        <x:v>256.19237683892044</x:v>
      </x:c>
      <x:c r="AW448" s="11" t="n">
        <x:v>1.666581017269301</x:v>
      </x:c>
      <x:c r="AX448" s="12" t="n">
        <x:v>0.7677456632741156</x:v>
      </x:c>
      <x:c r="AY448" s="11"/>
      <x:c r="AZ448" s="11"/>
      <x:c r="BA448" s="11"/>
      <x:c r="BB448" s="11"/>
      <x:c r="BC448" s="11"/>
      <x:c r="BD448" s="11"/>
      <x:c r="BE448" s="11"/>
      <x:c r="BF448" s="11"/>
      <x:c r="BG448" s="11"/>
      <x:c r="BH448" s="11"/>
      <x:c r="BI448" s="11"/>
      <x:c r="BJ448" s="11"/>
      <x:c r="BK448" s="12"/>
      <x:c r="BL448" s="12"/>
      <x:c r="BM448" s="12"/>
      <x:c r="BN448" s="12"/>
      <x:c r="BO448" s="12"/>
      <x:c r="BP448" s="12"/>
      <x:c r="BQ448" s="12"/>
      <x:c r="BR448" s="12"/>
      <x:c r="BS448" s="12"/>
      <x:c r="BT448" s="12"/>
      <x:c r="BU448" s="11" t="n">
        <x:v>923293</x:v>
      </x:c>
      <x:c r="BV448" s="11" t="n">
        <x:v>4448285</x:v>
      </x:c>
      <x:c r="BW448" s="11" t="n">
        <x:v>1758960</x:v>
      </x:c>
      <x:c r="BX448" s="11" t="n">
        <x:v>5628425</x:v>
      </x:c>
      <x:c r="BY448" s="11" t="n">
        <x:v>0</x:v>
      </x:c>
      <x:c r="BZ448" s="11" t="n">
        <x:v>49182521</x:v>
      </x:c>
      <x:c r="CA448" s="11" t="n">
        <x:v>2809623</x:v>
      </x:c>
      <x:c r="CB448" s="11" t="n">
        <x:v>0</x:v>
      </x:c>
      <x:c r="CC448" s="11" t="n">
        <x:v>14885747</x:v>
      </x:c>
      <x:c r="CD448" s="11" t="n">
        <x:v>37845703</x:v>
      </x:c>
      <x:c r="CE448" s="11" t="n">
        <x:v>6452333</x:v>
      </x:c>
      <x:c r="CF448" s="11" t="n">
        <x:v>1805078</x:v>
      </x:c>
      <x:c r="CG448" s="11" t="n">
        <x:v>2662159</x:v>
      </x:c>
      <x:c r="CH448" s="11" t="n">
        <x:v>9991720</x:v>
      </x:c>
      <x:c r="CI448" s="11" t="n">
        <x:v>16926935</x:v>
      </x:c>
      <x:c r="CJ448" s="11" t="n">
        <x:v>11552263</x:v>
      </x:c>
      <x:c r="CK448" s="11" t="n">
        <x:v>9777038</x:v>
      </x:c>
      <x:c r="CL448" s="11" t="n">
        <x:v>0</x:v>
      </x:c>
      <x:c r="CM448" s="11"/>
      <x:c r="CN448" s="11" t="n">
        <x:v>3031576</x:v>
      </x:c>
      <x:c r="CO448" s="11" t="n">
        <x:v>0</x:v>
      </x:c>
      <x:c r="CP448" s="8"/>
      <x:c r="CQ448" s="8"/>
    </x:row>
    <x:row r="449">
      <x:c r="A449" s="8" t="str">
        <x:v>Maple Ridge|2020</x:v>
      </x:c>
      <x:c r="B449" s="8" t="str">
        <x:v>maple-ridge-c</x:v>
      </x:c>
      <x:c r="C449" s="8" t="str">
        <x:v>Maple Ridge</x:v>
      </x:c>
      <x:c r="D449" s="8" t="str">
        <x:v>Maple Ridge</x:v>
      </x:c>
      <x:c r="E449" s="8" t="str">
        <x:v>C</x:v>
      </x:c>
      <x:c r="F449" s="8" t="str">
        <x:v>GVR</x:v>
      </x:c>
      <x:c r="G449" s="9" t="n">
        <x:v>2020</x:v>
      </x:c>
      <x:c r="H449" s="10" t="n">
        <x:v>91479</x:v>
      </x:c>
      <x:c r="I449" s="8" t="str">
        <x:v>20,000 to 99,999</x:v>
      </x:c>
      <x:c r="J449" s="11" t="n">
        <x:v>191788325</x:v>
      </x:c>
      <x:c r="K449" s="11" t="n">
        <x:v>137634713</x:v>
      </x:c>
      <x:c r="L449" s="11" t="n">
        <x:v>54153612</x:v>
      </x:c>
      <x:c r="M449" s="12" t="n">
        <x:v>0.28236135854463507</x:v>
      </x:c>
      <x:c r="N449" s="11" t="n">
        <x:v>95767396</x:v>
      </x:c>
      <x:c r="O449" s="11" t="n">
        <x:v>44580810</x:v>
      </x:c>
      <x:c r="P449" s="11" t="n">
        <x:v>11328711</x:v>
      </x:c>
      <x:c r="Q449" s="11" t="n">
        <x:v>40111408</x:v>
      </x:c>
      <x:c r="R449" s="11" t="n">
        <x:v>112675757</x:v>
      </x:c>
      <x:c r="S449" s="11" t="n">
        <x:v>23641391</x:v>
      </x:c>
      <x:c r="T449" s="11" t="n">
        <x:v>221282110</x:v>
      </x:c>
      <x:c r="U449" s="11" t="n">
        <x:v>115637031</x:v>
      </x:c>
      <x:c r="V449" s="11" t="n">
        <x:v>124223492</x:v>
      </x:c>
      <x:c r="W449" s="11" t="n">
        <x:v>37237663</x:v>
      </x:c>
      <x:c r="X449" s="11" t="n">
        <x:v>23291350</x:v>
      </x:c>
      <x:c r="Y449" s="11" t="n">
        <x:v>0</x:v>
      </x:c>
      <x:c r="Z449" s="11" t="n">
        <x:v>2215522</x:v>
      </x:c>
      <x:c r="AA449" s="11" t="n">
        <x:v>20676495</x:v>
      </x:c>
      <x:c r="AB449" s="11" t="n">
        <x:v>1317565</x:v>
      </x:c>
      <x:c r="AC449" s="11" t="n">
        <x:v>3533087</x:v>
      </x:c>
      <x:c r="AD449" s="11" t="n">
        <x:v>36683133</x:v>
      </x:c>
      <x:c r="AE449" s="11" t="n">
        <x:v>28382020</x:v>
      </x:c>
      <x:c r="AF449" s="11" t="n">
        <x:v>146732531</x:v>
      </x:c>
      <x:c r="AG449" s="11" t="n">
        <x:v>1540219506</x:v>
      </x:c>
      <x:c r="AH449" s="11" t="n">
        <x:v>402245389</x:v>
      </x:c>
      <x:c r="AI449" s="11" t="n">
        <x:v>1137974117</x:v>
      </x:c>
      <x:c r="AJ449" s="11" t="n">
        <x:v>69544005</x:v>
      </x:c>
      <x:c r="AK449" s="11" t="n">
        <x:v>2627695109</x:v>
      </x:c>
      <x:c r="AL449" s="11" t="n">
        <x:v>42090284</x:v>
      </x:c>
      <x:c r="AM449" s="12" t="n">
        <x:v>0.9839820518537944</x:v>
      </x:c>
      <x:c r="AN449" s="12" t="n">
        <x:v>0.026465781650925925</x:v>
      </x:c>
      <x:c r="AO449" s="11" t="n">
        <x:v>144915197</x:v>
      </x:c>
      <x:c r="AP449" s="11" t="n">
        <x:v>138090447</x:v>
      </x:c>
      <x:c r="AQ449" s="12" t="n">
        <x:v>0.9529052153170657</x:v>
      </x:c>
      <x:c r="AR449" s="11" t="n">
        <x:v>2096.5284382207938</x:v>
      </x:c>
      <x:c r="AS449" s="11" t="n">
        <x:v>1504.5498201773084</x:v>
      </x:c>
      <x:c r="AT449" s="11" t="n">
        <x:v>1357.9454519616525</x:v>
      </x:c>
      <x:c r="AU449" s="11" t="n">
        <x:v>407.06241869718735</x:v>
      </x:c>
      <x:c r="AV449" s="11" t="n">
        <x:v>226.02449742563866</x:v>
      </x:c>
      <x:c r="AW449" s="11" t="n">
        <x:v>1.9135921087423975</x:v>
      </x:c>
      <x:c r="AX449" s="12" t="n">
        <x:v>0.7737076328785767</x:v>
      </x:c>
      <x:c r="AY449" s="11"/>
      <x:c r="AZ449" s="11"/>
      <x:c r="BA449" s="11"/>
      <x:c r="BB449" s="11"/>
      <x:c r="BC449" s="11"/>
      <x:c r="BD449" s="11"/>
      <x:c r="BE449" s="11"/>
      <x:c r="BF449" s="11"/>
      <x:c r="BG449" s="11"/>
      <x:c r="BH449" s="11"/>
      <x:c r="BI449" s="11"/>
      <x:c r="BJ449" s="11"/>
      <x:c r="BK449" s="12"/>
      <x:c r="BL449" s="12"/>
      <x:c r="BM449" s="12"/>
      <x:c r="BN449" s="12"/>
      <x:c r="BO449" s="12"/>
      <x:c r="BP449" s="12"/>
      <x:c r="BQ449" s="12"/>
      <x:c r="BR449" s="12"/>
      <x:c r="BS449" s="12"/>
      <x:c r="BT449" s="12"/>
      <x:c r="BU449" s="11" t="n">
        <x:v>918996</x:v>
      </x:c>
      <x:c r="BV449" s="11" t="n">
        <x:v>8527889</x:v>
      </x:c>
      <x:c r="BW449" s="11" t="n">
        <x:v>1881826</x:v>
      </x:c>
      <x:c r="BX449" s="11" t="n">
        <x:v>5286485</x:v>
      </x:c>
      <x:c r="BY449" s="11" t="n">
        <x:v>0</x:v>
      </x:c>
      <x:c r="BZ449" s="11" t="n">
        <x:v>34824923</x:v>
      </x:c>
      <x:c r="CA449" s="11" t="n">
        <x:v>0</x:v>
      </x:c>
      <x:c r="CB449" s="11" t="n">
        <x:v>0</x:v>
      </x:c>
      <x:c r="CC449" s="11" t="n">
        <x:v>15790669</x:v>
      </x:c>
      <x:c r="CD449" s="11" t="n">
        <x:v>38567159</x:v>
      </x:c>
      <x:c r="CE449" s="11" t="n">
        <x:v>3289817</x:v>
      </x:c>
      <x:c r="CF449" s="11" t="n">
        <x:v>698360</x:v>
      </x:c>
      <x:c r="CG449" s="11" t="n">
        <x:v>2531978</x:v>
      </x:c>
      <x:c r="CH449" s="11" t="n">
        <x:v>10686101</x:v>
      </x:c>
      <x:c r="CI449" s="11" t="n">
        <x:v>16500093</x:v>
      </x:c>
      <x:c r="CJ449" s="11" t="n">
        <x:v>12667213</x:v>
      </x:c>
      <x:c r="CK449" s="11" t="n">
        <x:v>10162621</x:v>
      </x:c>
      <x:c r="CL449" s="11" t="n">
        <x:v>0</x:v>
      </x:c>
      <x:c r="CM449" s="11"/>
      <x:c r="CN449" s="11" t="n">
        <x:v>3099311</x:v>
      </x:c>
      <x:c r="CO449" s="11" t="n">
        <x:v>0</x:v>
      </x:c>
      <x:c r="CP449" s="8"/>
      <x:c r="CQ449" s="8"/>
    </x:row>
    <x:row r="450">
      <x:c r="A450" s="8" t="str">
        <x:v>Maple Ridge|2021</x:v>
      </x:c>
      <x:c r="B450" s="8" t="str">
        <x:v>maple-ridge-c</x:v>
      </x:c>
      <x:c r="C450" s="8" t="str">
        <x:v>Maple Ridge</x:v>
      </x:c>
      <x:c r="D450" s="8" t="str">
        <x:v>Maple Ridge</x:v>
      </x:c>
      <x:c r="E450" s="8" t="str">
        <x:v>C</x:v>
      </x:c>
      <x:c r="F450" s="8" t="str">
        <x:v>MVRD</x:v>
      </x:c>
      <x:c r="G450" s="9" t="n">
        <x:v>2021</x:v>
      </x:c>
      <x:c r="H450" s="10" t="n">
        <x:v>94742</x:v>
      </x:c>
      <x:c r="I450" s="8" t="str">
        <x:v>20,000 to 99,999</x:v>
      </x:c>
      <x:c r="J450" s="11" t="n">
        <x:v>181240296</x:v>
      </x:c>
      <x:c r="K450" s="11" t="n">
        <x:v>147577937</x:v>
      </x:c>
      <x:c r="L450" s="11" t="n">
        <x:v>33662359</x:v>
      </x:c>
      <x:c r="M450" s="12" t="n">
        <x:v>0.185733304033006</x:v>
      </x:c>
      <x:c r="N450" s="11" t="n">
        <x:v>100490111</x:v>
      </x:c>
      <x:c r="O450" s="11" t="n">
        <x:v>49303788</x:v>
      </x:c>
      <x:c r="P450" s="11" t="n">
        <x:v>7584076</x:v>
      </x:c>
      <x:c r="Q450" s="11" t="n">
        <x:v>23862321</x:v>
      </x:c>
      <x:c r="R450" s="11" t="n">
        <x:v>122084554</x:v>
      </x:c>
      <x:c r="S450" s="11" t="n">
        <x:v>23863066</x:v>
      </x:c>
      <x:c r="T450" s="11" t="n">
        <x:v>267414519</x:v>
      </x:c>
      <x:c r="U450" s="11" t="n">
        <x:v>166428513</x:v>
      </x:c>
      <x:c r="V450" s="11" t="n">
        <x:v>121352218</x:v>
      </x:c>
      <x:c r="W450" s="11" t="n">
        <x:v>44524272</x:v>
      </x:c>
      <x:c r="X450" s="11" t="n">
        <x:v>20676495</x:v>
      </x:c>
      <x:c r="Y450" s="11" t="n">
        <x:v>29000000</x:v>
      </x:c>
      <x:c r="Z450" s="11" t="n">
        <x:v>2260235</x:v>
      </x:c>
      <x:c r="AA450" s="11" t="n">
        <x:v>46975903</x:v>
      </x:c>
      <x:c r="AB450" s="11" t="n">
        <x:v>1630317</x:v>
      </x:c>
      <x:c r="AC450" s="11" t="n">
        <x:v>3890552</x:v>
      </x:c>
      <x:c r="AD450" s="11" t="n">
        <x:v>38436615</x:v>
      </x:c>
      <x:c r="AE450" s="11" t="n">
        <x:v>31372742</x:v>
      </x:c>
      <x:c r="AF450" s="11" t="n">
        <x:v>153746461</x:v>
      </x:c>
      <x:c r="AG450" s="11" t="n">
        <x:v>1592074248</x:v>
      </x:c>
      <x:c r="AH450" s="11" t="n">
        <x:v>422222669</x:v>
      </x:c>
      <x:c r="AI450" s="11" t="n">
        <x:v>1169851579</x:v>
      </x:c>
      <x:c r="AJ450" s="11" t="n">
        <x:v>57444676</x:v>
      </x:c>
      <x:c r="AK450" s="11" t="n">
        <x:v>2772653388</x:v>
      </x:c>
      <x:c r="AL450" s="11" t="n">
        <x:v>43722374</x:v>
      </x:c>
      <x:c r="AM450" s="12" t="n">
        <x:v>0.9842308547511818</x:v>
      </x:c>
      <x:c r="AN450" s="12" t="n">
        <x:v>0.020718304079629875</x:v>
      </x:c>
      <x:c r="AO450" s="11" t="n">
        <x:v>159714176</x:v>
      </x:c>
      <x:c r="AP450" s="11" t="n">
        <x:v>154119907</x:v>
      </x:c>
      <x:c r="AQ450" s="12" t="n">
        <x:v>0.9649732469583664</x:v>
      </x:c>
      <x:c r="AR450" s="11" t="n">
        <x:v>1912.9878617719703</x:v>
      </x:c>
      <x:c r="AS450" s="11" t="n">
        <x:v>1557.6823056300268</x:v>
      </x:c>
      <x:c r="AT450" s="11" t="n">
        <x:v>1280.8703426146799</x:v>
      </x:c>
      <x:c r="AU450" s="11" t="n">
        <x:v>469.952840345359</x:v>
      </x:c>
      <x:c r="AV450" s="11" t="n">
        <x:v>495.82975871313675</x:v>
      </x:c>
      <x:c r="AW450" s="11" t="n">
        <x:v>1.6067830816946613</x:v>
      </x:c>
      <x:c r="AX450" s="12" t="n">
        <x:v>0.8162202108588387</x:v>
      </x:c>
      <x:c r="AY450" s="11"/>
      <x:c r="AZ450" s="11"/>
      <x:c r="BA450" s="11"/>
      <x:c r="BB450" s="11"/>
      <x:c r="BC450" s="11"/>
      <x:c r="BD450" s="11"/>
      <x:c r="BE450" s="11"/>
      <x:c r="BF450" s="11"/>
      <x:c r="BG450" s="11"/>
      <x:c r="BH450" s="11"/>
      <x:c r="BI450" s="11"/>
      <x:c r="BJ450" s="11"/>
      <x:c r="BK450" s="12"/>
      <x:c r="BL450" s="12"/>
      <x:c r="BM450" s="12"/>
      <x:c r="BN450" s="12"/>
      <x:c r="BO450" s="12"/>
      <x:c r="BP450" s="12"/>
      <x:c r="BQ450" s="12"/>
      <x:c r="BR450" s="12"/>
      <x:c r="BS450" s="12"/>
      <x:c r="BT450" s="12"/>
      <x:c r="BU450" s="11" t="n">
        <x:v>1697618</x:v>
      </x:c>
      <x:c r="BV450" s="11" t="n">
        <x:v>3299207</x:v>
      </x:c>
      <x:c r="BW450" s="11" t="n">
        <x:v>2587251</x:v>
      </x:c>
      <x:c r="BX450" s="11" t="n">
        <x:v>2411236</x:v>
      </x:c>
      <x:c r="BY450" s="11" t="n">
        <x:v>0</x:v>
      </x:c>
      <x:c r="BZ450" s="11" t="n">
        <x:v>21451085</x:v>
      </x:c>
      <x:c r="CA450" s="11" t="n">
        <x:v>0</x:v>
      </x:c>
      <x:c r="CB450" s="11" t="n">
        <x:v>0</x:v>
      </x:c>
      <x:c r="CC450" s="11" t="n">
        <x:v>18649405</x:v>
      </x:c>
      <x:c r="CD450" s="11" t="n">
        <x:v>42833766</x:v>
      </x:c>
      <x:c r="CE450" s="11" t="n">
        <x:v>3467762</x:v>
      </x:c>
      <x:c r="CF450" s="11" t="n">
        <x:v>533382</x:v>
      </x:c>
      <x:c r="CG450" s="11" t="n">
        <x:v>2941755</x:v>
      </x:c>
      <x:c r="CH450" s="11" t="n">
        <x:v>10901303</x:v>
      </x:c>
      <x:c r="CI450" s="11" t="n">
        <x:v>18682996</x:v>
      </x:c>
      <x:c r="CJ450" s="11" t="n">
        <x:v>14010636</x:v>
      </x:c>
      <x:c r="CK450" s="11" t="n">
        <x:v>10628828</x:v>
      </x:c>
      <x:c r="CL450" s="11" t="n">
        <x:v>0</x:v>
      </x:c>
      <x:c r="CM450" s="11"/>
      <x:c r="CN450" s="11" t="n">
        <x:v>1065038</x:v>
      </x:c>
      <x:c r="CO450" s="11" t="n">
        <x:v>0</x:v>
      </x:c>
      <x:c r="CP450" s="8"/>
      <x:c r="CQ450" s="8"/>
    </x:row>
    <x:row r="451">
      <x:c r="A451" s="8" t="str">
        <x:v>Maple Ridge|2022</x:v>
      </x:c>
      <x:c r="B451" s="8" t="str">
        <x:v>maple-ridge-c</x:v>
      </x:c>
      <x:c r="C451" s="8" t="str">
        <x:v>Maple Ridge</x:v>
      </x:c>
      <x:c r="D451" s="8" t="str">
        <x:v>Maple Ridge</x:v>
      </x:c>
      <x:c r="E451" s="8" t="str">
        <x:v>C</x:v>
      </x:c>
      <x:c r="F451" s="8" t="str">
        <x:v>MVRD</x:v>
      </x:c>
      <x:c r="G451" s="9" t="n">
        <x:v>2022</x:v>
      </x:c>
      <x:c r="H451" s="10" t="n">
        <x:v>760</x:v>
      </x:c>
      <x:c r="I451" s="8" t="str">
        <x:v>Under 5,000</x:v>
      </x:c>
      <x:c r="J451" s="11" t="n">
        <x:v>201516421</x:v>
      </x:c>
      <x:c r="K451" s="11" t="n">
        <x:v>159715189</x:v>
      </x:c>
      <x:c r="L451" s="11" t="n">
        <x:v>41801232</x:v>
      </x:c>
      <x:c r="M451" s="12" t="n">
        <x:v>0.20743337834488437</x:v>
      </x:c>
      <x:c r="N451" s="11" t="n">
        <x:v>105368221</x:v>
      </x:c>
      <x:c r="O451" s="11" t="n">
        <x:v>54250411</x:v>
      </x:c>
      <x:c r="P451" s="11" t="n">
        <x:v>8902109</x:v>
      </x:c>
      <x:c r="Q451" s="11" t="n">
        <x:v>32995680</x:v>
      </x:c>
      <x:c r="R451" s="11" t="n">
        <x:v>131092696</x:v>
      </x:c>
      <x:c r="S451" s="11" t="n">
        <x:v>26466120</x:v>
      </x:c>
      <x:c r="T451" s="11" t="n">
        <x:v>276184748</x:v>
      </x:c>
      <x:c r="U451" s="11" t="n">
        <x:v>166360070</x:v>
      </x:c>
      <x:c r="V451" s="11" t="n">
        <x:v>139103726</x:v>
      </x:c>
      <x:c r="W451" s="11" t="n">
        <x:v>49015284</x:v>
      </x:c>
      <x:c r="X451" s="11" t="n">
        <x:v>46975903</x:v>
      </x:c>
      <x:c r="Y451" s="11" t="n">
        <x:v>0</x:v>
      </x:c>
      <x:c r="Z451" s="11" t="n">
        <x:v>3544334</x:v>
      </x:c>
      <x:c r="AA451" s="11" t="n">
        <x:v>42930686</x:v>
      </x:c>
      <x:c r="AB451" s="11" t="n">
        <x:v>2156373</x:v>
      </x:c>
      <x:c r="AC451" s="11" t="n">
        <x:v>5700707</x:v>
      </x:c>
      <x:c r="AD451" s="11" t="n">
        <x:v>42094456</x:v>
      </x:c>
      <x:c r="AE451" s="11" t="n">
        <x:v>32989471</x:v>
      </x:c>
      <x:c r="AF451" s="11" t="n">
        <x:v>168377824</x:v>
      </x:c>
      <x:c r="AG451" s="11" t="n">
        <x:v>1639538971</x:v>
      </x:c>
      <x:c r="AH451" s="11" t="n">
        <x:v>446167761</x:v>
      </x:c>
      <x:c r="AI451" s="11" t="n">
        <x:v>1193371210</x:v>
      </x:c>
      <x:c r="AJ451" s="11" t="n">
        <x:v>50169026</x:v>
      </x:c>
      <x:c r="AK451" s="11" t="n">
        <x:v>2992835797</x:v>
      </x:c>
      <x:c r="AL451" s="11" t="n">
        <x:v>47674115</x:v>
      </x:c>
      <x:c r="AM451" s="12" t="n">
        <x:v>0.9840705878191552</x:v>
      </x:c>
      <x:c r="AN451" s="12" t="n">
        <x:v>0.01676303994034324</x:v>
      </x:c>
      <x:c r="AO451" s="11" t="n">
        <x:v>169542817</x:v>
      </x:c>
      <x:c r="AP451" s="11" t="n">
        <x:v>163142080</x:v>
      </x:c>
      <x:c r="AQ451" s="12" t="n">
        <x:v>0.9622470765010351</x:v>
      </x:c>
      <x:c r="AR451" s="11" t="n">
        <x:v>265153.18552631576</x:v>
      </x:c>
      <x:c r="AS451" s="11" t="n">
        <x:v>210151.5644736842</x:v>
      </x:c>
      <x:c r="AT451" s="11" t="n">
        <x:v>183031.21842105262</x:v>
      </x:c>
      <x:c r="AU451" s="11" t="n">
        <x:v>64493.79473684211</x:v>
      </x:c>
      <x:c r="AV451" s="11" t="n">
        <x:v>56487.744736842105</x:v>
      </x:c>
      <x:c r="AW451" s="11" t="n">
        <x:v>1.660162489712826</x:v>
      </x:c>
      <x:c r="AX451" s="12" t="n">
        <x:v>0.7837010888084645</x:v>
      </x:c>
      <x:c r="AY451" s="11"/>
      <x:c r="AZ451" s="11"/>
      <x:c r="BA451" s="11"/>
      <x:c r="BB451" s="11"/>
      <x:c r="BC451" s="11"/>
      <x:c r="BD451" s="11"/>
      <x:c r="BE451" s="11"/>
      <x:c r="BF451" s="11"/>
      <x:c r="BG451" s="11"/>
      <x:c r="BH451" s="11"/>
      <x:c r="BI451" s="11"/>
      <x:c r="BJ451" s="11"/>
      <x:c r="BK451" s="12"/>
      <x:c r="BL451" s="12"/>
      <x:c r="BM451" s="12"/>
      <x:c r="BN451" s="12"/>
      <x:c r="BO451" s="12"/>
      <x:c r="BP451" s="12"/>
      <x:c r="BQ451" s="12"/>
      <x:c r="BR451" s="12"/>
      <x:c r="BS451" s="12"/>
      <x:c r="BT451" s="12"/>
      <x:c r="BU451" s="11" t="n">
        <x:v>919955</x:v>
      </x:c>
      <x:c r="BV451" s="11" t="n">
        <x:v>4334343</x:v>
      </x:c>
      <x:c r="BW451" s="11" t="n">
        <x:v>3647811</x:v>
      </x:c>
      <x:c r="BX451" s="11" t="n">
        <x:v>6801307</x:v>
      </x:c>
      <x:c r="BY451" s="11" t="n">
        <x:v>0</x:v>
      </x:c>
      <x:c r="BZ451" s="11" t="n">
        <x:v>26194373</x:v>
      </x:c>
      <x:c r="CA451" s="11" t="n">
        <x:v>0</x:v>
      </x:c>
      <x:c r="CB451" s="11" t="n">
        <x:v>0</x:v>
      </x:c>
      <x:c r="CC451" s="11" t="n">
        <x:v>20151243</x:v>
      </x:c>
      <x:c r="CD451" s="11" t="n">
        <x:v>46528272</x:v>
      </x:c>
      <x:c r="CE451" s="11" t="n">
        <x:v>3692099</x:v>
      </x:c>
      <x:c r="CF451" s="11" t="n">
        <x:v>399089</x:v>
      </x:c>
      <x:c r="CG451" s="11" t="n">
        <x:v>2860685</x:v>
      </x:c>
      <x:c r="CH451" s="11" t="n">
        <x:v>12763398</x:v>
      </x:c>
      <x:c r="CI451" s="11" t="n">
        <x:v>21600483</x:v>
      </x:c>
      <x:c r="CJ451" s="11" t="n">
        <x:v>14592970</x:v>
      </x:c>
      <x:c r="CK451" s="11" t="n">
        <x:v>10511704</x:v>
      </x:c>
      <x:c r="CL451" s="11" t="n">
        <x:v>0</x:v>
      </x:c>
      <x:c r="CM451" s="11"/>
      <x:c r="CN451" s="11" t="n">
        <x:v>149126</x:v>
      </x:c>
      <x:c r="CO451" s="11" t="n">
        <x:v>0</x:v>
      </x:c>
      <x:c r="CP451" s="8"/>
      <x:c r="CQ451" s="8"/>
    </x:row>
    <x:row r="452">
      <x:c r="A452" s="8" t="str">
        <x:v>Maple Ridge|2023</x:v>
      </x:c>
      <x:c r="B452" s="8" t="str">
        <x:v>maple-ridge-c</x:v>
      </x:c>
      <x:c r="C452" s="8" t="str">
        <x:v>Maple Ridge</x:v>
      </x:c>
      <x:c r="D452" s="8" t="str">
        <x:v>Maple Ridge</x:v>
      </x:c>
      <x:c r="E452" s="8" t="str">
        <x:v>C</x:v>
      </x:c>
      <x:c r="F452" s="8" t="str">
        <x:v>MVRD</x:v>
      </x:c>
      <x:c r="G452" s="9" t="n">
        <x:v>2023</x:v>
      </x:c>
      <x:c r="H452" s="10" t="n">
        <x:v>99996</x:v>
      </x:c>
      <x:c r="I452" s="8" t="str">
        <x:v>20,000 to 99,999</x:v>
      </x:c>
      <x:c r="J452" s="11" t="n">
        <x:v>234710732</x:v>
      </x:c>
      <x:c r="K452" s="11" t="n">
        <x:v>176360766</x:v>
      </x:c>
      <x:c r="L452" s="11" t="n">
        <x:v>58349966</x:v>
      </x:c>
      <x:c r="M452" s="12" t="n">
        <x:v>0.24860374088049797</x:v>
      </x:c>
      <x:c r="N452" s="11" t="n">
        <x:v>112617169</x:v>
      </x:c>
      <x:c r="O452" s="11" t="n">
        <x:v>58250159</x:v>
      </x:c>
      <x:c r="P452" s="11" t="n">
        <x:v>27302182</x:v>
      </x:c>
      <x:c r="Q452" s="11" t="n">
        <x:v>36541222</x:v>
      </x:c>
      <x:c r="R452" s="11" t="n">
        <x:v>146796556</x:v>
      </x:c>
      <x:c r="S452" s="11" t="n">
        <x:v>27971733</x:v>
      </x:c>
      <x:c r="T452" s="11" t="n">
        <x:v>298019276</x:v>
      </x:c>
      <x:c r="U452" s="11" t="n">
        <x:v>192222316</x:v>
      </x:c>
      <x:c r="V452" s="11" t="n">
        <x:v>144256096</x:v>
      </x:c>
      <x:c r="W452" s="11" t="n">
        <x:v>67983907</x:v>
      </x:c>
      <x:c r="X452" s="11" t="n">
        <x:v>42930686</x:v>
      </x:c>
      <x:c r="Y452" s="11" t="n">
        <x:v>0</x:v>
      </x:c>
      <x:c r="Z452" s="11" t="n">
        <x:v>3601500</x:v>
      </x:c>
      <x:c r="AA452" s="11" t="n">
        <x:v>38761184</x:v>
      </x:c>
      <x:c r="AB452" s="11" t="n">
        <x:v>1592477</x:v>
      </x:c>
      <x:c r="AC452" s="11" t="n">
        <x:v>5193977</x:v>
      </x:c>
      <x:c r="AD452" s="11" t="n">
        <x:v>45668742</x:v>
      </x:c>
      <x:c r="AE452" s="11" t="n">
        <x:v>36990344</x:v>
      </x:c>
      <x:c r="AF452" s="11" t="n">
        <x:v>182674968</x:v>
      </x:c>
      <x:c r="AG452" s="11" t="n">
        <x:v>1699783990</x:v>
      </x:c>
      <x:c r="AH452" s="11" t="n">
        <x:v>469868332</x:v>
      </x:c>
      <x:c r="AI452" s="11" t="n">
        <x:v>1229915658</x:v>
      </x:c>
      <x:c r="AJ452" s="11" t="n">
        <x:v>66040048</x:v>
      </x:c>
      <x:c r="AK452" s="11" t="n">
        <x:v>3109901901</x:v>
      </x:c>
      <x:c r="AL452" s="11" t="n">
        <x:v>50208930</x:v>
      </x:c>
      <x:c r="AM452" s="12" t="n">
        <x:v>0.9838551402589725</x:v>
      </x:c>
      <x:c r="AN452" s="12" t="n">
        <x:v>0.021235411952629304</x:v>
      </x:c>
      <x:c r="AO452" s="11" t="n">
        <x:v>182940007</x:v>
      </x:c>
      <x:c r="AP452" s="11" t="n">
        <x:v>174887671</x:v>
      </x:c>
      <x:c r="AQ452" s="12" t="n">
        <x:v>0.9559837340555037</x:v>
      </x:c>
      <x:c r="AR452" s="11" t="n">
        <x:v>2347.201208048322</x:v>
      </x:c>
      <x:c r="AS452" s="11" t="n">
        <x:v>1763.678207128285</x:v>
      </x:c>
      <x:c r="AT452" s="11" t="n">
        <x:v>1442.61866474659</x:v>
      </x:c>
      <x:c r="AU452" s="11" t="n">
        <x:v>679.866264650586</x:v>
      </x:c>
      <x:c r="AV452" s="11" t="n">
        <x:v>387.62734509380374</x:v>
      </x:c>
      <x:c r="AW452" s="11" t="n">
        <x:v>1.5503885407353015</x:v>
      </x:c>
      <x:c r="AX452" s="12" t="n">
        <x:v>0.8099707235202581</x:v>
      </x:c>
      <x:c r="AY452" s="11"/>
      <x:c r="AZ452" s="11"/>
      <x:c r="BA452" s="11"/>
      <x:c r="BB452" s="11"/>
      <x:c r="BC452" s="11"/>
      <x:c r="BD452" s="11"/>
      <x:c r="BE452" s="11"/>
      <x:c r="BF452" s="11"/>
      <x:c r="BG452" s="11"/>
      <x:c r="BH452" s="11"/>
      <x:c r="BI452" s="11"/>
      <x:c r="BJ452" s="11"/>
      <x:c r="BK452" s="12"/>
      <x:c r="BL452" s="12"/>
      <x:c r="BM452" s="12"/>
      <x:c r="BN452" s="12"/>
      <x:c r="BO452" s="12"/>
      <x:c r="BP452" s="12"/>
      <x:c r="BQ452" s="12"/>
      <x:c r="BR452" s="12"/>
      <x:c r="BS452" s="12"/>
      <x:c r="BT452" s="12"/>
      <x:c r="BU452" s="11" t="n">
        <x:v>1186485</x:v>
      </x:c>
      <x:c r="BV452" s="11" t="n">
        <x:v>20030795</x:v>
      </x:c>
      <x:c r="BW452" s="11" t="n">
        <x:v>6084902</x:v>
      </x:c>
      <x:c r="BX452" s="11" t="n">
        <x:v>9886033</x:v>
      </x:c>
      <x:c r="BY452" s="11" t="n">
        <x:v>0</x:v>
      </x:c>
      <x:c r="BZ452" s="11" t="n">
        <x:v>26655189</x:v>
      </x:c>
      <x:c r="CA452" s="11" t="n">
        <x:v>0</x:v>
      </x:c>
      <x:c r="CB452" s="11" t="n">
        <x:v>0</x:v>
      </x:c>
      <x:c r="CC452" s="11" t="n">
        <x:v>24938549</x:v>
      </x:c>
      <x:c r="CD452" s="11" t="n">
        <x:v>48991571</x:v>
      </x:c>
      <x:c r="CE452" s="11" t="n">
        <x:v>4058155</x:v>
      </x:c>
      <x:c r="CF452" s="11" t="n">
        <x:v>544049</x:v>
      </x:c>
      <x:c r="CG452" s="11" t="n">
        <x:v>3086173</x:v>
      </x:c>
      <x:c r="CH452" s="11" t="n">
        <x:v>13403980</x:v>
      </x:c>
      <x:c r="CI452" s="11" t="n">
        <x:v>23357511</x:v>
      </x:c>
      <x:c r="CJ452" s="11" t="n">
        <x:v>16050056</x:v>
      </x:c>
      <x:c r="CK452" s="11" t="n">
        <x:v>11864197</x:v>
      </x:c>
      <x:c r="CL452" s="11" t="n">
        <x:v>0</x:v>
      </x:c>
      <x:c r="CM452" s="11" t="n">
        <x:v>787442</x:v>
      </x:c>
      <x:c r="CN452" s="11" t="n">
        <x:v>1307350</x:v>
      </x:c>
      <x:c r="CO452" s="11" t="n">
        <x:v>0</x:v>
      </x:c>
      <x:c r="CP452" s="8"/>
      <x:c r="CQ452" s="8"/>
    </x:row>
    <x:row r="453">
      <x:c r="A453" s="8" t="str">
        <x:v>Maple Ridge|2024</x:v>
      </x:c>
      <x:c r="B453" s="8" t="str">
        <x:v>maple-ridge-c</x:v>
      </x:c>
      <x:c r="C453" s="8" t="str">
        <x:v>Maple Ridge</x:v>
      </x:c>
      <x:c r="D453" s="8" t="str">
        <x:v>Maple Ridge</x:v>
      </x:c>
      <x:c r="E453" s="8" t="str">
        <x:v>C</x:v>
      </x:c>
      <x:c r="F453" s="8" t="str">
        <x:v>MVRD</x:v>
      </x:c>
      <x:c r="G453" s="9" t="n">
        <x:v>2024</x:v>
      </x:c>
      <x:c r="H453" s="10" t="n">
        <x:v>99996</x:v>
      </x:c>
      <x:c r="I453" s="8" t="str">
        <x:v>20,000 to 99,999</x:v>
      </x:c>
      <x:c r="J453" s="11" t="n">
        <x:v>271273052</x:v>
      </x:c>
      <x:c r="K453" s="11" t="n">
        <x:v>195293606</x:v>
      </x:c>
      <x:c r="L453" s="11" t="n">
        <x:v>75979446</x:v>
      </x:c>
      <x:c r="M453" s="12" t="n">
        <x:v>0.2800847538663737</x:v>
      </x:c>
      <x:c r="N453" s="11" t="n">
        <x:v>121031185</x:v>
      </x:c>
      <x:c r="O453" s="11" t="n">
        <x:v>84130277</x:v>
      </x:c>
      <x:c r="P453" s="11" t="n">
        <x:v>13576635</x:v>
      </x:c>
      <x:c r="Q453" s="11" t="n">
        <x:v>52534955</x:v>
      </x:c>
      <x:c r="R453" s="11" t="n">
        <x:v>163450005</x:v>
      </x:c>
      <x:c r="S453" s="11" t="n">
        <x:v>29891313</x:v>
      </x:c>
      <x:c r="T453" s="11" t="n">
        <x:v>311548103</x:v>
      </x:c>
      <x:c r="U453" s="11" t="n">
        <x:v>173828709</x:v>
      </x:c>
      <x:c r="V453" s="11" t="n">
        <x:v>168077934</x:v>
      </x:c>
      <x:c r="W453" s="11" t="n">
        <x:v>68789549</x:v>
      </x:c>
      <x:c r="X453" s="11" t="n">
        <x:v>38761184</x:v>
      </x:c>
      <x:c r="Y453" s="11" t="n">
        <x:v>0</x:v>
      </x:c>
      <x:c r="Z453" s="11" t="n">
        <x:v>3651533</x:v>
      </x:c>
      <x:c r="AA453" s="11" t="n">
        <x:v>34467441</x:v>
      </x:c>
      <x:c r="AB453" s="11" t="n">
        <x:v>1952288</x:v>
      </x:c>
      <x:c r="AC453" s="11" t="n">
        <x:v>5603821</x:v>
      </x:c>
      <x:c r="AD453" s="11" t="n">
        <x:v>54704541</x:v>
      </x:c>
      <x:c r="AE453" s="11" t="n">
        <x:v>45582841</x:v>
      </x:c>
      <x:c r="AF453" s="11" t="n">
        <x:v>218818165</x:v>
      </x:c>
      <x:c r="AG453" s="11" t="n">
        <x:v>1760145618</x:v>
      </x:c>
      <x:c r="AH453" s="11" t="n">
        <x:v>495795669</x:v>
      </x:c>
      <x:c r="AI453" s="11" t="n">
        <x:v>1264349949</x:v>
      </x:c>
      <x:c r="AJ453" s="11" t="n">
        <x:v>81300188</x:v>
      </x:c>
      <x:c r="AK453" s="11" t="n">
        <x:v>3238414701</x:v>
      </x:c>
      <x:c r="AL453" s="11" t="n">
        <x:v>51441455</x:v>
      </x:c>
      <x:c r="AM453" s="12" t="n">
        <x:v>0.9841152354625505</x:v>
      </x:c>
      <x:c r="AN453" s="12" t="n">
        <x:v>0.02510493420589249</x:v>
      </x:c>
      <x:c r="AO453" s="11" t="n">
        <x:v>198417380</x:v>
      </x:c>
      <x:c r="AP453" s="11" t="n">
        <x:v>189000340</x:v>
      </x:c>
      <x:c r="AQ453" s="12" t="n">
        <x:v>0.9525392382461657</x:v>
      </x:c>
      <x:c r="AR453" s="11" t="n">
        <x:v>2712.8390335613426</x:v>
      </x:c>
      <x:c r="AS453" s="11" t="n">
        <x:v>1953.0141805672226</x:v>
      </x:c>
      <x:c r="AT453" s="11" t="n">
        <x:v>1680.8465738629545</x:v>
      </x:c>
      <x:c r="AU453" s="11" t="n">
        <x:v>687.9230069202769</x:v>
      </x:c>
      <x:c r="AV453" s="11" t="n">
        <x:v>344.68819752790114</x:v>
      </x:c>
      <x:c r="AW453" s="11" t="n">
        <x:v>1.7922707059856264</x:v>
      </x:c>
      <x:c r="AX453" s="12" t="n">
        <x:v>0.8332551588359</x:v>
      </x:c>
      <x:c r="AY453" s="11" t="n">
        <x:v>2823.8160359162957</x:v>
      </x:c>
      <x:c r="AZ453" s="11" t="n">
        <x:v>3546.5079302077975</x:v>
      </x:c>
      <x:c r="BA453" s="11" t="n">
        <x:v>2313.177731087988</x:v>
      </x:c>
      <x:c r="BB453" s="11" t="n">
        <x:v>2783.665107049771</x:v>
      </x:c>
      <x:c r="BC453" s="11" t="n">
        <x:v>1634.933826557682</x:v>
      </x:c>
      <x:c r="BD453" s="11" t="n">
        <x:v>2437.8724475115623</x:v>
      </x:c>
      <x:c r="BE453" s="11" t="n">
        <x:v>1015.8871081440785</x:v>
      </x:c>
      <x:c r="BF453" s="11" t="n">
        <x:v>1604.3462673977224</x:v>
      </x:c>
      <x:c r="BG453" s="11" t="n">
        <x:v>757.3716446138835</x:v>
      </x:c>
      <x:c r="BH453" s="11" t="n">
        <x:v>518.5374381567245</x:v>
      </x:c>
      <x:c r="BI453" s="11" t="n">
        <x:v>1.4428133381403412</x:v>
      </x:c>
      <x:c r="BJ453" s="11" t="n">
        <x:v>1.7099330852451193</x:v>
      </x:c>
      <x:c r="BK453" s="12" t="n">
        <x:v>0.021350493990494074</x:v>
      </x:c>
      <x:c r="BL453" s="12" t="n">
        <x:v>0.02529861000232605</x:v>
      </x:c>
      <x:c r="BM453" s="12" t="n">
        <x:v>0.9847118933607182</x:v>
      </x:c>
      <x:c r="BN453" s="12" t="n">
        <x:v>0.9815511712696461</x:v>
      </x:c>
      <x:c r="BO453" s="12" t="n">
        <x:v>0.8457939120832807</x:v>
      </x:c>
      <x:c r="BP453" s="12" t="n">
        <x:v>0.8619101997275483</x:v>
      </x:c>
      <x:c r="BQ453" s="12" t="n">
        <x:v>0.9744645665293163</x:v>
      </x:c>
      <x:c r="BR453" s="12" t="n">
        <x:v>0.9623635142836453</x:v>
      </x:c>
      <x:c r="BS453" s="12" t="n">
        <x:v>0.16542076645989975</x:v>
      </x:c>
      <x:c r="BT453" s="12" t="n">
        <x:v>0.19976549769108282</x:v>
      </x:c>
      <x:c r="BU453" s="11" t="n">
        <x:v>5792049</x:v>
      </x:c>
      <x:c r="BV453" s="11" t="n">
        <x:v>4510688</x:v>
      </x:c>
      <x:c r="BW453" s="11" t="n">
        <x:v>3273898</x:v>
      </x:c>
      <x:c r="BX453" s="11" t="n">
        <x:v>11862370</x:v>
      </x:c>
      <x:c r="BY453" s="11" t="n">
        <x:v>0</x:v>
      </x:c>
      <x:c r="BZ453" s="11" t="n">
        <x:v>40637270</x:v>
      </x:c>
      <x:c r="CA453" s="11" t="n">
        <x:v>35315</x:v>
      </x:c>
      <x:c r="CB453" s="11" t="n">
        <x:v>0</x:v>
      </x:c>
      <x:c r="CC453" s="11" t="n">
        <x:v>24147206</x:v>
      </x:c>
      <x:c r="CD453" s="11" t="n">
        <x:v>55932411</x:v>
      </x:c>
      <x:c r="CE453" s="11" t="n">
        <x:v>7720287</x:v>
      </x:c>
      <x:c r="CF453" s="11" t="n">
        <x:v>634329</x:v>
      </x:c>
      <x:c r="CG453" s="11" t="n">
        <x:v>3923558</x:v>
      </x:c>
      <x:c r="CH453" s="11" t="n">
        <x:v>13763713</x:v>
      </x:c>
      <x:c r="CI453" s="11" t="n">
        <x:v>26904090</x:v>
      </x:c>
      <x:c r="CJ453" s="11" t="n">
        <x:v>16637468</x:v>
      </x:c>
      <x:c r="CK453" s="11" t="n">
        <x:v>13650904</x:v>
      </x:c>
      <x:c r="CL453" s="11" t="n">
        <x:v>0</x:v>
      </x:c>
      <x:c r="CM453" s="11" t="n">
        <x:v>820278</x:v>
      </x:c>
      <x:c r="CN453" s="11" t="n">
        <x:v>1268049</x:v>
      </x:c>
      <x:c r="CO453" s="11" t="n">
        <x:v>0</x:v>
      </x:c>
      <x:c r="CP453" s="8"/>
      <x:c r="CQ453" s="8"/>
    </x:row>
    <x:row r="454">
      <x:c r="A454" s="8" t="str">
        <x:v>Masset|2019</x:v>
      </x:c>
      <x:c r="B454" s="8" t="str">
        <x:v>masset-v</x:v>
      </x:c>
      <x:c r="C454" s="8" t="str">
        <x:v>Masset</x:v>
      </x:c>
      <x:c r="D454" s="8" t="str">
        <x:v>Masset</x:v>
      </x:c>
      <x:c r="E454" s="8" t="str">
        <x:v>V</x:v>
      </x:c>
      <x:c r="F454" s="8" t="str">
        <x:v>SKQ</x:v>
      </x:c>
      <x:c r="G454" s="9" t="n">
        <x:v>2019</x:v>
      </x:c>
      <x:c r="H454" s="10" t="n">
        <x:v>766</x:v>
      </x:c>
      <x:c r="I454" s="8" t="str">
        <x:v>Under 5,000</x:v>
      </x:c>
      <x:c r="J454" s="11" t="n">
        <x:v>4779267</x:v>
      </x:c>
      <x:c r="K454" s="11" t="n">
        <x:v>4290918</x:v>
      </x:c>
      <x:c r="L454" s="11" t="n">
        <x:v>488349</x:v>
      </x:c>
      <x:c r="M454" s="12" t="n">
        <x:v>0.10218073189884558</x:v>
      </x:c>
      <x:c r="N454" s="11" t="n">
        <x:v>693874</x:v>
      </x:c>
      <x:c r="O454" s="11" t="n">
        <x:v>3004544</x:v>
      </x:c>
      <x:c r="P454" s="11" t="n">
        <x:v>987044</x:v>
      </x:c>
      <x:c r="Q454" s="11" t="n">
        <x:v>93805</x:v>
      </x:c>
      <x:c r="R454" s="11" t="n">
        <x:v>3466417</x:v>
      </x:c>
      <x:c r="S454" s="11" t="n">
        <x:v>704768</x:v>
      </x:c>
      <x:c r="T454" s="11" t="n">
        <x:v>6508879</x:v>
      </x:c>
      <x:c r="U454" s="11" t="n">
        <x:v>7563427</x:v>
      </x:c>
      <x:c r="V454" s="11" t="n">
        <x:v>-427922</x:v>
      </x:c>
      <x:c r="W454" s="11" t="n">
        <x:v>62448</x:v>
      </x:c>
      <x:c r="X454" s="11" t="n">
        <x:v>4078549</x:v>
      </x:c>
      <x:c r="Y454" s="11" t="n">
        <x:v>0</x:v>
      </x:c>
      <x:c r="Z454" s="11" t="n">
        <x:v>173688</x:v>
      </x:c>
      <x:c r="AA454" s="11" t="n">
        <x:v>3821896</x:v>
      </x:c>
      <x:c r="AB454" s="11" t="n">
        <x:v>119733</x:v>
      </x:c>
      <x:c r="AC454" s="11" t="n">
        <x:v>293421</x:v>
      </x:c>
      <x:c r="AD454" s="11" t="n">
        <x:v>1037117</x:v>
      </x:c>
      <x:c r="AE454" s="11" t="n">
        <x:v>743696</x:v>
      </x:c>
      <x:c r="AF454" s="11" t="n">
        <x:v>4148466</x:v>
      </x:c>
      <x:c r="AG454" s="11" t="n">
        <x:v>44790011</x:v>
      </x:c>
      <x:c r="AH454" s="11" t="n">
        <x:v>18113659</x:v>
      </x:c>
      <x:c r="AI454" s="11" t="n">
        <x:v>26676352</x:v>
      </x:c>
      <x:c r="AJ454" s="11" t="n">
        <x:v>462681</x:v>
      </x:c>
      <x:c r="AK454" s="11" t="n">
        <x:v>10805022</x:v>
      </x:c>
      <x:c r="AL454" s="11" t="n">
        <x:v>0</x:v>
      </x:c>
      <x:c r="AM454" s="12" t="n">
        <x:v>1</x:v>
      </x:c>
      <x:c r="AN454" s="12" t="n">
        <x:v>0.04282092160478711</x:v>
      </x:c>
      <x:c r="AO454" s="11" t="n">
        <x:v>1426838</x:v>
      </x:c>
      <x:c r="AP454" s="11" t="n">
        <x:v>1235014</x:v>
      </x:c>
      <x:c r="AQ454" s="12" t="n">
        <x:v>0.8655600705896535</x:v>
      </x:c>
      <x:c r="AR454" s="11" t="n">
        <x:v>6239.251958224543</x:v>
      </x:c>
      <x:c r="AS454" s="11" t="n">
        <x:v>5601.7206266318535</x:v>
      </x:c>
      <x:c r="AT454" s="11" t="n">
        <x:v>-558.644908616188</x:v>
      </x:c>
      <x:c r="AU454" s="11" t="n">
        <x:v>81.52480417754569</x:v>
      </x:c>
      <x:c r="AV454" s="11" t="n">
        <x:v>4989.4203655352485</x:v>
      </x:c>
      <x:c r="AW454" s="11" t="n">
        <x:v>0.8605727271513297</x:v>
      </x:c>
      <x:c r="AX454" s="12" t="n">
        <x:v>0.717080136570898</x:v>
      </x:c>
      <x:c r="AY454" s="11"/>
      <x:c r="AZ454" s="11"/>
      <x:c r="BA454" s="11"/>
      <x:c r="BB454" s="11"/>
      <x:c r="BC454" s="11"/>
      <x:c r="BD454" s="11"/>
      <x:c r="BE454" s="11"/>
      <x:c r="BF454" s="11"/>
      <x:c r="BG454" s="11"/>
      <x:c r="BH454" s="11"/>
      <x:c r="BI454" s="11"/>
      <x:c r="BJ454" s="11"/>
      <x:c r="BK454" s="12"/>
      <x:c r="BL454" s="12"/>
      <x:c r="BM454" s="12"/>
      <x:c r="BN454" s="12"/>
      <x:c r="BO454" s="12"/>
      <x:c r="BP454" s="12"/>
      <x:c r="BQ454" s="12"/>
      <x:c r="BR454" s="12"/>
      <x:c r="BS454" s="12"/>
      <x:c r="BT454" s="12"/>
      <x:c r="BU454" s="11" t="n">
        <x:v>0</x:v>
      </x:c>
      <x:c r="BV454" s="11" t="n">
        <x:v>439208</x:v>
      </x:c>
      <x:c r="BW454" s="11" t="n">
        <x:v>547836</x:v>
      </x:c>
      <x:c r="BX454" s="11" t="n">
        <x:v>93805</x:v>
      </x:c>
      <x:c r="BY454" s="11" t="n">
        <x:v>0</x:v>
      </x:c>
      <x:c r="BZ454" s="11" t="n">
        <x:v>0</x:v>
      </x:c>
      <x:c r="CA454" s="11" t="n">
        <x:v>0</x:v>
      </x:c>
      <x:c r="CB454" s="11" t="n">
        <x:v>0</x:v>
      </x:c>
      <x:c r="CC454" s="11" t="n">
        <x:v>714829</x:v>
      </x:c>
      <x:c r="CD454" s="11" t="n">
        <x:v>62408</x:v>
      </x:c>
      <x:c r="CE454" s="11" t="n">
        <x:v>151186</x:v>
      </x:c>
      <x:c r="CF454" s="11" t="n">
        <x:v>24467</x:v>
      </x:c>
      <x:c r="CG454" s="11" t="n">
        <x:v>0</x:v>
      </x:c>
      <x:c r="CH454" s="11" t="n">
        <x:v>310597</x:v>
      </x:c>
      <x:c r="CI454" s="11" t="n">
        <x:v>137692</x:v>
      </x:c>
      <x:c r="CJ454" s="11" t="n">
        <x:v>194520</x:v>
      </x:c>
      <x:c r="CK454" s="11" t="n">
        <x:v>148483</x:v>
      </x:c>
      <x:c r="CL454" s="11" t="n">
        <x:v>1841968</x:v>
      </x:c>
      <x:c r="CM454" s="11"/>
      <x:c r="CN454" s="11" t="n">
        <x:v>0</x:v>
      </x:c>
      <x:c r="CO454" s="11" t="n">
        <x:v>0</x:v>
      </x:c>
      <x:c r="CP454" s="8"/>
      <x:c r="CQ454" s="8"/>
    </x:row>
    <x:row r="455">
      <x:c r="A455" s="8" t="str">
        <x:v>Masset|2020</x:v>
      </x:c>
      <x:c r="B455" s="8" t="str">
        <x:v>masset-v</x:v>
      </x:c>
      <x:c r="C455" s="8" t="str">
        <x:v>Masset</x:v>
      </x:c>
      <x:c r="D455" s="8" t="str">
        <x:v>Masset</x:v>
      </x:c>
      <x:c r="E455" s="8" t="str">
        <x:v>V</x:v>
      </x:c>
      <x:c r="F455" s="8" t="str">
        <x:v>SKQ</x:v>
      </x:c>
      <x:c r="G455" s="9" t="n">
        <x:v>2020</x:v>
      </x:c>
      <x:c r="H455" s="10" t="n">
        <x:v>764</x:v>
      </x:c>
      <x:c r="I455" s="8" t="str">
        <x:v>Under 5,000</x:v>
      </x:c>
      <x:c r="J455" s="11" t="n">
        <x:v>4813931</x:v>
      </x:c>
      <x:c r="K455" s="11" t="n">
        <x:v>3109688</x:v>
      </x:c>
      <x:c r="L455" s="11" t="n">
        <x:v>1704243</x:v>
      </x:c>
      <x:c r="M455" s="12" t="n">
        <x:v>0.35402314657189726</x:v>
      </x:c>
      <x:c r="N455" s="11" t="n">
        <x:v>737701</x:v>
      </x:c>
      <x:c r="O455" s="11" t="n">
        <x:v>1221148</x:v>
      </x:c>
      <x:c r="P455" s="11" t="n">
        <x:v>2762642</x:v>
      </x:c>
      <x:c r="Q455" s="11" t="n">
        <x:v>92440</x:v>
      </x:c>
      <x:c r="R455" s="11" t="n">
        <x:v>2257325</x:v>
      </x:c>
      <x:c r="S455" s="11" t="n">
        <x:v>734212</x:v>
      </x:c>
      <x:c r="T455" s="11" t="n">
        <x:v>7300900</x:v>
      </x:c>
      <x:c r="U455" s="11" t="n">
        <x:v>4786059</x:v>
      </x:c>
      <x:c r="V455" s="11" t="n">
        <x:v>3639078</x:v>
      </x:c>
      <x:c r="W455" s="11" t="n">
        <x:v>62448</x:v>
      </x:c>
      <x:c r="X455" s="11" t="n">
        <x:v>3821896</x:v>
      </x:c>
      <x:c r="Y455" s="11" t="n">
        <x:v>0</x:v>
      </x:c>
      <x:c r="Z455" s="11" t="n">
        <x:v>175270</x:v>
      </x:c>
      <x:c r="AA455" s="11" t="n">
        <x:v>3554578</x:v>
      </x:c>
      <x:c r="AB455" s="11" t="n">
        <x:v>118151</x:v>
      </x:c>
      <x:c r="AC455" s="11" t="n">
        <x:v>293421</x:v>
      </x:c>
      <x:c r="AD455" s="11" t="n">
        <x:v>604513</x:v>
      </x:c>
      <x:c r="AE455" s="11" t="n">
        <x:v>311092</x:v>
      </x:c>
      <x:c r="AF455" s="11" t="n">
        <x:v>2418053</x:v>
      </x:c>
      <x:c r="AG455" s="11" t="n">
        <x:v>45925843</x:v>
      </x:c>
      <x:c r="AH455" s="11" t="n">
        <x:v>18847871</x:v>
      </x:c>
      <x:c r="AI455" s="11" t="n">
        <x:v>27077972</x:v>
      </x:c>
      <x:c r="AJ455" s="11" t="n">
        <x:v>1152353</x:v>
      </x:c>
      <x:c r="AK455" s="11" t="n">
        <x:v>10805022</x:v>
      </x:c>
      <x:c r="AL455" s="11" t="n">
        <x:v>0</x:v>
      </x:c>
      <x:c r="AM455" s="12" t="n">
        <x:v>1</x:v>
      </x:c>
      <x:c r="AN455" s="12" t="n">
        <x:v>0.10664975971358504</x:v>
      </x:c>
      <x:c r="AO455" s="11" t="n">
        <x:v>1447209</x:v>
      </x:c>
      <x:c r="AP455" s="11" t="n">
        <x:v>1281321</x:v>
      </x:c>
      <x:c r="AQ455" s="12" t="n">
        <x:v>0.8853738471775673</x:v>
      </x:c>
      <x:c r="AR455" s="11" t="n">
        <x:v>6300.956806282723</x:v>
      </x:c>
      <x:c r="AS455" s="11" t="n">
        <x:v>4070.2722513089006</x:v>
      </x:c>
      <x:c r="AT455" s="11" t="n">
        <x:v>4763.191099476439</x:v>
      </x:c>
      <x:c r="AU455" s="11" t="n">
        <x:v>81.73821989528795</x:v>
      </x:c>
      <x:c r="AV455" s="11" t="n">
        <x:v>4652.589005235602</x:v>
      </x:c>
      <x:c r="AW455" s="11" t="n">
        <x:v>1.5254513159992387</x:v>
      </x:c>
      <x:c r="AX455" s="12" t="n">
        <x:v>0.5146158974248692</x:v>
      </x:c>
      <x:c r="AY455" s="11"/>
      <x:c r="AZ455" s="11"/>
      <x:c r="BA455" s="11"/>
      <x:c r="BB455" s="11"/>
      <x:c r="BC455" s="11"/>
      <x:c r="BD455" s="11"/>
      <x:c r="BE455" s="11"/>
      <x:c r="BF455" s="11"/>
      <x:c r="BG455" s="11"/>
      <x:c r="BH455" s="11"/>
      <x:c r="BI455" s="11"/>
      <x:c r="BJ455" s="11"/>
      <x:c r="BK455" s="12"/>
      <x:c r="BL455" s="12"/>
      <x:c r="BM455" s="12"/>
      <x:c r="BN455" s="12"/>
      <x:c r="BO455" s="12"/>
      <x:c r="BP455" s="12"/>
      <x:c r="BQ455" s="12"/>
      <x:c r="BR455" s="12"/>
      <x:c r="BS455" s="12"/>
      <x:c r="BT455" s="12"/>
      <x:c r="BU455" s="11" t="n">
        <x:v>0</x:v>
      </x:c>
      <x:c r="BV455" s="11" t="n">
        <x:v>887812</x:v>
      </x:c>
      <x:c r="BW455" s="11" t="n">
        <x:v>1874830</x:v>
      </x:c>
      <x:c r="BX455" s="11" t="n">
        <x:v>92440</x:v>
      </x:c>
      <x:c r="BY455" s="11" t="n">
        <x:v>0</x:v>
      </x:c>
      <x:c r="BZ455" s="11" t="n">
        <x:v>0</x:v>
      </x:c>
      <x:c r="CA455" s="11" t="n">
        <x:v>0</x:v>
      </x:c>
      <x:c r="CB455" s="11" t="n">
        <x:v>0</x:v>
      </x:c>
      <x:c r="CC455" s="11" t="n">
        <x:v>743600</x:v>
      </x:c>
      <x:c r="CD455" s="11" t="n">
        <x:v>64630</x:v>
      </x:c>
      <x:c r="CE455" s="11" t="n">
        <x:v>150432</x:v>
      </x:c>
      <x:c r="CF455" s="11" t="n">
        <x:v>27215</x:v>
      </x:c>
      <x:c r="CG455" s="11" t="n">
        <x:v>0</x:v>
      </x:c>
      <x:c r="CH455" s="11" t="n">
        <x:v>338792</x:v>
      </x:c>
      <x:c r="CI455" s="11" t="n">
        <x:v>157799</x:v>
      </x:c>
      <x:c r="CJ455" s="11" t="n">
        <x:v>202539</x:v>
      </x:c>
      <x:c r="CK455" s="11" t="n">
        <x:v>145768</x:v>
      </x:c>
      <x:c r="CL455" s="11" t="n">
        <x:v>544701</x:v>
      </x:c>
      <x:c r="CM455" s="11"/>
      <x:c r="CN455" s="11" t="n">
        <x:v>0</x:v>
      </x:c>
      <x:c r="CO455" s="11" t="n">
        <x:v>0</x:v>
      </x:c>
      <x:c r="CP455" s="8"/>
      <x:c r="CQ455" s="8"/>
    </x:row>
    <x:row r="456">
      <x:c r="A456" s="8" t="str">
        <x:v>Masset|2021</x:v>
      </x:c>
      <x:c r="B456" s="8" t="str">
        <x:v>masset-v</x:v>
      </x:c>
      <x:c r="C456" s="8" t="str">
        <x:v>Masset</x:v>
      </x:c>
      <x:c r="D456" s="8" t="str">
        <x:v>Masset</x:v>
      </x:c>
      <x:c r="E456" s="8" t="str">
        <x:v>V</x:v>
      </x:c>
      <x:c r="F456" s="8" t="str">
        <x:v>NCRD</x:v>
      </x:c>
      <x:c r="G456" s="9" t="n">
        <x:v>2021</x:v>
      </x:c>
      <x:c r="H456" s="10" t="n">
        <x:v>724</x:v>
      </x:c>
      <x:c r="I456" s="8" t="str">
        <x:v>Under 5,000</x:v>
      </x:c>
      <x:c r="J456" s="11" t="n">
        <x:v>5802557</x:v>
      </x:c>
      <x:c r="K456" s="11" t="n">
        <x:v>3939698</x:v>
      </x:c>
      <x:c r="L456" s="11" t="n">
        <x:v>1862859</x:v>
      </x:c>
      <x:c r="M456" s="12" t="n">
        <x:v>0.3210410513847602</x:v>
      </x:c>
      <x:c r="N456" s="11" t="n">
        <x:v>818981</x:v>
      </x:c>
      <x:c r="O456" s="11" t="n">
        <x:v>2849849</x:v>
      </x:c>
      <x:c r="P456" s="11" t="n">
        <x:v>2055228</x:v>
      </x:c>
      <x:c r="Q456" s="11" t="n">
        <x:v>78499</x:v>
      </x:c>
      <x:c r="R456" s="11" t="n">
        <x:v>3039242</x:v>
      </x:c>
      <x:c r="S456" s="11" t="n">
        <x:v>783488</x:v>
      </x:c>
      <x:c r="T456" s="11" t="n">
        <x:v>8353738</x:v>
      </x:c>
      <x:c r="U456" s="11" t="n">
        <x:v>4352230</x:v>
      </x:c>
      <x:c r="V456" s="11" t="n">
        <x:v>4829959</x:v>
      </x:c>
      <x:c r="W456" s="11" t="n">
        <x:v>62448</x:v>
      </x:c>
      <x:c r="X456" s="11" t="n">
        <x:v>3554578</x:v>
      </x:c>
      <x:c r="Y456" s="11" t="n">
        <x:v>0</x:v>
      </x:c>
      <x:c r="Z456" s="11" t="n">
        <x:v>176452</x:v>
      </x:c>
      <x:c r="AA456" s="11" t="n">
        <x:v>3276633</x:v>
      </x:c>
      <x:c r="AB456" s="11" t="n">
        <x:v>116968</x:v>
      </x:c>
      <x:c r="AC456" s="11" t="n">
        <x:v>293420</x:v>
      </x:c>
      <x:c r="AD456" s="11" t="n">
        <x:v>1019695</x:v>
      </x:c>
      <x:c r="AE456" s="11" t="n">
        <x:v>726275</x:v>
      </x:c>
      <x:c r="AF456" s="11" t="n">
        <x:v>4078778</x:v>
      </x:c>
      <x:c r="AG456" s="11" t="n">
        <x:v>47394753</x:v>
      </x:c>
      <x:c r="AH456" s="11" t="n">
        <x:v>19631359</x:v>
      </x:c>
      <x:c r="AI456" s="11" t="n">
        <x:v>27763394</x:v>
      </x:c>
      <x:c r="AJ456" s="11" t="n">
        <x:v>1468910</x:v>
      </x:c>
      <x:c r="AK456" s="11" t="n">
        <x:v>10805022</x:v>
      </x:c>
      <x:c r="AL456" s="11" t="n">
        <x:v>0</x:v>
      </x:c>
      <x:c r="AM456" s="12" t="n">
        <x:v>1</x:v>
      </x:c>
      <x:c r="AN456" s="12" t="n">
        <x:v>0.13594696984420762</x:v>
      </x:c>
      <x:c r="AO456" s="11" t="n">
        <x:v>1589564</x:v>
      </x:c>
      <x:c r="AP456" s="11" t="n">
        <x:v>1428026</x:v>
      </x:c>
      <x:c r="AQ456" s="12" t="n">
        <x:v>0.8983759068524451</x:v>
      </x:c>
      <x:c r="AR456" s="11" t="n">
        <x:v>8014.581491712707</x:v>
      </x:c>
      <x:c r="AS456" s="11" t="n">
        <x:v>5441.57182320442</x:v>
      </x:c>
      <x:c r="AT456" s="11" t="n">
        <x:v>6671.21408839779</x:v>
      </x:c>
      <x:c r="AU456" s="11" t="n">
        <x:v>86.25414364640883</x:v>
      </x:c>
      <x:c r="AV456" s="11" t="n">
        <x:v>4525.736187845304</x:v>
      </x:c>
      <x:c r="AW456" s="11" t="n">
        <x:v>1.9194155639752495</x:v>
      </x:c>
      <x:c r="AX456" s="12" t="n">
        <x:v>0.7122472896307229</x:v>
      </x:c>
      <x:c r="AY456" s="11"/>
      <x:c r="AZ456" s="11"/>
      <x:c r="BA456" s="11"/>
      <x:c r="BB456" s="11"/>
      <x:c r="BC456" s="11"/>
      <x:c r="BD456" s="11"/>
      <x:c r="BE456" s="11"/>
      <x:c r="BF456" s="11"/>
      <x:c r="BG456" s="11"/>
      <x:c r="BH456" s="11"/>
      <x:c r="BI456" s="11"/>
      <x:c r="BJ456" s="11"/>
      <x:c r="BK456" s="12"/>
      <x:c r="BL456" s="12"/>
      <x:c r="BM456" s="12"/>
      <x:c r="BN456" s="12"/>
      <x:c r="BO456" s="12"/>
      <x:c r="BP456" s="12"/>
      <x:c r="BQ456" s="12"/>
      <x:c r="BR456" s="12"/>
      <x:c r="BS456" s="12"/>
      <x:c r="BT456" s="12"/>
      <x:c r="BU456" s="11" t="n">
        <x:v>927658</x:v>
      </x:c>
      <x:c r="BV456" s="11" t="n">
        <x:v>814040</x:v>
      </x:c>
      <x:c r="BW456" s="11" t="n">
        <x:v>313530</x:v>
      </x:c>
      <x:c r="BX456" s="11" t="n">
        <x:v>78499</x:v>
      </x:c>
      <x:c r="BY456" s="11" t="n">
        <x:v>0</x:v>
      </x:c>
      <x:c r="BZ456" s="11" t="n">
        <x:v>0</x:v>
      </x:c>
      <x:c r="CA456" s="11" t="n">
        <x:v>0</x:v>
      </x:c>
      <x:c r="CB456" s="11" t="n">
        <x:v>0</x:v>
      </x:c>
      <x:c r="CC456" s="11" t="n">
        <x:v>843828</x:v>
      </x:c>
      <x:c r="CD456" s="11" t="n">
        <x:v>53942</x:v>
      </x:c>
      <x:c r="CE456" s="11" t="n">
        <x:v>175545</x:v>
      </x:c>
      <x:c r="CF456" s="11" t="n">
        <x:v>34679</x:v>
      </x:c>
      <x:c r="CG456" s="11" t="n">
        <x:v>0</x:v>
      </x:c>
      <x:c r="CH456" s="11" t="n">
        <x:v>318670</x:v>
      </x:c>
      <x:c r="CI456" s="11" t="n">
        <x:v>197423</x:v>
      </x:c>
      <x:c r="CJ456" s="11" t="n">
        <x:v>217750</x:v>
      </x:c>
      <x:c r="CK456" s="11" t="n">
        <x:v>105965</x:v>
      </x:c>
      <x:c r="CL456" s="11" t="n">
        <x:v>1208408</x:v>
      </x:c>
      <x:c r="CM456" s="11"/>
      <x:c r="CN456" s="11" t="n">
        <x:v>0</x:v>
      </x:c>
      <x:c r="CO456" s="11" t="n">
        <x:v>0</x:v>
      </x:c>
      <x:c r="CP456" s="8"/>
      <x:c r="CQ456" s="8"/>
    </x:row>
    <x:row r="457">
      <x:c r="A457" s="8" t="str">
        <x:v>Masset|2022</x:v>
      </x:c>
      <x:c r="B457" s="8" t="str">
        <x:v>masset-v</x:v>
      </x:c>
      <x:c r="C457" s="8" t="str">
        <x:v>Masset</x:v>
      </x:c>
      <x:c r="D457" s="8" t="str">
        <x:v>Masset</x:v>
      </x:c>
      <x:c r="E457" s="8" t="str">
        <x:v>V</x:v>
      </x:c>
      <x:c r="F457" s="8" t="str">
        <x:v>NCRD</x:v>
      </x:c>
      <x:c r="G457" s="9" t="n">
        <x:v>2022</x:v>
      </x:c>
      <x:c r="H457" s="10" t="n">
        <x:v>669</x:v>
      </x:c>
      <x:c r="I457" s="8" t="str">
        <x:v>Under 5,000</x:v>
      </x:c>
      <x:c r="J457" s="11" t="n">
        <x:v>6980847</x:v>
      </x:c>
      <x:c r="K457" s="11" t="n">
        <x:v>5119573</x:v>
      </x:c>
      <x:c r="L457" s="11" t="n">
        <x:v>1861274</x:v>
      </x:c>
      <x:c r="M457" s="12" t="n">
        <x:v>0.2666258120253889</x:v>
      </x:c>
      <x:c r="N457" s="11" t="n">
        <x:v>946383</x:v>
      </x:c>
      <x:c r="O457" s="11" t="n">
        <x:v>3164207</x:v>
      </x:c>
      <x:c r="P457" s="11" t="n">
        <x:v>2681787</x:v>
      </x:c>
      <x:c r="Q457" s="11" t="n">
        <x:v>188470</x:v>
      </x:c>
      <x:c r="R457" s="11" t="n">
        <x:v>4169573</x:v>
      </x:c>
      <x:c r="S457" s="11" t="n">
        <x:v>843344</x:v>
      </x:c>
      <x:c r="T457" s="11" t="n">
        <x:v>9595678</x:v>
      </x:c>
      <x:c r="U457" s="11" t="n">
        <x:v>4328052</x:v>
      </x:c>
      <x:c r="V457" s="11" t="n">
        <x:v>6288903</x:v>
      </x:c>
      <x:c r="W457" s="11" t="n">
        <x:v>62448</x:v>
      </x:c>
      <x:c r="X457" s="11" t="n">
        <x:v>3276633</x:v>
      </x:c>
      <x:c r="Y457" s="11" t="n">
        <x:v>0</x:v>
      </x:c>
      <x:c r="Z457" s="11" t="n">
        <x:v>176712</x:v>
      </x:c>
      <x:c r="AA457" s="11" t="n">
        <x:v>2988606</x:v>
      </x:c>
      <x:c r="AB457" s="11" t="n">
        <x:v>106656</x:v>
      </x:c>
      <x:c r="AC457" s="11" t="n">
        <x:v>283368</x:v>
      </x:c>
      <x:c r="AD457" s="11" t="n">
        <x:v>1176686</x:v>
      </x:c>
      <x:c r="AE457" s="11" t="n">
        <x:v>893318</x:v>
      </x:c>
      <x:c r="AF457" s="11" t="n">
        <x:v>4706745</x:v>
      </x:c>
      <x:c r="AG457" s="11" t="n">
        <x:v>48635797</x:v>
      </x:c>
      <x:c r="AH457" s="11" t="n">
        <x:v>20474703</x:v>
      </x:c>
      <x:c r="AI457" s="11" t="n">
        <x:v>28161094</x:v>
      </x:c>
      <x:c r="AJ457" s="11" t="n">
        <x:v>1241044</x:v>
      </x:c>
      <x:c r="AK457" s="11" t="n">
        <x:v>40651383</x:v>
      </x:c>
      <x:c r="AL457" s="11" t="n">
        <x:v>16522264</x:v>
      </x:c>
      <x:c r="AM457" s="12" t="n">
        <x:v>0.5935620689706915</x:v>
      </x:c>
      <x:c r="AN457" s="12" t="n">
        <x:v>0.030528949039691958</x:v>
      </x:c>
      <x:c r="AO457" s="11" t="n">
        <x:v>1693123</x:v>
      </x:c>
      <x:c r="AP457" s="11" t="n">
        <x:v>1505299</x:v>
      </x:c>
      <x:c r="AQ457" s="12" t="n">
        <x:v>0.8890665356267679</x:v>
      </x:c>
      <x:c r="AR457" s="11" t="n">
        <x:v>10434.748878923767</x:v>
      </x:c>
      <x:c r="AS457" s="11" t="n">
        <x:v>7652.575485799701</x:v>
      </x:c>
      <x:c r="AT457" s="11" t="n">
        <x:v>9400.452914798207</x:v>
      </x:c>
      <x:c r="AU457" s="11" t="n">
        <x:v>93.34529147982063</x:v>
      </x:c>
      <x:c r="AV457" s="11" t="n">
        <x:v>4467.273542600897</x:v>
      </x:c>
      <x:c r="AW457" s="11" t="n">
        <x:v>2.2170893510521594</x:v>
      </x:c>
      <x:c r="AX457" s="12" t="n">
        <x:v>0.7591812939050859</x:v>
      </x:c>
      <x:c r="AY457" s="11"/>
      <x:c r="AZ457" s="11"/>
      <x:c r="BA457" s="11"/>
      <x:c r="BB457" s="11"/>
      <x:c r="BC457" s="11"/>
      <x:c r="BD457" s="11"/>
      <x:c r="BE457" s="11"/>
      <x:c r="BF457" s="11"/>
      <x:c r="BG457" s="11"/>
      <x:c r="BH457" s="11"/>
      <x:c r="BI457" s="11"/>
      <x:c r="BJ457" s="11"/>
      <x:c r="BK457" s="12"/>
      <x:c r="BL457" s="12"/>
      <x:c r="BM457" s="12"/>
      <x:c r="BN457" s="12"/>
      <x:c r="BO457" s="12"/>
      <x:c r="BP457" s="12"/>
      <x:c r="BQ457" s="12"/>
      <x:c r="BR457" s="12"/>
      <x:c r="BS457" s="12"/>
      <x:c r="BT457" s="12"/>
      <x:c r="BU457" s="11" t="n">
        <x:v>802523</x:v>
      </x:c>
      <x:c r="BV457" s="11" t="n">
        <x:v>1701538</x:v>
      </x:c>
      <x:c r="BW457" s="11" t="n">
        <x:v>177726</x:v>
      </x:c>
      <x:c r="BX457" s="11" t="n">
        <x:v>188470</x:v>
      </x:c>
      <x:c r="BY457" s="11" t="n">
        <x:v>0</x:v>
      </x:c>
      <x:c r="BZ457" s="11" t="n">
        <x:v>0</x:v>
      </x:c>
      <x:c r="CA457" s="11" t="n">
        <x:v>0</x:v>
      </x:c>
      <x:c r="CB457" s="11" t="n">
        <x:v>0</x:v>
      </x:c>
      <x:c r="CC457" s="11" t="n">
        <x:v>860130</x:v>
      </x:c>
      <x:c r="CD457" s="11" t="n">
        <x:v>48715</x:v>
      </x:c>
      <x:c r="CE457" s="11" t="n">
        <x:v>171037</x:v>
      </x:c>
      <x:c r="CF457" s="11" t="n">
        <x:v>82830</x:v>
      </x:c>
      <x:c r="CG457" s="11" t="n">
        <x:v>0</x:v>
      </x:c>
      <x:c r="CH457" s="11" t="n">
        <x:v>300115</x:v>
      </x:c>
      <x:c r="CI457" s="11" t="n">
        <x:v>300854</x:v>
      </x:c>
      <x:c r="CJ457" s="11" t="n">
        <x:v>215395</x:v>
      </x:c>
      <x:c r="CK457" s="11" t="n">
        <x:v>90705</x:v>
      </x:c>
      <x:c r="CL457" s="11" t="n">
        <x:v>2206448</x:v>
      </x:c>
      <x:c r="CM457" s="11"/>
      <x:c r="CN457" s="11" t="n">
        <x:v>0</x:v>
      </x:c>
      <x:c r="CO457" s="11" t="n">
        <x:v>0</x:v>
      </x:c>
      <x:c r="CP457" s="8"/>
      <x:c r="CQ457" s="8"/>
    </x:row>
    <x:row r="458">
      <x:c r="A458" s="8" t="str">
        <x:v>Masset|2023</x:v>
      </x:c>
      <x:c r="B458" s="8" t="str">
        <x:v>masset-v</x:v>
      </x:c>
      <x:c r="C458" s="8" t="str">
        <x:v>Masset</x:v>
      </x:c>
      <x:c r="D458" s="8" t="str">
        <x:v>Masset</x:v>
      </x:c>
      <x:c r="E458" s="8" t="str">
        <x:v>V</x:v>
      </x:c>
      <x:c r="F458" s="8" t="str">
        <x:v>NCRD</x:v>
      </x:c>
      <x:c r="G458" s="9" t="n">
        <x:v>2023</x:v>
      </x:c>
      <x:c r="H458" s="10" t="n">
        <x:v>766</x:v>
      </x:c>
      <x:c r="I458" s="8" t="str">
        <x:v>Under 5,000</x:v>
      </x:c>
      <x:c r="J458" s="11" t="n">
        <x:v>6937875</x:v>
      </x:c>
      <x:c r="K458" s="11" t="n">
        <x:v>5571240</x:v>
      </x:c>
      <x:c r="L458" s="11" t="n">
        <x:v>1366635</x:v>
      </x:c>
      <x:c r="M458" s="12" t="n">
        <x:v>0.1969817847683909</x:v>
      </x:c>
      <x:c r="N458" s="11" t="n">
        <x:v>1130977</x:v>
      </x:c>
      <x:c r="O458" s="11" t="n">
        <x:v>3403251</x:v>
      </x:c>
      <x:c r="P458" s="11" t="n">
        <x:v>1952559</x:v>
      </x:c>
      <x:c r="Q458" s="11" t="n">
        <x:v>451088</x:v>
      </x:c>
      <x:c r="R458" s="11" t="n">
        <x:v>4606054</x:v>
      </x:c>
      <x:c r="S458" s="11" t="n">
        <x:v>863024</x:v>
      </x:c>
      <x:c r="T458" s="11" t="n">
        <x:v>10451713</x:v>
      </x:c>
      <x:c r="U458" s="11" t="n">
        <x:v>4543454</x:v>
      </x:c>
      <x:c r="V458" s="11" t="n">
        <x:v>7186648</x:v>
      </x:c>
      <x:c r="W458" s="11" t="n">
        <x:v>135362</x:v>
      </x:c>
      <x:c r="X458" s="11" t="n">
        <x:v>2988806</x:v>
      </x:c>
      <x:c r="Y458" s="11" t="n">
        <x:v>0</x:v>
      </x:c>
      <x:c r="Z458" s="11" t="n">
        <x:v>171145</x:v>
      </x:c>
      <x:c r="AA458" s="11" t="n">
        <x:v>2696130</x:v>
      </x:c>
      <x:c r="AB458" s="11" t="n">
        <x:v>102162</x:v>
      </x:c>
      <x:c r="AC458" s="11" t="n">
        <x:v>273307</x:v>
      </x:c>
      <x:c r="AD458" s="11" t="n">
        <x:v>1314446</x:v>
      </x:c>
      <x:c r="AE458" s="11" t="n">
        <x:v>1041139</x:v>
      </x:c>
      <x:c r="AF458" s="11" t="n">
        <x:v>5257785</x:v>
      </x:c>
      <x:c r="AG458" s="11" t="n">
        <x:v>49923794</x:v>
      </x:c>
      <x:c r="AH458" s="11" t="n">
        <x:v>21275693</x:v>
      </x:c>
      <x:c r="AI458" s="11" t="n">
        <x:v>28648101</x:v>
      </x:c>
      <x:c r="AJ458" s="11" t="n">
        <x:v>1350031</x:v>
      </x:c>
      <x:c r="AK458" s="11" t="n">
        <x:v>49923794</x:v>
      </x:c>
      <x:c r="AL458" s="11" t="n">
        <x:v>21275693</x:v>
      </x:c>
      <x:c r="AM458" s="12" t="n">
        <x:v>0.5738366158629691</x:v>
      </x:c>
      <x:c r="AN458" s="12" t="n">
        <x:v>0.02704183500156258</x:v>
      </x:c>
      <x:c r="AO458" s="11" t="n">
        <x:v>1974283</x:v>
      </x:c>
      <x:c r="AP458" s="11" t="n">
        <x:v>1760770</x:v>
      </x:c>
      <x:c r="AQ458" s="12" t="n">
        <x:v>0.8918528903910938</x:v>
      </x:c>
      <x:c r="AR458" s="11" t="n">
        <x:v>9057.278067885118</x:v>
      </x:c>
      <x:c r="AS458" s="11" t="n">
        <x:v>7273.159268929504</x:v>
      </x:c>
      <x:c r="AT458" s="11" t="n">
        <x:v>9382.046997389034</x:v>
      </x:c>
      <x:c r="AU458" s="11" t="n">
        <x:v>176.71279373368145</x:v>
      </x:c>
      <x:c r="AV458" s="11" t="n">
        <x:v>3519.751958224543</x:v>
      </x:c>
      <x:c r="AW458" s="11" t="n">
        <x:v>2.3003893073419475</x:v>
      </x:c>
      <x:c r="AX458" s="12" t="n">
        <x:v>0.7920743796245718</x:v>
      </x:c>
      <x:c r="AY458" s="11"/>
      <x:c r="AZ458" s="11"/>
      <x:c r="BA458" s="11"/>
      <x:c r="BB458" s="11"/>
      <x:c r="BC458" s="11"/>
      <x:c r="BD458" s="11"/>
      <x:c r="BE458" s="11"/>
      <x:c r="BF458" s="11"/>
      <x:c r="BG458" s="11"/>
      <x:c r="BH458" s="11"/>
      <x:c r="BI458" s="11"/>
      <x:c r="BJ458" s="11"/>
      <x:c r="BK458" s="12"/>
      <x:c r="BL458" s="12"/>
      <x:c r="BM458" s="12"/>
      <x:c r="BN458" s="12"/>
      <x:c r="BO458" s="12"/>
      <x:c r="BP458" s="12"/>
      <x:c r="BQ458" s="12"/>
      <x:c r="BR458" s="12"/>
      <x:c r="BS458" s="12"/>
      <x:c r="BT458" s="12"/>
      <x:c r="BU458" s="11" t="n">
        <x:v>382207</x:v>
      </x:c>
      <x:c r="BV458" s="11" t="n">
        <x:v>1497856</x:v>
      </x:c>
      <x:c r="BW458" s="11" t="n">
        <x:v>72496</x:v>
      </x:c>
      <x:c r="BX458" s="11" t="n">
        <x:v>451088</x:v>
      </x:c>
      <x:c r="BY458" s="11" t="n">
        <x:v>0</x:v>
      </x:c>
      <x:c r="BZ458" s="11" t="n">
        <x:v>0</x:v>
      </x:c>
      <x:c r="CA458" s="11" t="n">
        <x:v>0</x:v>
      </x:c>
      <x:c r="CB458" s="11" t="n">
        <x:v>0</x:v>
      </x:c>
      <x:c r="CC458" s="11" t="n">
        <x:v>1171624</x:v>
      </x:c>
      <x:c r="CD458" s="11" t="n">
        <x:v>93796</x:v>
      </x:c>
      <x:c r="CE458" s="11" t="n">
        <x:v>326589</x:v>
      </x:c>
      <x:c r="CF458" s="11" t="n">
        <x:v>173067</x:v>
      </x:c>
      <x:c r="CG458" s="11" t="n">
        <x:v>0</x:v>
      </x:c>
      <x:c r="CH458" s="11" t="n">
        <x:v>425564</x:v>
      </x:c>
      <x:c r="CI458" s="11" t="n">
        <x:v>168609</x:v>
      </x:c>
      <x:c r="CJ458" s="11" t="n">
        <x:v>213762</x:v>
      </x:c>
      <x:c r="CK458" s="11" t="n">
        <x:v>99257</x:v>
      </x:c>
      <x:c r="CL458" s="11" t="n">
        <x:v>2035948</x:v>
      </x:c>
      <x:c r="CM458" s="11" t="n">
        <x:v>0</x:v>
      </x:c>
      <x:c r="CN458" s="11" t="n">
        <x:v>0</x:v>
      </x:c>
      <x:c r="CO458" s="11" t="n">
        <x:v>0</x:v>
      </x:c>
      <x:c r="CP458" s="8"/>
      <x:c r="CQ458" s="8"/>
    </x:row>
    <x:row r="459">
      <x:c r="A459" s="8" t="str">
        <x:v>Masset|2024</x:v>
      </x:c>
      <x:c r="B459" s="8" t="str">
        <x:v>masset-v</x:v>
      </x:c>
      <x:c r="C459" s="8" t="str">
        <x:v>Masset</x:v>
      </x:c>
      <x:c r="D459" s="8" t="str">
        <x:v>Masset</x:v>
      </x:c>
      <x:c r="E459" s="8" t="str">
        <x:v>V</x:v>
      </x:c>
      <x:c r="F459" s="8" t="str">
        <x:v>NCRD</x:v>
      </x:c>
      <x:c r="G459" s="9" t="n">
        <x:v>2024</x:v>
      </x:c>
      <x:c r="H459" s="10" t="n">
        <x:v>766</x:v>
      </x:c>
      <x:c r="I459" s="8" t="str">
        <x:v>Under 5,000</x:v>
      </x:c>
      <x:c r="J459" s="11" t="n">
        <x:v>10195722</x:v>
      </x:c>
      <x:c r="K459" s="11" t="n">
        <x:v>8099829</x:v>
      </x:c>
      <x:c r="L459" s="11" t="n">
        <x:v>2095893</x:v>
      </x:c>
      <x:c r="M459" s="12" t="n">
        <x:v>0.20556592264873444</x:v>
      </x:c>
      <x:c r="N459" s="11" t="n">
        <x:v>1275260</x:v>
      </x:c>
      <x:c r="O459" s="11" t="n">
        <x:v>5852978</x:v>
      </x:c>
      <x:c r="P459" s="11" t="n">
        <x:v>2576075</x:v>
      </x:c>
      <x:c r="Q459" s="11" t="n">
        <x:v>491409</x:v>
      </x:c>
      <x:c r="R459" s="11" t="n">
        <x:v>7025256</x:v>
      </x:c>
      <x:c r="S459" s="11" t="n">
        <x:v>954523</x:v>
      </x:c>
      <x:c r="T459" s="11" t="n">
        <x:v>9169749</x:v>
      </x:c>
      <x:c r="U459" s="11" t="n">
        <x:v>4135886</x:v>
      </x:c>
      <x:c r="V459" s="11" t="n">
        <x:v>6451618</x:v>
      </x:c>
      <x:c r="W459" s="11" t="n">
        <x:v>135362</x:v>
      </x:c>
      <x:c r="X459" s="11" t="n">
        <x:v>2696130</x:v>
      </x:c>
      <x:c r="Y459" s="11" t="n">
        <x:v>0</x:v>
      </x:c>
      <x:c r="Z459" s="11" t="n">
        <x:v>144071</x:v>
      </x:c>
      <x:c r="AA459" s="11" t="n">
        <x:v>2419904</x:v>
      </x:c>
      <x:c r="AB459" s="11" t="n">
        <x:v>120050</x:v>
      </x:c>
      <x:c r="AC459" s="11" t="n">
        <x:v>264121</x:v>
      </x:c>
      <x:c r="AD459" s="11" t="n">
        <x:v>1978298</x:v>
      </x:c>
      <x:c r="AE459" s="11" t="n">
        <x:v>1714177</x:v>
      </x:c>
      <x:c r="AF459" s="11" t="n">
        <x:v>7913192</x:v>
      </x:c>
      <x:c r="AG459" s="11" t="n">
        <x:v>53691076</x:v>
      </x:c>
      <x:c r="AH459" s="11" t="n">
        <x:v>22230216</x:v>
      </x:c>
      <x:c r="AI459" s="11" t="n">
        <x:v>31460860</x:v>
      </x:c>
      <x:c r="AJ459" s="11" t="n">
        <x:v>3767282</x:v>
      </x:c>
      <x:c r="AK459" s="11" t="n">
        <x:v>53691076</x:v>
      </x:c>
      <x:c r="AL459" s="11" t="n">
        <x:v>22230216</x:v>
      </x:c>
      <x:c r="AM459" s="12" t="n">
        <x:v>0.5859606911211837</x:v>
      </x:c>
      <x:c r="AN459" s="12" t="n">
        <x:v>0.0701658875303598</x:v>
      </x:c>
      <x:c r="AO459" s="11" t="n">
        <x:v>2210649</x:v>
      </x:c>
      <x:c r="AP459" s="11" t="n">
        <x:v>1997821</x:v>
      </x:c>
      <x:c r="AQ459" s="12" t="n">
        <x:v>0.9037260098731187</x:v>
      </x:c>
      <x:c r="AR459" s="11" t="n">
        <x:v>13310.342036553524</x:v>
      </x:c>
      <x:c r="AS459" s="11" t="n">
        <x:v>10574.189295039165</x:v>
      </x:c>
      <x:c r="AT459" s="11" t="n">
        <x:v>8422.47780678851</x:v>
      </x:c>
      <x:c r="AU459" s="11" t="n">
        <x:v>176.71279373368145</x:v>
      </x:c>
      <x:c r="AV459" s="11" t="n">
        <x:v>3159.143603133159</x:v>
      </x:c>
      <x:c r="AW459" s="11" t="n">
        <x:v>2.21711841187112</x:v>
      </x:c>
      <x:c r="AX459" s="12" t="n">
        <x:v>0.8664907915794284</x:v>
      </x:c>
      <x:c r="AY459" s="11" t="n">
        <x:v>4648.097865362712</x:v>
      </x:c>
      <x:c r="AZ459" s="11" t="n">
        <x:v>3546.5079302077975</x:v>
      </x:c>
      <x:c r="BA459" s="11" t="n">
        <x:v>3428.422456291105</x:v>
      </x:c>
      <x:c r="BB459" s="11" t="n">
        <x:v>2783.665107049771</x:v>
      </x:c>
      <x:c r="BC459" s="11" t="n">
        <x:v>5030.364110900993</x:v>
      </x:c>
      <x:c r="BD459" s="11" t="n">
        <x:v>2437.8724475115623</x:v>
      </x:c>
      <x:c r="BE459" s="11" t="n">
        <x:v>2420.45</x:v>
      </x:c>
      <x:c r="BF459" s="11" t="n">
        <x:v>1604.3462673977224</x:v>
      </x:c>
      <x:c r="BG459" s="11" t="n">
        <x:v>224.31236112962716</x:v>
      </x:c>
      <x:c r="BH459" s="11" t="n">
        <x:v>518.5374381567245</x:v>
      </x:c>
      <x:c r="BI459" s="11" t="n">
        <x:v>2.204313821553219</x:v>
      </x:c>
      <x:c r="BJ459" s="11" t="n">
        <x:v>1.7099330852451193</x:v>
      </x:c>
      <x:c r="BK459" s="12" t="n">
        <x:v>0.030042455998363887</x:v>
      </x:c>
      <x:c r="BL459" s="12" t="n">
        <x:v>0.02529861000232605</x:v>
      </x:c>
      <x:c r="BM459" s="12" t="n">
        <x:v>0.9786113537119745</x:v>
      </x:c>
      <x:c r="BN459" s="12" t="n">
        <x:v>0.9815511712696461</x:v>
      </x:c>
      <x:c r="BO459" s="12" t="n">
        <x:v>0.9039920521842442</x:v>
      </x:c>
      <x:c r="BP459" s="12" t="n">
        <x:v>0.8619101997275483</x:v>
      </x:c>
      <x:c r="BQ459" s="12" t="n">
        <x:v>0.9333160528846489</x:v>
      </x:c>
      <x:c r="BR459" s="12" t="n">
        <x:v>0.9623635142836453</x:v>
      </x:c>
      <x:c r="BS459" s="12" t="n">
        <x:v>0.20869205825466772</x:v>
      </x:c>
      <x:c r="BT459" s="12" t="n">
        <x:v>0.19976549769108282</x:v>
      </x:c>
      <x:c r="BU459" s="11" t="n">
        <x:v>141712</x:v>
      </x:c>
      <x:c r="BV459" s="11" t="n">
        <x:v>2170512</x:v>
      </x:c>
      <x:c r="BW459" s="11" t="n">
        <x:v>263851</x:v>
      </x:c>
      <x:c r="BX459" s="11" t="n">
        <x:v>491409</x:v>
      </x:c>
      <x:c r="BY459" s="11" t="n">
        <x:v>0</x:v>
      </x:c>
      <x:c r="BZ459" s="11" t="n">
        <x:v>0</x:v>
      </x:c>
      <x:c r="CA459" s="11" t="n">
        <x:v>0</x:v>
      </x:c>
      <x:c r="CB459" s="11" t="n">
        <x:v>0</x:v>
      </x:c>
      <x:c r="CC459" s="11" t="n">
        <x:v>1106374</x:v>
      </x:c>
      <x:c r="CD459" s="11" t="n">
        <x:v>72703</x:v>
      </x:c>
      <x:c r="CE459" s="11" t="n">
        <x:v>205166</x:v>
      </x:c>
      <x:c r="CF459" s="11" t="n">
        <x:v>74229</x:v>
      </x:c>
      <x:c r="CG459" s="11" t="n">
        <x:v>0</x:v>
      </x:c>
      <x:c r="CH459" s="11" t="n">
        <x:v>2938975</x:v>
      </x:c>
      <x:c r="CI459" s="11" t="n">
        <x:v>222730</x:v>
      </x:c>
      <x:c r="CJ459" s="11" t="n">
        <x:v>212006</x:v>
      </x:c>
      <x:c r="CK459" s="11" t="n">
        <x:v>267584</x:v>
      </x:c>
      <x:c r="CL459" s="11" t="n">
        <x:v>2045539</x:v>
      </x:c>
      <x:c r="CM459" s="11" t="n">
        <x:v>0</x:v>
      </x:c>
      <x:c r="CN459" s="11" t="n">
        <x:v>0</x:v>
      </x:c>
      <x:c r="CO459" s="11" t="n">
        <x:v>0</x:v>
      </x:c>
      <x:c r="CP459" s="8"/>
      <x:c r="CQ459" s="8"/>
    </x:row>
    <x:row r="460">
      <x:c r="A460" s="8" t="str">
        <x:v>McBride|2019</x:v>
      </x:c>
      <x:c r="B460" s="8" t="str">
        <x:v>mcbride-v</x:v>
      </x:c>
      <x:c r="C460" s="8" t="str">
        <x:v>McBride</x:v>
      </x:c>
      <x:c r="D460" s="8" t="str">
        <x:v>McBride</x:v>
      </x:c>
      <x:c r="E460" s="8" t="str">
        <x:v>V</x:v>
      </x:c>
      <x:c r="F460" s="8" t="str">
        <x:v>FFG</x:v>
      </x:c>
      <x:c r="G460" s="9" t="n">
        <x:v>2019</x:v>
      </x:c>
      <x:c r="H460" s="10" t="n">
        <x:v>666</x:v>
      </x:c>
      <x:c r="I460" s="8" t="str">
        <x:v>Under 5,000</x:v>
      </x:c>
      <x:c r="J460" s="11" t="n">
        <x:v>4701838</x:v>
      </x:c>
      <x:c r="K460" s="11" t="n">
        <x:v>2019286</x:v>
      </x:c>
      <x:c r="L460" s="11" t="n">
        <x:v>2682552</x:v>
      </x:c>
      <x:c r="M460" s="12" t="n">
        <x:v>0.5705326300055426</x:v>
      </x:c>
      <x:c r="N460" s="11" t="n">
        <x:v>534671</x:v>
      </x:c>
      <x:c r="O460" s="11" t="n">
        <x:v>671065</x:v>
      </x:c>
      <x:c r="P460" s="11" t="n">
        <x:v>3440528</x:v>
      </x:c>
      <x:c r="Q460" s="11" t="n">
        <x:v>55574</x:v>
      </x:c>
      <x:c r="R460" s="11" t="n">
        <x:v>1573592</x:v>
      </x:c>
      <x:c r="S460" s="11" t="n">
        <x:v>445694</x:v>
      </x:c>
      <x:c r="T460" s="11" t="n">
        <x:v>4258806</x:v>
      </x:c>
      <x:c r="U460" s="11" t="n">
        <x:v>734480</x:v>
      </x:c>
      <x:c r="V460" s="11" t="n">
        <x:v>4744576</x:v>
      </x:c>
      <x:c r="W460" s="11" t="n">
        <x:v>2631966</x:v>
      </x:c>
      <x:c r="X460" s="11" t="n">
        <x:v>180000</x:v>
      </x:c>
      <x:c r="Y460" s="11" t="n">
        <x:v>236750</x:v>
      </x:c>
      <x:c r="Z460" s="11" t="n">
        <x:v>108648</x:v>
      </x:c>
      <x:c r="AA460" s="11" t="n">
        <x:v>308102</x:v>
      </x:c>
      <x:c r="AB460" s="11" t="n">
        <x:v>0</x:v>
      </x:c>
      <x:c r="AC460" s="11" t="n">
        <x:v>108648</x:v>
      </x:c>
      <x:c r="AD460" s="11" t="n">
        <x:v>410538</x:v>
      </x:c>
      <x:c r="AE460" s="11" t="n">
        <x:v>301890</x:v>
      </x:c>
      <x:c r="AF460" s="11" t="n">
        <x:v>1642150</x:v>
      </x:c>
      <x:c r="AG460" s="11" t="n">
        <x:v>20081805</x:v>
      </x:c>
      <x:c r="AH460" s="11" t="n">
        <x:v>10082909</x:v>
      </x:c>
      <x:c r="AI460" s="11" t="n">
        <x:v>9998896</x:v>
      </x:c>
      <x:c r="AJ460" s="11" t="n">
        <x:v>779274</x:v>
      </x:c>
      <x:c r="AK460" s="11" t="n">
        <x:v>409176</x:v>
      </x:c>
      <x:c r="AL460" s="11" t="n">
        <x:v>0</x:v>
      </x:c>
      <x:c r="AM460" s="12" t="n">
        <x:v>1</x:v>
      </x:c>
      <x:c r="AN460" s="12" t="n">
        <x:v>1.9044958648601091</x:v>
      </x:c>
      <x:c r="AO460" s="11" t="n">
        <x:v>1231331</x:v>
      </x:c>
      <x:c r="AP460" s="11" t="n">
        <x:v>1074312</x:v>
      </x:c>
      <x:c r="AQ460" s="12" t="n">
        <x:v>0.8724802672879998</x:v>
      </x:c>
      <x:c r="AR460" s="11" t="n">
        <x:v>7059.816816816817</x:v>
      </x:c>
      <x:c r="AS460" s="11" t="n">
        <x:v>3031.960960960961</x:v>
      </x:c>
      <x:c r="AT460" s="11" t="n">
        <x:v>7123.987987987988</x:v>
      </x:c>
      <x:c r="AU460" s="11" t="n">
        <x:v>3951.900900900901</x:v>
      </x:c>
      <x:c r="AV460" s="11" t="n">
        <x:v>462.61561561561564</x:v>
      </x:c>
      <x:c r="AW460" s="11" t="n">
        <x:v>5.79839614421087</x:v>
      </x:c>
      <x:c r="AX460" s="12" t="n">
        <x:v>0.7353521476696433</x:v>
      </x:c>
      <x:c r="AY460" s="11"/>
      <x:c r="AZ460" s="11"/>
      <x:c r="BA460" s="11"/>
      <x:c r="BB460" s="11"/>
      <x:c r="BC460" s="11"/>
      <x:c r="BD460" s="11"/>
      <x:c r="BE460" s="11"/>
      <x:c r="BF460" s="11"/>
      <x:c r="BG460" s="11"/>
      <x:c r="BH460" s="11"/>
      <x:c r="BI460" s="11"/>
      <x:c r="BJ460" s="11"/>
      <x:c r="BK460" s="12"/>
      <x:c r="BL460" s="12"/>
      <x:c r="BM460" s="12"/>
      <x:c r="BN460" s="12"/>
      <x:c r="BO460" s="12"/>
      <x:c r="BP460" s="12"/>
      <x:c r="BQ460" s="12"/>
      <x:c r="BR460" s="12"/>
      <x:c r="BS460" s="12"/>
      <x:c r="BT460" s="12"/>
      <x:c r="BU460" s="11" t="n">
        <x:v>212072</x:v>
      </x:c>
      <x:c r="BV460" s="11" t="n">
        <x:v>2859875</x:v>
      </x:c>
      <x:c r="BW460" s="11" t="n">
        <x:v>368581</x:v>
      </x:c>
      <x:c r="BX460" s="11" t="n">
        <x:v>54112</x:v>
      </x:c>
      <x:c r="BY460" s="11" t="n">
        <x:v>1462</x:v>
      </x:c>
      <x:c r="BZ460" s="11" t="n">
        <x:v>0</x:v>
      </x:c>
      <x:c r="CA460" s="11" t="n">
        <x:v>0</x:v>
      </x:c>
      <x:c r="CB460" s="11" t="n">
        <x:v>0</x:v>
      </x:c>
      <x:c r="CC460" s="11" t="n">
        <x:v>844114</x:v>
      </x:c>
      <x:c r="CD460" s="11" t="n">
        <x:v>5125</x:v>
      </x:c>
      <x:c r="CE460" s="11" t="n">
        <x:v>77614</x:v>
      </x:c>
      <x:c r="CF460" s="11" t="n">
        <x:v>0</x:v>
      </x:c>
      <x:c r="CG460" s="11" t="n">
        <x:v>0</x:v>
      </x:c>
      <x:c r="CH460" s="11" t="n">
        <x:v>316869</x:v>
      </x:c>
      <x:c r="CI460" s="11" t="n">
        <x:v>137598</x:v>
      </x:c>
      <x:c r="CJ460" s="11" t="n">
        <x:v>82738</x:v>
      </x:c>
      <x:c r="CK460" s="11" t="n">
        <x:v>43403</x:v>
      </x:c>
      <x:c r="CL460" s="11" t="n">
        <x:v>66131</x:v>
      </x:c>
      <x:c r="CM460" s="11"/>
      <x:c r="CN460" s="11" t="n">
        <x:v>0</x:v>
      </x:c>
      <x:c r="CO460" s="11" t="n">
        <x:v>0</x:v>
      </x:c>
      <x:c r="CP460" s="8"/>
      <x:c r="CQ460" s="8"/>
    </x:row>
    <x:row r="461">
      <x:c r="A461" s="8" t="str">
        <x:v>McBride|2020</x:v>
      </x:c>
      <x:c r="B461" s="8" t="str">
        <x:v>mcbride-v</x:v>
      </x:c>
      <x:c r="C461" s="8" t="str">
        <x:v>McBride</x:v>
      </x:c>
      <x:c r="D461" s="8" t="str">
        <x:v>McBride</x:v>
      </x:c>
      <x:c r="E461" s="8" t="str">
        <x:v>V</x:v>
      </x:c>
      <x:c r="F461" s="8" t="str">
        <x:v>FFG</x:v>
      </x:c>
      <x:c r="G461" s="9" t="n">
        <x:v>2020</x:v>
      </x:c>
      <x:c r="H461" s="10" t="n">
        <x:v>671</x:v>
      </x:c>
      <x:c r="I461" s="8" t="str">
        <x:v>Under 5,000</x:v>
      </x:c>
      <x:c r="J461" s="11" t="n">
        <x:v>3319611</x:v>
      </x:c>
      <x:c r="K461" s="11" t="n">
        <x:v>2364542</x:v>
      </x:c>
      <x:c r="L461" s="11" t="n">
        <x:v>955069</x:v>
      </x:c>
      <x:c r="M461" s="12" t="n">
        <x:v>0.28770509556692037</x:v>
      </x:c>
      <x:c r="N461" s="11" t="n">
        <x:v>530632</x:v>
      </x:c>
      <x:c r="O461" s="11" t="n">
        <x:v>716179</x:v>
      </x:c>
      <x:c r="P461" s="11" t="n">
        <x:v>2069064</x:v>
      </x:c>
      <x:c r="Q461" s="11" t="n">
        <x:v>3736</x:v>
      </x:c>
      <x:c r="R461" s="11" t="n">
        <x:v>1887916</x:v>
      </x:c>
      <x:c r="S461" s="11" t="n">
        <x:v>476626</x:v>
      </x:c>
      <x:c r="T461" s="11" t="n">
        <x:v>5381273</x:v>
      </x:c>
      <x:c r="U461" s="11" t="n">
        <x:v>454833</x:v>
      </x:c>
      <x:c r="V461" s="11" t="n">
        <x:v>5922175</x:v>
      </x:c>
      <x:c r="W461" s="11" t="n">
        <x:v>3185396</x:v>
      </x:c>
      <x:c r="X461" s="11" t="n">
        <x:v>308102</x:v>
      </x:c>
      <x:c r="Y461" s="11" t="n">
        <x:v>0</x:v>
      </x:c>
      <x:c r="Z461" s="11" t="n">
        <x:v>135888</x:v>
      </x:c>
      <x:c r="AA461" s="11" t="n">
        <x:v>172214</x:v>
      </x:c>
      <x:c r="AB461" s="11" t="n">
        <x:v>0</x:v>
      </x:c>
      <x:c r="AC461" s="11" t="n">
        <x:v>135888</x:v>
      </x:c>
      <x:c r="AD461" s="11" t="n">
        <x:v>423738</x:v>
      </x:c>
      <x:c r="AE461" s="11" t="n">
        <x:v>287850</x:v>
      </x:c>
      <x:c r="AF461" s="11" t="n">
        <x:v>1694952</x:v>
      </x:c>
      <x:c r="AG461" s="11" t="n">
        <x:v>20332055</x:v>
      </x:c>
      <x:c r="AH461" s="11" t="n">
        <x:v>10559534</x:v>
      </x:c>
      <x:c r="AI461" s="11" t="n">
        <x:v>9772521</x:v>
      </x:c>
      <x:c r="AJ461" s="11" t="n">
        <x:v>250251</x:v>
      </x:c>
      <x:c r="AK461" s="11" t="n">
        <x:v>372449</x:v>
      </x:c>
      <x:c r="AL461" s="11" t="n">
        <x:v>0</x:v>
      </x:c>
      <x:c r="AM461" s="12" t="n">
        <x:v>1</x:v>
      </x:c>
      <x:c r="AN461" s="12" t="n">
        <x:v>0.6719067577037393</x:v>
      </x:c>
      <x:c r="AO461" s="11" t="n">
        <x:v>1230480</x:v>
      </x:c>
      <x:c r="AP461" s="11" t="n">
        <x:v>1066614</x:v>
      </x:c>
      <x:c r="AQ461" s="12" t="n">
        <x:v>0.8668275794811781</x:v>
      </x:c>
      <x:c r="AR461" s="11" t="n">
        <x:v>4947.259314456036</x:v>
      </x:c>
      <x:c r="AS461" s="11" t="n">
        <x:v>3523.907600596125</x:v>
      </x:c>
      <x:c r="AT461" s="11" t="n">
        <x:v>8825.894187779433</x:v>
      </x:c>
      <x:c r="AU461" s="11" t="n">
        <x:v>4747.23695976155</x:v>
      </x:c>
      <x:c r="AV461" s="11" t="n">
        <x:v>256.6527570789866</x:v>
      </x:c>
      <x:c r="AW461" s="11" t="n">
        <x:v>11.831316109429174</x:v>
      </x:c>
      <x:c r="AX461" s="12" t="n">
        <x:v>0.6793112725316115</x:v>
      </x:c>
      <x:c r="AY461" s="11"/>
      <x:c r="AZ461" s="11"/>
      <x:c r="BA461" s="11"/>
      <x:c r="BB461" s="11"/>
      <x:c r="BC461" s="11"/>
      <x:c r="BD461" s="11"/>
      <x:c r="BE461" s="11"/>
      <x:c r="BF461" s="11"/>
      <x:c r="BG461" s="11"/>
      <x:c r="BH461" s="11"/>
      <x:c r="BI461" s="11"/>
      <x:c r="BJ461" s="11"/>
      <x:c r="BK461" s="12"/>
      <x:c r="BL461" s="12"/>
      <x:c r="BM461" s="12"/>
      <x:c r="BN461" s="12"/>
      <x:c r="BO461" s="12"/>
      <x:c r="BP461" s="12"/>
      <x:c r="BQ461" s="12"/>
      <x:c r="BR461" s="12"/>
      <x:c r="BS461" s="12"/>
      <x:c r="BT461" s="12"/>
      <x:c r="BU461" s="11" t="n">
        <x:v>0</x:v>
      </x:c>
      <x:c r="BV461" s="11" t="n">
        <x:v>1856861</x:v>
      </x:c>
      <x:c r="BW461" s="11" t="n">
        <x:v>212203</x:v>
      </x:c>
      <x:c r="BX461" s="11" t="n">
        <x:v>43775</x:v>
      </x:c>
      <x:c r="BY461" s="11" t="n">
        <x:v>-40039</x:v>
      </x:c>
      <x:c r="BZ461" s="11" t="n">
        <x:v>0</x:v>
      </x:c>
      <x:c r="CA461" s="11" t="n">
        <x:v>0</x:v>
      </x:c>
      <x:c r="CB461" s="11" t="n">
        <x:v>0</x:v>
      </x:c>
      <x:c r="CC461" s="11" t="n">
        <x:v>1162563</x:v>
      </x:c>
      <x:c r="CD461" s="11" t="n">
        <x:v>6770</x:v>
      </x:c>
      <x:c r="CE461" s="11" t="n">
        <x:v>80816</x:v>
      </x:c>
      <x:c r="CF461" s="11" t="n">
        <x:v>0</x:v>
      </x:c>
      <x:c r="CG461" s="11" t="n">
        <x:v>0</x:v>
      </x:c>
      <x:c r="CH461" s="11" t="n">
        <x:v>314106</x:v>
      </x:c>
      <x:c r="CI461" s="11" t="n">
        <x:v>105232</x:v>
      </x:c>
      <x:c r="CJ461" s="11" t="n">
        <x:v>94659</x:v>
      </x:c>
      <x:c r="CK461" s="11" t="n">
        <x:v>71045</x:v>
      </x:c>
      <x:c r="CL461" s="11" t="n">
        <x:v>52725</x:v>
      </x:c>
      <x:c r="CM461" s="11"/>
      <x:c r="CN461" s="11" t="n">
        <x:v>0</x:v>
      </x:c>
      <x:c r="CO461" s="11" t="n">
        <x:v>0</x:v>
      </x:c>
      <x:c r="CP461" s="8"/>
      <x:c r="CQ461" s="8"/>
    </x:row>
    <x:row r="462">
      <x:c r="A462" s="8" t="str">
        <x:v>McBride|2021</x:v>
      </x:c>
      <x:c r="B462" s="8" t="str">
        <x:v>mcbride-v</x:v>
      </x:c>
      <x:c r="C462" s="8" t="str">
        <x:v>McBride</x:v>
      </x:c>
      <x:c r="D462" s="8" t="str">
        <x:v>McBride</x:v>
      </x:c>
      <x:c r="E462" s="8" t="str">
        <x:v>V</x:v>
      </x:c>
      <x:c r="F462" s="8" t="str">
        <x:v>FFG</x:v>
      </x:c>
      <x:c r="G462" s="9" t="n">
        <x:v>2021</x:v>
      </x:c>
      <x:c r="H462" s="10" t="n">
        <x:v>673</x:v>
      </x:c>
      <x:c r="I462" s="8" t="str">
        <x:v>Under 5,000</x:v>
      </x:c>
      <x:c r="J462" s="11" t="n">
        <x:v>1536903</x:v>
      </x:c>
      <x:c r="K462" s="11" t="n">
        <x:v>2282470</x:v>
      </x:c>
      <x:c r="L462" s="11" t="n">
        <x:v>-745567</x:v>
      </x:c>
      <x:c r="M462" s="12" t="n">
        <x:v>-0.48510999067605437</x:v>
      </x:c>
      <x:c r="N462" s="11" t="n">
        <x:v>534587</x:v>
      </x:c>
      <x:c r="O462" s="11" t="n">
        <x:v>675766</x:v>
      </x:c>
      <x:c r="P462" s="11" t="n">
        <x:v>946907</x:v>
      </x:c>
      <x:c r="Q462" s="11" t="n">
        <x:v>-620357</x:v>
      </x:c>
      <x:c r="R462" s="11" t="n">
        <x:v>1775430</x:v>
      </x:c>
      <x:c r="S462" s="11" t="n">
        <x:v>507040</x:v>
      </x:c>
      <x:c r="T462" s="11" t="n">
        <x:v>4294119</x:v>
      </x:c>
      <x:c r="U462" s="11" t="n">
        <x:v>325829</x:v>
      </x:c>
      <x:c r="V462" s="11" t="n">
        <x:v>4370896</x:v>
      </x:c>
      <x:c r="W462" s="11" t="n">
        <x:v>2915350</x:v>
      </x:c>
      <x:c r="X462" s="11" t="n">
        <x:v>172214</x:v>
      </x:c>
      <x:c r="Y462" s="11" t="n">
        <x:v>0</x:v>
      </x:c>
      <x:c r="Z462" s="11" t="n">
        <x:v>50120</x:v>
      </x:c>
      <x:c r="AA462" s="11" t="n">
        <x:v>122094</x:v>
      </x:c>
      <x:c r="AB462" s="11" t="n">
        <x:v>0</x:v>
      </x:c>
      <x:c r="AC462" s="11" t="n">
        <x:v>50120</x:v>
      </x:c>
      <x:c r="AD462" s="11" t="n">
        <x:v>415456</x:v>
      </x:c>
      <x:c r="AE462" s="11" t="n">
        <x:v>365336</x:v>
      </x:c>
      <x:c r="AF462" s="11" t="n">
        <x:v>1661824</x:v>
      </x:c>
      <x:c r="AG462" s="11" t="n">
        <x:v>21644581</x:v>
      </x:c>
      <x:c r="AH462" s="11" t="n">
        <x:v>11066574</x:v>
      </x:c>
      <x:c r="AI462" s="11" t="n">
        <x:v>10578007</x:v>
      </x:c>
      <x:c r="AJ462" s="11" t="n">
        <x:v>1312526</x:v>
      </x:c>
      <x:c r="AK462" s="11" t="n">
        <x:v>372449</x:v>
      </x:c>
      <x:c r="AL462" s="11" t="n">
        <x:v>0</x:v>
      </x:c>
      <x:c r="AM462" s="12" t="n">
        <x:v>1</x:v>
      </x:c>
      <x:c r="AN462" s="12" t="n">
        <x:v>3.5240422178607003</x:v>
      </x:c>
      <x:c r="AO462" s="11" t="n">
        <x:v>1192014</x:v>
      </x:c>
      <x:c r="AP462" s="11" t="n">
        <x:v>1015301</x:v>
      </x:c>
      <x:c r="AQ462" s="12" t="n">
        <x:v>0.8517525800871466</x:v>
      </x:c>
      <x:c r="AR462" s="11" t="n">
        <x:v>2283.659732540862</x:v>
      </x:c>
      <x:c r="AS462" s="11" t="n">
        <x:v>3391.48588410104</x:v>
      </x:c>
      <x:c r="AT462" s="11" t="n">
        <x:v>6494.644873699852</x:v>
      </x:c>
      <x:c r="AU462" s="11" t="n">
        <x:v>4331.872213967311</x:v>
      </x:c>
      <x:c r="AV462" s="11" t="n">
        <x:v>181.41753343239228</x:v>
      </x:c>
      <x:c r="AW462" s="11" t="n">
        <x:v>13.179057112780017</x:v>
      </x:c>
      <x:c r="AX462" s="12" t="n">
        <x:v>0.8793614726950628</x:v>
      </x:c>
      <x:c r="AY462" s="11"/>
      <x:c r="AZ462" s="11"/>
      <x:c r="BA462" s="11"/>
      <x:c r="BB462" s="11"/>
      <x:c r="BC462" s="11"/>
      <x:c r="BD462" s="11"/>
      <x:c r="BE462" s="11"/>
      <x:c r="BF462" s="11"/>
      <x:c r="BG462" s="11"/>
      <x:c r="BH462" s="11"/>
      <x:c r="BI462" s="11"/>
      <x:c r="BJ462" s="11"/>
      <x:c r="BK462" s="12"/>
      <x:c r="BL462" s="12"/>
      <x:c r="BM462" s="12"/>
      <x:c r="BN462" s="12"/>
      <x:c r="BO462" s="12"/>
      <x:c r="BP462" s="12"/>
      <x:c r="BQ462" s="12"/>
      <x:c r="BR462" s="12"/>
      <x:c r="BS462" s="12"/>
      <x:c r="BT462" s="12"/>
      <x:c r="BU462" s="11" t="n">
        <x:v>0</x:v>
      </x:c>
      <x:c r="BV462" s="11" t="n">
        <x:v>461621</x:v>
      </x:c>
      <x:c r="BW462" s="11" t="n">
        <x:v>485286</x:v>
      </x:c>
      <x:c r="BX462" s="11" t="n">
        <x:v>28789</x:v>
      </x:c>
      <x:c r="BY462" s="11" t="n">
        <x:v>-649146</x:v>
      </x:c>
      <x:c r="BZ462" s="11" t="n">
        <x:v>0</x:v>
      </x:c>
      <x:c r="CA462" s="11" t="n">
        <x:v>0</x:v>
      </x:c>
      <x:c r="CB462" s="11" t="n">
        <x:v>0</x:v>
      </x:c>
      <x:c r="CC462" s="11" t="n">
        <x:v>838428</x:v>
      </x:c>
      <x:c r="CD462" s="11" t="n">
        <x:v>22172</x:v>
      </x:c>
      <x:c r="CE462" s="11" t="n">
        <x:v>91276</x:v>
      </x:c>
      <x:c r="CF462" s="11" t="n">
        <x:v>0</x:v>
      </x:c>
      <x:c r="CG462" s="11" t="n">
        <x:v>0</x:v>
      </x:c>
      <x:c r="CH462" s="11" t="n">
        <x:v>366503</x:v>
      </x:c>
      <x:c r="CI462" s="11" t="n">
        <x:v>114538</x:v>
      </x:c>
      <x:c r="CJ462" s="11" t="n">
        <x:v>171785</x:v>
      </x:c>
      <x:c r="CK462" s="11" t="n">
        <x:v>100895</x:v>
      </x:c>
      <x:c r="CL462" s="11" t="n">
        <x:v>69833</x:v>
      </x:c>
      <x:c r="CM462" s="11"/>
      <x:c r="CN462" s="11" t="n">
        <x:v>0</x:v>
      </x:c>
      <x:c r="CO462" s="11" t="n">
        <x:v>0</x:v>
      </x:c>
      <x:c r="CP462" s="8"/>
      <x:c r="CQ462" s="8"/>
    </x:row>
    <x:row r="463">
      <x:c r="A463" s="8" t="str">
        <x:v>McBride|2022</x:v>
      </x:c>
      <x:c r="B463" s="8" t="str">
        <x:v>mcbride-v</x:v>
      </x:c>
      <x:c r="C463" s="8" t="str">
        <x:v>McBride</x:v>
      </x:c>
      <x:c r="D463" s="8" t="str">
        <x:v>McBride</x:v>
      </x:c>
      <x:c r="E463" s="8" t="str">
        <x:v>V</x:v>
      </x:c>
      <x:c r="F463" s="8" t="str">
        <x:v>FFG</x:v>
      </x:c>
      <x:c r="G463" s="9" t="n">
        <x:v>2022</x:v>
      </x:c>
      <x:c r="H463" s="10" t="n">
        <x:v>7611</x:v>
      </x:c>
      <x:c r="I463" s="8" t="str">
        <x:v>5,000 to 19,999</x:v>
      </x:c>
      <x:c r="J463" s="11" t="n">
        <x:v>3069395</x:v>
      </x:c>
      <x:c r="K463" s="11" t="n">
        <x:v>2833159</x:v>
      </x:c>
      <x:c r="L463" s="11" t="n">
        <x:v>236236</x:v>
      </x:c>
      <x:c r="M463" s="12" t="n">
        <x:v>0.07696500450414495</x:v>
      </x:c>
      <x:c r="N463" s="11" t="n">
        <x:v>605975</x:v>
      </x:c>
      <x:c r="O463" s="11" t="n">
        <x:v>770823</x:v>
      </x:c>
      <x:c r="P463" s="11" t="n">
        <x:v>1380779</x:v>
      </x:c>
      <x:c r="Q463" s="11" t="n">
        <x:v>311818</x:v>
      </x:c>
      <x:c r="R463" s="11" t="n">
        <x:v>2191994</x:v>
      </x:c>
      <x:c r="S463" s="11" t="n">
        <x:v>641165</x:v>
      </x:c>
      <x:c r="T463" s="11" t="n">
        <x:v>2857195</x:v>
      </x:c>
      <x:c r="U463" s="11" t="n">
        <x:v>520774</x:v>
      </x:c>
      <x:c r="V463" s="11" t="n">
        <x:v>3457687</x:v>
      </x:c>
      <x:c r="W463" s="11" t="n">
        <x:v>1631382</x:v>
      </x:c>
      <x:c r="X463" s="11" t="n">
        <x:v>122094</x:v>
      </x:c>
      <x:c r="Y463" s="11" t="n">
        <x:v>0</x:v>
      </x:c>
      <x:c r="Z463" s="11" t="n">
        <x:v>50406</x:v>
      </x:c>
      <x:c r="AA463" s="11" t="n">
        <x:v>71688</x:v>
      </x:c>
      <x:c r="AB463" s="11" t="n">
        <x:v>0</x:v>
      </x:c>
      <x:c r="AC463" s="11" t="n">
        <x:v>50406</x:v>
      </x:c>
      <x:c r="AD463" s="11" t="n">
        <x:v>481445</x:v>
      </x:c>
      <x:c r="AE463" s="11" t="n">
        <x:v>431039</x:v>
      </x:c>
      <x:c r="AF463" s="11" t="n">
        <x:v>1925779</x:v>
      </x:c>
      <x:c r="AG463" s="11" t="n">
        <x:v>23420716</x:v>
      </x:c>
      <x:c r="AH463" s="11" t="n">
        <x:v>11707739</x:v>
      </x:c>
      <x:c r="AI463" s="11" t="n">
        <x:v>11712977</x:v>
      </x:c>
      <x:c r="AJ463" s="11" t="n">
        <x:v>1776135</x:v>
      </x:c>
      <x:c r="AK463" s="11" t="n">
        <x:v>396646</x:v>
      </x:c>
      <x:c r="AL463" s="11" t="n">
        <x:v>0</x:v>
      </x:c>
      <x:c r="AM463" s="12" t="n">
        <x:v>1</x:v>
      </x:c>
      <x:c r="AN463" s="12" t="n">
        <x:v>4.477884562052813</x:v>
      </x:c>
      <x:c r="AO463" s="11" t="n">
        <x:v>1339093</x:v>
      </x:c>
      <x:c r="AP463" s="11" t="n">
        <x:v>1122077</x:v>
      </x:c>
      <x:c r="AQ463" s="12" t="n">
        <x:v>0.8379380670349259</x:v>
      </x:c>
      <x:c r="AR463" s="11" t="n">
        <x:v>403.284062541059</x:v>
      </x:c>
      <x:c r="AS463" s="11" t="n">
        <x:v>372.2453028511365</x:v>
      </x:c>
      <x:c r="AT463" s="11" t="n">
        <x:v>454.3012744711602</x:v>
      </x:c>
      <x:c r="AU463" s="11" t="n">
        <x:v>214.34528971225856</x:v>
      </x:c>
      <x:c r="AV463" s="11" t="n">
        <x:v>9.418998817500986</x:v>
      </x:c>
      <x:c r="AW463" s="11" t="n">
        <x:v>5.486439415178177</x:v>
      </x:c>
      <x:c r="AX463" s="12" t="n">
        <x:v>0.8953026825494086</x:v>
      </x:c>
      <x:c r="AY463" s="11"/>
      <x:c r="AZ463" s="11"/>
      <x:c r="BA463" s="11"/>
      <x:c r="BB463" s="11"/>
      <x:c r="BC463" s="11"/>
      <x:c r="BD463" s="11"/>
      <x:c r="BE463" s="11"/>
      <x:c r="BF463" s="11"/>
      <x:c r="BG463" s="11"/>
      <x:c r="BH463" s="11"/>
      <x:c r="BI463" s="11"/>
      <x:c r="BJ463" s="11"/>
      <x:c r="BK463" s="12"/>
      <x:c r="BL463" s="12"/>
      <x:c r="BM463" s="12"/>
      <x:c r="BN463" s="12"/>
      <x:c r="BO463" s="12"/>
      <x:c r="BP463" s="12"/>
      <x:c r="BQ463" s="12"/>
      <x:c r="BR463" s="12"/>
      <x:c r="BS463" s="12"/>
      <x:c r="BT463" s="12"/>
      <x:c r="BU463" s="11" t="n">
        <x:v>252136</x:v>
      </x:c>
      <x:c r="BV463" s="11" t="n">
        <x:v>614931</x:v>
      </x:c>
      <x:c r="BW463" s="11" t="n">
        <x:v>513712</x:v>
      </x:c>
      <x:c r="BX463" s="11" t="n">
        <x:v>64090</x:v>
      </x:c>
      <x:c r="BY463" s="11" t="n">
        <x:v>187728</x:v>
      </x:c>
      <x:c r="BZ463" s="11" t="n">
        <x:v>0</x:v>
      </x:c>
      <x:c r="CA463" s="11" t="n">
        <x:v>60000</x:v>
      </x:c>
      <x:c r="CB463" s="11" t="n">
        <x:v>0</x:v>
      </x:c>
      <x:c r="CC463" s="11" t="n">
        <x:v>1156901</x:v>
      </x:c>
      <x:c r="CD463" s="11" t="n">
        <x:v>2342</x:v>
      </x:c>
      <x:c r="CE463" s="11" t="n">
        <x:v>95402</x:v>
      </x:c>
      <x:c r="CF463" s="11" t="n">
        <x:v>0</x:v>
      </x:c>
      <x:c r="CG463" s="11" t="n">
        <x:v>0</x:v>
      </x:c>
      <x:c r="CH463" s="11" t="n">
        <x:v>415188</x:v>
      </x:c>
      <x:c r="CI463" s="11" t="n">
        <x:v>167053</x:v>
      </x:c>
      <x:c r="CJ463" s="11" t="n">
        <x:v>212970</x:v>
      </x:c>
      <x:c r="CK463" s="11" t="n">
        <x:v>77863</x:v>
      </x:c>
      <x:c r="CL463" s="11" t="n">
        <x:v>64275</x:v>
      </x:c>
      <x:c r="CM463" s="11"/>
      <x:c r="CN463" s="11" t="n">
        <x:v>0</x:v>
      </x:c>
      <x:c r="CO463" s="11" t="n">
        <x:v>0</x:v>
      </x:c>
      <x:c r="CP463" s="8"/>
      <x:c r="CQ463" s="8"/>
    </x:row>
    <x:row r="464">
      <x:c r="A464" s="8" t="str">
        <x:v>McBride|2023</x:v>
      </x:c>
      <x:c r="B464" s="8" t="str">
        <x:v>mcbride-v</x:v>
      </x:c>
      <x:c r="C464" s="8" t="str">
        <x:v>McBride</x:v>
      </x:c>
      <x:c r="D464" s="8" t="str">
        <x:v>McBride</x:v>
      </x:c>
      <x:c r="E464" s="8" t="str">
        <x:v>V</x:v>
      </x:c>
      <x:c r="F464" s="8" t="str">
        <x:v>FFG</x:v>
      </x:c>
      <x:c r="G464" s="9" t="n">
        <x:v>2023</x:v>
      </x:c>
      <x:c r="H464" s="10" t="n">
        <x:v>671</x:v>
      </x:c>
      <x:c r="I464" s="8" t="str">
        <x:v>Under 5,000</x:v>
      </x:c>
      <x:c r="J464" s="11" t="n">
        <x:v>4764337</x:v>
      </x:c>
      <x:c r="K464" s="11" t="n">
        <x:v>2548832</x:v>
      </x:c>
      <x:c r="L464" s="11" t="n">
        <x:v>2215505</x:v>
      </x:c>
      <x:c r="M464" s="12" t="n">
        <x:v>0.4650185324841631</x:v>
      </x:c>
      <x:c r="N464" s="11" t="n">
        <x:v>599418</x:v>
      </x:c>
      <x:c r="O464" s="11" t="n">
        <x:v>626831</x:v>
      </x:c>
      <x:c r="P464" s="11" t="n">
        <x:v>2340441</x:v>
      </x:c>
      <x:c r="Q464" s="11" t="n">
        <x:v>1197647</x:v>
      </x:c>
      <x:c r="R464" s="11" t="n">
        <x:v>1986094</x:v>
      </x:c>
      <x:c r="S464" s="11" t="n">
        <x:v>562738</x:v>
      </x:c>
      <x:c r="T464" s="11" t="n">
        <x:v>2924116</x:v>
      </x:c>
      <x:c r="U464" s="11" t="n">
        <x:v>936194</x:v>
      </x:c>
      <x:c r="V464" s="11" t="n">
        <x:v>4286327</x:v>
      </x:c>
      <x:c r="W464" s="11" t="n">
        <x:v>2007476</x:v>
      </x:c>
      <x:c r="X464" s="11" t="n">
        <x:v>71688</x:v>
      </x:c>
      <x:c r="Y464" s="11" t="n">
        <x:v>0</x:v>
      </x:c>
      <x:c r="Z464" s="11" t="n">
        <x:v>45551</x:v>
      </x:c>
      <x:c r="AA464" s="11" t="n">
        <x:v>26137</x:v>
      </x:c>
      <x:c r="AB464" s="11" t="n">
        <x:v>0</x:v>
      </x:c>
      <x:c r="AC464" s="11" t="n">
        <x:v>45551</x:v>
      </x:c>
      <x:c r="AD464" s="11" t="n">
        <x:v>486423</x:v>
      </x:c>
      <x:c r="AE464" s="11" t="n">
        <x:v>440872</x:v>
      </x:c>
      <x:c r="AF464" s="11" t="n">
        <x:v>1945691</x:v>
      </x:c>
      <x:c r="AG464" s="11" t="n">
        <x:v>25350339</x:v>
      </x:c>
      <x:c r="AH464" s="11" t="n">
        <x:v>12254446</x:v>
      </x:c>
      <x:c r="AI464" s="11" t="n">
        <x:v>13095893</x:v>
      </x:c>
      <x:c r="AJ464" s="11" t="n">
        <x:v>1725699</x:v>
      </x:c>
      <x:c r="AK464" s="11" t="n">
        <x:v>1660746</x:v>
      </x:c>
      <x:c r="AL464" s="11" t="n">
        <x:v>0</x:v>
      </x:c>
      <x:c r="AM464" s="12" t="n">
        <x:v>1</x:v>
      </x:c>
      <x:c r="AN464" s="12" t="n">
        <x:v>1.0391107369820551</x:v>
      </x:c>
      <x:c r="AO464" s="11" t="n">
        <x:v>1463493</x:v>
      </x:c>
      <x:c r="AP464" s="11" t="n">
        <x:v>1236972</x:v>
      </x:c>
      <x:c r="AQ464" s="12" t="n">
        <x:v>0.845218938525842</x:v>
      </x:c>
      <x:c r="AR464" s="11" t="n">
        <x:v>7100.353204172877</x:v>
      </x:c>
      <x:c r="AS464" s="11" t="n">
        <x:v>3798.55737704918</x:v>
      </x:c>
      <x:c r="AT464" s="11" t="n">
        <x:v>6387.968703427719</x:v>
      </x:c>
      <x:c r="AU464" s="11" t="n">
        <x:v>2991.7675111773474</x:v>
      </x:c>
      <x:c r="AV464" s="11" t="n">
        <x:v>38.95230998509687</x:v>
      </x:c>
      <x:c r="AW464" s="11" t="n">
        <x:v>3.1234081824920903</x:v>
      </x:c>
      <x:c r="AX464" s="12" t="n">
        <x:v>0.906355168238344</x:v>
      </x:c>
      <x:c r="AY464" s="11"/>
      <x:c r="AZ464" s="11"/>
      <x:c r="BA464" s="11"/>
      <x:c r="BB464" s="11"/>
      <x:c r="BC464" s="11"/>
      <x:c r="BD464" s="11"/>
      <x:c r="BE464" s="11"/>
      <x:c r="BF464" s="11"/>
      <x:c r="BG464" s="11"/>
      <x:c r="BH464" s="11"/>
      <x:c r="BI464" s="11"/>
      <x:c r="BJ464" s="11"/>
      <x:c r="BK464" s="12"/>
      <x:c r="BL464" s="12"/>
      <x:c r="BM464" s="12"/>
      <x:c r="BN464" s="12"/>
      <x:c r="BO464" s="12"/>
      <x:c r="BP464" s="12"/>
      <x:c r="BQ464" s="12"/>
      <x:c r="BR464" s="12"/>
      <x:c r="BS464" s="12"/>
      <x:c r="BT464" s="12"/>
      <x:c r="BU464" s="11" t="n">
        <x:v>766200</x:v>
      </x:c>
      <x:c r="BV464" s="11" t="n">
        <x:v>1515409</x:v>
      </x:c>
      <x:c r="BW464" s="11" t="n">
        <x:v>58832</x:v>
      </x:c>
      <x:c r="BX464" s="11" t="n">
        <x:v>129491</x:v>
      </x:c>
      <x:c r="BY464" s="11" t="n">
        <x:v>897205</x:v>
      </x:c>
      <x:c r="BZ464" s="11" t="n">
        <x:v>0</x:v>
      </x:c>
      <x:c r="CA464" s="11" t="n">
        <x:v>0</x:v>
      </x:c>
      <x:c r="CB464" s="11" t="n">
        <x:v>170951</x:v>
      </x:c>
      <x:c r="CC464" s="11" t="n">
        <x:v>1075546</x:v>
      </x:c>
      <x:c r="CD464" s="11" t="n">
        <x:v>8543</x:v>
      </x:c>
      <x:c r="CE464" s="11" t="n">
        <x:v>92789</x:v>
      </x:c>
      <x:c r="CF464" s="11" t="n">
        <x:v>0</x:v>
      </x:c>
      <x:c r="CG464" s="11" t="n">
        <x:v>110606</x:v>
      </x:c>
      <x:c r="CH464" s="11" t="n">
        <x:v>168742</x:v>
      </x:c>
      <x:c r="CI464" s="11" t="n">
        <x:v>34931</x:v>
      </x:c>
      <x:c r="CJ464" s="11" t="n">
        <x:v>159310</x:v>
      </x:c>
      <x:c r="CK464" s="11" t="n">
        <x:v>48592</x:v>
      </x:c>
      <x:c r="CL464" s="11" t="n">
        <x:v>287035</x:v>
      </x:c>
      <x:c r="CM464" s="11" t="n">
        <x:v>0</x:v>
      </x:c>
      <x:c r="CN464" s="11" t="n">
        <x:v>0</x:v>
      </x:c>
      <x:c r="CO464" s="11" t="n">
        <x:v>0</x:v>
      </x:c>
      <x:c r="CP464" s="8"/>
      <x:c r="CQ464" s="8"/>
    </x:row>
    <x:row r="465">
      <x:c r="A465" s="8" t="str">
        <x:v>McBride|2024</x:v>
      </x:c>
      <x:c r="B465" s="8" t="str">
        <x:v>mcbride-v</x:v>
      </x:c>
      <x:c r="C465" s="8" t="str">
        <x:v>McBride</x:v>
      </x:c>
      <x:c r="D465" s="8" t="str">
        <x:v>McBride</x:v>
      </x:c>
      <x:c r="E465" s="8" t="str">
        <x:v>V</x:v>
      </x:c>
      <x:c r="F465" s="8" t="str">
        <x:v>FFG</x:v>
      </x:c>
      <x:c r="G465" s="9" t="n">
        <x:v>2024</x:v>
      </x:c>
      <x:c r="H465" s="10" t="n">
        <x:v>671</x:v>
      </x:c>
      <x:c r="I465" s="8" t="str">
        <x:v>Under 5,000</x:v>
      </x:c>
      <x:c r="J465" s="11" t="n">
        <x:v>3169047</x:v>
      </x:c>
      <x:c r="K465" s="11" t="n">
        <x:v>2952872</x:v>
      </x:c>
      <x:c r="L465" s="11" t="n">
        <x:v>216175</x:v>
      </x:c>
      <x:c r="M465" s="12" t="n">
        <x:v>0.06821451370080658</x:v>
      </x:c>
      <x:c r="N465" s="11" t="n">
        <x:v>699848</x:v>
      </x:c>
      <x:c r="O465" s="11" t="n">
        <x:v>854774</x:v>
      </x:c>
      <x:c r="P465" s="11" t="n">
        <x:v>954984</x:v>
      </x:c>
      <x:c r="Q465" s="11" t="n">
        <x:v>659441</x:v>
      </x:c>
      <x:c r="R465" s="11" t="n">
        <x:v>2385796</x:v>
      </x:c>
      <x:c r="S465" s="11" t="n">
        <x:v>555986</x:v>
      </x:c>
      <x:c r="T465" s="11" t="n">
        <x:v>3562711</x:v>
      </x:c>
      <x:c r="U465" s="11" t="n">
        <x:v>1718298</x:v>
      </x:c>
      <x:c r="V465" s="11" t="n">
        <x:v>4368927</x:v>
      </x:c>
      <x:c r="W465" s="11" t="n">
        <x:v>1928697</x:v>
      </x:c>
      <x:c r="X465" s="11" t="n">
        <x:v>26137</x:v>
      </x:c>
      <x:c r="Y465" s="11" t="n">
        <x:v>259502</x:v>
      </x:c>
      <x:c r="Z465" s="11" t="n">
        <x:v>65655</x:v>
      </x:c>
      <x:c r="AA465" s="11" t="n">
        <x:v>219984</x:v>
      </x:c>
      <x:c r="AB465" s="11" t="n">
        <x:v>11090</x:v>
      </x:c>
      <x:c r="AC465" s="11" t="n">
        <x:v>76745</x:v>
      </x:c>
      <x:c r="AD465" s="11" t="n">
        <x:v>529001</x:v>
      </x:c>
      <x:c r="AE465" s="11" t="n">
        <x:v>452256</x:v>
      </x:c>
      <x:c r="AF465" s="11" t="n">
        <x:v>2116002</x:v>
      </x:c>
      <x:c r="AG465" s="11" t="n">
        <x:v>26018597</x:v>
      </x:c>
      <x:c r="AH465" s="11" t="n">
        <x:v>12782716</x:v>
      </x:c>
      <x:c r="AI465" s="11" t="n">
        <x:v>13235881</x:v>
      </x:c>
      <x:c r="AJ465" s="11" t="n">
        <x:v>695973</x:v>
      </x:c>
      <x:c r="AK465" s="11" t="n">
        <x:v>41120666</x:v>
      </x:c>
      <x:c r="AL465" s="11" t="n">
        <x:v>880000</x:v>
      </x:c>
      <x:c r="AM465" s="12" t="n">
        <x:v>0.978599568401932</x:v>
      </x:c>
      <x:c r="AN465" s="12" t="n">
        <x:v>0.01692513929613883</x:v>
      </x:c>
      <x:c r="AO465" s="11" t="n">
        <x:v>1658251</x:v>
      </x:c>
      <x:c r="AP465" s="11" t="n">
        <x:v>1377773</x:v>
      </x:c>
      <x:c r="AQ465" s="12" t="n">
        <x:v>0.8308591401422342</x:v>
      </x:c>
      <x:c r="AR465" s="11" t="n">
        <x:v>4722.871833084948</x:v>
      </x:c>
      <x:c r="AS465" s="11" t="n">
        <x:v>4400.703427719821</x:v>
      </x:c>
      <x:c r="AT465" s="11" t="n">
        <x:v>6511.068554396424</x:v>
      </x:c>
      <x:c r="AU465" s="11" t="n">
        <x:v>2874.3621460506706</x:v>
      </x:c>
      <x:c r="AV465" s="11" t="n">
        <x:v>327.8450074515648</x:v>
      </x:c>
      <x:c r="AW465" s="11" t="n">
        <x:v>2.0733953016298687</x:v>
      </x:c>
      <x:c r="AX465" s="12" t="n">
        <x:v>0.8549246598777696</x:v>
      </x:c>
      <x:c r="AY465" s="11" t="n">
        <x:v>4648.097865362712</x:v>
      </x:c>
      <x:c r="AZ465" s="11" t="n">
        <x:v>3546.5079302077975</x:v>
      </x:c>
      <x:c r="BA465" s="11" t="n">
        <x:v>3428.422456291105</x:v>
      </x:c>
      <x:c r="BB465" s="11" t="n">
        <x:v>2783.665107049771</x:v>
      </x:c>
      <x:c r="BC465" s="11" t="n">
        <x:v>5030.364110900993</x:v>
      </x:c>
      <x:c r="BD465" s="11" t="n">
        <x:v>2437.8724475115623</x:v>
      </x:c>
      <x:c r="BE465" s="11" t="n">
        <x:v>2420.45</x:v>
      </x:c>
      <x:c r="BF465" s="11" t="n">
        <x:v>1604.3462673977224</x:v>
      </x:c>
      <x:c r="BG465" s="11" t="n">
        <x:v>224.31236112962716</x:v>
      </x:c>
      <x:c r="BH465" s="11" t="n">
        <x:v>518.5374381567245</x:v>
      </x:c>
      <x:c r="BI465" s="11" t="n">
        <x:v>2.204313821553219</x:v>
      </x:c>
      <x:c r="BJ465" s="11" t="n">
        <x:v>1.7099330852451193</x:v>
      </x:c>
      <x:c r="BK465" s="12" t="n">
        <x:v>0.030042455998363887</x:v>
      </x:c>
      <x:c r="BL465" s="12" t="n">
        <x:v>0.02529861000232605</x:v>
      </x:c>
      <x:c r="BM465" s="12" t="n">
        <x:v>0.9786113537119745</x:v>
      </x:c>
      <x:c r="BN465" s="12" t="n">
        <x:v>0.9815511712696461</x:v>
      </x:c>
      <x:c r="BO465" s="12" t="n">
        <x:v>0.9039920521842442</x:v>
      </x:c>
      <x:c r="BP465" s="12" t="n">
        <x:v>0.8619101997275483</x:v>
      </x:c>
      <x:c r="BQ465" s="12" t="n">
        <x:v>0.9333160528846489</x:v>
      </x:c>
      <x:c r="BR465" s="12" t="n">
        <x:v>0.9623635142836453</x:v>
      </x:c>
      <x:c r="BS465" s="12" t="n">
        <x:v>0.20869205825466772</x:v>
      </x:c>
      <x:c r="BT465" s="12" t="n">
        <x:v>0.19976549769108282</x:v>
      </x:c>
      <x:c r="BU465" s="11" t="n">
        <x:v>0</x:v>
      </x:c>
      <x:c r="BV465" s="11" t="n">
        <x:v>820229</x:v>
      </x:c>
      <x:c r="BW465" s="11" t="n">
        <x:v>134755</x:v>
      </x:c>
      <x:c r="BX465" s="11" t="n">
        <x:v>140524</x:v>
      </x:c>
      <x:c r="BY465" s="11" t="n">
        <x:v>518879</x:v>
      </x:c>
      <x:c r="BZ465" s="11" t="n">
        <x:v>38</x:v>
      </x:c>
      <x:c r="CA465" s="11" t="n">
        <x:v>0</x:v>
      </x:c>
      <x:c r="CB465" s="11" t="n">
        <x:v>0</x:v>
      </x:c>
      <x:c r="CC465" s="11" t="n">
        <x:v>1153357</x:v>
      </x:c>
      <x:c r="CD465" s="11" t="n">
        <x:v>11060</x:v>
      </x:c>
      <x:c r="CE465" s="11" t="n">
        <x:v>92945</x:v>
      </x:c>
      <x:c r="CF465" s="11" t="n">
        <x:v>0</x:v>
      </x:c>
      <x:c r="CG465" s="11" t="n">
        <x:v>268122</x:v>
      </x:c>
      <x:c r="CH465" s="11" t="n">
        <x:v>161234</x:v>
      </x:c>
      <x:c r="CI465" s="11" t="n">
        <x:v>44968</x:v>
      </x:c>
      <x:c r="CJ465" s="11" t="n">
        <x:v>179745</x:v>
      </x:c>
      <x:c r="CK465" s="11" t="n">
        <x:v>81526</x:v>
      </x:c>
      <x:c r="CL465" s="11" t="n">
        <x:v>403929</x:v>
      </x:c>
      <x:c r="CM465" s="11" t="n">
        <x:v>0</x:v>
      </x:c>
      <x:c r="CN465" s="11" t="n">
        <x:v>0</x:v>
      </x:c>
      <x:c r="CO465" s="11" t="n">
        <x:v>0</x:v>
      </x:c>
      <x:c r="CP465" s="8"/>
      <x:c r="CQ465" s="8"/>
    </x:row>
    <x:row r="466">
      <x:c r="A466" s="8" t="str">
        <x:v>Merritt|2019</x:v>
      </x:c>
      <x:c r="B466" s="8" t="str">
        <x:v>merritt-c</x:v>
      </x:c>
      <x:c r="C466" s="8" t="str">
        <x:v>Merritt</x:v>
      </x:c>
      <x:c r="D466" s="8" t="str">
        <x:v>Merritt</x:v>
      </x:c>
      <x:c r="E466" s="8" t="str">
        <x:v>C</x:v>
      </x:c>
      <x:c r="F466" s="8" t="str">
        <x:v>TNR</x:v>
      </x:c>
      <x:c r="G466" s="9" t="n">
        <x:v>2019</x:v>
      </x:c>
      <x:c r="H466" s="10" t="n">
        <x:v>7722</x:v>
      </x:c>
      <x:c r="I466" s="8" t="str">
        <x:v>5,000 to 19,999</x:v>
      </x:c>
      <x:c r="J466" s="11" t="n">
        <x:v>16343515</x:v>
      </x:c>
      <x:c r="K466" s="11" t="n">
        <x:v>15703320</x:v>
      </x:c>
      <x:c r="L466" s="11" t="n">
        <x:v>640195</x:v>
      </x:c>
      <x:c r="M466" s="12" t="n">
        <x:v>0.03917119420149215</x:v>
      </x:c>
      <x:c r="N466" s="11" t="n">
        <x:v>9319596</x:v>
      </x:c>
      <x:c r="O466" s="11" t="n">
        <x:v>4624267</x:v>
      </x:c>
      <x:c r="P466" s="11" t="n">
        <x:v>1819401</x:v>
      </x:c>
      <x:c r="Q466" s="11" t="n">
        <x:v>580251</x:v>
      </x:c>
      <x:c r="R466" s="11" t="n">
        <x:v>13055246</x:v>
      </x:c>
      <x:c r="S466" s="11" t="n">
        <x:v>2352071</x:v>
      </x:c>
      <x:c r="T466" s="11" t="n">
        <x:v>19228864</x:v>
      </x:c>
      <x:c r="U466" s="11" t="n">
        <x:v>14880563</x:v>
      </x:c>
      <x:c r="V466" s="11" t="n">
        <x:v>7887093</x:v>
      </x:c>
      <x:c r="W466" s="11" t="n">
        <x:v>805968</x:v>
      </x:c>
      <x:c r="X466" s="11" t="n">
        <x:v>6797550</x:v>
      </x:c>
      <x:c r="Y466" s="11" t="n">
        <x:v>300000</x:v>
      </x:c>
      <x:c r="Z466" s="11" t="n">
        <x:v>443995</x:v>
      </x:c>
      <x:c r="AA466" s="11" t="n">
        <x:v>6541900</x:v>
      </x:c>
      <x:c r="AB466" s="11" t="n">
        <x:v>296003</x:v>
      </x:c>
      <x:c r="AC466" s="11" t="n">
        <x:v>739998</x:v>
      </x:c>
      <x:c r="AD466" s="11" t="n">
        <x:v>3673699</x:v>
      </x:c>
      <x:c r="AE466" s="11" t="n">
        <x:v>2769535</x:v>
      </x:c>
      <x:c r="AF466" s="11" t="n">
        <x:v>14694795</x:v>
      </x:c>
      <x:c r="AG466" s="11" t="n">
        <x:v>103122857</x:v>
      </x:c>
      <x:c r="AH466" s="11" t="n">
        <x:v>37402963</x:v>
      </x:c>
      <x:c r="AI466" s="11" t="n">
        <x:v>65719894</x:v>
      </x:c>
      <x:c r="AJ466" s="11" t="n">
        <x:v>3708912</x:v>
      </x:c>
      <x:c r="AK466" s="11" t="n">
        <x:v>7626259</x:v>
      </x:c>
      <x:c r="AL466" s="11" t="n">
        <x:v>0</x:v>
      </x:c>
      <x:c r="AM466" s="12" t="n">
        <x:v>1</x:v>
      </x:c>
      <x:c r="AN466" s="12" t="n">
        <x:v>0.4863343875417816</x:v>
      </x:c>
      <x:c r="AO466" s="11" t="n">
        <x:v>15336706</x:v>
      </x:c>
      <x:c r="AP466" s="11" t="n">
        <x:v>14131503</x:v>
      </x:c>
      <x:c r="AQ466" s="12" t="n">
        <x:v>0.9214170891715601</x:v>
      </x:c>
      <x:c r="AR466" s="11" t="n">
        <x:v>2116.487308987309</x:v>
      </x:c>
      <x:c r="AS466" s="11" t="n">
        <x:v>2033.5819735819737</x:v>
      </x:c>
      <x:c r="AT466" s="11" t="n">
        <x:v>1021.3795648795649</x:v>
      </x:c>
      <x:c r="AU466" s="11" t="n">
        <x:v>104.37296037296038</x:v>
      </x:c>
      <x:c r="AV466" s="11" t="n">
        <x:v>847.1768971768972</x:v>
      </x:c>
      <x:c r="AW466" s="11" t="n">
        <x:v>1.2922134733746298</x:v>
      </x:c>
      <x:c r="AX466" s="12" t="n">
        <x:v>0.7538818504183386</x:v>
      </x:c>
      <x:c r="AY466" s="11"/>
      <x:c r="AZ466" s="11"/>
      <x:c r="BA466" s="11"/>
      <x:c r="BB466" s="11"/>
      <x:c r="BC466" s="11"/>
      <x:c r="BD466" s="11"/>
      <x:c r="BE466" s="11"/>
      <x:c r="BF466" s="11"/>
      <x:c r="BG466" s="11"/>
      <x:c r="BH466" s="11"/>
      <x:c r="BI466" s="11"/>
      <x:c r="BJ466" s="11"/>
      <x:c r="BK466" s="12"/>
      <x:c r="BL466" s="12"/>
      <x:c r="BM466" s="12"/>
      <x:c r="BN466" s="12"/>
      <x:c r="BO466" s="12"/>
      <x:c r="BP466" s="12"/>
      <x:c r="BQ466" s="12"/>
      <x:c r="BR466" s="12"/>
      <x:c r="BS466" s="12"/>
      <x:c r="BT466" s="12"/>
      <x:c r="BU466" s="11" t="n">
        <x:v>0</x:v>
      </x:c>
      <x:c r="BV466" s="11" t="n">
        <x:v>784489</x:v>
      </x:c>
      <x:c r="BW466" s="11" t="n">
        <x:v>1034912</x:v>
      </x:c>
      <x:c r="BX466" s="11" t="n">
        <x:v>368535</x:v>
      </x:c>
      <x:c r="BY466" s="11" t="n">
        <x:v>0</x:v>
      </x:c>
      <x:c r="BZ466" s="11" t="n">
        <x:v>0</x:v>
      </x:c>
      <x:c r="CA466" s="11" t="n">
        <x:v>0</x:v>
      </x:c>
      <x:c r="CB466" s="11" t="n">
        <x:v>211716</x:v>
      </x:c>
      <x:c r="CC466" s="11" t="n">
        <x:v>2374818</x:v>
      </x:c>
      <x:c r="CD466" s="11" t="n">
        <x:v>3310691</x:v>
      </x:c>
      <x:c r="CE466" s="11" t="n">
        <x:v>610599</x:v>
      </x:c>
      <x:c r="CF466" s="11" t="n">
        <x:v>79716</x:v>
      </x:c>
      <x:c r="CG466" s="11" t="n">
        <x:v>591879</x:v>
      </x:c>
      <x:c r="CH466" s="11" t="n">
        <x:v>1744257</x:v>
      </x:c>
      <x:c r="CI466" s="11" t="n">
        <x:v>2778910</x:v>
      </x:c>
      <x:c r="CJ466" s="11" t="n">
        <x:v>861844</x:v>
      </x:c>
      <x:c r="CK466" s="11" t="n">
        <x:v>707336</x:v>
      </x:c>
      <x:c r="CL466" s="11" t="n">
        <x:v>0</x:v>
      </x:c>
      <x:c r="CM466" s="11"/>
      <x:c r="CN466" s="11" t="n">
        <x:v>291199</x:v>
      </x:c>
      <x:c r="CO466" s="11" t="n">
        <x:v>0</x:v>
      </x:c>
      <x:c r="CP466" s="8"/>
      <x:c r="CQ466" s="8"/>
    </x:row>
    <x:row r="467">
      <x:c r="A467" s="8" t="str">
        <x:v>Merritt|2020</x:v>
      </x:c>
      <x:c r="B467" s="8" t="str">
        <x:v>merritt-c</x:v>
      </x:c>
      <x:c r="C467" s="8" t="str">
        <x:v>Merritt</x:v>
      </x:c>
      <x:c r="D467" s="8" t="str">
        <x:v>Merritt</x:v>
      </x:c>
      <x:c r="E467" s="8" t="str">
        <x:v>C</x:v>
      </x:c>
      <x:c r="F467" s="8" t="str">
        <x:v>TNR</x:v>
      </x:c>
      <x:c r="G467" s="9" t="n">
        <x:v>2020</x:v>
      </x:c>
      <x:c r="H467" s="10" t="n">
        <x:v>7805</x:v>
      </x:c>
      <x:c r="I467" s="8" t="str">
        <x:v>5,000 to 19,999</x:v>
      </x:c>
      <x:c r="J467" s="11" t="n">
        <x:v>18593719</x:v>
      </x:c>
      <x:c r="K467" s="11" t="n">
        <x:v>16297065</x:v>
      </x:c>
      <x:c r="L467" s="11" t="n">
        <x:v>2296654</x:v>
      </x:c>
      <x:c r="M467" s="12" t="n">
        <x:v>0.12351773198250442</x:v>
      </x:c>
      <x:c r="N467" s="11" t="n">
        <x:v>9491310</x:v>
      </x:c>
      <x:c r="O467" s="11" t="n">
        <x:v>4223998</x:v>
      </x:c>
      <x:c r="P467" s="11" t="n">
        <x:v>4403434</x:v>
      </x:c>
      <x:c r="Q467" s="11" t="n">
        <x:v>474977</x:v>
      </x:c>
      <x:c r="R467" s="11" t="n">
        <x:v>13696052</x:v>
      </x:c>
      <x:c r="S467" s="11" t="n">
        <x:v>2334467</x:v>
      </x:c>
      <x:c r="T467" s="11" t="n">
        <x:v>18767818</x:v>
      </x:c>
      <x:c r="U467" s="11" t="n">
        <x:v>16121146</x:v>
      </x:c>
      <x:c r="V467" s="11" t="n">
        <x:v>6364679</x:v>
      </x:c>
      <x:c r="W467" s="11" t="n">
        <x:v>13262</x:v>
      </x:c>
      <x:c r="X467" s="11" t="n">
        <x:v>6541900</x:v>
      </x:c>
      <x:c r="Y467" s="11" t="n">
        <x:v>273165</x:v>
      </x:c>
      <x:c r="Z467" s="11" t="n">
        <x:v>513750</x:v>
      </x:c>
      <x:c r="AA467" s="11" t="n">
        <x:v>6172741</x:v>
      </x:c>
      <x:c r="AB467" s="11" t="n">
        <x:v>266546</x:v>
      </x:c>
      <x:c r="AC467" s="11" t="n">
        <x:v>780296</x:v>
      </x:c>
      <x:c r="AD467" s="11" t="n">
        <x:v>3594721</x:v>
      </x:c>
      <x:c r="AE467" s="11" t="n">
        <x:v>2639654</x:v>
      </x:c>
      <x:c r="AF467" s="11" t="n">
        <x:v>14378883</x:v>
      </x:c>
      <x:c r="AG467" s="11" t="n">
        <x:v>109011594</x:v>
      </x:c>
      <x:c r="AH467" s="11" t="n">
        <x:v>39475712</x:v>
      </x:c>
      <x:c r="AI467" s="11" t="n">
        <x:v>69535882</x:v>
      </x:c>
      <x:c r="AJ467" s="11" t="n">
        <x:v>6150454</x:v>
      </x:c>
      <x:c r="AK467" s="11" t="n">
        <x:v>9185963</x:v>
      </x:c>
      <x:c r="AL467" s="11" t="n">
        <x:v>0</x:v>
      </x:c>
      <x:c r="AM467" s="12" t="n">
        <x:v>1</x:v>
      </x:c>
      <x:c r="AN467" s="12" t="n">
        <x:v>0.6695491806357156</x:v>
      </x:c>
      <x:c r="AO467" s="11" t="n">
        <x:v>14204176</x:v>
      </x:c>
      <x:c r="AP467" s="11" t="n">
        <x:v>13061234</x:v>
      </x:c>
      <x:c r="AQ467" s="12" t="n">
        <x:v>0.9195347903320826</x:v>
      </x:c>
      <x:c r="AR467" s="11" t="n">
        <x:v>2382.2830237027547</x:v>
      </x:c>
      <x:c r="AS467" s="11" t="n">
        <x:v>2088.0288276745678</x:v>
      </x:c>
      <x:c r="AT467" s="11" t="n">
        <x:v>815.4617552850737</x:v>
      </x:c>
      <x:c r="AU467" s="11" t="n">
        <x:v>1.699167200512492</x:v>
      </x:c>
      <x:c r="AV467" s="11" t="n">
        <x:v>790.8700832799487</x:v>
      </x:c>
      <x:c r="AW467" s="11" t="n">
        <x:v>1.1641739365179125</x:v>
      </x:c>
      <x:c r="AX467" s="12" t="n">
        <x:v>0.7343140121305659</x:v>
      </x:c>
      <x:c r="AY467" s="11"/>
      <x:c r="AZ467" s="11"/>
      <x:c r="BA467" s="11"/>
      <x:c r="BB467" s="11"/>
      <x:c r="BC467" s="11"/>
      <x:c r="BD467" s="11"/>
      <x:c r="BE467" s="11"/>
      <x:c r="BF467" s="11"/>
      <x:c r="BG467" s="11"/>
      <x:c r="BH467" s="11"/>
      <x:c r="BI467" s="11"/>
      <x:c r="BJ467" s="11"/>
      <x:c r="BK467" s="12"/>
      <x:c r="BL467" s="12"/>
      <x:c r="BM467" s="12"/>
      <x:c r="BN467" s="12"/>
      <x:c r="BO467" s="12"/>
      <x:c r="BP467" s="12"/>
      <x:c r="BQ467" s="12"/>
      <x:c r="BR467" s="12"/>
      <x:c r="BS467" s="12"/>
      <x:c r="BT467" s="12"/>
      <x:c r="BU467" s="11" t="n">
        <x:v>0</x:v>
      </x:c>
      <x:c r="BV467" s="11" t="n">
        <x:v>3581940</x:v>
      </x:c>
      <x:c r="BW467" s="11" t="n">
        <x:v>821494</x:v>
      </x:c>
      <x:c r="BX467" s="11" t="n">
        <x:v>277132</x:v>
      </x:c>
      <x:c r="BY467" s="11" t="n">
        <x:v>0</x:v>
      </x:c>
      <x:c r="BZ467" s="11" t="n">
        <x:v>0</x:v>
      </x:c>
      <x:c r="CA467" s="11" t="n">
        <x:v>2675</x:v>
      </x:c>
      <x:c r="CB467" s="11" t="n">
        <x:v>195170</x:v>
      </x:c>
      <x:c r="CC467" s="11" t="n">
        <x:v>2496565</x:v>
      </x:c>
      <x:c r="CD467" s="11" t="n">
        <x:v>4087078</x:v>
      </x:c>
      <x:c r="CE467" s="11" t="n">
        <x:v>589569</x:v>
      </x:c>
      <x:c r="CF467" s="11" t="n">
        <x:v>100005</x:v>
      </x:c>
      <x:c r="CG467" s="11" t="n">
        <x:v>746418</x:v>
      </x:c>
      <x:c r="CH467" s="11" t="n">
        <x:v>1822510</x:v>
      </x:c>
      <x:c r="CI467" s="11" t="n">
        <x:v>2347232</x:v>
      </x:c>
      <x:c r="CJ467" s="11" t="n">
        <x:v>1000405</x:v>
      </x:c>
      <x:c r="CK467" s="11" t="n">
        <x:v>772816</x:v>
      </x:c>
      <x:c r="CL467" s="11" t="n">
        <x:v>0</x:v>
      </x:c>
      <x:c r="CM467" s="11"/>
      <x:c r="CN467" s="11" t="n">
        <x:v>0</x:v>
      </x:c>
      <x:c r="CO467" s="11" t="n">
        <x:v>0</x:v>
      </x:c>
      <x:c r="CP467" s="8"/>
      <x:c r="CQ467" s="8"/>
    </x:row>
    <x:row r="468">
      <x:c r="A468" s="8" t="str">
        <x:v>Merritt|2021</x:v>
      </x:c>
      <x:c r="B468" s="8" t="str">
        <x:v>merritt-c</x:v>
      </x:c>
      <x:c r="C468" s="8" t="str">
        <x:v>Merritt</x:v>
      </x:c>
      <x:c r="D468" s="8" t="str">
        <x:v>Merritt</x:v>
      </x:c>
      <x:c r="E468" s="8" t="str">
        <x:v>C</x:v>
      </x:c>
      <x:c r="F468" s="8" t="str">
        <x:v>TNR</x:v>
      </x:c>
      <x:c r="G468" s="9" t="n">
        <x:v>2021</x:v>
      </x:c>
      <x:c r="H468" s="10" t="n">
        <x:v>7606</x:v>
      </x:c>
      <x:c r="I468" s="8" t="str">
        <x:v>5,000 to 19,999</x:v>
      </x:c>
      <x:c r="J468" s="11" t="n">
        <x:v>23244589</x:v>
      </x:c>
      <x:c r="K468" s="11" t="n">
        <x:v>22428597</x:v>
      </x:c>
      <x:c r="L468" s="11" t="n">
        <x:v>815992</x:v>
      </x:c>
      <x:c r="M468" s="12" t="n">
        <x:v>0.03510460004261637</x:v>
      </x:c>
      <x:c r="N468" s="11" t="n">
        <x:v>9994906</x:v>
      </x:c>
      <x:c r="O468" s="11" t="n">
        <x:v>5252200</x:v>
      </x:c>
      <x:c r="P468" s="11" t="n">
        <x:v>7293731</x:v>
      </x:c>
      <x:c r="Q468" s="11" t="n">
        <x:v>703752</x:v>
      </x:c>
      <x:c r="R468" s="11" t="n">
        <x:v>19611153</x:v>
      </x:c>
      <x:c r="S468" s="11" t="n">
        <x:v>2530121</x:v>
      </x:c>
      <x:c r="T468" s="11" t="n">
        <x:v>20181628</x:v>
      </x:c>
      <x:c r="U468" s="11" t="n">
        <x:v>21129105</x:v>
      </x:c>
      <x:c r="V468" s="11" t="n">
        <x:v>6317317</x:v>
      </x:c>
      <x:c r="W468" s="11" t="n">
        <x:v>13320</x:v>
      </x:c>
      <x:c r="X468" s="11" t="n">
        <x:v>6172741</x:v>
      </x:c>
      <x:c r="Y468" s="11" t="n">
        <x:v>2486910</x:v>
      </x:c>
      <x:c r="Z468" s="11" t="n">
        <x:v>552541</x:v>
      </x:c>
      <x:c r="AA468" s="11" t="n">
        <x:v>7960942</x:v>
      </x:c>
      <x:c r="AB468" s="11" t="n">
        <x:v>287323</x:v>
      </x:c>
      <x:c r="AC468" s="11" t="n">
        <x:v>839864</x:v>
      </x:c>
      <x:c r="AD468" s="11" t="n">
        <x:v>4014654</x:v>
      </x:c>
      <x:c r="AE468" s="11" t="n">
        <x:v>3174790</x:v>
      </x:c>
      <x:c r="AF468" s="11" t="n">
        <x:v>16058615</x:v>
      </x:c>
      <x:c r="AG468" s="11" t="n">
        <x:v>111531202</x:v>
      </x:c>
      <x:c r="AH468" s="11" t="n">
        <x:v>41195830</x:v>
      </x:c>
      <x:c r="AI468" s="11" t="n">
        <x:v>70335372</x:v>
      </x:c>
      <x:c r="AJ468" s="11" t="n">
        <x:v>3933604</x:v>
      </x:c>
      <x:c r="AK468" s="11" t="n">
        <x:v>8120401</x:v>
      </x:c>
      <x:c r="AL468" s="11" t="n">
        <x:v>0</x:v>
      </x:c>
      <x:c r="AM468" s="12" t="n">
        <x:v>1</x:v>
      </x:c>
      <x:c r="AN468" s="12" t="n">
        <x:v>0.4844100679264485</x:v>
      </x:c>
      <x:c r="AO468" s="11" t="n">
        <x:v>16057017</x:v>
      </x:c>
      <x:c r="AP468" s="11" t="n">
        <x:v>15113175</x:v>
      </x:c>
      <x:c r="AQ468" s="12" t="n">
        <x:v>0.9412193435430752</x:v>
      </x:c>
      <x:c r="AR468" s="11" t="n">
        <x:v>3056.085853273731</x:v>
      </x:c>
      <x:c r="AS468" s="11" t="n">
        <x:v>2948.803181698659</x:v>
      </x:c>
      <x:c r="AT468" s="11" t="n">
        <x:v>830.5702077307388</x:v>
      </x:c>
      <x:c r="AU468" s="11" t="n">
        <x:v>1.7512490139363661</x:v>
      </x:c>
      <x:c r="AV468" s="11" t="n">
        <x:v>1046.6660531159612</x:v>
      </x:c>
      <x:c r="AW468" s="11" t="n">
        <x:v>0.955157731479871</x:v>
      </x:c>
      <x:c r="AX468" s="12" t="n">
        <x:v>0.7908004027246184</x:v>
      </x:c>
      <x:c r="AY468" s="11"/>
      <x:c r="AZ468" s="11"/>
      <x:c r="BA468" s="11"/>
      <x:c r="BB468" s="11"/>
      <x:c r="BC468" s="11"/>
      <x:c r="BD468" s="11"/>
      <x:c r="BE468" s="11"/>
      <x:c r="BF468" s="11"/>
      <x:c r="BG468" s="11"/>
      <x:c r="BH468" s="11"/>
      <x:c r="BI468" s="11"/>
      <x:c r="BJ468" s="11"/>
      <x:c r="BK468" s="12"/>
      <x:c r="BL468" s="12"/>
      <x:c r="BM468" s="12"/>
      <x:c r="BN468" s="12"/>
      <x:c r="BO468" s="12"/>
      <x:c r="BP468" s="12"/>
      <x:c r="BQ468" s="12"/>
      <x:c r="BR468" s="12"/>
      <x:c r="BS468" s="12"/>
      <x:c r="BT468" s="12"/>
      <x:c r="BU468" s="11" t="n">
        <x:v>0</x:v>
      </x:c>
      <x:c r="BV468" s="11" t="n">
        <x:v>6244173</x:v>
      </x:c>
      <x:c r="BW468" s="11" t="n">
        <x:v>1049558</x:v>
      </x:c>
      <x:c r="BX468" s="11" t="n">
        <x:v>210962</x:v>
      </x:c>
      <x:c r="BY468" s="11" t="n">
        <x:v>0</x:v>
      </x:c>
      <x:c r="BZ468" s="11" t="n">
        <x:v>0</x:v>
      </x:c>
      <x:c r="CA468" s="11" t="n">
        <x:v>50000</x:v>
      </x:c>
      <x:c r="CB468" s="11" t="n">
        <x:v>442790</x:v>
      </x:c>
      <x:c r="CC468" s="11" t="n">
        <x:v>2392550</x:v>
      </x:c>
      <x:c r="CD468" s="11" t="n">
        <x:v>8907993</x:v>
      </x:c>
      <x:c r="CE468" s="11" t="n">
        <x:v>620345</x:v>
      </x:c>
      <x:c r="CF468" s="11" t="n">
        <x:v>77440</x:v>
      </x:c>
      <x:c r="CG468" s="11" t="n">
        <x:v>784324</x:v>
      </x:c>
      <x:c r="CH468" s="11" t="n">
        <x:v>2101617</x:v>
      </x:c>
      <x:c r="CI468" s="11" t="n">
        <x:v>2634260</x:v>
      </x:c>
      <x:c r="CJ468" s="11" t="n">
        <x:v>1070659</x:v>
      </x:c>
      <x:c r="CK468" s="11" t="n">
        <x:v>830295</x:v>
      </x:c>
      <x:c r="CL468" s="11" t="n">
        <x:v>0</x:v>
      </x:c>
      <x:c r="CM468" s="11"/>
      <x:c r="CN468" s="11" t="n">
        <x:v>478993</x:v>
      </x:c>
      <x:c r="CO468" s="11" t="n">
        <x:v>0</x:v>
      </x:c>
      <x:c r="CP468" s="8"/>
      <x:c r="CQ468" s="8"/>
    </x:row>
    <x:row r="469">
      <x:c r="A469" s="8" t="str">
        <x:v>Merritt|2022</x:v>
      </x:c>
      <x:c r="B469" s="8" t="str">
        <x:v>merritt-c</x:v>
      </x:c>
      <x:c r="C469" s="8" t="str">
        <x:v>Merritt</x:v>
      </x:c>
      <x:c r="D469" s="8" t="str">
        <x:v>Merritt</x:v>
      </x:c>
      <x:c r="E469" s="8" t="str">
        <x:v>C</x:v>
      </x:c>
      <x:c r="F469" s="8" t="str">
        <x:v>TNR</x:v>
      </x:c>
      <x:c r="G469" s="9" t="n">
        <x:v>2022</x:v>
      </x:c>
      <x:c r="H469" s="10" t="n">
        <x:v>5142</x:v>
      </x:c>
      <x:c r="I469" s="8" t="str">
        <x:v>5,000 to 19,999</x:v>
      </x:c>
      <x:c r="J469" s="11" t="n">
        <x:v>31027106</x:v>
      </x:c>
      <x:c r="K469" s="11" t="n">
        <x:v>25004995</x:v>
      </x:c>
      <x:c r="L469" s="11" t="n">
        <x:v>6022111</x:v>
      </x:c>
      <x:c r="M469" s="12" t="n">
        <x:v>0.19409193367889355</x:v>
      </x:c>
      <x:c r="N469" s="11" t="n">
        <x:v>10887332</x:v>
      </x:c>
      <x:c r="O469" s="11" t="n">
        <x:v>6232742</x:v>
      </x:c>
      <x:c r="P469" s="11" t="n">
        <x:v>10689570</x:v>
      </x:c>
      <x:c r="Q469" s="11" t="n">
        <x:v>3217462</x:v>
      </x:c>
      <x:c r="R469" s="11" t="n">
        <x:v>22249301</x:v>
      </x:c>
      <x:c r="S469" s="11" t="n">
        <x:v>2411590</x:v>
      </x:c>
      <x:c r="T469" s="11" t="n">
        <x:v>39116940</x:v>
      </x:c>
      <x:c r="U469" s="11" t="n">
        <x:v>42890306</x:v>
      </x:c>
      <x:c r="V469" s="11" t="n">
        <x:v>7980820</x:v>
      </x:c>
      <x:c r="W469" s="11" t="n">
        <x:v>13583</x:v>
      </x:c>
      <x:c r="X469" s="11" t="n">
        <x:v>7960943</x:v>
      </x:c>
      <x:c r="Y469" s="11" t="n">
        <x:v>807090</x:v>
      </x:c>
      <x:c r="Z469" s="11" t="n">
        <x:v>684356</x:v>
      </x:c>
      <x:c r="AA469" s="11" t="n">
        <x:v>7919210</x:v>
      </x:c>
      <x:c r="AB469" s="11" t="n">
        <x:v>344104</x:v>
      </x:c>
      <x:c r="AC469" s="11" t="n">
        <x:v>1028460</x:v>
      </x:c>
      <x:c r="AD469" s="11" t="n">
        <x:v>4580224</x:v>
      </x:c>
      <x:c r="AE469" s="11" t="n">
        <x:v>2875681</x:v>
      </x:c>
      <x:c r="AF469" s="11" t="n">
        <x:v>18320896</x:v>
      </x:c>
      <x:c r="AG469" s="11" t="n">
        <x:v>118327980</x:v>
      </x:c>
      <x:c r="AH469" s="11" t="n">
        <x:v>43605833</x:v>
      </x:c>
      <x:c r="AI469" s="11" t="n">
        <x:v>74722147</x:v>
      </x:c>
      <x:c r="AJ469" s="11" t="n">
        <x:v>6798743</x:v>
      </x:c>
      <x:c r="AK469" s="11" t="n">
        <x:v>11299009</x:v>
      </x:c>
      <x:c r="AL469" s="11" t="n">
        <x:v>0</x:v>
      </x:c>
      <x:c r="AM469" s="12" t="n">
        <x:v>1</x:v>
      </x:c>
      <x:c r="AN469" s="12" t="n">
        <x:v>0.6017114421273583</x:v>
      </x:c>
      <x:c r="AO469" s="11" t="n">
        <x:v>17032164</x:v>
      </x:c>
      <x:c r="AP469" s="11" t="n">
        <x:v>15783579</x:v>
      </x:c>
      <x:c r="AQ469" s="12" t="n">
        <x:v>0.9266925212791516</x:v>
      </x:c>
      <x:c r="AR469" s="11" t="n">
        <x:v>6034.054064566317</x:v>
      </x:c>
      <x:c r="AS469" s="11" t="n">
        <x:v>4862.892843251653</x:v>
      </x:c>
      <x:c r="AT469" s="11" t="n">
        <x:v>1552.0847919097628</x:v>
      </x:c>
      <x:c r="AU469" s="11" t="n">
        <x:v>2.641579152080902</x:v>
      </x:c>
      <x:c r="AV469" s="11" t="n">
        <x:v>1540.1030727343446</x:v>
      </x:c>
      <x:c r="AW469" s="11" t="n">
        <x:v>0.9120228706225598</x:v>
      </x:c>
      <x:c r="AX469" s="12" t="n">
        <x:v>0.6278472406589721</x:v>
      </x:c>
      <x:c r="AY469" s="11"/>
      <x:c r="AZ469" s="11"/>
      <x:c r="BA469" s="11"/>
      <x:c r="BB469" s="11"/>
      <x:c r="BC469" s="11"/>
      <x:c r="BD469" s="11"/>
      <x:c r="BE469" s="11"/>
      <x:c r="BF469" s="11"/>
      <x:c r="BG469" s="11"/>
      <x:c r="BH469" s="11"/>
      <x:c r="BI469" s="11"/>
      <x:c r="BJ469" s="11"/>
      <x:c r="BK469" s="12"/>
      <x:c r="BL469" s="12"/>
      <x:c r="BM469" s="12"/>
      <x:c r="BN469" s="12"/>
      <x:c r="BO469" s="12"/>
      <x:c r="BP469" s="12"/>
      <x:c r="BQ469" s="12"/>
      <x:c r="BR469" s="12"/>
      <x:c r="BS469" s="12"/>
      <x:c r="BT469" s="12"/>
      <x:c r="BU469" s="11" t="n">
        <x:v>122907</x:v>
      </x:c>
      <x:c r="BV469" s="11" t="n">
        <x:v>9860402</x:v>
      </x:c>
      <x:c r="BW469" s="11" t="n">
        <x:v>706261</x:v>
      </x:c>
      <x:c r="BX469" s="11" t="n">
        <x:v>898253</x:v>
      </x:c>
      <x:c r="BY469" s="11" t="n">
        <x:v>0</x:v>
      </x:c>
      <x:c r="BZ469" s="11" t="n">
        <x:v>62998</x:v>
      </x:c>
      <x:c r="CA469" s="11" t="n">
        <x:v>2256211</x:v>
      </x:c>
      <x:c r="CB469" s="11" t="n">
        <x:v>0</x:v>
      </x:c>
      <x:c r="CC469" s="11" t="n">
        <x:v>3094344</x:v>
      </x:c>
      <x:c r="CD469" s="11" t="n">
        <x:v>10648802</x:v>
      </x:c>
      <x:c r="CE469" s="11" t="n">
        <x:v>579907</x:v>
      </x:c>
      <x:c r="CF469" s="11" t="n">
        <x:v>50266</x:v>
      </x:c>
      <x:c r="CG469" s="11" t="n">
        <x:v>764380</x:v>
      </x:c>
      <x:c r="CH469" s="11" t="n">
        <x:v>2503559</x:v>
      </x:c>
      <x:c r="CI469" s="11" t="n">
        <x:v>2897630</x:v>
      </x:c>
      <x:c r="CJ469" s="11" t="n">
        <x:v>921958</x:v>
      </x:c>
      <x:c r="CK469" s="11" t="n">
        <x:v>1089428</x:v>
      </x:c>
      <x:c r="CL469" s="11" t="n">
        <x:v>43131</x:v>
      </x:c>
      <x:c r="CM469" s="11"/>
      <x:c r="CN469" s="11" t="n">
        <x:v>0</x:v>
      </x:c>
      <x:c r="CO469" s="11" t="n">
        <x:v>0</x:v>
      </x:c>
      <x:c r="CP469" s="8"/>
      <x:c r="CQ469" s="8"/>
    </x:row>
    <x:row r="470">
      <x:c r="A470" s="8" t="str">
        <x:v>Merritt|2023</x:v>
      </x:c>
      <x:c r="B470" s="8" t="str">
        <x:v>merritt-c</x:v>
      </x:c>
      <x:c r="C470" s="8" t="str">
        <x:v>Merritt</x:v>
      </x:c>
      <x:c r="D470" s="8" t="str">
        <x:v>Merritt</x:v>
      </x:c>
      <x:c r="E470" s="8" t="str">
        <x:v>C</x:v>
      </x:c>
      <x:c r="F470" s="8" t="str">
        <x:v>TNR</x:v>
      </x:c>
      <x:c r="G470" s="9" t="n">
        <x:v>2023</x:v>
      </x:c>
      <x:c r="H470" s="10" t="n">
        <x:v>7809</x:v>
      </x:c>
      <x:c r="I470" s="8" t="str">
        <x:v>5,000 to 19,999</x:v>
      </x:c>
      <x:c r="J470" s="11" t="n">
        <x:v>43422363</x:v>
      </x:c>
      <x:c r="K470" s="11" t="n">
        <x:v>24845749</x:v>
      </x:c>
      <x:c r="L470" s="11" t="n">
        <x:v>18576614</x:v>
      </x:c>
      <x:c r="M470" s="12" t="n">
        <x:v>0.42781213910445176</x:v>
      </x:c>
      <x:c r="N470" s="11" t="n">
        <x:v>12016336</x:v>
      </x:c>
      <x:c r="O470" s="11" t="n">
        <x:v>6562408</x:v>
      </x:c>
      <x:c r="P470" s="11" t="n">
        <x:v>17648648</x:v>
      </x:c>
      <x:c r="Q470" s="11" t="n">
        <x:v>7194971</x:v>
      </x:c>
      <x:c r="R470" s="11" t="n">
        <x:v>21260265</x:v>
      </x:c>
      <x:c r="S470" s="11" t="n">
        <x:v>3167571</x:v>
      </x:c>
      <x:c r="T470" s="11" t="n">
        <x:v>54611112</x:v>
      </x:c>
      <x:c r="U470" s="11" t="n">
        <x:v>54932822</x:v>
      </x:c>
      <x:c r="V470" s="11" t="n">
        <x:v>9117728</x:v>
      </x:c>
      <x:c r="W470" s="11" t="n">
        <x:v>14250</x:v>
      </x:c>
      <x:c r="X470" s="11" t="n">
        <x:v>7919210</x:v>
      </x:c>
      <x:c r="Y470" s="11" t="n">
        <x:v>1034148</x:v>
      </x:c>
      <x:c r="Z470" s="11" t="n">
        <x:v>759967</x:v>
      </x:c>
      <x:c r="AA470" s="11" t="n">
        <x:v>8020273</x:v>
      </x:c>
      <x:c r="AB470" s="11" t="n">
        <x:v>417913</x:v>
      </x:c>
      <x:c r="AC470" s="11" t="n">
        <x:v>1177880</x:v>
      </x:c>
      <x:c r="AD470" s="11" t="n">
        <x:v>5316911</x:v>
      </x:c>
      <x:c r="AE470" s="11" t="n">
        <x:v>3444818</x:v>
      </x:c>
      <x:c r="AF470" s="11" t="n">
        <x:v>21267642</x:v>
      </x:c>
      <x:c r="AG470" s="11" t="n">
        <x:v>138962459</x:v>
      </x:c>
      <x:c r="AH470" s="11" t="n">
        <x:v>46773409</x:v>
      </x:c>
      <x:c r="AI470" s="11" t="n">
        <x:v>92189050</x:v>
      </x:c>
      <x:c r="AJ470" s="11" t="n">
        <x:v>20758429</x:v>
      </x:c>
      <x:c r="AK470" s="11" t="n">
        <x:v>16336023</x:v>
      </x:c>
      <x:c r="AL470" s="11" t="n">
        <x:v>0</x:v>
      </x:c>
      <x:c r="AM470" s="12" t="n">
        <x:v>1</x:v>
      </x:c>
      <x:c r="AN470" s="12" t="n">
        <x:v>1.2707149714468449</x:v>
      </x:c>
      <x:c r="AO470" s="11" t="n">
        <x:v>18792271</x:v>
      </x:c>
      <x:c r="AP470" s="11" t="n">
        <x:v>17898560</x:v>
      </x:c>
      <x:c r="AQ470" s="12" t="n">
        <x:v>0.9524426292064434</x:v>
      </x:c>
      <x:c r="AR470" s="11" t="n">
        <x:v>5560.55359200922</x:v>
      </x:c>
      <x:c r="AS470" s="11" t="n">
        <x:v>3181.6812652068124</x:v>
      </x:c>
      <x:c r="AT470" s="11" t="n">
        <x:v>1167.59226533487</x:v>
      </x:c>
      <x:c r="AU470" s="11" t="n">
        <x:v>1.8248175182481752</x:v>
      </x:c>
      <x:c r="AV470" s="11" t="n">
        <x:v>1027.0550646689717</x:v>
      </x:c>
      <x:c r="AW470" s="11" t="n">
        <x:v>0.9941435741276864</x:v>
      </x:c>
      <x:c r="AX470" s="12" t="n">
        <x:v>0.6478983755793543</x:v>
      </x:c>
      <x:c r="AY470" s="11"/>
      <x:c r="AZ470" s="11"/>
      <x:c r="BA470" s="11"/>
      <x:c r="BB470" s="11"/>
      <x:c r="BC470" s="11"/>
      <x:c r="BD470" s="11"/>
      <x:c r="BE470" s="11"/>
      <x:c r="BF470" s="11"/>
      <x:c r="BG470" s="11"/>
      <x:c r="BH470" s="11"/>
      <x:c r="BI470" s="11"/>
      <x:c r="BJ470" s="11"/>
      <x:c r="BK470" s="12"/>
      <x:c r="BL470" s="12"/>
      <x:c r="BM470" s="12"/>
      <x:c r="BN470" s="12"/>
      <x:c r="BO470" s="12"/>
      <x:c r="BP470" s="12"/>
      <x:c r="BQ470" s="12"/>
      <x:c r="BR470" s="12"/>
      <x:c r="BS470" s="12"/>
      <x:c r="BT470" s="12"/>
      <x:c r="BU470" s="11" t="n">
        <x:v>0</x:v>
      </x:c>
      <x:c r="BV470" s="11" t="n">
        <x:v>16437307</x:v>
      </x:c>
      <x:c r="BW470" s="11" t="n">
        <x:v>1211341</x:v>
      </x:c>
      <x:c r="BX470" s="11" t="n">
        <x:v>2538864</x:v>
      </x:c>
      <x:c r="BY470" s="11" t="n">
        <x:v>0</x:v>
      </x:c>
      <x:c r="BZ470" s="11" t="n">
        <x:v>350903</x:v>
      </x:c>
      <x:c r="CA470" s="11" t="n">
        <x:v>4295467</x:v>
      </x:c>
      <x:c r="CB470" s="11" t="n">
        <x:v>9737</x:v>
      </x:c>
      <x:c r="CC470" s="11" t="n">
        <x:v>3109341</x:v>
      </x:c>
      <x:c r="CD470" s="11" t="n">
        <x:v>5465331</x:v>
      </x:c>
      <x:c r="CE470" s="11" t="n">
        <x:v>625763</x:v>
      </x:c>
      <x:c r="CF470" s="11" t="n">
        <x:v>74530</x:v>
      </x:c>
      <x:c r="CG470" s="11" t="n">
        <x:v>723454</x:v>
      </x:c>
      <x:c r="CH470" s="11" t="n">
        <x:v>2499487</x:v>
      </x:c>
      <x:c r="CI470" s="11" t="n">
        <x:v>3168655</x:v>
      </x:c>
      <x:c r="CJ470" s="11" t="n">
        <x:v>1032641</x:v>
      </x:c>
      <x:c r="CK470" s="11" t="n">
        <x:v>1109874</x:v>
      </x:c>
      <x:c r="CL470" s="11" t="n">
        <x:v>3568104</x:v>
      </x:c>
      <x:c r="CM470" s="11" t="n">
        <x:v>8831</x:v>
      </x:c>
      <x:c r="CN470" s="11" t="n">
        <x:v>292167</x:v>
      </x:c>
      <x:c r="CO470" s="11" t="n">
        <x:v>0</x:v>
      </x:c>
      <x:c r="CP470" s="8"/>
      <x:c r="CQ470" s="8"/>
    </x:row>
    <x:row r="471">
      <x:c r="A471" s="8" t="str">
        <x:v>Merritt|2024</x:v>
      </x:c>
      <x:c r="B471" s="8" t="str">
        <x:v>merritt-c</x:v>
      </x:c>
      <x:c r="C471" s="8" t="str">
        <x:v>Merritt</x:v>
      </x:c>
      <x:c r="D471" s="8" t="str">
        <x:v>Merritt</x:v>
      </x:c>
      <x:c r="E471" s="8" t="str">
        <x:v>C</x:v>
      </x:c>
      <x:c r="F471" s="8" t="str">
        <x:v>TNR</x:v>
      </x:c>
      <x:c r="G471" s="9" t="n">
        <x:v>2024</x:v>
      </x:c>
      <x:c r="H471" s="10" t="n">
        <x:v>7809</x:v>
      </x:c>
      <x:c r="I471" s="8" t="str">
        <x:v>5,000 to 19,999</x:v>
      </x:c>
      <x:c r="J471" s="11" t="n">
        <x:v>51379359</x:v>
      </x:c>
      <x:c r="K471" s="11" t="n">
        <x:v>22621346</x:v>
      </x:c>
      <x:c r="L471" s="11" t="n">
        <x:v>28758013</x:v>
      </x:c>
      <x:c r="M471" s="12" t="n">
        <x:v>0.5597191860645828</x:v>
      </x:c>
      <x:c r="N471" s="11" t="n">
        <x:v>13524729</x:v>
      </x:c>
      <x:c r="O471" s="11" t="n">
        <x:v>6052598</x:v>
      </x:c>
      <x:c r="P471" s="11" t="n">
        <x:v>21815069</x:v>
      </x:c>
      <x:c r="Q471" s="11" t="n">
        <x:v>9986963</x:v>
      </x:c>
      <x:c r="R471" s="11" t="n">
        <x:v>18636231</x:v>
      </x:c>
      <x:c r="S471" s="11" t="n">
        <x:v>3282482</x:v>
      </x:c>
      <x:c r="T471" s="11" t="n">
        <x:v>49140275</x:v>
      </x:c>
      <x:c r="U471" s="11" t="n">
        <x:v>53563711</x:v>
      </x:c>
      <x:c r="V471" s="11" t="n">
        <x:v>8179830</x:v>
      </x:c>
      <x:c r="W471" s="11" t="n">
        <x:v>14920</x:v>
      </x:c>
      <x:c r="X471" s="11" t="n">
        <x:v>8020273</x:v>
      </x:c>
      <x:c r="Y471" s="11" t="n">
        <x:v>7000112</x:v>
      </x:c>
      <x:c r="Z471" s="11" t="n">
        <x:v>777377</x:v>
      </x:c>
      <x:c r="AA471" s="11" t="n">
        <x:v>14049244</x:v>
      </x:c>
      <x:c r="AB471" s="11" t="n">
        <x:v>702633</x:v>
      </x:c>
      <x:c r="AC471" s="11" t="n">
        <x:v>1480010</x:v>
      </x:c>
      <x:c r="AD471" s="11" t="n">
        <x:v>5917170</x:v>
      </x:c>
      <x:c r="AE471" s="11" t="n">
        <x:v>3748991</x:v>
      </x:c>
      <x:c r="AF471" s="11" t="n">
        <x:v>23668678</x:v>
      </x:c>
      <x:c r="AG471" s="11" t="n">
        <x:v>171948576</x:v>
      </x:c>
      <x:c r="AH471" s="11" t="n">
        <x:v>50055886</x:v>
      </x:c>
      <x:c r="AI471" s="11" t="n">
        <x:v>121892690</x:v>
      </x:c>
      <x:c r="AJ471" s="11" t="n">
        <x:v>32999368</x:v>
      </x:c>
      <x:c r="AK471" s="11" t="n">
        <x:v>368982101</x:v>
      </x:c>
      <x:c r="AL471" s="11" t="n">
        <x:v>7496753</x:v>
      </x:c>
      <x:c r="AM471" s="12" t="n">
        <x:v>0.9796826106749281</x:v>
      </x:c>
      <x:c r="AN471" s="12" t="n">
        <x:v>0.08943351970343949</x:v>
      </x:c>
      <x:c r="AO471" s="11" t="n">
        <x:v>20487320</x:v>
      </x:c>
      <x:c r="AP471" s="11" t="n">
        <x:v>19434230</x:v>
      </x:c>
      <x:c r="AQ471" s="12" t="n">
        <x:v>0.9485979620565306</x:v>
      </x:c>
      <x:c r="AR471" s="11" t="n">
        <x:v>6579.505570495582</x:v>
      </x:c>
      <x:c r="AS471" s="11" t="n">
        <x:v>2896.830067870406</x:v>
      </x:c>
      <x:c r="AT471" s="11" t="n">
        <x:v>1047.487514406454</x:v>
      </x:c>
      <x:c r="AU471" s="11" t="n">
        <x:v>1.9106159559482647</x:v>
      </x:c>
      <x:c r="AV471" s="11" t="n">
        <x:v>1799.1092329363555</x:v>
      </x:c>
      <x:c r="AW471" s="11" t="n">
        <x:v>0.9174172976924619</x:v>
      </x:c>
      <x:c r="AX471" s="12" t="n">
        <x:v>0.6335783829093976</x:v>
      </x:c>
      <x:c r="AY471" s="11" t="n">
        <x:v>3601.3561989291247</x:v>
      </x:c>
      <x:c r="AZ471" s="11" t="n">
        <x:v>3546.5079302077975</x:v>
      </x:c>
      <x:c r="BA471" s="11" t="n">
        <x:v>2957.8976990295423</x:v>
      </x:c>
      <x:c r="BB471" s="11" t="n">
        <x:v>2783.665107049771</x:v>
      </x:c>
      <x:c r="BC471" s="11" t="n">
        <x:v>1917.0647247750476</x:v>
      </x:c>
      <x:c r="BD471" s="11" t="n">
        <x:v>2437.8724475115623</x:v>
      </x:c>
      <x:c r="BE471" s="11" t="n">
        <x:v>987.5598464714869</x:v>
      </x:c>
      <x:c r="BF471" s="11" t="n">
        <x:v>1604.3462673977224</x:v>
      </x:c>
      <x:c r="BG471" s="11" t="n">
        <x:v>936.3446522221191</x:v>
      </x:c>
      <x:c r="BH471" s="11" t="n">
        <x:v>518.5374381567245</x:v>
      </x:c>
      <x:c r="BI471" s="11" t="n">
        <x:v>1.3967465323081123</x:v>
      </x:c>
      <x:c r="BJ471" s="11" t="n">
        <x:v>1.7099330852451193</x:v>
      </x:c>
      <x:c r="BK471" s="12" t="n">
        <x:v>0.018327243000235003</x:v>
      </x:c>
      <x:c r="BL471" s="12" t="n">
        <x:v>0.02529861000232605</x:v>
      </x:c>
      <x:c r="BM471" s="12" t="n">
        <x:v>0.982034678745671</x:v>
      </x:c>
      <x:c r="BN471" s="12" t="n">
        <x:v>0.9815511712696461</x:v>
      </x:c>
      <x:c r="BO471" s="12" t="n">
        <x:v>0.7988058564062199</x:v>
      </x:c>
      <x:c r="BP471" s="12" t="n">
        <x:v>0.8619101997275483</x:v>
      </x:c>
      <x:c r="BQ471" s="12" t="n">
        <x:v>0.970292410805516</x:v>
      </x:c>
      <x:c r="BR471" s="12" t="n">
        <x:v>0.9623635142836453</x:v>
      </x:c>
      <x:c r="BS471" s="12" t="n">
        <x:v>0.19624174475580758</x:v>
      </x:c>
      <x:c r="BT471" s="12" t="n">
        <x:v>0.19976549769108282</x:v>
      </x:c>
      <x:c r="BU471" s="11" t="n">
        <x:v>384470</x:v>
      </x:c>
      <x:c r="BV471" s="11" t="n">
        <x:v>21179433</x:v>
      </x:c>
      <x:c r="BW471" s="11" t="n">
        <x:v>251166</x:v>
      </x:c>
      <x:c r="BX471" s="11" t="n">
        <x:v>2439322</x:v>
      </x:c>
      <x:c r="BY471" s="11" t="n">
        <x:v>0</x:v>
      </x:c>
      <x:c r="BZ471" s="11" t="n">
        <x:v>299978</x:v>
      </x:c>
      <x:c r="CA471" s="11" t="n">
        <x:v>5679451</x:v>
      </x:c>
      <x:c r="CB471" s="11" t="n">
        <x:v>1568212</x:v>
      </x:c>
      <x:c r="CC471" s="11" t="n">
        <x:v>2921950</x:v>
      </x:c>
      <x:c r="CD471" s="11" t="n">
        <x:v>5699623</x:v>
      </x:c>
      <x:c r="CE471" s="11" t="n">
        <x:v>692610</x:v>
      </x:c>
      <x:c r="CF471" s="11" t="n">
        <x:v>274226</x:v>
      </x:c>
      <x:c r="CG471" s="11" t="n">
        <x:v>555082</x:v>
      </x:c>
      <x:c r="CH471" s="11" t="n">
        <x:v>2452977</x:v>
      </x:c>
      <x:c r="CI471" s="11" t="n">
        <x:v>3214516</x:v>
      </x:c>
      <x:c r="CJ471" s="11" t="n">
        <x:v>1408916</x:v>
      </x:c>
      <x:c r="CK471" s="11" t="n">
        <x:v>1097757</x:v>
      </x:c>
      <x:c r="CL471" s="11" t="n">
        <x:v>1002586</x:v>
      </x:c>
      <x:c r="CM471" s="11" t="n">
        <x:v>5375</x:v>
      </x:c>
      <x:c r="CN471" s="11" t="n">
        <x:v>13246</x:v>
      </x:c>
      <x:c r="CO471" s="11" t="n">
        <x:v>0</x:v>
      </x:c>
      <x:c r="CP471" s="8"/>
      <x:c r="CQ471" s="8"/>
    </x:row>
    <x:row r="472">
      <x:c r="A472" s="8" t="str">
        <x:v>Metchosin|2019</x:v>
      </x:c>
      <x:c r="B472" s="8" t="str">
        <x:v>metchosin-d</x:v>
      </x:c>
      <x:c r="C472" s="8" t="str">
        <x:v>Metchosin</x:v>
      </x:c>
      <x:c r="D472" s="8" t="str">
        <x:v>Metchosin</x:v>
      </x:c>
      <x:c r="E472" s="8" t="str">
        <x:v>D</x:v>
      </x:c>
      <x:c r="F472" s="8" t="str">
        <x:v>CAP</x:v>
      </x:c>
      <x:c r="G472" s="9" t="n">
        <x:v>2019</x:v>
      </x:c>
      <x:c r="H472" s="10" t="n">
        <x:v>5168</x:v>
      </x:c>
      <x:c r="I472" s="8" t="str">
        <x:v>5,000 to 19,999</x:v>
      </x:c>
      <x:c r="J472" s="11" t="n">
        <x:v>6129986</x:v>
      </x:c>
      <x:c r="K472" s="11" t="n">
        <x:v>5480255</x:v>
      </x:c>
      <x:c r="L472" s="11" t="n">
        <x:v>649731</x:v>
      </x:c>
      <x:c r="M472" s="12" t="n">
        <x:v>0.10599224859567379</x:v>
      </x:c>
      <x:c r="N472" s="11" t="n">
        <x:v>3813799</x:v>
      </x:c>
      <x:c r="O472" s="11" t="n">
        <x:v>582993</x:v>
      </x:c>
      <x:c r="P472" s="11" t="n">
        <x:v>1196550</x:v>
      </x:c>
      <x:c r="Q472" s="11" t="n">
        <x:v>536644</x:v>
      </x:c>
      <x:c r="R472" s="11" t="n">
        <x:v>4124139</x:v>
      </x:c>
      <x:c r="S472" s="11" t="n">
        <x:v>1356116</x:v>
      </x:c>
      <x:c r="T472" s="11" t="n">
        <x:v>11728706</x:v>
      </x:c>
      <x:c r="U472" s="11" t="n">
        <x:v>2091775</x:v>
      </x:c>
      <x:c r="V472" s="11" t="n">
        <x:v>9943039</x:v>
      </x:c>
      <x:c r="W472" s="11" t="n">
        <x:v>5528613</x:v>
      </x:c>
      <x:c r="X472" s="11" t="n">
        <x:v>0</x:v>
      </x:c>
      <x:c r="Y472" s="11" t="n">
        <x:v>0</x:v>
      </x:c>
      <x:c r="Z472" s="11" t="n">
        <x:v>0</x:v>
      </x:c>
      <x:c r="AA472" s="11" t="n">
        <x:v>0</x:v>
      </x:c>
      <x:c r="AB472" s="11" t="n">
        <x:v>0</x:v>
      </x:c>
      <x:c r="AC472" s="11" t="n">
        <x:v>0</x:v>
      </x:c>
      <x:c r="AD472" s="11" t="n">
        <x:v>1388640</x:v>
      </x:c>
      <x:c r="AE472" s="11" t="n">
        <x:v>1388640</x:v>
      </x:c>
      <x:c r="AF472" s="11" t="n">
        <x:v>5554558</x:v>
      </x:c>
      <x:c r="AG472" s="11" t="n">
        <x:v>80418092</x:v>
      </x:c>
      <x:c r="AH472" s="11" t="n">
        <x:v>45026126</x:v>
      </x:c>
      <x:c r="AI472" s="11" t="n">
        <x:v>35391966</x:v>
      </x:c>
      <x:c r="AJ472" s="11" t="n">
        <x:v>1394904</x:v>
      </x:c>
      <x:c r="AK472" s="11" t="n">
        <x:v>8326460</x:v>
      </x:c>
      <x:c r="AL472" s="11" t="n">
        <x:v>0</x:v>
      </x:c>
      <x:c r="AM472" s="12" t="n">
        <x:v>1</x:v>
      </x:c>
      <x:c r="AN472" s="12" t="n">
        <x:v>0.16752665598585714</x:v>
      </x:c>
      <x:c r="AO472" s="11" t="n">
        <x:v>6159707</x:v>
      </x:c>
      <x:c r="AP472" s="11" t="n">
        <x:v>6028246</x:v>
      </x:c>
      <x:c r="AQ472" s="12" t="n">
        <x:v>0.978657913436467</x:v>
      </x:c>
      <x:c r="AR472" s="11" t="n">
        <x:v>1186.142801857585</x:v>
      </x:c>
      <x:c r="AS472" s="11" t="n">
        <x:v>1060.420859133127</x:v>
      </x:c>
      <x:c r="AT472" s="11" t="n">
        <x:v>1923.9626547987616</x:v>
      </x:c>
      <x:c r="AU472" s="11" t="n">
        <x:v>1069.7780572755419</x:v>
      </x:c>
      <x:c r="AV472" s="11" t="n">
        <x:v>0</x:v>
      </x:c>
      <x:c r="AW472" s="11" t="n">
        <x:v>5.607059076621529</x:v>
      </x:c>
      <x:c r="AX472" s="12" t="n">
        <x:v>1</x:v>
      </x:c>
      <x:c r="AY472" s="11"/>
      <x:c r="AZ472" s="11"/>
      <x:c r="BA472" s="11"/>
      <x:c r="BB472" s="11"/>
      <x:c r="BC472" s="11"/>
      <x:c r="BD472" s="11"/>
      <x:c r="BE472" s="11"/>
      <x:c r="BF472" s="11"/>
      <x:c r="BG472" s="11"/>
      <x:c r="BH472" s="11"/>
      <x:c r="BI472" s="11"/>
      <x:c r="BJ472" s="11"/>
      <x:c r="BK472" s="12"/>
      <x:c r="BL472" s="12"/>
      <x:c r="BM472" s="12"/>
      <x:c r="BN472" s="12"/>
      <x:c r="BO472" s="12"/>
      <x:c r="BP472" s="12"/>
      <x:c r="BQ472" s="12"/>
      <x:c r="BR472" s="12"/>
      <x:c r="BS472" s="12"/>
      <x:c r="BT472" s="12"/>
      <x:c r="BU472" s="11" t="n">
        <x:v>29226</x:v>
      </x:c>
      <x:c r="BV472" s="11" t="n">
        <x:v>621122</x:v>
      </x:c>
      <x:c r="BW472" s="11" t="n">
        <x:v>546202</x:v>
      </x:c>
      <x:c r="BX472" s="11" t="n">
        <x:v>242268</x:v>
      </x:c>
      <x:c r="BY472" s="11" t="n">
        <x:v>0</x:v>
      </x:c>
      <x:c r="BZ472" s="11" t="n">
        <x:v>0</x:v>
      </x:c>
      <x:c r="CA472" s="11" t="n">
        <x:v>0</x:v>
      </x:c>
      <x:c r="CB472" s="11" t="n">
        <x:v>294376</x:v>
      </x:c>
      <x:c r="CC472" s="11" t="n">
        <x:v>992315</x:v>
      </x:c>
      <x:c r="CD472" s="11" t="n">
        <x:v>867525</x:v>
      </x:c>
      <x:c r="CE472" s="11" t="n">
        <x:v>0</x:v>
      </x:c>
      <x:c r="CF472" s="11" t="n">
        <x:v>0</x:v>
      </x:c>
      <x:c r="CG472" s="11" t="n">
        <x:v>69024</x:v>
      </x:c>
      <x:c r="CH472" s="11" t="n">
        <x:v>753099</x:v>
      </x:c>
      <x:c r="CI472" s="11" t="n">
        <x:v>1442176</x:v>
      </x:c>
      <x:c r="CJ472" s="11" t="n">
        <x:v>0</x:v>
      </x:c>
      <x:c r="CK472" s="11" t="n">
        <x:v>0</x:v>
      </x:c>
      <x:c r="CL472" s="11" t="n">
        <x:v>0</x:v>
      </x:c>
      <x:c r="CM472" s="11"/>
      <x:c r="CN472" s="11" t="n">
        <x:v>0</x:v>
      </x:c>
      <x:c r="CO472" s="11" t="n">
        <x:v>0</x:v>
      </x:c>
      <x:c r="CP472" s="8"/>
      <x:c r="CQ472" s="8"/>
    </x:row>
    <x:row r="473">
      <x:c r="A473" s="8" t="str">
        <x:v>Metchosin|2020</x:v>
      </x:c>
      <x:c r="B473" s="8" t="str">
        <x:v>metchosin-d</x:v>
      </x:c>
      <x:c r="C473" s="8" t="str">
        <x:v>Metchosin</x:v>
      </x:c>
      <x:c r="D473" s="8" t="str">
        <x:v>Metchosin</x:v>
      </x:c>
      <x:c r="E473" s="8" t="str">
        <x:v>D</x:v>
      </x:c>
      <x:c r="F473" s="8" t="str">
        <x:v>CAP</x:v>
      </x:c>
      <x:c r="G473" s="9" t="n">
        <x:v>2020</x:v>
      </x:c>
      <x:c r="H473" s="10" t="n">
        <x:v>5049</x:v>
      </x:c>
      <x:c r="I473" s="8" t="str">
        <x:v>5,000 to 19,999</x:v>
      </x:c>
      <x:c r="J473" s="11" t="n">
        <x:v>7260376</x:v>
      </x:c>
      <x:c r="K473" s="11" t="n">
        <x:v>4891650</x:v>
      </x:c>
      <x:c r="L473" s="11" t="n">
        <x:v>2368726</x:v>
      </x:c>
      <x:c r="M473" s="12" t="n">
        <x:v>0.3262539020017696</x:v>
      </x:c>
      <x:c r="N473" s="11" t="n">
        <x:v>4086400</x:v>
      </x:c>
      <x:c r="O473" s="11" t="n">
        <x:v>340474</x:v>
      </x:c>
      <x:c r="P473" s="11" t="n">
        <x:v>2445333</x:v>
      </x:c>
      <x:c r="Q473" s="11" t="n">
        <x:v>388169</x:v>
      </x:c>
      <x:c r="R473" s="11" t="n">
        <x:v>3487126</x:v>
      </x:c>
      <x:c r="S473" s="11" t="n">
        <x:v>1404524</x:v>
      </x:c>
      <x:c r="T473" s="11" t="n">
        <x:v>15657627</x:v>
      </x:c>
      <x:c r="U473" s="11" t="n">
        <x:v>3424020</x:v>
      </x:c>
      <x:c r="V473" s="11" t="n">
        <x:v>12493071</x:v>
      </x:c>
      <x:c r="W473" s="11" t="n">
        <x:v>6173156</x:v>
      </x:c>
      <x:c r="X473" s="11" t="n">
        <x:v>0</x:v>
      </x:c>
      <x:c r="Y473" s="11" t="n">
        <x:v>0</x:v>
      </x:c>
      <x:c r="Z473" s="11" t="n">
        <x:v>0</x:v>
      </x:c>
      <x:c r="AA473" s="11" t="n">
        <x:v>0</x:v>
      </x:c>
      <x:c r="AB473" s="11" t="n">
        <x:v>0</x:v>
      </x:c>
      <x:c r="AC473" s="11" t="n">
        <x:v>0</x:v>
      </x:c>
      <x:c r="AD473" s="11" t="n">
        <x:v>1352866</x:v>
      </x:c>
      <x:c r="AE473" s="11" t="n">
        <x:v>1352866</x:v>
      </x:c>
      <x:c r="AF473" s="11" t="n">
        <x:v>5411465</x:v>
      </x:c>
      <x:c r="AG473" s="11" t="n">
        <x:v>81355212</x:v>
      </x:c>
      <x:c r="AH473" s="11" t="n">
        <x:v>45963489</x:v>
      </x:c>
      <x:c r="AI473" s="11" t="n">
        <x:v>35391723</x:v>
      </x:c>
      <x:c r="AJ473" s="11" t="n">
        <x:v>1335674</x:v>
      </x:c>
      <x:c r="AK473" s="11" t="n">
        <x:v>8381916</x:v>
      </x:c>
      <x:c r="AL473" s="11" t="n">
        <x:v>0</x:v>
      </x:c>
      <x:c r="AM473" s="12" t="n">
        <x:v>1</x:v>
      </x:c>
      <x:c r="AN473" s="12" t="n">
        <x:v>0.1593518713382477</x:v>
      </x:c>
      <x:c r="AO473" s="11" t="n">
        <x:v>6293175</x:v>
      </x:c>
      <x:c r="AP473" s="11" t="n">
        <x:v>6145242</x:v>
      </x:c>
      <x:c r="AQ473" s="12" t="n">
        <x:v>0.9764931056263333</x:v>
      </x:c>
      <x:c r="AR473" s="11" t="n">
        <x:v>1437.9829669241433</x:v>
      </x:c>
      <x:c r="AS473" s="11" t="n">
        <x:v>968.83541295306</x:v>
      </x:c>
      <x:c r="AT473" s="11" t="n">
        <x:v>2474.365418894831</x:v>
      </x:c>
      <x:c r="AU473" s="11" t="n">
        <x:v>1222.6492374727668</x:v>
      </x:c>
      <x:c r="AV473" s="11" t="n">
        <x:v>0</x:v>
      </x:c>
      <x:c r="AW473" s="11" t="n">
        <x:v>4.572878371037552</x:v>
      </x:c>
      <x:c r="AX473" s="12" t="n">
        <x:v>1</x:v>
      </x:c>
      <x:c r="AY473" s="11"/>
      <x:c r="AZ473" s="11"/>
      <x:c r="BA473" s="11"/>
      <x:c r="BB473" s="11"/>
      <x:c r="BC473" s="11"/>
      <x:c r="BD473" s="11"/>
      <x:c r="BE473" s="11"/>
      <x:c r="BF473" s="11"/>
      <x:c r="BG473" s="11"/>
      <x:c r="BH473" s="11"/>
      <x:c r="BI473" s="11"/>
      <x:c r="BJ473" s="11"/>
      <x:c r="BK473" s="12"/>
      <x:c r="BL473" s="12"/>
      <x:c r="BM473" s="12"/>
      <x:c r="BN473" s="12"/>
      <x:c r="BO473" s="12"/>
      <x:c r="BP473" s="12"/>
      <x:c r="BQ473" s="12"/>
      <x:c r="BR473" s="12"/>
      <x:c r="BS473" s="12"/>
      <x:c r="BT473" s="12"/>
      <x:c r="BU473" s="11" t="n">
        <x:v>55522</x:v>
      </x:c>
      <x:c r="BV473" s="11" t="n">
        <x:v>2136422</x:v>
      </x:c>
      <x:c r="BW473" s="11" t="n">
        <x:v>253389</x:v>
      </x:c>
      <x:c r="BX473" s="11" t="n">
        <x:v>184542</x:v>
      </x:c>
      <x:c r="BY473" s="11" t="n">
        <x:v>0</x:v>
      </x:c>
      <x:c r="BZ473" s="11" t="n">
        <x:v>0</x:v>
      </x:c>
      <x:c r="CA473" s="11" t="n">
        <x:v>0</x:v>
      </x:c>
      <x:c r="CB473" s="11" t="n">
        <x:v>203627</x:v>
      </x:c>
      <x:c r="CC473" s="11" t="n">
        <x:v>933572</x:v>
      </x:c>
      <x:c r="CD473" s="11" t="n">
        <x:v>894424</x:v>
      </x:c>
      <x:c r="CE473" s="11" t="n">
        <x:v>0</x:v>
      </x:c>
      <x:c r="CF473" s="11" t="n">
        <x:v>0</x:v>
      </x:c>
      <x:c r="CG473" s="11" t="n">
        <x:v>103453</x:v>
      </x:c>
      <x:c r="CH473" s="11" t="n">
        <x:v>557378</x:v>
      </x:c>
      <x:c r="CI473" s="11" t="n">
        <x:v>998299</x:v>
      </x:c>
      <x:c r="CJ473" s="11" t="n">
        <x:v>0</x:v>
      </x:c>
      <x:c r="CK473" s="11" t="n">
        <x:v>0</x:v>
      </x:c>
      <x:c r="CL473" s="11" t="n">
        <x:v>0</x:v>
      </x:c>
      <x:c r="CM473" s="11"/>
      <x:c r="CN473" s="11" t="n">
        <x:v>0</x:v>
      </x:c>
      <x:c r="CO473" s="11" t="n">
        <x:v>0</x:v>
      </x:c>
      <x:c r="CP473" s="8"/>
      <x:c r="CQ473" s="8"/>
    </x:row>
    <x:row r="474">
      <x:c r="A474" s="8" t="str">
        <x:v>Metchosin|2021</x:v>
      </x:c>
      <x:c r="B474" s="8" t="str">
        <x:v>metchosin-d</x:v>
      </x:c>
      <x:c r="C474" s="8" t="str">
        <x:v>Metchosin</x:v>
      </x:c>
      <x:c r="D474" s="8" t="str">
        <x:v>Metchosin</x:v>
      </x:c>
      <x:c r="E474" s="8" t="str">
        <x:v>D</x:v>
      </x:c>
      <x:c r="F474" s="8" t="str">
        <x:v>CAP</x:v>
      </x:c>
      <x:c r="G474" s="9" t="n">
        <x:v>2021</x:v>
      </x:c>
      <x:c r="H474" s="10" t="n">
        <x:v>5186</x:v>
      </x:c>
      <x:c r="I474" s="8" t="str">
        <x:v>5,000 to 19,999</x:v>
      </x:c>
      <x:c r="J474" s="11" t="n">
        <x:v>7024492</x:v>
      </x:c>
      <x:c r="K474" s="11" t="n">
        <x:v>5787937</x:v>
      </x:c>
      <x:c r="L474" s="11" t="n">
        <x:v>1236555</x:v>
      </x:c>
      <x:c r="M474" s="12" t="n">
        <x:v>0.1760347936904192</x:v>
      </x:c>
      <x:c r="N474" s="11" t="n">
        <x:v>4111598</x:v>
      </x:c>
      <x:c r="O474" s="11" t="n">
        <x:v>449342</x:v>
      </x:c>
      <x:c r="P474" s="11" t="n">
        <x:v>1653647</x:v>
      </x:c>
      <x:c r="Q474" s="11" t="n">
        <x:v>809905</x:v>
      </x:c>
      <x:c r="R474" s="11" t="n">
        <x:v>4398703</x:v>
      </x:c>
      <x:c r="S474" s="11" t="n">
        <x:v>1389234</x:v>
      </x:c>
      <x:c r="T474" s="11" t="n">
        <x:v>15029701</x:v>
      </x:c>
      <x:c r="U474" s="11" t="n">
        <x:v>2426870</x:v>
      </x:c>
      <x:c r="V474" s="11" t="n">
        <x:v>13473212</x:v>
      </x:c>
      <x:c r="W474" s="11" t="n">
        <x:v>6974904</x:v>
      </x:c>
      <x:c r="X474" s="11" t="n">
        <x:v>0</x:v>
      </x:c>
      <x:c r="Y474" s="11" t="n">
        <x:v>0</x:v>
      </x:c>
      <x:c r="Z474" s="11" t="n">
        <x:v>0</x:v>
      </x:c>
      <x:c r="AA474" s="11" t="n">
        <x:v>0</x:v>
      </x:c>
      <x:c r="AB474" s="11" t="n">
        <x:v>0</x:v>
      </x:c>
      <x:c r="AC474" s="11" t="n">
        <x:v>0</x:v>
      </x:c>
      <x:c r="AD474" s="11" t="n">
        <x:v>1487207</x:v>
      </x:c>
      <x:c r="AE474" s="11" t="n">
        <x:v>1487207</x:v>
      </x:c>
      <x:c r="AF474" s="11" t="n">
        <x:v>5948828</x:v>
      </x:c>
      <x:c r="AG474" s="11" t="n">
        <x:v>82430687</x:v>
      </x:c>
      <x:c r="AH474" s="11" t="n">
        <x:v>46846049</x:v>
      </x:c>
      <x:c r="AI474" s="11" t="n">
        <x:v>35584638</x:v>
      </x:c>
      <x:c r="AJ474" s="11" t="n">
        <x:v>1768104</x:v>
      </x:c>
      <x:c r="AK474" s="11" t="n">
        <x:v>8466458</x:v>
      </x:c>
      <x:c r="AL474" s="11" t="n">
        <x:v>0</x:v>
      </x:c>
      <x:c r="AM474" s="12" t="n">
        <x:v>1</x:v>
      </x:c>
      <x:c r="AN474" s="12" t="n">
        <x:v>0.20883632801343843</x:v>
      </x:c>
      <x:c r="AO474" s="11" t="n">
        <x:v>6601186</x:v>
      </x:c>
      <x:c r="AP474" s="11" t="n">
        <x:v>6477457</x:v>
      </x:c>
      <x:c r="AQ474" s="12" t="n">
        <x:v>0.9812565499593557</x:v>
      </x:c>
      <x:c r="AR474" s="11" t="n">
        <x:v>1354.5106054762823</x:v>
      </x:c>
      <x:c r="AS474" s="11" t="n">
        <x:v>1116.0696104897802</x:v>
      </x:c>
      <x:c r="AT474" s="11" t="n">
        <x:v>2597.996914770536</x:v>
      </x:c>
      <x:c r="AU474" s="11" t="n">
        <x:v>1344.948708060162</x:v>
      </x:c>
      <x:c r="AV474" s="11" t="n">
        <x:v>0</x:v>
      </x:c>
      <x:c r="AW474" s="11" t="n">
        <x:v>6.19303918215644</x:v>
      </x:c>
      <x:c r="AX474" s="12" t="n">
        <x:v>1</x:v>
      </x:c>
      <x:c r="AY474" s="11"/>
      <x:c r="AZ474" s="11"/>
      <x:c r="BA474" s="11"/>
      <x:c r="BB474" s="11"/>
      <x:c r="BC474" s="11"/>
      <x:c r="BD474" s="11"/>
      <x:c r="BE474" s="11"/>
      <x:c r="BF474" s="11"/>
      <x:c r="BG474" s="11"/>
      <x:c r="BH474" s="11"/>
      <x:c r="BI474" s="11"/>
      <x:c r="BJ474" s="11"/>
      <x:c r="BK474" s="12"/>
      <x:c r="BL474" s="12"/>
      <x:c r="BM474" s="12"/>
      <x:c r="BN474" s="12"/>
      <x:c r="BO474" s="12"/>
      <x:c r="BP474" s="12"/>
      <x:c r="BQ474" s="12"/>
      <x:c r="BR474" s="12"/>
      <x:c r="BS474" s="12"/>
      <x:c r="BT474" s="12"/>
      <x:c r="BU474" s="11" t="n">
        <x:v>345589</x:v>
      </x:c>
      <x:c r="BV474" s="11" t="n">
        <x:v>577983</x:v>
      </x:c>
      <x:c r="BW474" s="11" t="n">
        <x:v>730075</x:v>
      </x:c>
      <x:c r="BX474" s="11" t="n">
        <x:v>101995</x:v>
      </x:c>
      <x:c r="BY474" s="11" t="n">
        <x:v>0</x:v>
      </x:c>
      <x:c r="BZ474" s="11" t="n">
        <x:v>0</x:v>
      </x:c>
      <x:c r="CA474" s="11" t="n">
        <x:v>0</x:v>
      </x:c>
      <x:c r="CB474" s="11" t="n">
        <x:v>707910</x:v>
      </x:c>
      <x:c r="CC474" s="11" t="n">
        <x:v>1122865</x:v>
      </x:c>
      <x:c r="CD474" s="11" t="n">
        <x:v>1469692</x:v>
      </x:c>
      <x:c r="CE474" s="11" t="n">
        <x:v>0</x:v>
      </x:c>
      <x:c r="CF474" s="11" t="n">
        <x:v>0</x:v>
      </x:c>
      <x:c r="CG474" s="11" t="n">
        <x:v>99537</x:v>
      </x:c>
      <x:c r="CH474" s="11" t="n">
        <x:v>582191</x:v>
      </x:c>
      <x:c r="CI474" s="11" t="n">
        <x:v>1124418</x:v>
      </x:c>
      <x:c r="CJ474" s="11" t="n">
        <x:v>0</x:v>
      </x:c>
      <x:c r="CK474" s="11" t="n">
        <x:v>0</x:v>
      </x:c>
      <x:c r="CL474" s="11" t="n">
        <x:v>0</x:v>
      </x:c>
      <x:c r="CM474" s="11"/>
      <x:c r="CN474" s="11" t="n">
        <x:v>0</x:v>
      </x:c>
      <x:c r="CO474" s="11" t="n">
        <x:v>0</x:v>
      </x:c>
      <x:c r="CP474" s="8"/>
      <x:c r="CQ474" s="8"/>
    </x:row>
    <x:row r="475">
      <x:c r="A475" s="8" t="str">
        <x:v>Metchosin|2022</x:v>
      </x:c>
      <x:c r="B475" s="8" t="str">
        <x:v>metchosin-d</x:v>
      </x:c>
      <x:c r="C475" s="8" t="str">
        <x:v>Metchosin</x:v>
      </x:c>
      <x:c r="D475" s="8" t="str">
        <x:v>Metchosin</x:v>
      </x:c>
      <x:c r="E475" s="8" t="str">
        <x:v>D</x:v>
      </x:c>
      <x:c r="F475" s="8" t="str">
        <x:v>CAP</x:v>
      </x:c>
      <x:c r="G475" s="9" t="n">
        <x:v>2022</x:v>
      </x:c>
      <x:c r="H475" s="10" t="n">
        <x:v>726</x:v>
      </x:c>
      <x:c r="I475" s="8" t="str">
        <x:v>Under 5,000</x:v>
      </x:c>
      <x:c r="J475" s="11" t="n">
        <x:v>7846501</x:v>
      </x:c>
      <x:c r="K475" s="11" t="n">
        <x:v>6471543</x:v>
      </x:c>
      <x:c r="L475" s="11" t="n">
        <x:v>1374958</x:v>
      </x:c>
      <x:c r="M475" s="12" t="n">
        <x:v>0.17523199194137618</x:v>
      </x:c>
      <x:c r="N475" s="11" t="n">
        <x:v>4795436</x:v>
      </x:c>
      <x:c r="O475" s="11" t="n">
        <x:v>911902</x:v>
      </x:c>
      <x:c r="P475" s="11" t="n">
        <x:v>1803196</x:v>
      </x:c>
      <x:c r="Q475" s="11" t="n">
        <x:v>335967</x:v>
      </x:c>
      <x:c r="R475" s="11" t="n">
        <x:v>5011903</x:v>
      </x:c>
      <x:c r="S475" s="11" t="n">
        <x:v>1459640</x:v>
      </x:c>
      <x:c r="T475" s="11" t="n">
        <x:v>16808799</x:v>
      </x:c>
      <x:c r="U475" s="11" t="n">
        <x:v>3336766</x:v>
      </x:c>
      <x:c r="V475" s="11" t="n">
        <x:v>14585288</x:v>
      </x:c>
      <x:c r="W475" s="11" t="n">
        <x:v>7210931</x:v>
      </x:c>
      <x:c r="X475" s="11" t="n">
        <x:v>0</x:v>
      </x:c>
      <x:c r="Y475" s="11" t="n">
        <x:v>0</x:v>
      </x:c>
      <x:c r="Z475" s="11" t="n">
        <x:v>0</x:v>
      </x:c>
      <x:c r="AA475" s="11" t="n">
        <x:v>0</x:v>
      </x:c>
      <x:c r="AB475" s="11" t="n">
        <x:v>0</x:v>
      </x:c>
      <x:c r="AC475" s="11" t="n">
        <x:v>0</x:v>
      </x:c>
      <x:c r="AD475" s="11" t="n">
        <x:v>1700309</x:v>
      </x:c>
      <x:c r="AE475" s="11" t="n">
        <x:v>1700309</x:v>
      </x:c>
      <x:c r="AF475" s="11" t="n">
        <x:v>6801237</x:v>
      </x:c>
      <x:c r="AG475" s="11" t="n">
        <x:v>83685636</x:v>
      </x:c>
      <x:c r="AH475" s="11" t="n">
        <x:v>48019893</x:v>
      </x:c>
      <x:c r="AI475" s="11" t="n">
        <x:v>35665743</x:v>
      </x:c>
      <x:c r="AJ475" s="11" t="n">
        <x:v>1396218</x:v>
      </x:c>
      <x:c r="AK475" s="11" t="n">
        <x:v>8408958</x:v>
      </x:c>
      <x:c r="AL475" s="11" t="n">
        <x:v>0</x:v>
      </x:c>
      <x:c r="AM475" s="12" t="n">
        <x:v>1</x:v>
      </x:c>
      <x:c r="AN475" s="12" t="n">
        <x:v>0.16603935945452455</x:v>
      </x:c>
      <x:c r="AO475" s="11" t="n">
        <x:v>7102362</x:v>
      </x:c>
      <x:c r="AP475" s="11" t="n">
        <x:v>6907335</x:v>
      </x:c>
      <x:c r="AQ475" s="12" t="n">
        <x:v>0.9725405435543837</x:v>
      </x:c>
      <x:c r="AR475" s="11" t="n">
        <x:v>10807.85261707989</x:v>
      </x:c>
      <x:c r="AS475" s="11" t="n">
        <x:v>8913.971074380166</x:v>
      </x:c>
      <x:c r="AT475" s="11" t="n">
        <x:v>20089.928374655647</x:v>
      </x:c>
      <x:c r="AU475" s="11" t="n">
        <x:v>9932.411845730028</x:v>
      </x:c>
      <x:c r="AV475" s="11" t="n">
        <x:v>0</x:v>
      </x:c>
      <x:c r="AW475" s="11" t="n">
        <x:v>5.037452131794677</x:v>
      </x:c>
      <x:c r="AX475" s="12" t="n">
        <x:v>1</x:v>
      </x:c>
      <x:c r="AY475" s="11"/>
      <x:c r="AZ475" s="11"/>
      <x:c r="BA475" s="11"/>
      <x:c r="BB475" s="11"/>
      <x:c r="BC475" s="11"/>
      <x:c r="BD475" s="11"/>
      <x:c r="BE475" s="11"/>
      <x:c r="BF475" s="11"/>
      <x:c r="BG475" s="11"/>
      <x:c r="BH475" s="11"/>
      <x:c r="BI475" s="11"/>
      <x:c r="BJ475" s="11"/>
      <x:c r="BK475" s="12"/>
      <x:c r="BL475" s="12"/>
      <x:c r="BM475" s="12"/>
      <x:c r="BN475" s="12"/>
      <x:c r="BO475" s="12"/>
      <x:c r="BP475" s="12"/>
      <x:c r="BQ475" s="12"/>
      <x:c r="BR475" s="12"/>
      <x:c r="BS475" s="12"/>
      <x:c r="BT475" s="12"/>
      <x:c r="BU475" s="11" t="n">
        <x:v>106082</x:v>
      </x:c>
      <x:c r="BV475" s="11" t="n">
        <x:v>837854</x:v>
      </x:c>
      <x:c r="BW475" s="11" t="n">
        <x:v>859260</x:v>
      </x:c>
      <x:c r="BX475" s="11" t="n">
        <x:v>331127</x:v>
      </x:c>
      <x:c r="BY475" s="11" t="n">
        <x:v>0</x:v>
      </x:c>
      <x:c r="BZ475" s="11" t="n">
        <x:v>4840</x:v>
      </x:c>
      <x:c r="CA475" s="11" t="n">
        <x:v>0</x:v>
      </x:c>
      <x:c r="CB475" s="11" t="n">
        <x:v>0</x:v>
      </x:c>
      <x:c r="CC475" s="11" t="n">
        <x:v>1291774</x:v>
      </x:c>
      <x:c r="CD475" s="11" t="n">
        <x:v>1943241</x:v>
      </x:c>
      <x:c r="CE475" s="11" t="n">
        <x:v>0</x:v>
      </x:c>
      <x:c r="CF475" s="11" t="n">
        <x:v>0</x:v>
      </x:c>
      <x:c r="CG475" s="11" t="n">
        <x:v>109065</x:v>
      </x:c>
      <x:c r="CH475" s="11" t="n">
        <x:v>636895</x:v>
      </x:c>
      <x:c r="CI475" s="11" t="n">
        <x:v>1030928</x:v>
      </x:c>
      <x:c r="CJ475" s="11" t="n">
        <x:v>0</x:v>
      </x:c>
      <x:c r="CK475" s="11" t="n">
        <x:v>0</x:v>
      </x:c>
      <x:c r="CL475" s="11" t="n">
        <x:v>0</x:v>
      </x:c>
      <x:c r="CM475" s="11"/>
      <x:c r="CN475" s="11" t="n">
        <x:v>0</x:v>
      </x:c>
      <x:c r="CO475" s="11" t="n">
        <x:v>0</x:v>
      </x:c>
      <x:c r="CP475" s="8"/>
      <x:c r="CQ475" s="8"/>
    </x:row>
    <x:row r="476">
      <x:c r="A476" s="8" t="str">
        <x:v>Metchosin|2023</x:v>
      </x:c>
      <x:c r="B476" s="8" t="str">
        <x:v>metchosin-d</x:v>
      </x:c>
      <x:c r="C476" s="8" t="str">
        <x:v>Metchosin</x:v>
      </x:c>
      <x:c r="D476" s="8" t="str">
        <x:v>Metchosin</x:v>
      </x:c>
      <x:c r="E476" s="8" t="str">
        <x:v>D</x:v>
      </x:c>
      <x:c r="F476" s="8" t="str">
        <x:v>CAP</x:v>
      </x:c>
      <x:c r="G476" s="9" t="n">
        <x:v>2023</x:v>
      </x:c>
      <x:c r="H476" s="10" t="n">
        <x:v>5271</x:v>
      </x:c>
      <x:c r="I476" s="8" t="str">
        <x:v>5,000 to 19,999</x:v>
      </x:c>
      <x:c r="J476" s="11" t="n">
        <x:v>12099900</x:v>
      </x:c>
      <x:c r="K476" s="11" t="n">
        <x:v>7414374</x:v>
      </x:c>
      <x:c r="L476" s="11" t="n">
        <x:v>4685526</x:v>
      </x:c>
      <x:c r="M476" s="12" t="n">
        <x:v>0.38723675402276053</x:v>
      </x:c>
      <x:c r="N476" s="11" t="n">
        <x:v>5322092</x:v>
      </x:c>
      <x:c r="O476" s="11" t="n">
        <x:v>1636047</x:v>
      </x:c>
      <x:c r="P476" s="11" t="n">
        <x:v>4175557</x:v>
      </x:c>
      <x:c r="Q476" s="11" t="n">
        <x:v>966204</x:v>
      </x:c>
      <x:c r="R476" s="11" t="n">
        <x:v>5923061</x:v>
      </x:c>
      <x:c r="S476" s="11" t="n">
        <x:v>1491313</x:v>
      </x:c>
      <x:c r="T476" s="11" t="n">
        <x:v>21462267</x:v>
      </x:c>
      <x:c r="U476" s="11" t="n">
        <x:v>3924458</x:v>
      </x:c>
      <x:c r="V476" s="11" t="n">
        <x:v>18937382</x:v>
      </x:c>
      <x:c r="W476" s="11" t="n">
        <x:v>8736259</x:v>
      </x:c>
      <x:c r="X476" s="11" t="n">
        <x:v>0</x:v>
      </x:c>
      <x:c r="Y476" s="11" t="n">
        <x:v>0</x:v>
      </x:c>
      <x:c r="Z476" s="11" t="n">
        <x:v>0</x:v>
      </x:c>
      <x:c r="AA476" s="11" t="n">
        <x:v>0</x:v>
      </x:c>
      <x:c r="AB476" s="11" t="n">
        <x:v>0</x:v>
      </x:c>
      <x:c r="AC476" s="11" t="n">
        <x:v>0</x:v>
      </x:c>
      <x:c r="AD476" s="11" t="n">
        <x:v>2130552</x:v>
      </x:c>
      <x:c r="AE476" s="11" t="n">
        <x:v>2130552</x:v>
      </x:c>
      <x:c r="AF476" s="11" t="n">
        <x:v>8522208</x:v>
      </x:c>
      <x:c r="AG476" s="11" t="n">
        <x:v>85553637</x:v>
      </x:c>
      <x:c r="AH476" s="11" t="n">
        <x:v>49320258</x:v>
      </x:c>
      <x:c r="AI476" s="11" t="n">
        <x:v>36233379</x:v>
      </x:c>
      <x:c r="AJ476" s="11" t="n">
        <x:v>1830419</x:v>
      </x:c>
      <x:c r="AK476" s="11" t="n">
        <x:v>8380510</x:v>
      </x:c>
      <x:c r="AL476" s="11" t="n">
        <x:v>0</x:v>
      </x:c>
      <x:c r="AM476" s="12" t="n">
        <x:v>1</x:v>
      </x:c>
      <x:c r="AN476" s="12" t="n">
        <x:v>0.21841379581910886</x:v>
      </x:c>
      <x:c r="AO476" s="11" t="n">
        <x:v>7775704</x:v>
      </x:c>
      <x:c r="AP476" s="11" t="n">
        <x:v>7623049</x:v>
      </x:c>
      <x:c r="AQ476" s="12" t="n">
        <x:v>0.980367694037736</x:v>
      </x:c>
      <x:c r="AR476" s="11" t="n">
        <x:v>2295.5606146841205</x:v>
      </x:c>
      <x:c r="AS476" s="11" t="n">
        <x:v>1406.6351735913488</x:v>
      </x:c>
      <x:c r="AT476" s="11" t="n">
        <x:v>3592.749383418706</x:v>
      </x:c>
      <x:c r="AU476" s="11" t="n">
        <x:v>1657.4196547144754</x:v>
      </x:c>
      <x:c r="AV476" s="11" t="n">
        <x:v>0</x:v>
      </x:c>
      <x:c r="AW476" s="11" t="n">
        <x:v>5.468848691972242</x:v>
      </x:c>
      <x:c r="AX476" s="12" t="n">
        <x:v>1</x:v>
      </x:c>
      <x:c r="AY476" s="11"/>
      <x:c r="AZ476" s="11"/>
      <x:c r="BA476" s="11"/>
      <x:c r="BB476" s="11"/>
      <x:c r="BC476" s="11"/>
      <x:c r="BD476" s="11"/>
      <x:c r="BE476" s="11"/>
      <x:c r="BF476" s="11"/>
      <x:c r="BG476" s="11"/>
      <x:c r="BH476" s="11"/>
      <x:c r="BI476" s="11"/>
      <x:c r="BJ476" s="11"/>
      <x:c r="BK476" s="12"/>
      <x:c r="BL476" s="12"/>
      <x:c r="BM476" s="12"/>
      <x:c r="BN476" s="12"/>
      <x:c r="BO476" s="12"/>
      <x:c r="BP476" s="12"/>
      <x:c r="BQ476" s="12"/>
      <x:c r="BR476" s="12"/>
      <x:c r="BS476" s="12"/>
      <x:c r="BT476" s="12"/>
      <x:c r="BU476" s="11" t="n">
        <x:v>0</x:v>
      </x:c>
      <x:c r="BV476" s="11" t="n">
        <x:v>3784805</x:v>
      </x:c>
      <x:c r="BW476" s="11" t="n">
        <x:v>390752</x:v>
      </x:c>
      <x:c r="BX476" s="11" t="n">
        <x:v>955704</x:v>
      </x:c>
      <x:c r="BY476" s="11" t="n">
        <x:v>0</x:v>
      </x:c>
      <x:c r="BZ476" s="11" t="n">
        <x:v>0</x:v>
      </x:c>
      <x:c r="CA476" s="11" t="n">
        <x:v>10500</x:v>
      </x:c>
      <x:c r="CB476" s="11" t="n">
        <x:v>0</x:v>
      </x:c>
      <x:c r="CC476" s="11" t="n">
        <x:v>1399047</x:v>
      </x:c>
      <x:c r="CD476" s="11" t="n">
        <x:v>2263850</x:v>
      </x:c>
      <x:c r="CE476" s="11" t="n">
        <x:v>0</x:v>
      </x:c>
      <x:c r="CF476" s="11" t="n">
        <x:v>0</x:v>
      </x:c>
      <x:c r="CG476" s="11" t="n">
        <x:v>160280</x:v>
      </x:c>
      <x:c r="CH476" s="11" t="n">
        <x:v>775794</x:v>
      </x:c>
      <x:c r="CI476" s="11" t="n">
        <x:v>1324090</x:v>
      </x:c>
      <x:c r="CJ476" s="11" t="n">
        <x:v>0</x:v>
      </x:c>
      <x:c r="CK476" s="11" t="n">
        <x:v>0</x:v>
      </x:c>
      <x:c r="CL476" s="11" t="n">
        <x:v>0</x:v>
      </x:c>
      <x:c r="CM476" s="11" t="n">
        <x:v>0</x:v>
      </x:c>
      <x:c r="CN476" s="11" t="n">
        <x:v>0</x:v>
      </x:c>
      <x:c r="CO476" s="11" t="n">
        <x:v>0</x:v>
      </x:c>
      <x:c r="CP476" s="8"/>
      <x:c r="CQ476" s="8"/>
    </x:row>
    <x:row r="477">
      <x:c r="A477" s="8" t="str">
        <x:v>Metchosin|2024</x:v>
      </x:c>
      <x:c r="B477" s="8" t="str">
        <x:v>metchosin-d</x:v>
      </x:c>
      <x:c r="C477" s="8" t="str">
        <x:v>Metchosin</x:v>
      </x:c>
      <x:c r="D477" s="8" t="str">
        <x:v>Metchosin</x:v>
      </x:c>
      <x:c r="E477" s="8" t="str">
        <x:v>D</x:v>
      </x:c>
      <x:c r="F477" s="8" t="str">
        <x:v>CAP</x:v>
      </x:c>
      <x:c r="G477" s="9" t="n">
        <x:v>2024</x:v>
      </x:c>
      <x:c r="H477" s="10" t="n">
        <x:v>5271</x:v>
      </x:c>
      <x:c r="I477" s="8" t="str">
        <x:v>5,000 to 19,999</x:v>
      </x:c>
      <x:c r="J477" s="11" t="n">
        <x:v>9765220</x:v>
      </x:c>
      <x:c r="K477" s="11" t="n">
        <x:v>7728870</x:v>
      </x:c>
      <x:c r="L477" s="11" t="n">
        <x:v>2036350</x:v>
      </x:c>
      <x:c r="M477" s="12" t="n">
        <x:v>0.20853088819299515</x:v>
      </x:c>
      <x:c r="N477" s="11" t="n">
        <x:v>5771997</x:v>
      </x:c>
      <x:c r="O477" s="11" t="n">
        <x:v>1013665</x:v>
      </x:c>
      <x:c r="P477" s="11" t="n">
        <x:v>1565143</x:v>
      </x:c>
      <x:c r="Q477" s="11" t="n">
        <x:v>1414415</x:v>
      </x:c>
      <x:c r="R477" s="11" t="n">
        <x:v>6256497</x:v>
      </x:c>
      <x:c r="S477" s="11" t="n">
        <x:v>1472373</x:v>
      </x:c>
      <x:c r="T477" s="11" t="n">
        <x:v>26060195</x:v>
      </x:c>
      <x:c r="U477" s="11" t="n">
        <x:v>5047660</x:v>
      </x:c>
      <x:c r="V477" s="11" t="n">
        <x:v>21616898</x:v>
      </x:c>
      <x:c r="W477" s="11" t="n">
        <x:v>14132715</x:v>
      </x:c>
      <x:c r="X477" s="11" t="n">
        <x:v>0</x:v>
      </x:c>
      <x:c r="Y477" s="11" t="n">
        <x:v>0</x:v>
      </x:c>
      <x:c r="Z477" s="11" t="n">
        <x:v>0</x:v>
      </x:c>
      <x:c r="AA477" s="11" t="n">
        <x:v>0</x:v>
      </x:c>
      <x:c r="AB477" s="11" t="n">
        <x:v>0</x:v>
      </x:c>
      <x:c r="AC477" s="11" t="n">
        <x:v>0</x:v>
      </x:c>
      <x:c r="AD477" s="11" t="n">
        <x:v>2212195</x:v>
      </x:c>
      <x:c r="AE477" s="11" t="n">
        <x:v>2212195</x:v>
      </x:c>
      <x:c r="AF477" s="11" t="n">
        <x:v>8848779</x:v>
      </x:c>
      <x:c r="AG477" s="11" t="n">
        <x:v>86267349</x:v>
      </x:c>
      <x:c r="AH477" s="11" t="n">
        <x:v>50692180</x:v>
      </x:c>
      <x:c r="AI477" s="11" t="n">
        <x:v>35575169</x:v>
      </x:c>
      <x:c r="AJ477" s="11" t="n">
        <x:v>933818</x:v>
      </x:c>
      <x:c r="AK477" s="11" t="n">
        <x:v>80785321</x:v>
      </x:c>
      <x:c r="AL477" s="11" t="n">
        <x:v>1852438</x:v>
      </x:c>
      <x:c r="AM477" s="12" t="n">
        <x:v>0.9770696213486606</x:v>
      </x:c>
      <x:c r="AN477" s="12" t="n">
        <x:v>0.011559253444075565</x:v>
      </x:c>
      <x:c r="AO477" s="11" t="n">
        <x:v>8434483</x:v>
      </x:c>
      <x:c r="AP477" s="11" t="n">
        <x:v>8308669</x:v>
      </x:c>
      <x:c r="AQ477" s="12" t="n">
        <x:v>0.9850833773688322</x:v>
      </x:c>
      <x:c r="AR477" s="11" t="n">
        <x:v>1852.631379244925</x:v>
      </x:c>
      <x:c r="AS477" s="11" t="n">
        <x:v>1466.3005122367672</x:v>
      </x:c>
      <x:c r="AT477" s="11" t="n">
        <x:v>4101.099981028268</x:v>
      </x:c>
      <x:c r="AU477" s="11" t="n">
        <x:v>2681.220830961867</x:v>
      </x:c>
      <x:c r="AV477" s="11" t="n">
        <x:v>0</x:v>
      </x:c>
      <x:c r="AW477" s="11" t="n">
        <x:v>5.162826933668274</x:v>
      </x:c>
      <x:c r="AX477" s="12" t="n">
        <x:v>1</x:v>
      </x:c>
      <x:c r="AY477" s="11" t="n">
        <x:v>2567.538946805667</x:v>
      </x:c>
      <x:c r="AZ477" s="11" t="n">
        <x:v>3546.5079302077975</x:v>
      </x:c>
      <x:c r="BA477" s="11" t="n">
        <x:v>2045.0195609464422</x:v>
      </x:c>
      <x:c r="BB477" s="11" t="n">
        <x:v>2783.665107049771</x:v>
      </x:c>
      <x:c r="BC477" s="11" t="n">
        <x:v>2217.25520024837</x:v>
      </x:c>
      <x:c r="BD477" s="11" t="n">
        <x:v>2437.8724475115623</x:v>
      </x:c>
      <x:c r="BE477" s="11" t="n">
        <x:v>799.2304887641933</x:v>
      </x:c>
      <x:c r="BF477" s="11" t="n">
        <x:v>1604.3462673977224</x:v>
      </x:c>
      <x:c r="BG477" s="11" t="n">
        <x:v>386.9249167164944</x:v>
      </x:c>
      <x:c r="BH477" s="11" t="n">
        <x:v>518.5374381567245</x:v>
      </x:c>
      <x:c r="BI477" s="11" t="n">
        <x:v>1.5629948984418691</x:v>
      </x:c>
      <x:c r="BJ477" s="11" t="n">
        <x:v>1.7099330852451193</x:v>
      </x:c>
      <x:c r="BK477" s="12" t="n">
        <x:v>0.04472396775938227</x:v>
      </x:c>
      <x:c r="BL477" s="12" t="n">
        <x:v>0.02529861000232605</x:v>
      </x:c>
      <x:c r="BM477" s="12" t="n">
        <x:v>0.9792813777328785</x:v>
      </x:c>
      <x:c r="BN477" s="12" t="n">
        <x:v>0.9815511712696461</x:v>
      </x:c>
      <x:c r="BO477" s="12" t="n">
        <x:v>0.8510570773833829</x:v>
      </x:c>
      <x:c r="BP477" s="12" t="n">
        <x:v>0.8619101997275483</x:v>
      </x:c>
      <x:c r="BQ477" s="12" t="n">
        <x:v>0.9732053424599786</x:v>
      </x:c>
      <x:c r="BR477" s="12" t="n">
        <x:v>0.9623635142836453</x:v>
      </x:c>
      <x:c r="BS477" s="12" t="n">
        <x:v>0.170495619408603</x:v>
      </x:c>
      <x:c r="BT477" s="12" t="n">
        <x:v>0.19976549769108282</x:v>
      </x:c>
      <x:c r="BU477" s="11" t="n">
        <x:v>294132</x:v>
      </x:c>
      <x:c r="BV477" s="11" t="n">
        <x:v>1187601</x:v>
      </x:c>
      <x:c r="BW477" s="11" t="n">
        <x:v>83410</x:v>
      </x:c>
      <x:c r="BX477" s="11" t="n">
        <x:v>1332893</x:v>
      </x:c>
      <x:c r="BY477" s="11" t="n">
        <x:v>0</x:v>
      </x:c>
      <x:c r="BZ477" s="11" t="n">
        <x:v>0</x:v>
      </x:c>
      <x:c r="CA477" s="11" t="n">
        <x:v>6000</x:v>
      </x:c>
      <x:c r="CB477" s="11" t="n">
        <x:v>75522</x:v>
      </x:c>
      <x:c r="CC477" s="11" t="n">
        <x:v>1627711</x:v>
      </x:c>
      <x:c r="CD477" s="11" t="n">
        <x:v>2016521</x:v>
      </x:c>
      <x:c r="CE477" s="11" t="n">
        <x:v>0</x:v>
      </x:c>
      <x:c r="CF477" s="11" t="n">
        <x:v>0</x:v>
      </x:c>
      <x:c r="CG477" s="11" t="n">
        <x:v>163353</x:v>
      </x:c>
      <x:c r="CH477" s="11" t="n">
        <x:v>805032</x:v>
      </x:c>
      <x:c r="CI477" s="11" t="n">
        <x:v>1631566</x:v>
      </x:c>
      <x:c r="CJ477" s="11" t="n">
        <x:v>0</x:v>
      </x:c>
      <x:c r="CK477" s="11" t="n">
        <x:v>0</x:v>
      </x:c>
      <x:c r="CL477" s="11" t="n">
        <x:v>0</x:v>
      </x:c>
      <x:c r="CM477" s="11" t="n">
        <x:v>12314</x:v>
      </x:c>
      <x:c r="CN477" s="11" t="n">
        <x:v>0</x:v>
      </x:c>
      <x:c r="CO477" s="11" t="n">
        <x:v>0</x:v>
      </x:c>
      <x:c r="CP477" s="8"/>
      <x:c r="CQ477" s="8"/>
    </x:row>
    <x:row r="478">
      <x:c r="A478" s="8" t="str">
        <x:v>Midway|2019</x:v>
      </x:c>
      <x:c r="B478" s="8" t="str">
        <x:v>midway-v</x:v>
      </x:c>
      <x:c r="C478" s="8" t="str">
        <x:v>Midway</x:v>
      </x:c>
      <x:c r="D478" s="8" t="str">
        <x:v>Midway</x:v>
      </x:c>
      <x:c r="E478" s="8" t="str">
        <x:v>V</x:v>
      </x:c>
      <x:c r="F478" s="8" t="str">
        <x:v>KOO</x:v>
      </x:c>
      <x:c r="G478" s="9" t="n">
        <x:v>2019</x:v>
      </x:c>
      <x:c r="H478" s="10" t="n">
        <x:v>663</x:v>
      </x:c>
      <x:c r="I478" s="8" t="str">
        <x:v>Under 5,000</x:v>
      </x:c>
      <x:c r="J478" s="11" t="n">
        <x:v>2154611</x:v>
      </x:c>
      <x:c r="K478" s="11" t="n">
        <x:v>1699388</x:v>
      </x:c>
      <x:c r="L478" s="11" t="n">
        <x:v>455223</x:v>
      </x:c>
      <x:c r="M478" s="12" t="n">
        <x:v>0.21127850920653427</x:v>
      </x:c>
      <x:c r="N478" s="11" t="n">
        <x:v>694618</x:v>
      </x:c>
      <x:c r="O478" s="11" t="n">
        <x:v>484808</x:v>
      </x:c>
      <x:c r="P478" s="11" t="n">
        <x:v>660488</x:v>
      </x:c>
      <x:c r="Q478" s="11" t="n">
        <x:v>314697</x:v>
      </x:c>
      <x:c r="R478" s="11" t="n">
        <x:v>1427305</x:v>
      </x:c>
      <x:c r="S478" s="11" t="n">
        <x:v>263903</x:v>
      </x:c>
      <x:c r="T478" s="11" t="n">
        <x:v>4511953</x:v>
      </x:c>
      <x:c r="U478" s="11" t="n">
        <x:v>425573</x:v>
      </x:c>
      <x:c r="V478" s="11" t="n">
        <x:v>4736607</x:v>
      </x:c>
      <x:c r="W478" s="11" t="n">
        <x:v>2937343</x:v>
      </x:c>
      <x:c r="X478" s="11" t="n">
        <x:v>184947</x:v>
      </x:c>
      <x:c r="Y478" s="11" t="n">
        <x:v>0</x:v>
      </x:c>
      <x:c r="Z478" s="11" t="n">
        <x:v>44953</x:v>
      </x:c>
      <x:c r="AA478" s="11" t="n">
        <x:v>131858</x:v>
      </x:c>
      <x:c r="AB478" s="11" t="n">
        <x:v>8180</x:v>
      </x:c>
      <x:c r="AC478" s="11" t="n">
        <x:v>53133</x:v>
      </x:c>
      <x:c r="AD478" s="11" t="n">
        <x:v>398569</x:v>
      </x:c>
      <x:c r="AE478" s="11" t="n">
        <x:v>345436</x:v>
      </x:c>
      <x:c r="AF478" s="11" t="n">
        <x:v>1594277</x:v>
      </x:c>
      <x:c r="AG478" s="11" t="n">
        <x:v>11601720</x:v>
      </x:c>
      <x:c r="AH478" s="11" t="n">
        <x:v>4957928</x:v>
      </x:c>
      <x:c r="AI478" s="11" t="n">
        <x:v>6643792</x:v>
      </x:c>
      <x:c r="AJ478" s="11" t="n">
        <x:v>751019</x:v>
      </x:c>
      <x:c r="AK478" s="11" t="n">
        <x:v>1888118</x:v>
      </x:c>
      <x:c r="AL478" s="11" t="n">
        <x:v>0</x:v>
      </x:c>
      <x:c r="AM478" s="12" t="n">
        <x:v>1</x:v>
      </x:c>
      <x:c r="AN478" s="12" t="n">
        <x:v>0.3977606272489325</x:v>
      </x:c>
      <x:c r="AO478" s="11" t="n">
        <x:v>1187725</x:v>
      </x:c>
      <x:c r="AP478" s="11" t="n">
        <x:v>1124556</x:v>
      </x:c>
      <x:c r="AQ478" s="12" t="n">
        <x:v>0.9468151297648867</x:v>
      </x:c>
      <x:c r="AR478" s="11" t="n">
        <x:v>3249.790346907994</x:v>
      </x:c>
      <x:c r="AS478" s="11" t="n">
        <x:v>2563.1794871794873</x:v>
      </x:c>
      <x:c r="AT478" s="11" t="n">
        <x:v>7144.203619909502</x:v>
      </x:c>
      <x:c r="AU478" s="11" t="n">
        <x:v>4430.381598793363</x:v>
      </x:c>
      <x:c r="AV478" s="11" t="n">
        <x:v>198.88084464555052</x:v>
      </x:c>
      <x:c r="AW478" s="11" t="n">
        <x:v>10.602065920535372</x:v>
      </x:c>
      <x:c r="AX478" s="12" t="n">
        <x:v>0.8666905855698762</x:v>
      </x:c>
      <x:c r="AY478" s="11"/>
      <x:c r="AZ478" s="11"/>
      <x:c r="BA478" s="11"/>
      <x:c r="BB478" s="11"/>
      <x:c r="BC478" s="11"/>
      <x:c r="BD478" s="11"/>
      <x:c r="BE478" s="11"/>
      <x:c r="BF478" s="11"/>
      <x:c r="BG478" s="11"/>
      <x:c r="BH478" s="11"/>
      <x:c r="BI478" s="11"/>
      <x:c r="BJ478" s="11"/>
      <x:c r="BK478" s="12"/>
      <x:c r="BL478" s="12"/>
      <x:c r="BM478" s="12"/>
      <x:c r="BN478" s="12"/>
      <x:c r="BO478" s="12"/>
      <x:c r="BP478" s="12"/>
      <x:c r="BQ478" s="12"/>
      <x:c r="BR478" s="12"/>
      <x:c r="BS478" s="12"/>
      <x:c r="BT478" s="12"/>
      <x:c r="BU478" s="11" t="n">
        <x:v>0</x:v>
      </x:c>
      <x:c r="BV478" s="11" t="n">
        <x:v>492172</x:v>
      </x:c>
      <x:c r="BW478" s="11" t="n">
        <x:v>168316</x:v>
      </x:c>
      <x:c r="BX478" s="11" t="n">
        <x:v>75627</x:v>
      </x:c>
      <x:c r="BY478" s="11" t="n">
        <x:v>239070</x:v>
      </x:c>
      <x:c r="BZ478" s="11" t="n">
        <x:v>0</x:v>
      </x:c>
      <x:c r="CA478" s="11" t="n">
        <x:v>0</x:v>
      </x:c>
      <x:c r="CB478" s="11" t="n">
        <x:v>0</x:v>
      </x:c>
      <x:c r="CC478" s="11" t="n">
        <x:v>628373</x:v>
      </x:c>
      <x:c r="CD478" s="11" t="n">
        <x:v>183210</x:v>
      </x:c>
      <x:c r="CE478" s="11" t="n">
        <x:v>0</x:v>
      </x:c>
      <x:c r="CF478" s="11" t="n">
        <x:v>0</x:v>
      </x:c>
      <x:c r="CG478" s="11" t="n">
        <x:v>0</x:v>
      </x:c>
      <x:c r="CH478" s="11" t="n">
        <x:v>174579</x:v>
      </x:c>
      <x:c r="CI478" s="11" t="n">
        <x:v>198807</x:v>
      </x:c>
      <x:c r="CJ478" s="11" t="n">
        <x:v>113195</x:v>
      </x:c>
      <x:c r="CK478" s="11" t="n">
        <x:v>137321</x:v>
      </x:c>
      <x:c r="CL478" s="11" t="n">
        <x:v>0</x:v>
      </x:c>
      <x:c r="CM478" s="11"/>
      <x:c r="CN478" s="11" t="n">
        <x:v>0</x:v>
      </x:c>
      <x:c r="CO478" s="11" t="n">
        <x:v>0</x:v>
      </x:c>
      <x:c r="CP478" s="8"/>
      <x:c r="CQ478" s="8"/>
    </x:row>
    <x:row r="479">
      <x:c r="A479" s="8" t="str">
        <x:v>Midway|2020</x:v>
      </x:c>
      <x:c r="B479" s="8" t="str">
        <x:v>midway-v</x:v>
      </x:c>
      <x:c r="C479" s="8" t="str">
        <x:v>Midway</x:v>
      </x:c>
      <x:c r="D479" s="8" t="str">
        <x:v>Midway</x:v>
      </x:c>
      <x:c r="E479" s="8" t="str">
        <x:v>V</x:v>
      </x:c>
      <x:c r="F479" s="8" t="str">
        <x:v>KOO</x:v>
      </x:c>
      <x:c r="G479" s="9" t="n">
        <x:v>2020</x:v>
      </x:c>
      <x:c r="H479" s="10" t="n">
        <x:v>705</x:v>
      </x:c>
      <x:c r="I479" s="8" t="str">
        <x:v>Under 5,000</x:v>
      </x:c>
      <x:c r="J479" s="11" t="n">
        <x:v>2148379</x:v>
      </x:c>
      <x:c r="K479" s="11" t="n">
        <x:v>1698087</x:v>
      </x:c>
      <x:c r="L479" s="11" t="n">
        <x:v>450292</x:v>
      </x:c>
      <x:c r="M479" s="12" t="n">
        <x:v>0.2095961652948572</x:v>
      </x:c>
      <x:c r="N479" s="11" t="n">
        <x:v>685575</x:v>
      </x:c>
      <x:c r="O479" s="11" t="n">
        <x:v>473570</x:v>
      </x:c>
      <x:c r="P479" s="11" t="n">
        <x:v>1036019</x:v>
      </x:c>
      <x:c r="Q479" s="11" t="n">
        <x:v>-46785</x:v>
      </x:c>
      <x:c r="R479" s="11" t="n">
        <x:v>1435939</x:v>
      </x:c>
      <x:c r="S479" s="11" t="n">
        <x:v>254472</x:v>
      </x:c>
      <x:c r="T479" s="11" t="n">
        <x:v>5231976</x:v>
      </x:c>
      <x:c r="U479" s="11" t="n">
        <x:v>420538</x:v>
      </x:c>
      <x:c r="V479" s="11" t="n">
        <x:v>5279611</x:v>
      </x:c>
      <x:c r="W479" s="11" t="n">
        <x:v>3281887</x:v>
      </x:c>
      <x:c r="X479" s="11" t="n">
        <x:v>131858</x:v>
      </x:c>
      <x:c r="Y479" s="11" t="n">
        <x:v>0</x:v>
      </x:c>
      <x:c r="Z479" s="11" t="n">
        <x:v>22429</x:v>
      </x:c>
      <x:c r="AA479" s="11" t="n">
        <x:v>100474</x:v>
      </x:c>
      <x:c r="AB479" s="11" t="n">
        <x:v>7676</x:v>
      </x:c>
      <x:c r="AC479" s="11" t="n">
        <x:v>30105</x:v>
      </x:c>
      <x:c r="AD479" s="11" t="n">
        <x:v>398363</x:v>
      </x:c>
      <x:c r="AE479" s="11" t="n">
        <x:v>368258</x:v>
      </x:c>
      <x:c r="AF479" s="11" t="n">
        <x:v>1593453</x:v>
      </x:c>
      <x:c r="AG479" s="11" t="n">
        <x:v>11768480</x:v>
      </x:c>
      <x:c r="AH479" s="11" t="n">
        <x:v>5212400</x:v>
      </x:c>
      <x:c r="AI479" s="11" t="n">
        <x:v>6556080</x:v>
      </x:c>
      <x:c r="AJ479" s="11" t="n">
        <x:v>166760</x:v>
      </x:c>
      <x:c r="AK479" s="11" t="n">
        <x:v>1888118</x:v>
      </x:c>
      <x:c r="AL479" s="11" t="n">
        <x:v>0</x:v>
      </x:c>
      <x:c r="AM479" s="12" t="n">
        <x:v>1</x:v>
      </x:c>
      <x:c r="AN479" s="12" t="n">
        <x:v>0.08832075113949446</x:v>
      </x:c>
      <x:c r="AO479" s="11" t="n">
        <x:v>1156982</x:v>
      </x:c>
      <x:c r="AP479" s="11" t="n">
        <x:v>1127615</x:v>
      </x:c>
      <x:c r="AQ479" s="12" t="n">
        <x:v>0.9746175826417351</x:v>
      </x:c>
      <x:c r="AR479" s="11" t="n">
        <x:v>3047.3460992907803</x:v>
      </x:c>
      <x:c r="AS479" s="11" t="n">
        <x:v>2408.6340425531916</x:v>
      </x:c>
      <x:c r="AT479" s="11" t="n">
        <x:v>7488.809929078014</x:v>
      </x:c>
      <x:c r="AU479" s="11" t="n">
        <x:v>4655.158865248227</x:v>
      </x:c>
      <x:c r="AV479" s="11" t="n">
        <x:v>142.51631205673758</x:v>
      </x:c>
      <x:c r="AW479" s="11" t="n">
        <x:v>12.441149194603103</x:v>
      </x:c>
      <x:c r="AX479" s="12" t="n">
        <x:v>0.9244282225005837</x:v>
      </x:c>
      <x:c r="AY479" s="11"/>
      <x:c r="AZ479" s="11"/>
      <x:c r="BA479" s="11"/>
      <x:c r="BB479" s="11"/>
      <x:c r="BC479" s="11"/>
      <x:c r="BD479" s="11"/>
      <x:c r="BE479" s="11"/>
      <x:c r="BF479" s="11"/>
      <x:c r="BG479" s="11"/>
      <x:c r="BH479" s="11"/>
      <x:c r="BI479" s="11"/>
      <x:c r="BJ479" s="11"/>
      <x:c r="BK479" s="12"/>
      <x:c r="BL479" s="12"/>
      <x:c r="BM479" s="12"/>
      <x:c r="BN479" s="12"/>
      <x:c r="BO479" s="12"/>
      <x:c r="BP479" s="12"/>
      <x:c r="BQ479" s="12"/>
      <x:c r="BR479" s="12"/>
      <x:c r="BS479" s="12"/>
      <x:c r="BT479" s="12"/>
      <x:c r="BU479" s="11" t="n">
        <x:v>0</x:v>
      </x:c>
      <x:c r="BV479" s="11" t="n">
        <x:v>981246</x:v>
      </x:c>
      <x:c r="BW479" s="11" t="n">
        <x:v>54773</x:v>
      </x:c>
      <x:c r="BX479" s="11" t="n">
        <x:v>87402</x:v>
      </x:c>
      <x:c r="BY479" s="11" t="n">
        <x:v>-134187</x:v>
      </x:c>
      <x:c r="BZ479" s="11" t="n">
        <x:v>0</x:v>
      </x:c>
      <x:c r="CA479" s="11" t="n">
        <x:v>0</x:v>
      </x:c>
      <x:c r="CB479" s="11" t="n">
        <x:v>0</x:v>
      </x:c>
      <x:c r="CC479" s="11" t="n">
        <x:v>613670</x:v>
      </x:c>
      <x:c r="CD479" s="11" t="n">
        <x:v>263164</x:v>
      </x:c>
      <x:c r="CE479" s="11" t="n">
        <x:v>0</x:v>
      </x:c>
      <x:c r="CF479" s="11" t="n">
        <x:v>0</x:v>
      </x:c>
      <x:c r="CG479" s="11" t="n">
        <x:v>0</x:v>
      </x:c>
      <x:c r="CH479" s="11" t="n">
        <x:v>204415</x:v>
      </x:c>
      <x:c r="CI479" s="11" t="n">
        <x:v>222764</x:v>
      </x:c>
      <x:c r="CJ479" s="11" t="n">
        <x:v>56079</x:v>
      </x:c>
      <x:c r="CK479" s="11" t="n">
        <x:v>83523</x:v>
      </x:c>
      <x:c r="CL479" s="11" t="n">
        <x:v>0</x:v>
      </x:c>
      <x:c r="CM479" s="11"/>
      <x:c r="CN479" s="11" t="n">
        <x:v>0</x:v>
      </x:c>
      <x:c r="CO479" s="11" t="n">
        <x:v>0</x:v>
      </x:c>
      <x:c r="CP479" s="8"/>
      <x:c r="CQ479" s="8"/>
    </x:row>
    <x:row r="480">
      <x:c r="A480" s="8" t="str">
        <x:v>Midway|2021</x:v>
      </x:c>
      <x:c r="B480" s="8" t="str">
        <x:v>midway-v</x:v>
      </x:c>
      <x:c r="C480" s="8" t="str">
        <x:v>Midway</x:v>
      </x:c>
      <x:c r="D480" s="8" t="str">
        <x:v>Midway</x:v>
      </x:c>
      <x:c r="E480" s="8" t="str">
        <x:v>V</x:v>
      </x:c>
      <x:c r="F480" s="8" t="str">
        <x:v>KOO</x:v>
      </x:c>
      <x:c r="G480" s="9" t="n">
        <x:v>2021</x:v>
      </x:c>
      <x:c r="H480" s="10" t="n">
        <x:v>681</x:v>
      </x:c>
      <x:c r="I480" s="8" t="str">
        <x:v>Under 5,000</x:v>
      </x:c>
      <x:c r="J480" s="11" t="n">
        <x:v>3422398</x:v>
      </x:c>
      <x:c r="K480" s="11" t="n">
        <x:v>1763290</x:v>
      </x:c>
      <x:c r="L480" s="11" t="n">
        <x:v>1659108</x:v>
      </x:c>
      <x:c r="M480" s="12" t="n">
        <x:v>0.48477938568220297</x:v>
      </x:c>
      <x:c r="N480" s="11" t="n">
        <x:v>690358</x:v>
      </x:c>
      <x:c r="O480" s="11" t="n">
        <x:v>546687</x:v>
      </x:c>
      <x:c r="P480" s="11" t="n">
        <x:v>819084</x:v>
      </x:c>
      <x:c r="Q480" s="11" t="n">
        <x:v>1366269</x:v>
      </x:c>
      <x:c r="R480" s="11" t="n">
        <x:v>1497975</x:v>
      </x:c>
      <x:c r="S480" s="11" t="n">
        <x:v>259110</x:v>
      </x:c>
      <x:c r="T480" s="11" t="n">
        <x:v>6216970</x:v>
      </x:c>
      <x:c r="U480" s="11" t="n">
        <x:v>950846</x:v>
      </x:c>
      <x:c r="V480" s="11" t="n">
        <x:v>6623148</x:v>
      </x:c>
      <x:c r="W480" s="11" t="n">
        <x:v>3429754</x:v>
      </x:c>
      <x:c r="X480" s="11" t="n">
        <x:v>100474</x:v>
      </x:c>
      <x:c r="Y480" s="11" t="n">
        <x:v>46851</x:v>
      </x:c>
      <x:c r="Z480" s="11" t="n">
        <x:v>14290</x:v>
      </x:c>
      <x:c r="AA480" s="11" t="n">
        <x:v>123782</x:v>
      </x:c>
      <x:c r="AB480" s="11" t="n">
        <x:v>6205</x:v>
      </x:c>
      <x:c r="AC480" s="11" t="n">
        <x:v>20495</x:v>
      </x:c>
      <x:c r="AD480" s="11" t="n">
        <x:v>413473</x:v>
      </x:c>
      <x:c r="AE480" s="11" t="n">
        <x:v>392978</x:v>
      </x:c>
      <x:c r="AF480" s="11" t="n">
        <x:v>1653890</x:v>
      </x:c>
      <x:c r="AG480" s="11" t="n">
        <x:v>12098166</x:v>
      </x:c>
      <x:c r="AH480" s="11" t="n">
        <x:v>5222180</x:v>
      </x:c>
      <x:c r="AI480" s="11" t="n">
        <x:v>6875986</x:v>
      </x:c>
      <x:c r="AJ480" s="11" t="n">
        <x:v>580795</x:v>
      </x:c>
      <x:c r="AK480" s="11" t="n">
        <x:v>2232568</x:v>
      </x:c>
      <x:c r="AL480" s="11" t="n">
        <x:v>0</x:v>
      </x:c>
      <x:c r="AM480" s="12" t="n">
        <x:v>1</x:v>
      </x:c>
      <x:c r="AN480" s="12" t="n">
        <x:v>0.2601466114357995</x:v>
      </x:c>
      <x:c r="AO480" s="11" t="n">
        <x:v>1152396</x:v>
      </x:c>
      <x:c r="AP480" s="11" t="n">
        <x:v>1118566</x:v>
      </x:c>
      <x:c r="AQ480" s="12" t="n">
        <x:v>0.9706437717590134</x:v>
      </x:c>
      <x:c r="AR480" s="11" t="n">
        <x:v>5025.5477239353895</x:v>
      </x:c>
      <x:c r="AS480" s="11" t="n">
        <x:v>2589.265785609398</x:v>
      </x:c>
      <x:c r="AT480" s="11" t="n">
        <x:v>9725.621145374449</x:v>
      </x:c>
      <x:c r="AU480" s="11" t="n">
        <x:v>5036.349486049927</x:v>
      </x:c>
      <x:c r="AV480" s="11" t="n">
        <x:v>181.76505139500733</x:v>
      </x:c>
      <x:c r="AW480" s="11" t="n">
        <x:v>6.538356368959852</x:v>
      </x:c>
      <x:c r="AX480" s="12" t="n">
        <x:v>0.9504320717434995</x:v>
      </x:c>
      <x:c r="AY480" s="11"/>
      <x:c r="AZ480" s="11"/>
      <x:c r="BA480" s="11"/>
      <x:c r="BB480" s="11"/>
      <x:c r="BC480" s="11"/>
      <x:c r="BD480" s="11"/>
      <x:c r="BE480" s="11"/>
      <x:c r="BF480" s="11"/>
      <x:c r="BG480" s="11"/>
      <x:c r="BH480" s="11"/>
      <x:c r="BI480" s="11"/>
      <x:c r="BJ480" s="11"/>
      <x:c r="BK480" s="12"/>
      <x:c r="BL480" s="12"/>
      <x:c r="BM480" s="12"/>
      <x:c r="BN480" s="12"/>
      <x:c r="BO480" s="12"/>
      <x:c r="BP480" s="12"/>
      <x:c r="BQ480" s="12"/>
      <x:c r="BR480" s="12"/>
      <x:c r="BS480" s="12"/>
      <x:c r="BT480" s="12"/>
      <x:c r="BU480" s="11" t="n">
        <x:v>0</x:v>
      </x:c>
      <x:c r="BV480" s="11" t="n">
        <x:v>757347</x:v>
      </x:c>
      <x:c r="BW480" s="11" t="n">
        <x:v>61737</x:v>
      </x:c>
      <x:c r="BX480" s="11" t="n">
        <x:v>69612</x:v>
      </x:c>
      <x:c r="BY480" s="11" t="n">
        <x:v>1252139</x:v>
      </x:c>
      <x:c r="BZ480" s="11" t="n">
        <x:v>0</x:v>
      </x:c>
      <x:c r="CA480" s="11" t="n">
        <x:v>44518</x:v>
      </x:c>
      <x:c r="CB480" s="11" t="n">
        <x:v>0</x:v>
      </x:c>
      <x:c r="CC480" s="11" t="n">
        <x:v>668836</x:v>
      </x:c>
      <x:c r="CD480" s="11" t="n">
        <x:v>349351</x:v>
      </x:c>
      <x:c r="CE480" s="11" t="n">
        <x:v>0</x:v>
      </x:c>
      <x:c r="CF480" s="11" t="n">
        <x:v>0</x:v>
      </x:c>
      <x:c r="CG480" s="11" t="n">
        <x:v>0</x:v>
      </x:c>
      <x:c r="CH480" s="11" t="n">
        <x:v>187598</x:v>
      </x:c>
      <x:c r="CI480" s="11" t="n">
        <x:v>179404</x:v>
      </x:c>
      <x:c r="CJ480" s="11" t="n">
        <x:v>40470</x:v>
      </x:c>
      <x:c r="CK480" s="11" t="n">
        <x:v>78521</x:v>
      </x:c>
      <x:c r="CL480" s="11" t="n">
        <x:v>0</x:v>
      </x:c>
      <x:c r="CM480" s="11"/>
      <x:c r="CN480" s="11" t="n">
        <x:v>0</x:v>
      </x:c>
      <x:c r="CO480" s="11" t="n">
        <x:v>0</x:v>
      </x:c>
      <x:c r="CP480" s="8"/>
      <x:c r="CQ480" s="8"/>
    </x:row>
    <x:row r="481">
      <x:c r="A481" s="8" t="str">
        <x:v>Midway|2022</x:v>
      </x:c>
      <x:c r="B481" s="8" t="str">
        <x:v>midway-v</x:v>
      </x:c>
      <x:c r="C481" s="8" t="str">
        <x:v>Midway</x:v>
      </x:c>
      <x:c r="D481" s="8" t="str">
        <x:v>Midway</x:v>
      </x:c>
      <x:c r="E481" s="8" t="str">
        <x:v>V</x:v>
      </x:c>
      <x:c r="F481" s="8" t="str">
        <x:v>KOO</x:v>
      </x:c>
      <x:c r="G481" s="9" t="n">
        <x:v>2022</x:v>
      </x:c>
      <x:c r="H481" s="10" t="n">
        <x:v>43706</x:v>
      </x:c>
      <x:c r="I481" s="8" t="str">
        <x:v>20,000 to 99,999</x:v>
      </x:c>
      <x:c r="J481" s="11" t="n">
        <x:v>2545900</x:v>
      </x:c>
      <x:c r="K481" s="11" t="n">
        <x:v>2155241</x:v>
      </x:c>
      <x:c r="L481" s="11" t="n">
        <x:v>390659</x:v>
      </x:c>
      <x:c r="M481" s="12" t="n">
        <x:v>0.1534463254644723</x:v>
      </x:c>
      <x:c r="N481" s="11" t="n">
        <x:v>714810</x:v>
      </x:c>
      <x:c r="O481" s="11" t="n">
        <x:v>612428</x:v>
      </x:c>
      <x:c r="P481" s="11" t="n">
        <x:v>1179066</x:v>
      </x:c>
      <x:c r="Q481" s="11" t="n">
        <x:v>39596</x:v>
      </x:c>
      <x:c r="R481" s="11" t="n">
        <x:v>1881283</x:v>
      </x:c>
      <x:c r="S481" s="11" t="n">
        <x:v>267049</x:v>
      </x:c>
      <x:c r="T481" s="11" t="n">
        <x:v>6341569</x:v>
      </x:c>
      <x:c r="U481" s="11" t="n">
        <x:v>859549</x:v>
      </x:c>
      <x:c r="V481" s="11" t="n">
        <x:v>6464078</x:v>
      </x:c>
      <x:c r="W481" s="11" t="n">
        <x:v>3460889</x:v>
      </x:c>
      <x:c r="X481" s="11" t="n">
        <x:v>123783</x:v>
      </x:c>
      <x:c r="Y481" s="11" t="n">
        <x:v>0</x:v>
      </x:c>
      <x:c r="Z481" s="11" t="n">
        <x:v>26862</x:v>
      </x:c>
      <x:c r="AA481" s="11" t="n">
        <x:v>86821</x:v>
      </x:c>
      <x:c r="AB481" s="11" t="n">
        <x:v>6909</x:v>
      </x:c>
      <x:c r="AC481" s="11" t="n">
        <x:v>33771</x:v>
      </x:c>
      <x:c r="AD481" s="11" t="n">
        <x:v>458769</x:v>
      </x:c>
      <x:c r="AE481" s="11" t="n">
        <x:v>424998</x:v>
      </x:c>
      <x:c r="AF481" s="11" t="n">
        <x:v>1835077</x:v>
      </x:c>
      <x:c r="AG481" s="11" t="n">
        <x:v>12898335</x:v>
      </x:c>
      <x:c r="AH481" s="11" t="n">
        <x:v>5500485</x:v>
      </x:c>
      <x:c r="AI481" s="11" t="n">
        <x:v>7397850</x:v>
      </x:c>
      <x:c r="AJ481" s="11" t="n">
        <x:v>788913</x:v>
      </x:c>
      <x:c r="AK481" s="11" t="n">
        <x:v>2232568</x:v>
      </x:c>
      <x:c r="AL481" s="11" t="n">
        <x:v>0</x:v>
      </x:c>
      <x:c r="AM481" s="12" t="n">
        <x:v>1</x:v>
      </x:c>
      <x:c r="AN481" s="12" t="n">
        <x:v>0.3533657205514009</x:v>
      </x:c>
      <x:c r="AO481" s="11" t="n">
        <x:v>1206578</x:v>
      </x:c>
      <x:c r="AP481" s="11" t="n">
        <x:v>1174575</x:v>
      </x:c>
      <x:c r="AQ481" s="12" t="n">
        <x:v>0.9734762278112149</x:v>
      </x:c>
      <x:c r="AR481" s="11" t="n">
        <x:v>58.250583443920746</x:v>
      </x:c>
      <x:c r="AS481" s="11" t="n">
        <x:v>49.31224545828948</x:v>
      </x:c>
      <x:c r="AT481" s="11" t="n">
        <x:v>147.89909852194208</x:v>
      </x:c>
      <x:c r="AU481" s="11" t="n">
        <x:v>79.18567244771884</x:v>
      </x:c>
      <x:c r="AV481" s="11" t="n">
        <x:v>1.9864778291310117</x:v>
      </x:c>
      <x:c r="AW481" s="11" t="n">
        <x:v>7.377786490357153</x:v>
      </x:c>
      <x:c r="AX481" s="12" t="n">
        <x:v>0.9263877899334959</x:v>
      </x:c>
      <x:c r="AY481" s="11"/>
      <x:c r="AZ481" s="11"/>
      <x:c r="BA481" s="11"/>
      <x:c r="BB481" s="11"/>
      <x:c r="BC481" s="11"/>
      <x:c r="BD481" s="11"/>
      <x:c r="BE481" s="11"/>
      <x:c r="BF481" s="11"/>
      <x:c r="BG481" s="11"/>
      <x:c r="BH481" s="11"/>
      <x:c r="BI481" s="11"/>
      <x:c r="BJ481" s="11"/>
      <x:c r="BK481" s="12"/>
      <x:c r="BL481" s="12"/>
      <x:c r="BM481" s="12"/>
      <x:c r="BN481" s="12"/>
      <x:c r="BO481" s="12"/>
      <x:c r="BP481" s="12"/>
      <x:c r="BQ481" s="12"/>
      <x:c r="BR481" s="12"/>
      <x:c r="BS481" s="12"/>
      <x:c r="BT481" s="12"/>
      <x:c r="BU481" s="11" t="n">
        <x:v>0</x:v>
      </x:c>
      <x:c r="BV481" s="11" t="n">
        <x:v>1086584</x:v>
      </x:c>
      <x:c r="BW481" s="11" t="n">
        <x:v>92482</x:v>
      </x:c>
      <x:c r="BX481" s="11" t="n">
        <x:v>72939</x:v>
      </x:c>
      <x:c r="BY481" s="11" t="n">
        <x:v>-33343</x:v>
      </x:c>
      <x:c r="BZ481" s="11" t="n">
        <x:v>0</x:v>
      </x:c>
      <x:c r="CA481" s="11" t="n">
        <x:v>0</x:v>
      </x:c>
      <x:c r="CB481" s="11" t="n">
        <x:v>0</x:v>
      </x:c>
      <x:c r="CC481" s="11" t="n">
        <x:v>824290</x:v>
      </x:c>
      <x:c r="CD481" s="11" t="n">
        <x:v>426089</x:v>
      </x:c>
      <x:c r="CE481" s="11" t="n">
        <x:v>0</x:v>
      </x:c>
      <x:c r="CF481" s="11" t="n">
        <x:v>0</x:v>
      </x:c>
      <x:c r="CG481" s="11" t="n">
        <x:v>0</x:v>
      </x:c>
      <x:c r="CH481" s="11" t="n">
        <x:v>210385</x:v>
      </x:c>
      <x:c r="CI481" s="11" t="n">
        <x:v>218721</x:v>
      </x:c>
      <x:c r="CJ481" s="11" t="n">
        <x:v>86480</x:v>
      </x:c>
      <x:c r="CK481" s="11" t="n">
        <x:v>122227</x:v>
      </x:c>
      <x:c r="CL481" s="11" t="n">
        <x:v>0</x:v>
      </x:c>
      <x:c r="CM481" s="11"/>
      <x:c r="CN481" s="11" t="n">
        <x:v>0</x:v>
      </x:c>
      <x:c r="CO481" s="11" t="n">
        <x:v>0</x:v>
      </x:c>
      <x:c r="CP481" s="8"/>
      <x:c r="CQ481" s="8"/>
    </x:row>
    <x:row r="482">
      <x:c r="A482" s="8" t="str">
        <x:v>Midway|2023</x:v>
      </x:c>
      <x:c r="B482" s="8" t="str">
        <x:v>midway-v</x:v>
      </x:c>
      <x:c r="C482" s="8" t="str">
        <x:v>Midway</x:v>
      </x:c>
      <x:c r="D482" s="8" t="str">
        <x:v>Midway</x:v>
      </x:c>
      <x:c r="E482" s="8" t="str">
        <x:v>V</x:v>
      </x:c>
      <x:c r="F482" s="8" t="str">
        <x:v>KOO</x:v>
      </x:c>
      <x:c r="G482" s="9" t="n">
        <x:v>2023</x:v>
      </x:c>
      <x:c r="H482" s="10" t="n">
        <x:v>738</x:v>
      </x:c>
      <x:c r="I482" s="8" t="str">
        <x:v>Under 5,000</x:v>
      </x:c>
      <x:c r="J482" s="11" t="n">
        <x:v>3503928</x:v>
      </x:c>
      <x:c r="K482" s="11" t="n">
        <x:v>2155737</x:v>
      </x:c>
      <x:c r="L482" s="11" t="n">
        <x:v>1348191</x:v>
      </x:c>
      <x:c r="M482" s="12" t="n">
        <x:v>0.3847656116221566</x:v>
      </x:c>
      <x:c r="N482" s="11" t="n">
        <x:v>740793</x:v>
      </x:c>
      <x:c r="O482" s="11" t="n">
        <x:v>628046</x:v>
      </x:c>
      <x:c r="P482" s="11" t="n">
        <x:v>2107501</x:v>
      </x:c>
      <x:c r="Q482" s="11" t="n">
        <x:v>27588</x:v>
      </x:c>
      <x:c r="R482" s="11" t="n">
        <x:v>1867789</x:v>
      </x:c>
      <x:c r="S482" s="11" t="n">
        <x:v>281742</x:v>
      </x:c>
      <x:c r="T482" s="11" t="n">
        <x:v>7649917</x:v>
      </x:c>
      <x:c r="U482" s="11" t="n">
        <x:v>1140038</x:v>
      </x:c>
      <x:c r="V482" s="11" t="n">
        <x:v>7153587</x:v>
      </x:c>
      <x:c r="W482" s="11" t="n">
        <x:v>4470379</x:v>
      </x:c>
      <x:c r="X482" s="11" t="n">
        <x:v>86821</x:v>
      </x:c>
      <x:c r="Y482" s="11" t="n">
        <x:v>0</x:v>
      </x:c>
      <x:c r="Z482" s="11" t="n">
        <x:v>26421</x:v>
      </x:c>
      <x:c r="AA482" s="11" t="n">
        <x:v>49418</x:v>
      </x:c>
      <x:c r="AB482" s="11" t="n">
        <x:v>6206</x:v>
      </x:c>
      <x:c r="AC482" s="11" t="n">
        <x:v>32627</x:v>
      </x:c>
      <x:c r="AD482" s="11" t="n">
        <x:v>465375</x:v>
      </x:c>
      <x:c r="AE482" s="11" t="n">
        <x:v>432748</x:v>
      </x:c>
      <x:c r="AF482" s="11" t="n">
        <x:v>1861499</x:v>
      </x:c>
      <x:c r="AG482" s="11" t="n">
        <x:v>13857027</x:v>
      </x:c>
      <x:c r="AH482" s="11" t="n">
        <x:v>5782227</x:v>
      </x:c>
      <x:c r="AI482" s="11" t="n">
        <x:v>8074800</x:v>
      </x:c>
      <x:c r="AJ482" s="11" t="n">
        <x:v>958692</x:v>
      </x:c>
      <x:c r="AK482" s="11" t="n">
        <x:v>2232568</x:v>
      </x:c>
      <x:c r="AL482" s="11" t="n">
        <x:v>0</x:v>
      </x:c>
      <x:c r="AM482" s="12" t="n">
        <x:v>1</x:v>
      </x:c>
      <x:c r="AN482" s="12" t="n">
        <x:v>0.4294122284293244</x:v>
      </x:c>
      <x:c r="AO482" s="11" t="n">
        <x:v>1290575</x:v>
      </x:c>
      <x:c r="AP482" s="11" t="n">
        <x:v>1251603</x:v>
      </x:c>
      <x:c r="AQ482" s="12" t="n">
        <x:v>0.9698026073649343</x:v>
      </x:c>
      <x:c r="AR482" s="11" t="n">
        <x:v>4747.869918699187</x:v>
      </x:c>
      <x:c r="AS482" s="11" t="n">
        <x:v>2921.0528455284552</x:v>
      </x:c>
      <x:c r="AT482" s="11" t="n">
        <x:v>9693.207317073171</x:v>
      </x:c>
      <x:c r="AU482" s="11" t="n">
        <x:v>6057.424119241193</x:v>
      </x:c>
      <x:c r="AV482" s="11" t="n">
        <x:v>66.96205962059621</x:v>
      </x:c>
      <x:c r="AW482" s="11" t="n">
        <x:v>6.710229834444115</x:v>
      </x:c>
      <x:c r="AX482" s="12" t="n">
        <x:v>0.929890948160086</x:v>
      </x:c>
      <x:c r="AY482" s="11"/>
      <x:c r="AZ482" s="11"/>
      <x:c r="BA482" s="11"/>
      <x:c r="BB482" s="11"/>
      <x:c r="BC482" s="11"/>
      <x:c r="BD482" s="11"/>
      <x:c r="BE482" s="11"/>
      <x:c r="BF482" s="11"/>
      <x:c r="BG482" s="11"/>
      <x:c r="BH482" s="11"/>
      <x:c r="BI482" s="11"/>
      <x:c r="BJ482" s="11"/>
      <x:c r="BK482" s="12"/>
      <x:c r="BL482" s="12"/>
      <x:c r="BM482" s="12"/>
      <x:c r="BN482" s="12"/>
      <x:c r="BO482" s="12"/>
      <x:c r="BP482" s="12"/>
      <x:c r="BQ482" s="12"/>
      <x:c r="BR482" s="12"/>
      <x:c r="BS482" s="12"/>
      <x:c r="BT482" s="12"/>
      <x:c r="BU482" s="11" t="n">
        <x:v>0</x:v>
      </x:c>
      <x:c r="BV482" s="11" t="n">
        <x:v>1952491</x:v>
      </x:c>
      <x:c r="BW482" s="11" t="n">
        <x:v>155010</x:v>
      </x:c>
      <x:c r="BX482" s="11" t="n">
        <x:v>154642</x:v>
      </x:c>
      <x:c r="BY482" s="11" t="n">
        <x:v>-127054</x:v>
      </x:c>
      <x:c r="BZ482" s="11" t="n">
        <x:v>0</x:v>
      </x:c>
      <x:c r="CA482" s="11" t="n">
        <x:v>0</x:v>
      </x:c>
      <x:c r="CB482" s="11" t="n">
        <x:v>0</x:v>
      </x:c>
      <x:c r="CC482" s="11" t="n">
        <x:v>838369</x:v>
      </x:c>
      <x:c r="CD482" s="11" t="n">
        <x:v>427362</x:v>
      </x:c>
      <x:c r="CE482" s="11" t="n">
        <x:v>0</x:v>
      </x:c>
      <x:c r="CF482" s="11" t="n">
        <x:v>0</x:v>
      </x:c>
      <x:c r="CG482" s="11" t="n">
        <x:v>0</x:v>
      </x:c>
      <x:c r="CH482" s="11" t="n">
        <x:v>196752</x:v>
      </x:c>
      <x:c r="CI482" s="11" t="n">
        <x:v>221250</x:v>
      </x:c>
      <x:c r="CJ482" s="11" t="n">
        <x:v>49131</x:v>
      </x:c>
      <x:c r="CK482" s="11" t="n">
        <x:v>141131</x:v>
      </x:c>
      <x:c r="CL482" s="11" t="n">
        <x:v>0</x:v>
      </x:c>
      <x:c r="CM482" s="11" t="n">
        <x:v>0</x:v>
      </x:c>
      <x:c r="CN482" s="11" t="n">
        <x:v>0</x:v>
      </x:c>
      <x:c r="CO482" s="11" t="n">
        <x:v>0</x:v>
      </x:c>
      <x:c r="CP482" s="8"/>
      <x:c r="CQ482" s="8"/>
    </x:row>
    <x:row r="483">
      <x:c r="A483" s="8" t="str">
        <x:v>Midway|2024</x:v>
      </x:c>
      <x:c r="B483" s="8" t="str">
        <x:v>midway-v</x:v>
      </x:c>
      <x:c r="C483" s="8" t="str">
        <x:v>Midway</x:v>
      </x:c>
      <x:c r="D483" s="8" t="str">
        <x:v>Midway</x:v>
      </x:c>
      <x:c r="E483" s="8" t="str">
        <x:v>V</x:v>
      </x:c>
      <x:c r="F483" s="8" t="str">
        <x:v>KOO</x:v>
      </x:c>
      <x:c r="G483" s="9" t="n">
        <x:v>2024</x:v>
      </x:c>
      <x:c r="H483" s="10" t="n">
        <x:v>738</x:v>
      </x:c>
      <x:c r="I483" s="8" t="str">
        <x:v>Under 5,000</x:v>
      </x:c>
      <x:c r="J483" s="11" t="n">
        <x:v>3384761</x:v>
      </x:c>
      <x:c r="K483" s="11" t="n">
        <x:v>2334939</x:v>
      </x:c>
      <x:c r="L483" s="11" t="n">
        <x:v>1049822</x:v>
      </x:c>
      <x:c r="M483" s="12" t="n">
        <x:v>0.31016133783153377</x:v>
      </x:c>
      <x:c r="N483" s="11" t="n">
        <x:v>784953</x:v>
      </x:c>
      <x:c r="O483" s="11" t="n">
        <x:v>699894</x:v>
      </x:c>
      <x:c r="P483" s="11" t="n">
        <x:v>907769</x:v>
      </x:c>
      <x:c r="Q483" s="11" t="n">
        <x:v>992145</x:v>
      </x:c>
      <x:c r="R483" s="11" t="n">
        <x:v>2027534</x:v>
      </x:c>
      <x:c r="S483" s="11" t="n">
        <x:v>303550</x:v>
      </x:c>
      <x:c r="T483" s="11" t="n">
        <x:v>8929602</x:v>
      </x:c>
      <x:c r="U483" s="11" t="n">
        <x:v>1656804</x:v>
      </x:c>
      <x:c r="V483" s="11" t="n">
        <x:v>8154765</x:v>
      </x:c>
      <x:c r="W483" s="11" t="n">
        <x:v>5083812</x:v>
      </x:c>
      <x:c r="X483" s="11" t="n">
        <x:v>49418</x:v>
      </x:c>
      <x:c r="Y483" s="11" t="n">
        <x:v>0</x:v>
      </x:c>
      <x:c r="Z483" s="11" t="n">
        <x:v>26166</x:v>
      </x:c>
      <x:c r="AA483" s="11" t="n">
        <x:v>11347</x:v>
      </x:c>
      <x:c r="AB483" s="11" t="n">
        <x:v>3855</x:v>
      </x:c>
      <x:c r="AC483" s="11" t="n">
        <x:v>30021</x:v>
      </x:c>
      <x:c r="AD483" s="11" t="n">
        <x:v>526033</x:v>
      </x:c>
      <x:c r="AE483" s="11" t="n">
        <x:v>496012</x:v>
      </x:c>
      <x:c r="AF483" s="11" t="n">
        <x:v>2104132</x:v>
      </x:c>
      <x:c r="AG483" s="11" t="n">
        <x:v>14139513</x:v>
      </x:c>
      <x:c r="AH483" s="11" t="n">
        <x:v>6085775</x:v>
      </x:c>
      <x:c r="AI483" s="11" t="n">
        <x:v>8053738</x:v>
      </x:c>
      <x:c r="AJ483" s="11" t="n">
        <x:v>282487</x:v>
      </x:c>
      <x:c r="AK483" s="11" t="n">
        <x:v>2399495</x:v>
      </x:c>
      <x:c r="AL483" s="11" t="n">
        <x:v>0</x:v>
      </x:c>
      <x:c r="AM483" s="12" t="n">
        <x:v>1</x:v>
      </x:c>
      <x:c r="AN483" s="12" t="n">
        <x:v>0.11772768853446246</x:v>
      </x:c>
      <x:c r="AO483" s="11" t="n">
        <x:v>1347145</x:v>
      </x:c>
      <x:c r="AP483" s="11" t="n">
        <x:v>1303436</x:v>
      </x:c>
      <x:c r="AQ483" s="12" t="n">
        <x:v>0.9675543464140831</x:v>
      </x:c>
      <x:c r="AR483" s="11" t="n">
        <x:v>4586.3970189701895</x:v>
      </x:c>
      <x:c r="AS483" s="11" t="n">
        <x:v>3163.8739837398375</x:v>
      </x:c>
      <x:c r="AT483" s="11" t="n">
        <x:v>11049.817073170732</x:v>
      </x:c>
      <x:c r="AU483" s="11" t="n">
        <x:v>6888.634146341464</x:v>
      </x:c>
      <x:c r="AV483" s="11" t="n">
        <x:v>15.375338753387535</x:v>
      </x:c>
      <x:c r="AW483" s="11" t="n">
        <x:v>5.38965502256151</x:v>
      </x:c>
      <x:c r="AX483" s="12" t="n">
        <x:v>0.9429294359859552</x:v>
      </x:c>
      <x:c r="AY483" s="11" t="n">
        <x:v>4648.097865362712</x:v>
      </x:c>
      <x:c r="AZ483" s="11" t="n">
        <x:v>3546.5079302077975</x:v>
      </x:c>
      <x:c r="BA483" s="11" t="n">
        <x:v>3428.422456291105</x:v>
      </x:c>
      <x:c r="BB483" s="11" t="n">
        <x:v>2783.665107049771</x:v>
      </x:c>
      <x:c r="BC483" s="11" t="n">
        <x:v>5030.364110900993</x:v>
      </x:c>
      <x:c r="BD483" s="11" t="n">
        <x:v>2437.8724475115623</x:v>
      </x:c>
      <x:c r="BE483" s="11" t="n">
        <x:v>2420.45</x:v>
      </x:c>
      <x:c r="BF483" s="11" t="n">
        <x:v>1604.3462673977224</x:v>
      </x:c>
      <x:c r="BG483" s="11" t="n">
        <x:v>224.31236112962716</x:v>
      </x:c>
      <x:c r="BH483" s="11" t="n">
        <x:v>518.5374381567245</x:v>
      </x:c>
      <x:c r="BI483" s="11" t="n">
        <x:v>2.204313821553219</x:v>
      </x:c>
      <x:c r="BJ483" s="11" t="n">
        <x:v>1.7099330852451193</x:v>
      </x:c>
      <x:c r="BK483" s="12" t="n">
        <x:v>0.030042455998363887</x:v>
      </x:c>
      <x:c r="BL483" s="12" t="n">
        <x:v>0.02529861000232605</x:v>
      </x:c>
      <x:c r="BM483" s="12" t="n">
        <x:v>0.9786113537119745</x:v>
      </x:c>
      <x:c r="BN483" s="12" t="n">
        <x:v>0.9815511712696461</x:v>
      </x:c>
      <x:c r="BO483" s="12" t="n">
        <x:v>0.9039920521842442</x:v>
      </x:c>
      <x:c r="BP483" s="12" t="n">
        <x:v>0.8619101997275483</x:v>
      </x:c>
      <x:c r="BQ483" s="12" t="n">
        <x:v>0.9333160528846489</x:v>
      </x:c>
      <x:c r="BR483" s="12" t="n">
        <x:v>0.9623635142836453</x:v>
      </x:c>
      <x:c r="BS483" s="12" t="n">
        <x:v>0.20869205825466772</x:v>
      </x:c>
      <x:c r="BT483" s="12" t="n">
        <x:v>0.19976549769108282</x:v>
      </x:c>
      <x:c r="BU483" s="11" t="n">
        <x:v>172985</x:v>
      </x:c>
      <x:c r="BV483" s="11" t="n">
        <x:v>734784</x:v>
      </x:c>
      <x:c r="BW483" s="11" t="n">
        <x:v>0</x:v>
      </x:c>
      <x:c r="BX483" s="11" t="n">
        <x:v>248590</x:v>
      </x:c>
      <x:c r="BY483" s="11" t="n">
        <x:v>743555</x:v>
      </x:c>
      <x:c r="BZ483" s="11" t="n">
        <x:v>0</x:v>
      </x:c>
      <x:c r="CA483" s="11" t="n">
        <x:v>0</x:v>
      </x:c>
      <x:c r="CB483" s="11" t="n">
        <x:v>0</x:v>
      </x:c>
      <x:c r="CC483" s="11" t="n">
        <x:v>958125</x:v>
      </x:c>
      <x:c r="CD483" s="11" t="n">
        <x:v>470249</x:v>
      </x:c>
      <x:c r="CE483" s="11" t="n">
        <x:v>0</x:v>
      </x:c>
      <x:c r="CF483" s="11" t="n">
        <x:v>0</x:v>
      </x:c>
      <x:c r="CG483" s="11" t="n">
        <x:v>0</x:v>
      </x:c>
      <x:c r="CH483" s="11" t="n">
        <x:v>226850</x:v>
      </x:c>
      <x:c r="CI483" s="11" t="n">
        <x:v>255251</x:v>
      </x:c>
      <x:c r="CJ483" s="11" t="n">
        <x:v>56373</x:v>
      </x:c>
      <x:c r="CK483" s="11" t="n">
        <x:v>62229</x:v>
      </x:c>
      <x:c r="CL483" s="11" t="n">
        <x:v>0</x:v>
      </x:c>
      <x:c r="CM483" s="11" t="n">
        <x:v>2312</x:v>
      </x:c>
      <x:c r="CN483" s="11" t="n">
        <x:v>0</x:v>
      </x:c>
      <x:c r="CO483" s="11" t="n">
        <x:v>0</x:v>
      </x:c>
      <x:c r="CP483" s="8"/>
      <x:c r="CQ483" s="8"/>
    </x:row>
    <x:row r="484">
      <x:c r="A484" s="8" t="str">
        <x:v>Mission|2019</x:v>
      </x:c>
      <x:c r="B484" s="8" t="str">
        <x:v>mission-c</x:v>
      </x:c>
      <x:c r="C484" s="8" t="str">
        <x:v>Mission</x:v>
      </x:c>
      <x:c r="D484" s="8" t="str">
        <x:v>Mission</x:v>
      </x:c>
      <x:c r="E484" s="8" t="str">
        <x:v>C</x:v>
      </x:c>
      <x:c r="F484" s="8" t="str">
        <x:v>FVR</x:v>
      </x:c>
      <x:c r="G484" s="9" t="n">
        <x:v>2019</x:v>
      </x:c>
      <x:c r="H484" s="10" t="n">
        <x:v>43202</x:v>
      </x:c>
      <x:c r="I484" s="8" t="str">
        <x:v>20,000 to 99,999</x:v>
      </x:c>
      <x:c r="J484" s="11" t="n">
        <x:v>89069158</x:v>
      </x:c>
      <x:c r="K484" s="11" t="n">
        <x:v>70702280</x:v>
      </x:c>
      <x:c r="L484" s="11" t="n">
        <x:v>18366878</x:v>
      </x:c>
      <x:c r="M484" s="12" t="n">
        <x:v>0.2062091796129924</x:v>
      </x:c>
      <x:c r="N484" s="11" t="n">
        <x:v>37703172</x:v>
      </x:c>
      <x:c r="O484" s="11" t="n">
        <x:v>29962169</x:v>
      </x:c>
      <x:c r="P484" s="11" t="n">
        <x:v>8331552</x:v>
      </x:c>
      <x:c r="Q484" s="11" t="n">
        <x:v>13072265</x:v>
      </x:c>
      <x:c r="R484" s="11" t="n">
        <x:v>60707745</x:v>
      </x:c>
      <x:c r="S484" s="11" t="n">
        <x:v>9755243</x:v>
      </x:c>
      <x:c r="T484" s="11" t="n">
        <x:v>110046109</x:v>
      </x:c>
      <x:c r="U484" s="11" t="n">
        <x:v>47081152</x:v>
      </x:c>
      <x:c r="V484" s="11" t="n">
        <x:v>73334686</x:v>
      </x:c>
      <x:c r="W484" s="11" t="n">
        <x:v>67953735</x:v>
      </x:c>
      <x:c r="X484" s="11" t="n">
        <x:v>4437436</x:v>
      </x:c>
      <x:c r="Y484" s="11" t="n">
        <x:v>0</x:v>
      </x:c>
      <x:c r="Z484" s="11" t="n">
        <x:v>321850</x:v>
      </x:c>
      <x:c r="AA484" s="11" t="n">
        <x:v>3929501</x:v>
      </x:c>
      <x:c r="AB484" s="11" t="n">
        <x:v>239292</x:v>
      </x:c>
      <x:c r="AC484" s="11" t="n">
        <x:v>561142</x:v>
      </x:c>
      <x:c r="AD484" s="11" t="n">
        <x:v>18414930</x:v>
      </x:c>
      <x:c r="AE484" s="11" t="n">
        <x:v>17853788</x:v>
      </x:c>
      <x:c r="AF484" s="11" t="n">
        <x:v>73659721</x:v>
      </x:c>
      <x:c r="AG484" s="11" t="n">
        <x:v>652408976</x:v>
      </x:c>
      <x:c r="AH484" s="11" t="n">
        <x:v>167257906</x:v>
      </x:c>
      <x:c r="AI484" s="11" t="n">
        <x:v>485151070</x:v>
      </x:c>
      <x:c r="AJ484" s="11" t="n">
        <x:v>23236013</x:v>
      </x:c>
      <x:c r="AK484" s="11" t="n">
        <x:v>652744888</x:v>
      </x:c>
      <x:c r="AL484" s="11" t="n">
        <x:v>9768927</x:v>
      </x:c>
      <x:c r="AM484" s="12" t="n">
        <x:v>0.9850340811860943</x:v>
      </x:c>
      <x:c r="AN484" s="12" t="n">
        <x:v>0.03559738793389065</x:v>
      </x:c>
      <x:c r="AO484" s="11" t="n">
        <x:v>61046416</x:v>
      </x:c>
      <x:c r="AP484" s="11" t="n">
        <x:v>58101817</x:v>
      </x:c>
      <x:c r="AQ484" s="12" t="n">
        <x:v>0.9517645884403763</x:v>
      </x:c>
      <x:c r="AR484" s="11" t="n">
        <x:v>2061.690616175177</x:v>
      </x:c>
      <x:c r="AS484" s="11" t="n">
        <x:v>1636.551085597889</x:v>
      </x:c>
      <x:c r="AT484" s="11" t="n">
        <x:v>1697.4835887227443</x:v>
      </x:c>
      <x:c r="AU484" s="11" t="n">
        <x:v>1572.9303041525854</x:v>
      </x:c>
      <x:c r="AV484" s="11" t="n">
        <x:v>90.95646034905792</x:v>
      </x:c>
      <x:c r="AW484" s="11" t="n">
        <x:v>2.337370780562039</x:v>
      </x:c>
      <x:c r="AX484" s="12" t="n">
        <x:v>0.9695278776514491</x:v>
      </x:c>
      <x:c r="AY484" s="11"/>
      <x:c r="AZ484" s="11"/>
      <x:c r="BA484" s="11"/>
      <x:c r="BB484" s="11"/>
      <x:c r="BC484" s="11"/>
      <x:c r="BD484" s="11"/>
      <x:c r="BE484" s="11"/>
      <x:c r="BF484" s="11"/>
      <x:c r="BG484" s="11"/>
      <x:c r="BH484" s="11"/>
      <x:c r="BI484" s="11"/>
      <x:c r="BJ484" s="11"/>
      <x:c r="BK484" s="12"/>
      <x:c r="BL484" s="12"/>
      <x:c r="BM484" s="12"/>
      <x:c r="BN484" s="12"/>
      <x:c r="BO484" s="12"/>
      <x:c r="BP484" s="12"/>
      <x:c r="BQ484" s="12"/>
      <x:c r="BR484" s="12"/>
      <x:c r="BS484" s="12"/>
      <x:c r="BT484" s="12"/>
      <x:c r="BU484" s="11" t="n">
        <x:v>5493591</x:v>
      </x:c>
      <x:c r="BV484" s="11" t="n">
        <x:v>2837961</x:v>
      </x:c>
      <x:c r="BW484" s="11" t="n">
        <x:v>0</x:v>
      </x:c>
      <x:c r="BX484" s="11" t="n">
        <x:v>2270086</x:v>
      </x:c>
      <x:c r="BY484" s="11" t="n">
        <x:v>0</x:v>
      </x:c>
      <x:c r="BZ484" s="11" t="n">
        <x:v>7994196</x:v>
      </x:c>
      <x:c r="CA484" s="11" t="n">
        <x:v>81682</x:v>
      </x:c>
      <x:c r="CB484" s="11" t="n">
        <x:v>2726301</x:v>
      </x:c>
      <x:c r="CC484" s="11" t="n">
        <x:v>7779363</x:v>
      </x:c>
      <x:c r="CD484" s="11" t="n">
        <x:v>16588573</x:v>
      </x:c>
      <x:c r="CE484" s="11" t="n">
        <x:v>5998164</x:v>
      </x:c>
      <x:c r="CF484" s="11" t="n">
        <x:v>0</x:v>
      </x:c>
      <x:c r="CG484" s="11" t="n">
        <x:v>3010604</x:v>
      </x:c>
      <x:c r="CH484" s="11" t="n">
        <x:v>10455019</x:v>
      </x:c>
      <x:c r="CI484" s="11" t="n">
        <x:v>9230454</x:v>
      </x:c>
      <x:c r="CJ484" s="11" t="n">
        <x:v>2584723</x:v>
      </x:c>
      <x:c r="CK484" s="11" t="n">
        <x:v>2453714</x:v>
      </x:c>
      <x:c r="CL484" s="11" t="n">
        <x:v>2817565</x:v>
      </x:c>
      <x:c r="CM484" s="11"/>
      <x:c r="CN484" s="11" t="n">
        <x:v>28858</x:v>
      </x:c>
      <x:c r="CO484" s="11" t="n">
        <x:v>0</x:v>
      </x:c>
      <x:c r="CP484" s="8"/>
      <x:c r="CQ484" s="8"/>
    </x:row>
    <x:row r="485">
      <x:c r="A485" s="8" t="str">
        <x:v>Mission|2020</x:v>
      </x:c>
      <x:c r="B485" s="8" t="str">
        <x:v>mission-c</x:v>
      </x:c>
      <x:c r="C485" s="8" t="str">
        <x:v>Mission</x:v>
      </x:c>
      <x:c r="D485" s="8" t="str">
        <x:v>Mission</x:v>
      </x:c>
      <x:c r="E485" s="8" t="str">
        <x:v>C</x:v>
      </x:c>
      <x:c r="F485" s="8" t="str">
        <x:v>FVR</x:v>
      </x:c>
      <x:c r="G485" s="9" t="n">
        <x:v>2020</x:v>
      </x:c>
      <x:c r="H485" s="10" t="n">
        <x:v>42855</x:v>
      </x:c>
      <x:c r="I485" s="8" t="str">
        <x:v>20,000 to 99,999</x:v>
      </x:c>
      <x:c r="J485" s="11" t="n">
        <x:v>89697197</x:v>
      </x:c>
      <x:c r="K485" s="11" t="n">
        <x:v>72987916</x:v>
      </x:c>
      <x:c r="L485" s="11" t="n">
        <x:v>16709281</x:v>
      </x:c>
      <x:c r="M485" s="12" t="n">
        <x:v>0.18628543097060213</x:v>
      </x:c>
      <x:c r="N485" s="11" t="n">
        <x:v>39992552</x:v>
      </x:c>
      <x:c r="O485" s="11" t="n">
        <x:v>28811968</x:v>
      </x:c>
      <x:c r="P485" s="11" t="n">
        <x:v>10065550</x:v>
      </x:c>
      <x:c r="Q485" s="11" t="n">
        <x:v>10827127</x:v>
      </x:c>
      <x:c r="R485" s="11" t="n">
        <x:v>62582263</x:v>
      </x:c>
      <x:c r="S485" s="11" t="n">
        <x:v>10201348</x:v>
      </x:c>
      <x:c r="T485" s="11" t="n">
        <x:v>133753796</x:v>
      </x:c>
      <x:c r="U485" s="11" t="n">
        <x:v>65944399</x:v>
      </x:c>
      <x:c r="V485" s="11" t="n">
        <x:v>79142629</x:v>
      </x:c>
      <x:c r="W485" s="11" t="n">
        <x:v>69442491</x:v>
      </x:c>
      <x:c r="X485" s="11" t="n">
        <x:v>3929501</x:v>
      </x:c>
      <x:c r="Y485" s="11" t="n">
        <x:v>0</x:v>
      </x:c>
      <x:c r="Z485" s="11" t="n">
        <x:v>321850</x:v>
      </x:c>
      <x:c r="AA485" s="11" t="n">
        <x:v>3402095</x:v>
      </x:c>
      <x:c r="AB485" s="11" t="n">
        <x:v>204305</x:v>
      </x:c>
      <x:c r="AC485" s="11" t="n">
        <x:v>526155</x:v>
      </x:c>
      <x:c r="AD485" s="11" t="n">
        <x:v>18324379</x:v>
      </x:c>
      <x:c r="AE485" s="11" t="n">
        <x:v>17798224</x:v>
      </x:c>
      <x:c r="AF485" s="11" t="n">
        <x:v>73297514</x:v>
      </x:c>
      <x:c r="AG485" s="11" t="n">
        <x:v>670889081</x:v>
      </x:c>
      <x:c r="AH485" s="11" t="n">
        <x:v>175163538</x:v>
      </x:c>
      <x:c r="AI485" s="11" t="n">
        <x:v>495725543</x:v>
      </x:c>
      <x:c r="AJ485" s="11" t="n">
        <x:v>21430109</x:v>
      </x:c>
      <x:c r="AK485" s="11" t="n">
        <x:v>1304139005</x:v>
      </x:c>
      <x:c r="AL485" s="11" t="n">
        <x:v>8331568</x:v>
      </x:c>
      <x:c r="AM485" s="12" t="n">
        <x:v>0.9936114417496469</x:v>
      </x:c>
      <x:c r="AN485" s="12" t="n">
        <x:v>0.016432380994539766</x:v>
      </x:c>
      <x:c r="AO485" s="11" t="n">
        <x:v>62133439</x:v>
      </x:c>
      <x:c r="AP485" s="11" t="n">
        <x:v>58636564</x:v>
      </x:c>
      <x:c r="AQ485" s="12" t="n">
        <x:v>0.9437199186737435</x:v>
      </x:c>
      <x:c r="AR485" s="11" t="n">
        <x:v>2093.039248629098</x:v>
      </x:c>
      <x:c r="AS485" s="11" t="n">
        <x:v>1703.1365301598414</x:v>
      </x:c>
      <x:c r="AT485" s="11" t="n">
        <x:v>1846.7536810173842</x:v>
      </x:c>
      <x:c r="AU485" s="11" t="n">
        <x:v>1620.4058102905146</x:v>
      </x:c>
      <x:c r="AV485" s="11" t="n">
        <x:v>79.38618597596546</x:v>
      </x:c>
      <x:c r="AW485" s="11" t="n">
        <x:v>2.028281370795418</x:v>
      </x:c>
      <x:c r="AX485" s="12" t="n">
        <x:v>0.9712866122229845</x:v>
      </x:c>
      <x:c r="AY485" s="11"/>
      <x:c r="AZ485" s="11"/>
      <x:c r="BA485" s="11"/>
      <x:c r="BB485" s="11"/>
      <x:c r="BC485" s="11"/>
      <x:c r="BD485" s="11"/>
      <x:c r="BE485" s="11"/>
      <x:c r="BF485" s="11"/>
      <x:c r="BG485" s="11"/>
      <x:c r="BH485" s="11"/>
      <x:c r="BI485" s="11"/>
      <x:c r="BJ485" s="11"/>
      <x:c r="BK485" s="12"/>
      <x:c r="BL485" s="12"/>
      <x:c r="BM485" s="12"/>
      <x:c r="BN485" s="12"/>
      <x:c r="BO485" s="12"/>
      <x:c r="BP485" s="12"/>
      <x:c r="BQ485" s="12"/>
      <x:c r="BR485" s="12"/>
      <x:c r="BS485" s="12"/>
      <x:c r="BT485" s="12"/>
      <x:c r="BU485" s="11" t="n">
        <x:v>1734944</x:v>
      </x:c>
      <x:c r="BV485" s="11" t="n">
        <x:v>8330606</x:v>
      </x:c>
      <x:c r="BW485" s="11" t="n">
        <x:v>0</x:v>
      </x:c>
      <x:c r="BX485" s="11" t="n">
        <x:v>2030752</x:v>
      </x:c>
      <x:c r="BY485" s="11" t="n">
        <x:v>0</x:v>
      </x:c>
      <x:c r="BZ485" s="11" t="n">
        <x:v>6877494</x:v>
      </x:c>
      <x:c r="CA485" s="11" t="n">
        <x:v>0</x:v>
      </x:c>
      <x:c r="CB485" s="11" t="n">
        <x:v>1918881</x:v>
      </x:c>
      <x:c r="CC485" s="11" t="n">
        <x:v>8875328</x:v>
      </x:c>
      <x:c r="CD485" s="11" t="n">
        <x:v>18107023</x:v>
      </x:c>
      <x:c r="CE485" s="11" t="n">
        <x:v>7598585</x:v>
      </x:c>
      <x:c r="CF485" s="11" t="n">
        <x:v>0</x:v>
      </x:c>
      <x:c r="CG485" s="11" t="n">
        <x:v>3514654</x:v>
      </x:c>
      <x:c r="CH485" s="11" t="n">
        <x:v>8311312</x:v>
      </x:c>
      <x:c r="CI485" s="11" t="n">
        <x:v>7707296</x:v>
      </x:c>
      <x:c r="CJ485" s="11" t="n">
        <x:v>2719968</x:v>
      </x:c>
      <x:c r="CK485" s="11" t="n">
        <x:v>2743206</x:v>
      </x:c>
      <x:c r="CL485" s="11" t="n">
        <x:v>2667263</x:v>
      </x:c>
      <x:c r="CM485" s="11"/>
      <x:c r="CN485" s="11" t="n">
        <x:v>541933</x:v>
      </x:c>
      <x:c r="CO485" s="11" t="n">
        <x:v>0</x:v>
      </x:c>
      <x:c r="CP485" s="8"/>
      <x:c r="CQ485" s="8"/>
    </x:row>
    <x:row r="486">
      <x:c r="A486" s="8" t="str">
        <x:v>Mission|2021</x:v>
      </x:c>
      <x:c r="B486" s="8" t="str">
        <x:v>mission-c</x:v>
      </x:c>
      <x:c r="C486" s="8" t="str">
        <x:v>Mission</x:v>
      </x:c>
      <x:c r="D486" s="8" t="str">
        <x:v>Mission</x:v>
      </x:c>
      <x:c r="E486" s="8" t="str">
        <x:v>C</x:v>
      </x:c>
      <x:c r="F486" s="8" t="str">
        <x:v>FVR</x:v>
      </x:c>
      <x:c r="G486" s="9" t="n">
        <x:v>2021</x:v>
      </x:c>
      <x:c r="H486" s="10" t="n">
        <x:v>43270</x:v>
      </x:c>
      <x:c r="I486" s="8" t="str">
        <x:v>20,000 to 99,999</x:v>
      </x:c>
      <x:c r="J486" s="11" t="n">
        <x:v>125768915</x:v>
      </x:c>
      <x:c r="K486" s="11" t="n">
        <x:v>77969447</x:v>
      </x:c>
      <x:c r="L486" s="11" t="n">
        <x:v>47799468</x:v>
      </x:c>
      <x:c r="M486" s="12" t="n">
        <x:v>0.38005788632270543</x:v>
      </x:c>
      <x:c r="N486" s="11" t="n">
        <x:v>41929022</x:v>
      </x:c>
      <x:c r="O486" s="11" t="n">
        <x:v>35881650</x:v>
      </x:c>
      <x:c r="P486" s="11" t="n">
        <x:v>14508034</x:v>
      </x:c>
      <x:c r="Q486" s="11" t="n">
        <x:v>33450209</x:v>
      </x:c>
      <x:c r="R486" s="11" t="n">
        <x:v>67447989</x:v>
      </x:c>
      <x:c r="S486" s="11" t="n">
        <x:v>10368594</x:v>
      </x:c>
      <x:c r="T486" s="11" t="n">
        <x:v>159250421</x:v>
      </x:c>
      <x:c r="U486" s="11" t="n">
        <x:v>74651310</x:v>
      </x:c>
      <x:c r="V486" s="11" t="n">
        <x:v>94177273</x:v>
      </x:c>
      <x:c r="W486" s="11" t="n">
        <x:v>79288473</x:v>
      </x:c>
      <x:c r="X486" s="11" t="n">
        <x:v>3402095</x:v>
      </x:c>
      <x:c r="Y486" s="11" t="n">
        <x:v>0</x:v>
      </x:c>
      <x:c r="Z486" s="11" t="n">
        <x:v>333811</x:v>
      </x:c>
      <x:c r="AA486" s="11" t="n">
        <x:v>2852648</x:v>
      </x:c>
      <x:c r="AB486" s="11" t="n">
        <x:v>152864</x:v>
      </x:c>
      <x:c r="AC486" s="11" t="n">
        <x:v>486675</x:v>
      </x:c>
      <x:c r="AD486" s="11" t="n">
        <x:v>20682334</x:v>
      </x:c>
      <x:c r="AE486" s="11" t="n">
        <x:v>20195659</x:v>
      </x:c>
      <x:c r="AF486" s="11" t="n">
        <x:v>82729336</x:v>
      </x:c>
      <x:c r="AG486" s="11" t="n">
        <x:v>712409782</x:v>
      </x:c>
      <x:c r="AH486" s="11" t="n">
        <x:v>183940951</x:v>
      </x:c>
      <x:c r="AI486" s="11" t="n">
        <x:v>528468831</x:v>
      </x:c>
      <x:c r="AJ486" s="11" t="n">
        <x:v>44078745</x:v>
      </x:c>
      <x:c r="AK486" s="11" t="n">
        <x:v>1413661342</x:v>
      </x:c>
      <x:c r="AL486" s="11" t="n">
        <x:v>37125464</x:v>
      </x:c>
      <x:c r="AM486" s="12" t="n">
        <x:v>0.9737380779278606</x:v>
      </x:c>
      <x:c r="AN486" s="12" t="n">
        <x:v>0.031180554840410993</x:v>
      </x:c>
      <x:c r="AO486" s="11" t="n">
        <x:v>67924114</x:v>
      </x:c>
      <x:c r="AP486" s="11" t="n">
        <x:v>65155241</x:v>
      </x:c>
      <x:c r="AQ486" s="12" t="n">
        <x:v>0.959235787749841</x:v>
      </x:c>
      <x:c r="AR486" s="11" t="n">
        <x:v>2906.6076958631847</x:v>
      </x:c>
      <x:c r="AS486" s="11" t="n">
        <x:v>1801.9285186041136</x:v>
      </x:c>
      <x:c r="AT486" s="11" t="n">
        <x:v>2176.50272706263</x:v>
      </x:c>
      <x:c r="AU486" s="11" t="n">
        <x:v>1832.4121331176334</x:v>
      </x:c>
      <x:c r="AV486" s="11" t="n">
        <x:v>65.92669285879361</x:v>
      </x:c>
      <x:c r="AW486" s="11" t="n">
        <x:v>2.13325688457443</x:v>
      </x:c>
      <x:c r="AX486" s="12" t="n">
        <x:v>0.976469048415909</x:v>
      </x:c>
      <x:c r="AY486" s="11"/>
      <x:c r="AZ486" s="11"/>
      <x:c r="BA486" s="11"/>
      <x:c r="BB486" s="11"/>
      <x:c r="BC486" s="11"/>
      <x:c r="BD486" s="11"/>
      <x:c r="BE486" s="11"/>
      <x:c r="BF486" s="11"/>
      <x:c r="BG486" s="11"/>
      <x:c r="BH486" s="11"/>
      <x:c r="BI486" s="11"/>
      <x:c r="BJ486" s="11"/>
      <x:c r="BK486" s="12"/>
      <x:c r="BL486" s="12"/>
      <x:c r="BM486" s="12"/>
      <x:c r="BN486" s="12"/>
      <x:c r="BO486" s="12"/>
      <x:c r="BP486" s="12"/>
      <x:c r="BQ486" s="12"/>
      <x:c r="BR486" s="12"/>
      <x:c r="BS486" s="12"/>
      <x:c r="BT486" s="12"/>
      <x:c r="BU486" s="11" t="n">
        <x:v>3507245</x:v>
      </x:c>
      <x:c r="BV486" s="11" t="n">
        <x:v>11000789</x:v>
      </x:c>
      <x:c r="BW486" s="11" t="n">
        <x:v>0</x:v>
      </x:c>
      <x:c r="BX486" s="11" t="n">
        <x:v>1851591</x:v>
      </x:c>
      <x:c r="BY486" s="11" t="n">
        <x:v>0</x:v>
      </x:c>
      <x:c r="BZ486" s="11" t="n">
        <x:v>27824448</x:v>
      </x:c>
      <x:c r="CA486" s="11" t="n">
        <x:v>1362210</x:v>
      </x:c>
      <x:c r="CB486" s="11" t="n">
        <x:v>2411960</x:v>
      </x:c>
      <x:c r="CC486" s="11" t="n">
        <x:v>10240640</x:v>
      </x:c>
      <x:c r="CD486" s="11" t="n">
        <x:v>18742838</x:v>
      </x:c>
      <x:c r="CE486" s="11" t="n">
        <x:v>4702771</x:v>
      </x:c>
      <x:c r="CF486" s="11" t="n">
        <x:v>0</x:v>
      </x:c>
      <x:c r="CG486" s="11" t="n">
        <x:v>3697238</x:v>
      </x:c>
      <x:c r="CH486" s="11" t="n">
        <x:v>9904859</x:v>
      </x:c>
      <x:c r="CI486" s="11" t="n">
        <x:v>9527030</x:v>
      </x:c>
      <x:c r="CJ486" s="11" t="n">
        <x:v>3087031</x:v>
      </x:c>
      <x:c r="CK486" s="11" t="n">
        <x:v>2903230</x:v>
      </x:c>
      <x:c r="CL486" s="11" t="n">
        <x:v>4795216</x:v>
      </x:c>
      <x:c r="CM486" s="11"/>
      <x:c r="CN486" s="11" t="n">
        <x:v>0</x:v>
      </x:c>
      <x:c r="CO486" s="11" t="n">
        <x:v>0</x:v>
      </x:c>
      <x:c r="CP486" s="8"/>
      <x:c r="CQ486" s="8"/>
    </x:row>
    <x:row r="487">
      <x:c r="A487" s="8" t="str">
        <x:v>Mission|2022</x:v>
      </x:c>
      <x:c r="B487" s="8" t="str">
        <x:v>mission-c</x:v>
      </x:c>
      <x:c r="C487" s="8" t="str">
        <x:v>Mission</x:v>
      </x:c>
      <x:c r="D487" s="8" t="str">
        <x:v>Mission</x:v>
      </x:c>
      <x:c r="E487" s="8" t="str">
        <x:v>C</x:v>
      </x:c>
      <x:c r="F487" s="8" t="str">
        <x:v>FVR</x:v>
      </x:c>
      <x:c r="G487" s="9" t="n">
        <x:v>2022</x:v>
      </x:c>
      <x:c r="H487" s="10" t="n">
        <x:v>1070</x:v>
      </x:c>
      <x:c r="I487" s="8" t="str">
        <x:v>Under 5,000</x:v>
      </x:c>
      <x:c r="J487" s="11" t="n">
        <x:v>125153793</x:v>
      </x:c>
      <x:c r="K487" s="11" t="n">
        <x:v>86711831</x:v>
      </x:c>
      <x:c r="L487" s="11" t="n">
        <x:v>38441962</x:v>
      </x:c>
      <x:c r="M487" s="12" t="n">
        <x:v>0.30715778626062096</x:v>
      </x:c>
      <x:c r="N487" s="11" t="n">
        <x:v>45577046</x:v>
      </x:c>
      <x:c r="O487" s="11" t="n">
        <x:v>36562816</x:v>
      </x:c>
      <x:c r="P487" s="11" t="n">
        <x:v>8937550</x:v>
      </x:c>
      <x:c r="Q487" s="11" t="n">
        <x:v>34076381</x:v>
      </x:c>
      <x:c r="R487" s="11" t="n">
        <x:v>75902530</x:v>
      </x:c>
      <x:c r="S487" s="11" t="n">
        <x:v>10545794</x:v>
      </x:c>
      <x:c r="T487" s="11" t="n">
        <x:v>160216597</x:v>
      </x:c>
      <x:c r="U487" s="11" t="n">
        <x:v>86097447</x:v>
      </x:c>
      <x:c r="V487" s="11" t="n">
        <x:v>90474472</x:v>
      </x:c>
      <x:c r="W487" s="11" t="n">
        <x:v>86819392</x:v>
      </x:c>
      <x:c r="X487" s="11" t="n">
        <x:v>2852648</x:v>
      </x:c>
      <x:c r="Y487" s="11" t="n">
        <x:v>12500000</x:v>
      </x:c>
      <x:c r="Z487" s="11" t="n">
        <x:v>333811</x:v>
      </x:c>
      <x:c r="AA487" s="11" t="n">
        <x:v>14783053</x:v>
      </x:c>
      <x:c r="AB487" s="11" t="n">
        <x:v>263507</x:v>
      </x:c>
      <x:c r="AC487" s="11" t="n">
        <x:v>597318</x:v>
      </x:c>
      <x:c r="AD487" s="11" t="n">
        <x:v>22272169</x:v>
      </x:c>
      <x:c r="AE487" s="11" t="n">
        <x:v>21674851</x:v>
      </x:c>
      <x:c r="AF487" s="11" t="n">
        <x:v>89088675</x:v>
      </x:c>
      <x:c r="AG487" s="11" t="n">
        <x:v>764328693</x:v>
      </x:c>
      <x:c r="AH487" s="11" t="n">
        <x:v>193767857</x:v>
      </x:c>
      <x:c r="AI487" s="11" t="n">
        <x:v>570560836</x:v>
      </x:c>
      <x:c r="AJ487" s="11" t="n">
        <x:v>52858235</x:v>
      </x:c>
      <x:c r="AK487" s="11" t="n">
        <x:v>1465994346</x:v>
      </x:c>
      <x:c r="AL487" s="11" t="n">
        <x:v>37927967</x:v>
      </x:c>
      <x:c r="AM487" s="12" t="n">
        <x:v>0.974128162838085</x:v>
      </x:c>
      <x:c r="AN487" s="12" t="n">
        <x:v>0.03605623387581605</x:v>
      </x:c>
      <x:c r="AO487" s="11" t="n">
        <x:v>72754176</x:v>
      </x:c>
      <x:c r="AP487" s="11" t="n">
        <x:v>69262414</x:v>
      </x:c>
      <x:c r="AQ487" s="12" t="n">
        <x:v>0.9520060264307028</x:v>
      </x:c>
      <x:c r="AR487" s="11" t="n">
        <x:v>116966.161682243</x:v>
      </x:c>
      <x:c r="AS487" s="11" t="n">
        <x:v>81039.09439252336</x:v>
      </x:c>
      <x:c r="AT487" s="11" t="n">
        <x:v>84555.58130841122</x:v>
      </x:c>
      <x:c r="AU487" s="11" t="n">
        <x:v>81139.61869158878</x:v>
      </x:c>
      <x:c r="AV487" s="11" t="n">
        <x:v>13815.93738317757</x:v>
      </x:c>
      <x:c r="AW487" s="11" t="n">
        <x:v>1.860875119793041</x:v>
      </x:c>
      <x:c r="AX487" s="12" t="n">
        <x:v>0.9731809685890943</x:v>
      </x:c>
      <x:c r="AY487" s="11"/>
      <x:c r="AZ487" s="11"/>
      <x:c r="BA487" s="11"/>
      <x:c r="BB487" s="11"/>
      <x:c r="BC487" s="11"/>
      <x:c r="BD487" s="11"/>
      <x:c r="BE487" s="11"/>
      <x:c r="BF487" s="11"/>
      <x:c r="BG487" s="11"/>
      <x:c r="BH487" s="11"/>
      <x:c r="BI487" s="11"/>
      <x:c r="BJ487" s="11"/>
      <x:c r="BK487" s="12"/>
      <x:c r="BL487" s="12"/>
      <x:c r="BM487" s="12"/>
      <x:c r="BN487" s="12"/>
      <x:c r="BO487" s="12"/>
      <x:c r="BP487" s="12"/>
      <x:c r="BQ487" s="12"/>
      <x:c r="BR487" s="12"/>
      <x:c r="BS487" s="12"/>
      <x:c r="BT487" s="12"/>
      <x:c r="BU487" s="11" t="n">
        <x:v>1902425</x:v>
      </x:c>
      <x:c r="BV487" s="11" t="n">
        <x:v>7035125</x:v>
      </x:c>
      <x:c r="BW487" s="11" t="n">
        <x:v>0</x:v>
      </x:c>
      <x:c r="BX487" s="11" t="n">
        <x:v>3338286</x:v>
      </x:c>
      <x:c r="BY487" s="11" t="n">
        <x:v>0</x:v>
      </x:c>
      <x:c r="BZ487" s="11" t="n">
        <x:v>28066651</x:v>
      </x:c>
      <x:c r="CA487" s="11" t="n">
        <x:v>0</x:v>
      </x:c>
      <x:c r="CB487" s="11" t="n">
        <x:v>2671444</x:v>
      </x:c>
      <x:c r="CC487" s="11" t="n">
        <x:v>13185945</x:v>
      </x:c>
      <x:c r="CD487" s="11" t="n">
        <x:v>20353038</x:v>
      </x:c>
      <x:c r="CE487" s="11" t="n">
        <x:v>4947208</x:v>
      </x:c>
      <x:c r="CF487" s="11" t="n">
        <x:v>0</x:v>
      </x:c>
      <x:c r="CG487" s="11" t="n">
        <x:v>4298059</x:v>
      </x:c>
      <x:c r="CH487" s="11" t="n">
        <x:v>10995888</x:v>
      </x:c>
      <x:c r="CI487" s="11" t="n">
        <x:v>10623061</x:v>
      </x:c>
      <x:c r="CJ487" s="11" t="n">
        <x:v>3206767</x:v>
      </x:c>
      <x:c r="CK487" s="11" t="n">
        <x:v>3111136</x:v>
      </x:c>
      <x:c r="CL487" s="11" t="n">
        <x:v>5239277</x:v>
      </x:c>
      <x:c r="CM487" s="11"/>
      <x:c r="CN487" s="11" t="n">
        <x:v>205658</x:v>
      </x:c>
      <x:c r="CO487" s="11" t="n">
        <x:v>0</x:v>
      </x:c>
      <x:c r="CP487" s="8"/>
      <x:c r="CQ487" s="8"/>
    </x:row>
    <x:row r="488">
      <x:c r="A488" s="8" t="str">
        <x:v>Mission|2023</x:v>
      </x:c>
      <x:c r="B488" s="8" t="str">
        <x:v>mission-c</x:v>
      </x:c>
      <x:c r="C488" s="8" t="str">
        <x:v>Mission</x:v>
      </x:c>
      <x:c r="D488" s="8" t="str">
        <x:v>Mission</x:v>
      </x:c>
      <x:c r="E488" s="8" t="str">
        <x:v>C</x:v>
      </x:c>
      <x:c r="F488" s="8" t="str">
        <x:v>FVR</x:v>
      </x:c>
      <x:c r="G488" s="9" t="n">
        <x:v>2023</x:v>
      </x:c>
      <x:c r="H488" s="10" t="n">
        <x:v>45231</x:v>
      </x:c>
      <x:c r="I488" s="8" t="str">
        <x:v>20,000 to 99,999</x:v>
      </x:c>
      <x:c r="J488" s="11" t="n">
        <x:v>145186853</x:v>
      </x:c>
      <x:c r="K488" s="11" t="n">
        <x:v>92226177</x:v>
      </x:c>
      <x:c r="L488" s="11" t="n">
        <x:v>52960676</x:v>
      </x:c>
      <x:c r="M488" s="12" t="n">
        <x:v>0.3647759759625067</x:v>
      </x:c>
      <x:c r="N488" s="11" t="n">
        <x:v>49614488</x:v>
      </x:c>
      <x:c r="O488" s="11" t="n">
        <x:v>43128107</x:v>
      </x:c>
      <x:c r="P488" s="11" t="n">
        <x:v>15291822</x:v>
      </x:c>
      <x:c r="Q488" s="11" t="n">
        <x:v>37152436</x:v>
      </x:c>
      <x:c r="R488" s="11" t="n">
        <x:v>80408400</x:v>
      </x:c>
      <x:c r="S488" s="11" t="n">
        <x:v>11182837</x:v>
      </x:c>
      <x:c r="T488" s="11" t="n">
        <x:v>185849356</x:v>
      </x:c>
      <x:c r="U488" s="11" t="n">
        <x:v>107452923</x:v>
      </x:c>
      <x:c r="V488" s="11" t="n">
        <x:v>95738630</x:v>
      </x:c>
      <x:c r="W488" s="11" t="n">
        <x:v>107954040</x:v>
      </x:c>
      <x:c r="X488" s="11" t="n">
        <x:v>14783053</x:v>
      </x:c>
      <x:c r="Y488" s="11" t="n">
        <x:v>0</x:v>
      </x:c>
      <x:c r="Z488" s="11" t="n">
        <x:v>775824</x:v>
      </x:c>
      <x:c r="AA488" s="11" t="n">
        <x:v>13750548</x:v>
      </x:c>
      <x:c r="AB488" s="11" t="n">
        <x:v>634940</x:v>
      </x:c>
      <x:c r="AC488" s="11" t="n">
        <x:v>1410764</x:v>
      </x:c>
      <x:c r="AD488" s="11" t="n">
        <x:v>25568519</x:v>
      </x:c>
      <x:c r="AE488" s="11" t="n">
        <x:v>24157755</x:v>
      </x:c>
      <x:c r="AF488" s="11" t="n">
        <x:v>102274075</x:v>
      </x:c>
      <x:c r="AG488" s="11" t="n">
        <x:v>810101938</x:v>
      </x:c>
      <x:c r="AH488" s="11" t="n">
        <x:v>207329693</x:v>
      </x:c>
      <x:c r="AI488" s="11" t="n">
        <x:v>602772245</x:v>
      </x:c>
      <x:c r="AJ488" s="11" t="n">
        <x:v>43027501</x:v>
      </x:c>
      <x:c r="AK488" s="11" t="n">
        <x:v>1516452080</x:v>
      </x:c>
      <x:c r="AL488" s="11" t="n">
        <x:v>40901469</x:v>
      </x:c>
      <x:c r="AM488" s="12" t="n">
        <x:v>0.9730281823346505</x:v>
      </x:c>
      <x:c r="AN488" s="12" t="n">
        <x:v>0.02837379536582521</x:v>
      </x:c>
      <x:c r="AO488" s="11" t="n">
        <x:v>80079233</x:v>
      </x:c>
      <x:c r="AP488" s="11" t="n">
        <x:v>75617227</x:v>
      </x:c>
      <x:c r="AQ488" s="12" t="n">
        <x:v>0.9442801106748863</x:v>
      </x:c>
      <x:c r="AR488" s="11" t="n">
        <x:v>3209.897039640954</x:v>
      </x:c>
      <x:c r="AS488" s="11" t="n">
        <x:v>2039.0037142667638</x:v>
      </x:c>
      <x:c r="AT488" s="11" t="n">
        <x:v>2116.659591872831</x:v>
      </x:c>
      <x:c r="AU488" s="11" t="n">
        <x:v>2386.7268024142736</x:v>
      </x:c>
      <x:c r="AV488" s="11" t="n">
        <x:v>304.00716322875905</x:v>
      </x:c>
      <x:c r="AW488" s="11" t="n">
        <x:v>1.7295886497196544</x:v>
      </x:c>
      <x:c r="AX488" s="12" t="n">
        <x:v>0.944824180078635</x:v>
      </x:c>
      <x:c r="AY488" s="11"/>
      <x:c r="AZ488" s="11"/>
      <x:c r="BA488" s="11"/>
      <x:c r="BB488" s="11"/>
      <x:c r="BC488" s="11"/>
      <x:c r="BD488" s="11"/>
      <x:c r="BE488" s="11"/>
      <x:c r="BF488" s="11"/>
      <x:c r="BG488" s="11"/>
      <x:c r="BH488" s="11"/>
      <x:c r="BI488" s="11"/>
      <x:c r="BJ488" s="11"/>
      <x:c r="BK488" s="12"/>
      <x:c r="BL488" s="12"/>
      <x:c r="BM488" s="12"/>
      <x:c r="BN488" s="12"/>
      <x:c r="BO488" s="12"/>
      <x:c r="BP488" s="12"/>
      <x:c r="BQ488" s="12"/>
      <x:c r="BR488" s="12"/>
      <x:c r="BS488" s="12"/>
      <x:c r="BT488" s="12"/>
      <x:c r="BU488" s="11" t="n">
        <x:v>3375995</x:v>
      </x:c>
      <x:c r="BV488" s="11" t="n">
        <x:v>11915827</x:v>
      </x:c>
      <x:c r="BW488" s="11" t="n">
        <x:v>0</x:v>
      </x:c>
      <x:c r="BX488" s="11" t="n">
        <x:v>5878319</x:v>
      </x:c>
      <x:c r="BY488" s="11" t="n">
        <x:v>0</x:v>
      </x:c>
      <x:c r="BZ488" s="11" t="n">
        <x:v>28560768</x:v>
      </x:c>
      <x:c r="CA488" s="11" t="n">
        <x:v>0</x:v>
      </x:c>
      <x:c r="CB488" s="11" t="n">
        <x:v>2713349</x:v>
      </x:c>
      <x:c r="CC488" s="11" t="n">
        <x:v>12011535</x:v>
      </x:c>
      <x:c r="CD488" s="11" t="n">
        <x:v>22106912</x:v>
      </x:c>
      <x:c r="CE488" s="11" t="n">
        <x:v>6537276</x:v>
      </x:c>
      <x:c r="CF488" s="11" t="n">
        <x:v>0</x:v>
      </x:c>
      <x:c r="CG488" s="11" t="n">
        <x:v>4813212</x:v>
      </x:c>
      <x:c r="CH488" s="11" t="n">
        <x:v>9660594</x:v>
      </x:c>
      <x:c r="CI488" s="11" t="n">
        <x:v>11347031</x:v>
      </x:c>
      <x:c r="CJ488" s="11" t="n">
        <x:v>5001508</x:v>
      </x:c>
      <x:c r="CK488" s="11" t="n">
        <x:v>3620199</x:v>
      </x:c>
      <x:c r="CL488" s="11" t="n">
        <x:v>4860822</x:v>
      </x:c>
      <x:c r="CM488" s="11" t="n">
        <x:v>675420</x:v>
      </x:c>
      <x:c r="CN488" s="11" t="n">
        <x:v>408831</x:v>
      </x:c>
      <x:c r="CO488" s="11" t="n">
        <x:v>0</x:v>
      </x:c>
      <x:c r="CP488" s="8"/>
      <x:c r="CQ488" s="8"/>
    </x:row>
    <x:row r="489">
      <x:c r="A489" s="8" t="str">
        <x:v>Mission|2024</x:v>
      </x:c>
      <x:c r="B489" s="8" t="str">
        <x:v>mission-c</x:v>
      </x:c>
      <x:c r="C489" s="8" t="str">
        <x:v>Mission</x:v>
      </x:c>
      <x:c r="D489" s="8" t="str">
        <x:v>Mission</x:v>
      </x:c>
      <x:c r="E489" s="8" t="str">
        <x:v>C</x:v>
      </x:c>
      <x:c r="F489" s="8" t="str">
        <x:v>FVR</x:v>
      </x:c>
      <x:c r="G489" s="9" t="n">
        <x:v>2024</x:v>
      </x:c>
      <x:c r="H489" s="10" t="n">
        <x:v>45231</x:v>
      </x:c>
      <x:c r="I489" s="8" t="str">
        <x:v>20,000 to 99,999</x:v>
      </x:c>
      <x:c r="J489" s="11" t="n">
        <x:v>128897611</x:v>
      </x:c>
      <x:c r="K489" s="11" t="n">
        <x:v>97569833</x:v>
      </x:c>
      <x:c r="L489" s="11" t="n">
        <x:v>31327778</x:v>
      </x:c>
      <x:c r="M489" s="12" t="n">
        <x:v>0.24304389939391507</x:v>
      </x:c>
      <x:c r="N489" s="11" t="n">
        <x:v>53692273</x:v>
      </x:c>
      <x:c r="O489" s="11" t="n">
        <x:v>37355772</x:v>
      </x:c>
      <x:c r="P489" s="11" t="n">
        <x:v>9321669</x:v>
      </x:c>
      <x:c r="Q489" s="11" t="n">
        <x:v>28527897</x:v>
      </x:c>
      <x:c r="R489" s="11" t="n">
        <x:v>85673110</x:v>
      </x:c>
      <x:c r="S489" s="11" t="n">
        <x:v>11261783</x:v>
      </x:c>
      <x:c r="T489" s="11" t="n">
        <x:v>193871240</x:v>
      </x:c>
      <x:c r="U489" s="11" t="n">
        <x:v>113130449</x:v>
      </x:c>
      <x:c r="V489" s="11" t="n">
        <x:v>104683617</x:v>
      </x:c>
      <x:c r="W489" s="11" t="n">
        <x:v>117011872</x:v>
      </x:c>
      <x:c r="X489" s="11" t="n">
        <x:v>13750548</x:v>
      </x:c>
      <x:c r="Y489" s="11" t="n">
        <x:v>0</x:v>
      </x:c>
      <x:c r="Z489" s="11" t="n">
        <x:v>775824</x:v>
      </x:c>
      <x:c r="AA489" s="11" t="n">
        <x:v>12680894</x:v>
      </x:c>
      <x:c r="AB489" s="11" t="n">
        <x:v>634940</x:v>
      </x:c>
      <x:c r="AC489" s="11" t="n">
        <x:v>1410764</x:v>
      </x:c>
      <x:c r="AD489" s="11" t="n">
        <x:v>25476519</x:v>
      </x:c>
      <x:c r="AE489" s="11" t="n">
        <x:v>24065755</x:v>
      </x:c>
      <x:c r="AF489" s="11" t="n">
        <x:v>101906076</x:v>
      </x:c>
      <x:c r="AG489" s="11" t="n">
        <x:v>842257794</x:v>
      </x:c>
      <x:c r="AH489" s="11" t="n">
        <x:v>217201375</x:v>
      </x:c>
      <x:c r="AI489" s="11" t="n">
        <x:v>625056419</x:v>
      </x:c>
      <x:c r="AJ489" s="11" t="n">
        <x:v>35069852</x:v>
      </x:c>
      <x:c r="AK489" s="11" t="n">
        <x:v>1546000700</x:v>
      </x:c>
      <x:c r="AL489" s="11" t="n">
        <x:v>43045140</x:v>
      </x:c>
      <x:c r="AM489" s="12" t="n">
        <x:v>0.9721571018693588</x:v>
      </x:c>
      <x:c r="AN489" s="12" t="n">
        <x:v>0.022684240699244185</x:v>
      </x:c>
      <x:c r="AO489" s="11" t="n">
        <x:v>87333881</x:v>
      </x:c>
      <x:c r="AP489" s="11" t="n">
        <x:v>82594293</x:v>
      </x:c>
      <x:c r="AQ489" s="12" t="n">
        <x:v>0.9457302487221425</x:v>
      </x:c>
      <x:c r="AR489" s="11" t="n">
        <x:v>2849.762574340607</x:v>
      </x:c>
      <x:c r="AS489" s="11" t="n">
        <x:v>2157.145165926024</x:v>
      </x:c>
      <x:c r="AT489" s="11" t="n">
        <x:v>2314.4219009086687</x:v>
      </x:c>
      <x:c r="AU489" s="11" t="n">
        <x:v>2586.983971170215</x:v>
      </x:c>
      <x:c r="AV489" s="11" t="n">
        <x:v>280.35847096018216</x:v>
      </x:c>
      <x:c r="AW489" s="11" t="n">
        <x:v>1.7136963718759748</x:v>
      </x:c>
      <x:c r="AX489" s="12" t="n">
        <x:v>0.9446249309020592</x:v>
      </x:c>
      <x:c r="AY489" s="11" t="n">
        <x:v>2823.8160359162957</x:v>
      </x:c>
      <x:c r="AZ489" s="11" t="n">
        <x:v>3546.5079302077975</x:v>
      </x:c>
      <x:c r="BA489" s="11" t="n">
        <x:v>2313.177731087988</x:v>
      </x:c>
      <x:c r="BB489" s="11" t="n">
        <x:v>2783.665107049771</x:v>
      </x:c>
      <x:c r="BC489" s="11" t="n">
        <x:v>1634.933826557682</x:v>
      </x:c>
      <x:c r="BD489" s="11" t="n">
        <x:v>2437.8724475115623</x:v>
      </x:c>
      <x:c r="BE489" s="11" t="n">
        <x:v>1015.8871081440785</x:v>
      </x:c>
      <x:c r="BF489" s="11" t="n">
        <x:v>1604.3462673977224</x:v>
      </x:c>
      <x:c r="BG489" s="11" t="n">
        <x:v>757.3716446138835</x:v>
      </x:c>
      <x:c r="BH489" s="11" t="n">
        <x:v>518.5374381567245</x:v>
      </x:c>
      <x:c r="BI489" s="11" t="n">
        <x:v>1.4428133381403412</x:v>
      </x:c>
      <x:c r="BJ489" s="11" t="n">
        <x:v>1.7099330852451193</x:v>
      </x:c>
      <x:c r="BK489" s="12" t="n">
        <x:v>0.021350493990494074</x:v>
      </x:c>
      <x:c r="BL489" s="12" t="n">
        <x:v>0.02529861000232605</x:v>
      </x:c>
      <x:c r="BM489" s="12" t="n">
        <x:v>0.9847118933607182</x:v>
      </x:c>
      <x:c r="BN489" s="12" t="n">
        <x:v>0.9815511712696461</x:v>
      </x:c>
      <x:c r="BO489" s="12" t="n">
        <x:v>0.8457939120832807</x:v>
      </x:c>
      <x:c r="BP489" s="12" t="n">
        <x:v>0.8619101997275483</x:v>
      </x:c>
      <x:c r="BQ489" s="12" t="n">
        <x:v>0.9744645665293163</x:v>
      </x:c>
      <x:c r="BR489" s="12" t="n">
        <x:v>0.9623635142836453</x:v>
      </x:c>
      <x:c r="BS489" s="12" t="n">
        <x:v>0.16542076645989975</x:v>
      </x:c>
      <x:c r="BT489" s="12" t="n">
        <x:v>0.19976549769108282</x:v>
      </x:c>
      <x:c r="BU489" s="11" t="n">
        <x:v>2112157</x:v>
      </x:c>
      <x:c r="BV489" s="11" t="n">
        <x:v>7209512</x:v>
      </x:c>
      <x:c r="BW489" s="11" t="n">
        <x:v>0</x:v>
      </x:c>
      <x:c r="BX489" s="11" t="n">
        <x:v>7164756</x:v>
      </x:c>
      <x:c r="BY489" s="11" t="n">
        <x:v>0</x:v>
      </x:c>
      <x:c r="BZ489" s="11" t="n">
        <x:v>17817392</x:v>
      </x:c>
      <x:c r="CA489" s="11" t="n">
        <x:v>700094</x:v>
      </x:c>
      <x:c r="CB489" s="11" t="n">
        <x:v>2845655</x:v>
      </x:c>
      <x:c r="CC489" s="11" t="n">
        <x:v>12929998</x:v>
      </x:c>
      <x:c r="CD489" s="11" t="n">
        <x:v>25364111</x:v>
      </x:c>
      <x:c r="CE489" s="11" t="n">
        <x:v>5138910</x:v>
      </x:c>
      <x:c r="CF489" s="11" t="n">
        <x:v>0</x:v>
      </x:c>
      <x:c r="CG489" s="11" t="n">
        <x:v>5281883</x:v>
      </x:c>
      <x:c r="CH489" s="11" t="n">
        <x:v>10957081</x:v>
      </x:c>
      <x:c r="CI489" s="11" t="n">
        <x:v>12453384</x:v>
      </x:c>
      <x:c r="CJ489" s="11" t="n">
        <x:v>4548720</x:v>
      </x:c>
      <x:c r="CK489" s="11" t="n">
        <x:v>3695245</x:v>
      </x:c>
      <x:c r="CL489" s="11" t="n">
        <x:v>4037057</x:v>
      </x:c>
      <x:c r="CM489" s="11" t="n">
        <x:v>696899</x:v>
      </x:c>
      <x:c r="CN489" s="11" t="n">
        <x:v>1204762</x:v>
      </x:c>
      <x:c r="CO489" s="11" t="n">
        <x:v>0</x:v>
      </x:c>
      <x:c r="CP489" s="8"/>
      <x:c r="CQ489" s="8"/>
    </x:row>
    <x:row r="490">
      <x:c r="A490" s="8" t="str">
        <x:v>Montrose|2019</x:v>
      </x:c>
      <x:c r="B490" s="8" t="str">
        <x:v>montrose-v</x:v>
      </x:c>
      <x:c r="C490" s="8" t="str">
        <x:v>Montrose</x:v>
      </x:c>
      <x:c r="D490" s="8" t="str">
        <x:v>Montrose</x:v>
      </x:c>
      <x:c r="E490" s="8" t="str">
        <x:v>V</x:v>
      </x:c>
      <x:c r="F490" s="8" t="str">
        <x:v>KOO</x:v>
      </x:c>
      <x:c r="G490" s="9" t="n">
        <x:v>2019</x:v>
      </x:c>
      <x:c r="H490" s="10" t="n">
        <x:v>1055</x:v>
      </x:c>
      <x:c r="I490" s="8" t="str">
        <x:v>Under 5,000</x:v>
      </x:c>
      <x:c r="J490" s="11" t="n">
        <x:v>1646283</x:v>
      </x:c>
      <x:c r="K490" s="11" t="n">
        <x:v>1382635</x:v>
      </x:c>
      <x:c r="L490" s="11" t="n">
        <x:v>263648</x:v>
      </x:c>
      <x:c r="M490" s="12" t="n">
        <x:v>0.16014743516151234</x:v>
      </x:c>
      <x:c r="N490" s="11" t="n">
        <x:v>517470</x:v>
      </x:c>
      <x:c r="O490" s="11" t="n">
        <x:v>417436</x:v>
      </x:c>
      <x:c r="P490" s="11" t="n">
        <x:v>679259</x:v>
      </x:c>
      <x:c r="Q490" s="11" t="n">
        <x:v>32118</x:v>
      </x:c>
      <x:c r="R490" s="11" t="n">
        <x:v>1064724</x:v>
      </x:c>
      <x:c r="S490" s="11" t="n">
        <x:v>315056</x:v>
      </x:c>
      <x:c r="T490" s="11" t="n">
        <x:v>3395954</x:v>
      </x:c>
      <x:c r="U490" s="11" t="n">
        <x:v>481819</x:v>
      </x:c>
      <x:c r="V490" s="11" t="n">
        <x:v>3016608</x:v>
      </x:c>
      <x:c r="W490" s="11" t="n">
        <x:v>2884381</x:v>
      </x:c>
      <x:c r="X490" s="11" t="n">
        <x:v>125000</x:v>
      </x:c>
      <x:c r="Y490" s="11" t="n">
        <x:v>0</x:v>
      </x:c>
      <x:c r="Z490" s="11" t="n">
        <x:v>21694</x:v>
      </x:c>
      <x:c r="AA490" s="11" t="n">
        <x:v>103306</x:v>
      </x:c>
      <x:c r="AB490" s="11" t="n">
        <x:v>2855</x:v>
      </x:c>
      <x:c r="AC490" s="11" t="n">
        <x:v>24549</x:v>
      </x:c>
      <x:c r="AD490" s="11" t="n">
        <x:v>347223</x:v>
      </x:c>
      <x:c r="AE490" s="11" t="n">
        <x:v>322674</x:v>
      </x:c>
      <x:c r="AF490" s="11" t="n">
        <x:v>1388891</x:v>
      </x:c>
      <x:c r="AG490" s="11" t="n">
        <x:v>13715328</x:v>
      </x:c>
      <x:c r="AH490" s="11" t="n">
        <x:v>5691745</x:v>
      </x:c>
      <x:c r="AI490" s="11" t="n">
        <x:v>8023583</x:v>
      </x:c>
      <x:c r="AJ490" s="11" t="n">
        <x:v>187748</x:v>
      </x:c>
      <x:c r="AK490" s="11" t="n">
        <x:v>753653</x:v>
      </x:c>
      <x:c r="AL490" s="11" t="n">
        <x:v>0</x:v>
      </x:c>
      <x:c r="AM490" s="12" t="n">
        <x:v>1</x:v>
      </x:c>
      <x:c r="AN490" s="12" t="n">
        <x:v>0.249117299340678</x:v>
      </x:c>
      <x:c r="AO490" s="11" t="n">
        <x:v>1367730</x:v>
      </x:c>
      <x:c r="AP490" s="11" t="n">
        <x:v>1290754</x:v>
      </x:c>
      <x:c r="AQ490" s="12" t="n">
        <x:v>0.9437198862348563</x:v>
      </x:c>
      <x:c r="AR490" s="11" t="n">
        <x:v>1560.4578199052132</x:v>
      </x:c>
      <x:c r="AS490" s="11" t="n">
        <x:v>1310.5545023696682</x:v>
      </x:c>
      <x:c r="AT490" s="11" t="n">
        <x:v>2859.344075829384</x:v>
      </x:c>
      <x:c r="AU490" s="11" t="n">
        <x:v>2734.0104265402842</x:v>
      </x:c>
      <x:c r="AV490" s="11" t="n">
        <x:v>97.92037914691943</x:v>
      </x:c>
      <x:c r="AW490" s="11" t="n">
        <x:v>7.048194446462261</x:v>
      </x:c>
      <x:c r="AX490" s="12" t="n">
        <x:v>0.929299038370154</x:v>
      </x:c>
      <x:c r="AY490" s="11"/>
      <x:c r="AZ490" s="11"/>
      <x:c r="BA490" s="11"/>
      <x:c r="BB490" s="11"/>
      <x:c r="BC490" s="11"/>
      <x:c r="BD490" s="11"/>
      <x:c r="BE490" s="11"/>
      <x:c r="BF490" s="11"/>
      <x:c r="BG490" s="11"/>
      <x:c r="BH490" s="11"/>
      <x:c r="BI490" s="11"/>
      <x:c r="BJ490" s="11"/>
      <x:c r="BK490" s="12"/>
      <x:c r="BL490" s="12"/>
      <x:c r="BM490" s="12"/>
      <x:c r="BN490" s="12"/>
      <x:c r="BO490" s="12"/>
      <x:c r="BP490" s="12"/>
      <x:c r="BQ490" s="12"/>
      <x:c r="BR490" s="12"/>
      <x:c r="BS490" s="12"/>
      <x:c r="BT490" s="12"/>
      <x:c r="BU490" s="11" t="n">
        <x:v>0</x:v>
      </x:c>
      <x:c r="BV490" s="11" t="n">
        <x:v>421867</x:v>
      </x:c>
      <x:c r="BW490" s="11" t="n">
        <x:v>257392</x:v>
      </x:c>
      <x:c r="BX490" s="11" t="n">
        <x:v>32118</x:v>
      </x:c>
      <x:c r="BY490" s="11" t="n">
        <x:v>0</x:v>
      </x:c>
      <x:c r="BZ490" s="11" t="n">
        <x:v>0</x:v>
      </x:c>
      <x:c r="CA490" s="11" t="n">
        <x:v>0</x:v>
      </x:c>
      <x:c r="CB490" s="11" t="n">
        <x:v>0</x:v>
      </x:c>
      <x:c r="CC490" s="11" t="n">
        <x:v>459566</x:v>
      </x:c>
      <x:c r="CD490" s="11" t="n">
        <x:v>33952</x:v>
      </x:c>
      <x:c r="CE490" s="11" t="n">
        <x:v>23463</x:v>
      </x:c>
      <x:c r="CF490" s="11" t="n">
        <x:v>0</x:v>
      </x:c>
      <x:c r="CG490" s="11" t="n">
        <x:v>49285</x:v>
      </x:c>
      <x:c r="CH490" s="11" t="n">
        <x:v>193926</x:v>
      </x:c>
      <x:c r="CI490" s="11" t="n">
        <x:v>72303</x:v>
      </x:c>
      <x:c r="CJ490" s="11" t="n">
        <x:v>96727</x:v>
      </x:c>
      <x:c r="CK490" s="11" t="n">
        <x:v>138357</x:v>
      </x:c>
      <x:c r="CL490" s="11" t="n">
        <x:v>0</x:v>
      </x:c>
      <x:c r="CM490" s="11"/>
      <x:c r="CN490" s="11" t="n">
        <x:v>0</x:v>
      </x:c>
      <x:c r="CO490" s="11" t="n">
        <x:v>0</x:v>
      </x:c>
      <x:c r="CP490" s="8"/>
      <x:c r="CQ490" s="8"/>
    </x:row>
    <x:row r="491">
      <x:c r="A491" s="8" t="str">
        <x:v>Montrose|2020</x:v>
      </x:c>
      <x:c r="B491" s="8" t="str">
        <x:v>montrose-v</x:v>
      </x:c>
      <x:c r="C491" s="8" t="str">
        <x:v>Montrose</x:v>
      </x:c>
      <x:c r="D491" s="8" t="str">
        <x:v>Montrose</x:v>
      </x:c>
      <x:c r="E491" s="8" t="str">
        <x:v>V</x:v>
      </x:c>
      <x:c r="F491" s="8" t="str">
        <x:v>KOO</x:v>
      </x:c>
      <x:c r="G491" s="9" t="n">
        <x:v>2020</x:v>
      </x:c>
      <x:c r="H491" s="10" t="n">
        <x:v>1049</x:v>
      </x:c>
      <x:c r="I491" s="8" t="str">
        <x:v>Under 5,000</x:v>
      </x:c>
      <x:c r="J491" s="11" t="n">
        <x:v>2395169</x:v>
      </x:c>
      <x:c r="K491" s="11" t="n">
        <x:v>1357774</x:v>
      </x:c>
      <x:c r="L491" s="11" t="n">
        <x:v>1037395</x:v>
      </x:c>
      <x:c r="M491" s="12" t="n">
        <x:v>0.4331197506313751</x:v>
      </x:c>
      <x:c r="N491" s="11" t="n">
        <x:v>521081</x:v>
      </x:c>
      <x:c r="O491" s="11" t="n">
        <x:v>417336</x:v>
      </x:c>
      <x:c r="P491" s="11" t="n">
        <x:v>1435159</x:v>
      </x:c>
      <x:c r="Q491" s="11" t="n">
        <x:v>21593</x:v>
      </x:c>
      <x:c r="R491" s="11" t="n">
        <x:v>1012939</x:v>
      </x:c>
      <x:c r="S491" s="11" t="n">
        <x:v>342587</x:v>
      </x:c>
      <x:c r="T491" s="11" t="n">
        <x:v>4047275</x:v>
      </x:c>
      <x:c r="U491" s="11" t="n">
        <x:v>916491</x:v>
      </x:c>
      <x:c r="V491" s="11" t="n">
        <x:v>3239067</x:v>
      </x:c>
      <x:c r="W491" s="11" t="n">
        <x:v>3047270</x:v>
      </x:c>
      <x:c r="X491" s="11" t="n">
        <x:v>103306</x:v>
      </x:c>
      <x:c r="Y491" s="11" t="n">
        <x:v>0</x:v>
      </x:c>
      <x:c r="Z491" s="11" t="n">
        <x:v>26757</x:v>
      </x:c>
      <x:c r="AA491" s="11" t="n">
        <x:v>76549</x:v>
      </x:c>
      <x:c r="AB491" s="11" t="n">
        <x:v>2248</x:v>
      </x:c>
      <x:c r="AC491" s="11" t="n">
        <x:v>29005</x:v>
      </x:c>
      <x:c r="AD491" s="11" t="n">
        <x:v>348753</x:v>
      </x:c>
      <x:c r="AE491" s="11" t="n">
        <x:v>319748</x:v>
      </x:c>
      <x:c r="AF491" s="11" t="n">
        <x:v>1395013</x:v>
      </x:c>
      <x:c r="AG491" s="11" t="n">
        <x:v>14875436</x:v>
      </x:c>
      <x:c r="AH491" s="11" t="n">
        <x:v>6034330</x:v>
      </x:c>
      <x:c r="AI491" s="11" t="n">
        <x:v>8841106</x:v>
      </x:c>
      <x:c r="AJ491" s="11" t="n">
        <x:v>1160109</x:v>
      </x:c>
      <x:c r="AK491" s="11" t="n">
        <x:v>825636</x:v>
      </x:c>
      <x:c r="AL491" s="11" t="n">
        <x:v>0</x:v>
      </x:c>
      <x:c r="AM491" s="12" t="n">
        <x:v>1</x:v>
      </x:c>
      <x:c r="AN491" s="12" t="n">
        <x:v>1.4051095155734488</x:v>
      </x:c>
      <x:c r="AO491" s="11" t="n">
        <x:v>1340570</x:v>
      </x:c>
      <x:c r="AP491" s="11" t="n">
        <x:v>1286257</x:v>
      </x:c>
      <x:c r="AQ491" s="12" t="n">
        <x:v>0.9594851443788837</x:v>
      </x:c>
      <x:c r="AR491" s="11" t="n">
        <x:v>2283.2878932316494</x:v>
      </x:c>
      <x:c r="AS491" s="11" t="n">
        <x:v>1294.3508102955195</x:v>
      </x:c>
      <x:c r="AT491" s="11" t="n">
        <x:v>3087.7664442326027</x:v>
      </x:c>
      <x:c r="AU491" s="11" t="n">
        <x:v>2904.928503336511</x:v>
      </x:c>
      <x:c r="AV491" s="11" t="n">
        <x:v>72.97330791229743</x:v>
      </x:c>
      <x:c r="AW491" s="11" t="n">
        <x:v>4.416055367701374</x:v>
      </x:c>
      <x:c r="AX491" s="12" t="n">
        <x:v>0.9168322566400863</x:v>
      </x:c>
      <x:c r="AY491" s="11"/>
      <x:c r="AZ491" s="11"/>
      <x:c r="BA491" s="11"/>
      <x:c r="BB491" s="11"/>
      <x:c r="BC491" s="11"/>
      <x:c r="BD491" s="11"/>
      <x:c r="BE491" s="11"/>
      <x:c r="BF491" s="11"/>
      <x:c r="BG491" s="11"/>
      <x:c r="BH491" s="11"/>
      <x:c r="BI491" s="11"/>
      <x:c r="BJ491" s="11"/>
      <x:c r="BK491" s="12"/>
      <x:c r="BL491" s="12"/>
      <x:c r="BM491" s="12"/>
      <x:c r="BN491" s="12"/>
      <x:c r="BO491" s="12"/>
      <x:c r="BP491" s="12"/>
      <x:c r="BQ491" s="12"/>
      <x:c r="BR491" s="12"/>
      <x:c r="BS491" s="12"/>
      <x:c r="BT491" s="12"/>
      <x:c r="BU491" s="11" t="n">
        <x:v>0</x:v>
      </x:c>
      <x:c r="BV491" s="11" t="n">
        <x:v>1186512</x:v>
      </x:c>
      <x:c r="BW491" s="11" t="n">
        <x:v>248647</x:v>
      </x:c>
      <x:c r="BX491" s="11" t="n">
        <x:v>21593</x:v>
      </x:c>
      <x:c r="BY491" s="11" t="n">
        <x:v>0</x:v>
      </x:c>
      <x:c r="BZ491" s="11" t="n">
        <x:v>0</x:v>
      </x:c>
      <x:c r="CA491" s="11" t="n">
        <x:v>0</x:v>
      </x:c>
      <x:c r="CB491" s="11" t="n">
        <x:v>0</x:v>
      </x:c>
      <x:c r="CC491" s="11" t="n">
        <x:v>428361</x:v>
      </x:c>
      <x:c r="CD491" s="11" t="n">
        <x:v>30993</x:v>
      </x:c>
      <x:c r="CE491" s="11" t="n">
        <x:v>28490</x:v>
      </x:c>
      <x:c r="CF491" s="11" t="n">
        <x:v>0</x:v>
      </x:c>
      <x:c r="CG491" s="11" t="n">
        <x:v>72828</x:v>
      </x:c>
      <x:c r="CH491" s="11" t="n">
        <x:v>159895</x:v>
      </x:c>
      <x:c r="CI491" s="11" t="n">
        <x:v>65839</x:v>
      </x:c>
      <x:c r="CJ491" s="11" t="n">
        <x:v>106043</x:v>
      </x:c>
      <x:c r="CK491" s="11" t="n">
        <x:v>122738</x:v>
      </x:c>
      <x:c r="CL491" s="11" t="n">
        <x:v>0</x:v>
      </x:c>
      <x:c r="CM491" s="11"/>
      <x:c r="CN491" s="11" t="n">
        <x:v>0</x:v>
      </x:c>
      <x:c r="CO491" s="11" t="n">
        <x:v>0</x:v>
      </x:c>
      <x:c r="CP491" s="8"/>
      <x:c r="CQ491" s="8"/>
    </x:row>
    <x:row r="492">
      <x:c r="A492" s="8" t="str">
        <x:v>Montrose|2021</x:v>
      </x:c>
      <x:c r="B492" s="8" t="str">
        <x:v>montrose-v</x:v>
      </x:c>
      <x:c r="C492" s="8" t="str">
        <x:v>Montrose</x:v>
      </x:c>
      <x:c r="D492" s="8" t="str">
        <x:v>Montrose</x:v>
      </x:c>
      <x:c r="E492" s="8" t="str">
        <x:v>V</x:v>
      </x:c>
      <x:c r="F492" s="8" t="str">
        <x:v>KOO</x:v>
      </x:c>
      <x:c r="G492" s="9" t="n">
        <x:v>2021</x:v>
      </x:c>
      <x:c r="H492" s="10" t="n">
        <x:v>1052</x:v>
      </x:c>
      <x:c r="I492" s="8" t="str">
        <x:v>Under 5,000</x:v>
      </x:c>
      <x:c r="J492" s="11" t="n">
        <x:v>2138088</x:v>
      </x:c>
      <x:c r="K492" s="11" t="n">
        <x:v>1374629</x:v>
      </x:c>
      <x:c r="L492" s="11" t="n">
        <x:v>763459</x:v>
      </x:c>
      <x:c r="M492" s="12" t="n">
        <x:v>0.3570755740643042</x:v>
      </x:c>
      <x:c r="N492" s="11" t="n">
        <x:v>532327</x:v>
      </x:c>
      <x:c r="O492" s="11" t="n">
        <x:v>449560</x:v>
      </x:c>
      <x:c r="P492" s="11" t="n">
        <x:v>1118545</x:v>
      </x:c>
      <x:c r="Q492" s="11" t="n">
        <x:v>37656</x:v>
      </x:c>
      <x:c r="R492" s="11" t="n">
        <x:v>1023057</x:v>
      </x:c>
      <x:c r="S492" s="11" t="n">
        <x:v>350976</x:v>
      </x:c>
      <x:c r="T492" s="11" t="n">
        <x:v>4376171</x:v>
      </x:c>
      <x:c r="U492" s="11" t="n">
        <x:v>817468</x:v>
      </x:c>
      <x:c r="V492" s="11" t="n">
        <x:v>3672758</x:v>
      </x:c>
      <x:c r="W492" s="11" t="n">
        <x:v>3343108</x:v>
      </x:c>
      <x:c r="X492" s="11" t="n">
        <x:v>76549</x:v>
      </x:c>
      <x:c r="Y492" s="11" t="n">
        <x:v>0</x:v>
      </x:c>
      <x:c r="Z492" s="11" t="n">
        <x:v>26162</x:v>
      </x:c>
      <x:c r="AA492" s="11" t="n">
        <x:v>50387</x:v>
      </x:c>
      <x:c r="AB492" s="11" t="n">
        <x:v>596</x:v>
      </x:c>
      <x:c r="AC492" s="11" t="n">
        <x:v>26758</x:v>
      </x:c>
      <x:c r="AD492" s="11" t="n">
        <x:v>358057</x:v>
      </x:c>
      <x:c r="AE492" s="11" t="n">
        <x:v>331299</x:v>
      </x:c>
      <x:c r="AF492" s="11" t="n">
        <x:v>1432229</x:v>
      </x:c>
      <x:c r="AG492" s="11" t="n">
        <x:v>15503524</x:v>
      </x:c>
      <x:c r="AH492" s="11" t="n">
        <x:v>6338595</x:v>
      </x:c>
      <x:c r="AI492" s="11" t="n">
        <x:v>9164929</x:v>
      </x:c>
      <x:c r="AJ492" s="11" t="n">
        <x:v>674799</x:v>
      </x:c>
      <x:c r="AK492" s="11" t="n">
        <x:v>1316507</x:v>
      </x:c>
      <x:c r="AL492" s="11" t="n">
        <x:v>0</x:v>
      </x:c>
      <x:c r="AM492" s="12" t="n">
        <x:v>1</x:v>
      </x:c>
      <x:c r="AN492" s="12" t="n">
        <x:v>0.5125677265673483</x:v>
      </x:c>
      <x:c r="AO492" s="11" t="n">
        <x:v>1442955</x:v>
      </x:c>
      <x:c r="AP492" s="11" t="n">
        <x:v>1379413</x:v>
      </x:c>
      <x:c r="AQ492" s="12" t="n">
        <x:v>0.9559639767005901</x:v>
      </x:c>
      <x:c r="AR492" s="11" t="n">
        <x:v>2032.403041825095</x:v>
      </x:c>
      <x:c r="AS492" s="11" t="n">
        <x:v>1306.6815589353612</x:v>
      </x:c>
      <x:c r="AT492" s="11" t="n">
        <x:v>3491.2148288973385</x:v>
      </x:c>
      <x:c r="AU492" s="11" t="n">
        <x:v>3177.8593155893536</x:v>
      </x:c>
      <x:c r="AV492" s="11" t="n">
        <x:v>47.89638783269962</x:v>
      </x:c>
      <x:c r="AW492" s="11" t="n">
        <x:v>5.353323922159644</x:v>
      </x:c>
      <x:c r="AX492" s="12" t="n">
        <x:v>0.9252688817702209</x:v>
      </x:c>
      <x:c r="AY492" s="11"/>
      <x:c r="AZ492" s="11"/>
      <x:c r="BA492" s="11"/>
      <x:c r="BB492" s="11"/>
      <x:c r="BC492" s="11"/>
      <x:c r="BD492" s="11"/>
      <x:c r="BE492" s="11"/>
      <x:c r="BF492" s="11"/>
      <x:c r="BG492" s="11"/>
      <x:c r="BH492" s="11"/>
      <x:c r="BI492" s="11"/>
      <x:c r="BJ492" s="11"/>
      <x:c r="BK492" s="12"/>
      <x:c r="BL492" s="12"/>
      <x:c r="BM492" s="12"/>
      <x:c r="BN492" s="12"/>
      <x:c r="BO492" s="12"/>
      <x:c r="BP492" s="12"/>
      <x:c r="BQ492" s="12"/>
      <x:c r="BR492" s="12"/>
      <x:c r="BS492" s="12"/>
      <x:c r="BT492" s="12"/>
      <x:c r="BU492" s="11" t="n">
        <x:v>201976</x:v>
      </x:c>
      <x:c r="BV492" s="11" t="n">
        <x:v>813736</x:v>
      </x:c>
      <x:c r="BW492" s="11" t="n">
        <x:v>102833</x:v>
      </x:c>
      <x:c r="BX492" s="11" t="n">
        <x:v>15656</x:v>
      </x:c>
      <x:c r="BY492" s="11" t="n">
        <x:v>0</x:v>
      </x:c>
      <x:c r="BZ492" s="11" t="n">
        <x:v>0</x:v>
      </x:c>
      <x:c r="CA492" s="11" t="n">
        <x:v>22000</x:v>
      </x:c>
      <x:c r="CB492" s="11" t="n">
        <x:v>0</x:v>
      </x:c>
      <x:c r="CC492" s="11" t="n">
        <x:v>433342</x:v>
      </x:c>
      <x:c r="CD492" s="11" t="n">
        <x:v>44352</x:v>
      </x:c>
      <x:c r="CE492" s="11" t="n">
        <x:v>28472</x:v>
      </x:c>
      <x:c r="CF492" s="11" t="n">
        <x:v>0</x:v>
      </x:c>
      <x:c r="CG492" s="11" t="n">
        <x:v>49007</x:v>
      </x:c>
      <x:c r="CH492" s="11" t="n">
        <x:v>149989</x:v>
      </x:c>
      <x:c r="CI492" s="11" t="n">
        <x:v>99244</x:v>
      </x:c>
      <x:c r="CJ492" s="11" t="n">
        <x:v>94747</x:v>
      </x:c>
      <x:c r="CK492" s="11" t="n">
        <x:v>124500</x:v>
      </x:c>
      <x:c r="CL492" s="11" t="n">
        <x:v>0</x:v>
      </x:c>
      <x:c r="CM492" s="11"/>
      <x:c r="CN492" s="11" t="n">
        <x:v>0</x:v>
      </x:c>
      <x:c r="CO492" s="11" t="n">
        <x:v>0</x:v>
      </x:c>
      <x:c r="CP492" s="8"/>
      <x:c r="CQ492" s="8"/>
    </x:row>
    <x:row r="493">
      <x:c r="A493" s="8" t="str">
        <x:v>Montrose|2022</x:v>
      </x:c>
      <x:c r="B493" s="8" t="str">
        <x:v>montrose-v</x:v>
      </x:c>
      <x:c r="C493" s="8" t="str">
        <x:v>Montrose</x:v>
      </x:c>
      <x:c r="D493" s="8" t="str">
        <x:v>Montrose</x:v>
      </x:c>
      <x:c r="E493" s="8" t="str">
        <x:v>V</x:v>
      </x:c>
      <x:c r="F493" s="8" t="str">
        <x:v>KOO</x:v>
      </x:c>
      <x:c r="G493" s="9" t="n">
        <x:v>2022</x:v>
      </x:c>
      <x:c r="H493" s="10" t="n">
        <x:v>1716</x:v>
      </x:c>
      <x:c r="I493" s="8" t="str">
        <x:v>Under 5,000</x:v>
      </x:c>
      <x:c r="J493" s="11" t="n">
        <x:v>2312688</x:v>
      </x:c>
      <x:c r="K493" s="11" t="n">
        <x:v>1631755</x:v>
      </x:c>
      <x:c r="L493" s="11" t="n">
        <x:v>680933</x:v>
      </x:c>
      <x:c r="M493" s="12" t="n">
        <x:v>0.29443357685948124</x:v>
      </x:c>
      <x:c r="N493" s="11" t="n">
        <x:v>516562</x:v>
      </x:c>
      <x:c r="O493" s="11" t="n">
        <x:v>482565</x:v>
      </x:c>
      <x:c r="P493" s="11" t="n">
        <x:v>1285025</x:v>
      </x:c>
      <x:c r="Q493" s="11" t="n">
        <x:v>28536</x:v>
      </x:c>
      <x:c r="R493" s="11" t="n">
        <x:v>1275708</x:v>
      </x:c>
      <x:c r="S493" s="11" t="n">
        <x:v>353780</x:v>
      </x:c>
      <x:c r="T493" s="11" t="n">
        <x:v>4480891</x:v>
      </x:c>
      <x:c r="U493" s="11" t="n">
        <x:v>785596</x:v>
      </x:c>
      <x:c r="V493" s="11" t="n">
        <x:v>3861790</x:v>
      </x:c>
      <x:c r="W493" s="11" t="n">
        <x:v>3633313</x:v>
      </x:c>
      <x:c r="X493" s="11" t="n">
        <x:v>50387</x:v>
      </x:c>
      <x:c r="Y493" s="11" t="n">
        <x:v>0</x:v>
      </x:c>
      <x:c r="Z493" s="11" t="n">
        <x:v>24491</x:v>
      </x:c>
      <x:c r="AA493" s="11" t="n">
        <x:v>25896</x:v>
      </x:c>
      <x:c r="AB493" s="11" t="n">
        <x:v>2267</x:v>
      </x:c>
      <x:c r="AC493" s="11" t="n">
        <x:v>26758</x:v>
      </x:c>
      <x:c r="AD493" s="11" t="n">
        <x:v>391166</x:v>
      </x:c>
      <x:c r="AE493" s="11" t="n">
        <x:v>364408</x:v>
      </x:c>
      <x:c r="AF493" s="11" t="n">
        <x:v>1564663</x:v>
      </x:c>
      <x:c r="AG493" s="11" t="n">
        <x:v>16212433</x:v>
      </x:c>
      <x:c r="AH493" s="11" t="n">
        <x:v>6570884</x:v>
      </x:c>
      <x:c r="AI493" s="11" t="n">
        <x:v>9641549</x:v>
      </x:c>
      <x:c r="AJ493" s="11" t="n">
        <x:v>830400</x:v>
      </x:c>
      <x:c r="AK493" s="11" t="n">
        <x:v>1886770</x:v>
      </x:c>
      <x:c r="AL493" s="11" t="n">
        <x:v>0</x:v>
      </x:c>
      <x:c r="AM493" s="12" t="n">
        <x:v>1</x:v>
      </x:c>
      <x:c r="AN493" s="12" t="n">
        <x:v>0.440117237395125</x:v>
      </x:c>
      <x:c r="AO493" s="11" t="n">
        <x:v>1441814</x:v>
      </x:c>
      <x:c r="AP493" s="11" t="n">
        <x:v>1384553</x:v>
      </x:c>
      <x:c r="AQ493" s="12" t="n">
        <x:v>0.9602854459729202</x:v>
      </x:c>
      <x:c r="AR493" s="11" t="n">
        <x:v>1347.7202797202797</x:v>
      </x:c>
      <x:c r="AS493" s="11" t="n">
        <x:v>950.9061771561771</x:v>
      </x:c>
      <x:c r="AT493" s="11" t="n">
        <x:v>2250.4603729603728</x:v>
      </x:c>
      <x:c r="AU493" s="11" t="n">
        <x:v>2117.315268065268</x:v>
      </x:c>
      <x:c r="AV493" s="11" t="n">
        <x:v>15.090909090909092</x:v>
      </x:c>
      <x:c r="AW493" s="11" t="n">
        <x:v>5.703810864617437</x:v>
      </x:c>
      <x:c r="AX493" s="12" t="n">
        <x:v>0.9315942592147579</x:v>
      </x:c>
      <x:c r="AY493" s="11"/>
      <x:c r="AZ493" s="11"/>
      <x:c r="BA493" s="11"/>
      <x:c r="BB493" s="11"/>
      <x:c r="BC493" s="11"/>
      <x:c r="BD493" s="11"/>
      <x:c r="BE493" s="11"/>
      <x:c r="BF493" s="11"/>
      <x:c r="BG493" s="11"/>
      <x:c r="BH493" s="11"/>
      <x:c r="BI493" s="11"/>
      <x:c r="BJ493" s="11"/>
      <x:c r="BK493" s="12"/>
      <x:c r="BL493" s="12"/>
      <x:c r="BM493" s="12"/>
      <x:c r="BN493" s="12"/>
      <x:c r="BO493" s="12"/>
      <x:c r="BP493" s="12"/>
      <x:c r="BQ493" s="12"/>
      <x:c r="BR493" s="12"/>
      <x:c r="BS493" s="12"/>
      <x:c r="BT493" s="12"/>
      <x:c r="BU493" s="11" t="n">
        <x:v>101716</x:v>
      </x:c>
      <x:c r="BV493" s="11" t="n">
        <x:v>1089074</x:v>
      </x:c>
      <x:c r="BW493" s="11" t="n">
        <x:v>94235</x:v>
      </x:c>
      <x:c r="BX493" s="11" t="n">
        <x:v>28536</x:v>
      </x:c>
      <x:c r="BY493" s="11" t="n">
        <x:v>0</x:v>
      </x:c>
      <x:c r="BZ493" s="11" t="n">
        <x:v>0</x:v>
      </x:c>
      <x:c r="CA493" s="11" t="n">
        <x:v>0</x:v>
      </x:c>
      <x:c r="CB493" s="11" t="n">
        <x:v>0</x:v>
      </x:c>
      <x:c r="CC493" s="11" t="n">
        <x:v>539271</x:v>
      </x:c>
      <x:c r="CD493" s="11" t="n">
        <x:v>35843</x:v>
      </x:c>
      <x:c r="CE493" s="11" t="n">
        <x:v>26318</x:v>
      </x:c>
      <x:c r="CF493" s="11" t="n">
        <x:v>0</x:v>
      </x:c>
      <x:c r="CG493" s="11" t="n">
        <x:v>115015</x:v>
      </x:c>
      <x:c r="CH493" s="11" t="n">
        <x:v>200826</x:v>
      </x:c>
      <x:c r="CI493" s="11" t="n">
        <x:v>91520</x:v>
      </x:c>
      <x:c r="CJ493" s="11" t="n">
        <x:v>97741</x:v>
      </x:c>
      <x:c r="CK493" s="11" t="n">
        <x:v>171441</x:v>
      </x:c>
      <x:c r="CL493" s="11" t="n">
        <x:v>0</x:v>
      </x:c>
      <x:c r="CM493" s="11"/>
      <x:c r="CN493" s="11" t="n">
        <x:v>0</x:v>
      </x:c>
      <x:c r="CO493" s="11" t="n">
        <x:v>0</x:v>
      </x:c>
      <x:c r="CP493" s="8"/>
      <x:c r="CQ493" s="8"/>
    </x:row>
    <x:row r="494">
      <x:c r="A494" s="8" t="str">
        <x:v>Montrose|2023</x:v>
      </x:c>
      <x:c r="B494" s="8" t="str">
        <x:v>montrose-v</x:v>
      </x:c>
      <x:c r="C494" s="8" t="str">
        <x:v>Montrose</x:v>
      </x:c>
      <x:c r="D494" s="8" t="str">
        <x:v>Montrose</x:v>
      </x:c>
      <x:c r="E494" s="8" t="str">
        <x:v>V</x:v>
      </x:c>
      <x:c r="F494" s="8" t="str">
        <x:v>KOO</x:v>
      </x:c>
      <x:c r="G494" s="9" t="n">
        <x:v>2023</x:v>
      </x:c>
      <x:c r="H494" s="10" t="n">
        <x:v>1097</x:v>
      </x:c>
      <x:c r="I494" s="8" t="str">
        <x:v>Under 5,000</x:v>
      </x:c>
      <x:c r="J494" s="11" t="n">
        <x:v>3995509</x:v>
      </x:c>
      <x:c r="K494" s="11" t="n">
        <x:v>1737990</x:v>
      </x:c>
      <x:c r="L494" s="11" t="n">
        <x:v>2257519</x:v>
      </x:c>
      <x:c r="M494" s="12" t="n">
        <x:v>0.565014119602784</x:v>
      </x:c>
      <x:c r="N494" s="11" t="n">
        <x:v>559816</x:v>
      </x:c>
      <x:c r="O494" s="11" t="n">
        <x:v>501956</x:v>
      </x:c>
      <x:c r="P494" s="11" t="n">
        <x:v>2775531</x:v>
      </x:c>
      <x:c r="Q494" s="11" t="n">
        <x:v>158206</x:v>
      </x:c>
      <x:c r="R494" s="11" t="n">
        <x:v>1258555</x:v>
      </x:c>
      <x:c r="S494" s="11" t="n">
        <x:v>469771</x:v>
      </x:c>
      <x:c r="T494" s="11" t="n">
        <x:v>4830200</x:v>
      </x:c>
      <x:c r="U494" s="11" t="n">
        <x:v>1686502</x:v>
      </x:c>
      <x:c r="V494" s="11" t="n">
        <x:v>3698518</x:v>
      </x:c>
      <x:c r="W494" s="11" t="n">
        <x:v>4044908</x:v>
      </x:c>
      <x:c r="X494" s="11" t="n">
        <x:v>25896</x:v>
      </x:c>
      <x:c r="Y494" s="11" t="n">
        <x:v>199982</x:v>
      </x:c>
      <x:c r="Z494" s="11" t="n">
        <x:v>54434</x:v>
      </x:c>
      <x:c r="AA494" s="11" t="n">
        <x:v>171444</x:v>
      </x:c>
      <x:c r="AB494" s="11" t="n">
        <x:v>9664</x:v>
      </x:c>
      <x:c r="AC494" s="11" t="n">
        <x:v>64098</x:v>
      </x:c>
      <x:c r="AD494" s="11" t="n">
        <x:v>406620</x:v>
      </x:c>
      <x:c r="AE494" s="11" t="n">
        <x:v>342522</x:v>
      </x:c>
      <x:c r="AF494" s="11" t="n">
        <x:v>1626478</x:v>
      </x:c>
      <x:c r="AG494" s="11" t="n">
        <x:v>19165587</x:v>
      </x:c>
      <x:c r="AH494" s="11" t="n">
        <x:v>7127701</x:v>
      </x:c>
      <x:c r="AI494" s="11" t="n">
        <x:v>12037886</x:v>
      </x:c>
      <x:c r="AJ494" s="11" t="n">
        <x:v>1994463</x:v>
      </x:c>
      <x:c r="AK494" s="11" t="n">
        <x:v>3558424</x:v>
      </x:c>
      <x:c r="AL494" s="11" t="n">
        <x:v>0</x:v>
      </x:c>
      <x:c r="AM494" s="12" t="n">
        <x:v>1</x:v>
      </x:c>
      <x:c r="AN494" s="12" t="n">
        <x:v>0.5604905430044311</x:v>
      </x:c>
      <x:c r="AO494" s="11" t="n">
        <x:v>1539350</x:v>
      </x:c>
      <x:c r="AP494" s="11" t="n">
        <x:v>1452572</x:v>
      </x:c>
      <x:c r="AQ494" s="12" t="n">
        <x:v>0.9436268554909539</x:v>
      </x:c>
      <x:c r="AR494" s="11" t="n">
        <x:v>3642.214220601641</x:v>
      </x:c>
      <x:c r="AS494" s="11" t="n">
        <x:v>1584.3117593436646</x:v>
      </x:c>
      <x:c r="AT494" s="11" t="n">
        <x:v>3371.4840474020057</x:v>
      </x:c>
      <x:c r="AU494" s="11" t="n">
        <x:v>3687.2452142206016</x:v>
      </x:c>
      <x:c r="AV494" s="11" t="n">
        <x:v>156.28441203281676</x:v>
      </x:c>
      <x:c r="AW494" s="11" t="n">
        <x:v>2.8640345519898585</x:v>
      </x:c>
      <x:c r="AX494" s="12" t="n">
        <x:v>0.8423638778220451</x:v>
      </x:c>
      <x:c r="AY494" s="11"/>
      <x:c r="AZ494" s="11"/>
      <x:c r="BA494" s="11"/>
      <x:c r="BB494" s="11"/>
      <x:c r="BC494" s="11"/>
      <x:c r="BD494" s="11"/>
      <x:c r="BE494" s="11"/>
      <x:c r="BF494" s="11"/>
      <x:c r="BG494" s="11"/>
      <x:c r="BH494" s="11"/>
      <x:c r="BI494" s="11"/>
      <x:c r="BJ494" s="11"/>
      <x:c r="BK494" s="12"/>
      <x:c r="BL494" s="12"/>
      <x:c r="BM494" s="12"/>
      <x:c r="BN494" s="12"/>
      <x:c r="BO494" s="12"/>
      <x:c r="BP494" s="12"/>
      <x:c r="BQ494" s="12"/>
      <x:c r="BR494" s="12"/>
      <x:c r="BS494" s="12"/>
      <x:c r="BT494" s="12"/>
      <x:c r="BU494" s="11" t="n">
        <x:v>156590</x:v>
      </x:c>
      <x:c r="BV494" s="11" t="n">
        <x:v>2507142</x:v>
      </x:c>
      <x:c r="BW494" s="11" t="n">
        <x:v>111799</x:v>
      </x:c>
      <x:c r="BX494" s="11" t="n">
        <x:v>156706</x:v>
      </x:c>
      <x:c r="BY494" s="11" t="n">
        <x:v>0</x:v>
      </x:c>
      <x:c r="BZ494" s="11" t="n">
        <x:v>0</x:v>
      </x:c>
      <x:c r="CA494" s="11" t="n">
        <x:v>1500</x:v>
      </x:c>
      <x:c r="CB494" s="11" t="n">
        <x:v>0</x:v>
      </x:c>
      <x:c r="CC494" s="11" t="n">
        <x:v>493118</x:v>
      </x:c>
      <x:c r="CD494" s="11" t="n">
        <x:v>43335</x:v>
      </x:c>
      <x:c r="CE494" s="11" t="n">
        <x:v>25964</x:v>
      </x:c>
      <x:c r="CF494" s="11" t="n">
        <x:v>0</x:v>
      </x:c>
      <x:c r="CG494" s="11" t="n">
        <x:v>59872</x:v>
      </x:c>
      <x:c r="CH494" s="11" t="n">
        <x:v>224201</x:v>
      </x:c>
      <x:c r="CI494" s="11" t="n">
        <x:v>110030</x:v>
      </x:c>
      <x:c r="CJ494" s="11" t="n">
        <x:v>131244</x:v>
      </x:c>
      <x:c r="CK494" s="11" t="n">
        <x:v>137483</x:v>
      </x:c>
      <x:c r="CL494" s="11" t="n">
        <x:v>0</x:v>
      </x:c>
      <x:c r="CM494" s="11" t="n">
        <x:v>42972</x:v>
      </x:c>
      <x:c r="CN494" s="11" t="n">
        <x:v>0</x:v>
      </x:c>
      <x:c r="CO494" s="11" t="n">
        <x:v>0</x:v>
      </x:c>
      <x:c r="CP494" s="8"/>
      <x:c r="CQ494" s="8"/>
    </x:row>
    <x:row r="495">
      <x:c r="A495" s="8" t="str">
        <x:v>Montrose|2024</x:v>
      </x:c>
      <x:c r="B495" s="8" t="str">
        <x:v>montrose-v</x:v>
      </x:c>
      <x:c r="C495" s="8" t="str">
        <x:v>Montrose</x:v>
      </x:c>
      <x:c r="D495" s="8" t="str">
        <x:v>Montrose</x:v>
      </x:c>
      <x:c r="E495" s="8" t="str">
        <x:v>V</x:v>
      </x:c>
      <x:c r="F495" s="8" t="str">
        <x:v>KOO</x:v>
      </x:c>
      <x:c r="G495" s="9" t="n">
        <x:v>2024</x:v>
      </x:c>
      <x:c r="H495" s="10" t="n">
        <x:v>1097</x:v>
      </x:c>
      <x:c r="I495" s="8" t="str">
        <x:v>Under 5,000</x:v>
      </x:c>
      <x:c r="J495" s="11" t="n">
        <x:v>2441658</x:v>
      </x:c>
      <x:c r="K495" s="11" t="n">
        <x:v>1617174</x:v>
      </x:c>
      <x:c r="L495" s="11" t="n">
        <x:v>824484</x:v>
      </x:c>
      <x:c r="M495" s="12" t="n">
        <x:v>0.33767382655556183</x:v>
      </x:c>
      <x:c r="N495" s="11" t="n">
        <x:v>580451</x:v>
      </x:c>
      <x:c r="O495" s="11" t="n">
        <x:v>531823</x:v>
      </x:c>
      <x:c r="P495" s="11" t="n">
        <x:v>1112700</x:v>
      </x:c>
      <x:c r="Q495" s="11" t="n">
        <x:v>216684</x:v>
      </x:c>
      <x:c r="R495" s="11" t="n">
        <x:v>1254840</x:v>
      </x:c>
      <x:c r="S495" s="11" t="n">
        <x:v>354386</x:v>
      </x:c>
      <x:c r="T495" s="11" t="n">
        <x:v>5123169</x:v>
      </x:c>
      <x:c r="U495" s="11" t="n">
        <x:v>747173</x:v>
      </x:c>
      <x:c r="V495" s="11" t="n">
        <x:v>4797635</x:v>
      </x:c>
      <x:c r="W495" s="11" t="n">
        <x:v>4767014</x:v>
      </x:c>
      <x:c r="X495" s="11" t="n">
        <x:v>171444</x:v>
      </x:c>
      <x:c r="Y495" s="11" t="n">
        <x:v>0</x:v>
      </x:c>
      <x:c r="Z495" s="11" t="n">
        <x:v>37052</x:v>
      </x:c>
      <x:c r="AA495" s="11" t="n">
        <x:v>134392</x:v>
      </x:c>
      <x:c r="AB495" s="11" t="n">
        <x:v>7948</x:v>
      </x:c>
      <x:c r="AC495" s="11" t="n">
        <x:v>45000</x:v>
      </x:c>
      <x:c r="AD495" s="11" t="n">
        <x:v>436500</x:v>
      </x:c>
      <x:c r="AE495" s="11" t="n">
        <x:v>391500</x:v>
      </x:c>
      <x:c r="AF495" s="11" t="n">
        <x:v>1745998</x:v>
      </x:c>
      <x:c r="AG495" s="11" t="n">
        <x:v>19247003</x:v>
      </x:c>
      <x:c r="AH495" s="11" t="n">
        <x:v>7456076</x:v>
      </x:c>
      <x:c r="AI495" s="11" t="n">
        <x:v>11790927</x:v>
      </x:c>
      <x:c r="AJ495" s="11" t="n">
        <x:v>916487</x:v>
      </x:c>
      <x:c r="AK495" s="11" t="n">
        <x:v>18563585</x:v>
      </x:c>
      <x:c r="AL495" s="11" t="n">
        <x:v>252994</x:v>
      </x:c>
      <x:c r="AM495" s="12" t="n">
        <x:v>0.9863714902051517</x:v>
      </x:c>
      <x:c r="AN495" s="12" t="n">
        <x:v>0.04937015129351362</x:v>
      </x:c>
      <x:c r="AO495" s="11" t="n">
        <x:v>1632432</x:v>
      </x:c>
      <x:c r="AP495" s="11" t="n">
        <x:v>1525630</x:v>
      </x:c>
      <x:c r="AQ495" s="12" t="n">
        <x:v>0.9345749164436865</x:v>
      </x:c>
      <x:c r="AR495" s="11" t="n">
        <x:v>2225.7593436645398</x:v>
      </x:c>
      <x:c r="AS495" s="11" t="n">
        <x:v>1474.1786690975387</x:v>
      </x:c>
      <x:c r="AT495" s="11" t="n">
        <x:v>4373.41385597083</x:v>
      </x:c>
      <x:c r="AU495" s="11" t="n">
        <x:v>4345.500455788514</x:v>
      </x:c>
      <x:c r="AV495" s="11" t="n">
        <x:v>122.50865998176846</x:v>
      </x:c>
      <x:c r="AW495" s="11" t="n">
        <x:v>6.856737328570492</x:v>
      </x:c>
      <x:c r="AX495" s="12" t="n">
        <x:v>0.8969072164948454</x:v>
      </x:c>
      <x:c r="AY495" s="11" t="n">
        <x:v>4648.097865362712</x:v>
      </x:c>
      <x:c r="AZ495" s="11" t="n">
        <x:v>3546.5079302077975</x:v>
      </x:c>
      <x:c r="BA495" s="11" t="n">
        <x:v>3428.422456291105</x:v>
      </x:c>
      <x:c r="BB495" s="11" t="n">
        <x:v>2783.665107049771</x:v>
      </x:c>
      <x:c r="BC495" s="11" t="n">
        <x:v>5030.364110900993</x:v>
      </x:c>
      <x:c r="BD495" s="11" t="n">
        <x:v>2437.8724475115623</x:v>
      </x:c>
      <x:c r="BE495" s="11" t="n">
        <x:v>2420.45</x:v>
      </x:c>
      <x:c r="BF495" s="11" t="n">
        <x:v>1604.3462673977224</x:v>
      </x:c>
      <x:c r="BG495" s="11" t="n">
        <x:v>224.31236112962716</x:v>
      </x:c>
      <x:c r="BH495" s="11" t="n">
        <x:v>518.5374381567245</x:v>
      </x:c>
      <x:c r="BI495" s="11" t="n">
        <x:v>2.204313821553219</x:v>
      </x:c>
      <x:c r="BJ495" s="11" t="n">
        <x:v>1.7099330852451193</x:v>
      </x:c>
      <x:c r="BK495" s="12" t="n">
        <x:v>0.030042455998363887</x:v>
      </x:c>
      <x:c r="BL495" s="12" t="n">
        <x:v>0.02529861000232605</x:v>
      </x:c>
      <x:c r="BM495" s="12" t="n">
        <x:v>0.9786113537119745</x:v>
      </x:c>
      <x:c r="BN495" s="12" t="n">
        <x:v>0.9815511712696461</x:v>
      </x:c>
      <x:c r="BO495" s="12" t="n">
        <x:v>0.9039920521842442</x:v>
      </x:c>
      <x:c r="BP495" s="12" t="n">
        <x:v>0.8619101997275483</x:v>
      </x:c>
      <x:c r="BQ495" s="12" t="n">
        <x:v>0.9333160528846489</x:v>
      </x:c>
      <x:c r="BR495" s="12" t="n">
        <x:v>0.9623635142836453</x:v>
      </x:c>
      <x:c r="BS495" s="12" t="n">
        <x:v>0.20869205825466772</x:v>
      </x:c>
      <x:c r="BT495" s="12" t="n">
        <x:v>0.19976549769108282</x:v>
      </x:c>
      <x:c r="BU495" s="11" t="n">
        <x:v>113661</x:v>
      </x:c>
      <x:c r="BV495" s="11" t="n">
        <x:v>900734</x:v>
      </x:c>
      <x:c r="BW495" s="11" t="n">
        <x:v>98305</x:v>
      </x:c>
      <x:c r="BX495" s="11" t="n">
        <x:v>187024</x:v>
      </x:c>
      <x:c r="BY495" s="11" t="n">
        <x:v>0</x:v>
      </x:c>
      <x:c r="BZ495" s="11" t="n">
        <x:v>0</x:v>
      </x:c>
      <x:c r="CA495" s="11" t="n">
        <x:v>29660</x:v>
      </x:c>
      <x:c r="CB495" s="11" t="n">
        <x:v>0</x:v>
      </x:c>
      <x:c r="CC495" s="11" t="n">
        <x:v>496408</x:v>
      </x:c>
      <x:c r="CD495" s="11" t="n">
        <x:v>57048</x:v>
      </x:c>
      <x:c r="CE495" s="11" t="n">
        <x:v>28855</x:v>
      </x:c>
      <x:c r="CF495" s="11" t="n">
        <x:v>0</x:v>
      </x:c>
      <x:c r="CG495" s="11" t="n">
        <x:v>73559</x:v>
      </x:c>
      <x:c r="CH495" s="11" t="n">
        <x:v>203197</x:v>
      </x:c>
      <x:c r="CI495" s="11" t="n">
        <x:v>125038</x:v>
      </x:c>
      <x:c r="CJ495" s="11" t="n">
        <x:v>116631</x:v>
      </x:c>
      <x:c r="CK495" s="11" t="n">
        <x:v>157851</x:v>
      </x:c>
      <x:c r="CL495" s="11" t="n">
        <x:v>0</x:v>
      </x:c>
      <x:c r="CM495" s="11" t="n">
        <x:v>4201</x:v>
      </x:c>
      <x:c r="CN495" s="11" t="n">
        <x:v>0</x:v>
      </x:c>
      <x:c r="CO495" s="11" t="n">
        <x:v>0</x:v>
      </x:c>
      <x:c r="CP495" s="8"/>
      <x:c r="CQ495" s="8"/>
    </x:row>
    <x:row r="496">
      <x:c r="A496" s="8" t="str">
        <x:v>Nakusp|2019</x:v>
      </x:c>
      <x:c r="B496" s="8" t="str">
        <x:v>nakusp-v</x:v>
      </x:c>
      <x:c r="C496" s="8" t="str">
        <x:v>Nakusp</x:v>
      </x:c>
      <x:c r="D496" s="8" t="str">
        <x:v>Nakusp</x:v>
      </x:c>
      <x:c r="E496" s="8" t="str">
        <x:v>V</x:v>
      </x:c>
      <x:c r="F496" s="8" t="str">
        <x:v>CKO</x:v>
      </x:c>
      <x:c r="G496" s="9" t="n">
        <x:v>2019</x:v>
      </x:c>
      <x:c r="H496" s="10" t="n">
        <x:v>1710</x:v>
      </x:c>
      <x:c r="I496" s="8" t="str">
        <x:v>Under 5,000</x:v>
      </x:c>
      <x:c r="J496" s="11" t="n">
        <x:v>5126671</x:v>
      </x:c>
      <x:c r="K496" s="11" t="n">
        <x:v>4717725</x:v>
      </x:c>
      <x:c r="L496" s="11" t="n">
        <x:v>408946</x:v>
      </x:c>
      <x:c r="M496" s="12" t="n">
        <x:v>0.07976833309568725</x:v>
      </x:c>
      <x:c r="N496" s="11" t="n">
        <x:v>1201135</x:v>
      </x:c>
      <x:c r="O496" s="11" t="n">
        <x:v>2446891</x:v>
      </x:c>
      <x:c r="P496" s="11" t="n">
        <x:v>1294270</x:v>
      </x:c>
      <x:c r="Q496" s="11" t="n">
        <x:v>184375</x:v>
      </x:c>
      <x:c r="R496" s="11" t="n">
        <x:v>3738382</x:v>
      </x:c>
      <x:c r="S496" s="11" t="n">
        <x:v>915102</x:v>
      </x:c>
      <x:c r="T496" s="11" t="n">
        <x:v>4675319</x:v>
      </x:c>
      <x:c r="U496" s="11" t="n">
        <x:v>2215478</x:v>
      </x:c>
      <x:c r="V496" s="11" t="n">
        <x:v>4507403</x:v>
      </x:c>
      <x:c r="W496" s="11" t="n">
        <x:v>3378949</x:v>
      </x:c>
      <x:c r="X496" s="11" t="n">
        <x:v>1768605</x:v>
      </x:c>
      <x:c r="Y496" s="11" t="n">
        <x:v>0</x:v>
      </x:c>
      <x:c r="Z496" s="11" t="n">
        <x:v>164202</x:v>
      </x:c>
      <x:c r="AA496" s="11" t="n">
        <x:v>1587061</x:v>
      </x:c>
      <x:c r="AB496" s="11" t="n">
        <x:v>64241</x:v>
      </x:c>
      <x:c r="AC496" s="11" t="n">
        <x:v>228443</x:v>
      </x:c>
      <x:c r="AD496" s="11" t="n">
        <x:v>1030383</x:v>
      </x:c>
      <x:c r="AE496" s="11" t="n">
        <x:v>801940</x:v>
      </x:c>
      <x:c r="AF496" s="11" t="n">
        <x:v>4121530</x:v>
      </x:c>
      <x:c r="AG496" s="11" t="n">
        <x:v>35353809</x:v>
      </x:c>
      <x:c r="AH496" s="11" t="n">
        <x:v>14937319</x:v>
      </x:c>
      <x:c r="AI496" s="11" t="n">
        <x:v>20416490</x:v>
      </x:c>
      <x:c r="AJ496" s="11" t="n">
        <x:v>542700</x:v>
      </x:c>
      <x:c r="AK496" s="11" t="n">
        <x:v>1352771</x:v>
      </x:c>
      <x:c r="AL496" s="11" t="n">
        <x:v>0</x:v>
      </x:c>
      <x:c r="AM496" s="12" t="n">
        <x:v>1</x:v>
      </x:c>
      <x:c r="AN496" s="12" t="n">
        <x:v>0.4011765479892753</x:v>
      </x:c>
      <x:c r="AO496" s="11" t="n">
        <x:v>2699691</x:v>
      </x:c>
      <x:c r="AP496" s="11" t="n">
        <x:v>2530453</x:v>
      </x:c>
      <x:c r="AQ496" s="12" t="n">
        <x:v>0.9373120849756509</x:v>
      </x:c>
      <x:c r="AR496" s="11" t="n">
        <x:v>2998.053216374269</x:v>
      </x:c>
      <x:c r="AS496" s="11" t="n">
        <x:v>2758.90350877193</x:v>
      </x:c>
      <x:c r="AT496" s="11" t="n">
        <x:v>2635.908187134503</x:v>
      </x:c>
      <x:c r="AU496" s="11" t="n">
        <x:v>1975.993567251462</x:v>
      </x:c>
      <x:c r="AV496" s="11" t="n">
        <x:v>928.1058479532164</x:v>
      </x:c>
      <x:c r="AW496" s="11" t="n">
        <x:v>2.110298093684523</x:v>
      </x:c>
      <x:c r="AX496" s="12" t="n">
        <x:v>0.7782931201310581</x:v>
      </x:c>
      <x:c r="AY496" s="11"/>
      <x:c r="AZ496" s="11"/>
      <x:c r="BA496" s="11"/>
      <x:c r="BB496" s="11"/>
      <x:c r="BC496" s="11"/>
      <x:c r="BD496" s="11"/>
      <x:c r="BE496" s="11"/>
      <x:c r="BF496" s="11"/>
      <x:c r="BG496" s="11"/>
      <x:c r="BH496" s="11"/>
      <x:c r="BI496" s="11"/>
      <x:c r="BJ496" s="11"/>
      <x:c r="BK496" s="12"/>
      <x:c r="BL496" s="12"/>
      <x:c r="BM496" s="12"/>
      <x:c r="BN496" s="12"/>
      <x:c r="BO496" s="12"/>
      <x:c r="BP496" s="12"/>
      <x:c r="BQ496" s="12"/>
      <x:c r="BR496" s="12"/>
      <x:c r="BS496" s="12"/>
      <x:c r="BT496" s="12"/>
      <x:c r="BU496" s="11" t="n">
        <x:v>0</x:v>
      </x:c>
      <x:c r="BV496" s="11" t="n">
        <x:v>422476</x:v>
      </x:c>
      <x:c r="BW496" s="11" t="n">
        <x:v>871794</x:v>
      </x:c>
      <x:c r="BX496" s="11" t="n">
        <x:v>68370</x:v>
      </x:c>
      <x:c r="BY496" s="11" t="n">
        <x:v>69203</x:v>
      </x:c>
      <x:c r="BZ496" s="11" t="n">
        <x:v>0</x:v>
      </x:c>
      <x:c r="CA496" s="11" t="n">
        <x:v>46802</x:v>
      </x:c>
      <x:c r="CB496" s="11" t="n">
        <x:v>0</x:v>
      </x:c>
      <x:c r="CC496" s="11" t="n">
        <x:v>803072</x:v>
      </x:c>
      <x:c r="CD496" s="11" t="n">
        <x:v>216607</x:v>
      </x:c>
      <x:c r="CE496" s="11" t="n">
        <x:v>67879</x:v>
      </x:c>
      <x:c r="CF496" s="11" t="n">
        <x:v>0</x:v>
      </x:c>
      <x:c r="CG496" s="11" t="n">
        <x:v>101917</x:v>
      </x:c>
      <x:c r="CH496" s="11" t="n">
        <x:v>582644</x:v>
      </x:c>
      <x:c r="CI496" s="11" t="n">
        <x:v>843050</x:v>
      </x:c>
      <x:c r="CJ496" s="11" t="n">
        <x:v>276933</x:v>
      </x:c>
      <x:c r="CK496" s="11" t="n">
        <x:v>181611</x:v>
      </x:c>
      <x:c r="CL496" s="11" t="n">
        <x:v>728910</x:v>
      </x:c>
      <x:c r="CM496" s="11"/>
      <x:c r="CN496" s="11" t="n">
        <x:v>0</x:v>
      </x:c>
      <x:c r="CO496" s="11" t="n">
        <x:v>0</x:v>
      </x:c>
      <x:c r="CP496" s="8"/>
      <x:c r="CQ496" s="8"/>
    </x:row>
    <x:row r="497">
      <x:c r="A497" s="8" t="str">
        <x:v>Nakusp|2020</x:v>
      </x:c>
      <x:c r="B497" s="8" t="str">
        <x:v>nakusp-v</x:v>
      </x:c>
      <x:c r="C497" s="8" t="str">
        <x:v>Nakusp</x:v>
      </x:c>
      <x:c r="D497" s="8" t="str">
        <x:v>Nakusp</x:v>
      </x:c>
      <x:c r="E497" s="8" t="str">
        <x:v>V</x:v>
      </x:c>
      <x:c r="F497" s="8" t="str">
        <x:v>CKO</x:v>
      </x:c>
      <x:c r="G497" s="9" t="n">
        <x:v>2020</x:v>
      </x:c>
      <x:c r="H497" s="10" t="n">
        <x:v>1789</x:v>
      </x:c>
      <x:c r="I497" s="8" t="str">
        <x:v>Under 5,000</x:v>
      </x:c>
      <x:c r="J497" s="11" t="n">
        <x:v>5776952</x:v>
      </x:c>
      <x:c r="K497" s="11" t="n">
        <x:v>4367965</x:v>
      </x:c>
      <x:c r="L497" s="11" t="n">
        <x:v>1408987</x:v>
      </x:c>
      <x:c r="M497" s="12" t="n">
        <x:v>0.2438979932670377</x:v>
      </x:c>
      <x:c r="N497" s="11" t="n">
        <x:v>1199839</x:v>
      </x:c>
      <x:c r="O497" s="11" t="n">
        <x:v>2079075</x:v>
      </x:c>
      <x:c r="P497" s="11" t="n">
        <x:v>1973229</x:v>
      </x:c>
      <x:c r="Q497" s="11" t="n">
        <x:v>524809</x:v>
      </x:c>
      <x:c r="R497" s="11" t="n">
        <x:v>3382650</x:v>
      </x:c>
      <x:c r="S497" s="11" t="n">
        <x:v>924867</x:v>
      </x:c>
      <x:c r="T497" s="11" t="n">
        <x:v>5584530</x:v>
      </x:c>
      <x:c r="U497" s="11" t="n">
        <x:v>2050355</x:v>
      </x:c>
      <x:c r="V497" s="11" t="n">
        <x:v>5793112</x:v>
      </x:c>
      <x:c r="W497" s="11" t="n">
        <x:v>3749381</x:v>
      </x:c>
      <x:c r="X497" s="11" t="n">
        <x:v>1587061</x:v>
      </x:c>
      <x:c r="Y497" s="11" t="n">
        <x:v>0</x:v>
      </x:c>
      <x:c r="Z497" s="11" t="n">
        <x:v>82418</x:v>
      </x:c>
      <x:c r="AA497" s="11" t="n">
        <x:v>1484342</x:v>
      </x:c>
      <x:c r="AB497" s="11" t="n">
        <x:v>60448</x:v>
      </x:c>
      <x:c r="AC497" s="11" t="n">
        <x:v>142866</x:v>
      </x:c>
      <x:c r="AD497" s="11" t="n">
        <x:v>936399</x:v>
      </x:c>
      <x:c r="AE497" s="11" t="n">
        <x:v>793533</x:v>
      </x:c>
      <x:c r="AF497" s="11" t="n">
        <x:v>3745595</x:v>
      </x:c>
      <x:c r="AG497" s="11" t="n">
        <x:v>36243773</x:v>
      </x:c>
      <x:c r="AH497" s="11" t="n">
        <x:v>15687273</x:v>
      </x:c>
      <x:c r="AI497" s="11" t="n">
        <x:v>20556500</x:v>
      </x:c>
      <x:c r="AJ497" s="11" t="n">
        <x:v>1064879</x:v>
      </x:c>
      <x:c r="AK497" s="11" t="n">
        <x:v>1619215</x:v>
      </x:c>
      <x:c r="AL497" s="11" t="n">
        <x:v>0</x:v>
      </x:c>
      <x:c r="AM497" s="12" t="n">
        <x:v>1</x:v>
      </x:c>
      <x:c r="AN497" s="12" t="n">
        <x:v>0.657651392804538</x:v>
      </x:c>
      <x:c r="AO497" s="11" t="n">
        <x:v>2642029</x:v>
      </x:c>
      <x:c r="AP497" s="11" t="n">
        <x:v>2498053</x:v>
      </x:c>
      <x:c r="AQ497" s="12" t="n">
        <x:v>0.9455055186752302</x:v>
      </x:c>
      <x:c r="AR497" s="11" t="n">
        <x:v>3229.151481274455</x:v>
      </x:c>
      <x:c r="AS497" s="11" t="n">
        <x:v>2441.567915036333</x:v>
      </x:c>
      <x:c r="AT497" s="11" t="n">
        <x:v>3238.18446059251</x:v>
      </x:c>
      <x:c r="AU497" s="11" t="n">
        <x:v>2095.7970933482393</x:v>
      </x:c>
      <x:c r="AV497" s="11" t="n">
        <x:v>829.7048630519844</x:v>
      </x:c>
      <x:c r="AW497" s="11" t="n">
        <x:v>2.7236893123385952</x:v>
      </x:c>
      <x:c r="AX497" s="12" t="n">
        <x:v>0.847430422287935</x:v>
      </x:c>
      <x:c r="AY497" s="11"/>
      <x:c r="AZ497" s="11"/>
      <x:c r="BA497" s="11"/>
      <x:c r="BB497" s="11"/>
      <x:c r="BC497" s="11"/>
      <x:c r="BD497" s="11"/>
      <x:c r="BE497" s="11"/>
      <x:c r="BF497" s="11"/>
      <x:c r="BG497" s="11"/>
      <x:c r="BH497" s="11"/>
      <x:c r="BI497" s="11"/>
      <x:c r="BJ497" s="11"/>
      <x:c r="BK497" s="12"/>
      <x:c r="BL497" s="12"/>
      <x:c r="BM497" s="12"/>
      <x:c r="BN497" s="12"/>
      <x:c r="BO497" s="12"/>
      <x:c r="BP497" s="12"/>
      <x:c r="BQ497" s="12"/>
      <x:c r="BR497" s="12"/>
      <x:c r="BS497" s="12"/>
      <x:c r="BT497" s="12"/>
      <x:c r="BU497" s="11" t="n">
        <x:v>0</x:v>
      </x:c>
      <x:c r="BV497" s="11" t="n">
        <x:v>1127879</x:v>
      </x:c>
      <x:c r="BW497" s="11" t="n">
        <x:v>845350</x:v>
      </x:c>
      <x:c r="BX497" s="11" t="n">
        <x:v>51103</x:v>
      </x:c>
      <x:c r="BY497" s="11" t="n">
        <x:v>440215</x:v>
      </x:c>
      <x:c r="BZ497" s="11" t="n">
        <x:v>0</x:v>
      </x:c>
      <x:c r="CA497" s="11" t="n">
        <x:v>33491</x:v>
      </x:c>
      <x:c r="CB497" s="11" t="n">
        <x:v>0</x:v>
      </x:c>
      <x:c r="CC497" s="11" t="n">
        <x:v>721463</x:v>
      </x:c>
      <x:c r="CD497" s="11" t="n">
        <x:v>221367</x:v>
      </x:c>
      <x:c r="CE497" s="11" t="n">
        <x:v>63434</x:v>
      </x:c>
      <x:c r="CF497" s="11" t="n">
        <x:v>0</x:v>
      </x:c>
      <x:c r="CG497" s="11" t="n">
        <x:v>91164</x:v>
      </x:c>
      <x:c r="CH497" s="11" t="n">
        <x:v>591304</x:v>
      </x:c>
      <x:c r="CI497" s="11" t="n">
        <x:v>623534</x:v>
      </x:c>
      <x:c r="CJ497" s="11" t="n">
        <x:v>337376</x:v>
      </x:c>
      <x:c r="CK497" s="11" t="n">
        <x:v>197994</x:v>
      </x:c>
      <x:c r="CL497" s="11" t="n">
        <x:v>595462</x:v>
      </x:c>
      <x:c r="CM497" s="11"/>
      <x:c r="CN497" s="11" t="n">
        <x:v>0</x:v>
      </x:c>
      <x:c r="CO497" s="11" t="n">
        <x:v>0</x:v>
      </x:c>
      <x:c r="CP497" s="8"/>
      <x:c r="CQ497" s="8"/>
    </x:row>
    <x:row r="498">
      <x:c r="A498" s="8" t="str">
        <x:v>Nakusp|2021</x:v>
      </x:c>
      <x:c r="B498" s="8" t="str">
        <x:v>nakusp-v</x:v>
      </x:c>
      <x:c r="C498" s="8" t="str">
        <x:v>Nakusp</x:v>
      </x:c>
      <x:c r="D498" s="8" t="str">
        <x:v>Nakusp</x:v>
      </x:c>
      <x:c r="E498" s="8" t="str">
        <x:v>V</x:v>
      </x:c>
      <x:c r="F498" s="8" t="str">
        <x:v>CKO</x:v>
      </x:c>
      <x:c r="G498" s="9" t="n">
        <x:v>2021</x:v>
      </x:c>
      <x:c r="H498" s="10" t="n">
        <x:v>1687</x:v>
      </x:c>
      <x:c r="I498" s="8" t="str">
        <x:v>Under 5,000</x:v>
      </x:c>
      <x:c r="J498" s="11" t="n">
        <x:v>5010476</x:v>
      </x:c>
      <x:c r="K498" s="11" t="n">
        <x:v>4692682</x:v>
      </x:c>
      <x:c r="L498" s="11" t="n">
        <x:v>317794</x:v>
      </x:c>
      <x:c r="M498" s="12" t="n">
        <x:v>0.06342591003329823</x:v>
      </x:c>
      <x:c r="N498" s="11" t="n">
        <x:v>1256410</x:v>
      </x:c>
      <x:c r="O498" s="11" t="n">
        <x:v>2569793</x:v>
      </x:c>
      <x:c r="P498" s="11" t="n">
        <x:v>1291401</x:v>
      </x:c>
      <x:c r="Q498" s="11" t="n">
        <x:v>-107128</x:v>
      </x:c>
      <x:c r="R498" s="11" t="n">
        <x:v>3698302</x:v>
      </x:c>
      <x:c r="S498" s="11" t="n">
        <x:v>936601</x:v>
      </x:c>
      <x:c r="T498" s="11" t="n">
        <x:v>6622961</x:v>
      </x:c>
      <x:c r="U498" s="11" t="n">
        <x:v>2014127</x:v>
      </x:c>
      <x:c r="V498" s="11" t="n">
        <x:v>6481039</x:v>
      </x:c>
      <x:c r="W498" s="11" t="n">
        <x:v>4319296</x:v>
      </x:c>
      <x:c r="X498" s="11" t="n">
        <x:v>1484342</x:v>
      </x:c>
      <x:c r="Y498" s="11" t="n">
        <x:v>0</x:v>
      </x:c>
      <x:c r="Z498" s="11" t="n">
        <x:v>85084</x:v>
      </x:c>
      <x:c r="AA498" s="11" t="n">
        <x:v>1375881</x:v>
      </x:c>
      <x:c r="AB498" s="11" t="n">
        <x:v>57779</x:v>
      </x:c>
      <x:c r="AC498" s="11" t="n">
        <x:v>142863</x:v>
      </x:c>
      <x:c r="AD498" s="11" t="n">
        <x:v>1070480</x:v>
      </x:c>
      <x:c r="AE498" s="11" t="n">
        <x:v>927617</x:v>
      </x:c>
      <x:c r="AF498" s="11" t="n">
        <x:v>4281918</x:v>
      </x:c>
      <x:c r="AG498" s="11" t="n">
        <x:v>36780576</x:v>
      </x:c>
      <x:c r="AH498" s="11" t="n">
        <x:v>16623874</x:v>
      </x:c>
      <x:c r="AI498" s="11" t="n">
        <x:v>20156702</x:v>
      </x:c>
      <x:c r="AJ498" s="11" t="n">
        <x:v>536803</x:v>
      </x:c>
      <x:c r="AK498" s="11" t="n">
        <x:v>1698936</x:v>
      </x:c>
      <x:c r="AL498" s="11" t="n">
        <x:v>0</x:v>
      </x:c>
      <x:c r="AM498" s="12" t="n">
        <x:v>1</x:v>
      </x:c>
      <x:c r="AN498" s="12" t="n">
        <x:v>0.3159642270220891</x:v>
      </x:c>
      <x:c r="AO498" s="11" t="n">
        <x:v>2861637</x:v>
      </x:c>
      <x:c r="AP498" s="11" t="n">
        <x:v>2695246</x:v>
      </x:c>
      <x:c r="AQ498" s="12" t="n">
        <x:v>0.9418546097915285</x:v>
      </x:c>
      <x:c r="AR498" s="11" t="n">
        <x:v>2970.0509780675757</x:v>
      </x:c>
      <x:c r="AS498" s="11" t="n">
        <x:v>2781.672791938352</x:v>
      </x:c>
      <x:c r="AT498" s="11" t="n">
        <x:v>3841.7540011855363</x:v>
      </x:c>
      <x:c r="AU498" s="11" t="n">
        <x:v>2560.341434499111</x:v>
      </x:c>
      <x:c r="AV498" s="11" t="n">
        <x:v>815.5785417901601</x:v>
      </x:c>
      <x:c r="AW498" s="11" t="n">
        <x:v>3.288253918447049</x:v>
      </x:c>
      <x:c r="AX498" s="12" t="n">
        <x:v>0.8665430461101562</x:v>
      </x:c>
      <x:c r="AY498" s="11"/>
      <x:c r="AZ498" s="11"/>
      <x:c r="BA498" s="11"/>
      <x:c r="BB498" s="11"/>
      <x:c r="BC498" s="11"/>
      <x:c r="BD498" s="11"/>
      <x:c r="BE498" s="11"/>
      <x:c r="BF498" s="11"/>
      <x:c r="BG498" s="11"/>
      <x:c r="BH498" s="11"/>
      <x:c r="BI498" s="11"/>
      <x:c r="BJ498" s="11"/>
      <x:c r="BK498" s="12"/>
      <x:c r="BL498" s="12"/>
      <x:c r="BM498" s="12"/>
      <x:c r="BN498" s="12"/>
      <x:c r="BO498" s="12"/>
      <x:c r="BP498" s="12"/>
      <x:c r="BQ498" s="12"/>
      <x:c r="BR498" s="12"/>
      <x:c r="BS498" s="12"/>
      <x:c r="BT498" s="12"/>
      <x:c r="BU498" s="11" t="n">
        <x:v>0</x:v>
      </x:c>
      <x:c r="BV498" s="11" t="n">
        <x:v>717003</x:v>
      </x:c>
      <x:c r="BW498" s="11" t="n">
        <x:v>574398</x:v>
      </x:c>
      <x:c r="BX498" s="11" t="n">
        <x:v>44118</x:v>
      </x:c>
      <x:c r="BY498" s="11" t="n">
        <x:v>-151246</x:v>
      </x:c>
      <x:c r="BZ498" s="11" t="n">
        <x:v>0</x:v>
      </x:c>
      <x:c r="CA498" s="11" t="n">
        <x:v>0</x:v>
      </x:c>
      <x:c r="CB498" s="11" t="n">
        <x:v>0</x:v>
      </x:c>
      <x:c r="CC498" s="11" t="n">
        <x:v>934700</x:v>
      </x:c>
      <x:c r="CD498" s="11" t="n">
        <x:v>233376</x:v>
      </x:c>
      <x:c r="CE498" s="11" t="n">
        <x:v>58017</x:v>
      </x:c>
      <x:c r="CF498" s="11" t="n">
        <x:v>0</x:v>
      </x:c>
      <x:c r="CG498" s="11" t="n">
        <x:v>92498</x:v>
      </x:c>
      <x:c r="CH498" s="11" t="n">
        <x:v>578641</x:v>
      </x:c>
      <x:c r="CI498" s="11" t="n">
        <x:v>668040</x:v>
      </x:c>
      <x:c r="CJ498" s="11" t="n">
        <x:v>278060</x:v>
      </x:c>
      <x:c r="CK498" s="11" t="n">
        <x:v>223733</x:v>
      </x:c>
      <x:c r="CL498" s="11" t="n">
        <x:v>689016</x:v>
      </x:c>
      <x:c r="CM498" s="11"/>
      <x:c r="CN498" s="11" t="n">
        <x:v>0</x:v>
      </x:c>
      <x:c r="CO498" s="11" t="n">
        <x:v>0</x:v>
      </x:c>
      <x:c r="CP498" s="8"/>
      <x:c r="CQ498" s="8"/>
    </x:row>
    <x:row r="499">
      <x:c r="A499" s="8" t="str">
        <x:v>Nakusp|2022</x:v>
      </x:c>
      <x:c r="B499" s="8" t="str">
        <x:v>nakusp-v</x:v>
      </x:c>
      <x:c r="C499" s="8" t="str">
        <x:v>Nakusp</x:v>
      </x:c>
      <x:c r="D499" s="8" t="str">
        <x:v>Nakusp</x:v>
      </x:c>
      <x:c r="E499" s="8" t="str">
        <x:v>V</x:v>
      </x:c>
      <x:c r="F499" s="8" t="str">
        <x:v>CKO</x:v>
      </x:c>
      <x:c r="G499" s="9" t="n">
        <x:v>2022</x:v>
      </x:c>
      <x:c r="H499" s="10" t="n">
        <x:v>104064</x:v>
      </x:c>
      <x:c r="I499" s="8" t="str">
        <x:v>100,000 and over</x:v>
      </x:c>
      <x:c r="J499" s="11" t="n">
        <x:v>6354203</x:v>
      </x:c>
      <x:c r="K499" s="11" t="n">
        <x:v>5191361</x:v>
      </x:c>
      <x:c r="L499" s="11" t="n">
        <x:v>1162842</x:v>
      </x:c>
      <x:c r="M499" s="12" t="n">
        <x:v>0.18300359620238763</x:v>
      </x:c>
      <x:c r="N499" s="11" t="n">
        <x:v>1290821</x:v>
      </x:c>
      <x:c r="O499" s="11" t="n">
        <x:v>2699725</x:v>
      </x:c>
      <x:c r="P499" s="11" t="n">
        <x:v>2177334</x:v>
      </x:c>
      <x:c r="Q499" s="11" t="n">
        <x:v>186323</x:v>
      </x:c>
      <x:c r="R499" s="11" t="n">
        <x:v>4183865</x:v>
      </x:c>
      <x:c r="S499" s="11" t="n">
        <x:v>961315</x:v>
      </x:c>
      <x:c r="T499" s="11" t="n">
        <x:v>7020271</x:v>
      </x:c>
      <x:c r="U499" s="11" t="n">
        <x:v>2333067</x:v>
      </x:c>
      <x:c r="V499" s="11" t="n">
        <x:v>6843943</x:v>
      </x:c>
      <x:c r="W499" s="11" t="n">
        <x:v>4141981</x:v>
      </x:c>
      <x:c r="X499" s="11" t="n">
        <x:v>1375881</x:v>
      </x:c>
      <x:c r="Y499" s="11" t="n">
        <x:v>0</x:v>
      </x:c>
      <x:c r="Z499" s="11" t="n">
        <x:v>81670</x:v>
      </x:c>
      <x:c r="AA499" s="11" t="n">
        <x:v>1269284</x:v>
      </x:c>
      <x:c r="AB499" s="11" t="n">
        <x:v>46181</x:v>
      </x:c>
      <x:c r="AC499" s="11" t="n">
        <x:v>127851</x:v>
      </x:c>
      <x:c r="AD499" s="11" t="n">
        <x:v>1153506</x:v>
      </x:c>
      <x:c r="AE499" s="11" t="n">
        <x:v>1025655</x:v>
      </x:c>
      <x:c r="AF499" s="11" t="n">
        <x:v>4614025</x:v>
      </x:c>
      <x:c r="AG499" s="11" t="n">
        <x:v>38536723</x:v>
      </x:c>
      <x:c r="AH499" s="11" t="n">
        <x:v>17585189</x:v>
      </x:c>
      <x:c r="AI499" s="11" t="n">
        <x:v>20951534</x:v>
      </x:c>
      <x:c r="AJ499" s="11" t="n">
        <x:v>1756147</x:v>
      </x:c>
      <x:c r="AK499" s="11" t="n">
        <x:v>72496243</x:v>
      </x:c>
      <x:c r="AL499" s="11" t="n">
        <x:v>0</x:v>
      </x:c>
      <x:c r="AM499" s="12" t="n">
        <x:v>1</x:v>
      </x:c>
      <x:c r="AN499" s="12" t="n">
        <x:v>0.024223972544342748</x:v>
      </x:c>
      <x:c r="AO499" s="11" t="n">
        <x:v>2948084</x:v>
      </x:c>
      <x:c r="AP499" s="11" t="n">
        <x:v>2717418</x:v>
      </x:c>
      <x:c r="AQ499" s="12" t="n">
        <x:v>0.9217573176340973</x:v>
      </x:c>
      <x:c r="AR499" s="11" t="n">
        <x:v>61.060530058425584</x:v>
      </x:c>
      <x:c r="AS499" s="11" t="n">
        <x:v>49.886233471709716</x:v>
      </x:c>
      <x:c r="AT499" s="11" t="n">
        <x:v>65.76667243234932</x:v>
      </x:c>
      <x:c r="AU499" s="11" t="n">
        <x:v>39.802246694341946</x:v>
      </x:c>
      <x:c r="AV499" s="11" t="n">
        <x:v>12.19714790897909</x:v>
      </x:c>
      <x:c r="AW499" s="11" t="n">
        <x:v>3.0090310308276615</x:v>
      </x:c>
      <x:c r="AX499" s="12" t="n">
        <x:v>0.8891631252893353</x:v>
      </x:c>
      <x:c r="AY499" s="11"/>
      <x:c r="AZ499" s="11"/>
      <x:c r="BA499" s="11"/>
      <x:c r="BB499" s="11"/>
      <x:c r="BC499" s="11"/>
      <x:c r="BD499" s="11"/>
      <x:c r="BE499" s="11"/>
      <x:c r="BF499" s="11"/>
      <x:c r="BG499" s="11"/>
      <x:c r="BH499" s="11"/>
      <x:c r="BI499" s="11"/>
      <x:c r="BJ499" s="11"/>
      <x:c r="BK499" s="12"/>
      <x:c r="BL499" s="12"/>
      <x:c r="BM499" s="12"/>
      <x:c r="BN499" s="12"/>
      <x:c r="BO499" s="12"/>
      <x:c r="BP499" s="12"/>
      <x:c r="BQ499" s="12"/>
      <x:c r="BR499" s="12"/>
      <x:c r="BS499" s="12"/>
      <x:c r="BT499" s="12"/>
      <x:c r="BU499" s="11" t="n">
        <x:v>499722</x:v>
      </x:c>
      <x:c r="BV499" s="11" t="n">
        <x:v>1156066</x:v>
      </x:c>
      <x:c r="BW499" s="11" t="n">
        <x:v>521546</x:v>
      </x:c>
      <x:c r="BX499" s="11" t="n">
        <x:v>110406</x:v>
      </x:c>
      <x:c r="BY499" s="11" t="n">
        <x:v>25917</x:v>
      </x:c>
      <x:c r="BZ499" s="11" t="n">
        <x:v>0</x:v>
      </x:c>
      <x:c r="CA499" s="11" t="n">
        <x:v>50000</x:v>
      </x:c>
      <x:c r="CB499" s="11" t="n">
        <x:v>0</x:v>
      </x:c>
      <x:c r="CC499" s="11" t="n">
        <x:v>934735</x:v>
      </x:c>
      <x:c r="CD499" s="11" t="n">
        <x:v>217822</x:v>
      </x:c>
      <x:c r="CE499" s="11" t="n">
        <x:v>67514</x:v>
      </x:c>
      <x:c r="CF499" s="11" t="n">
        <x:v>0</x:v>
      </x:c>
      <x:c r="CG499" s="11" t="n">
        <x:v>100030</x:v>
      </x:c>
      <x:c r="CH499" s="11" t="n">
        <x:v>564074</x:v>
      </x:c>
      <x:c r="CI499" s="11" t="n">
        <x:v>941089</x:v>
      </x:c>
      <x:c r="CJ499" s="11" t="n">
        <x:v>294882</x:v>
      </x:c>
      <x:c r="CK499" s="11" t="n">
        <x:v>268148</x:v>
      </x:c>
      <x:c r="CL499" s="11" t="n">
        <x:v>841752</x:v>
      </x:c>
      <x:c r="CM499" s="11"/>
      <x:c r="CN499" s="11" t="n">
        <x:v>0</x:v>
      </x:c>
      <x:c r="CO499" s="11" t="n">
        <x:v>0</x:v>
      </x:c>
      <x:c r="CP499" s="8"/>
      <x:c r="CQ499" s="8"/>
    </x:row>
    <x:row r="500">
      <x:c r="A500" s="8" t="str">
        <x:v>Nakusp|2023</x:v>
      </x:c>
      <x:c r="B500" s="8" t="str">
        <x:v>nakusp-v</x:v>
      </x:c>
      <x:c r="C500" s="8" t="str">
        <x:v>Nakusp</x:v>
      </x:c>
      <x:c r="D500" s="8" t="str">
        <x:v>Nakusp</x:v>
      </x:c>
      <x:c r="E500" s="8" t="str">
        <x:v>V</x:v>
      </x:c>
      <x:c r="F500" s="8" t="str">
        <x:v>CKO</x:v>
      </x:c>
      <x:c r="G500" s="9" t="n">
        <x:v>2023</x:v>
      </x:c>
      <x:c r="H500" s="10" t="n">
        <x:v>1762</x:v>
      </x:c>
      <x:c r="I500" s="8" t="str">
        <x:v>Under 5,000</x:v>
      </x:c>
      <x:c r="J500" s="11" t="n">
        <x:v>7942879</x:v>
      </x:c>
      <x:c r="K500" s="11" t="n">
        <x:v>5965952</x:v>
      </x:c>
      <x:c r="L500" s="11" t="n">
        <x:v>1976927</x:v>
      </x:c>
      <x:c r="M500" s="12" t="n">
        <x:v>0.24889300214695453</x:v>
      </x:c>
      <x:c r="N500" s="11" t="n">
        <x:v>1451769</x:v>
      </x:c>
      <x:c r="O500" s="11" t="n">
        <x:v>2911439</x:v>
      </x:c>
      <x:c r="P500" s="11" t="n">
        <x:v>2796631</x:v>
      </x:c>
      <x:c r="Q500" s="11" t="n">
        <x:v>783040</x:v>
      </x:c>
      <x:c r="R500" s="11" t="n">
        <x:v>4829787</x:v>
      </x:c>
      <x:c r="S500" s="11" t="n">
        <x:v>1078573</x:v>
      </x:c>
      <x:c r="T500" s="11" t="n">
        <x:v>9036775</x:v>
      </x:c>
      <x:c r="U500" s="11" t="n">
        <x:v>3035793</x:v>
      </x:c>
      <x:c r="V500" s="11" t="n">
        <x:v>8562812</x:v>
      </x:c>
      <x:c r="W500" s="11" t="n">
        <x:v>5835069</x:v>
      </x:c>
      <x:c r="X500" s="11" t="n">
        <x:v>1269284</x:v>
      </x:c>
      <x:c r="Y500" s="11" t="n">
        <x:v>0</x:v>
      </x:c>
      <x:c r="Z500" s="11" t="n">
        <x:v>71139</x:v>
      </x:c>
      <x:c r="AA500" s="11" t="n">
        <x:v>1170054</x:v>
      </x:c>
      <x:c r="AB500" s="11" t="n">
        <x:v>57592</x:v>
      </x:c>
      <x:c r="AC500" s="11" t="n">
        <x:v>128731</x:v>
      </x:c>
      <x:c r="AD500" s="11" t="n">
        <x:v>1272042</x:v>
      </x:c>
      <x:c r="AE500" s="11" t="n">
        <x:v>1143311</x:v>
      </x:c>
      <x:c r="AF500" s="11" t="n">
        <x:v>5088166</x:v>
      </x:c>
      <x:c r="AG500" s="11" t="n">
        <x:v>39858845</x:v>
      </x:c>
      <x:c r="AH500" s="11" t="n">
        <x:v>18663763</x:v>
      </x:c>
      <x:c r="AI500" s="11" t="n">
        <x:v>21195082</x:v>
      </x:c>
      <x:c r="AJ500" s="11" t="n">
        <x:v>687233</x:v>
      </x:c>
      <x:c r="AK500" s="11" t="n">
        <x:v>78985651</x:v>
      </x:c>
      <x:c r="AL500" s="11" t="n">
        <x:v>0</x:v>
      </x:c>
      <x:c r="AM500" s="12" t="n">
        <x:v>1</x:v>
      </x:c>
      <x:c r="AN500" s="12" t="n">
        <x:v>0.008700732238061823</x:v>
      </x:c>
      <x:c r="AO500" s="11" t="n">
        <x:v>3268180</x:v>
      </x:c>
      <x:c r="AP500" s="11" t="n">
        <x:v>3042375</x:v>
      </x:c>
      <x:c r="AQ500" s="12" t="n">
        <x:v>0.9309080283215735</x:v>
      </x:c>
      <x:c r="AR500" s="11" t="n">
        <x:v>4507.876844494892</x:v>
      </x:c>
      <x:c r="AS500" s="11" t="n">
        <x:v>3385.8978433598186</x:v>
      </x:c>
      <x:c r="AT500" s="11" t="n">
        <x:v>4859.711691259932</x:v>
      </x:c>
      <x:c r="AU500" s="11" t="n">
        <x:v>3311.6169125993188</x:v>
      </x:c>
      <x:c r="AV500" s="11" t="n">
        <x:v>664.0488081725313</x:v>
      </x:c>
      <x:c r="AW500" s="11" t="n">
        <x:v>2.976742814809837</x:v>
      </x:c>
      <x:c r="AX500" s="12" t="n">
        <x:v>0.8987997251663074</x:v>
      </x:c>
      <x:c r="AY500" s="11"/>
      <x:c r="AZ500" s="11"/>
      <x:c r="BA500" s="11"/>
      <x:c r="BB500" s="11"/>
      <x:c r="BC500" s="11"/>
      <x:c r="BD500" s="11"/>
      <x:c r="BE500" s="11"/>
      <x:c r="BF500" s="11"/>
      <x:c r="BG500" s="11"/>
      <x:c r="BH500" s="11"/>
      <x:c r="BI500" s="11"/>
      <x:c r="BJ500" s="11"/>
      <x:c r="BK500" s="12"/>
      <x:c r="BL500" s="12"/>
      <x:c r="BM500" s="12"/>
      <x:c r="BN500" s="12"/>
      <x:c r="BO500" s="12"/>
      <x:c r="BP500" s="12"/>
      <x:c r="BQ500" s="12"/>
      <x:c r="BR500" s="12"/>
      <x:c r="BS500" s="12"/>
      <x:c r="BT500" s="12"/>
      <x:c r="BU500" s="11" t="n">
        <x:v>50000</x:v>
      </x:c>
      <x:c r="BV500" s="11" t="n">
        <x:v>2174195</x:v>
      </x:c>
      <x:c r="BW500" s="11" t="n">
        <x:v>572436</x:v>
      </x:c>
      <x:c r="BX500" s="11" t="n">
        <x:v>339049</x:v>
      </x:c>
      <x:c r="BY500" s="11" t="n">
        <x:v>443991</x:v>
      </x:c>
      <x:c r="BZ500" s="11" t="n">
        <x:v>0</x:v>
      </x:c>
      <x:c r="CA500" s="11" t="n">
        <x:v>0</x:v>
      </x:c>
      <x:c r="CB500" s="11" t="n">
        <x:v>0</x:v>
      </x:c>
      <x:c r="CC500" s="11" t="n">
        <x:v>1312445</x:v>
      </x:c>
      <x:c r="CD500" s="11" t="n">
        <x:v>306527</x:v>
      </x:c>
      <x:c r="CE500" s="11" t="n">
        <x:v>69655</x:v>
      </x:c>
      <x:c r="CF500" s="11" t="n">
        <x:v>0</x:v>
      </x:c>
      <x:c r="CG500" s="11" t="n">
        <x:v>88961</x:v>
      </x:c>
      <x:c r="CH500" s="11" t="n">
        <x:v>637498</x:v>
      </x:c>
      <x:c r="CI500" s="11" t="n">
        <x:v>910341</x:v>
      </x:c>
      <x:c r="CJ500" s="11" t="n">
        <x:v>294273</x:v>
      </x:c>
      <x:c r="CK500" s="11" t="n">
        <x:v>270025</x:v>
      </x:c>
      <x:c r="CL500" s="11" t="n">
        <x:v>966481</x:v>
      </x:c>
      <x:c r="CM500" s="11" t="n">
        <x:v>31173</x:v>
      </x:c>
      <x:c r="CN500" s="11" t="n">
        <x:v>0</x:v>
      </x:c>
      <x:c r="CO500" s="11" t="n">
        <x:v>0</x:v>
      </x:c>
      <x:c r="CP500" s="8"/>
      <x:c r="CQ500" s="8"/>
    </x:row>
    <x:row r="501">
      <x:c r="A501" s="8" t="str">
        <x:v>Nakusp|2024</x:v>
      </x:c>
      <x:c r="B501" s="8" t="str">
        <x:v>nakusp-v</x:v>
      </x:c>
      <x:c r="C501" s="8" t="str">
        <x:v>Nakusp</x:v>
      </x:c>
      <x:c r="D501" s="8" t="str">
        <x:v>Nakusp</x:v>
      </x:c>
      <x:c r="E501" s="8" t="str">
        <x:v>V</x:v>
      </x:c>
      <x:c r="F501" s="8" t="str">
        <x:v>CKO</x:v>
      </x:c>
      <x:c r="G501" s="9" t="n">
        <x:v>2024</x:v>
      </x:c>
      <x:c r="H501" s="10" t="n">
        <x:v>1762</x:v>
      </x:c>
      <x:c r="I501" s="8" t="str">
        <x:v>Under 5,000</x:v>
      </x:c>
      <x:c r="J501" s="11" t="n">
        <x:v>7449331</x:v>
      </x:c>
      <x:c r="K501" s="11" t="n">
        <x:v>5874058</x:v>
      </x:c>
      <x:c r="L501" s="11" t="n">
        <x:v>1575273</x:v>
      </x:c>
      <x:c r="M501" s="12" t="n">
        <x:v>0.21146502954426377</x:v>
      </x:c>
      <x:c r="N501" s="11" t="n">
        <x:v>1607902</x:v>
      </x:c>
      <x:c r="O501" s="11" t="n">
        <x:v>3000637</x:v>
      </x:c>
      <x:c r="P501" s="11" t="n">
        <x:v>2522128</x:v>
      </x:c>
      <x:c r="Q501" s="11" t="n">
        <x:v>318664</x:v>
      </x:c>
      <x:c r="R501" s="11" t="n">
        <x:v>4663942</x:v>
      </x:c>
      <x:c r="S501" s="11" t="n">
        <x:v>1151511</x:v>
      </x:c>
      <x:c r="T501" s="11" t="n">
        <x:v>9555767</x:v>
      </x:c>
      <x:c r="U501" s="11" t="n">
        <x:v>4360359</x:v>
      </x:c>
      <x:c r="V501" s="11" t="n">
        <x:v>8219930</x:v>
      </x:c>
      <x:c r="W501" s="11" t="n">
        <x:v>6543651</x:v>
      </x:c>
      <x:c r="X501" s="11" t="n">
        <x:v>1170054</x:v>
      </x:c>
      <x:c r="Y501" s="11" t="n">
        <x:v>0</x:v>
      </x:c>
      <x:c r="Z501" s="11" t="n">
        <x:v>74468</x:v>
      </x:c>
      <x:c r="AA501" s="11" t="n">
        <x:v>1063954</x:v>
      </x:c>
      <x:c r="AB501" s="11" t="n">
        <x:v>58605</x:v>
      </x:c>
      <x:c r="AC501" s="11" t="n">
        <x:v>133073</x:v>
      </x:c>
      <x:c r="AD501" s="11" t="n">
        <x:v>1361423</x:v>
      </x:c>
      <x:c r="AE501" s="11" t="n">
        <x:v>1228350</x:v>
      </x:c>
      <x:c r="AF501" s="11" t="n">
        <x:v>5445691</x:v>
      </x:c>
      <x:c r="AG501" s="11" t="n">
        <x:v>42909387</x:v>
      </x:c>
      <x:c r="AH501" s="11" t="n">
        <x:v>19815274</x:v>
      </x:c>
      <x:c r="AI501" s="11" t="n">
        <x:v>23094113</x:v>
      </x:c>
      <x:c r="AJ501" s="11" t="n">
        <x:v>3050542</x:v>
      </x:c>
      <x:c r="AK501" s="11" t="n">
        <x:v>79781009</x:v>
      </x:c>
      <x:c r="AL501" s="11" t="n">
        <x:v>0</x:v>
      </x:c>
      <x:c r="AM501" s="12" t="n">
        <x:v>1</x:v>
      </x:c>
      <x:c r="AN501" s="12" t="n">
        <x:v>0.03823644296100592</x:v>
      </x:c>
      <x:c r="AO501" s="11" t="n">
        <x:v>3508351</x:v>
      </x:c>
      <x:c r="AP501" s="11" t="n">
        <x:v>3298274</x:v>
      </x:c>
      <x:c r="AQ501" s="12" t="n">
        <x:v>0.9401208716003615</x:v>
      </x:c>
      <x:c r="AR501" s="11" t="n">
        <x:v>4227.770147559591</x:v>
      </x:c>
      <x:c r="AS501" s="11" t="n">
        <x:v>3333.744608399546</x:v>
      </x:c>
      <x:c r="AT501" s="11" t="n">
        <x:v>4665.11350737798</x:v>
      </x:c>
      <x:c r="AU501" s="11" t="n">
        <x:v>3713.7633371169127</x:v>
      </x:c>
      <x:c r="AV501" s="11" t="n">
        <x:v>603.8331441543701</x:v>
      </x:c>
      <x:c r="AW501" s="11" t="n">
        <x:v>2.191509231235318</x:v>
      </x:c>
      <x:c r="AX501" s="12" t="n">
        <x:v>0.9022544793205345</x:v>
      </x:c>
      <x:c r="AY501" s="11" t="n">
        <x:v>4648.097865362712</x:v>
      </x:c>
      <x:c r="AZ501" s="11" t="n">
        <x:v>3546.5079302077975</x:v>
      </x:c>
      <x:c r="BA501" s="11" t="n">
        <x:v>3428.422456291105</x:v>
      </x:c>
      <x:c r="BB501" s="11" t="n">
        <x:v>2783.665107049771</x:v>
      </x:c>
      <x:c r="BC501" s="11" t="n">
        <x:v>5030.364110900993</x:v>
      </x:c>
      <x:c r="BD501" s="11" t="n">
        <x:v>2437.8724475115623</x:v>
      </x:c>
      <x:c r="BE501" s="11" t="n">
        <x:v>2420.45</x:v>
      </x:c>
      <x:c r="BF501" s="11" t="n">
        <x:v>1604.3462673977224</x:v>
      </x:c>
      <x:c r="BG501" s="11" t="n">
        <x:v>224.31236112962716</x:v>
      </x:c>
      <x:c r="BH501" s="11" t="n">
        <x:v>518.5374381567245</x:v>
      </x:c>
      <x:c r="BI501" s="11" t="n">
        <x:v>2.204313821553219</x:v>
      </x:c>
      <x:c r="BJ501" s="11" t="n">
        <x:v>1.7099330852451193</x:v>
      </x:c>
      <x:c r="BK501" s="12" t="n">
        <x:v>0.030042455998363887</x:v>
      </x:c>
      <x:c r="BL501" s="12" t="n">
        <x:v>0.02529861000232605</x:v>
      </x:c>
      <x:c r="BM501" s="12" t="n">
        <x:v>0.9786113537119745</x:v>
      </x:c>
      <x:c r="BN501" s="12" t="n">
        <x:v>0.9815511712696461</x:v>
      </x:c>
      <x:c r="BO501" s="12" t="n">
        <x:v>0.9039920521842442</x:v>
      </x:c>
      <x:c r="BP501" s="12" t="n">
        <x:v>0.8619101997275483</x:v>
      </x:c>
      <x:c r="BQ501" s="12" t="n">
        <x:v>0.9333160528846489</x:v>
      </x:c>
      <x:c r="BR501" s="12" t="n">
        <x:v>0.9623635142836453</x:v>
      </x:c>
      <x:c r="BS501" s="12" t="n">
        <x:v>0.20869205825466772</x:v>
      </x:c>
      <x:c r="BT501" s="12" t="n">
        <x:v>0.19976549769108282</x:v>
      </x:c>
      <x:c r="BU501" s="11" t="n">
        <x:v>0</x:v>
      </x:c>
      <x:c r="BV501" s="11" t="n">
        <x:v>1586883</x:v>
      </x:c>
      <x:c r="BW501" s="11" t="n">
        <x:v>935245</x:v>
      </x:c>
      <x:c r="BX501" s="11" t="n">
        <x:v>420984</x:v>
      </x:c>
      <x:c r="BY501" s="11" t="n">
        <x:v>-164320</x:v>
      </x:c>
      <x:c r="BZ501" s="11" t="n">
        <x:v>0</x:v>
      </x:c>
      <x:c r="CA501" s="11" t="n">
        <x:v>62000</x:v>
      </x:c>
      <x:c r="CB501" s="11" t="n">
        <x:v>0</x:v>
      </x:c>
      <x:c r="CC501" s="11" t="n">
        <x:v>1127432</x:v>
      </x:c>
      <x:c r="CD501" s="11" t="n">
        <x:v>218183</x:v>
      </x:c>
      <x:c r="CE501" s="11" t="n">
        <x:v>73847</x:v>
      </x:c>
      <x:c r="CF501" s="11" t="n">
        <x:v>0</x:v>
      </x:c>
      <x:c r="CG501" s="11" t="n">
        <x:v>60983</x:v>
      </x:c>
      <x:c r="CH501" s="11" t="n">
        <x:v>631387</x:v>
      </x:c>
      <x:c r="CI501" s="11" t="n">
        <x:v>925165</x:v>
      </x:c>
      <x:c r="CJ501" s="11" t="n">
        <x:v>335509</x:v>
      </x:c>
      <x:c r="CK501" s="11" t="n">
        <x:v>310116</x:v>
      </x:c>
      <x:c r="CL501" s="11" t="n">
        <x:v>965179</x:v>
      </x:c>
      <x:c r="CM501" s="11" t="n">
        <x:v>74746</x:v>
      </x:c>
      <x:c r="CN501" s="11" t="n">
        <x:v>0</x:v>
      </x:c>
      <x:c r="CO501" s="11" t="n">
        <x:v>0</x:v>
      </x:c>
      <x:c r="CP501" s="8"/>
      <x:c r="CQ501" s="8"/>
    </x:row>
    <x:row r="502">
      <x:c r="A502" s="8" t="str">
        <x:v>Nanaimo|2019</x:v>
      </x:c>
      <x:c r="B502" s="8" t="str">
        <x:v>nanaimo-c</x:v>
      </x:c>
      <x:c r="C502" s="8" t="str">
        <x:v>Nanaimo</x:v>
      </x:c>
      <x:c r="D502" s="8" t="str">
        <x:v>Nanaimo</x:v>
      </x:c>
      <x:c r="E502" s="8" t="str">
        <x:v>C</x:v>
      </x:c>
      <x:c r="F502" s="8" t="str">
        <x:v>NAN</x:v>
      </x:c>
      <x:c r="G502" s="9" t="n">
        <x:v>2019</x:v>
      </x:c>
      <x:c r="H502" s="10" t="n">
        <x:v>99856</x:v>
      </x:c>
      <x:c r="I502" s="8" t="str">
        <x:v>20,000 to 99,999</x:v>
      </x:c>
      <x:c r="J502" s="11" t="n">
        <x:v>205332982</x:v>
      </x:c>
      <x:c r="K502" s="11" t="n">
        <x:v>164443106</x:v>
      </x:c>
      <x:c r="L502" s="11" t="n">
        <x:v>40889876</x:v>
      </x:c>
      <x:c r="M502" s="12" t="n">
        <x:v>0.19913934722868828</x:v>
      </x:c>
      <x:c r="N502" s="11" t="n">
        <x:v>115063537</x:v>
      </x:c>
      <x:c r="O502" s="11" t="n">
        <x:v>51830613</x:v>
      </x:c>
      <x:c r="P502" s="11" t="n">
        <x:v>13420109</x:v>
      </x:c>
      <x:c r="Q502" s="11" t="n">
        <x:v>25018723</x:v>
      </x:c>
      <x:c r="R502" s="11" t="n">
        <x:v>137931196</x:v>
      </x:c>
      <x:c r="S502" s="11" t="n">
        <x:v>24606903</x:v>
      </x:c>
      <x:c r="T502" s="11" t="n">
        <x:v>235637689</x:v>
      </x:c>
      <x:c r="U502" s="11" t="n">
        <x:v>157565494</x:v>
      </x:c>
      <x:c r="V502" s="11" t="n">
        <x:v>97965509</x:v>
      </x:c>
      <x:c r="W502" s="11" t="n">
        <x:v>48707245</x:v>
      </x:c>
      <x:c r="X502" s="11" t="n">
        <x:v>46120643</x:v>
      </x:c>
      <x:c r="Y502" s="11" t="n">
        <x:v>0</x:v>
      </x:c>
      <x:c r="Z502" s="11" t="n">
        <x:v>3381656</x:v>
      </x:c>
      <x:c r="AA502" s="11" t="n">
        <x:v>41616953</x:v>
      </x:c>
      <x:c r="AB502" s="11" t="n">
        <x:v>1905007</x:v>
      </x:c>
      <x:c r="AC502" s="11" t="n">
        <x:v>5286663</x:v>
      </x:c>
      <x:c r="AD502" s="11" t="n">
        <x:v>44839046</x:v>
      </x:c>
      <x:c r="AE502" s="11" t="n">
        <x:v>38278270</x:v>
      </x:c>
      <x:c r="AF502" s="11" t="n">
        <x:v>179356184</x:v>
      </x:c>
      <x:c r="AG502" s="11" t="n">
        <x:v>1176318237</x:v>
      </x:c>
      <x:c r="AH502" s="11" t="n">
        <x:v>446478727</x:v>
      </x:c>
      <x:c r="AI502" s="11" t="n">
        <x:v>729839510</x:v>
      </x:c>
      <x:c r="AJ502" s="11" t="n">
        <x:v>56737759</x:v>
      </x:c>
      <x:c r="AK502" s="11" t="n">
        <x:v>124581319</x:v>
      </x:c>
      <x:c r="AL502" s="11" t="n">
        <x:v>0</x:v>
      </x:c>
      <x:c r="AM502" s="12" t="n">
        <x:v>1</x:v>
      </x:c>
      <x:c r="AN502" s="12" t="n">
        <x:v>0.45542750273819144</x:v>
      </x:c>
      <x:c r="AO502" s="11" t="n">
        <x:v>185003009</x:v>
      </x:c>
      <x:c r="AP502" s="11" t="n">
        <x:v>181262524</x:v>
      </x:c>
      <x:c r="AQ502" s="12" t="n">
        <x:v>0.9797814910134786</x:v>
      </x:c>
      <x:c r="AR502" s="11" t="n">
        <x:v>2056.2908788655664</x:v>
      </x:c>
      <x:c r="AS502" s="11" t="n">
        <x:v>1646.8024555359718</x:v>
      </x:c>
      <x:c r="AT502" s="11" t="n">
        <x:v>981.0678276718475</x:v>
      </x:c>
      <x:c r="AU502" s="11" t="n">
        <x:v>487.7748457779202</x:v>
      </x:c>
      <x:c r="AV502" s="11" t="n">
        <x:v>416.769678336805</x:v>
      </x:c>
      <x:c r="AW502" s="11" t="n">
        <x:v>1.4954904339651929</x:v>
      </x:c>
      <x:c r="AX502" s="12" t="n">
        <x:v>0.853681632744818</x:v>
      </x:c>
      <x:c r="AY502" s="11"/>
      <x:c r="AZ502" s="11"/>
      <x:c r="BA502" s="11"/>
      <x:c r="BB502" s="11"/>
      <x:c r="BC502" s="11"/>
      <x:c r="BD502" s="11"/>
      <x:c r="BE502" s="11"/>
      <x:c r="BF502" s="11"/>
      <x:c r="BG502" s="11"/>
      <x:c r="BH502" s="11"/>
      <x:c r="BI502" s="11"/>
      <x:c r="BJ502" s="11"/>
      <x:c r="BK502" s="12"/>
      <x:c r="BL502" s="12"/>
      <x:c r="BM502" s="12"/>
      <x:c r="BN502" s="12"/>
      <x:c r="BO502" s="12"/>
      <x:c r="BP502" s="12"/>
      <x:c r="BQ502" s="12"/>
      <x:c r="BR502" s="12"/>
      <x:c r="BS502" s="12"/>
      <x:c r="BT502" s="12"/>
      <x:c r="BU502" s="11" t="n">
        <x:v>279748</x:v>
      </x:c>
      <x:c r="BV502" s="11" t="n">
        <x:v>4229726</x:v>
      </x:c>
      <x:c r="BW502" s="11" t="n">
        <x:v>8910635</x:v>
      </x:c>
      <x:c r="BX502" s="11" t="n">
        <x:v>6384384</x:v>
      </x:c>
      <x:c r="BY502" s="11" t="n">
        <x:v>0</x:v>
      </x:c>
      <x:c r="BZ502" s="11" t="n">
        <x:v>16251506</x:v>
      </x:c>
      <x:c r="CA502" s="11" t="n">
        <x:v>0</x:v>
      </x:c>
      <x:c r="CB502" s="11" t="n">
        <x:v>2382833</x:v>
      </x:c>
      <x:c r="CC502" s="11" t="n">
        <x:v>17781646</x:v>
      </x:c>
      <x:c r="CD502" s="11" t="n">
        <x:v>49852946</x:v>
      </x:c>
      <x:c r="CE502" s="11" t="n">
        <x:v>4920244</x:v>
      </x:c>
      <x:c r="CF502" s="11" t="n">
        <x:v>0</x:v>
      </x:c>
      <x:c r="CG502" s="11" t="n">
        <x:v>7596635</x:v>
      </x:c>
      <x:c r="CH502" s="11" t="n">
        <x:v>12810821</x:v>
      </x:c>
      <x:c r="CI502" s="11" t="n">
        <x:v>31628095</x:v>
      </x:c>
      <x:c r="CJ502" s="11" t="n">
        <x:v>10201427</x:v>
      </x:c>
      <x:c r="CK502" s="11" t="n">
        <x:v>4364789</x:v>
      </x:c>
      <x:c r="CL502" s="11" t="n">
        <x:v>0</x:v>
      </x:c>
      <x:c r="CM502" s="11"/>
      <x:c r="CN502" s="11" t="n">
        <x:v>679600</x:v>
      </x:c>
      <x:c r="CO502" s="11" t="n">
        <x:v>0</x:v>
      </x:c>
      <x:c r="CP502" s="8"/>
      <x:c r="CQ502" s="8"/>
    </x:row>
    <x:row r="503">
      <x:c r="A503" s="8" t="str">
        <x:v>Nanaimo|2020</x:v>
      </x:c>
      <x:c r="B503" s="8" t="str">
        <x:v>nanaimo-c</x:v>
      </x:c>
      <x:c r="C503" s="8" t="str">
        <x:v>Nanaimo</x:v>
      </x:c>
      <x:c r="D503" s="8" t="str">
        <x:v>Nanaimo</x:v>
      </x:c>
      <x:c r="E503" s="8" t="str">
        <x:v>C</x:v>
      </x:c>
      <x:c r="F503" s="8" t="str">
        <x:v>NAN</x:v>
      </x:c>
      <x:c r="G503" s="9" t="n">
        <x:v>2020</x:v>
      </x:c>
      <x:c r="H503" s="10" t="n">
        <x:v>101336</x:v>
      </x:c>
      <x:c r="I503" s="8" t="str">
        <x:v>100,000 and over</x:v>
      </x:c>
      <x:c r="J503" s="11" t="n">
        <x:v>203824915</x:v>
      </x:c>
      <x:c r="K503" s="11" t="n">
        <x:v>166635898</x:v>
      </x:c>
      <x:c r="L503" s="11" t="n">
        <x:v>37189017</x:v>
      </x:c>
      <x:c r="M503" s="12" t="n">
        <x:v>0.18245569733219316</x:v>
      </x:c>
      <x:c r="N503" s="11" t="n">
        <x:v>121612920</x:v>
      </x:c>
      <x:c r="O503" s="11" t="n">
        <x:v>45415888</x:v>
      </x:c>
      <x:c r="P503" s="11" t="n">
        <x:v>15445069</x:v>
      </x:c>
      <x:c r="Q503" s="11" t="n">
        <x:v>21351038</x:v>
      </x:c>
      <x:c r="R503" s="11" t="n">
        <x:v>139290853</x:v>
      </x:c>
      <x:c r="S503" s="11" t="n">
        <x:v>25514512</x:v>
      </x:c>
      <x:c r="T503" s="11" t="n">
        <x:v>263573470</x:v>
      </x:c>
      <x:c r="U503" s="11" t="n">
        <x:v>173915641</x:v>
      </x:c>
      <x:c r="V503" s="11" t="n">
        <x:v>115724543</x:v>
      </x:c>
      <x:c r="W503" s="11" t="n">
        <x:v>71447054</x:v>
      </x:c>
      <x:c r="X503" s="11" t="n">
        <x:v>41616953</x:v>
      </x:c>
      <x:c r="Y503" s="11" t="n">
        <x:v>2406585</x:v>
      </x:c>
      <x:c r="Z503" s="11" t="n">
        <x:v>3456136</x:v>
      </x:c>
      <x:c r="AA503" s="11" t="n">
        <x:v>39306835</x:v>
      </x:c>
      <x:c r="AB503" s="11" t="n">
        <x:v>1830533</x:v>
      </x:c>
      <x:c r="AC503" s="11" t="n">
        <x:v>5286669</x:v>
      </x:c>
      <x:c r="AD503" s="11" t="n">
        <x:v>44370220</x:v>
      </x:c>
      <x:c r="AE503" s="11" t="n">
        <x:v>37494768</x:v>
      </x:c>
      <x:c r="AF503" s="11" t="n">
        <x:v>177480881</x:v>
      </x:c>
      <x:c r="AG503" s="11" t="n">
        <x:v>1218931757</x:v>
      </x:c>
      <x:c r="AH503" s="11" t="n">
        <x:v>469580095</x:v>
      </x:c>
      <x:c r="AI503" s="11" t="n">
        <x:v>749351662</x:v>
      </x:c>
      <x:c r="AJ503" s="11" t="n">
        <x:v>46326877</x:v>
      </x:c>
      <x:c r="AK503" s="11" t="n">
        <x:v>124209282</x:v>
      </x:c>
      <x:c r="AL503" s="11" t="n">
        <x:v>0</x:v>
      </x:c>
      <x:c r="AM503" s="12" t="n">
        <x:v>1</x:v>
      </x:c>
      <x:c r="AN503" s="12" t="n">
        <x:v>0.37297435629649645</x:v>
      </x:c>
      <x:c r="AO503" s="11" t="n">
        <x:v>189177413</x:v>
      </x:c>
      <x:c r="AP503" s="11" t="n">
        <x:v>184903022</x:v>
      </x:c>
      <x:c r="AQ503" s="12" t="n">
        <x:v>0.9774053840137882</x:v>
      </x:c>
      <x:c r="AR503" s="11" t="n">
        <x:v>2011.3771512591775</x:v>
      </x:c>
      <x:c r="AS503" s="11" t="n">
        <x:v>1644.389930528144</x:v>
      </x:c>
      <x:c r="AT503" s="11" t="n">
        <x:v>1141.9884641193653</x:v>
      </x:c>
      <x:c r="AU503" s="11" t="n">
        <x:v>705.0510578668982</x:v>
      </x:c>
      <x:c r="AV503" s="11" t="n">
        <x:v>387.886190494987</x:v>
      </x:c>
      <x:c r="AW503" s="11" t="n">
        <x:v>1.5155248170002145</x:v>
      </x:c>
      <x:c r="AX503" s="12" t="n">
        <x:v>0.845043544972281</x:v>
      </x:c>
      <x:c r="AY503" s="11"/>
      <x:c r="AZ503" s="11"/>
      <x:c r="BA503" s="11"/>
      <x:c r="BB503" s="11"/>
      <x:c r="BC503" s="11"/>
      <x:c r="BD503" s="11"/>
      <x:c r="BE503" s="11"/>
      <x:c r="BF503" s="11"/>
      <x:c r="BG503" s="11"/>
      <x:c r="BH503" s="11"/>
      <x:c r="BI503" s="11"/>
      <x:c r="BJ503" s="11"/>
      <x:c r="BK503" s="12"/>
      <x:c r="BL503" s="12"/>
      <x:c r="BM503" s="12"/>
      <x:c r="BN503" s="12"/>
      <x:c r="BO503" s="12"/>
      <x:c r="BP503" s="12"/>
      <x:c r="BQ503" s="12"/>
      <x:c r="BR503" s="12"/>
      <x:c r="BS503" s="12"/>
      <x:c r="BT503" s="12"/>
      <x:c r="BU503" s="11" t="n">
        <x:v>482716</x:v>
      </x:c>
      <x:c r="BV503" s="11" t="n">
        <x:v>9654268</x:v>
      </x:c>
      <x:c r="BW503" s="11" t="n">
        <x:v>5308085</x:v>
      </x:c>
      <x:c r="BX503" s="11" t="n">
        <x:v>5896764</x:v>
      </x:c>
      <x:c r="BY503" s="11" t="n">
        <x:v>0</x:v>
      </x:c>
      <x:c r="BZ503" s="11" t="n">
        <x:v>12783373</x:v>
      </x:c>
      <x:c r="CA503" s="11" t="n">
        <x:v>283403</x:v>
      </x:c>
      <x:c r="CB503" s="11" t="n">
        <x:v>2387498</x:v>
      </x:c>
      <x:c r="CC503" s="11" t="n">
        <x:v>20540339</x:v>
      </x:c>
      <x:c r="CD503" s="11" t="n">
        <x:v>52824429</x:v>
      </x:c>
      <x:c r="CE503" s="11" t="n">
        <x:v>6070695</x:v>
      </x:c>
      <x:c r="CF503" s="11" t="n">
        <x:v>0</x:v>
      </x:c>
      <x:c r="CG503" s="11" t="n">
        <x:v>8729277</x:v>
      </x:c>
      <x:c r="CH503" s="11" t="n">
        <x:v>12239989</x:v>
      </x:c>
      <x:c r="CI503" s="11" t="n">
        <x:v>25639484</x:v>
      </x:c>
      <x:c r="CJ503" s="11" t="n">
        <x:v>10453288</x:v>
      </x:c>
      <x:c r="CK503" s="11" t="n">
        <x:v>4623885</x:v>
      </x:c>
      <x:c r="CL503" s="11" t="n">
        <x:v>0</x:v>
      </x:c>
      <x:c r="CM503" s="11"/>
      <x:c r="CN503" s="11" t="n">
        <x:v>0</x:v>
      </x:c>
      <x:c r="CO503" s="11" t="n">
        <x:v>0</x:v>
      </x:c>
      <x:c r="CP503" s="8"/>
      <x:c r="CQ503" s="8"/>
    </x:row>
    <x:row r="504">
      <x:c r="A504" s="8" t="str">
        <x:v>Nanaimo|2021</x:v>
      </x:c>
      <x:c r="B504" s="8" t="str">
        <x:v>nanaimo-c</x:v>
      </x:c>
      <x:c r="C504" s="8" t="str">
        <x:v>Nanaimo</x:v>
      </x:c>
      <x:c r="D504" s="8" t="str">
        <x:v>Nanaimo</x:v>
      </x:c>
      <x:c r="E504" s="8" t="str">
        <x:v>C</x:v>
      </x:c>
      <x:c r="F504" s="8" t="str">
        <x:v>NAN</x:v>
      </x:c>
      <x:c r="G504" s="9" t="n">
        <x:v>2021</x:v>
      </x:c>
      <x:c r="H504" s="10" t="n">
        <x:v>101987</x:v>
      </x:c>
      <x:c r="I504" s="8" t="str">
        <x:v>100,000 and over</x:v>
      </x:c>
      <x:c r="J504" s="11" t="n">
        <x:v>210374010</x:v>
      </x:c>
      <x:c r="K504" s="11" t="n">
        <x:v>180909243</x:v>
      </x:c>
      <x:c r="L504" s="11" t="n">
        <x:v>29464767</x:v>
      </x:c>
      <x:c r="M504" s="12" t="n">
        <x:v>0.14005896926145964</x:v>
      </x:c>
      <x:c r="N504" s="11" t="n">
        <x:v>127271403</x:v>
      </x:c>
      <x:c r="O504" s="11" t="n">
        <x:v>52578165</x:v>
      </x:c>
      <x:c r="P504" s="11" t="n">
        <x:v>12979217</x:v>
      </x:c>
      <x:c r="Q504" s="11" t="n">
        <x:v>17545225</x:v>
      </x:c>
      <x:c r="R504" s="11" t="n">
        <x:v>152270772</x:v>
      </x:c>
      <x:c r="S504" s="11" t="n">
        <x:v>26687264</x:v>
      </x:c>
      <x:c r="T504" s="11" t="n">
        <x:v>281237205</x:v>
      </x:c>
      <x:c r="U504" s="11" t="n">
        <x:v>192306655</x:v>
      </x:c>
      <x:c r="V504" s="11" t="n">
        <x:v>112320962</x:v>
      </x:c>
      <x:c r="W504" s="11" t="n">
        <x:v>75372139</x:v>
      </x:c>
      <x:c r="X504" s="11" t="n">
        <x:v>39306835</x:v>
      </x:c>
      <x:c r="Y504" s="11" t="n">
        <x:v>11160000</x:v>
      </x:c>
      <x:c r="Z504" s="11" t="n">
        <x:v>3501991</x:v>
      </x:c>
      <x:c r="AA504" s="11" t="n">
        <x:v>45947100</x:v>
      </x:c>
      <x:c r="AB504" s="11" t="n">
        <x:v>1951207</x:v>
      </x:c>
      <x:c r="AC504" s="11" t="n">
        <x:v>5453198</x:v>
      </x:c>
      <x:c r="AD504" s="11" t="n">
        <x:v>47198318</x:v>
      </x:c>
      <x:c r="AE504" s="11" t="n">
        <x:v>40853933</x:v>
      </x:c>
      <x:c r="AF504" s="11" t="n">
        <x:v>188793270</x:v>
      </x:c>
      <x:c r="AG504" s="11" t="n">
        <x:v>1273995450</x:v>
      </x:c>
      <x:c r="AH504" s="11" t="n">
        <x:v>492440345</x:v>
      </x:c>
      <x:c r="AI504" s="11" t="n">
        <x:v>781555105</x:v>
      </x:c>
      <x:c r="AJ504" s="11" t="n">
        <x:v>59412236</x:v>
      </x:c>
      <x:c r="AK504" s="11" t="n">
        <x:v>143276465</x:v>
      </x:c>
      <x:c r="AL504" s="11" t="n">
        <x:v>0</x:v>
      </x:c>
      <x:c r="AM504" s="12" t="n">
        <x:v>1</x:v>
      </x:c>
      <x:c r="AN504" s="12" t="n">
        <x:v>0.41466849422897195</x:v>
      </x:c>
      <x:c r="AO504" s="11" t="n">
        <x:v>204869610</x:v>
      </x:c>
      <x:c r="AP504" s="11" t="n">
        <x:v>201468561</x:v>
      </x:c>
      <x:c r="AQ504" s="12" t="n">
        <x:v>0.9833989580006522</x:v>
      </x:c>
      <x:c r="AR504" s="11" t="n">
        <x:v>2062.753194034534</x:v>
      </x:c>
      <x:c r="AS504" s="11" t="n">
        <x:v>1773.8461078372734</x:v>
      </x:c>
      <x:c r="AT504" s="11" t="n">
        <x:v>1101.3262670732545</x:v>
      </x:c>
      <x:c r="AU504" s="11" t="n">
        <x:v>739.0367301714924</x:v>
      </x:c>
      <x:c r="AV504" s="11" t="n">
        <x:v>450.51918381754535</x:v>
      </x:c>
      <x:c r="AW504" s="11" t="n">
        <x:v>1.4624413544086656</x:v>
      </x:c>
      <x:c r="AX504" s="12" t="n">
        <x:v>0.8655802734326253</x:v>
      </x:c>
      <x:c r="AY504" s="11"/>
      <x:c r="AZ504" s="11"/>
      <x:c r="BA504" s="11"/>
      <x:c r="BB504" s="11"/>
      <x:c r="BC504" s="11"/>
      <x:c r="BD504" s="11"/>
      <x:c r="BE504" s="11"/>
      <x:c r="BF504" s="11"/>
      <x:c r="BG504" s="11"/>
      <x:c r="BH504" s="11"/>
      <x:c r="BI504" s="11"/>
      <x:c r="BJ504" s="11"/>
      <x:c r="BK504" s="12"/>
      <x:c r="BL504" s="12"/>
      <x:c r="BM504" s="12"/>
      <x:c r="BN504" s="12"/>
      <x:c r="BO504" s="12"/>
      <x:c r="BP504" s="12"/>
      <x:c r="BQ504" s="12"/>
      <x:c r="BR504" s="12"/>
      <x:c r="BS504" s="12"/>
      <x:c r="BT504" s="12"/>
      <x:c r="BU504" s="11" t="n">
        <x:v>514730</x:v>
      </x:c>
      <x:c r="BV504" s="11" t="n">
        <x:v>3351118</x:v>
      </x:c>
      <x:c r="BW504" s="11" t="n">
        <x:v>9113369</x:v>
      </x:c>
      <x:c r="BX504" s="11" t="n">
        <x:v>4091434</x:v>
      </x:c>
      <x:c r="BY504" s="11" t="n">
        <x:v>0</x:v>
      </x:c>
      <x:c r="BZ504" s="11" t="n">
        <x:v>10789766</x:v>
      </x:c>
      <x:c r="CA504" s="11" t="n">
        <x:v>0</x:v>
      </x:c>
      <x:c r="CB504" s="11" t="n">
        <x:v>2664025</x:v>
      </x:c>
      <x:c r="CC504" s="11" t="n">
        <x:v>21709910</x:v>
      </x:c>
      <x:c r="CD504" s="11" t="n">
        <x:v>58963270</x:v>
      </x:c>
      <x:c r="CE504" s="11" t="n">
        <x:v>6114736</x:v>
      </x:c>
      <x:c r="CF504" s="11" t="n">
        <x:v>0</x:v>
      </x:c>
      <x:c r="CG504" s="11" t="n">
        <x:v>8717732</x:v>
      </x:c>
      <x:c r="CH504" s="11" t="n">
        <x:v>14695505</x:v>
      </x:c>
      <x:c r="CI504" s="11" t="n">
        <x:v>28650028</x:v>
      </x:c>
      <x:c r="CJ504" s="11" t="n">
        <x:v>10506096</x:v>
      </x:c>
      <x:c r="CK504" s="11" t="n">
        <x:v>4687355</x:v>
      </x:c>
      <x:c r="CL504" s="11" t="n">
        <x:v>0</x:v>
      </x:c>
      <x:c r="CM504" s="11"/>
      <x:c r="CN504" s="11" t="n">
        <x:v>177347</x:v>
      </x:c>
      <x:c r="CO504" s="11" t="n">
        <x:v>0</x:v>
      </x:c>
      <x:c r="CP504" s="8"/>
      <x:c r="CQ504" s="8"/>
    </x:row>
    <x:row r="505">
      <x:c r="A505" s="8" t="str">
        <x:v>Nanaimo|2022</x:v>
      </x:c>
      <x:c r="B505" s="8" t="str">
        <x:v>nanaimo-c</x:v>
      </x:c>
      <x:c r="C505" s="8" t="str">
        <x:v>Nanaimo</x:v>
      </x:c>
      <x:c r="D505" s="8" t="str">
        <x:v>Nanaimo</x:v>
      </x:c>
      <x:c r="E505" s="8" t="str">
        <x:v>C</x:v>
      </x:c>
      <x:c r="F505" s="8" t="str">
        <x:v>NAN</x:v>
      </x:c>
      <x:c r="G505" s="9" t="n">
        <x:v>2022</x:v>
      </x:c>
      <x:c r="H505" s="10" t="n">
        <x:v>11467</x:v>
      </x:c>
      <x:c r="I505" s="8" t="str">
        <x:v>5,000 to 19,999</x:v>
      </x:c>
      <x:c r="J505" s="11" t="n">
        <x:v>227550351</x:v>
      </x:c>
      <x:c r="K505" s="11" t="n">
        <x:v>189449524</x:v>
      </x:c>
      <x:c r="L505" s="11" t="n">
        <x:v>38100827</x:v>
      </x:c>
      <x:c r="M505" s="12" t="n">
        <x:v>0.16743910449955754</x:v>
      </x:c>
      <x:c r="N505" s="11" t="n">
        <x:v>136775357</x:v>
      </x:c>
      <x:c r="O505" s="11" t="n">
        <x:v>58647653</x:v>
      </x:c>
      <x:c r="P505" s="11" t="n">
        <x:v>11243357</x:v>
      </x:c>
      <x:c r="Q505" s="11" t="n">
        <x:v>20883984</x:v>
      </x:c>
      <x:c r="R505" s="11" t="n">
        <x:v>159255468</x:v>
      </x:c>
      <x:c r="S505" s="11" t="n">
        <x:v>28035992</x:v>
      </x:c>
      <x:c r="T505" s="11" t="n">
        <x:v>290427315</x:v>
      </x:c>
      <x:c r="U505" s="11" t="n">
        <x:v>195605053</x:v>
      </x:c>
      <x:c r="V505" s="11" t="n">
        <x:v>121866133</x:v>
      </x:c>
      <x:c r="W505" s="11" t="n">
        <x:v>81855556</x:v>
      </x:c>
      <x:c r="X505" s="11" t="n">
        <x:v>45947100</x:v>
      </x:c>
      <x:c r="Y505" s="11" t="n">
        <x:v>280269</x:v>
      </x:c>
      <x:c r="Z505" s="11" t="n">
        <x:v>3786428</x:v>
      </x:c>
      <x:c r="AA505" s="11" t="n">
        <x:v>41301913</x:v>
      </x:c>
      <x:c r="AB505" s="11" t="n">
        <x:v>2158064</x:v>
      </x:c>
      <x:c r="AC505" s="11" t="n">
        <x:v>5944492</x:v>
      </x:c>
      <x:c r="AD505" s="11" t="n">
        <x:v>51683357</x:v>
      </x:c>
      <x:c r="AE505" s="11" t="n">
        <x:v>44709833</x:v>
      </x:c>
      <x:c r="AF505" s="11" t="n">
        <x:v>206733429</x:v>
      </x:c>
      <x:c r="AG505" s="11" t="n">
        <x:v>1324306191</x:v>
      </x:c>
      <x:c r="AH505" s="11" t="n">
        <x:v>514719251</x:v>
      </x:c>
      <x:c r="AI505" s="11" t="n">
        <x:v>809586940</x:v>
      </x:c>
      <x:c r="AJ505" s="11" t="n">
        <x:v>57341340</x:v>
      </x:c>
      <x:c r="AK505" s="11" t="n">
        <x:v>143971639</x:v>
      </x:c>
      <x:c r="AL505" s="11" t="n">
        <x:v>0</x:v>
      </x:c>
      <x:c r="AM505" s="12" t="n">
        <x:v>1</x:v>
      </x:c>
      <x:c r="AN505" s="12" t="n">
        <x:v>0.3982821922309296</x:v>
      </x:c>
      <x:c r="AO505" s="11" t="n">
        <x:v>224478918</x:v>
      </x:c>
      <x:c r="AP505" s="11" t="n">
        <x:v>220883357</x:v>
      </x:c>
      <x:c r="AQ505" s="12" t="n">
        <x:v>0.9839826339505076</x:v>
      </x:c>
      <x:c r="AR505" s="11" t="n">
        <x:v>19843.930496206507</x:v>
      </x:c>
      <x:c r="AS505" s="11" t="n">
        <x:v>16521.28054417023</x:v>
      </x:c>
      <x:c r="AT505" s="11" t="n">
        <x:v>10627.551495596059</x:v>
      </x:c>
      <x:c r="AU505" s="11" t="n">
        <x:v>7138.358419813378</x:v>
      </x:c>
      <x:c r="AV505" s="11" t="n">
        <x:v>3601.8063137699487</x:v>
      </x:c>
      <x:c r="AW505" s="11" t="n">
        <x:v>1.4847638675264692</x:v>
      </x:c>
      <x:c r="AX505" s="12" t="n">
        <x:v>0.865072154658994</x:v>
      </x:c>
      <x:c r="AY505" s="11"/>
      <x:c r="AZ505" s="11"/>
      <x:c r="BA505" s="11"/>
      <x:c r="BB505" s="11"/>
      <x:c r="BC505" s="11"/>
      <x:c r="BD505" s="11"/>
      <x:c r="BE505" s="11"/>
      <x:c r="BF505" s="11"/>
      <x:c r="BG505" s="11"/>
      <x:c r="BH505" s="11"/>
      <x:c r="BI505" s="11"/>
      <x:c r="BJ505" s="11"/>
      <x:c r="BK505" s="12"/>
      <x:c r="BL505" s="12"/>
      <x:c r="BM505" s="12"/>
      <x:c r="BN505" s="12"/>
      <x:c r="BO505" s="12"/>
      <x:c r="BP505" s="12"/>
      <x:c r="BQ505" s="12"/>
      <x:c r="BR505" s="12"/>
      <x:c r="BS505" s="12"/>
      <x:c r="BT505" s="12"/>
      <x:c r="BU505" s="11" t="n">
        <x:v>1441622</x:v>
      </x:c>
      <x:c r="BV505" s="11" t="n">
        <x:v>4421908</x:v>
      </x:c>
      <x:c r="BW505" s="11" t="n">
        <x:v>5379827</x:v>
      </x:c>
      <x:c r="BX505" s="11" t="n">
        <x:v>6823576</x:v>
      </x:c>
      <x:c r="BY505" s="11" t="n">
        <x:v>0</x:v>
      </x:c>
      <x:c r="BZ505" s="11" t="n">
        <x:v>10212699</x:v>
      </x:c>
      <x:c r="CA505" s="11" t="n">
        <x:v>1387738</x:v>
      </x:c>
      <x:c r="CB505" s="11" t="n">
        <x:v>2459971</x:v>
      </x:c>
      <x:c r="CC505" s="11" t="n">
        <x:v>17846040</x:v>
      </x:c>
      <x:c r="CD505" s="11" t="n">
        <x:v>60291531</x:v>
      </x:c>
      <x:c r="CE505" s="11" t="n">
        <x:v>7198228</x:v>
      </x:c>
      <x:c r="CF505" s="11" t="n">
        <x:v>0</x:v>
      </x:c>
      <x:c r="CG505" s="11" t="n">
        <x:v>11578463</x:v>
      </x:c>
      <x:c r="CH505" s="11" t="n">
        <x:v>16624136</x:v>
      </x:c>
      <x:c r="CI505" s="11" t="n">
        <x:v>32490217</x:v>
      </x:c>
      <x:c r="CJ505" s="11" t="n">
        <x:v>10503008</x:v>
      </x:c>
      <x:c r="CK505" s="11" t="n">
        <x:v>4881909</x:v>
      </x:c>
      <x:c r="CL505" s="11" t="n">
        <x:v>0</x:v>
      </x:c>
      <x:c r="CM505" s="11"/>
      <x:c r="CN505" s="11" t="n">
        <x:v>0</x:v>
      </x:c>
      <x:c r="CO505" s="11" t="n">
        <x:v>0</x:v>
      </x:c>
      <x:c r="CP505" s="8"/>
      <x:c r="CQ505" s="8"/>
    </x:row>
    <x:row r="506">
      <x:c r="A506" s="8" t="str">
        <x:v>Nanaimo|2023</x:v>
      </x:c>
      <x:c r="B506" s="8" t="str">
        <x:v>nanaimo-c</x:v>
      </x:c>
      <x:c r="C506" s="8" t="str">
        <x:v>Nanaimo</x:v>
      </x:c>
      <x:c r="D506" s="8" t="str">
        <x:v>Nanaimo</x:v>
      </x:c>
      <x:c r="E506" s="8" t="str">
        <x:v>C</x:v>
      </x:c>
      <x:c r="F506" s="8" t="str">
        <x:v>NAN</x:v>
      </x:c>
      <x:c r="G506" s="9" t="n">
        <x:v>2023</x:v>
      </x:c>
      <x:c r="H506" s="10" t="n">
        <x:v>108438</x:v>
      </x:c>
      <x:c r="I506" s="8" t="str">
        <x:v>100,000 and over</x:v>
      </x:c>
      <x:c r="J506" s="11" t="n">
        <x:v>278517408</x:v>
      </x:c>
      <x:c r="K506" s="11" t="n">
        <x:v>206039640</x:v>
      </x:c>
      <x:c r="L506" s="11" t="n">
        <x:v>72477768</x:v>
      </x:c>
      <x:c r="M506" s="12" t="n">
        <x:v>0.26022706630962184</x:v>
      </x:c>
      <x:c r="N506" s="11" t="n">
        <x:v>148412399</x:v>
      </x:c>
      <x:c r="O506" s="11" t="n">
        <x:v>62987603</x:v>
      </x:c>
      <x:c r="P506" s="11" t="n">
        <x:v>32423019</x:v>
      </x:c>
      <x:c r="Q506" s="11" t="n">
        <x:v>34694387</x:v>
      </x:c>
      <x:c r="R506" s="11" t="n">
        <x:v>174481795</x:v>
      </x:c>
      <x:c r="S506" s="11" t="n">
        <x:v>29258862</x:v>
      </x:c>
      <x:c r="T506" s="11" t="n">
        <x:v>314049911</x:v>
      </x:c>
      <x:c r="U506" s="11" t="n">
        <x:v>201307449</x:v>
      </x:c>
      <x:c r="V506" s="11" t="n">
        <x:v>145349208</x:v>
      </x:c>
      <x:c r="W506" s="11" t="n">
        <x:v>104542462</x:v>
      </x:c>
      <x:c r="X506" s="11" t="n">
        <x:v>41301913</x:v>
      </x:c>
      <x:c r="Y506" s="11" t="n">
        <x:v>1292314</x:v>
      </x:c>
      <x:c r="Z506" s="11" t="n">
        <x:v>3262191</x:v>
      </x:c>
      <x:c r="AA506" s="11" t="n">
        <x:v>38170336</x:v>
      </x:c>
      <x:c r="AB506" s="11" t="n">
        <x:v>2298983</x:v>
      </x:c>
      <x:c r="AC506" s="11" t="n">
        <x:v>5561174</x:v>
      </x:c>
      <x:c r="AD506" s="11" t="n">
        <x:v>57783145</x:v>
      </x:c>
      <x:c r="AE506" s="11" t="n">
        <x:v>50192161</x:v>
      </x:c>
      <x:c r="AF506" s="11" t="n">
        <x:v>231132579</x:v>
      </x:c>
      <x:c r="AG506" s="11" t="n">
        <x:v>1398625049</x:v>
      </x:c>
      <x:c r="AH506" s="11" t="n">
        <x:v>541135134</x:v>
      </x:c>
      <x:c r="AI506" s="11" t="n">
        <x:v>857489915</x:v>
      </x:c>
      <x:c r="AJ506" s="11" t="n">
        <x:v>75466909</x:v>
      </x:c>
      <x:c r="AK506" s="11" t="n">
        <x:v>4999146050</x:v>
      </x:c>
      <x:c r="AL506" s="11" t="n">
        <x:v>107855820</x:v>
      </x:c>
      <x:c r="AM506" s="12" t="n">
        <x:v>0.9784251512315788</x:v>
      </x:c>
      <x:c r="AN506" s="12" t="n">
        <x:v>0.015095960039015064</x:v>
      </x:c>
      <x:c r="AO506" s="11" t="n">
        <x:v>244989590</x:v>
      </x:c>
      <x:c r="AP506" s="11" t="n">
        <x:v>240943406</x:v>
      </x:c>
      <x:c r="AQ506" s="12" t="n">
        <x:v>0.9834842615149485</x:v>
      </x:c>
      <x:c r="AR506" s="11" t="n">
        <x:v>2568.448403696121</x:v>
      </x:c>
      <x:c r="AS506" s="11" t="n">
        <x:v>1900.0686106346484</x:v>
      </x:c>
      <x:c r="AT506" s="11" t="n">
        <x:v>1340.3899739943563</x:v>
      </x:c>
      <x:c r="AU506" s="11" t="n">
        <x:v>964.07589590365</x:v>
      </x:c>
      <x:c r="AV506" s="11" t="n">
        <x:v>352.0014754975193</x:v>
      </x:c>
      <x:c r="AW506" s="11" t="n">
        <x:v>1.560051118625024</x:v>
      </x:c>
      <x:c r="AX506" s="12" t="n">
        <x:v>0.8686297881501603</x:v>
      </x:c>
      <x:c r="AY506" s="11"/>
      <x:c r="AZ506" s="11"/>
      <x:c r="BA506" s="11"/>
      <x:c r="BB506" s="11"/>
      <x:c r="BC506" s="11"/>
      <x:c r="BD506" s="11"/>
      <x:c r="BE506" s="11"/>
      <x:c r="BF506" s="11"/>
      <x:c r="BG506" s="11"/>
      <x:c r="BH506" s="11"/>
      <x:c r="BI506" s="11"/>
      <x:c r="BJ506" s="11"/>
      <x:c r="BK506" s="12"/>
      <x:c r="BL506" s="12"/>
      <x:c r="BM506" s="12"/>
      <x:c r="BN506" s="12"/>
      <x:c r="BO506" s="12"/>
      <x:c r="BP506" s="12"/>
      <x:c r="BQ506" s="12"/>
      <x:c r="BR506" s="12"/>
      <x:c r="BS506" s="12"/>
      <x:c r="BT506" s="12"/>
      <x:c r="BU506" s="11" t="n">
        <x:v>3974704</x:v>
      </x:c>
      <x:c r="BV506" s="11" t="n">
        <x:v>22879897</x:v>
      </x:c>
      <x:c r="BW506" s="11" t="n">
        <x:v>5568418</x:v>
      </x:c>
      <x:c r="BX506" s="11" t="n">
        <x:v>12780099</x:v>
      </x:c>
      <x:c r="BY506" s="11" t="n">
        <x:v>0</x:v>
      </x:c>
      <x:c r="BZ506" s="11" t="n">
        <x:v>18183614</x:v>
      </x:c>
      <x:c r="CA506" s="11" t="n">
        <x:v>0</x:v>
      </x:c>
      <x:c r="CB506" s="11" t="n">
        <x:v>3730674</x:v>
      </x:c>
      <x:c r="CC506" s="11" t="n">
        <x:v>19205052</x:v>
      </x:c>
      <x:c r="CD506" s="11" t="n">
        <x:v>66334845</x:v>
      </x:c>
      <x:c r="CE506" s="11" t="n">
        <x:v>7777985</x:v>
      </x:c>
      <x:c r="CF506" s="11" t="n">
        <x:v>0</x:v>
      </x:c>
      <x:c r="CG506" s="11" t="n">
        <x:v>13483749</x:v>
      </x:c>
      <x:c r="CH506" s="11" t="n">
        <x:v>16417756</x:v>
      </x:c>
      <x:c r="CI506" s="11" t="n">
        <x:v>36147424</x:v>
      </x:c>
      <x:c r="CJ506" s="11" t="n">
        <x:v>12543143</x:v>
      </x:c>
      <x:c r="CK506" s="11" t="n">
        <x:v>4797079</x:v>
      </x:c>
      <x:c r="CL506" s="11" t="n">
        <x:v>0</x:v>
      </x:c>
      <x:c r="CM506" s="11" t="n">
        <x:v>0</x:v>
      </x:c>
      <x:c r="CN506" s="11" t="n">
        <x:v>73745</x:v>
      </x:c>
      <x:c r="CO506" s="11" t="n">
        <x:v>0</x:v>
      </x:c>
      <x:c r="CP506" s="8"/>
      <x:c r="CQ506" s="8"/>
    </x:row>
    <x:row r="507">
      <x:c r="A507" s="8" t="str">
        <x:v>Nanaimo|2024</x:v>
      </x:c>
      <x:c r="B507" s="8" t="str">
        <x:v>nanaimo-c</x:v>
      </x:c>
      <x:c r="C507" s="8" t="str">
        <x:v>Nanaimo</x:v>
      </x:c>
      <x:c r="D507" s="8" t="str">
        <x:v>Nanaimo</x:v>
      </x:c>
      <x:c r="E507" s="8" t="str">
        <x:v>C</x:v>
      </x:c>
      <x:c r="F507" s="8" t="str">
        <x:v>NAN</x:v>
      </x:c>
      <x:c r="G507" s="9" t="n">
        <x:v>2024</x:v>
      </x:c>
      <x:c r="H507" s="10" t="n">
        <x:v>108438</x:v>
      </x:c>
      <x:c r="I507" s="8" t="str">
        <x:v>100,000 and over</x:v>
      </x:c>
      <x:c r="J507" s="11" t="n">
        <x:v>272961862</x:v>
      </x:c>
      <x:c r="K507" s="11" t="n">
        <x:v>226095330</x:v>
      </x:c>
      <x:c r="L507" s="11" t="n">
        <x:v>46866532</x:v>
      </x:c>
      <x:c r="M507" s="12" t="n">
        <x:v>0.1716962642935078</x:v>
      </x:c>
      <x:c r="N507" s="11" t="n">
        <x:v>160579527</x:v>
      </x:c>
      <x:c r="O507" s="11" t="n">
        <x:v>66371584</x:v>
      </x:c>
      <x:c r="P507" s="11" t="n">
        <x:v>13050454</x:v>
      </x:c>
      <x:c r="Q507" s="11" t="n">
        <x:v>32960297</x:v>
      </x:c>
      <x:c r="R507" s="11" t="n">
        <x:v>192091775</x:v>
      </x:c>
      <x:c r="S507" s="11" t="n">
        <x:v>31532838</x:v>
      </x:c>
      <x:c r="T507" s="11" t="n">
        <x:v>309871027</x:v>
      </x:c>
      <x:c r="U507" s="11" t="n">
        <x:v>194822031</x:v>
      </x:c>
      <x:c r="V507" s="11" t="n">
        <x:v>148234194</x:v>
      </x:c>
      <x:c r="W507" s="11" t="n">
        <x:v>106208322</x:v>
      </x:c>
      <x:c r="X507" s="11" t="n">
        <x:v>38170336</x:v>
      </x:c>
      <x:c r="Y507" s="11" t="n">
        <x:v>0</x:v>
      </x:c>
      <x:c r="Z507" s="11" t="n">
        <x:v>3042380</x:v>
      </x:c>
      <x:c r="AA507" s="11" t="n">
        <x:v>33860958</x:v>
      </x:c>
      <x:c r="AB507" s="11" t="n">
        <x:v>2470717</x:v>
      </x:c>
      <x:c r="AC507" s="11" t="n">
        <x:v>5513097</x:v>
      </x:c>
      <x:c r="AD507" s="11" t="n">
        <x:v>61705299</x:v>
      </x:c>
      <x:c r="AE507" s="11" t="n">
        <x:v>54162651</x:v>
      </x:c>
      <x:c r="AF507" s="11" t="n">
        <x:v>246821195</x:v>
      </x:c>
      <x:c r="AG507" s="11" t="n">
        <x:v>1470748948</x:v>
      </x:c>
      <x:c r="AH507" s="11" t="n">
        <x:v>569489019</x:v>
      </x:c>
      <x:c r="AI507" s="11" t="n">
        <x:v>901259929</x:v>
      </x:c>
      <x:c r="AJ507" s="11" t="n">
        <x:v>75681395</x:v>
      </x:c>
      <x:c r="AK507" s="11" t="n">
        <x:v>4964017971</x:v>
      </x:c>
      <x:c r="AL507" s="11" t="n">
        <x:v>98040673</x:v>
      </x:c>
      <x:c r="AM507" s="12" t="n">
        <x:v>0.9802497344746216</x:v>
      </x:c>
      <x:c r="AN507" s="12" t="n">
        <x:v>0.01524599536950387</x:v>
      </x:c>
      <x:c r="AO507" s="11" t="n">
        <x:v>269168689</x:v>
      </x:c>
      <x:c r="AP507" s="11" t="n">
        <x:v>263151093</x:v>
      </x:c>
      <x:c r="AQ507" s="12" t="n">
        <x:v>0.9776437741612658</x:v>
      </x:c>
      <x:c r="AR507" s="11" t="n">
        <x:v>2517.2159390619527</x:v>
      </x:c>
      <x:c r="AS507" s="11" t="n">
        <x:v>2085.019365904941</x:v>
      </x:c>
      <x:c r="AT507" s="11" t="n">
        <x:v>1366.9949095335583</x:v>
      </x:c>
      <x:c r="AU507" s="11" t="n">
        <x:v>979.438222763238</x:v>
      </x:c>
      <x:c r="AV507" s="11" t="n">
        <x:v>312.26099706744867</x:v>
      </x:c>
      <x:c r="AW507" s="11" t="n">
        <x:v>1.5905338087764829</x:v>
      </x:c>
      <x:c r="AX507" s="12" t="n">
        <x:v>0.8777633668058232</x:v>
      </x:c>
      <x:c r="AY507" s="11" t="n">
        <x:v>3003.390678329474</x:v>
      </x:c>
      <x:c r="AZ507" s="11" t="n">
        <x:v>3546.5079302077975</x:v>
      </x:c>
      <x:c r="BA507" s="11" t="n">
        <x:v>2379.369597210911</x:v>
      </x:c>
      <x:c r="BB507" s="11" t="n">
        <x:v>2783.665107049771</x:v>
      </x:c>
      <x:c r="BC507" s="11" t="n">
        <x:v>2052.765446183268</x:v>
      </x:c>
      <x:c r="BD507" s="11" t="n">
        <x:v>2437.8724475115623</x:v>
      </x:c>
      <x:c r="BE507" s="11" t="n">
        <x:v>1093.3312652075697</x:v>
      </x:c>
      <x:c r="BF507" s="11" t="n">
        <x:v>1604.3462673977224</x:v>
      </x:c>
      <x:c r="BG507" s="11" t="n">
        <x:v>312.26099706744867</x:v>
      </x:c>
      <x:c r="BH507" s="11" t="n">
        <x:v>518.5374381567245</x:v>
      </x:c>
      <x:c r="BI507" s="11" t="n">
        <x:v>1.6357691597817738</x:v>
      </x:c>
      <x:c r="BJ507" s="11" t="n">
        <x:v>1.7099330852451193</x:v>
      </x:c>
      <x:c r="BK507" s="12" t="n">
        <x:v>0.025378934003535983</x:v>
      </x:c>
      <x:c r="BL507" s="12" t="n">
        <x:v>0.02529861000232605</x:v>
      </x:c>
      <x:c r="BM507" s="12" t="n">
        <x:v>0.9802497344746216</x:v>
      </x:c>
      <x:c r="BN507" s="12" t="n">
        <x:v>0.9815511712696461</x:v>
      </x:c>
      <x:c r="BO507" s="12" t="n">
        <x:v>0.9023585311053542</x:v>
      </x:c>
      <x:c r="BP507" s="12" t="n">
        <x:v>0.8619101997275483</x:v>
      </x:c>
      <x:c r="BQ507" s="12" t="n">
        <x:v>0.9669710895067201</x:v>
      </x:c>
      <x:c r="BR507" s="12" t="n">
        <x:v>0.9623635142836453</x:v>
      </x:c>
      <x:c r="BS507" s="12" t="n">
        <x:v>0.27009754429306687</x:v>
      </x:c>
      <x:c r="BT507" s="12" t="n">
        <x:v>0.19976549769108282</x:v>
      </x:c>
      <x:c r="BU507" s="11" t="n">
        <x:v>5565069</x:v>
      </x:c>
      <x:c r="BV507" s="11" t="n">
        <x:v>5941527</x:v>
      </x:c>
      <x:c r="BW507" s="11" t="n">
        <x:v>1543858</x:v>
      </x:c>
      <x:c r="BX507" s="11" t="n">
        <x:v>14649070</x:v>
      </x:c>
      <x:c r="BY507" s="11" t="n">
        <x:v>0</x:v>
      </x:c>
      <x:c r="BZ507" s="11" t="n">
        <x:v>13659466</x:v>
      </x:c>
      <x:c r="CA507" s="11" t="n">
        <x:v>1194887</x:v>
      </x:c>
      <x:c r="CB507" s="11" t="n">
        <x:v>3456874</x:v>
      </x:c>
      <x:c r="CC507" s="11" t="n">
        <x:v>27820978</x:v>
      </x:c>
      <x:c r="CD507" s="11" t="n">
        <x:v>74055684</x:v>
      </x:c>
      <x:c r="CE507" s="11" t="n">
        <x:v>8729347</x:v>
      </x:c>
      <x:c r="CF507" s="11" t="n">
        <x:v>1961547</x:v>
      </x:c>
      <x:c r="CG507" s="11" t="n">
        <x:v>8494320</x:v>
      </x:c>
      <x:c r="CH507" s="11" t="n">
        <x:v>18791285</x:v>
      </x:c>
      <x:c r="CI507" s="11" t="n">
        <x:v>35920548</x:v>
      </x:c>
      <x:c r="CJ507" s="11" t="n">
        <x:v>13802984</x:v>
      </x:c>
      <x:c r="CK507" s="11" t="n">
        <x:v>4929426</x:v>
      </x:c>
      <x:c r="CL507" s="11" t="n">
        <x:v>0</x:v>
      </x:c>
      <x:c r="CM507" s="11" t="n">
        <x:v>56373</x:v>
      </x:c>
      <x:c r="CN507" s="11" t="n">
        <x:v>0</x:v>
      </x:c>
      <x:c r="CO507" s="11" t="n">
        <x:v>0</x:v>
      </x:c>
      <x:c r="CP507" s="8"/>
      <x:c r="CQ507" s="8"/>
    </x:row>
    <x:row r="508">
      <x:c r="A508" s="8" t="str">
        <x:v>Nelson|2019</x:v>
      </x:c>
      <x:c r="B508" s="8" t="str">
        <x:v>nelson-c</x:v>
      </x:c>
      <x:c r="C508" s="8" t="str">
        <x:v>Nelson</x:v>
      </x:c>
      <x:c r="D508" s="8" t="str">
        <x:v>Nelson</x:v>
      </x:c>
      <x:c r="E508" s="8" t="str">
        <x:v>C</x:v>
      </x:c>
      <x:c r="F508" s="8" t="str">
        <x:v>CKO</x:v>
      </x:c>
      <x:c r="G508" s="9" t="n">
        <x:v>2019</x:v>
      </x:c>
      <x:c r="H508" s="10" t="n">
        <x:v>11359</x:v>
      </x:c>
      <x:c r="I508" s="8" t="str">
        <x:v>5,000 to 19,999</x:v>
      </x:c>
      <x:c r="J508" s="11" t="n">
        <x:v>52608942</x:v>
      </x:c>
      <x:c r="K508" s="11" t="n">
        <x:v>42521957</x:v>
      </x:c>
      <x:c r="L508" s="11" t="n">
        <x:v>10086985</x:v>
      </x:c>
      <x:c r="M508" s="12" t="n">
        <x:v>0.19173518068468284</x:v>
      </x:c>
      <x:c r="N508" s="11" t="n">
        <x:v>10614400</x:v>
      </x:c>
      <x:c r="O508" s="11" t="n">
        <x:v>36039954</x:v>
      </x:c>
      <x:c r="P508" s="11" t="n">
        <x:v>4130705</x:v>
      </x:c>
      <x:c r="Q508" s="11" t="n">
        <x:v>1823883</x:v>
      </x:c>
      <x:c r="R508" s="11" t="n">
        <x:v>35673505</x:v>
      </x:c>
      <x:c r="S508" s="11" t="n">
        <x:v>6081018</x:v>
      </x:c>
      <x:c r="T508" s="11" t="n">
        <x:v>38738681</x:v>
      </x:c>
      <x:c r="U508" s="11" t="n">
        <x:v>24953974</x:v>
      </x:c>
      <x:c r="V508" s="11" t="n">
        <x:v>23577218</x:v>
      </x:c>
      <x:c r="W508" s="11" t="n">
        <x:v>30679205</x:v>
      </x:c>
      <x:c r="X508" s="11" t="n">
        <x:v>14392153</x:v>
      </x:c>
      <x:c r="Y508" s="11" t="n">
        <x:v>0</x:v>
      </x:c>
      <x:c r="Z508" s="11" t="n">
        <x:v>897916</x:v>
      </x:c>
      <x:c r="AA508" s="11" t="n">
        <x:v>13064068</x:v>
      </x:c>
      <x:c r="AB508" s="11" t="n">
        <x:v>767434</x:v>
      </x:c>
      <x:c r="AC508" s="11" t="n">
        <x:v>1665350</x:v>
      </x:c>
      <x:c r="AD508" s="11" t="n">
        <x:v>12089511</x:v>
      </x:c>
      <x:c r="AE508" s="11" t="n">
        <x:v>10424161</x:v>
      </x:c>
      <x:c r="AF508" s="11" t="n">
        <x:v>48358044</x:v>
      </x:c>
      <x:c r="AG508" s="11" t="n">
        <x:v>272649271</x:v>
      </x:c>
      <x:c r="AH508" s="11" t="n">
        <x:v>106331898</x:v>
      </x:c>
      <x:c r="AI508" s="11" t="n">
        <x:v>166317373</x:v>
      </x:c>
      <x:c r="AJ508" s="11" t="n">
        <x:v>11848821</x:v>
      </x:c>
      <x:c r="AK508" s="11" t="n">
        <x:v>1482552251</x:v>
      </x:c>
      <x:c r="AL508" s="11" t="n">
        <x:v>8914196</x:v>
      </x:c>
      <x:c r="AM508" s="12" t="n">
        <x:v>0.9939872635220868</x:v>
      </x:c>
      <x:c r="AN508" s="12" t="n">
        <x:v>0.007992177673338543</x:v>
      </x:c>
      <x:c r="AO508" s="11" t="n">
        <x:v>24565209</x:v>
      </x:c>
      <x:c r="AP508" s="11" t="n">
        <x:v>24191649</x:v>
      </x:c>
      <x:c r="AQ508" s="12" t="n">
        <x:v>0.9847931275488029</x:v>
      </x:c>
      <x:c r="AR508" s="11" t="n">
        <x:v>4631.476538427679</x:v>
      </x:c>
      <x:c r="AS508" s="11" t="n">
        <x:v>3743.459547495378</x:v>
      </x:c>
      <x:c r="AT508" s="11" t="n">
        <x:v>2075.6420459547494</x:v>
      </x:c>
      <x:c r="AU508" s="11" t="n">
        <x:v>2700.871995774276</x:v>
      </x:c>
      <x:c r="AV508" s="11" t="n">
        <x:v>1150.1072277489216</x:v>
      </x:c>
      <x:c r="AW508" s="11" t="n">
        <x:v>1.552405280217091</x:v>
      </x:c>
      <x:c r="AX508" s="12" t="n">
        <x:v>0.8622483572743348</x:v>
      </x:c>
      <x:c r="AY508" s="11"/>
      <x:c r="AZ508" s="11"/>
      <x:c r="BA508" s="11"/>
      <x:c r="BB508" s="11"/>
      <x:c r="BC508" s="11"/>
      <x:c r="BD508" s="11"/>
      <x:c r="BE508" s="11"/>
      <x:c r="BF508" s="11"/>
      <x:c r="BG508" s="11"/>
      <x:c r="BH508" s="11"/>
      <x:c r="BI508" s="11"/>
      <x:c r="BJ508" s="11"/>
      <x:c r="BK508" s="12"/>
      <x:c r="BL508" s="12"/>
      <x:c r="BM508" s="12"/>
      <x:c r="BN508" s="12"/>
      <x:c r="BO508" s="12"/>
      <x:c r="BP508" s="12"/>
      <x:c r="BQ508" s="12"/>
      <x:c r="BR508" s="12"/>
      <x:c r="BS508" s="12"/>
      <x:c r="BT508" s="12"/>
      <x:c r="BU508" s="11" t="n">
        <x:v>1166406</x:v>
      </x:c>
      <x:c r="BV508" s="11" t="n">
        <x:v>746164</x:v>
      </x:c>
      <x:c r="BW508" s="11" t="n">
        <x:v>2218135</x:v>
      </x:c>
      <x:c r="BX508" s="11" t="n">
        <x:v>1311918</x:v>
      </x:c>
      <x:c r="BY508" s="11" t="n">
        <x:v>0</x:v>
      </x:c>
      <x:c r="BZ508" s="11" t="n">
        <x:v>0</x:v>
      </x:c>
      <x:c r="CA508" s="11" t="n">
        <x:v>511965</x:v>
      </x:c>
      <x:c r="CB508" s="11" t="n">
        <x:v>0</x:v>
      </x:c>
      <x:c r="CC508" s="11" t="n">
        <x:v>3527635</x:v>
      </x:c>
      <x:c r="CD508" s="11" t="n">
        <x:v>7466803</x:v>
      </x:c>
      <x:c r="CE508" s="11" t="n">
        <x:v>240002</x:v>
      </x:c>
      <x:c r="CF508" s="11" t="n">
        <x:v>0</x:v>
      </x:c>
      <x:c r="CG508" s="11" t="n">
        <x:v>869232</x:v>
      </x:c>
      <x:c r="CH508" s="11" t="n">
        <x:v>5487610</x:v>
      </x:c>
      <x:c r="CI508" s="11" t="n">
        <x:v>3298957</x:v>
      </x:c>
      <x:c r="CJ508" s="11" t="n">
        <x:v>1539905</x:v>
      </x:c>
      <x:c r="CK508" s="11" t="n">
        <x:v>1876112</x:v>
      </x:c>
      <x:c r="CL508" s="11" t="n">
        <x:v>12134683</x:v>
      </x:c>
      <x:c r="CM508" s="11"/>
      <x:c r="CN508" s="11" t="n">
        <x:v>0</x:v>
      </x:c>
      <x:c r="CO508" s="11" t="n">
        <x:v>0</x:v>
      </x:c>
      <x:c r="CP508" s="8"/>
      <x:c r="CQ508" s="8"/>
    </x:row>
    <x:row r="509">
      <x:c r="A509" s="8" t="str">
        <x:v>Nelson|2020</x:v>
      </x:c>
      <x:c r="B509" s="8" t="str">
        <x:v>nelson-c</x:v>
      </x:c>
      <x:c r="C509" s="8" t="str">
        <x:v>Nelson</x:v>
      </x:c>
      <x:c r="D509" s="8" t="str">
        <x:v>Nelson</x:v>
      </x:c>
      <x:c r="E509" s="8" t="str">
        <x:v>C</x:v>
      </x:c>
      <x:c r="F509" s="8" t="str">
        <x:v>CKO</x:v>
      </x:c>
      <x:c r="G509" s="9" t="n">
        <x:v>2020</x:v>
      </x:c>
      <x:c r="H509" s="10" t="n">
        <x:v>11557</x:v>
      </x:c>
      <x:c r="I509" s="8" t="str">
        <x:v>5,000 to 19,999</x:v>
      </x:c>
      <x:c r="J509" s="11" t="n">
        <x:v>56106990</x:v>
      </x:c>
      <x:c r="K509" s="11" t="n">
        <x:v>43471834</x:v>
      </x:c>
      <x:c r="L509" s="11" t="n">
        <x:v>12635156</x:v>
      </x:c>
      <x:c r="M509" s="12" t="n">
        <x:v>0.22519753777559623</x:v>
      </x:c>
      <x:c r="N509" s="11" t="n">
        <x:v>10732784</x:v>
      </x:c>
      <x:c r="O509" s="11" t="n">
        <x:v>33765520</x:v>
      </x:c>
      <x:c r="P509" s="11" t="n">
        <x:v>10104036</x:v>
      </x:c>
      <x:c r="Q509" s="11" t="n">
        <x:v>1504650</x:v>
      </x:c>
      <x:c r="R509" s="11" t="n">
        <x:v>36738532</x:v>
      </x:c>
      <x:c r="S509" s="11" t="n">
        <x:v>6156782</x:v>
      </x:c>
      <x:c r="T509" s="11" t="n">
        <x:v>51245033</x:v>
      </x:c>
      <x:c r="U509" s="11" t="n">
        <x:v>29722018</x:v>
      </x:c>
      <x:c r="V509" s="11" t="n">
        <x:v>30829328</x:v>
      </x:c>
      <x:c r="W509" s="11" t="n">
        <x:v>1403707</x:v>
      </x:c>
      <x:c r="X509" s="11" t="n">
        <x:v>13064068</x:v>
      </x:c>
      <x:c r="Y509" s="11" t="n">
        <x:v>0</x:v>
      </x:c>
      <x:c r="Z509" s="11" t="n">
        <x:v>898520</x:v>
      </x:c>
      <x:c r="AA509" s="11" t="n">
        <x:v>11681004</x:v>
      </x:c>
      <x:c r="AB509" s="11" t="n">
        <x:v>576520</x:v>
      </x:c>
      <x:c r="AC509" s="11" t="n">
        <x:v>1475040</x:v>
      </x:c>
      <x:c r="AD509" s="11" t="n">
        <x:v>11595835</x:v>
      </x:c>
      <x:c r="AE509" s="11" t="n">
        <x:v>10120795</x:v>
      </x:c>
      <x:c r="AF509" s="11" t="n">
        <x:v>46383339</x:v>
      </x:c>
      <x:c r="AG509" s="11" t="n">
        <x:v>283418253</x:v>
      </x:c>
      <x:c r="AH509" s="11" t="n">
        <x:v>111901329</x:v>
      </x:c>
      <x:c r="AI509" s="11" t="n">
        <x:v>171516924</x:v>
      </x:c>
      <x:c r="AJ509" s="11" t="n">
        <x:v>11800827</x:v>
      </x:c>
      <x:c r="AK509" s="11" t="n">
        <x:v>9533729</x:v>
      </x:c>
      <x:c r="AL509" s="11" t="n">
        <x:v>0</x:v>
      </x:c>
      <x:c r="AM509" s="12" t="n">
        <x:v>1</x:v>
      </x:c>
      <x:c r="AN509" s="12" t="n">
        <x:v>1.2377976130850794</x:v>
      </x:c>
      <x:c r="AO509" s="11" t="n">
        <x:v>24473395</x:v>
      </x:c>
      <x:c r="AP509" s="11" t="n">
        <x:v>24072455</x:v>
      </x:c>
      <x:c r="AQ509" s="12" t="n">
        <x:v>0.9836173117787703</x:v>
      </x:c>
      <x:c r="AR509" s="11" t="n">
        <x:v>4854.805745435667</x:v>
      </x:c>
      <x:c r="AS509" s="11" t="n">
        <x:v>3761.5154451847366</x:v>
      </x:c>
      <x:c r="AT509" s="11" t="n">
        <x:v>2667.589166738773</x:v>
      </x:c>
      <x:c r="AU509" s="11" t="n">
        <x:v>121.45946179804447</x:v>
      </x:c>
      <x:c r="AV509" s="11" t="n">
        <x:v>1010.729774162845</x:v>
      </x:c>
      <x:c r="AW509" s="11" t="n">
        <x:v>1.724143798042246</x:v>
      </x:c>
      <x:c r="AX509" s="12" t="n">
        <x:v>0.8727957063894062</x:v>
      </x:c>
      <x:c r="AY509" s="11"/>
      <x:c r="AZ509" s="11"/>
      <x:c r="BA509" s="11"/>
      <x:c r="BB509" s="11"/>
      <x:c r="BC509" s="11"/>
      <x:c r="BD509" s="11"/>
      <x:c r="BE509" s="11"/>
      <x:c r="BF509" s="11"/>
      <x:c r="BG509" s="11"/>
      <x:c r="BH509" s="11"/>
      <x:c r="BI509" s="11"/>
      <x:c r="BJ509" s="11"/>
      <x:c r="BK509" s="12"/>
      <x:c r="BL509" s="12"/>
      <x:c r="BM509" s="12"/>
      <x:c r="BN509" s="12"/>
      <x:c r="BO509" s="12"/>
      <x:c r="BP509" s="12"/>
      <x:c r="BQ509" s="12"/>
      <x:c r="BR509" s="12"/>
      <x:c r="BS509" s="12"/>
      <x:c r="BT509" s="12"/>
      <x:c r="BU509" s="11" t="n">
        <x:v>639072</x:v>
      </x:c>
      <x:c r="BV509" s="11" t="n">
        <x:v>7160576</x:v>
      </x:c>
      <x:c r="BW509" s="11" t="n">
        <x:v>2304388</x:v>
      </x:c>
      <x:c r="BX509" s="11" t="n">
        <x:v>1504650</x:v>
      </x:c>
      <x:c r="BY509" s="11" t="n">
        <x:v>0</x:v>
      </x:c>
      <x:c r="BZ509" s="11" t="n">
        <x:v>0</x:v>
      </x:c>
      <x:c r="CA509" s="11" t="n">
        <x:v>0</x:v>
      </x:c>
      <x:c r="CB509" s="11" t="n">
        <x:v>0</x:v>
      </x:c>
      <x:c r="CC509" s="11" t="n">
        <x:v>3503947</x:v>
      </x:c>
      <x:c r="CD509" s="11" t="n">
        <x:v>7584250</x:v>
      </x:c>
      <x:c r="CE509" s="11" t="n">
        <x:v>459546</x:v>
      </x:c>
      <x:c r="CF509" s="11" t="n">
        <x:v>0</x:v>
      </x:c>
      <x:c r="CG509" s="11" t="n">
        <x:v>952565</x:v>
      </x:c>
      <x:c r="CH509" s="11" t="n">
        <x:v>5074753</x:v>
      </x:c>
      <x:c r="CI509" s="11" t="n">
        <x:v>2769946</x:v>
      </x:c>
      <x:c r="CJ509" s="11" t="n">
        <x:v>1946879</x:v>
      </x:c>
      <x:c r="CK509" s="11" t="n">
        <x:v>1994226</x:v>
      </x:c>
      <x:c r="CL509" s="11" t="n">
        <x:v>12658738</x:v>
      </x:c>
      <x:c r="CM509" s="11"/>
      <x:c r="CN509" s="11" t="n">
        <x:v>370202</x:v>
      </x:c>
      <x:c r="CO509" s="11" t="n">
        <x:v>0</x:v>
      </x:c>
      <x:c r="CP509" s="8"/>
      <x:c r="CQ509" s="8"/>
    </x:row>
    <x:row r="510">
      <x:c r="A510" s="8" t="str">
        <x:v>Nelson|2021</x:v>
      </x:c>
      <x:c r="B510" s="8" t="str">
        <x:v>nelson-c</x:v>
      </x:c>
      <x:c r="C510" s="8" t="str">
        <x:v>Nelson</x:v>
      </x:c>
      <x:c r="D510" s="8" t="str">
        <x:v>Nelson</x:v>
      </x:c>
      <x:c r="E510" s="8" t="str">
        <x:v>C</x:v>
      </x:c>
      <x:c r="F510" s="8" t="str">
        <x:v>CKO</x:v>
      </x:c>
      <x:c r="G510" s="9" t="n">
        <x:v>2021</x:v>
      </x:c>
      <x:c r="H510" s="10" t="n">
        <x:v>11733</x:v>
      </x:c>
      <x:c r="I510" s="8" t="str">
        <x:v>5,000 to 19,999</x:v>
      </x:c>
      <x:c r="J510" s="11" t="n">
        <x:v>53384148</x:v>
      </x:c>
      <x:c r="K510" s="11" t="n">
        <x:v>44173566</x:v>
      </x:c>
      <x:c r="L510" s="11" t="n">
        <x:v>9210582</x:v>
      </x:c>
      <x:c r="M510" s="12" t="n">
        <x:v>0.17253402639300341</x:v>
      </x:c>
      <x:c r="N510" s="11" t="n">
        <x:v>11017240</x:v>
      </x:c>
      <x:c r="O510" s="11" t="n">
        <x:v>34484541</x:v>
      </x:c>
      <x:c r="P510" s="11" t="n">
        <x:v>6860810</x:v>
      </x:c>
      <x:c r="Q510" s="11" t="n">
        <x:v>1021557</x:v>
      </x:c>
      <x:c r="R510" s="11" t="n">
        <x:v>37500535</x:v>
      </x:c>
      <x:c r="S510" s="11" t="n">
        <x:v>6214780</x:v>
      </x:c>
      <x:c r="T510" s="11" t="n">
        <x:v>53035868</x:v>
      </x:c>
      <x:c r="U510" s="11" t="n">
        <x:v>22893955</x:v>
      </x:c>
      <x:c r="V510" s="11" t="n">
        <x:v>40721752</x:v>
      </x:c>
      <x:c r="W510" s="11" t="n">
        <x:v>1451657</x:v>
      </x:c>
      <x:c r="X510" s="11" t="n">
        <x:v>11681004</x:v>
      </x:c>
      <x:c r="Y510" s="11" t="n">
        <x:v>0</x:v>
      </x:c>
      <x:c r="Z510" s="11" t="n">
        <x:v>3624383</x:v>
      </x:c>
      <x:c r="AA510" s="11" t="n">
        <x:v>7683456</x:v>
      </x:c>
      <x:c r="AB510" s="11" t="n">
        <x:v>458251</x:v>
      </x:c>
      <x:c r="AC510" s="11" t="n">
        <x:v>4082634</x:v>
      </x:c>
      <x:c r="AD510" s="11" t="n">
        <x:v>11718364</x:v>
      </x:c>
      <x:c r="AE510" s="11" t="n">
        <x:v>7635730</x:v>
      </x:c>
      <x:c r="AF510" s="11" t="n">
        <x:v>46873456</x:v>
      </x:c>
      <x:c r="AG510" s="11" t="n">
        <x:v>283856786</x:v>
      </x:c>
      <x:c r="AH510" s="11" t="n">
        <x:v>113035739</x:v>
      </x:c>
      <x:c r="AI510" s="11" t="n">
        <x:v>170821047</x:v>
      </x:c>
      <x:c r="AJ510" s="11" t="n">
        <x:v>9754206</x:v>
      </x:c>
      <x:c r="AK510" s="11" t="n">
        <x:v>10327924</x:v>
      </x:c>
      <x:c r="AL510" s="11" t="n">
        <x:v>0</x:v>
      </x:c>
      <x:c r="AM510" s="12" t="n">
        <x:v>1</x:v>
      </x:c>
      <x:c r="AN510" s="12" t="n">
        <x:v>0.944449823604434</x:v>
      </x:c>
      <x:c r="AO510" s="11" t="n">
        <x:v>25853887</x:v>
      </x:c>
      <x:c r="AP510" s="11" t="n">
        <x:v>25515678</x:v>
      </x:c>
      <x:c r="AQ510" s="12" t="n">
        <x:v>0.9869184467310467</x:v>
      </x:c>
      <x:c r="AR510" s="11" t="n">
        <x:v>4549.9145998465865</x:v>
      </x:c>
      <x:c r="AS510" s="11" t="n">
        <x:v>3764.899514190744</x:v>
      </x:c>
      <x:c r="AT510" s="11" t="n">
        <x:v>3470.7024631381573</x:v>
      </x:c>
      <x:c r="AU510" s="11" t="n">
        <x:v>123.72428193982783</x:v>
      </x:c>
      <x:c r="AV510" s="11" t="n">
        <x:v>654.8586039376119</x:v>
      </x:c>
      <x:c r="AW510" s="11" t="n">
        <x:v>2.3165882871701284</x:v>
      </x:c>
      <x:c r="AX510" s="12" t="n">
        <x:v>0.6516037562922606</x:v>
      </x:c>
      <x:c r="AY510" s="11"/>
      <x:c r="AZ510" s="11"/>
      <x:c r="BA510" s="11"/>
      <x:c r="BB510" s="11"/>
      <x:c r="BC510" s="11"/>
      <x:c r="BD510" s="11"/>
      <x:c r="BE510" s="11"/>
      <x:c r="BF510" s="11"/>
      <x:c r="BG510" s="11"/>
      <x:c r="BH510" s="11"/>
      <x:c r="BI510" s="11"/>
      <x:c r="BJ510" s="11"/>
      <x:c r="BK510" s="12"/>
      <x:c r="BL510" s="12"/>
      <x:c r="BM510" s="12"/>
      <x:c r="BN510" s="12"/>
      <x:c r="BO510" s="12"/>
      <x:c r="BP510" s="12"/>
      <x:c r="BQ510" s="12"/>
      <x:c r="BR510" s="12"/>
      <x:c r="BS510" s="12"/>
      <x:c r="BT510" s="12"/>
      <x:c r="BU510" s="11" t="n">
        <x:v>1385504</x:v>
      </x:c>
      <x:c r="BV510" s="11" t="n">
        <x:v>3156639</x:v>
      </x:c>
      <x:c r="BW510" s="11" t="n">
        <x:v>2318667</x:v>
      </x:c>
      <x:c r="BX510" s="11" t="n">
        <x:v>879290</x:v>
      </x:c>
      <x:c r="BY510" s="11" t="n">
        <x:v>0</x:v>
      </x:c>
      <x:c r="BZ510" s="11" t="n">
        <x:v>0</x:v>
      </x:c>
      <x:c r="CA510" s="11" t="n">
        <x:v>142267</x:v>
      </x:c>
      <x:c r="CB510" s="11" t="n">
        <x:v>0</x:v>
      </x:c>
      <x:c r="CC510" s="11" t="n">
        <x:v>4162669</x:v>
      </x:c>
      <x:c r="CD510" s="11" t="n">
        <x:v>7535823</x:v>
      </x:c>
      <x:c r="CE510" s="11" t="n">
        <x:v>361699</x:v>
      </x:c>
      <x:c r="CF510" s="11" t="n">
        <x:v>222196</x:v>
      </x:c>
      <x:c r="CG510" s="11" t="n">
        <x:v>0</x:v>
      </x:c>
      <x:c r="CH510" s="11" t="n">
        <x:v>5266495</x:v>
      </x:c>
      <x:c r="CI510" s="11" t="n">
        <x:v>3164753</x:v>
      </x:c>
      <x:c r="CJ510" s="11" t="n">
        <x:v>1428036</x:v>
      </x:c>
      <x:c r="CK510" s="11" t="n">
        <x:v>2000343</x:v>
      </x:c>
      <x:c r="CL510" s="11" t="n">
        <x:v>13816772</x:v>
      </x:c>
      <x:c r="CM510" s="11"/>
      <x:c r="CN510" s="11" t="n">
        <x:v>0</x:v>
      </x:c>
      <x:c r="CO510" s="11" t="n">
        <x:v>0</x:v>
      </x:c>
      <x:c r="CP510" s="8"/>
      <x:c r="CQ510" s="8"/>
    </x:row>
    <x:row r="511">
      <x:c r="A511" s="8" t="str">
        <x:v>Nelson|2022</x:v>
      </x:c>
      <x:c r="B511" s="8" t="str">
        <x:v>nelson-c</x:v>
      </x:c>
      <x:c r="C511" s="8" t="str">
        <x:v>Nelson</x:v>
      </x:c>
      <x:c r="D511" s="8" t="str">
        <x:v>Nelson</x:v>
      </x:c>
      <x:c r="E511" s="8" t="str">
        <x:v>C</x:v>
      </x:c>
      <x:c r="F511" s="8" t="str">
        <x:v>CKO</x:v>
      </x:c>
      <x:c r="G511" s="9" t="n">
        <x:v>2022</x:v>
      </x:c>
      <x:c r="H511" s="10" t="n">
        <x:v>506</x:v>
      </x:c>
      <x:c r="I511" s="8" t="str">
        <x:v>Under 5,000</x:v>
      </x:c>
      <x:c r="J511" s="11" t="n">
        <x:v>57126122</x:v>
      </x:c>
      <x:c r="K511" s="11" t="n">
        <x:v>46821482</x:v>
      </x:c>
      <x:c r="L511" s="11" t="n">
        <x:v>10304640</x:v>
      </x:c>
      <x:c r="M511" s="12" t="n">
        <x:v>0.18038402816840954</x:v>
      </x:c>
      <x:c r="N511" s="11" t="n">
        <x:v>11562329</x:v>
      </x:c>
      <x:c r="O511" s="11" t="n">
        <x:v>36919648</x:v>
      </x:c>
      <x:c r="P511" s="11" t="n">
        <x:v>7059509</x:v>
      </x:c>
      <x:c r="Q511" s="11" t="n">
        <x:v>1584636</x:v>
      </x:c>
      <x:c r="R511" s="11" t="n">
        <x:v>40217754</x:v>
      </x:c>
      <x:c r="S511" s="11" t="n">
        <x:v>6155398</x:v>
      </x:c>
      <x:c r="T511" s="11" t="n">
        <x:v>53741064</x:v>
      </x:c>
      <x:c r="U511" s="11" t="n">
        <x:v>23528854</x:v>
      </x:c>
      <x:c r="V511" s="11" t="n">
        <x:v>40772644</x:v>
      </x:c>
      <x:c r="W511" s="11" t="n">
        <x:v>1324141</x:v>
      </x:c>
      <x:c r="X511" s="11" t="n">
        <x:v>7683456</x:v>
      </x:c>
      <x:c r="Y511" s="11" t="n">
        <x:v>0</x:v>
      </x:c>
      <x:c r="Z511" s="11" t="n">
        <x:v>498769</x:v>
      </x:c>
      <x:c r="AA511" s="11" t="n">
        <x:v>6807277</x:v>
      </x:c>
      <x:c r="AB511" s="11" t="n">
        <x:v>448330</x:v>
      </x:c>
      <x:c r="AC511" s="11" t="n">
        <x:v>947099</x:v>
      </x:c>
      <x:c r="AD511" s="11" t="n">
        <x:v>12591161</x:v>
      </x:c>
      <x:c r="AE511" s="11" t="n">
        <x:v>11644062</x:v>
      </x:c>
      <x:c r="AF511" s="11" t="n">
        <x:v>50364644</x:v>
      </x:c>
      <x:c r="AG511" s="11" t="n">
        <x:v>298818232</x:v>
      </x:c>
      <x:c r="AH511" s="11" t="n">
        <x:v>118426810</x:v>
      </x:c>
      <x:c r="AI511" s="11" t="n">
        <x:v>180391422</x:v>
      </x:c>
      <x:c r="AJ511" s="11" t="n">
        <x:v>16199919</x:v>
      </x:c>
      <x:c r="AK511" s="11" t="n">
        <x:v>17162732</x:v>
      </x:c>
      <x:c r="AL511" s="11" t="n">
        <x:v>0</x:v>
      </x:c>
      <x:c r="AM511" s="12" t="n">
        <x:v>1</x:v>
      </x:c>
      <x:c r="AN511" s="12" t="n">
        <x:v>0.9439009477045962</x:v>
      </x:c>
      <x:c r="AO511" s="11" t="n">
        <x:v>26939001</x:v>
      </x:c>
      <x:c r="AP511" s="11" t="n">
        <x:v>26517693</x:v>
      </x:c>
      <x:c r="AQ511" s="12" t="n">
        <x:v>0.98436066727196</x:v>
      </x:c>
      <x:c r="AR511" s="11" t="n">
        <x:v>112897.4743083004</x:v>
      </x:c>
      <x:c r="AS511" s="11" t="n">
        <x:v>92532.57312252965</x:v>
      </x:c>
      <x:c r="AT511" s="11" t="n">
        <x:v>80578.34782608696</x:v>
      </x:c>
      <x:c r="AU511" s="11" t="n">
        <x:v>2616.879446640316</x:v>
      </x:c>
      <x:c r="AV511" s="11" t="n">
        <x:v>13453.116600790514</x:v>
      </x:c>
      <x:c r="AW511" s="11" t="n">
        <x:v>2.2840493633901593</x:v>
      </x:c>
      <x:c r="AX511" s="12" t="n">
        <x:v>0.9247806457244093</x:v>
      </x:c>
      <x:c r="AY511" s="11"/>
      <x:c r="AZ511" s="11"/>
      <x:c r="BA511" s="11"/>
      <x:c r="BB511" s="11"/>
      <x:c r="BC511" s="11"/>
      <x:c r="BD511" s="11"/>
      <x:c r="BE511" s="11"/>
      <x:c r="BF511" s="11"/>
      <x:c r="BG511" s="11"/>
      <x:c r="BH511" s="11"/>
      <x:c r="BI511" s="11"/>
      <x:c r="BJ511" s="11"/>
      <x:c r="BK511" s="12"/>
      <x:c r="BL511" s="12"/>
      <x:c r="BM511" s="12"/>
      <x:c r="BN511" s="12"/>
      <x:c r="BO511" s="12"/>
      <x:c r="BP511" s="12"/>
      <x:c r="BQ511" s="12"/>
      <x:c r="BR511" s="12"/>
      <x:c r="BS511" s="12"/>
      <x:c r="BT511" s="12"/>
      <x:c r="BU511" s="11" t="n">
        <x:v>818465</x:v>
      </x:c>
      <x:c r="BV511" s="11" t="n">
        <x:v>3620862</x:v>
      </x:c>
      <x:c r="BW511" s="11" t="n">
        <x:v>2620182</x:v>
      </x:c>
      <x:c r="BX511" s="11" t="n">
        <x:v>1584636</x:v>
      </x:c>
      <x:c r="BY511" s="11" t="n">
        <x:v>0</x:v>
      </x:c>
      <x:c r="BZ511" s="11" t="n">
        <x:v>0</x:v>
      </x:c>
      <x:c r="CA511" s="11" t="n">
        <x:v>0</x:v>
      </x:c>
      <x:c r="CB511" s="11" t="n">
        <x:v>0</x:v>
      </x:c>
      <x:c r="CC511" s="11" t="n">
        <x:v>4893069</x:v>
      </x:c>
      <x:c r="CD511" s="11" t="n">
        <x:v>8300291</x:v>
      </x:c>
      <x:c r="CE511" s="11" t="n">
        <x:v>460379</x:v>
      </x:c>
      <x:c r="CF511" s="11" t="n">
        <x:v>285422</x:v>
      </x:c>
      <x:c r="CG511" s="11" t="n">
        <x:v>0</x:v>
      </x:c>
      <x:c r="CH511" s="11" t="n">
        <x:v>6260487</x:v>
      </x:c>
      <x:c r="CI511" s="11" t="n">
        <x:v>3314608</x:v>
      </x:c>
      <x:c r="CJ511" s="11" t="n">
        <x:v>1582325</x:v>
      </x:c>
      <x:c r="CK511" s="11" t="n">
        <x:v>1921541</x:v>
      </x:c>
      <x:c r="CL511" s="11" t="n">
        <x:v>13524447</x:v>
      </x:c>
      <x:c r="CM511" s="11"/>
      <x:c r="CN511" s="11" t="n">
        <x:v>123515</x:v>
      </x:c>
      <x:c r="CO511" s="11" t="n">
        <x:v>0</x:v>
      </x:c>
      <x:c r="CP511" s="8"/>
      <x:c r="CQ511" s="8"/>
    </x:row>
    <x:row r="512">
      <x:c r="A512" s="8" t="str">
        <x:v>Nelson|2023</x:v>
      </x:c>
      <x:c r="B512" s="8" t="str">
        <x:v>nelson-c</x:v>
      </x:c>
      <x:c r="C512" s="8" t="str">
        <x:v>Nelson</x:v>
      </x:c>
      <x:c r="D512" s="8" t="str">
        <x:v>Nelson</x:v>
      </x:c>
      <x:c r="E512" s="8" t="str">
        <x:v>C</x:v>
      </x:c>
      <x:c r="F512" s="8" t="str">
        <x:v>CKO</x:v>
      </x:c>
      <x:c r="G512" s="9" t="n">
        <x:v>2023</x:v>
      </x:c>
      <x:c r="H512" s="10" t="n">
        <x:v>11716</x:v>
      </x:c>
      <x:c r="I512" s="8" t="str">
        <x:v>5,000 to 19,999</x:v>
      </x:c>
      <x:c r="J512" s="11" t="n">
        <x:v>64261705</x:v>
      </x:c>
      <x:c r="K512" s="11" t="n">
        <x:v>49138116</x:v>
      </x:c>
      <x:c r="L512" s="11" t="n">
        <x:v>15123589</x:v>
      </x:c>
      <x:c r="M512" s="12" t="n">
        <x:v>0.2353437245401441</x:v>
      </x:c>
      <x:c r="N512" s="11" t="n">
        <x:v>12297471</x:v>
      </x:c>
      <x:c r="O512" s="11" t="n">
        <x:v>39206695</x:v>
      </x:c>
      <x:c r="P512" s="11" t="n">
        <x:v>9924326</x:v>
      </x:c>
      <x:c r="Q512" s="11" t="n">
        <x:v>2833213</x:v>
      </x:c>
      <x:c r="R512" s="11" t="n">
        <x:v>42078103</x:v>
      </x:c>
      <x:c r="S512" s="11" t="n">
        <x:v>6595885</x:v>
      </x:c>
      <x:c r="T512" s="11" t="n">
        <x:v>56216342</x:v>
      </x:c>
      <x:c r="U512" s="11" t="n">
        <x:v>25810723</x:v>
      </x:c>
      <x:c r="V512" s="11" t="n">
        <x:v>41316505</x:v>
      </x:c>
      <x:c r="W512" s="11" t="n">
        <x:v>887078</x:v>
      </x:c>
      <x:c r="X512" s="11" t="n">
        <x:v>6807277</x:v>
      </x:c>
      <x:c r="Y512" s="11" t="n">
        <x:v>0</x:v>
      </x:c>
      <x:c r="Z512" s="11" t="n">
        <x:v>503349</x:v>
      </x:c>
      <x:c r="AA512" s="11" t="n">
        <x:v>5913435</x:v>
      </x:c>
      <x:c r="AB512" s="11" t="n">
        <x:v>464128</x:v>
      </x:c>
      <x:c r="AC512" s="11" t="n">
        <x:v>967477</x:v>
      </x:c>
      <x:c r="AD512" s="11" t="n">
        <x:v>13552878</x:v>
      </x:c>
      <x:c r="AE512" s="11" t="n">
        <x:v>12199421</x:v>
      </x:c>
      <x:c r="AF512" s="11" t="n">
        <x:v>54211511</x:v>
      </x:c>
      <x:c r="AG512" s="11" t="n">
        <x:v>318545157</x:v>
      </x:c>
      <x:c r="AH512" s="11" t="n">
        <x:v>124104089</x:v>
      </x:c>
      <x:c r="AI512" s="11" t="n">
        <x:v>194441068</x:v>
      </x:c>
      <x:c r="AJ512" s="11" t="n">
        <x:v>19502990</x:v>
      </x:c>
      <x:c r="AK512" s="11" t="n">
        <x:v>25663895</x:v>
      </x:c>
      <x:c r="AL512" s="11" t="n">
        <x:v>0</x:v>
      </x:c>
      <x:c r="AM512" s="12" t="n">
        <x:v>1</x:v>
      </x:c>
      <x:c r="AN512" s="12" t="n">
        <x:v>0.759938816769629</x:v>
      </x:c>
      <x:c r="AO512" s="11" t="n">
        <x:v>28167347</x:v>
      </x:c>
      <x:c r="AP512" s="11" t="n">
        <x:v>27632887</x:v>
      </x:c>
      <x:c r="AQ512" s="12" t="n">
        <x:v>0.9810255470634135</x:v>
      </x:c>
      <x:c r="AR512" s="11" t="n">
        <x:v>5484.952628883578</x:v>
      </x:c>
      <x:c r="AS512" s="11" t="n">
        <x:v>4194.103448275862</x:v>
      </x:c>
      <x:c r="AT512" s="11" t="n">
        <x:v>3526.5026459542505</x:v>
      </x:c>
      <x:c r="AU512" s="11" t="n">
        <x:v>75.7150904745647</x:v>
      </x:c>
      <x:c r="AV512" s="11" t="n">
        <x:v>504.7315636736087</x:v>
      </x:c>
      <x:c r="AW512" s="11" t="n">
        <x:v>2.1780227543412867</x:v>
      </x:c>
      <x:c r="AX512" s="12" t="n">
        <x:v>0.9001350856991408</x:v>
      </x:c>
      <x:c r="AY512" s="11"/>
      <x:c r="AZ512" s="11"/>
      <x:c r="BA512" s="11"/>
      <x:c r="BB512" s="11"/>
      <x:c r="BC512" s="11"/>
      <x:c r="BD512" s="11"/>
      <x:c r="BE512" s="11"/>
      <x:c r="BF512" s="11"/>
      <x:c r="BG512" s="11"/>
      <x:c r="BH512" s="11"/>
      <x:c r="BI512" s="11"/>
      <x:c r="BJ512" s="11"/>
      <x:c r="BK512" s="12"/>
      <x:c r="BL512" s="12"/>
      <x:c r="BM512" s="12"/>
      <x:c r="BN512" s="12"/>
      <x:c r="BO512" s="12"/>
      <x:c r="BP512" s="12"/>
      <x:c r="BQ512" s="12"/>
      <x:c r="BR512" s="12"/>
      <x:c r="BS512" s="12"/>
      <x:c r="BT512" s="12"/>
      <x:c r="BU512" s="11" t="n">
        <x:v>930947</x:v>
      </x:c>
      <x:c r="BV512" s="11" t="n">
        <x:v>7866950</x:v>
      </x:c>
      <x:c r="BW512" s="11" t="n">
        <x:v>1126429</x:v>
      </x:c>
      <x:c r="BX512" s="11" t="n">
        <x:v>2579838</x:v>
      </x:c>
      <x:c r="BY512" s="11" t="n">
        <x:v>0</x:v>
      </x:c>
      <x:c r="BZ512" s="11" t="n">
        <x:v>0</x:v>
      </x:c>
      <x:c r="CA512" s="11" t="n">
        <x:v>253375</x:v>
      </x:c>
      <x:c r="CB512" s="11" t="n">
        <x:v>0</x:v>
      </x:c>
      <x:c r="CC512" s="11" t="n">
        <x:v>5120585</x:v>
      </x:c>
      <x:c r="CD512" s="11" t="n">
        <x:v>8834149</x:v>
      </x:c>
      <x:c r="CE512" s="11" t="n">
        <x:v>566476</x:v>
      </x:c>
      <x:c r="CF512" s="11" t="n">
        <x:v>277179</x:v>
      </x:c>
      <x:c r="CG512" s="11" t="n">
        <x:v>0</x:v>
      </x:c>
      <x:c r="CH512" s="11" t="n">
        <x:v>5972057</x:v>
      </x:c>
      <x:c r="CI512" s="11" t="n">
        <x:v>3631174</x:v>
      </x:c>
      <x:c r="CJ512" s="11" t="n">
        <x:v>1683346</x:v>
      </x:c>
      <x:c r="CK512" s="11" t="n">
        <x:v>1959334</x:v>
      </x:c>
      <x:c r="CL512" s="11" t="n">
        <x:v>14422984</x:v>
      </x:c>
      <x:c r="CM512" s="11" t="n">
        <x:v>74947</x:v>
      </x:c>
      <x:c r="CN512" s="11" t="n">
        <x:v>0</x:v>
      </x:c>
      <x:c r="CO512" s="11" t="n">
        <x:v>0</x:v>
      </x:c>
      <x:c r="CP512" s="8"/>
      <x:c r="CQ512" s="8"/>
    </x:row>
    <x:row r="513">
      <x:c r="A513" s="8" t="str">
        <x:v>Nelson|2024</x:v>
      </x:c>
      <x:c r="B513" s="8" t="str">
        <x:v>nelson-c</x:v>
      </x:c>
      <x:c r="C513" s="8" t="str">
        <x:v>Nelson</x:v>
      </x:c>
      <x:c r="D513" s="8" t="str">
        <x:v>Nelson</x:v>
      </x:c>
      <x:c r="E513" s="8" t="str">
        <x:v>C</x:v>
      </x:c>
      <x:c r="F513" s="8" t="str">
        <x:v>CKO</x:v>
      </x:c>
      <x:c r="G513" s="9" t="n">
        <x:v>2024</x:v>
      </x:c>
      <x:c r="H513" s="10" t="n">
        <x:v>11716</x:v>
      </x:c>
      <x:c r="I513" s="8" t="str">
        <x:v>5,000 to 19,999</x:v>
      </x:c>
      <x:c r="J513" s="11" t="n">
        <x:v>65163669</x:v>
      </x:c>
      <x:c r="K513" s="11" t="n">
        <x:v>54348255</x:v>
      </x:c>
      <x:c r="L513" s="11" t="n">
        <x:v>10815414</x:v>
      </x:c>
      <x:c r="M513" s="12" t="n">
        <x:v>0.1659730669861453</x:v>
      </x:c>
      <x:c r="N513" s="11" t="n">
        <x:v>13229473</x:v>
      </x:c>
      <x:c r="O513" s="11" t="n">
        <x:v>39445134</x:v>
      </x:c>
      <x:c r="P513" s="11" t="n">
        <x:v>10218400</x:v>
      </x:c>
      <x:c r="Q513" s="11" t="n">
        <x:v>2270662</x:v>
      </x:c>
      <x:c r="R513" s="11" t="n">
        <x:v>46757488</x:v>
      </x:c>
      <x:c r="S513" s="11" t="n">
        <x:v>7088829</x:v>
      </x:c>
      <x:c r="T513" s="11" t="n">
        <x:v>52666455</x:v>
      </x:c>
      <x:c r="U513" s="11" t="n">
        <x:v>22832617</x:v>
      </x:c>
      <x:c r="V513" s="11" t="n">
        <x:v>42602839</x:v>
      </x:c>
      <x:c r="W513" s="11" t="n">
        <x:v>951855</x:v>
      </x:c>
      <x:c r="X513" s="11" t="n">
        <x:v>5913435</x:v>
      </x:c>
      <x:c r="Y513" s="11" t="n">
        <x:v>0</x:v>
      </x:c>
      <x:c r="Z513" s="11" t="n">
        <x:v>507086</x:v>
      </x:c>
      <x:c r="AA513" s="11" t="n">
        <x:v>4982173</x:v>
      </x:c>
      <x:c r="AB513" s="11" t="n">
        <x:v>501938</x:v>
      </x:c>
      <x:c r="AC513" s="11" t="n">
        <x:v>1009024</x:v>
      </x:c>
      <x:c r="AD513" s="11" t="n">
        <x:v>13770348</x:v>
      </x:c>
      <x:c r="AE513" s="11" t="n">
        <x:v>12378704</x:v>
      </x:c>
      <x:c r="AF513" s="11" t="n">
        <x:v>55081393</x:v>
      </x:c>
      <x:c r="AG513" s="11" t="n">
        <x:v>335007030</x:v>
      </x:c>
      <x:c r="AH513" s="11" t="n">
        <x:v>130887559</x:v>
      </x:c>
      <x:c r="AI513" s="11" t="n">
        <x:v>204119471</x:v>
      </x:c>
      <x:c r="AJ513" s="11" t="n">
        <x:v>16870591</x:v>
      </x:c>
      <x:c r="AK513" s="11" t="n">
        <x:v>722886822</x:v>
      </x:c>
      <x:c r="AL513" s="11" t="n">
        <x:v>10277448</x:v>
      </x:c>
      <x:c r="AM513" s="12" t="n">
        <x:v>0.9857827702937432</x:v>
      </x:c>
      <x:c r="AN513" s="12" t="n">
        <x:v>0.023337804047007513</x:v>
      </x:c>
      <x:c r="AO513" s="11" t="n">
        <x:v>29905895</x:v>
      </x:c>
      <x:c r="AP513" s="11" t="n">
        <x:v>29264675</x:v>
      </x:c>
      <x:c r="AQ513" s="12" t="n">
        <x:v>0.9785587423482895</x:v>
      </x:c>
      <x:c r="AR513" s="11" t="n">
        <x:v>5561.938289518607</x:v>
      </x:c>
      <x:c r="AS513" s="11" t="n">
        <x:v>4638.806333219529</x:v>
      </x:c>
      <x:c r="AT513" s="11" t="n">
        <x:v>3636.2955786958005</x:v>
      </x:c>
      <x:c r="AU513" s="11" t="n">
        <x:v>81.24402526459542</x:v>
      </x:c>
      <x:c r="AV513" s="11" t="n">
        <x:v>425.2452202116763</x:v>
      </x:c>
      <x:c r="AW513" s="11" t="n">
        <x:v>2.306632437271645</x:v>
      </x:c>
      <x:c r="AX513" s="12" t="n">
        <x:v>0.8989390827305164</x:v>
      </x:c>
      <x:c r="AY513" s="11" t="n">
        <x:v>3601.3561989291247</x:v>
      </x:c>
      <x:c r="AZ513" s="11" t="n">
        <x:v>3546.5079302077975</x:v>
      </x:c>
      <x:c r="BA513" s="11" t="n">
        <x:v>2957.8976990295423</x:v>
      </x:c>
      <x:c r="BB513" s="11" t="n">
        <x:v>2783.665107049771</x:v>
      </x:c>
      <x:c r="BC513" s="11" t="n">
        <x:v>1917.0647247750476</x:v>
      </x:c>
      <x:c r="BD513" s="11" t="n">
        <x:v>2437.8724475115623</x:v>
      </x:c>
      <x:c r="BE513" s="11" t="n">
        <x:v>987.5598464714869</x:v>
      </x:c>
      <x:c r="BF513" s="11" t="n">
        <x:v>1604.3462673977224</x:v>
      </x:c>
      <x:c r="BG513" s="11" t="n">
        <x:v>936.3446522221191</x:v>
      </x:c>
      <x:c r="BH513" s="11" t="n">
        <x:v>518.5374381567245</x:v>
      </x:c>
      <x:c r="BI513" s="11" t="n">
        <x:v>1.3967465323081123</x:v>
      </x:c>
      <x:c r="BJ513" s="11" t="n">
        <x:v>1.7099330852451193</x:v>
      </x:c>
      <x:c r="BK513" s="12" t="n">
        <x:v>0.018327243000235003</x:v>
      </x:c>
      <x:c r="BL513" s="12" t="n">
        <x:v>0.02529861000232605</x:v>
      </x:c>
      <x:c r="BM513" s="12" t="n">
        <x:v>0.982034678745671</x:v>
      </x:c>
      <x:c r="BN513" s="12" t="n">
        <x:v>0.9815511712696461</x:v>
      </x:c>
      <x:c r="BO513" s="12" t="n">
        <x:v>0.7988058564062199</x:v>
      </x:c>
      <x:c r="BP513" s="12" t="n">
        <x:v>0.8619101997275483</x:v>
      </x:c>
      <x:c r="BQ513" s="12" t="n">
        <x:v>0.970292410805516</x:v>
      </x:c>
      <x:c r="BR513" s="12" t="n">
        <x:v>0.9623635142836453</x:v>
      </x:c>
      <x:c r="BS513" s="12" t="n">
        <x:v>0.19624174475580758</x:v>
      </x:c>
      <x:c r="BT513" s="12" t="n">
        <x:v>0.19976549769108282</x:v>
      </x:c>
      <x:c r="BU513" s="11" t="n">
        <x:v>2570091</x:v>
      </x:c>
      <x:c r="BV513" s="11" t="n">
        <x:v>6675389</x:v>
      </x:c>
      <x:c r="BW513" s="11" t="n">
        <x:v>972920</x:v>
      </x:c>
      <x:c r="BX513" s="11" t="n">
        <x:v>2270662</x:v>
      </x:c>
      <x:c r="BY513" s="11" t="n">
        <x:v>0</x:v>
      </x:c>
      <x:c r="BZ513" s="11" t="n">
        <x:v>0</x:v>
      </x:c>
      <x:c r="CA513" s="11" t="n">
        <x:v>0</x:v>
      </x:c>
      <x:c r="CB513" s="11" t="n">
        <x:v>0</x:v>
      </x:c>
      <x:c r="CC513" s="11" t="n">
        <x:v>5792788</x:v>
      </x:c>
      <x:c r="CD513" s="11" t="n">
        <x:v>9436635</x:v>
      </x:c>
      <x:c r="CE513" s="11" t="n">
        <x:v>596726</x:v>
      </x:c>
      <x:c r="CF513" s="11" t="n">
        <x:v>266181</x:v>
      </x:c>
      <x:c r="CG513" s="11" t="n">
        <x:v>0</x:v>
      </x:c>
      <x:c r="CH513" s="11" t="n">
        <x:v>7406393</x:v>
      </x:c>
      <x:c r="CI513" s="11" t="n">
        <x:v>3827010</x:v>
      </x:c>
      <x:c r="CJ513" s="11" t="n">
        <x:v>1589091</x:v>
      </x:c>
      <x:c r="CK513" s="11" t="n">
        <x:v>2218975</x:v>
      </x:c>
      <x:c r="CL513" s="11" t="n">
        <x:v>15936164</x:v>
      </x:c>
      <x:c r="CM513" s="11" t="n">
        <x:v>101874</x:v>
      </x:c>
      <x:c r="CN513" s="11" t="n">
        <x:v>87589</x:v>
      </x:c>
      <x:c r="CO513" s="11" t="n">
        <x:v>0</x:v>
      </x:c>
      <x:c r="CP513" s="8"/>
      <x:c r="CQ513" s="8"/>
    </x:row>
    <x:row r="514">
      <x:c r="A514" s="8" t="str">
        <x:v>New Denver|2019</x:v>
      </x:c>
      <x:c r="B514" s="8" t="str">
        <x:v>new-denver-v</x:v>
      </x:c>
      <x:c r="C514" s="8" t="str">
        <x:v>New Denver</x:v>
      </x:c>
      <x:c r="D514" s="8" t="str">
        <x:v>New Denver</x:v>
      </x:c>
      <x:c r="E514" s="8" t="str">
        <x:v>V</x:v>
      </x:c>
      <x:c r="F514" s="8" t="str">
        <x:v>CKO</x:v>
      </x:c>
      <x:c r="G514" s="9" t="n">
        <x:v>2019</x:v>
      </x:c>
      <x:c r="H514" s="10" t="n">
        <x:v>496</x:v>
      </x:c>
      <x:c r="I514" s="8" t="str">
        <x:v>Under 5,000</x:v>
      </x:c>
      <x:c r="J514" s="11" t="n">
        <x:v>1359224</x:v>
      </x:c>
      <x:c r="K514" s="11" t="n">
        <x:v>1122288</x:v>
      </x:c>
      <x:c r="L514" s="11" t="n">
        <x:v>236936</x:v>
      </x:c>
      <x:c r="M514" s="12" t="n">
        <x:v>0.1743171103512004</x:v>
      </x:c>
      <x:c r="N514" s="11" t="n">
        <x:v>297145</x:v>
      </x:c>
      <x:c r="O514" s="11" t="n">
        <x:v>435583</x:v>
      </x:c>
      <x:c r="P514" s="11" t="n">
        <x:v>606735</x:v>
      </x:c>
      <x:c r="Q514" s="11" t="n">
        <x:v>19761</x:v>
      </x:c>
      <x:c r="R514" s="11" t="n">
        <x:v>970658</x:v>
      </x:c>
      <x:c r="S514" s="11" t="n">
        <x:v>136375</x:v>
      </x:c>
      <x:c r="T514" s="11" t="n">
        <x:v>1379908</x:v>
      </x:c>
      <x:c r="U514" s="11" t="n">
        <x:v>551887</x:v>
      </x:c>
      <x:c r="V514" s="11" t="n">
        <x:v>893238</x:v>
      </x:c>
      <x:c r="W514" s="11" t="n">
        <x:v>1202997</x:v>
      </x:c>
      <x:c r="X514" s="11" t="n">
        <x:v>329317</x:v>
      </x:c>
      <x:c r="Y514" s="11" t="n">
        <x:v>0</x:v>
      </x:c>
      <x:c r="Z514" s="11" t="n">
        <x:v>20364</x:v>
      </x:c>
      <x:c r="AA514" s="11" t="n">
        <x:v>302225</x:v>
      </x:c>
      <x:c r="AB514" s="11" t="n">
        <x:v>15255</x:v>
      </x:c>
      <x:c r="AC514" s="11" t="n">
        <x:v>35619</x:v>
      </x:c>
      <x:c r="AD514" s="11" t="n">
        <x:v>273976</x:v>
      </x:c>
      <x:c r="AE514" s="11" t="n">
        <x:v>238357</x:v>
      </x:c>
      <x:c r="AF514" s="11" t="n">
        <x:v>1095905</x:v>
      </x:c>
      <x:c r="AG514" s="11" t="n">
        <x:v>6296655</x:v>
      </x:c>
      <x:c r="AH514" s="11" t="n">
        <x:v>2354227</x:v>
      </x:c>
      <x:c r="AI514" s="11" t="n">
        <x:v>3942428</x:v>
      </x:c>
      <x:c r="AJ514" s="11" t="n">
        <x:v>127621</x:v>
      </x:c>
      <x:c r="AK514" s="11" t="n">
        <x:v>1221201</x:v>
      </x:c>
      <x:c r="AL514" s="11" t="n">
        <x:v>0</x:v>
      </x:c>
      <x:c r="AM514" s="12" t="n">
        <x:v>1</x:v>
      </x:c>
      <x:c r="AN514" s="12" t="n">
        <x:v>0.10450450007820171</x:v>
      </x:c>
      <x:c r="AO514" s="11" t="n">
        <x:v>639760</x:v>
      </x:c>
      <x:c r="AP514" s="11" t="n">
        <x:v>620299</x:v>
      </x:c>
      <x:c r="AQ514" s="12" t="n">
        <x:v>0.9695807802926097</x:v>
      </x:c>
      <x:c r="AR514" s="11" t="n">
        <x:v>2740.3709677419356</x:v>
      </x:c>
      <x:c r="AS514" s="11" t="n">
        <x:v>2262.6774193548385</x:v>
      </x:c>
      <x:c r="AT514" s="11" t="n">
        <x:v>1800.883064516129</x:v>
      </x:c>
      <x:c r="AU514" s="11" t="n">
        <x:v>2425.3971774193546</x:v>
      </x:c>
      <x:c r="AV514" s="11" t="n">
        <x:v>609.3245967741935</x:v>
      </x:c>
      <x:c r="AW514" s="11" t="n">
        <x:v>2.5003451793573683</x:v>
      </x:c>
      <x:c r="AX514" s="12" t="n">
        <x:v>0.86999226209595</x:v>
      </x:c>
      <x:c r="AY514" s="11"/>
      <x:c r="AZ514" s="11"/>
      <x:c r="BA514" s="11"/>
      <x:c r="BB514" s="11"/>
      <x:c r="BC514" s="11"/>
      <x:c r="BD514" s="11"/>
      <x:c r="BE514" s="11"/>
      <x:c r="BF514" s="11"/>
      <x:c r="BG514" s="11"/>
      <x:c r="BH514" s="11"/>
      <x:c r="BI514" s="11"/>
      <x:c r="BJ514" s="11"/>
      <x:c r="BK514" s="12"/>
      <x:c r="BL514" s="12"/>
      <x:c r="BM514" s="12"/>
      <x:c r="BN514" s="12"/>
      <x:c r="BO514" s="12"/>
      <x:c r="BP514" s="12"/>
      <x:c r="BQ514" s="12"/>
      <x:c r="BR514" s="12"/>
      <x:c r="BS514" s="12"/>
      <x:c r="BT514" s="12"/>
      <x:c r="BU514" s="11" t="n">
        <x:v>7762</x:v>
      </x:c>
      <x:c r="BV514" s="11" t="n">
        <x:v>507784</x:v>
      </x:c>
      <x:c r="BW514" s="11" t="n">
        <x:v>91189</x:v>
      </x:c>
      <x:c r="BX514" s="11" t="n">
        <x:v>19761</x:v>
      </x:c>
      <x:c r="BY514" s="11" t="n">
        <x:v>0</x:v>
      </x:c>
      <x:c r="BZ514" s="11" t="n">
        <x:v>0</x:v>
      </x:c>
      <x:c r="CA514" s="11" t="n">
        <x:v>0</x:v>
      </x:c>
      <x:c r="CB514" s="11" t="n">
        <x:v>0</x:v>
      </x:c>
      <x:c r="CC514" s="11" t="n">
        <x:v>292110</x:v>
      </x:c>
      <x:c r="CD514" s="11" t="n">
        <x:v>94230</x:v>
      </x:c>
      <x:c r="CE514" s="11" t="n">
        <x:v>56658</x:v>
      </x:c>
      <x:c r="CF514" s="11" t="n">
        <x:v>10652</x:v>
      </x:c>
      <x:c r="CG514" s="11" t="n">
        <x:v>6027</x:v>
      </x:c>
      <x:c r="CH514" s="11" t="n">
        <x:v>223126</x:v>
      </x:c>
      <x:c r="CI514" s="11" t="n">
        <x:v>227213</x:v>
      </x:c>
      <x:c r="CJ514" s="11" t="n">
        <x:v>75897</x:v>
      </x:c>
      <x:c r="CK514" s="11" t="n">
        <x:v>0</x:v>
      </x:c>
      <x:c r="CL514" s="11" t="n">
        <x:v>0</x:v>
      </x:c>
      <x:c r="CM514" s="11"/>
      <x:c r="CN514" s="11" t="n">
        <x:v>0</x:v>
      </x:c>
      <x:c r="CO514" s="11" t="n">
        <x:v>0</x:v>
      </x:c>
      <x:c r="CP514" s="8"/>
      <x:c r="CQ514" s="8"/>
    </x:row>
    <x:row r="515">
      <x:c r="A515" s="8" t="str">
        <x:v>New Denver|2020</x:v>
      </x:c>
      <x:c r="B515" s="8" t="str">
        <x:v>new-denver-v</x:v>
      </x:c>
      <x:c r="C515" s="8" t="str">
        <x:v>New Denver</x:v>
      </x:c>
      <x:c r="D515" s="8" t="str">
        <x:v>New Denver</x:v>
      </x:c>
      <x:c r="E515" s="8" t="str">
        <x:v>V</x:v>
      </x:c>
      <x:c r="F515" s="8" t="str">
        <x:v>CKO</x:v>
      </x:c>
      <x:c r="G515" s="9" t="n">
        <x:v>2020</x:v>
      </x:c>
      <x:c r="H515" s="10" t="n">
        <x:v>499</x:v>
      </x:c>
      <x:c r="I515" s="8" t="str">
        <x:v>Under 5,000</x:v>
      </x:c>
      <x:c r="J515" s="11" t="n">
        <x:v>1979883</x:v>
      </x:c>
      <x:c r="K515" s="11" t="n">
        <x:v>1248354</x:v>
      </x:c>
      <x:c r="L515" s="11" t="n">
        <x:v>731529</x:v>
      </x:c>
      <x:c r="M515" s="12" t="n">
        <x:v>0.3694809238727743</x:v>
      </x:c>
      <x:c r="N515" s="11" t="n">
        <x:v>299799</x:v>
      </x:c>
      <x:c r="O515" s="11" t="n">
        <x:v>408984</x:v>
      </x:c>
      <x:c r="P515" s="11" t="n">
        <x:v>1254728</x:v>
      </x:c>
      <x:c r="Q515" s="11" t="n">
        <x:v>16372</x:v>
      </x:c>
      <x:c r="R515" s="11" t="n">
        <x:v>1085793</x:v>
      </x:c>
      <x:c r="S515" s="11" t="n">
        <x:v>147306</x:v>
      </x:c>
      <x:c r="T515" s="11" t="n">
        <x:v>1601437</x:v>
      </x:c>
      <x:c r="U515" s="11" t="n">
        <x:v>548142</x:v>
      </x:c>
      <x:c r="V515" s="11" t="n">
        <x:v>1300714</x:v>
      </x:c>
      <x:c r="W515" s="11" t="n">
        <x:v>1065044</x:v>
      </x:c>
      <x:c r="X515" s="11" t="n">
        <x:v>302225</x:v>
      </x:c>
      <x:c r="Y515" s="11" t="n">
        <x:v>0</x:v>
      </x:c>
      <x:c r="Z515" s="11" t="n">
        <x:v>20364</x:v>
      </x:c>
      <x:c r="AA515" s="11" t="n">
        <x:v>274070</x:v>
      </x:c>
      <x:c r="AB515" s="11" t="n">
        <x:v>15255</x:v>
      </x:c>
      <x:c r="AC515" s="11" t="n">
        <x:v>35619</x:v>
      </x:c>
      <x:c r="AD515" s="11" t="n">
        <x:v>271237</x:v>
      </x:c>
      <x:c r="AE515" s="11" t="n">
        <x:v>235618</x:v>
      </x:c>
      <x:c r="AF515" s="11" t="n">
        <x:v>1084947</x:v>
      </x:c>
      <x:c r="AG515" s="11" t="n">
        <x:v>6764915</x:v>
      </x:c>
      <x:c r="AH515" s="11" t="n">
        <x:v>2501531</x:v>
      </x:c>
      <x:c r="AI515" s="11" t="n">
        <x:v>4263384</x:v>
      </x:c>
      <x:c r="AJ515" s="11" t="n">
        <x:v>468262</x:v>
      </x:c>
      <x:c r="AK515" s="11" t="n">
        <x:v>1221201</x:v>
      </x:c>
      <x:c r="AL515" s="11" t="n">
        <x:v>0</x:v>
      </x:c>
      <x:c r="AM515" s="12" t="n">
        <x:v>1</x:v>
      </x:c>
      <x:c r="AN515" s="12" t="n">
        <x:v>0.3834438393024572</x:v>
      </x:c>
      <x:c r="AO515" s="11" t="n">
        <x:v>666910</x:v>
      </x:c>
      <x:c r="AP515" s="11" t="n">
        <x:v>647363</x:v>
      </x:c>
      <x:c r="AQ515" s="12" t="n">
        <x:v>0.9706901980777016</x:v>
      </x:c>
      <x:c r="AR515" s="11" t="n">
        <x:v>3967.701402805611</x:v>
      </x:c>
      <x:c r="AS515" s="11" t="n">
        <x:v>2501.7114228456912</x:v>
      </x:c>
      <x:c r="AT515" s="11" t="n">
        <x:v>2606.64128256513</x:v>
      </x:c>
      <x:c r="AU515" s="11" t="n">
        <x:v>2134.3567134268537</x:v>
      </x:c>
      <x:c r="AV515" s="11" t="n">
        <x:v>549.2384769539078</x:v>
      </x:c>
      <x:c r="AW515" s="11" t="n">
        <x:v>2.9215732419701466</x:v>
      </x:c>
      <x:c r="AX515" s="12" t="n">
        <x:v>0.8686794205805255</x:v>
      </x:c>
      <x:c r="AY515" s="11"/>
      <x:c r="AZ515" s="11"/>
      <x:c r="BA515" s="11"/>
      <x:c r="BB515" s="11"/>
      <x:c r="BC515" s="11"/>
      <x:c r="BD515" s="11"/>
      <x:c r="BE515" s="11"/>
      <x:c r="BF515" s="11"/>
      <x:c r="BG515" s="11"/>
      <x:c r="BH515" s="11"/>
      <x:c r="BI515" s="11"/>
      <x:c r="BJ515" s="11"/>
      <x:c r="BK515" s="12"/>
      <x:c r="BL515" s="12"/>
      <x:c r="BM515" s="12"/>
      <x:c r="BN515" s="12"/>
      <x:c r="BO515" s="12"/>
      <x:c r="BP515" s="12"/>
      <x:c r="BQ515" s="12"/>
      <x:c r="BR515" s="12"/>
      <x:c r="BS515" s="12"/>
      <x:c r="BT515" s="12"/>
      <x:c r="BU515" s="11" t="n">
        <x:v>34590</x:v>
      </x:c>
      <x:c r="BV515" s="11" t="n">
        <x:v>822428</x:v>
      </x:c>
      <x:c r="BW515" s="11" t="n">
        <x:v>397710</x:v>
      </x:c>
      <x:c r="BX515" s="11" t="n">
        <x:v>16372</x:v>
      </x:c>
      <x:c r="BY515" s="11" t="n">
        <x:v>0</x:v>
      </x:c>
      <x:c r="BZ515" s="11" t="n">
        <x:v>0</x:v>
      </x:c>
      <x:c r="CA515" s="11" t="n">
        <x:v>0</x:v>
      </x:c>
      <x:c r="CB515" s="11" t="n">
        <x:v>0</x:v>
      </x:c>
      <x:c r="CC515" s="11" t="n">
        <x:v>378799</x:v>
      </x:c>
      <x:c r="CD515" s="11" t="n">
        <x:v>99910</x:v>
      </x:c>
      <x:c r="CE515" s="11" t="n">
        <x:v>51187</x:v>
      </x:c>
      <x:c r="CF515" s="11" t="n">
        <x:v>15708</x:v>
      </x:c>
      <x:c r="CG515" s="11" t="n">
        <x:v>0</x:v>
      </x:c>
      <x:c r="CH515" s="11" t="n">
        <x:v>240731</x:v>
      </x:c>
      <x:c r="CI515" s="11" t="n">
        <x:v>192552</x:v>
      </x:c>
      <x:c r="CJ515" s="11" t="n">
        <x:v>122161</x:v>
      </x:c>
      <x:c r="CK515" s="11" t="n">
        <x:v>0</x:v>
      </x:c>
      <x:c r="CL515" s="11" t="n">
        <x:v>0</x:v>
      </x:c>
      <x:c r="CM515" s="11"/>
      <x:c r="CN515" s="11" t="n">
        <x:v>0</x:v>
      </x:c>
      <x:c r="CO515" s="11" t="n">
        <x:v>0</x:v>
      </x:c>
      <x:c r="CP515" s="8"/>
      <x:c r="CQ515" s="8"/>
    </x:row>
    <x:row r="516">
      <x:c r="A516" s="8" t="str">
        <x:v>New Denver|2021</x:v>
      </x:c>
      <x:c r="B516" s="8" t="str">
        <x:v>new-denver-v</x:v>
      </x:c>
      <x:c r="C516" s="8" t="str">
        <x:v>New Denver</x:v>
      </x:c>
      <x:c r="D516" s="8" t="str">
        <x:v>New Denver</x:v>
      </x:c>
      <x:c r="E516" s="8" t="str">
        <x:v>V</x:v>
      </x:c>
      <x:c r="F516" s="8" t="str">
        <x:v>CKO</x:v>
      </x:c>
      <x:c r="G516" s="9" t="n">
        <x:v>2021</x:v>
      </x:c>
      <x:c r="H516" s="10" t="n">
        <x:v>504</x:v>
      </x:c>
      <x:c r="I516" s="8" t="str">
        <x:v>Under 5,000</x:v>
      </x:c>
      <x:c r="J516" s="11" t="n">
        <x:v>2191419</x:v>
      </x:c>
      <x:c r="K516" s="11" t="n">
        <x:v>1352694</x:v>
      </x:c>
      <x:c r="L516" s="11" t="n">
        <x:v>838725</x:v>
      </x:c>
      <x:c r="M516" s="12" t="n">
        <x:v>0.3827314630383327</x:v>
      </x:c>
      <x:c r="N516" s="11" t="n">
        <x:v>307938</x:v>
      </x:c>
      <x:c r="O516" s="11" t="n">
        <x:v>455805</x:v>
      </x:c>
      <x:c r="P516" s="11" t="n">
        <x:v>1414960</x:v>
      </x:c>
      <x:c r="Q516" s="11" t="n">
        <x:v>12716</x:v>
      </x:c>
      <x:c r="R516" s="11" t="n">
        <x:v>1179604</x:v>
      </x:c>
      <x:c r="S516" s="11" t="n">
        <x:v>163357</x:v>
      </x:c>
      <x:c r="T516" s="11" t="n">
        <x:v>2028964</x:v>
      </x:c>
      <x:c r="U516" s="11" t="n">
        <x:v>1429480</x:v>
      </x:c>
      <x:c r="V516" s="11" t="n">
        <x:v>1468490</x:v>
      </x:c>
      <x:c r="W516" s="11" t="n">
        <x:v>1136061</x:v>
      </x:c>
      <x:c r="X516" s="11" t="n">
        <x:v>274070</x:v>
      </x:c>
      <x:c r="Y516" s="11" t="n">
        <x:v>0</x:v>
      </x:c>
      <x:c r="Z516" s="11" t="n">
        <x:v>20364</x:v>
      </x:c>
      <x:c r="AA516" s="11" t="n">
        <x:v>244807</x:v>
      </x:c>
      <x:c r="AB516" s="11" t="n">
        <x:v>9733</x:v>
      </x:c>
      <x:c r="AC516" s="11" t="n">
        <x:v>30097</x:v>
      </x:c>
      <x:c r="AD516" s="11" t="n">
        <x:v>279931</x:v>
      </x:c>
      <x:c r="AE516" s="11" t="n">
        <x:v>249834</x:v>
      </x:c>
      <x:c r="AF516" s="11" t="n">
        <x:v>1119725</x:v>
      </x:c>
      <x:c r="AG516" s="11" t="n">
        <x:v>7608310</x:v>
      </x:c>
      <x:c r="AH516" s="11" t="n">
        <x:v>2664890</x:v>
      </x:c>
      <x:c r="AI516" s="11" t="n">
        <x:v>4943420</x:v>
      </x:c>
      <x:c r="AJ516" s="11" t="n">
        <x:v>843393</x:v>
      </x:c>
      <x:c r="AK516" s="11" t="n">
        <x:v>1221201</x:v>
      </x:c>
      <x:c r="AL516" s="11" t="n">
        <x:v>0</x:v>
      </x:c>
      <x:c r="AM516" s="12" t="n">
        <x:v>1</x:v>
      </x:c>
      <x:c r="AN516" s="12" t="n">
        <x:v>0.6906258674861878</x:v>
      </x:c>
      <x:c r="AO516" s="11" t="n">
        <x:v>707235</x:v>
      </x:c>
      <x:c r="AP516" s="11" t="n">
        <x:v>686284</x:v>
      </x:c>
      <x:c r="AQ516" s="12" t="n">
        <x:v>0.9703761833054076</x:v>
      </x:c>
      <x:c r="AR516" s="11" t="n">
        <x:v>4348.053571428572</x:v>
      </x:c>
      <x:c r="AS516" s="11" t="n">
        <x:v>2683.9166666666665</x:v>
      </x:c>
      <x:c r="AT516" s="11" t="n">
        <x:v>2913.6706349206347</x:v>
      </x:c>
      <x:c r="AU516" s="11" t="n">
        <x:v>2254.089285714286</x:v>
      </x:c>
      <x:c r="AV516" s="11" t="n">
        <x:v>485.7281746031746</x:v>
      </x:c>
      <x:c r="AW516" s="11" t="n">
        <x:v>1.4193720793575286</x:v>
      </x:c>
      <x:c r="AX516" s="12" t="n">
        <x:v>0.8924842193254766</x:v>
      </x:c>
      <x:c r="AY516" s="11"/>
      <x:c r="AZ516" s="11"/>
      <x:c r="BA516" s="11"/>
      <x:c r="BB516" s="11"/>
      <x:c r="BC516" s="11"/>
      <x:c r="BD516" s="11"/>
      <x:c r="BE516" s="11"/>
      <x:c r="BF516" s="11"/>
      <x:c r="BG516" s="11"/>
      <x:c r="BH516" s="11"/>
      <x:c r="BI516" s="11"/>
      <x:c r="BJ516" s="11"/>
      <x:c r="BK516" s="12"/>
      <x:c r="BL516" s="12"/>
      <x:c r="BM516" s="12"/>
      <x:c r="BN516" s="12"/>
      <x:c r="BO516" s="12"/>
      <x:c r="BP516" s="12"/>
      <x:c r="BQ516" s="12"/>
      <x:c r="BR516" s="12"/>
      <x:c r="BS516" s="12"/>
      <x:c r="BT516" s="12"/>
      <x:c r="BU516" s="11" t="n">
        <x:v>14941</x:v>
      </x:c>
      <x:c r="BV516" s="11" t="n">
        <x:v>663216</x:v>
      </x:c>
      <x:c r="BW516" s="11" t="n">
        <x:v>736803</x:v>
      </x:c>
      <x:c r="BX516" s="11" t="n">
        <x:v>12716</x:v>
      </x:c>
      <x:c r="BY516" s="11" t="n">
        <x:v>0</x:v>
      </x:c>
      <x:c r="BZ516" s="11" t="n">
        <x:v>0</x:v>
      </x:c>
      <x:c r="CA516" s="11" t="n">
        <x:v>0</x:v>
      </x:c>
      <x:c r="CB516" s="11" t="n">
        <x:v>0</x:v>
      </x:c>
      <x:c r="CC516" s="11" t="n">
        <x:v>489201</x:v>
      </x:c>
      <x:c r="CD516" s="11" t="n">
        <x:v>128137</x:v>
      </x:c>
      <x:c r="CE516" s="11" t="n">
        <x:v>64149</x:v>
      </x:c>
      <x:c r="CF516" s="11" t="n">
        <x:v>13645</x:v>
      </x:c>
      <x:c r="CG516" s="11" t="n">
        <x:v>0</x:v>
      </x:c>
      <x:c r="CH516" s="11" t="n">
        <x:v>177963</x:v>
      </x:c>
      <x:c r="CI516" s="11" t="n">
        <x:v>190128</x:v>
      </x:c>
      <x:c r="CJ516" s="11" t="n">
        <x:v>126114</x:v>
      </x:c>
      <x:c r="CK516" s="11" t="n">
        <x:v>0</x:v>
      </x:c>
      <x:c r="CL516" s="11" t="n">
        <x:v>0</x:v>
      </x:c>
      <x:c r="CM516" s="11"/>
      <x:c r="CN516" s="11" t="n">
        <x:v>0</x:v>
      </x:c>
      <x:c r="CO516" s="11" t="n">
        <x:v>0</x:v>
      </x:c>
      <x:c r="CP516" s="8"/>
      <x:c r="CQ516" s="8"/>
    </x:row>
    <x:row r="517">
      <x:c r="A517" s="8" t="str">
        <x:v>New Denver|2022</x:v>
      </x:c>
      <x:c r="B517" s="8" t="str">
        <x:v>new-denver-v</x:v>
      </x:c>
      <x:c r="C517" s="8" t="str">
        <x:v>New Denver</x:v>
      </x:c>
      <x:c r="D517" s="8" t="str">
        <x:v>New Denver</x:v>
      </x:c>
      <x:c r="E517" s="8" t="str">
        <x:v>V</x:v>
      </x:c>
      <x:c r="F517" s="8" t="str">
        <x:v>CKO</x:v>
      </x:c>
      <x:c r="G517" s="9" t="n">
        <x:v>2022</x:v>
      </x:c>
      <x:c r="H517" s="10" t="n">
        <x:v>629</x:v>
      </x:c>
      <x:c r="I517" s="8" t="str">
        <x:v>Under 5,000</x:v>
      </x:c>
      <x:c r="J517" s="11" t="n">
        <x:v>2557264</x:v>
      </x:c>
      <x:c r="K517" s="11" t="n">
        <x:v>1379144</x:v>
      </x:c>
      <x:c r="L517" s="11" t="n">
        <x:v>1178120</x:v>
      </x:c>
      <x:c r="M517" s="12" t="n">
        <x:v>0.4606954933084734</x:v>
      </x:c>
      <x:c r="N517" s="11" t="n">
        <x:v>351806</x:v>
      </x:c>
      <x:c r="O517" s="11" t="n">
        <x:v>482417</x:v>
      </x:c>
      <x:c r="P517" s="11" t="n">
        <x:v>1688661</x:v>
      </x:c>
      <x:c r="Q517" s="11" t="n">
        <x:v>34380</x:v>
      </x:c>
      <x:c r="R517" s="11" t="n">
        <x:v>1181893</x:v>
      </x:c>
      <x:c r="S517" s="11" t="n">
        <x:v>187518</x:v>
      </x:c>
      <x:c r="T517" s="11" t="n">
        <x:v>2175737</x:v>
      </x:c>
      <x:c r="U517" s="11" t="n">
        <x:v>1257938</x:v>
      </x:c>
      <x:c r="V517" s="11" t="n">
        <x:v>1410121</x:v>
      </x:c>
      <x:c r="W517" s="11" t="n">
        <x:v>881487</x:v>
      </x:c>
      <x:c r="X517" s="11" t="n">
        <x:v>244807</x:v>
      </x:c>
      <x:c r="Y517" s="11" t="n">
        <x:v>0</x:v>
      </x:c>
      <x:c r="Z517" s="11" t="n">
        <x:v>20364</x:v>
      </x:c>
      <x:c r="AA517" s="11" t="n">
        <x:v>214389</x:v>
      </x:c>
      <x:c r="AB517" s="11" t="n">
        <x:v>9733</x:v>
      </x:c>
      <x:c r="AC517" s="11" t="n">
        <x:v>30097</x:v>
      </x:c>
      <x:c r="AD517" s="11" t="n">
        <x:v>320020</x:v>
      </x:c>
      <x:c r="AE517" s="11" t="n">
        <x:v>289923</x:v>
      </x:c>
      <x:c r="AF517" s="11" t="n">
        <x:v>1280080</x:v>
      </x:c>
      <x:c r="AG517" s="11" t="n">
        <x:v>9006824</x:v>
      </x:c>
      <x:c r="AH517" s="11" t="n">
        <x:v>2826878</x:v>
      </x:c>
      <x:c r="AI517" s="11" t="n">
        <x:v>6179946</x:v>
      </x:c>
      <x:c r="AJ517" s="11" t="n">
        <x:v>1424044</x:v>
      </x:c>
      <x:c r="AK517" s="11" t="n">
        <x:v>2232531</x:v>
      </x:c>
      <x:c r="AL517" s="11" t="n">
        <x:v>0</x:v>
      </x:c>
      <x:c r="AM517" s="12" t="n">
        <x:v>1</x:v>
      </x:c>
      <x:c r="AN517" s="12" t="n">
        <x:v>0.637860795661964</x:v>
      </x:c>
      <x:c r="AO517" s="11" t="n">
        <x:v>821689</x:v>
      </x:c>
      <x:c r="AP517" s="11" t="n">
        <x:v>789546</x:v>
      </x:c>
      <x:c r="AQ517" s="12" t="n">
        <x:v>0.9608817934766073</x:v>
      </x:c>
      <x:c r="AR517" s="11" t="n">
        <x:v>4065.6025437201906</x:v>
      </x:c>
      <x:c r="AS517" s="11" t="n">
        <x:v>2192.597774244833</x:v>
      </x:c>
      <x:c r="AT517" s="11" t="n">
        <x:v>2241.845786963434</x:v>
      </x:c>
      <x:c r="AU517" s="11" t="n">
        <x:v>1401.4101748807632</x:v>
      </x:c>
      <x:c r="AV517" s="11" t="n">
        <x:v>340.8410174880763</x:v>
      </x:c>
      <x:c r="AW517" s="11" t="n">
        <x:v>1.729605910625166</x:v>
      </x:c>
      <x:c r="AX517" s="12" t="n">
        <x:v>0.9059527529529404</x:v>
      </x:c>
      <x:c r="AY517" s="11"/>
      <x:c r="AZ517" s="11"/>
      <x:c r="BA517" s="11"/>
      <x:c r="BB517" s="11"/>
      <x:c r="BC517" s="11"/>
      <x:c r="BD517" s="11"/>
      <x:c r="BE517" s="11"/>
      <x:c r="BF517" s="11"/>
      <x:c r="BG517" s="11"/>
      <x:c r="BH517" s="11"/>
      <x:c r="BI517" s="11"/>
      <x:c r="BJ517" s="11"/>
      <x:c r="BK517" s="12"/>
      <x:c r="BL517" s="12"/>
      <x:c r="BM517" s="12"/>
      <x:c r="BN517" s="12"/>
      <x:c r="BO517" s="12"/>
      <x:c r="BP517" s="12"/>
      <x:c r="BQ517" s="12"/>
      <x:c r="BR517" s="12"/>
      <x:c r="BS517" s="12"/>
      <x:c r="BT517" s="12"/>
      <x:c r="BU517" s="11" t="n">
        <x:v>123286</x:v>
      </x:c>
      <x:c r="BV517" s="11" t="n">
        <x:v>744628</x:v>
      </x:c>
      <x:c r="BW517" s="11" t="n">
        <x:v>820747</x:v>
      </x:c>
      <x:c r="BX517" s="11" t="n">
        <x:v>16911</x:v>
      </x:c>
      <x:c r="BY517" s="11" t="n">
        <x:v>0</x:v>
      </x:c>
      <x:c r="BZ517" s="11" t="n">
        <x:v>0</x:v>
      </x:c>
      <x:c r="CA517" s="11" t="n">
        <x:v>17469</x:v>
      </x:c>
      <x:c r="CB517" s="11" t="n">
        <x:v>0</x:v>
      </x:c>
      <x:c r="CC517" s="11" t="n">
        <x:v>386882</x:v>
      </x:c>
      <x:c r="CD517" s="11" t="n">
        <x:v>133462</x:v>
      </x:c>
      <x:c r="CE517" s="11" t="n">
        <x:v>90824</x:v>
      </x:c>
      <x:c r="CF517" s="11" t="n">
        <x:v>18965</x:v>
      </x:c>
      <x:c r="CG517" s="11" t="n">
        <x:v>0</x:v>
      </x:c>
      <x:c r="CH517" s="11" t="n">
        <x:v>247435</x:v>
      </x:c>
      <x:c r="CI517" s="11" t="n">
        <x:v>224743</x:v>
      </x:c>
      <x:c r="CJ517" s="11" t="n">
        <x:v>89315</x:v>
      </x:c>
      <x:c r="CK517" s="11" t="n">
        <x:v>0</x:v>
      </x:c>
      <x:c r="CL517" s="11" t="n">
        <x:v>0</x:v>
      </x:c>
      <x:c r="CM517" s="11"/>
      <x:c r="CN517" s="11" t="n">
        <x:v>0</x:v>
      </x:c>
      <x:c r="CO517" s="11" t="n">
        <x:v>0</x:v>
      </x:c>
      <x:c r="CP517" s="8"/>
      <x:c r="CQ517" s="8"/>
    </x:row>
    <x:row r="518">
      <x:c r="A518" s="8" t="str">
        <x:v>New Denver|2023</x:v>
      </x:c>
      <x:c r="B518" s="8" t="str">
        <x:v>new-denver-v</x:v>
      </x:c>
      <x:c r="C518" s="8" t="str">
        <x:v>New Denver</x:v>
      </x:c>
      <x:c r="D518" s="8" t="str">
        <x:v>New Denver</x:v>
      </x:c>
      <x:c r="E518" s="8" t="str">
        <x:v>V</x:v>
      </x:c>
      <x:c r="F518" s="8" t="str">
        <x:v>CKO</x:v>
      </x:c>
      <x:c r="G518" s="9" t="n">
        <x:v>2023</x:v>
      </x:c>
      <x:c r="H518" s="10" t="n">
        <x:v>520</x:v>
      </x:c>
      <x:c r="I518" s="8" t="str">
        <x:v>Under 5,000</x:v>
      </x:c>
      <x:c r="J518" s="11" t="n">
        <x:v>3675790</x:v>
      </x:c>
      <x:c r="K518" s="11" t="n">
        <x:v>1525788</x:v>
      </x:c>
      <x:c r="L518" s="11" t="n">
        <x:v>2150002</x:v>
      </x:c>
      <x:c r="M518" s="12" t="n">
        <x:v>0.5849088223211881</x:v>
      </x:c>
      <x:c r="N518" s="11" t="n">
        <x:v>386298</x:v>
      </x:c>
      <x:c r="O518" s="11" t="n">
        <x:v>527384</x:v>
      </x:c>
      <x:c r="P518" s="11" t="n">
        <x:v>2726205</x:v>
      </x:c>
      <x:c r="Q518" s="11" t="n">
        <x:v>35903</x:v>
      </x:c>
      <x:c r="R518" s="11" t="n">
        <x:v>1297191</x:v>
      </x:c>
      <x:c r="S518" s="11" t="n">
        <x:v>218864</x:v>
      </x:c>
      <x:c r="T518" s="11" t="n">
        <x:v>2067103</x:v>
      </x:c>
      <x:c r="U518" s="11" t="n">
        <x:v>1077278</x:v>
      </x:c>
      <x:c r="V518" s="11" t="n">
        <x:v>1689331</x:v>
      </x:c>
      <x:c r="W518" s="11" t="n">
        <x:v>1308054</x:v>
      </x:c>
      <x:c r="X518" s="11" t="n">
        <x:v>214389</x:v>
      </x:c>
      <x:c r="Y518" s="11" t="n">
        <x:v>0</x:v>
      </x:c>
      <x:c r="Z518" s="11" t="n">
        <x:v>20363</x:v>
      </x:c>
      <x:c r="AA518" s="11" t="n">
        <x:v>182769</x:v>
      </x:c>
      <x:c r="AB518" s="11" t="n">
        <x:v>9733</x:v>
      </x:c>
      <x:c r="AC518" s="11" t="n">
        <x:v>30096</x:v>
      </x:c>
      <x:c r="AD518" s="11" t="n">
        <x:v>314727</x:v>
      </x:c>
      <x:c r="AE518" s="11" t="n">
        <x:v>175178</x:v>
      </x:c>
      <x:c r="AF518" s="11" t="n">
        <x:v>1258907</x:v>
      </x:c>
      <x:c r="AG518" s="11" t="n">
        <x:v>11010178</x:v>
      </x:c>
      <x:c r="AH518" s="11" t="n">
        <x:v>2965424</x:v>
      </x:c>
      <x:c r="AI518" s="11" t="n">
        <x:v>8044754</x:v>
      </x:c>
      <x:c r="AJ518" s="11" t="n">
        <x:v>2026919</x:v>
      </x:c>
      <x:c r="AK518" s="11" t="n">
        <x:v>2624899</x:v>
      </x:c>
      <x:c r="AL518" s="11" t="n">
        <x:v>0</x:v>
      </x:c>
      <x:c r="AM518" s="12" t="n">
        <x:v>1</x:v>
      </x:c>
      <x:c r="AN518" s="12" t="n">
        <x:v>0.7721893299513619</x:v>
      </x:c>
      <x:c r="AO518" s="11" t="n">
        <x:v>952961</x:v>
      </x:c>
      <x:c r="AP518" s="11" t="n">
        <x:v>893518</x:v>
      </x:c>
      <x:c r="AQ518" s="12" t="n">
        <x:v>0.9376228408088054</x:v>
      </x:c>
      <x:c r="AR518" s="11" t="n">
        <x:v>7068.826923076923</x:v>
      </x:c>
      <x:c r="AS518" s="11" t="n">
        <x:v>2934.2076923076925</x:v>
      </x:c>
      <x:c r="AT518" s="11" t="n">
        <x:v>3248.7134615384616</x:v>
      </x:c>
      <x:c r="AU518" s="11" t="n">
        <x:v>2515.4884615384617</x:v>
      </x:c>
      <x:c r="AV518" s="11" t="n">
        <x:v>351.4788461538462</x:v>
      </x:c>
      <x:c r="AW518" s="11" t="n">
        <x:v>1.9188203973347642</x:v>
      </x:c>
      <x:c r="AX518" s="12" t="n">
        <x:v>0.5566030242082821</x:v>
      </x:c>
      <x:c r="AY518" s="11"/>
      <x:c r="AZ518" s="11"/>
      <x:c r="BA518" s="11"/>
      <x:c r="BB518" s="11"/>
      <x:c r="BC518" s="11"/>
      <x:c r="BD518" s="11"/>
      <x:c r="BE518" s="11"/>
      <x:c r="BF518" s="11"/>
      <x:c r="BG518" s="11"/>
      <x:c r="BH518" s="11"/>
      <x:c r="BI518" s="11"/>
      <x:c r="BJ518" s="11"/>
      <x:c r="BK518" s="12"/>
      <x:c r="BL518" s="12"/>
      <x:c r="BM518" s="12"/>
      <x:c r="BN518" s="12"/>
      <x:c r="BO518" s="12"/>
      <x:c r="BP518" s="12"/>
      <x:c r="BQ518" s="12"/>
      <x:c r="BR518" s="12"/>
      <x:c r="BS518" s="12"/>
      <x:c r="BT518" s="12"/>
      <x:c r="BU518" s="11" t="n">
        <x:v>350253</x:v>
      </x:c>
      <x:c r="BV518" s="11" t="n">
        <x:v>1551401</x:v>
      </x:c>
      <x:c r="BW518" s="11" t="n">
        <x:v>824551</x:v>
      </x:c>
      <x:c r="BX518" s="11" t="n">
        <x:v>22482</x:v>
      </x:c>
      <x:c r="BY518" s="11" t="n">
        <x:v>0</x:v>
      </x:c>
      <x:c r="BZ518" s="11" t="n">
        <x:v>0</x:v>
      </x:c>
      <x:c r="CA518" s="11" t="n">
        <x:v>13421</x:v>
      </x:c>
      <x:c r="CB518" s="11" t="n">
        <x:v>0</x:v>
      </x:c>
      <x:c r="CC518" s="11" t="n">
        <x:v>468586</x:v>
      </x:c>
      <x:c r="CD518" s="11" t="n">
        <x:v>124595</x:v>
      </x:c>
      <x:c r="CE518" s="11" t="n">
        <x:v>81031</x:v>
      </x:c>
      <x:c r="CF518" s="11" t="n">
        <x:v>20477</x:v>
      </x:c>
      <x:c r="CG518" s="11" t="n">
        <x:v>0</x:v>
      </x:c>
      <x:c r="CH518" s="11" t="n">
        <x:v>210484</x:v>
      </x:c>
      <x:c r="CI518" s="11" t="n">
        <x:v>284923</x:v>
      </x:c>
      <x:c r="CJ518" s="11" t="n">
        <x:v>113541</x:v>
      </x:c>
      <x:c r="CK518" s="11" t="n">
        <x:v>0</x:v>
      </x:c>
      <x:c r="CL518" s="11" t="n">
        <x:v>0</x:v>
      </x:c>
      <x:c r="CM518" s="11" t="n">
        <x:v>3287</x:v>
      </x:c>
      <x:c r="CN518" s="11" t="n">
        <x:v>0</x:v>
      </x:c>
      <x:c r="CO518" s="11" t="n">
        <x:v>0</x:v>
      </x:c>
      <x:c r="CP518" s="8"/>
      <x:c r="CQ518" s="8"/>
    </x:row>
    <x:row r="519">
      <x:c r="A519" s="8" t="str">
        <x:v>New Denver|2024</x:v>
      </x:c>
      <x:c r="B519" s="8" t="str">
        <x:v>new-denver-v</x:v>
      </x:c>
      <x:c r="C519" s="8" t="str">
        <x:v>New Denver</x:v>
      </x:c>
      <x:c r="D519" s="8" t="str">
        <x:v>New Denver</x:v>
      </x:c>
      <x:c r="E519" s="8" t="str">
        <x:v>V</x:v>
      </x:c>
      <x:c r="F519" s="8" t="str">
        <x:v>CKO</x:v>
      </x:c>
      <x:c r="G519" s="9" t="n">
        <x:v>2024</x:v>
      </x:c>
      <x:c r="H519" s="10" t="n">
        <x:v>520</x:v>
      </x:c>
      <x:c r="I519" s="8" t="str">
        <x:v>Under 5,000</x:v>
      </x:c>
      <x:c r="J519" s="11" t="n">
        <x:v>2518419</x:v>
      </x:c>
      <x:c r="K519" s="11" t="n">
        <x:v>1737115</x:v>
      </x:c>
      <x:c r="L519" s="11" t="n">
        <x:v>781304</x:v>
      </x:c>
      <x:c r="M519" s="12" t="n">
        <x:v>0.31023590593940087</x:v>
      </x:c>
      <x:c r="N519" s="11" t="n">
        <x:v>441546</x:v>
      </x:c>
      <x:c r="O519" s="11" t="n">
        <x:v>524825</x:v>
      </x:c>
      <x:c r="P519" s="11" t="n">
        <x:v>1487319</x:v>
      </x:c>
      <x:c r="Q519" s="11" t="n">
        <x:v>64729</x:v>
      </x:c>
      <x:c r="R519" s="11" t="n">
        <x:v>1471611</x:v>
      </x:c>
      <x:c r="S519" s="11" t="n">
        <x:v>255771</x:v>
      </x:c>
      <x:c r="T519" s="11" t="n">
        <x:v>2404403</x:v>
      </x:c>
      <x:c r="U519" s="11" t="n">
        <x:v>1487145</x:v>
      </x:c>
      <x:c r="V519" s="11" t="n">
        <x:v>1700026</x:v>
      </x:c>
      <x:c r="W519" s="11" t="n">
        <x:v>1258634</x:v>
      </x:c>
      <x:c r="X519" s="11" t="n">
        <x:v>182769</x:v>
      </x:c>
      <x:c r="Y519" s="11" t="n">
        <x:v>0</x:v>
      </x:c>
      <x:c r="Z519" s="11" t="n">
        <x:v>20364</x:v>
      </x:c>
      <x:c r="AA519" s="11" t="n">
        <x:v>149895</x:v>
      </x:c>
      <x:c r="AB519" s="11" t="n">
        <x:v>9733</x:v>
      </x:c>
      <x:c r="AC519" s="11" t="n">
        <x:v>30097</x:v>
      </x:c>
      <x:c r="AD519" s="11" t="n">
        <x:v>333483</x:v>
      </x:c>
      <x:c r="AE519" s="11" t="n">
        <x:v>303386</x:v>
      </x:c>
      <x:c r="AF519" s="11" t="n">
        <x:v>1333930</x:v>
      </x:c>
      <x:c r="AG519" s="11" t="n">
        <x:v>12012603</x:v>
      </x:c>
      <x:c r="AH519" s="11" t="n">
        <x:v>3206886</x:v>
      </x:c>
      <x:c r="AI519" s="11" t="n">
        <x:v>8805717</x:v>
      </x:c>
      <x:c r="AJ519" s="11" t="n">
        <x:v>1026074</x:v>
      </x:c>
      <x:c r="AK519" s="11" t="n">
        <x:v>23350218</x:v>
      </x:c>
      <x:c r="AL519" s="11" t="n">
        <x:v>267176</x:v>
      </x:c>
      <x:c r="AM519" s="12" t="n">
        <x:v>0.9885578798450618</x:v>
      </x:c>
      <x:c r="AN519" s="12" t="n">
        <x:v>0.04394280173315727</x:v>
      </x:c>
      <x:c r="AO519" s="11" t="n">
        <x:v>1078963</x:v>
      </x:c>
      <x:c r="AP519" s="11" t="n">
        <x:v>1017246</x:v>
      </x:c>
      <x:c r="AQ519" s="12" t="n">
        <x:v>0.942799706755468</x:v>
      </x:c>
      <x:c r="AR519" s="11" t="n">
        <x:v>4843.113461538462</x:v>
      </x:c>
      <x:c r="AS519" s="11" t="n">
        <x:v>3340.605769230769</x:v>
      </x:c>
      <x:c r="AT519" s="11" t="n">
        <x:v>3269.2807692307692</x:v>
      </x:c>
      <x:c r="AU519" s="11" t="n">
        <x:v>2420.45</x:v>
      </x:c>
      <x:c r="AV519" s="11" t="n">
        <x:v>288.25961538461536</x:v>
      </x:c>
      <x:c r="AW519" s="11" t="n">
        <x:v>1.6167912342105175</x:v>
      </x:c>
      <x:c r="AX519" s="12" t="n">
        <x:v>0.9097495224644134</x:v>
      </x:c>
      <x:c r="AY519" s="11" t="n">
        <x:v>4648.097865362712</x:v>
      </x:c>
      <x:c r="AZ519" s="11" t="n">
        <x:v>3546.5079302077975</x:v>
      </x:c>
      <x:c r="BA519" s="11" t="n">
        <x:v>3428.422456291105</x:v>
      </x:c>
      <x:c r="BB519" s="11" t="n">
        <x:v>2783.665107049771</x:v>
      </x:c>
      <x:c r="BC519" s="11" t="n">
        <x:v>5030.364110900993</x:v>
      </x:c>
      <x:c r="BD519" s="11" t="n">
        <x:v>2437.8724475115623</x:v>
      </x:c>
      <x:c r="BE519" s="11" t="n">
        <x:v>2420.45</x:v>
      </x:c>
      <x:c r="BF519" s="11" t="n">
        <x:v>1604.3462673977224</x:v>
      </x:c>
      <x:c r="BG519" s="11" t="n">
        <x:v>224.31236112962716</x:v>
      </x:c>
      <x:c r="BH519" s="11" t="n">
        <x:v>518.5374381567245</x:v>
      </x:c>
      <x:c r="BI519" s="11" t="n">
        <x:v>2.204313821553219</x:v>
      </x:c>
      <x:c r="BJ519" s="11" t="n">
        <x:v>1.7099330852451193</x:v>
      </x:c>
      <x:c r="BK519" s="12" t="n">
        <x:v>0.030042455998363887</x:v>
      </x:c>
      <x:c r="BL519" s="12" t="n">
        <x:v>0.02529861000232605</x:v>
      </x:c>
      <x:c r="BM519" s="12" t="n">
        <x:v>0.9786113537119745</x:v>
      </x:c>
      <x:c r="BN519" s="12" t="n">
        <x:v>0.9815511712696461</x:v>
      </x:c>
      <x:c r="BO519" s="12" t="n">
        <x:v>0.9039920521842442</x:v>
      </x:c>
      <x:c r="BP519" s="12" t="n">
        <x:v>0.8619101997275483</x:v>
      </x:c>
      <x:c r="BQ519" s="12" t="n">
        <x:v>0.9333160528846489</x:v>
      </x:c>
      <x:c r="BR519" s="12" t="n">
        <x:v>0.9623635142836453</x:v>
      </x:c>
      <x:c r="BS519" s="12" t="n">
        <x:v>0.20869205825466772</x:v>
      </x:c>
      <x:c r="BT519" s="12" t="n">
        <x:v>0.19976549769108282</x:v>
      </x:c>
      <x:c r="BU519" s="11" t="n">
        <x:v>127692</x:v>
      </x:c>
      <x:c r="BV519" s="11" t="n">
        <x:v>1069444</x:v>
      </x:c>
      <x:c r="BW519" s="11" t="n">
        <x:v>290183</x:v>
      </x:c>
      <x:c r="BX519" s="11" t="n">
        <x:v>24069</x:v>
      </x:c>
      <x:c r="BY519" s="11" t="n">
        <x:v>0</x:v>
      </x:c>
      <x:c r="BZ519" s="11" t="n">
        <x:v>0</x:v>
      </x:c>
      <x:c r="CA519" s="11" t="n">
        <x:v>40660</x:v>
      </x:c>
      <x:c r="CB519" s="11" t="n">
        <x:v>0</x:v>
      </x:c>
      <x:c r="CC519" s="11" t="n">
        <x:v>436662</x:v>
      </x:c>
      <x:c r="CD519" s="11" t="n">
        <x:v>202207</x:v>
      </x:c>
      <x:c r="CE519" s="11" t="n">
        <x:v>91753</x:v>
      </x:c>
      <x:c r="CF519" s="11" t="n">
        <x:v>22301</x:v>
      </x:c>
      <x:c r="CG519" s="11" t="n">
        <x:v>0</x:v>
      </x:c>
      <x:c r="CH519" s="11" t="n">
        <x:v>231779</x:v>
      </x:c>
      <x:c r="CI519" s="11" t="n">
        <x:v>333475</x:v>
      </x:c>
      <x:c r="CJ519" s="11" t="n">
        <x:v>159725</x:v>
      </x:c>
      <x:c r="CK519" s="11" t="n">
        <x:v>0</x:v>
      </x:c>
      <x:c r="CL519" s="11" t="n">
        <x:v>0</x:v>
      </x:c>
      <x:c r="CM519" s="11" t="n">
        <x:v>3442</x:v>
      </x:c>
      <x:c r="CN519" s="11" t="n">
        <x:v>0</x:v>
      </x:c>
      <x:c r="CO519" s="11" t="n">
        <x:v>0</x:v>
      </x:c>
      <x:c r="CP519" s="8"/>
      <x:c r="CQ519" s="8"/>
    </x:row>
    <x:row r="520">
      <x:c r="A520" s="8" t="str">
        <x:v>New Hazelton|2019</x:v>
      </x:c>
      <x:c r="B520" s="8" t="str">
        <x:v>new-hazelton-d</x:v>
      </x:c>
      <x:c r="C520" s="8" t="str">
        <x:v>New Hazelton</x:v>
      </x:c>
      <x:c r="D520" s="8" t="str">
        <x:v>New Hazelton</x:v>
      </x:c>
      <x:c r="E520" s="8" t="str">
        <x:v>D</x:v>
      </x:c>
      <x:c r="F520" s="8" t="str">
        <x:v>KIT</x:v>
      </x:c>
      <x:c r="G520" s="9" t="n">
        <x:v>2019</x:v>
      </x:c>
      <x:c r="H520" s="10" t="n">
        <x:v>604</x:v>
      </x:c>
      <x:c r="I520" s="8" t="str">
        <x:v>Under 5,000</x:v>
      </x:c>
      <x:c r="J520" s="11" t="n">
        <x:v>5253549</x:v>
      </x:c>
      <x:c r="K520" s="11" t="n">
        <x:v>2557712</x:v>
      </x:c>
      <x:c r="L520" s="11" t="n">
        <x:v>2695837</x:v>
      </x:c>
      <x:c r="M520" s="12" t="n">
        <x:v>0.5131458752930638</x:v>
      </x:c>
      <x:c r="N520" s="11" t="n">
        <x:v>626282</x:v>
      </x:c>
      <x:c r="O520" s="11" t="n">
        <x:v>752571</x:v>
      </x:c>
      <x:c r="P520" s="11" t="n">
        <x:v>3780663</x:v>
      </x:c>
      <x:c r="Q520" s="11" t="n">
        <x:v>94033</x:v>
      </x:c>
      <x:c r="R520" s="11" t="n">
        <x:v>2118464</x:v>
      </x:c>
      <x:c r="S520" s="11" t="n">
        <x:v>439248</x:v>
      </x:c>
      <x:c r="T520" s="11" t="n">
        <x:v>3526708</x:v>
      </x:c>
      <x:c r="U520" s="11" t="n">
        <x:v>243901</x:v>
      </x:c>
      <x:c r="V520" s="11" t="n">
        <x:v>3580098</x:v>
      </x:c>
      <x:c r="W520" s="11" t="n">
        <x:v>2343187</x:v>
      </x:c>
      <x:c r="X520" s="11" t="n">
        <x:v>0</x:v>
      </x:c>
      <x:c r="Y520" s="11" t="n">
        <x:v>0</x:v>
      </x:c>
      <x:c r="Z520" s="11" t="n">
        <x:v>0</x:v>
      </x:c>
      <x:c r="AA520" s="11" t="n">
        <x:v>0</x:v>
      </x:c>
      <x:c r="AB520" s="11" t="n">
        <x:v>0</x:v>
      </x:c>
      <x:c r="AC520" s="11" t="n">
        <x:v>0</x:v>
      </x:c>
      <x:c r="AD520" s="11" t="n">
        <x:v>479347</x:v>
      </x:c>
      <x:c r="AE520" s="11" t="n">
        <x:v>479347</x:v>
      </x:c>
      <x:c r="AF520" s="11" t="n">
        <x:v>1917387</x:v>
      </x:c>
      <x:c r="AG520" s="11" t="n">
        <x:v>17197513</x:v>
      </x:c>
      <x:c r="AH520" s="11" t="n">
        <x:v>7107372</x:v>
      </x:c>
      <x:c r="AI520" s="11" t="n">
        <x:v>10090141</x:v>
      </x:c>
      <x:c r="AJ520" s="11" t="n">
        <x:v>1536368</x:v>
      </x:c>
      <x:c r="AK520" s="11" t="n">
        <x:v>683707</x:v>
      </x:c>
      <x:c r="AL520" s="11" t="n">
        <x:v>0</x:v>
      </x:c>
      <x:c r="AM520" s="12" t="n">
        <x:v>1</x:v>
      </x:c>
      <x:c r="AN520" s="12" t="n">
        <x:v>2.24711462658712</x:v>
      </x:c>
      <x:c r="AO520" s="11" t="n">
        <x:v>1037087</x:v>
      </x:c>
      <x:c r="AP520" s="11" t="n">
        <x:v>1001185</x:v>
      </x:c>
      <x:c r="AQ520" s="12" t="n">
        <x:v>0.9653818821371785</x:v>
      </x:c>
      <x:c r="AR520" s="11" t="n">
        <x:v>8697.92880794702</x:v>
      </x:c>
      <x:c r="AS520" s="11" t="n">
        <x:v>4234.622516556291</x:v>
      </x:c>
      <x:c r="AT520" s="11" t="n">
        <x:v>5927.314569536424</x:v>
      </x:c>
      <x:c r="AU520" s="11" t="n">
        <x:v>3879.448675496689</x:v>
      </x:c>
      <x:c r="AV520" s="11" t="n">
        <x:v>0</x:v>
      </x:c>
      <x:c r="AW520" s="11" t="n">
        <x:v>14.459588111569857</x:v>
      </x:c>
      <x:c r="AX520" s="12" t="n">
        <x:v>1</x:v>
      </x:c>
      <x:c r="AY520" s="11"/>
      <x:c r="AZ520" s="11"/>
      <x:c r="BA520" s="11"/>
      <x:c r="BB520" s="11"/>
      <x:c r="BC520" s="11"/>
      <x:c r="BD520" s="11"/>
      <x:c r="BE520" s="11"/>
      <x:c r="BF520" s="11"/>
      <x:c r="BG520" s="11"/>
      <x:c r="BH520" s="11"/>
      <x:c r="BI520" s="11"/>
      <x:c r="BJ520" s="11"/>
      <x:c r="BK520" s="12"/>
      <x:c r="BL520" s="12"/>
      <x:c r="BM520" s="12"/>
      <x:c r="BN520" s="12"/>
      <x:c r="BO520" s="12"/>
      <x:c r="BP520" s="12"/>
      <x:c r="BQ520" s="12"/>
      <x:c r="BR520" s="12"/>
      <x:c r="BS520" s="12"/>
      <x:c r="BT520" s="12"/>
      <x:c r="BU520" s="11" t="n">
        <x:v>0</x:v>
      </x:c>
      <x:c r="BV520" s="11" t="n">
        <x:v>3772657</x:v>
      </x:c>
      <x:c r="BW520" s="11" t="n">
        <x:v>8006</x:v>
      </x:c>
      <x:c r="BX520" s="11" t="n">
        <x:v>74023</x:v>
      </x:c>
      <x:c r="BY520" s="11" t="n">
        <x:v>0</x:v>
      </x:c>
      <x:c r="BZ520" s="11" t="n">
        <x:v>0</x:v>
      </x:c>
      <x:c r="CA520" s="11" t="n">
        <x:v>20010</x:v>
      </x:c>
      <x:c r="CB520" s="11" t="n">
        <x:v>0</x:v>
      </x:c>
      <x:c r="CC520" s="11" t="n">
        <x:v>638727</x:v>
      </x:c>
      <x:c r="CD520" s="11" t="n">
        <x:v>61667</x:v>
      </x:c>
      <x:c r="CE520" s="11" t="n">
        <x:v>84397</x:v>
      </x:c>
      <x:c r="CF520" s="11" t="n">
        <x:v>0</x:v>
      </x:c>
      <x:c r="CG520" s="11" t="n">
        <x:v>452500</x:v>
      </x:c>
      <x:c r="CH520" s="11" t="n">
        <x:v>583193</x:v>
      </x:c>
      <x:c r="CI520" s="11" t="n">
        <x:v>26978</x:v>
      </x:c>
      <x:c r="CJ520" s="11" t="n">
        <x:v>191626</x:v>
      </x:c>
      <x:c r="CK520" s="11" t="n">
        <x:v>79376</x:v>
      </x:c>
      <x:c r="CL520" s="11" t="n">
        <x:v>0</x:v>
      </x:c>
      <x:c r="CM520" s="11"/>
      <x:c r="CN520" s="11" t="n">
        <x:v>0</x:v>
      </x:c>
      <x:c r="CO520" s="11" t="n">
        <x:v>0</x:v>
      </x:c>
      <x:c r="CP520" s="8"/>
      <x:c r="CQ520" s="8"/>
    </x:row>
    <x:row r="521">
      <x:c r="A521" s="8" t="str">
        <x:v>New Hazelton|2020</x:v>
      </x:c>
      <x:c r="B521" s="8" t="str">
        <x:v>new-hazelton-d</x:v>
      </x:c>
      <x:c r="C521" s="8" t="str">
        <x:v>New Hazelton</x:v>
      </x:c>
      <x:c r="D521" s="8" t="str">
        <x:v>New Hazelton</x:v>
      </x:c>
      <x:c r="E521" s="8" t="str">
        <x:v>D</x:v>
      </x:c>
      <x:c r="F521" s="8" t="str">
        <x:v>KIT</x:v>
      </x:c>
      <x:c r="G521" s="9" t="n">
        <x:v>2020</x:v>
      </x:c>
      <x:c r="H521" s="10" t="n">
        <x:v>612</x:v>
      </x:c>
      <x:c r="I521" s="8" t="str">
        <x:v>Under 5,000</x:v>
      </x:c>
      <x:c r="J521" s="11" t="n">
        <x:v>3126108</x:v>
      </x:c>
      <x:c r="K521" s="11" t="n">
        <x:v>2526112</x:v>
      </x:c>
      <x:c r="L521" s="11" t="n">
        <x:v>599996</x:v>
      </x:c>
      <x:c r="M521" s="12" t="n">
        <x:v>0.1919306690619774</x:v>
      </x:c>
      <x:c r="N521" s="11" t="n">
        <x:v>635342</x:v>
      </x:c>
      <x:c r="O521" s="11" t="n">
        <x:v>871824</x:v>
      </x:c>
      <x:c r="P521" s="11" t="n">
        <x:v>1586875</x:v>
      </x:c>
      <x:c r="Q521" s="11" t="n">
        <x:v>32067</x:v>
      </x:c>
      <x:c r="R521" s="11" t="n">
        <x:v>2083486</x:v>
      </x:c>
      <x:c r="S521" s="11" t="n">
        <x:v>442626</x:v>
      </x:c>
      <x:c r="T521" s="11" t="n">
        <x:v>4258810</x:v>
      </x:c>
      <x:c r="U521" s="11" t="n">
        <x:v>91913</x:v>
      </x:c>
      <x:c r="V521" s="11" t="n">
        <x:v>4432273</x:v>
      </x:c>
      <x:c r="W521" s="11" t="n">
        <x:v>3048188</x:v>
      </x:c>
      <x:c r="X521" s="11" t="n">
        <x:v>0</x:v>
      </x:c>
      <x:c r="Y521" s="11" t="n">
        <x:v>0</x:v>
      </x:c>
      <x:c r="Z521" s="11" t="n">
        <x:v>0</x:v>
      </x:c>
      <x:c r="AA521" s="11" t="n">
        <x:v>0</x:v>
      </x:c>
      <x:c r="AB521" s="11" t="n">
        <x:v>0</x:v>
      </x:c>
      <x:c r="AC521" s="11" t="n">
        <x:v>0</x:v>
      </x:c>
      <x:c r="AD521" s="11" t="n">
        <x:v>506414</x:v>
      </x:c>
      <x:c r="AE521" s="11" t="n">
        <x:v>506414</x:v>
      </x:c>
      <x:c r="AF521" s="11" t="n">
        <x:v>2025655</x:v>
      </x:c>
      <x:c r="AG521" s="11" t="n">
        <x:v>17100970</x:v>
      </x:c>
      <x:c r="AH521" s="11" t="n">
        <x:v>7296611</x:v>
      </x:c>
      <x:c r="AI521" s="11" t="n">
        <x:v>9804359</x:v>
      </x:c>
      <x:c r="AJ521" s="11" t="n">
        <x:v>413623</x:v>
      </x:c>
      <x:c r="AK521" s="11" t="n">
        <x:v>643281</x:v>
      </x:c>
      <x:c r="AL521" s="11" t="n">
        <x:v>0</x:v>
      </x:c>
      <x:c r="AM521" s="12" t="n">
        <x:v>1</x:v>
      </x:c>
      <x:c r="AN521" s="12" t="n">
        <x:v>0.6429896110719887</x:v>
      </x:c>
      <x:c r="AO521" s="11" t="n">
        <x:v>1025549</x:v>
      </x:c>
      <x:c r="AP521" s="11" t="n">
        <x:v>995389</x:v>
      </x:c>
      <x:c r="AQ521" s="12" t="n">
        <x:v>0.9705913613098935</x:v>
      </x:c>
      <x:c r="AR521" s="11" t="n">
        <x:v>5108.019607843137</x:v>
      </x:c>
      <x:c r="AS521" s="11" t="n">
        <x:v>4127.633986928105</x:v>
      </x:c>
      <x:c r="AT521" s="11" t="n">
        <x:v>7242.276143790849</x:v>
      </x:c>
      <x:c r="AU521" s="11" t="n">
        <x:v>4980.699346405228</x:v>
      </x:c>
      <x:c r="AV521" s="11" t="n">
        <x:v>0</x:v>
      </x:c>
      <x:c r="AW521" s="11" t="n">
        <x:v>46.33523005450807</x:v>
      </x:c>
      <x:c r="AX521" s="12" t="n">
        <x:v>1</x:v>
      </x:c>
      <x:c r="AY521" s="11"/>
      <x:c r="AZ521" s="11"/>
      <x:c r="BA521" s="11"/>
      <x:c r="BB521" s="11"/>
      <x:c r="BC521" s="11"/>
      <x:c r="BD521" s="11"/>
      <x:c r="BE521" s="11"/>
      <x:c r="BF521" s="11"/>
      <x:c r="BG521" s="11"/>
      <x:c r="BH521" s="11"/>
      <x:c r="BI521" s="11"/>
      <x:c r="BJ521" s="11"/>
      <x:c r="BK521" s="12"/>
      <x:c r="BL521" s="12"/>
      <x:c r="BM521" s="12"/>
      <x:c r="BN521" s="12"/>
      <x:c r="BO521" s="12"/>
      <x:c r="BP521" s="12"/>
      <x:c r="BQ521" s="12"/>
      <x:c r="BR521" s="12"/>
      <x:c r="BS521" s="12"/>
      <x:c r="BT521" s="12"/>
      <x:c r="BU521" s="11" t="n">
        <x:v>0</x:v>
      </x:c>
      <x:c r="BV521" s="11" t="n">
        <x:v>1514436</x:v>
      </x:c>
      <x:c r="BW521" s="11" t="n">
        <x:v>72439</x:v>
      </x:c>
      <x:c r="BX521" s="11" t="n">
        <x:v>32067</x:v>
      </x:c>
      <x:c r="BY521" s="11" t="n">
        <x:v>0</x:v>
      </x:c>
      <x:c r="BZ521" s="11" t="n">
        <x:v>0</x:v>
      </x:c>
      <x:c r="CA521" s="11" t="n">
        <x:v>0</x:v>
      </x:c>
      <x:c r="CB521" s="11" t="n">
        <x:v>0</x:v>
      </x:c>
      <x:c r="CC521" s="11" t="n">
        <x:v>769251</x:v>
      </x:c>
      <x:c r="CD521" s="11" t="n">
        <x:v>124831</x:v>
      </x:c>
      <x:c r="CE521" s="11" t="n">
        <x:v>91594</x:v>
      </x:c>
      <x:c r="CF521" s="11" t="n">
        <x:v>0</x:v>
      </x:c>
      <x:c r="CG521" s="11" t="n">
        <x:v>52500</x:v>
      </x:c>
      <x:c r="CH521" s="11" t="n">
        <x:v>611271</x:v>
      </x:c>
      <x:c r="CI521" s="11" t="n">
        <x:v>17203</x:v>
      </x:c>
      <x:c r="CJ521" s="11" t="n">
        <x:v>137152</x:v>
      </x:c>
      <x:c r="CK521" s="11" t="n">
        <x:v>70324</x:v>
      </x:c>
      <x:c r="CL521" s="11" t="n">
        <x:v>0</x:v>
      </x:c>
      <x:c r="CM521" s="11"/>
      <x:c r="CN521" s="11" t="n">
        <x:v>209360</x:v>
      </x:c>
      <x:c r="CO521" s="11" t="n">
        <x:v>0</x:v>
      </x:c>
      <x:c r="CP521" s="8"/>
      <x:c r="CQ521" s="8"/>
    </x:row>
    <x:row r="522">
      <x:c r="A522" s="8" t="str">
        <x:v>New Hazelton|2021</x:v>
      </x:c>
      <x:c r="B522" s="8" t="str">
        <x:v>new-hazelton-d</x:v>
      </x:c>
      <x:c r="C522" s="8" t="str">
        <x:v>New Hazelton</x:v>
      </x:c>
      <x:c r="D522" s="8" t="str">
        <x:v>New Hazelton</x:v>
      </x:c>
      <x:c r="E522" s="8" t="str">
        <x:v>D</x:v>
      </x:c>
      <x:c r="F522" s="8" t="str">
        <x:v>KIT</x:v>
      </x:c>
      <x:c r="G522" s="9" t="n">
        <x:v>2021</x:v>
      </x:c>
      <x:c r="H522" s="10" t="n">
        <x:v>622</x:v>
      </x:c>
      <x:c r="I522" s="8" t="str">
        <x:v>Under 5,000</x:v>
      </x:c>
      <x:c r="J522" s="11" t="n">
        <x:v>2705482</x:v>
      </x:c>
      <x:c r="K522" s="11" t="n">
        <x:v>2156358</x:v>
      </x:c>
      <x:c r="L522" s="11" t="n">
        <x:v>549124</x:v>
      </x:c>
      <x:c r="M522" s="12" t="n">
        <x:v>0.20296716074991444</x:v>
      </x:c>
      <x:c r="N522" s="11" t="n">
        <x:v>643570</x:v>
      </x:c>
      <x:c r="O522" s="11" t="n">
        <x:v>826563</x:v>
      </x:c>
      <x:c r="P522" s="11" t="n">
        <x:v>741503</x:v>
      </x:c>
      <x:c r="Q522" s="11" t="n">
        <x:v>493846</x:v>
      </x:c>
      <x:c r="R522" s="11" t="n">
        <x:v>1665123</x:v>
      </x:c>
      <x:c r="S522" s="11" t="n">
        <x:v>491235</x:v>
      </x:c>
      <x:c r="T522" s="11" t="n">
        <x:v>2838307</x:v>
      </x:c>
      <x:c r="U522" s="11" t="n">
        <x:v>350651</x:v>
      </x:c>
      <x:c r="V522" s="11" t="n">
        <x:v>2906009</x:v>
      </x:c>
      <x:c r="W522" s="11" t="n">
        <x:v>601522</x:v>
      </x:c>
      <x:c r="X522" s="11" t="n">
        <x:v>0</x:v>
      </x:c>
      <x:c r="Y522" s="11" t="n">
        <x:v>0</x:v>
      </x:c>
      <x:c r="Z522" s="11" t="n">
        <x:v>0</x:v>
      </x:c>
      <x:c r="AA522" s="11" t="n">
        <x:v>0</x:v>
      </x:c>
      <x:c r="AB522" s="11" t="n">
        <x:v>0</x:v>
      </x:c>
      <x:c r="AC522" s="11" t="n">
        <x:v>0</x:v>
      </x:c>
      <x:c r="AD522" s="11" t="n">
        <x:v>492387</x:v>
      </x:c>
      <x:c r="AE522" s="11" t="n">
        <x:v>492387</x:v>
      </x:c>
      <x:c r="AF522" s="11" t="n">
        <x:v>1969549</x:v>
      </x:c>
      <x:c r="AG522" s="11" t="n">
        <x:v>19603242</x:v>
      </x:c>
      <x:c r="AH522" s="11" t="n">
        <x:v>7727448</x:v>
      </x:c>
      <x:c r="AI522" s="11" t="n">
        <x:v>11875794</x:v>
      </x:c>
      <x:c r="AJ522" s="11" t="n">
        <x:v>2613674</x:v>
      </x:c>
      <x:c r="AK522" s="11" t="n">
        <x:v>11875795</x:v>
      </x:c>
      <x:c r="AL522" s="11" t="n">
        <x:v>0</x:v>
      </x:c>
      <x:c r="AM522" s="12" t="n">
        <x:v>1</x:v>
      </x:c>
      <x:c r="AN522" s="12" t="n">
        <x:v>0.22008412910461994</x:v>
      </x:c>
      <x:c r="AO522" s="11" t="n">
        <x:v>1068035</x:v>
      </x:c>
      <x:c r="AP522" s="11" t="n">
        <x:v>1035073</x:v>
      </x:c>
      <x:c r="AQ522" s="12" t="n">
        <x:v>0.9691377155243039</x:v>
      </x:c>
      <x:c r="AR522" s="11" t="n">
        <x:v>4349.6495176848875</x:v>
      </x:c>
      <x:c r="AS522" s="11" t="n">
        <x:v>3466.813504823151</x:v>
      </x:c>
      <x:c r="AT522" s="11" t="n">
        <x:v>4672.040192926045</x:v>
      </x:c>
      <x:c r="AU522" s="11" t="n">
        <x:v>967.0771704180064</x:v>
      </x:c>
      <x:c r="AV522" s="11" t="n">
        <x:v>0</x:v>
      </x:c>
      <x:c r="AW522" s="11" t="n">
        <x:v>8.094393000447738</x:v>
      </x:c>
      <x:c r="AX522" s="12" t="n">
        <x:v>1</x:v>
      </x:c>
      <x:c r="AY522" s="11"/>
      <x:c r="AZ522" s="11"/>
      <x:c r="BA522" s="11"/>
      <x:c r="BB522" s="11"/>
      <x:c r="BC522" s="11"/>
      <x:c r="BD522" s="11"/>
      <x:c r="BE522" s="11"/>
      <x:c r="BF522" s="11"/>
      <x:c r="BG522" s="11"/>
      <x:c r="BH522" s="11"/>
      <x:c r="BI522" s="11"/>
      <x:c r="BJ522" s="11"/>
      <x:c r="BK522" s="12"/>
      <x:c r="BL522" s="12"/>
      <x:c r="BM522" s="12"/>
      <x:c r="BN522" s="12"/>
      <x:c r="BO522" s="12"/>
      <x:c r="BP522" s="12"/>
      <x:c r="BQ522" s="12"/>
      <x:c r="BR522" s="12"/>
      <x:c r="BS522" s="12"/>
      <x:c r="BT522" s="12"/>
      <x:c r="BU522" s="11" t="n">
        <x:v>40000</x:v>
      </x:c>
      <x:c r="BV522" s="11" t="n">
        <x:v>609138</x:v>
      </x:c>
      <x:c r="BW522" s="11" t="n">
        <x:v>92365</x:v>
      </x:c>
      <x:c r="BX522" s="11" t="n">
        <x:v>17808</x:v>
      </x:c>
      <x:c r="BY522" s="11" t="n">
        <x:v>0</x:v>
      </x:c>
      <x:c r="BZ522" s="11" t="n">
        <x:v>0</x:v>
      </x:c>
      <x:c r="CA522" s="11" t="n">
        <x:v>476038</x:v>
      </x:c>
      <x:c r="CB522" s="11" t="n">
        <x:v>0</x:v>
      </x:c>
      <x:c r="CC522" s="11" t="n">
        <x:v>712654</x:v>
      </x:c>
      <x:c r="CD522" s="11" t="n">
        <x:v>132047</x:v>
      </x:c>
      <x:c r="CE522" s="11" t="n">
        <x:v>91888</x:v>
      </x:c>
      <x:c r="CF522" s="11" t="n">
        <x:v>0</x:v>
      </x:c>
      <x:c r="CG522" s="11" t="n">
        <x:v>52500</x:v>
      </x:c>
      <x:c r="CH522" s="11" t="n">
        <x:v>594591</x:v>
      </x:c>
      <x:c r="CI522" s="11" t="n">
        <x:v>7858</x:v>
      </x:c>
      <x:c r="CJ522" s="11" t="n">
        <x:v>25024</x:v>
      </x:c>
      <x:c r="CK522" s="11" t="n">
        <x:v>48561</x:v>
      </x:c>
      <x:c r="CL522" s="11" t="n">
        <x:v>0</x:v>
      </x:c>
      <x:c r="CM522" s="11"/>
      <x:c r="CN522" s="11" t="n">
        <x:v>0</x:v>
      </x:c>
      <x:c r="CO522" s="11" t="n">
        <x:v>0</x:v>
      </x:c>
      <x:c r="CP522" s="8"/>
      <x:c r="CQ522" s="8"/>
    </x:row>
    <x:row r="523">
      <x:c r="A523" s="8" t="str">
        <x:v>New Hazelton|2022</x:v>
      </x:c>
      <x:c r="B523" s="8" t="str">
        <x:v>new-hazelton-d</x:v>
      </x:c>
      <x:c r="C523" s="8" t="str">
        <x:v>New Hazelton</x:v>
      </x:c>
      <x:c r="D523" s="8" t="str">
        <x:v>New Hazelton</x:v>
      </x:c>
      <x:c r="E523" s="8" t="str">
        <x:v>D</x:v>
      </x:c>
      <x:c r="F523" s="8" t="str">
        <x:v>KIT</x:v>
      </x:c>
      <x:c r="G523" s="9" t="n">
        <x:v>2022</x:v>
      </x:c>
      <x:c r="H523" s="10" t="n">
        <x:v>85708</x:v>
      </x:c>
      <x:c r="I523" s="8" t="str">
        <x:v>20,000 to 99,999</x:v>
      </x:c>
      <x:c r="J523" s="11" t="n">
        <x:v>2243142</x:v>
      </x:c>
      <x:c r="K523" s="11" t="n">
        <x:v>2296894</x:v>
      </x:c>
      <x:c r="L523" s="11" t="n">
        <x:v>-53752</x:v>
      </x:c>
      <x:c r="M523" s="12" t="n">
        <x:v>-0.02396281644229389</x:v>
      </x:c>
      <x:c r="N523" s="11" t="n">
        <x:v>657528</x:v>
      </x:c>
      <x:c r="O523" s="11" t="n">
        <x:v>794730</x:v>
      </x:c>
      <x:c r="P523" s="11" t="n">
        <x:v>730618</x:v>
      </x:c>
      <x:c r="Q523" s="11" t="n">
        <x:v>60266</x:v>
      </x:c>
      <x:c r="R523" s="11" t="n">
        <x:v>1776886</x:v>
      </x:c>
      <x:c r="S523" s="11" t="n">
        <x:v>513074</x:v>
      </x:c>
      <x:c r="T523" s="11" t="n">
        <x:v>2786958</x:v>
      </x:c>
      <x:c r="U523" s="11" t="n">
        <x:v>310130</x:v>
      </x:c>
      <x:c r="V523" s="11" t="n">
        <x:v>2794776</x:v>
      </x:c>
      <x:c r="W523" s="11" t="n">
        <x:v>332878</x:v>
      </x:c>
      <x:c r="X523" s="11" t="n">
        <x:v>0</x:v>
      </x:c>
      <x:c r="Y523" s="11" t="n">
        <x:v>0</x:v>
      </x:c>
      <x:c r="Z523" s="11" t="n">
        <x:v>0</x:v>
      </x:c>
      <x:c r="AA523" s="11" t="n">
        <x:v>0</x:v>
      </x:c>
      <x:c r="AB523" s="11" t="n">
        <x:v>6934</x:v>
      </x:c>
      <x:c r="AC523" s="11" t="n">
        <x:v>6934</x:v>
      </x:c>
      <x:c r="AD523" s="11" t="n">
        <x:v>525881</x:v>
      </x:c>
      <x:c r="AE523" s="11" t="n">
        <x:v>518947</x:v>
      </x:c>
      <x:c r="AF523" s="11" t="n">
        <x:v>2103524</x:v>
      </x:c>
      <x:c r="AG523" s="11" t="n">
        <x:v>20170121</x:v>
      </x:c>
      <x:c r="AH523" s="11" t="n">
        <x:v>8240324</x:v>
      </x:c>
      <x:c r="AI523" s="11" t="n">
        <x:v>11929797</x:v>
      </x:c>
      <x:c r="AJ523" s="11" t="n">
        <x:v>567078</x:v>
      </x:c>
      <x:c r="AK523" s="11" t="n">
        <x:v>11929998</x:v>
      </x:c>
      <x:c r="AL523" s="11" t="n">
        <x:v>0</x:v>
      </x:c>
      <x:c r="AM523" s="12" t="n">
        <x:v>1</x:v>
      </x:c>
      <x:c r="AN523" s="12" t="n">
        <x:v>0.04753378835436519</x:v>
      </x:c>
      <x:c r="AO523" s="11" t="n">
        <x:v>1092992</x:v>
      </x:c>
      <x:c r="AP523" s="11" t="n">
        <x:v>1018494</x:v>
      </x:c>
      <x:c r="AQ523" s="12" t="n">
        <x:v>0.9318403062419487</x:v>
      </x:c>
      <x:c r="AR523" s="11" t="n">
        <x:v>26.171909273346714</x:v>
      </x:c>
      <x:c r="AS523" s="11" t="n">
        <x:v>26.79906193120829</x:v>
      </x:c>
      <x:c r="AT523" s="11" t="n">
        <x:v>32.60811126149251</x:v>
      </x:c>
      <x:c r="AU523" s="11" t="n">
        <x:v>3.883861483175433</x:v>
      </x:c>
      <x:c r="AV523" s="11" t="n">
        <x:v>0</x:v>
      </x:c>
      <x:c r="AW523" s="11" t="n">
        <x:v>8.986418598652179</x:v>
      </x:c>
      <x:c r="AX523" s="12" t="n">
        <x:v>0.9868145074646165</x:v>
      </x:c>
      <x:c r="AY523" s="11"/>
      <x:c r="AZ523" s="11"/>
      <x:c r="BA523" s="11"/>
      <x:c r="BB523" s="11"/>
      <x:c r="BC523" s="11"/>
      <x:c r="BD523" s="11"/>
      <x:c r="BE523" s="11"/>
      <x:c r="BF523" s="11"/>
      <x:c r="BG523" s="11"/>
      <x:c r="BH523" s="11"/>
      <x:c r="BI523" s="11"/>
      <x:c r="BJ523" s="11"/>
      <x:c r="BK523" s="12"/>
      <x:c r="BL523" s="12"/>
      <x:c r="BM523" s="12"/>
      <x:c r="BN523" s="12"/>
      <x:c r="BO523" s="12"/>
      <x:c r="BP523" s="12"/>
      <x:c r="BQ523" s="12"/>
      <x:c r="BR523" s="12"/>
      <x:c r="BS523" s="12"/>
      <x:c r="BT523" s="12"/>
      <x:c r="BU523" s="11" t="n">
        <x:v>2192</x:v>
      </x:c>
      <x:c r="BV523" s="11" t="n">
        <x:v>681746</x:v>
      </x:c>
      <x:c r="BW523" s="11" t="n">
        <x:v>46680</x:v>
      </x:c>
      <x:c r="BX523" s="11" t="n">
        <x:v>60266</x:v>
      </x:c>
      <x:c r="BY523" s="11" t="n">
        <x:v>0</x:v>
      </x:c>
      <x:c r="BZ523" s="11" t="n">
        <x:v>0</x:v>
      </x:c>
      <x:c r="CA523" s="11" t="n">
        <x:v>0</x:v>
      </x:c>
      <x:c r="CB523" s="11" t="n">
        <x:v>0</x:v>
      </x:c>
      <x:c r="CC523" s="11" t="n">
        <x:v>785190</x:v>
      </x:c>
      <x:c r="CD523" s="11" t="n">
        <x:v>98649</x:v>
      </x:c>
      <x:c r="CE523" s="11" t="n">
        <x:v>92663</x:v>
      </x:c>
      <x:c r="CF523" s="11" t="n">
        <x:v>0</x:v>
      </x:c>
      <x:c r="CG523" s="11" t="n">
        <x:v>52500</x:v>
      </x:c>
      <x:c r="CH523" s="11" t="n">
        <x:v>531893</x:v>
      </x:c>
      <x:c r="CI523" s="11" t="n">
        <x:v>42765</x:v>
      </x:c>
      <x:c r="CJ523" s="11" t="n">
        <x:v>129720</x:v>
      </x:c>
      <x:c r="CK523" s="11" t="n">
        <x:v>50440</x:v>
      </x:c>
      <x:c r="CL523" s="11" t="n">
        <x:v>0</x:v>
      </x:c>
      <x:c r="CM523" s="11"/>
      <x:c r="CN523" s="11" t="n">
        <x:v>0</x:v>
      </x:c>
      <x:c r="CO523" s="11" t="n">
        <x:v>0</x:v>
      </x:c>
      <x:c r="CP523" s="8"/>
      <x:c r="CQ523" s="8"/>
    </x:row>
    <x:row r="524">
      <x:c r="A524" s="8" t="str">
        <x:v>New Hazelton|2023</x:v>
      </x:c>
      <x:c r="B524" s="8" t="str">
        <x:v>new-hazelton-d</x:v>
      </x:c>
      <x:c r="C524" s="8" t="str">
        <x:v>New Hazelton</x:v>
      </x:c>
      <x:c r="D524" s="8" t="str">
        <x:v>New Hazelton</x:v>
      </x:c>
      <x:c r="E524" s="8" t="str">
        <x:v>D</x:v>
      </x:c>
      <x:c r="F524" s="8" t="str">
        <x:v>KIT</x:v>
      </x:c>
      <x:c r="G524" s="9" t="n">
        <x:v>2023</x:v>
      </x:c>
      <x:c r="H524" s="10" t="n">
        <x:v>667</x:v>
      </x:c>
      <x:c r="I524" s="8" t="str">
        <x:v>Under 5,000</x:v>
      </x:c>
      <x:c r="J524" s="11" t="n">
        <x:v>2995093</x:v>
      </x:c>
      <x:c r="K524" s="11" t="n">
        <x:v>2480177</x:v>
      </x:c>
      <x:c r="L524" s="11" t="n">
        <x:v>514916</x:v>
      </x:c>
      <x:c r="M524" s="12" t="n">
        <x:v>0.17191987026780137</x:v>
      </x:c>
      <x:c r="N524" s="11" t="n">
        <x:v>676009</x:v>
      </x:c>
      <x:c r="O524" s="11" t="n">
        <x:v>867775</x:v>
      </x:c>
      <x:c r="P524" s="11" t="n">
        <x:v>1343119</x:v>
      </x:c>
      <x:c r="Q524" s="11" t="n">
        <x:v>108190</x:v>
      </x:c>
      <x:c r="R524" s="11" t="n">
        <x:v>1962156</x:v>
      </x:c>
      <x:c r="S524" s="11" t="n">
        <x:v>518021</x:v>
      </x:c>
      <x:c r="T524" s="11" t="n">
        <x:v>3646749</x:v>
      </x:c>
      <x:c r="U524" s="11" t="n">
        <x:v>416579</x:v>
      </x:c>
      <x:c r="V524" s="11" t="n">
        <x:v>3489587</x:v>
      </x:c>
      <x:c r="W524" s="11" t="n">
        <x:v>359722</x:v>
      </x:c>
      <x:c r="X524" s="11" t="n">
        <x:v>0</x:v>
      </x:c>
      <x:c r="Y524" s="11" t="n">
        <x:v>0</x:v>
      </x:c>
      <x:c r="Z524" s="11" t="n">
        <x:v>0</x:v>
      </x:c>
      <x:c r="AA524" s="11" t="n">
        <x:v>0</x:v>
      </x:c>
      <x:c r="AB524" s="11" t="n">
        <x:v>0</x:v>
      </x:c>
      <x:c r="AC524" s="11" t="n">
        <x:v>0</x:v>
      </x:c>
      <x:c r="AD524" s="11" t="n">
        <x:v>527994</x:v>
      </x:c>
      <x:c r="AE524" s="11" t="n">
        <x:v>527994</x:v>
      </x:c>
      <x:c r="AF524" s="11" t="n">
        <x:v>2111974</x:v>
      </x:c>
      <x:c r="AG524" s="11" t="n">
        <x:v>20469341</x:v>
      </x:c>
      <x:c r="AH524" s="11" t="n">
        <x:v>8756639</x:v>
      </x:c>
      <x:c r="AI524" s="11" t="n">
        <x:v>11712702</x:v>
      </x:c>
      <x:c r="AJ524" s="11" t="n">
        <x:v>299432</x:v>
      </x:c>
      <x:c r="AK524" s="11" t="n">
        <x:v>11712699</x:v>
      </x:c>
      <x:c r="AL524" s="11" t="n">
        <x:v>0</x:v>
      </x:c>
      <x:c r="AM524" s="12" t="n">
        <x:v>1</x:v>
      </x:c>
      <x:c r="AN524" s="12" t="n">
        <x:v>0.02556473106668241</x:v>
      </x:c>
      <x:c r="AO524" s="11" t="n">
        <x:v>1161039</x:v>
      </x:c>
      <x:c r="AP524" s="11" t="n">
        <x:v>1105798</x:v>
      </x:c>
      <x:c r="AQ524" s="12" t="n">
        <x:v>0.9524210642364296</x:v>
      </x:c>
      <x:c r="AR524" s="11" t="n">
        <x:v>4490.3943028485755</x:v>
      </x:c>
      <x:c r="AS524" s="11" t="n">
        <x:v>3718.406296851574</x:v>
      </x:c>
      <x:c r="AT524" s="11" t="n">
        <x:v>5231.764617691155</x:v>
      </x:c>
      <x:c r="AU524" s="11" t="n">
        <x:v>539.3133433283358</x:v>
      </x:c>
      <x:c r="AV524" s="11" t="n">
        <x:v>0</x:v>
      </x:c>
      <x:c r="AW524" s="11" t="n">
        <x:v>8.75403944990026</x:v>
      </x:c>
      <x:c r="AX524" s="12" t="n">
        <x:v>1</x:v>
      </x:c>
      <x:c r="AY524" s="11"/>
      <x:c r="AZ524" s="11"/>
      <x:c r="BA524" s="11"/>
      <x:c r="BB524" s="11"/>
      <x:c r="BC524" s="11"/>
      <x:c r="BD524" s="11"/>
      <x:c r="BE524" s="11"/>
      <x:c r="BF524" s="11"/>
      <x:c r="BG524" s="11"/>
      <x:c r="BH524" s="11"/>
      <x:c r="BI524" s="11"/>
      <x:c r="BJ524" s="11"/>
      <x:c r="BK524" s="12"/>
      <x:c r="BL524" s="12"/>
      <x:c r="BM524" s="12"/>
      <x:c r="BN524" s="12"/>
      <x:c r="BO524" s="12"/>
      <x:c r="BP524" s="12"/>
      <x:c r="BQ524" s="12"/>
      <x:c r="BR524" s="12"/>
      <x:c r="BS524" s="12"/>
      <x:c r="BT524" s="12"/>
      <x:c r="BU524" s="11" t="n">
        <x:v>6291</x:v>
      </x:c>
      <x:c r="BV524" s="11" t="n">
        <x:v>1331828</x:v>
      </x:c>
      <x:c r="BW524" s="11" t="n">
        <x:v>5000</x:v>
      </x:c>
      <x:c r="BX524" s="11" t="n">
        <x:v>108190</x:v>
      </x:c>
      <x:c r="BY524" s="11" t="n">
        <x:v>0</x:v>
      </x:c>
      <x:c r="BZ524" s="11" t="n">
        <x:v>0</x:v>
      </x:c>
      <x:c r="CA524" s="11" t="n">
        <x:v>0</x:v>
      </x:c>
      <x:c r="CB524" s="11" t="n">
        <x:v>0</x:v>
      </x:c>
      <x:c r="CC524" s="11" t="n">
        <x:v>878334</x:v>
      </x:c>
      <x:c r="CD524" s="11" t="n">
        <x:v>116505</x:v>
      </x:c>
      <x:c r="CE524" s="11" t="n">
        <x:v>91700</x:v>
      </x:c>
      <x:c r="CF524" s="11" t="n">
        <x:v>0</x:v>
      </x:c>
      <x:c r="CG524" s="11" t="n">
        <x:v>18345</x:v>
      </x:c>
      <x:c r="CH524" s="11" t="n">
        <x:v>607296</x:v>
      </x:c>
      <x:c r="CI524" s="11" t="n">
        <x:v>24937</x:v>
      </x:c>
      <x:c r="CJ524" s="11" t="n">
        <x:v>139460</x:v>
      </x:c>
      <x:c r="CK524" s="11" t="n">
        <x:v>83930</x:v>
      </x:c>
      <x:c r="CL524" s="11" t="n">
        <x:v>0</x:v>
      </x:c>
      <x:c r="CM524" s="11" t="n">
        <x:v>1649</x:v>
      </x:c>
      <x:c r="CN524" s="11" t="n">
        <x:v>0</x:v>
      </x:c>
      <x:c r="CO524" s="11" t="n">
        <x:v>0</x:v>
      </x:c>
      <x:c r="CP524" s="8"/>
      <x:c r="CQ524" s="8"/>
    </x:row>
    <x:row r="525">
      <x:c r="A525" s="8" t="str">
        <x:v>New Hazelton|2024</x:v>
      </x:c>
      <x:c r="B525" s="8" t="str">
        <x:v>new-hazelton-d</x:v>
      </x:c>
      <x:c r="C525" s="8" t="str">
        <x:v>New Hazelton</x:v>
      </x:c>
      <x:c r="D525" s="8" t="str">
        <x:v>New Hazelton</x:v>
      </x:c>
      <x:c r="E525" s="8" t="str">
        <x:v>D</x:v>
      </x:c>
      <x:c r="F525" s="8" t="str">
        <x:v>KIT</x:v>
      </x:c>
      <x:c r="G525" s="9" t="n">
        <x:v>2024</x:v>
      </x:c>
      <x:c r="H525" s="10" t="n">
        <x:v>667</x:v>
      </x:c>
      <x:c r="I525" s="8" t="str">
        <x:v>Under 5,000</x:v>
      </x:c>
      <x:c r="J525" s="11" t="n">
        <x:v>3959345</x:v>
      </x:c>
      <x:c r="K525" s="11" t="n">
        <x:v>2721775</x:v>
      </x:c>
      <x:c r="L525" s="11" t="n">
        <x:v>1237570</x:v>
      </x:c>
      <x:c r="M525" s="12" t="n">
        <x:v>0.31256937700554005</x:v>
      </x:c>
      <x:c r="N525" s="11" t="n">
        <x:v>706579</x:v>
      </x:c>
      <x:c r="O525" s="11" t="n">
        <x:v>985459</x:v>
      </x:c>
      <x:c r="P525" s="11" t="n">
        <x:v>2077614</x:v>
      </x:c>
      <x:c r="Q525" s="11" t="n">
        <x:v>189693</x:v>
      </x:c>
      <x:c r="R525" s="11" t="n">
        <x:v>2224236</x:v>
      </x:c>
      <x:c r="S525" s="11" t="n">
        <x:v>497539</x:v>
      </x:c>
      <x:c r="T525" s="11" t="n">
        <x:v>4840433</x:v>
      </x:c>
      <x:c r="U525" s="11" t="n">
        <x:v>532765</x:v>
      </x:c>
      <x:c r="V525" s="11" t="n">
        <x:v>4584008</x:v>
      </x:c>
      <x:c r="W525" s="11" t="n">
        <x:v>1648971</x:v>
      </x:c>
      <x:c r="X525" s="11" t="n">
        <x:v>0</x:v>
      </x:c>
      <x:c r="Y525" s="11" t="n">
        <x:v>0</x:v>
      </x:c>
      <x:c r="Z525" s="11" t="n">
        <x:v>0</x:v>
      </x:c>
      <x:c r="AA525" s="11" t="n">
        <x:v>0</x:v>
      </x:c>
      <x:c r="AB525" s="11" t="n">
        <x:v>0</x:v>
      </x:c>
      <x:c r="AC525" s="11" t="n">
        <x:v>0</x:v>
      </x:c>
      <x:c r="AD525" s="11" t="n">
        <x:v>594833</x:v>
      </x:c>
      <x:c r="AE525" s="11" t="n">
        <x:v>594833</x:v>
      </x:c>
      <x:c r="AF525" s="11" t="n">
        <x:v>2379331</x:v>
      </x:c>
      <x:c r="AG525" s="11" t="n">
        <x:v>21030610</x:v>
      </x:c>
      <x:c r="AH525" s="11" t="n">
        <x:v>9219123</x:v>
      </x:c>
      <x:c r="AI525" s="11" t="n">
        <x:v>11811487</x:v>
      </x:c>
      <x:c r="AJ525" s="11" t="n">
        <x:v>596104</x:v>
      </x:c>
      <x:c r="AK525" s="11" t="n">
        <x:v>11811487</x:v>
      </x:c>
      <x:c r="AL525" s="11" t="n">
        <x:v>0</x:v>
      </x:c>
      <x:c r="AM525" s="12" t="n">
        <x:v>1</x:v>
      </x:c>
      <x:c r="AN525" s="12" t="n">
        <x:v>0.05046815866622043</x:v>
      </x:c>
      <x:c r="AO525" s="11" t="n">
        <x:v>1249381</x:v>
      </x:c>
      <x:c r="AP525" s="11" t="n">
        <x:v>1177204</x:v>
      </x:c>
      <x:c r="AQ525" s="12" t="n">
        <x:v>0.942229792193094</x:v>
      </x:c>
      <x:c r="AR525" s="11" t="n">
        <x:v>5936.049475262369</x:v>
      </x:c>
      <x:c r="AS525" s="11" t="n">
        <x:v>4080.6221889055473</x:v>
      </x:c>
      <x:c r="AT525" s="11" t="n">
        <x:v>6872.575712143928</x:v>
      </x:c>
      <x:c r="AU525" s="11" t="n">
        <x:v>2472.2203898050975</x:v>
      </x:c>
      <x:c r="AV525" s="11" t="n">
        <x:v>0</x:v>
      </x:c>
      <x:c r="AW525" s="11" t="n">
        <x:v>9.085493604121892</x:v>
      </x:c>
      <x:c r="AX525" s="12" t="n">
        <x:v>1</x:v>
      </x:c>
      <x:c r="AY525" s="11" t="n">
        <x:v>4486.511144130758</x:v>
      </x:c>
      <x:c r="AZ525" s="11" t="n">
        <x:v>3546.5079302077975</x:v>
      </x:c>
      <x:c r="BA525" s="11" t="n">
        <x:v>3557.844717668488</x:v>
      </x:c>
      <x:c r="BB525" s="11" t="n">
        <x:v>2783.665107049771</x:v>
      </x:c>
      <x:c r="BC525" s="11" t="n">
        <x:v>5496.677373974208</x:v>
      </x:c>
      <x:c r="BD525" s="11" t="n">
        <x:v>2437.8724475115623</x:v>
      </x:c>
      <x:c r="BE525" s="11" t="n">
        <x:v>3386.4506393861893</x:v>
      </x:c>
      <x:c r="BF525" s="11" t="n">
        <x:v>1604.3462673977224</x:v>
      </x:c>
      <x:c r="BG525" s="11" t="n">
        <x:v>624.7436119532265</x:v>
      </x:c>
      <x:c r="BH525" s="11" t="n">
        <x:v>518.5374381567245</x:v>
      </x:c>
      <x:c r="BI525" s="11" t="n">
        <x:v>3.324657351485151</x:v>
      </x:c>
      <x:c r="BJ525" s="11" t="n">
        <x:v>1.7099330852451193</x:v>
      </x:c>
      <x:c r="BK525" s="12" t="n">
        <x:v>0.02521828600111612</x:v>
      </x:c>
      <x:c r="BL525" s="12" t="n">
        <x:v>0.02529861000232605</x:v>
      </x:c>
      <x:c r="BM525" s="12" t="n">
        <x:v>0.9816336034641139</x:v>
      </x:c>
      <x:c r="BN525" s="12" t="n">
        <x:v>0.9815511712696461</x:v>
      </x:c>
      <x:c r="BO525" s="12" t="n">
        <x:v>0.8531878894527055</x:v>
      </x:c>
      <x:c r="BP525" s="12" t="n">
        <x:v>0.8619101997275483</x:v>
      </x:c>
      <x:c r="BQ525" s="12" t="n">
        <x:v>0.9614729661922712</x:v>
      </x:c>
      <x:c r="BR525" s="12" t="n">
        <x:v>0.9623635142836453</x:v>
      </x:c>
      <x:c r="BS525" s="12" t="n">
        <x:v>0.23352896680225554</x:v>
      </x:c>
      <x:c r="BT525" s="12" t="n">
        <x:v>0.19976549769108282</x:v>
      </x:c>
      <x:c r="BU525" s="11" t="n">
        <x:v>0</x:v>
      </x:c>
      <x:c r="BV525" s="11" t="n">
        <x:v>2072614</x:v>
      </x:c>
      <x:c r="BW525" s="11" t="n">
        <x:v>5000</x:v>
      </x:c>
      <x:c r="BX525" s="11" t="n">
        <x:v>178693</x:v>
      </x:c>
      <x:c r="BY525" s="11" t="n">
        <x:v>0</x:v>
      </x:c>
      <x:c r="BZ525" s="11" t="n">
        <x:v>0</x:v>
      </x:c>
      <x:c r="CA525" s="11" t="n">
        <x:v>11000</x:v>
      </x:c>
      <x:c r="CB525" s="11" t="n">
        <x:v>0</x:v>
      </x:c>
      <x:c r="CC525" s="11" t="n">
        <x:v>977024</x:v>
      </x:c>
      <x:c r="CD525" s="11" t="n">
        <x:v>148276</x:v>
      </x:c>
      <x:c r="CE525" s="11" t="n">
        <x:v>94806</x:v>
      </x:c>
      <x:c r="CF525" s="11" t="n">
        <x:v>0</x:v>
      </x:c>
      <x:c r="CG525" s="11" t="n">
        <x:v>29620</x:v>
      </x:c>
      <x:c r="CH525" s="11" t="n">
        <x:v>749915</x:v>
      </x:c>
      <x:c r="CI525" s="11" t="n">
        <x:v>28930</x:v>
      </x:c>
      <x:c r="CJ525" s="11" t="n">
        <x:v>149814</x:v>
      </x:c>
      <x:c r="CK525" s="11" t="n">
        <x:v>45851</x:v>
      </x:c>
      <x:c r="CL525" s="11" t="n">
        <x:v>0</x:v>
      </x:c>
      <x:c r="CM525" s="11" t="n">
        <x:v>0</x:v>
      </x:c>
      <x:c r="CN525" s="11" t="n">
        <x:v>0</x:v>
      </x:c>
      <x:c r="CO525" s="11" t="n">
        <x:v>0</x:v>
      </x:c>
      <x:c r="CP525" s="8"/>
      <x:c r="CQ525" s="8"/>
    </x:row>
    <x:row r="526">
      <x:c r="A526" s="8" t="str">
        <x:v>New Westminster|2019</x:v>
      </x:c>
      <x:c r="B526" s="8" t="str">
        <x:v>new-westminster-c</x:v>
      </x:c>
      <x:c r="C526" s="8" t="str">
        <x:v>New Westminster</x:v>
      </x:c>
      <x:c r="D526" s="8" t="str">
        <x:v>New Westminster</x:v>
      </x:c>
      <x:c r="E526" s="8" t="str">
        <x:v>C</x:v>
      </x:c>
      <x:c r="F526" s="8" t="str">
        <x:v>GVR</x:v>
      </x:c>
      <x:c r="G526" s="9" t="n">
        <x:v>2019</x:v>
      </x:c>
      <x:c r="H526" s="10" t="n">
        <x:v>79737</x:v>
      </x:c>
      <x:c r="I526" s="8" t="str">
        <x:v>20,000 to 99,999</x:v>
      </x:c>
      <x:c r="J526" s="11" t="n">
        <x:v>236915709</x:v>
      </x:c>
      <x:c r="K526" s="11" t="n">
        <x:v>205581442</x:v>
      </x:c>
      <x:c r="L526" s="11" t="n">
        <x:v>31334267</x:v>
      </x:c>
      <x:c r="M526" s="12" t="n">
        <x:v>0.13225913609637427</x:v>
      </x:c>
      <x:c r="N526" s="11" t="n">
        <x:v>85489152</x:v>
      </x:c>
      <x:c r="O526" s="11" t="n">
        <x:v>116728188</x:v>
      </x:c>
      <x:c r="P526" s="11" t="n">
        <x:v>9750135</x:v>
      </x:c>
      <x:c r="Q526" s="11" t="n">
        <x:v>24948234</x:v>
      </x:c>
      <x:c r="R526" s="11" t="n">
        <x:v>180282830</x:v>
      </x:c>
      <x:c r="S526" s="11" t="n">
        <x:v>23448644</x:v>
      </x:c>
      <x:c r="T526" s="11" t="n">
        <x:v>178673742</x:v>
      </x:c>
      <x:c r="U526" s="11" t="n">
        <x:v>153324853</x:v>
      </x:c>
      <x:c r="V526" s="11" t="n">
        <x:v>50007127</x:v>
      </x:c>
      <x:c r="W526" s="11" t="n">
        <x:v>14410810</x:v>
      </x:c>
      <x:c r="X526" s="11" t="n">
        <x:v>59584661</x:v>
      </x:c>
      <x:c r="Y526" s="11" t="n">
        <x:v>23850000</x:v>
      </x:c>
      <x:c r="Z526" s="11" t="n">
        <x:v>17104432</x:v>
      </x:c>
      <x:c r="AA526" s="11" t="n">
        <x:v>65903601</x:v>
      </x:c>
      <x:c r="AB526" s="11" t="n">
        <x:v>1849968</x:v>
      </x:c>
      <x:c r="AC526" s="11" t="n">
        <x:v>18954400</x:v>
      </x:c>
      <x:c r="AD526" s="11" t="n">
        <x:v>53520088</x:v>
      </x:c>
      <x:c r="AE526" s="11" t="n">
        <x:v>24701991</x:v>
      </x:c>
      <x:c r="AF526" s="11" t="n">
        <x:v>214080351</x:v>
      </x:c>
      <x:c r="AG526" s="11" t="n">
        <x:v>1018835392</x:v>
      </x:c>
      <x:c r="AH526" s="11" t="n">
        <x:v>313107142</x:v>
      </x:c>
      <x:c r="AI526" s="11" t="n">
        <x:v>705728250</x:v>
      </x:c>
      <x:c r="AJ526" s="11" t="n">
        <x:v>60525312</x:v>
      </x:c>
      <x:c r="AK526" s="11" t="n">
        <x:v>1565335758</x:v>
      </x:c>
      <x:c r="AL526" s="11" t="n">
        <x:v>39600000</x:v>
      </x:c>
      <x:c r="AM526" s="12" t="n">
        <x:v>0.9747019131214404</x:v>
      </x:c>
      <x:c r="AN526" s="12" t="n">
        <x:v>0.03866602528605879</x:v>
      </x:c>
      <x:c r="AO526" s="11" t="n">
        <x:v>134269992</x:v>
      </x:c>
      <x:c r="AP526" s="11" t="n">
        <x:v>131562916</x:v>
      </x:c>
      <x:c r="AQ526" s="12" t="n">
        <x:v>0.9798385628860393</x:v>
      </x:c>
      <x:c r="AR526" s="11" t="n">
        <x:v>2971.214229278754</x:v>
      </x:c>
      <x:c r="AS526" s="11" t="n">
        <x:v>2578.2440021570915</x:v>
      </x:c>
      <x:c r="AT526" s="11" t="n">
        <x:v>627.1508459059157</x:v>
      </x:c>
      <x:c r="AU526" s="11" t="n">
        <x:v>180.7292724832888</x:v>
      </x:c>
      <x:c r="AV526" s="11" t="n">
        <x:v>826.5121712630272</x:v>
      </x:c>
      <x:c r="AW526" s="11" t="n">
        <x:v>1.1653279850201455</x:v>
      </x:c>
      <x:c r="AX526" s="12" t="n">
        <x:v>0.4615461581453304</x:v>
      </x:c>
      <x:c r="AY526" s="11"/>
      <x:c r="AZ526" s="11"/>
      <x:c r="BA526" s="11"/>
      <x:c r="BB526" s="11"/>
      <x:c r="BC526" s="11"/>
      <x:c r="BD526" s="11"/>
      <x:c r="BE526" s="11"/>
      <x:c r="BF526" s="11"/>
      <x:c r="BG526" s="11"/>
      <x:c r="BH526" s="11"/>
      <x:c r="BI526" s="11"/>
      <x:c r="BJ526" s="11"/>
      <x:c r="BK526" s="12"/>
      <x:c r="BL526" s="12"/>
      <x:c r="BM526" s="12"/>
      <x:c r="BN526" s="12"/>
      <x:c r="BO526" s="12"/>
      <x:c r="BP526" s="12"/>
      <x:c r="BQ526" s="12"/>
      <x:c r="BR526" s="12"/>
      <x:c r="BS526" s="12"/>
      <x:c r="BT526" s="12"/>
      <x:c r="BU526" s="11" t="n">
        <x:v>0</x:v>
      </x:c>
      <x:c r="BV526" s="11" t="n">
        <x:v>8911973</x:v>
      </x:c>
      <x:c r="BW526" s="11" t="n">
        <x:v>838162</x:v>
      </x:c>
      <x:c r="BX526" s="11" t="n">
        <x:v>4586546</x:v>
      </x:c>
      <x:c r="BY526" s="11" t="n">
        <x:v>0</x:v>
      </x:c>
      <x:c r="BZ526" s="11" t="n">
        <x:v>14369551</x:v>
      </x:c>
      <x:c r="CA526" s="11" t="n">
        <x:v>5938712</x:v>
      </x:c>
      <x:c r="CB526" s="11" t="n">
        <x:v>53425</x:v>
      </x:c>
      <x:c r="CC526" s="11" t="n">
        <x:v>19119876</x:v>
      </x:c>
      <x:c r="CD526" s="11" t="n">
        <x:v>46923131</x:v>
      </x:c>
      <x:c r="CE526" s="11" t="n">
        <x:v>3028986</x:v>
      </x:c>
      <x:c r="CF526" s="11" t="n">
        <x:v>211453</x:v>
      </x:c>
      <x:c r="CG526" s="11" t="n">
        <x:v>5603874</x:v>
      </x:c>
      <x:c r="CH526" s="11" t="n">
        <x:v>14945722</x:v>
      </x:c>
      <x:c r="CI526" s="11" t="n">
        <x:v>24749753</x:v>
      </x:c>
      <x:c r="CJ526" s="11" t="n">
        <x:v>7694774</x:v>
      </x:c>
      <x:c r="CK526" s="11" t="n">
        <x:v>11917440</x:v>
      </x:c>
      <x:c r="CL526" s="11" t="n">
        <x:v>44273292</x:v>
      </x:c>
      <x:c r="CM526" s="11"/>
      <x:c r="CN526" s="11" t="n">
        <x:v>3664497</x:v>
      </x:c>
      <x:c r="CO526" s="11" t="n">
        <x:v>0</x:v>
      </x:c>
      <x:c r="CP526" s="8"/>
      <x:c r="CQ526" s="8"/>
    </x:row>
    <x:row r="527">
      <x:c r="A527" s="8" t="str">
        <x:v>New Westminster|2020</x:v>
      </x:c>
      <x:c r="B527" s="8" t="str">
        <x:v>new-westminster-c</x:v>
      </x:c>
      <x:c r="C527" s="8" t="str">
        <x:v>New Westminster</x:v>
      </x:c>
      <x:c r="D527" s="8" t="str">
        <x:v>New Westminster</x:v>
      </x:c>
      <x:c r="E527" s="8" t="str">
        <x:v>C</x:v>
      </x:c>
      <x:c r="F527" s="8" t="str">
        <x:v>GVR</x:v>
      </x:c>
      <x:c r="G527" s="9" t="n">
        <x:v>2020</x:v>
      </x:c>
      <x:c r="H527" s="10" t="n">
        <x:v>82590</x:v>
      </x:c>
      <x:c r="I527" s="8" t="str">
        <x:v>20,000 to 99,999</x:v>
      </x:c>
      <x:c r="J527" s="11" t="n">
        <x:v>235246553</x:v>
      </x:c>
      <x:c r="K527" s="11" t="n">
        <x:v>195666195</x:v>
      </x:c>
      <x:c r="L527" s="11" t="n">
        <x:v>39580358</x:v>
      </x:c>
      <x:c r="M527" s="12" t="n">
        <x:v>0.1682505333032446</x:v>
      </x:c>
      <x:c r="N527" s="11" t="n">
        <x:v>89683699</x:v>
      </x:c>
      <x:c r="O527" s="11" t="n">
        <x:v>115704563</x:v>
      </x:c>
      <x:c r="P527" s="11" t="n">
        <x:v>12493912</x:v>
      </x:c>
      <x:c r="Q527" s="11" t="n">
        <x:v>17364379</x:v>
      </x:c>
      <x:c r="R527" s="11" t="n">
        <x:v>170289978</x:v>
      </x:c>
      <x:c r="S527" s="11" t="n">
        <x:v>23545497</x:v>
      </x:c>
      <x:c r="T527" s="11" t="n">
        <x:v>230028967</x:v>
      </x:c>
      <x:c r="U527" s="11" t="n">
        <x:v>180793676</x:v>
      </x:c>
      <x:c r="V527" s="11" t="n">
        <x:v>78066698</x:v>
      </x:c>
      <x:c r="W527" s="11" t="n">
        <x:v>12986853</x:v>
      </x:c>
      <x:c r="X527" s="11" t="n">
        <x:v>65742972</x:v>
      </x:c>
      <x:c r="Y527" s="11" t="n">
        <x:v>0</x:v>
      </x:c>
      <x:c r="Z527" s="11" t="n">
        <x:v>3056724</x:v>
      </x:c>
      <x:c r="AA527" s="11" t="n">
        <x:v>62130349</x:v>
      </x:c>
      <x:c r="AB527" s="11" t="n">
        <x:v>1830720</x:v>
      </x:c>
      <x:c r="AC527" s="11" t="n">
        <x:v>4887444</x:v>
      </x:c>
      <x:c r="AD527" s="11" t="n">
        <x:v>52873213</x:v>
      </x:c>
      <x:c r="AE527" s="11" t="n">
        <x:v>37484848</x:v>
      </x:c>
      <x:c r="AF527" s="11" t="n">
        <x:v>211492853</x:v>
      </x:c>
      <x:c r="AG527" s="11" t="n">
        <x:v>1046768285</x:v>
      </x:c>
      <x:c r="AH527" s="11" t="n">
        <x:v>329318661</x:v>
      </x:c>
      <x:c r="AI527" s="11" t="n">
        <x:v>717449624</x:v>
      </x:c>
      <x:c r="AJ527" s="11" t="n">
        <x:v>36689831</x:v>
      </x:c>
      <x:c r="AK527" s="11" t="n">
        <x:v>1599484685</x:v>
      </x:c>
      <x:c r="AL527" s="11" t="n">
        <x:v>40552491</x:v>
      </x:c>
      <x:c r="AM527" s="12" t="n">
        <x:v>0.9746465274845691</x:v>
      </x:c>
      <x:c r="AN527" s="12" t="n">
        <x:v>0.022938532231085412</x:v>
      </x:c>
      <x:c r="AO527" s="11" t="n">
        <x:v>131825186</x:v>
      </x:c>
      <x:c r="AP527" s="11" t="n">
        <x:v>128267775</x:v>
      </x:c>
      <x:c r="AQ527" s="12" t="n">
        <x:v>0.973014178034234</x:v>
      </x:c>
      <x:c r="AR527" s="11" t="n">
        <x:v>2848.366061266497</x:v>
      </x:c>
      <x:c r="AS527" s="11" t="n">
        <x:v>2369.126952415547</x:v>
      </x:c>
      <x:c r="AT527" s="11" t="n">
        <x:v>945.2318440489163</x:v>
      </x:c>
      <x:c r="AU527" s="11" t="n">
        <x:v>157.24486015256085</x:v>
      </x:c>
      <x:c r="AV527" s="11" t="n">
        <x:v>752.2744763288533</x:v>
      </x:c>
      <x:c r="AW527" s="11" t="n">
        <x:v>1.2723286128658615</x:v>
      </x:c>
      <x:c r="AX527" s="12" t="n">
        <x:v>0.7089572559170936</x:v>
      </x:c>
      <x:c r="AY527" s="11"/>
      <x:c r="AZ527" s="11"/>
      <x:c r="BA527" s="11"/>
      <x:c r="BB527" s="11"/>
      <x:c r="BC527" s="11"/>
      <x:c r="BD527" s="11"/>
      <x:c r="BE527" s="11"/>
      <x:c r="BF527" s="11"/>
      <x:c r="BG527" s="11"/>
      <x:c r="BH527" s="11"/>
      <x:c r="BI527" s="11"/>
      <x:c r="BJ527" s="11"/>
      <x:c r="BK527" s="12"/>
      <x:c r="BL527" s="12"/>
      <x:c r="BM527" s="12"/>
      <x:c r="BN527" s="12"/>
      <x:c r="BO527" s="12"/>
      <x:c r="BP527" s="12"/>
      <x:c r="BQ527" s="12"/>
      <x:c r="BR527" s="12"/>
      <x:c r="BS527" s="12"/>
      <x:c r="BT527" s="12"/>
      <x:c r="BU527" s="11" t="n">
        <x:v>480864</x:v>
      </x:c>
      <x:c r="BV527" s="11" t="n">
        <x:v>11181076</x:v>
      </x:c>
      <x:c r="BW527" s="11" t="n">
        <x:v>831972</x:v>
      </x:c>
      <x:c r="BX527" s="11" t="n">
        <x:v>5255751</x:v>
      </x:c>
      <x:c r="BY527" s="11" t="n">
        <x:v>0</x:v>
      </x:c>
      <x:c r="BZ527" s="11" t="n">
        <x:v>12078301</x:v>
      </x:c>
      <x:c r="CA527" s="11" t="n">
        <x:v>10462</x:v>
      </x:c>
      <x:c r="CB527" s="11" t="n">
        <x:v>19865</x:v>
      </x:c>
      <x:c r="CC527" s="11" t="n">
        <x:v>16737763</x:v>
      </x:c>
      <x:c r="CD527" s="11" t="n">
        <x:v>46027403</x:v>
      </x:c>
      <x:c r="CE527" s="11" t="n">
        <x:v>3000912</x:v>
      </x:c>
      <x:c r="CF527" s="11" t="n">
        <x:v>276171</x:v>
      </x:c>
      <x:c r="CG527" s="11" t="n">
        <x:v>6085605</x:v>
      </x:c>
      <x:c r="CH527" s="11" t="n">
        <x:v>13866745</x:v>
      </x:c>
      <x:c r="CI527" s="11" t="n">
        <x:v>23229068</x:v>
      </x:c>
      <x:c r="CJ527" s="11" t="n">
        <x:v>7468660</x:v>
      </x:c>
      <x:c r="CK527" s="11" t="n">
        <x:v>11948332</x:v>
      </x:c>
      <x:c r="CL527" s="11" t="n">
        <x:v>42060723</x:v>
      </x:c>
      <x:c r="CM527" s="11"/>
      <x:c r="CN527" s="11" t="n">
        <x:v>1419316</x:v>
      </x:c>
      <x:c r="CO527" s="11" t="n">
        <x:v>0</x:v>
      </x:c>
      <x:c r="CP527" s="8"/>
      <x:c r="CQ527" s="8"/>
    </x:row>
    <x:row r="528">
      <x:c r="A528" s="8" t="str">
        <x:v>New Westminster|2021</x:v>
      </x:c>
      <x:c r="B528" s="8" t="str">
        <x:v>new-westminster-c</x:v>
      </x:c>
      <x:c r="C528" s="8" t="str">
        <x:v>New Westminster</x:v>
      </x:c>
      <x:c r="D528" s="8" t="str">
        <x:v>New Westminster</x:v>
      </x:c>
      <x:c r="E528" s="8" t="str">
        <x:v>C</x:v>
      </x:c>
      <x:c r="F528" s="8" t="str">
        <x:v>MVRD</x:v>
      </x:c>
      <x:c r="G528" s="9" t="n">
        <x:v>2021</x:v>
      </x:c>
      <x:c r="H528" s="10" t="n">
        <x:v>82866</x:v>
      </x:c>
      <x:c r="I528" s="8" t="str">
        <x:v>20,000 to 99,999</x:v>
      </x:c>
      <x:c r="J528" s="11" t="n">
        <x:v>243925388</x:v>
      </x:c>
      <x:c r="K528" s="11" t="n">
        <x:v>211082384</x:v>
      </x:c>
      <x:c r="L528" s="11" t="n">
        <x:v>32843004</x:v>
      </x:c>
      <x:c r="M528" s="12" t="n">
        <x:v>0.13464364767147569</x:v>
      </x:c>
      <x:c r="N528" s="11" t="n">
        <x:v>93431431</x:v>
      </x:c>
      <x:c r="O528" s="11" t="n">
        <x:v>121069908</x:v>
      </x:c>
      <x:c r="P528" s="11" t="n">
        <x:v>10999915</x:v>
      </x:c>
      <x:c r="Q528" s="11" t="n">
        <x:v>18424134</x:v>
      </x:c>
      <x:c r="R528" s="11" t="n">
        <x:v>185081316</x:v>
      </x:c>
      <x:c r="S528" s="11" t="n">
        <x:v>24204386</x:v>
      </x:c>
      <x:c r="T528" s="11" t="n">
        <x:v>216741614</x:v>
      </x:c>
      <x:c r="U528" s="11" t="n">
        <x:v>169099760</x:v>
      </x:c>
      <x:c r="V528" s="11" t="n">
        <x:v>76681810</x:v>
      </x:c>
      <x:c r="W528" s="11" t="n">
        <x:v>12669574</x:v>
      </x:c>
      <x:c r="X528" s="11" t="n">
        <x:v>62130349</x:v>
      </x:c>
      <x:c r="Y528" s="11" t="n">
        <x:v>2076529</x:v>
      </x:c>
      <x:c r="Z528" s="11" t="n">
        <x:v>3073794</x:v>
      </x:c>
      <x:c r="AA528" s="11" t="n">
        <x:v>60514159</x:v>
      </x:c>
      <x:c r="AB528" s="11" t="n">
        <x:v>1796682</x:v>
      </x:c>
      <x:c r="AC528" s="11" t="n">
        <x:v>4870476</x:v>
      </x:c>
      <x:c r="AD528" s="11" t="n">
        <x:v>56158591</x:v>
      </x:c>
      <x:c r="AE528" s="11" t="n">
        <x:v>40375195</x:v>
      </x:c>
      <x:c r="AF528" s="11" t="n">
        <x:v>224634365</x:v>
      </x:c>
      <x:c r="AG528" s="11" t="n">
        <x:v>1100459345</x:v>
      </x:c>
      <x:c r="AH528" s="11" t="n">
        <x:v>350926753</x:v>
      </x:c>
      <x:c r="AI528" s="11" t="n">
        <x:v>749532592</x:v>
      </x:c>
      <x:c r="AJ528" s="11" t="n">
        <x:v>56406956</x:v>
      </x:c>
      <x:c r="AK528" s="11" t="n">
        <x:v>1649116286</x:v>
      </x:c>
      <x:c r="AL528" s="11" t="n">
        <x:v>41279486</x:v>
      </x:c>
      <x:c r="AM528" s="12" t="n">
        <x:v>0.9749687233396226</x:v>
      </x:c>
      <x:c r="AN528" s="12" t="n">
        <x:v>0.03420435325201803</x:v>
      </x:c>
      <x:c r="AO528" s="11" t="n">
        <x:v>146114310</x:v>
      </x:c>
      <x:c r="AP528" s="11" t="n">
        <x:v>142974785</x:v>
      </x:c>
      <x:c r="AQ528" s="12" t="n">
        <x:v>0.9785132270754315</x:v>
      </x:c>
      <x:c r="AR528" s="11" t="n">
        <x:v>2943.6124345328603</x:v>
      </x:c>
      <x:c r="AS528" s="11" t="n">
        <x:v>2547.273719016243</x:v>
      </x:c>
      <x:c r="AT528" s="11" t="n">
        <x:v>925.3712016991287</x:v>
      </x:c>
      <x:c r="AU528" s="11" t="n">
        <x:v>152.8923080636208</x:v>
      </x:c>
      <x:c r="AV528" s="11" t="n">
        <x:v>730.2652354403494</x:v>
      </x:c>
      <x:c r="AW528" s="11" t="n">
        <x:v>1.281738152673901</x:v>
      </x:c>
      <x:c r="AX528" s="12" t="n">
        <x:v>0.7189495726486442</x:v>
      </x:c>
      <x:c r="AY528" s="11"/>
      <x:c r="AZ528" s="11"/>
      <x:c r="BA528" s="11"/>
      <x:c r="BB528" s="11"/>
      <x:c r="BC528" s="11"/>
      <x:c r="BD528" s="11"/>
      <x:c r="BE528" s="11"/>
      <x:c r="BF528" s="11"/>
      <x:c r="BG528" s="11"/>
      <x:c r="BH528" s="11"/>
      <x:c r="BI528" s="11"/>
      <x:c r="BJ528" s="11"/>
      <x:c r="BK528" s="12"/>
      <x:c r="BL528" s="12"/>
      <x:c r="BM528" s="12"/>
      <x:c r="BN528" s="12"/>
      <x:c r="BO528" s="12"/>
      <x:c r="BP528" s="12"/>
      <x:c r="BQ528" s="12"/>
      <x:c r="BR528" s="12"/>
      <x:c r="BS528" s="12"/>
      <x:c r="BT528" s="12"/>
      <x:c r="BU528" s="11" t="n">
        <x:v>1127525</x:v>
      </x:c>
      <x:c r="BV528" s="11" t="n">
        <x:v>9037565</x:v>
      </x:c>
      <x:c r="BW528" s="11" t="n">
        <x:v>834825</x:v>
      </x:c>
      <x:c r="BX528" s="11" t="n">
        <x:v>3566380</x:v>
      </x:c>
      <x:c r="BY528" s="11" t="n">
        <x:v>0</x:v>
      </x:c>
      <x:c r="BZ528" s="11" t="n">
        <x:v>14826899</x:v>
      </x:c>
      <x:c r="CA528" s="11" t="n">
        <x:v>21244</x:v>
      </x:c>
      <x:c r="CB528" s="11" t="n">
        <x:v>9611</x:v>
      </x:c>
      <x:c r="CC528" s="11" t="n">
        <x:v>18997775</x:v>
      </x:c>
      <x:c r="CD528" s="11" t="n">
        <x:v>51541659</x:v>
      </x:c>
      <x:c r="CE528" s="11" t="n">
        <x:v>3203748</x:v>
      </x:c>
      <x:c r="CF528" s="11" t="n">
        <x:v>347907</x:v>
      </x:c>
      <x:c r="CG528" s="11" t="n">
        <x:v>7346818</x:v>
      </x:c>
      <x:c r="CH528" s="11" t="n">
        <x:v>14388101</x:v>
      </x:c>
      <x:c r="CI528" s="11" t="n">
        <x:v>27016561</x:v>
      </x:c>
      <x:c r="CJ528" s="11" t="n">
        <x:v>7888348</x:v>
      </x:c>
      <x:c r="CK528" s="11" t="n">
        <x:v>13316371</x:v>
      </x:c>
      <x:c r="CL528" s="11" t="n">
        <x:v>42734139</x:v>
      </x:c>
      <x:c r="CM528" s="11"/>
      <x:c r="CN528" s="11" t="n">
        <x:v>96571</x:v>
      </x:c>
      <x:c r="CO528" s="11" t="n">
        <x:v>0</x:v>
      </x:c>
      <x:c r="CP528" s="8"/>
      <x:c r="CQ528" s="8"/>
    </x:row>
    <x:row r="529">
      <x:c r="A529" s="8" t="str">
        <x:v>New Westminster|2022</x:v>
      </x:c>
      <x:c r="B529" s="8" t="str">
        <x:v>new-westminster-c</x:v>
      </x:c>
      <x:c r="C529" s="8" t="str">
        <x:v>New Westminster</x:v>
      </x:c>
      <x:c r="D529" s="8" t="str">
        <x:v>New Westminster</x:v>
      </x:c>
      <x:c r="E529" s="8" t="str">
        <x:v>C</x:v>
      </x:c>
      <x:c r="F529" s="8" t="str">
        <x:v>MVRD</x:v>
      </x:c>
      <x:c r="G529" s="9" t="n">
        <x:v>2022</x:v>
      </x:c>
      <x:c r="H529" s="10" t="n">
        <x:v>33347</x:v>
      </x:c>
      <x:c r="I529" s="8" t="str">
        <x:v>20,000 to 99,999</x:v>
      </x:c>
      <x:c r="J529" s="11" t="n">
        <x:v>296490566</x:v>
      </x:c>
      <x:c r="K529" s="11" t="n">
        <x:v>223262910</x:v>
      </x:c>
      <x:c r="L529" s="11" t="n">
        <x:v>73227656</x:v>
      </x:c>
      <x:c r="M529" s="12" t="n">
        <x:v>0.24698140311149058</x:v>
      </x:c>
      <x:c r="N529" s="11" t="n">
        <x:v>98892223</x:v>
      </x:c>
      <x:c r="O529" s="11" t="n">
        <x:v>164132338</x:v>
      </x:c>
      <x:c r="P529" s="11" t="n">
        <x:v>12340951</x:v>
      </x:c>
      <x:c r="Q529" s="11" t="n">
        <x:v>21125054</x:v>
      </x:c>
      <x:c r="R529" s="11" t="n">
        <x:v>195665823</x:v>
      </x:c>
      <x:c r="S529" s="11" t="n">
        <x:v>24419906</x:v>
      </x:c>
      <x:c r="T529" s="11" t="n">
        <x:v>352923172</x:v>
      </x:c>
      <x:c r="U529" s="11" t="n">
        <x:v>304314077</x:v>
      </x:c>
      <x:c r="V529" s="11" t="n">
        <x:v>72604210</x:v>
      </x:c>
      <x:c r="W529" s="11" t="n">
        <x:v>12696337</x:v>
      </x:c>
      <x:c r="X529" s="11" t="n">
        <x:v>60514159</x:v>
      </x:c>
      <x:c r="Y529" s="11" t="n">
        <x:v>122430000</x:v>
      </x:c>
      <x:c r="Z529" s="11" t="n">
        <x:v>6920070</x:v>
      </x:c>
      <x:c r="AA529" s="11" t="n">
        <x:v>175240332</x:v>
      </x:c>
      <x:c r="AB529" s="11" t="n">
        <x:v>3177181</x:v>
      </x:c>
      <x:c r="AC529" s="11" t="n">
        <x:v>10097251</x:v>
      </x:c>
      <x:c r="AD529" s="11" t="n">
        <x:v>69340918</x:v>
      </x:c>
      <x:c r="AE529" s="11" t="n">
        <x:v>59243667</x:v>
      </x:c>
      <x:c r="AF529" s="11" t="n">
        <x:v>277363671</x:v>
      </x:c>
      <x:c r="AG529" s="11" t="n">
        <x:v>1195084081</x:v>
      </x:c>
      <x:c r="AH529" s="11" t="n">
        <x:v>368444011</x:v>
      </x:c>
      <x:c r="AI529" s="11" t="n">
        <x:v>826640070</x:v>
      </x:c>
      <x:c r="AJ529" s="11" t="n">
        <x:v>101893470</x:v>
      </x:c>
      <x:c r="AK529" s="11" t="n">
        <x:v>2638033812</x:v>
      </x:c>
      <x:c r="AL529" s="11" t="n">
        <x:v>54155392</x:v>
      </x:c>
      <x:c r="AM529" s="12" t="n">
        <x:v>0.9794713048204099</x:v>
      </x:c>
      <x:c r="AN529" s="12" t="n">
        <x:v>0.03862477786922316</x:v>
      </x:c>
      <x:c r="AO529" s="11" t="n">
        <x:v>152528744</x:v>
      </x:c>
      <x:c r="AP529" s="11" t="n">
        <x:v>148440220</x:v>
      </x:c>
      <x:c r="AQ529" s="12" t="n">
        <x:v>0.9731950588932929</x:v>
      </x:c>
      <x:c r="AR529" s="11" t="n">
        <x:v>8891.071640627342</x:v>
      </x:c>
      <x:c r="AS529" s="11" t="n">
        <x:v>6695.142291660419</x:v>
      </x:c>
      <x:c r="AT529" s="11" t="n">
        <x:v>2177.233634209974</x:v>
      </x:c>
      <x:c r="AU529" s="11" t="n">
        <x:v>380.73400905628694</x:v>
      </x:c>
      <x:c r="AV529" s="11" t="n">
        <x:v>5255.0553872912105</x:v>
      </x:c>
      <x:c r="AW529" s="11" t="n">
        <x:v>1.159733310661143</x:v>
      </x:c>
      <x:c r="AX529" s="12" t="n">
        <x:v>0.8543825018295835</x:v>
      </x:c>
      <x:c r="AY529" s="11"/>
      <x:c r="AZ529" s="11"/>
      <x:c r="BA529" s="11"/>
      <x:c r="BB529" s="11"/>
      <x:c r="BC529" s="11"/>
      <x:c r="BD529" s="11"/>
      <x:c r="BE529" s="11"/>
      <x:c r="BF529" s="11"/>
      <x:c r="BG529" s="11"/>
      <x:c r="BH529" s="11"/>
      <x:c r="BI529" s="11"/>
      <x:c r="BJ529" s="11"/>
      <x:c r="BK529" s="12"/>
      <x:c r="BL529" s="12"/>
      <x:c r="BM529" s="12"/>
      <x:c r="BN529" s="12"/>
      <x:c r="BO529" s="12"/>
      <x:c r="BP529" s="12"/>
      <x:c r="BQ529" s="12"/>
      <x:c r="BR529" s="12"/>
      <x:c r="BS529" s="12"/>
      <x:c r="BT529" s="12"/>
      <x:c r="BU529" s="11" t="n">
        <x:v>1811488</x:v>
      </x:c>
      <x:c r="BV529" s="11" t="n">
        <x:v>9505900</x:v>
      </x:c>
      <x:c r="BW529" s="11" t="n">
        <x:v>1023563</x:v>
      </x:c>
      <x:c r="BX529" s="11" t="n">
        <x:v>7823919</x:v>
      </x:c>
      <x:c r="BY529" s="11" t="n">
        <x:v>0</x:v>
      </x:c>
      <x:c r="BZ529" s="11" t="n">
        <x:v>12161517</x:v>
      </x:c>
      <x:c r="CA529" s="11" t="n">
        <x:v>1116030</x:v>
      </x:c>
      <x:c r="CB529" s="11" t="n">
        <x:v>23588</x:v>
      </x:c>
      <x:c r="CC529" s="11" t="n">
        <x:v>22113684</x:v>
      </x:c>
      <x:c r="CD529" s="11" t="n">
        <x:v>52790921</x:v>
      </x:c>
      <x:c r="CE529" s="11" t="n">
        <x:v>3158107</x:v>
      </x:c>
      <x:c r="CF529" s="11" t="n">
        <x:v>364285</x:v>
      </x:c>
      <x:c r="CG529" s="11" t="n">
        <x:v>7436447</x:v>
      </x:c>
      <x:c r="CH529" s="11" t="n">
        <x:v>16784419</x:v>
      </x:c>
      <x:c r="CI529" s="11" t="n">
        <x:v>26304819</x:v>
      </x:c>
      <x:c r="CJ529" s="11" t="n">
        <x:v>8454113</x:v>
      </x:c>
      <x:c r="CK529" s="11" t="n">
        <x:v>14355401</x:v>
      </x:c>
      <x:c r="CL529" s="11" t="n">
        <x:v>46801769</x:v>
      </x:c>
      <x:c r="CM529" s="11"/>
      <x:c r="CN529" s="11" t="n">
        <x:v>279039</x:v>
      </x:c>
      <x:c r="CO529" s="11" t="n">
        <x:v>0</x:v>
      </x:c>
      <x:c r="CP529" s="8"/>
      <x:c r="CQ529" s="8"/>
    </x:row>
    <x:row r="530">
      <x:c r="A530" s="8" t="str">
        <x:v>New Westminster|2023</x:v>
      </x:c>
      <x:c r="B530" s="8" t="str">
        <x:v>new-westminster-c</x:v>
      </x:c>
      <x:c r="C530" s="8" t="str">
        <x:v>New Westminster</x:v>
      </x:c>
      <x:c r="D530" s="8" t="str">
        <x:v>New Westminster</x:v>
      </x:c>
      <x:c r="E530" s="8" t="str">
        <x:v>C</x:v>
      </x:c>
      <x:c r="F530" s="8" t="str">
        <x:v>MVRD</x:v>
      </x:c>
      <x:c r="G530" s="9" t="n">
        <x:v>2023</x:v>
      </x:c>
      <x:c r="H530" s="10" t="n">
        <x:v>88945</x:v>
      </x:c>
      <x:c r="I530" s="8" t="str">
        <x:v>20,000 to 99,999</x:v>
      </x:c>
      <x:c r="J530" s="11" t="n">
        <x:v>350281423</x:v>
      </x:c>
      <x:c r="K530" s="11" t="n">
        <x:v>244548419</x:v>
      </x:c>
      <x:c r="L530" s="11" t="n">
        <x:v>105733004</x:v>
      </x:c>
      <x:c r="M530" s="12" t="n">
        <x:v>0.3018515886296374</x:v>
      </x:c>
      <x:c r="N530" s="11" t="n">
        <x:v>106067024</x:v>
      </x:c>
      <x:c r="O530" s="11" t="n">
        <x:v>157557523</x:v>
      </x:c>
      <x:c r="P530" s="11" t="n">
        <x:v>32889929</x:v>
      </x:c>
      <x:c r="Q530" s="11" t="n">
        <x:v>53766947</x:v>
      </x:c>
      <x:c r="R530" s="11" t="n">
        <x:v>211718559</x:v>
      </x:c>
      <x:c r="S530" s="11" t="n">
        <x:v>26084927</x:v>
      </x:c>
      <x:c r="T530" s="11" t="n">
        <x:v>390360357</x:v>
      </x:c>
      <x:c r="U530" s="11" t="n">
        <x:v>314975562</x:v>
      </x:c>
      <x:c r="V530" s="11" t="n">
        <x:v>112535288</x:v>
      </x:c>
      <x:c r="W530" s="11" t="n">
        <x:v>115978101</x:v>
      </x:c>
      <x:c r="X530" s="11" t="n">
        <x:v>175240333</x:v>
      </x:c>
      <x:c r="Y530" s="11" t="n">
        <x:v>0</x:v>
      </x:c>
      <x:c r="Z530" s="11" t="n">
        <x:v>7436197</x:v>
      </x:c>
      <x:c r="AA530" s="11" t="n">
        <x:v>166859642</x:v>
      </x:c>
      <x:c r="AB530" s="11" t="n">
        <x:v>6744933</x:v>
      </x:c>
      <x:c r="AC530" s="11" t="n">
        <x:v>14181130</x:v>
      </x:c>
      <x:c r="AD530" s="11" t="n">
        <x:v>71912102</x:v>
      </x:c>
      <x:c r="AE530" s="11" t="n">
        <x:v>57271472</x:v>
      </x:c>
      <x:c r="AF530" s="11" t="n">
        <x:v>287648408</x:v>
      </x:c>
      <x:c r="AG530" s="11" t="n">
        <x:v>1276792609</x:v>
      </x:c>
      <x:c r="AH530" s="11" t="n">
        <x:v>395067951</x:v>
      </x:c>
      <x:c r="AI530" s="11" t="n">
        <x:v>881724658</x:v>
      </x:c>
      <x:c r="AJ530" s="11" t="n">
        <x:v>78367444</x:v>
      </x:c>
      <x:c r="AK530" s="11" t="n">
        <x:v>3365454348</x:v>
      </x:c>
      <x:c r="AL530" s="11" t="n">
        <x:v>63586349</x:v>
      </x:c>
      <x:c r="AM530" s="12" t="n">
        <x:v>0.9811061620735436</x:v>
      </x:c>
      <x:c r="AN530" s="12" t="n">
        <x:v>0.023285843721686995</x:v>
      </x:c>
      <x:c r="AO530" s="11" t="n">
        <x:v>166406913</x:v>
      </x:c>
      <x:c r="AP530" s="11" t="n">
        <x:v>160297058</x:v>
      </x:c>
      <x:c r="AQ530" s="12" t="n">
        <x:v>0.963283646755709</x:v>
      </x:c>
      <x:c r="AR530" s="11" t="n">
        <x:v>3938.1800326044186</x:v>
      </x:c>
      <x:c r="AS530" s="11" t="n">
        <x:v>2749.434133453258</x:v>
      </x:c>
      <x:c r="AT530" s="11" t="n">
        <x:v>1265.2233177806509</x:v>
      </x:c>
      <x:c r="AU530" s="11" t="n">
        <x:v>1303.9305301028726</x:v>
      </x:c>
      <x:c r="AV530" s="11" t="n">
        <x:v>1875.9867558603632</x:v>
      </x:c>
      <x:c r="AW530" s="11" t="n">
        <x:v>1.239335377390326</x:v>
      </x:c>
      <x:c r="AX530" s="12" t="n">
        <x:v>0.7964093720970638</x:v>
      </x:c>
      <x:c r="AY530" s="11"/>
      <x:c r="AZ530" s="11"/>
      <x:c r="BA530" s="11"/>
      <x:c r="BB530" s="11"/>
      <x:c r="BC530" s="11"/>
      <x:c r="BD530" s="11"/>
      <x:c r="BE530" s="11"/>
      <x:c r="BF530" s="11"/>
      <x:c r="BG530" s="11"/>
      <x:c r="BH530" s="11"/>
      <x:c r="BI530" s="11"/>
      <x:c r="BJ530" s="11"/>
      <x:c r="BK530" s="12"/>
      <x:c r="BL530" s="12"/>
      <x:c r="BM530" s="12"/>
      <x:c r="BN530" s="12"/>
      <x:c r="BO530" s="12"/>
      <x:c r="BP530" s="12"/>
      <x:c r="BQ530" s="12"/>
      <x:c r="BR530" s="12"/>
      <x:c r="BS530" s="12"/>
      <x:c r="BT530" s="12"/>
      <x:c r="BU530" s="11" t="n">
        <x:v>860540</x:v>
      </x:c>
      <x:c r="BV530" s="11" t="n">
        <x:v>27221040</x:v>
      </x:c>
      <x:c r="BW530" s="11" t="n">
        <x:v>4808349</x:v>
      </x:c>
      <x:c r="BX530" s="11" t="n">
        <x:v>18003989</x:v>
      </x:c>
      <x:c r="BY530" s="11" t="n">
        <x:v>0</x:v>
      </x:c>
      <x:c r="BZ530" s="11" t="n">
        <x:v>9671841</x:v>
      </x:c>
      <x:c r="CA530" s="11" t="n">
        <x:v>26091117</x:v>
      </x:c>
      <x:c r="CB530" s="11" t="n">
        <x:v>0</x:v>
      </x:c>
      <x:c r="CC530" s="11" t="n">
        <x:v>24792557</x:v>
      </x:c>
      <x:c r="CD530" s="11" t="n">
        <x:v>57569388</x:v>
      </x:c>
      <x:c r="CE530" s="11" t="n">
        <x:v>3957413</x:v>
      </x:c>
      <x:c r="CF530" s="11" t="n">
        <x:v>384176</x:v>
      </x:c>
      <x:c r="CG530" s="11" t="n">
        <x:v>7646333</x:v>
      </x:c>
      <x:c r="CH530" s="11" t="n">
        <x:v>18203587</x:v>
      </x:c>
      <x:c r="CI530" s="11" t="n">
        <x:v>31368638</x:v>
      </x:c>
      <x:c r="CJ530" s="11" t="n">
        <x:v>8941539</x:v>
      </x:c>
      <x:c r="CK530" s="11" t="n">
        <x:v>14972968</x:v>
      </x:c>
      <x:c r="CL530" s="11" t="n">
        <x:v>49253280</x:v>
      </x:c>
      <x:c r="CM530" s="11" t="n">
        <x:v>0</x:v>
      </x:c>
      <x:c r="CN530" s="11" t="n">
        <x:v>1373613</x:v>
      </x:c>
      <x:c r="CO530" s="11" t="n">
        <x:v>0</x:v>
      </x:c>
      <x:c r="CP530" s="8"/>
      <x:c r="CQ530" s="8"/>
    </x:row>
    <x:row r="531">
      <x:c r="A531" s="8" t="str">
        <x:v>New Westminster|2024</x:v>
      </x:c>
      <x:c r="B531" s="8" t="str">
        <x:v>new-westminster-c</x:v>
      </x:c>
      <x:c r="C531" s="8" t="str">
        <x:v>New Westminster</x:v>
      </x:c>
      <x:c r="D531" s="8" t="str">
        <x:v>New Westminster</x:v>
      </x:c>
      <x:c r="E531" s="8" t="str">
        <x:v>C</x:v>
      </x:c>
      <x:c r="F531" s="8" t="str">
        <x:v>MVRD</x:v>
      </x:c>
      <x:c r="G531" s="9" t="n">
        <x:v>2024</x:v>
      </x:c>
      <x:c r="H531" s="10" t="n">
        <x:v>88945</x:v>
      </x:c>
      <x:c r="I531" s="8" t="str">
        <x:v>20,000 to 99,999</x:v>
      </x:c>
      <x:c r="J531" s="11" t="n">
        <x:v>319781401</x:v>
      </x:c>
      <x:c r="K531" s="11" t="n">
        <x:v>269881593</x:v>
      </x:c>
      <x:c r="L531" s="11" t="n">
        <x:v>49899808</x:v>
      </x:c>
      <x:c r="M531" s="12" t="n">
        <x:v>0.15604349672606507</x:v>
      </x:c>
      <x:c r="N531" s="11" t="n">
        <x:v>115607494</x:v>
      </x:c>
      <x:c r="O531" s="11" t="n">
        <x:v>157089935</x:v>
      </x:c>
      <x:c r="P531" s="11" t="n">
        <x:v>11413098</x:v>
      </x:c>
      <x:c r="Q531" s="11" t="n">
        <x:v>35670874</x:v>
      </x:c>
      <x:c r="R531" s="11" t="n">
        <x:v>232029435</x:v>
      </x:c>
      <x:c r="S531" s="11" t="n">
        <x:v>31052147</x:v>
      </x:c>
      <x:c r="T531" s="11" t="n">
        <x:v>413321571</x:v>
      </x:c>
      <x:c r="U531" s="11" t="n">
        <x:v>316559713</x:v>
      </x:c>
      <x:c r="V531" s="11" t="n">
        <x:v>139599807</x:v>
      </x:c>
      <x:c r="W531" s="11" t="n">
        <x:v>14942866</x:v>
      </x:c>
      <x:c r="X531" s="11" t="n">
        <x:v>166859642</x:v>
      </x:c>
      <x:c r="Y531" s="11" t="n">
        <x:v>0</x:v>
      </x:c>
      <x:c r="Z531" s="11" t="n">
        <x:v>7453681</x:v>
      </x:c>
      <x:c r="AA531" s="11" t="n">
        <x:v>158211877</x:v>
      </x:c>
      <x:c r="AB531" s="11" t="n">
        <x:v>6800011</x:v>
      </x:c>
      <x:c r="AC531" s="11" t="n">
        <x:v>14253692</x:v>
      </x:c>
      <x:c r="AD531" s="11" t="n">
        <x:v>73735070</x:v>
      </x:c>
      <x:c r="AE531" s="11" t="n">
        <x:v>59481378</x:v>
      </x:c>
      <x:c r="AF531" s="11" t="n">
        <x:v>294940278</x:v>
      </x:c>
      <x:c r="AG531" s="11" t="n">
        <x:v>1322174392</x:v>
      </x:c>
      <x:c r="AH531" s="11" t="n">
        <x:v>419074443</x:v>
      </x:c>
      <x:c r="AI531" s="11" t="n">
        <x:v>903099949</x:v>
      </x:c>
      <x:c r="AJ531" s="11" t="n">
        <x:v>52935487</x:v>
      </x:c>
      <x:c r="AK531" s="11" t="n">
        <x:v>3344945602</x:v>
      </x:c>
      <x:c r="AL531" s="11" t="n">
        <x:v>80765788</x:v>
      </x:c>
      <x:c r="AM531" s="12" t="n">
        <x:v>0.9758543792306491</x:v>
      </x:c>
      <x:c r="AN531" s="12" t="n">
        <x:v>0.015825515060199774</x:v>
      </x:c>
      <x:c r="AO531" s="11" t="n">
        <x:v>179756431</x:v>
      </x:c>
      <x:c r="AP531" s="11" t="n">
        <x:v>177594807</x:v>
      </x:c>
      <x:c r="AQ531" s="12" t="n">
        <x:v>0.9879747056170691</x:v>
      </x:c>
      <x:c r="AR531" s="11" t="n">
        <x:v>3595.2712462757886</x:v>
      </x:c>
      <x:c r="AS531" s="11" t="n">
        <x:v>3034.2525493282365</x:v>
      </x:c>
      <x:c r="AT531" s="11" t="n">
        <x:v>1569.5070774073865</x:v>
      </x:c>
      <x:c r="AU531" s="11" t="n">
        <x:v>168.00119174770927</x:v>
      </x:c>
      <x:c r="AV531" s="11" t="n">
        <x:v>1778.7607735117208</x:v>
      </x:c>
      <x:c r="AW531" s="11" t="n">
        <x:v>1.3056670006521014</x:v>
      </x:c>
      <x:c r="AX531" s="12" t="n">
        <x:v>0.8066904662869379</x:v>
      </x:c>
      <x:c r="AY531" s="11" t="n">
        <x:v>2823.8160359162957</x:v>
      </x:c>
      <x:c r="AZ531" s="11" t="n">
        <x:v>3546.5079302077975</x:v>
      </x:c>
      <x:c r="BA531" s="11" t="n">
        <x:v>2313.177731087988</x:v>
      </x:c>
      <x:c r="BB531" s="11" t="n">
        <x:v>2783.665107049771</x:v>
      </x:c>
      <x:c r="BC531" s="11" t="n">
        <x:v>1634.933826557682</x:v>
      </x:c>
      <x:c r="BD531" s="11" t="n">
        <x:v>2437.8724475115623</x:v>
      </x:c>
      <x:c r="BE531" s="11" t="n">
        <x:v>1015.8871081440785</x:v>
      </x:c>
      <x:c r="BF531" s="11" t="n">
        <x:v>1604.3462673977224</x:v>
      </x:c>
      <x:c r="BG531" s="11" t="n">
        <x:v>757.3716446138835</x:v>
      </x:c>
      <x:c r="BH531" s="11" t="n">
        <x:v>518.5374381567245</x:v>
      </x:c>
      <x:c r="BI531" s="11" t="n">
        <x:v>1.4428133381403412</x:v>
      </x:c>
      <x:c r="BJ531" s="11" t="n">
        <x:v>1.7099330852451193</x:v>
      </x:c>
      <x:c r="BK531" s="12" t="n">
        <x:v>0.021350493990494074</x:v>
      </x:c>
      <x:c r="BL531" s="12" t="n">
        <x:v>0.02529861000232605</x:v>
      </x:c>
      <x:c r="BM531" s="12" t="n">
        <x:v>0.9847118933607182</x:v>
      </x:c>
      <x:c r="BN531" s="12" t="n">
        <x:v>0.9815511712696461</x:v>
      </x:c>
      <x:c r="BO531" s="12" t="n">
        <x:v>0.8457939120832807</x:v>
      </x:c>
      <x:c r="BP531" s="12" t="n">
        <x:v>0.8619101997275483</x:v>
      </x:c>
      <x:c r="BQ531" s="12" t="n">
        <x:v>0.9744645665293163</x:v>
      </x:c>
      <x:c r="BR531" s="12" t="n">
        <x:v>0.9623635142836453</x:v>
      </x:c>
      <x:c r="BS531" s="12" t="n">
        <x:v>0.16542076645989975</x:v>
      </x:c>
      <x:c r="BT531" s="12" t="n">
        <x:v>0.19976549769108282</x:v>
      </x:c>
      <x:c r="BU531" s="11" t="n">
        <x:v>2546783</x:v>
      </x:c>
      <x:c r="BV531" s="11" t="n">
        <x:v>7558055</x:v>
      </x:c>
      <x:c r="BW531" s="11" t="n">
        <x:v>1308260</x:v>
      </x:c>
      <x:c r="BX531" s="11" t="n">
        <x:v>20322332</x:v>
      </x:c>
      <x:c r="BY531" s="11" t="n">
        <x:v>0</x:v>
      </x:c>
      <x:c r="BZ531" s="11" t="n">
        <x:v>14988901</x:v>
      </x:c>
      <x:c r="CA531" s="11" t="n">
        <x:v>359641</x:v>
      </x:c>
      <x:c r="CB531" s="11" t="n">
        <x:v>0</x:v>
      </x:c>
      <x:c r="CC531" s="11" t="n">
        <x:v>28688289</x:v>
      </x:c>
      <x:c r="CD531" s="11" t="n">
        <x:v>60972246</x:v>
      </x:c>
      <x:c r="CE531" s="11" t="n">
        <x:v>4421357</x:v>
      </x:c>
      <x:c r="CF531" s="11" t="n">
        <x:v>424701</x:v>
      </x:c>
      <x:c r="CG531" s="11" t="n">
        <x:v>8886791</x:v>
      </x:c>
      <x:c r="CH531" s="11" t="n">
        <x:v>19089876</x:v>
      </x:c>
      <x:c r="CI531" s="11" t="n">
        <x:v>36181277</x:v>
      </x:c>
      <x:c r="CJ531" s="11" t="n">
        <x:v>10036281</x:v>
      </x:c>
      <x:c r="CK531" s="11" t="n">
        <x:v>17088486</x:v>
      </x:c>
      <x:c r="CL531" s="11" t="n">
        <x:v>52624822</x:v>
      </x:c>
      <x:c r="CM531" s="11" t="n">
        <x:v>0</x:v>
      </x:c>
      <x:c r="CN531" s="11" t="n">
        <x:v>415320</x:v>
      </x:c>
      <x:c r="CO531" s="11" t="n">
        <x:v>0</x:v>
      </x:c>
      <x:c r="CP531" s="8"/>
      <x:c r="CQ531" s="8"/>
    </x:row>
    <x:row r="532">
      <x:c r="A532" s="8" t="str">
        <x:v>North Cowichan|2019</x:v>
      </x:c>
      <x:c r="B532" s="8" t="str">
        <x:v>north-cowichan-d</x:v>
      </x:c>
      <x:c r="C532" s="8" t="str">
        <x:v>North Cowichan</x:v>
      </x:c>
      <x:c r="D532" s="8" t="str">
        <x:v>North Cowichan</x:v>
      </x:c>
      <x:c r="E532" s="8" t="str">
        <x:v>D</x:v>
      </x:c>
      <x:c r="F532" s="8" t="str">
        <x:v>COW</x:v>
      </x:c>
      <x:c r="G532" s="9" t="n">
        <x:v>2019</x:v>
      </x:c>
      <x:c r="H532" s="10" t="n">
        <x:v>32120</x:v>
      </x:c>
      <x:c r="I532" s="8" t="str">
        <x:v>20,000 to 99,999</x:v>
      </x:c>
      <x:c r="J532" s="11" t="n">
        <x:v>57304463</x:v>
      </x:c>
      <x:c r="K532" s="11" t="n">
        <x:v>49987497</x:v>
      </x:c>
      <x:c r="L532" s="11" t="n">
        <x:v>7316966</x:v>
      </x:c>
      <x:c r="M532" s="12" t="n">
        <x:v>0.1276857964797611</x:v>
      </x:c>
      <x:c r="N532" s="11" t="n">
        <x:v>36473691</x:v>
      </x:c>
      <x:c r="O532" s="11" t="n">
        <x:v>13119108</x:v>
      </x:c>
      <x:c r="P532" s="11" t="n">
        <x:v>3286917</x:v>
      </x:c>
      <x:c r="Q532" s="11" t="n">
        <x:v>4424747</x:v>
      </x:c>
      <x:c r="R532" s="11" t="n">
        <x:v>39481528</x:v>
      </x:c>
      <x:c r="S532" s="11" t="n">
        <x:v>9569240</x:v>
      </x:c>
      <x:c r="T532" s="11" t="n">
        <x:v>75617245</x:v>
      </x:c>
      <x:c r="U532" s="11" t="n">
        <x:v>46476320</x:v>
      </x:c>
      <x:c r="V532" s="11" t="n">
        <x:v>36181744</x:v>
      </x:c>
      <x:c r="W532" s="11" t="n">
        <x:v>17318327</x:v>
      </x:c>
      <x:c r="X532" s="11" t="n">
        <x:v>20407420</x:v>
      </x:c>
      <x:c r="Y532" s="11" t="n">
        <x:v>0</x:v>
      </x:c>
      <x:c r="Z532" s="11" t="n">
        <x:v>1014571</x:v>
      </x:c>
      <x:c r="AA532" s="11" t="n">
        <x:v>19012952</x:v>
      </x:c>
      <x:c r="AB532" s="11" t="n">
        <x:v>936729</x:v>
      </x:c>
      <x:c r="AC532" s="11" t="n">
        <x:v>1951300</x:v>
      </x:c>
      <x:c r="AD532" s="11" t="n">
        <x:v>12821970</x:v>
      </x:c>
      <x:c r="AE532" s="11" t="n">
        <x:v>10800856</x:v>
      </x:c>
      <x:c r="AF532" s="11" t="n">
        <x:v>51287881</x:v>
      </x:c>
      <x:c r="AG532" s="11" t="n">
        <x:v>451543030</x:v>
      </x:c>
      <x:c r="AH532" s="11" t="n">
        <x:v>179977044</x:v>
      </x:c>
      <x:c r="AI532" s="11" t="n">
        <x:v>271565986</x:v>
      </x:c>
      <x:c r="AJ532" s="11" t="n">
        <x:v>9119545</x:v>
      </x:c>
      <x:c r="AK532" s="11" t="n">
        <x:v>1441275594</x:v>
      </x:c>
      <x:c r="AL532" s="11" t="n">
        <x:v>26234825</x:v>
      </x:c>
      <x:c r="AM532" s="12" t="n">
        <x:v>0.9817974958368718</x:v>
      </x:c>
      <x:c r="AN532" s="12" t="n">
        <x:v>0.006327412354697793</x:v>
      </x:c>
      <x:c r="AO532" s="11" t="n">
        <x:v>62965945</x:v>
      </x:c>
      <x:c r="AP532" s="11" t="n">
        <x:v>61036011</x:v>
      </x:c>
      <x:c r="AQ532" s="12" t="n">
        <x:v>0.9693495587178117</x:v>
      </x:c>
      <x:c r="AR532" s="11" t="n">
        <x:v>1784.0741905354919</x:v>
      </x:c>
      <x:c r="AS532" s="11" t="n">
        <x:v>1556.2732565379827</x:v>
      </x:c>
      <x:c r="AT532" s="11" t="n">
        <x:v>1126.455292652553</x:v>
      </x:c>
      <x:c r="AU532" s="11" t="n">
        <x:v>539.1758094645081</x:v>
      </x:c>
      <x:c r="AV532" s="11" t="n">
        <x:v>591.9349937733499</x:v>
      </x:c>
      <x:c r="AW532" s="11" t="n">
        <x:v>1.6270058601885864</x:v>
      </x:c>
      <x:c r="AX532" s="12" t="n">
        <x:v>0.8423710241093997</x:v>
      </x:c>
      <x:c r="AY532" s="11"/>
      <x:c r="AZ532" s="11"/>
      <x:c r="BA532" s="11"/>
      <x:c r="BB532" s="11"/>
      <x:c r="BC532" s="11"/>
      <x:c r="BD532" s="11"/>
      <x:c r="BE532" s="11"/>
      <x:c r="BF532" s="11"/>
      <x:c r="BG532" s="11"/>
      <x:c r="BH532" s="11"/>
      <x:c r="BI532" s="11"/>
      <x:c r="BJ532" s="11"/>
      <x:c r="BK532" s="12"/>
      <x:c r="BL532" s="12"/>
      <x:c r="BM532" s="12"/>
      <x:c r="BN532" s="12"/>
      <x:c r="BO532" s="12"/>
      <x:c r="BP532" s="12"/>
      <x:c r="BQ532" s="12"/>
      <x:c r="BR532" s="12"/>
      <x:c r="BS532" s="12"/>
      <x:c r="BT532" s="12"/>
      <x:c r="BU532" s="11" t="n">
        <x:v>0</x:v>
      </x:c>
      <x:c r="BV532" s="11" t="n">
        <x:v>3005278</x:v>
      </x:c>
      <x:c r="BW532" s="11" t="n">
        <x:v>281639</x:v>
      </x:c>
      <x:c r="BX532" s="11" t="n">
        <x:v>1781787</x:v>
      </x:c>
      <x:c r="BY532" s="11" t="n">
        <x:v>0</x:v>
      </x:c>
      <x:c r="BZ532" s="11" t="n">
        <x:v>2595164</x:v>
      </x:c>
      <x:c r="CA532" s="11" t="n">
        <x:v>47796</x:v>
      </x:c>
      <x:c r="CB532" s="11" t="n">
        <x:v>0</x:v>
      </x:c>
      <x:c r="CC532" s="11" t="n">
        <x:v>5835932</x:v>
      </x:c>
      <x:c r="CD532" s="11" t="n">
        <x:v>9526723</x:v>
      </x:c>
      <x:c r="CE532" s="11" t="n">
        <x:v>1316239</x:v>
      </x:c>
      <x:c r="CF532" s="11" t="n">
        <x:v>0</x:v>
      </x:c>
      <x:c r="CG532" s="11" t="n">
        <x:v>1168797</x:v>
      </x:c>
      <x:c r="CH532" s="11" t="n">
        <x:v>4942089</x:v>
      </x:c>
      <x:c r="CI532" s="11" t="n">
        <x:v>9591833</x:v>
      </x:c>
      <x:c r="CJ532" s="11" t="n">
        <x:v>3532717</x:v>
      </x:c>
      <x:c r="CK532" s="11" t="n">
        <x:v>2832684</x:v>
      </x:c>
      <x:c r="CL532" s="11" t="n">
        <x:v>1671243</x:v>
      </x:c>
      <x:c r="CM532" s="11"/>
      <x:c r="CN532" s="11" t="n">
        <x:v>0</x:v>
      </x:c>
      <x:c r="CO532" s="11" t="n">
        <x:v>0</x:v>
      </x:c>
      <x:c r="CP532" s="8"/>
      <x:c r="CQ532" s="8"/>
    </x:row>
    <x:row r="533">
      <x:c r="A533" s="8" t="str">
        <x:v>North Cowichan|2020</x:v>
      </x:c>
      <x:c r="B533" s="8" t="str">
        <x:v>north-cowichan-d</x:v>
      </x:c>
      <x:c r="C533" s="8" t="str">
        <x:v>North Cowichan</x:v>
      </x:c>
      <x:c r="D533" s="8" t="str">
        <x:v>North Cowichan</x:v>
      </x:c>
      <x:c r="E533" s="8" t="str">
        <x:v>D</x:v>
      </x:c>
      <x:c r="F533" s="8" t="str">
        <x:v>COW</x:v>
      </x:c>
      <x:c r="G533" s="9" t="n">
        <x:v>2020</x:v>
      </x:c>
      <x:c r="H533" s="10" t="n">
        <x:v>32475</x:v>
      </x:c>
      <x:c r="I533" s="8" t="str">
        <x:v>20,000 to 99,999</x:v>
      </x:c>
      <x:c r="J533" s="11" t="n">
        <x:v>69829955</x:v>
      </x:c>
      <x:c r="K533" s="11" t="n">
        <x:v>48825527</x:v>
      </x:c>
      <x:c r="L533" s="11" t="n">
        <x:v>21004428</x:v>
      </x:c>
      <x:c r="M533" s="12" t="n">
        <x:v>0.300793950103505</x:v>
      </x:c>
      <x:c r="N533" s="11" t="n">
        <x:v>37549669</x:v>
      </x:c>
      <x:c r="O533" s="11" t="n">
        <x:v>10659117</x:v>
      </x:c>
      <x:c r="P533" s="11" t="n">
        <x:v>8977994</x:v>
      </x:c>
      <x:c r="Q533" s="11" t="n">
        <x:v>12643175</x:v>
      </x:c>
      <x:c r="R533" s="11" t="n">
        <x:v>38127405</x:v>
      </x:c>
      <x:c r="S533" s="11" t="n">
        <x:v>9852916</x:v>
      </x:c>
      <x:c r="T533" s="11" t="n">
        <x:v>86971781</x:v>
      </x:c>
      <x:c r="U533" s="11" t="n">
        <x:v>51580056</x:v>
      </x:c>
      <x:c r="V533" s="11" t="n">
        <x:v>43941948</x:v>
      </x:c>
      <x:c r="W533" s="11" t="n">
        <x:v>21398231</x:v>
      </x:c>
      <x:c r="X533" s="11" t="n">
        <x:v>19012952</x:v>
      </x:c>
      <x:c r="Y533" s="11" t="n">
        <x:v>0</x:v>
      </x:c>
      <x:c r="Z533" s="11" t="n">
        <x:v>1015556</x:v>
      </x:c>
      <x:c r="AA533" s="11" t="n">
        <x:v>17563984</x:v>
      </x:c>
      <x:c r="AB533" s="11" t="n">
        <x:v>845206</x:v>
      </x:c>
      <x:c r="AC533" s="11" t="n">
        <x:v>1860762</x:v>
      </x:c>
      <x:c r="AD533" s="11" t="n">
        <x:v>12417282</x:v>
      </x:c>
      <x:c r="AE533" s="11" t="n">
        <x:v>6675440</x:v>
      </x:c>
      <x:c r="AF533" s="11" t="n">
        <x:v>49669129</x:v>
      </x:c>
      <x:c r="AG533" s="11" t="n">
        <x:v>474381581</x:v>
      </x:c>
      <x:c r="AH533" s="11" t="n">
        <x:v>189639114</x:v>
      </x:c>
      <x:c r="AI533" s="11" t="n">
        <x:v>284742467</x:v>
      </x:c>
      <x:c r="AJ533" s="11" t="n">
        <x:v>23070126</x:v>
      </x:c>
      <x:c r="AK533" s="11" t="n">
        <x:v>1464165668</x:v>
      </x:c>
      <x:c r="AL533" s="11" t="n">
        <x:v>26514659</x:v>
      </x:c>
      <x:c r="AM533" s="12" t="n">
        <x:v>0.981890943368302</x:v>
      </x:c>
      <x:c r="AN533" s="12" t="n">
        <x:v>0.01575649976242989</x:v>
      </x:c>
      <x:c r="AO533" s="11" t="n">
        <x:v>64909671</x:v>
      </x:c>
      <x:c r="AP533" s="11" t="n">
        <x:v>62944003</x:v>
      </x:c>
      <x:c r="AQ533" s="12" t="n">
        <x:v>0.9697168700793446</x:v>
      </x:c>
      <x:c r="AR533" s="11" t="n">
        <x:v>2150.26805234796</x:v>
      </x:c>
      <x:c r="AS533" s="11" t="n">
        <x:v>1503.4804311008468</x:v>
      </x:c>
      <x:c r="AT533" s="11" t="n">
        <x:v>1353.1007852193995</x:v>
      </x:c>
      <x:c r="AU533" s="11" t="n">
        <x:v>658.9139645881447</x:v>
      </x:c>
      <x:c r="AV533" s="11" t="n">
        <x:v>540.8463125481139</x:v>
      </x:c>
      <x:c r="AW533" s="11" t="n">
        <x:v>1.6861513488857012</x:v>
      </x:c>
      <x:c r="AX533" s="12" t="n">
        <x:v>0.5375926873529973</x:v>
      </x:c>
      <x:c r="AY533" s="11"/>
      <x:c r="AZ533" s="11"/>
      <x:c r="BA533" s="11"/>
      <x:c r="BB533" s="11"/>
      <x:c r="BC533" s="11"/>
      <x:c r="BD533" s="11"/>
      <x:c r="BE533" s="11"/>
      <x:c r="BF533" s="11"/>
      <x:c r="BG533" s="11"/>
      <x:c r="BH533" s="11"/>
      <x:c r="BI533" s="11"/>
      <x:c r="BJ533" s="11"/>
      <x:c r="BK533" s="12"/>
      <x:c r="BL533" s="12"/>
      <x:c r="BM533" s="12"/>
      <x:c r="BN533" s="12"/>
      <x:c r="BO533" s="12"/>
      <x:c r="BP533" s="12"/>
      <x:c r="BQ533" s="12"/>
      <x:c r="BR533" s="12"/>
      <x:c r="BS533" s="12"/>
      <x:c r="BT533" s="12"/>
      <x:c r="BU533" s="11" t="n">
        <x:v>0</x:v>
      </x:c>
      <x:c r="BV533" s="11" t="n">
        <x:v>8801672</x:v>
      </x:c>
      <x:c r="BW533" s="11" t="n">
        <x:v>176322</x:v>
      </x:c>
      <x:c r="BX533" s="11" t="n">
        <x:v>1559832</x:v>
      </x:c>
      <x:c r="BY533" s="11" t="n">
        <x:v>0</x:v>
      </x:c>
      <x:c r="BZ533" s="11" t="n">
        <x:v>11080199</x:v>
      </x:c>
      <x:c r="CA533" s="11" t="n">
        <x:v>3144</x:v>
      </x:c>
      <x:c r="CB533" s="11" t="n">
        <x:v>0</x:v>
      </x:c>
      <x:c r="CC533" s="11" t="n">
        <x:v>5794748</x:v>
      </x:c>
      <x:c r="CD533" s="11" t="n">
        <x:v>9873198</x:v>
      </x:c>
      <x:c r="CE533" s="11" t="n">
        <x:v>1436058</x:v>
      </x:c>
      <x:c r="CF533" s="11" t="n">
        <x:v>0</x:v>
      </x:c>
      <x:c r="CG533" s="11" t="n">
        <x:v>1168202</x:v>
      </x:c>
      <x:c r="CH533" s="11" t="n">
        <x:v>5073225</x:v>
      </x:c>
      <x:c r="CI533" s="11" t="n">
        <x:v>8211310</x:v>
      </x:c>
      <x:c r="CJ533" s="11" t="n">
        <x:v>3463499</x:v>
      </x:c>
      <x:c r="CK533" s="11" t="n">
        <x:v>2607683</x:v>
      </x:c>
      <x:c r="CL533" s="11" t="n">
        <x:v>1316656</x:v>
      </x:c>
      <x:c r="CM533" s="11"/>
      <x:c r="CN533" s="11" t="n">
        <x:v>28032</x:v>
      </x:c>
      <x:c r="CO533" s="11" t="n">
        <x:v>0</x:v>
      </x:c>
      <x:c r="CP533" s="8"/>
      <x:c r="CQ533" s="8"/>
    </x:row>
    <x:row r="534">
      <x:c r="A534" s="8" t="str">
        <x:v>North Cowichan|2021</x:v>
      </x:c>
      <x:c r="B534" s="8" t="str">
        <x:v>north-cowichan-d</x:v>
      </x:c>
      <x:c r="C534" s="8" t="str">
        <x:v>North Cowichan</x:v>
      </x:c>
      <x:c r="D534" s="8" t="str">
        <x:v>North Cowichan</x:v>
      </x:c>
      <x:c r="E534" s="8" t="str">
        <x:v>D</x:v>
      </x:c>
      <x:c r="F534" s="8" t="str">
        <x:v>COW</x:v>
      </x:c>
      <x:c r="G534" s="9" t="n">
        <x:v>2021</x:v>
      </x:c>
      <x:c r="H534" s="10" t="n">
        <x:v>32850</x:v>
      </x:c>
      <x:c r="I534" s="8" t="str">
        <x:v>20,000 to 99,999</x:v>
      </x:c>
      <x:c r="J534" s="11" t="n">
        <x:v>58587069</x:v>
      </x:c>
      <x:c r="K534" s="11" t="n">
        <x:v>54653445</x:v>
      </x:c>
      <x:c r="L534" s="11" t="n">
        <x:v>3933624</x:v>
      </x:c>
      <x:c r="M534" s="12" t="n">
        <x:v>0.06714150523556657</x:v>
      </x:c>
      <x:c r="N534" s="11" t="n">
        <x:v>38793213</x:v>
      </x:c>
      <x:c r="O534" s="11" t="n">
        <x:v>12685813</x:v>
      </x:c>
      <x:c r="P534" s="11" t="n">
        <x:v>4546075</x:v>
      </x:c>
      <x:c r="Q534" s="11" t="n">
        <x:v>2561968</x:v>
      </x:c>
      <x:c r="R534" s="11" t="n">
        <x:v>43732821</x:v>
      </x:c>
      <x:c r="S534" s="11" t="n">
        <x:v>10101493</x:v>
      </x:c>
      <x:c r="T534" s="11" t="n">
        <x:v>95499658</x:v>
      </x:c>
      <x:c r="U534" s="11" t="n">
        <x:v>63506649</x:v>
      </x:c>
      <x:c r="V534" s="11" t="n">
        <x:v>39153566</x:v>
      </x:c>
      <x:c r="W534" s="11" t="n">
        <x:v>21931417</x:v>
      </x:c>
      <x:c r="X534" s="11" t="n">
        <x:v>17563984</x:v>
      </x:c>
      <x:c r="Y534" s="11" t="n">
        <x:v>11616700</x:v>
      </x:c>
      <x:c r="Z534" s="11" t="n">
        <x:v>1028523</x:v>
      </x:c>
      <x:c r="AA534" s="11" t="n">
        <x:v>27672074</x:v>
      </x:c>
      <x:c r="AB534" s="11" t="n">
        <x:v>819131</x:v>
      </x:c>
      <x:c r="AC534" s="11" t="n">
        <x:v>1847654</x:v>
      </x:c>
      <x:c r="AD534" s="11" t="n">
        <x:v>13003525</x:v>
      </x:c>
      <x:c r="AE534" s="11" t="n">
        <x:v>6910033</x:v>
      </x:c>
      <x:c r="AF534" s="11" t="n">
        <x:v>52014098</x:v>
      </x:c>
      <x:c r="AG534" s="11" t="n">
        <x:v>492838001</x:v>
      </x:c>
      <x:c r="AH534" s="11" t="n">
        <x:v>199502010</x:v>
      </x:c>
      <x:c r="AI534" s="11" t="n">
        <x:v>293335991</x:v>
      </x:c>
      <x:c r="AJ534" s="11" t="n">
        <x:v>18825744</x:v>
      </x:c>
      <x:c r="AK534" s="11" t="n">
        <x:v>1476630595</x:v>
      </x:c>
      <x:c r="AL534" s="11" t="n">
        <x:v>25826275</x:v>
      </x:c>
      <x:c r="AM534" s="12" t="n">
        <x:v>0.9825099960088528</x:v>
      </x:c>
      <x:c r="AN534" s="12" t="n">
        <x:v>0.012749122267780182</x:v>
      </x:c>
      <x:c r="AO534" s="11" t="n">
        <x:v>68453475</x:v>
      </x:c>
      <x:c r="AP534" s="11" t="n">
        <x:v>66557440</x:v>
      </x:c>
      <x:c r="AQ534" s="12" t="n">
        <x:v>0.9723018444279126</x:v>
      </x:c>
      <x:c r="AR534" s="11" t="n">
        <x:v>1783.4724200913242</x:v>
      </x:c>
      <x:c r="AS534" s="11" t="n">
        <x:v>1663.727397260274</x:v>
      </x:c>
      <x:c r="AT534" s="11" t="n">
        <x:v>1191.8893759512937</x:v>
      </x:c>
      <x:c r="AU534" s="11" t="n">
        <x:v>667.6230441400304</x:v>
      </x:c>
      <x:c r="AV534" s="11" t="n">
        <x:v>842.3766818873668</x:v>
      </x:c>
      <x:c r="AW534" s="11" t="n">
        <x:v>1.5037741638674715</x:v>
      </x:c>
      <x:c r="AX534" s="12" t="n">
        <x:v>0.5313969096841049</x:v>
      </x:c>
      <x:c r="AY534" s="11"/>
      <x:c r="AZ534" s="11"/>
      <x:c r="BA534" s="11"/>
      <x:c r="BB534" s="11"/>
      <x:c r="BC534" s="11"/>
      <x:c r="BD534" s="11"/>
      <x:c r="BE534" s="11"/>
      <x:c r="BF534" s="11"/>
      <x:c r="BG534" s="11"/>
      <x:c r="BH534" s="11"/>
      <x:c r="BI534" s="11"/>
      <x:c r="BJ534" s="11"/>
      <x:c r="BK534" s="12"/>
      <x:c r="BL534" s="12"/>
      <x:c r="BM534" s="12"/>
      <x:c r="BN534" s="12"/>
      <x:c r="BO534" s="12"/>
      <x:c r="BP534" s="12"/>
      <x:c r="BQ534" s="12"/>
      <x:c r="BR534" s="12"/>
      <x:c r="BS534" s="12"/>
      <x:c r="BT534" s="12"/>
      <x:c r="BU534" s="11" t="n">
        <x:v>0</x:v>
      </x:c>
      <x:c r="BV534" s="11" t="n">
        <x:v>3085725</x:v>
      </x:c>
      <x:c r="BW534" s="11" t="n">
        <x:v>1460350</x:v>
      </x:c>
      <x:c r="BX534" s="11" t="n">
        <x:v>672754</x:v>
      </x:c>
      <x:c r="BY534" s="11" t="n">
        <x:v>0</x:v>
      </x:c>
      <x:c r="BZ534" s="11" t="n">
        <x:v>1889214</x:v>
      </x:c>
      <x:c r="CA534" s="11" t="n">
        <x:v>0</x:v>
      </x:c>
      <x:c r="CB534" s="11" t="n">
        <x:v>0</x:v>
      </x:c>
      <x:c r="CC534" s="11" t="n">
        <x:v>6329359</x:v>
      </x:c>
      <x:c r="CD534" s="11" t="n">
        <x:v>10385460</x:v>
      </x:c>
      <x:c r="CE534" s="11" t="n">
        <x:v>2040890</x:v>
      </x:c>
      <x:c r="CF534" s="11" t="n">
        <x:v>0</x:v>
      </x:c>
      <x:c r="CG534" s="11" t="n">
        <x:v>1393651</x:v>
      </x:c>
      <x:c r="CH534" s="11" t="n">
        <x:v>6463036</x:v>
      </x:c>
      <x:c r="CI534" s="11" t="n">
        <x:v>10766016</x:v>
      </x:c>
      <x:c r="CJ534" s="11" t="n">
        <x:v>3758659</x:v>
      </x:c>
      <x:c r="CK534" s="11" t="n">
        <x:v>2664925</x:v>
      </x:c>
      <x:c r="CL534" s="11" t="n">
        <x:v>629516</x:v>
      </x:c>
      <x:c r="CM534" s="11"/>
      <x:c r="CN534" s="11" t="n">
        <x:v>120440</x:v>
      </x:c>
      <x:c r="CO534" s="11" t="n">
        <x:v>0</x:v>
      </x:c>
      <x:c r="CP534" s="8"/>
      <x:c r="CQ534" s="8"/>
    </x:row>
    <x:row r="535">
      <x:c r="A535" s="8" t="str">
        <x:v>North Cowichan|2022</x:v>
      </x:c>
      <x:c r="B535" s="8" t="str">
        <x:v>north-cowichan-d</x:v>
      </x:c>
      <x:c r="C535" s="8" t="str">
        <x:v>North Cowichan</x:v>
      </x:c>
      <x:c r="D535" s="8" t="str">
        <x:v>North Cowichan</x:v>
      </x:c>
      <x:c r="E535" s="8" t="str">
        <x:v>D</x:v>
      </x:c>
      <x:c r="F535" s="8" t="str">
        <x:v>COW</x:v>
      </x:c>
      <x:c r="G535" s="9" t="n">
        <x:v>2022</x:v>
      </x:c>
      <x:c r="H535" s="10" t="n">
        <x:v>12671</x:v>
      </x:c>
      <x:c r="I535" s="8" t="str">
        <x:v>5,000 to 19,999</x:v>
      </x:c>
      <x:c r="J535" s="11" t="n">
        <x:v>64826694</x:v>
      </x:c>
      <x:c r="K535" s="11" t="n">
        <x:v>58068909</x:v>
      </x:c>
      <x:c r="L535" s="11" t="n">
        <x:v>6757785</x:v>
      </x:c>
      <x:c r="M535" s="12" t="n">
        <x:v>0.10424386287537661</x:v>
      </x:c>
      <x:c r="N535" s="11" t="n">
        <x:v>40926423</x:v>
      </x:c>
      <x:c r="O535" s="11" t="n">
        <x:v>13189783</x:v>
      </x:c>
      <x:c r="P535" s="11" t="n">
        <x:v>3445852</x:v>
      </x:c>
      <x:c r="Q535" s="11" t="n">
        <x:v>7264636</x:v>
      </x:c>
      <x:c r="R535" s="11" t="n">
        <x:v>46414223</x:v>
      </x:c>
      <x:c r="S535" s="11" t="n">
        <x:v>10428914</x:v>
      </x:c>
      <x:c r="T535" s="11" t="n">
        <x:v>96084051</x:v>
      </x:c>
      <x:c r="U535" s="11" t="n">
        <x:v>79089285</x:v>
      </x:c>
      <x:c r="V535" s="11" t="n">
        <x:v>24864777</x:v>
      </x:c>
      <x:c r="W535" s="11" t="n">
        <x:v>19477371</x:v>
      </x:c>
      <x:c r="X535" s="11" t="n">
        <x:v>27672074</x:v>
      </x:c>
      <x:c r="Y535" s="11" t="n">
        <x:v>10900000</x:v>
      </x:c>
      <x:c r="Z535" s="11" t="n">
        <x:v>12294782</x:v>
      </x:c>
      <x:c r="AA535" s="11" t="n">
        <x:v>36840235</x:v>
      </x:c>
      <x:c r="AB535" s="11" t="n">
        <x:v>1225772</x:v>
      </x:c>
      <x:c r="AC535" s="11" t="n">
        <x:v>2420554</x:v>
      </x:c>
      <x:c r="AD535" s="11" t="n">
        <x:v>14350237</x:v>
      </x:c>
      <x:c r="AE535" s="11" t="n">
        <x:v>9446764</x:v>
      </x:c>
      <x:c r="AF535" s="11" t="n">
        <x:v>57400947</x:v>
      </x:c>
      <x:c r="AG535" s="11" t="n">
        <x:v>523924115</x:v>
      </x:c>
      <x:c r="AH535" s="11" t="n">
        <x:v>209830886</x:v>
      </x:c>
      <x:c r="AI535" s="11" t="n">
        <x:v>314093229</x:v>
      </x:c>
      <x:c r="AJ535" s="11" t="n">
        <x:v>31367237</x:v>
      </x:c>
      <x:c r="AK535" s="11" t="n">
        <x:v>1457140842</x:v>
      </x:c>
      <x:c r="AL535" s="11" t="n">
        <x:v>27267346</x:v>
      </x:c>
      <x:c r="AM535" s="12" t="n">
        <x:v>0.9812870896113418</x:v>
      </x:c>
      <x:c r="AN535" s="12" t="n">
        <x:v>0.02152656496605151</x:v>
      </x:c>
      <x:c r="AO535" s="11" t="n">
        <x:v>72379588</x:v>
      </x:c>
      <x:c r="AP535" s="11" t="n">
        <x:v>70002284</x:v>
      </x:c>
      <x:c r="AQ535" s="12" t="n">
        <x:v>0.9671550492937319</x:v>
      </x:c>
      <x:c r="AR535" s="11" t="n">
        <x:v>5116.1466340462475</x:v>
      </x:c>
      <x:c r="AS535" s="11" t="n">
        <x:v>4582.819745876411</x:v>
      </x:c>
      <x:c r="AT535" s="11" t="n">
        <x:v>1962.33738457896</x:v>
      </x:c>
      <x:c r="AU535" s="11" t="n">
        <x:v>1537.161313234946</x:v>
      </x:c>
      <x:c r="AV535" s="11" t="n">
        <x:v>2907.4449530423803</x:v>
      </x:c>
      <x:c r="AW535" s="11" t="n">
        <x:v>1.2148807641894854</x:v>
      </x:c>
      <x:c r="AX535" s="12" t="n">
        <x:v>0.6583002078641628</x:v>
      </x:c>
      <x:c r="AY535" s="11"/>
      <x:c r="AZ535" s="11"/>
      <x:c r="BA535" s="11"/>
      <x:c r="BB535" s="11"/>
      <x:c r="BC535" s="11"/>
      <x:c r="BD535" s="11"/>
      <x:c r="BE535" s="11"/>
      <x:c r="BF535" s="11"/>
      <x:c r="BG535" s="11"/>
      <x:c r="BH535" s="11"/>
      <x:c r="BI535" s="11"/>
      <x:c r="BJ535" s="11"/>
      <x:c r="BK535" s="12"/>
      <x:c r="BL535" s="12"/>
      <x:c r="BM535" s="12"/>
      <x:c r="BN535" s="12"/>
      <x:c r="BO535" s="12"/>
      <x:c r="BP535" s="12"/>
      <x:c r="BQ535" s="12"/>
      <x:c r="BR535" s="12"/>
      <x:c r="BS535" s="12"/>
      <x:c r="BT535" s="12"/>
      <x:c r="BU535" s="11" t="n">
        <x:v>0</x:v>
      </x:c>
      <x:c r="BV535" s="11" t="n">
        <x:v>1811950</x:v>
      </x:c>
      <x:c r="BW535" s="11" t="n">
        <x:v>1633902</x:v>
      </x:c>
      <x:c r="BX535" s="11" t="n">
        <x:v>3689790</x:v>
      </x:c>
      <x:c r="BY535" s="11" t="n">
        <x:v>0</x:v>
      </x:c>
      <x:c r="BZ535" s="11" t="n">
        <x:v>3574846</x:v>
      </x:c>
      <x:c r="CA535" s="11" t="n">
        <x:v>0</x:v>
      </x:c>
      <x:c r="CB535" s="11" t="n">
        <x:v>0</x:v>
      </x:c>
      <x:c r="CC535" s="11" t="n">
        <x:v>6528063</x:v>
      </x:c>
      <x:c r="CD535" s="11" t="n">
        <x:v>11772337</x:v>
      </x:c>
      <x:c r="CE535" s="11" t="n">
        <x:v>2434044</x:v>
      </x:c>
      <x:c r="CF535" s="11" t="n">
        <x:v>0</x:v>
      </x:c>
      <x:c r="CG535" s="11" t="n">
        <x:v>1424693</x:v>
      </x:c>
      <x:c r="CH535" s="11" t="n">
        <x:v>6816211</x:v>
      </x:c>
      <x:c r="CI535" s="11" t="n">
        <x:v>11380580</x:v>
      </x:c>
      <x:c r="CJ535" s="11" t="n">
        <x:v>3793267</x:v>
      </x:c>
      <x:c r="CK535" s="11" t="n">
        <x:v>2751953</x:v>
      </x:c>
      <x:c r="CL535" s="11" t="n">
        <x:v>557762</x:v>
      </x:c>
      <x:c r="CM535" s="11"/>
      <x:c r="CN535" s="11" t="n">
        <x:v>181085</x:v>
      </x:c>
      <x:c r="CO535" s="11" t="n">
        <x:v>0</x:v>
      </x:c>
      <x:c r="CP535" s="8"/>
      <x:c r="CQ535" s="8"/>
    </x:row>
    <x:row r="536">
      <x:c r="A536" s="8" t="str">
        <x:v>North Cowichan|2023</x:v>
      </x:c>
      <x:c r="B536" s="8" t="str">
        <x:v>north-cowichan-d</x:v>
      </x:c>
      <x:c r="C536" s="8" t="str">
        <x:v>North Cowichan</x:v>
      </x:c>
      <x:c r="D536" s="8" t="str">
        <x:v>North Cowichan</x:v>
      </x:c>
      <x:c r="E536" s="8" t="str">
        <x:v>D</x:v>
      </x:c>
      <x:c r="F536" s="8" t="str">
        <x:v>COW</x:v>
      </x:c>
      <x:c r="G536" s="9" t="n">
        <x:v>2023</x:v>
      </x:c>
      <x:c r="H536" s="10" t="n">
        <x:v>34546</x:v>
      </x:c>
      <x:c r="I536" s="8" t="str">
        <x:v>20,000 to 99,999</x:v>
      </x:c>
      <x:c r="J536" s="11" t="n">
        <x:v>82533786</x:v>
      </x:c>
      <x:c r="K536" s="11" t="n">
        <x:v>64769787</x:v>
      </x:c>
      <x:c r="L536" s="11" t="n">
        <x:v>17763999</x:v>
      </x:c>
      <x:c r="M536" s="12" t="n">
        <x:v>0.2152330561934963</x:v>
      </x:c>
      <x:c r="N536" s="11" t="n">
        <x:v>43499899</x:v>
      </x:c>
      <x:c r="O536" s="11" t="n">
        <x:v>16313441</x:v>
      </x:c>
      <x:c r="P536" s="11" t="n">
        <x:v>11976566</x:v>
      </x:c>
      <x:c r="Q536" s="11" t="n">
        <x:v>10743880</x:v>
      </x:c>
      <x:c r="R536" s="11" t="n">
        <x:v>50640496</x:v>
      </x:c>
      <x:c r="S536" s="11" t="n">
        <x:v>12374329</x:v>
      </x:c>
      <x:c r="T536" s="11" t="n">
        <x:v>98160554</x:v>
      </x:c>
      <x:c r="U536" s="11" t="n">
        <x:v>116971804</x:v>
      </x:c>
      <x:c r="V536" s="11" t="n">
        <x:v>-8810259</x:v>
      </x:c>
      <x:c r="W536" s="11" t="n">
        <x:v>28404175</x:v>
      </x:c>
      <x:c r="X536" s="11" t="n">
        <x:v>36840235</x:v>
      </x:c>
      <x:c r="Y536" s="11" t="n">
        <x:v>0</x:v>
      </x:c>
      <x:c r="Z536" s="11" t="n">
        <x:v>1971315</x:v>
      </x:c>
      <x:c r="AA536" s="11" t="n">
        <x:v>34274193</x:v>
      </x:c>
      <x:c r="AB536" s="11" t="n">
        <x:v>1754962</x:v>
      </x:c>
      <x:c r="AC536" s="11" t="n">
        <x:v>3726277</x:v>
      </x:c>
      <x:c r="AD536" s="11" t="n">
        <x:v>15737816</x:v>
      </x:c>
      <x:c r="AE536" s="11" t="n">
        <x:v>9622139</x:v>
      </x:c>
      <x:c r="AF536" s="11" t="n">
        <x:v>62951263</x:v>
      </x:c>
      <x:c r="AG536" s="11" t="n">
        <x:v>582371841</x:v>
      </x:c>
      <x:c r="AH536" s="11" t="n">
        <x:v>220958351</x:v>
      </x:c>
      <x:c r="AI536" s="11" t="n">
        <x:v>361413490</x:v>
      </x:c>
      <x:c r="AJ536" s="11" t="n">
        <x:v>31341938</x:v>
      </x:c>
      <x:c r="AK536" s="11" t="n">
        <x:v>1581153934</x:v>
      </x:c>
      <x:c r="AL536" s="11" t="n">
        <x:v>29750396</x:v>
      </x:c>
      <x:c r="AM536" s="12" t="n">
        <x:v>0.9811843772068811</x:v>
      </x:c>
      <x:c r="AN536" s="12" t="n">
        <x:v>0.01982219272016813</x:v>
      </x:c>
      <x:c r="AO536" s="11" t="n">
        <x:v>78390835</x:v>
      </x:c>
      <x:c r="AP536" s="11" t="n">
        <x:v>76138143</x:v>
      </x:c>
      <x:c r="AQ536" s="12" t="n">
        <x:v>0.9712633243414234</x:v>
      </x:c>
      <x:c r="AR536" s="11" t="n">
        <x:v>2389.0981879233486</x:v>
      </x:c>
      <x:c r="AS536" s="11" t="n">
        <x:v>1874.8852833902622</x:v>
      </x:c>
      <x:c r="AT536" s="11" t="n">
        <x:v>-255.02978637179413</x:v>
      </x:c>
      <x:c r="AU536" s="11" t="n">
        <x:v>822.2131361083773</x:v>
      </x:c>
      <x:c r="AV536" s="11" t="n">
        <x:v>992.1320268627337</x:v>
      </x:c>
      <x:c r="AW536" s="11" t="n">
        <x:v>0.8391813295450243</x:v>
      </x:c>
      <x:c r="AX536" s="12" t="n">
        <x:v>0.6114024334761571</x:v>
      </x:c>
      <x:c r="AY536" s="11"/>
      <x:c r="AZ536" s="11"/>
      <x:c r="BA536" s="11"/>
      <x:c r="BB536" s="11"/>
      <x:c r="BC536" s="11"/>
      <x:c r="BD536" s="11"/>
      <x:c r="BE536" s="11"/>
      <x:c r="BF536" s="11"/>
      <x:c r="BG536" s="11"/>
      <x:c r="BH536" s="11"/>
      <x:c r="BI536" s="11"/>
      <x:c r="BJ536" s="11"/>
      <x:c r="BK536" s="12"/>
      <x:c r="BL536" s="12"/>
      <x:c r="BM536" s="12"/>
      <x:c r="BN536" s="12"/>
      <x:c r="BO536" s="12"/>
      <x:c r="BP536" s="12"/>
      <x:c r="BQ536" s="12"/>
      <x:c r="BR536" s="12"/>
      <x:c r="BS536" s="12"/>
      <x:c r="BT536" s="12"/>
      <x:c r="BU536" s="11" t="n">
        <x:v>1222951</x:v>
      </x:c>
      <x:c r="BV536" s="11" t="n">
        <x:v>9782139</x:v>
      </x:c>
      <x:c r="BW536" s="11" t="n">
        <x:v>971476</x:v>
      </x:c>
      <x:c r="BX536" s="11" t="n">
        <x:v>3680051</x:v>
      </x:c>
      <x:c r="BY536" s="11" t="n">
        <x:v>0</x:v>
      </x:c>
      <x:c r="BZ536" s="11" t="n">
        <x:v>7063829</x:v>
      </x:c>
      <x:c r="CA536" s="11" t="n">
        <x:v>0</x:v>
      </x:c>
      <x:c r="CB536" s="11" t="n">
        <x:v>0</x:v>
      </x:c>
      <x:c r="CC536" s="11" t="n">
        <x:v>7333376</x:v>
      </x:c>
      <x:c r="CD536" s="11" t="n">
        <x:v>12428261</x:v>
      </x:c>
      <x:c r="CE536" s="11" t="n">
        <x:v>1648394</x:v>
      </x:c>
      <x:c r="CF536" s="11" t="n">
        <x:v>1098318</x:v>
      </x:c>
      <x:c r="CG536" s="11" t="n">
        <x:v>1596649</x:v>
      </x:c>
      <x:c r="CH536" s="11" t="n">
        <x:v>6992417</x:v>
      </x:c>
      <x:c r="CI536" s="11" t="n">
        <x:v>11821327</x:v>
      </x:c>
      <x:c r="CJ536" s="11" t="n">
        <x:v>4421161</x:v>
      </x:c>
      <x:c r="CK536" s="11" t="n">
        <x:v>2982332</x:v>
      </x:c>
      <x:c r="CL536" s="11" t="n">
        <x:v>697337</x:v>
      </x:c>
      <x:c r="CM536" s="11" t="n">
        <x:v>1151850</x:v>
      </x:c>
      <x:c r="CN536" s="11" t="n">
        <x:v>224036</x:v>
      </x:c>
      <x:c r="CO536" s="11" t="n">
        <x:v>0</x:v>
      </x:c>
      <x:c r="CP536" s="8"/>
      <x:c r="CQ536" s="8"/>
    </x:row>
    <x:row r="537">
      <x:c r="A537" s="8" t="str">
        <x:v>North Cowichan|2024</x:v>
      </x:c>
      <x:c r="B537" s="8" t="str">
        <x:v>north-cowichan-d</x:v>
      </x:c>
      <x:c r="C537" s="8" t="str">
        <x:v>North Cowichan</x:v>
      </x:c>
      <x:c r="D537" s="8" t="str">
        <x:v>North Cowichan</x:v>
      </x:c>
      <x:c r="E537" s="8" t="str">
        <x:v>D</x:v>
      </x:c>
      <x:c r="F537" s="8" t="str">
        <x:v>COW</x:v>
      </x:c>
      <x:c r="G537" s="9" t="n">
        <x:v>2024</x:v>
      </x:c>
      <x:c r="H537" s="10" t="n">
        <x:v>34546</x:v>
      </x:c>
      <x:c r="I537" s="8" t="str">
        <x:v>20,000 to 99,999</x:v>
      </x:c>
      <x:c r="J537" s="11" t="n">
        <x:v>79991244</x:v>
      </x:c>
      <x:c r="K537" s="11" t="n">
        <x:v>69522174</x:v>
      </x:c>
      <x:c r="L537" s="11" t="n">
        <x:v>10469070</x:v>
      </x:c>
      <x:c r="M537" s="12" t="n">
        <x:v>0.1308776995642173</x:v>
      </x:c>
      <x:c r="N537" s="11" t="n">
        <x:v>46121341</x:v>
      </x:c>
      <x:c r="O537" s="11" t="n">
        <x:v>17851588</x:v>
      </x:c>
      <x:c r="P537" s="11" t="n">
        <x:v>4756109</x:v>
      </x:c>
      <x:c r="Q537" s="11" t="n">
        <x:v>11262206</x:v>
      </x:c>
      <x:c r="R537" s="11" t="n">
        <x:v>54858172</x:v>
      </x:c>
      <x:c r="S537" s="11" t="n">
        <x:v>12710677</x:v>
      </x:c>
      <x:c r="T537" s="11" t="n">
        <x:v>96070672</x:v>
      </x:c>
      <x:c r="U537" s="11" t="n">
        <x:v>115897251</x:v>
      </x:c>
      <x:c r="V537" s="11" t="n">
        <x:v>-4017515</x:v>
      </x:c>
      <x:c r="W537" s="11" t="n">
        <x:v>26631635</x:v>
      </x:c>
      <x:c r="X537" s="11" t="n">
        <x:v>34274193</x:v>
      </x:c>
      <x:c r="Y537" s="11" t="n">
        <x:v>0</x:v>
      </x:c>
      <x:c r="Z537" s="11" t="n">
        <x:v>2011317</x:v>
      </x:c>
      <x:c r="AA537" s="11" t="n">
        <x:v>31584655</x:v>
      </x:c>
      <x:c r="AB537" s="11" t="n">
        <x:v>1953325</x:v>
      </x:c>
      <x:c r="AC537" s="11" t="n">
        <x:v>3964642</x:v>
      </x:c>
      <x:c r="AD537" s="11" t="n">
        <x:v>16656347</x:v>
      </x:c>
      <x:c r="AE537" s="11" t="n">
        <x:v>10323105</x:v>
      </x:c>
      <x:c r="AF537" s="11" t="n">
        <x:v>66625387</x:v>
      </x:c>
      <x:c r="AG537" s="11" t="n">
        <x:v>601231531</x:v>
      </x:c>
      <x:c r="AH537" s="11" t="n">
        <x:v>233147340</x:v>
      </x:c>
      <x:c r="AI537" s="11" t="n">
        <x:v>368084191</x:v>
      </x:c>
      <x:c r="AJ537" s="11" t="n">
        <x:v>22337568</x:v>
      </x:c>
      <x:c r="AK537" s="11" t="n">
        <x:v>1648226022</x:v>
      </x:c>
      <x:c r="AL537" s="11" t="n">
        <x:v>28912905</x:v>
      </x:c>
      <x:c r="AM537" s="12" t="n">
        <x:v>0.9824581673786971</x:v>
      </x:c>
      <x:c r="AN537" s="12" t="n">
        <x:v>0.013552490800318161</x:v>
      </x:c>
      <x:c r="AO537" s="11" t="n">
        <x:v>85415884</x:v>
      </x:c>
      <x:c r="AP537" s="11" t="n">
        <x:v>82846230</x:v>
      </x:c>
      <x:c r="AQ537" s="12" t="n">
        <x:v>0.9699159701958947</x:v>
      </x:c>
      <x:c r="AR537" s="11" t="n">
        <x:v>2315.499450008684</x:v>
      </x:c>
      <x:c r="AS537" s="11" t="n">
        <x:v>2012.452208649337</x:v>
      </x:c>
      <x:c r="AT537" s="11" t="n">
        <x:v>-116.29465061077983</x:v>
      </x:c>
      <x:c r="AU537" s="11" t="n">
        <x:v>770.9035778382447</x:v>
      </x:c>
      <x:c r="AV537" s="11" t="n">
        <x:v>914.2782087651248</x:v>
      </x:c>
      <x:c r="AW537" s="11" t="n">
        <x:v>0.8289296870380471</x:v>
      </x:c>
      <x:c r="AX537" s="12" t="n">
        <x:v>0.6197700492190754</x:v>
      </x:c>
      <x:c r="AY537" s="11" t="n">
        <x:v>4511.346779173996</x:v>
      </x:c>
      <x:c r="AZ537" s="11" t="n">
        <x:v>3546.5079302077975</x:v>
      </x:c>
      <x:c r="BA537" s="11" t="n">
        <x:v>2919.303585494507</x:v>
      </x:c>
      <x:c r="BB537" s="11" t="n">
        <x:v>2783.665107049771</x:v>
      </x:c>
      <x:c r="BC537" s="11" t="n">
        <x:v>1671.5377681570433</x:v>
      </x:c>
      <x:c r="BD537" s="11" t="n">
        <x:v>2437.8724475115623</x:v>
      </x:c>
      <x:c r="BE537" s="11" t="n">
        <x:v>2013.8680402698296</x:v>
      </x:c>
      <x:c r="BF537" s="11" t="n">
        <x:v>1604.3462673977224</x:v>
      </x:c>
      <x:c r="BG537" s="11" t="n">
        <x:v>758.072703793099</x:v>
      </x:c>
      <x:c r="BH537" s="11" t="n">
        <x:v>518.5374381567245</x:v>
      </x:c>
      <x:c r="BI537" s="11" t="n">
        <x:v>1.4106251913295584</x:v>
      </x:c>
      <x:c r="BJ537" s="11" t="n">
        <x:v>1.7099330852451193</x:v>
      </x:c>
      <x:c r="BK537" s="12" t="n">
        <x:v>0.02395434950880719</x:v>
      </x:c>
      <x:c r="BL537" s="12" t="n">
        <x:v>0.02529861000232605</x:v>
      </x:c>
      <x:c r="BM537" s="12" t="n">
        <x:v>0.982881188126185</x:v>
      </x:c>
      <x:c r="BN537" s="12" t="n">
        <x:v>0.9815511712696461</x:v>
      </x:c>
      <x:c r="BO537" s="12" t="n">
        <x:v>0.7663674777332005</x:v>
      </x:c>
      <x:c r="BP537" s="12" t="n">
        <x:v>0.8619101997275483</x:v>
      </x:c>
      <x:c r="BQ537" s="12" t="n">
        <x:v>0.9710385348590358</x:v>
      </x:c>
      <x:c r="BR537" s="12" t="n">
        <x:v>0.9623635142836453</x:v>
      </x:c>
      <x:c r="BS537" s="12" t="n">
        <x:v>0.1541512928248161</x:v>
      </x:c>
      <x:c r="BT537" s="12" t="n">
        <x:v>0.19976549769108282</x:v>
      </x:c>
      <x:c r="BU537" s="11" t="n">
        <x:v>1520040</x:v>
      </x:c>
      <x:c r="BV537" s="11" t="n">
        <x:v>2943751</x:v>
      </x:c>
      <x:c r="BW537" s="11" t="n">
        <x:v>292318</x:v>
      </x:c>
      <x:c r="BX537" s="11" t="n">
        <x:v>3248699</x:v>
      </x:c>
      <x:c r="BY537" s="11" t="n">
        <x:v>0</x:v>
      </x:c>
      <x:c r="BZ537" s="11" t="n">
        <x:v>7978045</x:v>
      </x:c>
      <x:c r="CA537" s="11" t="n">
        <x:v>35462</x:v>
      </x:c>
      <x:c r="CB537" s="11" t="n">
        <x:v>0</x:v>
      </x:c>
      <x:c r="CC537" s="11" t="n">
        <x:v>7618555</x:v>
      </x:c>
      <x:c r="CD537" s="11" t="n">
        <x:v>15094904</x:v>
      </x:c>
      <x:c r="CE537" s="11" t="n">
        <x:v>1893298</x:v>
      </x:c>
      <x:c r="CF537" s="11" t="n">
        <x:v>821576</x:v>
      </x:c>
      <x:c r="CG537" s="11" t="n">
        <x:v>2067455</x:v>
      </x:c>
      <x:c r="CH537" s="11" t="n">
        <x:v>6530495</x:v>
      </x:c>
      <x:c r="CI537" s="11" t="n">
        <x:v>12744214</x:v>
      </x:c>
      <x:c r="CJ537" s="11" t="n">
        <x:v>4743172</x:v>
      </x:c>
      <x:c r="CK537" s="11" t="n">
        <x:v>3138040</x:v>
      </x:c>
      <x:c r="CL537" s="11" t="n">
        <x:v>888987</x:v>
      </x:c>
      <x:c r="CM537" s="11" t="n">
        <x:v>1226594</x:v>
      </x:c>
      <x:c r="CN537" s="11" t="n">
        <x:v>44207</x:v>
      </x:c>
      <x:c r="CO537" s="11" t="n">
        <x:v>0</x:v>
      </x:c>
      <x:c r="CP537" s="8"/>
      <x:c r="CQ537" s="8"/>
    </x:row>
    <x:row r="538">
      <x:c r="A538" s="8" t="str">
        <x:v>North Saanich|2019</x:v>
      </x:c>
      <x:c r="B538" s="8" t="str">
        <x:v>north-saanich-d</x:v>
      </x:c>
      <x:c r="C538" s="8" t="str">
        <x:v>North Saanich</x:v>
      </x:c>
      <x:c r="D538" s="8" t="str">
        <x:v>North Saanich</x:v>
      </x:c>
      <x:c r="E538" s="8" t="str">
        <x:v>D</x:v>
      </x:c>
      <x:c r="F538" s="8" t="str">
        <x:v>CAP</x:v>
      </x:c>
      <x:c r="G538" s="9" t="n">
        <x:v>2019</x:v>
      </x:c>
      <x:c r="H538" s="10" t="n">
        <x:v>11876</x:v>
      </x:c>
      <x:c r="I538" s="8" t="str">
        <x:v>5,000 to 19,999</x:v>
      </x:c>
      <x:c r="J538" s="11" t="n">
        <x:v>27083661</x:v>
      </x:c>
      <x:c r="K538" s="11" t="n">
        <x:v>17828158</x:v>
      </x:c>
      <x:c r="L538" s="11" t="n">
        <x:v>9255503</x:v>
      </x:c>
      <x:c r="M538" s="12" t="n">
        <x:v>0.341737514732591</x:v>
      </x:c>
      <x:c r="N538" s="11" t="n">
        <x:v>12682705</x:v>
      </x:c>
      <x:c r="O538" s="11" t="n">
        <x:v>5560457</x:v>
      </x:c>
      <x:c r="P538" s="11" t="n">
        <x:v>1700963</x:v>
      </x:c>
      <x:c r="Q538" s="11" t="n">
        <x:v>7139536</x:v>
      </x:c>
      <x:c r="R538" s="11" t="n">
        <x:v>14773637</x:v>
      </x:c>
      <x:c r="S538" s="11" t="n">
        <x:v>2825316</x:v>
      </x:c>
      <x:c r="T538" s="11" t="n">
        <x:v>38900528</x:v>
      </x:c>
      <x:c r="U538" s="11" t="n">
        <x:v>15498141</x:v>
      </x:c>
      <x:c r="V538" s="11" t="n">
        <x:v>25827671</x:v>
      </x:c>
      <x:c r="W538" s="11" t="n">
        <x:v>7189483</x:v>
      </x:c>
      <x:c r="X538" s="11" t="n">
        <x:v>6545686</x:v>
      </x:c>
      <x:c r="Y538" s="11" t="n">
        <x:v>0</x:v>
      </x:c>
      <x:c r="Z538" s="11" t="n">
        <x:v>269343</x:v>
      </x:c>
      <x:c r="AA538" s="11" t="n">
        <x:v>6162054</x:v>
      </x:c>
      <x:c r="AB538" s="11" t="n">
        <x:v>229205</x:v>
      </x:c>
      <x:c r="AC538" s="11" t="n">
        <x:v>498548</x:v>
      </x:c>
      <x:c r="AD538" s="11" t="n">
        <x:v>4912949</x:v>
      </x:c>
      <x:c r="AE538" s="11" t="n">
        <x:v>3907315</x:v>
      </x:c>
      <x:c r="AF538" s="11" t="n">
        <x:v>19651795</x:v>
      </x:c>
      <x:c r="AG538" s="11" t="n">
        <x:v>126580996</x:v>
      </x:c>
      <x:c r="AH538" s="11" t="n">
        <x:v>46703592</x:v>
      </x:c>
      <x:c r="AI538" s="11" t="n">
        <x:v>79877404</x:v>
      </x:c>
      <x:c r="AJ538" s="11" t="n">
        <x:v>7822950</x:v>
      </x:c>
      <x:c r="AK538" s="11" t="n">
        <x:v>430198474</x:v>
      </x:c>
      <x:c r="AL538" s="11" t="n">
        <x:v>5814800</x:v>
      </x:c>
      <x:c r="AM538" s="12" t="n">
        <x:v>0.9864834481026077</x:v>
      </x:c>
      <x:c r="AN538" s="12" t="n">
        <x:v>0.018184513597321594</x:v>
      </x:c>
      <x:c r="AO538" s="11" t="n">
        <x:v>27405737</x:v>
      </x:c>
      <x:c r="AP538" s="11" t="n">
        <x:v>26824131</x:v>
      </x:c>
      <x:c r="AQ538" s="12" t="n">
        <x:v>0.978777947113774</x:v>
      </x:c>
      <x:c r="AR538" s="11" t="n">
        <x:v>2280.5373021219266</x:v>
      </x:c>
      <x:c r="AS538" s="11" t="n">
        <x:v>1501.1921522398113</x:v>
      </x:c>
      <x:c r="AT538" s="11" t="n">
        <x:v>2174.77862916807</x:v>
      </x:c>
      <x:c r="AU538" s="11" t="n">
        <x:v>605.3791680700573</x:v>
      </x:c>
      <x:c r="AV538" s="11" t="n">
        <x:v>518.8661165375547</x:v>
      </x:c>
      <x:c r="AW538" s="11" t="n">
        <x:v>2.5100125234374886</x:v>
      </x:c>
      <x:c r="AX538" s="12" t="n">
        <x:v>0.7953094974118396</x:v>
      </x:c>
      <x:c r="AY538" s="11"/>
      <x:c r="AZ538" s="11"/>
      <x:c r="BA538" s="11"/>
      <x:c r="BB538" s="11"/>
      <x:c r="BC538" s="11"/>
      <x:c r="BD538" s="11"/>
      <x:c r="BE538" s="11"/>
      <x:c r="BF538" s="11"/>
      <x:c r="BG538" s="11"/>
      <x:c r="BH538" s="11"/>
      <x:c r="BI538" s="11"/>
      <x:c r="BJ538" s="11"/>
      <x:c r="BK538" s="12"/>
      <x:c r="BL538" s="12"/>
      <x:c r="BM538" s="12"/>
      <x:c r="BN538" s="12"/>
      <x:c r="BO538" s="12"/>
      <x:c r="BP538" s="12"/>
      <x:c r="BQ538" s="12"/>
      <x:c r="BR538" s="12"/>
      <x:c r="BS538" s="12"/>
      <x:c r="BT538" s="12"/>
      <x:c r="BU538" s="11" t="n">
        <x:v>1073732</x:v>
      </x:c>
      <x:c r="BV538" s="11" t="n">
        <x:v>627231</x:v>
      </x:c>
      <x:c r="BW538" s="11" t="n">
        <x:v>0</x:v>
      </x:c>
      <x:c r="BX538" s="11" t="n">
        <x:v>833917</x:v>
      </x:c>
      <x:c r="BY538" s="11" t="n">
        <x:v>0</x:v>
      </x:c>
      <x:c r="BZ538" s="11" t="n">
        <x:v>6021136</x:v>
      </x:c>
      <x:c r="CA538" s="11" t="n">
        <x:v>0</x:v>
      </x:c>
      <x:c r="CB538" s="11" t="n">
        <x:v>284483</x:v>
      </x:c>
      <x:c r="CC538" s="11" t="n">
        <x:v>3073847</x:v>
      </x:c>
      <x:c r="CD538" s="11" t="n">
        <x:v>3202485</x:v>
      </x:c>
      <x:c r="CE538" s="11" t="n">
        <x:v>69825</x:v>
      </x:c>
      <x:c r="CF538" s="11" t="n">
        <x:v>0</x:v>
      </x:c>
      <x:c r="CG538" s="11" t="n">
        <x:v>998141</x:v>
      </x:c>
      <x:c r="CH538" s="11" t="n">
        <x:v>1983945</x:v>
      </x:c>
      <x:c r="CI538" s="11" t="n">
        <x:v>1478908</x:v>
      </x:c>
      <x:c r="CJ538" s="11" t="n">
        <x:v>2923875</x:v>
      </x:c>
      <x:c r="CK538" s="11" t="n">
        <x:v>1102845</x:v>
      </x:c>
      <x:c r="CL538" s="11" t="n">
        <x:v>0</x:v>
      </x:c>
      <x:c r="CM538" s="11"/>
      <x:c r="CN538" s="11" t="n">
        <x:v>168971</x:v>
      </x:c>
      <x:c r="CO538" s="11" t="n">
        <x:v>0</x:v>
      </x:c>
      <x:c r="CP538" s="8"/>
      <x:c r="CQ538" s="8"/>
    </x:row>
    <x:row r="539">
      <x:c r="A539" s="8" t="str">
        <x:v>North Saanich|2020</x:v>
      </x:c>
      <x:c r="B539" s="8" t="str">
        <x:v>north-saanich-d</x:v>
      </x:c>
      <x:c r="C539" s="8" t="str">
        <x:v>North Saanich</x:v>
      </x:c>
      <x:c r="D539" s="8" t="str">
        <x:v>North Saanich</x:v>
      </x:c>
      <x:c r="E539" s="8" t="str">
        <x:v>D</x:v>
      </x:c>
      <x:c r="F539" s="8" t="str">
        <x:v>CAP</x:v>
      </x:c>
      <x:c r="G539" s="9" t="n">
        <x:v>2020</x:v>
      </x:c>
      <x:c r="H539" s="10" t="n">
        <x:v>11965</x:v>
      </x:c>
      <x:c r="I539" s="8" t="str">
        <x:v>5,000 to 19,999</x:v>
      </x:c>
      <x:c r="J539" s="11" t="n">
        <x:v>27417074</x:v>
      </x:c>
      <x:c r="K539" s="11" t="n">
        <x:v>18981594</x:v>
      </x:c>
      <x:c r="L539" s="11" t="n">
        <x:v>8435480</x:v>
      </x:c>
      <x:c r="M539" s="12" t="n">
        <x:v>0.30767251093242115</x:v>
      </x:c>
      <x:c r="N539" s="11" t="n">
        <x:v>13039686</x:v>
      </x:c>
      <x:c r="O539" s="11" t="n">
        <x:v>5802535</x:v>
      </x:c>
      <x:c r="P539" s="11" t="n">
        <x:v>4306114</x:v>
      </x:c>
      <x:c r="Q539" s="11" t="n">
        <x:v>4268739</x:v>
      </x:c>
      <x:c r="R539" s="11" t="n">
        <x:v>15816643</x:v>
      </x:c>
      <x:c r="S539" s="11" t="n">
        <x:v>2935746</x:v>
      </x:c>
      <x:c r="T539" s="11" t="n">
        <x:v>42648004</x:v>
      </x:c>
      <x:c r="U539" s="11" t="n">
        <x:v>17755753</x:v>
      </x:c>
      <x:c r="V539" s="11" t="n">
        <x:v>28289591</x:v>
      </x:c>
      <x:c r="W539" s="11" t="n">
        <x:v>6702629</x:v>
      </x:c>
      <x:c r="X539" s="11" t="n">
        <x:v>6162054</x:v>
      </x:c>
      <x:c r="Y539" s="11" t="n">
        <x:v>0</x:v>
      </x:c>
      <x:c r="Z539" s="11" t="n">
        <x:v>269343</x:v>
      </x:c>
      <x:c r="AA539" s="11" t="n">
        <x:v>5763076</x:v>
      </x:c>
      <x:c r="AB539" s="11" t="n">
        <x:v>229205</x:v>
      </x:c>
      <x:c r="AC539" s="11" t="n">
        <x:v>498548</x:v>
      </x:c>
      <x:c r="AD539" s="11" t="n">
        <x:v>5024981</x:v>
      </x:c>
      <x:c r="AE539" s="11" t="n">
        <x:v>3976312</x:v>
      </x:c>
      <x:c r="AF539" s="11" t="n">
        <x:v>20099925</x:v>
      </x:c>
      <x:c r="AG539" s="11" t="n">
        <x:v>135796320</x:v>
      </x:c>
      <x:c r="AH539" s="11" t="n">
        <x:v>49616297</x:v>
      </x:c>
      <x:c r="AI539" s="11" t="n">
        <x:v>86180023</x:v>
      </x:c>
      <x:c r="AJ539" s="11" t="n">
        <x:v>9244669</x:v>
      </x:c>
      <x:c r="AK539" s="11" t="n">
        <x:v>442225328</x:v>
      </x:c>
      <x:c r="AL539" s="11" t="n">
        <x:v>6259680</x:v>
      </x:c>
      <x:c r="AM539" s="12" t="n">
        <x:v>0.9858450441355091</x:v>
      </x:c>
      <x:c r="AN539" s="12" t="n">
        <x:v>0.020904883584596492</x:v>
      </x:c>
      <x:c r="AO539" s="11" t="n">
        <x:v>25701176</x:v>
      </x:c>
      <x:c r="AP539" s="11" t="n">
        <x:v>24829498</x:v>
      </x:c>
      <x:c r="AQ539" s="12" t="n">
        <x:v>0.9660841200418222</x:v>
      </x:c>
      <x:c r="AR539" s="11" t="n">
        <x:v>2291.4395319682408</x:v>
      </x:c>
      <x:c r="AS539" s="11" t="n">
        <x:v>1586.42657751776</x:v>
      </x:c>
      <x:c r="AT539" s="11" t="n">
        <x:v>2364.361972419557</x:v>
      </x:c>
      <x:c r="AU539" s="11" t="n">
        <x:v>560.1862933556206</x:v>
      </x:c>
      <x:c r="AV539" s="11" t="n">
        <x:v>481.6611784371082</x:v>
      </x:c>
      <x:c r="AW539" s="11" t="n">
        <x:v>2.401925956054919</x:v>
      </x:c>
      <x:c r="AX539" s="12" t="n">
        <x:v>0.7913088626603763</x:v>
      </x:c>
      <x:c r="AY539" s="11"/>
      <x:c r="AZ539" s="11"/>
      <x:c r="BA539" s="11"/>
      <x:c r="BB539" s="11"/>
      <x:c r="BC539" s="11"/>
      <x:c r="BD539" s="11"/>
      <x:c r="BE539" s="11"/>
      <x:c r="BF539" s="11"/>
      <x:c r="BG539" s="11"/>
      <x:c r="BH539" s="11"/>
      <x:c r="BI539" s="11"/>
      <x:c r="BJ539" s="11"/>
      <x:c r="BK539" s="12"/>
      <x:c r="BL539" s="12"/>
      <x:c r="BM539" s="12"/>
      <x:c r="BN539" s="12"/>
      <x:c r="BO539" s="12"/>
      <x:c r="BP539" s="12"/>
      <x:c r="BQ539" s="12"/>
      <x:c r="BR539" s="12"/>
      <x:c r="BS539" s="12"/>
      <x:c r="BT539" s="12"/>
      <x:c r="BU539" s="11" t="n">
        <x:v>528843</x:v>
      </x:c>
      <x:c r="BV539" s="11" t="n">
        <x:v>3777271</x:v>
      </x:c>
      <x:c r="BW539" s="11" t="n">
        <x:v>0</x:v>
      </x:c>
      <x:c r="BX539" s="11" t="n">
        <x:v>807471</x:v>
      </x:c>
      <x:c r="BY539" s="11" t="n">
        <x:v>0</x:v>
      </x:c>
      <x:c r="BZ539" s="11" t="n">
        <x:v>3303213</x:v>
      </x:c>
      <x:c r="CA539" s="11" t="n">
        <x:v>0</x:v>
      </x:c>
      <x:c r="CB539" s="11" t="n">
        <x:v>158055</x:v>
      </x:c>
      <x:c r="CC539" s="11" t="n">
        <x:v>3383891</x:v>
      </x:c>
      <x:c r="CD539" s="11" t="n">
        <x:v>3215138</x:v>
      </x:c>
      <x:c r="CE539" s="11" t="n">
        <x:v>100005</x:v>
      </x:c>
      <x:c r="CF539" s="11" t="n">
        <x:v>0</x:v>
      </x:c>
      <x:c r="CG539" s="11" t="n">
        <x:v>1143724</x:v>
      </x:c>
      <x:c r="CH539" s="11" t="n">
        <x:v>2287420</x:v>
      </x:c>
      <x:c r="CI539" s="11" t="n">
        <x:v>1679727</x:v>
      </x:c>
      <x:c r="CJ539" s="11" t="n">
        <x:v>3019259</x:v>
      </x:c>
      <x:c r="CK539" s="11" t="n">
        <x:v>1210383</x:v>
      </x:c>
      <x:c r="CL539" s="11" t="n">
        <x:v>0</x:v>
      </x:c>
      <x:c r="CM539" s="11"/>
      <x:c r="CN539" s="11" t="n">
        <x:v>6301</x:v>
      </x:c>
      <x:c r="CO539" s="11" t="n">
        <x:v>0</x:v>
      </x:c>
      <x:c r="CP539" s="8"/>
      <x:c r="CQ539" s="8"/>
    </x:row>
    <x:row r="540">
      <x:c r="A540" s="8" t="str">
        <x:v>North Saanich|2021</x:v>
      </x:c>
      <x:c r="B540" s="8" t="str">
        <x:v>north-saanich-d</x:v>
      </x:c>
      <x:c r="C540" s="8" t="str">
        <x:v>North Saanich</x:v>
      </x:c>
      <x:c r="D540" s="8" t="str">
        <x:v>North Saanich</x:v>
      </x:c>
      <x:c r="E540" s="8" t="str">
        <x:v>D</x:v>
      </x:c>
      <x:c r="F540" s="8" t="str">
        <x:v>CAP</x:v>
      </x:c>
      <x:c r="G540" s="9" t="n">
        <x:v>2021</x:v>
      </x:c>
      <x:c r="H540" s="10" t="n">
        <x:v>12500</x:v>
      </x:c>
      <x:c r="I540" s="8" t="str">
        <x:v>5,000 to 19,999</x:v>
      </x:c>
      <x:c r="J540" s="11" t="n">
        <x:v>23221563</x:v>
      </x:c>
      <x:c r="K540" s="11" t="n">
        <x:v>19860353</x:v>
      </x:c>
      <x:c r="L540" s="11" t="n">
        <x:v>3361210</x:v>
      </x:c>
      <x:c r="M540" s="12" t="n">
        <x:v>0.14474520944175895</x:v>
      </x:c>
      <x:c r="N540" s="11" t="n">
        <x:v>13706632</x:v>
      </x:c>
      <x:c r="O540" s="11" t="n">
        <x:v>6675282</x:v>
      </x:c>
      <x:c r="P540" s="11" t="n">
        <x:v>1569313</x:v>
      </x:c>
      <x:c r="Q540" s="11" t="n">
        <x:v>1270336</x:v>
      </x:c>
      <x:c r="R540" s="11" t="n">
        <x:v>16676964</x:v>
      </x:c>
      <x:c r="S540" s="11" t="n">
        <x:v>2954184</x:v>
      </x:c>
      <x:c r="T540" s="11" t="n">
        <x:v>42116660</x:v>
      </x:c>
      <x:c r="U540" s="11" t="n">
        <x:v>14540348</x:v>
      </x:c>
      <x:c r="V540" s="11" t="n">
        <x:v>30674828</x:v>
      </x:c>
      <x:c r="W540" s="11" t="n">
        <x:v>25222499</x:v>
      </x:c>
      <x:c r="X540" s="11" t="n">
        <x:v>5736594</x:v>
      </x:c>
      <x:c r="Y540" s="11" t="n">
        <x:v>0</x:v>
      </x:c>
      <x:c r="Z540" s="11" t="n">
        <x:v>269343</x:v>
      </x:c>
      <x:c r="AA540" s="11" t="n">
        <x:v>5317525</x:v>
      </x:c>
      <x:c r="AB540" s="11" t="n">
        <x:v>229205</x:v>
      </x:c>
      <x:c r="AC540" s="11" t="n">
        <x:v>498548</x:v>
      </x:c>
      <x:c r="AD540" s="11" t="n">
        <x:v>5315532</x:v>
      </x:c>
      <x:c r="AE540" s="11" t="n">
        <x:v>4152447</x:v>
      </x:c>
      <x:c r="AF540" s="11" t="n">
        <x:v>21262128</x:v>
      </x:c>
      <x:c r="AG540" s="11" t="n">
        <x:v>138366949</x:v>
      </x:c>
      <x:c r="AH540" s="11" t="n">
        <x:v>51176388</x:v>
      </x:c>
      <x:c r="AI540" s="11" t="n">
        <x:v>87190561</x:v>
      </x:c>
      <x:c r="AJ540" s="11" t="n">
        <x:v>4068193</x:v>
      </x:c>
      <x:c r="AK540" s="11" t="n">
        <x:v>442675393</x:v>
      </x:c>
      <x:c r="AL540" s="11" t="n">
        <x:v>6335300</x:v>
      </x:c>
      <x:c r="AM540" s="12" t="n">
        <x:v>0.9856886104351411</x:v>
      </x:c>
      <x:c r="AN540" s="12" t="n">
        <x:v>0.009190013866435988</x:v>
      </x:c>
      <x:c r="AO540" s="11" t="n">
        <x:v>28883674</x:v>
      </x:c>
      <x:c r="AP540" s="11" t="n">
        <x:v>28454197</x:v>
      </x:c>
      <x:c r="AQ540" s="12" t="n">
        <x:v>0.9851308043429655</x:v>
      </x:c>
      <x:c r="AR540" s="11" t="n">
        <x:v>1857.72504</x:v>
      </x:c>
      <x:c r="AS540" s="11" t="n">
        <x:v>1588.82824</x:v>
      </x:c>
      <x:c r="AT540" s="11" t="n">
        <x:v>2453.98624</x:v>
      </x:c>
      <x:c r="AU540" s="11" t="n">
        <x:v>2017.79992</x:v>
      </x:c>
      <x:c r="AV540" s="11" t="n">
        <x:v>425.402</x:v>
      </x:c>
      <x:c r="AW540" s="11" t="n">
        <x:v>2.896537276824461</x:v>
      </x:c>
      <x:c r="AX540" s="12" t="n">
        <x:v>0.7811912335397473</x:v>
      </x:c>
      <x:c r="AY540" s="11"/>
      <x:c r="AZ540" s="11"/>
      <x:c r="BA540" s="11"/>
      <x:c r="BB540" s="11"/>
      <x:c r="BC540" s="11"/>
      <x:c r="BD540" s="11"/>
      <x:c r="BE540" s="11"/>
      <x:c r="BF540" s="11"/>
      <x:c r="BG540" s="11"/>
      <x:c r="BH540" s="11"/>
      <x:c r="BI540" s="11"/>
      <x:c r="BJ540" s="11"/>
      <x:c r="BK540" s="12"/>
      <x:c r="BL540" s="12"/>
      <x:c r="BM540" s="12"/>
      <x:c r="BN540" s="12"/>
      <x:c r="BO540" s="12"/>
      <x:c r="BP540" s="12"/>
      <x:c r="BQ540" s="12"/>
      <x:c r="BR540" s="12"/>
      <x:c r="BS540" s="12"/>
      <x:c r="BT540" s="12"/>
      <x:c r="BU540" s="11" t="n">
        <x:v>1081813</x:v>
      </x:c>
      <x:c r="BV540" s="11" t="n">
        <x:v>487500</x:v>
      </x:c>
      <x:c r="BW540" s="11" t="n">
        <x:v>0</x:v>
      </x:c>
      <x:c r="BX540" s="11" t="n">
        <x:v>473839</x:v>
      </x:c>
      <x:c r="BY540" s="11" t="n">
        <x:v>0</x:v>
      </x:c>
      <x:c r="BZ540" s="11" t="n">
        <x:v>474907</x:v>
      </x:c>
      <x:c r="CA540" s="11" t="n">
        <x:v>170997</x:v>
      </x:c>
      <x:c r="CB540" s="11" t="n">
        <x:v>150593</x:v>
      </x:c>
      <x:c r="CC540" s="11" t="n">
        <x:v>3708662</x:v>
      </x:c>
      <x:c r="CD540" s="11" t="n">
        <x:v>3180710</x:v>
      </x:c>
      <x:c r="CE540" s="11" t="n">
        <x:v>85847</x:v>
      </x:c>
      <x:c r="CF540" s="11" t="n">
        <x:v>0</x:v>
      </x:c>
      <x:c r="CG540" s="11" t="n">
        <x:v>1323702</x:v>
      </x:c>
      <x:c r="CH540" s="11" t="n">
        <x:v>2108938</x:v>
      </x:c>
      <x:c r="CI540" s="11" t="n">
        <x:v>1738897</x:v>
      </x:c>
      <x:c r="CJ540" s="11" t="n">
        <x:v>3466067</x:v>
      </x:c>
      <x:c r="CK540" s="11" t="n">
        <x:v>1293346</x:v>
      </x:c>
      <x:c r="CL540" s="11" t="n">
        <x:v>0</x:v>
      </x:c>
      <x:c r="CM540" s="11"/>
      <x:c r="CN540" s="11" t="n">
        <x:v>0</x:v>
      </x:c>
      <x:c r="CO540" s="11" t="n">
        <x:v>0</x:v>
      </x:c>
      <x:c r="CP540" s="8"/>
      <x:c r="CQ540" s="8"/>
    </x:row>
    <x:row r="541">
      <x:c r="A541" s="8" t="str">
        <x:v>North Saanich|2022</x:v>
      </x:c>
      <x:c r="B541" s="8" t="str">
        <x:v>north-saanich-d</x:v>
      </x:c>
      <x:c r="C541" s="8" t="str">
        <x:v>North Saanich</x:v>
      </x:c>
      <x:c r="D541" s="8" t="str">
        <x:v>North Saanich</x:v>
      </x:c>
      <x:c r="E541" s="8" t="str">
        <x:v>D</x:v>
      </x:c>
      <x:c r="F541" s="8" t="str">
        <x:v>CAP</x:v>
      </x:c>
      <x:c r="G541" s="9" t="n">
        <x:v>2022</x:v>
      </x:c>
      <x:c r="H541" s="10" t="n">
        <x:v>61973</x:v>
      </x:c>
      <x:c r="I541" s="8" t="str">
        <x:v>20,000 to 99,999</x:v>
      </x:c>
      <x:c r="J541" s="11" t="n">
        <x:v>23803079</x:v>
      </x:c>
      <x:c r="K541" s="11" t="n">
        <x:v>21511658</x:v>
      </x:c>
      <x:c r="L541" s="11" t="n">
        <x:v>2291421</x:v>
      </x:c>
      <x:c r="M541" s="12" t="n">
        <x:v>0.09626573940287304</x:v>
      </x:c>
      <x:c r="N541" s="11" t="n">
        <x:v>14565979</x:v>
      </x:c>
      <x:c r="O541" s="11" t="n">
        <x:v>6441483</x:v>
      </x:c>
      <x:c r="P541" s="11" t="n">
        <x:v>1563525</x:v>
      </x:c>
      <x:c r="Q541" s="11" t="n">
        <x:v>1232092</x:v>
      </x:c>
      <x:c r="R541" s="11" t="n">
        <x:v>18268730</x:v>
      </x:c>
      <x:c r="S541" s="11" t="n">
        <x:v>3003249</x:v>
      </x:c>
      <x:c r="T541" s="11" t="n">
        <x:v>43733589</x:v>
      </x:c>
      <x:c r="U541" s="11" t="n">
        <x:v>15167840</x:v>
      </x:c>
      <x:c r="V541" s="11" t="n">
        <x:v>31837270</x:v>
      </x:c>
      <x:c r="W541" s="11" t="n">
        <x:v>26410701</x:v>
      </x:c>
      <x:c r="X541" s="11" t="n">
        <x:v>5317525</x:v>
      </x:c>
      <x:c r="Y541" s="11" t="n">
        <x:v>0</x:v>
      </x:c>
      <x:c r="Z541" s="11" t="n">
        <x:v>269343</x:v>
      </x:c>
      <x:c r="AA541" s="11" t="n">
        <x:v>4883220</x:v>
      </x:c>
      <x:c r="AB541" s="11" t="n">
        <x:v>239679</x:v>
      </x:c>
      <x:c r="AC541" s="11" t="n">
        <x:v>509022</x:v>
      </x:c>
      <x:c r="AD541" s="11" t="n">
        <x:v>5584232</x:v>
      </x:c>
      <x:c r="AE541" s="11" t="n">
        <x:v>4685465</x:v>
      </x:c>
      <x:c r="AF541" s="11" t="n">
        <x:v>22336927</x:v>
      </x:c>
      <x:c r="AG541" s="11" t="n">
        <x:v>140117562</x:v>
      </x:c>
      <x:c r="AH541" s="11" t="n">
        <x:v>51923420</x:v>
      </x:c>
      <x:c r="AI541" s="11" t="n">
        <x:v>88194142</x:v>
      </x:c>
      <x:c r="AJ541" s="11" t="n">
        <x:v>4432872</x:v>
      </x:c>
      <x:c r="AK541" s="11" t="n">
        <x:v>23653638</x:v>
      </x:c>
      <x:c r="AL541" s="11" t="n">
        <x:v>0</x:v>
      </x:c>
      <x:c r="AM541" s="12" t="n">
        <x:v>1</x:v>
      </x:c>
      <x:c r="AN541" s="12" t="n">
        <x:v>0.1874076199187626</x:v>
      </x:c>
      <x:c r="AO541" s="11" t="n">
        <x:v>30698143</x:v>
      </x:c>
      <x:c r="AP541" s="11" t="n">
        <x:v>30363630</x:v>
      </x:c>
      <x:c r="AQ541" s="12" t="n">
        <x:v>0.9891031519398421</x:v>
      </x:c>
      <x:c r="AR541" s="11" t="n">
        <x:v>384.0878931147435</x:v>
      </x:c>
      <x:c r="AS541" s="11" t="n">
        <x:v>347.11338808836103</x:v>
      </x:c>
      <x:c r="AT541" s="11" t="n">
        <x:v>513.7280751294919</x:v>
      </x:c>
      <x:c r="AU541" s="11" t="n">
        <x:v>426.16463621254417</x:v>
      </x:c>
      <x:c r="AV541" s="11" t="n">
        <x:v>78.7959272586449</x:v>
      </x:c>
      <x:c r="AW541" s="11" t="n">
        <x:v>2.883310280171732</x:v>
      </x:c>
      <x:c r="AX541" s="12" t="n">
        <x:v>0.8390527112770386</x:v>
      </x:c>
      <x:c r="AY541" s="11"/>
      <x:c r="AZ541" s="11"/>
      <x:c r="BA541" s="11"/>
      <x:c r="BB541" s="11"/>
      <x:c r="BC541" s="11"/>
      <x:c r="BD541" s="11"/>
      <x:c r="BE541" s="11"/>
      <x:c r="BF541" s="11"/>
      <x:c r="BG541" s="11"/>
      <x:c r="BH541" s="11"/>
      <x:c r="BI541" s="11"/>
      <x:c r="BJ541" s="11"/>
      <x:c r="BK541" s="12"/>
      <x:c r="BL541" s="12"/>
      <x:c r="BM541" s="12"/>
      <x:c r="BN541" s="12"/>
      <x:c r="BO541" s="12"/>
      <x:c r="BP541" s="12"/>
      <x:c r="BQ541" s="12"/>
      <x:c r="BR541" s="12"/>
      <x:c r="BS541" s="12"/>
      <x:c r="BT541" s="12"/>
      <x:c r="BU541" s="11" t="n">
        <x:v>552971</x:v>
      </x:c>
      <x:c r="BV541" s="11" t="n">
        <x:v>1010554</x:v>
      </x:c>
      <x:c r="BW541" s="11" t="n">
        <x:v>0</x:v>
      </x:c>
      <x:c r="BX541" s="11" t="n">
        <x:v>828735</x:v>
      </x:c>
      <x:c r="BY541" s="11" t="n">
        <x:v>0</x:v>
      </x:c>
      <x:c r="BZ541" s="11" t="n">
        <x:v>152600</x:v>
      </x:c>
      <x:c r="CA541" s="11" t="n">
        <x:v>53285</x:v>
      </x:c>
      <x:c r="CB541" s="11" t="n">
        <x:v>197472</x:v>
      </x:c>
      <x:c r="CC541" s="11" t="n">
        <x:v>4009133</x:v>
      </x:c>
      <x:c r="CD541" s="11" t="n">
        <x:v>3952614</x:v>
      </x:c>
      <x:c r="CE541" s="11" t="n">
        <x:v>110774</x:v>
      </x:c>
      <x:c r="CF541" s="11" t="n">
        <x:v>0</x:v>
      </x:c>
      <x:c r="CG541" s="11" t="n">
        <x:v>1475662</x:v>
      </x:c>
      <x:c r="CH541" s="11" t="n">
        <x:v>2190914</x:v>
      </x:c>
      <x:c r="CI541" s="11" t="n">
        <x:v>1726855</x:v>
      </x:c>
      <x:c r="CJ541" s="11" t="n">
        <x:v>3469883</x:v>
      </x:c>
      <x:c r="CK541" s="11" t="n">
        <x:v>1315730</x:v>
      </x:c>
      <x:c r="CL541" s="11" t="n">
        <x:v>0</x:v>
      </x:c>
      <x:c r="CM541" s="11"/>
      <x:c r="CN541" s="11" t="n">
        <x:v>256844</x:v>
      </x:c>
      <x:c r="CO541" s="11" t="n">
        <x:v>0</x:v>
      </x:c>
      <x:c r="CP541" s="8"/>
      <x:c r="CQ541" s="8"/>
    </x:row>
    <x:row r="542">
      <x:c r="A542" s="8" t="str">
        <x:v>North Saanich|2023</x:v>
      </x:c>
      <x:c r="B542" s="8" t="str">
        <x:v>north-saanich-d</x:v>
      </x:c>
      <x:c r="C542" s="8" t="str">
        <x:v>North Saanich</x:v>
      </x:c>
      <x:c r="D542" s="8" t="str">
        <x:v>North Saanich</x:v>
      </x:c>
      <x:c r="E542" s="8" t="str">
        <x:v>D</x:v>
      </x:c>
      <x:c r="F542" s="8" t="str">
        <x:v>CAP</x:v>
      </x:c>
      <x:c r="G542" s="9" t="n">
        <x:v>2023</x:v>
      </x:c>
      <x:c r="H542" s="10" t="n">
        <x:v>13198</x:v>
      </x:c>
      <x:c r="I542" s="8" t="str">
        <x:v>5,000 to 19,999</x:v>
      </x:c>
      <x:c r="J542" s="11" t="n">
        <x:v>33117357</x:v>
      </x:c>
      <x:c r="K542" s="11" t="n">
        <x:v>23022009</x:v>
      </x:c>
      <x:c r="L542" s="11" t="n">
        <x:v>10095348</x:v>
      </x:c>
      <x:c r="M542" s="12" t="n">
        <x:v>0.3048355579824803</x:v>
      </x:c>
      <x:c r="N542" s="11" t="n">
        <x:v>15334032</x:v>
      </x:c>
      <x:c r="O542" s="11" t="n">
        <x:v>7113548</x:v>
      </x:c>
      <x:c r="P542" s="11" t="n">
        <x:v>6216466</x:v>
      </x:c>
      <x:c r="Q542" s="11" t="n">
        <x:v>4453311</x:v>
      </x:c>
      <x:c r="R542" s="11" t="n">
        <x:v>19536808</x:v>
      </x:c>
      <x:c r="S542" s="11" t="n">
        <x:v>3118094</x:v>
      </x:c>
      <x:c r="T542" s="11" t="n">
        <x:v>49570558</x:v>
      </x:c>
      <x:c r="U542" s="11" t="n">
        <x:v>15791355</x:v>
      </x:c>
      <x:c r="V542" s="11" t="n">
        <x:v>37390958</x:v>
      </x:c>
      <x:c r="W542" s="11" t="n">
        <x:v>35301768</x:v>
      </x:c>
      <x:c r="X542" s="11" t="n">
        <x:v>4883220</x:v>
      </x:c>
      <x:c r="Y542" s="11" t="n">
        <x:v>0</x:v>
      </x:c>
      <x:c r="Z542" s="11" t="n">
        <x:v>295730</x:v>
      </x:c>
      <x:c r="AA542" s="11" t="n">
        <x:v>4422351</x:v>
      </x:c>
      <x:c r="AB542" s="11" t="n">
        <x:v>367107</x:v>
      </x:c>
      <x:c r="AC542" s="11" t="n">
        <x:v>662837</x:v>
      </x:c>
      <x:c r="AD542" s="11" t="n">
        <x:v>6233083</x:v>
      </x:c>
      <x:c r="AE542" s="11" t="n">
        <x:v>5178260</x:v>
      </x:c>
      <x:c r="AF542" s="11" t="n">
        <x:v>24932330</x:v>
      </x:c>
      <x:c r="AG542" s="11" t="n">
        <x:v>147414017</x:v>
      </x:c>
      <x:c r="AH542" s="11" t="n">
        <x:v>54662405</x:v>
      </x:c>
      <x:c r="AI542" s="11" t="n">
        <x:v>92751612</x:v>
      </x:c>
      <x:c r="AJ542" s="11" t="n">
        <x:v>7655461</x:v>
      </x:c>
      <x:c r="AK542" s="11" t="n">
        <x:v>24169073</x:v>
      </x:c>
      <x:c r="AL542" s="11" t="n">
        <x:v>0</x:v>
      </x:c>
      <x:c r="AM542" s="12" t="n">
        <x:v>1</x:v>
      </x:c>
      <x:c r="AN542" s="12" t="n">
        <x:v>0.3167461573722749</x:v>
      </x:c>
      <x:c r="AO542" s="11" t="n">
        <x:v>32978691</x:v>
      </x:c>
      <x:c r="AP542" s="11" t="n">
        <x:v>32410246</x:v>
      </x:c>
      <x:c r="AQ542" s="12" t="n">
        <x:v>0.9827632637086778</x:v>
      </x:c>
      <x:c r="AR542" s="11" t="n">
        <x:v>2509.2708743749054</x:v>
      </x:c>
      <x:c r="AS542" s="11" t="n">
        <x:v>1744.3558872556448</x:v>
      </x:c>
      <x:c r="AT542" s="11" t="n">
        <x:v>2833.0775875132595</x:v>
      </x:c>
      <x:c r="AU542" s="11" t="n">
        <x:v>2674.7816335808457</x:v>
      </x:c>
      <x:c r="AV542" s="11" t="n">
        <x:v>335.07736020609184</x:v>
      </x:c>
      <x:c r="AW542" s="11" t="n">
        <x:v>3.1390946502057613</x:v>
      </x:c>
      <x:c r="AX542" s="12" t="n">
        <x:v>0.8307702624848731</x:v>
      </x:c>
      <x:c r="AY542" s="11"/>
      <x:c r="AZ542" s="11"/>
      <x:c r="BA542" s="11"/>
      <x:c r="BB542" s="11"/>
      <x:c r="BC542" s="11"/>
      <x:c r="BD542" s="11"/>
      <x:c r="BE542" s="11"/>
      <x:c r="BF542" s="11"/>
      <x:c r="BG542" s="11"/>
      <x:c r="BH542" s="11"/>
      <x:c r="BI542" s="11"/>
      <x:c r="BJ542" s="11"/>
      <x:c r="BK542" s="12"/>
      <x:c r="BL542" s="12"/>
      <x:c r="BM542" s="12"/>
      <x:c r="BN542" s="12"/>
      <x:c r="BO542" s="12"/>
      <x:c r="BP542" s="12"/>
      <x:c r="BQ542" s="12"/>
      <x:c r="BR542" s="12"/>
      <x:c r="BS542" s="12"/>
      <x:c r="BT542" s="12"/>
      <x:c r="BU542" s="11" t="n">
        <x:v>577184</x:v>
      </x:c>
      <x:c r="BV542" s="11" t="n">
        <x:v>5639282</x:v>
      </x:c>
      <x:c r="BW542" s="11" t="n">
        <x:v>0</x:v>
      </x:c>
      <x:c r="BX542" s="11" t="n">
        <x:v>2119753</x:v>
      </x:c>
      <x:c r="BY542" s="11" t="n">
        <x:v>0</x:v>
      </x:c>
      <x:c r="BZ542" s="11" t="n">
        <x:v>2158650</x:v>
      </x:c>
      <x:c r="CA542" s="11" t="n">
        <x:v>13772</x:v>
      </x:c>
      <x:c r="CB542" s="11" t="n">
        <x:v>161136</x:v>
      </x:c>
      <x:c r="CC542" s="11" t="n">
        <x:v>4540922</x:v>
      </x:c>
      <x:c r="CD542" s="11" t="n">
        <x:v>4361308</x:v>
      </x:c>
      <x:c r="CE542" s="11" t="n">
        <x:v>63603</x:v>
      </x:c>
      <x:c r="CF542" s="11" t="n">
        <x:v>0</x:v>
      </x:c>
      <x:c r="CG542" s="11" t="n">
        <x:v>1162743</x:v>
      </x:c>
      <x:c r="CH542" s="11" t="n">
        <x:v>2660418</x:v>
      </x:c>
      <x:c r="CI542" s="11" t="n">
        <x:v>1891634</x:v>
      </x:c>
      <x:c r="CJ542" s="11" t="n">
        <x:v>3709079</x:v>
      </x:c>
      <x:c r="CK542" s="11" t="n">
        <x:v>1471376</x:v>
      </x:c>
      <x:c r="CL542" s="11" t="n">
        <x:v>0</x:v>
      </x:c>
      <x:c r="CM542" s="11" t="n">
        <x:v>0</x:v>
      </x:c>
      <x:c r="CN542" s="11" t="n">
        <x:v>42832</x:v>
      </x:c>
      <x:c r="CO542" s="11" t="n">
        <x:v>0</x:v>
      </x:c>
      <x:c r="CP542" s="8"/>
      <x:c r="CQ542" s="8"/>
    </x:row>
    <x:row r="543">
      <x:c r="A543" s="8" t="str">
        <x:v>North Saanich|2024</x:v>
      </x:c>
      <x:c r="B543" s="8" t="str">
        <x:v>north-saanich-d</x:v>
      </x:c>
      <x:c r="C543" s="8" t="str">
        <x:v>North Saanich</x:v>
      </x:c>
      <x:c r="D543" s="8" t="str">
        <x:v>North Saanich</x:v>
      </x:c>
      <x:c r="E543" s="8" t="str">
        <x:v>D</x:v>
      </x:c>
      <x:c r="F543" s="8" t="str">
        <x:v>CAP</x:v>
      </x:c>
      <x:c r="G543" s="9" t="n">
        <x:v>2024</x:v>
      </x:c>
      <x:c r="H543" s="10" t="n">
        <x:v>13198</x:v>
      </x:c>
      <x:c r="I543" s="8" t="str">
        <x:v>5,000 to 19,999</x:v>
      </x:c>
      <x:c r="J543" s="11" t="n">
        <x:v>28003072</x:v>
      </x:c>
      <x:c r="K543" s="11" t="n">
        <x:v>24862062</x:v>
      </x:c>
      <x:c r="L543" s="11" t="n">
        <x:v>3141010</x:v>
      </x:c>
      <x:c r="M543" s="12" t="n">
        <x:v>0.11216662229058298</x:v>
      </x:c>
      <x:c r="N543" s="11" t="n">
        <x:v>16216882</x:v>
      </x:c>
      <x:c r="O543" s="11" t="n">
        <x:v>7133237</x:v>
      </x:c>
      <x:c r="P543" s="11" t="n">
        <x:v>1261702</x:v>
      </x:c>
      <x:c r="Q543" s="11" t="n">
        <x:v>3391251</x:v>
      </x:c>
      <x:c r="R543" s="11" t="n">
        <x:v>21279447</x:v>
      </x:c>
      <x:c r="S543" s="11" t="n">
        <x:v>3210961</x:v>
      </x:c>
      <x:c r="T543" s="11" t="n">
        <x:v>52344112</x:v>
      </x:c>
      <x:c r="U543" s="11" t="n">
        <x:v>14368520</x:v>
      </x:c>
      <x:c r="V543" s="11" t="n">
        <x:v>40970004</x:v>
      </x:c>
      <x:c r="W543" s="11" t="n">
        <x:v>38615007</x:v>
      </x:c>
      <x:c r="X543" s="11" t="n">
        <x:v>4422351</x:v>
      </x:c>
      <x:c r="Y543" s="11" t="n">
        <x:v>0</x:v>
      </x:c>
      <x:c r="Z543" s="11" t="n">
        <x:v>295730</x:v>
      </x:c>
      <x:c r="AA543" s="11" t="n">
        <x:v>3948249</x:v>
      </x:c>
      <x:c r="AB543" s="11" t="n">
        <x:v>371654</x:v>
      </x:c>
      <x:c r="AC543" s="11" t="n">
        <x:v>667384</x:v>
      </x:c>
      <x:c r="AD543" s="11" t="n">
        <x:v>6570591</x:v>
      </x:c>
      <x:c r="AE543" s="11" t="n">
        <x:v>5476469</x:v>
      </x:c>
      <x:c r="AF543" s="11" t="n">
        <x:v>26282365</x:v>
      </x:c>
      <x:c r="AG543" s="11" t="n">
        <x:v>150174073</x:v>
      </x:c>
      <x:c r="AH543" s="11" t="n">
        <x:v>57763137</x:v>
      </x:c>
      <x:c r="AI543" s="11" t="n">
        <x:v>92410936</x:v>
      </x:c>
      <x:c r="AJ543" s="11" t="n">
        <x:v>2870284</x:v>
      </x:c>
      <x:c r="AK543" s="11" t="n">
        <x:v>24304622</x:v>
      </x:c>
      <x:c r="AL543" s="11" t="n">
        <x:v>0</x:v>
      </x:c>
      <x:c r="AM543" s="12" t="n">
        <x:v>1</x:v>
      </x:c>
      <x:c r="AN543" s="12" t="n">
        <x:v>0.11809622054603441</x:v>
      </x:c>
      <x:c r="AO543" s="11" t="n">
        <x:v>35759070</x:v>
      </x:c>
      <x:c r="AP543" s="11" t="n">
        <x:v>35056155</x:v>
      </x:c>
      <x:c r="AQ543" s="12" t="n">
        <x:v>0.9803430290552858</x:v>
      </x:c>
      <x:c r="AR543" s="11" t="n">
        <x:v>2121.7663282315502</x:v>
      </x:c>
      <x:c r="AS543" s="11" t="n">
        <x:v>1883.7749659039248</x:v>
      </x:c>
      <x:c r="AT543" s="11" t="n">
        <x:v>3104.258524018791</x:v>
      </x:c>
      <x:c r="AU543" s="11" t="n">
        <x:v>2925.822624640097</x:v>
      </x:c>
      <x:c r="AV543" s="11" t="n">
        <x:v>299.15509925746323</x:v>
      </x:c>
      <x:c r="AW543" s="11" t="n">
        <x:v>3.642971718729556</x:v>
      </x:c>
      <x:c r="AX543" s="12" t="n">
        <x:v>0.8334819501015966</x:v>
      </x:c>
      <x:c r="AY543" s="11" t="n">
        <x:v>2567.538946805667</x:v>
      </x:c>
      <x:c r="AZ543" s="11" t="n">
        <x:v>3546.5079302077975</x:v>
      </x:c>
      <x:c r="BA543" s="11" t="n">
        <x:v>2045.0195609464422</x:v>
      </x:c>
      <x:c r="BB543" s="11" t="n">
        <x:v>2783.665107049771</x:v>
      </x:c>
      <x:c r="BC543" s="11" t="n">
        <x:v>2217.25520024837</x:v>
      </x:c>
      <x:c r="BD543" s="11" t="n">
        <x:v>2437.8724475115623</x:v>
      </x:c>
      <x:c r="BE543" s="11" t="n">
        <x:v>799.2304887641933</x:v>
      </x:c>
      <x:c r="BF543" s="11" t="n">
        <x:v>1604.3462673977224</x:v>
      </x:c>
      <x:c r="BG543" s="11" t="n">
        <x:v>386.9249167164944</x:v>
      </x:c>
      <x:c r="BH543" s="11" t="n">
        <x:v>518.5374381567245</x:v>
      </x:c>
      <x:c r="BI543" s="11" t="n">
        <x:v>1.5629948984418691</x:v>
      </x:c>
      <x:c r="BJ543" s="11" t="n">
        <x:v>1.7099330852451193</x:v>
      </x:c>
      <x:c r="BK543" s="12" t="n">
        <x:v>0.04472396775938227</x:v>
      </x:c>
      <x:c r="BL543" s="12" t="n">
        <x:v>0.02529861000232605</x:v>
      </x:c>
      <x:c r="BM543" s="12" t="n">
        <x:v>0.9792813777328785</x:v>
      </x:c>
      <x:c r="BN543" s="12" t="n">
        <x:v>0.9815511712696461</x:v>
      </x:c>
      <x:c r="BO543" s="12" t="n">
        <x:v>0.8510570773833829</x:v>
      </x:c>
      <x:c r="BP543" s="12" t="n">
        <x:v>0.8619101997275483</x:v>
      </x:c>
      <x:c r="BQ543" s="12" t="n">
        <x:v>0.9732053424599786</x:v>
      </x:c>
      <x:c r="BR543" s="12" t="n">
        <x:v>0.9623635142836453</x:v>
      </x:c>
      <x:c r="BS543" s="12" t="n">
        <x:v>0.170495619408603</x:v>
      </x:c>
      <x:c r="BT543" s="12" t="n">
        <x:v>0.19976549769108282</x:v>
      </x:c>
      <x:c r="BU543" s="11" t="n">
        <x:v>620518</x:v>
      </x:c>
      <x:c r="BV543" s="11" t="n">
        <x:v>641184</x:v>
      </x:c>
      <x:c r="BW543" s="11" t="n">
        <x:v>0</x:v>
      </x:c>
      <x:c r="BX543" s="11" t="n">
        <x:v>2710218</x:v>
      </x:c>
      <x:c r="BY543" s="11" t="n">
        <x:v>0</x:v>
      </x:c>
      <x:c r="BZ543" s="11" t="n">
        <x:v>651033</x:v>
      </x:c>
      <x:c r="CA543" s="11" t="n">
        <x:v>30000</x:v>
      </x:c>
      <x:c r="CB543" s="11" t="n">
        <x:v>0</x:v>
      </x:c>
      <x:c r="CC543" s="11" t="n">
        <x:v>5005400</x:v>
      </x:c>
      <x:c r="CD543" s="11" t="n">
        <x:v>5266377</x:v>
      </x:c>
      <x:c r="CE543" s="11" t="n">
        <x:v>177956</x:v>
      </x:c>
      <x:c r="CF543" s="11" t="n">
        <x:v>0</x:v>
      </x:c>
      <x:c r="CG543" s="11" t="n">
        <x:v>941810</x:v>
      </x:c>
      <x:c r="CH543" s="11" t="n">
        <x:v>2693760</x:v>
      </x:c>
      <x:c r="CI543" s="11" t="n">
        <x:v>2089782</x:v>
      </x:c>
      <x:c r="CJ543" s="11" t="n">
        <x:v>3738417</x:v>
      </x:c>
      <x:c r="CK543" s="11" t="n">
        <x:v>1734515</x:v>
      </x:c>
      <x:c r="CL543" s="11" t="n">
        <x:v>0</x:v>
      </x:c>
      <x:c r="CM543" s="11" t="n">
        <x:v>3084</x:v>
      </x:c>
      <x:c r="CN543" s="11" t="n">
        <x:v>0</x:v>
      </x:c>
      <x:c r="CO543" s="11" t="n">
        <x:v>0</x:v>
      </x:c>
      <x:c r="CP543" s="8"/>
      <x:c r="CQ543" s="8"/>
    </x:row>
    <x:row r="544">
      <x:c r="A544" s="8" t="str">
        <x:v>North Vancouver (City)|2019</x:v>
      </x:c>
      <x:c r="B544" s="8" t="str">
        <x:v>north-vancouver-c</x:v>
      </x:c>
      <x:c r="C544" s="8" t="str">
        <x:v>North Vancouver (City)</x:v>
      </x:c>
      <x:c r="D544" s="8" t="str">
        <x:v>North Vancouver</x:v>
      </x:c>
      <x:c r="E544" s="8" t="str">
        <x:v>C</x:v>
      </x:c>
      <x:c r="F544" s="8" t="str">
        <x:v>GVR</x:v>
      </x:c>
      <x:c r="G544" s="9" t="n">
        <x:v>2019</x:v>
      </x:c>
      <x:c r="H544" s="10" t="n">
        <x:v>57325</x:v>
      </x:c>
      <x:c r="I544" s="8" t="str">
        <x:v>20,000 to 99,999</x:v>
      </x:c>
      <x:c r="J544" s="11" t="n">
        <x:v>131434711</x:v>
      </x:c>
      <x:c r="K544" s="11" t="n">
        <x:v>118806812</x:v>
      </x:c>
      <x:c r="L544" s="11" t="n">
        <x:v>12627899</x:v>
      </x:c>
      <x:c r="M544" s="12" t="n">
        <x:v>0.09607735204743593</x:v>
      </x:c>
      <x:c r="N544" s="11" t="n">
        <x:v>67351840</x:v>
      </x:c>
      <x:c r="O544" s="11" t="n">
        <x:v>43871227</x:v>
      </x:c>
      <x:c r="P544" s="11" t="n">
        <x:v>8780448</x:v>
      </x:c>
      <x:c r="Q544" s="11" t="n">
        <x:v>11431196</x:v>
      </x:c>
      <x:c r="R544" s="11" t="n">
        <x:v>103450497</x:v>
      </x:c>
      <x:c r="S544" s="11" t="n">
        <x:v>15350315</x:v>
      </x:c>
      <x:c r="T544" s="11" t="n">
        <x:v>202192226</x:v>
      </x:c>
      <x:c r="U544" s="11" t="n">
        <x:v>97800532</x:v>
      </x:c>
      <x:c r="V544" s="11" t="n">
        <x:v>158886028</x:v>
      </x:c>
      <x:c r="W544" s="11" t="n">
        <x:v>107552000</x:v>
      </x:c>
      <x:c r="X544" s="11" t="n">
        <x:v>895066</x:v>
      </x:c>
      <x:c r="Y544" s="11" t="n">
        <x:v>0</x:v>
      </x:c>
      <x:c r="Z544" s="11" t="n">
        <x:v>166582</x:v>
      </x:c>
      <x:c r="AA544" s="11" t="n">
        <x:v>684287</x:v>
      </x:c>
      <x:c r="AB544" s="11" t="n">
        <x:v>6000</x:v>
      </x:c>
      <x:c r="AC544" s="11" t="n">
        <x:v>172582</x:v>
      </x:c>
      <x:c r="AD544" s="11" t="n">
        <x:v>29468082</x:v>
      </x:c>
      <x:c r="AE544" s="11" t="n">
        <x:v>28677067</x:v>
      </x:c>
      <x:c r="AF544" s="11" t="n">
        <x:v>117872327</x:v>
      </x:c>
      <x:c r="AG544" s="11" t="n">
        <x:v>615129531</x:v>
      </x:c>
      <x:c r="AH544" s="11" t="n">
        <x:v>201036646</x:v>
      </x:c>
      <x:c r="AI544" s="11" t="n">
        <x:v>414092885</x:v>
      </x:c>
      <x:c r="AJ544" s="11" t="n">
        <x:v>27400560</x:v>
      </x:c>
      <x:c r="AK544" s="11" t="n">
        <x:v>586316715</x:v>
      </x:c>
      <x:c r="AL544" s="11" t="n">
        <x:v>6677337</x:v>
      </x:c>
      <x:c r="AM544" s="12" t="n">
        <x:v>0.9886113821605785</x:v>
      </x:c>
      <x:c r="AN544" s="12" t="n">
        <x:v>0.04673337685759138</x:v>
      </x:c>
      <x:c r="AO544" s="11" t="n">
        <x:v>117210266</x:v>
      </x:c>
      <x:c r="AP544" s="11" t="n">
        <x:v>115909241</x:v>
      </x:c>
      <x:c r="AQ544" s="12" t="n">
        <x:v>0.9889000763806816</x:v>
      </x:c>
      <x:c r="AR544" s="11" t="n">
        <x:v>2292.7991452245965</x:v>
      </x:c>
      <x:c r="AS544" s="11" t="n">
        <x:v>2072.513074574793</x:v>
      </x:c>
      <x:c r="AT544" s="11" t="n">
        <x:v>2771.6707893589182</x:v>
      </x:c>
      <x:c r="AU544" s="11" t="n">
        <x:v>1876.1796772786743</x:v>
      </x:c>
      <x:c r="AV544" s="11" t="n">
        <x:v>11.936973397296118</x:v>
      </x:c>
      <x:c r="AW544" s="11" t="n">
        <x:v>2.0673939278776112</x:v>
      </x:c>
      <x:c r="AX544" s="12" t="n">
        <x:v>0.97315688886708</x:v>
      </x:c>
      <x:c r="AY544" s="11"/>
      <x:c r="AZ544" s="11"/>
      <x:c r="BA544" s="11"/>
      <x:c r="BB544" s="11"/>
      <x:c r="BC544" s="11"/>
      <x:c r="BD544" s="11"/>
      <x:c r="BE544" s="11"/>
      <x:c r="BF544" s="11"/>
      <x:c r="BG544" s="11"/>
      <x:c r="BH544" s="11"/>
      <x:c r="BI544" s="11"/>
      <x:c r="BJ544" s="11"/>
      <x:c r="BK544" s="12"/>
      <x:c r="BL544" s="12"/>
      <x:c r="BM544" s="12"/>
      <x:c r="BN544" s="12"/>
      <x:c r="BO544" s="12"/>
      <x:c r="BP544" s="12"/>
      <x:c r="BQ544" s="12"/>
      <x:c r="BR544" s="12"/>
      <x:c r="BS544" s="12"/>
      <x:c r="BT544" s="12"/>
      <x:c r="BU544" s="11" t="n">
        <x:v>59383</x:v>
      </x:c>
      <x:c r="BV544" s="11" t="n">
        <x:v>3694346</x:v>
      </x:c>
      <x:c r="BW544" s="11" t="n">
        <x:v>5026719</x:v>
      </x:c>
      <x:c r="BX544" s="11" t="n">
        <x:v>6090235</x:v>
      </x:c>
      <x:c r="BY544" s="11" t="n">
        <x:v>595000</x:v>
      </x:c>
      <x:c r="BZ544" s="11" t="n">
        <x:v>4745961</x:v>
      </x:c>
      <x:c r="CA544" s="11" t="n">
        <x:v>0</x:v>
      </x:c>
      <x:c r="CB544" s="11" t="n">
        <x:v>0</x:v>
      </x:c>
      <x:c r="CC544" s="11" t="n">
        <x:v>15382882</x:v>
      </x:c>
      <x:c r="CD544" s="11" t="n">
        <x:v>26595372</x:v>
      </x:c>
      <x:c r="CE544" s="11" t="n">
        <x:v>4215308</x:v>
      </x:c>
      <x:c r="CF544" s="11" t="n">
        <x:v>2685151</x:v>
      </x:c>
      <x:c r="CG544" s="11" t="n">
        <x:v>6339801</x:v>
      </x:c>
      <x:c r="CH544" s="11" t="n">
        <x:v>5250259</x:v>
      </x:c>
      <x:c r="CI544" s="11" t="n">
        <x:v>24534949</x:v>
      </x:c>
      <x:c r="CJ544" s="11" t="n">
        <x:v>9178085</x:v>
      </x:c>
      <x:c r="CK544" s="11" t="n">
        <x:v>8847316</x:v>
      </x:c>
      <x:c r="CL544" s="11" t="n">
        <x:v>0</x:v>
      </x:c>
      <x:c r="CM544" s="11"/>
      <x:c r="CN544" s="11" t="n">
        <x:v>427374</x:v>
      </x:c>
      <x:c r="CO544" s="11" t="n">
        <x:v>0</x:v>
      </x:c>
      <x:c r="CP544" s="8"/>
      <x:c r="CQ544" s="8"/>
    </x:row>
    <x:row r="545">
      <x:c r="A545" s="8" t="str">
        <x:v>North Vancouver (City)|2020</x:v>
      </x:c>
      <x:c r="B545" s="8" t="str">
        <x:v>north-vancouver-c</x:v>
      </x:c>
      <x:c r="C545" s="8" t="str">
        <x:v>North Vancouver (City)</x:v>
      </x:c>
      <x:c r="D545" s="8" t="str">
        <x:v>North Vancouver</x:v>
      </x:c>
      <x:c r="E545" s="8" t="str">
        <x:v>C</x:v>
      </x:c>
      <x:c r="F545" s="8" t="str">
        <x:v>GVR</x:v>
      </x:c>
      <x:c r="G545" s="9" t="n">
        <x:v>2020</x:v>
      </x:c>
      <x:c r="H545" s="10" t="n">
        <x:v>58985</x:v>
      </x:c>
      <x:c r="I545" s="8" t="str">
        <x:v>20,000 to 99,999</x:v>
      </x:c>
      <x:c r="J545" s="11" t="n">
        <x:v>159878898</x:v>
      </x:c>
      <x:c r="K545" s="11" t="n">
        <x:v>118909873</x:v>
      </x:c>
      <x:c r="L545" s="11" t="n">
        <x:v>40969025</x:v>
      </x:c>
      <x:c r="M545" s="12" t="n">
        <x:v>0.2562503589435549</x:v>
      </x:c>
      <x:c r="N545" s="11" t="n">
        <x:v>71054667</x:v>
      </x:c>
      <x:c r="O545" s="11" t="n">
        <x:v>40401654</x:v>
      </x:c>
      <x:c r="P545" s="11" t="n">
        <x:v>16859284</x:v>
      </x:c>
      <x:c r="Q545" s="11" t="n">
        <x:v>31563293</x:v>
      </x:c>
      <x:c r="R545" s="11" t="n">
        <x:v>102490410</x:v>
      </x:c>
      <x:c r="S545" s="11" t="n">
        <x:v>16413463</x:v>
      </x:c>
      <x:c r="T545" s="11" t="n">
        <x:v>274781492</x:v>
      </x:c>
      <x:c r="U545" s="11" t="n">
        <x:v>164512776</x:v>
      </x:c>
      <x:c r="V545" s="11" t="n">
        <x:v>168169123</x:v>
      </x:c>
      <x:c r="W545" s="11" t="n">
        <x:v>107826000</x:v>
      </x:c>
      <x:c r="X545" s="11" t="n">
        <x:v>684287</x:v>
      </x:c>
      <x:c r="Y545" s="11" t="n">
        <x:v>0</x:v>
      </x:c>
      <x:c r="Z545" s="11" t="n">
        <x:v>166582</x:v>
      </x:c>
      <x:c r="AA545" s="11" t="n">
        <x:v>465077</x:v>
      </x:c>
      <x:c r="AB545" s="11" t="n">
        <x:v>6000</x:v>
      </x:c>
      <x:c r="AC545" s="11" t="n">
        <x:v>172582</x:v>
      </x:c>
      <x:c r="AD545" s="11" t="n">
        <x:v>29431777</x:v>
      </x:c>
      <x:c r="AE545" s="11" t="n">
        <x:v>28566366</x:v>
      </x:c>
      <x:c r="AF545" s="11" t="n">
        <x:v>117727107</x:v>
      </x:c>
      <x:c r="AG545" s="11" t="n">
        <x:v>661742872</x:v>
      </x:c>
      <x:c r="AH545" s="11" t="n">
        <x:v>216118410</x:v>
      </x:c>
      <x:c r="AI545" s="11" t="n">
        <x:v>445624462</x:v>
      </x:c>
      <x:c r="AJ545" s="11" t="n">
        <x:v>48801778</x:v>
      </x:c>
      <x:c r="AK545" s="11" t="n">
        <x:v>658729901</x:v>
      </x:c>
      <x:c r="AL545" s="11" t="n">
        <x:v>9039139</x:v>
      </x:c>
      <x:c r="AM545" s="12" t="n">
        <x:v>0.9862779281974632</x:v>
      </x:c>
      <x:c r="AN545" s="12" t="n">
        <x:v>0.07408465582921824</x:v>
      </x:c>
      <x:c r="AO545" s="11" t="n">
        <x:v>110952714</x:v>
      </x:c>
      <x:c r="AP545" s="11" t="n">
        <x:v>109491303</x:v>
      </x:c>
      <x:c r="AQ545" s="12" t="n">
        <x:v>0.986828524086396</x:v>
      </x:c>
      <x:c r="AR545" s="11" t="n">
        <x:v>2710.5009409171826</x:v>
      </x:c>
      <x:c r="AS545" s="11" t="n">
        <x:v>2015.934101890311</x:v>
      </x:c>
      <x:c r="AT545" s="11" t="n">
        <x:v>2851.048961600407</x:v>
      </x:c>
      <x:c r="AU545" s="11" t="n">
        <x:v>1828.0240739170977</x:v>
      </x:c>
      <x:c r="AV545" s="11" t="n">
        <x:v>7.88466559294736</x:v>
      </x:c>
      <x:c r="AW545" s="11" t="n">
        <x:v>1.6702744837276347</x:v>
      </x:c>
      <x:c r="AX545" s="12" t="n">
        <x:v>0.9705960329884261</x:v>
      </x:c>
      <x:c r="AY545" s="11"/>
      <x:c r="AZ545" s="11"/>
      <x:c r="BA545" s="11"/>
      <x:c r="BB545" s="11"/>
      <x:c r="BC545" s="11"/>
      <x:c r="BD545" s="11"/>
      <x:c r="BE545" s="11"/>
      <x:c r="BF545" s="11"/>
      <x:c r="BG545" s="11"/>
      <x:c r="BH545" s="11"/>
      <x:c r="BI545" s="11"/>
      <x:c r="BJ545" s="11"/>
      <x:c r="BK545" s="12"/>
      <x:c r="BL545" s="12"/>
      <x:c r="BM545" s="12"/>
      <x:c r="BN545" s="12"/>
      <x:c r="BO545" s="12"/>
      <x:c r="BP545" s="12"/>
      <x:c r="BQ545" s="12"/>
      <x:c r="BR545" s="12"/>
      <x:c r="BS545" s="12"/>
      <x:c r="BT545" s="12"/>
      <x:c r="BU545" s="11" t="n">
        <x:v>1628417</x:v>
      </x:c>
      <x:c r="BV545" s="11" t="n">
        <x:v>8473704</x:v>
      </x:c>
      <x:c r="BW545" s="11" t="n">
        <x:v>6757163</x:v>
      </x:c>
      <x:c r="BX545" s="11" t="n">
        <x:v>5632236</x:v>
      </x:c>
      <x:c r="BY545" s="11" t="n">
        <x:v>1237875</x:v>
      </x:c>
      <x:c r="BZ545" s="11" t="n">
        <x:v>24693182</x:v>
      </x:c>
      <x:c r="CA545" s="11" t="n">
        <x:v>0</x:v>
      </x:c>
      <x:c r="CB545" s="11" t="n">
        <x:v>0</x:v>
      </x:c>
      <x:c r="CC545" s="11" t="n">
        <x:v>17382312</x:v>
      </x:c>
      <x:c r="CD545" s="11" t="n">
        <x:v>26534131</x:v>
      </x:c>
      <x:c r="CE545" s="11" t="n">
        <x:v>3950550</x:v>
      </x:c>
      <x:c r="CF545" s="11" t="n">
        <x:v>2763865</x:v>
      </x:c>
      <x:c r="CG545" s="11" t="n">
        <x:v>5406126</x:v>
      </x:c>
      <x:c r="CH545" s="11" t="n">
        <x:v>5098864</x:v>
      </x:c>
      <x:c r="CI545" s="11" t="n">
        <x:v>22019111</x:v>
      </x:c>
      <x:c r="CJ545" s="11" t="n">
        <x:v>8828711</x:v>
      </x:c>
      <x:c r="CK545" s="11" t="n">
        <x:v>9690194</x:v>
      </x:c>
      <x:c r="CL545" s="11" t="n">
        <x:v>0</x:v>
      </x:c>
      <x:c r="CM545" s="11"/>
      <x:c r="CN545" s="11" t="n">
        <x:v>822546</x:v>
      </x:c>
      <x:c r="CO545" s="11" t="n">
        <x:v>0</x:v>
      </x:c>
      <x:c r="CP545" s="8"/>
      <x:c r="CQ545" s="8"/>
    </x:row>
    <x:row r="546">
      <x:c r="A546" s="8" t="str">
        <x:v>North Vancouver (City)|2021</x:v>
      </x:c>
      <x:c r="B546" s="8" t="str">
        <x:v>north-vancouver-c</x:v>
      </x:c>
      <x:c r="C546" s="8" t="str">
        <x:v>North Vancouver (City)</x:v>
      </x:c>
      <x:c r="D546" s="8" t="str">
        <x:v>North Vancouver</x:v>
      </x:c>
      <x:c r="E546" s="8" t="str">
        <x:v>C</x:v>
      </x:c>
      <x:c r="F546" s="8" t="str">
        <x:v>MVRD</x:v>
      </x:c>
      <x:c r="G546" s="9" t="n">
        <x:v>2021</x:v>
      </x:c>
      <x:c r="H546" s="10" t="n">
        <x:v>59576</x:v>
      </x:c>
      <x:c r="I546" s="8" t="str">
        <x:v>20,000 to 99,999</x:v>
      </x:c>
      <x:c r="J546" s="11" t="n">
        <x:v>144398406</x:v>
      </x:c>
      <x:c r="K546" s="11" t="n">
        <x:v>127614676</x:v>
      </x:c>
      <x:c r="L546" s="11" t="n">
        <x:v>16783730</x:v>
      </x:c>
      <x:c r="M546" s="12" t="n">
        <x:v>0.11623210023523389</x:v>
      </x:c>
      <x:c r="N546" s="11" t="n">
        <x:v>74791583</x:v>
      </x:c>
      <x:c r="O546" s="11" t="n">
        <x:v>46721921</x:v>
      </x:c>
      <x:c r="P546" s="11" t="n">
        <x:v>9872625</x:v>
      </x:c>
      <x:c r="Q546" s="11" t="n">
        <x:v>13012277</x:v>
      </x:c>
      <x:c r="R546" s="11" t="n">
        <x:v>110509808</x:v>
      </x:c>
      <x:c r="S546" s="11" t="n">
        <x:v>17098868</x:v>
      </x:c>
      <x:c r="T546" s="11" t="n">
        <x:v>261563406</x:v>
      </x:c>
      <x:c r="U546" s="11" t="n">
        <x:v>147732147</x:v>
      </x:c>
      <x:c r="V546" s="11" t="n">
        <x:v>169732472</x:v>
      </x:c>
      <x:c r="W546" s="11" t="n">
        <x:v>100376000</x:v>
      </x:c>
      <x:c r="X546" s="11" t="n">
        <x:v>465077</x:v>
      </x:c>
      <x:c r="Y546" s="11" t="n">
        <x:v>0</x:v>
      </x:c>
      <x:c r="Z546" s="11" t="n">
        <x:v>166582</x:v>
      </x:c>
      <x:c r="AA546" s="11" t="n">
        <x:v>237098</x:v>
      </x:c>
      <x:c r="AB546" s="11" t="n">
        <x:v>6000</x:v>
      </x:c>
      <x:c r="AC546" s="11" t="n">
        <x:v>172582</x:v>
      </x:c>
      <x:c r="AD546" s="11" t="n">
        <x:v>31789932</x:v>
      </x:c>
      <x:c r="AE546" s="11" t="n">
        <x:v>31060350</x:v>
      </x:c>
      <x:c r="AF546" s="11" t="n">
        <x:v>127159729</x:v>
      </x:c>
      <x:c r="AG546" s="11" t="n">
        <x:v>692288392</x:v>
      </x:c>
      <x:c r="AH546" s="11" t="n">
        <x:v>231201808</x:v>
      </x:c>
      <x:c r="AI546" s="11" t="n">
        <x:v>461086584</x:v>
      </x:c>
      <x:c r="AJ546" s="11" t="n">
        <x:v>33487999</x:v>
      </x:c>
      <x:c r="AK546" s="11" t="n">
        <x:v>1257170225</x:v>
      </x:c>
      <x:c r="AL546" s="11" t="n">
        <x:v>33840294</x:v>
      </x:c>
      <x:c r="AM546" s="12" t="n">
        <x:v>0.9730821703162752</x:v>
      </x:c>
      <x:c r="AN546" s="12" t="n">
        <x:v>0.026637601125177778</x:v>
      </x:c>
      <x:c r="AO546" s="11" t="n">
        <x:v>129231404</x:v>
      </x:c>
      <x:c r="AP546" s="11" t="n">
        <x:v>127688190</x:v>
      </x:c>
      <x:c r="AQ546" s="12" t="n">
        <x:v>0.988058521750642</x:v>
      </x:c>
      <x:c r="AR546" s="11" t="n">
        <x:v>2423.7680609641466</x:v>
      </x:c>
      <x:c r="AS546" s="11" t="n">
        <x:v>2142.0484087552036</x:v>
      </x:c>
      <x:c r="AT546" s="11" t="n">
        <x:v>2849.0075198066334</x:v>
      </x:c>
      <x:c r="AU546" s="11" t="n">
        <x:v>1684.8395326977306</x:v>
      </x:c>
      <x:c r="AV546" s="11" t="n">
        <x:v>3.979756949107023</x:v>
      </x:c>
      <x:c r="AW546" s="11" t="n">
        <x:v>1.7705246374033947</x:v>
      </x:c>
      <x:c r="AX546" s="12" t="n">
        <x:v>0.9770499037242357</x:v>
      </x:c>
      <x:c r="AY546" s="11"/>
      <x:c r="AZ546" s="11"/>
      <x:c r="BA546" s="11"/>
      <x:c r="BB546" s="11"/>
      <x:c r="BC546" s="11"/>
      <x:c r="BD546" s="11"/>
      <x:c r="BE546" s="11"/>
      <x:c r="BF546" s="11"/>
      <x:c r="BG546" s="11"/>
      <x:c r="BH546" s="11"/>
      <x:c r="BI546" s="11"/>
      <x:c r="BJ546" s="11"/>
      <x:c r="BK546" s="12"/>
      <x:c r="BL546" s="12"/>
      <x:c r="BM546" s="12"/>
      <x:c r="BN546" s="12"/>
      <x:c r="BO546" s="12"/>
      <x:c r="BP546" s="12"/>
      <x:c r="BQ546" s="12"/>
      <x:c r="BR546" s="12"/>
      <x:c r="BS546" s="12"/>
      <x:c r="BT546" s="12"/>
      <x:c r="BU546" s="11" t="n">
        <x:v>349851</x:v>
      </x:c>
      <x:c r="BV546" s="11" t="n">
        <x:v>2105909</x:v>
      </x:c>
      <x:c r="BW546" s="11" t="n">
        <x:v>7416865</x:v>
      </x:c>
      <x:c r="BX546" s="11" t="n">
        <x:v>4996068</x:v>
      </x:c>
      <x:c r="BY546" s="11" t="n">
        <x:v>666529</x:v>
      </x:c>
      <x:c r="BZ546" s="11" t="n">
        <x:v>7349680</x:v>
      </x:c>
      <x:c r="CA546" s="11" t="n">
        <x:v>0</x:v>
      </x:c>
      <x:c r="CB546" s="11" t="n">
        <x:v>0</x:v>
      </x:c>
      <x:c r="CC546" s="11" t="n">
        <x:v>18069886</x:v>
      </x:c>
      <x:c r="CD546" s="11" t="n">
        <x:v>27464241</x:v>
      </x:c>
      <x:c r="CE546" s="11" t="n">
        <x:v>3163261</x:v>
      </x:c>
      <x:c r="CF546" s="11" t="n">
        <x:v>2723800</x:v>
      </x:c>
      <x:c r="CG546" s="11" t="n">
        <x:v>7494028</x:v>
      </x:c>
      <x:c r="CH546" s="11" t="n">
        <x:v>5467323</x:v>
      </x:c>
      <x:c r="CI546" s="11" t="n">
        <x:v>24428133</x:v>
      </x:c>
      <x:c r="CJ546" s="11" t="n">
        <x:v>10019368</x:v>
      </x:c>
      <x:c r="CK546" s="11" t="n">
        <x:v>10971637</x:v>
      </x:c>
      <x:c r="CL546" s="11" t="n">
        <x:v>0</x:v>
      </x:c>
      <x:c r="CM546" s="11"/>
      <x:c r="CN546" s="11" t="n">
        <x:v>714131</x:v>
      </x:c>
      <x:c r="CO546" s="11" t="n">
        <x:v>0</x:v>
      </x:c>
      <x:c r="CP546" s="8"/>
      <x:c r="CQ546" s="8"/>
    </x:row>
    <x:row r="547">
      <x:c r="A547" s="8" t="str">
        <x:v>North Vancouver (City)|2022</x:v>
      </x:c>
      <x:c r="B547" s="8" t="str">
        <x:v>north-vancouver-c</x:v>
      </x:c>
      <x:c r="C547" s="8" t="str">
        <x:v>North Vancouver (City)</x:v>
      </x:c>
      <x:c r="D547" s="8" t="str">
        <x:v>North Vancouver</x:v>
      </x:c>
      <x:c r="E547" s="8" t="str">
        <x:v>C</x:v>
      </x:c>
      <x:c r="F547" s="8" t="str">
        <x:v>MVRD</x:v>
      </x:c>
      <x:c r="G547" s="9" t="n">
        <x:v>2022</x:v>
      </x:c>
      <x:c r="H547" s="10" t="n">
        <x:v>92390</x:v>
      </x:c>
      <x:c r="I547" s="8" t="str">
        <x:v>20,000 to 99,999</x:v>
      </x:c>
      <x:c r="J547" s="11" t="n">
        <x:v>189716946</x:v>
      </x:c>
      <x:c r="K547" s="11" t="n">
        <x:v>138478103</x:v>
      </x:c>
      <x:c r="L547" s="11" t="n">
        <x:v>51238843</x:v>
      </x:c>
      <x:c r="M547" s="12" t="n">
        <x:v>0.2700804755733312</x:v>
      </x:c>
      <x:c r="N547" s="11" t="n">
        <x:v>77872621</x:v>
      </x:c>
      <x:c r="O547" s="11" t="n">
        <x:v>53814734</x:v>
      </x:c>
      <x:c r="P547" s="11" t="n">
        <x:v>10226595</x:v>
      </x:c>
      <x:c r="Q547" s="11" t="n">
        <x:v>47802996</x:v>
      </x:c>
      <x:c r="R547" s="11" t="n">
        <x:v>120505770</x:v>
      </x:c>
      <x:c r="S547" s="11" t="n">
        <x:v>17969333</x:v>
      </x:c>
      <x:c r="T547" s="11" t="n">
        <x:v>297513512</x:v>
      </x:c>
      <x:c r="U547" s="11" t="n">
        <x:v>149735596</x:v>
      </x:c>
      <x:c r="V547" s="11" t="n">
        <x:v>201576569</x:v>
      </x:c>
      <x:c r="W547" s="11" t="n">
        <x:v>124527579</x:v>
      </x:c>
      <x:c r="X547" s="11" t="n">
        <x:v>237098</x:v>
      </x:c>
      <x:c r="Y547" s="11" t="n">
        <x:v>0</x:v>
      </x:c>
      <x:c r="Z547" s="11" t="n">
        <x:v>166582</x:v>
      </x:c>
      <x:c r="AA547" s="11" t="n">
        <x:v>0</x:v>
      </x:c>
      <x:c r="AB547" s="11" t="n">
        <x:v>3000</x:v>
      </x:c>
      <x:c r="AC547" s="11" t="n">
        <x:v>169582</x:v>
      </x:c>
      <x:c r="AD547" s="11" t="n">
        <x:v>34939903</x:v>
      </x:c>
      <x:c r="AE547" s="11" t="n">
        <x:v>25014821</x:v>
      </x:c>
      <x:c r="AF547" s="11" t="n">
        <x:v>139759613</x:v>
      </x:c>
      <x:c r="AG547" s="11" t="n">
        <x:v>723483770</x:v>
      </x:c>
      <x:c r="AH547" s="11" t="n">
        <x:v>244414949</x:v>
      </x:c>
      <x:c r="AI547" s="11" t="n">
        <x:v>479068821</x:v>
      </x:c>
      <x:c r="AJ547" s="11" t="n">
        <x:v>37214184</x:v>
      </x:c>
      <x:c r="AK547" s="11" t="n">
        <x:v>1432613461</x:v>
      </x:c>
      <x:c r="AL547" s="11" t="n">
        <x:v>37904542</x:v>
      </x:c>
      <x:c r="AM547" s="12" t="n">
        <x:v>0.9735416823645217</x:v>
      </x:c>
      <x:c r="AN547" s="12" t="n">
        <x:v>0.025976430497884315</x:v>
      </x:c>
      <x:c r="AO547" s="11" t="n">
        <x:v>131459854</x:v>
      </x:c>
      <x:c r="AP547" s="11" t="n">
        <x:v>129893707</x:v>
      </x:c>
      <x:c r="AQ547" s="12" t="n">
        <x:v>0.9880864997765781</x:v>
      </x:c>
      <x:c r="AR547" s="11" t="n">
        <x:v>2053.4359346249594</x:v>
      </x:c>
      <x:c r="AS547" s="11" t="n">
        <x:v>1498.8429808420824</x:v>
      </x:c>
      <x:c r="AT547" s="11" t="n">
        <x:v>2181.8007251867084</x:v>
      </x:c>
      <x:c r="AU547" s="11" t="n">
        <x:v>1347.8469423097738</x:v>
      </x:c>
      <x:c r="AV547" s="11" t="n">
        <x:v>0</x:v>
      </x:c>
      <x:c r="AW547" s="11" t="n">
        <x:v>1.9869257541139382</x:v>
      </x:c>
      <x:c r="AX547" s="12" t="n">
        <x:v>0.715938478707282</x:v>
      </x:c>
      <x:c r="AY547" s="11"/>
      <x:c r="AZ547" s="11"/>
      <x:c r="BA547" s="11"/>
      <x:c r="BB547" s="11"/>
      <x:c r="BC547" s="11"/>
      <x:c r="BD547" s="11"/>
      <x:c r="BE547" s="11"/>
      <x:c r="BF547" s="11"/>
      <x:c r="BG547" s="11"/>
      <x:c r="BH547" s="11"/>
      <x:c r="BI547" s="11"/>
      <x:c r="BJ547" s="11"/>
      <x:c r="BK547" s="12"/>
      <x:c r="BL547" s="12"/>
      <x:c r="BM547" s="12"/>
      <x:c r="BN547" s="12"/>
      <x:c r="BO547" s="12"/>
      <x:c r="BP547" s="12"/>
      <x:c r="BQ547" s="12"/>
      <x:c r="BR547" s="12"/>
      <x:c r="BS547" s="12"/>
      <x:c r="BT547" s="12"/>
      <x:c r="BU547" s="11" t="n">
        <x:v>378198</x:v>
      </x:c>
      <x:c r="BV547" s="11" t="n">
        <x:v>903290</x:v>
      </x:c>
      <x:c r="BW547" s="11" t="n">
        <x:v>8945107</x:v>
      </x:c>
      <x:c r="BX547" s="11" t="n">
        <x:v>7549904</x:v>
      </x:c>
      <x:c r="BY547" s="11" t="n">
        <x:v>213140</x:v>
      </x:c>
      <x:c r="BZ547" s="11" t="n">
        <x:v>40039952</x:v>
      </x:c>
      <x:c r="CA547" s="11" t="n">
        <x:v>0</x:v>
      </x:c>
      <x:c r="CB547" s="11" t="n">
        <x:v>0</x:v>
      </x:c>
      <x:c r="CC547" s="11" t="n">
        <x:v>20722276</x:v>
      </x:c>
      <x:c r="CD547" s="11" t="n">
        <x:v>27538189</x:v>
      </x:c>
      <x:c r="CE547" s="11" t="n">
        <x:v>3253729</x:v>
      </x:c>
      <x:c r="CF547" s="11" t="n">
        <x:v>2792566</x:v>
      </x:c>
      <x:c r="CG547" s="11" t="n">
        <x:v>7715960</x:v>
      </x:c>
      <x:c r="CH547" s="11" t="n">
        <x:v>7132343</x:v>
      </x:c>
      <x:c r="CI547" s="11" t="n">
        <x:v>28081655</x:v>
      </x:c>
      <x:c r="CJ547" s="11" t="n">
        <x:v>10776251</x:v>
      </x:c>
      <x:c r="CK547" s="11" t="n">
        <x:v>11353013</x:v>
      </x:c>
      <x:c r="CL547" s="11" t="n">
        <x:v>0</x:v>
      </x:c>
      <x:c r="CM547" s="11"/>
      <x:c r="CN547" s="11" t="n">
        <x:v>1142788</x:v>
      </x:c>
      <x:c r="CO547" s="11" t="n">
        <x:v>0</x:v>
      </x:c>
      <x:c r="CP547" s="8"/>
      <x:c r="CQ547" s="8"/>
    </x:row>
    <x:row r="548">
      <x:c r="A548" s="8" t="str">
        <x:v>North Vancouver (City)|2023</x:v>
      </x:c>
      <x:c r="B548" s="8" t="str">
        <x:v>north-vancouver-c</x:v>
      </x:c>
      <x:c r="C548" s="8" t="str">
        <x:v>North Vancouver (City)</x:v>
      </x:c>
      <x:c r="D548" s="8" t="str">
        <x:v>North Vancouver</x:v>
      </x:c>
      <x:c r="E548" s="8" t="str">
        <x:v>C</x:v>
      </x:c>
      <x:c r="F548" s="8" t="str">
        <x:v>MVRD</x:v>
      </x:c>
      <x:c r="G548" s="9" t="n">
        <x:v>2023</x:v>
      </x:c>
      <x:c r="H548" s="10" t="n">
        <x:v>64847</x:v>
      </x:c>
      <x:c r="I548" s="8" t="str">
        <x:v>20,000 to 99,999</x:v>
      </x:c>
      <x:c r="J548" s="11" t="n">
        <x:v>186060346</x:v>
      </x:c>
      <x:c r="K548" s="11" t="n">
        <x:v>150696671</x:v>
      </x:c>
      <x:c r="L548" s="11" t="n">
        <x:v>35363675</x:v>
      </x:c>
      <x:c r="M548" s="12" t="n">
        <x:v>0.19006561989302115</x:v>
      </x:c>
      <x:c r="N548" s="11" t="n">
        <x:v>82296552</x:v>
      </x:c>
      <x:c r="O548" s="11" t="n">
        <x:v>58192744</x:v>
      </x:c>
      <x:c r="P548" s="11" t="n">
        <x:v>24967947</x:v>
      </x:c>
      <x:c r="Q548" s="11" t="n">
        <x:v>20603103</x:v>
      </x:c>
      <x:c r="R548" s="11" t="n">
        <x:v>133836215</x:v>
      </x:c>
      <x:c r="S548" s="11" t="n">
        <x:v>16860456</x:v>
      </x:c>
      <x:c r="T548" s="11" t="n">
        <x:v>299439012</x:v>
      </x:c>
      <x:c r="U548" s="11" t="n">
        <x:v>169769828</x:v>
      </x:c>
      <x:c r="V548" s="11" t="n">
        <x:v>184807125</x:v>
      </x:c>
      <x:c r="W548" s="11" t="n">
        <x:v>99206390</x:v>
      </x:c>
      <x:c r="X548" s="11" t="n">
        <x:v>0</x:v>
      </x:c>
      <x:c r="Y548" s="11" t="n">
        <x:v>0</x:v>
      </x:c>
      <x:c r="Z548" s="11" t="n">
        <x:v>0</x:v>
      </x:c>
      <x:c r="AA548" s="11" t="n">
        <x:v>0</x:v>
      </x:c>
      <x:c r="AB548" s="11" t="n">
        <x:v>0</x:v>
      </x:c>
      <x:c r="AC548" s="11" t="n">
        <x:v>0</x:v>
      </x:c>
      <x:c r="AD548" s="11" t="n">
        <x:v>38891007</x:v>
      </x:c>
      <x:c r="AE548" s="11" t="n">
        <x:v>28873907</x:v>
      </x:c>
      <x:c r="AF548" s="11" t="n">
        <x:v>155564029</x:v>
      </x:c>
      <x:c r="AG548" s="11" t="n">
        <x:v>788000025</x:v>
      </x:c>
      <x:c r="AH548" s="11" t="n">
        <x:v>259977928</x:v>
      </x:c>
      <x:c r="AI548" s="11" t="n">
        <x:v>528022097</x:v>
      </x:c>
      <x:c r="AJ548" s="11" t="n">
        <x:v>66033882</x:v>
      </x:c>
      <x:c r="AK548" s="11" t="n">
        <x:v>1708233373</x:v>
      </x:c>
      <x:c r="AL548" s="11" t="n">
        <x:v>43481244</x:v>
      </x:c>
      <x:c r="AM548" s="12" t="n">
        <x:v>0.9745460750929844</x:v>
      </x:c>
      <x:c r="AN548" s="12" t="n">
        <x:v>0.03865624161412517</x:v>
      </x:c>
      <x:c r="AO548" s="11" t="n">
        <x:v>138052327</x:v>
      </x:c>
      <x:c r="AP548" s="11" t="n">
        <x:v>136049662</x:v>
      </x:c>
      <x:c r="AQ548" s="12" t="n">
        <x:v>0.9854934353985935</x:v>
      </x:c>
      <x:c r="AR548" s="11" t="n">
        <x:v>2869.2205653307014</x:v>
      </x:c>
      <x:c r="AS548" s="11" t="n">
        <x:v>2323.8803799713173</x:v>
      </x:c>
      <x:c r="AT548" s="11" t="n">
        <x:v>2849.894752263019</x:v>
      </x:c>
      <x:c r="AU548" s="11" t="n">
        <x:v>1529.8531929002113</x:v>
      </x:c>
      <x:c r="AV548" s="11" t="n">
        <x:v>0</x:v>
      </x:c>
      <x:c r="AW548" s="11" t="n">
        <x:v>1.7637940470788485</x:v>
      </x:c>
      <x:c r="AX548" s="12" t="n">
        <x:v>0.7424314572260883</x:v>
      </x:c>
      <x:c r="AY548" s="11"/>
      <x:c r="AZ548" s="11"/>
      <x:c r="BA548" s="11"/>
      <x:c r="BB548" s="11"/>
      <x:c r="BC548" s="11"/>
      <x:c r="BD548" s="11"/>
      <x:c r="BE548" s="11"/>
      <x:c r="BF548" s="11"/>
      <x:c r="BG548" s="11"/>
      <x:c r="BH548" s="11"/>
      <x:c r="BI548" s="11"/>
      <x:c r="BJ548" s="11"/>
      <x:c r="BK548" s="12"/>
      <x:c r="BL548" s="12"/>
      <x:c r="BM548" s="12"/>
      <x:c r="BN548" s="12"/>
      <x:c r="BO548" s="12"/>
      <x:c r="BP548" s="12"/>
      <x:c r="BQ548" s="12"/>
      <x:c r="BR548" s="12"/>
      <x:c r="BS548" s="12"/>
      <x:c r="BT548" s="12"/>
      <x:c r="BU548" s="11" t="n">
        <x:v>748829</x:v>
      </x:c>
      <x:c r="BV548" s="11" t="n">
        <x:v>13210252</x:v>
      </x:c>
      <x:c r="BW548" s="11" t="n">
        <x:v>11008866</x:v>
      </x:c>
      <x:c r="BX548" s="11" t="n">
        <x:v>14505733</x:v>
      </x:c>
      <x:c r="BY548" s="11" t="n">
        <x:v>2924</x:v>
      </x:c>
      <x:c r="BZ548" s="11" t="n">
        <x:v>5348052</x:v>
      </x:c>
      <x:c r="CA548" s="11" t="n">
        <x:v>746394</x:v>
      </x:c>
      <x:c r="CB548" s="11" t="n">
        <x:v>0</x:v>
      </x:c>
      <x:c r="CC548" s="11" t="n">
        <x:v>24145334</x:v>
      </x:c>
      <x:c r="CD548" s="11" t="n">
        <x:v>32018106</x:v>
      </x:c>
      <x:c r="CE548" s="11" t="n">
        <x:v>3703661</x:v>
      </x:c>
      <x:c r="CF548" s="11" t="n">
        <x:v>2980780</x:v>
      </x:c>
      <x:c r="CG548" s="11" t="n">
        <x:v>9603776</x:v>
      </x:c>
      <x:c r="CH548" s="11" t="n">
        <x:v>6966038</x:v>
      </x:c>
      <x:c r="CI548" s="11" t="n">
        <x:v>30700101</x:v>
      </x:c>
      <x:c r="CJ548" s="11" t="n">
        <x:v>11550677</x:v>
      </x:c>
      <x:c r="CK548" s="11" t="n">
        <x:v>12075021</x:v>
      </x:c>
      <x:c r="CL548" s="11" t="n">
        <x:v>0</x:v>
      </x:c>
      <x:c r="CM548" s="11" t="n">
        <x:v>92721</x:v>
      </x:c>
      <x:c r="CN548" s="11" t="n">
        <x:v>0</x:v>
      </x:c>
      <x:c r="CO548" s="11" t="n">
        <x:v>0</x:v>
      </x:c>
      <x:c r="CP548" s="8"/>
      <x:c r="CQ548" s="8"/>
    </x:row>
    <x:row r="549">
      <x:c r="A549" s="8" t="str">
        <x:v>North Vancouver (City)|2024</x:v>
      </x:c>
      <x:c r="B549" s="8" t="str">
        <x:v>north-vancouver-c</x:v>
      </x:c>
      <x:c r="C549" s="8" t="str">
        <x:v>North Vancouver (City)</x:v>
      </x:c>
      <x:c r="D549" s="8" t="str">
        <x:v>North Vancouver</x:v>
      </x:c>
      <x:c r="E549" s="8" t="str">
        <x:v>C</x:v>
      </x:c>
      <x:c r="F549" s="8" t="str">
        <x:v>MVRD</x:v>
      </x:c>
      <x:c r="G549" s="9" t="n">
        <x:v>2024</x:v>
      </x:c>
      <x:c r="H549" s="10" t="n">
        <x:v>64847</x:v>
      </x:c>
      <x:c r="I549" s="8" t="str">
        <x:v>20,000 to 99,999</x:v>
      </x:c>
      <x:c r="J549" s="11" t="n">
        <x:v>182028023</x:v>
      </x:c>
      <x:c r="K549" s="11" t="n">
        <x:v>162621486</x:v>
      </x:c>
      <x:c r="L549" s="11" t="n">
        <x:v>19406537</x:v>
      </x:c>
      <x:c r="M549" s="12" t="n">
        <x:v>0.10661290871680786</x:v>
      </x:c>
      <x:c r="N549" s="11" t="n">
        <x:v>88235961</x:v>
      </x:c>
      <x:c r="O549" s="11" t="n">
        <x:v>60325201</x:v>
      </x:c>
      <x:c r="P549" s="11" t="n">
        <x:v>14536629</x:v>
      </x:c>
      <x:c r="Q549" s="11" t="n">
        <x:v>18930232</x:v>
      </x:c>
      <x:c r="R549" s="11" t="n">
        <x:v>145047905</x:v>
      </x:c>
      <x:c r="S549" s="11" t="n">
        <x:v>17571725</x:v>
      </x:c>
      <x:c r="T549" s="11" t="n">
        <x:v>268067121</x:v>
      </x:c>
      <x:c r="U549" s="11" t="n">
        <x:v>184465835</x:v>
      </x:c>
      <x:c r="V549" s="11" t="n">
        <x:v>133668685</x:v>
      </x:c>
      <x:c r="W549" s="11" t="n">
        <x:v>77191207</x:v>
      </x:c>
      <x:c r="X549" s="11" t="n">
        <x:v>0</x:v>
      </x:c>
      <x:c r="Y549" s="11" t="n">
        <x:v>872552</x:v>
      </x:c>
      <x:c r="Z549" s="11" t="n">
        <x:v>0</x:v>
      </x:c>
      <x:c r="AA549" s="11" t="n">
        <x:v>872552</x:v>
      </x:c>
      <x:c r="AB549" s="11" t="n">
        <x:v>1856</x:v>
      </x:c>
      <x:c r="AC549" s="11" t="n">
        <x:v>1856</x:v>
      </x:c>
      <x:c r="AD549" s="11" t="n">
        <x:v>40665687</x:v>
      </x:c>
      <x:c r="AE549" s="11" t="n">
        <x:v>25739150</x:v>
      </x:c>
      <x:c r="AF549" s="11" t="n">
        <x:v>162662748</x:v>
      </x:c>
      <x:c r="AG549" s="11" t="n">
        <x:v>875320412</x:v>
      </x:c>
      <x:c r="AH549" s="11" t="n">
        <x:v>275667243</x:v>
      </x:c>
      <x:c r="AI549" s="11" t="n">
        <x:v>599653169</x:v>
      </x:c>
      <x:c r="AJ549" s="11" t="n">
        <x:v>89966019</x:v>
      </x:c>
      <x:c r="AK549" s="11" t="n">
        <x:v>1791929786</x:v>
      </x:c>
      <x:c r="AL549" s="11" t="n">
        <x:v>44066528</x:v>
      </x:c>
      <x:c r="AM549" s="12" t="n">
        <x:v>0.9754083400229835</x:v>
      </x:c>
      <x:c r="AN549" s="12" t="n">
        <x:v>0.0502062188501397</x:v>
      </x:c>
      <x:c r="AO549" s="11" t="n">
        <x:v>148085222</x:v>
      </x:c>
      <x:c r="AP549" s="11" t="n">
        <x:v>145906681</x:v>
      </x:c>
      <x:c r="AQ549" s="12" t="n">
        <x:v>0.9852885995605962</x:v>
      </x:c>
      <x:c r="AR549" s="11" t="n">
        <x:v>2807.0384597591255</x:v>
      </x:c>
      <x:c r="AS549" s="11" t="n">
        <x:v>2507.7719246842566</x:v>
      </x:c>
      <x:c r="AT549" s="11" t="n">
        <x:v>2061.293274939473</x:v>
      </x:c>
      <x:c r="AU549" s="11" t="n">
        <x:v>1190.3589526115318</x:v>
      </x:c>
      <x:c r="AV549" s="11" t="n">
        <x:v>13.455549215846531</x:v>
      </x:c>
      <x:c r="AW549" s="11" t="n">
        <x:v>1.4532074245618436</x:v>
      </x:c>
      <x:c r="AX549" s="12" t="n">
        <x:v>0.6329451657855921</x:v>
      </x:c>
      <x:c r="AY549" s="11" t="n">
        <x:v>2823.8160359162957</x:v>
      </x:c>
      <x:c r="AZ549" s="11" t="n">
        <x:v>3546.5079302077975</x:v>
      </x:c>
      <x:c r="BA549" s="11" t="n">
        <x:v>2313.177731087988</x:v>
      </x:c>
      <x:c r="BB549" s="11" t="n">
        <x:v>2783.665107049771</x:v>
      </x:c>
      <x:c r="BC549" s="11" t="n">
        <x:v>1634.933826557682</x:v>
      </x:c>
      <x:c r="BD549" s="11" t="n">
        <x:v>2437.8724475115623</x:v>
      </x:c>
      <x:c r="BE549" s="11" t="n">
        <x:v>1015.8871081440785</x:v>
      </x:c>
      <x:c r="BF549" s="11" t="n">
        <x:v>1604.3462673977224</x:v>
      </x:c>
      <x:c r="BG549" s="11" t="n">
        <x:v>757.3716446138835</x:v>
      </x:c>
      <x:c r="BH549" s="11" t="n">
        <x:v>518.5374381567245</x:v>
      </x:c>
      <x:c r="BI549" s="11" t="n">
        <x:v>1.4428133381403412</x:v>
      </x:c>
      <x:c r="BJ549" s="11" t="n">
        <x:v>1.7099330852451193</x:v>
      </x:c>
      <x:c r="BK549" s="12" t="n">
        <x:v>0.021350493990494074</x:v>
      </x:c>
      <x:c r="BL549" s="12" t="n">
        <x:v>0.02529861000232605</x:v>
      </x:c>
      <x:c r="BM549" s="12" t="n">
        <x:v>0.9847118933607182</x:v>
      </x:c>
      <x:c r="BN549" s="12" t="n">
        <x:v>0.9815511712696461</x:v>
      </x:c>
      <x:c r="BO549" s="12" t="n">
        <x:v>0.8457939120832807</x:v>
      </x:c>
      <x:c r="BP549" s="12" t="n">
        <x:v>0.8619101997275483</x:v>
      </x:c>
      <x:c r="BQ549" s="12" t="n">
        <x:v>0.9744645665293163</x:v>
      </x:c>
      <x:c r="BR549" s="12" t="n">
        <x:v>0.9623635142836453</x:v>
      </x:c>
      <x:c r="BS549" s="12" t="n">
        <x:v>0.16542076645989975</x:v>
      </x:c>
      <x:c r="BT549" s="12" t="n">
        <x:v>0.19976549769108282</x:v>
      </x:c>
      <x:c r="BU549" s="11" t="n">
        <x:v>5290887</x:v>
      </x:c>
      <x:c r="BV549" s="11" t="n">
        <x:v>2438561</x:v>
      </x:c>
      <x:c r="BW549" s="11" t="n">
        <x:v>6807181</x:v>
      </x:c>
      <x:c r="BX549" s="11" t="n">
        <x:v>13591586</x:v>
      </x:c>
      <x:c r="BY549" s="11" t="n">
        <x:v>241517</x:v>
      </x:c>
      <x:c r="BZ549" s="11" t="n">
        <x:v>3865742</x:v>
      </x:c>
      <x:c r="CA549" s="11" t="n">
        <x:v>1231387</x:v>
      </x:c>
      <x:c r="CB549" s="11" t="n">
        <x:v>0</x:v>
      </x:c>
      <x:c r="CC549" s="11" t="n">
        <x:v>26246406</x:v>
      </x:c>
      <x:c r="CD549" s="11" t="n">
        <x:v>35046673</x:v>
      </x:c>
      <x:c r="CE549" s="11" t="n">
        <x:v>3737125</x:v>
      </x:c>
      <x:c r="CF549" s="11" t="n">
        <x:v>3140316</x:v>
      </x:c>
      <x:c r="CG549" s="11" t="n">
        <x:v>8872128</x:v>
      </x:c>
      <x:c r="CH549" s="11" t="n">
        <x:v>9014726</x:v>
      </x:c>
      <x:c r="CI549" s="11" t="n">
        <x:v>33735503</x:v>
      </x:c>
      <x:c r="CJ549" s="11" t="n">
        <x:v>12161855</x:v>
      </x:c>
      <x:c r="CK549" s="11" t="n">
        <x:v>12999373</x:v>
      </x:c>
      <x:c r="CL549" s="11" t="n">
        <x:v>0</x:v>
      </x:c>
      <x:c r="CM549" s="11" t="n">
        <x:v>95656</x:v>
      </x:c>
      <x:c r="CN549" s="11" t="n">
        <x:v>0</x:v>
      </x:c>
      <x:c r="CO549" s="11" t="n">
        <x:v>0</x:v>
      </x:c>
      <x:c r="CP549" s="8"/>
      <x:c r="CQ549" s="8"/>
    </x:row>
    <x:row r="550">
      <x:c r="A550" s="8" t="str">
        <x:v>North Vancouver (District)|2019</x:v>
      </x:c>
      <x:c r="B550" s="8" t="str">
        <x:v>north-vancouver-d</x:v>
      </x:c>
      <x:c r="C550" s="8" t="str">
        <x:v>North Vancouver (District)</x:v>
      </x:c>
      <x:c r="D550" s="8" t="str">
        <x:v>North Vancouver</x:v>
      </x:c>
      <x:c r="E550" s="8" t="str">
        <x:v>D</x:v>
      </x:c>
      <x:c r="F550" s="8" t="str">
        <x:v>GVR</x:v>
      </x:c>
      <x:c r="G550" s="9" t="n">
        <x:v>2019</x:v>
      </x:c>
      <x:c r="H550" s="10" t="n">
        <x:v>89763</x:v>
      </x:c>
      <x:c r="I550" s="8" t="str">
        <x:v>20,000 to 99,999</x:v>
      </x:c>
      <x:c r="J550" s="11" t="n">
        <x:v>232505321</x:v>
      </x:c>
      <x:c r="K550" s="11" t="n">
        <x:v>193709010</x:v>
      </x:c>
      <x:c r="L550" s="11" t="n">
        <x:v>38796311</x:v>
      </x:c>
      <x:c r="M550" s="12" t="n">
        <x:v>0.16686203495532045</x:v>
      </x:c>
      <x:c r="N550" s="11" t="n">
        <x:v>111521856</x:v>
      </x:c>
      <x:c r="O550" s="11" t="n">
        <x:v>102798518</x:v>
      </x:c>
      <x:c r="P550" s="11" t="n">
        <x:v>4123156</x:v>
      </x:c>
      <x:c r="Q550" s="11" t="n">
        <x:v>14061791</x:v>
      </x:c>
      <x:c r="R550" s="11" t="n">
        <x:v>172458050</x:v>
      </x:c>
      <x:c r="S550" s="11" t="n">
        <x:v>20142397</x:v>
      </x:c>
      <x:c r="T550" s="11" t="n">
        <x:v>312708798</x:v>
      </x:c>
      <x:c r="U550" s="11" t="n">
        <x:v>177235396</x:v>
      </x:c>
      <x:c r="V550" s="11" t="n">
        <x:v>151305918</x:v>
      </x:c>
      <x:c r="W550" s="11" t="n">
        <x:v>90201179</x:v>
      </x:c>
      <x:c r="X550" s="11" t="n">
        <x:v>37154419</x:v>
      </x:c>
      <x:c r="Y550" s="11" t="n">
        <x:v>0</x:v>
      </x:c>
      <x:c r="Z550" s="11" t="n">
        <x:v>1653182</x:v>
      </x:c>
      <x:c r="AA550" s="11" t="n">
        <x:v>35092991</x:v>
      </x:c>
      <x:c r="AB550" s="11" t="n">
        <x:v>1108563</x:v>
      </x:c>
      <x:c r="AC550" s="11" t="n">
        <x:v>2761745</x:v>
      </x:c>
      <x:c r="AD550" s="11" t="n">
        <x:v>55602551</x:v>
      </x:c>
      <x:c r="AE550" s="11" t="n">
        <x:v>52840806</x:v>
      </x:c>
      <x:c r="AF550" s="11" t="n">
        <x:v>222410203</x:v>
      </x:c>
      <x:c r="AG550" s="11" t="n">
        <x:v>1059607899</x:v>
      </x:c>
      <x:c r="AH550" s="11" t="n">
        <x:v>357518633</x:v>
      </x:c>
      <x:c r="AI550" s="11" t="n">
        <x:v>702089266</x:v>
      </x:c>
      <x:c r="AJ550" s="11" t="n">
        <x:v>47977209</x:v>
      </x:c>
      <x:c r="AK550" s="11" t="n">
        <x:v>2443529676</x:v>
      </x:c>
      <x:c r="AL550" s="11" t="n">
        <x:v>38102227</x:v>
      </x:c>
      <x:c r="AM550" s="12" t="n">
        <x:v>0.9844068900106945</x:v>
      </x:c>
      <x:c r="AN550" s="12" t="n">
        <x:v>0.01963438769384522</x:v>
      </x:c>
      <x:c r="AO550" s="11" t="n">
        <x:v>192066686</x:v>
      </x:c>
      <x:c r="AP550" s="11" t="n">
        <x:v>186435642</x:v>
      </x:c>
      <x:c r="AQ550" s="12" t="n">
        <x:v>0.9706818287060984</x:v>
      </x:c>
      <x:c r="AR550" s="11" t="n">
        <x:v>2590.2133507124317</x:v>
      </x:c>
      <x:c r="AS550" s="11" t="n">
        <x:v>2158.0050800441163</x:v>
      </x:c>
      <x:c r="AT550" s="11" t="n">
        <x:v>1685.6156545570002</x:v>
      </x:c>
      <x:c r="AU550" s="11" t="n">
        <x:v>1004.8815101990798</x:v>
      </x:c>
      <x:c r="AV550" s="11" t="n">
        <x:v>390.9516281764201</x:v>
      </x:c>
      <x:c r="AW550" s="11" t="n">
        <x:v>1.7643699004684144</x:v>
      </x:c>
      <x:c r="AX550" s="12" t="n">
        <x:v>0.9503306062342356</x:v>
      </x:c>
      <x:c r="AY550" s="11"/>
      <x:c r="AZ550" s="11"/>
      <x:c r="BA550" s="11"/>
      <x:c r="BB550" s="11"/>
      <x:c r="BC550" s="11"/>
      <x:c r="BD550" s="11"/>
      <x:c r="BE550" s="11"/>
      <x:c r="BF550" s="11"/>
      <x:c r="BG550" s="11"/>
      <x:c r="BH550" s="11"/>
      <x:c r="BI550" s="11"/>
      <x:c r="BJ550" s="11"/>
      <x:c r="BK550" s="12"/>
      <x:c r="BL550" s="12"/>
      <x:c r="BM550" s="12"/>
      <x:c r="BN550" s="12"/>
      <x:c r="BO550" s="12"/>
      <x:c r="BP550" s="12"/>
      <x:c r="BQ550" s="12"/>
      <x:c r="BR550" s="12"/>
      <x:c r="BS550" s="12"/>
      <x:c r="BT550" s="12"/>
      <x:c r="BU550" s="11" t="n">
        <x:v>473369</x:v>
      </x:c>
      <x:c r="BV550" s="11" t="n">
        <x:v>1877913</x:v>
      </x:c>
      <x:c r="BW550" s="11" t="n">
        <x:v>1771874</x:v>
      </x:c>
      <x:c r="BX550" s="11" t="n">
        <x:v>7408556</x:v>
      </x:c>
      <x:c r="BY550" s="11" t="n">
        <x:v>0</x:v>
      </x:c>
      <x:c r="BZ550" s="11" t="n">
        <x:v>7232058</x:v>
      </x:c>
      <x:c r="CA550" s="11" t="n">
        <x:v>-752150</x:v>
      </x:c>
      <x:c r="CB550" s="11" t="n">
        <x:v>173327</x:v>
      </x:c>
      <x:c r="CC550" s="11" t="n">
        <x:v>21665889</x:v>
      </x:c>
      <x:c r="CD550" s="11" t="n">
        <x:v>48661859</x:v>
      </x:c>
      <x:c r="CE550" s="11" t="n">
        <x:v>7972282</x:v>
      </x:c>
      <x:c r="CF550" s="11" t="n">
        <x:v>2749330</x:v>
      </x:c>
      <x:c r="CG550" s="11" t="n">
        <x:v>4447143</x:v>
      </x:c>
      <x:c r="CH550" s="11" t="n">
        <x:v>11352917</x:v>
      </x:c>
      <x:c r="CI550" s="11" t="n">
        <x:v>39860145</x:v>
      </x:c>
      <x:c r="CJ550" s="11" t="n">
        <x:v>19582836</x:v>
      </x:c>
      <x:c r="CK550" s="11" t="n">
        <x:v>17274212</x:v>
      </x:c>
      <x:c r="CL550" s="11" t="n">
        <x:v>0</x:v>
      </x:c>
      <x:c r="CM550" s="11"/>
      <x:c r="CN550" s="11" t="n">
        <x:v>0</x:v>
      </x:c>
      <x:c r="CO550" s="11" t="n">
        <x:v>0</x:v>
      </x:c>
      <x:c r="CP550" s="8"/>
      <x:c r="CQ550" s="8"/>
    </x:row>
    <x:row r="551">
      <x:c r="A551" s="8" t="str">
        <x:v>North Vancouver (District)|2020</x:v>
      </x:c>
      <x:c r="B551" s="8" t="str">
        <x:v>north-vancouver-d</x:v>
      </x:c>
      <x:c r="C551" s="8" t="str">
        <x:v>North Vancouver (District)</x:v>
      </x:c>
      <x:c r="D551" s="8" t="str">
        <x:v>North Vancouver</x:v>
      </x:c>
      <x:c r="E551" s="8" t="str">
        <x:v>D</x:v>
      </x:c>
      <x:c r="F551" s="8" t="str">
        <x:v>GVR</x:v>
      </x:c>
      <x:c r="G551" s="9" t="n">
        <x:v>2020</x:v>
      </x:c>
      <x:c r="H551" s="10" t="n">
        <x:v>89767</x:v>
      </x:c>
      <x:c r="I551" s="8" t="str">
        <x:v>20,000 to 99,999</x:v>
      </x:c>
      <x:c r="J551" s="11" t="n">
        <x:v>233489932</x:v>
      </x:c>
      <x:c r="K551" s="11" t="n">
        <x:v>189177601</x:v>
      </x:c>
      <x:c r="L551" s="11" t="n">
        <x:v>44312331</x:v>
      </x:c>
      <x:c r="M551" s="12" t="n">
        <x:v>0.18978261983476016</x:v>
      </x:c>
      <x:c r="N551" s="11" t="n">
        <x:v>104703219</x:v>
      </x:c>
      <x:c r="O551" s="11" t="n">
        <x:v>98091949</x:v>
      </x:c>
      <x:c r="P551" s="11" t="n">
        <x:v>9216250</x:v>
      </x:c>
      <x:c r="Q551" s="11" t="n">
        <x:v>21478514</x:v>
      </x:c>
      <x:c r="R551" s="11" t="n">
        <x:v>167136017</x:v>
      </x:c>
      <x:c r="S551" s="11" t="n">
        <x:v>20933021</x:v>
      </x:c>
      <x:c r="T551" s="11" t="n">
        <x:v>364503788</x:v>
      </x:c>
      <x:c r="U551" s="11" t="n">
        <x:v>215976048</x:v>
      </x:c>
      <x:c r="V551" s="11" t="n">
        <x:v>164166632</x:v>
      </x:c>
      <x:c r="W551" s="11" t="n">
        <x:v>108993862</x:v>
      </x:c>
      <x:c r="X551" s="11" t="n">
        <x:v>34899160</x:v>
      </x:c>
      <x:c r="Y551" s="11" t="n">
        <x:v>0</x:v>
      </x:c>
      <x:c r="Z551" s="11" t="n">
        <x:v>1653182</x:v>
      </x:c>
      <x:c r="AA551" s="11" t="n">
        <x:v>32760765</x:v>
      </x:c>
      <x:c r="AB551" s="11" t="n">
        <x:v>1108563</x:v>
      </x:c>
      <x:c r="AC551" s="11" t="n">
        <x:v>2761745</x:v>
      </x:c>
      <x:c r="AD551" s="11" t="n">
        <x:v>52343259</x:v>
      </x:c>
      <x:c r="AE551" s="11" t="n">
        <x:v>49581514</x:v>
      </x:c>
      <x:c r="AF551" s="11" t="n">
        <x:v>209373037</x:v>
      </x:c>
      <x:c r="AG551" s="11" t="n">
        <x:v>1107955263</x:v>
      </x:c>
      <x:c r="AH551" s="11" t="n">
        <x:v>374516177</x:v>
      </x:c>
      <x:c r="AI551" s="11" t="n">
        <x:v>733439086</x:v>
      </x:c>
      <x:c r="AJ551" s="11" t="n">
        <x:v>52678750</x:v>
      </x:c>
      <x:c r="AK551" s="11" t="n">
        <x:v>2508486565</x:v>
      </x:c>
      <x:c r="AL551" s="11" t="n">
        <x:v>39277295</x:v>
      </x:c>
      <x:c r="AM551" s="12" t="n">
        <x:v>0.9843422342586874</x:v>
      </x:c>
      <x:c r="AN551" s="12" t="n">
        <x:v>0.0210002121338848</x:v>
      </x:c>
      <x:c r="AO551" s="11" t="n">
        <x:v>176316904</x:v>
      </x:c>
      <x:c r="AP551" s="11" t="n">
        <x:v>170206540</x:v>
      </x:c>
      <x:c r="AQ551" s="12" t="n">
        <x:v>0.9653444232437294</x:v>
      </x:c>
      <x:c r="AR551" s="11" t="n">
        <x:v>2601.06644980895</x:v>
      </x:c>
      <x:c r="AS551" s="11" t="n">
        <x:v>2107.4292445999085</x:v>
      </x:c>
      <x:c r="AT551" s="11" t="n">
        <x:v>1828.808270299776</x:v>
      </x:c>
      <x:c r="AU551" s="11" t="n">
        <x:v>1214.1863045439861</x:v>
      </x:c>
      <x:c r="AV551" s="11" t="n">
        <x:v>364.95332360444263</x:v>
      </x:c>
      <x:c r="AW551" s="11" t="n">
        <x:v>1.6877046847342998</x:v>
      </x:c>
      <x:c r="AX551" s="12" t="n">
        <x:v>0.9472378095525157</x:v>
      </x:c>
      <x:c r="AY551" s="11"/>
      <x:c r="AZ551" s="11"/>
      <x:c r="BA551" s="11"/>
      <x:c r="BB551" s="11"/>
      <x:c r="BC551" s="11"/>
      <x:c r="BD551" s="11"/>
      <x:c r="BE551" s="11"/>
      <x:c r="BF551" s="11"/>
      <x:c r="BG551" s="11"/>
      <x:c r="BH551" s="11"/>
      <x:c r="BI551" s="11"/>
      <x:c r="BJ551" s="11"/>
      <x:c r="BK551" s="12"/>
      <x:c r="BL551" s="12"/>
      <x:c r="BM551" s="12"/>
      <x:c r="BN551" s="12"/>
      <x:c r="BO551" s="12"/>
      <x:c r="BP551" s="12"/>
      <x:c r="BQ551" s="12"/>
      <x:c r="BR551" s="12"/>
      <x:c r="BS551" s="12"/>
      <x:c r="BT551" s="12"/>
      <x:c r="BU551" s="11" t="n">
        <x:v>0</x:v>
      </x:c>
      <x:c r="BV551" s="11" t="n">
        <x:v>8446059</x:v>
      </x:c>
      <x:c r="BW551" s="11" t="n">
        <x:v>770191</x:v>
      </x:c>
      <x:c r="BX551" s="11" t="n">
        <x:v>5931940</x:v>
      </x:c>
      <x:c r="BY551" s="11" t="n">
        <x:v>0</x:v>
      </x:c>
      <x:c r="BZ551" s="11" t="n">
        <x:v>15404083</x:v>
      </x:c>
      <x:c r="CA551" s="11" t="n">
        <x:v>0</x:v>
      </x:c>
      <x:c r="CB551" s="11" t="n">
        <x:v>142491</x:v>
      </x:c>
      <x:c r="CC551" s="11" t="n">
        <x:v>19842067</x:v>
      </x:c>
      <x:c r="CD551" s="11" t="n">
        <x:v>49232455</x:v>
      </x:c>
      <x:c r="CE551" s="11" t="n">
        <x:v>7858789</x:v>
      </x:c>
      <x:c r="CF551" s="11" t="n">
        <x:v>3002340</x:v>
      </x:c>
      <x:c r="CG551" s="11" t="n">
        <x:v>4607849</x:v>
      </x:c>
      <x:c r="CH551" s="11" t="n">
        <x:v>10327086</x:v>
      </x:c>
      <x:c r="CI551" s="11" t="n">
        <x:v>35090018</x:v>
      </x:c>
      <x:c r="CJ551" s="11" t="n">
        <x:v>19758812</x:v>
      </x:c>
      <x:c r="CK551" s="11" t="n">
        <x:v>18209762</x:v>
      </x:c>
      <x:c r="CL551" s="11" t="n">
        <x:v>0</x:v>
      </x:c>
      <x:c r="CM551" s="11"/>
      <x:c r="CN551" s="11" t="n">
        <x:v>315402</x:v>
      </x:c>
      <x:c r="CO551" s="11" t="n">
        <x:v>0</x:v>
      </x:c>
      <x:c r="CP551" s="8"/>
      <x:c r="CQ551" s="8"/>
    </x:row>
    <x:row r="552">
      <x:c r="A552" s="8" t="str">
        <x:v>North Vancouver (District)|2021</x:v>
      </x:c>
      <x:c r="B552" s="8" t="str">
        <x:v>north-vancouver-d</x:v>
      </x:c>
      <x:c r="C552" s="8" t="str">
        <x:v>North Vancouver (District)</x:v>
      </x:c>
      <x:c r="D552" s="8" t="str">
        <x:v>North Vancouver</x:v>
      </x:c>
      <x:c r="E552" s="8" t="str">
        <x:v>D</x:v>
      </x:c>
      <x:c r="F552" s="8" t="str">
        <x:v>MVRD</x:v>
      </x:c>
      <x:c r="G552" s="9" t="n">
        <x:v>2021</x:v>
      </x:c>
      <x:c r="H552" s="10" t="n">
        <x:v>91790</x:v>
      </x:c>
      <x:c r="I552" s="8" t="str">
        <x:v>20,000 to 99,999</x:v>
      </x:c>
      <x:c r="J552" s="11" t="n">
        <x:v>251124956</x:v>
      </x:c>
      <x:c r="K552" s="11" t="n">
        <x:v>201796218</x:v>
      </x:c>
      <x:c r="L552" s="11" t="n">
        <x:v>49328738</x:v>
      </x:c>
      <x:c r="M552" s="12" t="n">
        <x:v>0.1964310468609898</x:v>
      </x:c>
      <x:c r="N552" s="11" t="n">
        <x:v>115856623</x:v>
      </x:c>
      <x:c r="O552" s="11" t="n">
        <x:v>111011068</x:v>
      </x:c>
      <x:c r="P552" s="11" t="n">
        <x:v>13775048</x:v>
      </x:c>
      <x:c r="Q552" s="11" t="n">
        <x:v>10482217</x:v>
      </x:c>
      <x:c r="R552" s="11" t="n">
        <x:v>179165242</x:v>
      </x:c>
      <x:c r="S552" s="11" t="n">
        <x:v>21522413</x:v>
      </x:c>
      <x:c r="T552" s="11" t="n">
        <x:v>333192955</x:v>
      </x:c>
      <x:c r="U552" s="11" t="n">
        <x:v>178429813</x:v>
      </x:c>
      <x:c r="V552" s="11" t="n">
        <x:v>171621399</x:v>
      </x:c>
      <x:c r="W552" s="11" t="n">
        <x:v>119409217</x:v>
      </x:c>
      <x:c r="X552" s="11" t="n">
        <x:v>32760765</x:v>
      </x:c>
      <x:c r="Y552" s="11" t="n">
        <x:v>0</x:v>
      </x:c>
      <x:c r="Z552" s="11" t="n">
        <x:v>1691814</x:v>
      </x:c>
      <x:c r="AA552" s="11" t="n">
        <x:v>30503882</x:v>
      </x:c>
      <x:c r="AB552" s="11" t="n">
        <x:v>1108563</x:v>
      </x:c>
      <x:c r="AC552" s="11" t="n">
        <x:v>2800377</x:v>
      </x:c>
      <x:c r="AD552" s="11" t="n">
        <x:v>57784767</x:v>
      </x:c>
      <x:c r="AE552" s="11" t="n">
        <x:v>54984390</x:v>
      </x:c>
      <x:c r="AF552" s="11" t="n">
        <x:v>231139067</x:v>
      </x:c>
      <x:c r="AG552" s="11" t="n">
        <x:v>1167865899</x:v>
      </x:c>
      <x:c r="AH552" s="11" t="n">
        <x:v>392584987</x:v>
      </x:c>
      <x:c r="AI552" s="11" t="n">
        <x:v>775280912</x:v>
      </x:c>
      <x:c r="AJ552" s="11" t="n">
        <x:v>64253350</x:v>
      </x:c>
      <x:c r="AK552" s="11" t="n">
        <x:v>2685353899</x:v>
      </x:c>
      <x:c r="AL552" s="11" t="n">
        <x:v>41470785</x:v>
      </x:c>
      <x:c r="AM552" s="12" t="n">
        <x:v>0.98455667797997</x:v>
      </x:c>
      <x:c r="AN552" s="12" t="n">
        <x:v>0.02392733040659085</x:v>
      </x:c>
      <x:c r="AO552" s="11" t="n">
        <x:v>201637891</x:v>
      </x:c>
      <x:c r="AP552" s="11" t="n">
        <x:v>195245403</x:v>
      </x:c>
      <x:c r="AQ552" s="12" t="n">
        <x:v>0.968297188746137</x:v>
      </x:c>
      <x:c r="AR552" s="11" t="n">
        <x:v>2735.8639938991178</x:v>
      </x:c>
      <x:c r="AS552" s="11" t="n">
        <x:v>2198.4553655082254</x:v>
      </x:c>
      <x:c r="AT552" s="11" t="n">
        <x:v>1869.7178232922977</x:v>
      </x:c>
      <x:c r="AU552" s="11" t="n">
        <x:v>1300.8957075934197</x:v>
      </x:c>
      <x:c r="AV552" s="11" t="n">
        <x:v>332.32249700403094</x:v>
      </x:c>
      <x:c r="AW552" s="11" t="n">
        <x:v>1.867361453772302</x:v>
      </x:c>
      <x:c r="AX552" s="12" t="n">
        <x:v>0.9515377988804559</x:v>
      </x:c>
      <x:c r="AY552" s="11"/>
      <x:c r="AZ552" s="11"/>
      <x:c r="BA552" s="11"/>
      <x:c r="BB552" s="11"/>
      <x:c r="BC552" s="11"/>
      <x:c r="BD552" s="11"/>
      <x:c r="BE552" s="11"/>
      <x:c r="BF552" s="11"/>
      <x:c r="BG552" s="11"/>
      <x:c r="BH552" s="11"/>
      <x:c r="BI552" s="11"/>
      <x:c r="BJ552" s="11"/>
      <x:c r="BK552" s="12"/>
      <x:c r="BL552" s="12"/>
      <x:c r="BM552" s="12"/>
      <x:c r="BN552" s="12"/>
      <x:c r="BO552" s="12"/>
      <x:c r="BP552" s="12"/>
      <x:c r="BQ552" s="12"/>
      <x:c r="BR552" s="12"/>
      <x:c r="BS552" s="12"/>
      <x:c r="BT552" s="12"/>
      <x:c r="BU552" s="11" t="n">
        <x:v>25652</x:v>
      </x:c>
      <x:c r="BV552" s="11" t="n">
        <x:v>12103509</x:v>
      </x:c>
      <x:c r="BW552" s="11" t="n">
        <x:v>1645887</x:v>
      </x:c>
      <x:c r="BX552" s="11" t="n">
        <x:v>3414602</x:v>
      </x:c>
      <x:c r="BY552" s="11" t="n">
        <x:v>0</x:v>
      </x:c>
      <x:c r="BZ552" s="11" t="n">
        <x:v>6662182</x:v>
      </x:c>
      <x:c r="CA552" s="11" t="n">
        <x:v>0</x:v>
      </x:c>
      <x:c r="CB552" s="11" t="n">
        <x:v>405433</x:v>
      </x:c>
      <x:c r="CC552" s="11" t="n">
        <x:v>21533683</x:v>
      </x:c>
      <x:c r="CD552" s="11" t="n">
        <x:v>53306772</x:v>
      </x:c>
      <x:c r="CE552" s="11" t="n">
        <x:v>7226706</x:v>
      </x:c>
      <x:c r="CF552" s="11" t="n">
        <x:v>3534428</x:v>
      </x:c>
      <x:c r="CG552" s="11" t="n">
        <x:v>4393316</x:v>
      </x:c>
      <x:c r="CH552" s="11" t="n">
        <x:v>11572650</x:v>
      </x:c>
      <x:c r="CI552" s="11" t="n">
        <x:v>39042184</x:v>
      </x:c>
      <x:c r="CJ552" s="11" t="n">
        <x:v>19789391</x:v>
      </x:c>
      <x:c r="CK552" s="11" t="n">
        <x:v>18985564</x:v>
      </x:c>
      <x:c r="CL552" s="11" t="n">
        <x:v>0</x:v>
      </x:c>
      <x:c r="CM552" s="11"/>
      <x:c r="CN552" s="11" t="n">
        <x:v>889111</x:v>
      </x:c>
      <x:c r="CO552" s="11" t="n">
        <x:v>0</x:v>
      </x:c>
      <x:c r="CP552" s="8"/>
      <x:c r="CQ552" s="8"/>
    </x:row>
    <x:row r="553">
      <x:c r="A553" s="8" t="str">
        <x:v>North Vancouver (District)|2022</x:v>
      </x:c>
      <x:c r="B553" s="8" t="str">
        <x:v>north-vancouver-d</x:v>
      </x:c>
      <x:c r="C553" s="8" t="str">
        <x:v>North Vancouver (District)</x:v>
      </x:c>
      <x:c r="D553" s="8" t="str">
        <x:v>North Vancouver</x:v>
      </x:c>
      <x:c r="E553" s="8" t="str">
        <x:v>D</x:v>
      </x:c>
      <x:c r="F553" s="8" t="str">
        <x:v>MVRD</x:v>
      </x:c>
      <x:c r="G553" s="9" t="n">
        <x:v>2022</x:v>
      </x:c>
      <x:c r="H553" s="10" t="n">
        <x:v>4356</x:v>
      </x:c>
      <x:c r="I553" s="8" t="str">
        <x:v>Under 5,000</x:v>
      </x:c>
      <x:c r="J553" s="11" t="n">
        <x:v>283474327</x:v>
      </x:c>
      <x:c r="K553" s="11" t="n">
        <x:v>215464723</x:v>
      </x:c>
      <x:c r="L553" s="11" t="n">
        <x:v>68009604</x:v>
      </x:c>
      <x:c r="M553" s="12" t="n">
        <x:v>0.23991450908356862</x:v>
      </x:c>
      <x:c r="N553" s="11" t="n">
        <x:v>126992313</x:v>
      </x:c>
      <x:c r="O553" s="11" t="n">
        <x:v>116445425</x:v>
      </x:c>
      <x:c r="P553" s="11" t="n">
        <x:v>5733960</x:v>
      </x:c>
      <x:c r="Q553" s="11" t="n">
        <x:v>34302629</x:v>
      </x:c>
      <x:c r="R553" s="11" t="n">
        <x:v>192299361</x:v>
      </x:c>
      <x:c r="S553" s="11" t="n">
        <x:v>22036260</x:v>
      </x:c>
      <x:c r="T553" s="11" t="n">
        <x:v>325356464</x:v>
      </x:c>
      <x:c r="U553" s="11" t="n">
        <x:v>166610607</x:v>
      </x:c>
      <x:c r="V553" s="11" t="n">
        <x:v>173383190</x:v>
      </x:c>
      <x:c r="W553" s="11" t="n">
        <x:v>105994500</x:v>
      </x:c>
      <x:c r="X553" s="11" t="n">
        <x:v>30503882</x:v>
      </x:c>
      <x:c r="Y553" s="11" t="n">
        <x:v>0</x:v>
      </x:c>
      <x:c r="Z553" s="11" t="n">
        <x:v>1689024</x:v>
      </x:c>
      <x:c r="AA553" s="11" t="n">
        <x:v>28166939</x:v>
      </x:c>
      <x:c r="AB553" s="11" t="n">
        <x:v>1129102</x:v>
      </x:c>
      <x:c r="AC553" s="11" t="n">
        <x:v>2818126</x:v>
      </x:c>
      <x:c r="AD553" s="11" t="n">
        <x:v>63003980</x:v>
      </x:c>
      <x:c r="AE553" s="11" t="n">
        <x:v>60185854</x:v>
      </x:c>
      <x:c r="AF553" s="11" t="n">
        <x:v>252015918</x:v>
      </x:c>
      <x:c r="AG553" s="11" t="n">
        <x:v>1249309512</x:v>
      </x:c>
      <x:c r="AH553" s="11" t="n">
        <x:v>408291662</x:v>
      </x:c>
      <x:c r="AI553" s="11" t="n">
        <x:v>841017850</x:v>
      </x:c>
      <x:c r="AJ553" s="11" t="n">
        <x:v>88850871</x:v>
      </x:c>
      <x:c r="AK553" s="11" t="n">
        <x:v>3010443232</x:v>
      </x:c>
      <x:c r="AL553" s="11" t="n">
        <x:v>45657253</x:v>
      </x:c>
      <x:c r="AM553" s="12" t="n">
        <x:v>0.9848337106926054</x:v>
      </x:c>
      <x:c r="AN553" s="12" t="n">
        <x:v>0.029514215732602128</x:v>
      </x:c>
      <x:c r="AO553" s="11" t="n">
        <x:v>217397323</x:v>
      </x:c>
      <x:c r="AP553" s="11" t="n">
        <x:v>211587653</x:v>
      </x:c>
      <x:c r="AQ553" s="12" t="n">
        <x:v>0.97327625786818</x:v>
      </x:c>
      <x:c r="AR553" s="11" t="n">
        <x:v>65076.75091827365</x:v>
      </x:c>
      <x:c r="AS553" s="11" t="n">
        <x:v>49463.89416896235</x:v>
      </x:c>
      <x:c r="AT553" s="11" t="n">
        <x:v>39803.30348943985</x:v>
      </x:c>
      <x:c r="AU553" s="11" t="n">
        <x:v>24332.988980716254</x:v>
      </x:c>
      <x:c r="AV553" s="11" t="n">
        <x:v>6466.239439853076</x:v>
      </x:c>
      <x:c r="AW553" s="11" t="n">
        <x:v>1.9527956224299694</x:v>
      </x:c>
      <x:c r="AX553" s="12" t="n">
        <x:v>0.955270667027702</x:v>
      </x:c>
      <x:c r="AY553" s="11"/>
      <x:c r="AZ553" s="11"/>
      <x:c r="BA553" s="11"/>
      <x:c r="BB553" s="11"/>
      <x:c r="BC553" s="11"/>
      <x:c r="BD553" s="11"/>
      <x:c r="BE553" s="11"/>
      <x:c r="BF553" s="11"/>
      <x:c r="BG553" s="11"/>
      <x:c r="BH553" s="11"/>
      <x:c r="BI553" s="11"/>
      <x:c r="BJ553" s="11"/>
      <x:c r="BK553" s="12"/>
      <x:c r="BL553" s="12"/>
      <x:c r="BM553" s="12"/>
      <x:c r="BN553" s="12"/>
      <x:c r="BO553" s="12"/>
      <x:c r="BP553" s="12"/>
      <x:c r="BQ553" s="12"/>
      <x:c r="BR553" s="12"/>
      <x:c r="BS553" s="12"/>
      <x:c r="BT553" s="12"/>
      <x:c r="BU553" s="11" t="n">
        <x:v>291843</x:v>
      </x:c>
      <x:c r="BV553" s="11" t="n">
        <x:v>3469552</x:v>
      </x:c>
      <x:c r="BW553" s="11" t="n">
        <x:v>1972565</x:v>
      </x:c>
      <x:c r="BX553" s="11" t="n">
        <x:v>7785961</x:v>
      </x:c>
      <x:c r="BY553" s="11" t="n">
        <x:v>0</x:v>
      </x:c>
      <x:c r="BZ553" s="11" t="n">
        <x:v>25824013</x:v>
      </x:c>
      <x:c r="CA553" s="11" t="n">
        <x:v>0</x:v>
      </x:c>
      <x:c r="CB553" s="11" t="n">
        <x:v>692655</x:v>
      </x:c>
      <x:c r="CC553" s="11" t="n">
        <x:v>26003047</x:v>
      </x:c>
      <x:c r="CD553" s="11" t="n">
        <x:v>53337672</x:v>
      </x:c>
      <x:c r="CE553" s="11" t="n">
        <x:v>7376014</x:v>
      </x:c>
      <x:c r="CF553" s="11" t="n">
        <x:v>3606411</x:v>
      </x:c>
      <x:c r="CG553" s="11" t="n">
        <x:v>4185083</x:v>
      </x:c>
      <x:c r="CH553" s="11" t="n">
        <x:v>13532435</x:v>
      </x:c>
      <x:c r="CI553" s="11" t="n">
        <x:v>43045855</x:v>
      </x:c>
      <x:c r="CJ553" s="11" t="n">
        <x:v>20549220</x:v>
      </x:c>
      <x:c r="CK553" s="11" t="n">
        <x:v>20715053</x:v>
      </x:c>
      <x:c r="CL553" s="11" t="n">
        <x:v>0</x:v>
      </x:c>
      <x:c r="CM553" s="11"/>
      <x:c r="CN553" s="11" t="n">
        <x:v>1077673</x:v>
      </x:c>
      <x:c r="CO553" s="11" t="n">
        <x:v>0</x:v>
      </x:c>
      <x:c r="CP553" s="8"/>
      <x:c r="CQ553" s="8"/>
    </x:row>
    <x:row r="554">
      <x:c r="A554" s="8" t="str">
        <x:v>North Vancouver (District)|2023</x:v>
      </x:c>
      <x:c r="B554" s="8" t="str">
        <x:v>north-vancouver-d</x:v>
      </x:c>
      <x:c r="C554" s="8" t="str">
        <x:v>North Vancouver (District)</x:v>
      </x:c>
      <x:c r="D554" s="8" t="str">
        <x:v>North Vancouver</x:v>
      </x:c>
      <x:c r="E554" s="8" t="str">
        <x:v>D</x:v>
      </x:c>
      <x:c r="F554" s="8" t="str">
        <x:v>MVRD</x:v>
      </x:c>
      <x:c r="G554" s="9" t="n">
        <x:v>2023</x:v>
      </x:c>
      <x:c r="H554" s="10" t="n">
        <x:v>95350</x:v>
      </x:c>
      <x:c r="I554" s="8" t="str">
        <x:v>20,000 to 99,999</x:v>
      </x:c>
      <x:c r="J554" s="11" t="n">
        <x:v>296477953</x:v>
      </x:c>
      <x:c r="K554" s="11" t="n">
        <x:v>238711291</x:v>
      </x:c>
      <x:c r="L554" s="11" t="n">
        <x:v>57766662</x:v>
      </x:c>
      <x:c r="M554" s="12" t="n">
        <x:v>0.1948430276702565</x:v>
      </x:c>
      <x:c r="N554" s="11" t="n">
        <x:v>128651525</x:v>
      </x:c>
      <x:c r="O554" s="11" t="n">
        <x:v>120740931</x:v>
      </x:c>
      <x:c r="P554" s="11" t="n">
        <x:v>19748824</x:v>
      </x:c>
      <x:c r="Q554" s="11" t="n">
        <x:v>27336673</x:v>
      </x:c>
      <x:c r="R554" s="11" t="n">
        <x:v>213726762</x:v>
      </x:c>
      <x:c r="S554" s="11" t="n">
        <x:v>23626074</x:v>
      </x:c>
      <x:c r="T554" s="11" t="n">
        <x:v>335140340</x:v>
      </x:c>
      <x:c r="U554" s="11" t="n">
        <x:v>190926617</x:v>
      </x:c>
      <x:c r="V554" s="11" t="n">
        <x:v>163417748</x:v>
      </x:c>
      <x:c r="W554" s="11" t="n">
        <x:v>130914346</x:v>
      </x:c>
      <x:c r="X554" s="11" t="n">
        <x:v>28166939</x:v>
      </x:c>
      <x:c r="Y554" s="11" t="n">
        <x:v>0</x:v>
      </x:c>
      <x:c r="Z554" s="11" t="n">
        <x:v>1713301</x:v>
      </x:c>
      <x:c r="AA554" s="11" t="n">
        <x:v>25730403</x:v>
      </x:c>
      <x:c r="AB554" s="11" t="n">
        <x:v>1358455</x:v>
      </x:c>
      <x:c r="AC554" s="11" t="n">
        <x:v>3071756</x:v>
      </x:c>
      <x:c r="AD554" s="11" t="n">
        <x:v>65971718</x:v>
      </x:c>
      <x:c r="AE554" s="11" t="n">
        <x:v>58507142</x:v>
      </x:c>
      <x:c r="AF554" s="11" t="n">
        <x:v>263886870</x:v>
      </x:c>
      <x:c r="AG554" s="11" t="n">
        <x:v>1336737343</x:v>
      </x:c>
      <x:c r="AH554" s="11" t="n">
        <x:v>428583083</x:v>
      </x:c>
      <x:c r="AI554" s="11" t="n">
        <x:v>908154260</x:v>
      </x:c>
      <x:c r="AJ554" s="11" t="n">
        <x:v>86146305</x:v>
      </x:c>
      <x:c r="AK554" s="11" t="n">
        <x:v>3776014139</x:v>
      </x:c>
      <x:c r="AL554" s="11" t="n">
        <x:v>59502371</x:v>
      </x:c>
      <x:c r="AM554" s="12" t="n">
        <x:v>0.9842420158374307</x:v>
      </x:c>
      <x:c r="AN554" s="12" t="n">
        <x:v>0.02281408433041887</x:v>
      </x:c>
      <x:c r="AO554" s="11" t="n">
        <x:v>222538305</x:v>
      </x:c>
      <x:c r="AP554" s="11" t="n">
        <x:v>216641247</x:v>
      </x:c>
      <x:c r="AQ554" s="12" t="n">
        <x:v>0.9735009305476646</x:v>
      </x:c>
      <x:c r="AR554" s="11" t="n">
        <x:v>3109.3650026219193</x:v>
      </x:c>
      <x:c r="AS554" s="11" t="n">
        <x:v>2503.5269113791296</x:v>
      </x:c>
      <x:c r="AT554" s="11" t="n">
        <x:v>1713.8725537493444</x:v>
      </x:c>
      <x:c r="AU554" s="11" t="n">
        <x:v>1372.9873728369166</x:v>
      </x:c>
      <x:c r="AV554" s="11" t="n">
        <x:v>269.85215521761927</x:v>
      </x:c>
      <x:c r="AW554" s="11" t="n">
        <x:v>1.7553358733633246</x:v>
      </x:c>
      <x:c r="AX554" s="12" t="n">
        <x:v>0.8868518779517005</x:v>
      </x:c>
      <x:c r="AY554" s="11"/>
      <x:c r="AZ554" s="11"/>
      <x:c r="BA554" s="11"/>
      <x:c r="BB554" s="11"/>
      <x:c r="BC554" s="11"/>
      <x:c r="BD554" s="11"/>
      <x:c r="BE554" s="11"/>
      <x:c r="BF554" s="11"/>
      <x:c r="BG554" s="11"/>
      <x:c r="BH554" s="11"/>
      <x:c r="BI554" s="11"/>
      <x:c r="BJ554" s="11"/>
      <x:c r="BK554" s="12"/>
      <x:c r="BL554" s="12"/>
      <x:c r="BM554" s="12"/>
      <x:c r="BN554" s="12"/>
      <x:c r="BO554" s="12"/>
      <x:c r="BP554" s="12"/>
      <x:c r="BQ554" s="12"/>
      <x:c r="BR554" s="12"/>
      <x:c r="BS554" s="12"/>
      <x:c r="BT554" s="12"/>
      <x:c r="BU554" s="11" t="n">
        <x:v>1208873</x:v>
      </x:c>
      <x:c r="BV554" s="11" t="n">
        <x:v>14012350</x:v>
      </x:c>
      <x:c r="BW554" s="11" t="n">
        <x:v>4527601</x:v>
      </x:c>
      <x:c r="BX554" s="11" t="n">
        <x:v>14467649</x:v>
      </x:c>
      <x:c r="BY554" s="11" t="n">
        <x:v>0</x:v>
      </x:c>
      <x:c r="BZ554" s="11" t="n">
        <x:v>11998662</x:v>
      </x:c>
      <x:c r="CA554" s="11" t="n">
        <x:v>870362</x:v>
      </x:c>
      <x:c r="CB554" s="11" t="n">
        <x:v>0</x:v>
      </x:c>
      <x:c r="CC554" s="11" t="n">
        <x:v>32160527</x:v>
      </x:c>
      <x:c r="CD554" s="11" t="n">
        <x:v>58697888</x:v>
      </x:c>
      <x:c r="CE554" s="11" t="n">
        <x:v>7800758</x:v>
      </x:c>
      <x:c r="CF554" s="11" t="n">
        <x:v>4437259</x:v>
      </x:c>
      <x:c r="CG554" s="11" t="n">
        <x:v>6811345</x:v>
      </x:c>
      <x:c r="CH554" s="11" t="n">
        <x:v>11239872</x:v>
      </x:c>
      <x:c r="CI554" s="11" t="n">
        <x:v>49777173</x:v>
      </x:c>
      <x:c r="CJ554" s="11" t="n">
        <x:v>21555456</x:v>
      </x:c>
      <x:c r="CK554" s="11" t="n">
        <x:v>21914184</x:v>
      </x:c>
      <x:c r="CL554" s="11" t="n">
        <x:v>0</x:v>
      </x:c>
      <x:c r="CM554" s="11" t="n">
        <x:v>185707</x:v>
      </x:c>
      <x:c r="CN554" s="11" t="n">
        <x:v>505048</x:v>
      </x:c>
      <x:c r="CO554" s="11" t="n">
        <x:v>0</x:v>
      </x:c>
      <x:c r="CP554" s="8"/>
      <x:c r="CQ554" s="8"/>
    </x:row>
    <x:row r="555">
      <x:c r="A555" s="8" t="str">
        <x:v>North Vancouver (District)|2024</x:v>
      </x:c>
      <x:c r="B555" s="8" t="str">
        <x:v>north-vancouver-d</x:v>
      </x:c>
      <x:c r="C555" s="8" t="str">
        <x:v>North Vancouver (District)</x:v>
      </x:c>
      <x:c r="D555" s="8" t="str">
        <x:v>North Vancouver</x:v>
      </x:c>
      <x:c r="E555" s="8" t="str">
        <x:v>D</x:v>
      </x:c>
      <x:c r="F555" s="8" t="str">
        <x:v>MVRD</x:v>
      </x:c>
      <x:c r="G555" s="9" t="n">
        <x:v>2024</x:v>
      </x:c>
      <x:c r="H555" s="10" t="n">
        <x:v>95350</x:v>
      </x:c>
      <x:c r="I555" s="8" t="str">
        <x:v>20,000 to 99,999</x:v>
      </x:c>
      <x:c r="J555" s="11" t="n">
        <x:v>304597958</x:v>
      </x:c>
      <x:c r="K555" s="11" t="n">
        <x:v>250554700</x:v>
      </x:c>
      <x:c r="L555" s="11" t="n">
        <x:v>54043258</x:v>
      </x:c>
      <x:c r="M555" s="12" t="n">
        <x:v>0.17742488608541493</x:v>
      </x:c>
      <x:c r="N555" s="11" t="n">
        <x:v>137396242</x:v>
      </x:c>
      <x:c r="O555" s="11" t="n">
        <x:v>131291967</x:v>
      </x:c>
      <x:c r="P555" s="11" t="n">
        <x:v>11831054</x:v>
      </x:c>
      <x:c r="Q555" s="11" t="n">
        <x:v>24078695</x:v>
      </x:c>
      <x:c r="R555" s="11" t="n">
        <x:v>223299160</x:v>
      </x:c>
      <x:c r="S555" s="11" t="n">
        <x:v>25330485</x:v>
      </x:c>
      <x:c r="T555" s="11" t="n">
        <x:v>342706582</x:v>
      </x:c>
      <x:c r="U555" s="11" t="n">
        <x:v>193524296</x:v>
      </x:c>
      <x:c r="V555" s="11" t="n">
        <x:v>167415833</x:v>
      </x:c>
      <x:c r="W555" s="11" t="n">
        <x:v>139060343</x:v>
      </x:c>
      <x:c r="X555" s="11" t="n">
        <x:v>25730403</x:v>
      </x:c>
      <x:c r="Y555" s="11" t="n">
        <x:v>20000000</x:v>
      </x:c>
      <x:c r="Z555" s="11" t="n">
        <x:v>1749930</x:v>
      </x:c>
      <x:c r="AA555" s="11" t="n">
        <x:v>43212589</x:v>
      </x:c>
      <x:c r="AB555" s="11" t="n">
        <x:v>1925055</x:v>
      </x:c>
      <x:c r="AC555" s="11" t="n">
        <x:v>3674985</x:v>
      </x:c>
      <x:c r="AD555" s="11" t="n">
        <x:v>71322552</x:v>
      </x:c>
      <x:c r="AE555" s="11" t="n">
        <x:v>65114987</x:v>
      </x:c>
      <x:c r="AF555" s="11" t="n">
        <x:v>285290207</x:v>
      </x:c>
      <x:c r="AG555" s="11" t="n">
        <x:v>1406282031</x:v>
      </x:c>
      <x:c r="AH555" s="11" t="n">
        <x:v>447885156</x:v>
      </x:c>
      <x:c r="AI555" s="11" t="n">
        <x:v>958396875</x:v>
      </x:c>
      <x:c r="AJ555" s="11" t="n">
        <x:v>76397801</x:v>
      </x:c>
      <x:c r="AK555" s="11" t="n">
        <x:v>3990152997</x:v>
      </x:c>
      <x:c r="AL555" s="11" t="n">
        <x:v>66618761</x:v>
      </x:c>
      <x:c r="AM555" s="12" t="n">
        <x:v>0.9833042088736729</x:v>
      </x:c>
      <x:c r="AN555" s="12" t="n">
        <x:v>0.019146584368428917</x:v>
      </x:c>
      <x:c r="AO555" s="11" t="n">
        <x:v>238461551</x:v>
      </x:c>
      <x:c r="AP555" s="11" t="n">
        <x:v>231339336</x:v>
      </x:c>
      <x:c r="AQ555" s="12" t="n">
        <x:v>0.9701326483446382</x:v>
      </x:c>
      <x:c r="AR555" s="11" t="n">
        <x:v>3194.5249921342424</x:v>
      </x:c>
      <x:c r="AS555" s="11" t="n">
        <x:v>2627.7367593078134</x:v>
      </x:c>
      <x:c r="AT555" s="11" t="n">
        <x:v>1755.8031777661247</x:v>
      </x:c>
      <x:c r="AU555" s="11" t="n">
        <x:v>1458.419958049292</x:v>
      </x:c>
      <x:c r="AV555" s="11" t="n">
        <x:v>453.19967488201365</x:v>
      </x:c>
      <x:c r="AW555" s="11" t="n">
        <x:v>1.7708710951724635</x:v>
      </x:c>
      <x:c r="AX555" s="12" t="n">
        <x:v>0.9129649062473255</x:v>
      </x:c>
      <x:c r="AY555" s="11" t="n">
        <x:v>4511.346779173996</x:v>
      </x:c>
      <x:c r="AZ555" s="11" t="n">
        <x:v>3546.5079302077975</x:v>
      </x:c>
      <x:c r="BA555" s="11" t="n">
        <x:v>2919.303585494507</x:v>
      </x:c>
      <x:c r="BB555" s="11" t="n">
        <x:v>2783.665107049771</x:v>
      </x:c>
      <x:c r="BC555" s="11" t="n">
        <x:v>1671.5377681570433</x:v>
      </x:c>
      <x:c r="BD555" s="11" t="n">
        <x:v>2437.8724475115623</x:v>
      </x:c>
      <x:c r="BE555" s="11" t="n">
        <x:v>2013.8680402698296</x:v>
      </x:c>
      <x:c r="BF555" s="11" t="n">
        <x:v>1604.3462673977224</x:v>
      </x:c>
      <x:c r="BG555" s="11" t="n">
        <x:v>758.072703793099</x:v>
      </x:c>
      <x:c r="BH555" s="11" t="n">
        <x:v>518.5374381567245</x:v>
      </x:c>
      <x:c r="BI555" s="11" t="n">
        <x:v>1.4106251913295584</x:v>
      </x:c>
      <x:c r="BJ555" s="11" t="n">
        <x:v>1.7099330852451193</x:v>
      </x:c>
      <x:c r="BK555" s="12" t="n">
        <x:v>0.02395434950880719</x:v>
      </x:c>
      <x:c r="BL555" s="12" t="n">
        <x:v>0.02529861000232605</x:v>
      </x:c>
      <x:c r="BM555" s="12" t="n">
        <x:v>0.982881188126185</x:v>
      </x:c>
      <x:c r="BN555" s="12" t="n">
        <x:v>0.9815511712696461</x:v>
      </x:c>
      <x:c r="BO555" s="12" t="n">
        <x:v>0.7663674777332005</x:v>
      </x:c>
      <x:c r="BP555" s="12" t="n">
        <x:v>0.8619101997275483</x:v>
      </x:c>
      <x:c r="BQ555" s="12" t="n">
        <x:v>0.9710385348590358</x:v>
      </x:c>
      <x:c r="BR555" s="12" t="n">
        <x:v>0.9623635142836453</x:v>
      </x:c>
      <x:c r="BS555" s="12" t="n">
        <x:v>0.1541512928248161</x:v>
      </x:c>
      <x:c r="BT555" s="12" t="n">
        <x:v>0.19976549769108282</x:v>
      </x:c>
      <x:c r="BU555" s="11" t="n">
        <x:v>3075739</x:v>
      </x:c>
      <x:c r="BV555" s="11" t="n">
        <x:v>6472621</x:v>
      </x:c>
      <x:c r="BW555" s="11" t="n">
        <x:v>2282694</x:v>
      </x:c>
      <x:c r="BX555" s="11" t="n">
        <x:v>14962455</x:v>
      </x:c>
      <x:c r="BY555" s="11" t="n">
        <x:v>0</x:v>
      </x:c>
      <x:c r="BZ555" s="11" t="n">
        <x:v>7382813</x:v>
      </x:c>
      <x:c r="CA555" s="11" t="n">
        <x:v>0</x:v>
      </x:c>
      <x:c r="CB555" s="11" t="n">
        <x:v>1733427</x:v>
      </x:c>
      <x:c r="CC555" s="11" t="n">
        <x:v>30000765</x:v>
      </x:c>
      <x:c r="CD555" s="11" t="n">
        <x:v>60114213</x:v>
      </x:c>
      <x:c r="CE555" s="11" t="n">
        <x:v>8369181</x:v>
      </x:c>
      <x:c r="CF555" s="11" t="n">
        <x:v>4799053</x:v>
      </x:c>
      <x:c r="CG555" s="11" t="n">
        <x:v>8582355</x:v>
      </x:c>
      <x:c r="CH555" s="11" t="n">
        <x:v>12552631</x:v>
      </x:c>
      <x:c r="CI555" s="11" t="n">
        <x:v>53881517</x:v>
      </x:c>
      <x:c r="CJ555" s="11" t="n">
        <x:v>22611375</x:v>
      </x:c>
      <x:c r="CK555" s="11" t="n">
        <x:v>23338953</x:v>
      </x:c>
      <x:c r="CL555" s="11" t="n">
        <x:v>0</x:v>
      </x:c>
      <x:c r="CM555" s="11" t="n">
        <x:v>149471</x:v>
      </x:c>
      <x:c r="CN555" s="11" t="n">
        <x:v>824701</x:v>
      </x:c>
      <x:c r="CO555" s="11" t="n">
        <x:v>0</x:v>
      </x:c>
      <x:c r="CP555" s="8"/>
      <x:c r="CQ555" s="8"/>
    </x:row>
    <x:row r="556">
      <x:c r="A556" s="8" t="str">
        <x:v>Northern Rockies|2019</x:v>
      </x:c>
      <x:c r="B556" s="8" t="str">
        <x:v>northern-rockies-d</x:v>
      </x:c>
      <x:c r="C556" s="8" t="str">
        <x:v>Northern Rockies</x:v>
      </x:c>
      <x:c r="D556" s="8" t="str">
        <x:v>Northern Rockies</x:v>
      </x:c>
      <x:c r="E556" s="8" t="str">
        <x:v>D</x:v>
      </x:c>
      <x:c r="F556" s="8" t="str"/>
      <x:c r="G556" s="9" t="n">
        <x:v>2019</x:v>
      </x:c>
      <x:c r="H556" s="10" t="n">
        <x:v>4380</x:v>
      </x:c>
      <x:c r="I556" s="8" t="str">
        <x:v>Under 5,000</x:v>
      </x:c>
      <x:c r="J556" s="11" t="n">
        <x:v>44141952</x:v>
      </x:c>
      <x:c r="K556" s="11" t="n">
        <x:v>32616954</x:v>
      </x:c>
      <x:c r="L556" s="11" t="n">
        <x:v>11524998</x:v>
      </x:c>
      <x:c r="M556" s="12" t="n">
        <x:v>0.2610894506885423</x:v>
      </x:c>
      <x:c r="N556" s="11" t="n">
        <x:v>23761154</x:v>
      </x:c>
      <x:c r="O556" s="11" t="n">
        <x:v>3688238</x:v>
      </x:c>
      <x:c r="P556" s="11" t="n">
        <x:v>16377930</x:v>
      </x:c>
      <x:c r="Q556" s="11" t="n">
        <x:v>314630</x:v>
      </x:c>
      <x:c r="R556" s="11" t="n">
        <x:v>24426613</x:v>
      </x:c>
      <x:c r="S556" s="11" t="n">
        <x:v>7244463</x:v>
      </x:c>
      <x:c r="T556" s="11" t="n">
        <x:v>22478766</x:v>
      </x:c>
      <x:c r="U556" s="11" t="n">
        <x:v>37973789</x:v>
      </x:c>
      <x:c r="V556" s="11" t="n">
        <x:v>933075</x:v>
      </x:c>
      <x:c r="W556" s="11" t="n">
        <x:v>374038</x:v>
      </x:c>
      <x:c r="X556" s="11" t="n">
        <x:v>30297368</x:v>
      </x:c>
      <x:c r="Y556" s="11" t="n">
        <x:v>0</x:v>
      </x:c>
      <x:c r="Z556" s="11" t="n">
        <x:v>2777934</x:v>
      </x:c>
      <x:c r="AA556" s="11" t="n">
        <x:v>27220586</x:v>
      </x:c>
      <x:c r="AB556" s="11" t="n">
        <x:v>945878</x:v>
      </x:c>
      <x:c r="AC556" s="11" t="n">
        <x:v>3723812</x:v>
      </x:c>
      <x:c r="AD556" s="11" t="n">
        <x:v>9483996</x:v>
      </x:c>
      <x:c r="AE556" s="11" t="n">
        <x:v>5760184</x:v>
      </x:c>
      <x:c r="AF556" s="11" t="n">
        <x:v>37935984</x:v>
      </x:c>
      <x:c r="AG556" s="11" t="n">
        <x:v>322703688</x:v>
      </x:c>
      <x:c r="AH556" s="11" t="n">
        <x:v>107583412</x:v>
      </x:c>
      <x:c r="AI556" s="11" t="n">
        <x:v>215120276</x:v>
      </x:c>
      <x:c r="AJ556" s="11" t="n">
        <x:v>16312363</x:v>
      </x:c>
      <x:c r="AK556" s="11" t="n">
        <x:v>619219834</x:v>
      </x:c>
      <x:c r="AL556" s="11" t="n">
        <x:v>14418884</x:v>
      </x:c>
      <x:c r="AM556" s="12" t="n">
        <x:v>0.9767144345056622</x:v>
      </x:c>
      <x:c r="AN556" s="12" t="n">
        <x:v>0.026343411667915016</x:v>
      </x:c>
      <x:c r="AO556" s="11" t="n">
        <x:v>38194728</x:v>
      </x:c>
      <x:c r="AP556" s="11" t="n">
        <x:v>32178608</x:v>
      </x:c>
      <x:c r="AQ556" s="12" t="n">
        <x:v>0.8424882093675337</x:v>
      </x:c>
      <x:c r="AR556" s="11" t="n">
        <x:v>10078.071232876713</x:v>
      </x:c>
      <x:c r="AS556" s="11" t="n">
        <x:v>7446.793150684932</x:v>
      </x:c>
      <x:c r="AT556" s="11" t="n">
        <x:v>213.03082191780823</x:v>
      </x:c>
      <x:c r="AU556" s="11" t="n">
        <x:v>85.39680365296803</x:v>
      </x:c>
      <x:c r="AV556" s="11" t="n">
        <x:v>6214.745662100457</x:v>
      </x:c>
      <x:c r="AW556" s="11" t="n">
        <x:v>0.5919547822841698</x:v>
      </x:c>
      <x:c r="AX556" s="12" t="n">
        <x:v>0.6073583329221143</x:v>
      </x:c>
      <x:c r="AY556" s="11"/>
      <x:c r="AZ556" s="11"/>
      <x:c r="BA556" s="11"/>
      <x:c r="BB556" s="11"/>
      <x:c r="BC556" s="11"/>
      <x:c r="BD556" s="11"/>
      <x:c r="BE556" s="11"/>
      <x:c r="BF556" s="11"/>
      <x:c r="BG556" s="11"/>
      <x:c r="BH556" s="11"/>
      <x:c r="BI556" s="11"/>
      <x:c r="BJ556" s="11"/>
      <x:c r="BK556" s="12"/>
      <x:c r="BL556" s="12"/>
      <x:c r="BM556" s="12"/>
      <x:c r="BN556" s="12"/>
      <x:c r="BO556" s="12"/>
      <x:c r="BP556" s="12"/>
      <x:c r="BQ556" s="12"/>
      <x:c r="BR556" s="12"/>
      <x:c r="BS556" s="12"/>
      <x:c r="BT556" s="12"/>
      <x:c r="BU556" s="11" t="n">
        <x:v>339190</x:v>
      </x:c>
      <x:c r="BV556" s="11" t="n">
        <x:v>14858217</x:v>
      </x:c>
      <x:c r="BW556" s="11" t="n">
        <x:v>1180523</x:v>
      </x:c>
      <x:c r="BX556" s="11" t="n">
        <x:v>298848</x:v>
      </x:c>
      <x:c r="BY556" s="11" t="n">
        <x:v>0</x:v>
      </x:c>
      <x:c r="BZ556" s="11" t="n">
        <x:v>0</x:v>
      </x:c>
      <x:c r="CA556" s="11" t="n">
        <x:v>15782</x:v>
      </x:c>
      <x:c r="CB556" s="11" t="n">
        <x:v>0</x:v>
      </x:c>
      <x:c r="CC556" s="11" t="n">
        <x:v>6046771</x:v>
      </x:c>
      <x:c r="CD556" s="11" t="n">
        <x:v>2126811</x:v>
      </x:c>
      <x:c r="CE556" s="11" t="n">
        <x:v>1132535</x:v>
      </x:c>
      <x:c r="CF556" s="11" t="n">
        <x:v>0</x:v>
      </x:c>
      <x:c r="CG556" s="11" t="n">
        <x:v>1328674</x:v>
      </x:c>
      <x:c r="CH556" s="11" t="n">
        <x:v>3589359</x:v>
      </x:c>
      <x:c r="CI556" s="11" t="n">
        <x:v>6566441</x:v>
      </x:c>
      <x:c r="CJ556" s="11" t="n">
        <x:v>1385900</x:v>
      </x:c>
      <x:c r="CK556" s="11" t="n">
        <x:v>1675548</x:v>
      </x:c>
      <x:c r="CL556" s="11" t="n">
        <x:v>1520452</x:v>
      </x:c>
      <x:c r="CM556" s="11"/>
      <x:c r="CN556" s="11" t="n">
        <x:v>0</x:v>
      </x:c>
      <x:c r="CO556" s="11" t="n">
        <x:v>0</x:v>
      </x:c>
      <x:c r="CP556" s="8"/>
      <x:c r="CQ556" s="8"/>
    </x:row>
    <x:row r="557">
      <x:c r="A557" s="8" t="str">
        <x:v>Northern Rockies|2020</x:v>
      </x:c>
      <x:c r="B557" s="8" t="str">
        <x:v>northern-rockies-d</x:v>
      </x:c>
      <x:c r="C557" s="8" t="str">
        <x:v>Northern Rockies</x:v>
      </x:c>
      <x:c r="D557" s="8" t="str">
        <x:v>Northern Rockies</x:v>
      </x:c>
      <x:c r="E557" s="8" t="str">
        <x:v>D</x:v>
      </x:c>
      <x:c r="F557" s="8" t="str"/>
      <x:c r="G557" s="9" t="n">
        <x:v>2020</x:v>
      </x:c>
      <x:c r="H557" s="10" t="n">
        <x:v>585</x:v>
      </x:c>
      <x:c r="I557" s="8" t="str">
        <x:v>Under 5,000</x:v>
      </x:c>
      <x:c r="J557" s="11" t="n">
        <x:v>35219161</x:v>
      </x:c>
      <x:c r="K557" s="11" t="n">
        <x:v>30866855</x:v>
      </x:c>
      <x:c r="L557" s="11" t="n">
        <x:v>4352306</x:v>
      </x:c>
      <x:c r="M557" s="12" t="n">
        <x:v>0.12357778767075116</x:v>
      </x:c>
      <x:c r="N557" s="11" t="n">
        <x:v>23432172</x:v>
      </x:c>
      <x:c r="O557" s="11" t="n">
        <x:v>2809539</x:v>
      </x:c>
      <x:c r="P557" s="11" t="n">
        <x:v>8643008</x:v>
      </x:c>
      <x:c r="Q557" s="11" t="n">
        <x:v>334442</x:v>
      </x:c>
      <x:c r="R557" s="11" t="n">
        <x:v>22518352</x:v>
      </x:c>
      <x:c r="S557" s="11" t="n">
        <x:v>7446646</x:v>
      </x:c>
      <x:c r="T557" s="11" t="n">
        <x:v>40780834</x:v>
      </x:c>
      <x:c r="U557" s="11" t="n">
        <x:v>42705852</x:v>
      </x:c>
      <x:c r="V557" s="11" t="n">
        <x:v>9243352</x:v>
      </x:c>
      <x:c r="W557" s="11" t="n">
        <x:v>358928</x:v>
      </x:c>
      <x:c r="X557" s="11" t="n">
        <x:v>27220586</x:v>
      </x:c>
      <x:c r="Y557" s="11" t="n">
        <x:v>0</x:v>
      </x:c>
      <x:c r="Z557" s="11" t="n">
        <x:v>766358</x:v>
      </x:c>
      <x:c r="AA557" s="11" t="n">
        <x:v>26189573</x:v>
      </x:c>
      <x:c r="AB557" s="11" t="n">
        <x:v>901857</x:v>
      </x:c>
      <x:c r="AC557" s="11" t="n">
        <x:v>1668215</x:v>
      </x:c>
      <x:c r="AD557" s="11" t="n">
        <x:v>7953679</x:v>
      </x:c>
      <x:c r="AE557" s="11" t="n">
        <x:v>6285464</x:v>
      </x:c>
      <x:c r="AF557" s="11" t="n">
        <x:v>31814715</x:v>
      </x:c>
      <x:c r="AG557" s="11" t="n">
        <x:v>326491140</x:v>
      </x:c>
      <x:c r="AH557" s="11" t="n">
        <x:v>115030056</x:v>
      </x:c>
      <x:c r="AI557" s="11" t="n">
        <x:v>211461084</x:v>
      </x:c>
      <x:c r="AJ557" s="11" t="n">
        <x:v>3787452</x:v>
      </x:c>
      <x:c r="AK557" s="11" t="n">
        <x:v>731439295</x:v>
      </x:c>
      <x:c r="AL557" s="11" t="n">
        <x:v>16911424</x:v>
      </x:c>
      <x:c r="AM557" s="12" t="n">
        <x:v>0.9768792514763648</x:v>
      </x:c>
      <x:c r="AN557" s="12" t="n">
        <x:v>0.005178081114715063</x:v>
      </x:c>
      <x:c r="AO557" s="11" t="n">
        <x:v>37695584</x:v>
      </x:c>
      <x:c r="AP557" s="11" t="n">
        <x:v>33166506</x:v>
      </x:c>
      <x:c r="AQ557" s="12" t="n">
        <x:v>0.8798512313803123</x:v>
      </x:c>
      <x:c r="AR557" s="11" t="n">
        <x:v>60203.694017094014</x:v>
      </x:c>
      <x:c r="AS557" s="11" t="n">
        <x:v>52763.8547008547</x:v>
      </x:c>
      <x:c r="AT557" s="11" t="n">
        <x:v>15800.60170940171</x:v>
      </x:c>
      <x:c r="AU557" s="11" t="n">
        <x:v>613.5521367521368</x:v>
      </x:c>
      <x:c r="AV557" s="11" t="n">
        <x:v>44768.500854700855</x:v>
      </x:c>
      <x:c r="AW557" s="11" t="n">
        <x:v>0.9549237888990014</x:v>
      </x:c>
      <x:c r="AX557" s="12" t="n">
        <x:v>0.7902586966358587</x:v>
      </x:c>
      <x:c r="AY557" s="11"/>
      <x:c r="AZ557" s="11"/>
      <x:c r="BA557" s="11"/>
      <x:c r="BB557" s="11"/>
      <x:c r="BC557" s="11"/>
      <x:c r="BD557" s="11"/>
      <x:c r="BE557" s="11"/>
      <x:c r="BF557" s="11"/>
      <x:c r="BG557" s="11"/>
      <x:c r="BH557" s="11"/>
      <x:c r="BI557" s="11"/>
      <x:c r="BJ557" s="11"/>
      <x:c r="BK557" s="12"/>
      <x:c r="BL557" s="12"/>
      <x:c r="BM557" s="12"/>
      <x:c r="BN557" s="12"/>
      <x:c r="BO557" s="12"/>
      <x:c r="BP557" s="12"/>
      <x:c r="BQ557" s="12"/>
      <x:c r="BR557" s="12"/>
      <x:c r="BS557" s="12"/>
      <x:c r="BT557" s="12"/>
      <x:c r="BU557" s="11" t="n">
        <x:v>375242</x:v>
      </x:c>
      <x:c r="BV557" s="11" t="n">
        <x:v>7385818</x:v>
      </x:c>
      <x:c r="BW557" s="11" t="n">
        <x:v>881948</x:v>
      </x:c>
      <x:c r="BX557" s="11" t="n">
        <x:v>303405</x:v>
      </x:c>
      <x:c r="BY557" s="11" t="n">
        <x:v>0</x:v>
      </x:c>
      <x:c r="BZ557" s="11" t="n">
        <x:v>0</x:v>
      </x:c>
      <x:c r="CA557" s="11" t="n">
        <x:v>31037</x:v>
      </x:c>
      <x:c r="CB557" s="11" t="n">
        <x:v>0</x:v>
      </x:c>
      <x:c r="CC557" s="11" t="n">
        <x:v>5665753</x:v>
      </x:c>
      <x:c r="CD557" s="11" t="n">
        <x:v>2101224</x:v>
      </x:c>
      <x:c r="CE557" s="11" t="n">
        <x:v>892472</x:v>
      </x:c>
      <x:c r="CF557" s="11" t="n">
        <x:v>0</x:v>
      </x:c>
      <x:c r="CG557" s="11" t="n">
        <x:v>1096850</x:v>
      </x:c>
      <x:c r="CH557" s="11" t="n">
        <x:v>3722077</x:v>
      </x:c>
      <x:c r="CI557" s="11" t="n">
        <x:v>5791835</x:v>
      </x:c>
      <x:c r="CJ557" s="11" t="n">
        <x:v>1879219</x:v>
      </x:c>
      <x:c r="CK557" s="11" t="n">
        <x:v>597521</x:v>
      </x:c>
      <x:c r="CL557" s="11" t="n">
        <x:v>1673258</x:v>
      </x:c>
      <x:c r="CM557" s="11"/>
      <x:c r="CN557" s="11" t="n">
        <x:v>0</x:v>
      </x:c>
      <x:c r="CO557" s="11" t="n">
        <x:v>0</x:v>
      </x:c>
      <x:c r="CP557" s="8"/>
      <x:c r="CQ557" s="8"/>
    </x:row>
    <x:row r="558">
      <x:c r="A558" s="8" t="str">
        <x:v>Northern Rockies|2021</x:v>
      </x:c>
      <x:c r="B558" s="8" t="str">
        <x:v>northern-rockies-d</x:v>
      </x:c>
      <x:c r="C558" s="8" t="str">
        <x:v>Northern Rockies</x:v>
      </x:c>
      <x:c r="D558" s="8" t="str">
        <x:v>Northern Rockies</x:v>
      </x:c>
      <x:c r="E558" s="8" t="str">
        <x:v>D</x:v>
      </x:c>
      <x:c r="F558" s="8" t="str"/>
      <x:c r="G558" s="9" t="n">
        <x:v>2021</x:v>
      </x:c>
      <x:c r="H558" s="10" t="n">
        <x:v>4365</x:v>
      </x:c>
      <x:c r="I558" s="8" t="str">
        <x:v>Under 5,000</x:v>
      </x:c>
      <x:c r="J558" s="11" t="n">
        <x:v>46800617</x:v>
      </x:c>
      <x:c r="K558" s="11" t="n">
        <x:v>31167135</x:v>
      </x:c>
      <x:c r="L558" s="11" t="n">
        <x:v>15633482</x:v>
      </x:c>
      <x:c r="M558" s="12" t="n">
        <x:v>0.3340443567229039</x:v>
      </x:c>
      <x:c r="N558" s="11" t="n">
        <x:v>23218341</x:v>
      </x:c>
      <x:c r="O558" s="11" t="n">
        <x:v>2615494</x:v>
      </x:c>
      <x:c r="P558" s="11" t="n">
        <x:v>20365341</x:v>
      </x:c>
      <x:c r="Q558" s="11" t="n">
        <x:v>601441</x:v>
      </x:c>
      <x:c r="R558" s="11" t="n">
        <x:v>22848776</x:v>
      </x:c>
      <x:c r="S558" s="11" t="n">
        <x:v>7437954</x:v>
      </x:c>
      <x:c r="T558" s="11" t="n">
        <x:v>33439661</x:v>
      </x:c>
      <x:c r="U558" s="11" t="n">
        <x:v>37130447</x:v>
      </x:c>
      <x:c r="V558" s="11" t="n">
        <x:v>17917481</x:v>
      </x:c>
      <x:c r="W558" s="11" t="n">
        <x:v>507089</x:v>
      </x:c>
      <x:c r="X558" s="11" t="n">
        <x:v>26134215</x:v>
      </x:c>
      <x:c r="Y558" s="11" t="n">
        <x:v>0</x:v>
      </x:c>
      <x:c r="Z558" s="11" t="n">
        <x:v>778622</x:v>
      </x:c>
      <x:c r="AA558" s="11" t="n">
        <x:v>25053220</x:v>
      </x:c>
      <x:c r="AB558" s="11" t="n">
        <x:v>880405</x:v>
      </x:c>
      <x:c r="AC558" s="11" t="n">
        <x:v>1659027</x:v>
      </x:c>
      <x:c r="AD558" s="11" t="n">
        <x:v>7911269</x:v>
      </x:c>
      <x:c r="AE558" s="11" t="n">
        <x:v>6252242</x:v>
      </x:c>
      <x:c r="AF558" s="11" t="n">
        <x:v>31645075</x:v>
      </x:c>
      <x:c r="AG558" s="11" t="n">
        <x:v>341405744</x:v>
      </x:c>
      <x:c r="AH558" s="11" t="n">
        <x:v>122468010</x:v>
      </x:c>
      <x:c r="AI558" s="11" t="n">
        <x:v>218937734</x:v>
      </x:c>
      <x:c r="AJ558" s="11" t="n">
        <x:v>14914603</x:v>
      </x:c>
      <x:c r="AK558" s="11" t="n">
        <x:v>607999863</x:v>
      </x:c>
      <x:c r="AL558" s="11" t="n">
        <x:v>16911424</x:v>
      </x:c>
      <x:c r="AM558" s="12" t="n">
        <x:v>0.9721851516272464</x:v>
      </x:c>
      <x:c r="AN558" s="12" t="n">
        <x:v>0.024530602566928537</x:v>
      </x:c>
      <x:c r="AO558" s="11" t="n">
        <x:v>38556685</x:v>
      </x:c>
      <x:c r="AP558" s="11" t="n">
        <x:v>35295178</x:v>
      </x:c>
      <x:c r="AQ558" s="12" t="n">
        <x:v>0.9154100773964359</x:v>
      </x:c>
      <x:c r="AR558" s="11" t="n">
        <x:v>10721.790836197022</x:v>
      </x:c>
      <x:c r="AS558" s="11" t="n">
        <x:v>7140.237113402062</x:v>
      </x:c>
      <x:c r="AT558" s="11" t="n">
        <x:v>4104.806643757159</x:v>
      </x:c>
      <x:c r="AU558" s="11" t="n">
        <x:v>116.17159221076747</x:v>
      </x:c>
      <x:c r="AV558" s="11" t="n">
        <x:v>5739.569301260023</x:v>
      </x:c>
      <x:c r="AW558" s="11" t="n">
        <x:v>0.9005994729877612</x:v>
      </x:c>
      <x:c r="AX558" s="12" t="n">
        <x:v>0.7902957161486988</x:v>
      </x:c>
      <x:c r="AY558" s="11"/>
      <x:c r="AZ558" s="11"/>
      <x:c r="BA558" s="11"/>
      <x:c r="BB558" s="11"/>
      <x:c r="BC558" s="11"/>
      <x:c r="BD558" s="11"/>
      <x:c r="BE558" s="11"/>
      <x:c r="BF558" s="11"/>
      <x:c r="BG558" s="11"/>
      <x:c r="BH558" s="11"/>
      <x:c r="BI558" s="11"/>
      <x:c r="BJ558" s="11"/>
      <x:c r="BK558" s="12"/>
      <x:c r="BL558" s="12"/>
      <x:c r="BM558" s="12"/>
      <x:c r="BN558" s="12"/>
      <x:c r="BO558" s="12"/>
      <x:c r="BP558" s="12"/>
      <x:c r="BQ558" s="12"/>
      <x:c r="BR558" s="12"/>
      <x:c r="BS558" s="12"/>
      <x:c r="BT558" s="12"/>
      <x:c r="BU558" s="11" t="n">
        <x:v>13208314</x:v>
      </x:c>
      <x:c r="BV558" s="11" t="n">
        <x:v>6748147</x:v>
      </x:c>
      <x:c r="BW558" s="11" t="n">
        <x:v>408880</x:v>
      </x:c>
      <x:c r="BX558" s="11" t="n">
        <x:v>597524</x:v>
      </x:c>
      <x:c r="BY558" s="11" t="n">
        <x:v>0</x:v>
      </x:c>
      <x:c r="BZ558" s="11" t="n">
        <x:v>0</x:v>
      </x:c>
      <x:c r="CA558" s="11" t="n">
        <x:v>1393</x:v>
      </x:c>
      <x:c r="CB558" s="11" t="n">
        <x:v>2524</x:v>
      </x:c>
      <x:c r="CC558" s="11" t="n">
        <x:v>5121677</x:v>
      </x:c>
      <x:c r="CD558" s="11" t="n">
        <x:v>2173631</x:v>
      </x:c>
      <x:c r="CE558" s="11" t="n">
        <x:v>880585</x:v>
      </x:c>
      <x:c r="CF558" s="11" t="n">
        <x:v>0</x:v>
      </x:c>
      <x:c r="CG558" s="11" t="n">
        <x:v>1032167</x:v>
      </x:c>
      <x:c r="CH558" s="11" t="n">
        <x:v>3713079</x:v>
      </x:c>
      <x:c r="CI558" s="11" t="n">
        <x:v>6707085</x:v>
      </x:c>
      <x:c r="CJ558" s="11" t="n">
        <x:v>1828165</x:v>
      </x:c>
      <x:c r="CK558" s="11" t="n">
        <x:v>553667</x:v>
      </x:c>
      <x:c r="CL558" s="11" t="n">
        <x:v>1719125</x:v>
      </x:c>
      <x:c r="CM558" s="11"/>
      <x:c r="CN558" s="11" t="n">
        <x:v>0</x:v>
      </x:c>
      <x:c r="CO558" s="11" t="n">
        <x:v>0</x:v>
      </x:c>
      <x:c r="CP558" s="8"/>
      <x:c r="CQ558" s="8"/>
    </x:row>
    <x:row r="559">
      <x:c r="A559" s="8" t="str">
        <x:v>Northern Rockies|2022</x:v>
      </x:c>
      <x:c r="B559" s="8" t="str">
        <x:v>northern-rockies-d</x:v>
      </x:c>
      <x:c r="C559" s="8" t="str">
        <x:v>Northern Rockies</x:v>
      </x:c>
      <x:c r="D559" s="8" t="str">
        <x:v>Northern Rockies</x:v>
      </x:c>
      <x:c r="E559" s="8" t="str">
        <x:v>D</x:v>
      </x:c>
      <x:c r="F559" s="8" t="str"/>
      <x:c r="G559" s="9" t="n">
        <x:v>2022</x:v>
      </x:c>
      <x:c r="H559" s="10" t="n">
        <x:v>19211</x:v>
      </x:c>
      <x:c r="I559" s="8" t="str">
        <x:v>5,000 to 19,999</x:v>
      </x:c>
      <x:c r="J559" s="11" t="n">
        <x:v>34138570</x:v>
      </x:c>
      <x:c r="K559" s="11" t="n">
        <x:v>28917170</x:v>
      </x:c>
      <x:c r="L559" s="11" t="n">
        <x:v>5221400</x:v>
      </x:c>
      <x:c r="M559" s="12" t="n">
        <x:v>0.15294723827037865</x:v>
      </x:c>
      <x:c r="N559" s="11" t="n">
        <x:v>22917949</x:v>
      </x:c>
      <x:c r="O559" s="11" t="n">
        <x:v>2718621</x:v>
      </x:c>
      <x:c r="P559" s="11" t="n">
        <x:v>6925830</x:v>
      </x:c>
      <x:c r="Q559" s="11" t="n">
        <x:v>1576170</x:v>
      </x:c>
      <x:c r="R559" s="11" t="n">
        <x:v>20344071</x:v>
      </x:c>
      <x:c r="S559" s="11" t="n">
        <x:v>7655306</x:v>
      </x:c>
      <x:c r="T559" s="11" t="n">
        <x:v>50818305</x:v>
      </x:c>
      <x:c r="U559" s="11" t="n">
        <x:v>34157609</x:v>
      </x:c>
      <x:c r="V559" s="11" t="n">
        <x:v>24242355</x:v>
      </x:c>
      <x:c r="W559" s="11" t="n">
        <x:v>41284561</x:v>
      </x:c>
      <x:c r="X559" s="11" t="n">
        <x:v>25053220</x:v>
      </x:c>
      <x:c r="Y559" s="11" t="n">
        <x:v>0</x:v>
      </x:c>
      <x:c r="Z559" s="11" t="n">
        <x:v>778622</x:v>
      </x:c>
      <x:c r="AA559" s="11" t="n">
        <x:v>23935674</x:v>
      </x:c>
      <x:c r="AB559" s="11" t="n">
        <x:v>917793</x:v>
      </x:c>
      <x:c r="AC559" s="11" t="n">
        <x:v>1696415</x:v>
      </x:c>
      <x:c r="AD559" s="11" t="n">
        <x:v>8117387</x:v>
      </x:c>
      <x:c r="AE559" s="11" t="n">
        <x:v>6420972</x:v>
      </x:c>
      <x:c r="AF559" s="11" t="n">
        <x:v>32469547</x:v>
      </x:c>
      <x:c r="AG559" s="11" t="n">
        <x:v>347928205</x:v>
      </x:c>
      <x:c r="AH559" s="11" t="n">
        <x:v>130123315</x:v>
      </x:c>
      <x:c r="AI559" s="11" t="n">
        <x:v>217804890</x:v>
      </x:c>
      <x:c r="AJ559" s="11" t="n">
        <x:v>6522464</x:v>
      </x:c>
      <x:c r="AK559" s="11" t="n">
        <x:v>646293468</x:v>
      </x:c>
      <x:c r="AL559" s="11" t="n">
        <x:v>16827317</x:v>
      </x:c>
      <x:c r="AM559" s="12" t="n">
        <x:v>0.9739633497270623</x:v>
      </x:c>
      <x:c r="AN559" s="12" t="n">
        <x:v>0.010092108806521312</x:v>
      </x:c>
      <x:c r="AO559" s="11" t="n">
        <x:v>37019243</x:v>
      </x:c>
      <x:c r="AP559" s="11" t="n">
        <x:v>34836174</x:v>
      </x:c>
      <x:c r="AQ559" s="12" t="n">
        <x:v>0.9410288049380157</x:v>
      </x:c>
      <x:c r="AR559" s="11" t="n">
        <x:v>1777.0324293373587</x:v>
      </x:c>
      <x:c r="AS559" s="11" t="n">
        <x:v>1505.240226953308</x:v>
      </x:c>
      <x:c r="AT559" s="11" t="n">
        <x:v>1261.899692884285</x:v>
      </x:c>
      <x:c r="AU559" s="11" t="n">
        <x:v>2149.0063505283433</x:v>
      </x:c>
      <x:c r="AV559" s="11" t="n">
        <x:v>1245.9358700744365</x:v>
      </x:c>
      <x:c r="AW559" s="11" t="n">
        <x:v>1.4877594330446255</x:v>
      </x:c>
      <x:c r="AX559" s="12" t="n">
        <x:v>0.7910146454764323</x:v>
      </x:c>
      <x:c r="AY559" s="11"/>
      <x:c r="AZ559" s="11"/>
      <x:c r="BA559" s="11"/>
      <x:c r="BB559" s="11"/>
      <x:c r="BC559" s="11"/>
      <x:c r="BD559" s="11"/>
      <x:c r="BE559" s="11"/>
      <x:c r="BF559" s="11"/>
      <x:c r="BG559" s="11"/>
      <x:c r="BH559" s="11"/>
      <x:c r="BI559" s="11"/>
      <x:c r="BJ559" s="11"/>
      <x:c r="BK559" s="12"/>
      <x:c r="BL559" s="12"/>
      <x:c r="BM559" s="12"/>
      <x:c r="BN559" s="12"/>
      <x:c r="BO559" s="12"/>
      <x:c r="BP559" s="12"/>
      <x:c r="BQ559" s="12"/>
      <x:c r="BR559" s="12"/>
      <x:c r="BS559" s="12"/>
      <x:c r="BT559" s="12"/>
      <x:c r="BU559" s="11" t="n">
        <x:v>412722</x:v>
      </x:c>
      <x:c r="BV559" s="11" t="n">
        <x:v>6513108</x:v>
      </x:c>
      <x:c r="BW559" s="11" t="n">
        <x:v>0</x:v>
      </x:c>
      <x:c r="BX559" s="11" t="n">
        <x:v>1398824</x:v>
      </x:c>
      <x:c r="BY559" s="11" t="n">
        <x:v>-41598</x:v>
      </x:c>
      <x:c r="BZ559" s="11" t="n">
        <x:v>0</x:v>
      </x:c>
      <x:c r="CA559" s="11" t="n">
        <x:v>3867</x:v>
      </x:c>
      <x:c r="CB559" s="11" t="n">
        <x:v>215077</x:v>
      </x:c>
      <x:c r="CC559" s="11" t="n">
        <x:v>2544177</x:v>
      </x:c>
      <x:c r="CD559" s="11" t="n">
        <x:v>2342798</x:v>
      </x:c>
      <x:c r="CE559" s="11" t="n">
        <x:v>569283</x:v>
      </x:c>
      <x:c r="CF559" s="11" t="n">
        <x:v>0</x:v>
      </x:c>
      <x:c r="CG559" s="11" t="n">
        <x:v>1294584</x:v>
      </x:c>
      <x:c r="CH559" s="11" t="n">
        <x:v>3659258</x:v>
      </x:c>
      <x:c r="CI559" s="11" t="n">
        <x:v>7257439</x:v>
      </x:c>
      <x:c r="CJ559" s="11" t="n">
        <x:v>1488308</x:v>
      </x:c>
      <x:c r="CK559" s="11" t="n">
        <x:v>483258</x:v>
      </x:c>
      <x:c r="CL559" s="11" t="n">
        <x:v>1622759</x:v>
      </x:c>
      <x:c r="CM559" s="11"/>
      <x:c r="CN559" s="11" t="n">
        <x:v>0</x:v>
      </x:c>
      <x:c r="CO559" s="11" t="n">
        <x:v>0</x:v>
      </x:c>
      <x:c r="CP559" s="8"/>
      <x:c r="CQ559" s="8"/>
    </x:row>
    <x:row r="560">
      <x:c r="A560" s="8" t="str">
        <x:v>Northern Rockies|2023</x:v>
      </x:c>
      <x:c r="B560" s="8" t="str">
        <x:v>northern-rockies-d</x:v>
      </x:c>
      <x:c r="C560" s="8" t="str">
        <x:v>Northern Rockies</x:v>
      </x:c>
      <x:c r="D560" s="8" t="str">
        <x:v>Northern Rockies</x:v>
      </x:c>
      <x:c r="E560" s="8" t="str">
        <x:v>D</x:v>
      </x:c>
      <x:c r="F560" s="8" t="str"/>
      <x:c r="G560" s="9" t="n">
        <x:v>2023</x:v>
      </x:c>
      <x:c r="H560" s="10" t="n">
        <x:v>4400</x:v>
      </x:c>
      <x:c r="I560" s="8" t="str">
        <x:v>Under 5,000</x:v>
      </x:c>
      <x:c r="J560" s="11" t="n">
        <x:v>37679873</x:v>
      </x:c>
      <x:c r="K560" s="11" t="n">
        <x:v>33020050</x:v>
      </x:c>
      <x:c r="L560" s="11" t="n">
        <x:v>4659823</x:v>
      </x:c>
      <x:c r="M560" s="12" t="n">
        <x:v>0.12366875546528514</x:v>
      </x:c>
      <x:c r="N560" s="11" t="n">
        <x:v>24441574</x:v>
      </x:c>
      <x:c r="O560" s="11" t="n">
        <x:v>3035597</x:v>
      </x:c>
      <x:c r="P560" s="11" t="n">
        <x:v>7179446</x:v>
      </x:c>
      <x:c r="Q560" s="11" t="n">
        <x:v>3023256</x:v>
      </x:c>
      <x:c r="R560" s="11" t="n">
        <x:v>23931730</x:v>
      </x:c>
      <x:c r="S560" s="11" t="n">
        <x:v>8097791</x:v>
      </x:c>
      <x:c r="T560" s="11" t="n">
        <x:v>57125438</x:v>
      </x:c>
      <x:c r="U560" s="11" t="n">
        <x:v>36867072</x:v>
      </x:c>
      <x:c r="V560" s="11" t="n">
        <x:v>30079484</x:v>
      </x:c>
      <x:c r="W560" s="11" t="n">
        <x:v>46308512</x:v>
      </x:c>
      <x:c r="X560" s="11" t="n">
        <x:v>23935674</x:v>
      </x:c>
      <x:c r="Y560" s="11" t="n">
        <x:v>0</x:v>
      </x:c>
      <x:c r="Z560" s="11" t="n">
        <x:v>799590</x:v>
      </x:c>
      <x:c r="AA560" s="11" t="n">
        <x:v>22772590</x:v>
      </x:c>
      <x:c r="AB560" s="11" t="n">
        <x:v>990529</x:v>
      </x:c>
      <x:c r="AC560" s="11" t="n">
        <x:v>1790119</x:v>
      </x:c>
      <x:c r="AD560" s="11" t="n">
        <x:v>8965085</x:v>
      </x:c>
      <x:c r="AE560" s="11" t="n">
        <x:v>7174966</x:v>
      </x:c>
      <x:c r="AF560" s="11" t="n">
        <x:v>35860338</x:v>
      </x:c>
      <x:c r="AG560" s="11" t="n">
        <x:v>354864883</x:v>
      </x:c>
      <x:c r="AH560" s="11" t="n">
        <x:v>139973360</x:v>
      </x:c>
      <x:c r="AI560" s="11" t="n">
        <x:v>214891523</x:v>
      </x:c>
      <x:c r="AJ560" s="11" t="n">
        <x:v>7239297</x:v>
      </x:c>
      <x:c r="AK560" s="11" t="n">
        <x:v>620837105</x:v>
      </x:c>
      <x:c r="AL560" s="11" t="n">
        <x:v>16387317</x:v>
      </x:c>
      <x:c r="AM560" s="12" t="n">
        <x:v>0.973604481967939</x:v>
      </x:c>
      <x:c r="AN560" s="12" t="n">
        <x:v>0.011660541777701898</x:v>
      </x:c>
      <x:c r="AO560" s="11" t="n">
        <x:v>37855501</x:v>
      </x:c>
      <x:c r="AP560" s="11" t="n">
        <x:v>33592294</x:v>
      </x:c>
      <x:c r="AQ560" s="12" t="n">
        <x:v>0.8873821006886159</x:v>
      </x:c>
      <x:c r="AR560" s="11" t="n">
        <x:v>8563.6075</x:v>
      </x:c>
      <x:c r="AS560" s="11" t="n">
        <x:v>7504.556818181818</x:v>
      </x:c>
      <x:c r="AT560" s="11" t="n">
        <x:v>6836.246363636364</x:v>
      </x:c>
      <x:c r="AU560" s="11" t="n">
        <x:v>10524.661818181818</x:v>
      </x:c>
      <x:c r="AV560" s="11" t="n">
        <x:v>5175.588636363636</x:v>
      </x:c>
      <x:c r="AW560" s="11" t="n">
        <x:v>1.549497557061217</x:v>
      </x:c>
      <x:c r="AX560" s="12" t="n">
        <x:v>0.8003232540461134</x:v>
      </x:c>
      <x:c r="AY560" s="11"/>
      <x:c r="AZ560" s="11"/>
      <x:c r="BA560" s="11"/>
      <x:c r="BB560" s="11"/>
      <x:c r="BC560" s="11"/>
      <x:c r="BD560" s="11"/>
      <x:c r="BE560" s="11"/>
      <x:c r="BF560" s="11"/>
      <x:c r="BG560" s="11"/>
      <x:c r="BH560" s="11"/>
      <x:c r="BI560" s="11"/>
      <x:c r="BJ560" s="11"/>
      <x:c r="BK560" s="12"/>
      <x:c r="BL560" s="12"/>
      <x:c r="BM560" s="12"/>
      <x:c r="BN560" s="12"/>
      <x:c r="BO560" s="12"/>
      <x:c r="BP560" s="12"/>
      <x:c r="BQ560" s="12"/>
      <x:c r="BR560" s="12"/>
      <x:c r="BS560" s="12"/>
      <x:c r="BT560" s="12"/>
      <x:c r="BU560" s="11" t="n">
        <x:v>5000</x:v>
      </x:c>
      <x:c r="BV560" s="11" t="n">
        <x:v>6419330</x:v>
      </x:c>
      <x:c r="BW560" s="11" t="n">
        <x:v>755116</x:v>
      </x:c>
      <x:c r="BX560" s="11" t="n">
        <x:v>3307661</x:v>
      </x:c>
      <x:c r="BY560" s="11" t="n">
        <x:v>-443181</x:v>
      </x:c>
      <x:c r="BZ560" s="11" t="n">
        <x:v>78200</x:v>
      </x:c>
      <x:c r="CA560" s="11" t="n">
        <x:v>80576</x:v>
      </x:c>
      <x:c r="CB560" s="11" t="n">
        <x:v>0</x:v>
      </x:c>
      <x:c r="CC560" s="11" t="n">
        <x:v>6272415</x:v>
      </x:c>
      <x:c r="CD560" s="11" t="n">
        <x:v>2756796</x:v>
      </x:c>
      <x:c r="CE560" s="11" t="n">
        <x:v>1099861</x:v>
      </x:c>
      <x:c r="CF560" s="11" t="n">
        <x:v>0</x:v>
      </x:c>
      <x:c r="CG560" s="11" t="n">
        <x:v>1251624</x:v>
      </x:c>
      <x:c r="CH560" s="11" t="n">
        <x:v>3648219</x:v>
      </x:c>
      <x:c r="CI560" s="11" t="n">
        <x:v>5956303</x:v>
      </x:c>
      <x:c r="CJ560" s="11" t="n">
        <x:v>1667806</x:v>
      </x:c>
      <x:c r="CK560" s="11" t="n">
        <x:v>476665</x:v>
      </x:c>
      <x:c r="CL560" s="11" t="n">
        <x:v>1716049</x:v>
      </x:c>
      <x:c r="CM560" s="11" t="n">
        <x:v>76521</x:v>
      </x:c>
      <x:c r="CN560" s="11" t="n">
        <x:v>0</x:v>
      </x:c>
      <x:c r="CO560" s="11" t="n">
        <x:v>0</x:v>
      </x:c>
      <x:c r="CP560" s="8"/>
      <x:c r="CQ560" s="8"/>
    </x:row>
    <x:row r="561">
      <x:c r="A561" s="8" t="str">
        <x:v>Northern Rockies|2024</x:v>
      </x:c>
      <x:c r="B561" s="8" t="str">
        <x:v>northern-rockies-d</x:v>
      </x:c>
      <x:c r="C561" s="8" t="str">
        <x:v>Northern Rockies</x:v>
      </x:c>
      <x:c r="D561" s="8" t="str">
        <x:v>Northern Rockies</x:v>
      </x:c>
      <x:c r="E561" s="8" t="str">
        <x:v>D</x:v>
      </x:c>
      <x:c r="F561" s="8" t="str"/>
      <x:c r="G561" s="9" t="n">
        <x:v>2024</x:v>
      </x:c>
      <x:c r="H561" s="10" t="n">
        <x:v>4400</x:v>
      </x:c>
      <x:c r="I561" s="8" t="str">
        <x:v>Under 5,000</x:v>
      </x:c>
      <x:c r="J561" s="11" t="n">
        <x:v>42838637</x:v>
      </x:c>
      <x:c r="K561" s="11" t="n">
        <x:v>38761808</x:v>
      </x:c>
      <x:c r="L561" s="11" t="n">
        <x:v>4076829</x:v>
      </x:c>
      <x:c r="M561" s="12" t="n">
        <x:v>0.09516710347250311</x:v>
      </x:c>
      <x:c r="N561" s="11" t="n">
        <x:v>26172356</x:v>
      </x:c>
      <x:c r="O561" s="11" t="n">
        <x:v>4580461</x:v>
      </x:c>
      <x:c r="P561" s="11" t="n">
        <x:v>8665889</x:v>
      </x:c>
      <x:c r="Q561" s="11" t="n">
        <x:v>3419931</x:v>
      </x:c>
      <x:c r="R561" s="11" t="n">
        <x:v>29988578</x:v>
      </x:c>
      <x:c r="S561" s="11" t="n">
        <x:v>7678001</x:v>
      </x:c>
      <x:c r="T561" s="11" t="n">
        <x:v>56468546</x:v>
      </x:c>
      <x:c r="U561" s="11" t="n">
        <x:v>34256632</x:v>
      </x:c>
      <x:c r="V561" s="11" t="n">
        <x:v>32765662</x:v>
      </x:c>
      <x:c r="W561" s="11" t="n">
        <x:v>51559811</x:v>
      </x:c>
      <x:c r="X561" s="11" t="n">
        <x:v>22772590</x:v>
      </x:c>
      <x:c r="Y561" s="11" t="n">
        <x:v>0</x:v>
      </x:c>
      <x:c r="Z561" s="11" t="n">
        <x:v>799590</x:v>
      </x:c>
      <x:c r="AA561" s="11" t="n">
        <x:v>21569914</x:v>
      </x:c>
      <x:c r="AB561" s="11" t="n">
        <x:v>1095229</x:v>
      </x:c>
      <x:c r="AC561" s="11" t="n">
        <x:v>1894819</x:v>
      </x:c>
      <x:c r="AD561" s="11" t="n">
        <x:v>9835092</x:v>
      </x:c>
      <x:c r="AE561" s="11" t="n">
        <x:v>7940273</x:v>
      </x:c>
      <x:c r="AF561" s="11" t="n">
        <x:v>39340368</x:v>
      </x:c>
      <x:c r="AG561" s="11" t="n">
        <x:v>363838420</x:v>
      </x:c>
      <x:c r="AH561" s="11" t="n">
        <x:v>147215060</x:v>
      </x:c>
      <x:c r="AI561" s="11" t="n">
        <x:v>216623360</x:v>
      </x:c>
      <x:c r="AJ561" s="11" t="n">
        <x:v>9589773</x:v>
      </x:c>
      <x:c r="AK561" s="11" t="n">
        <x:v>625432581</x:v>
      </x:c>
      <x:c r="AL561" s="11" t="n">
        <x:v>16387317</x:v>
      </x:c>
      <x:c r="AM561" s="12" t="n">
        <x:v>0.9737984276837666</x:v>
      </x:c>
      <x:c r="AN561" s="12" t="n">
        <x:v>0.015333024359982935</x:v>
      </x:c>
      <x:c r="AO561" s="11" t="n">
        <x:v>40848812</x:v>
      </x:c>
      <x:c r="AP561" s="11" t="n">
        <x:v>32930151</x:v>
      </x:c>
      <x:c r="AQ561" s="12" t="n">
        <x:v>0.806147091866466</x:v>
      </x:c>
      <x:c r="AR561" s="11" t="n">
        <x:v>9736.053863636364</x:v>
      </x:c>
      <x:c r="AS561" s="11" t="n">
        <x:v>8809.501818181818</x:v>
      </x:c>
      <x:c r="AT561" s="11" t="n">
        <x:v>7446.7413636363635</x:v>
      </x:c>
      <x:c r="AU561" s="11" t="n">
        <x:v>11718.138863636364</x:v>
      </x:c>
      <x:c r="AV561" s="11" t="n">
        <x:v>4902.2531818181815</x:v>
      </x:c>
      <x:c r="AW561" s="11" t="n">
        <x:v>1.6483974840258668</x:v>
      </x:c>
      <x:c r="AX561" s="12" t="n">
        <x:v>0.807340998945409</x:v>
      </x:c>
      <x:c r="AY561" s="11" t="n">
        <x:v>4486.511144130758</x:v>
      </x:c>
      <x:c r="AZ561" s="11" t="n">
        <x:v>3546.5079302077975</x:v>
      </x:c>
      <x:c r="BA561" s="11" t="n">
        <x:v>3557.844717668488</x:v>
      </x:c>
      <x:c r="BB561" s="11" t="n">
        <x:v>2783.665107049771</x:v>
      </x:c>
      <x:c r="BC561" s="11" t="n">
        <x:v>5496.677373974208</x:v>
      </x:c>
      <x:c r="BD561" s="11" t="n">
        <x:v>2437.8724475115623</x:v>
      </x:c>
      <x:c r="BE561" s="11" t="n">
        <x:v>3386.4506393861893</x:v>
      </x:c>
      <x:c r="BF561" s="11" t="n">
        <x:v>1604.3462673977224</x:v>
      </x:c>
      <x:c r="BG561" s="11" t="n">
        <x:v>624.7436119532265</x:v>
      </x:c>
      <x:c r="BH561" s="11" t="n">
        <x:v>518.5374381567245</x:v>
      </x:c>
      <x:c r="BI561" s="11" t="n">
        <x:v>3.324657351485151</x:v>
      </x:c>
      <x:c r="BJ561" s="11" t="n">
        <x:v>1.7099330852451193</x:v>
      </x:c>
      <x:c r="BK561" s="12" t="n">
        <x:v>0.02521828600111612</x:v>
      </x:c>
      <x:c r="BL561" s="12" t="n">
        <x:v>0.02529861000232605</x:v>
      </x:c>
      <x:c r="BM561" s="12" t="n">
        <x:v>0.9816336034641139</x:v>
      </x:c>
      <x:c r="BN561" s="12" t="n">
        <x:v>0.9815511712696461</x:v>
      </x:c>
      <x:c r="BO561" s="12" t="n">
        <x:v>0.8531878894527055</x:v>
      </x:c>
      <x:c r="BP561" s="12" t="n">
        <x:v>0.8619101997275483</x:v>
      </x:c>
      <x:c r="BQ561" s="12" t="n">
        <x:v>0.9614729661922712</x:v>
      </x:c>
      <x:c r="BR561" s="12" t="n">
        <x:v>0.9623635142836453</x:v>
      </x:c>
      <x:c r="BS561" s="12" t="n">
        <x:v>0.23352896680225554</x:v>
      </x:c>
      <x:c r="BT561" s="12" t="n">
        <x:v>0.19976549769108282</x:v>
      </x:c>
      <x:c r="BU561" s="11" t="n">
        <x:v>0</x:v>
      </x:c>
      <x:c r="BV561" s="11" t="n">
        <x:v>6418997</x:v>
      </x:c>
      <x:c r="BW561" s="11" t="n">
        <x:v>2246892</x:v>
      </x:c>
      <x:c r="BX561" s="11" t="n">
        <x:v>3504137</x:v>
      </x:c>
      <x:c r="BY561" s="11" t="n">
        <x:v>-104225</x:v>
      </x:c>
      <x:c r="BZ561" s="11" t="n">
        <x:v>0</x:v>
      </x:c>
      <x:c r="CA561" s="11" t="n">
        <x:v>20019</x:v>
      </x:c>
      <x:c r="CB561" s="11" t="n">
        <x:v>0</x:v>
      </x:c>
      <x:c r="CC561" s="11" t="n">
        <x:v>8109292</x:v>
      </x:c>
      <x:c r="CD561" s="11" t="n">
        <x:v>4435446</x:v>
      </x:c>
      <x:c r="CE561" s="11" t="n">
        <x:v>1235199</x:v>
      </x:c>
      <x:c r="CF561" s="11" t="n">
        <x:v>0</x:v>
      </x:c>
      <x:c r="CG561" s="11" t="n">
        <x:v>1893114</x:v>
      </x:c>
      <x:c r="CH561" s="11" t="n">
        <x:v>4266194</x:v>
      </x:c>
      <x:c r="CI561" s="11" t="n">
        <x:v>6497585</x:v>
      </x:c>
      <x:c r="CJ561" s="11" t="n">
        <x:v>1990285</x:v>
      </x:c>
      <x:c r="CK561" s="11" t="n">
        <x:v>980811</x:v>
      </x:c>
      <x:c r="CL561" s="11" t="n">
        <x:v>1568324</x:v>
      </x:c>
      <x:c r="CM561" s="11" t="n">
        <x:v>107557</x:v>
      </x:c>
      <x:c r="CN561" s="11" t="n">
        <x:v>0</x:v>
      </x:c>
      <x:c r="CO561" s="11" t="n">
        <x:v>0</x:v>
      </x:c>
      <x:c r="CP561" s="8"/>
      <x:c r="CQ561" s="8"/>
    </x:row>
    <x:row r="562">
      <x:c r="A562" s="8" t="str">
        <x:v>Oak Bay|2019</x:v>
      </x:c>
      <x:c r="B562" s="8" t="str">
        <x:v>oak-bay-d</x:v>
      </x:c>
      <x:c r="C562" s="8" t="str">
        <x:v>Oak Bay</x:v>
      </x:c>
      <x:c r="D562" s="8" t="str">
        <x:v>Oak Bay</x:v>
      </x:c>
      <x:c r="E562" s="8" t="str">
        <x:v>D</x:v>
      </x:c>
      <x:c r="F562" s="8" t="str">
        <x:v>CAP</x:v>
      </x:c>
      <x:c r="G562" s="9" t="n">
        <x:v>2019</x:v>
      </x:c>
      <x:c r="H562" s="10" t="n">
        <x:v>18568</x:v>
      </x:c>
      <x:c r="I562" s="8" t="str">
        <x:v>5,000 to 19,999</x:v>
      </x:c>
      <x:c r="J562" s="11" t="n">
        <x:v>48287942</x:v>
      </x:c>
      <x:c r="K562" s="11" t="n">
        <x:v>40381729</x:v>
      </x:c>
      <x:c r="L562" s="11" t="n">
        <x:v>7906213</x:v>
      </x:c>
      <x:c r="M562" s="12" t="n">
        <x:v>0.16373058516347622</x:v>
      </x:c>
      <x:c r="N562" s="11" t="n">
        <x:v>26882573</x:v>
      </x:c>
      <x:c r="O562" s="11" t="n">
        <x:v>17499921</x:v>
      </x:c>
      <x:c r="P562" s="11" t="n">
        <x:v>2400337</x:v>
      </x:c>
      <x:c r="Q562" s="11" t="n">
        <x:v>1505111</x:v>
      </x:c>
      <x:c r="R562" s="11" t="n">
        <x:v>37928822</x:v>
      </x:c>
      <x:c r="S562" s="11" t="n">
        <x:v>2316894</x:v>
      </x:c>
      <x:c r="T562" s="11" t="n">
        <x:v>58503414</x:v>
      </x:c>
      <x:c r="U562" s="11" t="n">
        <x:v>21713699</x:v>
      </x:c>
      <x:c r="V562" s="11" t="n">
        <x:v>40641595</x:v>
      </x:c>
      <x:c r="W562" s="11" t="n">
        <x:v>32685232</x:v>
      </x:c>
      <x:c r="X562" s="11" t="n">
        <x:v>1743524</x:v>
      </x:c>
      <x:c r="Y562" s="11" t="n">
        <x:v>0</x:v>
      </x:c>
      <x:c r="Z562" s="11" t="n">
        <x:v>227234</x:v>
      </x:c>
      <x:c r="AA562" s="11" t="n">
        <x:v>1362442</x:v>
      </x:c>
      <x:c r="AB562" s="11" t="n">
        <x:v>136013</x:v>
      </x:c>
      <x:c r="AC562" s="11" t="n">
        <x:v>363247</x:v>
      </x:c>
      <x:c r="AD562" s="11" t="n">
        <x:v>11455898</x:v>
      </x:c>
      <x:c r="AE562" s="11" t="n">
        <x:v>11092651</x:v>
      </x:c>
      <x:c r="AF562" s="11" t="n">
        <x:v>45823590</x:v>
      </x:c>
      <x:c r="AG562" s="11" t="n">
        <x:v>109542437</x:v>
      </x:c>
      <x:c r="AH562" s="11" t="n">
        <x:v>47159428</x:v>
      </x:c>
      <x:c r="AI562" s="11" t="n">
        <x:v>62383009</x:v>
      </x:c>
      <x:c r="AJ562" s="11" t="n">
        <x:v>3738001</x:v>
      </x:c>
      <x:c r="AK562" s="11" t="n">
        <x:v>244421514</x:v>
      </x:c>
      <x:c r="AL562" s="11" t="n">
        <x:v>3466310</x:v>
      </x:c>
      <x:c r="AM562" s="12" t="n">
        <x:v>0.9858183105763758</x:v>
      </x:c>
      <x:c r="AN562" s="12" t="n">
        <x:v>0.015293256877543113</x:v>
      </x:c>
      <x:c r="AO562" s="11" t="n">
        <x:v>47562162</x:v>
      </x:c>
      <x:c r="AP562" s="11" t="n">
        <x:v>46893598</x:v>
      </x:c>
      <x:c r="AQ562" s="12" t="n">
        <x:v>0.9859433639707127</x:v>
      </x:c>
      <x:c r="AR562" s="11" t="n">
        <x:v>2600.600064627316</x:v>
      </x:c>
      <x:c r="AS562" s="11" t="n">
        <x:v>2174.802294269711</x:v>
      </x:c>
      <x:c r="AT562" s="11" t="n">
        <x:v>2188.7976626454115</x:v>
      </x:c>
      <x:c r="AU562" s="11" t="n">
        <x:v>1760.2990090478243</x:v>
      </x:c>
      <x:c r="AV562" s="11" t="n">
        <x:v>73.37580784144765</x:v>
      </x:c>
      <x:c r="AW562" s="11" t="n">
        <x:v>2.6943089705719876</x:v>
      </x:c>
      <x:c r="AX562" s="12" t="n">
        <x:v>0.968291704412871</x:v>
      </x:c>
      <x:c r="AY562" s="11"/>
      <x:c r="AZ562" s="11"/>
      <x:c r="BA562" s="11"/>
      <x:c r="BB562" s="11"/>
      <x:c r="BC562" s="11"/>
      <x:c r="BD562" s="11"/>
      <x:c r="BE562" s="11"/>
      <x:c r="BF562" s="11"/>
      <x:c r="BG562" s="11"/>
      <x:c r="BH562" s="11"/>
      <x:c r="BI562" s="11"/>
      <x:c r="BJ562" s="11"/>
      <x:c r="BK562" s="12"/>
      <x:c r="BL562" s="12"/>
      <x:c r="BM562" s="12"/>
      <x:c r="BN562" s="12"/>
      <x:c r="BO562" s="12"/>
      <x:c r="BP562" s="12"/>
      <x:c r="BQ562" s="12"/>
      <x:c r="BR562" s="12"/>
      <x:c r="BS562" s="12"/>
      <x:c r="BT562" s="12"/>
      <x:c r="BU562" s="11" t="n">
        <x:v>1675250</x:v>
      </x:c>
      <x:c r="BV562" s="11" t="n">
        <x:v>677942</x:v>
      </x:c>
      <x:c r="BW562" s="11" t="n">
        <x:v>47145</x:v>
      </x:c>
      <x:c r="BX562" s="11" t="n">
        <x:v>1199944</x:v>
      </x:c>
      <x:c r="BY562" s="11" t="n">
        <x:v>0</x:v>
      </x:c>
      <x:c r="BZ562" s="11" t="n">
        <x:v>305167</x:v>
      </x:c>
      <x:c r="CA562" s="11" t="n">
        <x:v>0</x:v>
      </x:c>
      <x:c r="CB562" s="11" t="n">
        <x:v>0</x:v>
      </x:c>
      <x:c r="CC562" s="11" t="n">
        <x:v>4903614</x:v>
      </x:c>
      <x:c r="CD562" s="11" t="n">
        <x:v>10550798</x:v>
      </x:c>
      <x:c r="CE562" s="11" t="n">
        <x:v>1316487</x:v>
      </x:c>
      <x:c r="CF562" s="11" t="n">
        <x:v>0</x:v>
      </x:c>
      <x:c r="CG562" s="11" t="n">
        <x:v>0</x:v>
      </x:c>
      <x:c r="CH562" s="11" t="n">
        <x:v>2845254</x:v>
      </x:c>
      <x:c r="CI562" s="11" t="n">
        <x:v>13161379</x:v>
      </x:c>
      <x:c r="CJ562" s="11" t="n">
        <x:v>2746866</x:v>
      </x:c>
      <x:c r="CK562" s="11" t="n">
        <x:v>2535311</x:v>
      </x:c>
      <x:c r="CL562" s="11" t="n">
        <x:v>0</x:v>
      </x:c>
      <x:c r="CM562" s="11"/>
      <x:c r="CN562" s="11" t="n">
        <x:v>5126</x:v>
      </x:c>
      <x:c r="CO562" s="11" t="n">
        <x:v>0</x:v>
      </x:c>
      <x:c r="CP562" s="8"/>
      <x:c r="CQ562" s="8"/>
    </x:row>
    <x:row r="563">
      <x:c r="A563" s="8" t="str">
        <x:v>Oak Bay|2020</x:v>
      </x:c>
      <x:c r="B563" s="8" t="str">
        <x:v>oak-bay-d</x:v>
      </x:c>
      <x:c r="C563" s="8" t="str">
        <x:v>Oak Bay</x:v>
      </x:c>
      <x:c r="D563" s="8" t="str">
        <x:v>Oak Bay</x:v>
      </x:c>
      <x:c r="E563" s="8" t="str">
        <x:v>D</x:v>
      </x:c>
      <x:c r="F563" s="8" t="str">
        <x:v>CAP</x:v>
      </x:c>
      <x:c r="G563" s="9" t="n">
        <x:v>2020</x:v>
      </x:c>
      <x:c r="H563" s="10" t="n">
        <x:v>18918</x:v>
      </x:c>
      <x:c r="I563" s="8" t="str">
        <x:v>5,000 to 19,999</x:v>
      </x:c>
      <x:c r="J563" s="11" t="n">
        <x:v>50722448</x:v>
      </x:c>
      <x:c r="K563" s="11" t="n">
        <x:v>39687737</x:v>
      </x:c>
      <x:c r="L563" s="11" t="n">
        <x:v>11034711</x:v>
      </x:c>
      <x:c r="M563" s="12" t="n">
        <x:v>0.2175508366630885</x:v>
      </x:c>
      <x:c r="N563" s="11" t="n">
        <x:v>28814709</x:v>
      </x:c>
      <x:c r="O563" s="11" t="n">
        <x:v>14826978</x:v>
      </x:c>
      <x:c r="P563" s="11" t="n">
        <x:v>5570035</x:v>
      </x:c>
      <x:c r="Q563" s="11" t="n">
        <x:v>1510726</x:v>
      </x:c>
      <x:c r="R563" s="11" t="n">
        <x:v>37111825</x:v>
      </x:c>
      <x:c r="S563" s="11" t="n">
        <x:v>2441405</x:v>
      </x:c>
      <x:c r="T563" s="11" t="n">
        <x:v>72109148</x:v>
      </x:c>
      <x:c r="U563" s="11" t="n">
        <x:v>29457598</x:v>
      </x:c>
      <x:c r="V563" s="11" t="n">
        <x:v>47665563</x:v>
      </x:c>
      <x:c r="W563" s="11" t="n">
        <x:v>25747242</x:v>
      </x:c>
      <x:c r="X563" s="11" t="n">
        <x:v>1362442</x:v>
      </x:c>
      <x:c r="Y563" s="11" t="n">
        <x:v>0</x:v>
      </x:c>
      <x:c r="Z563" s="11" t="n">
        <x:v>163448</x:v>
      </x:c>
      <x:c r="AA563" s="11" t="n">
        <x:v>1030324</x:v>
      </x:c>
      <x:c r="AB563" s="11" t="n">
        <x:v>134507</x:v>
      </x:c>
      <x:c r="AC563" s="11" t="n">
        <x:v>297955</x:v>
      </x:c>
      <x:c r="AD563" s="11" t="n">
        <x:v>11218233</x:v>
      </x:c>
      <x:c r="AE563" s="11" t="n">
        <x:v>10920278</x:v>
      </x:c>
      <x:c r="AF563" s="11" t="n">
        <x:v>44872932</x:v>
      </x:c>
      <x:c r="AG563" s="11" t="n">
        <x:v>115753029</x:v>
      </x:c>
      <x:c r="AH563" s="11" t="n">
        <x:v>49489139</x:v>
      </x:c>
      <x:c r="AI563" s="11" t="n">
        <x:v>66263890</x:v>
      </x:c>
      <x:c r="AJ563" s="11" t="n">
        <x:v>6347753</x:v>
      </x:c>
      <x:c r="AK563" s="11" t="n">
        <x:v>3454674</x:v>
      </x:c>
      <x:c r="AL563" s="11" t="n">
        <x:v>0</x:v>
      </x:c>
      <x:c r="AM563" s="12" t="n">
        <x:v>1</x:v>
      </x:c>
      <x:c r="AN563" s="12" t="n">
        <x:v>1.8374390752933563</x:v>
      </x:c>
      <x:c r="AO563" s="11" t="n">
        <x:v>49212172</x:v>
      </x:c>
      <x:c r="AP563" s="11" t="n">
        <x:v>48315139</x:v>
      </x:c>
      <x:c r="AQ563" s="12" t="n">
        <x:v>0.9817721314962485</x:v>
      </x:c>
      <x:c r="AR563" s="11" t="n">
        <x:v>2681.173908446982</x:v>
      </x:c>
      <x:c r="AS563" s="11" t="n">
        <x:v>2097.882281425098</x:v>
      </x:c>
      <x:c r="AT563" s="11" t="n">
        <x:v>2519.5878528385665</x:v>
      </x:c>
      <x:c r="AU563" s="11" t="n">
        <x:v>1360.9917538851887</x:v>
      </x:c>
      <x:c r="AV563" s="11" t="n">
        <x:v>54.462628184797545</x:v>
      </x:c>
      <x:c r="AW563" s="11" t="n">
        <x:v>2.4478963967123186</x:v>
      </x:c>
      <x:c r="AX563" s="12" t="n">
        <x:v>0.973440113073066</x:v>
      </x:c>
      <x:c r="AY563" s="11"/>
      <x:c r="AZ563" s="11"/>
      <x:c r="BA563" s="11"/>
      <x:c r="BB563" s="11"/>
      <x:c r="BC563" s="11"/>
      <x:c r="BD563" s="11"/>
      <x:c r="BE563" s="11"/>
      <x:c r="BF563" s="11"/>
      <x:c r="BG563" s="11"/>
      <x:c r="BH563" s="11"/>
      <x:c r="BI563" s="11"/>
      <x:c r="BJ563" s="11"/>
      <x:c r="BK563" s="12"/>
      <x:c r="BL563" s="12"/>
      <x:c r="BM563" s="12"/>
      <x:c r="BN563" s="12"/>
      <x:c r="BO563" s="12"/>
      <x:c r="BP563" s="12"/>
      <x:c r="BQ563" s="12"/>
      <x:c r="BR563" s="12"/>
      <x:c r="BS563" s="12"/>
      <x:c r="BT563" s="12"/>
      <x:c r="BU563" s="11" t="n">
        <x:v>865600</x:v>
      </x:c>
      <x:c r="BV563" s="11" t="n">
        <x:v>4704435</x:v>
      </x:c>
      <x:c r="BW563" s="11" t="n">
        <x:v>0</x:v>
      </x:c>
      <x:c r="BX563" s="11" t="n">
        <x:v>996321</x:v>
      </x:c>
      <x:c r="BY563" s="11" t="n">
        <x:v>0</x:v>
      </x:c>
      <x:c r="BZ563" s="11" t="n">
        <x:v>514405</x:v>
      </x:c>
      <x:c r="CA563" s="11" t="n">
        <x:v>0</x:v>
      </x:c>
      <x:c r="CB563" s="11" t="n">
        <x:v>0</x:v>
      </x:c>
      <x:c r="CC563" s="11" t="n">
        <x:v>5141547</x:v>
      </x:c>
      <x:c r="CD563" s="11" t="n">
        <x:v>10176977</x:v>
      </x:c>
      <x:c r="CE563" s="11" t="n">
        <x:v>1458399</x:v>
      </x:c>
      <x:c r="CF563" s="11" t="n">
        <x:v>0</x:v>
      </x:c>
      <x:c r="CG563" s="11" t="n">
        <x:v>392479</x:v>
      </x:c>
      <x:c r="CH563" s="11" t="n">
        <x:v>3035495</x:v>
      </x:c>
      <x:c r="CI563" s="11" t="n">
        <x:v>10985518</x:v>
      </x:c>
      <x:c r="CJ563" s="11" t="n">
        <x:v>3143156</x:v>
      </x:c>
      <x:c r="CK563" s="11" t="n">
        <x:v>2910242</x:v>
      </x:c>
      <x:c r="CL563" s="11" t="n">
        <x:v>0</x:v>
      </x:c>
      <x:c r="CM563" s="11"/>
      <x:c r="CN563" s="11" t="n">
        <x:v>2519</x:v>
      </x:c>
      <x:c r="CO563" s="11" t="n">
        <x:v>0</x:v>
      </x:c>
      <x:c r="CP563" s="8"/>
      <x:c r="CQ563" s="8"/>
    </x:row>
    <x:row r="564">
      <x:c r="A564" s="8" t="str">
        <x:v>Oak Bay|2021</x:v>
      </x:c>
      <x:c r="B564" s="8" t="str">
        <x:v>oak-bay-d</x:v>
      </x:c>
      <x:c r="C564" s="8" t="str">
        <x:v>Oak Bay</x:v>
      </x:c>
      <x:c r="D564" s="8" t="str">
        <x:v>Oak Bay</x:v>
      </x:c>
      <x:c r="E564" s="8" t="str">
        <x:v>D</x:v>
      </x:c>
      <x:c r="F564" s="8" t="str">
        <x:v>CAP</x:v>
      </x:c>
      <x:c r="G564" s="9" t="n">
        <x:v>2021</x:v>
      </x:c>
      <x:c r="H564" s="10" t="n">
        <x:v>18930</x:v>
      </x:c>
      <x:c r="I564" s="8" t="str">
        <x:v>5,000 to 19,999</x:v>
      </x:c>
      <x:c r="J564" s="11" t="n">
        <x:v>58205140</x:v>
      </x:c>
      <x:c r="K564" s="11" t="n">
        <x:v>43351845</x:v>
      </x:c>
      <x:c r="L564" s="11" t="n">
        <x:v>14853295</x:v>
      </x:c>
      <x:c r="M564" s="12" t="n">
        <x:v>0.25518871701021595</x:v>
      </x:c>
      <x:c r="N564" s="11" t="n">
        <x:v>30889835</x:v>
      </x:c>
      <x:c r="O564" s="11" t="n">
        <x:v>16794082</x:v>
      </x:c>
      <x:c r="P564" s="11" t="n">
        <x:v>9130489</x:v>
      </x:c>
      <x:c r="Q564" s="11" t="n">
        <x:v>1390734</x:v>
      </x:c>
      <x:c r="R564" s="11" t="n">
        <x:v>40602670</x:v>
      </x:c>
      <x:c r="S564" s="11" t="n">
        <x:v>2614797</x:v>
      </x:c>
      <x:c r="T564" s="11" t="n">
        <x:v>70801414</x:v>
      </x:c>
      <x:c r="U564" s="11" t="n">
        <x:v>15685855</x:v>
      </x:c>
      <x:c r="V564" s="11" t="n">
        <x:v>58327557</x:v>
      </x:c>
      <x:c r="W564" s="11" t="n">
        <x:v>25626951</x:v>
      </x:c>
      <x:c r="X564" s="11" t="n">
        <x:v>1030324</x:v>
      </x:c>
      <x:c r="Y564" s="11" t="n">
        <x:v>0</x:v>
      </x:c>
      <x:c r="Z564" s="11" t="n">
        <x:v>142594</x:v>
      </x:c>
      <x:c r="AA564" s="11" t="n">
        <x:v>703496</x:v>
      </x:c>
      <x:c r="AB564" s="11" t="n">
        <x:v>134378</x:v>
      </x:c>
      <x:c r="AC564" s="11" t="n">
        <x:v>276972</x:v>
      </x:c>
      <x:c r="AD564" s="11" t="n">
        <x:v>12205767</x:v>
      </x:c>
      <x:c r="AE564" s="11" t="n">
        <x:v>11928795</x:v>
      </x:c>
      <x:c r="AF564" s="11" t="n">
        <x:v>48823068</x:v>
      </x:c>
      <x:c r="AG564" s="11" t="n">
        <x:v>122049125</x:v>
      </x:c>
      <x:c r="AH564" s="11" t="n">
        <x:v>51443496</x:v>
      </x:c>
      <x:c r="AI564" s="11" t="n">
        <x:v>70605629</x:v>
      </x:c>
      <x:c r="AJ564" s="11" t="n">
        <x:v>7043518</x:v>
      </x:c>
      <x:c r="AK564" s="11" t="n">
        <x:v>818533498</x:v>
      </x:c>
      <x:c r="AL564" s="11" t="n">
        <x:v>11216000</x:v>
      </x:c>
      <x:c r="AM564" s="12" t="n">
        <x:v>0.9862974453368065</x:v>
      </x:c>
      <x:c r="AN564" s="12" t="n">
        <x:v>0.008605045507862648</x:v>
      </x:c>
      <x:c r="AO564" s="11" t="n">
        <x:v>53123996</x:v>
      </x:c>
      <x:c r="AP564" s="11" t="n">
        <x:v>52487782</x:v>
      </x:c>
      <x:c r="AQ564" s="12" t="n">
        <x:v>0.9880239807261487</x:v>
      </x:c>
      <x:c r="AR564" s="11" t="n">
        <x:v>3074.75647120972</x:v>
      </x:c>
      <x:c r="AS564" s="11" t="n">
        <x:v>2290.1133122028527</x:v>
      </x:c>
      <x:c r="AT564" s="11" t="n">
        <x:v>3081.2232963549923</x:v>
      </x:c>
      <x:c r="AU564" s="11" t="n">
        <x:v>1353.7744849445326</x:v>
      </x:c>
      <x:c r="AV564" s="11" t="n">
        <x:v>37.163021658742736</x:v>
      </x:c>
      <x:c r="AW564" s="11" t="n">
        <x:v>4.513710856054707</x:v>
      </x:c>
      <x:c r="AX564" s="12" t="n">
        <x:v>0.9773081036201986</x:v>
      </x:c>
      <x:c r="AY564" s="11"/>
      <x:c r="AZ564" s="11"/>
      <x:c r="BA564" s="11"/>
      <x:c r="BB564" s="11"/>
      <x:c r="BC564" s="11"/>
      <x:c r="BD564" s="11"/>
      <x:c r="BE564" s="11"/>
      <x:c r="BF564" s="11"/>
      <x:c r="BG564" s="11"/>
      <x:c r="BH564" s="11"/>
      <x:c r="BI564" s="11"/>
      <x:c r="BJ564" s="11"/>
      <x:c r="BK564" s="12"/>
      <x:c r="BL564" s="12"/>
      <x:c r="BM564" s="12"/>
      <x:c r="BN564" s="12"/>
      <x:c r="BO564" s="12"/>
      <x:c r="BP564" s="12"/>
      <x:c r="BQ564" s="12"/>
      <x:c r="BR564" s="12"/>
      <x:c r="BS564" s="12"/>
      <x:c r="BT564" s="12"/>
      <x:c r="BU564" s="11" t="n">
        <x:v>7990795</x:v>
      </x:c>
      <x:c r="BV564" s="11" t="n">
        <x:v>1139694</x:v>
      </x:c>
      <x:c r="BW564" s="11" t="n">
        <x:v>0</x:v>
      </x:c>
      <x:c r="BX564" s="11" t="n">
        <x:v>911714</x:v>
      </x:c>
      <x:c r="BY564" s="11" t="n">
        <x:v>0</x:v>
      </x:c>
      <x:c r="BZ564" s="11" t="n">
        <x:v>421748</x:v>
      </x:c>
      <x:c r="CA564" s="11" t="n">
        <x:v>57272</x:v>
      </x:c>
      <x:c r="CB564" s="11" t="n">
        <x:v>0</x:v>
      </x:c>
      <x:c r="CC564" s="11" t="n">
        <x:v>5302930</x:v>
      </x:c>
      <x:c r="CD564" s="11" t="n">
        <x:v>10740365</x:v>
      </x:c>
      <x:c r="CE564" s="11" t="n">
        <x:v>1421293</x:v>
      </x:c>
      <x:c r="CF564" s="11" t="n">
        <x:v>0</x:v>
      </x:c>
      <x:c r="CG564" s="11" t="n">
        <x:v>456764</x:v>
      </x:c>
      <x:c r="CH564" s="11" t="n">
        <x:v>3568665</x:v>
      </x:c>
      <x:c r="CI564" s="11" t="n">
        <x:v>12211444</x:v>
      </x:c>
      <x:c r="CJ564" s="11" t="n">
        <x:v>3313875</x:v>
      </x:c>
      <x:c r="CK564" s="11" t="n">
        <x:v>3721712</x:v>
      </x:c>
      <x:c r="CL564" s="11" t="n">
        <x:v>0</x:v>
      </x:c>
      <x:c r="CM564" s="11"/>
      <x:c r="CN564" s="11" t="n">
        <x:v>0</x:v>
      </x:c>
      <x:c r="CO564" s="11" t="n">
        <x:v>0</x:v>
      </x:c>
      <x:c r="CP564" s="8"/>
      <x:c r="CQ564" s="8"/>
    </x:row>
    <x:row r="565">
      <x:c r="A565" s="8" t="str">
        <x:v>Oak Bay|2022</x:v>
      </x:c>
      <x:c r="B565" s="8" t="str">
        <x:v>oak-bay-d</x:v>
      </x:c>
      <x:c r="C565" s="8" t="str">
        <x:v>Oak Bay</x:v>
      </x:c>
      <x:c r="D565" s="8" t="str">
        <x:v>Oak Bay</x:v>
      </x:c>
      <x:c r="E565" s="8" t="str">
        <x:v>D</x:v>
      </x:c>
      <x:c r="F565" s="8" t="str">
        <x:v>CAP</x:v>
      </x:c>
      <x:c r="G565" s="9" t="n">
        <x:v>2022</x:v>
      </x:c>
      <x:c r="H565" s="10" t="n">
        <x:v>5619</x:v>
      </x:c>
      <x:c r="I565" s="8" t="str">
        <x:v>5,000 to 19,999</x:v>
      </x:c>
      <x:c r="J565" s="11" t="n">
        <x:v>56436722</x:v>
      </x:c>
      <x:c r="K565" s="11" t="n">
        <x:v>48243698</x:v>
      </x:c>
      <x:c r="L565" s="11" t="n">
        <x:v>8193024</x:v>
      </x:c>
      <x:c r="M565" s="12" t="n">
        <x:v>0.14517186168254068</x:v>
      </x:c>
      <x:c r="N565" s="11" t="n">
        <x:v>32644549</x:v>
      </x:c>
      <x:c r="O565" s="11" t="n">
        <x:v>19103143</x:v>
      </x:c>
      <x:c r="P565" s="11" t="n">
        <x:v>2766931</x:v>
      </x:c>
      <x:c r="Q565" s="11" t="n">
        <x:v>1922099</x:v>
      </x:c>
      <x:c r="R565" s="11" t="n">
        <x:v>45312663</x:v>
      </x:c>
      <x:c r="S565" s="11" t="n">
        <x:v>2796657</x:v>
      </x:c>
      <x:c r="T565" s="11" t="n">
        <x:v>74234288</x:v>
      </x:c>
      <x:c r="U565" s="11" t="n">
        <x:v>17955137</x:v>
      </x:c>
      <x:c r="V565" s="11" t="n">
        <x:v>61471887</x:v>
      </x:c>
      <x:c r="W565" s="11" t="n">
        <x:v>28377419</x:v>
      </x:c>
      <x:c r="X565" s="11" t="n">
        <x:v>703496</x:v>
      </x:c>
      <x:c r="Y565" s="11" t="n">
        <x:v>0</x:v>
      </x:c>
      <x:c r="Z565" s="11" t="n">
        <x:v>142594</x:v>
      </x:c>
      <x:c r="AA565" s="11" t="n">
        <x:v>307236</x:v>
      </x:c>
      <x:c r="AB565" s="11" t="n">
        <x:v>134378</x:v>
      </x:c>
      <x:c r="AC565" s="11" t="n">
        <x:v>276972</x:v>
      </x:c>
      <x:c r="AD565" s="11" t="n">
        <x:v>13447943</x:v>
      </x:c>
      <x:c r="AE565" s="11" t="n">
        <x:v>13170971</x:v>
      </x:c>
      <x:c r="AF565" s="11" t="n">
        <x:v>53791770</x:v>
      </x:c>
      <x:c r="AG565" s="11" t="n">
        <x:v>129598516</x:v>
      </x:c>
      <x:c r="AH565" s="11" t="n">
        <x:v>53897678</x:v>
      </x:c>
      <x:c r="AI565" s="11" t="n">
        <x:v>75700838</x:v>
      </x:c>
      <x:c r="AJ565" s="11" t="n">
        <x:v>8160505</x:v>
      </x:c>
      <x:c r="AK565" s="11" t="n">
        <x:v>5138210</x:v>
      </x:c>
      <x:c r="AL565" s="11" t="n">
        <x:v>0</x:v>
      </x:c>
      <x:c r="AM565" s="12" t="n">
        <x:v>1</x:v>
      </x:c>
      <x:c r="AN565" s="12" t="n">
        <x:v>1.5881999762563228</x:v>
      </x:c>
      <x:c r="AO565" s="11" t="n">
        <x:v>55890372</x:v>
      </x:c>
      <x:c r="AP565" s="11" t="n">
        <x:v>55151515</x:v>
      </x:c>
      <x:c r="AQ565" s="12" t="n">
        <x:v>0.9867802454419162</x:v>
      </x:c>
      <x:c r="AR565" s="11" t="n">
        <x:v>10043.908524648514</x:v>
      </x:c>
      <x:c r="AS565" s="11" t="n">
        <x:v>8585.815625556148</x:v>
      </x:c>
      <x:c r="AT565" s="11" t="n">
        <x:v>10940.004805125467</x:v>
      </x:c>
      <x:c r="AU565" s="11" t="n">
        <x:v>5050.261434418936</x:v>
      </x:c>
      <x:c r="AV565" s="11" t="n">
        <x:v>54.67805659369995</x:v>
      </x:c>
      <x:c r="AW565" s="11" t="n">
        <x:v>4.134431722798885</x:v>
      </x:c>
      <x:c r="AX565" s="12" t="n">
        <x:v>0.9794041363798166</x:v>
      </x:c>
      <x:c r="AY565" s="11"/>
      <x:c r="AZ565" s="11"/>
      <x:c r="BA565" s="11"/>
      <x:c r="BB565" s="11"/>
      <x:c r="BC565" s="11"/>
      <x:c r="BD565" s="11"/>
      <x:c r="BE565" s="11"/>
      <x:c r="BF565" s="11"/>
      <x:c r="BG565" s="11"/>
      <x:c r="BH565" s="11"/>
      <x:c r="BI565" s="11"/>
      <x:c r="BJ565" s="11"/>
      <x:c r="BK565" s="12"/>
      <x:c r="BL565" s="12"/>
      <x:c r="BM565" s="12"/>
      <x:c r="BN565" s="12"/>
      <x:c r="BO565" s="12"/>
      <x:c r="BP565" s="12"/>
      <x:c r="BQ565" s="12"/>
      <x:c r="BR565" s="12"/>
      <x:c r="BS565" s="12"/>
      <x:c r="BT565" s="12"/>
      <x:c r="BU565" s="11" t="n">
        <x:v>854232</x:v>
      </x:c>
      <x:c r="BV565" s="11" t="n">
        <x:v>1912699</x:v>
      </x:c>
      <x:c r="BW565" s="11" t="n">
        <x:v>0</x:v>
      </x:c>
      <x:c r="BX565" s="11" t="n">
        <x:v>1909881</x:v>
      </x:c>
      <x:c r="BY565" s="11" t="n">
        <x:v>0</x:v>
      </x:c>
      <x:c r="BZ565" s="11" t="n">
        <x:v>12218</x:v>
      </x:c>
      <x:c r="CA565" s="11" t="n">
        <x:v>0</x:v>
      </x:c>
      <x:c r="CB565" s="11" t="n">
        <x:v>0</x:v>
      </x:c>
      <x:c r="CC565" s="11" t="n">
        <x:v>6205080</x:v>
      </x:c>
      <x:c r="CD565" s="11" t="n">
        <x:v>12431197</x:v>
      </x:c>
      <x:c r="CE565" s="11" t="n">
        <x:v>1429906</x:v>
      </x:c>
      <x:c r="CF565" s="11" t="n">
        <x:v>0</x:v>
      </x:c>
      <x:c r="CG565" s="11" t="n">
        <x:v>446576</x:v>
      </x:c>
      <x:c r="CH565" s="11" t="n">
        <x:v>3951160</x:v>
      </x:c>
      <x:c r="CI565" s="11" t="n">
        <x:v>13515074</x:v>
      </x:c>
      <x:c r="CJ565" s="11" t="n">
        <x:v>3680424</x:v>
      </x:c>
      <x:c r="CK565" s="11" t="n">
        <x:v>3543229</x:v>
      </x:c>
      <x:c r="CL565" s="11" t="n">
        <x:v>0</x:v>
      </x:c>
      <x:c r="CM565" s="11"/>
      <x:c r="CN565" s="11" t="n">
        <x:v>244395</x:v>
      </x:c>
      <x:c r="CO565" s="11" t="n">
        <x:v>0</x:v>
      </x:c>
      <x:c r="CP565" s="8"/>
      <x:c r="CQ565" s="8"/>
    </x:row>
    <x:row r="566">
      <x:c r="A566" s="8" t="str">
        <x:v>Oak Bay|2023</x:v>
      </x:c>
      <x:c r="B566" s="8" t="str">
        <x:v>oak-bay-d</x:v>
      </x:c>
      <x:c r="C566" s="8" t="str">
        <x:v>Oak Bay</x:v>
      </x:c>
      <x:c r="D566" s="8" t="str">
        <x:v>Oak Bay</x:v>
      </x:c>
      <x:c r="E566" s="8" t="str">
        <x:v>D</x:v>
      </x:c>
      <x:c r="F566" s="8" t="str">
        <x:v>CAP</x:v>
      </x:c>
      <x:c r="G566" s="9" t="n">
        <x:v>2023</x:v>
      </x:c>
      <x:c r="H566" s="10" t="n">
        <x:v>19703</x:v>
      </x:c>
      <x:c r="I566" s="8" t="str">
        <x:v>5,000 to 19,999</x:v>
      </x:c>
      <x:c r="J566" s="11" t="n">
        <x:v>67256223</x:v>
      </x:c>
      <x:c r="K566" s="11" t="n">
        <x:v>52652516</x:v>
      </x:c>
      <x:c r="L566" s="11" t="n">
        <x:v>14603707</x:v>
      </x:c>
      <x:c r="M566" s="12" t="n">
        <x:v>0.2171354017307811</x:v>
      </x:c>
      <x:c r="N566" s="11" t="n">
        <x:v>35830453</x:v>
      </x:c>
      <x:c r="O566" s="11" t="n">
        <x:v>20447442</x:v>
      </x:c>
      <x:c r="P566" s="11" t="n">
        <x:v>7351797</x:v>
      </x:c>
      <x:c r="Q566" s="11" t="n">
        <x:v>3626531</x:v>
      </x:c>
      <x:c r="R566" s="11" t="n">
        <x:v>49538665</x:v>
      </x:c>
      <x:c r="S566" s="11" t="n">
        <x:v>2979473</x:v>
      </x:c>
      <x:c r="T566" s="11" t="n">
        <x:v>82859856</x:v>
      </x:c>
      <x:c r="U566" s="11" t="n">
        <x:v>24411435</x:v>
      </x:c>
      <x:c r="V566" s="11" t="n">
        <x:v>64399682</x:v>
      </x:c>
      <x:c r="W566" s="11" t="n">
        <x:v>30671955</x:v>
      </x:c>
      <x:c r="X566" s="11" t="n">
        <x:v>307236</x:v>
      </x:c>
      <x:c r="Y566" s="11" t="n">
        <x:v>0</x:v>
      </x:c>
      <x:c r="Z566" s="11" t="n">
        <x:v>142594</x:v>
      </x:c>
      <x:c r="AA566" s="11" t="n">
        <x:v>0</x:v>
      </x:c>
      <x:c r="AB566" s="11" t="n">
        <x:v>134378</x:v>
      </x:c>
      <x:c r="AC566" s="11" t="n">
        <x:v>276972</x:v>
      </x:c>
      <x:c r="AD566" s="11" t="n">
        <x:v>15016192</x:v>
      </x:c>
      <x:c r="AE566" s="11" t="n">
        <x:v>14739220</x:v>
      </x:c>
      <x:c r="AF566" s="11" t="n">
        <x:v>60064768</x:v>
      </x:c>
      <x:c r="AG566" s="11" t="n">
        <x:v>144089906</x:v>
      </x:c>
      <x:c r="AH566" s="11" t="n">
        <x:v>56800783</x:v>
      </x:c>
      <x:c r="AI566" s="11" t="n">
        <x:v>87289123</x:v>
      </x:c>
      <x:c r="AJ566" s="11" t="n">
        <x:v>13658880</x:v>
      </x:c>
      <x:c r="AK566" s="11" t="n">
        <x:v>11897462</x:v>
      </x:c>
      <x:c r="AL566" s="11" t="n">
        <x:v>0</x:v>
      </x:c>
      <x:c r="AM566" s="12" t="n">
        <x:v>1</x:v>
      </x:c>
      <x:c r="AN566" s="12" t="n">
        <x:v>1.1480498950112217</x:v>
      </x:c>
      <x:c r="AO566" s="11" t="n">
        <x:v>60560358</x:v>
      </x:c>
      <x:c r="AP566" s="11" t="n">
        <x:v>59529730</x:v>
      </x:c>
      <x:c r="AQ566" s="12" t="n">
        <x:v>0.9829818046980502</x:v>
      </x:c>
      <x:c r="AR566" s="11" t="n">
        <x:v>3413.501649495001</x:v>
      </x:c>
      <x:c r="AS566" s="11" t="n">
        <x:v>2672.30959752322</x:v>
      </x:c>
      <x:c r="AT566" s="11" t="n">
        <x:v>3268.5216464497794</x:v>
      </x:c>
      <x:c r="AU566" s="11" t="n">
        <x:v>1556.7149672638684</x:v>
      </x:c>
      <x:c r="AV566" s="11" t="n">
        <x:v>0</x:v>
      </x:c>
      <x:c r="AW566" s="11" t="n">
        <x:v>3.3943050050109713</x:v>
      </x:c>
      <x:c r="AX566" s="12" t="n">
        <x:v>0.981555110643231</x:v>
      </x:c>
      <x:c r="AY566" s="11"/>
      <x:c r="AZ566" s="11"/>
      <x:c r="BA566" s="11"/>
      <x:c r="BB566" s="11"/>
      <x:c r="BC566" s="11"/>
      <x:c r="BD566" s="11"/>
      <x:c r="BE566" s="11"/>
      <x:c r="BF566" s="11"/>
      <x:c r="BG566" s="11"/>
      <x:c r="BH566" s="11"/>
      <x:c r="BI566" s="11"/>
      <x:c r="BJ566" s="11"/>
      <x:c r="BK566" s="12"/>
      <x:c r="BL566" s="12"/>
      <x:c r="BM566" s="12"/>
      <x:c r="BN566" s="12"/>
      <x:c r="BO566" s="12"/>
      <x:c r="BP566" s="12"/>
      <x:c r="BQ566" s="12"/>
      <x:c r="BR566" s="12"/>
      <x:c r="BS566" s="12"/>
      <x:c r="BT566" s="12"/>
      <x:c r="BU566" s="11" t="n">
        <x:v>206222</x:v>
      </x:c>
      <x:c r="BV566" s="11" t="n">
        <x:v>6236772</x:v>
      </x:c>
      <x:c r="BW566" s="11" t="n">
        <x:v>908803</x:v>
      </x:c>
      <x:c r="BX566" s="11" t="n">
        <x:v>3620515</x:v>
      </x:c>
      <x:c r="BY566" s="11" t="n">
        <x:v>0</x:v>
      </x:c>
      <x:c r="BZ566" s="11" t="n">
        <x:v>6016</x:v>
      </x:c>
      <x:c r="CA566" s="11" t="n">
        <x:v>0</x:v>
      </x:c>
      <x:c r="CB566" s="11" t="n">
        <x:v>0</x:v>
      </x:c>
      <x:c r="CC566" s="11" t="n">
        <x:v>7426364</x:v>
      </x:c>
      <x:c r="CD566" s="11" t="n">
        <x:v>11924429</x:v>
      </x:c>
      <x:c r="CE566" s="11" t="n">
        <x:v>1632363</x:v>
      </x:c>
      <x:c r="CF566" s="11" t="n">
        <x:v>0</x:v>
      </x:c>
      <x:c r="CG566" s="11" t="n">
        <x:v>737074</x:v>
      </x:c>
      <x:c r="CH566" s="11" t="n">
        <x:v>4740077</x:v>
      </x:c>
      <x:c r="CI566" s="11" t="n">
        <x:v>14830400</x:v>
      </x:c>
      <x:c r="CJ566" s="11" t="n">
        <x:v>4246542</x:v>
      </x:c>
      <x:c r="CK566" s="11" t="n">
        <x:v>4043155</x:v>
      </x:c>
      <x:c r="CL566" s="11" t="n">
        <x:v>0</x:v>
      </x:c>
      <x:c r="CM566" s="11" t="n">
        <x:v>38520</x:v>
      </x:c>
      <x:c r="CN566" s="11" t="n">
        <x:v>54119</x:v>
      </x:c>
      <x:c r="CO566" s="11" t="n">
        <x:v>0</x:v>
      </x:c>
      <x:c r="CP566" s="8"/>
      <x:c r="CQ566" s="8"/>
    </x:row>
    <x:row r="567">
      <x:c r="A567" s="8" t="str">
        <x:v>Oak Bay|2024</x:v>
      </x:c>
      <x:c r="B567" s="8" t="str">
        <x:v>oak-bay-d</x:v>
      </x:c>
      <x:c r="C567" s="8" t="str">
        <x:v>Oak Bay</x:v>
      </x:c>
      <x:c r="D567" s="8" t="str">
        <x:v>Oak Bay</x:v>
      </x:c>
      <x:c r="E567" s="8" t="str">
        <x:v>D</x:v>
      </x:c>
      <x:c r="F567" s="8" t="str">
        <x:v>CAP</x:v>
      </x:c>
      <x:c r="G567" s="9" t="n">
        <x:v>2024</x:v>
      </x:c>
      <x:c r="H567" s="10" t="n">
        <x:v>19703</x:v>
      </x:c>
      <x:c r="I567" s="8" t="str">
        <x:v>5,000 to 19,999</x:v>
      </x:c>
      <x:c r="J567" s="11" t="n">
        <x:v>67829426</x:v>
      </x:c>
      <x:c r="K567" s="11" t="n">
        <x:v>56264806</x:v>
      </x:c>
      <x:c r="L567" s="11" t="n">
        <x:v>11564620</x:v>
      </x:c>
      <x:c r="M567" s="12" t="n">
        <x:v>0.170495619408603</x:v>
      </x:c>
      <x:c r="N567" s="11" t="n">
        <x:v>38747386</x:v>
      </x:c>
      <x:c r="O567" s="11" t="n">
        <x:v>20504204</x:v>
      </x:c>
      <x:c r="P567" s="11" t="n">
        <x:v>5088784</x:v>
      </x:c>
      <x:c r="Q567" s="11" t="n">
        <x:v>3489052</x:v>
      </x:c>
      <x:c r="R567" s="11" t="n">
        <x:v>52894828</x:v>
      </x:c>
      <x:c r="S567" s="11" t="n">
        <x:v>3369978</x:v>
      </x:c>
      <x:c r="T567" s="11" t="n">
        <x:v>82393303</x:v>
      </x:c>
      <x:c r="U567" s="11" t="n">
        <x:v>24170564</x:v>
      </x:c>
      <x:c r="V567" s="11" t="n">
        <x:v>62537006</x:v>
      </x:c>
      <x:c r="W567" s="11" t="n">
        <x:v>23338348</x:v>
      </x:c>
      <x:c r="X567" s="11" t="n">
        <x:v>0</x:v>
      </x:c>
      <x:c r="Y567" s="11" t="n">
        <x:v>0</x:v>
      </x:c>
      <x:c r="Z567" s="11" t="n">
        <x:v>0</x:v>
      </x:c>
      <x:c r="AA567" s="11" t="n">
        <x:v>0</x:v>
      </x:c>
      <x:c r="AB567" s="11" t="n">
        <x:v>0</x:v>
      </x:c>
      <x:c r="AC567" s="11" t="n">
        <x:v>0</x:v>
      </x:c>
      <x:c r="AD567" s="11" t="n">
        <x:v>15773011</x:v>
      </x:c>
      <x:c r="AE567" s="11" t="n">
        <x:v>15773011</x:v>
      </x:c>
      <x:c r="AF567" s="11" t="n">
        <x:v>63092042</x:v>
      </x:c>
      <x:c r="AG567" s="11" t="n">
        <x:v>160747710</x:v>
      </x:c>
      <x:c r="AH567" s="11" t="n">
        <x:v>60091037</x:v>
      </x:c>
      <x:c r="AI567" s="11" t="n">
        <x:v>100656673</x:v>
      </x:c>
      <x:c r="AJ567" s="11" t="n">
        <x:v>16753590</x:v>
      </x:c>
      <x:c r="AK567" s="11" t="n">
        <x:v>16928827</x:v>
      </x:c>
      <x:c r="AL567" s="11" t="n">
        <x:v>0</x:v>
      </x:c>
      <x:c r="AM567" s="12" t="n">
        <x:v>1</x:v>
      </x:c>
      <x:c r="AN567" s="12" t="n">
        <x:v>0.9896486035328969</x:v>
      </x:c>
      <x:c r="AO567" s="11" t="n">
        <x:v>64281164</x:v>
      </x:c>
      <x:c r="AP567" s="11" t="n">
        <x:v>63716269</x:v>
      </x:c>
      <x:c r="AQ567" s="12" t="n">
        <x:v>0.9912121224189406</x:v>
      </x:c>
      <x:c r="AR567" s="11" t="n">
        <x:v>3442.593818200274</x:v>
      </x:c>
      <x:c r="AS567" s="11" t="n">
        <x:v>2855.6466527939906</x:v>
      </x:c>
      <x:c r="AT567" s="11" t="n">
        <x:v>3173.9839618332235</x:v>
      </x:c>
      <x:c r="AU567" s="11" t="n">
        <x:v>1184.5073339085418</x:v>
      </x:c>
      <x:c r="AV567" s="11" t="n">
        <x:v>0</x:v>
      </x:c>
      <x:c r="AW567" s="11" t="n">
        <x:v>3.408828316956112</x:v>
      </x:c>
      <x:c r="AX567" s="12" t="n">
        <x:v>1</x:v>
      </x:c>
      <x:c r="AY567" s="11" t="n">
        <x:v>2567.538946805667</x:v>
      </x:c>
      <x:c r="AZ567" s="11" t="n">
        <x:v>3546.5079302077975</x:v>
      </x:c>
      <x:c r="BA567" s="11" t="n">
        <x:v>2045.0195609464422</x:v>
      </x:c>
      <x:c r="BB567" s="11" t="n">
        <x:v>2783.665107049771</x:v>
      </x:c>
      <x:c r="BC567" s="11" t="n">
        <x:v>2217.25520024837</x:v>
      </x:c>
      <x:c r="BD567" s="11" t="n">
        <x:v>2437.8724475115623</x:v>
      </x:c>
      <x:c r="BE567" s="11" t="n">
        <x:v>799.2304887641933</x:v>
      </x:c>
      <x:c r="BF567" s="11" t="n">
        <x:v>1604.3462673977224</x:v>
      </x:c>
      <x:c r="BG567" s="11" t="n">
        <x:v>386.9249167164944</x:v>
      </x:c>
      <x:c r="BH567" s="11" t="n">
        <x:v>518.5374381567245</x:v>
      </x:c>
      <x:c r="BI567" s="11" t="n">
        <x:v>1.5629948984418691</x:v>
      </x:c>
      <x:c r="BJ567" s="11" t="n">
        <x:v>1.7099330852451193</x:v>
      </x:c>
      <x:c r="BK567" s="12" t="n">
        <x:v>0.04472396775938227</x:v>
      </x:c>
      <x:c r="BL567" s="12" t="n">
        <x:v>0.02529861000232605</x:v>
      </x:c>
      <x:c r="BM567" s="12" t="n">
        <x:v>0.9792813777328785</x:v>
      </x:c>
      <x:c r="BN567" s="12" t="n">
        <x:v>0.9815511712696461</x:v>
      </x:c>
      <x:c r="BO567" s="12" t="n">
        <x:v>0.8510570773833829</x:v>
      </x:c>
      <x:c r="BP567" s="12" t="n">
        <x:v>0.8619101997275483</x:v>
      </x:c>
      <x:c r="BQ567" s="12" t="n">
        <x:v>0.9732053424599786</x:v>
      </x:c>
      <x:c r="BR567" s="12" t="n">
        <x:v>0.9623635142836453</x:v>
      </x:c>
      <x:c r="BS567" s="12" t="n">
        <x:v>0.170495619408603</x:v>
      </x:c>
      <x:c r="BT567" s="12" t="n">
        <x:v>0.19976549769108282</x:v>
      </x:c>
      <x:c r="BU567" s="11" t="n">
        <x:v>3519334</x:v>
      </x:c>
      <x:c r="BV567" s="11" t="n">
        <x:v>1569450</x:v>
      </x:c>
      <x:c r="BW567" s="11" t="n">
        <x:v>0</x:v>
      </x:c>
      <x:c r="BX567" s="11" t="n">
        <x:v>3484052</x:v>
      </x:c>
      <x:c r="BY567" s="11" t="n">
        <x:v>0</x:v>
      </x:c>
      <x:c r="BZ567" s="11" t="n">
        <x:v>5000</x:v>
      </x:c>
      <x:c r="CA567" s="11" t="n">
        <x:v>0</x:v>
      </x:c>
      <x:c r="CB567" s="11" t="n">
        <x:v>0</x:v>
      </x:c>
      <x:c r="CC567" s="11" t="n">
        <x:v>7756672</x:v>
      </x:c>
      <x:c r="CD567" s="11" t="n">
        <x:v>13155425</x:v>
      </x:c>
      <x:c r="CE567" s="11" t="n">
        <x:v>1708717</x:v>
      </x:c>
      <x:c r="CF567" s="11" t="n">
        <x:v>0</x:v>
      </x:c>
      <x:c r="CG567" s="11" t="n">
        <x:v>1350479</x:v>
      </x:c>
      <x:c r="CH567" s="11" t="n">
        <x:v>4595746</x:v>
      </x:c>
      <x:c r="CI567" s="11" t="n">
        <x:v>15806272</x:v>
      </x:c>
      <x:c r="CJ567" s="11" t="n">
        <x:v>4448033</x:v>
      </x:c>
      <x:c r="CK567" s="11" t="n">
        <x:v>4017359</x:v>
      </x:c>
      <x:c r="CL567" s="11" t="n">
        <x:v>0</x:v>
      </x:c>
      <x:c r="CM567" s="11" t="n">
        <x:v>40061</x:v>
      </x:c>
      <x:c r="CN567" s="11" t="n">
        <x:v>16064</x:v>
      </x:c>
      <x:c r="CO567" s="11" t="n">
        <x:v>0</x:v>
      </x:c>
      <x:c r="CP567" s="8"/>
      <x:c r="CQ567" s="8"/>
    </x:row>
    <x:row r="568">
      <x:c r="A568" s="8" t="str">
        <x:v>Oliver|2019</x:v>
      </x:c>
      <x:c r="B568" s="8" t="str">
        <x:v>oliver-t</x:v>
      </x:c>
      <x:c r="C568" s="8" t="str">
        <x:v>Oliver</x:v>
      </x:c>
      <x:c r="D568" s="8" t="str">
        <x:v>Oliver</x:v>
      </x:c>
      <x:c r="E568" s="8" t="str">
        <x:v>T</x:v>
      </x:c>
      <x:c r="F568" s="8" t="str">
        <x:v>OKS</x:v>
      </x:c>
      <x:c r="G568" s="9" t="n">
        <x:v>2019</x:v>
      </x:c>
      <x:c r="H568" s="10" t="n">
        <x:v>5384</x:v>
      </x:c>
      <x:c r="I568" s="8" t="str">
        <x:v>5,000 to 19,999</x:v>
      </x:c>
      <x:c r="J568" s="11" t="n">
        <x:v>8837269</x:v>
      </x:c>
      <x:c r="K568" s="11" t="n">
        <x:v>7245889</x:v>
      </x:c>
      <x:c r="L568" s="11" t="n">
        <x:v>1591380</x:v>
      </x:c>
      <x:c r="M568" s="12" t="n">
        <x:v>0.18007599406558747</x:v>
      </x:c>
      <x:c r="N568" s="11" t="n">
        <x:v>2631853</x:v>
      </x:c>
      <x:c r="O568" s="11" t="n">
        <x:v>4434962</x:v>
      </x:c>
      <x:c r="P568" s="11" t="n">
        <x:v>1144118</x:v>
      </x:c>
      <x:c r="Q568" s="11" t="n">
        <x:v>626336</x:v>
      </x:c>
      <x:c r="R568" s="11" t="n">
        <x:v>5678736</x:v>
      </x:c>
      <x:c r="S568" s="11" t="n">
        <x:v>1412098</x:v>
      </x:c>
      <x:c r="T568" s="11" t="n">
        <x:v>10704488</x:v>
      </x:c>
      <x:c r="U568" s="11" t="n">
        <x:v>7406854</x:v>
      </x:c>
      <x:c r="V568" s="11" t="n">
        <x:v>4867942</x:v>
      </x:c>
      <x:c r="W568" s="11" t="n">
        <x:v>4387727</x:v>
      </x:c>
      <x:c r="X568" s="11" t="n">
        <x:v>3790881</x:v>
      </x:c>
      <x:c r="Y568" s="11" t="n">
        <x:v>0</x:v>
      </x:c>
      <x:c r="Z568" s="11" t="n">
        <x:v>379940</x:v>
      </x:c>
      <x:c r="AA568" s="11" t="n">
        <x:v>3342387</x:v>
      </x:c>
      <x:c r="AB568" s="11" t="n">
        <x:v>155055</x:v>
      </x:c>
      <x:c r="AC568" s="11" t="n">
        <x:v>534995</x:v>
      </x:c>
      <x:c r="AD568" s="11" t="n">
        <x:v>1966243</x:v>
      </x:c>
      <x:c r="AE568" s="11" t="n">
        <x:v>1431248</x:v>
      </x:c>
      <x:c r="AF568" s="11" t="n">
        <x:v>7864971</x:v>
      </x:c>
      <x:c r="AG568" s="11" t="n">
        <x:v>77909018</x:v>
      </x:c>
      <x:c r="AH568" s="11" t="n">
        <x:v>25230798</x:v>
      </x:c>
      <x:c r="AI568" s="11" t="n">
        <x:v>52678220</x:v>
      </x:c>
      <x:c r="AJ568" s="11" t="n">
        <x:v>1823278</x:v>
      </x:c>
      <x:c r="AK568" s="11" t="n">
        <x:v>112692676</x:v>
      </x:c>
      <x:c r="AL568" s="11" t="n">
        <x:v>2154600</x:v>
      </x:c>
      <x:c r="AM568" s="12" t="n">
        <x:v>0.980880745080541</x:v>
      </x:c>
      <x:c r="AN568" s="12" t="n">
        <x:v>0.016179205825230383</x:v>
      </x:c>
      <x:c r="AO568" s="11" t="n">
        <x:v>7358087</x:v>
      </x:c>
      <x:c r="AP568" s="11" t="n">
        <x:v>7153057</x:v>
      </x:c>
      <x:c r="AQ568" s="12" t="n">
        <x:v>0.9721354205243836</x:v>
      </x:c>
      <x:c r="AR568" s="11" t="n">
        <x:v>1641.3946879643388</x:v>
      </x:c>
      <x:c r="AS568" s="11" t="n">
        <x:v>1345.8189078751857</x:v>
      </x:c>
      <x:c r="AT568" s="11" t="n">
        <x:v>904.1497028231798</x:v>
      </x:c>
      <x:c r="AU568" s="11" t="n">
        <x:v>814.9567236255572</x:v>
      </x:c>
      <x:c r="AV568" s="11" t="n">
        <x:v>620.7999628528975</x:v>
      </x:c>
      <x:c r="AW568" s="11" t="n">
        <x:v>1.4452138519268773</x:v>
      </x:c>
      <x:c r="AX568" s="12" t="n">
        <x:v>0.7279100294317641</x:v>
      </x:c>
      <x:c r="AY568" s="11"/>
      <x:c r="AZ568" s="11"/>
      <x:c r="BA568" s="11"/>
      <x:c r="BB568" s="11"/>
      <x:c r="BC568" s="11"/>
      <x:c r="BD568" s="11"/>
      <x:c r="BE568" s="11"/>
      <x:c r="BF568" s="11"/>
      <x:c r="BG568" s="11"/>
      <x:c r="BH568" s="11"/>
      <x:c r="BI568" s="11"/>
      <x:c r="BJ568" s="11"/>
      <x:c r="BK568" s="12"/>
      <x:c r="BL568" s="12"/>
      <x:c r="BM568" s="12"/>
      <x:c r="BN568" s="12"/>
      <x:c r="BO568" s="12"/>
      <x:c r="BP568" s="12"/>
      <x:c r="BQ568" s="12"/>
      <x:c r="BR568" s="12"/>
      <x:c r="BS568" s="12"/>
      <x:c r="BT568" s="12"/>
      <x:c r="BU568" s="11" t="n">
        <x:v>530837</x:v>
      </x:c>
      <x:c r="BV568" s="11" t="n">
        <x:v>560323</x:v>
      </x:c>
      <x:c r="BW568" s="11" t="n">
        <x:v>52958</x:v>
      </x:c>
      <x:c r="BX568" s="11" t="n">
        <x:v>320855</x:v>
      </x:c>
      <x:c r="BY568" s="11" t="n">
        <x:v>0</x:v>
      </x:c>
      <x:c r="BZ568" s="11" t="n">
        <x:v>305481</x:v>
      </x:c>
      <x:c r="CA568" s="11" t="n">
        <x:v>0</x:v>
      </x:c>
      <x:c r="CB568" s="11" t="n">
        <x:v>0</x:v>
      </x:c>
      <x:c r="CC568" s="11" t="n">
        <x:v>1051840</x:v>
      </x:c>
      <x:c r="CD568" s="11" t="n">
        <x:v>381958</x:v>
      </x:c>
      <x:c r="CE568" s="11" t="n">
        <x:v>360378</x:v>
      </x:c>
      <x:c r="CF568" s="11" t="n">
        <x:v>0</x:v>
      </x:c>
      <x:c r="CG568" s="11" t="n">
        <x:v>400240</x:v>
      </x:c>
      <x:c r="CH568" s="11" t="n">
        <x:v>844006</x:v>
      </x:c>
      <x:c r="CI568" s="11" t="n">
        <x:v>0</x:v>
      </x:c>
      <x:c r="CJ568" s="11" t="n">
        <x:v>1936812</x:v>
      </x:c>
      <x:c r="CK568" s="11" t="n">
        <x:v>769237</x:v>
      </x:c>
      <x:c r="CL568" s="11" t="n">
        <x:v>0</x:v>
      </x:c>
      <x:c r="CM568" s="11"/>
      <x:c r="CN568" s="11" t="n">
        <x:v>89320</x:v>
      </x:c>
      <x:c r="CO568" s="11" t="n">
        <x:v>0</x:v>
      </x:c>
      <x:c r="CP568" s="8"/>
      <x:c r="CQ568" s="8"/>
    </x:row>
    <x:row r="569">
      <x:c r="A569" s="8" t="str">
        <x:v>Oliver|2020</x:v>
      </x:c>
      <x:c r="B569" s="8" t="str">
        <x:v>oliver-t</x:v>
      </x:c>
      <x:c r="C569" s="8" t="str">
        <x:v>Oliver</x:v>
      </x:c>
      <x:c r="D569" s="8" t="str">
        <x:v>Oliver</x:v>
      </x:c>
      <x:c r="E569" s="8" t="str">
        <x:v>T</x:v>
      </x:c>
      <x:c r="F569" s="8" t="str">
        <x:v>OKS</x:v>
      </x:c>
      <x:c r="G569" s="9" t="n">
        <x:v>2020</x:v>
      </x:c>
      <x:c r="H569" s="10" t="n">
        <x:v>5648</x:v>
      </x:c>
      <x:c r="I569" s="8" t="str">
        <x:v>5,000 to 19,999</x:v>
      </x:c>
      <x:c r="J569" s="11" t="n">
        <x:v>12371587</x:v>
      </x:c>
      <x:c r="K569" s="11" t="n">
        <x:v>7479620</x:v>
      </x:c>
      <x:c r="L569" s="11" t="n">
        <x:v>4891967</x:v>
      </x:c>
      <x:c r="M569" s="12" t="n">
        <x:v>0.3954195205514054</x:v>
      </x:c>
      <x:c r="N569" s="11" t="n">
        <x:v>2667403</x:v>
      </x:c>
      <x:c r="O569" s="11" t="n">
        <x:v>4165328</x:v>
      </x:c>
      <x:c r="P569" s="11" t="n">
        <x:v>5087797</x:v>
      </x:c>
      <x:c r="Q569" s="11" t="n">
        <x:v>451059</x:v>
      </x:c>
      <x:c r="R569" s="11" t="n">
        <x:v>5877166</x:v>
      </x:c>
      <x:c r="S569" s="11" t="n">
        <x:v>1446729</x:v>
      </x:c>
      <x:c r="T569" s="11" t="n">
        <x:v>12235724</x:v>
      </x:c>
      <x:c r="U569" s="11" t="n">
        <x:v>9849681</x:v>
      </x:c>
      <x:c r="V569" s="11" t="n">
        <x:v>7379876</x:v>
      </x:c>
      <x:c r="W569" s="11" t="n">
        <x:v>4840070</x:v>
      </x:c>
      <x:c r="X569" s="11" t="n">
        <x:v>3342848</x:v>
      </x:c>
      <x:c r="Y569" s="11" t="n">
        <x:v>0</x:v>
      </x:c>
      <x:c r="Z569" s="11" t="n">
        <x:v>385652</x:v>
      </x:c>
      <x:c r="AA569" s="11" t="n">
        <x:v>2877578</x:v>
      </x:c>
      <x:c r="AB569" s="11" t="n">
        <x:v>155725</x:v>
      </x:c>
      <x:c r="AC569" s="11" t="n">
        <x:v>541377</x:v>
      </x:c>
      <x:c r="AD569" s="11" t="n">
        <x:v>1885310</x:v>
      </x:c>
      <x:c r="AE569" s="11" t="n">
        <x:v>1343933</x:v>
      </x:c>
      <x:c r="AF569" s="11" t="n">
        <x:v>7541240</x:v>
      </x:c>
      <x:c r="AG569" s="11" t="n">
        <x:v>81540119</x:v>
      </x:c>
      <x:c r="AH569" s="11" t="n">
        <x:v>26530439</x:v>
      </x:c>
      <x:c r="AI569" s="11" t="n">
        <x:v>55009680</x:v>
      </x:c>
      <x:c r="AJ569" s="11" t="n">
        <x:v>3830643</x:v>
      </x:c>
      <x:c r="AK569" s="11" t="n">
        <x:v>13617807</x:v>
      </x:c>
      <x:c r="AL569" s="11" t="n">
        <x:v>0</x:v>
      </x:c>
      <x:c r="AM569" s="12" t="n">
        <x:v>1</x:v>
      </x:c>
      <x:c r="AN569" s="12" t="n">
        <x:v>0.2812966140583429</x:v>
      </x:c>
      <x:c r="AO569" s="11" t="n">
        <x:v>7359171</x:v>
      </x:c>
      <x:c r="AP569" s="11" t="n">
        <x:v>7163397</x:v>
      </x:c>
      <x:c r="AQ569" s="12" t="n">
        <x:v>0.973397275318103</x:v>
      </x:c>
      <x:c r="AR569" s="11" t="n">
        <x:v>2190.4367917847026</x:v>
      </x:c>
      <x:c r="AS569" s="11" t="n">
        <x:v>1324.2953257790368</x:v>
      </x:c>
      <x:c r="AT569" s="11" t="n">
        <x:v>1306.635269121813</x:v>
      </x:c>
      <x:c r="AU569" s="11" t="n">
        <x:v>856.9529036827196</x:v>
      </x:c>
      <x:c r="AV569" s="11" t="n">
        <x:v>509.4861898016997</x:v>
      </x:c>
      <x:c r="AW569" s="11" t="n">
        <x:v>1.2422457133383304</x:v>
      </x:c>
      <x:c r="AX569" s="12" t="n">
        <x:v>0.7128445719802049</x:v>
      </x:c>
      <x:c r="AY569" s="11"/>
      <x:c r="AZ569" s="11"/>
      <x:c r="BA569" s="11"/>
      <x:c r="BB569" s="11"/>
      <x:c r="BC569" s="11"/>
      <x:c r="BD569" s="11"/>
      <x:c r="BE569" s="11"/>
      <x:c r="BF569" s="11"/>
      <x:c r="BG569" s="11"/>
      <x:c r="BH569" s="11"/>
      <x:c r="BI569" s="11"/>
      <x:c r="BJ569" s="11"/>
      <x:c r="BK569" s="12"/>
      <x:c r="BL569" s="12"/>
      <x:c r="BM569" s="12"/>
      <x:c r="BN569" s="12"/>
      <x:c r="BO569" s="12"/>
      <x:c r="BP569" s="12"/>
      <x:c r="BQ569" s="12"/>
      <x:c r="BR569" s="12"/>
      <x:c r="BS569" s="12"/>
      <x:c r="BT569" s="12"/>
      <x:c r="BU569" s="11" t="n">
        <x:v>262653</x:v>
      </x:c>
      <x:c r="BV569" s="11" t="n">
        <x:v>3169746</x:v>
      </x:c>
      <x:c r="BW569" s="11" t="n">
        <x:v>1655398</x:v>
      </x:c>
      <x:c r="BX569" s="11" t="n">
        <x:v>230534</x:v>
      </x:c>
      <x:c r="BY569" s="11" t="n">
        <x:v>0</x:v>
      </x:c>
      <x:c r="BZ569" s="11" t="n">
        <x:v>220525</x:v>
      </x:c>
      <x:c r="CA569" s="11" t="n">
        <x:v>0</x:v>
      </x:c>
      <x:c r="CB569" s="11" t="n">
        <x:v>0</x:v>
      </x:c>
      <x:c r="CC569" s="11" t="n">
        <x:v>958099</x:v>
      </x:c>
      <x:c r="CD569" s="11" t="n">
        <x:v>338743</x:v>
      </x:c>
      <x:c r="CE569" s="11" t="n">
        <x:v>400110</x:v>
      </x:c>
      <x:c r="CF569" s="11" t="n">
        <x:v>0</x:v>
      </x:c>
      <x:c r="CG569" s="11" t="n">
        <x:v>426092</x:v>
      </x:c>
      <x:c r="CH569" s="11" t="n">
        <x:v>821041</x:v>
      </x:c>
      <x:c r="CI569" s="11" t="n">
        <x:v>0</x:v>
      </x:c>
      <x:c r="CJ569" s="11" t="n">
        <x:v>2129929</x:v>
      </x:c>
      <x:c r="CK569" s="11" t="n">
        <x:v>907922</x:v>
      </x:c>
      <x:c r="CL569" s="11" t="n">
        <x:v>0</x:v>
      </x:c>
      <x:c r="CM569" s="11"/>
      <x:c r="CN569" s="11" t="n">
        <x:v>50955</x:v>
      </x:c>
      <x:c r="CO569" s="11" t="n">
        <x:v>0</x:v>
      </x:c>
      <x:c r="CP569" s="8"/>
      <x:c r="CQ569" s="8"/>
    </x:row>
    <x:row r="570">
      <x:c r="A570" s="8" t="str">
        <x:v>Oliver|2021</x:v>
      </x:c>
      <x:c r="B570" s="8" t="str">
        <x:v>oliver-t</x:v>
      </x:c>
      <x:c r="C570" s="8" t="str">
        <x:v>Oliver</x:v>
      </x:c>
      <x:c r="D570" s="8" t="str">
        <x:v>Oliver</x:v>
      </x:c>
      <x:c r="E570" s="8" t="str">
        <x:v>T</x:v>
      </x:c>
      <x:c r="F570" s="8" t="str">
        <x:v>OKS</x:v>
      </x:c>
      <x:c r="G570" s="9" t="n">
        <x:v>2021</x:v>
      </x:c>
      <x:c r="H570" s="10" t="n">
        <x:v>5591</x:v>
      </x:c>
      <x:c r="I570" s="8" t="str">
        <x:v>5,000 to 19,999</x:v>
      </x:c>
      <x:c r="J570" s="11" t="n">
        <x:v>12489677</x:v>
      </x:c>
      <x:c r="K570" s="11" t="n">
        <x:v>8585935</x:v>
      </x:c>
      <x:c r="L570" s="11" t="n">
        <x:v>3903742</x:v>
      </x:c>
      <x:c r="M570" s="12" t="n">
        <x:v>0.31255748247132414</x:v>
      </x:c>
      <x:c r="N570" s="11" t="n">
        <x:v>2888331</x:v>
      </x:c>
      <x:c r="O570" s="11" t="n">
        <x:v>5253035</x:v>
      </x:c>
      <x:c r="P570" s="11" t="n">
        <x:v>3635475</x:v>
      </x:c>
      <x:c r="Q570" s="11" t="n">
        <x:v>712836</x:v>
      </x:c>
      <x:c r="R570" s="11" t="n">
        <x:v>6886918</x:v>
      </x:c>
      <x:c r="S570" s="11" t="n">
        <x:v>1537328</x:v>
      </x:c>
      <x:c r="T570" s="11" t="n">
        <x:v>14333068</x:v>
      </x:c>
      <x:c r="U570" s="11" t="n">
        <x:v>11890779</x:v>
      </x:c>
      <x:c r="V570" s="11" t="n">
        <x:v>4228422</x:v>
      </x:c>
      <x:c r="W570" s="11" t="n">
        <x:v>3723292</x:v>
      </x:c>
      <x:c r="X570" s="11" t="n">
        <x:v>2877578</x:v>
      </x:c>
      <x:c r="Y570" s="11" t="n">
        <x:v>3300000</x:v>
      </x:c>
      <x:c r="Z570" s="11" t="n">
        <x:v>392205</x:v>
      </x:c>
      <x:c r="AA570" s="11" t="n">
        <x:v>5695753</x:v>
      </x:c>
      <x:c r="AB570" s="11" t="n">
        <x:v>161689</x:v>
      </x:c>
      <x:c r="AC570" s="11" t="n">
        <x:v>553894</x:v>
      </x:c>
      <x:c r="AD570" s="11" t="n">
        <x:v>2203454</x:v>
      </x:c>
      <x:c r="AE570" s="11" t="n">
        <x:v>1056504</x:v>
      </x:c>
      <x:c r="AF570" s="11" t="n">
        <x:v>8813816</x:v>
      </x:c>
      <x:c r="AG570" s="11" t="n">
        <x:v>90028473</x:v>
      </x:c>
      <x:c r="AH570" s="11" t="n">
        <x:v>27955204</x:v>
      </x:c>
      <x:c r="AI570" s="11" t="n">
        <x:v>62073269</x:v>
      </x:c>
      <x:c r="AJ570" s="11" t="n">
        <x:v>8600915</x:v>
      </x:c>
      <x:c r="AK570" s="11" t="n">
        <x:v>19732927</x:v>
      </x:c>
      <x:c r="AL570" s="11" t="n">
        <x:v>0</x:v>
      </x:c>
      <x:c r="AM570" s="12" t="n">
        <x:v>1</x:v>
      </x:c>
      <x:c r="AN570" s="12" t="n">
        <x:v>0.4358661540682738</x:v>
      </x:c>
      <x:c r="AO570" s="11" t="n">
        <x:v>7973292</x:v>
      </x:c>
      <x:c r="AP570" s="11" t="n">
        <x:v>7823747</x:v>
      </x:c>
      <x:c r="AQ570" s="12" t="n">
        <x:v>0.9812442589585331</x:v>
      </x:c>
      <x:c r="AR570" s="11" t="n">
        <x:v>2233.889644070828</x:v>
      </x:c>
      <x:c r="AS570" s="11" t="n">
        <x:v>1535.6707208012879</x:v>
      </x:c>
      <x:c r="AT570" s="11" t="n">
        <x:v>756.2908245394384</x:v>
      </x:c>
      <x:c r="AU570" s="11" t="n">
        <x:v>665.9438383115722</x:v>
      </x:c>
      <x:c r="AV570" s="11" t="n">
        <x:v>1018.7360042926131</x:v>
      </x:c>
      <x:c r="AW570" s="11" t="n">
        <x:v>1.2053935238389344</x:v>
      </x:c>
      <x:c r="AX570" s="12" t="n">
        <x:v>0.4794763130975278</x:v>
      </x:c>
      <x:c r="AY570" s="11"/>
      <x:c r="AZ570" s="11"/>
      <x:c r="BA570" s="11"/>
      <x:c r="BB570" s="11"/>
      <x:c r="BC570" s="11"/>
      <x:c r="BD570" s="11"/>
      <x:c r="BE570" s="11"/>
      <x:c r="BF570" s="11"/>
      <x:c r="BG570" s="11"/>
      <x:c r="BH570" s="11"/>
      <x:c r="BI570" s="11"/>
      <x:c r="BJ570" s="11"/>
      <x:c r="BK570" s="12"/>
      <x:c r="BL570" s="12"/>
      <x:c r="BM570" s="12"/>
      <x:c r="BN570" s="12"/>
      <x:c r="BO570" s="12"/>
      <x:c r="BP570" s="12"/>
      <x:c r="BQ570" s="12"/>
      <x:c r="BR570" s="12"/>
      <x:c r="BS570" s="12"/>
      <x:c r="BT570" s="12"/>
      <x:c r="BU570" s="11" t="n">
        <x:v>539807</x:v>
      </x:c>
      <x:c r="BV570" s="11" t="n">
        <x:v>3065211</x:v>
      </x:c>
      <x:c r="BW570" s="11" t="n">
        <x:v>30457</x:v>
      </x:c>
      <x:c r="BX570" s="11" t="n">
        <x:v>213718</x:v>
      </x:c>
      <x:c r="BY570" s="11" t="n">
        <x:v>0</x:v>
      </x:c>
      <x:c r="BZ570" s="11" t="n">
        <x:v>442114</x:v>
      </x:c>
      <x:c r="CA570" s="11" t="n">
        <x:v>57004</x:v>
      </x:c>
      <x:c r="CB570" s="11" t="n">
        <x:v>0</x:v>
      </x:c>
      <x:c r="CC570" s="11" t="n">
        <x:v>1311924</x:v>
      </x:c>
      <x:c r="CD570" s="11" t="n">
        <x:v>1027625</x:v>
      </x:c>
      <x:c r="CE570" s="11" t="n">
        <x:v>407215</x:v>
      </x:c>
      <x:c r="CF570" s="11" t="n">
        <x:v>0</x:v>
      </x:c>
      <x:c r="CG570" s="11" t="n">
        <x:v>405733</x:v>
      </x:c>
      <x:c r="CH570" s="11" t="n">
        <x:v>748980</x:v>
      </x:c>
      <x:c r="CI570" s="11" t="n">
        <x:v>0</x:v>
      </x:c>
      <x:c r="CJ570" s="11" t="n">
        <x:v>2249821</x:v>
      </x:c>
      <x:c r="CK570" s="11" t="n">
        <x:v>897309</x:v>
      </x:c>
      <x:c r="CL570" s="11" t="n">
        <x:v>0</x:v>
      </x:c>
      <x:c r="CM570" s="11"/>
      <x:c r="CN570" s="11" t="n">
        <x:v>0</x:v>
      </x:c>
      <x:c r="CO570" s="11" t="n">
        <x:v>0</x:v>
      </x:c>
      <x:c r="CP570" s="8"/>
      <x:c r="CQ570" s="8"/>
    </x:row>
    <x:row r="571">
      <x:c r="A571" s="8" t="str">
        <x:v>Oliver|2022</x:v>
      </x:c>
      <x:c r="B571" s="8" t="str">
        <x:v>oliver-t</x:v>
      </x:c>
      <x:c r="C571" s="8" t="str">
        <x:v>Oliver</x:v>
      </x:c>
      <x:c r="D571" s="8" t="str">
        <x:v>Oliver</x:v>
      </x:c>
      <x:c r="E571" s="8" t="str">
        <x:v>T</x:v>
      </x:c>
      <x:c r="F571" s="8" t="str">
        <x:v>OKS</x:v>
      </x:c>
      <x:c r="G571" s="9" t="n">
        <x:v>2022</x:v>
      </x:c>
      <x:c r="H571" s="10" t="n">
        <x:v>5553</x:v>
      </x:c>
      <x:c r="I571" s="8" t="str">
        <x:v>5,000 to 19,999</x:v>
      </x:c>
      <x:c r="J571" s="11" t="n">
        <x:v>11118767</x:v>
      </x:c>
      <x:c r="K571" s="11" t="n">
        <x:v>9742450</x:v>
      </x:c>
      <x:c r="L571" s="11" t="n">
        <x:v>1376317</x:v>
      </x:c>
      <x:c r="M571" s="12" t="n">
        <x:v>0.1237832396343947</x:v>
      </x:c>
      <x:c r="N571" s="11" t="n">
        <x:v>3517449</x:v>
      </x:c>
      <x:c r="O571" s="11" t="n">
        <x:v>5232095</x:v>
      </x:c>
      <x:c r="P571" s="11" t="n">
        <x:v>1223016</x:v>
      </x:c>
      <x:c r="Q571" s="11" t="n">
        <x:v>1146207</x:v>
      </x:c>
      <x:c r="R571" s="11" t="n">
        <x:v>7627365</x:v>
      </x:c>
      <x:c r="S571" s="11" t="n">
        <x:v>1767375</x:v>
      </x:c>
      <x:c r="T571" s="11" t="n">
        <x:v>16262555</x:v>
      </x:c>
      <x:c r="U571" s="11" t="n">
        <x:v>15995893</x:v>
      </x:c>
      <x:c r="V571" s="11" t="n">
        <x:v>2309646</x:v>
      </x:c>
      <x:c r="W571" s="11" t="n">
        <x:v>4470253</x:v>
      </x:c>
      <x:c r="X571" s="11" t="n">
        <x:v>2395753</x:v>
      </x:c>
      <x:c r="Y571" s="11" t="n">
        <x:v>6880000</x:v>
      </x:c>
      <x:c r="Z571" s="11" t="n">
        <x:v>398306</x:v>
      </x:c>
      <x:c r="AA571" s="11" t="n">
        <x:v>8776419</x:v>
      </x:c>
      <x:c r="AB571" s="11" t="n">
        <x:v>347710</x:v>
      </x:c>
      <x:c r="AC571" s="11" t="n">
        <x:v>746016</x:v>
      </x:c>
      <x:c r="AD571" s="11" t="n">
        <x:v>2453598</x:v>
      </x:c>
      <x:c r="AE571" s="11" t="n">
        <x:v>1707582</x:v>
      </x:c>
      <x:c r="AF571" s="11" t="n">
        <x:v>9814393</x:v>
      </x:c>
      <x:c r="AG571" s="11" t="n">
        <x:v>95008033</x:v>
      </x:c>
      <x:c r="AH571" s="11" t="n">
        <x:v>29679739</x:v>
      </x:c>
      <x:c r="AI571" s="11" t="n">
        <x:v>65328294</x:v>
      </x:c>
      <x:c r="AJ571" s="11" t="n">
        <x:v>5131816</x:v>
      </x:c>
      <x:c r="AK571" s="11" t="n">
        <x:v>12434920</x:v>
      </x:c>
      <x:c r="AL571" s="11" t="n">
        <x:v>0</x:v>
      </x:c>
      <x:c r="AM571" s="12" t="n">
        <x:v>1</x:v>
      </x:c>
      <x:c r="AN571" s="12" t="n">
        <x:v>0.4126939296754623</x:v>
      </x:c>
      <x:c r="AO571" s="11" t="n">
        <x:v>8404124</x:v>
      </x:c>
      <x:c r="AP571" s="11" t="n">
        <x:v>8217530</x:v>
      </x:c>
      <x:c r="AQ571" s="12" t="n">
        <x:v>0.9777973290256069</x:v>
      </x:c>
      <x:c r="AR571" s="11" t="n">
        <x:v>2002.2991175940933</x:v>
      </x:c>
      <x:c r="AS571" s="11" t="n">
        <x:v>1754.4480461012065</x:v>
      </x:c>
      <x:c r="AT571" s="11" t="n">
        <x:v>415.9276066990816</x:v>
      </x:c>
      <x:c r="AU571" s="11" t="n">
        <x:v>805.0158472897533</x:v>
      </x:c>
      <x:c r="AV571" s="11" t="n">
        <x:v>1580.4824419232848</x:v>
      </x:c>
      <x:c r="AW571" s="11" t="n">
        <x:v>1.0166706541485369</x:v>
      </x:c>
      <x:c r="AX571" s="12" t="n">
        <x:v>0.6959501923297948</x:v>
      </x:c>
      <x:c r="AY571" s="11"/>
      <x:c r="AZ571" s="11"/>
      <x:c r="BA571" s="11"/>
      <x:c r="BB571" s="11"/>
      <x:c r="BC571" s="11"/>
      <x:c r="BD571" s="11"/>
      <x:c r="BE571" s="11"/>
      <x:c r="BF571" s="11"/>
      <x:c r="BG571" s="11"/>
      <x:c r="BH571" s="11"/>
      <x:c r="BI571" s="11"/>
      <x:c r="BJ571" s="11"/>
      <x:c r="BK571" s="12"/>
      <x:c r="BL571" s="12"/>
      <x:c r="BM571" s="12"/>
      <x:c r="BN571" s="12"/>
      <x:c r="BO571" s="12"/>
      <x:c r="BP571" s="12"/>
      <x:c r="BQ571" s="12"/>
      <x:c r="BR571" s="12"/>
      <x:c r="BS571" s="12"/>
      <x:c r="BT571" s="12"/>
      <x:c r="BU571" s="11" t="n">
        <x:v>274771</x:v>
      </x:c>
      <x:c r="BV571" s="11" t="n">
        <x:v>887181</x:v>
      </x:c>
      <x:c r="BW571" s="11" t="n">
        <x:v>61064</x:v>
      </x:c>
      <x:c r="BX571" s="11" t="n">
        <x:v>470985</x:v>
      </x:c>
      <x:c r="BY571" s="11" t="n">
        <x:v>0</x:v>
      </x:c>
      <x:c r="BZ571" s="11" t="n">
        <x:v>430078</x:v>
      </x:c>
      <x:c r="CA571" s="11" t="n">
        <x:v>245144</x:v>
      </x:c>
      <x:c r="CB571" s="11" t="n">
        <x:v>0</x:v>
      </x:c>
      <x:c r="CC571" s="11" t="n">
        <x:v>1383948</x:v>
      </x:c>
      <x:c r="CD571" s="11" t="n">
        <x:v>1590880</x:v>
      </x:c>
      <x:c r="CE571" s="11" t="n">
        <x:v>418944</x:v>
      </x:c>
      <x:c r="CF571" s="11" t="n">
        <x:v>0</x:v>
      </x:c>
      <x:c r="CG571" s="11" t="n">
        <x:v>421198</x:v>
      </x:c>
      <x:c r="CH571" s="11" t="n">
        <x:v>808317</x:v>
      </x:c>
      <x:c r="CI571" s="11" t="n">
        <x:v>0</x:v>
      </x:c>
      <x:c r="CJ571" s="11" t="n">
        <x:v>2392015</x:v>
      </x:c>
      <x:c r="CK571" s="11" t="n">
        <x:v>959773</x:v>
      </x:c>
      <x:c r="CL571" s="11" t="n">
        <x:v>0</x:v>
      </x:c>
      <x:c r="CM571" s="11"/>
      <x:c r="CN571" s="11" t="n">
        <x:v>0</x:v>
      </x:c>
      <x:c r="CO571" s="11" t="n">
        <x:v>0</x:v>
      </x:c>
      <x:c r="CP571" s="8"/>
      <x:c r="CQ571" s="8"/>
    </x:row>
    <x:row r="572">
      <x:c r="A572" s="8" t="str">
        <x:v>Oliver|2023</x:v>
      </x:c>
      <x:c r="B572" s="8" t="str">
        <x:v>oliver-t</x:v>
      </x:c>
      <x:c r="C572" s="8" t="str">
        <x:v>Oliver</x:v>
      </x:c>
      <x:c r="D572" s="8" t="str">
        <x:v>Oliver</x:v>
      </x:c>
      <x:c r="E572" s="8" t="str">
        <x:v>T</x:v>
      </x:c>
      <x:c r="F572" s="8" t="str">
        <x:v>OKS</x:v>
      </x:c>
      <x:c r="G572" s="9" t="n">
        <x:v>2023</x:v>
      </x:c>
      <x:c r="H572" s="10" t="n">
        <x:v>5824</x:v>
      </x:c>
      <x:c r="I572" s="8" t="str">
        <x:v>5,000 to 19,999</x:v>
      </x:c>
      <x:c r="J572" s="11" t="n">
        <x:v>15676303</x:v>
      </x:c>
      <x:c r="K572" s="11" t="n">
        <x:v>10136673</x:v>
      </x:c>
      <x:c r="L572" s="11" t="n">
        <x:v>5539630</x:v>
      </x:c>
      <x:c r="M572" s="12" t="n">
        <x:v>0.35337604791129645</x:v>
      </x:c>
      <x:c r="N572" s="11" t="n">
        <x:v>3757945</x:v>
      </x:c>
      <x:c r="O572" s="11" t="n">
        <x:v>5967259</x:v>
      </x:c>
      <x:c r="P572" s="11" t="n">
        <x:v>4444005</x:v>
      </x:c>
      <x:c r="Q572" s="11" t="n">
        <x:v>1507094</x:v>
      </x:c>
      <x:c r="R572" s="11" t="n">
        <x:v>7580213</x:v>
      </x:c>
      <x:c r="S572" s="11" t="n">
        <x:v>1895302</x:v>
      </x:c>
      <x:c r="T572" s="11" t="n">
        <x:v>18772174</x:v>
      </x:c>
      <x:c r="U572" s="11" t="n">
        <x:v>14940589</x:v>
      </x:c>
      <x:c r="V572" s="11" t="n">
        <x:v>6484162</x:v>
      </x:c>
      <x:c r="W572" s="11" t="n">
        <x:v>7067418</x:v>
      </x:c>
      <x:c r="X572" s="11" t="n">
        <x:v>8776419</x:v>
      </x:c>
      <x:c r="Y572" s="11" t="n">
        <x:v>0</x:v>
      </x:c>
      <x:c r="Z572" s="11" t="n">
        <x:v>566669</x:v>
      </x:c>
      <x:c r="AA572" s="11" t="n">
        <x:v>8117681</x:v>
      </x:c>
      <x:c r="AB572" s="11" t="n">
        <x:v>661158</x:v>
      </x:c>
      <x:c r="AC572" s="11" t="n">
        <x:v>1227827</x:v>
      </x:c>
      <x:c r="AD572" s="11" t="n">
        <x:v>2828158</x:v>
      </x:c>
      <x:c r="AE572" s="11" t="n">
        <x:v>1600331</x:v>
      </x:c>
      <x:c r="AF572" s="11" t="n">
        <x:v>11312633</x:v>
      </x:c>
      <x:c r="AG572" s="11" t="n">
        <x:v>98296474</x:v>
      </x:c>
      <x:c r="AH572" s="11" t="n">
        <x:v>31575041</x:v>
      </x:c>
      <x:c r="AI572" s="11" t="n">
        <x:v>66721433</x:v>
      </x:c>
      <x:c r="AJ572" s="11" t="n">
        <x:v>3126451</x:v>
      </x:c>
      <x:c r="AK572" s="11" t="n">
        <x:v>18728073</x:v>
      </x:c>
      <x:c r="AL572" s="11" t="n">
        <x:v>1895302</x:v>
      </x:c>
      <x:c r="AM572" s="12" t="n">
        <x:v>0.8987988780265861</x:v>
      </x:c>
      <x:c r="AN572" s="12" t="n">
        <x:v>0.16693927880353734</x:v>
      </x:c>
      <x:c r="AO572" s="11" t="n">
        <x:v>8953150</x:v>
      </x:c>
      <x:c r="AP572" s="11" t="n">
        <x:v>8679055</x:v>
      </x:c>
      <x:c r="AQ572" s="12" t="n">
        <x:v>0.9693856352233572</x:v>
      </x:c>
      <x:c r="AR572" s="11" t="n">
        <x:v>2691.67290521978</x:v>
      </x:c>
      <x:c r="AS572" s="11" t="n">
        <x:v>1740.5001717032967</x:v>
      </x:c>
      <x:c r="AT572" s="11" t="n">
        <x:v>1113.3519917582419</x:v>
      </x:c>
      <x:c r="AU572" s="11" t="n">
        <x:v>1213.4989697802198</x:v>
      </x:c>
      <x:c r="AV572" s="11" t="n">
        <x:v>1393.8325892857142</x:v>
      </x:c>
      <x:c r="AW572" s="11" t="n">
        <x:v>1.2564547488723503</x:v>
      </x:c>
      <x:c r="AX572" s="12" t="n">
        <x:v>0.5658562923287879</x:v>
      </x:c>
      <x:c r="AY572" s="11"/>
      <x:c r="AZ572" s="11"/>
      <x:c r="BA572" s="11"/>
      <x:c r="BB572" s="11"/>
      <x:c r="BC572" s="11"/>
      <x:c r="BD572" s="11"/>
      <x:c r="BE572" s="11"/>
      <x:c r="BF572" s="11"/>
      <x:c r="BG572" s="11"/>
      <x:c r="BH572" s="11"/>
      <x:c r="BI572" s="11"/>
      <x:c r="BJ572" s="11"/>
      <x:c r="BK572" s="12"/>
      <x:c r="BL572" s="12"/>
      <x:c r="BM572" s="12"/>
      <x:c r="BN572" s="12"/>
      <x:c r="BO572" s="12"/>
      <x:c r="BP572" s="12"/>
      <x:c r="BQ572" s="12"/>
      <x:c r="BR572" s="12"/>
      <x:c r="BS572" s="12"/>
      <x:c r="BT572" s="12"/>
      <x:c r="BU572" s="11" t="n">
        <x:v>76133</x:v>
      </x:c>
      <x:c r="BV572" s="11" t="n">
        <x:v>4367872</x:v>
      </x:c>
      <x:c r="BW572" s="11" t="n">
        <x:v>0</x:v>
      </x:c>
      <x:c r="BX572" s="11" t="n">
        <x:v>1136498</x:v>
      </x:c>
      <x:c r="BY572" s="11" t="n">
        <x:v>0</x:v>
      </x:c>
      <x:c r="BZ572" s="11" t="n">
        <x:v>370596</x:v>
      </x:c>
      <x:c r="CA572" s="11" t="n">
        <x:v>0</x:v>
      </x:c>
      <x:c r="CB572" s="11" t="n">
        <x:v>0</x:v>
      </x:c>
      <x:c r="CC572" s="11" t="n">
        <x:v>1587728</x:v>
      </x:c>
      <x:c r="CD572" s="11" t="n">
        <x:v>1112322</x:v>
      </x:c>
      <x:c r="CE572" s="11" t="n">
        <x:v>453825</x:v>
      </x:c>
      <x:c r="CF572" s="11" t="n">
        <x:v>0</x:v>
      </x:c>
      <x:c r="CG572" s="11" t="n">
        <x:v>371462</x:v>
      </x:c>
      <x:c r="CH572" s="11" t="n">
        <x:v>898782</x:v>
      </x:c>
      <x:c r="CI572" s="11" t="n">
        <x:v>0</x:v>
      </x:c>
      <x:c r="CJ572" s="11" t="n">
        <x:v>2804843</x:v>
      </x:c>
      <x:c r="CK572" s="11" t="n">
        <x:v>1005346</x:v>
      </x:c>
      <x:c r="CL572" s="11" t="n">
        <x:v>0</x:v>
      </x:c>
      <x:c r="CM572" s="11" t="n">
        <x:v>7063</x:v>
      </x:c>
      <x:c r="CN572" s="11" t="n">
        <x:v>0</x:v>
      </x:c>
      <x:c r="CO572" s="11" t="n">
        <x:v>0</x:v>
      </x:c>
      <x:c r="CP572" s="8"/>
      <x:c r="CQ572" s="8"/>
    </x:row>
    <x:row r="573">
      <x:c r="A573" s="8" t="str">
        <x:v>Oliver|2024</x:v>
      </x:c>
      <x:c r="B573" s="8" t="str">
        <x:v>oliver-t</x:v>
      </x:c>
      <x:c r="C573" s="8" t="str">
        <x:v>Oliver</x:v>
      </x:c>
      <x:c r="D573" s="8" t="str">
        <x:v>Oliver</x:v>
      </x:c>
      <x:c r="E573" s="8" t="str">
        <x:v>T</x:v>
      </x:c>
      <x:c r="F573" s="8" t="str">
        <x:v>OKS</x:v>
      </x:c>
      <x:c r="G573" s="9" t="n">
        <x:v>2024</x:v>
      </x:c>
      <x:c r="H573" s="10" t="n">
        <x:v>5824</x:v>
      </x:c>
      <x:c r="I573" s="8" t="str">
        <x:v>5,000 to 19,999</x:v>
      </x:c>
      <x:c r="J573" s="11" t="n">
        <x:v>16375159</x:v>
      </x:c>
      <x:c r="K573" s="11" t="n">
        <x:v>13681022</x:v>
      </x:c>
      <x:c r="L573" s="11" t="n">
        <x:v>2694137</x:v>
      </x:c>
      <x:c r="M573" s="12" t="n">
        <x:v>0.16452585284820745</x:v>
      </x:c>
      <x:c r="N573" s="11" t="n">
        <x:v>4248114</x:v>
      </x:c>
      <x:c r="O573" s="11" t="n">
        <x:v>8729120</x:v>
      </x:c>
      <x:c r="P573" s="11" t="n">
        <x:v>1869253</x:v>
      </x:c>
      <x:c r="Q573" s="11" t="n">
        <x:v>1528672</x:v>
      </x:c>
      <x:c r="R573" s="11" t="n">
        <x:v>11279968</x:v>
      </x:c>
      <x:c r="S573" s="11" t="n">
        <x:v>1978931</x:v>
      </x:c>
      <x:c r="T573" s="11" t="n">
        <x:v>17749523</x:v>
      </x:c>
      <x:c r="U573" s="11" t="n">
        <x:v>15720170</x:v>
      </x:c>
      <x:c r="V573" s="11" t="n">
        <x:v>5273894</x:v>
      </x:c>
      <x:c r="W573" s="11" t="n">
        <x:v>4571371</x:v>
      </x:c>
      <x:c r="X573" s="11" t="n">
        <x:v>8117681</x:v>
      </x:c>
      <x:c r="Y573" s="11" t="n">
        <x:v>0</x:v>
      </x:c>
      <x:c r="Z573" s="11" t="n">
        <x:v>573187</x:v>
      </x:c>
      <x:c r="AA573" s="11" t="n">
        <x:v>7437546</x:v>
      </x:c>
      <x:c r="AB573" s="11" t="n">
        <x:v>422123</x:v>
      </x:c>
      <x:c r="AC573" s="11" t="n">
        <x:v>995310</x:v>
      </x:c>
      <x:c r="AD573" s="11" t="n">
        <x:v>3577205</x:v>
      </x:c>
      <x:c r="AE573" s="11" t="n">
        <x:v>2581895</x:v>
      </x:c>
      <x:c r="AF573" s="11" t="n">
        <x:v>14308820</x:v>
      </x:c>
      <x:c r="AG573" s="11" t="n">
        <x:v>103883831</x:v>
      </x:c>
      <x:c r="AH573" s="11" t="n">
        <x:v>33553972</x:v>
      </x:c>
      <x:c r="AI573" s="11" t="n">
        <x:v>70329859</x:v>
      </x:c>
      <x:c r="AJ573" s="11" t="n">
        <x:v>5587357</x:v>
      </x:c>
      <x:c r="AK573" s="11" t="n">
        <x:v>204123235</x:v>
      </x:c>
      <x:c r="AL573" s="11" t="n">
        <x:v>1977774</x:v>
      </x:c>
      <x:c r="AM573" s="12" t="n">
        <x:v>0.9903108825411276</x:v>
      </x:c>
      <x:c r="AN573" s="12" t="n">
        <x:v>0.027372469381057966</x:v>
      </x:c>
      <x:c r="AO573" s="11" t="n">
        <x:v>9831667</x:v>
      </x:c>
      <x:c r="AP573" s="11" t="n">
        <x:v>9582667</x:v>
      </x:c>
      <x:c r="AQ573" s="12" t="n">
        <x:v>0.9746736743626487</x:v>
      </x:c>
      <x:c r="AR573" s="11" t="n">
        <x:v>2811.6687843406594</x:v>
      </x:c>
      <x:c r="AS573" s="11" t="n">
        <x:v>2349.0765796703295</x:v>
      </x:c>
      <x:c r="AT573" s="11" t="n">
        <x:v>905.5449862637363</x:v>
      </x:c>
      <x:c r="AU573" s="11" t="n">
        <x:v>784.9194711538462</x:v>
      </x:c>
      <x:c r="AV573" s="11" t="n">
        <x:v>1277.0511675824175</x:v>
      </x:c>
      <x:c r="AW573" s="11" t="n">
        <x:v>1.1290923062536855</x:v>
      </x:c>
      <x:c r="AX573" s="12" t="n">
        <x:v>0.7217632201677008</x:v>
      </x:c>
      <x:c r="AY573" s="11" t="n">
        <x:v>2866.2208483821423</x:v>
      </x:c>
      <x:c r="AZ573" s="11" t="n">
        <x:v>3546.5079302077975</x:v>
      </x:c>
      <x:c r="BA573" s="11" t="n">
        <x:v>2297.657175284081</x:v>
      </x:c>
      <x:c r="BB573" s="11" t="n">
        <x:v>2783.665107049771</x:v>
      </x:c>
      <x:c r="BC573" s="11" t="n">
        <x:v>1859.732534766857</x:v>
      </x:c>
      <x:c r="BD573" s="11" t="n">
        <x:v>2437.8724475115623</x:v>
      </x:c>
      <x:c r="BE573" s="11" t="n">
        <x:v>918.4907099893891</x:v>
      </x:c>
      <x:c r="BF573" s="11" t="n">
        <x:v>1604.3462673977224</x:v>
      </x:c>
      <x:c r="BG573" s="11" t="n">
        <x:v>814.8464198087386</x:v>
      </x:c>
      <x:c r="BH573" s="11" t="n">
        <x:v>518.5374381567245</x:v>
      </x:c>
      <x:c r="BI573" s="11" t="n">
        <x:v>1.5120151567026447</x:v>
      </x:c>
      <x:c r="BJ573" s="11" t="n">
        <x:v>1.7099330852451193</x:v>
      </x:c>
      <x:c r="BK573" s="12" t="n">
        <x:v>0.024769834473671436</x:v>
      </x:c>
      <x:c r="BL573" s="12" t="n">
        <x:v>0.02529861000232605</x:v>
      </x:c>
      <x:c r="BM573" s="12" t="n">
        <x:v>0.9804574834797263</x:v>
      </x:c>
      <x:c r="BN573" s="12" t="n">
        <x:v>0.9815511712696461</x:v>
      </x:c>
      <x:c r="BO573" s="12" t="n">
        <x:v>0.8566659461626738</x:v>
      </x:c>
      <x:c r="BP573" s="12" t="n">
        <x:v>0.8619101997275483</x:v>
      </x:c>
      <x:c r="BQ573" s="12" t="n">
        <x:v>0.9770312225566793</x:v>
      </x:c>
      <x:c r="BR573" s="12" t="n">
        <x:v>0.9623635142836453</x:v>
      </x:c>
      <x:c r="BS573" s="12" t="n">
        <x:v>0.17479552285244132</x:v>
      </x:c>
      <x:c r="BT573" s="12" t="n">
        <x:v>0.19976549769108282</x:v>
      </x:c>
      <x:c r="BU573" s="11" t="n">
        <x:v>0</x:v>
      </x:c>
      <x:c r="BV573" s="11" t="n">
        <x:v>1819253</x:v>
      </x:c>
      <x:c r="BW573" s="11" t="n">
        <x:v>50000</x:v>
      </x:c>
      <x:c r="BX573" s="11" t="n">
        <x:v>827834</x:v>
      </x:c>
      <x:c r="BY573" s="11" t="n">
        <x:v>0</x:v>
      </x:c>
      <x:c r="BZ573" s="11" t="n">
        <x:v>700838</x:v>
      </x:c>
      <x:c r="CA573" s="11" t="n">
        <x:v>0</x:v>
      </x:c>
      <x:c r="CB573" s="11" t="n">
        <x:v>0</x:v>
      </x:c>
      <x:c r="CC573" s="11" t="n">
        <x:v>1714898</x:v>
      </x:c>
      <x:c r="CD573" s="11" t="n">
        <x:v>1795425</x:v>
      </x:c>
      <x:c r="CE573" s="11" t="n">
        <x:v>459064</x:v>
      </x:c>
      <x:c r="CF573" s="11" t="n">
        <x:v>0</x:v>
      </x:c>
      <x:c r="CG573" s="11" t="n">
        <x:v>461886</x:v>
      </x:c>
      <x:c r="CH573" s="11" t="n">
        <x:v>1028379</x:v>
      </x:c>
      <x:c r="CI573" s="11" t="n">
        <x:v>2623548</x:v>
      </x:c>
      <x:c r="CJ573" s="11" t="n">
        <x:v>2616850</x:v>
      </x:c>
      <x:c r="CK573" s="11" t="n">
        <x:v>994699</x:v>
      </x:c>
      <x:c r="CL573" s="11" t="n">
        <x:v>0</x:v>
      </x:c>
      <x:c r="CM573" s="11" t="n">
        <x:v>7342</x:v>
      </x:c>
      <x:c r="CN573" s="11" t="n">
        <x:v>0</x:v>
      </x:c>
      <x:c r="CO573" s="11" t="n">
        <x:v>0</x:v>
      </x:c>
      <x:c r="CP573" s="8"/>
      <x:c r="CQ573" s="8"/>
    </x:row>
    <x:row r="574">
      <x:c r="A574" s="8" t="str">
        <x:v>Osoyoos|2019</x:v>
      </x:c>
      <x:c r="B574" s="8" t="str">
        <x:v>osoyoos-t</x:v>
      </x:c>
      <x:c r="C574" s="8" t="str">
        <x:v>Osoyoos</x:v>
      </x:c>
      <x:c r="D574" s="8" t="str">
        <x:v>Osoyoos</x:v>
      </x:c>
      <x:c r="E574" s="8" t="str">
        <x:v>T</x:v>
      </x:c>
      <x:c r="F574" s="8" t="str">
        <x:v>OKS</x:v>
      </x:c>
      <x:c r="G574" s="9" t="n">
        <x:v>2019</x:v>
      </x:c>
      <x:c r="H574" s="10" t="n">
        <x:v>5410</x:v>
      </x:c>
      <x:c r="I574" s="8" t="str">
        <x:v>5,000 to 19,999</x:v>
      </x:c>
      <x:c r="J574" s="11" t="n">
        <x:v>13369489</x:v>
      </x:c>
      <x:c r="K574" s="11" t="n">
        <x:v>11548043</x:v>
      </x:c>
      <x:c r="L574" s="11" t="n">
        <x:v>1821446</x:v>
      </x:c>
      <x:c r="M574" s="12" t="n">
        <x:v>0.13623901407151762</x:v>
      </x:c>
      <x:c r="N574" s="11" t="n">
        <x:v>5011242</x:v>
      </x:c>
      <x:c r="O574" s="11" t="n">
        <x:v>5633514</x:v>
      </x:c>
      <x:c r="P574" s="11" t="n">
        <x:v>2139145</x:v>
      </x:c>
      <x:c r="Q574" s="11" t="n">
        <x:v>585588</x:v>
      </x:c>
      <x:c r="R574" s="11" t="n">
        <x:v>9250309</x:v>
      </x:c>
      <x:c r="S574" s="11" t="n">
        <x:v>2091803</x:v>
      </x:c>
      <x:c r="T574" s="11" t="n">
        <x:v>25204315</x:v>
      </x:c>
      <x:c r="U574" s="11" t="n">
        <x:v>17874375</x:v>
      </x:c>
      <x:c r="V574" s="11" t="n">
        <x:v>8757834</x:v>
      </x:c>
      <x:c r="W574" s="11" t="n">
        <x:v>0</x:v>
      </x:c>
      <x:c r="X574" s="11" t="n">
        <x:v>6806221</x:v>
      </x:c>
      <x:c r="Y574" s="11" t="n">
        <x:v>3500000</x:v>
      </x:c>
      <x:c r="Z574" s="11" t="n">
        <x:v>289968</x:v>
      </x:c>
      <x:c r="AA574" s="11" t="n">
        <x:v>9974660</x:v>
      </x:c>
      <x:c r="AB574" s="11" t="n">
        <x:v>205931</x:v>
      </x:c>
      <x:c r="AC574" s="11" t="n">
        <x:v>495899</x:v>
      </x:c>
      <x:c r="AD574" s="11" t="n">
        <x:v>2840941</x:v>
      </x:c>
      <x:c r="AE574" s="11" t="n">
        <x:v>2230705</x:v>
      </x:c>
      <x:c r="AF574" s="11" t="n">
        <x:v>11363763</x:v>
      </x:c>
      <x:c r="AG574" s="11" t="n">
        <x:v>99099440</x:v>
      </x:c>
      <x:c r="AH574" s="11" t="n">
        <x:v>28437533</x:v>
      </x:c>
      <x:c r="AI574" s="11" t="n">
        <x:v>70661907</x:v>
      </x:c>
      <x:c r="AJ574" s="11" t="n">
        <x:v>3529790</x:v>
      </x:c>
      <x:c r="AK574" s="11" t="n">
        <x:v>14141687</x:v>
      </x:c>
      <x:c r="AL574" s="11" t="n">
        <x:v>0</x:v>
      </x:c>
      <x:c r="AM574" s="12" t="n">
        <x:v>1</x:v>
      </x:c>
      <x:c r="AN574" s="12" t="n">
        <x:v>0.24960176250542104</x:v>
      </x:c>
      <x:c r="AO574" s="11" t="n">
        <x:v>10597026</x:v>
      </x:c>
      <x:c r="AP574" s="11" t="n">
        <x:v>10371552</x:v>
      </x:c>
      <x:c r="AQ574" s="12" t="n">
        <x:v>0.9787228982924077</x:v>
      </x:c>
      <x:c r="AR574" s="11" t="n">
        <x:v>2471.254898336414</x:v>
      </x:c>
      <x:c r="AS574" s="11" t="n">
        <x:v>2134.5735674676525</x:v>
      </x:c>
      <x:c r="AT574" s="11" t="n">
        <x:v>1618.8232902033271</x:v>
      </x:c>
      <x:c r="AU574" s="11" t="n">
        <x:v>0</x:v>
      </x:c>
      <x:c r="AV574" s="11" t="n">
        <x:v>1843.7449168207024</x:v>
      </x:c>
      <x:c r="AW574" s="11" t="n">
        <x:v>1.4100809119199973</x:v>
      </x:c>
      <x:c r="AX574" s="12" t="n">
        <x:v>0.7851993406410059</x:v>
      </x:c>
      <x:c r="AY574" s="11"/>
      <x:c r="AZ574" s="11"/>
      <x:c r="BA574" s="11"/>
      <x:c r="BB574" s="11"/>
      <x:c r="BC574" s="11"/>
      <x:c r="BD574" s="11"/>
      <x:c r="BE574" s="11"/>
      <x:c r="BF574" s="11"/>
      <x:c r="BG574" s="11"/>
      <x:c r="BH574" s="11"/>
      <x:c r="BI574" s="11"/>
      <x:c r="BJ574" s="11"/>
      <x:c r="BK574" s="12"/>
      <x:c r="BL574" s="12"/>
      <x:c r="BM574" s="12"/>
      <x:c r="BN574" s="12"/>
      <x:c r="BO574" s="12"/>
      <x:c r="BP574" s="12"/>
      <x:c r="BQ574" s="12"/>
      <x:c r="BR574" s="12"/>
      <x:c r="BS574" s="12"/>
      <x:c r="BT574" s="12"/>
      <x:c r="BU574" s="11" t="n">
        <x:v>0</x:v>
      </x:c>
      <x:c r="BV574" s="11" t="n">
        <x:v>1758334</x:v>
      </x:c>
      <x:c r="BW574" s="11" t="n">
        <x:v>380811</x:v>
      </x:c>
      <x:c r="BX574" s="11" t="n">
        <x:v>374300</x:v>
      </x:c>
      <x:c r="BY574" s="11" t="n">
        <x:v>0</x:v>
      </x:c>
      <x:c r="BZ574" s="11" t="n">
        <x:v>210068</x:v>
      </x:c>
      <x:c r="CA574" s="11" t="n">
        <x:v>1220</x:v>
      </x:c>
      <x:c r="CB574" s="11" t="n">
        <x:v>0</x:v>
      </x:c>
      <x:c r="CC574" s="11" t="n">
        <x:v>1628153</x:v>
      </x:c>
      <x:c r="CD574" s="11" t="n">
        <x:v>2022581</x:v>
      </x:c>
      <x:c r="CE574" s="11" t="n">
        <x:v>746486</x:v>
      </x:c>
      <x:c r="CF574" s="11" t="n">
        <x:v>50878</x:v>
      </x:c>
      <x:c r="CG574" s="11" t="n">
        <x:v>0</x:v>
      </x:c>
      <x:c r="CH574" s="11" t="n">
        <x:v>666398</x:v>
      </x:c>
      <x:c r="CI574" s="11" t="n">
        <x:v>1395039</x:v>
      </x:c>
      <x:c r="CJ574" s="11" t="n">
        <x:v>1673471</x:v>
      </x:c>
      <x:c r="CK574" s="11" t="n">
        <x:v>1273234</x:v>
      </x:c>
      <x:c r="CL574" s="11" t="n">
        <x:v>0</x:v>
      </x:c>
      <x:c r="CM574" s="11"/>
      <x:c r="CN574" s="11" t="n">
        <x:v>0</x:v>
      </x:c>
      <x:c r="CO574" s="11" t="n">
        <x:v>0</x:v>
      </x:c>
      <x:c r="CP574" s="8"/>
      <x:c r="CQ574" s="8"/>
    </x:row>
    <x:row r="575">
      <x:c r="A575" s="8" t="str">
        <x:v>Osoyoos|2020</x:v>
      </x:c>
      <x:c r="B575" s="8" t="str">
        <x:v>osoyoos-t</x:v>
      </x:c>
      <x:c r="C575" s="8" t="str">
        <x:v>Osoyoos</x:v>
      </x:c>
      <x:c r="D575" s="8" t="str">
        <x:v>Osoyoos</x:v>
      </x:c>
      <x:c r="E575" s="8" t="str">
        <x:v>T</x:v>
      </x:c>
      <x:c r="F575" s="8" t="str">
        <x:v>OKS</x:v>
      </x:c>
      <x:c r="G575" s="9" t="n">
        <x:v>2020</x:v>
      </x:c>
      <x:c r="H575" s="10" t="n">
        <x:v>5443</x:v>
      </x:c>
      <x:c r="I575" s="8" t="str">
        <x:v>5,000 to 19,999</x:v>
      </x:c>
      <x:c r="J575" s="11" t="n">
        <x:v>16836085</x:v>
      </x:c>
      <x:c r="K575" s="11" t="n">
        <x:v>11092590</x:v>
      </x:c>
      <x:c r="L575" s="11" t="n">
        <x:v>5743495</x:v>
      </x:c>
      <x:c r="M575" s="12" t="n">
        <x:v>0.3411419578839142</x:v>
      </x:c>
      <x:c r="N575" s="11" t="n">
        <x:v>4994866</x:v>
      </x:c>
      <x:c r="O575" s="11" t="n">
        <x:v>5937063</x:v>
      </x:c>
      <x:c r="P575" s="11" t="n">
        <x:v>5526913</x:v>
      </x:c>
      <x:c r="Q575" s="11" t="n">
        <x:v>377243</x:v>
      </x:c>
      <x:c r="R575" s="11" t="n">
        <x:v>8581783</x:v>
      </x:c>
      <x:c r="S575" s="11" t="n">
        <x:v>2161589</x:v>
      </x:c>
      <x:c r="T575" s="11" t="n">
        <x:v>23985773</x:v>
      </x:c>
      <x:c r="U575" s="11" t="n">
        <x:v>16531562</x:v>
      </x:c>
      <x:c r="V575" s="11" t="n">
        <x:v>9170619</x:v>
      </x:c>
      <x:c r="W575" s="11" t="n">
        <x:v>0</x:v>
      </x:c>
      <x:c r="X575" s="11" t="n">
        <x:v>9974660</x:v>
      </x:c>
      <x:c r="Y575" s="11" t="n">
        <x:v>89932</x:v>
      </x:c>
      <x:c r="Z575" s="11" t="n">
        <x:v>404002</x:v>
      </x:c>
      <x:c r="AA575" s="11" t="n">
        <x:v>9611258</x:v>
      </x:c>
      <x:c r="AB575" s="11" t="n">
        <x:v>349218</x:v>
      </x:c>
      <x:c r="AC575" s="11" t="n">
        <x:v>753220</x:v>
      </x:c>
      <x:c r="AD575" s="11" t="n">
        <x:v>2936521</x:v>
      </x:c>
      <x:c r="AE575" s="11" t="n">
        <x:v>2049404</x:v>
      </x:c>
      <x:c r="AF575" s="11" t="n">
        <x:v>11746085</x:v>
      </x:c>
      <x:c r="AG575" s="11" t="n">
        <x:v>108109312</x:v>
      </x:c>
      <x:c r="AH575" s="11" t="n">
        <x:v>32113441</x:v>
      </x:c>
      <x:c r="AI575" s="11" t="n">
        <x:v>75995871</x:v>
      </x:c>
      <x:c r="AJ575" s="11" t="n">
        <x:v>7531469</x:v>
      </x:c>
      <x:c r="AK575" s="11" t="n">
        <x:v>9277408</x:v>
      </x:c>
      <x:c r="AL575" s="11" t="n">
        <x:v>0</x:v>
      </x:c>
      <x:c r="AM575" s="12" t="n">
        <x:v>1</x:v>
      </x:c>
      <x:c r="AN575" s="12" t="n">
        <x:v>0.8118074574277643</x:v>
      </x:c>
      <x:c r="AO575" s="11" t="n">
        <x:v>10599888</x:v>
      </x:c>
      <x:c r="AP575" s="11" t="n">
        <x:v>10262223</x:v>
      </x:c>
      <x:c r="AQ575" s="12" t="n">
        <x:v>0.9681444747340726</x:v>
      </x:c>
      <x:c r="AR575" s="11" t="n">
        <x:v>3093.1627778798456</x:v>
      </x:c>
      <x:c r="AS575" s="11" t="n">
        <x:v>2037.9551717802683</x:v>
      </x:c>
      <x:c r="AT575" s="11" t="n">
        <x:v>1684.846408230755</x:v>
      </x:c>
      <x:c r="AU575" s="11" t="n">
        <x:v>0</x:v>
      </x:c>
      <x:c r="AV575" s="11" t="n">
        <x:v>1765.8015800110234</x:v>
      </x:c>
      <x:c r="AW575" s="11" t="n">
        <x:v>1.450907845247775</x:v>
      </x:c>
      <x:c r="AX575" s="12" t="n">
        <x:v>0.6979020412249733</x:v>
      </x:c>
      <x:c r="AY575" s="11"/>
      <x:c r="AZ575" s="11"/>
      <x:c r="BA575" s="11"/>
      <x:c r="BB575" s="11"/>
      <x:c r="BC575" s="11"/>
      <x:c r="BD575" s="11"/>
      <x:c r="BE575" s="11"/>
      <x:c r="BF575" s="11"/>
      <x:c r="BG575" s="11"/>
      <x:c r="BH575" s="11"/>
      <x:c r="BI575" s="11"/>
      <x:c r="BJ575" s="11"/>
      <x:c r="BK575" s="12"/>
      <x:c r="BL575" s="12"/>
      <x:c r="BM575" s="12"/>
      <x:c r="BN575" s="12"/>
      <x:c r="BO575" s="12"/>
      <x:c r="BP575" s="12"/>
      <x:c r="BQ575" s="12"/>
      <x:c r="BR575" s="12"/>
      <x:c r="BS575" s="12"/>
      <x:c r="BT575" s="12"/>
      <x:c r="BU575" s="11" t="n">
        <x:v>19597</x:v>
      </x:c>
      <x:c r="BV575" s="11" t="n">
        <x:v>4875349</x:v>
      </x:c>
      <x:c r="BW575" s="11" t="n">
        <x:v>631967</x:v>
      </x:c>
      <x:c r="BX575" s="11" t="n">
        <x:v>238689</x:v>
      </x:c>
      <x:c r="BY575" s="11" t="n">
        <x:v>0</x:v>
      </x:c>
      <x:c r="BZ575" s="11" t="n">
        <x:v>6714</x:v>
      </x:c>
      <x:c r="CA575" s="11" t="n">
        <x:v>131840</x:v>
      </x:c>
      <x:c r="CB575" s="11" t="n">
        <x:v>0</x:v>
      </x:c>
      <x:c r="CC575" s="11" t="n">
        <x:v>1338978</x:v>
      </x:c>
      <x:c r="CD575" s="11" t="n">
        <x:v>1868111</x:v>
      </x:c>
      <x:c r="CE575" s="11" t="n">
        <x:v>799395</x:v>
      </x:c>
      <x:c r="CF575" s="11" t="n">
        <x:v>41781</x:v>
      </x:c>
      <x:c r="CG575" s="11" t="n">
        <x:v>0</x:v>
      </x:c>
      <x:c r="CH575" s="11" t="n">
        <x:v>669574</x:v>
      </x:c>
      <x:c r="CI575" s="11" t="n">
        <x:v>1161633</x:v>
      </x:c>
      <x:c r="CJ575" s="11" t="n">
        <x:v>1686943</x:v>
      </x:c>
      <x:c r="CK575" s="11" t="n">
        <x:v>1364586</x:v>
      </x:c>
      <x:c r="CL575" s="11" t="n">
        <x:v>0</x:v>
      </x:c>
      <x:c r="CM575" s="11"/>
      <x:c r="CN575" s="11" t="n">
        <x:v>0</x:v>
      </x:c>
      <x:c r="CO575" s="11" t="n">
        <x:v>0</x:v>
      </x:c>
      <x:c r="CP575" s="8"/>
      <x:c r="CQ575" s="8"/>
    </x:row>
    <x:row r="576">
      <x:c r="A576" s="8" t="str">
        <x:v>Osoyoos|2021</x:v>
      </x:c>
      <x:c r="B576" s="8" t="str">
        <x:v>osoyoos-t</x:v>
      </x:c>
      <x:c r="C576" s="8" t="str">
        <x:v>Osoyoos</x:v>
      </x:c>
      <x:c r="D576" s="8" t="str">
        <x:v>Osoyoos</x:v>
      </x:c>
      <x:c r="E576" s="8" t="str">
        <x:v>T</x:v>
      </x:c>
      <x:c r="F576" s="8" t="str">
        <x:v>OKS</x:v>
      </x:c>
      <x:c r="G576" s="9" t="n">
        <x:v>2021</x:v>
      </x:c>
      <x:c r="H576" s="10" t="n">
        <x:v>5518</x:v>
      </x:c>
      <x:c r="I576" s="8" t="str">
        <x:v>5,000 to 19,999</x:v>
      </x:c>
      <x:c r="J576" s="11" t="n">
        <x:v>15738529</x:v>
      </x:c>
      <x:c r="K576" s="11" t="n">
        <x:v>12324172</x:v>
      </x:c>
      <x:c r="L576" s="11" t="n">
        <x:v>3414357</x:v>
      </x:c>
      <x:c r="M576" s="12" t="n">
        <x:v>0.21694257449346124</x:v>
      </x:c>
      <x:c r="N576" s="11" t="n">
        <x:v>5237665</x:v>
      </x:c>
      <x:c r="O576" s="11" t="n">
        <x:v>6481121</x:v>
      </x:c>
      <x:c r="P576" s="11" t="n">
        <x:v>3291223</x:v>
      </x:c>
      <x:c r="Q576" s="11" t="n">
        <x:v>728520</x:v>
      </x:c>
      <x:c r="R576" s="11" t="n">
        <x:v>9616242</x:v>
      </x:c>
      <x:c r="S576" s="11" t="n">
        <x:v>2419666</x:v>
      </x:c>
      <x:c r="T576" s="11" t="n">
        <x:v>25963507</x:v>
      </x:c>
      <x:c r="U576" s="11" t="n">
        <x:v>18399442</x:v>
      </x:c>
      <x:c r="V576" s="11" t="n">
        <x:v>9461794</x:v>
      </x:c>
      <x:c r="W576" s="11" t="n">
        <x:v>0</x:v>
      </x:c>
      <x:c r="X576" s="11" t="n">
        <x:v>9611258</x:v>
      </x:c>
      <x:c r="Y576" s="11" t="n">
        <x:v>1712680</x:v>
      </x:c>
      <x:c r="Z576" s="11" t="n">
        <x:v>394425</x:v>
      </x:c>
      <x:c r="AA576" s="11" t="n">
        <x:v>10868627</x:v>
      </x:c>
      <x:c r="AB576" s="11" t="n">
        <x:v>288264</x:v>
      </x:c>
      <x:c r="AC576" s="11" t="n">
        <x:v>682689</x:v>
      </x:c>
      <x:c r="AD576" s="11" t="n">
        <x:v>3207420</x:v>
      </x:c>
      <x:c r="AE576" s="11" t="n">
        <x:v>2512847</x:v>
      </x:c>
      <x:c r="AF576" s="11" t="n">
        <x:v>12829681</x:v>
      </x:c>
      <x:c r="AG576" s="11" t="n">
        <x:v>113649940</x:v>
      </x:c>
      <x:c r="AH576" s="11" t="n">
        <x:v>34533107</x:v>
      </x:c>
      <x:c r="AI576" s="11" t="n">
        <x:v>79116833</x:v>
      </x:c>
      <x:c r="AJ576" s="11" t="n">
        <x:v>5540628</x:v>
      </x:c>
      <x:c r="AK576" s="11" t="n">
        <x:v>9277408</x:v>
      </x:c>
      <x:c r="AL576" s="11" t="n">
        <x:v>0</x:v>
      </x:c>
      <x:c r="AM576" s="12" t="n">
        <x:v>1</x:v>
      </x:c>
      <x:c r="AN576" s="12" t="n">
        <x:v>0.5972172399877207</x:v>
      </x:c>
      <x:c r="AO576" s="11" t="n">
        <x:v>11371910</x:v>
      </x:c>
      <x:c r="AP576" s="11" t="n">
        <x:v>11078731</x:v>
      </x:c>
      <x:c r="AQ576" s="12" t="n">
        <x:v>0.9742190186169254</x:v>
      </x:c>
      <x:c r="AR576" s="11" t="n">
        <x:v>2852.2162015222907</x:v>
      </x:c>
      <x:c r="AS576" s="11" t="n">
        <x:v>2233.449075752084</x:v>
      </x:c>
      <x:c r="AT576" s="11" t="n">
        <x:v>1714.7143892714753</x:v>
      </x:c>
      <x:c r="AU576" s="11" t="n">
        <x:v>0</x:v>
      </x:c>
      <x:c r="AV576" s="11" t="n">
        <x:v>1969.6678144255166</x:v>
      </x:c>
      <x:c r="AW576" s="11" t="n">
        <x:v>1.4111029562744348</x:v>
      </x:c>
      <x:c r="AX576" s="12" t="n">
        <x:v>0.7834480672939621</x:v>
      </x:c>
      <x:c r="AY576" s="11"/>
      <x:c r="AZ576" s="11"/>
      <x:c r="BA576" s="11"/>
      <x:c r="BB576" s="11"/>
      <x:c r="BC576" s="11"/>
      <x:c r="BD576" s="11"/>
      <x:c r="BE576" s="11"/>
      <x:c r="BF576" s="11"/>
      <x:c r="BG576" s="11"/>
      <x:c r="BH576" s="11"/>
      <x:c r="BI576" s="11"/>
      <x:c r="BJ576" s="11"/>
      <x:c r="BK576" s="12"/>
      <x:c r="BL576" s="12"/>
      <x:c r="BM576" s="12"/>
      <x:c r="BN576" s="12"/>
      <x:c r="BO576" s="12"/>
      <x:c r="BP576" s="12"/>
      <x:c r="BQ576" s="12"/>
      <x:c r="BR576" s="12"/>
      <x:c r="BS576" s="12"/>
      <x:c r="BT576" s="12"/>
      <x:c r="BU576" s="11" t="n">
        <x:v>0</x:v>
      </x:c>
      <x:c r="BV576" s="11" t="n">
        <x:v>2760858</x:v>
      </x:c>
      <x:c r="BW576" s="11" t="n">
        <x:v>530365</x:v>
      </x:c>
      <x:c r="BX576" s="11" t="n">
        <x:v>593312</x:v>
      </x:c>
      <x:c r="BY576" s="11" t="n">
        <x:v>0</x:v>
      </x:c>
      <x:c r="BZ576" s="11" t="n">
        <x:v>122190</x:v>
      </x:c>
      <x:c r="CA576" s="11" t="n">
        <x:v>13018</x:v>
      </x:c>
      <x:c r="CB576" s="11" t="n">
        <x:v>0</x:v>
      </x:c>
      <x:c r="CC576" s="11" t="n">
        <x:v>1349329</x:v>
      </x:c>
      <x:c r="CD576" s="11" t="n">
        <x:v>2137175</x:v>
      </x:c>
      <x:c r="CE576" s="11" t="n">
        <x:v>1141746</x:v>
      </x:c>
      <x:c r="CF576" s="11" t="n">
        <x:v>48822</x:v>
      </x:c>
      <x:c r="CG576" s="11" t="n">
        <x:v>0</x:v>
      </x:c>
      <x:c r="CH576" s="11" t="n">
        <x:v>726142</x:v>
      </x:c>
      <x:c r="CI576" s="11" t="n">
        <x:v>1326048</x:v>
      </x:c>
      <x:c r="CJ576" s="11" t="n">
        <x:v>1820811</x:v>
      </x:c>
      <x:c r="CK576" s="11" t="n">
        <x:v>1354433</x:v>
      </x:c>
      <x:c r="CL576" s="11" t="n">
        <x:v>0</x:v>
      </x:c>
      <x:c r="CM576" s="11"/>
      <x:c r="CN576" s="11" t="n">
        <x:v>0</x:v>
      </x:c>
      <x:c r="CO576" s="11" t="n">
        <x:v>0</x:v>
      </x:c>
      <x:c r="CP576" s="8"/>
      <x:c r="CQ576" s="8"/>
    </x:row>
    <x:row r="577">
      <x:c r="A577" s="8" t="str">
        <x:v>Osoyoos|2022</x:v>
      </x:c>
      <x:c r="B577" s="8" t="str">
        <x:v>osoyoos-t</x:v>
      </x:c>
      <x:c r="C577" s="8" t="str">
        <x:v>Osoyoos</x:v>
      </x:c>
      <x:c r="D577" s="8" t="str">
        <x:v>Osoyoos</x:v>
      </x:c>
      <x:c r="E577" s="8" t="str">
        <x:v>T</x:v>
      </x:c>
      <x:c r="F577" s="8" t="str">
        <x:v>OKS</x:v>
      </x:c>
      <x:c r="G577" s="9" t="n">
        <x:v>2022</x:v>
      </x:c>
      <x:c r="H577" s="10" t="n">
        <x:v>14164</x:v>
      </x:c>
      <x:c r="I577" s="8" t="str">
        <x:v>5,000 to 19,999</x:v>
      </x:c>
      <x:c r="J577" s="11" t="n">
        <x:v>15998315</x:v>
      </x:c>
      <x:c r="K577" s="11" t="n">
        <x:v>13575073</x:v>
      </x:c>
      <x:c r="L577" s="11" t="n">
        <x:v>2423242</x:v>
      </x:c>
      <x:c r="M577" s="12" t="n">
        <x:v>0.1514685765344663</x:v>
      </x:c>
      <x:c r="N577" s="11" t="n">
        <x:v>5497724</x:v>
      </x:c>
      <x:c r="O577" s="11" t="n">
        <x:v>6604315</x:v>
      </x:c>
      <x:c r="P577" s="11" t="n">
        <x:v>2845679</x:v>
      </x:c>
      <x:c r="Q577" s="11" t="n">
        <x:v>1050597</x:v>
      </x:c>
      <x:c r="R577" s="11" t="n">
        <x:v>10723819</x:v>
      </x:c>
      <x:c r="S577" s="11" t="n">
        <x:v>2534568</x:v>
      </x:c>
      <x:c r="T577" s="11" t="n">
        <x:v>28050096</x:v>
      </x:c>
      <x:c r="U577" s="11" t="n">
        <x:v>18375864</x:v>
      </x:c>
      <x:c r="V577" s="11" t="n">
        <x:v>11293682</x:v>
      </x:c>
      <x:c r="W577" s="11" t="n">
        <x:v>0</x:v>
      </x:c>
      <x:c r="X577" s="11" t="n">
        <x:v>10868627</x:v>
      </x:c>
      <x:c r="Y577" s="11" t="n">
        <x:v>128400</x:v>
      </x:c>
      <x:c r="Z577" s="11" t="n">
        <x:v>468168</x:v>
      </x:c>
      <x:c r="AA577" s="11" t="n">
        <x:v>10462859</x:v>
      </x:c>
      <x:c r="AB577" s="11" t="n">
        <x:v>316686</x:v>
      </x:c>
      <x:c r="AC577" s="11" t="n">
        <x:v>784854</x:v>
      </x:c>
      <x:c r="AD577" s="11" t="n">
        <x:v>3426419</x:v>
      </x:c>
      <x:c r="AE577" s="11" t="n">
        <x:v>2629991</x:v>
      </x:c>
      <x:c r="AF577" s="11" t="n">
        <x:v>13705677</x:v>
      </x:c>
      <x:c r="AG577" s="11" t="n">
        <x:v>116675283</x:v>
      </x:c>
      <x:c r="AH577" s="11" t="n">
        <x:v>37067675</x:v>
      </x:c>
      <x:c r="AI577" s="11" t="n">
        <x:v>79607608</x:v>
      </x:c>
      <x:c r="AJ577" s="11" t="n">
        <x:v>3025343</x:v>
      </x:c>
      <x:c r="AK577" s="11" t="n">
        <x:v>9277408</x:v>
      </x:c>
      <x:c r="AL577" s="11" t="n">
        <x:v>0</x:v>
      </x:c>
      <x:c r="AM577" s="12" t="n">
        <x:v>1</x:v>
      </x:c>
      <x:c r="AN577" s="12" t="n">
        <x:v>0.32609787130198437</x:v>
      </x:c>
      <x:c r="AO577" s="11" t="n">
        <x:v>11772983</x:v>
      </x:c>
      <x:c r="AP577" s="11" t="n">
        <x:v>11427235</x:v>
      </x:c>
      <x:c r="AQ577" s="12" t="n">
        <x:v>0.9706320819455868</x:v>
      </x:c>
      <x:c r="AR577" s="11" t="n">
        <x:v>1129.5054363174245</x:v>
      </x:c>
      <x:c r="AS577" s="11" t="n">
        <x:v>958.4208556904829</x:v>
      </x:c>
      <x:c r="AT577" s="11" t="n">
        <x:v>797.3511719853149</x:v>
      </x:c>
      <x:c r="AU577" s="11" t="n">
        <x:v>0</x:v>
      </x:c>
      <x:c r="AV577" s="11" t="n">
        <x:v>738.6938011861056</x:v>
      </x:c>
      <x:c r="AW577" s="11" t="n">
        <x:v>1.5264640617714629</x:v>
      </x:c>
      <x:c r="AX577" s="12" t="n">
        <x:v>0.7675625777232732</x:v>
      </x:c>
      <x:c r="AY577" s="11"/>
      <x:c r="AZ577" s="11"/>
      <x:c r="BA577" s="11"/>
      <x:c r="BB577" s="11"/>
      <x:c r="BC577" s="11"/>
      <x:c r="BD577" s="11"/>
      <x:c r="BE577" s="11"/>
      <x:c r="BF577" s="11"/>
      <x:c r="BG577" s="11"/>
      <x:c r="BH577" s="11"/>
      <x:c r="BI577" s="11"/>
      <x:c r="BJ577" s="11"/>
      <x:c r="BK577" s="12"/>
      <x:c r="BL577" s="12"/>
      <x:c r="BM577" s="12"/>
      <x:c r="BN577" s="12"/>
      <x:c r="BO577" s="12"/>
      <x:c r="BP577" s="12"/>
      <x:c r="BQ577" s="12"/>
      <x:c r="BR577" s="12"/>
      <x:c r="BS577" s="12"/>
      <x:c r="BT577" s="12"/>
      <x:c r="BU577" s="11" t="n">
        <x:v>0</x:v>
      </x:c>
      <x:c r="BV577" s="11" t="n">
        <x:v>1670670</x:v>
      </x:c>
      <x:c r="BW577" s="11" t="n">
        <x:v>1175009</x:v>
      </x:c>
      <x:c r="BX577" s="11" t="n">
        <x:v>1008531</x:v>
      </x:c>
      <x:c r="BY577" s="11" t="n">
        <x:v>0</x:v>
      </x:c>
      <x:c r="BZ577" s="11" t="n">
        <x:v>24330</x:v>
      </x:c>
      <x:c r="CA577" s="11" t="n">
        <x:v>17736</x:v>
      </x:c>
      <x:c r="CB577" s="11" t="n">
        <x:v>0</x:v>
      </x:c>
      <x:c r="CC577" s="11" t="n">
        <x:v>1484027</x:v>
      </x:c>
      <x:c r="CD577" s="11" t="n">
        <x:v>2463670</x:v>
      </x:c>
      <x:c r="CE577" s="11" t="n">
        <x:v>1017700</x:v>
      </x:c>
      <x:c r="CF577" s="11" t="n">
        <x:v>55694</x:v>
      </x:c>
      <x:c r="CG577" s="11" t="n">
        <x:v>0</x:v>
      </x:c>
      <x:c r="CH577" s="11" t="n">
        <x:v>949995</x:v>
      </x:c>
      <x:c r="CI577" s="11" t="n">
        <x:v>1422154</x:v>
      </x:c>
      <x:c r="CJ577" s="11" t="n">
        <x:v>2175611</x:v>
      </x:c>
      <x:c r="CK577" s="11" t="n">
        <x:v>1471654</x:v>
      </x:c>
      <x:c r="CL577" s="11" t="n">
        <x:v>0</x:v>
      </x:c>
      <x:c r="CM577" s="11"/>
      <x:c r="CN577" s="11" t="n">
        <x:v>0</x:v>
      </x:c>
      <x:c r="CO577" s="11" t="n">
        <x:v>0</x:v>
      </x:c>
      <x:c r="CP577" s="8"/>
      <x:c r="CQ577" s="8"/>
    </x:row>
    <x:row r="578">
      <x:c r="A578" s="8" t="str">
        <x:v>Osoyoos|2023</x:v>
      </x:c>
      <x:c r="B578" s="8" t="str">
        <x:v>osoyoos-t</x:v>
      </x:c>
      <x:c r="C578" s="8" t="str">
        <x:v>Osoyoos</x:v>
      </x:c>
      <x:c r="D578" s="8" t="str">
        <x:v>Osoyoos</x:v>
      </x:c>
      <x:c r="E578" s="8" t="str">
        <x:v>T</x:v>
      </x:c>
      <x:c r="F578" s="8" t="str">
        <x:v>OKS</x:v>
      </x:c>
      <x:c r="G578" s="9" t="n">
        <x:v>2023</x:v>
      </x:c>
      <x:c r="H578" s="10" t="n">
        <x:v>5730</x:v>
      </x:c>
      <x:c r="I578" s="8" t="str">
        <x:v>5,000 to 19,999</x:v>
      </x:c>
      <x:c r="J578" s="11" t="n">
        <x:v>19858522</x:v>
      </x:c>
      <x:c r="K578" s="11" t="n">
        <x:v>15852153</x:v>
      </x:c>
      <x:c r="L578" s="11" t="n">
        <x:v>4006369</x:v>
      </x:c>
      <x:c r="M578" s="12" t="n">
        <x:v>0.2017455780445292</x:v>
      </x:c>
      <x:c r="N578" s="11" t="n">
        <x:v>6053482</x:v>
      </x:c>
      <x:c r="O578" s="11" t="n">
        <x:v>7521238</x:v>
      </x:c>
      <x:c r="P578" s="11" t="n">
        <x:v>4014125</x:v>
      </x:c>
      <x:c r="Q578" s="11" t="n">
        <x:v>2269677</x:v>
      </x:c>
      <x:c r="R578" s="11" t="n">
        <x:v>12897353</x:v>
      </x:c>
      <x:c r="S578" s="11" t="n">
        <x:v>2635949</x:v>
      </x:c>
      <x:c r="T578" s="11" t="n">
        <x:v>42607579</x:v>
      </x:c>
      <x:c r="U578" s="11" t="n">
        <x:v>32503875</x:v>
      </x:c>
      <x:c r="V578" s="11" t="n">
        <x:v>11508919</x:v>
      </x:c>
      <x:c r="W578" s="11" t="n">
        <x:v>0</x:v>
      </x:c>
      <x:c r="X578" s="11" t="n">
        <x:v>10462859</x:v>
      </x:c>
      <x:c r="Y578" s="11" t="n">
        <x:v>731000</x:v>
      </x:c>
      <x:c r="Z578" s="11" t="n">
        <x:v>619064</x:v>
      </x:c>
      <x:c r="AA578" s="11" t="n">
        <x:v>10495195</x:v>
      </x:c>
      <x:c r="AB578" s="11" t="n">
        <x:v>318851</x:v>
      </x:c>
      <x:c r="AC578" s="11" t="n">
        <x:v>937915</x:v>
      </x:c>
      <x:c r="AD578" s="11" t="n">
        <x:v>4028854</x:v>
      </x:c>
      <x:c r="AE578" s="11" t="n">
        <x:v>3070961</x:v>
      </x:c>
      <x:c r="AF578" s="11" t="n">
        <x:v>16115415</x:v>
      </x:c>
      <x:c r="AG578" s="11" t="n">
        <x:v>122274479</x:v>
      </x:c>
      <x:c r="AH578" s="11" t="n">
        <x:v>39646577</x:v>
      </x:c>
      <x:c r="AI578" s="11" t="n">
        <x:v>82627902</x:v>
      </x:c>
      <x:c r="AJ578" s="11" t="n">
        <x:v>4809888</x:v>
      </x:c>
      <x:c r="AK578" s="11" t="n">
        <x:v>9277408</x:v>
      </x:c>
      <x:c r="AL578" s="11" t="n">
        <x:v>0</x:v>
      </x:c>
      <x:c r="AM578" s="12" t="n">
        <x:v>1</x:v>
      </x:c>
      <x:c r="AN578" s="12" t="n">
        <x:v>0.5184517054763572</x:v>
      </x:c>
      <x:c r="AO578" s="11" t="n">
        <x:v>12932592</x:v>
      </x:c>
      <x:c r="AP578" s="11" t="n">
        <x:v>12586844</x:v>
      </x:c>
      <x:c r="AQ578" s="12" t="n">
        <x:v>0.9732653747988029</x:v>
      </x:c>
      <x:c r="AR578" s="11" t="n">
        <x:v>3465.7106457242585</x:v>
      </x:c>
      <x:c r="AS578" s="11" t="n">
        <x:v>2766.518848167539</x:v>
      </x:c>
      <x:c r="AT578" s="11" t="n">
        <x:v>2008.5373472949389</x:v>
      </x:c>
      <x:c r="AU578" s="11" t="n">
        <x:v>0</x:v>
      </x:c>
      <x:c r="AV578" s="11" t="n">
        <x:v>1831.6221640488657</x:v>
      </x:c>
      <x:c r="AW578" s="11" t="n">
        <x:v>1.3108461375759044</x:v>
      </x:c>
      <x:c r="AX578" s="12" t="n">
        <x:v>0.7622418186412315</x:v>
      </x:c>
      <x:c r="AY578" s="11"/>
      <x:c r="AZ578" s="11"/>
      <x:c r="BA578" s="11"/>
      <x:c r="BB578" s="11"/>
      <x:c r="BC578" s="11"/>
      <x:c r="BD578" s="11"/>
      <x:c r="BE578" s="11"/>
      <x:c r="BF578" s="11"/>
      <x:c r="BG578" s="11"/>
      <x:c r="BH578" s="11"/>
      <x:c r="BI578" s="11"/>
      <x:c r="BJ578" s="11"/>
      <x:c r="BK578" s="12"/>
      <x:c r="BL578" s="12"/>
      <x:c r="BM578" s="12"/>
      <x:c r="BN578" s="12"/>
      <x:c r="BO578" s="12"/>
      <x:c r="BP578" s="12"/>
      <x:c r="BQ578" s="12"/>
      <x:c r="BR578" s="12"/>
      <x:c r="BS578" s="12"/>
      <x:c r="BT578" s="12"/>
      <x:c r="BU578" s="11" t="n">
        <x:v>0</x:v>
      </x:c>
      <x:c r="BV578" s="11" t="n">
        <x:v>2968602</x:v>
      </x:c>
      <x:c r="BW578" s="11" t="n">
        <x:v>1045523</x:v>
      </x:c>
      <x:c r="BX578" s="11" t="n">
        <x:v>2085820</x:v>
      </x:c>
      <x:c r="BY578" s="11" t="n">
        <x:v>0</x:v>
      </x:c>
      <x:c r="BZ578" s="11" t="n">
        <x:v>183857</x:v>
      </x:c>
      <x:c r="CA578" s="11" t="n">
        <x:v>0</x:v>
      </x:c>
      <x:c r="CB578" s="11" t="n">
        <x:v>0</x:v>
      </x:c>
      <x:c r="CC578" s="11" t="n">
        <x:v>1674011</x:v>
      </x:c>
      <x:c r="CD578" s="11" t="n">
        <x:v>2543101</x:v>
      </x:c>
      <x:c r="CE578" s="11" t="n">
        <x:v>1099053</x:v>
      </x:c>
      <x:c r="CF578" s="11" t="n">
        <x:v>41194</x:v>
      </x:c>
      <x:c r="CG578" s="11" t="n">
        <x:v>0</x:v>
      </x:c>
      <x:c r="CH578" s="11" t="n">
        <x:v>826386</x:v>
      </x:c>
      <x:c r="CI578" s="11" t="n">
        <x:v>2161926</x:v>
      </x:c>
      <x:c r="CJ578" s="11" t="n">
        <x:v>2749514</x:v>
      </x:c>
      <x:c r="CK578" s="11" t="n">
        <x:v>2121019</x:v>
      </x:c>
      <x:c r="CL578" s="11" t="n">
        <x:v>0</x:v>
      </x:c>
      <x:c r="CM578" s="11" t="n">
        <x:v>0</x:v>
      </x:c>
      <x:c r="CN578" s="11" t="n">
        <x:v>0</x:v>
      </x:c>
      <x:c r="CO578" s="11" t="n">
        <x:v>0</x:v>
      </x:c>
      <x:c r="CP578" s="8"/>
      <x:c r="CQ578" s="8"/>
    </x:row>
    <x:row r="579">
      <x:c r="A579" s="8" t="str">
        <x:v>Osoyoos|2024</x:v>
      </x:c>
      <x:c r="B579" s="8" t="str">
        <x:v>osoyoos-t</x:v>
      </x:c>
      <x:c r="C579" s="8" t="str">
        <x:v>Osoyoos</x:v>
      </x:c>
      <x:c r="D579" s="8" t="str">
        <x:v>Osoyoos</x:v>
      </x:c>
      <x:c r="E579" s="8" t="str">
        <x:v>T</x:v>
      </x:c>
      <x:c r="F579" s="8" t="str">
        <x:v>OKS</x:v>
      </x:c>
      <x:c r="G579" s="9" t="n">
        <x:v>2024</x:v>
      </x:c>
      <x:c r="H579" s="10" t="n">
        <x:v>5730</x:v>
      </x:c>
      <x:c r="I579" s="8" t="str">
        <x:v>5,000 to 19,999</x:v>
      </x:c>
      <x:c r="J579" s="11" t="n">
        <x:v>25593012</x:v>
      </x:c>
      <x:c r="K579" s="11" t="n">
        <x:v>16499701</x:v>
      </x:c>
      <x:c r="L579" s="11" t="n">
        <x:v>9093311</x:v>
      </x:c>
      <x:c r="M579" s="12" t="n">
        <x:v>0.35530444794852595</x:v>
      </x:c>
      <x:c r="N579" s="11" t="n">
        <x:v>6807464</x:v>
      </x:c>
      <x:c r="O579" s="11" t="n">
        <x:v>11798578</x:v>
      </x:c>
      <x:c r="P579" s="11" t="n">
        <x:v>4702937</x:v>
      </x:c>
      <x:c r="Q579" s="11" t="n">
        <x:v>2284033</x:v>
      </x:c>
      <x:c r="R579" s="11" t="n">
        <x:v>13182556</x:v>
      </x:c>
      <x:c r="S579" s="11" t="n">
        <x:v>2979283</x:v>
      </x:c>
      <x:c r="T579" s="11" t="n">
        <x:v>47928310</x:v>
      </x:c>
      <x:c r="U579" s="11" t="n">
        <x:v>33197789</x:v>
      </x:c>
      <x:c r="V579" s="11" t="n">
        <x:v>16578987</x:v>
      </x:c>
      <x:c r="W579" s="11" t="n">
        <x:v>0</x:v>
      </x:c>
      <x:c r="X579" s="11" t="n">
        <x:v>10495194</x:v>
      </x:c>
      <x:c r="Y579" s="11" t="n">
        <x:v>600000</x:v>
      </x:c>
      <x:c r="Z579" s="11" t="n">
        <x:v>526022</x:v>
      </x:c>
      <x:c r="AA579" s="11" t="n">
        <x:v>10518683</x:v>
      </x:c>
      <x:c r="AB579" s="11" t="n">
        <x:v>337862</x:v>
      </x:c>
      <x:c r="AC579" s="11" t="n">
        <x:v>863884</x:v>
      </x:c>
      <x:c r="AD579" s="11" t="n">
        <x:v>5341456</x:v>
      </x:c>
      <x:c r="AE579" s="11" t="n">
        <x:v>4477572</x:v>
      </x:c>
      <x:c r="AF579" s="11" t="n">
        <x:v>21365823</x:v>
      </x:c>
      <x:c r="AG579" s="11" t="n">
        <x:v>128275352</x:v>
      </x:c>
      <x:c r="AH579" s="11" t="n">
        <x:v>42227870</x:v>
      </x:c>
      <x:c r="AI579" s="11" t="n">
        <x:v>86047482</x:v>
      </x:c>
      <x:c r="AJ579" s="11" t="n">
        <x:v>6398863</x:v>
      </x:c>
      <x:c r="AK579" s="11" t="n">
        <x:v>128275352</x:v>
      </x:c>
      <x:c r="AL579" s="11" t="n">
        <x:v>31229064</x:v>
      </x:c>
      <x:c r="AM579" s="12" t="n">
        <x:v>0.7565466513005554</x:v>
      </x:c>
      <x:c r="AN579" s="12" t="n">
        <x:v>0.04988380776378614</x:v>
      </x:c>
      <x:c r="AO579" s="11" t="n">
        <x:v>14486760</x:v>
      </x:c>
      <x:c r="AP579" s="11" t="n">
        <x:v>13818042</x:v>
      </x:c>
      <x:c r="AQ579" s="12" t="n">
        <x:v>0.9538393678089511</x:v>
      </x:c>
      <x:c r="AR579" s="11" t="n">
        <x:v>4466.494240837696</x:v>
      </x:c>
      <x:c r="AS579" s="11" t="n">
        <x:v>2879.528970331588</x:v>
      </x:c>
      <x:c r="AT579" s="11" t="n">
        <x:v>2893.365968586387</x:v>
      </x:c>
      <x:c r="AU579" s="11" t="n">
        <x:v>0</x:v>
      </x:c>
      <x:c r="AV579" s="11" t="n">
        <x:v>1835.7212914485165</x:v>
      </x:c>
      <x:c r="AW579" s="11" t="n">
        <x:v>1.443719941710576</x:v>
      </x:c>
      <x:c r="AX579" s="12" t="n">
        <x:v>0.8382680677328429</x:v>
      </x:c>
      <x:c r="AY579" s="11" t="n">
        <x:v>2866.2208483821423</x:v>
      </x:c>
      <x:c r="AZ579" s="11" t="n">
        <x:v>3546.5079302077975</x:v>
      </x:c>
      <x:c r="BA579" s="11" t="n">
        <x:v>2297.657175284081</x:v>
      </x:c>
      <x:c r="BB579" s="11" t="n">
        <x:v>2783.665107049771</x:v>
      </x:c>
      <x:c r="BC579" s="11" t="n">
        <x:v>1859.732534766857</x:v>
      </x:c>
      <x:c r="BD579" s="11" t="n">
        <x:v>2437.8724475115623</x:v>
      </x:c>
      <x:c r="BE579" s="11" t="n">
        <x:v>918.4907099893891</x:v>
      </x:c>
      <x:c r="BF579" s="11" t="n">
        <x:v>1604.3462673977224</x:v>
      </x:c>
      <x:c r="BG579" s="11" t="n">
        <x:v>814.8464198087386</x:v>
      </x:c>
      <x:c r="BH579" s="11" t="n">
        <x:v>518.5374381567245</x:v>
      </x:c>
      <x:c r="BI579" s="11" t="n">
        <x:v>1.5120151567026447</x:v>
      </x:c>
      <x:c r="BJ579" s="11" t="n">
        <x:v>1.7099330852451193</x:v>
      </x:c>
      <x:c r="BK579" s="12" t="n">
        <x:v>0.024769834473671436</x:v>
      </x:c>
      <x:c r="BL579" s="12" t="n">
        <x:v>0.02529861000232605</x:v>
      </x:c>
      <x:c r="BM579" s="12" t="n">
        <x:v>0.9804574834797263</x:v>
      </x:c>
      <x:c r="BN579" s="12" t="n">
        <x:v>0.9815511712696461</x:v>
      </x:c>
      <x:c r="BO579" s="12" t="n">
        <x:v>0.8566659461626738</x:v>
      </x:c>
      <x:c r="BP579" s="12" t="n">
        <x:v>0.8619101997275483</x:v>
      </x:c>
      <x:c r="BQ579" s="12" t="n">
        <x:v>0.9770312225566793</x:v>
      </x:c>
      <x:c r="BR579" s="12" t="n">
        <x:v>0.9623635142836453</x:v>
      </x:c>
      <x:c r="BS579" s="12" t="n">
        <x:v>0.17479552285244132</x:v>
      </x:c>
      <x:c r="BT579" s="12" t="n">
        <x:v>0.19976549769108282</x:v>
      </x:c>
      <x:c r="BU579" s="11" t="n">
        <x:v>0</x:v>
      </x:c>
      <x:c r="BV579" s="11" t="n">
        <x:v>2143583</x:v>
      </x:c>
      <x:c r="BW579" s="11" t="n">
        <x:v>2559354</x:v>
      </x:c>
      <x:c r="BX579" s="11" t="n">
        <x:v>2227470</x:v>
      </x:c>
      <x:c r="BY579" s="11" t="n">
        <x:v>0</x:v>
      </x:c>
      <x:c r="BZ579" s="11" t="n">
        <x:v>16667</x:v>
      </x:c>
      <x:c r="CA579" s="11" t="n">
        <x:v>39896</x:v>
      </x:c>
      <x:c r="CB579" s="11" t="n">
        <x:v>0</x:v>
      </x:c>
      <x:c r="CC579" s="11" t="n">
        <x:v>1932305</x:v>
      </x:c>
      <x:c r="CD579" s="11" t="n">
        <x:v>2790382</x:v>
      </x:c>
      <x:c r="CE579" s="11" t="n">
        <x:v>1383268</x:v>
      </x:c>
      <x:c r="CF579" s="11" t="n">
        <x:v>47143</x:v>
      </x:c>
      <x:c r="CG579" s="11" t="n">
        <x:v>0</x:v>
      </x:c>
      <x:c r="CH579" s="11" t="n">
        <x:v>853022</x:v>
      </x:c>
      <x:c r="CI579" s="11" t="n">
        <x:v>2172366</x:v>
      </x:c>
      <x:c r="CJ579" s="11" t="n">
        <x:v>2419127</x:v>
      </x:c>
      <x:c r="CK579" s="11" t="n">
        <x:v>1922805</x:v>
      </x:c>
      <x:c r="CL579" s="11" t="n">
        <x:v>0</x:v>
      </x:c>
      <x:c r="CM579" s="11" t="n">
        <x:v>0</x:v>
      </x:c>
      <x:c r="CN579" s="11" t="n">
        <x:v>0</x:v>
      </x:c>
      <x:c r="CO579" s="11" t="n">
        <x:v>0</x:v>
      </x:c>
      <x:c r="CP579" s="8"/>
      <x:c r="CQ579" s="8"/>
    </x:row>
    <x:row r="580">
      <x:c r="A580" s="8" t="str">
        <x:v>Parksville|2019</x:v>
      </x:c>
      <x:c r="B580" s="8" t="str">
        <x:v>parksville-c</x:v>
      </x:c>
      <x:c r="C580" s="8" t="str">
        <x:v>Parksville</x:v>
      </x:c>
      <x:c r="D580" s="8" t="str">
        <x:v>Parksville</x:v>
      </x:c>
      <x:c r="E580" s="8" t="str">
        <x:v>C</x:v>
      </x:c>
      <x:c r="F580" s="8" t="str">
        <x:v>NAN</x:v>
      </x:c>
      <x:c r="G580" s="9" t="n">
        <x:v>2019</x:v>
      </x:c>
      <x:c r="H580" s="10" t="n">
        <x:v>13420</x:v>
      </x:c>
      <x:c r="I580" s="8" t="str">
        <x:v>5,000 to 19,999</x:v>
      </x:c>
      <x:c r="J580" s="11" t="n">
        <x:v>34114901</x:v>
      </x:c>
      <x:c r="K580" s="11" t="n">
        <x:v>24102463</x:v>
      </x:c>
      <x:c r="L580" s="11" t="n">
        <x:v>10012438</x:v>
      </x:c>
      <x:c r="M580" s="12" t="n">
        <x:v>0.29349163287913393</x:v>
      </x:c>
      <x:c r="N580" s="11" t="n">
        <x:v>14968751</x:v>
      </x:c>
      <x:c r="O580" s="11" t="n">
        <x:v>9401334</x:v>
      </x:c>
      <x:c r="P580" s="11" t="n">
        <x:v>2194935</x:v>
      </x:c>
      <x:c r="Q580" s="11" t="n">
        <x:v>7549881</x:v>
      </x:c>
      <x:c r="R580" s="11" t="n">
        <x:v>19967033</x:v>
      </x:c>
      <x:c r="S580" s="11" t="n">
        <x:v>3953205</x:v>
      </x:c>
      <x:c r="T580" s="11" t="n">
        <x:v>47418740</x:v>
      </x:c>
      <x:c r="U580" s="11" t="n">
        <x:v>23698321</x:v>
      </x:c>
      <x:c r="V580" s="11" t="n">
        <x:v>28159743</x:v>
      </x:c>
      <x:c r="W580" s="11" t="n">
        <x:v>5708583</x:v>
      </x:c>
      <x:c r="X580" s="11" t="n">
        <x:v>4837243</x:v>
      </x:c>
      <x:c r="Y580" s="11" t="n">
        <x:v>1600000</x:v>
      </x:c>
      <x:c r="Z580" s="11" t="n">
        <x:v>216600</x:v>
      </x:c>
      <x:c r="AA580" s="11" t="n">
        <x:v>6140917</x:v>
      </x:c>
      <x:c r="AB580" s="11" t="n">
        <x:v>182225</x:v>
      </x:c>
      <x:c r="AC580" s="11" t="n">
        <x:v>398825</x:v>
      </x:c>
      <x:c r="AD580" s="11" t="n">
        <x:v>6476439</x:v>
      </x:c>
      <x:c r="AE580" s="11" t="n">
        <x:v>6077614</x:v>
      </x:c>
      <x:c r="AF580" s="11" t="n">
        <x:v>25905757</x:v>
      </x:c>
      <x:c r="AG580" s="11" t="n">
        <x:v>268815410</x:v>
      </x:c>
      <x:c r="AH580" s="11" t="n">
        <x:v>70008494</x:v>
      </x:c>
      <x:c r="AI580" s="11" t="n">
        <x:v>198806916</x:v>
      </x:c>
      <x:c r="AJ580" s="11" t="n">
        <x:v>13857240</x:v>
      </x:c>
      <x:c r="AK580" s="11" t="n">
        <x:v>54972331</x:v>
      </x:c>
      <x:c r="AL580" s="11" t="n">
        <x:v>0</x:v>
      </x:c>
      <x:c r="AM580" s="12" t="n">
        <x:v>1</x:v>
      </x:c>
      <x:c r="AN580" s="12" t="n">
        <x:v>0.2520766310600873</x:v>
      </x:c>
      <x:c r="AO580" s="11" t="n">
        <x:v>25506057</x:v>
      </x:c>
      <x:c r="AP580" s="11" t="n">
        <x:v>25057369</x:v>
      </x:c>
      <x:c r="AQ580" s="12" t="n">
        <x:v>0.982408570638731</x:v>
      </x:c>
      <x:c r="AR580" s="11" t="n">
        <x:v>2542.093964232489</x:v>
      </x:c>
      <x:c r="AS580" s="11" t="n">
        <x:v>1796.0106557377048</x:v>
      </x:c>
      <x:c r="AT580" s="11" t="n">
        <x:v>2098.3415052160954</x:v>
      </x:c>
      <x:c r="AU580" s="11" t="n">
        <x:v>425.3787630402384</x:v>
      </x:c>
      <x:c r="AV580" s="11" t="n">
        <x:v>457.5944113263785</x:v>
      </x:c>
      <x:c r="AW580" s="11" t="n">
        <x:v>2.000932471123165</x:v>
      </x:c>
      <x:c r="AX580" s="12" t="n">
        <x:v>0.9384190911085551</x:v>
      </x:c>
      <x:c r="AY580" s="11"/>
      <x:c r="AZ580" s="11"/>
      <x:c r="BA580" s="11"/>
      <x:c r="BB580" s="11"/>
      <x:c r="BC580" s="11"/>
      <x:c r="BD580" s="11"/>
      <x:c r="BE580" s="11"/>
      <x:c r="BF580" s="11"/>
      <x:c r="BG580" s="11"/>
      <x:c r="BH580" s="11"/>
      <x:c r="BI580" s="11"/>
      <x:c r="BJ580" s="11"/>
      <x:c r="BK580" s="12"/>
      <x:c r="BL580" s="12"/>
      <x:c r="BM580" s="12"/>
      <x:c r="BN580" s="12"/>
      <x:c r="BO580" s="12"/>
      <x:c r="BP580" s="12"/>
      <x:c r="BQ580" s="12"/>
      <x:c r="BR580" s="12"/>
      <x:c r="BS580" s="12"/>
      <x:c r="BT580" s="12"/>
      <x:c r="BU580" s="11" t="n">
        <x:v>161777</x:v>
      </x:c>
      <x:c r="BV580" s="11" t="n">
        <x:v>565116</x:v>
      </x:c>
      <x:c r="BW580" s="11" t="n">
        <x:v>1468042</x:v>
      </x:c>
      <x:c r="BX580" s="11" t="n">
        <x:v>1110458</x:v>
      </x:c>
      <x:c r="BY580" s="11" t="n">
        <x:v>0</x:v>
      </x:c>
      <x:c r="BZ580" s="11" t="n">
        <x:v>6353243</x:v>
      </x:c>
      <x:c r="CA580" s="11" t="n">
        <x:v>38107</x:v>
      </x:c>
      <x:c r="CB580" s="11" t="n">
        <x:v>48073</x:v>
      </x:c>
      <x:c r="CC580" s="11" t="n">
        <x:v>2787149</x:v>
      </x:c>
      <x:c r="CD580" s="11" t="n">
        <x:v>4592170</x:v>
      </x:c>
      <x:c r="CE580" s="11" t="n">
        <x:v>689842</x:v>
      </x:c>
      <x:c r="CF580" s="11" t="n">
        <x:v>0</x:v>
      </x:c>
      <x:c r="CG580" s="11" t="n">
        <x:v>901538</x:v>
      </x:c>
      <x:c r="CH580" s="11" t="n">
        <x:v>2660858</x:v>
      </x:c>
      <x:c r="CI580" s="11" t="n">
        <x:v>2891676</x:v>
      </x:c>
      <x:c r="CJ580" s="11" t="n">
        <x:v>2042566</x:v>
      </x:c>
      <x:c r="CK580" s="11" t="n">
        <x:v>3583459</x:v>
      </x:c>
      <x:c r="CL580" s="11" t="n">
        <x:v>0</x:v>
      </x:c>
      <x:c r="CM580" s="11"/>
      <x:c r="CN580" s="11" t="n">
        <x:v>0</x:v>
      </x:c>
      <x:c r="CO580" s="11" t="n">
        <x:v>0</x:v>
      </x:c>
      <x:c r="CP580" s="8"/>
      <x:c r="CQ580" s="8"/>
    </x:row>
    <x:row r="581">
      <x:c r="A581" s="8" t="str">
        <x:v>Parksville|2020</x:v>
      </x:c>
      <x:c r="B581" s="8" t="str">
        <x:v>parksville-c</x:v>
      </x:c>
      <x:c r="C581" s="8" t="str">
        <x:v>Parksville</x:v>
      </x:c>
      <x:c r="D581" s="8" t="str">
        <x:v>Parksville</x:v>
      </x:c>
      <x:c r="E581" s="8" t="str">
        <x:v>C</x:v>
      </x:c>
      <x:c r="F581" s="8" t="str">
        <x:v>NAN</x:v>
      </x:c>
      <x:c r="G581" s="9" t="n">
        <x:v>2020</x:v>
      </x:c>
      <x:c r="H581" s="10" t="n">
        <x:v>13685</x:v>
      </x:c>
      <x:c r="I581" s="8" t="str">
        <x:v>5,000 to 19,999</x:v>
      </x:c>
      <x:c r="J581" s="11" t="n">
        <x:v>31529085</x:v>
      </x:c>
      <x:c r="K581" s="11" t="n">
        <x:v>25256439</x:v>
      </x:c>
      <x:c r="L581" s="11" t="n">
        <x:v>6272646</x:v>
      </x:c>
      <x:c r="M581" s="12" t="n">
        <x:v>0.1989479237979789</x:v>
      </x:c>
      <x:c r="N581" s="11" t="n">
        <x:v>15626950</x:v>
      </x:c>
      <x:c r="O581" s="11" t="n">
        <x:v>8784039</x:v>
      </x:c>
      <x:c r="P581" s="11" t="n">
        <x:v>4880198</x:v>
      </x:c>
      <x:c r="Q581" s="11" t="n">
        <x:v>2237898</x:v>
      </x:c>
      <x:c r="R581" s="11" t="n">
        <x:v>20082526</x:v>
      </x:c>
      <x:c r="S581" s="11" t="n">
        <x:v>4938253</x:v>
      </x:c>
      <x:c r="T581" s="11" t="n">
        <x:v>59640513</x:v>
      </x:c>
      <x:c r="U581" s="11" t="n">
        <x:v>26875151</x:v>
      </x:c>
      <x:c r="V581" s="11" t="n">
        <x:v>36866176</x:v>
      </x:c>
      <x:c r="W581" s="11" t="n">
        <x:v>6804970</x:v>
      </x:c>
      <x:c r="X581" s="11" t="n">
        <x:v>6125523</x:v>
      </x:c>
      <x:c r="Y581" s="11" t="n">
        <x:v>0</x:v>
      </x:c>
      <x:c r="Z581" s="11" t="n">
        <x:v>261587</x:v>
      </x:c>
      <x:c r="AA581" s="11" t="n">
        <x:v>5769934</x:v>
      </x:c>
      <x:c r="AB581" s="11" t="n">
        <x:v>235660</x:v>
      </x:c>
      <x:c r="AC581" s="11" t="n">
        <x:v>497247</x:v>
      </x:c>
      <x:c r="AD581" s="11" t="n">
        <x:v>6477091</x:v>
      </x:c>
      <x:c r="AE581" s="11" t="n">
        <x:v>5979844</x:v>
      </x:c>
      <x:c r="AF581" s="11" t="n">
        <x:v>25908363</x:v>
      </x:c>
      <x:c r="AG581" s="11" t="n">
        <x:v>271045637</x:v>
      </x:c>
      <x:c r="AH581" s="11" t="n">
        <x:v>74737405</x:v>
      </x:c>
      <x:c r="AI581" s="11" t="n">
        <x:v>196308232</x:v>
      </x:c>
      <x:c r="AJ581" s="11" t="n">
        <x:v>2563048</x:v>
      </x:c>
      <x:c r="AK581" s="11" t="n">
        <x:v>723198945</x:v>
      </x:c>
      <x:c r="AL581" s="11" t="n">
        <x:v>10793000</x:v>
      </x:c>
      <x:c r="AM581" s="12" t="n">
        <x:v>0.9850760291139529</x:v>
      </x:c>
      <x:c r="AN581" s="12" t="n">
        <x:v>0.0035440427806486914</x:v>
      </x:c>
      <x:c r="AO581" s="11" t="n">
        <x:v>26043233</x:v>
      </x:c>
      <x:c r="AP581" s="11" t="n">
        <x:v>25615353</x:v>
      </x:c>
      <x:c r="AQ581" s="12" t="n">
        <x:v>0.983570396194666</x:v>
      </x:c>
      <x:c r="AR581" s="11" t="n">
        <x:v>2303.915601023018</x:v>
      </x:c>
      <x:c r="AS581" s="11" t="n">
        <x:v>1845.5563755937158</x:v>
      </x:c>
      <x:c r="AT581" s="11" t="n">
        <x:v>2693.911289733285</x:v>
      </x:c>
      <x:c r="AU581" s="11" t="n">
        <x:v>497.2575812933869</x:v>
      </x:c>
      <x:c r="AV581" s="11" t="n">
        <x:v>421.6246985750822</x:v>
      </x:c>
      <x:c r="AW581" s="11" t="n">
        <x:v>2.2191694104341964</x:v>
      </x:c>
      <x:c r="AX581" s="12" t="n">
        <x:v>0.9232298882322326</x:v>
      </x:c>
      <x:c r="AY581" s="11"/>
      <x:c r="AZ581" s="11"/>
      <x:c r="BA581" s="11"/>
      <x:c r="BB581" s="11"/>
      <x:c r="BC581" s="11"/>
      <x:c r="BD581" s="11"/>
      <x:c r="BE581" s="11"/>
      <x:c r="BF581" s="11"/>
      <x:c r="BG581" s="11"/>
      <x:c r="BH581" s="11"/>
      <x:c r="BI581" s="11"/>
      <x:c r="BJ581" s="11"/>
      <x:c r="BK581" s="12"/>
      <x:c r="BL581" s="12"/>
      <x:c r="BM581" s="12"/>
      <x:c r="BN581" s="12"/>
      <x:c r="BO581" s="12"/>
      <x:c r="BP581" s="12"/>
      <x:c r="BQ581" s="12"/>
      <x:c r="BR581" s="12"/>
      <x:c r="BS581" s="12"/>
      <x:c r="BT581" s="12"/>
      <x:c r="BU581" s="11" t="n">
        <x:v>0</x:v>
      </x:c>
      <x:c r="BV581" s="11" t="n">
        <x:v>3336792</x:v>
      </x:c>
      <x:c r="BW581" s="11" t="n">
        <x:v>1543406</x:v>
      </x:c>
      <x:c r="BX581" s="11" t="n">
        <x:v>1076045</x:v>
      </x:c>
      <x:c r="BY581" s="11" t="n">
        <x:v>0</x:v>
      </x:c>
      <x:c r="BZ581" s="11" t="n">
        <x:v>1122314</x:v>
      </x:c>
      <x:c r="CA581" s="11" t="n">
        <x:v>0</x:v>
      </x:c>
      <x:c r="CB581" s="11" t="n">
        <x:v>39539</x:v>
      </x:c>
      <x:c r="CC581" s="11" t="n">
        <x:v>2767184</x:v>
      </x:c>
      <x:c r="CD581" s="11" t="n">
        <x:v>4513288</x:v>
      </x:c>
      <x:c r="CE581" s="11" t="n">
        <x:v>713410</x:v>
      </x:c>
      <x:c r="CF581" s="11" t="n">
        <x:v>0</x:v>
      </x:c>
      <x:c r="CG581" s="11" t="n">
        <x:v>715071</x:v>
      </x:c>
      <x:c r="CH581" s="11" t="n">
        <x:v>2550840</x:v>
      </x:c>
      <x:c r="CI581" s="11" t="n">
        <x:v>3126235</x:v>
      </x:c>
      <x:c r="CJ581" s="11" t="n">
        <x:v>2319418</x:v>
      </x:c>
      <x:c r="CK581" s="11" t="n">
        <x:v>3495865</x:v>
      </x:c>
      <x:c r="CL581" s="11" t="n">
        <x:v>0</x:v>
      </x:c>
      <x:c r="CM581" s="11"/>
      <x:c r="CN581" s="11" t="n">
        <x:v>116875</x:v>
      </x:c>
      <x:c r="CO581" s="11" t="n">
        <x:v>0</x:v>
      </x:c>
      <x:c r="CP581" s="8"/>
      <x:c r="CQ581" s="8"/>
    </x:row>
    <x:row r="582">
      <x:c r="A582" s="8" t="str">
        <x:v>Parksville|2021</x:v>
      </x:c>
      <x:c r="B582" s="8" t="str">
        <x:v>parksville-c</x:v>
      </x:c>
      <x:c r="C582" s="8" t="str">
        <x:v>Parksville</x:v>
      </x:c>
      <x:c r="D582" s="8" t="str">
        <x:v>Parksville</x:v>
      </x:c>
      <x:c r="E582" s="8" t="str">
        <x:v>C</x:v>
      </x:c>
      <x:c r="F582" s="8" t="str">
        <x:v>NAN</x:v>
      </x:c>
      <x:c r="G582" s="9" t="n">
        <x:v>2021</x:v>
      </x:c>
      <x:c r="H582" s="10" t="n">
        <x:v>13871</x:v>
      </x:c>
      <x:c r="I582" s="8" t="str">
        <x:v>5,000 to 19,999</x:v>
      </x:c>
      <x:c r="J582" s="11" t="n">
        <x:v>32811723</x:v>
      </x:c>
      <x:c r="K582" s="11" t="n">
        <x:v>26665437</x:v>
      </x:c>
      <x:c r="L582" s="11" t="n">
        <x:v>6146286</x:v>
      </x:c>
      <x:c r="M582" s="12" t="n">
        <x:v>0.18731981859044708</x:v>
      </x:c>
      <x:c r="N582" s="11" t="n">
        <x:v>16545086</x:v>
      </x:c>
      <x:c r="O582" s="11" t="n">
        <x:v>9898154</x:v>
      </x:c>
      <x:c r="P582" s="11" t="n">
        <x:v>2914628</x:v>
      </x:c>
      <x:c r="Q582" s="11" t="n">
        <x:v>3453855</x:v>
      </x:c>
      <x:c r="R582" s="11" t="n">
        <x:v>21433574</x:v>
      </x:c>
      <x:c r="S582" s="11" t="n">
        <x:v>5009453</x:v>
      </x:c>
      <x:c r="T582" s="11" t="n">
        <x:v>68843419</x:v>
      </x:c>
      <x:c r="U582" s="11" t="n">
        <x:v>32522088</x:v>
      </x:c>
      <x:c r="V582" s="11" t="n">
        <x:v>40800174</x:v>
      </x:c>
      <x:c r="W582" s="11" t="n">
        <x:v>8112911</x:v>
      </x:c>
      <x:c r="X582" s="11" t="n">
        <x:v>5769934</x:v>
      </x:c>
      <x:c r="Y582" s="11" t="n">
        <x:v>0</x:v>
      </x:c>
      <x:c r="Z582" s="11" t="n">
        <x:v>262717</x:v>
      </x:c>
      <x:c r="AA582" s="11" t="n">
        <x:v>5413664</x:v>
      </x:c>
      <x:c r="AB582" s="11" t="n">
        <x:v>222410</x:v>
      </x:c>
      <x:c r="AC582" s="11" t="n">
        <x:v>485127</x:v>
      </x:c>
      <x:c r="AD582" s="11" t="n">
        <x:v>6977432</x:v>
      </x:c>
      <x:c r="AE582" s="11" t="n">
        <x:v>6492305</x:v>
      </x:c>
      <x:c r="AF582" s="11" t="n">
        <x:v>27909727</x:v>
      </x:c>
      <x:c r="AG582" s="11" t="n">
        <x:v>277922264</x:v>
      </x:c>
      <x:c r="AH582" s="11" t="n">
        <x:v>79365380</x:v>
      </x:c>
      <x:c r="AI582" s="11" t="n">
        <x:v>198556884</x:v>
      </x:c>
      <x:c r="AJ582" s="11" t="n">
        <x:v>7431815</x:v>
      </x:c>
      <x:c r="AK582" s="11" t="n">
        <x:v>727449602</x:v>
      </x:c>
      <x:c r="AL582" s="11" t="n">
        <x:v>10829900</x:v>
      </x:c>
      <x:c r="AM582" s="12" t="n">
        <x:v>0.9851125081789515</x:v>
      </x:c>
      <x:c r="AN582" s="12" t="n">
        <x:v>0.01021626100222954</x:v>
      </x:c>
      <x:c r="AO582" s="11" t="n">
        <x:v>28432791</x:v>
      </x:c>
      <x:c r="AP582" s="11" t="n">
        <x:v>28054014</x:v>
      </x:c>
      <x:c r="AQ582" s="12" t="n">
        <x:v>0.9866781632517188</x:v>
      </x:c>
      <x:c r="AR582" s="11" t="n">
        <x:v>2365.4908081609115</x:v>
      </x:c>
      <x:c r="AS582" s="11" t="n">
        <x:v>1922.3874990988393</x:v>
      </x:c>
      <x:c r="AT582" s="11" t="n">
        <x:v>2941.401052555692</x:v>
      </x:c>
      <x:c r="AU582" s="11" t="n">
        <x:v>584.8829212025088</x:v>
      </x:c>
      <x:c r="AV582" s="11" t="n">
        <x:v>390.2864970081465</x:v>
      </x:c>
      <x:c r="AW582" s="11" t="n">
        <x:v>2.116820389883946</x:v>
      </x:c>
      <x:c r="AX582" s="12" t="n">
        <x:v>0.9304719845352846</x:v>
      </x:c>
      <x:c r="AY582" s="11"/>
      <x:c r="AZ582" s="11"/>
      <x:c r="BA582" s="11"/>
      <x:c r="BB582" s="11"/>
      <x:c r="BC582" s="11"/>
      <x:c r="BD582" s="11"/>
      <x:c r="BE582" s="11"/>
      <x:c r="BF582" s="11"/>
      <x:c r="BG582" s="11"/>
      <x:c r="BH582" s="11"/>
      <x:c r="BI582" s="11"/>
      <x:c r="BJ582" s="11"/>
      <x:c r="BK582" s="12"/>
      <x:c r="BL582" s="12"/>
      <x:c r="BM582" s="12"/>
      <x:c r="BN582" s="12"/>
      <x:c r="BO582" s="12"/>
      <x:c r="BP582" s="12"/>
      <x:c r="BQ582" s="12"/>
      <x:c r="BR582" s="12"/>
      <x:c r="BS582" s="12"/>
      <x:c r="BT582" s="12"/>
      <x:c r="BU582" s="11" t="n">
        <x:v>126717</x:v>
      </x:c>
      <x:c r="BV582" s="11" t="n">
        <x:v>769636</x:v>
      </x:c>
      <x:c r="BW582" s="11" t="n">
        <x:v>2018275</x:v>
      </x:c>
      <x:c r="BX582" s="11" t="n">
        <x:v>891333</x:v>
      </x:c>
      <x:c r="BY582" s="11" t="n">
        <x:v>0</x:v>
      </x:c>
      <x:c r="BZ582" s="11" t="n">
        <x:v>2003415</x:v>
      </x:c>
      <x:c r="CA582" s="11" t="n">
        <x:v>360281</x:v>
      </x:c>
      <x:c r="CB582" s="11" t="n">
        <x:v>198826</x:v>
      </x:c>
      <x:c r="CC582" s="11" t="n">
        <x:v>3217892</x:v>
      </x:c>
      <x:c r="CD582" s="11" t="n">
        <x:v>4864734</x:v>
      </x:c>
      <x:c r="CE582" s="11" t="n">
        <x:v>788238</x:v>
      </x:c>
      <x:c r="CF582" s="11" t="n">
        <x:v>0</x:v>
      </x:c>
      <x:c r="CG582" s="11" t="n">
        <x:v>747260</x:v>
      </x:c>
      <x:c r="CH582" s="11" t="n">
        <x:v>2869178</x:v>
      </x:c>
      <x:c r="CI582" s="11" t="n">
        <x:v>2951541</x:v>
      </x:c>
      <x:c r="CJ582" s="11" t="n">
        <x:v>2551518</x:v>
      </x:c>
      <x:c r="CK582" s="11" t="n">
        <x:v>3650325</x:v>
      </x:c>
      <x:c r="CL582" s="11" t="n">
        <x:v>0</x:v>
      </x:c>
      <x:c r="CM582" s="11"/>
      <x:c r="CN582" s="11" t="n">
        <x:v>15298</x:v>
      </x:c>
      <x:c r="CO582" s="11" t="n">
        <x:v>0</x:v>
      </x:c>
      <x:c r="CP582" s="8"/>
      <x:c r="CQ582" s="8"/>
    </x:row>
    <x:row r="583">
      <x:c r="A583" s="8" t="str">
        <x:v>Parksville|2022</x:v>
      </x:c>
      <x:c r="B583" s="8" t="str">
        <x:v>parksville-c</x:v>
      </x:c>
      <x:c r="C583" s="8" t="str">
        <x:v>Parksville</x:v>
      </x:c>
      <x:c r="D583" s="8" t="str">
        <x:v>Parksville</x:v>
      </x:c>
      <x:c r="E583" s="8" t="str">
        <x:v>C</x:v>
      </x:c>
      <x:c r="F583" s="8" t="str">
        <x:v>NAN</x:v>
      </x:c>
      <x:c r="G583" s="9" t="n">
        <x:v>2022</x:v>
      </x:c>
      <x:c r="H583" s="10" t="n">
        <x:v>6159</x:v>
      </x:c>
      <x:c r="I583" s="8" t="str">
        <x:v>5,000 to 19,999</x:v>
      </x:c>
      <x:c r="J583" s="11" t="n">
        <x:v>41102982</x:v>
      </x:c>
      <x:c r="K583" s="11" t="n">
        <x:v>28265519</x:v>
      </x:c>
      <x:c r="L583" s="11" t="n">
        <x:v>12837463</x:v>
      </x:c>
      <x:c r="M583" s="12" t="n">
        <x:v>0.3123243710152222</x:v>
      </x:c>
      <x:c r="N583" s="11" t="n">
        <x:v>17382322</x:v>
      </x:c>
      <x:c r="O583" s="11" t="n">
        <x:v>10203860</x:v>
      </x:c>
      <x:c r="P583" s="11" t="n">
        <x:v>3980451</x:v>
      </x:c>
      <x:c r="Q583" s="11" t="n">
        <x:v>9536349</x:v>
      </x:c>
      <x:c r="R583" s="11" t="n">
        <x:v>22867301</x:v>
      </x:c>
      <x:c r="S583" s="11" t="n">
        <x:v>5186911</x:v>
      </x:c>
      <x:c r="T583" s="11" t="n">
        <x:v>73721433</x:v>
      </x:c>
      <x:c r="U583" s="11" t="n">
        <x:v>31691223</x:v>
      </x:c>
      <x:c r="V583" s="11" t="n">
        <x:v>46164255</x:v>
      </x:c>
      <x:c r="W583" s="11" t="n">
        <x:v>9884790</x:v>
      </x:c>
      <x:c r="X583" s="11" t="n">
        <x:v>5413664</x:v>
      </x:c>
      <x:c r="Y583" s="11" t="n">
        <x:v>0</x:v>
      </x:c>
      <x:c r="Z583" s="11" t="n">
        <x:v>223352</x:v>
      </x:c>
      <x:c r="AA583" s="11" t="n">
        <x:v>5142048</x:v>
      </x:c>
      <x:c r="AB583" s="11" t="n">
        <x:v>211307</x:v>
      </x:c>
      <x:c r="AC583" s="11" t="n">
        <x:v>434659</x:v>
      </x:c>
      <x:c r="AD583" s="11" t="n">
        <x:v>7554169</x:v>
      </x:c>
      <x:c r="AE583" s="11" t="n">
        <x:v>7119510</x:v>
      </x:c>
      <x:c r="AF583" s="11" t="n">
        <x:v>30216675</x:v>
      </x:c>
      <x:c r="AG583" s="11" t="n">
        <x:v>290354568</x:v>
      </x:c>
      <x:c r="AH583" s="11" t="n">
        <x:v>84266535</x:v>
      </x:c>
      <x:c r="AI583" s="11" t="n">
        <x:v>206088033</x:v>
      </x:c>
      <x:c r="AJ583" s="11" t="n">
        <x:v>14400740</x:v>
      </x:c>
      <x:c r="AK583" s="11" t="n">
        <x:v>1358327389</x:v>
      </x:c>
      <x:c r="AL583" s="11" t="n">
        <x:v>510329000</x:v>
      </x:c>
      <x:c r="AM583" s="12" t="n">
        <x:v>0.624296024557302</x:v>
      </x:c>
      <x:c r="AN583" s="12" t="n">
        <x:v>0.010601818174778775</x:v>
      </x:c>
      <x:c r="AO583" s="11" t="n">
        <x:v>30678834</x:v>
      </x:c>
      <x:c r="AP583" s="11" t="n">
        <x:v>30310349</x:v>
      </x:c>
      <x:c r="AQ583" s="12" t="n">
        <x:v>0.9879889502971332</x:v>
      </x:c>
      <x:c r="AR583" s="11" t="n">
        <x:v>6673.64539698003</x:v>
      </x:c>
      <x:c r="AS583" s="11" t="n">
        <x:v>4589.303295989609</x:v>
      </x:c>
      <x:c r="AT583" s="11" t="n">
        <x:v>7495.41402825134</x:v>
      </x:c>
      <x:c r="AU583" s="11" t="n">
        <x:v>1604.934242571846</x:v>
      </x:c>
      <x:c r="AV583" s="11" t="n">
        <x:v>834.8835849975645</x:v>
      </x:c>
      <x:c r="AW583" s="11" t="n">
        <x:v>2.3262413381774505</x:v>
      </x:c>
      <x:c r="AX583" s="12" t="n">
        <x:v>0.9424610436965337</x:v>
      </x:c>
      <x:c r="AY583" s="11"/>
      <x:c r="AZ583" s="11"/>
      <x:c r="BA583" s="11"/>
      <x:c r="BB583" s="11"/>
      <x:c r="BC583" s="11"/>
      <x:c r="BD583" s="11"/>
      <x:c r="BE583" s="11"/>
      <x:c r="BF583" s="11"/>
      <x:c r="BG583" s="11"/>
      <x:c r="BH583" s="11"/>
      <x:c r="BI583" s="11"/>
      <x:c r="BJ583" s="11"/>
      <x:c r="BK583" s="12"/>
      <x:c r="BL583" s="12"/>
      <x:c r="BM583" s="12"/>
      <x:c r="BN583" s="12"/>
      <x:c r="BO583" s="12"/>
      <x:c r="BP583" s="12"/>
      <x:c r="BQ583" s="12"/>
      <x:c r="BR583" s="12"/>
      <x:c r="BS583" s="12"/>
      <x:c r="BT583" s="12"/>
      <x:c r="BU583" s="11" t="n">
        <x:v>364106</x:v>
      </x:c>
      <x:c r="BV583" s="11" t="n">
        <x:v>2180938</x:v>
      </x:c>
      <x:c r="BW583" s="11" t="n">
        <x:v>1435407</x:v>
      </x:c>
      <x:c r="BX583" s="11" t="n">
        <x:v>1150540</x:v>
      </x:c>
      <x:c r="BY583" s="11" t="n">
        <x:v>0</x:v>
      </x:c>
      <x:c r="BZ583" s="11" t="n">
        <x:v>6664346</x:v>
      </x:c>
      <x:c r="CA583" s="11" t="n">
        <x:v>828586</x:v>
      </x:c>
      <x:c r="CB583" s="11" t="n">
        <x:v>892877</x:v>
      </x:c>
      <x:c r="CC583" s="11" t="n">
        <x:v>3623591</x:v>
      </x:c>
      <x:c r="CD583" s="11" t="n">
        <x:v>5260595</x:v>
      </x:c>
      <x:c r="CE583" s="11" t="n">
        <x:v>826214</x:v>
      </x:c>
      <x:c r="CF583" s="11" t="n">
        <x:v>0</x:v>
      </x:c>
      <x:c r="CG583" s="11" t="n">
        <x:v>807136</x:v>
      </x:c>
      <x:c r="CH583" s="11" t="n">
        <x:v>2901776</x:v>
      </x:c>
      <x:c r="CI583" s="11" t="n">
        <x:v>2803409</x:v>
      </x:c>
      <x:c r="CJ583" s="11" t="n">
        <x:v>2865684</x:v>
      </x:c>
      <x:c r="CK583" s="11" t="n">
        <x:v>3978938</x:v>
      </x:c>
      <x:c r="CL583" s="11" t="n">
        <x:v>0</x:v>
      </x:c>
      <x:c r="CM583" s="11"/>
      <x:c r="CN583" s="11" t="n">
        <x:v>11265</x:v>
      </x:c>
      <x:c r="CO583" s="11" t="n">
        <x:v>0</x:v>
      </x:c>
      <x:c r="CP583" s="8"/>
      <x:c r="CQ583" s="8"/>
    </x:row>
    <x:row r="584">
      <x:c r="A584" s="8" t="str">
        <x:v>Parksville|2023</x:v>
      </x:c>
      <x:c r="B584" s="8" t="str">
        <x:v>parksville-c</x:v>
      </x:c>
      <x:c r="C584" s="8" t="str">
        <x:v>Parksville</x:v>
      </x:c>
      <x:c r="D584" s="8" t="str">
        <x:v>Parksville</x:v>
      </x:c>
      <x:c r="E584" s="8" t="str">
        <x:v>C</x:v>
      </x:c>
      <x:c r="F584" s="8" t="str">
        <x:v>NAN</x:v>
      </x:c>
      <x:c r="G584" s="9" t="n">
        <x:v>2023</x:v>
      </x:c>
      <x:c r="H584" s="10" t="n">
        <x:v>14710</x:v>
      </x:c>
      <x:c r="I584" s="8" t="str">
        <x:v>5,000 to 19,999</x:v>
      </x:c>
      <x:c r="J584" s="11" t="n">
        <x:v>47263624</x:v>
      </x:c>
      <x:c r="K584" s="11" t="n">
        <x:v>32561689</x:v>
      </x:c>
      <x:c r="L584" s="11" t="n">
        <x:v>14701935</x:v>
      </x:c>
      <x:c r="M584" s="12" t="n">
        <x:v>0.3110623721955811</x:v>
      </x:c>
      <x:c r="N584" s="11" t="n">
        <x:v>19003260</x:v>
      </x:c>
      <x:c r="O584" s="11" t="n">
        <x:v>12007778</x:v>
      </x:c>
      <x:c r="P584" s="11" t="n">
        <x:v>6856038</x:v>
      </x:c>
      <x:c r="Q584" s="11" t="n">
        <x:v>9396548</x:v>
      </x:c>
      <x:c r="R584" s="11" t="n">
        <x:v>25401509</x:v>
      </x:c>
      <x:c r="S584" s="11" t="n">
        <x:v>6992482</x:v>
      </x:c>
      <x:c r="T584" s="11" t="n">
        <x:v>81597375</x:v>
      </x:c>
      <x:c r="U584" s="11" t="n">
        <x:v>33484866</x:v>
      </x:c>
      <x:c r="V584" s="11" t="n">
        <x:v>55124831</x:v>
      </x:c>
      <x:c r="W584" s="11" t="n">
        <x:v>2675335</x:v>
      </x:c>
      <x:c r="X584" s="11" t="n">
        <x:v>5142048</x:v>
      </x:c>
      <x:c r="Y584" s="11" t="n">
        <x:v>0</x:v>
      </x:c>
      <x:c r="Z584" s="11" t="n">
        <x:v>201405</x:v>
      </x:c>
      <x:c r="AA584" s="11" t="n">
        <x:v>4919956</x:v>
      </x:c>
      <x:c r="AB584" s="11" t="n">
        <x:v>167698</x:v>
      </x:c>
      <x:c r="AC584" s="11" t="n">
        <x:v>369103</x:v>
      </x:c>
      <x:c r="AD584" s="11" t="n">
        <x:v>8565726</x:v>
      </x:c>
      <x:c r="AE584" s="11" t="n">
        <x:v>8196623</x:v>
      </x:c>
      <x:c r="AF584" s="11" t="n">
        <x:v>34262905</x:v>
      </x:c>
      <x:c r="AG584" s="11" t="n">
        <x:v>306341134</x:v>
      </x:c>
      <x:c r="AH584" s="11" t="n">
        <x:v>90448351</x:v>
      </x:c>
      <x:c r="AI584" s="11" t="n">
        <x:v>215892783</x:v>
      </x:c>
      <x:c r="AJ584" s="11" t="n">
        <x:v>13105982</x:v>
      </x:c>
      <x:c r="AK584" s="11" t="n">
        <x:v>1407029223</x:v>
      </x:c>
      <x:c r="AL584" s="11" t="n">
        <x:v>21909191</x:v>
      </x:c>
      <x:c r="AM584" s="12" t="n">
        <x:v>0.9844287590891068</x:v>
      </x:c>
      <x:c r="AN584" s="12" t="n">
        <x:v>0.009314648044093965</x:v>
      </x:c>
      <x:c r="AO584" s="11" t="n">
        <x:v>34012487</x:v>
      </x:c>
      <x:c r="AP584" s="11" t="n">
        <x:v>33474225</x:v>
      </x:c>
      <x:c r="AQ584" s="12" t="n">
        <x:v>0.9841745768252701</x:v>
      </x:c>
      <x:c r="AR584" s="11" t="n">
        <x:v>3213.02678450034</x:v>
      </x:c>
      <x:c r="AS584" s="11" t="n">
        <x:v>2213.575050985724</x:v>
      </x:c>
      <x:c r="AT584" s="11" t="n">
        <x:v>3747.4392250169954</x:v>
      </x:c>
      <x:c r="AU584" s="11" t="n">
        <x:v>181.8718558803535</x:v>
      </x:c>
      <x:c r="AV584" s="11" t="n">
        <x:v>334.4633582596873</x:v>
      </x:c>
      <x:c r="AW584" s="11" t="n">
        <x:v>2.436843408601366</x:v>
      </x:c>
      <x:c r="AX584" s="12" t="n">
        <x:v>0.9569093151006698</x:v>
      </x:c>
      <x:c r="AY584" s="11"/>
      <x:c r="AZ584" s="11"/>
      <x:c r="BA584" s="11"/>
      <x:c r="BB584" s="11"/>
      <x:c r="BC584" s="11"/>
      <x:c r="BD584" s="11"/>
      <x:c r="BE584" s="11"/>
      <x:c r="BF584" s="11"/>
      <x:c r="BG584" s="11"/>
      <x:c r="BH584" s="11"/>
      <x:c r="BI584" s="11"/>
      <x:c r="BJ584" s="11"/>
      <x:c r="BK584" s="12"/>
      <x:c r="BL584" s="12"/>
      <x:c r="BM584" s="12"/>
      <x:c r="BN584" s="12"/>
      <x:c r="BO584" s="12"/>
      <x:c r="BP584" s="12"/>
      <x:c r="BQ584" s="12"/>
      <x:c r="BR584" s="12"/>
      <x:c r="BS584" s="12"/>
      <x:c r="BT584" s="12"/>
      <x:c r="BU584" s="11" t="n">
        <x:v>517976</x:v>
      </x:c>
      <x:c r="BV584" s="11" t="n">
        <x:v>5702816</x:v>
      </x:c>
      <x:c r="BW584" s="11" t="n">
        <x:v>635246</x:v>
      </x:c>
      <x:c r="BX584" s="11" t="n">
        <x:v>2652504</x:v>
      </x:c>
      <x:c r="BY584" s="11" t="n">
        <x:v>0</x:v>
      </x:c>
      <x:c r="BZ584" s="11" t="n">
        <x:v>6442864</x:v>
      </x:c>
      <x:c r="CA584" s="11" t="n">
        <x:v>123746</x:v>
      </x:c>
      <x:c r="CB584" s="11" t="n">
        <x:v>177434</x:v>
      </x:c>
      <x:c r="CC584" s="11" t="n">
        <x:v>3357094</x:v>
      </x:c>
      <x:c r="CD584" s="11" t="n">
        <x:v>5376282</x:v>
      </x:c>
      <x:c r="CE584" s="11" t="n">
        <x:v>861737</x:v>
      </x:c>
      <x:c r="CF584" s="11" t="n">
        <x:v>0</x:v>
      </x:c>
      <x:c r="CG584" s="11" t="n">
        <x:v>1044207</x:v>
      </x:c>
      <x:c r="CH584" s="11" t="n">
        <x:v>2725012</x:v>
      </x:c>
      <x:c r="CI584" s="11" t="n">
        <x:v>4281149</x:v>
      </x:c>
      <x:c r="CJ584" s="11" t="n">
        <x:v>3149318</x:v>
      </x:c>
      <x:c r="CK584" s="11" t="n">
        <x:v>4565535</x:v>
      </x:c>
      <x:c r="CL584" s="11" t="n">
        <x:v>0</x:v>
      </x:c>
      <x:c r="CM584" s="11" t="n">
        <x:v>0</x:v>
      </x:c>
      <x:c r="CN584" s="11" t="n">
        <x:v>208873</x:v>
      </x:c>
      <x:c r="CO584" s="11" t="n">
        <x:v>0</x:v>
      </x:c>
      <x:c r="CP584" s="8"/>
      <x:c r="CQ584" s="8"/>
    </x:row>
    <x:row r="585">
      <x:c r="A585" s="8" t="str">
        <x:v>Parksville|2024</x:v>
      </x:c>
      <x:c r="B585" s="8" t="str">
        <x:v>parksville-c</x:v>
      </x:c>
      <x:c r="C585" s="8" t="str">
        <x:v>Parksville</x:v>
      </x:c>
      <x:c r="D585" s="8" t="str">
        <x:v>Parksville</x:v>
      </x:c>
      <x:c r="E585" s="8" t="str">
        <x:v>C</x:v>
      </x:c>
      <x:c r="F585" s="8" t="str">
        <x:v>NAN</x:v>
      </x:c>
      <x:c r="G585" s="9" t="n">
        <x:v>2024</x:v>
      </x:c>
      <x:c r="H585" s="10" t="n">
        <x:v>14710</x:v>
      </x:c>
      <x:c r="I585" s="8" t="str">
        <x:v>5,000 to 19,999</x:v>
      </x:c>
      <x:c r="J585" s="11" t="n">
        <x:v>38550408</x:v>
      </x:c>
      <x:c r="K585" s="11" t="n">
        <x:v>33873525</x:v>
      </x:c>
      <x:c r="L585" s="11" t="n">
        <x:v>4676883</x:v>
      </x:c>
      <x:c r="M585" s="12" t="n">
        <x:v>0.1213186381840628</x:v>
      </x:c>
      <x:c r="N585" s="11" t="n">
        <x:v>20277743</x:v>
      </x:c>
      <x:c r="O585" s="11" t="n">
        <x:v>12489643</x:v>
      </x:c>
      <x:c r="P585" s="11" t="n">
        <x:v>1725954</x:v>
      </x:c>
      <x:c r="Q585" s="11" t="n">
        <x:v>4057068</x:v>
      </x:c>
      <x:c r="R585" s="11" t="n">
        <x:v>28009911</x:v>
      </x:c>
      <x:c r="S585" s="11" t="n">
        <x:v>5697960</x:v>
      </x:c>
      <x:c r="T585" s="11" t="n">
        <x:v>91682982</x:v>
      </x:c>
      <x:c r="U585" s="11" t="n">
        <x:v>35359262</x:v>
      </x:c>
      <x:c r="V585" s="11" t="n">
        <x:v>63610647</x:v>
      </x:c>
      <x:c r="W585" s="11" t="n">
        <x:v>7691509</x:v>
      </x:c>
      <x:c r="X585" s="11" t="n">
        <x:v>4919956</x:v>
      </x:c>
      <x:c r="Y585" s="11" t="n">
        <x:v>0</x:v>
      </x:c>
      <x:c r="Z585" s="11" t="n">
        <x:v>202624</x:v>
      </x:c>
      <x:c r="AA585" s="11" t="n">
        <x:v>4691342</x:v>
      </x:c>
      <x:c r="AB585" s="11" t="n">
        <x:v>165654</x:v>
      </x:c>
      <x:c r="AC585" s="11" t="n">
        <x:v>368278</x:v>
      </x:c>
      <x:c r="AD585" s="11" t="n">
        <x:v>9164951</x:v>
      </x:c>
      <x:c r="AE585" s="11" t="n">
        <x:v>8796673</x:v>
      </x:c>
      <x:c r="AF585" s="11" t="n">
        <x:v>36659805</x:v>
      </x:c>
      <x:c r="AG585" s="11" t="n">
        <x:v>308016686</x:v>
      </x:c>
      <x:c r="AH585" s="11" t="n">
        <x:v>95979168</x:v>
      </x:c>
      <x:c r="AI585" s="11" t="n">
        <x:v>212037518</x:v>
      </x:c>
      <x:c r="AJ585" s="11" t="n">
        <x:v>1945377</x:v>
      </x:c>
      <x:c r="AK585" s="11" t="n">
        <x:v>1181780016</x:v>
      </x:c>
      <x:c r="AL585" s="11" t="n">
        <x:v>20706461</x:v>
      </x:c>
      <x:c r="AM585" s="12" t="n">
        <x:v>0.9824785825452645</x:v>
      </x:c>
      <x:c r="AN585" s="12" t="n">
        <x:v>0.0016461413915125809</x:v>
      </x:c>
      <x:c r="AO585" s="11" t="n">
        <x:v>36912766</x:v>
      </x:c>
      <x:c r="AP585" s="11" t="n">
        <x:v>36196833</x:v>
      </x:c>
      <x:c r="AQ585" s="12" t="n">
        <x:v>0.9806047317071823</x:v>
      </x:c>
      <x:c r="AR585" s="11" t="n">
        <x:v>2620.693949694086</x:v>
      </x:c>
      <x:c r="AS585" s="11" t="n">
        <x:v>2302.7549286199865</x:v>
      </x:c>
      <x:c r="AT585" s="11" t="n">
        <x:v>4324.313188307274</x:v>
      </x:c>
      <x:c r="AU585" s="11" t="n">
        <x:v>522.8762066621346</x:v>
      </x:c>
      <x:c r="AV585" s="11" t="n">
        <x:v>318.9219578518015</x:v>
      </x:c>
      <x:c r="AW585" s="11" t="n">
        <x:v>2.592898630067562</x:v>
      </x:c>
      <x:c r="AX585" s="12" t="n">
        <x:v>0.9598166973287692</x:v>
      </x:c>
      <x:c r="AY585" s="11" t="n">
        <x:v>3601.3561989291247</x:v>
      </x:c>
      <x:c r="AZ585" s="11" t="n">
        <x:v>3546.5079302077975</x:v>
      </x:c>
      <x:c r="BA585" s="11" t="n">
        <x:v>2957.8976990295423</x:v>
      </x:c>
      <x:c r="BB585" s="11" t="n">
        <x:v>2783.665107049771</x:v>
      </x:c>
      <x:c r="BC585" s="11" t="n">
        <x:v>1917.0647247750476</x:v>
      </x:c>
      <x:c r="BD585" s="11" t="n">
        <x:v>2437.8724475115623</x:v>
      </x:c>
      <x:c r="BE585" s="11" t="n">
        <x:v>987.5598464714869</x:v>
      </x:c>
      <x:c r="BF585" s="11" t="n">
        <x:v>1604.3462673977224</x:v>
      </x:c>
      <x:c r="BG585" s="11" t="n">
        <x:v>936.3446522221191</x:v>
      </x:c>
      <x:c r="BH585" s="11" t="n">
        <x:v>518.5374381567245</x:v>
      </x:c>
      <x:c r="BI585" s="11" t="n">
        <x:v>1.3967465323081123</x:v>
      </x:c>
      <x:c r="BJ585" s="11" t="n">
        <x:v>1.7099330852451193</x:v>
      </x:c>
      <x:c r="BK585" s="12" t="n">
        <x:v>0.018327243000235003</x:v>
      </x:c>
      <x:c r="BL585" s="12" t="n">
        <x:v>0.02529861000232605</x:v>
      </x:c>
      <x:c r="BM585" s="12" t="n">
        <x:v>0.982034678745671</x:v>
      </x:c>
      <x:c r="BN585" s="12" t="n">
        <x:v>0.9815511712696461</x:v>
      </x:c>
      <x:c r="BO585" s="12" t="n">
        <x:v>0.7988058564062199</x:v>
      </x:c>
      <x:c r="BP585" s="12" t="n">
        <x:v>0.8619101997275483</x:v>
      </x:c>
      <x:c r="BQ585" s="12" t="n">
        <x:v>0.970292410805516</x:v>
      </x:c>
      <x:c r="BR585" s="12" t="n">
        <x:v>0.9623635142836453</x:v>
      </x:c>
      <x:c r="BS585" s="12" t="n">
        <x:v>0.19624174475580758</x:v>
      </x:c>
      <x:c r="BT585" s="12" t="n">
        <x:v>0.19976549769108282</x:v>
      </x:c>
      <x:c r="BU585" s="11" t="n">
        <x:v>684584</x:v>
      </x:c>
      <x:c r="BV585" s="11" t="n">
        <x:v>1041370</x:v>
      </x:c>
      <x:c r="BW585" s="11" t="n">
        <x:v>0</x:v>
      </x:c>
      <x:c r="BX585" s="11" t="n">
        <x:v>3378189</x:v>
      </x:c>
      <x:c r="BY585" s="11" t="n">
        <x:v>0</x:v>
      </x:c>
      <x:c r="BZ585" s="11" t="n">
        <x:v>580434</x:v>
      </x:c>
      <x:c r="CA585" s="11" t="n">
        <x:v>0</x:v>
      </x:c>
      <x:c r="CB585" s="11" t="n">
        <x:v>98445</x:v>
      </x:c>
      <x:c r="CC585" s="11" t="n">
        <x:v>4523892</x:v>
      </x:c>
      <x:c r="CD585" s="11" t="n">
        <x:v>6524470</x:v>
      </x:c>
      <x:c r="CE585" s="11" t="n">
        <x:v>928612</x:v>
      </x:c>
      <x:c r="CF585" s="11" t="n">
        <x:v>0</x:v>
      </x:c>
      <x:c r="CG585" s="11" t="n">
        <x:v>848097</x:v>
      </x:c>
      <x:c r="CH585" s="11" t="n">
        <x:v>2628372</x:v>
      </x:c>
      <x:c r="CI585" s="11" t="n">
        <x:v>4418792</x:v>
      </x:c>
      <x:c r="CJ585" s="11" t="n">
        <x:v>3474207</x:v>
      </x:c>
      <x:c r="CK585" s="11" t="n">
        <x:v>4727606</x:v>
      </x:c>
      <x:c r="CL585" s="11" t="n">
        <x:v>0</x:v>
      </x:c>
      <x:c r="CM585" s="11" t="n">
        <x:v>24940</x:v>
      </x:c>
      <x:c r="CN585" s="11" t="n">
        <x:v>76577</x:v>
      </x:c>
      <x:c r="CO585" s="11" t="n">
        <x:v>0</x:v>
      </x:c>
      <x:c r="CP585" s="8"/>
      <x:c r="CQ585" s="8"/>
    </x:row>
    <x:row r="586">
      <x:c r="A586" s="8" t="str">
        <x:v>Peachland|2019</x:v>
      </x:c>
      <x:c r="B586" s="8" t="str">
        <x:v>peachland-d</x:v>
      </x:c>
      <x:c r="C586" s="8" t="str">
        <x:v>Peachland</x:v>
      </x:c>
      <x:c r="D586" s="8" t="str">
        <x:v>Peachland</x:v>
      </x:c>
      <x:c r="E586" s="8" t="str">
        <x:v>D</x:v>
      </x:c>
      <x:c r="F586" s="8" t="str">
        <x:v>COK</x:v>
      </x:c>
      <x:c r="G586" s="9" t="n">
        <x:v>2019</x:v>
      </x:c>
      <x:c r="H586" s="10" t="n">
        <x:v>5696</x:v>
      </x:c>
      <x:c r="I586" s="8" t="str">
        <x:v>5,000 to 19,999</x:v>
      </x:c>
      <x:c r="J586" s="11" t="n">
        <x:v>14345138</x:v>
      </x:c>
      <x:c r="K586" s="11" t="n">
        <x:v>10105516</x:v>
      </x:c>
      <x:c r="L586" s="11" t="n">
        <x:v>4239622</x:v>
      </x:c>
      <x:c r="M586" s="12" t="n">
        <x:v>0.29554417670990685</x:v>
      </x:c>
      <x:c r="N586" s="11" t="n">
        <x:v>6928058</x:v>
      </x:c>
      <x:c r="O586" s="11" t="n">
        <x:v>2616143</x:v>
      </x:c>
      <x:c r="P586" s="11" t="n">
        <x:v>3884003</x:v>
      </x:c>
      <x:c r="Q586" s="11" t="n">
        <x:v>916934</x:v>
      </x:c>
      <x:c r="R586" s="11" t="n">
        <x:v>8380985</x:v>
      </x:c>
      <x:c r="S586" s="11" t="n">
        <x:v>1555378</x:v>
      </x:c>
      <x:c r="T586" s="11" t="n">
        <x:v>21862633</x:v>
      </x:c>
      <x:c r="U586" s="11" t="n">
        <x:v>12796440</x:v>
      </x:c>
      <x:c r="V586" s="11" t="n">
        <x:v>11034918</x:v>
      </x:c>
      <x:c r="W586" s="11" t="n">
        <x:v>776630</x:v>
      </x:c>
      <x:c r="X586" s="11" t="n">
        <x:v>3298791</x:v>
      </x:c>
      <x:c r="Y586" s="11" t="n">
        <x:v>417999</x:v>
      </x:c>
      <x:c r="Z586" s="11" t="n">
        <x:v>218802</x:v>
      </x:c>
      <x:c r="AA586" s="11" t="n">
        <x:v>3305243</x:v>
      </x:c>
      <x:c r="AB586" s="11" t="n">
        <x:v>169153</x:v>
      </x:c>
      <x:c r="AC586" s="11" t="n">
        <x:v>387955</x:v>
      </x:c>
      <x:c r="AD586" s="11" t="n">
        <x:v>2604836</x:v>
      </x:c>
      <x:c r="AE586" s="11" t="n">
        <x:v>1512483</x:v>
      </x:c>
      <x:c r="AF586" s="11" t="n">
        <x:v>10419342</x:v>
      </x:c>
      <x:c r="AG586" s="11" t="n">
        <x:v>106637436</x:v>
      </x:c>
      <x:c r="AH586" s="11" t="n">
        <x:v>33430210</x:v>
      </x:c>
      <x:c r="AI586" s="11" t="n">
        <x:v>73207226</x:v>
      </x:c>
      <x:c r="AJ586" s="11" t="n">
        <x:v>7767564</x:v>
      </x:c>
      <x:c r="AK586" s="11" t="n">
        <x:v>24851311</x:v>
      </x:c>
      <x:c r="AL586" s="11" t="n">
        <x:v>0</x:v>
      </x:c>
      <x:c r="AM586" s="12" t="n">
        <x:v>1</x:v>
      </x:c>
      <x:c r="AN586" s="12" t="n">
        <x:v>0.3125615385039445</x:v>
      </x:c>
      <x:c r="AO586" s="11" t="n">
        <x:v>11385744</x:v>
      </x:c>
      <x:c r="AP586" s="11" t="n">
        <x:v>10959842</x:v>
      </x:c>
      <x:c r="AQ586" s="12" t="n">
        <x:v>0.9625933974977832</x:v>
      </x:c>
      <x:c r="AR586" s="11" t="n">
        <x:v>2518.4582162921347</x:v>
      </x:c>
      <x:c r="AS586" s="11" t="n">
        <x:v>1774.1425561797753</x:v>
      </x:c>
      <x:c r="AT586" s="11" t="n">
        <x:v>1937.3100421348315</x:v>
      </x:c>
      <x:c r="AU586" s="11" t="n">
        <x:v>136.34655898876406</x:v>
      </x:c>
      <x:c r="AV586" s="11" t="n">
        <x:v>580.2744030898876</x:v>
      </x:c>
      <x:c r="AW586" s="11" t="n">
        <x:v>1.7084933778457134</x:v>
      </x:c>
      <x:c r="AX586" s="12" t="n">
        <x:v>0.5806442324967868</x:v>
      </x:c>
      <x:c r="AY586" s="11"/>
      <x:c r="AZ586" s="11"/>
      <x:c r="BA586" s="11"/>
      <x:c r="BB586" s="11"/>
      <x:c r="BC586" s="11"/>
      <x:c r="BD586" s="11"/>
      <x:c r="BE586" s="11"/>
      <x:c r="BF586" s="11"/>
      <x:c r="BG586" s="11"/>
      <x:c r="BH586" s="11"/>
      <x:c r="BI586" s="11"/>
      <x:c r="BJ586" s="11"/>
      <x:c r="BK586" s="12"/>
      <x:c r="BL586" s="12"/>
      <x:c r="BM586" s="12"/>
      <x:c r="BN586" s="12"/>
      <x:c r="BO586" s="12"/>
      <x:c r="BP586" s="12"/>
      <x:c r="BQ586" s="12"/>
      <x:c r="BR586" s="12"/>
      <x:c r="BS586" s="12"/>
      <x:c r="BT586" s="12"/>
      <x:c r="BU586" s="11" t="n">
        <x:v>6940</x:v>
      </x:c>
      <x:c r="BV586" s="11" t="n">
        <x:v>3718883</x:v>
      </x:c>
      <x:c r="BW586" s="11" t="n">
        <x:v>158180</x:v>
      </x:c>
      <x:c r="BX586" s="11" t="n">
        <x:v>510867</x:v>
      </x:c>
      <x:c r="BY586" s="11" t="n">
        <x:v>0</x:v>
      </x:c>
      <x:c r="BZ586" s="11" t="n">
        <x:v>374504</x:v>
      </x:c>
      <x:c r="CA586" s="11" t="n">
        <x:v>31563</x:v>
      </x:c>
      <x:c r="CB586" s="11" t="n">
        <x:v>0</x:v>
      </x:c>
      <x:c r="CC586" s="11" t="n">
        <x:v>1639458</x:v>
      </x:c>
      <x:c r="CD586" s="11" t="n">
        <x:v>1384642</x:v>
      </x:c>
      <x:c r="CE586" s="11" t="n">
        <x:v>666332</x:v>
      </x:c>
      <x:c r="CF586" s="11" t="n">
        <x:v>28379</x:v>
      </x:c>
      <x:c r="CG586" s="11" t="n">
        <x:v>460568</x:v>
      </x:c>
      <x:c r="CH586" s="11" t="n">
        <x:v>975802</x:v>
      </x:c>
      <x:c r="CI586" s="11" t="n">
        <x:v>1380670</x:v>
      </x:c>
      <x:c r="CJ586" s="11" t="n">
        <x:v>833871</x:v>
      </x:c>
      <x:c r="CK586" s="11" t="n">
        <x:v>774183</x:v>
      </x:c>
      <x:c r="CL586" s="11" t="n">
        <x:v>406233</x:v>
      </x:c>
      <x:c r="CM586" s="11"/>
      <x:c r="CN586" s="11" t="n">
        <x:v>0</x:v>
      </x:c>
      <x:c r="CO586" s="11" t="n">
        <x:v>0</x:v>
      </x:c>
      <x:c r="CP586" s="8"/>
      <x:c r="CQ586" s="8"/>
    </x:row>
    <x:row r="587">
      <x:c r="A587" s="8" t="str">
        <x:v>Peachland|2020</x:v>
      </x:c>
      <x:c r="B587" s="8" t="str">
        <x:v>peachland-d</x:v>
      </x:c>
      <x:c r="C587" s="8" t="str">
        <x:v>Peachland</x:v>
      </x:c>
      <x:c r="D587" s="8" t="str">
        <x:v>Peachland</x:v>
      </x:c>
      <x:c r="E587" s="8" t="str">
        <x:v>D</x:v>
      </x:c>
      <x:c r="F587" s="8" t="str">
        <x:v>COK</x:v>
      </x:c>
      <x:c r="G587" s="9" t="n">
        <x:v>2020</x:v>
      </x:c>
      <x:c r="H587" s="10" t="n">
        <x:v>5781</x:v>
      </x:c>
      <x:c r="I587" s="8" t="str">
        <x:v>5,000 to 19,999</x:v>
      </x:c>
      <x:c r="J587" s="11" t="n">
        <x:v>18973181</x:v>
      </x:c>
      <x:c r="K587" s="11" t="n">
        <x:v>9295880</x:v>
      </x:c>
      <x:c r="L587" s="11" t="n">
        <x:v>9677301</x:v>
      </x:c>
      <x:c r="M587" s="12" t="n">
        <x:v>0.5100515828104945</x:v>
      </x:c>
      <x:c r="N587" s="11" t="n">
        <x:v>7265478</x:v>
      </x:c>
      <x:c r="O587" s="11" t="n">
        <x:v>2648662</x:v>
      </x:c>
      <x:c r="P587" s="11" t="n">
        <x:v>7949807</x:v>
      </x:c>
      <x:c r="Q587" s="11" t="n">
        <x:v>1109234</x:v>
      </x:c>
      <x:c r="R587" s="11" t="n">
        <x:v>7543027</x:v>
      </x:c>
      <x:c r="S587" s="11" t="n">
        <x:v>1583700</x:v>
      </x:c>
      <x:c r="T587" s="11" t="n">
        <x:v>19718913</x:v>
      </x:c>
      <x:c r="U587" s="11" t="n">
        <x:v>21612338</x:v>
      </x:c>
      <x:c r="V587" s="11" t="n">
        <x:v>5459630</x:v>
      </x:c>
      <x:c r="W587" s="11" t="n">
        <x:v>797712</x:v>
      </x:c>
      <x:c r="X587" s="11" t="n">
        <x:v>3305243</x:v>
      </x:c>
      <x:c r="Y587" s="11" t="n">
        <x:v>6987632</x:v>
      </x:c>
      <x:c r="Z587" s="11" t="n">
        <x:v>291112</x:v>
      </x:c>
      <x:c r="AA587" s="11" t="n">
        <x:v>9792616</x:v>
      </x:c>
      <x:c r="AB587" s="11" t="n">
        <x:v>169153</x:v>
      </x:c>
      <x:c r="AC587" s="11" t="n">
        <x:v>460265</x:v>
      </x:c>
      <x:c r="AD587" s="11" t="n">
        <x:v>2660550</x:v>
      </x:c>
      <x:c r="AE587" s="11" t="n">
        <x:v>2200285</x:v>
      </x:c>
      <x:c r="AF587" s="11" t="n">
        <x:v>10642198</x:v>
      </x:c>
      <x:c r="AG587" s="11" t="n">
        <x:v>123409028</x:v>
      </x:c>
      <x:c r="AH587" s="11" t="n">
        <x:v>34138992</x:v>
      </x:c>
      <x:c r="AI587" s="11" t="n">
        <x:v>89270036</x:v>
      </x:c>
      <x:c r="AJ587" s="11" t="n">
        <x:v>16814663</x:v>
      </x:c>
      <x:c r="AK587" s="11" t="n">
        <x:v>41435961</x:v>
      </x:c>
      <x:c r="AL587" s="11" t="n">
        <x:v>0</x:v>
      </x:c>
      <x:c r="AM587" s="12" t="n">
        <x:v>1</x:v>
      </x:c>
      <x:c r="AN587" s="12" t="n">
        <x:v>0.4057987939509838</x:v>
      </x:c>
      <x:c r="AO587" s="11" t="n">
        <x:v>11795040</x:v>
      </x:c>
      <x:c r="AP587" s="11" t="n">
        <x:v>11130743</x:v>
      </x:c>
      <x:c r="AQ587" s="12" t="n">
        <x:v>0.9436799705638981</x:v>
      </x:c>
      <x:c r="AR587" s="11" t="n">
        <x:v>3281.9894481923543</x:v>
      </x:c>
      <x:c r="AS587" s="11" t="n">
        <x:v>1608.0055353745026</x:v>
      </x:c>
      <x:c r="AT587" s="11" t="n">
        <x:v>944.4092717522919</x:v>
      </x:c>
      <x:c r="AU587" s="11" t="n">
        <x:v>137.98858329008823</x:v>
      </x:c>
      <x:c r="AV587" s="11" t="n">
        <x:v>1693.931153779623</x:v>
      </x:c>
      <x:c r="AW587" s="11" t="n">
        <x:v>0.9123914774977145</x:v>
      </x:c>
      <x:c r="AX587" s="12" t="n">
        <x:v>0.8270038150006578</x:v>
      </x:c>
      <x:c r="AY587" s="11"/>
      <x:c r="AZ587" s="11"/>
      <x:c r="BA587" s="11"/>
      <x:c r="BB587" s="11"/>
      <x:c r="BC587" s="11"/>
      <x:c r="BD587" s="11"/>
      <x:c r="BE587" s="11"/>
      <x:c r="BF587" s="11"/>
      <x:c r="BG587" s="11"/>
      <x:c r="BH587" s="11"/>
      <x:c r="BI587" s="11"/>
      <x:c r="BJ587" s="11"/>
      <x:c r="BK587" s="12"/>
      <x:c r="BL587" s="12"/>
      <x:c r="BM587" s="12"/>
      <x:c r="BN587" s="12"/>
      <x:c r="BO587" s="12"/>
      <x:c r="BP587" s="12"/>
      <x:c r="BQ587" s="12"/>
      <x:c r="BR587" s="12"/>
      <x:c r="BS587" s="12"/>
      <x:c r="BT587" s="12"/>
      <x:c r="BU587" s="11" t="n">
        <x:v>1662264</x:v>
      </x:c>
      <x:c r="BV587" s="11" t="n">
        <x:v>6130045</x:v>
      </x:c>
      <x:c r="BW587" s="11" t="n">
        <x:v>157498</x:v>
      </x:c>
      <x:c r="BX587" s="11" t="n">
        <x:v>376834</x:v>
      </x:c>
      <x:c r="BY587" s="11" t="n">
        <x:v>0</x:v>
      </x:c>
      <x:c r="BZ587" s="11" t="n">
        <x:v>721149</x:v>
      </x:c>
      <x:c r="CA587" s="11" t="n">
        <x:v>11251</x:v>
      </x:c>
      <x:c r="CB587" s="11" t="n">
        <x:v>0</x:v>
      </x:c>
      <x:c r="CC587" s="11" t="n">
        <x:v>1573806</x:v>
      </x:c>
      <x:c r="CD587" s="11" t="n">
        <x:v>1325838</x:v>
      </x:c>
      <x:c r="CE587" s="11" t="n">
        <x:v>148631</x:v>
      </x:c>
      <x:c r="CF587" s="11" t="n">
        <x:v>28652</x:v>
      </x:c>
      <x:c r="CG587" s="11" t="n">
        <x:v>459232</x:v>
      </x:c>
      <x:c r="CH587" s="11" t="n">
        <x:v>1107094</x:v>
      </x:c>
      <x:c r="CI587" s="11" t="n">
        <x:v>1190586</x:v>
      </x:c>
      <x:c r="CJ587" s="11" t="n">
        <x:v>697798</x:v>
      </x:c>
      <x:c r="CK587" s="11" t="n">
        <x:v>776637</x:v>
      </x:c>
      <x:c r="CL587" s="11" t="n">
        <x:v>403906</x:v>
      </x:c>
      <x:c r="CM587" s="11"/>
      <x:c r="CN587" s="11" t="n">
        <x:v>0</x:v>
      </x:c>
      <x:c r="CO587" s="11" t="n">
        <x:v>0</x:v>
      </x:c>
      <x:c r="CP587" s="8"/>
      <x:c r="CQ587" s="8"/>
    </x:row>
    <x:row r="588">
      <x:c r="A588" s="8" t="str">
        <x:v>Peachland|2021</x:v>
      </x:c>
      <x:c r="B588" s="8" t="str">
        <x:v>peachland-d</x:v>
      </x:c>
      <x:c r="C588" s="8" t="str">
        <x:v>Peachland</x:v>
      </x:c>
      <x:c r="D588" s="8" t="str">
        <x:v>Peachland</x:v>
      </x:c>
      <x:c r="E588" s="8" t="str">
        <x:v>D</x:v>
      </x:c>
      <x:c r="F588" s="8" t="str">
        <x:v>COK</x:v>
      </x:c>
      <x:c r="G588" s="9" t="n">
        <x:v>2021</x:v>
      </x:c>
      <x:c r="H588" s="10" t="n">
        <x:v>6043</x:v>
      </x:c>
      <x:c r="I588" s="8" t="str">
        <x:v>5,000 to 19,999</x:v>
      </x:c>
      <x:c r="J588" s="11" t="n">
        <x:v>16640889</x:v>
      </x:c>
      <x:c r="K588" s="11" t="n">
        <x:v>10901495</x:v>
      </x:c>
      <x:c r="L588" s="11" t="n">
        <x:v>5739394</x:v>
      </x:c>
      <x:c r="M588" s="12" t="n">
        <x:v>0.3448970785154567</x:v>
      </x:c>
      <x:c r="N588" s="11" t="n">
        <x:v>7715887</x:v>
      </x:c>
      <x:c r="O588" s="11" t="n">
        <x:v>3458741</x:v>
      </x:c>
      <x:c r="P588" s="11" t="n">
        <x:v>4184848</x:v>
      </x:c>
      <x:c r="Q588" s="11" t="n">
        <x:v>1281413</x:v>
      </x:c>
      <x:c r="R588" s="11" t="n">
        <x:v>8863803</x:v>
      </x:c>
      <x:c r="S588" s="11" t="n">
        <x:v>1880548</x:v>
      </x:c>
      <x:c r="T588" s="11" t="n">
        <x:v>24037979</x:v>
      </x:c>
      <x:c r="U588" s="11" t="n">
        <x:v>24137381</x:v>
      </x:c>
      <x:c r="V588" s="11" t="n">
        <x:v>2482025</x:v>
      </x:c>
      <x:c r="W588" s="11" t="n">
        <x:v>39306</x:v>
      </x:c>
      <x:c r="X588" s="11" t="n">
        <x:v>9792616</x:v>
      </x:c>
      <x:c r="Y588" s="11" t="n">
        <x:v>4240014</x:v>
      </x:c>
      <x:c r="Z588" s="11" t="n">
        <x:v>302660</x:v>
      </x:c>
      <x:c r="AA588" s="11" t="n">
        <x:v>13511371</x:v>
      </x:c>
      <x:c r="AB588" s="11" t="n">
        <x:v>157144</x:v>
      </x:c>
      <x:c r="AC588" s="11" t="n">
        <x:v>459804</x:v>
      </x:c>
      <x:c r="AD588" s="11" t="n">
        <x:v>2953274</x:v>
      </x:c>
      <x:c r="AE588" s="11" t="n">
        <x:v>1693064</x:v>
      </x:c>
      <x:c r="AF588" s="11" t="n">
        <x:v>11813094</x:v>
      </x:c>
      <x:c r="AG588" s="11" t="n">
        <x:v>134040917</x:v>
      </x:c>
      <x:c r="AH588" s="11" t="n">
        <x:v>36019546</x:v>
      </x:c>
      <x:c r="AI588" s="11" t="n">
        <x:v>98021371</x:v>
      </x:c>
      <x:c r="AJ588" s="11" t="n">
        <x:v>10631882</x:v>
      </x:c>
      <x:c r="AK588" s="11" t="n">
        <x:v>20818883</x:v>
      </x:c>
      <x:c r="AL588" s="11" t="n">
        <x:v>0</x:v>
      </x:c>
      <x:c r="AM588" s="12" t="n">
        <x:v>1</x:v>
      </x:c>
      <x:c r="AN588" s="12" t="n">
        <x:v>0.5106845549782858</x:v>
      </x:c>
      <x:c r="AO588" s="11" t="n">
        <x:v>12744129</x:v>
      </x:c>
      <x:c r="AP588" s="11" t="n">
        <x:v>12156895</x:v>
      </x:c>
      <x:c r="AQ588" s="12" t="n">
        <x:v>0.9539212134465996</x:v>
      </x:c>
      <x:c r="AR588" s="11" t="n">
        <x:v>2753.7463180539467</x:v>
      </x:c>
      <x:c r="AS588" s="11" t="n">
        <x:v>1803.9872579844448</x:v>
      </x:c>
      <x:c r="AT588" s="11" t="n">
        <x:v>410.72728777097467</x:v>
      </x:c>
      <x:c r="AU588" s="11" t="n">
        <x:v>6.504385239119642</x:v>
      </x:c>
      <x:c r="AV588" s="11" t="n">
        <x:v>2235.8714214793977</x:v>
      </x:c>
      <x:c r="AW588" s="11" t="n">
        <x:v>0.9958818233013764</x:v>
      </x:c>
      <x:c r="AX588" s="12" t="n">
        <x:v>0.5732837522017936</x:v>
      </x:c>
      <x:c r="AY588" s="11"/>
      <x:c r="AZ588" s="11"/>
      <x:c r="BA588" s="11"/>
      <x:c r="BB588" s="11"/>
      <x:c r="BC588" s="11"/>
      <x:c r="BD588" s="11"/>
      <x:c r="BE588" s="11"/>
      <x:c r="BF588" s="11"/>
      <x:c r="BG588" s="11"/>
      <x:c r="BH588" s="11"/>
      <x:c r="BI588" s="11"/>
      <x:c r="BJ588" s="11"/>
      <x:c r="BK588" s="12"/>
      <x:c r="BL588" s="12"/>
      <x:c r="BM588" s="12"/>
      <x:c r="BN588" s="12"/>
      <x:c r="BO588" s="12"/>
      <x:c r="BP588" s="12"/>
      <x:c r="BQ588" s="12"/>
      <x:c r="BR588" s="12"/>
      <x:c r="BS588" s="12"/>
      <x:c r="BT588" s="12"/>
      <x:c r="BU588" s="11" t="n">
        <x:v>26785</x:v>
      </x:c>
      <x:c r="BV588" s="11" t="n">
        <x:v>4010552</x:v>
      </x:c>
      <x:c r="BW588" s="11" t="n">
        <x:v>147511</x:v>
      </x:c>
      <x:c r="BX588" s="11" t="n">
        <x:v>303313</x:v>
      </x:c>
      <x:c r="BY588" s="11" t="n">
        <x:v>0</x:v>
      </x:c>
      <x:c r="BZ588" s="11" t="n">
        <x:v>978100</x:v>
      </x:c>
      <x:c r="CA588" s="11" t="n">
        <x:v>0</x:v>
      </x:c>
      <x:c r="CB588" s="11" t="n">
        <x:v>0</x:v>
      </x:c>
      <x:c r="CC588" s="11" t="n">
        <x:v>1680596</x:v>
      </x:c>
      <x:c r="CD588" s="11" t="n">
        <x:v>1428959</x:v>
      </x:c>
      <x:c r="CE588" s="11" t="n">
        <x:v>428670</x:v>
      </x:c>
      <x:c r="CF588" s="11" t="n">
        <x:v>42133</x:v>
      </x:c>
      <x:c r="CG588" s="11" t="n">
        <x:v>651340</x:v>
      </x:c>
      <x:c r="CH588" s="11" t="n">
        <x:v>956994</x:v>
      </x:c>
      <x:c r="CI588" s="11" t="n">
        <x:v>1264831</x:v>
      </x:c>
      <x:c r="CJ588" s="11" t="n">
        <x:v>1373994</x:v>
      </x:c>
      <x:c r="CK588" s="11" t="n">
        <x:v>771433</x:v>
      </x:c>
      <x:c r="CL588" s="11" t="n">
        <x:v>421997</x:v>
      </x:c>
      <x:c r="CM588" s="11"/>
      <x:c r="CN588" s="11" t="n">
        <x:v>0</x:v>
      </x:c>
      <x:c r="CO588" s="11" t="n">
        <x:v>0</x:v>
      </x:c>
      <x:c r="CP588" s="8"/>
      <x:c r="CQ588" s="8"/>
    </x:row>
    <x:row r="589">
      <x:c r="A589" s="8" t="str">
        <x:v>Peachland|2022</x:v>
      </x:c>
      <x:c r="B589" s="8" t="str">
        <x:v>peachland-d</x:v>
      </x:c>
      <x:c r="C589" s="8" t="str">
        <x:v>Peachland</x:v>
      </x:c>
      <x:c r="D589" s="8" t="str">
        <x:v>Peachland</x:v>
      </x:c>
      <x:c r="E589" s="8" t="str">
        <x:v>D</x:v>
      </x:c>
      <x:c r="F589" s="8" t="str">
        <x:v>COK</x:v>
      </x:c>
      <x:c r="G589" s="9" t="n">
        <x:v>2022</x:v>
      </x:c>
      <x:c r="H589" s="10" t="n">
        <x:v>3460</x:v>
      </x:c>
      <x:c r="I589" s="8" t="str">
        <x:v>Under 5,000</x:v>
      </x:c>
      <x:c r="J589" s="11" t="n">
        <x:v>13997611</x:v>
      </x:c>
      <x:c r="K589" s="11" t="n">
        <x:v>12674090</x:v>
      </x:c>
      <x:c r="L589" s="11" t="n">
        <x:v>1323521</x:v>
      </x:c>
      <x:c r="M589" s="12" t="n">
        <x:v>0.09455334913936385</x:v>
      </x:c>
      <x:c r="N589" s="11" t="n">
        <x:v>7743904</x:v>
      </x:c>
      <x:c r="O589" s="11" t="n">
        <x:v>3630572</x:v>
      </x:c>
      <x:c r="P589" s="11" t="n">
        <x:v>1287225</x:v>
      </x:c>
      <x:c r="Q589" s="11" t="n">
        <x:v>1335910</x:v>
      </x:c>
      <x:c r="R589" s="11" t="n">
        <x:v>10055546</x:v>
      </x:c>
      <x:c r="S589" s="11" t="n">
        <x:v>2161162</x:v>
      </x:c>
      <x:c r="T589" s="11" t="n">
        <x:v>27162752</x:v>
      </x:c>
      <x:c r="U589" s="11" t="n">
        <x:v>23533429</x:v>
      </x:c>
      <x:c r="V589" s="11" t="n">
        <x:v>5777690</x:v>
      </x:c>
      <x:c r="W589" s="11" t="n">
        <x:v>45149</x:v>
      </x:c>
      <x:c r="X589" s="11" t="n">
        <x:v>13511371</x:v>
      </x:c>
      <x:c r="Y589" s="11" t="n">
        <x:v>407811</x:v>
      </x:c>
      <x:c r="Z589" s="11" t="n">
        <x:v>9437868</x:v>
      </x:c>
      <x:c r="AA589" s="11" t="n">
        <x:v>13119058</x:v>
      </x:c>
      <x:c r="AB589" s="11" t="n">
        <x:v>457382</x:v>
      </x:c>
      <x:c r="AC589" s="11" t="n">
        <x:v>1017605</x:v>
      </x:c>
      <x:c r="AD589" s="11" t="n">
        <x:v>3040066</x:v>
      </x:c>
      <x:c r="AE589" s="11" t="n">
        <x:v>456211</x:v>
      </x:c>
      <x:c r="AF589" s="11" t="n">
        <x:v>12160262</x:v>
      </x:c>
      <x:c r="AG589" s="11" t="n">
        <x:v>134229927</x:v>
      </x:c>
      <x:c r="AH589" s="11" t="n">
        <x:v>38180701</x:v>
      </x:c>
      <x:c r="AI589" s="11" t="n">
        <x:v>96049226</x:v>
      </x:c>
      <x:c r="AJ589" s="11" t="n">
        <x:v>1207211</x:v>
      </x:c>
      <x:c r="AK589" s="11" t="n">
        <x:v>20305693</x:v>
      </x:c>
      <x:c r="AL589" s="11" t="n">
        <x:v>0</x:v>
      </x:c>
      <x:c r="AM589" s="12" t="n">
        <x:v>1</x:v>
      </x:c>
      <x:c r="AN589" s="12" t="n">
        <x:v>0.059451849291723265</x:v>
      </x:c>
      <x:c r="AO589" s="11" t="n">
        <x:v>13115384</x:v>
      </x:c>
      <x:c r="AP589" s="11" t="n">
        <x:v>12555593</x:v>
      </x:c>
      <x:c r="AQ589" s="12" t="n">
        <x:v>0.9573179862671196</x:v>
      </x:c>
      <x:c r="AR589" s="11" t="n">
        <x:v>4045.552312138728</x:v>
      </x:c>
      <x:c r="AS589" s="11" t="n">
        <x:v>3663.0317919075146</x:v>
      </x:c>
      <x:c r="AT589" s="11" t="n">
        <x:v>1669.8526011560693</x:v>
      </x:c>
      <x:c r="AU589" s="11" t="n">
        <x:v>13.048843930635838</x:v>
      </x:c>
      <x:c r="AV589" s="11" t="n">
        <x:v>3791.635260115607</x:v>
      </x:c>
      <x:c r="AW589" s="11" t="n">
        <x:v>1.1542198971514095</x:v>
      </x:c>
      <x:c r="AX589" s="12" t="n">
        <x:v>0.15006614987964076</x:v>
      </x:c>
      <x:c r="AY589" s="11"/>
      <x:c r="AZ589" s="11"/>
      <x:c r="BA589" s="11"/>
      <x:c r="BB589" s="11"/>
      <x:c r="BC589" s="11"/>
      <x:c r="BD589" s="11"/>
      <x:c r="BE589" s="11"/>
      <x:c r="BF589" s="11"/>
      <x:c r="BG589" s="11"/>
      <x:c r="BH589" s="11"/>
      <x:c r="BI589" s="11"/>
      <x:c r="BJ589" s="11"/>
      <x:c r="BK589" s="12"/>
      <x:c r="BL589" s="12"/>
      <x:c r="BM589" s="12"/>
      <x:c r="BN589" s="12"/>
      <x:c r="BO589" s="12"/>
      <x:c r="BP589" s="12"/>
      <x:c r="BQ589" s="12"/>
      <x:c r="BR589" s="12"/>
      <x:c r="BS589" s="12"/>
      <x:c r="BT589" s="12"/>
      <x:c r="BU589" s="11" t="n">
        <x:v>5000</x:v>
      </x:c>
      <x:c r="BV589" s="11" t="n">
        <x:v>876308</x:v>
      </x:c>
      <x:c r="BW589" s="11" t="n">
        <x:v>405917</x:v>
      </x:c>
      <x:c r="BX589" s="11" t="n">
        <x:v>366901</x:v>
      </x:c>
      <x:c r="BY589" s="11" t="n">
        <x:v>0</x:v>
      </x:c>
      <x:c r="BZ589" s="11" t="n">
        <x:v>245878</x:v>
      </x:c>
      <x:c r="CA589" s="11" t="n">
        <x:v>723131</x:v>
      </x:c>
      <x:c r="CB589" s="11" t="n">
        <x:v>0</x:v>
      </x:c>
      <x:c r="CC589" s="11" t="n">
        <x:v>1839839</x:v>
      </x:c>
      <x:c r="CD589" s="11" t="n">
        <x:v>1747646</x:v>
      </x:c>
      <x:c r="CE589" s="11" t="n">
        <x:v>530593</x:v>
      </x:c>
      <x:c r="CF589" s="11" t="n">
        <x:v>35870</x:v>
      </x:c>
      <x:c r="CG589" s="11" t="n">
        <x:v>998206</x:v>
      </x:c>
      <x:c r="CH589" s="11" t="n">
        <x:v>1068399</x:v>
      </x:c>
      <x:c r="CI589" s="11" t="n">
        <x:v>1255647</x:v>
      </x:c>
      <x:c r="CJ589" s="11" t="n">
        <x:v>1802553</x:v>
      </x:c>
      <x:c r="CK589" s="11" t="n">
        <x:v>797252</x:v>
      </x:c>
      <x:c r="CL589" s="11" t="n">
        <x:v>436923</x:v>
      </x:c>
      <x:c r="CM589" s="11"/>
      <x:c r="CN589" s="11" t="n">
        <x:v>0</x:v>
      </x:c>
      <x:c r="CO589" s="11" t="n">
        <x:v>0</x:v>
      </x:c>
      <x:c r="CP589" s="8"/>
      <x:c r="CQ589" s="8"/>
    </x:row>
    <x:row r="590">
      <x:c r="A590" s="8" t="str">
        <x:v>Peachland|2023</x:v>
      </x:c>
      <x:c r="B590" s="8" t="str">
        <x:v>peachland-d</x:v>
      </x:c>
      <x:c r="C590" s="8" t="str">
        <x:v>Peachland</x:v>
      </x:c>
      <x:c r="D590" s="8" t="str">
        <x:v>Peachland</x:v>
      </x:c>
      <x:c r="E590" s="8" t="str">
        <x:v>D</x:v>
      </x:c>
      <x:c r="F590" s="8" t="str">
        <x:v>COK</x:v>
      </x:c>
      <x:c r="G590" s="9" t="n">
        <x:v>2023</x:v>
      </x:c>
      <x:c r="H590" s="10" t="n">
        <x:v>6382</x:v>
      </x:c>
      <x:c r="I590" s="8" t="str">
        <x:v>5,000 to 19,999</x:v>
      </x:c>
      <x:c r="J590" s="11" t="n">
        <x:v>18362304</x:v>
      </x:c>
      <x:c r="K590" s="11" t="n">
        <x:v>14301798</x:v>
      </x:c>
      <x:c r="L590" s="11" t="n">
        <x:v>4060506</x:v>
      </x:c>
      <x:c r="M590" s="12" t="n">
        <x:v>0.22113270752951264</x:v>
      </x:c>
      <x:c r="N590" s="11" t="n">
        <x:v>8271954</x:v>
      </x:c>
      <x:c r="O590" s="11" t="n">
        <x:v>4531582</x:v>
      </x:c>
      <x:c r="P590" s="11" t="n">
        <x:v>4604457</x:v>
      </x:c>
      <x:c r="Q590" s="11" t="n">
        <x:v>954311</x:v>
      </x:c>
      <x:c r="R590" s="11" t="n">
        <x:v>11691335</x:v>
      </x:c>
      <x:c r="S590" s="11" t="n">
        <x:v>2169440</x:v>
      </x:c>
      <x:c r="T590" s="11" t="n">
        <x:v>29195340</x:v>
      </x:c>
      <x:c r="U590" s="11" t="n">
        <x:v>23622928</x:v>
      </x:c>
      <x:c r="V590" s="11" t="n">
        <x:v>8024736</x:v>
      </x:c>
      <x:c r="W590" s="11" t="n">
        <x:v>45862</x:v>
      </x:c>
      <x:c r="X590" s="11" t="n">
        <x:v>13119058</x:v>
      </x:c>
      <x:c r="Y590" s="11" t="n">
        <x:v>0</x:v>
      </x:c>
      <x:c r="Z590" s="11" t="n">
        <x:v>2234747</x:v>
      </x:c>
      <x:c r="AA590" s="11" t="n">
        <x:v>10639695</x:v>
      </x:c>
      <x:c r="AB590" s="11" t="n">
        <x:v>441023</x:v>
      </x:c>
      <x:c r="AC590" s="11" t="n">
        <x:v>2675770</x:v>
      </x:c>
      <x:c r="AD590" s="11" t="n">
        <x:v>3506308</x:v>
      </x:c>
      <x:c r="AE590" s="11" t="n">
        <x:v>-777712</x:v>
      </x:c>
      <x:c r="AF590" s="11" t="n">
        <x:v>14025231</x:v>
      </x:c>
      <x:c r="AG590" s="11" t="n">
        <x:v>137016619</x:v>
      </x:c>
      <x:c r="AH590" s="11" t="n">
        <x:v>40583497</x:v>
      </x:c>
      <x:c r="AI590" s="11" t="n">
        <x:v>96433122</x:v>
      </x:c>
      <x:c r="AJ590" s="11" t="n">
        <x:v>2574715</x:v>
      </x:c>
      <x:c r="AK590" s="11" t="n">
        <x:v>20517739</x:v>
      </x:c>
      <x:c r="AL590" s="11" t="n">
        <x:v>0</x:v>
      </x:c>
      <x:c r="AM590" s="12" t="n">
        <x:v>1</x:v>
      </x:c>
      <x:c r="AN590" s="12" t="n">
        <x:v>0.12548726738360402</x:v>
      </x:c>
      <x:c r="AO590" s="11" t="n">
        <x:v>14178753</x:v>
      </x:c>
      <x:c r="AP590" s="11" t="n">
        <x:v>13548614</x:v>
      </x:c>
      <x:c r="AQ590" s="12" t="n">
        <x:v>0.9555575162357367</x:v>
      </x:c>
      <x:c r="AR590" s="11" t="n">
        <x:v>2877.202130993419</x:v>
      </x:c>
      <x:c r="AS590" s="11" t="n">
        <x:v>2240.9586336571606</x:v>
      </x:c>
      <x:c r="AT590" s="11" t="n">
        <x:v>1257.4014415543716</x:v>
      </x:c>
      <x:c r="AU590" s="11" t="n">
        <x:v>7.186148542776559</x:v>
      </x:c>
      <x:c r="AV590" s="11" t="n">
        <x:v>1667.1411783140081</x:v>
      </x:c>
      <x:c r="AW590" s="11" t="n">
        <x:v>1.2358899794301537</x:v>
      </x:c>
      <x:c r="AX590" s="12" t="n">
        <x:v>-0.2218036749766421</x:v>
      </x:c>
      <x:c r="AY590" s="11"/>
      <x:c r="AZ590" s="11"/>
      <x:c r="BA590" s="11"/>
      <x:c r="BB590" s="11"/>
      <x:c r="BC590" s="11"/>
      <x:c r="BD590" s="11"/>
      <x:c r="BE590" s="11"/>
      <x:c r="BF590" s="11"/>
      <x:c r="BG590" s="11"/>
      <x:c r="BH590" s="11"/>
      <x:c r="BI590" s="11"/>
      <x:c r="BJ590" s="11"/>
      <x:c r="BK590" s="12"/>
      <x:c r="BL590" s="12"/>
      <x:c r="BM590" s="12"/>
      <x:c r="BN590" s="12"/>
      <x:c r="BO590" s="12"/>
      <x:c r="BP590" s="12"/>
      <x:c r="BQ590" s="12"/>
      <x:c r="BR590" s="12"/>
      <x:c r="BS590" s="12"/>
      <x:c r="BT590" s="12"/>
      <x:c r="BU590" s="11" t="n">
        <x:v>9693</x:v>
      </x:c>
      <x:c r="BV590" s="11" t="n">
        <x:v>4182784</x:v>
      </x:c>
      <x:c r="BW590" s="11" t="n">
        <x:v>411980</x:v>
      </x:c>
      <x:c r="BX590" s="11" t="n">
        <x:v>954311</x:v>
      </x:c>
      <x:c r="BY590" s="11" t="n">
        <x:v>0</x:v>
      </x:c>
      <x:c r="BZ590" s="11" t="n">
        <x:v>0</x:v>
      </x:c>
      <x:c r="CA590" s="11" t="n">
        <x:v>0</x:v>
      </x:c>
      <x:c r="CB590" s="11" t="n">
        <x:v>0</x:v>
      </x:c>
      <x:c r="CC590" s="11" t="n">
        <x:v>2078026</x:v>
      </x:c>
      <x:c r="CD590" s="11" t="n">
        <x:v>1902558</x:v>
      </x:c>
      <x:c r="CE590" s="11" t="n">
        <x:v>575766</x:v>
      </x:c>
      <x:c r="CF590" s="11" t="n">
        <x:v>33521</x:v>
      </x:c>
      <x:c r="CG590" s="11" t="n">
        <x:v>1380439</x:v>
      </x:c>
      <x:c r="CH590" s="11" t="n">
        <x:v>1092833</x:v>
      </x:c>
      <x:c r="CI590" s="11" t="n">
        <x:v>1413426</x:v>
      </x:c>
      <x:c r="CJ590" s="11" t="n">
        <x:v>2230333</x:v>
      </x:c>
      <x:c r="CK590" s="11" t="n">
        <x:v>894748</x:v>
      </x:c>
      <x:c r="CL590" s="11" t="n">
        <x:v>468129</x:v>
      </x:c>
      <x:c r="CM590" s="11" t="n">
        <x:v>48122</x:v>
      </x:c>
      <x:c r="CN590" s="11" t="n">
        <x:v>14457</x:v>
      </x:c>
      <x:c r="CO590" s="11" t="n">
        <x:v>0</x:v>
      </x:c>
      <x:c r="CP590" s="8"/>
      <x:c r="CQ590" s="8"/>
    </x:row>
    <x:row r="591">
      <x:c r="A591" s="8" t="str">
        <x:v>Peachland|2024</x:v>
      </x:c>
      <x:c r="B591" s="8" t="str">
        <x:v>peachland-d</x:v>
      </x:c>
      <x:c r="C591" s="8" t="str">
        <x:v>Peachland</x:v>
      </x:c>
      <x:c r="D591" s="8" t="str">
        <x:v>Peachland</x:v>
      </x:c>
      <x:c r="E591" s="8" t="str">
        <x:v>D</x:v>
      </x:c>
      <x:c r="F591" s="8" t="str">
        <x:v>COK</x:v>
      </x:c>
      <x:c r="G591" s="9" t="n">
        <x:v>2024</x:v>
      </x:c>
      <x:c r="H591" s="10" t="n">
        <x:v>6382</x:v>
      </x:c>
      <x:c r="I591" s="8" t="str">
        <x:v>5,000 to 19,999</x:v>
      </x:c>
      <x:c r="J591" s="11" t="n">
        <x:v>16961287</x:v>
      </x:c>
      <x:c r="K591" s="11" t="n">
        <x:v>15248169</x:v>
      </x:c>
      <x:c r="L591" s="11" t="n">
        <x:v>1713118</x:v>
      </x:c>
      <x:c r="M591" s="12" t="n">
        <x:v>0.1010016515845761</x:v>
      </x:c>
      <x:c r="N591" s="11" t="n">
        <x:v>8565865</x:v>
      </x:c>
      <x:c r="O591" s="11" t="n">
        <x:v>4116716</x:v>
      </x:c>
      <x:c r="P591" s="11" t="n">
        <x:v>3208569</x:v>
      </x:c>
      <x:c r="Q591" s="11" t="n">
        <x:v>1070137</x:v>
      </x:c>
      <x:c r="R591" s="11" t="n">
        <x:v>12612215</x:v>
      </x:c>
      <x:c r="S591" s="11" t="n">
        <x:v>2258041</x:v>
      </x:c>
      <x:c r="T591" s="11" t="n">
        <x:v>30876936</x:v>
      </x:c>
      <x:c r="U591" s="11" t="n">
        <x:v>29668373</x:v>
      </x:c>
      <x:c r="V591" s="11" t="n">
        <x:v>4264971</x:v>
      </x:c>
      <x:c r="W591" s="11" t="n">
        <x:v>48759</x:v>
      </x:c>
      <x:c r="X591" s="11" t="n">
        <x:v>10639695</x:v>
      </x:c>
      <x:c r="Y591" s="11" t="n">
        <x:v>0</x:v>
      </x:c>
      <x:c r="Z591" s="11" t="n">
        <x:v>804199</x:v>
      </x:c>
      <x:c r="AA591" s="11" t="n">
        <x:v>9769313</x:v>
      </x:c>
      <x:c r="AB591" s="11" t="n">
        <x:v>377913</x:v>
      </x:c>
      <x:c r="AC591" s="11" t="n">
        <x:v>1182112</x:v>
      </x:c>
      <x:c r="AD591" s="11" t="n">
        <x:v>3563184</x:v>
      </x:c>
      <x:c r="AE591" s="11" t="n">
        <x:v>786822</x:v>
      </x:c>
      <x:c r="AF591" s="11" t="n">
        <x:v>14252735</x:v>
      </x:c>
      <x:c r="AG591" s="11" t="n">
        <x:v>144747543</x:v>
      </x:c>
      <x:c r="AH591" s="11" t="n">
        <x:v>42841539</x:v>
      </x:c>
      <x:c r="AI591" s="11" t="n">
        <x:v>101906004</x:v>
      </x:c>
      <x:c r="AJ591" s="11" t="n">
        <x:v>7730923</x:v>
      </x:c>
      <x:c r="AK591" s="11" t="n">
        <x:v>144747543</x:v>
      </x:c>
      <x:c r="AL591" s="11" t="n">
        <x:v>32723718</x:v>
      </x:c>
      <x:c r="AM591" s="12" t="n">
        <x:v>0.7739255719179979</x:v>
      </x:c>
      <x:c r="AN591" s="12" t="n">
        <x:v>0.05340970105447662</x:v>
      </x:c>
      <x:c r="AO591" s="11" t="n">
        <x:v>14738112</x:v>
      </x:c>
      <x:c r="AP591" s="11" t="n">
        <x:v>13784202</x:v>
      </x:c>
      <x:c r="AQ591" s="12" t="n">
        <x:v>0.935275970219252</x:v>
      </x:c>
      <x:c r="AR591" s="11" t="n">
        <x:v>2657.675806957067</x:v>
      </x:c>
      <x:c r="AS591" s="11" t="n">
        <x:v>2389.246161078032</x:v>
      </x:c>
      <x:c r="AT591" s="11" t="n">
        <x:v>668.2812597931683</x:v>
      </x:c>
      <x:c r="AU591" s="11" t="n">
        <x:v>7.640081479160138</x:v>
      </x:c>
      <x:c r="AV591" s="11" t="n">
        <x:v>1530.760419931056</x:v>
      </x:c>
      <x:c r="AW591" s="11" t="n">
        <x:v>1.0407357356603275</x:v>
      </x:c>
      <x:c r="AX591" s="12" t="n">
        <x:v>0.22081991836514758</x:v>
      </x:c>
      <x:c r="AY591" s="11" t="n">
        <x:v>2567.538946805667</x:v>
      </x:c>
      <x:c r="AZ591" s="11" t="n">
        <x:v>3546.5079302077975</x:v>
      </x:c>
      <x:c r="BA591" s="11" t="n">
        <x:v>2045.0195609464422</x:v>
      </x:c>
      <x:c r="BB591" s="11" t="n">
        <x:v>2783.665107049771</x:v>
      </x:c>
      <x:c r="BC591" s="11" t="n">
        <x:v>2217.25520024837</x:v>
      </x:c>
      <x:c r="BD591" s="11" t="n">
        <x:v>2437.8724475115623</x:v>
      </x:c>
      <x:c r="BE591" s="11" t="n">
        <x:v>799.2304887641933</x:v>
      </x:c>
      <x:c r="BF591" s="11" t="n">
        <x:v>1604.3462673977224</x:v>
      </x:c>
      <x:c r="BG591" s="11" t="n">
        <x:v>386.9249167164944</x:v>
      </x:c>
      <x:c r="BH591" s="11" t="n">
        <x:v>518.5374381567245</x:v>
      </x:c>
      <x:c r="BI591" s="11" t="n">
        <x:v>1.5629948984418691</x:v>
      </x:c>
      <x:c r="BJ591" s="11" t="n">
        <x:v>1.7099330852451193</x:v>
      </x:c>
      <x:c r="BK591" s="12" t="n">
        <x:v>0.04472396775938227</x:v>
      </x:c>
      <x:c r="BL591" s="12" t="n">
        <x:v>0.02529861000232605</x:v>
      </x:c>
      <x:c r="BM591" s="12" t="n">
        <x:v>0.9792813777328785</x:v>
      </x:c>
      <x:c r="BN591" s="12" t="n">
        <x:v>0.9815511712696461</x:v>
      </x:c>
      <x:c r="BO591" s="12" t="n">
        <x:v>0.8510570773833829</x:v>
      </x:c>
      <x:c r="BP591" s="12" t="n">
        <x:v>0.8619101997275483</x:v>
      </x:c>
      <x:c r="BQ591" s="12" t="n">
        <x:v>0.9732053424599786</x:v>
      </x:c>
      <x:c r="BR591" s="12" t="n">
        <x:v>0.9623635142836453</x:v>
      </x:c>
      <x:c r="BS591" s="12" t="n">
        <x:v>0.170495619408603</x:v>
      </x:c>
      <x:c r="BT591" s="12" t="n">
        <x:v>0.19976549769108282</x:v>
      </x:c>
      <x:c r="BU591" s="11" t="n">
        <x:v>262839</x:v>
      </x:c>
      <x:c r="BV591" s="11" t="n">
        <x:v>2589640</x:v>
      </x:c>
      <x:c r="BW591" s="11" t="n">
        <x:v>356090</x:v>
      </x:c>
      <x:c r="BX591" s="11" t="n">
        <x:v>1070137</x:v>
      </x:c>
      <x:c r="BY591" s="11" t="n">
        <x:v>0</x:v>
      </x:c>
      <x:c r="BZ591" s="11" t="n">
        <x:v>0</x:v>
      </x:c>
      <x:c r="CA591" s="11" t="n">
        <x:v>0</x:v>
      </x:c>
      <x:c r="CB591" s="11" t="n">
        <x:v>0</x:v>
      </x:c>
      <x:c r="CC591" s="11" t="n">
        <x:v>2340458</x:v>
      </x:c>
      <x:c r="CD591" s="11" t="n">
        <x:v>2153432</x:v>
      </x:c>
      <x:c r="CE591" s="11" t="n">
        <x:v>542135</x:v>
      </x:c>
      <x:c r="CF591" s="11" t="n">
        <x:v>62626</x:v>
      </x:c>
      <x:c r="CG591" s="11" t="n">
        <x:v>1482442</x:v>
      </x:c>
      <x:c r="CH591" s="11" t="n">
        <x:v>1356250</x:v>
      </x:c>
      <x:c r="CI591" s="11" t="n">
        <x:v>1483237</x:v>
      </x:c>
      <x:c r="CJ591" s="11" t="n">
        <x:v>2396148</x:v>
      </x:c>
      <x:c r="CK591" s="11" t="n">
        <x:v>864073</x:v>
      </x:c>
      <x:c r="CL591" s="11" t="n">
        <x:v>476125</x:v>
      </x:c>
      <x:c r="CM591" s="11" t="n">
        <x:v>68770</x:v>
      </x:c>
      <x:c r="CN591" s="11" t="n">
        <x:v>0</x:v>
      </x:c>
      <x:c r="CO591" s="11" t="n">
        <x:v>-235568</x:v>
      </x:c>
      <x:c r="CP591" s="8"/>
      <x:c r="CQ591" s="8"/>
    </x:row>
    <x:row r="592">
      <x:c r="A592" s="8" t="str">
        <x:v>Pemberton|2019</x:v>
      </x:c>
      <x:c r="B592" s="8" t="str">
        <x:v>pemberton-v</x:v>
      </x:c>
      <x:c r="C592" s="8" t="str">
        <x:v>Pemberton</x:v>
      </x:c>
      <x:c r="D592" s="8" t="str">
        <x:v>Pemberton</x:v>
      </x:c>
      <x:c r="E592" s="8" t="str">
        <x:v>V</x:v>
      </x:c>
      <x:c r="F592" s="8" t="str">
        <x:v>SQL</x:v>
      </x:c>
      <x:c r="G592" s="9" t="n">
        <x:v>2019</x:v>
      </x:c>
      <x:c r="H592" s="10" t="n">
        <x:v>2951</x:v>
      </x:c>
      <x:c r="I592" s="8" t="str">
        <x:v>Under 5,000</x:v>
      </x:c>
      <x:c r="J592" s="11" t="n">
        <x:v>13452600</x:v>
      </x:c>
      <x:c r="K592" s="11" t="n">
        <x:v>6364931</x:v>
      </x:c>
      <x:c r="L592" s="11" t="n">
        <x:v>7087669</x:v>
      </x:c>
      <x:c r="M592" s="12" t="n">
        <x:v>0.5268623909132807</x:v>
      </x:c>
      <x:c r="N592" s="11" t="n">
        <x:v>2213225</x:v>
      </x:c>
      <x:c r="O592" s="11" t="n">
        <x:v>3592020</x:v>
      </x:c>
      <x:c r="P592" s="11" t="n">
        <x:v>7241032</x:v>
      </x:c>
      <x:c r="Q592" s="11" t="n">
        <x:v>406323</x:v>
      </x:c>
      <x:c r="R592" s="11" t="n">
        <x:v>5205836</x:v>
      </x:c>
      <x:c r="S592" s="11" t="n">
        <x:v>1099280</x:v>
      </x:c>
      <x:c r="T592" s="11" t="n">
        <x:v>5163819</x:v>
      </x:c>
      <x:c r="U592" s="11" t="n">
        <x:v>9588863</x:v>
      </x:c>
      <x:c r="V592" s="11" t="n">
        <x:v>-1474408</x:v>
      </x:c>
      <x:c r="W592" s="11" t="n">
        <x:v>2000544</x:v>
      </x:c>
      <x:c r="X592" s="11" t="n">
        <x:v>5117183</x:v>
      </x:c>
      <x:c r="Y592" s="11" t="n">
        <x:v>64750</x:v>
      </x:c>
      <x:c r="Z592" s="11" t="n">
        <x:v>359343</x:v>
      </x:c>
      <x:c r="AA592" s="11" t="n">
        <x:v>4728110</x:v>
      </x:c>
      <x:c r="AB592" s="11" t="n">
        <x:v>59815</x:v>
      </x:c>
      <x:c r="AC592" s="11" t="n">
        <x:v>419158</x:v>
      </x:c>
      <x:c r="AD592" s="11" t="n">
        <x:v>1544967</x:v>
      </x:c>
      <x:c r="AE592" s="11" t="n">
        <x:v>1052995</x:v>
      </x:c>
      <x:c r="AF592" s="11" t="n">
        <x:v>6179869</x:v>
      </x:c>
      <x:c r="AG592" s="11" t="n">
        <x:v>45416551</x:v>
      </x:c>
      <x:c r="AH592" s="11" t="n">
        <x:v>14339358</x:v>
      </x:c>
      <x:c r="AI592" s="11" t="n">
        <x:v>31077193</x:v>
      </x:c>
      <x:c r="AJ592" s="11" t="n">
        <x:v>6897320</x:v>
      </x:c>
      <x:c r="AK592" s="11" t="n">
        <x:v>2646484</x:v>
      </x:c>
      <x:c r="AL592" s="11" t="n">
        <x:v>0</x:v>
      </x:c>
      <x:c r="AM592" s="12" t="n">
        <x:v>1</x:v>
      </x:c>
      <x:c r="AN592" s="12" t="n">
        <x:v>2.6062201774127485</x:v>
      </x:c>
      <x:c r="AO592" s="11" t="n">
        <x:v>5476118</x:v>
      </x:c>
      <x:c r="AP592" s="11" t="n">
        <x:v>5209846</x:v>
      </x:c>
      <x:c r="AQ592" s="12" t="n">
        <x:v>0.9513757738602419</x:v>
      </x:c>
      <x:c r="AR592" s="11" t="n">
        <x:v>4558.6580820061</x:v>
      </x:c>
      <x:c r="AS592" s="11" t="n">
        <x:v>2156.8725855642156</x:v>
      </x:c>
      <x:c r="AT592" s="11" t="n">
        <x:v>-499.6299559471366</x:v>
      </x:c>
      <x:c r="AU592" s="11" t="n">
        <x:v>677.920704845815</x:v>
      </x:c>
      <x:c r="AV592" s="11" t="n">
        <x:v>1602.206031853609</x:v>
      </x:c>
      <x:c r="AW592" s="11" t="n">
        <x:v>0.5385225547596206</x:v>
      </x:c>
      <x:c r="AX592" s="12" t="n">
        <x:v>0.6815647195053357</x:v>
      </x:c>
      <x:c r="AY592" s="11"/>
      <x:c r="AZ592" s="11"/>
      <x:c r="BA592" s="11"/>
      <x:c r="BB592" s="11"/>
      <x:c r="BC592" s="11"/>
      <x:c r="BD592" s="11"/>
      <x:c r="BE592" s="11"/>
      <x:c r="BF592" s="11"/>
      <x:c r="BG592" s="11"/>
      <x:c r="BH592" s="11"/>
      <x:c r="BI592" s="11"/>
      <x:c r="BJ592" s="11"/>
      <x:c r="BK592" s="12"/>
      <x:c r="BL592" s="12"/>
      <x:c r="BM592" s="12"/>
      <x:c r="BN592" s="12"/>
      <x:c r="BO592" s="12"/>
      <x:c r="BP592" s="12"/>
      <x:c r="BQ592" s="12"/>
      <x:c r="BR592" s="12"/>
      <x:c r="BS592" s="12"/>
      <x:c r="BT592" s="12"/>
      <x:c r="BU592" s="11" t="n">
        <x:v>25000</x:v>
      </x:c>
      <x:c r="BV592" s="11" t="n">
        <x:v>5765712</x:v>
      </x:c>
      <x:c r="BW592" s="11" t="n">
        <x:v>1450320</x:v>
      </x:c>
      <x:c r="BX592" s="11" t="n">
        <x:v>32944</x:v>
      </x:c>
      <x:c r="BY592" s="11" t="n">
        <x:v>0</x:v>
      </x:c>
      <x:c r="BZ592" s="11" t="n">
        <x:v>373379</x:v>
      </x:c>
      <x:c r="CA592" s="11" t="n">
        <x:v>0</x:v>
      </x:c>
      <x:c r="CB592" s="11" t="n">
        <x:v>0</x:v>
      </x:c>
      <x:c r="CC592" s="11" t="n">
        <x:v>1246613</x:v>
      </x:c>
      <x:c r="CD592" s="11" t="n">
        <x:v>639136</x:v>
      </x:c>
      <x:c r="CE592" s="11" t="n">
        <x:v>0</x:v>
      </x:c>
      <x:c r="CF592" s="11" t="n">
        <x:v>0</x:v>
      </x:c>
      <x:c r="CG592" s="11" t="n">
        <x:v>328623</x:v>
      </x:c>
      <x:c r="CH592" s="11" t="n">
        <x:v>876968</x:v>
      </x:c>
      <x:c r="CI592" s="11" t="n">
        <x:v>852015</x:v>
      </x:c>
      <x:c r="CJ592" s="11" t="n">
        <x:v>626162</x:v>
      </x:c>
      <x:c r="CK592" s="11" t="n">
        <x:v>636369</x:v>
      </x:c>
      <x:c r="CL592" s="11" t="n">
        <x:v>59765</x:v>
      </x:c>
      <x:c r="CM592" s="11"/>
      <x:c r="CN592" s="11" t="n">
        <x:v>0</x:v>
      </x:c>
      <x:c r="CO592" s="11" t="n">
        <x:v>0</x:v>
      </x:c>
      <x:c r="CP592" s="8"/>
      <x:c r="CQ592" s="8"/>
    </x:row>
    <x:row r="593">
      <x:c r="A593" s="8" t="str">
        <x:v>Pemberton|2020</x:v>
      </x:c>
      <x:c r="B593" s="8" t="str">
        <x:v>pemberton-v</x:v>
      </x:c>
      <x:c r="C593" s="8" t="str">
        <x:v>Pemberton</x:v>
      </x:c>
      <x:c r="D593" s="8" t="str">
        <x:v>Pemberton</x:v>
      </x:c>
      <x:c r="E593" s="8" t="str">
        <x:v>V</x:v>
      </x:c>
      <x:c r="F593" s="8" t="str">
        <x:v>SQL</x:v>
      </x:c>
      <x:c r="G593" s="9" t="n">
        <x:v>2020</x:v>
      </x:c>
      <x:c r="H593" s="10" t="n">
        <x:v>3103</x:v>
      </x:c>
      <x:c r="I593" s="8" t="str">
        <x:v>Under 5,000</x:v>
      </x:c>
      <x:c r="J593" s="11" t="n">
        <x:v>8372724</x:v>
      </x:c>
      <x:c r="K593" s="11" t="n">
        <x:v>7122391</x:v>
      </x:c>
      <x:c r="L593" s="11" t="n">
        <x:v>1250333</x:v>
      </x:c>
      <x:c r="M593" s="12" t="n">
        <x:v>0.14933407574404697</x:v>
      </x:c>
      <x:c r="N593" s="11" t="n">
        <x:v>2288943</x:v>
      </x:c>
      <x:c r="O593" s="11" t="n">
        <x:v>3229176</x:v>
      </x:c>
      <x:c r="P593" s="11" t="n">
        <x:v>2782174</x:v>
      </x:c>
      <x:c r="Q593" s="11" t="n">
        <x:v>72431</x:v>
      </x:c>
      <x:c r="R593" s="11" t="n">
        <x:v>5838637</x:v>
      </x:c>
      <x:c r="S593" s="11" t="n">
        <x:v>1136461</x:v>
      </x:c>
      <x:c r="T593" s="11" t="n">
        <x:v>8171229</x:v>
      </x:c>
      <x:c r="U593" s="11" t="n">
        <x:v>10536442</x:v>
      </x:c>
      <x:c r="V593" s="11" t="n">
        <x:v>97163</x:v>
      </x:c>
      <x:c r="W593" s="11" t="n">
        <x:v>3483417</x:v>
      </x:c>
      <x:c r="X593" s="11" t="n">
        <x:v>4728110</x:v>
      </x:c>
      <x:c r="Y593" s="11" t="n">
        <x:v>20516</x:v>
      </x:c>
      <x:c r="Z593" s="11" t="n">
        <x:v>383910</x:v>
      </x:c>
      <x:c r="AA593" s="11" t="n">
        <x:v>4258763</x:v>
      </x:c>
      <x:c r="AB593" s="11" t="n">
        <x:v>147293</x:v>
      </x:c>
      <x:c r="AC593" s="11" t="n">
        <x:v>531203</x:v>
      </x:c>
      <x:c r="AD593" s="11" t="n">
        <x:v>1464825</x:v>
      </x:c>
      <x:c r="AE593" s="11" t="n">
        <x:v>856104</x:v>
      </x:c>
      <x:c r="AF593" s="11" t="n">
        <x:v>5859298</x:v>
      </x:c>
      <x:c r="AG593" s="11" t="n">
        <x:v>46130414</x:v>
      </x:c>
      <x:c r="AH593" s="11" t="n">
        <x:v>15475819</x:v>
      </x:c>
      <x:c r="AI593" s="11" t="n">
        <x:v>30654595</x:v>
      </x:c>
      <x:c r="AJ593" s="11" t="n">
        <x:v>713863</x:v>
      </x:c>
      <x:c r="AK593" s="11" t="n">
        <x:v>2433296</x:v>
      </x:c>
      <x:c r="AL593" s="11" t="n">
        <x:v>0</x:v>
      </x:c>
      <x:c r="AM593" s="12" t="n">
        <x:v>1</x:v>
      </x:c>
      <x:c r="AN593" s="12" t="n">
        <x:v>0.29337285722739853</x:v>
      </x:c>
      <x:c r="AO593" s="11" t="n">
        <x:v>5244349</x:v>
      </x:c>
      <x:c r="AP593" s="11" t="n">
        <x:v>4807037</x:v>
      </x:c>
      <x:c r="AQ593" s="12" t="n">
        <x:v>0.9166127197103016</x:v>
      </x:c>
      <x:c r="AR593" s="11" t="n">
        <x:v>2698.2674830808896</x:v>
      </x:c>
      <x:c r="AS593" s="11" t="n">
        <x:v>2295.324202384789</x:v>
      </x:c>
      <x:c r="AT593" s="11" t="n">
        <x:v>31.312600708991297</x:v>
      </x:c>
      <x:c r="AU593" s="11" t="n">
        <x:v>1122.5965194972607</x:v>
      </x:c>
      <x:c r="AV593" s="11" t="n">
        <x:v>1372.4663229133098</x:v>
      </x:c>
      <x:c r="AW593" s="11" t="n">
        <x:v>0.7755207118304263</x:v>
      </x:c>
      <x:c r="AX593" s="12" t="n">
        <x:v>0.584441144846654</x:v>
      </x:c>
      <x:c r="AY593" s="11"/>
      <x:c r="AZ593" s="11"/>
      <x:c r="BA593" s="11"/>
      <x:c r="BB593" s="11"/>
      <x:c r="BC593" s="11"/>
      <x:c r="BD593" s="11"/>
      <x:c r="BE593" s="11"/>
      <x:c r="BF593" s="11"/>
      <x:c r="BG593" s="11"/>
      <x:c r="BH593" s="11"/>
      <x:c r="BI593" s="11"/>
      <x:c r="BJ593" s="11"/>
      <x:c r="BK593" s="12"/>
      <x:c r="BL593" s="12"/>
      <x:c r="BM593" s="12"/>
      <x:c r="BN593" s="12"/>
      <x:c r="BO593" s="12"/>
      <x:c r="BP593" s="12"/>
      <x:c r="BQ593" s="12"/>
      <x:c r="BR593" s="12"/>
      <x:c r="BS593" s="12"/>
      <x:c r="BT593" s="12"/>
      <x:c r="BU593" s="11" t="n">
        <x:v>22227</x:v>
      </x:c>
      <x:c r="BV593" s="11" t="n">
        <x:v>1444645</x:v>
      </x:c>
      <x:c r="BW593" s="11" t="n">
        <x:v>1315302</x:v>
      </x:c>
      <x:c r="BX593" s="11" t="n">
        <x:v>47991</x:v>
      </x:c>
      <x:c r="BY593" s="11" t="n">
        <x:v>0</x:v>
      </x:c>
      <x:c r="BZ593" s="11" t="n">
        <x:v>24440</x:v>
      </x:c>
      <x:c r="CA593" s="11" t="n">
        <x:v>0</x:v>
      </x:c>
      <x:c r="CB593" s="11" t="n">
        <x:v>0</x:v>
      </x:c>
      <x:c r="CC593" s="11" t="n">
        <x:v>1089631</x:v>
      </x:c>
      <x:c r="CD593" s="11" t="n">
        <x:v>711743</x:v>
      </x:c>
      <x:c r="CE593" s="11" t="n">
        <x:v>0</x:v>
      </x:c>
      <x:c r="CF593" s="11" t="n">
        <x:v>0</x:v>
      </x:c>
      <x:c r="CG593" s="11" t="n">
        <x:v>391079</x:v>
      </x:c>
      <x:c r="CH593" s="11" t="n">
        <x:v>922181</x:v>
      </x:c>
      <x:c r="CI593" s="11" t="n">
        <x:v>1023748</x:v>
      </x:c>
      <x:c r="CJ593" s="11" t="n">
        <x:v>898591</x:v>
      </x:c>
      <x:c r="CK593" s="11" t="n">
        <x:v>874713</x:v>
      </x:c>
      <x:c r="CL593" s="11" t="n">
        <x:v>74244</x:v>
      </x:c>
      <x:c r="CM593" s="11"/>
      <x:c r="CN593" s="11" t="n">
        <x:v>0</x:v>
      </x:c>
      <x:c r="CO593" s="11" t="n">
        <x:v>0</x:v>
      </x:c>
      <x:c r="CP593" s="8"/>
      <x:c r="CQ593" s="8"/>
    </x:row>
    <x:row r="594">
      <x:c r="A594" s="8" t="str">
        <x:v>Pemberton|2021</x:v>
      </x:c>
      <x:c r="B594" s="8" t="str">
        <x:v>pemberton-v</x:v>
      </x:c>
      <x:c r="C594" s="8" t="str">
        <x:v>Pemberton</x:v>
      </x:c>
      <x:c r="D594" s="8" t="str">
        <x:v>Pemberton</x:v>
      </x:c>
      <x:c r="E594" s="8" t="str">
        <x:v>V</x:v>
      </x:c>
      <x:c r="F594" s="8" t="str">
        <x:v>SQL</x:v>
      </x:c>
      <x:c r="G594" s="9" t="n">
        <x:v>2021</x:v>
      </x:c>
      <x:c r="H594" s="10" t="n">
        <x:v>3179</x:v>
      </x:c>
      <x:c r="I594" s="8" t="str">
        <x:v>Under 5,000</x:v>
      </x:c>
      <x:c r="J594" s="11" t="n">
        <x:v>11596314</x:v>
      </x:c>
      <x:c r="K594" s="11" t="n">
        <x:v>8654345</x:v>
      </x:c>
      <x:c r="L594" s="11" t="n">
        <x:v>2941969</x:v>
      </x:c>
      <x:c r="M594" s="12" t="n">
        <x:v>0.2536986321688081</x:v>
      </x:c>
      <x:c r="N594" s="11" t="n">
        <x:v>2416059</x:v>
      </x:c>
      <x:c r="O594" s="11" t="n">
        <x:v>4927690</x:v>
      </x:c>
      <x:c r="P594" s="11" t="n">
        <x:v>3480222</x:v>
      </x:c>
      <x:c r="Q594" s="11" t="n">
        <x:v>772343</x:v>
      </x:c>
      <x:c r="R594" s="11" t="n">
        <x:v>7319628</x:v>
      </x:c>
      <x:c r="S594" s="11" t="n">
        <x:v>1191743</x:v>
      </x:c>
      <x:c r="T594" s="11" t="n">
        <x:v>12041732</x:v>
      </x:c>
      <x:c r="U594" s="11" t="n">
        <x:v>11817650</x:v>
      </x:c>
      <x:c r="V594" s="11" t="n">
        <x:v>1977041</x:v>
      </x:c>
      <x:c r="W594" s="11" t="n">
        <x:v>4849011</x:v>
      </x:c>
      <x:c r="X594" s="11" t="n">
        <x:v>4258763</x:v>
      </x:c>
      <x:c r="Y594" s="11" t="n">
        <x:v>329611</x:v>
      </x:c>
      <x:c r="Z594" s="11" t="n">
        <x:v>393917</x:v>
      </x:c>
      <x:c r="AA594" s="11" t="n">
        <x:v>4083682</x:v>
      </x:c>
      <x:c r="AB594" s="11" t="n">
        <x:v>142974</x:v>
      </x:c>
      <x:c r="AC594" s="11" t="n">
        <x:v>536891</x:v>
      </x:c>
      <x:c r="AD594" s="11" t="n">
        <x:v>1917968</x:v>
      </x:c>
      <x:c r="AE594" s="11" t="n">
        <x:v>1296601</x:v>
      </x:c>
      <x:c r="AF594" s="11" t="n">
        <x:v>7671873</x:v>
      </x:c>
      <x:c r="AG594" s="11" t="n">
        <x:v>48461408</x:v>
      </x:c>
      <x:c r="AH594" s="11" t="n">
        <x:v>16667562</x:v>
      </x:c>
      <x:c r="AI594" s="11" t="n">
        <x:v>31793846</x:v>
      </x:c>
      <x:c r="AJ594" s="11" t="n">
        <x:v>2330994</x:v>
      </x:c>
      <x:c r="AK594" s="11" t="n">
        <x:v>2460910</x:v>
      </x:c>
      <x:c r="AL594" s="11" t="n">
        <x:v>0</x:v>
      </x:c>
      <x:c r="AM594" s="12" t="n">
        <x:v>1</x:v>
      </x:c>
      <x:c r="AN594" s="12" t="n">
        <x:v>0.9472081465799237</x:v>
      </x:c>
      <x:c r="AO594" s="11" t="n">
        <x:v>6141636</x:v>
      </x:c>
      <x:c r="AP594" s="11" t="n">
        <x:v>5808144</x:v>
      </x:c>
      <x:c r="AQ594" s="12" t="n">
        <x:v>0.9456998102785642</x:v>
      </x:c>
      <x:c r="AR594" s="11" t="n">
        <x:v>3647.7867253853415</x:v>
      </x:c>
      <x:c r="AS594" s="11" t="n">
        <x:v>2722.3482227115446</x:v>
      </x:c>
      <x:c r="AT594" s="11" t="n">
        <x:v>621.9065743944636</x:v>
      </x:c>
      <x:c r="AU594" s="11" t="n">
        <x:v>1525.3258886442277</x:v>
      </x:c>
      <x:c r="AV594" s="11" t="n">
        <x:v>1284.580685750236</x:v>
      </x:c>
      <x:c r="AW594" s="11" t="n">
        <x:v>1.0189616378890896</x:v>
      </x:c>
      <x:c r="AX594" s="12" t="n">
        <x:v>0.6760284843125641</x:v>
      </x:c>
      <x:c r="AY594" s="11"/>
      <x:c r="AZ594" s="11"/>
      <x:c r="BA594" s="11"/>
      <x:c r="BB594" s="11"/>
      <x:c r="BC594" s="11"/>
      <x:c r="BD594" s="11"/>
      <x:c r="BE594" s="11"/>
      <x:c r="BF594" s="11"/>
      <x:c r="BG594" s="11"/>
      <x:c r="BH594" s="11"/>
      <x:c r="BI594" s="11"/>
      <x:c r="BJ594" s="11"/>
      <x:c r="BK594" s="12"/>
      <x:c r="BL594" s="12"/>
      <x:c r="BM594" s="12"/>
      <x:c r="BN594" s="12"/>
      <x:c r="BO594" s="12"/>
      <x:c r="BP594" s="12"/>
      <x:c r="BQ594" s="12"/>
      <x:c r="BR594" s="12"/>
      <x:c r="BS594" s="12"/>
      <x:c r="BT594" s="12"/>
      <x:c r="BU594" s="11" t="n">
        <x:v>0</x:v>
      </x:c>
      <x:c r="BV594" s="11" t="n">
        <x:v>2006983</x:v>
      </x:c>
      <x:c r="BW594" s="11" t="n">
        <x:v>1473239</x:v>
      </x:c>
      <x:c r="BX594" s="11" t="n">
        <x:v>22819</x:v>
      </x:c>
      <x:c r="BY594" s="11" t="n">
        <x:v>245217</x:v>
      </x:c>
      <x:c r="BZ594" s="11" t="n">
        <x:v>504307</x:v>
      </x:c>
      <x:c r="CA594" s="11" t="n">
        <x:v>0</x:v>
      </x:c>
      <x:c r="CB594" s="11" t="n">
        <x:v>0</x:v>
      </x:c>
      <x:c r="CC594" s="11" t="n">
        <x:v>1809739</x:v>
      </x:c>
      <x:c r="CD594" s="11" t="n">
        <x:v>975529</x:v>
      </x:c>
      <x:c r="CE594" s="11" t="n">
        <x:v>0</x:v>
      </x:c>
      <x:c r="CF594" s="11" t="n">
        <x:v>0</x:v>
      </x:c>
      <x:c r="CG594" s="11" t="n">
        <x:v>617569</x:v>
      </x:c>
      <x:c r="CH594" s="11" t="n">
        <x:v>1167307</x:v>
      </x:c>
      <x:c r="CI594" s="11" t="n">
        <x:v>1030129</x:v>
      </x:c>
      <x:c r="CJ594" s="11" t="n">
        <x:v>902770</x:v>
      </x:c>
      <x:c r="CK594" s="11" t="n">
        <x:v>868872</x:v>
      </x:c>
      <x:c r="CL594" s="11" t="n">
        <x:v>90687</x:v>
      </x:c>
      <x:c r="CM594" s="11"/>
      <x:c r="CN594" s="11" t="n">
        <x:v>0</x:v>
      </x:c>
      <x:c r="CO594" s="11" t="n">
        <x:v>0</x:v>
      </x:c>
      <x:c r="CP594" s="8"/>
      <x:c r="CQ594" s="8"/>
    </x:row>
    <x:row r="595">
      <x:c r="A595" s="8" t="str">
        <x:v>Pemberton|2022</x:v>
      </x:c>
      <x:c r="B595" s="8" t="str">
        <x:v>pemberton-v</x:v>
      </x:c>
      <x:c r="C595" s="8" t="str">
        <x:v>Pemberton</x:v>
      </x:c>
      <x:c r="D595" s="8" t="str">
        <x:v>Pemberton</x:v>
      </x:c>
      <x:c r="E595" s="8" t="str">
        <x:v>V</x:v>
      </x:c>
      <x:c r="F595" s="8" t="str">
        <x:v>SQL</x:v>
      </x:c>
      <x:c r="G595" s="9" t="n">
        <x:v>2022</x:v>
      </x:c>
      <x:c r="H595" s="10" t="n">
        <x:v>36821</x:v>
      </x:c>
      <x:c r="I595" s="8" t="str">
        <x:v>20,000 to 99,999</x:v>
      </x:c>
      <x:c r="J595" s="11" t="n">
        <x:v>11964132</x:v>
      </x:c>
      <x:c r="K595" s="11" t="n">
        <x:v>9612022</x:v>
      </x:c>
      <x:c r="L595" s="11" t="n">
        <x:v>2352110</x:v>
      </x:c>
      <x:c r="M595" s="12" t="n">
        <x:v>0.19659679448538347</x:v>
      </x:c>
      <x:c r="N595" s="11" t="n">
        <x:v>2531729</x:v>
      </x:c>
      <x:c r="O595" s="11" t="n">
        <x:v>4358165</x:v>
      </x:c>
      <x:c r="P595" s="11" t="n">
        <x:v>3021991</x:v>
      </x:c>
      <x:c r="Q595" s="11" t="n">
        <x:v>2052247</x:v>
      </x:c>
      <x:c r="R595" s="11" t="n">
        <x:v>8187707</x:v>
      </x:c>
      <x:c r="S595" s="11" t="n">
        <x:v>1308163</x:v>
      </x:c>
      <x:c r="T595" s="11" t="n">
        <x:v>12025406</x:v>
      </x:c>
      <x:c r="U595" s="11" t="n">
        <x:v>11829216</x:v>
      </x:c>
      <x:c r="V595" s="11" t="n">
        <x:v>3172669</x:v>
      </x:c>
      <x:c r="W595" s="11" t="n">
        <x:v>5563872</x:v>
      </x:c>
      <x:c r="X595" s="11" t="n">
        <x:v>4083682</x:v>
      </x:c>
      <x:c r="Y595" s="11" t="n">
        <x:v>0</x:v>
      </x:c>
      <x:c r="Z595" s="11" t="n">
        <x:v>397320</x:v>
      </x:c>
      <x:c r="AA595" s="11" t="n">
        <x:v>3564936</x:v>
      </x:c>
      <x:c r="AB595" s="11" t="n">
        <x:v>116152</x:v>
      </x:c>
      <x:c r="AC595" s="11" t="n">
        <x:v>513472</x:v>
      </x:c>
      <x:c r="AD595" s="11" t="n">
        <x:v>1860518</x:v>
      </x:c>
      <x:c r="AE595" s="11" t="n">
        <x:v>1259336</x:v>
      </x:c>
      <x:c r="AF595" s="11" t="n">
        <x:v>7442070</x:v>
      </x:c>
      <x:c r="AG595" s="11" t="n">
        <x:v>51001904</x:v>
      </x:c>
      <x:c r="AH595" s="11" t="n">
        <x:v>17975725</x:v>
      </x:c>
      <x:c r="AI595" s="11" t="n">
        <x:v>33026179</x:v>
      </x:c>
      <x:c r="AJ595" s="11" t="n">
        <x:v>2553326</x:v>
      </x:c>
      <x:c r="AK595" s="11" t="n">
        <x:v>3395706</x:v>
      </x:c>
      <x:c r="AL595" s="11" t="n">
        <x:v>0</x:v>
      </x:c>
      <x:c r="AM595" s="12" t="n">
        <x:v>1</x:v>
      </x:c>
      <x:c r="AN595" s="12" t="n">
        <x:v>0.7519278759704168</x:v>
      </x:c>
      <x:c r="AO595" s="11" t="n">
        <x:v>6391677</x:v>
      </x:c>
      <x:c r="AP595" s="11" t="n">
        <x:v>6034911</x:v>
      </x:c>
      <x:c r="AQ595" s="12" t="n">
        <x:v>0.9441827238766916</x:v>
      </x:c>
      <x:c r="AR595" s="11" t="n">
        <x:v>324.926862388311</x:v>
      </x:c>
      <x:c r="AS595" s="11" t="n">
        <x:v>261.0472828005758</x:v>
      </x:c>
      <x:c r="AT595" s="11" t="n">
        <x:v>86.16466147035659</x:v>
      </x:c>
      <x:c r="AU595" s="11" t="n">
        <x:v>151.10594497705114</x:v>
      </x:c>
      <x:c r="AV595" s="11" t="n">
        <x:v>96.81801146085114</x:v>
      </x:c>
      <x:c r="AW595" s="11" t="n">
        <x:v>1.016585207337494</x:v>
      </x:c>
      <x:c r="AX595" s="12" t="n">
        <x:v>0.6768738598605335</x:v>
      </x:c>
      <x:c r="AY595" s="11"/>
      <x:c r="AZ595" s="11"/>
      <x:c r="BA595" s="11"/>
      <x:c r="BB595" s="11"/>
      <x:c r="BC595" s="11"/>
      <x:c r="BD595" s="11"/>
      <x:c r="BE595" s="11"/>
      <x:c r="BF595" s="11"/>
      <x:c r="BG595" s="11"/>
      <x:c r="BH595" s="11"/>
      <x:c r="BI595" s="11"/>
      <x:c r="BJ595" s="11"/>
      <x:c r="BK595" s="12"/>
      <x:c r="BL595" s="12"/>
      <x:c r="BM595" s="12"/>
      <x:c r="BN595" s="12"/>
      <x:c r="BO595" s="12"/>
      <x:c r="BP595" s="12"/>
      <x:c r="BQ595" s="12"/>
      <x:c r="BR595" s="12"/>
      <x:c r="BS595" s="12"/>
      <x:c r="BT595" s="12"/>
      <x:c r="BU595" s="11" t="n">
        <x:v>0</x:v>
      </x:c>
      <x:c r="BV595" s="11" t="n">
        <x:v>1839425</x:v>
      </x:c>
      <x:c r="BW595" s="11" t="n">
        <x:v>1182566</x:v>
      </x:c>
      <x:c r="BX595" s="11" t="n">
        <x:v>154602</x:v>
      </x:c>
      <x:c r="BY595" s="11" t="n">
        <x:v>643447</x:v>
      </x:c>
      <x:c r="BZ595" s="11" t="n">
        <x:v>167028</x:v>
      </x:c>
      <x:c r="CA595" s="11" t="n">
        <x:v>1087170</x:v>
      </x:c>
      <x:c r="CB595" s="11" t="n">
        <x:v>0</x:v>
      </x:c>
      <x:c r="CC595" s="11" t="n">
        <x:v>1788720</x:v>
      </x:c>
      <x:c r="CD595" s="11" t="n">
        <x:v>1106745</x:v>
      </x:c>
      <x:c r="CE595" s="11" t="n">
        <x:v>0</x:v>
      </x:c>
      <x:c r="CF595" s="11" t="n">
        <x:v>0</x:v>
      </x:c>
      <x:c r="CG595" s="11" t="n">
        <x:v>883188</x:v>
      </x:c>
      <x:c r="CH595" s="11" t="n">
        <x:v>1350716</x:v>
      </x:c>
      <x:c r="CI595" s="11" t="n">
        <x:v>1259380</x:v>
      </x:c>
      <x:c r="CJ595" s="11" t="n">
        <x:v>917791</x:v>
      </x:c>
      <x:c r="CK595" s="11" t="n">
        <x:v>894332</x:v>
      </x:c>
      <x:c r="CL595" s="11" t="n">
        <x:v>102987</x:v>
      </x:c>
      <x:c r="CM595" s="11"/>
      <x:c r="CN595" s="11" t="n">
        <x:v>0</x:v>
      </x:c>
      <x:c r="CO595" s="11" t="n">
        <x:v>0</x:v>
      </x:c>
      <x:c r="CP595" s="8"/>
      <x:c r="CQ595" s="8"/>
    </x:row>
    <x:row r="596">
      <x:c r="A596" s="8" t="str">
        <x:v>Pemberton|2023</x:v>
      </x:c>
      <x:c r="B596" s="8" t="str">
        <x:v>pemberton-v</x:v>
      </x:c>
      <x:c r="C596" s="8" t="str">
        <x:v>Pemberton</x:v>
      </x:c>
      <x:c r="D596" s="8" t="str">
        <x:v>Pemberton</x:v>
      </x:c>
      <x:c r="E596" s="8" t="str">
        <x:v>V</x:v>
      </x:c>
      <x:c r="F596" s="8" t="str">
        <x:v>SQL</x:v>
      </x:c>
      <x:c r="G596" s="9" t="n">
        <x:v>2023</x:v>
      </x:c>
      <x:c r="H596" s="10" t="n">
        <x:v>3678</x:v>
      </x:c>
      <x:c r="I596" s="8" t="str">
        <x:v>Under 5,000</x:v>
      </x:c>
      <x:c r="J596" s="11" t="n">
        <x:v>14565011</x:v>
      </x:c>
      <x:c r="K596" s="11" t="n">
        <x:v>11142803</x:v>
      </x:c>
      <x:c r="L596" s="11" t="n">
        <x:v>3422208</x:v>
      </x:c>
      <x:c r="M596" s="12" t="n">
        <x:v>0.23496089361003572</x:v>
      </x:c>
      <x:c r="N596" s="11" t="n">
        <x:v>2864609</x:v>
      </x:c>
      <x:c r="O596" s="11" t="n">
        <x:v>6273150</x:v>
      </x:c>
      <x:c r="P596" s="11" t="n">
        <x:v>5300788</x:v>
      </x:c>
      <x:c r="Q596" s="11" t="n">
        <x:v>126464</x:v>
      </x:c>
      <x:c r="R596" s="11" t="n">
        <x:v>9615248</x:v>
      </x:c>
      <x:c r="S596" s="11" t="n">
        <x:v>1399864</x:v>
      </x:c>
      <x:c r="T596" s="11" t="n">
        <x:v>11677939</x:v>
      </x:c>
      <x:c r="U596" s="11" t="n">
        <x:v>12675770</x:v>
      </x:c>
      <x:c r="V596" s="11" t="n">
        <x:v>2531176</x:v>
      </x:c>
      <x:c r="W596" s="11" t="n">
        <x:v>7274579</x:v>
      </x:c>
      <x:c r="X596" s="11" t="n">
        <x:v>3564936</x:v>
      </x:c>
      <x:c r="Y596" s="11" t="n">
        <x:v>170000</x:v>
      </x:c>
      <x:c r="Z596" s="11" t="n">
        <x:v>350342</x:v>
      </x:c>
      <x:c r="AA596" s="11" t="n">
        <x:v>3282298</x:v>
      </x:c>
      <x:c r="AB596" s="11" t="n">
        <x:v>127691</x:v>
      </x:c>
      <x:c r="AC596" s="11" t="n">
        <x:v>478033</x:v>
      </x:c>
      <x:c r="AD596" s="11" t="n">
        <x:v>2426529</x:v>
      </x:c>
      <x:c r="AE596" s="11" t="n">
        <x:v>1858434</x:v>
      </x:c>
      <x:c r="AF596" s="11" t="n">
        <x:v>9706115</x:v>
      </x:c>
      <x:c r="AG596" s="11" t="n">
        <x:v>56346060</x:v>
      </x:c>
      <x:c r="AH596" s="11" t="n">
        <x:v>19375589</x:v>
      </x:c>
      <x:c r="AI596" s="11" t="n">
        <x:v>36970471</x:v>
      </x:c>
      <x:c r="AJ596" s="11" t="n">
        <x:v>5344156</x:v>
      </x:c>
      <x:c r="AK596" s="11" t="n">
        <x:v>6622921</x:v>
      </x:c>
      <x:c r="AL596" s="11" t="n">
        <x:v>0</x:v>
      </x:c>
      <x:c r="AM596" s="12" t="n">
        <x:v>1</x:v>
      </x:c>
      <x:c r="AN596" s="12" t="n">
        <x:v>0.806918276693924</x:v>
      </x:c>
      <x:c r="AO596" s="11" t="n">
        <x:v>8210885</x:v>
      </x:c>
      <x:c r="AP596" s="11" t="n">
        <x:v>8027445</x:v>
      </x:c>
      <x:c r="AQ596" s="12" t="n">
        <x:v>0.9776589247078725</x:v>
      </x:c>
      <x:c r="AR596" s="11" t="n">
        <x:v>3960.035617183252</x:v>
      </x:c>
      <x:c r="AS596" s="11" t="n">
        <x:v>3029.5821098423057</x:v>
      </x:c>
      <x:c r="AT596" s="11" t="n">
        <x:v>688.1935834692767</x:v>
      </x:c>
      <x:c r="AU596" s="11" t="n">
        <x:v>1977.862697117999</x:v>
      </x:c>
      <x:c r="AV596" s="11" t="n">
        <x:v>892.4138118542686</x:v>
      </x:c>
      <x:c r="AW596" s="11" t="n">
        <x:v>0.921280442923783</x:v>
      </x:c>
      <x:c r="AX596" s="12" t="n">
        <x:v>0.7658816358675293</x:v>
      </x:c>
      <x:c r="AY596" s="11"/>
      <x:c r="AZ596" s="11"/>
      <x:c r="BA596" s="11"/>
      <x:c r="BB596" s="11"/>
      <x:c r="BC596" s="11"/>
      <x:c r="BD596" s="11"/>
      <x:c r="BE596" s="11"/>
      <x:c r="BF596" s="11"/>
      <x:c r="BG596" s="11"/>
      <x:c r="BH596" s="11"/>
      <x:c r="BI596" s="11"/>
      <x:c r="BJ596" s="11"/>
      <x:c r="BK596" s="12"/>
      <x:c r="BL596" s="12"/>
      <x:c r="BM596" s="12"/>
      <x:c r="BN596" s="12"/>
      <x:c r="BO596" s="12"/>
      <x:c r="BP596" s="12"/>
      <x:c r="BQ596" s="12"/>
      <x:c r="BR596" s="12"/>
      <x:c r="BS596" s="12"/>
      <x:c r="BT596" s="12"/>
      <x:c r="BU596" s="11" t="n">
        <x:v>113899</x:v>
      </x:c>
      <x:c r="BV596" s="11" t="n">
        <x:v>3593356</x:v>
      </x:c>
      <x:c r="BW596" s="11" t="n">
        <x:v>1593533</x:v>
      </x:c>
      <x:c r="BX596" s="11" t="n">
        <x:v>252652</x:v>
      </x:c>
      <x:c r="BY596" s="11" t="n">
        <x:v>-363666</x:v>
      </x:c>
      <x:c r="BZ596" s="11" t="n">
        <x:v>237478</x:v>
      </x:c>
      <x:c r="CA596" s="11" t="n">
        <x:v>0</x:v>
      </x:c>
      <x:c r="CB596" s="11" t="n">
        <x:v>0</x:v>
      </x:c>
      <x:c r="CC596" s="11" t="n">
        <x:v>1982784</x:v>
      </x:c>
      <x:c r="CD596" s="11" t="n">
        <x:v>1389268</x:v>
      </x:c>
      <x:c r="CE596" s="11" t="n">
        <x:v>0</x:v>
      </x:c>
      <x:c r="CF596" s="11" t="n">
        <x:v>0</x:v>
      </x:c>
      <x:c r="CG596" s="11" t="n">
        <x:v>977916</x:v>
      </x:c>
      <x:c r="CH596" s="11" t="n">
        <x:v>1586330</x:v>
      </x:c>
      <x:c r="CI596" s="11" t="n">
        <x:v>1650530</x:v>
      </x:c>
      <x:c r="CJ596" s="11" t="n">
        <x:v>984555</x:v>
      </x:c>
      <x:c r="CK596" s="11" t="n">
        <x:v>1065726</x:v>
      </x:c>
      <x:c r="CL596" s="11" t="n">
        <x:v>105830</x:v>
      </x:c>
      <x:c r="CM596" s="11" t="n">
        <x:v>0</x:v>
      </x:c>
      <x:c r="CN596" s="11" t="n">
        <x:v>0</x:v>
      </x:c>
      <x:c r="CO596" s="11" t="n">
        <x:v>0</x:v>
      </x:c>
      <x:c r="CP596" s="8"/>
      <x:c r="CQ596" s="8"/>
    </x:row>
    <x:row r="597">
      <x:c r="A597" s="8" t="str">
        <x:v>Pemberton|2024</x:v>
      </x:c>
      <x:c r="B597" s="8" t="str">
        <x:v>pemberton-v</x:v>
      </x:c>
      <x:c r="C597" s="8" t="str">
        <x:v>Pemberton</x:v>
      </x:c>
      <x:c r="D597" s="8" t="str">
        <x:v>Pemberton</x:v>
      </x:c>
      <x:c r="E597" s="8" t="str">
        <x:v>V</x:v>
      </x:c>
      <x:c r="F597" s="8" t="str">
        <x:v>SQL</x:v>
      </x:c>
      <x:c r="G597" s="9" t="n">
        <x:v>2024</x:v>
      </x:c>
      <x:c r="H597" s="10" t="n">
        <x:v>3678</x:v>
      </x:c>
      <x:c r="I597" s="8" t="str">
        <x:v>Under 5,000</x:v>
      </x:c>
      <x:c r="J597" s="11" t="n">
        <x:v>15063401</x:v>
      </x:c>
      <x:c r="K597" s="11" t="n">
        <x:v>12418744</x:v>
      </x:c>
      <x:c r="L597" s="11" t="n">
        <x:v>2644657</x:v>
      </x:c>
      <x:c r="M597" s="12" t="n">
        <x:v>0.1755683859176291</x:v>
      </x:c>
      <x:c r="N597" s="11" t="n">
        <x:v>2980199</x:v>
      </x:c>
      <x:c r="O597" s="11" t="n">
        <x:v>6679198</x:v>
      </x:c>
      <x:c r="P597" s="11" t="n">
        <x:v>4331883</x:v>
      </x:c>
      <x:c r="Q597" s="11" t="n">
        <x:v>1072121</x:v>
      </x:c>
      <x:c r="R597" s="11" t="n">
        <x:v>10961549</x:v>
      </x:c>
      <x:c r="S597" s="11" t="n">
        <x:v>1328886</x:v>
      </x:c>
      <x:c r="T597" s="11" t="n">
        <x:v>10652365</x:v>
      </x:c>
      <x:c r="U597" s="11" t="n">
        <x:v>14311851</x:v>
      </x:c>
      <x:c r="V597" s="11" t="n">
        <x:v>658404</x:v>
      </x:c>
      <x:c r="W597" s="11" t="n">
        <x:v>7803009</x:v>
      </x:c>
      <x:c r="X597" s="11" t="n">
        <x:v>3282298</x:v>
      </x:c>
      <x:c r="Y597" s="11" t="n">
        <x:v>949754</x:v>
      </x:c>
      <x:c r="Z597" s="11" t="n">
        <x:v>344243</x:v>
      </x:c>
      <x:c r="AA597" s="11" t="n">
        <x:v>3775427</x:v>
      </x:c>
      <x:c r="AB597" s="11" t="n">
        <x:v>128309</x:v>
      </x:c>
      <x:c r="AC597" s="11" t="n">
        <x:v>472552</x:v>
      </x:c>
      <x:c r="AD597" s="11" t="n">
        <x:v>2567124</x:v>
      </x:c>
      <x:c r="AE597" s="11" t="n">
        <x:v>2094572</x:v>
      </x:c>
      <x:c r="AF597" s="11" t="n">
        <x:v>10268497</x:v>
      </x:c>
      <x:c r="AG597" s="11" t="n">
        <x:v>62164693</x:v>
      </x:c>
      <x:c r="AH597" s="11" t="n">
        <x:v>20704475</x:v>
      </x:c>
      <x:c r="AI597" s="11" t="n">
        <x:v>41460218</x:v>
      </x:c>
      <x:c r="AJ597" s="11" t="n">
        <x:v>5818633</x:v>
      </x:c>
      <x:c r="AK597" s="11" t="n">
        <x:v>62164693</x:v>
      </x:c>
      <x:c r="AL597" s="11" t="n">
        <x:v>1328886</x:v>
      </x:c>
      <x:c r="AM597" s="12" t="n">
        <x:v>0.9786231390220169</x:v>
      </x:c>
      <x:c r="AN597" s="12" t="n">
        <x:v>0.09360028529377601</x:v>
      </x:c>
      <x:c r="AO597" s="11" t="n">
        <x:v>8460570</x:v>
      </x:c>
      <x:c r="AP597" s="11" t="n">
        <x:v>8224402</x:v>
      </x:c>
      <x:c r="AQ597" s="12" t="n">
        <x:v>0.9720860414842026</x:v>
      </x:c>
      <x:c r="AR597" s="11" t="n">
        <x:v>4095.541326808048</x:v>
      </x:c>
      <x:c r="AS597" s="11" t="n">
        <x:v>3376.493746601414</x:v>
      </x:c>
      <x:c r="AT597" s="11" t="n">
        <x:v>179.01141924959217</x:v>
      </x:c>
      <x:c r="AU597" s="11" t="n">
        <x:v>2121.535889070147</x:v>
      </x:c>
      <x:c r="AV597" s="11" t="n">
        <x:v>1026.489124524198</x:v>
      </x:c>
      <x:c r="AW597" s="11" t="n">
        <x:v>0.7443037941074149</x:v>
      </x:c>
      <x:c r="AX597" s="12" t="n">
        <x:v>0.8159216305873811</x:v>
      </x:c>
      <x:c r="AY597" s="11" t="n">
        <x:v>4648.097865362712</x:v>
      </x:c>
      <x:c r="AZ597" s="11" t="n">
        <x:v>3546.5079302077975</x:v>
      </x:c>
      <x:c r="BA597" s="11" t="n">
        <x:v>3428.422456291105</x:v>
      </x:c>
      <x:c r="BB597" s="11" t="n">
        <x:v>2783.665107049771</x:v>
      </x:c>
      <x:c r="BC597" s="11" t="n">
        <x:v>5030.364110900993</x:v>
      </x:c>
      <x:c r="BD597" s="11" t="n">
        <x:v>2437.8724475115623</x:v>
      </x:c>
      <x:c r="BE597" s="11" t="n">
        <x:v>2420.45</x:v>
      </x:c>
      <x:c r="BF597" s="11" t="n">
        <x:v>1604.3462673977224</x:v>
      </x:c>
      <x:c r="BG597" s="11" t="n">
        <x:v>224.31236112962716</x:v>
      </x:c>
      <x:c r="BH597" s="11" t="n">
        <x:v>518.5374381567245</x:v>
      </x:c>
      <x:c r="BI597" s="11" t="n">
        <x:v>2.204313821553219</x:v>
      </x:c>
      <x:c r="BJ597" s="11" t="n">
        <x:v>1.7099330852451193</x:v>
      </x:c>
      <x:c r="BK597" s="12" t="n">
        <x:v>0.030042455998363887</x:v>
      </x:c>
      <x:c r="BL597" s="12" t="n">
        <x:v>0.02529861000232605</x:v>
      </x:c>
      <x:c r="BM597" s="12" t="n">
        <x:v>0.9786113537119745</x:v>
      </x:c>
      <x:c r="BN597" s="12" t="n">
        <x:v>0.9815511712696461</x:v>
      </x:c>
      <x:c r="BO597" s="12" t="n">
        <x:v>0.9039920521842442</x:v>
      </x:c>
      <x:c r="BP597" s="12" t="n">
        <x:v>0.8619101997275483</x:v>
      </x:c>
      <x:c r="BQ597" s="12" t="n">
        <x:v>0.9333160528846489</x:v>
      </x:c>
      <x:c r="BR597" s="12" t="n">
        <x:v>0.9623635142836453</x:v>
      </x:c>
      <x:c r="BS597" s="12" t="n">
        <x:v>0.20869205825466772</x:v>
      </x:c>
      <x:c r="BT597" s="12" t="n">
        <x:v>0.19976549769108282</x:v>
      </x:c>
      <x:c r="BU597" s="11" t="n">
        <x:v>0</x:v>
      </x:c>
      <x:c r="BV597" s="11" t="n">
        <x:v>1832654</x:v>
      </x:c>
      <x:c r="BW597" s="11" t="n">
        <x:v>2499229</x:v>
      </x:c>
      <x:c r="BX597" s="11" t="n">
        <x:v>251582</x:v>
      </x:c>
      <x:c r="BY597" s="11" t="n">
        <x:v>820539</x:v>
      </x:c>
      <x:c r="BZ597" s="11" t="n">
        <x:v>0</x:v>
      </x:c>
      <x:c r="CA597" s="11" t="n">
        <x:v>0</x:v>
      </x:c>
      <x:c r="CB597" s="11" t="n">
        <x:v>0</x:v>
      </x:c>
      <x:c r="CC597" s="11" t="n">
        <x:v>2376945</x:v>
      </x:c>
      <x:c r="CD597" s="11" t="n">
        <x:v>1292231</x:v>
      </x:c>
      <x:c r="CE597" s="11" t="n">
        <x:v>0</x:v>
      </x:c>
      <x:c r="CF597" s="11" t="n">
        <x:v>0</x:v>
      </x:c>
      <x:c r="CG597" s="11" t="n">
        <x:v>1419484</x:v>
      </x:c>
      <x:c r="CH597" s="11" t="n">
        <x:v>1821860</x:v>
      </x:c>
      <x:c r="CI597" s="11" t="n">
        <x:v>1813565</x:v>
      </x:c>
      <x:c r="CJ597" s="11" t="n">
        <x:v>1165843</x:v>
      </x:c>
      <x:c r="CK597" s="11" t="n">
        <x:v>957826</x:v>
      </x:c>
      <x:c r="CL597" s="11" t="n">
        <x:v>242104</x:v>
      </x:c>
      <x:c r="CM597" s="11" t="n">
        <x:v>0</x:v>
      </x:c>
      <x:c r="CN597" s="11" t="n">
        <x:v>0</x:v>
      </x:c>
      <x:c r="CO597" s="11" t="n">
        <x:v>0</x:v>
      </x:c>
      <x:c r="CP597" s="8"/>
      <x:c r="CQ597" s="8"/>
    </x:row>
    <x:row r="598">
      <x:c r="A598" s="8" t="str">
        <x:v>Penticton|2019</x:v>
      </x:c>
      <x:c r="B598" s="8" t="str">
        <x:v>penticton-c</x:v>
      </x:c>
      <x:c r="C598" s="8" t="str">
        <x:v>Penticton</x:v>
      </x:c>
      <x:c r="D598" s="8" t="str">
        <x:v>Penticton</x:v>
      </x:c>
      <x:c r="E598" s="8" t="str">
        <x:v>C</x:v>
      </x:c>
      <x:c r="F598" s="8" t="str">
        <x:v>OKS</x:v>
      </x:c>
      <x:c r="G598" s="9" t="n">
        <x:v>2019</x:v>
      </x:c>
      <x:c r="H598" s="10" t="n">
        <x:v>36425</x:v>
      </x:c>
      <x:c r="I598" s="8" t="str">
        <x:v>20,000 to 99,999</x:v>
      </x:c>
      <x:c r="J598" s="11" t="n">
        <x:v>121138444</x:v>
      </x:c>
      <x:c r="K598" s="11" t="n">
        <x:v>110056378</x:v>
      </x:c>
      <x:c r="L598" s="11" t="n">
        <x:v>11082066</x:v>
      </x:c>
      <x:c r="M598" s="12" t="n">
        <x:v>0.0914826510401603</x:v>
      </x:c>
      <x:c r="N598" s="11" t="n">
        <x:v>35138187</x:v>
      </x:c>
      <x:c r="O598" s="11" t="n">
        <x:v>70096334</x:v>
      </x:c>
      <x:c r="P598" s="11" t="n">
        <x:v>3863313</x:v>
      </x:c>
      <x:c r="Q598" s="11" t="n">
        <x:v>12040610</x:v>
      </x:c>
      <x:c r="R598" s="11" t="n">
        <x:v>94031669</x:v>
      </x:c>
      <x:c r="S598" s="11" t="n">
        <x:v>14218490</x:v>
      </x:c>
      <x:c r="T598" s="11" t="n">
        <x:v>104342990</x:v>
      </x:c>
      <x:c r="U598" s="11" t="n">
        <x:v>74725009</x:v>
      </x:c>
      <x:c r="V598" s="11" t="n">
        <x:v>42601794</x:v>
      </x:c>
      <x:c r="W598" s="11" t="n">
        <x:v>23948866</x:v>
      </x:c>
      <x:c r="X598" s="11" t="n">
        <x:v>34373676</x:v>
      </x:c>
      <x:c r="Y598" s="11" t="n">
        <x:v>0</x:v>
      </x:c>
      <x:c r="Z598" s="11" t="n">
        <x:v>2332346</x:v>
      </x:c>
      <x:c r="AA598" s="11" t="n">
        <x:v>30980819</x:v>
      </x:c>
      <x:c r="AB598" s="11" t="n">
        <x:v>1806219</x:v>
      </x:c>
      <x:c r="AC598" s="11" t="n">
        <x:v>4138565</x:v>
      </x:c>
      <x:c r="AD598" s="11" t="n">
        <x:v>28938495</x:v>
      </x:c>
      <x:c r="AE598" s="11" t="n">
        <x:v>24799930</x:v>
      </x:c>
      <x:c r="AF598" s="11" t="n">
        <x:v>115753978</x:v>
      </x:c>
      <x:c r="AG598" s="11" t="n">
        <x:v>561428842</x:v>
      </x:c>
      <x:c r="AH598" s="11" t="n">
        <x:v>241592367</x:v>
      </x:c>
      <x:c r="AI598" s="11" t="n">
        <x:v>319836475</x:v>
      </x:c>
      <x:c r="AJ598" s="11" t="n">
        <x:v>11567786</x:v>
      </x:c>
      <x:c r="AK598" s="11" t="n">
        <x:v>55210990</x:v>
      </x:c>
      <x:c r="AL598" s="11" t="n">
        <x:v>0</x:v>
      </x:c>
      <x:c r="AM598" s="12" t="n">
        <x:v>1</x:v>
      </x:c>
      <x:c r="AN598" s="12" t="n">
        <x:v>0.20951962643669314</x:v>
      </x:c>
      <x:c r="AO598" s="11" t="n">
        <x:v>55927814</x:v>
      </x:c>
      <x:c r="AP598" s="11" t="n">
        <x:v>54690226</x:v>
      </x:c>
      <x:c r="AQ598" s="12" t="n">
        <x:v>0.9778716901039615</x:v>
      </x:c>
      <x:c r="AR598" s="11" t="n">
        <x:v>3325.6950995195607</x:v>
      </x:c>
      <x:c r="AS598" s="11" t="n">
        <x:v>3021.4516952642416</x:v>
      </x:c>
      <x:c r="AT598" s="11" t="n">
        <x:v>1169.5756760466713</x:v>
      </x:c>
      <x:c r="AU598" s="11" t="n">
        <x:v>657.4843102264928</x:v>
      </x:c>
      <x:c r="AV598" s="11" t="n">
        <x:v>850.5372409059712</x:v>
      </x:c>
      <x:c r="AW598" s="11" t="n">
        <x:v>1.396359684613755</x:v>
      </x:c>
      <x:c r="AX598" s="12" t="n">
        <x:v>0.8569875523934468</x:v>
      </x:c>
      <x:c r="AY598" s="11"/>
      <x:c r="AZ598" s="11"/>
      <x:c r="BA598" s="11"/>
      <x:c r="BB598" s="11"/>
      <x:c r="BC598" s="11"/>
      <x:c r="BD598" s="11"/>
      <x:c r="BE598" s="11"/>
      <x:c r="BF598" s="11"/>
      <x:c r="BG598" s="11"/>
      <x:c r="BH598" s="11"/>
      <x:c r="BI598" s="11"/>
      <x:c r="BJ598" s="11"/>
      <x:c r="BK598" s="12"/>
      <x:c r="BL598" s="12"/>
      <x:c r="BM598" s="12"/>
      <x:c r="BN598" s="12"/>
      <x:c r="BO598" s="12"/>
      <x:c r="BP598" s="12"/>
      <x:c r="BQ598" s="12"/>
      <x:c r="BR598" s="12"/>
      <x:c r="BS598" s="12"/>
      <x:c r="BT598" s="12"/>
      <x:c r="BU598" s="11" t="n">
        <x:v>0</x:v>
      </x:c>
      <x:c r="BV598" s="11" t="n">
        <x:v>678894</x:v>
      </x:c>
      <x:c r="BW598" s="11" t="n">
        <x:v>3184419</x:v>
      </x:c>
      <x:c r="BX598" s="11" t="n">
        <x:v>4117398</x:v>
      </x:c>
      <x:c r="BY598" s="11" t="n">
        <x:v>0</x:v>
      </x:c>
      <x:c r="BZ598" s="11" t="n">
        <x:v>213907</x:v>
      </x:c>
      <x:c r="CA598" s="11" t="n">
        <x:v>32117</x:v>
      </x:c>
      <x:c r="CB598" s="11" t="n">
        <x:v>7677188</x:v>
      </x:c>
      <x:c r="CC598" s="11" t="n">
        <x:v>11606697</x:v>
      </x:c>
      <x:c r="CD598" s="11" t="n">
        <x:v>16675134</x:v>
      </x:c>
      <x:c r="CE598" s="11" t="n">
        <x:v>1897990</x:v>
      </x:c>
      <x:c r="CF598" s="11" t="n">
        <x:v>244253</x:v>
      </x:c>
      <x:c r="CG598" s="11" t="n">
        <x:v>3466906</x:v>
      </x:c>
      <x:c r="CH598" s="11" t="n">
        <x:v>7870398</x:v>
      </x:c>
      <x:c r="CI598" s="11" t="n">
        <x:v>12040690</x:v>
      </x:c>
      <x:c r="CJ598" s="11" t="n">
        <x:v>4052828</x:v>
      </x:c>
      <x:c r="CK598" s="11" t="n">
        <x:v>4477822</x:v>
      </x:c>
      <x:c r="CL598" s="11" t="n">
        <x:v>33505170</x:v>
      </x:c>
      <x:c r="CM598" s="11"/>
      <x:c r="CN598" s="11" t="n">
        <x:v>0</x:v>
      </x:c>
      <x:c r="CO598" s="11" t="n">
        <x:v>0</x:v>
      </x:c>
      <x:c r="CP598" s="8"/>
      <x:c r="CQ598" s="8"/>
    </x:row>
    <x:row r="599">
      <x:c r="A599" s="8" t="str">
        <x:v>Penticton|2020</x:v>
      </x:c>
      <x:c r="B599" s="8" t="str">
        <x:v>penticton-c</x:v>
      </x:c>
      <x:c r="C599" s="8" t="str">
        <x:v>Penticton</x:v>
      </x:c>
      <x:c r="D599" s="8" t="str">
        <x:v>Penticton</x:v>
      </x:c>
      <x:c r="E599" s="8" t="str">
        <x:v>C</x:v>
      </x:c>
      <x:c r="F599" s="8" t="str">
        <x:v>OKS</x:v>
      </x:c>
      <x:c r="G599" s="9" t="n">
        <x:v>2020</x:v>
      </x:c>
      <x:c r="H599" s="10" t="n">
        <x:v>36597</x:v>
      </x:c>
      <x:c r="I599" s="8" t="str">
        <x:v>20,000 to 99,999</x:v>
      </x:c>
      <x:c r="J599" s="11" t="n">
        <x:v>122884914</x:v>
      </x:c>
      <x:c r="K599" s="11" t="n">
        <x:v>109343779</x:v>
      </x:c>
      <x:c r="L599" s="11" t="n">
        <x:v>13541135</x:v>
      </x:c>
      <x:c r="M599" s="12" t="n">
        <x:v>0.11019363206780615</x:v>
      </x:c>
      <x:c r="N599" s="11" t="n">
        <x:v>36265720</x:v>
      </x:c>
      <x:c r="O599" s="11" t="n">
        <x:v>68417340</x:v>
      </x:c>
      <x:c r="P599" s="11" t="n">
        <x:v>7125619</x:v>
      </x:c>
      <x:c r="Q599" s="11" t="n">
        <x:v>11076235</x:v>
      </x:c>
      <x:c r="R599" s="11" t="n">
        <x:v>93397028</x:v>
      </x:c>
      <x:c r="S599" s="11" t="n">
        <x:v>14531868</x:v>
      </x:c>
      <x:c r="T599" s="11" t="n">
        <x:v>119847721</x:v>
      </x:c>
      <x:c r="U599" s="11" t="n">
        <x:v>75141081</x:v>
      </x:c>
      <x:c r="V599" s="11" t="n">
        <x:v>57553388</x:v>
      </x:c>
      <x:c r="W599" s="11" t="n">
        <x:v>27862841</x:v>
      </x:c>
      <x:c r="X599" s="11" t="n">
        <x:v>30980819</x:v>
      </x:c>
      <x:c r="Y599" s="11" t="n">
        <x:v>0</x:v>
      </x:c>
      <x:c r="Z599" s="11" t="n">
        <x:v>2308811</x:v>
      </x:c>
      <x:c r="AA599" s="11" t="n">
        <x:v>27500122</x:v>
      </x:c>
      <x:c r="AB599" s="11" t="n">
        <x:v>1414883</x:v>
      </x:c>
      <x:c r="AC599" s="11" t="n">
        <x:v>3723694</x:v>
      </x:c>
      <x:c r="AD599" s="11" t="n">
        <x:v>28389818</x:v>
      </x:c>
      <x:c r="AE599" s="11" t="n">
        <x:v>24666124</x:v>
      </x:c>
      <x:c r="AF599" s="11" t="n">
        <x:v>113559270</x:v>
      </x:c>
      <x:c r="AG599" s="11" t="n">
        <x:v>574014970</x:v>
      </x:c>
      <x:c r="AH599" s="11" t="n">
        <x:v>255525311</x:v>
      </x:c>
      <x:c r="AI599" s="11" t="n">
        <x:v>318489659</x:v>
      </x:c>
      <x:c r="AJ599" s="11" t="n">
        <x:v>13284958</x:v>
      </x:c>
      <x:c r="AK599" s="11" t="n">
        <x:v>56652412</x:v>
      </x:c>
      <x:c r="AL599" s="11" t="n">
        <x:v>0</x:v>
      </x:c>
      <x:c r="AM599" s="12" t="n">
        <x:v>1</x:v>
      </x:c>
      <x:c r="AN599" s="12" t="n">
        <x:v>0.23449942431400803</x:v>
      </x:c>
      <x:c r="AO599" s="11" t="n">
        <x:v>55034692</x:v>
      </x:c>
      <x:c r="AP599" s="11" t="n">
        <x:v>53874279</x:v>
      </x:c>
      <x:c r="AQ599" s="12" t="n">
        <x:v>0.9789148815441722</x:v>
      </x:c>
      <x:c r="AR599" s="11" t="n">
        <x:v>3357.786539880318</x:v>
      </x:c>
      <x:c r="AS599" s="11" t="n">
        <x:v>2987.7798453425144</x:v>
      </x:c>
      <x:c r="AT599" s="11" t="n">
        <x:v>1572.6258436483865</x:v>
      </x:c>
      <x:c r="AU599" s="11" t="n">
        <x:v>761.3422138426647</x:v>
      </x:c>
      <x:c r="AV599" s="11" t="n">
        <x:v>751.4310462606225</x:v>
      </x:c>
      <x:c r="AW599" s="11" t="n">
        <x:v>1.594969348391461</x:v>
      </x:c>
      <x:c r="AX599" s="12" t="n">
        <x:v>0.8688369893741481</x:v>
      </x:c>
      <x:c r="AY599" s="11"/>
      <x:c r="AZ599" s="11"/>
      <x:c r="BA599" s="11"/>
      <x:c r="BB599" s="11"/>
      <x:c r="BC599" s="11"/>
      <x:c r="BD599" s="11"/>
      <x:c r="BE599" s="11"/>
      <x:c r="BF599" s="11"/>
      <x:c r="BG599" s="11"/>
      <x:c r="BH599" s="11"/>
      <x:c r="BI599" s="11"/>
      <x:c r="BJ599" s="11"/>
      <x:c r="BK599" s="12"/>
      <x:c r="BL599" s="12"/>
      <x:c r="BM599" s="12"/>
      <x:c r="BN599" s="12"/>
      <x:c r="BO599" s="12"/>
      <x:c r="BP599" s="12"/>
      <x:c r="BQ599" s="12"/>
      <x:c r="BR599" s="12"/>
      <x:c r="BS599" s="12"/>
      <x:c r="BT599" s="12"/>
      <x:c r="BU599" s="11" t="n">
        <x:v>21614</x:v>
      </x:c>
      <x:c r="BV599" s="11" t="n">
        <x:v>5456399</x:v>
      </x:c>
      <x:c r="BW599" s="11" t="n">
        <x:v>1647606</x:v>
      </x:c>
      <x:c r="BX599" s="11" t="n">
        <x:v>3514299</x:v>
      </x:c>
      <x:c r="BY599" s="11" t="n">
        <x:v>0</x:v>
      </x:c>
      <x:c r="BZ599" s="11" t="n">
        <x:v>818268</x:v>
      </x:c>
      <x:c r="CA599" s="11" t="n">
        <x:v>182175</x:v>
      </x:c>
      <x:c r="CB599" s="11" t="n">
        <x:v>6561493</x:v>
      </x:c>
      <x:c r="CC599" s="11" t="n">
        <x:v>11826652</x:v>
      </x:c>
      <x:c r="CD599" s="11" t="n">
        <x:v>16701180</x:v>
      </x:c>
      <x:c r="CE599" s="11" t="n">
        <x:v>1926495</x:v>
      </x:c>
      <x:c r="CF599" s="11" t="n">
        <x:v>325406</x:v>
      </x:c>
      <x:c r="CG599" s="11" t="n">
        <x:v>2951196</x:v>
      </x:c>
      <x:c r="CH599" s="11" t="n">
        <x:v>8727758</x:v>
      </x:c>
      <x:c r="CI599" s="11" t="n">
        <x:v>10476331</x:v>
      </x:c>
      <x:c r="CJ599" s="11" t="n">
        <x:v>4323297</x:v>
      </x:c>
      <x:c r="CK599" s="11" t="n">
        <x:v>4732200</x:v>
      </x:c>
      <x:c r="CL599" s="11" t="n">
        <x:v>32821396</x:v>
      </x:c>
      <x:c r="CM599" s="11"/>
      <x:c r="CN599" s="11" t="n">
        <x:v>0</x:v>
      </x:c>
      <x:c r="CO599" s="11" t="n">
        <x:v>0</x:v>
      </x:c>
      <x:c r="CP599" s="8"/>
      <x:c r="CQ599" s="8"/>
    </x:row>
    <x:row r="600">
      <x:c r="A600" s="8" t="str">
        <x:v>Penticton|2021</x:v>
      </x:c>
      <x:c r="B600" s="8" t="str">
        <x:v>penticton-c</x:v>
      </x:c>
      <x:c r="C600" s="8" t="str">
        <x:v>Penticton</x:v>
      </x:c>
      <x:c r="D600" s="8" t="str">
        <x:v>Penticton</x:v>
      </x:c>
      <x:c r="E600" s="8" t="str">
        <x:v>C</x:v>
      </x:c>
      <x:c r="F600" s="8" t="str">
        <x:v>OKS</x:v>
      </x:c>
      <x:c r="G600" s="9" t="n">
        <x:v>2021</x:v>
      </x:c>
      <x:c r="H600" s="10" t="n">
        <x:v>36362</x:v>
      </x:c>
      <x:c r="I600" s="8" t="str">
        <x:v>20,000 to 99,999</x:v>
      </x:c>
      <x:c r="J600" s="11" t="n">
        <x:v>129293292</x:v>
      </x:c>
      <x:c r="K600" s="11" t="n">
        <x:v>116712811</x:v>
      </x:c>
      <x:c r="L600" s="11" t="n">
        <x:v>12580481</x:v>
      </x:c>
      <x:c r="M600" s="12" t="n">
        <x:v>0.09730188477218138</x:v>
      </x:c>
      <x:c r="N600" s="11" t="n">
        <x:v>37815929</x:v>
      </x:c>
      <x:c r="O600" s="11" t="n">
        <x:v>71429332</x:v>
      </x:c>
      <x:c r="P600" s="11" t="n">
        <x:v>6141419</x:v>
      </x:c>
      <x:c r="Q600" s="11" t="n">
        <x:v>13906612</x:v>
      </x:c>
      <x:c r="R600" s="11" t="n">
        <x:v>100708954</x:v>
      </x:c>
      <x:c r="S600" s="11" t="n">
        <x:v>14793275</x:v>
      </x:c>
      <x:c r="T600" s="11" t="n">
        <x:v>129313277</x:v>
      </x:c>
      <x:c r="U600" s="11" t="n">
        <x:v>73503627</x:v>
      </x:c>
      <x:c r="V600" s="11" t="n">
        <x:v>68689230</x:v>
      </x:c>
      <x:c r="W600" s="11" t="n">
        <x:v>30069059</x:v>
      </x:c>
      <x:c r="X600" s="11" t="n">
        <x:v>27500122</x:v>
      </x:c>
      <x:c r="Y600" s="11" t="n">
        <x:v>0</x:v>
      </x:c>
      <x:c r="Z600" s="11" t="n">
        <x:v>2207361</x:v>
      </x:c>
      <x:c r="AA600" s="11" t="n">
        <x:v>24193133</x:v>
      </x:c>
      <x:c r="AB600" s="11" t="n">
        <x:v>1210582</x:v>
      </x:c>
      <x:c r="AC600" s="11" t="n">
        <x:v>3417943</x:v>
      </x:c>
      <x:c r="AD600" s="11" t="n">
        <x:v>29456923</x:v>
      </x:c>
      <x:c r="AE600" s="11" t="n">
        <x:v>26038980</x:v>
      </x:c>
      <x:c r="AF600" s="11" t="n">
        <x:v>117827692</x:v>
      </x:c>
      <x:c r="AG600" s="11" t="n">
        <x:v>590402237</x:v>
      </x:c>
      <x:c r="AH600" s="11" t="n">
        <x:v>270557244</x:v>
      </x:c>
      <x:c r="AI600" s="11" t="n">
        <x:v>319844993</x:v>
      </x:c>
      <x:c r="AJ600" s="11" t="n">
        <x:v>16152246</x:v>
      </x:c>
      <x:c r="AK600" s="11" t="n">
        <x:v>60905265</x:v>
      </x:c>
      <x:c r="AL600" s="11" t="n">
        <x:v>0</x:v>
      </x:c>
      <x:c r="AM600" s="12" t="n">
        <x:v>1</x:v>
      </x:c>
      <x:c r="AN600" s="12" t="n">
        <x:v>0.2652027866556364</x:v>
      </x:c>
      <x:c r="AO600" s="11" t="n">
        <x:v>60055451</x:v>
      </x:c>
      <x:c r="AP600" s="11" t="n">
        <x:v>58868239</x:v>
      </x:c>
      <x:c r="AQ600" s="12" t="n">
        <x:v>0.9802314031410737</x:v>
      </x:c>
      <x:c r="AR600" s="11" t="n">
        <x:v>3555.7255376491944</x:v>
      </x:c>
      <x:c r="AS600" s="11" t="n">
        <x:v>3209.7467411033494</x:v>
      </x:c>
      <x:c r="AT600" s="11" t="n">
        <x:v>1889.0388317474287</x:v>
      </x:c>
      <x:c r="AU600" s="11" t="n">
        <x:v>826.9363346350585</x:v>
      </x:c>
      <x:c r="AV600" s="11" t="n">
        <x:v>665.3410978494032</x:v>
      </x:c>
      <x:c r="AW600" s="11" t="n">
        <x:v>1.7592774979661887</x:v>
      </x:c>
      <x:c r="AX600" s="12" t="n">
        <x:v>0.8839680913040374</x:v>
      </x:c>
      <x:c r="AY600" s="11"/>
      <x:c r="AZ600" s="11"/>
      <x:c r="BA600" s="11"/>
      <x:c r="BB600" s="11"/>
      <x:c r="BC600" s="11"/>
      <x:c r="BD600" s="11"/>
      <x:c r="BE600" s="11"/>
      <x:c r="BF600" s="11"/>
      <x:c r="BG600" s="11"/>
      <x:c r="BH600" s="11"/>
      <x:c r="BI600" s="11"/>
      <x:c r="BJ600" s="11"/>
      <x:c r="BK600" s="12"/>
      <x:c r="BL600" s="12"/>
      <x:c r="BM600" s="12"/>
      <x:c r="BN600" s="12"/>
      <x:c r="BO600" s="12"/>
      <x:c r="BP600" s="12"/>
      <x:c r="BQ600" s="12"/>
      <x:c r="BR600" s="12"/>
      <x:c r="BS600" s="12"/>
      <x:c r="BT600" s="12"/>
      <x:c r="BU600" s="11" t="n">
        <x:v>31205</x:v>
      </x:c>
      <x:c r="BV600" s="11" t="n">
        <x:v>2822225</x:v>
      </x:c>
      <x:c r="BW600" s="11" t="n">
        <x:v>3287989</x:v>
      </x:c>
      <x:c r="BX600" s="11" t="n">
        <x:v>1099628</x:v>
      </x:c>
      <x:c r="BY600" s="11" t="n">
        <x:v>0</x:v>
      </x:c>
      <x:c r="BZ600" s="11" t="n">
        <x:v>3767244</x:v>
      </x:c>
      <x:c r="CA600" s="11" t="n">
        <x:v>265000</x:v>
      </x:c>
      <x:c r="CB600" s="11" t="n">
        <x:v>8774740</x:v>
      </x:c>
      <x:c r="CC600" s="11" t="n">
        <x:v>12129466</x:v>
      </x:c>
      <x:c r="CD600" s="11" t="n">
        <x:v>20021974</x:v>
      </x:c>
      <x:c r="CE600" s="11" t="n">
        <x:v>1982591</x:v>
      </x:c>
      <x:c r="CF600" s="11" t="n">
        <x:v>381586</x:v>
      </x:c>
      <x:c r="CG600" s="11" t="n">
        <x:v>3859262</x:v>
      </x:c>
      <x:c r="CH600" s="11" t="n">
        <x:v>7375666</x:v>
      </x:c>
      <x:c r="CI600" s="11" t="n">
        <x:v>10924939</x:v>
      </x:c>
      <x:c r="CJ600" s="11" t="n">
        <x:v>4455896</x:v>
      </x:c>
      <x:c r="CK600" s="11" t="n">
        <x:v>4324825</x:v>
      </x:c>
      <x:c r="CL600" s="11" t="n">
        <x:v>36463331</x:v>
      </x:c>
      <x:c r="CM600" s="11"/>
      <x:c r="CN600" s="11" t="n">
        <x:v>0</x:v>
      </x:c>
      <x:c r="CO600" s="11" t="n">
        <x:v>0</x:v>
      </x:c>
      <x:c r="CP600" s="8"/>
      <x:c r="CQ600" s="8"/>
    </x:row>
    <x:row r="601">
      <x:c r="A601" s="8" t="str">
        <x:v>Penticton|2022</x:v>
      </x:c>
      <x:c r="B601" s="8" t="str">
        <x:v>penticton-c</x:v>
      </x:c>
      <x:c r="C601" s="8" t="str">
        <x:v>Penticton</x:v>
      </x:c>
      <x:c r="D601" s="8" t="str">
        <x:v>Penticton</x:v>
      </x:c>
      <x:c r="E601" s="8" t="str">
        <x:v>C</x:v>
      </x:c>
      <x:c r="F601" s="8" t="str">
        <x:v>OKS</x:v>
      </x:c>
      <x:c r="G601" s="9" t="n">
        <x:v>2022</x:v>
      </x:c>
      <x:c r="H601" s="10" t="n">
        <x:v>20399</x:v>
      </x:c>
      <x:c r="I601" s="8" t="str">
        <x:v>20,000 to 99,999</x:v>
      </x:c>
      <x:c r="J601" s="11" t="n">
        <x:v>138411275</x:v>
      </x:c>
      <x:c r="K601" s="11" t="n">
        <x:v>132421441</x:v>
      </x:c>
      <x:c r="L601" s="11" t="n">
        <x:v>5989834</x:v>
      </x:c>
      <x:c r="M601" s="12" t="n">
        <x:v>0.04327562187401279</x:v>
      </x:c>
      <x:c r="N601" s="11" t="n">
        <x:v>40895358</x:v>
      </x:c>
      <x:c r="O601" s="11" t="n">
        <x:v>74538279</x:v>
      </x:c>
      <x:c r="P601" s="11" t="n">
        <x:v>7431583</x:v>
      </x:c>
      <x:c r="Q601" s="11" t="n">
        <x:v>15546055</x:v>
      </x:c>
      <x:c r="R601" s="11" t="n">
        <x:v>116717632</x:v>
      </x:c>
      <x:c r="S601" s="11" t="n">
        <x:v>14496921</x:v>
      </x:c>
      <x:c r="T601" s="11" t="n">
        <x:v>133287547</x:v>
      </x:c>
      <x:c r="U601" s="11" t="n">
        <x:v>75606123</x:v>
      </x:c>
      <x:c r="V601" s="11" t="n">
        <x:v>75949619</x:v>
      </x:c>
      <x:c r="W601" s="11" t="n">
        <x:v>31885412</x:v>
      </x:c>
      <x:c r="X601" s="11" t="n">
        <x:v>24193133</x:v>
      </x:c>
      <x:c r="Y601" s="11" t="n">
        <x:v>0</x:v>
      </x:c>
      <x:c r="Z601" s="11" t="n">
        <x:v>2211123</x:v>
      </x:c>
      <x:c r="AA601" s="11" t="n">
        <x:v>20767185</x:v>
      </x:c>
      <x:c r="AB601" s="11" t="n">
        <x:v>1206888</x:v>
      </x:c>
      <x:c r="AC601" s="11" t="n">
        <x:v>3418011</x:v>
      </x:c>
      <x:c r="AD601" s="11" t="n">
        <x:v>31620672</x:v>
      </x:c>
      <x:c r="AE601" s="11" t="n">
        <x:v>28202661</x:v>
      </x:c>
      <x:c r="AF601" s="11" t="n">
        <x:v>126482687</x:v>
      </x:c>
      <x:c r="AG601" s="11" t="n">
        <x:v>602187525</x:v>
      </x:c>
      <x:c r="AH601" s="11" t="n">
        <x:v>284389302</x:v>
      </x:c>
      <x:c r="AI601" s="11" t="n">
        <x:v>317798223</x:v>
      </x:c>
      <x:c r="AJ601" s="11" t="n">
        <x:v>14641140</x:v>
      </x:c>
      <x:c r="AK601" s="11" t="n">
        <x:v>63749721</x:v>
      </x:c>
      <x:c r="AL601" s="11" t="n">
        <x:v>0</x:v>
      </x:c>
      <x:c r="AM601" s="12" t="n">
        <x:v>1</x:v>
      </x:c>
      <x:c r="AN601" s="12" t="n">
        <x:v>0.2296659463027297</x:v>
      </x:c>
      <x:c r="AO601" s="11" t="n">
        <x:v>63828619</x:v>
      </x:c>
      <x:c r="AP601" s="11" t="n">
        <x:v>62558667</x:v>
      </x:c>
      <x:c r="AQ601" s="12" t="n">
        <x:v>0.9801037211850063</x:v>
      </x:c>
      <x:c r="AR601" s="11" t="n">
        <x:v>6785.199029364185</x:v>
      </x:c>
      <x:c r="AS601" s="11" t="n">
        <x:v>6491.565321829501</x:v>
      </x:c>
      <x:c r="AT601" s="11" t="n">
        <x:v>3723.203049169077</x:v>
      </x:c>
      <x:c r="AU601" s="11" t="n">
        <x:v>1563.087014069317</x:v>
      </x:c>
      <x:c r="AV601" s="11" t="n">
        <x:v>1018.0491690769155</x:v>
      </x:c>
      <x:c r="AW601" s="11" t="n">
        <x:v>1.762920008476033</x:v>
      </x:c>
      <x:c r="AX601" s="12" t="n">
        <x:v>0.8919058076944095</x:v>
      </x:c>
      <x:c r="AY601" s="11"/>
      <x:c r="AZ601" s="11"/>
      <x:c r="BA601" s="11"/>
      <x:c r="BB601" s="11"/>
      <x:c r="BC601" s="11"/>
      <x:c r="BD601" s="11"/>
      <x:c r="BE601" s="11"/>
      <x:c r="BF601" s="11"/>
      <x:c r="BG601" s="11"/>
      <x:c r="BH601" s="11"/>
      <x:c r="BI601" s="11"/>
      <x:c r="BJ601" s="11"/>
      <x:c r="BK601" s="12"/>
      <x:c r="BL601" s="12"/>
      <x:c r="BM601" s="12"/>
      <x:c r="BN601" s="12"/>
      <x:c r="BO601" s="12"/>
      <x:c r="BP601" s="12"/>
      <x:c r="BQ601" s="12"/>
      <x:c r="BR601" s="12"/>
      <x:c r="BS601" s="12"/>
      <x:c r="BT601" s="12"/>
      <x:c r="BU601" s="11" t="n">
        <x:v>950654</x:v>
      </x:c>
      <x:c r="BV601" s="11" t="n">
        <x:v>6242974</x:v>
      </x:c>
      <x:c r="BW601" s="11" t="n">
        <x:v>237955</x:v>
      </x:c>
      <x:c r="BX601" s="11" t="n">
        <x:v>1214823</x:v>
      </x:c>
      <x:c r="BY601" s="11" t="n">
        <x:v>0</x:v>
      </x:c>
      <x:c r="BZ601" s="11" t="n">
        <x:v>2173223</x:v>
      </x:c>
      <x:c r="CA601" s="11" t="n">
        <x:v>321114</x:v>
      </x:c>
      <x:c r="CB601" s="11" t="n">
        <x:v>11836895</x:v>
      </x:c>
      <x:c r="CC601" s="11" t="n">
        <x:v>15239907</x:v>
      </x:c>
      <x:c r="CD601" s="11" t="n">
        <x:v>22520372</x:v>
      </x:c>
      <x:c r="CE601" s="11" t="n">
        <x:v>2126030</x:v>
      </x:c>
      <x:c r="CF601" s="11" t="n">
        <x:v>423727</x:v>
      </x:c>
      <x:c r="CG601" s="11" t="n">
        <x:v>5389187</x:v>
      </x:c>
      <x:c r="CH601" s="11" t="n">
        <x:v>11901358</x:v>
      </x:c>
      <x:c r="CI601" s="11" t="n">
        <x:v>12601594</x:v>
      </x:c>
      <x:c r="CJ601" s="11" t="n">
        <x:v>5618995</x:v>
      </x:c>
      <x:c r="CK601" s="11" t="n">
        <x:v>4546598</x:v>
      </x:c>
      <x:c r="CL601" s="11" t="n">
        <x:v>37556752</x:v>
      </x:c>
      <x:c r="CM601" s="11"/>
      <x:c r="CN601" s="11" t="n">
        <x:v>0</x:v>
      </x:c>
      <x:c r="CO601" s="11" t="n">
        <x:v>0</x:v>
      </x:c>
      <x:c r="CP601" s="8"/>
      <x:c r="CQ601" s="8"/>
    </x:row>
    <x:row r="602">
      <x:c r="A602" s="8" t="str">
        <x:v>Penticton|2023</x:v>
      </x:c>
      <x:c r="B602" s="8" t="str">
        <x:v>penticton-c</x:v>
      </x:c>
      <x:c r="C602" s="8" t="str">
        <x:v>Penticton</x:v>
      </x:c>
      <x:c r="D602" s="8" t="str">
        <x:v>Penticton</x:v>
      </x:c>
      <x:c r="E602" s="8" t="str">
        <x:v>C</x:v>
      </x:c>
      <x:c r="F602" s="8" t="str">
        <x:v>OKS</x:v>
      </x:c>
      <x:c r="G602" s="9" t="n">
        <x:v>2023</x:v>
      </x:c>
      <x:c r="H602" s="10" t="n">
        <x:v>37943</x:v>
      </x:c>
      <x:c r="I602" s="8" t="str">
        <x:v>20,000 to 99,999</x:v>
      </x:c>
      <x:c r="J602" s="11" t="n">
        <x:v>153530373</x:v>
      </x:c>
      <x:c r="K602" s="11" t="n">
        <x:v>139537051</x:v>
      </x:c>
      <x:c r="L602" s="11" t="n">
        <x:v>13993322</x:v>
      </x:c>
      <x:c r="M602" s="12" t="n">
        <x:v>0.09114367226867871</x:v>
      </x:c>
      <x:c r="N602" s="11" t="n">
        <x:v>45022480</x:v>
      </x:c>
      <x:c r="O602" s="11" t="n">
        <x:v>81687788</x:v>
      </x:c>
      <x:c r="P602" s="11" t="n">
        <x:v>14171080</x:v>
      </x:c>
      <x:c r="Q602" s="11" t="n">
        <x:v>12649025</x:v>
      </x:c>
      <x:c r="R602" s="11" t="n">
        <x:v>121759473</x:v>
      </x:c>
      <x:c r="S602" s="11" t="n">
        <x:v>16347169</x:v>
      </x:c>
      <x:c r="T602" s="11" t="n">
        <x:v>147231788</x:v>
      </x:c>
      <x:c r="U602" s="11" t="n">
        <x:v>83510675</x:v>
      </x:c>
      <x:c r="V602" s="11" t="n">
        <x:v>82465170</x:v>
      </x:c>
      <x:c r="W602" s="11" t="n">
        <x:v>64691941</x:v>
      </x:c>
      <x:c r="X602" s="11" t="n">
        <x:v>20767185</x:v>
      </x:c>
      <x:c r="Y602" s="11" t="n">
        <x:v>7800000</x:v>
      </x:c>
      <x:c r="Z602" s="11" t="n">
        <x:v>2218639</x:v>
      </x:c>
      <x:c r="AA602" s="11" t="n">
        <x:v>25017514</x:v>
      </x:c>
      <x:c r="AB602" s="11" t="n">
        <x:v>1430409</x:v>
      </x:c>
      <x:c r="AC602" s="11" t="n">
        <x:v>3649048</x:v>
      </x:c>
      <x:c r="AD602" s="11" t="n">
        <x:v>33827840</x:v>
      </x:c>
      <x:c r="AE602" s="11" t="n">
        <x:v>29710102</x:v>
      </x:c>
      <x:c r="AF602" s="11" t="n">
        <x:v>135311360</x:v>
      </x:c>
      <x:c r="AG602" s="11" t="n">
        <x:v>622355370</x:v>
      </x:c>
      <x:c r="AH602" s="11" t="n">
        <x:v>299363191</x:v>
      </x:c>
      <x:c r="AI602" s="11" t="n">
        <x:v>322992179</x:v>
      </x:c>
      <x:c r="AJ602" s="11" t="n">
        <x:v>19485640</x:v>
      </x:c>
      <x:c r="AK602" s="11" t="n">
        <x:v>1729000353</x:v>
      </x:c>
      <x:c r="AL602" s="11" t="n">
        <x:v>0</x:v>
      </x:c>
      <x:c r="AM602" s="12" t="n">
        <x:v>1</x:v>
      </x:c>
      <x:c r="AN602" s="12" t="n">
        <x:v>0.01126988780898184</x:v>
      </x:c>
      <x:c r="AO602" s="11" t="n">
        <x:v>70080962</x:v>
      </x:c>
      <x:c r="AP602" s="11" t="n">
        <x:v>68751920</x:v>
      </x:c>
      <x:c r="AQ602" s="12" t="n">
        <x:v>0.9810356199162905</x:v>
      </x:c>
      <x:c r="AR602" s="11" t="n">
        <x:v>4046.3424874153334</x:v>
      </x:c>
      <x:c r="AS602" s="11" t="n">
        <x:v>3677.54397385552</x:v>
      </x:c>
      <x:c r="AT602" s="11" t="n">
        <x:v>2173.396146851857</x:v>
      </x:c>
      <x:c r="AU602" s="11" t="n">
        <x:v>1704.9769654481722</x:v>
      </x:c>
      <x:c r="AV602" s="11" t="n">
        <x:v>659.344648551775</x:v>
      </x:c>
      <x:c r="AW602" s="11" t="n">
        <x:v>1.763029552808668</x:v>
      </x:c>
      <x:c r="AX602" s="12" t="n">
        <x:v>0.8782736940933858</x:v>
      </x:c>
      <x:c r="AY602" s="11"/>
      <x:c r="AZ602" s="11"/>
      <x:c r="BA602" s="11"/>
      <x:c r="BB602" s="11"/>
      <x:c r="BC602" s="11"/>
      <x:c r="BD602" s="11"/>
      <x:c r="BE602" s="11"/>
      <x:c r="BF602" s="11"/>
      <x:c r="BG602" s="11"/>
      <x:c r="BH602" s="11"/>
      <x:c r="BI602" s="11"/>
      <x:c r="BJ602" s="11"/>
      <x:c r="BK602" s="12"/>
      <x:c r="BL602" s="12"/>
      <x:c r="BM602" s="12"/>
      <x:c r="BN602" s="12"/>
      <x:c r="BO602" s="12"/>
      <x:c r="BP602" s="12"/>
      <x:c r="BQ602" s="12"/>
      <x:c r="BR602" s="12"/>
      <x:c r="BS602" s="12"/>
      <x:c r="BT602" s="12"/>
      <x:c r="BU602" s="11" t="n">
        <x:v>419889</x:v>
      </x:c>
      <x:c r="BV602" s="11" t="n">
        <x:v>10963031</x:v>
      </x:c>
      <x:c r="BW602" s="11" t="n">
        <x:v>2788160</x:v>
      </x:c>
      <x:c r="BX602" s="11" t="n">
        <x:v>8888972</x:v>
      </x:c>
      <x:c r="BY602" s="11" t="n">
        <x:v>0</x:v>
      </x:c>
      <x:c r="BZ602" s="11" t="n">
        <x:v>3760053</x:v>
      </x:c>
      <x:c r="CA602" s="11" t="n">
        <x:v>0</x:v>
      </x:c>
      <x:c r="CB602" s="11" t="n">
        <x:v>0</x:v>
      </x:c>
      <x:c r="CC602" s="11" t="n">
        <x:v>13143020</x:v>
      </x:c>
      <x:c r="CD602" s="11" t="n">
        <x:v>25387346</x:v>
      </x:c>
      <x:c r="CE602" s="11" t="n">
        <x:v>2120384</x:v>
      </x:c>
      <x:c r="CF602" s="11" t="n">
        <x:v>0</x:v>
      </x:c>
      <x:c r="CG602" s="11" t="n">
        <x:v>4868449</x:v>
      </x:c>
      <x:c r="CH602" s="11" t="n">
        <x:v>11771277</x:v>
      </x:c>
      <x:c r="CI602" s="11" t="n">
        <x:v>14571658</x:v>
      </x:c>
      <x:c r="CJ602" s="11" t="n">
        <x:v>6064429</x:v>
      </x:c>
      <x:c r="CK602" s="11" t="n">
        <x:v>5219084</x:v>
      </x:c>
      <x:c r="CL602" s="11" t="n">
        <x:v>39647036</x:v>
      </x:c>
      <x:c r="CM602" s="11" t="n">
        <x:v>130993</x:v>
      </x:c>
      <x:c r="CN602" s="11" t="n">
        <x:v>266206</x:v>
      </x:c>
      <x:c r="CO602" s="11" t="n">
        <x:v>0</x:v>
      </x:c>
      <x:c r="CP602" s="8"/>
      <x:c r="CQ602" s="8"/>
    </x:row>
    <x:row r="603">
      <x:c r="A603" s="8" t="str">
        <x:v>Penticton|2024</x:v>
      </x:c>
      <x:c r="B603" s="8" t="str">
        <x:v>penticton-c</x:v>
      </x:c>
      <x:c r="C603" s="8" t="str">
        <x:v>Penticton</x:v>
      </x:c>
      <x:c r="D603" s="8" t="str">
        <x:v>Penticton</x:v>
      </x:c>
      <x:c r="E603" s="8" t="str">
        <x:v>C</x:v>
      </x:c>
      <x:c r="F603" s="8" t="str">
        <x:v>OKS</x:v>
      </x:c>
      <x:c r="G603" s="9" t="n">
        <x:v>2024</x:v>
      </x:c>
      <x:c r="H603" s="10" t="n">
        <x:v>37943</x:v>
      </x:c>
      <x:c r="I603" s="8" t="str">
        <x:v>20,000 to 99,999</x:v>
      </x:c>
      <x:c r="J603" s="11" t="n">
        <x:v>162200997</x:v>
      </x:c>
      <x:c r="K603" s="11" t="n">
        <x:v>145615565</x:v>
      </x:c>
      <x:c r="L603" s="11" t="n">
        <x:v>16585432</x:v>
      </x:c>
      <x:c r="M603" s="12" t="n">
        <x:v>0.10225234312215725</x:v>
      </x:c>
      <x:c r="N603" s="11" t="n">
        <x:v>48293453</x:v>
      </x:c>
      <x:c r="O603" s="11" t="n">
        <x:v>89741630</x:v>
      </x:c>
      <x:c r="P603" s="11" t="n">
        <x:v>12540980</x:v>
      </x:c>
      <x:c r="Q603" s="11" t="n">
        <x:v>11624934</x:v>
      </x:c>
      <x:c r="R603" s="11" t="n">
        <x:v>126421113</x:v>
      </x:c>
      <x:c r="S603" s="11" t="n">
        <x:v>17083341</x:v>
      </x:c>
      <x:c r="T603" s="11" t="n">
        <x:v>147203124</x:v>
      </x:c>
      <x:c r="U603" s="11" t="n">
        <x:v>89566865</x:v>
      </x:c>
      <x:c r="V603" s="11" t="n">
        <x:v>81508086</x:v>
      </x:c>
      <x:c r="W603" s="11" t="n">
        <x:v>65556891</x:v>
      </x:c>
      <x:c r="X603" s="11" t="n">
        <x:v>25017514</x:v>
      </x:c>
      <x:c r="Y603" s="11" t="n">
        <x:v>0</x:v>
      </x:c>
      <x:c r="Z603" s="11" t="n">
        <x:v>2187647</x:v>
      </x:c>
      <x:c r="AA603" s="11" t="n">
        <x:v>21373477</x:v>
      </x:c>
      <x:c r="AB603" s="11" t="n">
        <x:v>2111111</x:v>
      </x:c>
      <x:c r="AC603" s="11" t="n">
        <x:v>4298758</x:v>
      </x:c>
      <x:c r="AD603" s="11" t="n">
        <x:v>36175060</x:v>
      </x:c>
      <x:c r="AE603" s="11" t="n">
        <x:v>31876302</x:v>
      </x:c>
      <x:c r="AF603" s="11" t="n">
        <x:v>144700239</x:v>
      </x:c>
      <x:c r="AG603" s="11" t="n">
        <x:v>657208194</x:v>
      </x:c>
      <x:c r="AH603" s="11" t="n">
        <x:v>316172615</x:v>
      </x:c>
      <x:c r="AI603" s="11" t="n">
        <x:v>341035579</x:v>
      </x:c>
      <x:c r="AJ603" s="11" t="n">
        <x:v>33679407</x:v>
      </x:c>
      <x:c r="AK603" s="11" t="n">
        <x:v>2670452990</x:v>
      </x:c>
      <x:c r="AL603" s="11" t="n">
        <x:v>25777263</x:v>
      </x:c>
      <x:c r="AM603" s="12" t="n">
        <x:v>0.9903472320626772</x:v>
      </x:c>
      <x:c r="AN603" s="12" t="n">
        <x:v>0.012611870392820508</x:v>
      </x:c>
      <x:c r="AO603" s="11" t="n">
        <x:v>75284742</x:v>
      </x:c>
      <x:c r="AP603" s="11" t="n">
        <x:v>74030508</x:v>
      </x:c>
      <x:c r="AQ603" s="12" t="n">
        <x:v>0.9833401301953058</x:v>
      </x:c>
      <x:c r="AR603" s="11" t="n">
        <x:v>4274.859578841947</x:v>
      </x:c>
      <x:c r="AS603" s="11" t="n">
        <x:v>3837.7451703871598</x:v>
      </x:c>
      <x:c r="AT603" s="11" t="n">
        <x:v>2148.1718894130668</x:v>
      </x:c>
      <x:c r="AU603" s="11" t="n">
        <x:v>1727.7730016076746</x:v>
      </x:c>
      <x:c r="AV603" s="11" t="n">
        <x:v>563.3048783701869</x:v>
      </x:c>
      <x:c r="AW603" s="11" t="n">
        <x:v>1.6434997920268841</x:v>
      </x:c>
      <x:c r="AX603" s="12" t="n">
        <x:v>0.88116790960402</x:v>
      </x:c>
      <x:c r="AY603" s="11" t="n">
        <x:v>2823.8160359162957</x:v>
      </x:c>
      <x:c r="AZ603" s="11" t="n">
        <x:v>3546.5079302077975</x:v>
      </x:c>
      <x:c r="BA603" s="11" t="n">
        <x:v>2313.177731087988</x:v>
      </x:c>
      <x:c r="BB603" s="11" t="n">
        <x:v>2783.665107049771</x:v>
      </x:c>
      <x:c r="BC603" s="11" t="n">
        <x:v>1634.933826557682</x:v>
      </x:c>
      <x:c r="BD603" s="11" t="n">
        <x:v>2437.8724475115623</x:v>
      </x:c>
      <x:c r="BE603" s="11" t="n">
        <x:v>1015.8871081440785</x:v>
      </x:c>
      <x:c r="BF603" s="11" t="n">
        <x:v>1604.3462673977224</x:v>
      </x:c>
      <x:c r="BG603" s="11" t="n">
        <x:v>757.3716446138835</x:v>
      </x:c>
      <x:c r="BH603" s="11" t="n">
        <x:v>518.5374381567245</x:v>
      </x:c>
      <x:c r="BI603" s="11" t="n">
        <x:v>1.4428133381403412</x:v>
      </x:c>
      <x:c r="BJ603" s="11" t="n">
        <x:v>1.7099330852451193</x:v>
      </x:c>
      <x:c r="BK603" s="12" t="n">
        <x:v>0.021350493990494074</x:v>
      </x:c>
      <x:c r="BL603" s="12" t="n">
        <x:v>0.02529861000232605</x:v>
      </x:c>
      <x:c r="BM603" s="12" t="n">
        <x:v>0.9847118933607182</x:v>
      </x:c>
      <x:c r="BN603" s="12" t="n">
        <x:v>0.9815511712696461</x:v>
      </x:c>
      <x:c r="BO603" s="12" t="n">
        <x:v>0.8457939120832807</x:v>
      </x:c>
      <x:c r="BP603" s="12" t="n">
        <x:v>0.8619101997275483</x:v>
      </x:c>
      <x:c r="BQ603" s="12" t="n">
        <x:v>0.9744645665293163</x:v>
      </x:c>
      <x:c r="BR603" s="12" t="n">
        <x:v>0.9623635142836453</x:v>
      </x:c>
      <x:c r="BS603" s="12" t="n">
        <x:v>0.16542076645989975</x:v>
      </x:c>
      <x:c r="BT603" s="12" t="n">
        <x:v>0.19976549769108282</x:v>
      </x:c>
      <x:c r="BU603" s="11" t="n">
        <x:v>1742928</x:v>
      </x:c>
      <x:c r="BV603" s="11" t="n">
        <x:v>10152000</x:v>
      </x:c>
      <x:c r="BW603" s="11" t="n">
        <x:v>646052</x:v>
      </x:c>
      <x:c r="BX603" s="11" t="n">
        <x:v>8659917</x:v>
      </x:c>
      <x:c r="BY603" s="11" t="n">
        <x:v>0</x:v>
      </x:c>
      <x:c r="BZ603" s="11" t="n">
        <x:v>2641863</x:v>
      </x:c>
      <x:c r="CA603" s="11" t="n">
        <x:v>24190</x:v>
      </x:c>
      <x:c r="CB603" s="11" t="n">
        <x:v>298964</x:v>
      </x:c>
      <x:c r="CC603" s="11" t="n">
        <x:v>13573045</x:v>
      </x:c>
      <x:c r="CD603" s="11" t="n">
        <x:v>28585796</x:v>
      </x:c>
      <x:c r="CE603" s="11" t="n">
        <x:v>2155927</x:v>
      </x:c>
      <x:c r="CF603" s="11" t="n">
        <x:v>461252</x:v>
      </x:c>
      <x:c r="CG603" s="11" t="n">
        <x:v>5016057</x:v>
      </x:c>
      <x:c r="CH603" s="11" t="n">
        <x:v>9641916</x:v>
      </x:c>
      <x:c r="CI603" s="11" t="n">
        <x:v>15597620</x:v>
      </x:c>
      <x:c r="CJ603" s="11" t="n">
        <x:v>6212854</x:v>
      </x:c>
      <x:c r="CK603" s="11" t="n">
        <x:v>5573051</x:v>
      </x:c>
      <x:c r="CL603" s="11" t="n">
        <x:v>41256890</x:v>
      </x:c>
      <x:c r="CM603" s="11" t="n">
        <x:v>457816</x:v>
      </x:c>
      <x:c r="CN603" s="11" t="n">
        <x:v>0</x:v>
      </x:c>
      <x:c r="CO603" s="11" t="n">
        <x:v>0</x:v>
      </x:c>
      <x:c r="CP603" s="8"/>
      <x:c r="CQ603" s="8"/>
    </x:row>
    <x:row r="604">
      <x:c r="A604" s="8" t="str">
        <x:v>Pitt Meadows|2019</x:v>
      </x:c>
      <x:c r="B604" s="8" t="str">
        <x:v>pitt-meadows-c</x:v>
      </x:c>
      <x:c r="C604" s="8" t="str">
        <x:v>Pitt Meadows</x:v>
      </x:c>
      <x:c r="D604" s="8" t="str">
        <x:v>Pitt Meadows</x:v>
      </x:c>
      <x:c r="E604" s="8" t="str">
        <x:v>C</x:v>
      </x:c>
      <x:c r="F604" s="8" t="str">
        <x:v>GVR</x:v>
      </x:c>
      <x:c r="G604" s="9" t="n">
        <x:v>2019</x:v>
      </x:c>
      <x:c r="H604" s="10" t="n">
        <x:v>19728</x:v>
      </x:c>
      <x:c r="I604" s="8" t="str">
        <x:v>5,000 to 19,999</x:v>
      </x:c>
      <x:c r="J604" s="11" t="n">
        <x:v>42696293</x:v>
      </x:c>
      <x:c r="K604" s="11" t="n">
        <x:v>34976802</x:v>
      </x:c>
      <x:c r="L604" s="11" t="n">
        <x:v>7719491</x:v>
      </x:c>
      <x:c r="M604" s="12" t="n">
        <x:v>0.18080002870506814</x:v>
      </x:c>
      <x:c r="N604" s="11" t="n">
        <x:v>22583934</x:v>
      </x:c>
      <x:c r="O604" s="11" t="n">
        <x:v>14434984</x:v>
      </x:c>
      <x:c r="P604" s="11" t="n">
        <x:v>3989491</x:v>
      </x:c>
      <x:c r="Q604" s="11" t="n">
        <x:v>1687884</x:v>
      </x:c>
      <x:c r="R604" s="11" t="n">
        <x:v>29225978</x:v>
      </x:c>
      <x:c r="S604" s="11" t="n">
        <x:v>5527949</x:v>
      </x:c>
      <x:c r="T604" s="11" t="n">
        <x:v>49211111</x:v>
      </x:c>
      <x:c r="U604" s="11" t="n">
        <x:v>30707740</x:v>
      </x:c>
      <x:c r="V604" s="11" t="n">
        <x:v>24624084</x:v>
      </x:c>
      <x:c r="W604" s="11" t="n">
        <x:v>31476338</x:v>
      </x:c>
      <x:c r="X604" s="11" t="n">
        <x:v>5476542</x:v>
      </x:c>
      <x:c r="Y604" s="11" t="n">
        <x:v>0</x:v>
      </x:c>
      <x:c r="Z604" s="11" t="n">
        <x:v>328134</x:v>
      </x:c>
      <x:c r="AA604" s="11" t="n">
        <x:v>5085363</x:v>
      </x:c>
      <x:c r="AB604" s="11" t="n">
        <x:v>222875</x:v>
      </x:c>
      <x:c r="AC604" s="11" t="n">
        <x:v>551009</x:v>
      </x:c>
      <x:c r="AD604" s="11" t="n">
        <x:v>9696476</x:v>
      </x:c>
      <x:c r="AE604" s="11" t="n">
        <x:v>8909342</x:v>
      </x:c>
      <x:c r="AF604" s="11" t="n">
        <x:v>38785905</x:v>
      </x:c>
      <x:c r="AG604" s="11" t="n">
        <x:v>270429009</x:v>
      </x:c>
      <x:c r="AH604" s="11" t="n">
        <x:v>90151042</x:v>
      </x:c>
      <x:c r="AI604" s="11" t="n">
        <x:v>180277967</x:v>
      </x:c>
      <x:c r="AJ604" s="11" t="n">
        <x:v>9681971</x:v>
      </x:c>
      <x:c r="AK604" s="11" t="n">
        <x:v>470281152</x:v>
      </x:c>
      <x:c r="AL604" s="11" t="n">
        <x:v>0</x:v>
      </x:c>
      <x:c r="AM604" s="12" t="n">
        <x:v>1</x:v>
      </x:c>
      <x:c r="AN604" s="12" t="n">
        <x:v>0.020587622869478725</x:v>
      </x:c>
      <x:c r="AO604" s="11" t="n">
        <x:v>36371842</x:v>
      </x:c>
      <x:c r="AP604" s="11" t="n">
        <x:v>35232530</x:v>
      </x:c>
      <x:c r="AQ604" s="12" t="n">
        <x:v>0.9686759884198332</x:v>
      </x:c>
      <x:c r="AR604" s="11" t="n">
        <x:v>2164.2484286293593</x:v>
      </x:c>
      <x:c r="AS604" s="11" t="n">
        <x:v>1772.9522506082726</x:v>
      </x:c>
      <x:c r="AT604" s="11" t="n">
        <x:v>1248.1794403892943</x:v>
      </x:c>
      <x:c r="AU604" s="11" t="n">
        <x:v>1595.5159164639092</x:v>
      </x:c>
      <x:c r="AV604" s="11" t="n">
        <x:v>257.77387469586375</x:v>
      </x:c>
      <x:c r="AW604" s="11" t="n">
        <x:v>1.6025637510282424</x:v>
      </x:c>
      <x:c r="AX604" s="12" t="n">
        <x:v>0.9188226733093549</x:v>
      </x:c>
      <x:c r="AY604" s="11"/>
      <x:c r="AZ604" s="11"/>
      <x:c r="BA604" s="11"/>
      <x:c r="BB604" s="11"/>
      <x:c r="BC604" s="11"/>
      <x:c r="BD604" s="11"/>
      <x:c r="BE604" s="11"/>
      <x:c r="BF604" s="11"/>
      <x:c r="BG604" s="11"/>
      <x:c r="BH604" s="11"/>
      <x:c r="BI604" s="11"/>
      <x:c r="BJ604" s="11"/>
      <x:c r="BK604" s="12"/>
      <x:c r="BL604" s="12"/>
      <x:c r="BM604" s="12"/>
      <x:c r="BN604" s="12"/>
      <x:c r="BO604" s="12"/>
      <x:c r="BP604" s="12"/>
      <x:c r="BQ604" s="12"/>
      <x:c r="BR604" s="12"/>
      <x:c r="BS604" s="12"/>
      <x:c r="BT604" s="12"/>
      <x:c r="BU604" s="11" t="n">
        <x:v>2354555</x:v>
      </x:c>
      <x:c r="BV604" s="11" t="n">
        <x:v>1344110</x:v>
      </x:c>
      <x:c r="BW604" s="11" t="n">
        <x:v>290826</x:v>
      </x:c>
      <x:c r="BX604" s="11" t="n">
        <x:v>672942</x:v>
      </x:c>
      <x:c r="BY604" s="11" t="n">
        <x:v>0</x:v>
      </x:c>
      <x:c r="BZ604" s="11" t="n">
        <x:v>454104</x:v>
      </x:c>
      <x:c r="CA604" s="11" t="n">
        <x:v>0</x:v>
      </x:c>
      <x:c r="CB604" s="11" t="n">
        <x:v>560838</x:v>
      </x:c>
      <x:c r="CC604" s="11" t="n">
        <x:v>4389319</x:v>
      </x:c>
      <x:c r="CD604" s="11" t="n">
        <x:v>7661410</x:v>
      </x:c>
      <x:c r="CE604" s="11" t="n">
        <x:v>960802</x:v>
      </x:c>
      <x:c r="CF604" s="11" t="n">
        <x:v>0</x:v>
      </x:c>
      <x:c r="CG604" s="11" t="n">
        <x:v>891190</x:v>
      </x:c>
      <x:c r="CH604" s="11" t="n">
        <x:v>1735776</x:v>
      </x:c>
      <x:c r="CI604" s="11" t="n">
        <x:v>6664645</x:v>
      </x:c>
      <x:c r="CJ604" s="11" t="n">
        <x:v>3371635</x:v>
      </x:c>
      <x:c r="CK604" s="11" t="n">
        <x:v>2023760</x:v>
      </x:c>
      <x:c r="CL604" s="11" t="n">
        <x:v>1535229</x:v>
      </x:c>
      <x:c r="CM604" s="11"/>
      <x:c r="CN604" s="11" t="n">
        <x:v>215087</x:v>
      </x:c>
      <x:c r="CO604" s="11" t="n">
        <x:v>0</x:v>
      </x:c>
      <x:c r="CP604" s="8"/>
      <x:c r="CQ604" s="8"/>
    </x:row>
    <x:row r="605">
      <x:c r="A605" s="8" t="str">
        <x:v>Pitt Meadows|2020</x:v>
      </x:c>
      <x:c r="B605" s="8" t="str">
        <x:v>pitt-meadows-c</x:v>
      </x:c>
      <x:c r="C605" s="8" t="str">
        <x:v>Pitt Meadows</x:v>
      </x:c>
      <x:c r="D605" s="8" t="str">
        <x:v>Pitt Meadows</x:v>
      </x:c>
      <x:c r="E605" s="8" t="str">
        <x:v>C</x:v>
      </x:c>
      <x:c r="F605" s="8" t="str">
        <x:v>GVR</x:v>
      </x:c>
      <x:c r="G605" s="9" t="n">
        <x:v>2020</x:v>
      </x:c>
      <x:c r="H605" s="10" t="n">
        <x:v>19717</x:v>
      </x:c>
      <x:c r="I605" s="8" t="str">
        <x:v>5,000 to 19,999</x:v>
      </x:c>
      <x:c r="J605" s="11" t="n">
        <x:v>46750119</x:v>
      </x:c>
      <x:c r="K605" s="11" t="n">
        <x:v>36579795</x:v>
      </x:c>
      <x:c r="L605" s="11" t="n">
        <x:v>10170324</x:v>
      </x:c>
      <x:c r="M605" s="12" t="n">
        <x:v>0.21754648367846935</x:v>
      </x:c>
      <x:c r="N605" s="11" t="n">
        <x:v>23894950</x:v>
      </x:c>
      <x:c r="O605" s="11" t="n">
        <x:v>14201876</x:v>
      </x:c>
      <x:c r="P605" s="11" t="n">
        <x:v>6231794</x:v>
      </x:c>
      <x:c r="Q605" s="11" t="n">
        <x:v>2421499</x:v>
      </x:c>
      <x:c r="R605" s="11" t="n">
        <x:v>30822426</x:v>
      </x:c>
      <x:c r="S605" s="11" t="n">
        <x:v>5537635</x:v>
      </x:c>
      <x:c r="T605" s="11" t="n">
        <x:v>61179128</x:v>
      </x:c>
      <x:c r="U605" s="11" t="n">
        <x:v>35433278</x:v>
      </x:c>
      <x:c r="V605" s="11" t="n">
        <x:v>31204139</x:v>
      </x:c>
      <x:c r="W605" s="11" t="n">
        <x:v>35678934</x:v>
      </x:c>
      <x:c r="X605" s="11" t="n">
        <x:v>5085363</x:v>
      </x:c>
      <x:c r="Y605" s="11" t="n">
        <x:v>0</x:v>
      </x:c>
      <x:c r="Z605" s="11" t="n">
        <x:v>328134</x:v>
      </x:c>
      <x:c r="AA605" s="11" t="n">
        <x:v>4684820</x:v>
      </x:c>
      <x:c r="AB605" s="11" t="n">
        <x:v>219734</x:v>
      </x:c>
      <x:c r="AC605" s="11" t="n">
        <x:v>547868</x:v>
      </x:c>
      <x:c r="AD605" s="11" t="n">
        <x:v>9819511</x:v>
      </x:c>
      <x:c r="AE605" s="11" t="n">
        <x:v>9020263</x:v>
      </x:c>
      <x:c r="AF605" s="11" t="n">
        <x:v>39278043</x:v>
      </x:c>
      <x:c r="AG605" s="11" t="n">
        <x:v>278090159</x:v>
      </x:c>
      <x:c r="AH605" s="11" t="n">
        <x:v>94300592</x:v>
      </x:c>
      <x:c r="AI605" s="11" t="n">
        <x:v>183789567</x:v>
      </x:c>
      <x:c r="AJ605" s="11" t="n">
        <x:v>9540877</x:v>
      </x:c>
      <x:c r="AK605" s="11" t="n">
        <x:v>479183562</x:v>
      </x:c>
      <x:c r="AL605" s="11" t="n">
        <x:v>12375215</x:v>
      </x:c>
      <x:c r="AM605" s="12" t="n">
        <x:v>0.9741743749548738</x:v>
      </x:c>
      <x:c r="AN605" s="12" t="n">
        <x:v>0.019910693430673233</x:v>
      </x:c>
      <x:c r="AO605" s="11" t="n">
        <x:v>36012481</x:v>
      </x:c>
      <x:c r="AP605" s="11" t="n">
        <x:v>34480321</x:v>
      </x:c>
      <x:c r="AQ605" s="12" t="n">
        <x:v>0.9574547502017425</x:v>
      </x:c>
      <x:c r="AR605" s="11" t="n">
        <x:v>2371.056398032155</x:v>
      </x:c>
      <x:c r="AS605" s="11" t="n">
        <x:v>1855.2414160369224</x:v>
      </x:c>
      <x:c r="AT605" s="11" t="n">
        <x:v>1582.6007506212914</x:v>
      </x:c>
      <x:c r="AU605" s="11" t="n">
        <x:v>1809.551858802049</x:v>
      </x:c>
      <x:c r="AV605" s="11" t="n">
        <x:v>237.60308363341278</x:v>
      </x:c>
      <x:c r="AW605" s="11" t="n">
        <x:v>1.7266008524528833</x:v>
      </x:c>
      <x:c r="AX605" s="12" t="n">
        <x:v>0.918606130183061</x:v>
      </x:c>
      <x:c r="AY605" s="11"/>
      <x:c r="AZ605" s="11"/>
      <x:c r="BA605" s="11"/>
      <x:c r="BB605" s="11"/>
      <x:c r="BC605" s="11"/>
      <x:c r="BD605" s="11"/>
      <x:c r="BE605" s="11"/>
      <x:c r="BF605" s="11"/>
      <x:c r="BG605" s="11"/>
      <x:c r="BH605" s="11"/>
      <x:c r="BI605" s="11"/>
      <x:c r="BJ605" s="11"/>
      <x:c r="BK605" s="12"/>
      <x:c r="BL605" s="12"/>
      <x:c r="BM605" s="12"/>
      <x:c r="BN605" s="12"/>
      <x:c r="BO605" s="12"/>
      <x:c r="BP605" s="12"/>
      <x:c r="BQ605" s="12"/>
      <x:c r="BR605" s="12"/>
      <x:c r="BS605" s="12"/>
      <x:c r="BT605" s="12"/>
      <x:c r="BU605" s="11" t="n">
        <x:v>195827</x:v>
      </x:c>
      <x:c r="BV605" s="11" t="n">
        <x:v>5093528</x:v>
      </x:c>
      <x:c r="BW605" s="11" t="n">
        <x:v>942439</x:v>
      </x:c>
      <x:c r="BX605" s="11" t="n">
        <x:v>425367</x:v>
      </x:c>
      <x:c r="BY605" s="11" t="n">
        <x:v>0</x:v>
      </x:c>
      <x:c r="BZ605" s="11" t="n">
        <x:v>1568401</x:v>
      </x:c>
      <x:c r="CA605" s="11" t="n">
        <x:v>0</x:v>
      </x:c>
      <x:c r="CB605" s="11" t="n">
        <x:v>427731</x:v>
      </x:c>
      <x:c r="CC605" s="11" t="n">
        <x:v>5192377</x:v>
      </x:c>
      <x:c r="CD605" s="11" t="n">
        <x:v>8876997</x:v>
      </x:c>
      <x:c r="CE605" s="11" t="n">
        <x:v>1057332</x:v>
      </x:c>
      <x:c r="CF605" s="11" t="n">
        <x:v>0</x:v>
      </x:c>
      <x:c r="CG605" s="11" t="n">
        <x:v>815883</x:v>
      </x:c>
      <x:c r="CH605" s="11" t="n">
        <x:v>2186473</x:v>
      </x:c>
      <x:c r="CI605" s="11" t="n">
        <x:v>5146615</x:v>
      </x:c>
      <x:c r="CJ605" s="11" t="n">
        <x:v>3201541</x:v>
      </x:c>
      <x:c r="CK605" s="11" t="n">
        <x:v>2204093</x:v>
      </x:c>
      <x:c r="CL605" s="11" t="n">
        <x:v>1869207</x:v>
      </x:c>
      <x:c r="CM605" s="11"/>
      <x:c r="CN605" s="11" t="n">
        <x:v>491642</x:v>
      </x:c>
      <x:c r="CO605" s="11" t="n">
        <x:v>0</x:v>
      </x:c>
      <x:c r="CP605" s="8"/>
      <x:c r="CQ605" s="8"/>
    </x:row>
    <x:row r="606">
      <x:c r="A606" s="8" t="str">
        <x:v>Pitt Meadows|2021</x:v>
      </x:c>
      <x:c r="B606" s="8" t="str">
        <x:v>pitt-meadows-c</x:v>
      </x:c>
      <x:c r="C606" s="8" t="str">
        <x:v>Pitt Meadows</x:v>
      </x:c>
      <x:c r="D606" s="8" t="str">
        <x:v>Pitt Meadows</x:v>
      </x:c>
      <x:c r="E606" s="8" t="str">
        <x:v>C</x:v>
      </x:c>
      <x:c r="F606" s="8" t="str">
        <x:v>MVRD</x:v>
      </x:c>
      <x:c r="G606" s="9" t="n">
        <x:v>2021</x:v>
      </x:c>
      <x:c r="H606" s="10" t="n">
        <x:v>20112</x:v>
      </x:c>
      <x:c r="I606" s="8" t="str">
        <x:v>20,000 to 99,999</x:v>
      </x:c>
      <x:c r="J606" s="11" t="n">
        <x:v>52196782</x:v>
      </x:c>
      <x:c r="K606" s="11" t="n">
        <x:v>39203066</x:v>
      </x:c>
      <x:c r="L606" s="11" t="n">
        <x:v>12993716</x:v>
      </x:c>
      <x:c r="M606" s="12" t="n">
        <x:v>0.2489371088049068</x:v>
      </x:c>
      <x:c r="N606" s="11" t="n">
        <x:v>25528604</x:v>
      </x:c>
      <x:c r="O606" s="11" t="n">
        <x:v>15832148</x:v>
      </x:c>
      <x:c r="P606" s="11" t="n">
        <x:v>1531328</x:v>
      </x:c>
      <x:c r="Q606" s="11" t="n">
        <x:v>9304702</x:v>
      </x:c>
      <x:c r="R606" s="11" t="n">
        <x:v>33247341</x:v>
      </x:c>
      <x:c r="S606" s="11" t="n">
        <x:v>5827321</x:v>
      </x:c>
      <x:c r="T606" s="11" t="n">
        <x:v>63424535</x:v>
      </x:c>
      <x:c r="U606" s="11" t="n">
        <x:v>39090030</x:v>
      </x:c>
      <x:c r="V606" s="11" t="n">
        <x:v>35361727</x:v>
      </x:c>
      <x:c r="W606" s="11" t="n">
        <x:v>41470834</x:v>
      </x:c>
      <x:c r="X606" s="11" t="n">
        <x:v>4684820</x:v>
      </x:c>
      <x:c r="Y606" s="11" t="n">
        <x:v>0</x:v>
      </x:c>
      <x:c r="Z606" s="11" t="n">
        <x:v>343502</x:v>
      </x:c>
      <x:c r="AA606" s="11" t="n">
        <x:v>4269439</x:v>
      </x:c>
      <x:c r="AB606" s="11" t="n">
        <x:v>128404</x:v>
      </x:c>
      <x:c r="AC606" s="11" t="n">
        <x:v>471906</x:v>
      </x:c>
      <x:c r="AD606" s="11" t="n">
        <x:v>10724426</x:v>
      </x:c>
      <x:c r="AE606" s="11" t="n">
        <x:v>10252520</x:v>
      </x:c>
      <x:c r="AF606" s="11" t="n">
        <x:v>42897704</x:v>
      </x:c>
      <x:c r="AG606" s="11" t="n">
        <x:v>291956605</x:v>
      </x:c>
      <x:c r="AH606" s="11" t="n">
        <x:v>99159421</x:v>
      </x:c>
      <x:c r="AI606" s="11" t="n">
        <x:v>192797184</x:v>
      </x:c>
      <x:c r="AJ606" s="11" t="n">
        <x:v>15015533</x:v>
      </x:c>
      <x:c r="AK606" s="11" t="n">
        <x:v>493886242</x:v>
      </x:c>
      <x:c r="AL606" s="11" t="n">
        <x:v>10626338</x:v>
      </x:c>
      <x:c r="AM606" s="12" t="n">
        <x:v>0.9784842396966384</x:v>
      </x:c>
      <x:c r="AN606" s="12" t="n">
        <x:v>0.0304028169304623</x:v>
      </x:c>
      <x:c r="AO606" s="11" t="n">
        <x:v>41983428</x:v>
      </x:c>
      <x:c r="AP606" s="11" t="n">
        <x:v>40542172</x:v>
      </x:c>
      <x:c r="AQ606" s="12" t="n">
        <x:v>0.9656708356449597</x:v>
      </x:c>
      <x:c r="AR606" s="11" t="n">
        <x:v>2595.3053898170247</x:v>
      </x:c>
      <x:c r="AS606" s="11" t="n">
        <x:v>1949.237569610183</x:v>
      </x:c>
      <x:c r="AT606" s="11" t="n">
        <x:v>1758.2402048528243</x:v>
      </x:c>
      <x:c r="AU606" s="11" t="n">
        <x:v>2061.9945306284803</x:v>
      </x:c>
      <x:c r="AV606" s="11" t="n">
        <x:v>212.28316428003183</x:v>
      </x:c>
      <x:c r="AW606" s="11" t="n">
        <x:v>1.622524592587931</x:v>
      </x:c>
      <x:c r="AX606" s="12" t="n">
        <x:v>0.9559970855316638</x:v>
      </x:c>
      <x:c r="AY606" s="11"/>
      <x:c r="AZ606" s="11"/>
      <x:c r="BA606" s="11"/>
      <x:c r="BB606" s="11"/>
      <x:c r="BC606" s="11"/>
      <x:c r="BD606" s="11"/>
      <x:c r="BE606" s="11"/>
      <x:c r="BF606" s="11"/>
      <x:c r="BG606" s="11"/>
      <x:c r="BH606" s="11"/>
      <x:c r="BI606" s="11"/>
      <x:c r="BJ606" s="11"/>
      <x:c r="BK606" s="12"/>
      <x:c r="BL606" s="12"/>
      <x:c r="BM606" s="12"/>
      <x:c r="BN606" s="12"/>
      <x:c r="BO606" s="12"/>
      <x:c r="BP606" s="12"/>
      <x:c r="BQ606" s="12"/>
      <x:c r="BR606" s="12"/>
      <x:c r="BS606" s="12"/>
      <x:c r="BT606" s="12"/>
      <x:c r="BU606" s="11" t="n">
        <x:v>3210</x:v>
      </x:c>
      <x:c r="BV606" s="11" t="n">
        <x:v>1022646</x:v>
      </x:c>
      <x:c r="BW606" s="11" t="n">
        <x:v>505472</x:v>
      </x:c>
      <x:c r="BX606" s="11" t="n">
        <x:v>496155</x:v>
      </x:c>
      <x:c r="BY606" s="11" t="n">
        <x:v>0</x:v>
      </x:c>
      <x:c r="BZ606" s="11" t="n">
        <x:v>8335118</x:v>
      </x:c>
      <x:c r="CA606" s="11" t="n">
        <x:v>0</x:v>
      </x:c>
      <x:c r="CB606" s="11" t="n">
        <x:v>473429</x:v>
      </x:c>
      <x:c r="CC606" s="11" t="n">
        <x:v>5171302</x:v>
      </x:c>
      <x:c r="CD606" s="11" t="n">
        <x:v>9406287</x:v>
      </x:c>
      <x:c r="CE606" s="11" t="n">
        <x:v>1089648</x:v>
      </x:c>
      <x:c r="CF606" s="11" t="n">
        <x:v>0</x:v>
      </x:c>
      <x:c r="CG606" s="11" t="n">
        <x:v>906630</x:v>
      </x:c>
      <x:c r="CH606" s="11" t="n">
        <x:v>2369931</x:v>
      </x:c>
      <x:c r="CI606" s="11" t="n">
        <x:v>6266192</x:v>
      </x:c>
      <x:c r="CJ606" s="11" t="n">
        <x:v>4127708</x:v>
      </x:c>
      <x:c r="CK606" s="11" t="n">
        <x:v>2143851</x:v>
      </x:c>
      <x:c r="CL606" s="11" t="n">
        <x:v>1713601</x:v>
      </x:c>
      <x:c r="CM606" s="11"/>
      <x:c r="CN606" s="11" t="n">
        <x:v>180595</x:v>
      </x:c>
      <x:c r="CO606" s="11" t="n">
        <x:v>0</x:v>
      </x:c>
      <x:c r="CP606" s="8"/>
      <x:c r="CQ606" s="8"/>
    </x:row>
    <x:row r="607">
      <x:c r="A607" s="8" t="str">
        <x:v>Pitt Meadows|2022</x:v>
      </x:c>
      <x:c r="B607" s="8" t="str">
        <x:v>pitt-meadows-c</x:v>
      </x:c>
      <x:c r="C607" s="8" t="str">
        <x:v>Pitt Meadows</x:v>
      </x:c>
      <x:c r="D607" s="8" t="str">
        <x:v>Pitt Meadows</x:v>
      </x:c>
      <x:c r="E607" s="8" t="str">
        <x:v>C</x:v>
      </x:c>
      <x:c r="F607" s="8" t="str">
        <x:v>MVRD</x:v>
      </x:c>
      <x:c r="G607" s="9" t="n">
        <x:v>2022</x:v>
      </x:c>
      <x:c r="H607" s="10" t="n">
        <x:v>19526</x:v>
      </x:c>
      <x:c r="I607" s="8" t="str">
        <x:v>5,000 to 19,999</x:v>
      </x:c>
      <x:c r="J607" s="11" t="n">
        <x:v>47891279</x:v>
      </x:c>
      <x:c r="K607" s="11" t="n">
        <x:v>41729610</x:v>
      </x:c>
      <x:c r="L607" s="11" t="n">
        <x:v>6161669</x:v>
      </x:c>
      <x:c r="M607" s="12" t="n">
        <x:v>0.12865952066137135</x:v>
      </x:c>
      <x:c r="N607" s="11" t="n">
        <x:v>27422489</x:v>
      </x:c>
      <x:c r="O607" s="11" t="n">
        <x:v>16490232</x:v>
      </x:c>
      <x:c r="P607" s="11" t="n">
        <x:v>1679395</x:v>
      </x:c>
      <x:c r="Q607" s="11" t="n">
        <x:v>2299163</x:v>
      </x:c>
      <x:c r="R607" s="11" t="n">
        <x:v>35560418</x:v>
      </x:c>
      <x:c r="S607" s="11" t="n">
        <x:v>5799024</x:v>
      </x:c>
      <x:c r="T607" s="11" t="n">
        <x:v>73668644</x:v>
      </x:c>
      <x:c r="U607" s="11" t="n">
        <x:v>56500736</x:v>
      </x:c>
      <x:c r="V607" s="11" t="n">
        <x:v>27623108</x:v>
      </x:c>
      <x:c r="W607" s="11" t="n">
        <x:v>53254149</x:v>
      </x:c>
      <x:c r="X607" s="11" t="n">
        <x:v>4269439</x:v>
      </x:c>
      <x:c r="Y607" s="11" t="n">
        <x:v>20000000</x:v>
      </x:c>
      <x:c r="Z607" s="11" t="n">
        <x:v>343503</x:v>
      </x:c>
      <x:c r="AA607" s="11" t="n">
        <x:v>23845017</x:v>
      </x:c>
      <x:c r="AB607" s="11" t="n">
        <x:v>370168</x:v>
      </x:c>
      <x:c r="AC607" s="11" t="n">
        <x:v>713671</x:v>
      </x:c>
      <x:c r="AD607" s="11" t="n">
        <x:v>11470337</x:v>
      </x:c>
      <x:c r="AE607" s="11" t="n">
        <x:v>10756666</x:v>
      </x:c>
      <x:c r="AF607" s="11" t="n">
        <x:v>45881347</x:v>
      </x:c>
      <x:c r="AG607" s="11" t="n">
        <x:v>310385801</x:v>
      </x:c>
      <x:c r="AH607" s="11" t="n">
        <x:v>103655016</x:v>
      </x:c>
      <x:c r="AI607" s="11" t="n">
        <x:v>206730785</x:v>
      </x:c>
      <x:c r="AJ607" s="11" t="n">
        <x:v>20080406</x:v>
      </x:c>
      <x:c r="AK607" s="11" t="n">
        <x:v>513366155</x:v>
      </x:c>
      <x:c r="AL607" s="11" t="n">
        <x:v>10995550</x:v>
      </x:c>
      <x:c r="AM607" s="12" t="n">
        <x:v>0.9785814668674447</x:v>
      </x:c>
      <x:c r="AN607" s="12" t="n">
        <x:v>0.03911517306784667</x:v>
      </x:c>
      <x:c r="AO607" s="11" t="n">
        <x:v>44794989</x:v>
      </x:c>
      <x:c r="AP607" s="11" t="n">
        <x:v>43682758</x:v>
      </x:c>
      <x:c r="AQ607" s="12" t="n">
        <x:v>0.9751706379479187</x:v>
      </x:c>
      <x:c r="AR607" s="11" t="n">
        <x:v>2452.692768616204</x:v>
      </x:c>
      <x:c r="AS607" s="11" t="n">
        <x:v>2137.1304926764315</x:v>
      </x:c>
      <x:c r="AT607" s="11" t="n">
        <x:v>1414.6833964969783</x:v>
      </x:c>
      <x:c r="AU607" s="11" t="n">
        <x:v>2727.3455392809587</x:v>
      </x:c>
      <x:c r="AV607" s="11" t="n">
        <x:v>1221.193127112568</x:v>
      </x:c>
      <x:c r="AW607" s="11" t="n">
        <x:v>1.303852820607505</x:v>
      </x:c>
      <x:c r="AX607" s="12" t="n">
        <x:v>0.9377811654531162</x:v>
      </x:c>
      <x:c r="AY607" s="11"/>
      <x:c r="AZ607" s="11"/>
      <x:c r="BA607" s="11"/>
      <x:c r="BB607" s="11"/>
      <x:c r="BC607" s="11"/>
      <x:c r="BD607" s="11"/>
      <x:c r="BE607" s="11"/>
      <x:c r="BF607" s="11"/>
      <x:c r="BG607" s="11"/>
      <x:c r="BH607" s="11"/>
      <x:c r="BI607" s="11"/>
      <x:c r="BJ607" s="11"/>
      <x:c r="BK607" s="12"/>
      <x:c r="BL607" s="12"/>
      <x:c r="BM607" s="12"/>
      <x:c r="BN607" s="12"/>
      <x:c r="BO607" s="12"/>
      <x:c r="BP607" s="12"/>
      <x:c r="BQ607" s="12"/>
      <x:c r="BR607" s="12"/>
      <x:c r="BS607" s="12"/>
      <x:c r="BT607" s="12"/>
      <x:c r="BU607" s="11" t="n">
        <x:v>19540</x:v>
      </x:c>
      <x:c r="BV607" s="11" t="n">
        <x:v>939441</x:v>
      </x:c>
      <x:c r="BW607" s="11" t="n">
        <x:v>720414</x:v>
      </x:c>
      <x:c r="BX607" s="11" t="n">
        <x:v>991717</x:v>
      </x:c>
      <x:c r="BY607" s="11" t="n">
        <x:v>0</x:v>
      </x:c>
      <x:c r="BZ607" s="11" t="n">
        <x:v>604528</x:v>
      </x:c>
      <x:c r="CA607" s="11" t="n">
        <x:v>0</x:v>
      </x:c>
      <x:c r="CB607" s="11" t="n">
        <x:v>702918</x:v>
      </x:c>
      <x:c r="CC607" s="11" t="n">
        <x:v>5634276</x:v>
      </x:c>
      <x:c r="CD607" s="11" t="n">
        <x:v>9340951</x:v>
      </x:c>
      <x:c r="CE607" s="11" t="n">
        <x:v>1094837</x:v>
      </x:c>
      <x:c r="CF607" s="11" t="n">
        <x:v>0</x:v>
      </x:c>
      <x:c r="CG607" s="11" t="n">
        <x:v>1048689</x:v>
      </x:c>
      <x:c r="CH607" s="11" t="n">
        <x:v>2603340</x:v>
      </x:c>
      <x:c r="CI607" s="11" t="n">
        <x:v>7332044</x:v>
      </x:c>
      <x:c r="CJ607" s="11" t="n">
        <x:v>4698426</x:v>
      </x:c>
      <x:c r="CK607" s="11" t="n">
        <x:v>2182864</x:v>
      </x:c>
      <x:c r="CL607" s="11" t="n">
        <x:v>1674329</x:v>
      </x:c>
      <x:c r="CM607" s="11"/>
      <x:c r="CN607" s="11" t="n">
        <x:v>320830</x:v>
      </x:c>
      <x:c r="CO607" s="11" t="n">
        <x:v>0</x:v>
      </x:c>
      <x:c r="CP607" s="8"/>
      <x:c r="CQ607" s="8"/>
    </x:row>
    <x:row r="608">
      <x:c r="A608" s="8" t="str">
        <x:v>Pitt Meadows|2023</x:v>
      </x:c>
      <x:c r="B608" s="8" t="str">
        <x:v>pitt-meadows-c</x:v>
      </x:c>
      <x:c r="C608" s="8" t="str">
        <x:v>Pitt Meadows</x:v>
      </x:c>
      <x:c r="D608" s="8" t="str">
        <x:v>Pitt Meadows</x:v>
      </x:c>
      <x:c r="E608" s="8" t="str">
        <x:v>C</x:v>
      </x:c>
      <x:c r="F608" s="8" t="str">
        <x:v>MVRD</x:v>
      </x:c>
      <x:c r="G608" s="9" t="n">
        <x:v>2023</x:v>
      </x:c>
      <x:c r="H608" s="10" t="n">
        <x:v>21071</x:v>
      </x:c>
      <x:c r="I608" s="8" t="str">
        <x:v>20,000 to 99,999</x:v>
      </x:c>
      <x:c r="J608" s="11" t="n">
        <x:v>57753454</x:v>
      </x:c>
      <x:c r="K608" s="11" t="n">
        <x:v>46708962</x:v>
      </x:c>
      <x:c r="L608" s="11" t="n">
        <x:v>11044492</x:v>
      </x:c>
      <x:c r="M608" s="12" t="n">
        <x:v>0.1912351770337407</x:v>
      </x:c>
      <x:c r="N608" s="11" t="n">
        <x:v>29844811</x:v>
      </x:c>
      <x:c r="O608" s="11" t="n">
        <x:v>18635860</x:v>
      </x:c>
      <x:c r="P608" s="11" t="n">
        <x:v>6234965</x:v>
      </x:c>
      <x:c r="Q608" s="11" t="n">
        <x:v>3037818</x:v>
      </x:c>
      <x:c r="R608" s="11" t="n">
        <x:v>39365509</x:v>
      </x:c>
      <x:c r="S608" s="11" t="n">
        <x:v>6434779</x:v>
      </x:c>
      <x:c r="T608" s="11" t="n">
        <x:v>84053858</x:v>
      </x:c>
      <x:c r="U608" s="11" t="n">
        <x:v>59353535</x:v>
      </x:c>
      <x:c r="V608" s="11" t="n">
        <x:v>34162832</x:v>
      </x:c>
      <x:c r="W608" s="11" t="n">
        <x:v>42765033</x:v>
      </x:c>
      <x:c r="X608" s="11" t="n">
        <x:v>23845017</x:v>
      </x:c>
      <x:c r="Y608" s="11" t="n">
        <x:v>0</x:v>
      </x:c>
      <x:c r="Z608" s="11" t="n">
        <x:v>730929</x:v>
      </x:c>
      <x:c r="AA608" s="11" t="n">
        <x:v>23023812</x:v>
      </x:c>
      <x:c r="AB608" s="11" t="n">
        <x:v>908674</x:v>
      </x:c>
      <x:c r="AC608" s="11" t="n">
        <x:v>1639603</x:v>
      </x:c>
      <x:c r="AD608" s="11" t="n">
        <x:v>12791759</x:v>
      </x:c>
      <x:c r="AE608" s="11" t="n">
        <x:v>11152156</x:v>
      </x:c>
      <x:c r="AF608" s="11" t="n">
        <x:v>51167036</x:v>
      </x:c>
      <x:c r="AG608" s="11" t="n">
        <x:v>317851434</x:v>
      </x:c>
      <x:c r="AH608" s="11" t="n">
        <x:v>107584325</x:v>
      </x:c>
      <x:c r="AI608" s="11" t="n">
        <x:v>210267109</x:v>
      </x:c>
      <x:c r="AJ608" s="11" t="n">
        <x:v>10348487</x:v>
      </x:c>
      <x:c r="AK608" s="11" t="n">
        <x:v>650147689</x:v>
      </x:c>
      <x:c r="AL608" s="11" t="n">
        <x:v>14549080</x:v>
      </x:c>
      <x:c r="AM608" s="12" t="n">
        <x:v>0.9776218846176657</x:v>
      </x:c>
      <x:c r="AN608" s="12" t="n">
        <x:v>0.015917132637842845</x:v>
      </x:c>
      <x:c r="AO608" s="11" t="n">
        <x:v>49392092</x:v>
      </x:c>
      <x:c r="AP608" s="11" t="n">
        <x:v>48187047</x:v>
      </x:c>
      <x:c r="AQ608" s="12" t="n">
        <x:v>0.9756024709380603</x:v>
      </x:c>
      <x:c r="AR608" s="11" t="n">
        <x:v>2740.8976318162404</x:v>
      </x:c>
      <x:c r="AS608" s="11" t="n">
        <x:v>2216.741587964501</x:v>
      </x:c>
      <x:c r="AT608" s="11" t="n">
        <x:v>1621.319918371221</x:v>
      </x:c>
      <x:c r="AU608" s="11" t="n">
        <x:v>2029.568269185136</x:v>
      </x:c>
      <x:c r="AV608" s="11" t="n">
        <x:v>1092.67770869916</x:v>
      </x:c>
      <x:c r="AW608" s="11" t="n">
        <x:v>1.4161558869240054</x:v>
      </x:c>
      <x:c r="AX608" s="12" t="n">
        <x:v>0.8718234919841751</x:v>
      </x:c>
      <x:c r="AY608" s="11"/>
      <x:c r="AZ608" s="11"/>
      <x:c r="BA608" s="11"/>
      <x:c r="BB608" s="11"/>
      <x:c r="BC608" s="11"/>
      <x:c r="BD608" s="11"/>
      <x:c r="BE608" s="11"/>
      <x:c r="BF608" s="11"/>
      <x:c r="BG608" s="11"/>
      <x:c r="BH608" s="11"/>
      <x:c r="BI608" s="11"/>
      <x:c r="BJ608" s="11"/>
      <x:c r="BK608" s="12"/>
      <x:c r="BL608" s="12"/>
      <x:c r="BM608" s="12"/>
      <x:c r="BN608" s="12"/>
      <x:c r="BO608" s="12"/>
      <x:c r="BP608" s="12"/>
      <x:c r="BQ608" s="12"/>
      <x:c r="BR608" s="12"/>
      <x:c r="BS608" s="12"/>
      <x:c r="BT608" s="12"/>
      <x:c r="BU608" s="11" t="n">
        <x:v>3840</x:v>
      </x:c>
      <x:c r="BV608" s="11" t="n">
        <x:v>5961814</x:v>
      </x:c>
      <x:c r="BW608" s="11" t="n">
        <x:v>269311</x:v>
      </x:c>
      <x:c r="BX608" s="11" t="n">
        <x:v>2450641</x:v>
      </x:c>
      <x:c r="BY608" s="11" t="n">
        <x:v>0</x:v>
      </x:c>
      <x:c r="BZ608" s="11" t="n">
        <x:v>539747</x:v>
      </x:c>
      <x:c r="CA608" s="11" t="n">
        <x:v>47430</x:v>
      </x:c>
      <x:c r="CB608" s="11" t="n">
        <x:v>0</x:v>
      </x:c>
      <x:c r="CC608" s="11" t="n">
        <x:v>6728246</x:v>
      </x:c>
      <x:c r="CD608" s="11" t="n">
        <x:v>10386095</x:v>
      </x:c>
      <x:c r="CE608" s="11" t="n">
        <x:v>1187042</x:v>
      </x:c>
      <x:c r="CF608" s="11" t="n">
        <x:v>0</x:v>
      </x:c>
      <x:c r="CG608" s="11" t="n">
        <x:v>1045861</x:v>
      </x:c>
      <x:c r="CH608" s="11" t="n">
        <x:v>4716577</x:v>
      </x:c>
      <x:c r="CI608" s="11" t="n">
        <x:v>8104263</x:v>
      </x:c>
      <x:c r="CJ608" s="11" t="n">
        <x:v>5242245</x:v>
      </x:c>
      <x:c r="CK608" s="11" t="n">
        <x:v>2384512</x:v>
      </x:c>
      <x:c r="CL608" s="11" t="n">
        <x:v>0</x:v>
      </x:c>
      <x:c r="CM608" s="11" t="n">
        <x:v>43370</x:v>
      </x:c>
      <x:c r="CN608" s="11" t="n">
        <x:v>435972</x:v>
      </x:c>
      <x:c r="CO608" s="11" t="n">
        <x:v>0</x:v>
      </x:c>
      <x:c r="CP608" s="8"/>
      <x:c r="CQ608" s="8"/>
    </x:row>
    <x:row r="609">
      <x:c r="A609" s="8" t="str">
        <x:v>Pitt Meadows|2024</x:v>
      </x:c>
      <x:c r="B609" s="8" t="str">
        <x:v>pitt-meadows-c</x:v>
      </x:c>
      <x:c r="C609" s="8" t="str">
        <x:v>Pitt Meadows</x:v>
      </x:c>
      <x:c r="D609" s="8" t="str">
        <x:v>Pitt Meadows</x:v>
      </x:c>
      <x:c r="E609" s="8" t="str">
        <x:v>C</x:v>
      </x:c>
      <x:c r="F609" s="8" t="str">
        <x:v>MVRD</x:v>
      </x:c>
      <x:c r="G609" s="9" t="n">
        <x:v>2024</x:v>
      </x:c>
      <x:c r="H609" s="10" t="n">
        <x:v>21071</x:v>
      </x:c>
      <x:c r="I609" s="8" t="str">
        <x:v>20,000 to 99,999</x:v>
      </x:c>
      <x:c r="J609" s="11" t="n">
        <x:v>59854148</x:v>
      </x:c>
      <x:c r="K609" s="11" t="n">
        <x:v>49768258</x:v>
      </x:c>
      <x:c r="L609" s="11" t="n">
        <x:v>10085890</x:v>
      </x:c>
      <x:c r="M609" s="12" t="n">
        <x:v>0.16850778662825508</x:v>
      </x:c>
      <x:c r="N609" s="11" t="n">
        <x:v>32886522</x:v>
      </x:c>
      <x:c r="O609" s="11" t="n">
        <x:v>20862423</x:v>
      </x:c>
      <x:c r="P609" s="11" t="n">
        <x:v>1743880</x:v>
      </x:c>
      <x:c r="Q609" s="11" t="n">
        <x:v>4361323</x:v>
      </x:c>
      <x:c r="R609" s="11" t="n">
        <x:v>42027424</x:v>
      </x:c>
      <x:c r="S609" s="11" t="n">
        <x:v>6691093</x:v>
      </x:c>
      <x:c r="T609" s="11" t="n">
        <x:v>83495012</x:v>
      </x:c>
      <x:c r="U609" s="11" t="n">
        <x:v>58289507</x:v>
      </x:c>
      <x:c r="V609" s="11" t="n">
        <x:v>34864663</x:v>
      </x:c>
      <x:c r="W609" s="11" t="n">
        <x:v>46535118</x:v>
      </x:c>
      <x:c r="X609" s="11" t="n">
        <x:v>23023812</x:v>
      </x:c>
      <x:c r="Y609" s="11" t="n">
        <x:v>0</x:v>
      </x:c>
      <x:c r="Z609" s="11" t="n">
        <x:v>730929</x:v>
      </x:c>
      <x:c r="AA609" s="11" t="n">
        <x:v>22179362</x:v>
      </x:c>
      <x:c r="AB609" s="11" t="n">
        <x:v>1049741</x:v>
      </x:c>
      <x:c r="AC609" s="11" t="n">
        <x:v>1780670</x:v>
      </x:c>
      <x:c r="AD609" s="11" t="n">
        <x:v>14325348</x:v>
      </x:c>
      <x:c r="AE609" s="11" t="n">
        <x:v>12544678</x:v>
      </x:c>
      <x:c r="AF609" s="11" t="n">
        <x:v>57301393</x:v>
      </x:c>
      <x:c r="AG609" s="11" t="n">
        <x:v>332224648</x:v>
      </x:c>
      <x:c r="AH609" s="11" t="n">
        <x:v>112556342</x:v>
      </x:c>
      <x:c r="AI609" s="11" t="n">
        <x:v>219668306</x:v>
      </x:c>
      <x:c r="AJ609" s="11" t="n">
        <x:v>16419522</x:v>
      </x:c>
      <x:c r="AK609" s="11" t="n">
        <x:v>725275483</x:v>
      </x:c>
      <x:c r="AL609" s="11" t="n">
        <x:v>15242593</x:v>
      </x:c>
      <x:c r="AM609" s="12" t="n">
        <x:v>0.9789837194869029</x:v>
      </x:c>
      <x:c r="AN609" s="12" t="n">
        <x:v>0.02263901425715227</x:v>
      </x:c>
      <x:c r="AO609" s="11" t="n">
        <x:v>55157882</x:v>
      </x:c>
      <x:c r="AP609" s="11" t="n">
        <x:v>54061534</x:v>
      </x:c>
      <x:c r="AQ609" s="12" t="n">
        <x:v>0.9801234572422487</x:v>
      </x:c>
      <x:c r="AR609" s="11" t="n">
        <x:v>2840.593612073466</x:v>
      </x:c>
      <x:c r="AS609" s="11" t="n">
        <x:v>2361.931469792606</x:v>
      </x:c>
      <x:c r="AT609" s="11" t="n">
        <x:v>1654.6278297185706</x:v>
      </x:c>
      <x:c r="AU609" s="11" t="n">
        <x:v>2208.491196431114</x:v>
      </x:c>
      <x:c r="AV609" s="11" t="n">
        <x:v>1052.6013003654311</x:v>
      </x:c>
      <x:c r="AW609" s="11" t="n">
        <x:v>1.4324192517188385</x:v>
      </x:c>
      <x:c r="AX609" s="12" t="n">
        <x:v>0.8756979586115464</x:v>
      </x:c>
      <x:c r="AY609" s="11" t="n">
        <x:v>2823.8160359162957</x:v>
      </x:c>
      <x:c r="AZ609" s="11" t="n">
        <x:v>3546.5079302077975</x:v>
      </x:c>
      <x:c r="BA609" s="11" t="n">
        <x:v>2313.177731087988</x:v>
      </x:c>
      <x:c r="BB609" s="11" t="n">
        <x:v>2783.665107049771</x:v>
      </x:c>
      <x:c r="BC609" s="11" t="n">
        <x:v>1634.933826557682</x:v>
      </x:c>
      <x:c r="BD609" s="11" t="n">
        <x:v>2437.8724475115623</x:v>
      </x:c>
      <x:c r="BE609" s="11" t="n">
        <x:v>1015.8871081440785</x:v>
      </x:c>
      <x:c r="BF609" s="11" t="n">
        <x:v>1604.3462673977224</x:v>
      </x:c>
      <x:c r="BG609" s="11" t="n">
        <x:v>757.3716446138835</x:v>
      </x:c>
      <x:c r="BH609" s="11" t="n">
        <x:v>518.5374381567245</x:v>
      </x:c>
      <x:c r="BI609" s="11" t="n">
        <x:v>1.4428133381403412</x:v>
      </x:c>
      <x:c r="BJ609" s="11" t="n">
        <x:v>1.7099330852451193</x:v>
      </x:c>
      <x:c r="BK609" s="12" t="n">
        <x:v>0.021350493990494074</x:v>
      </x:c>
      <x:c r="BL609" s="12" t="n">
        <x:v>0.02529861000232605</x:v>
      </x:c>
      <x:c r="BM609" s="12" t="n">
        <x:v>0.9847118933607182</x:v>
      </x:c>
      <x:c r="BN609" s="12" t="n">
        <x:v>0.9815511712696461</x:v>
      </x:c>
      <x:c r="BO609" s="12" t="n">
        <x:v>0.8457939120832807</x:v>
      </x:c>
      <x:c r="BP609" s="12" t="n">
        <x:v>0.8619101997275483</x:v>
      </x:c>
      <x:c r="BQ609" s="12" t="n">
        <x:v>0.9744645665293163</x:v>
      </x:c>
      <x:c r="BR609" s="12" t="n">
        <x:v>0.9623635142836453</x:v>
      </x:c>
      <x:c r="BS609" s="12" t="n">
        <x:v>0.16542076645989975</x:v>
      </x:c>
      <x:c r="BT609" s="12" t="n">
        <x:v>0.19976549769108282</x:v>
      </x:c>
      <x:c r="BU609" s="11" t="n">
        <x:v>207074</x:v>
      </x:c>
      <x:c r="BV609" s="11" t="n">
        <x:v>1115762</x:v>
      </x:c>
      <x:c r="BW609" s="11" t="n">
        <x:v>421044</x:v>
      </x:c>
      <x:c r="BX609" s="11" t="n">
        <x:v>3351069</x:v>
      </x:c>
      <x:c r="BY609" s="11" t="n">
        <x:v>0</x:v>
      </x:c>
      <x:c r="BZ609" s="11" t="n">
        <x:v>852001</x:v>
      </x:c>
      <x:c r="CA609" s="11" t="n">
        <x:v>158253</x:v>
      </x:c>
      <x:c r="CB609" s="11" t="n">
        <x:v>0</x:v>
      </x:c>
      <x:c r="CC609" s="11" t="n">
        <x:v>6936566</x:v>
      </x:c>
      <x:c r="CD609" s="11" t="n">
        <x:v>11866625</x:v>
      </x:c>
      <x:c r="CE609" s="11" t="n">
        <x:v>1169096</x:v>
      </x:c>
      <x:c r="CF609" s="11" t="n">
        <x:v>0</x:v>
      </x:c>
      <x:c r="CG609" s="11" t="n">
        <x:v>1244052</x:v>
      </x:c>
      <x:c r="CH609" s="11" t="n">
        <x:v>5181279</x:v>
      </x:c>
      <x:c r="CI609" s="11" t="n">
        <x:v>8375216</x:v>
      </x:c>
      <x:c r="CJ609" s="11" t="n">
        <x:v>5283087</x:v>
      </x:c>
      <x:c r="CK609" s="11" t="n">
        <x:v>2700572</x:v>
      </x:c>
      <x:c r="CL609" s="11" t="n">
        <x:v>0</x:v>
      </x:c>
      <x:c r="CM609" s="11" t="n">
        <x:v>45145</x:v>
      </x:c>
      <x:c r="CN609" s="11" t="n">
        <x:v>275527</x:v>
      </x:c>
      <x:c r="CO609" s="11" t="n">
        <x:v>0</x:v>
      </x:c>
      <x:c r="CP609" s="8"/>
      <x:c r="CQ609" s="8"/>
    </x:row>
    <x:row r="610">
      <x:c r="A610" s="8" t="str">
        <x:v>Port Alberni|2019</x:v>
      </x:c>
      <x:c r="B610" s="8" t="str">
        <x:v>port-alberni-c</x:v>
      </x:c>
      <x:c r="C610" s="8" t="str">
        <x:v>Port Alberni</x:v>
      </x:c>
      <x:c r="D610" s="8" t="str">
        <x:v>Port Alberni</x:v>
      </x:c>
      <x:c r="E610" s="8" t="str">
        <x:v>C</x:v>
      </x:c>
      <x:c r="F610" s="8" t="str">
        <x:v>ALB</x:v>
      </x:c>
      <x:c r="G610" s="9" t="n">
        <x:v>2019</x:v>
      </x:c>
      <x:c r="H610" s="10" t="n">
        <x:v>18751</x:v>
      </x:c>
      <x:c r="I610" s="8" t="str">
        <x:v>5,000 to 19,999</x:v>
      </x:c>
      <x:c r="J610" s="11" t="n">
        <x:v>48303882</x:v>
      </x:c>
      <x:c r="K610" s="11" t="n">
        <x:v>36337048</x:v>
      </x:c>
      <x:c r="L610" s="11" t="n">
        <x:v>11966834</x:v>
      </x:c>
      <x:c r="M610" s="12" t="n">
        <x:v>0.24774062672643993</x:v>
      </x:c>
      <x:c r="N610" s="11" t="n">
        <x:v>23734117</x:v>
      </x:c>
      <x:c r="O610" s="11" t="n">
        <x:v>10463191</x:v>
      </x:c>
      <x:c r="P610" s="11" t="n">
        <x:v>11172799</x:v>
      </x:c>
      <x:c r="Q610" s="11" t="n">
        <x:v>2933775</x:v>
      </x:c>
      <x:c r="R610" s="11" t="n">
        <x:v>31333037</x:v>
      </x:c>
      <x:c r="S610" s="11" t="n">
        <x:v>4658156</x:v>
      </x:c>
      <x:c r="T610" s="11" t="n">
        <x:v>38509255</x:v>
      </x:c>
      <x:c r="U610" s="11" t="n">
        <x:v>28383573</x:v>
      </x:c>
      <x:c r="V610" s="11" t="n">
        <x:v>18745543</x:v>
      </x:c>
      <x:c r="W610" s="11" t="n">
        <x:v>8992423</x:v>
      </x:c>
      <x:c r="X610" s="11" t="n">
        <x:v>10163466</x:v>
      </x:c>
      <x:c r="Y610" s="11" t="n">
        <x:v>4450000</x:v>
      </x:c>
      <x:c r="Z610" s="11" t="n">
        <x:v>254557</x:v>
      </x:c>
      <x:c r="AA610" s="11" t="n">
        <x:v>14285068</x:v>
      </x:c>
      <x:c r="AB610" s="11" t="n">
        <x:v>345855</x:v>
      </x:c>
      <x:c r="AC610" s="11" t="n">
        <x:v>600412</x:v>
      </x:c>
      <x:c r="AD610" s="11" t="n">
        <x:v>8455759</x:v>
      </x:c>
      <x:c r="AE610" s="11" t="n">
        <x:v>7855347</x:v>
      </x:c>
      <x:c r="AF610" s="11" t="n">
        <x:v>33823035</x:v>
      </x:c>
      <x:c r="AG610" s="11" t="n">
        <x:v>231595656</x:v>
      </x:c>
      <x:c r="AH610" s="11" t="n">
        <x:v>109118031</x:v>
      </x:c>
      <x:c r="AI610" s="11" t="n">
        <x:v>122477625</x:v>
      </x:c>
      <x:c r="AJ610" s="11" t="n">
        <x:v>19234060</x:v>
      </x:c>
      <x:c r="AK610" s="11" t="n">
        <x:v>24318778</x:v>
      </x:c>
      <x:c r="AL610" s="11" t="n">
        <x:v>0</x:v>
      </x:c>
      <x:c r="AM610" s="12" t="n">
        <x:v>1</x:v>
      </x:c>
      <x:c r="AN610" s="12" t="n">
        <x:v>0.7909139184542907</x:v>
      </x:c>
      <x:c r="AO610" s="11" t="n">
        <x:v>32085533</x:v>
      </x:c>
      <x:c r="AP610" s="11" t="n">
        <x:v>31267489</x:v>
      </x:c>
      <x:c r="AQ610" s="12" t="n">
        <x:v>0.9745042726888782</x:v>
      </x:c>
      <x:c r="AR610" s="11" t="n">
        <x:v>2576.069649618687</x:v>
      </x:c>
      <x:c r="AS610" s="11" t="n">
        <x:v>1937.872540131193</x:v>
      </x:c>
      <x:c r="AT610" s="11" t="n">
        <x:v>999.7089755213055</x:v>
      </x:c>
      <x:c r="AU610" s="11" t="n">
        <x:v>479.5703162498</x:v>
      </x:c>
      <x:c r="AV610" s="11" t="n">
        <x:v>761.8296624180043</x:v>
      </x:c>
      <x:c r="AW610" s="11" t="n">
        <x:v>1.356744445105625</x:v>
      </x:c>
      <x:c r="AX610" s="12" t="n">
        <x:v>0.9289937189553298</x:v>
      </x:c>
      <x:c r="AY610" s="11"/>
      <x:c r="AZ610" s="11"/>
      <x:c r="BA610" s="11"/>
      <x:c r="BB610" s="11"/>
      <x:c r="BC610" s="11"/>
      <x:c r="BD610" s="11"/>
      <x:c r="BE610" s="11"/>
      <x:c r="BF610" s="11"/>
      <x:c r="BG610" s="11"/>
      <x:c r="BH610" s="11"/>
      <x:c r="BI610" s="11"/>
      <x:c r="BJ610" s="11"/>
      <x:c r="BK610" s="12"/>
      <x:c r="BL610" s="12"/>
      <x:c r="BM610" s="12"/>
      <x:c r="BN610" s="12"/>
      <x:c r="BO610" s="12"/>
      <x:c r="BP610" s="12"/>
      <x:c r="BQ610" s="12"/>
      <x:c r="BR610" s="12"/>
      <x:c r="BS610" s="12"/>
      <x:c r="BT610" s="12"/>
      <x:c r="BU610" s="11" t="n">
        <x:v>0</x:v>
      </x:c>
      <x:c r="BV610" s="11" t="n">
        <x:v>1416849</x:v>
      </x:c>
      <x:c r="BW610" s="11" t="n">
        <x:v>9755950</x:v>
      </x:c>
      <x:c r="BX610" s="11" t="n">
        <x:v>716073</x:v>
      </x:c>
      <x:c r="BY610" s="11" t="n">
        <x:v>1565052</x:v>
      </x:c>
      <x:c r="BZ610" s="11" t="n">
        <x:v>648021</x:v>
      </x:c>
      <x:c r="CA610" s="11" t="n">
        <x:v>4629</x:v>
      </x:c>
      <x:c r="CB610" s="11" t="n">
        <x:v>0</x:v>
      </x:c>
      <x:c r="CC610" s="11" t="n">
        <x:v>4251447</x:v>
      </x:c>
      <x:c r="CD610" s="11" t="n">
        <x:v>11319213</x:v>
      </x:c>
      <x:c r="CE610" s="11" t="n">
        <x:v>996617</x:v>
      </x:c>
      <x:c r="CF610" s="11" t="n">
        <x:v>0</x:v>
      </x:c>
      <x:c r="CG610" s="11" t="n">
        <x:v>1253190</x:v>
      </x:c>
      <x:c r="CH610" s="11" t="n">
        <x:v>4391798</x:v>
      </x:c>
      <x:c r="CI610" s="11" t="n">
        <x:v>6396044</x:v>
      </x:c>
      <x:c r="CJ610" s="11" t="n">
        <x:v>1565649</x:v>
      </x:c>
      <x:c r="CK610" s="11" t="n">
        <x:v>1428331</x:v>
      </x:c>
      <x:c r="CL610" s="11" t="n">
        <x:v>26750</x:v>
      </x:c>
      <x:c r="CM610" s="11"/>
      <x:c r="CN610" s="11" t="n">
        <x:v>49853</x:v>
      </x:c>
      <x:c r="CO610" s="11" t="n">
        <x:v>0</x:v>
      </x:c>
      <x:c r="CP610" s="8"/>
      <x:c r="CQ610" s="8"/>
    </x:row>
    <x:row r="611">
      <x:c r="A611" s="8" t="str">
        <x:v>Port Alberni|2020</x:v>
      </x:c>
      <x:c r="B611" s="8" t="str">
        <x:v>port-alberni-c</x:v>
      </x:c>
      <x:c r="C611" s="8" t="str">
        <x:v>Port Alberni</x:v>
      </x:c>
      <x:c r="D611" s="8" t="str">
        <x:v>Port Alberni</x:v>
      </x:c>
      <x:c r="E611" s="8" t="str">
        <x:v>C</x:v>
      </x:c>
      <x:c r="F611" s="8" t="str">
        <x:v>ALB</x:v>
      </x:c>
      <x:c r="G611" s="9" t="n">
        <x:v>2020</x:v>
      </x:c>
      <x:c r="H611" s="10" t="n">
        <x:v>19060</x:v>
      </x:c>
      <x:c r="I611" s="8" t="str">
        <x:v>5,000 to 19,999</x:v>
      </x:c>
      <x:c r="J611" s="11" t="n">
        <x:v>45679530</x:v>
      </x:c>
      <x:c r="K611" s="11" t="n">
        <x:v>36686017</x:v>
      </x:c>
      <x:c r="L611" s="11" t="n">
        <x:v>8993513</x:v>
      </x:c>
      <x:c r="M611" s="12" t="n">
        <x:v>0.196882783163487</x:v>
      </x:c>
      <x:c r="N611" s="11" t="n">
        <x:v>24515598</x:v>
      </x:c>
      <x:c r="O611" s="11" t="n">
        <x:v>10541469</x:v>
      </x:c>
      <x:c r="P611" s="11" t="n">
        <x:v>9121805</x:v>
      </x:c>
      <x:c r="Q611" s="11" t="n">
        <x:v>1500658</x:v>
      </x:c>
      <x:c r="R611" s="11" t="n">
        <x:v>31705996</x:v>
      </x:c>
      <x:c r="S611" s="11" t="n">
        <x:v>4597550</x:v>
      </x:c>
      <x:c r="T611" s="11" t="n">
        <x:v>37467485</x:v>
      </x:c>
      <x:c r="U611" s="11" t="n">
        <x:v>27995855</x:v>
      </x:c>
      <x:c r="V611" s="11" t="n">
        <x:v>18049295</x:v>
      </x:c>
      <x:c r="W611" s="11" t="n">
        <x:v>12282387</x:v>
      </x:c>
      <x:c r="X611" s="11" t="n">
        <x:v>14285068</x:v>
      </x:c>
      <x:c r="Y611" s="11" t="n">
        <x:v>0</x:v>
      </x:c>
      <x:c r="Z611" s="11" t="n">
        <x:v>254557</x:v>
      </x:c>
      <x:c r="AA611" s="11" t="n">
        <x:v>13943928</x:v>
      </x:c>
      <x:c r="AB611" s="11" t="n">
        <x:v>382471</x:v>
      </x:c>
      <x:c r="AC611" s="11" t="n">
        <x:v>637028</x:v>
      </x:c>
      <x:c r="AD611" s="11" t="n">
        <x:v>8420870</x:v>
      </x:c>
      <x:c r="AE611" s="11" t="n">
        <x:v>7783842</x:v>
      </x:c>
      <x:c r="AF611" s="11" t="n">
        <x:v>33683480</x:v>
      </x:c>
      <x:c r="AG611" s="11" t="n">
        <x:v>245240548</x:v>
      </x:c>
      <x:c r="AH611" s="11" t="n">
        <x:v>113089020</x:v>
      </x:c>
      <x:c r="AI611" s="11" t="n">
        <x:v>132151528</x:v>
      </x:c>
      <x:c r="AJ611" s="11" t="n">
        <x:v>14564960</x:v>
      </x:c>
      <x:c r="AK611" s="11" t="n">
        <x:v>36416984</x:v>
      </x:c>
      <x:c r="AL611" s="11" t="n">
        <x:v>0</x:v>
      </x:c>
      <x:c r="AM611" s="12" t="n">
        <x:v>1</x:v>
      </x:c>
      <x:c r="AN611" s="12" t="n">
        <x:v>0.3999496498666666</x:v>
      </x:c>
      <x:c r="AO611" s="11" t="n">
        <x:v>32361131</x:v>
      </x:c>
      <x:c r="AP611" s="11" t="n">
        <x:v>31382717</x:v>
      </x:c>
      <x:c r="AQ611" s="12" t="n">
        <x:v>0.9697657662212115</x:v>
      </x:c>
      <x:c r="AR611" s="11" t="n">
        <x:v>2396.6175236096537</x:v>
      </x:c>
      <x:c r="AS611" s="11" t="n">
        <x:v>1924.764795383001</x:v>
      </x:c>
      <x:c r="AT611" s="11" t="n">
        <x:v>946.9724554039874</x:v>
      </x:c>
      <x:c r="AU611" s="11" t="n">
        <x:v>644.4064533053515</x:v>
      </x:c>
      <x:c r="AV611" s="11" t="n">
        <x:v>731.5806925498426</x:v>
      </x:c>
      <x:c r="AW611" s="11" t="n">
        <x:v>1.3383225838253556</x:v>
      </x:c>
      <x:c r="AX611" s="12" t="n">
        <x:v>0.9243512843684797</x:v>
      </x:c>
      <x:c r="AY611" s="11"/>
      <x:c r="AZ611" s="11"/>
      <x:c r="BA611" s="11"/>
      <x:c r="BB611" s="11"/>
      <x:c r="BC611" s="11"/>
      <x:c r="BD611" s="11"/>
      <x:c r="BE611" s="11"/>
      <x:c r="BF611" s="11"/>
      <x:c r="BG611" s="11"/>
      <x:c r="BH611" s="11"/>
      <x:c r="BI611" s="11"/>
      <x:c r="BJ611" s="11"/>
      <x:c r="BK611" s="12"/>
      <x:c r="BL611" s="12"/>
      <x:c r="BM611" s="12"/>
      <x:c r="BN611" s="12"/>
      <x:c r="BO611" s="12"/>
      <x:c r="BP611" s="12"/>
      <x:c r="BQ611" s="12"/>
      <x:c r="BR611" s="12"/>
      <x:c r="BS611" s="12"/>
      <x:c r="BT611" s="12"/>
      <x:c r="BU611" s="11" t="n">
        <x:v>3536000</x:v>
      </x:c>
      <x:c r="BV611" s="11" t="n">
        <x:v>4885450</x:v>
      </x:c>
      <x:c r="BW611" s="11" t="n">
        <x:v>700355</x:v>
      </x:c>
      <x:c r="BX611" s="11" t="n">
        <x:v>440146</x:v>
      </x:c>
      <x:c r="BY611" s="11" t="n">
        <x:v>376136</x:v>
      </x:c>
      <x:c r="BZ611" s="11" t="n">
        <x:v>0</x:v>
      </x:c>
      <x:c r="CA611" s="11" t="n">
        <x:v>684376</x:v>
      </x:c>
      <x:c r="CB611" s="11" t="n">
        <x:v>0</x:v>
      </x:c>
      <x:c r="CC611" s="11" t="n">
        <x:v>4366930</x:v>
      </x:c>
      <x:c r="CD611" s="11" t="n">
        <x:v>11314904</x:v>
      </x:c>
      <x:c r="CE611" s="11" t="n">
        <x:v>1020989</x:v>
      </x:c>
      <x:c r="CF611" s="11" t="n">
        <x:v>0</x:v>
      </x:c>
      <x:c r="CG611" s="11" t="n">
        <x:v>1767686</x:v>
      </x:c>
      <x:c r="CH611" s="11" t="n">
        <x:v>4046619</x:v>
      </x:c>
      <x:c r="CI611" s="11" t="n">
        <x:v>6481316</x:v>
      </x:c>
      <x:c r="CJ611" s="11" t="n">
        <x:v>1669006</x:v>
      </x:c>
      <x:c r="CK611" s="11" t="n">
        <x:v>1415652</x:v>
      </x:c>
      <x:c r="CL611" s="11" t="n">
        <x:v>5365</x:v>
      </x:c>
      <x:c r="CM611" s="11"/>
      <x:c r="CN611" s="11" t="n">
        <x:v>0</x:v>
      </x:c>
      <x:c r="CO611" s="11" t="n">
        <x:v>0</x:v>
      </x:c>
      <x:c r="CP611" s="8"/>
      <x:c r="CQ611" s="8"/>
    </x:row>
    <x:row r="612">
      <x:c r="A612" s="8" t="str">
        <x:v>Port Alberni|2021</x:v>
      </x:c>
      <x:c r="B612" s="8" t="str">
        <x:v>port-alberni-c</x:v>
      </x:c>
      <x:c r="C612" s="8" t="str">
        <x:v>Port Alberni</x:v>
      </x:c>
      <x:c r="D612" s="8" t="str">
        <x:v>Port Alberni</x:v>
      </x:c>
      <x:c r="E612" s="8" t="str">
        <x:v>C</x:v>
      </x:c>
      <x:c r="F612" s="8" t="str">
        <x:v>ALB</x:v>
      </x:c>
      <x:c r="G612" s="9" t="n">
        <x:v>2021</x:v>
      </x:c>
      <x:c r="H612" s="10" t="n">
        <x:v>19101</x:v>
      </x:c>
      <x:c r="I612" s="8" t="str">
        <x:v>5,000 to 19,999</x:v>
      </x:c>
      <x:c r="J612" s="11" t="n">
        <x:v>40490745</x:v>
      </x:c>
      <x:c r="K612" s="11" t="n">
        <x:v>38666872</x:v>
      </x:c>
      <x:c r="L612" s="11" t="n">
        <x:v>1823873</x:v>
      </x:c>
      <x:c r="M612" s="12" t="n">
        <x:v>0.04504419466720111</x:v>
      </x:c>
      <x:c r="N612" s="11" t="n">
        <x:v>26049096</x:v>
      </x:c>
      <x:c r="O612" s="11" t="n">
        <x:v>11467272</x:v>
      </x:c>
      <x:c r="P612" s="11" t="n">
        <x:v>2565914</x:v>
      </x:c>
      <x:c r="Q612" s="11" t="n">
        <x:v>408463</x:v>
      </x:c>
      <x:c r="R612" s="11" t="n">
        <x:v>33804250</x:v>
      </x:c>
      <x:c r="S612" s="11" t="n">
        <x:v>4598806</x:v>
      </x:c>
      <x:c r="T612" s="11" t="n">
        <x:v>32961079</x:v>
      </x:c>
      <x:c r="U612" s="11" t="n">
        <x:v>32745733</x:v>
      </x:c>
      <x:c r="V612" s="11" t="n">
        <x:v>8288470</x:v>
      </x:c>
      <x:c r="W612" s="11" t="n">
        <x:v>11568134</x:v>
      </x:c>
      <x:c r="X612" s="11" t="n">
        <x:v>13943928</x:v>
      </x:c>
      <x:c r="Y612" s="11" t="n">
        <x:v>0</x:v>
      </x:c>
      <x:c r="Z612" s="11" t="n">
        <x:v>364249</x:v>
      </x:c>
      <x:c r="AA612" s="11" t="n">
        <x:v>13479858</x:v>
      </x:c>
      <x:c r="AB612" s="11" t="n">
        <x:v>263816</x:v>
      </x:c>
      <x:c r="AC612" s="11" t="n">
        <x:v>628065</x:v>
      </x:c>
      <x:c r="AD612" s="11" t="n">
        <x:v>9110884</x:v>
      </x:c>
      <x:c r="AE612" s="11" t="n">
        <x:v>8482819</x:v>
      </x:c>
      <x:c r="AF612" s="11" t="n">
        <x:v>36443536</x:v>
      </x:c>
      <x:c r="AG612" s="11" t="n">
        <x:v>261127857</x:v>
      </x:c>
      <x:c r="AH612" s="11" t="n">
        <x:v>117299822</x:v>
      </x:c>
      <x:c r="AI612" s="11" t="n">
        <x:v>143828035</x:v>
      </x:c>
      <x:c r="AJ612" s="11" t="n">
        <x:v>16436118</x:v>
      </x:c>
      <x:c r="AK612" s="11" t="n">
        <x:v>47467804</x:v>
      </x:c>
      <x:c r="AL612" s="11" t="n">
        <x:v>0</x:v>
      </x:c>
      <x:c r="AM612" s="12" t="n">
        <x:v>1</x:v>
      </x:c>
      <x:c r="AN612" s="12" t="n">
        <x:v>0.3462582343181496</x:v>
      </x:c>
      <x:c r="AO612" s="11" t="n">
        <x:v>35924424</x:v>
      </x:c>
      <x:c r="AP612" s="11" t="n">
        <x:v>34964359</x:v>
      </x:c>
      <x:c r="AQ612" s="12" t="n">
        <x:v>0.9732754239845293</x:v>
      </x:c>
      <x:c r="AR612" s="11" t="n">
        <x:v>2119.823307680226</x:v>
      </x:c>
      <x:c r="AS612" s="11" t="n">
        <x:v>2024.337573949008</x:v>
      </x:c>
      <x:c r="AT612" s="11" t="n">
        <x:v>433.9285901261714</x:v>
      </x:c>
      <x:c r="AU612" s="11" t="n">
        <x:v>605.6297576043139</x:v>
      </x:c>
      <x:c r="AV612" s="11" t="n">
        <x:v>705.7147793309251</x:v>
      </x:c>
      <x:c r="AW612" s="11" t="n">
        <x:v>1.0065763072092477</x:v>
      </x:c>
      <x:c r="AX612" s="12" t="n">
        <x:v>0.9310643182373961</x:v>
      </x:c>
      <x:c r="AY612" s="11"/>
      <x:c r="AZ612" s="11"/>
      <x:c r="BA612" s="11"/>
      <x:c r="BB612" s="11"/>
      <x:c r="BC612" s="11"/>
      <x:c r="BD612" s="11"/>
      <x:c r="BE612" s="11"/>
      <x:c r="BF612" s="11"/>
      <x:c r="BG612" s="11"/>
      <x:c r="BH612" s="11"/>
      <x:c r="BI612" s="11"/>
      <x:c r="BJ612" s="11"/>
      <x:c r="BK612" s="12"/>
      <x:c r="BL612" s="12"/>
      <x:c r="BM612" s="12"/>
      <x:c r="BN612" s="12"/>
      <x:c r="BO612" s="12"/>
      <x:c r="BP612" s="12"/>
      <x:c r="BQ612" s="12"/>
      <x:c r="BR612" s="12"/>
      <x:c r="BS612" s="12"/>
      <x:c r="BT612" s="12"/>
      <x:c r="BU612" s="11" t="n">
        <x:v>0</x:v>
      </x:c>
      <x:c r="BV612" s="11" t="n">
        <x:v>2532862</x:v>
      </x:c>
      <x:c r="BW612" s="11" t="n">
        <x:v>33052</x:v>
      </x:c>
      <x:c r="BX612" s="11" t="n">
        <x:v>254505</x:v>
      </x:c>
      <x:c r="BY612" s="11" t="n">
        <x:v>-11949</x:v>
      </x:c>
      <x:c r="BZ612" s="11" t="n">
        <x:v>165907</x:v>
      </x:c>
      <x:c r="CA612" s="11" t="n">
        <x:v>0</x:v>
      </x:c>
      <x:c r="CB612" s="11" t="n">
        <x:v>0</x:v>
      </x:c>
      <x:c r="CC612" s="11" t="n">
        <x:v>3822405</x:v>
      </x:c>
      <x:c r="CD612" s="11" t="n">
        <x:v>13579585</x:v>
      </x:c>
      <x:c r="CE612" s="11" t="n">
        <x:v>1223876</x:v>
      </x:c>
      <x:c r="CF612" s="11" t="n">
        <x:v>0</x:v>
      </x:c>
      <x:c r="CG612" s="11" t="n">
        <x:v>1387564</x:v>
      </x:c>
      <x:c r="CH612" s="11" t="n">
        <x:v>4782598</x:v>
      </x:c>
      <x:c r="CI612" s="11" t="n">
        <x:v>5752841</x:v>
      </x:c>
      <x:c r="CJ612" s="11" t="n">
        <x:v>1699883</x:v>
      </x:c>
      <x:c r="CK612" s="11" t="n">
        <x:v>1651772</x:v>
      </x:c>
      <x:c r="CL612" s="11" t="n">
        <x:v>21736</x:v>
      </x:c>
      <x:c r="CM612" s="11"/>
      <x:c r="CN612" s="11" t="n">
        <x:v>145806</x:v>
      </x:c>
      <x:c r="CO612" s="11" t="n">
        <x:v>0</x:v>
      </x:c>
      <x:c r="CP612" s="8"/>
      <x:c r="CQ612" s="8"/>
    </x:row>
    <x:row r="613">
      <x:c r="A613" s="8" t="str">
        <x:v>Port Alberni|2022</x:v>
      </x:c>
      <x:c r="B613" s="8" t="str">
        <x:v>port-alberni-c</x:v>
      </x:c>
      <x:c r="C613" s="8" t="str">
        <x:v>Port Alberni</x:v>
      </x:c>
      <x:c r="D613" s="8" t="str">
        <x:v>Port Alberni</x:v>
      </x:c>
      <x:c r="E613" s="8" t="str">
        <x:v>C</x:v>
      </x:c>
      <x:c r="F613" s="8" t="str">
        <x:v>ALB</x:v>
      </x:c>
      <x:c r="G613" s="9" t="n">
        <x:v>2022</x:v>
      </x:c>
      <x:c r="H613" s="10" t="n">
        <x:v>695</x:v>
      </x:c>
      <x:c r="I613" s="8" t="str">
        <x:v>Under 5,000</x:v>
      </x:c>
      <x:c r="J613" s="11" t="n">
        <x:v>46282843</x:v>
      </x:c>
      <x:c r="K613" s="11" t="n">
        <x:v>42638509</x:v>
      </x:c>
      <x:c r="L613" s="11" t="n">
        <x:v>3644334</x:v>
      </x:c>
      <x:c r="M613" s="12" t="n">
        <x:v>0.07874049569513264</x:v>
      </x:c>
      <x:c r="N613" s="11" t="n">
        <x:v>27126891</x:v>
      </x:c>
      <x:c r="O613" s="11" t="n">
        <x:v>12702238</x:v>
      </x:c>
      <x:c r="P613" s="11" t="n">
        <x:v>3989808</x:v>
      </x:c>
      <x:c r="Q613" s="11" t="n">
        <x:v>2463906</x:v>
      </x:c>
      <x:c r="R613" s="11" t="n">
        <x:v>36805472</x:v>
      </x:c>
      <x:c r="S613" s="11" t="n">
        <x:v>5615585</x:v>
      </x:c>
      <x:c r="T613" s="11" t="n">
        <x:v>30515681</x:v>
      </x:c>
      <x:c r="U613" s="11" t="n">
        <x:v>33344429</x:v>
      </x:c>
      <x:c r="V613" s="11" t="n">
        <x:v>6948091</x:v>
      </x:c>
      <x:c r="W613" s="11" t="n">
        <x:v>13360758</x:v>
      </x:c>
      <x:c r="X613" s="11" t="n">
        <x:v>13479858</x:v>
      </x:c>
      <x:c r="Y613" s="11" t="n">
        <x:v>0</x:v>
      </x:c>
      <x:c r="Z613" s="11" t="n">
        <x:v>364249</x:v>
      </x:c>
      <x:c r="AA613" s="11" t="n">
        <x:v>12999838</x:v>
      </x:c>
      <x:c r="AB613" s="11" t="n">
        <x:v>217452</x:v>
      </x:c>
      <x:c r="AC613" s="11" t="n">
        <x:v>581701</x:v>
      </x:c>
      <x:c r="AD613" s="11" t="n">
        <x:v>9806849</x:v>
      </x:c>
      <x:c r="AE613" s="11" t="n">
        <x:v>8464398</x:v>
      </x:c>
      <x:c r="AF613" s="11" t="n">
        <x:v>39227394</x:v>
      </x:c>
      <x:c r="AG613" s="11" t="n">
        <x:v>274284186</x:v>
      </x:c>
      <x:c r="AH613" s="11" t="n">
        <x:v>121887702</x:v>
      </x:c>
      <x:c r="AI613" s="11" t="n">
        <x:v>152396484</x:v>
      </x:c>
      <x:c r="AJ613" s="11" t="n">
        <x:v>14443697</x:v>
      </x:c>
      <x:c r="AK613" s="11" t="n">
        <x:v>17349467</x:v>
      </x:c>
      <x:c r="AL613" s="11" t="n">
        <x:v>0</x:v>
      </x:c>
      <x:c r="AM613" s="12" t="n">
        <x:v>1</x:v>
      </x:c>
      <x:c r="AN613" s="12" t="n">
        <x:v>0.8325153158883786</x:v>
      </x:c>
      <x:c r="AO613" s="11" t="n">
        <x:v>37842580</x:v>
      </x:c>
      <x:c r="AP613" s="11" t="n">
        <x:v>36809736</x:v>
      </x:c>
      <x:c r="AQ613" s="12" t="n">
        <x:v>0.9727068291855365</x:v>
      </x:c>
      <x:c r="AR613" s="11" t="n">
        <x:v>66594.01870503597</x:v>
      </x:c>
      <x:c r="AS613" s="11" t="n">
        <x:v>61350.372661870504</x:v>
      </x:c>
      <x:c r="AT613" s="11" t="n">
        <x:v>9997.253237410072</x:v>
      </x:c>
      <x:c r="AU613" s="11" t="n">
        <x:v>19224.112230215826</x:v>
      </x:c>
      <x:c r="AV613" s="11" t="n">
        <x:v>18704.802877697843</x:v>
      </x:c>
      <x:c r="AW613" s="11" t="n">
        <x:v>0.9151657987605666</x:v>
      </x:c>
      <x:c r="AX613" s="12" t="n">
        <x:v>0.8631108728195979</x:v>
      </x:c>
      <x:c r="AY613" s="11"/>
      <x:c r="AZ613" s="11"/>
      <x:c r="BA613" s="11"/>
      <x:c r="BB613" s="11"/>
      <x:c r="BC613" s="11"/>
      <x:c r="BD613" s="11"/>
      <x:c r="BE613" s="11"/>
      <x:c r="BF613" s="11"/>
      <x:c r="BG613" s="11"/>
      <x:c r="BH613" s="11"/>
      <x:c r="BI613" s="11"/>
      <x:c r="BJ613" s="11"/>
      <x:c r="BK613" s="12"/>
      <x:c r="BL613" s="12"/>
      <x:c r="BM613" s="12"/>
      <x:c r="BN613" s="12"/>
      <x:c r="BO613" s="12"/>
      <x:c r="BP613" s="12"/>
      <x:c r="BQ613" s="12"/>
      <x:c r="BR613" s="12"/>
      <x:c r="BS613" s="12"/>
      <x:c r="BT613" s="12"/>
      <x:c r="BU613" s="11" t="n">
        <x:v>2165480</x:v>
      </x:c>
      <x:c r="BV613" s="11" t="n">
        <x:v>1810600</x:v>
      </x:c>
      <x:c r="BW613" s="11" t="n">
        <x:v>13728</x:v>
      </x:c>
      <x:c r="BX613" s="11" t="n">
        <x:v>623066</x:v>
      </x:c>
      <x:c r="BY613" s="11" t="n">
        <x:v>1840840</x:v>
      </x:c>
      <x:c r="BZ613" s="11" t="n">
        <x:v>0</x:v>
      </x:c>
      <x:c r="CA613" s="11" t="n">
        <x:v>0</x:v>
      </x:c>
      <x:c r="CB613" s="11" t="n">
        <x:v>0</x:v>
      </x:c>
      <x:c r="CC613" s="11" t="n">
        <x:v>4760745</x:v>
      </x:c>
      <x:c r="CD613" s="11" t="n">
        <x:v>13393945</x:v>
      </x:c>
      <x:c r="CE613" s="11" t="n">
        <x:v>1416913</x:v>
      </x:c>
      <x:c r="CF613" s="11" t="n">
        <x:v>0</x:v>
      </x:c>
      <x:c r="CG613" s="11" t="n">
        <x:v>1840807</x:v>
      </x:c>
      <x:c r="CH613" s="11" t="n">
        <x:v>4942192</x:v>
      </x:c>
      <x:c r="CI613" s="11" t="n">
        <x:v>6815024</x:v>
      </x:c>
      <x:c r="CJ613" s="11" t="n">
        <x:v>1928900</x:v>
      </x:c>
      <x:c r="CK613" s="11" t="n">
        <x:v>1801163</x:v>
      </x:c>
      <x:c r="CL613" s="11" t="n">
        <x:v>1573</x:v>
      </x:c>
      <x:c r="CM613" s="11"/>
      <x:c r="CN613" s="11" t="n">
        <x:v>121662</x:v>
      </x:c>
      <x:c r="CO613" s="11" t="n">
        <x:v>0</x:v>
      </x:c>
      <x:c r="CP613" s="8"/>
      <x:c r="CQ613" s="8"/>
    </x:row>
    <x:row r="614">
      <x:c r="A614" s="8" t="str">
        <x:v>Port Alberni|2023</x:v>
      </x:c>
      <x:c r="B614" s="8" t="str">
        <x:v>port-alberni-c</x:v>
      </x:c>
      <x:c r="C614" s="8" t="str">
        <x:v>Port Alberni</x:v>
      </x:c>
      <x:c r="D614" s="8" t="str">
        <x:v>Port Alberni</x:v>
      </x:c>
      <x:c r="E614" s="8" t="str">
        <x:v>C</x:v>
      </x:c>
      <x:c r="F614" s="8" t="str">
        <x:v>ALB</x:v>
      </x:c>
      <x:c r="G614" s="9" t="n">
        <x:v>2023</x:v>
      </x:c>
      <x:c r="H614" s="10" t="n">
        <x:v>20264</x:v>
      </x:c>
      <x:c r="I614" s="8" t="str">
        <x:v>20,000 to 99,999</x:v>
      </x:c>
      <x:c r="J614" s="11" t="n">
        <x:v>59117100</x:v>
      </x:c>
      <x:c r="K614" s="11" t="n">
        <x:v>51500280</x:v>
      </x:c>
      <x:c r="L614" s="11" t="n">
        <x:v>7616820</x:v>
      </x:c>
      <x:c r="M614" s="12" t="n">
        <x:v>0.12884292362108427</x:v>
      </x:c>
      <x:c r="N614" s="11" t="n">
        <x:v>27873962</x:v>
      </x:c>
      <x:c r="O614" s="11" t="n">
        <x:v>15019182</x:v>
      </x:c>
      <x:c r="P614" s="11" t="n">
        <x:v>14341216</x:v>
      </x:c>
      <x:c r="Q614" s="11" t="n">
        <x:v>1882740</x:v>
      </x:c>
      <x:c r="R614" s="11" t="n">
        <x:v>41839065</x:v>
      </x:c>
      <x:c r="S614" s="11" t="n">
        <x:v>9082956</x:v>
      </x:c>
      <x:c r="T614" s="11" t="n">
        <x:v>36070640</x:v>
      </x:c>
      <x:c r="U614" s="11" t="n">
        <x:v>83270654</x:v>
      </x:c>
      <x:c r="V614" s="11" t="n">
        <x:v>-34082105</x:v>
      </x:c>
      <x:c r="W614" s="11" t="n">
        <x:v>34208398</x:v>
      </x:c>
      <x:c r="X614" s="11" t="n">
        <x:v>12999838</x:v>
      </x:c>
      <x:c r="Y614" s="11" t="n">
        <x:v>8500000</x:v>
      </x:c>
      <x:c r="Z614" s="11" t="n">
        <x:v>364249</x:v>
      </x:c>
      <x:c r="AA614" s="11" t="n">
        <x:v>21003293</x:v>
      </x:c>
      <x:c r="AB614" s="11" t="n">
        <x:v>578259</x:v>
      </x:c>
      <x:c r="AC614" s="11" t="n">
        <x:v>942508</x:v>
      </x:c>
      <x:c r="AD614" s="11" t="n">
        <x:v>10771101</x:v>
      </x:c>
      <x:c r="AE614" s="11" t="n">
        <x:v>9828593</x:v>
      </x:c>
      <x:c r="AF614" s="11" t="n">
        <x:v>43084403</x:v>
      </x:c>
      <x:c r="AG614" s="11" t="n">
        <x:v>331476608</x:v>
      </x:c>
      <x:c r="AH614" s="11" t="n">
        <x:v>130729317</x:v>
      </x:c>
      <x:c r="AI614" s="11" t="n">
        <x:v>200747291</x:v>
      </x:c>
      <x:c r="AJ614" s="11" t="n">
        <x:v>16432537</x:v>
      </x:c>
      <x:c r="AK614" s="11" t="n">
        <x:v>329069002</x:v>
      </x:c>
      <x:c r="AL614" s="11" t="n">
        <x:v>91164852</x:v>
      </x:c>
      <x:c r="AM614" s="12" t="n">
        <x:v>0.7229612894380127</x:v>
      </x:c>
      <x:c r="AN614" s="12" t="n">
        <x:v>0.049936447675493906</x:v>
      </x:c>
      <x:c r="AO614" s="11" t="n">
        <x:v>40003266</x:v>
      </x:c>
      <x:c r="AP614" s="11" t="n">
        <x:v>38590637</x:v>
      </x:c>
      <x:c r="AQ614" s="12" t="n">
        <x:v>0.9646871582935254</x:v>
      </x:c>
      <x:c r="AR614" s="11" t="n">
        <x:v>2917.346032372681</x:v>
      </x:c>
      <x:c r="AS614" s="11" t="n">
        <x:v>2541.4666403474143</x:v>
      </x:c>
      <x:c r="AT614" s="11" t="n">
        <x:v>-1681.9041156731148</x:v>
      </x:c>
      <x:c r="AU614" s="11" t="n">
        <x:v>1688.1364982234504</x:v>
      </x:c>
      <x:c r="AV614" s="11" t="n">
        <x:v>1036.4830734307145</x:v>
      </x:c>
      <x:c r="AW614" s="11" t="n">
        <x:v>0.43317349230858687</x:v>
      </x:c>
      <x:c r="AX614" s="12" t="n">
        <x:v>0.9124965962161157</x:v>
      </x:c>
      <x:c r="AY614" s="11"/>
      <x:c r="AZ614" s="11"/>
      <x:c r="BA614" s="11"/>
      <x:c r="BB614" s="11"/>
      <x:c r="BC614" s="11"/>
      <x:c r="BD614" s="11"/>
      <x:c r="BE614" s="11"/>
      <x:c r="BF614" s="11"/>
      <x:c r="BG614" s="11"/>
      <x:c r="BH614" s="11"/>
      <x:c r="BI614" s="11"/>
      <x:c r="BJ614" s="11"/>
      <x:c r="BK614" s="12"/>
      <x:c r="BL614" s="12"/>
      <x:c r="BM614" s="12"/>
      <x:c r="BN614" s="12"/>
      <x:c r="BO614" s="12"/>
      <x:c r="BP614" s="12"/>
      <x:c r="BQ614" s="12"/>
      <x:c r="BR614" s="12"/>
      <x:c r="BS614" s="12"/>
      <x:c r="BT614" s="12"/>
      <x:c r="BU614" s="11" t="n">
        <x:v>0</x:v>
      </x:c>
      <x:c r="BV614" s="11" t="n">
        <x:v>11495619</x:v>
      </x:c>
      <x:c r="BW614" s="11" t="n">
        <x:v>2845597</x:v>
      </x:c>
      <x:c r="BX614" s="11" t="n">
        <x:v>1914355</x:v>
      </x:c>
      <x:c r="BY614" s="11" t="n">
        <x:v>-36615</x:v>
      </x:c>
      <x:c r="BZ614" s="11" t="n">
        <x:v>5000</x:v>
      </x:c>
      <x:c r="CA614" s="11" t="n">
        <x:v>0</x:v>
      </x:c>
      <x:c r="CB614" s="11" t="n">
        <x:v>0</x:v>
      </x:c>
      <x:c r="CC614" s="11" t="n">
        <x:v>4413774</x:v>
      </x:c>
      <x:c r="CD614" s="11" t="n">
        <x:v>14710422</x:v>
      </x:c>
      <x:c r="CE614" s="11" t="n">
        <x:v>1270817</x:v>
      </x:c>
      <x:c r="CF614" s="11" t="n">
        <x:v>0</x:v>
      </x:c>
      <x:c r="CG614" s="11" t="n">
        <x:v>1532807</x:v>
      </x:c>
      <x:c r="CH614" s="11" t="n">
        <x:v>6404193</x:v>
      </x:c>
      <x:c r="CI614" s="11" t="n">
        <x:v>7916616</x:v>
      </x:c>
      <x:c r="CJ614" s="11" t="n">
        <x:v>2056163</x:v>
      </x:c>
      <x:c r="CK614" s="11" t="n">
        <x:v>2431100</x:v>
      </x:c>
      <x:c r="CL614" s="11" t="n">
        <x:v>64703</x:v>
      </x:c>
      <x:c r="CM614" s="11" t="n">
        <x:v>1520020</x:v>
      </x:c>
      <x:c r="CN614" s="11" t="n">
        <x:v>96709</x:v>
      </x:c>
      <x:c r="CO614" s="11" t="n">
        <x:v>0</x:v>
      </x:c>
      <x:c r="CP614" s="8"/>
      <x:c r="CQ614" s="8"/>
    </x:row>
    <x:row r="615">
      <x:c r="A615" s="8" t="str">
        <x:v>Port Alberni|2024</x:v>
      </x:c>
      <x:c r="B615" s="8" t="str">
        <x:v>port-alberni-c</x:v>
      </x:c>
      <x:c r="C615" s="8" t="str">
        <x:v>Port Alberni</x:v>
      </x:c>
      <x:c r="D615" s="8" t="str">
        <x:v>Port Alberni</x:v>
      </x:c>
      <x:c r="E615" s="8" t="str">
        <x:v>C</x:v>
      </x:c>
      <x:c r="F615" s="8" t="str">
        <x:v>ALB</x:v>
      </x:c>
      <x:c r="G615" s="9" t="n">
        <x:v>2024</x:v>
      </x:c>
      <x:c r="H615" s="10" t="n">
        <x:v>20264</x:v>
      </x:c>
      <x:c r="I615" s="8" t="str">
        <x:v>20,000 to 99,999</x:v>
      </x:c>
      <x:c r="J615" s="11" t="n">
        <x:v>58988795</x:v>
      </x:c>
      <x:c r="K615" s="11" t="n">
        <x:v>54277629</x:v>
      </x:c>
      <x:c r="L615" s="11" t="n">
        <x:v>4711166</x:v>
      </x:c>
      <x:c r="M615" s="12" t="n">
        <x:v>0.07986543885156494</x:v>
      </x:c>
      <x:c r="N615" s="11" t="n">
        <x:v>30936748</x:v>
      </x:c>
      <x:c r="O615" s="11" t="n">
        <x:v>16306889</x:v>
      </x:c>
      <x:c r="P615" s="11" t="n">
        <x:v>7069153</x:v>
      </x:c>
      <x:c r="Q615" s="11" t="n">
        <x:v>4676005</x:v>
      </x:c>
      <x:c r="R615" s="11" t="n">
        <x:v>44421335</x:v>
      </x:c>
      <x:c r="S615" s="11" t="n">
        <x:v>8979023</x:v>
      </x:c>
      <x:c r="T615" s="11" t="n">
        <x:v>32940697</x:v>
      </x:c>
      <x:c r="U615" s="11" t="n">
        <x:v>62351013</x:v>
      </x:c>
      <x:c r="V615" s="11" t="n">
        <x:v>-13946318</x:v>
      </x:c>
      <x:c r="W615" s="11" t="n">
        <x:v>1877500</x:v>
      </x:c>
      <x:c r="X615" s="11" t="n">
        <x:v>21003293</x:v>
      </x:c>
      <x:c r="Y615" s="11" t="n">
        <x:v>0</x:v>
      </x:c>
      <x:c r="Z615" s="11" t="n">
        <x:v>526214</x:v>
      </x:c>
      <x:c r="AA615" s="11" t="n">
        <x:v>20327655</x:v>
      </x:c>
      <x:c r="AB615" s="11" t="n">
        <x:v>877271</x:v>
      </x:c>
      <x:c r="AC615" s="11" t="n">
        <x:v>1403485</x:v>
      </x:c>
      <x:c r="AD615" s="11" t="n">
        <x:v>11727737</x:v>
      </x:c>
      <x:c r="AE615" s="11" t="n">
        <x:v>10324252</x:v>
      </x:c>
      <x:c r="AF615" s="11" t="n">
        <x:v>46910948</x:v>
      </x:c>
      <x:c r="AG615" s="11" t="n">
        <x:v>322436099</x:v>
      </x:c>
      <x:c r="AH615" s="11" t="n">
        <x:v>137252552</x:v>
      </x:c>
      <x:c r="AI615" s="11" t="n">
        <x:v>185183547</x:v>
      </x:c>
      <x:c r="AJ615" s="11" t="n">
        <x:v>13622173</x:v>
      </x:c>
      <x:c r="AK615" s="11" t="n">
        <x:v>988382900</x:v>
      </x:c>
      <x:c r="AL615" s="11" t="n">
        <x:v>15628662</x:v>
      </x:c>
      <x:c r="AM615" s="12" t="n">
        <x:v>0.984187644282393</x:v>
      </x:c>
      <x:c r="AN615" s="12" t="n">
        <x:v>0.013782283161717994</x:v>
      </x:c>
      <x:c r="AO615" s="11" t="n">
        <x:v>44424633</x:v>
      </x:c>
      <x:c r="AP615" s="11" t="n">
        <x:v>42227663</x:v>
      </x:c>
      <x:c r="AQ615" s="12" t="n">
        <x:v>0.9505461305667962</x:v>
      </x:c>
      <x:c r="AR615" s="11" t="n">
        <x:v>2911.0143604421633</x:v>
      </x:c>
      <x:c r="AS615" s="11" t="n">
        <x:v>2678.5249210422426</x:v>
      </x:c>
      <x:c r="AT615" s="11" t="n">
        <x:v>-688.23124753257</x:v>
      </x:c>
      <x:c r="AU615" s="11" t="n">
        <x:v>92.65199368337939</x:v>
      </x:c>
      <x:c r="AV615" s="11" t="n">
        <x:v>1003.141285037505</x:v>
      </x:c>
      <x:c r="AW615" s="11" t="n">
        <x:v>0.5283105344254792</x:v>
      </x:c>
      <x:c r="AX615" s="12" t="n">
        <x:v>0.8803277222195552</x:v>
      </x:c>
      <x:c r="AY615" s="11" t="n">
        <x:v>2823.8160359162957</x:v>
      </x:c>
      <x:c r="AZ615" s="11" t="n">
        <x:v>3546.5079302077975</x:v>
      </x:c>
      <x:c r="BA615" s="11" t="n">
        <x:v>2313.177731087988</x:v>
      </x:c>
      <x:c r="BB615" s="11" t="n">
        <x:v>2783.665107049771</x:v>
      </x:c>
      <x:c r="BC615" s="11" t="n">
        <x:v>1634.933826557682</x:v>
      </x:c>
      <x:c r="BD615" s="11" t="n">
        <x:v>2437.8724475115623</x:v>
      </x:c>
      <x:c r="BE615" s="11" t="n">
        <x:v>1015.8871081440785</x:v>
      </x:c>
      <x:c r="BF615" s="11" t="n">
        <x:v>1604.3462673977224</x:v>
      </x:c>
      <x:c r="BG615" s="11" t="n">
        <x:v>757.3716446138835</x:v>
      </x:c>
      <x:c r="BH615" s="11" t="n">
        <x:v>518.5374381567245</x:v>
      </x:c>
      <x:c r="BI615" s="11" t="n">
        <x:v>1.4428133381403412</x:v>
      </x:c>
      <x:c r="BJ615" s="11" t="n">
        <x:v>1.7099330852451193</x:v>
      </x:c>
      <x:c r="BK615" s="12" t="n">
        <x:v>0.021350493990494074</x:v>
      </x:c>
      <x:c r="BL615" s="12" t="n">
        <x:v>0.02529861000232605</x:v>
      </x:c>
      <x:c r="BM615" s="12" t="n">
        <x:v>0.9847118933607182</x:v>
      </x:c>
      <x:c r="BN615" s="12" t="n">
        <x:v>0.9815511712696461</x:v>
      </x:c>
      <x:c r="BO615" s="12" t="n">
        <x:v>0.8457939120832807</x:v>
      </x:c>
      <x:c r="BP615" s="12" t="n">
        <x:v>0.8619101997275483</x:v>
      </x:c>
      <x:c r="BQ615" s="12" t="n">
        <x:v>0.9744645665293163</x:v>
      </x:c>
      <x:c r="BR615" s="12" t="n">
        <x:v>0.9623635142836453</x:v>
      </x:c>
      <x:c r="BS615" s="12" t="n">
        <x:v>0.16542076645989975</x:v>
      </x:c>
      <x:c r="BT615" s="12" t="n">
        <x:v>0.19976549769108282</x:v>
      </x:c>
      <x:c r="BU615" s="11" t="n">
        <x:v>46098</x:v>
      </x:c>
      <x:c r="BV615" s="11" t="n">
        <x:v>6726114</x:v>
      </x:c>
      <x:c r="BW615" s="11" t="n">
        <x:v>296941</x:v>
      </x:c>
      <x:c r="BX615" s="11" t="n">
        <x:v>1915921</x:v>
      </x:c>
      <x:c r="BY615" s="11" t="n">
        <x:v>-170242</x:v>
      </x:c>
      <x:c r="BZ615" s="11" t="n">
        <x:v>682716</x:v>
      </x:c>
      <x:c r="CA615" s="11" t="n">
        <x:v>2247610</x:v>
      </x:c>
      <x:c r="CB615" s="11" t="n">
        <x:v>0</x:v>
      </x:c>
      <x:c r="CC615" s="11" t="n">
        <x:v>5074531</x:v>
      </x:c>
      <x:c r="CD615" s="11" t="n">
        <x:v>16211412</x:v>
      </x:c>
      <x:c r="CE615" s="11" t="n">
        <x:v>1556615</x:v>
      </x:c>
      <x:c r="CF615" s="11" t="n">
        <x:v>0</x:v>
      </x:c>
      <x:c r="CG615" s="11" t="n">
        <x:v>1957871</x:v>
      </x:c>
      <x:c r="CH615" s="11" t="n">
        <x:v>6522816</x:v>
      </x:c>
      <x:c r="CI615" s="11" t="n">
        <x:v>8590447</x:v>
      </x:c>
      <x:c r="CJ615" s="11" t="n">
        <x:v>1974306</x:v>
      </x:c>
      <x:c r="CK615" s="11" t="n">
        <x:v>2800293</x:v>
      </x:c>
      <x:c r="CL615" s="11" t="n">
        <x:v>18253</x:v>
      </x:c>
      <x:c r="CM615" s="11" t="n">
        <x:v>592062</x:v>
      </x:c>
      <x:c r="CN615" s="11" t="n">
        <x:v>0</x:v>
      </x:c>
      <x:c r="CO615" s="11" t="n">
        <x:v>0</x:v>
      </x:c>
      <x:c r="CP615" s="8"/>
      <x:c r="CQ615" s="8"/>
    </x:row>
    <x:row r="616">
      <x:c r="A616" s="8" t="str">
        <x:v>Port Alice|2019</x:v>
      </x:c>
      <x:c r="B616" s="8" t="str">
        <x:v>port-alice-v</x:v>
      </x:c>
      <x:c r="C616" s="8" t="str">
        <x:v>Port Alice</x:v>
      </x:c>
      <x:c r="D616" s="8" t="str">
        <x:v>Port Alice</x:v>
      </x:c>
      <x:c r="E616" s="8" t="str">
        <x:v>V</x:v>
      </x:c>
      <x:c r="F616" s="8" t="str">
        <x:v>MW</x:v>
      </x:c>
      <x:c r="G616" s="9" t="n">
        <x:v>2019</x:v>
      </x:c>
      <x:c r="H616" s="10" t="n">
        <x:v>683</x:v>
      </x:c>
      <x:c r="I616" s="8" t="str">
        <x:v>Under 5,000</x:v>
      </x:c>
      <x:c r="J616" s="11" t="n">
        <x:v>3059126</x:v>
      </x:c>
      <x:c r="K616" s="11" t="n">
        <x:v>3770454</x:v>
      </x:c>
      <x:c r="L616" s="11" t="n">
        <x:v>-711328</x:v>
      </x:c>
      <x:c r="M616" s="12" t="n">
        <x:v>-0.23252654516355326</x:v>
      </x:c>
      <x:c r="N616" s="11" t="n">
        <x:v>880217</x:v>
      </x:c>
      <x:c r="O616" s="11" t="n">
        <x:v>521378</x:v>
      </x:c>
      <x:c r="P616" s="11" t="n">
        <x:v>605896</x:v>
      </x:c>
      <x:c r="Q616" s="11" t="n">
        <x:v>1051635</x:v>
      </x:c>
      <x:c r="R616" s="11" t="n">
        <x:v>3312860</x:v>
      </x:c>
      <x:c r="S616" s="11" t="n">
        <x:v>438094</x:v>
      </x:c>
      <x:c r="T616" s="11" t="n">
        <x:v>3457252</x:v>
      </x:c>
      <x:c r="U616" s="11" t="n">
        <x:v>614949</x:v>
      </x:c>
      <x:c r="V616" s="11" t="n">
        <x:v>3502972</x:v>
      </x:c>
      <x:c r="W616" s="11" t="n">
        <x:v>475465</x:v>
      </x:c>
      <x:c r="X616" s="11" t="n">
        <x:v>486208</x:v>
      </x:c>
      <x:c r="Y616" s="11" t="n">
        <x:v>0</x:v>
      </x:c>
      <x:c r="Z616" s="11" t="n">
        <x:v>14407</x:v>
      </x:c>
      <x:c r="AA616" s="11" t="n">
        <x:v>467249</x:v>
      </x:c>
      <x:c r="AB616" s="11" t="n">
        <x:v>19500</x:v>
      </x:c>
      <x:c r="AC616" s="11" t="n">
        <x:v>33907</x:v>
      </x:c>
      <x:c r="AD616" s="11" t="n">
        <x:v>400676</x:v>
      </x:c>
      <x:c r="AE616" s="11" t="n">
        <x:v>366769</x:v>
      </x:c>
      <x:c r="AF616" s="11" t="n">
        <x:v>1602702</x:v>
      </x:c>
      <x:c r="AG616" s="11" t="n">
        <x:v>17001644</x:v>
      </x:c>
      <x:c r="AH616" s="11" t="n">
        <x:v>7531270</x:v>
      </x:c>
      <x:c r="AI616" s="11" t="n">
        <x:v>9470374</x:v>
      </x:c>
      <x:c r="AJ616" s="11" t="n">
        <x:v>723005</x:v>
      </x:c>
      <x:c r="AK616" s="11" t="n">
        <x:v>62514788</x:v>
      </x:c>
      <x:c r="AL616" s="11" t="n">
        <x:v>0</x:v>
      </x:c>
      <x:c r="AM616" s="12" t="n">
        <x:v>1</x:v>
      </x:c>
      <x:c r="AN616" s="12" t="n">
        <x:v>0.011565343547193985</x:v>
      </x:c>
      <x:c r="AO616" s="11" t="n">
        <x:v>2573352</x:v>
      </x:c>
      <x:c r="AP616" s="11" t="n">
        <x:v>2427124</x:v>
      </x:c>
      <x:c r="AQ616" s="12" t="n">
        <x:v>0.9431760598627782</x:v>
      </x:c>
      <x:c r="AR616" s="11" t="n">
        <x:v>4478.954612005857</x:v>
      </x:c>
      <x:c r="AS616" s="11" t="n">
        <x:v>5520.4304538799415</x:v>
      </x:c>
      <x:c r="AT616" s="11" t="n">
        <x:v>5128.802342606149</x:v>
      </x:c>
      <x:c r="AU616" s="11" t="n">
        <x:v>696.1420204978039</x:v>
      </x:c>
      <x:c r="AV616" s="11" t="n">
        <x:v>684.1127379209371</x:v>
      </x:c>
      <x:c r="AW616" s="11" t="n">
        <x:v>5.622014183289997</x:v>
      </x:c>
      <x:c r="AX616" s="12" t="n">
        <x:v>0.9153755153790095</x:v>
      </x:c>
      <x:c r="AY616" s="11"/>
      <x:c r="AZ616" s="11"/>
      <x:c r="BA616" s="11"/>
      <x:c r="BB616" s="11"/>
      <x:c r="BC616" s="11"/>
      <x:c r="BD616" s="11"/>
      <x:c r="BE616" s="11"/>
      <x:c r="BF616" s="11"/>
      <x:c r="BG616" s="11"/>
      <x:c r="BH616" s="11"/>
      <x:c r="BI616" s="11"/>
      <x:c r="BJ616" s="11"/>
      <x:c r="BK616" s="12"/>
      <x:c r="BL616" s="12"/>
      <x:c r="BM616" s="12"/>
      <x:c r="BN616" s="12"/>
      <x:c r="BO616" s="12"/>
      <x:c r="BP616" s="12"/>
      <x:c r="BQ616" s="12"/>
      <x:c r="BR616" s="12"/>
      <x:c r="BS616" s="12"/>
      <x:c r="BT616" s="12"/>
      <x:c r="BU616" s="11" t="n">
        <x:v>74459</x:v>
      </x:c>
      <x:c r="BV616" s="11" t="n">
        <x:v>357668</x:v>
      </x:c>
      <x:c r="BW616" s="11" t="n">
        <x:v>173769</x:v>
      </x:c>
      <x:c r="BX616" s="11" t="n">
        <x:v>57907</x:v>
      </x:c>
      <x:c r="BY616" s="11" t="n">
        <x:v>989018</x:v>
      </x:c>
      <x:c r="BZ616" s="11" t="n">
        <x:v>0</x:v>
      </x:c>
      <x:c r="CA616" s="11" t="n">
        <x:v>4710</x:v>
      </x:c>
      <x:c r="CB616" s="11" t="n">
        <x:v>0</x:v>
      </x:c>
      <x:c r="CC616" s="11" t="n">
        <x:v>2201910</x:v>
      </x:c>
      <x:c r="CD616" s="11" t="n">
        <x:v>57055</x:v>
      </x:c>
      <x:c r="CE616" s="11" t="n">
        <x:v>157074</x:v>
      </x:c>
      <x:c r="CF616" s="11" t="n">
        <x:v>0</x:v>
      </x:c>
      <x:c r="CG616" s="11" t="n">
        <x:v>0</x:v>
      </x:c>
      <x:c r="CH616" s="11" t="n">
        <x:v>406945</x:v>
      </x:c>
      <x:c r="CI616" s="11" t="n">
        <x:v>302287</x:v>
      </x:c>
      <x:c r="CJ616" s="11" t="n">
        <x:v>46313</x:v>
      </x:c>
      <x:c r="CK616" s="11" t="n">
        <x:v>160776</x:v>
      </x:c>
      <x:c r="CL616" s="11" t="n">
        <x:v>0</x:v>
      </x:c>
      <x:c r="CM616" s="11"/>
      <x:c r="CN616" s="11" t="n">
        <x:v>0</x:v>
      </x:c>
      <x:c r="CO616" s="11" t="n">
        <x:v>0</x:v>
      </x:c>
      <x:c r="CP616" s="8"/>
      <x:c r="CQ616" s="8"/>
    </x:row>
    <x:row r="617">
      <x:c r="A617" s="8" t="str">
        <x:v>Port Alice|2020</x:v>
      </x:c>
      <x:c r="B617" s="8" t="str">
        <x:v>port-alice-v</x:v>
      </x:c>
      <x:c r="C617" s="8" t="str">
        <x:v>Port Alice</x:v>
      </x:c>
      <x:c r="D617" s="8" t="str">
        <x:v>Port Alice</x:v>
      </x:c>
      <x:c r="E617" s="8" t="str">
        <x:v>V</x:v>
      </x:c>
      <x:c r="F617" s="8" t="str">
        <x:v>MW</x:v>
      </x:c>
      <x:c r="G617" s="9" t="n">
        <x:v>2020</x:v>
      </x:c>
      <x:c r="H617" s="10" t="n">
        <x:v>651</x:v>
      </x:c>
      <x:c r="I617" s="8" t="str">
        <x:v>Under 5,000</x:v>
      </x:c>
      <x:c r="J617" s="11" t="n">
        <x:v>1812597</x:v>
      </x:c>
      <x:c r="K617" s="11" t="n">
        <x:v>2126687</x:v>
      </x:c>
      <x:c r="L617" s="11" t="n">
        <x:v>-314090</x:v>
      </x:c>
      <x:c r="M617" s="12" t="n">
        <x:v>-0.17328176092093278</x:v>
      </x:c>
      <x:c r="N617" s="11" t="n">
        <x:v>668428</x:v>
      </x:c>
      <x:c r="O617" s="11" t="n">
        <x:v>329882</x:v>
      </x:c>
      <x:c r="P617" s="11" t="n">
        <x:v>810420</x:v>
      </x:c>
      <x:c r="Q617" s="11" t="n">
        <x:v>3867</x:v>
      </x:c>
      <x:c r="R617" s="11" t="n">
        <x:v>1704155</x:v>
      </x:c>
      <x:c r="S617" s="11" t="n">
        <x:v>403032</x:v>
      </x:c>
      <x:c r="T617" s="11" t="n">
        <x:v>3626575</x:v>
      </x:c>
      <x:c r="U617" s="11" t="n">
        <x:v>699563</x:v>
      </x:c>
      <x:c r="V617" s="11" t="n">
        <x:v>3650383</x:v>
      </x:c>
      <x:c r="W617" s="11" t="n">
        <x:v>1370373</x:v>
      </x:c>
      <x:c r="X617" s="11" t="n">
        <x:v>467249</x:v>
      </x:c>
      <x:c r="Y617" s="11" t="n">
        <x:v>0</x:v>
      </x:c>
      <x:c r="Z617" s="11" t="n">
        <x:v>14648</x:v>
      </x:c>
      <x:c r="AA617" s="11" t="n">
        <x:v>447291</x:v>
      </x:c>
      <x:c r="AB617" s="11" t="n">
        <x:v>19500</x:v>
      </x:c>
      <x:c r="AC617" s="11" t="n">
        <x:v>34148</x:v>
      </x:c>
      <x:c r="AD617" s="11" t="n">
        <x:v>298739</x:v>
      </x:c>
      <x:c r="AE617" s="11" t="n">
        <x:v>264591</x:v>
      </x:c>
      <x:c r="AF617" s="11" t="n">
        <x:v>1194957</x:v>
      </x:c>
      <x:c r="AG617" s="11" t="n">
        <x:v>16766833</x:v>
      </x:c>
      <x:c r="AH617" s="11" t="n">
        <x:v>7757719</x:v>
      </x:c>
      <x:c r="AI617" s="11" t="n">
        <x:v>9009114</x:v>
      </x:c>
      <x:c r="AJ617" s="11" t="n">
        <x:v>353800</x:v>
      </x:c>
      <x:c r="AK617" s="11" t="n">
        <x:v>63316639</x:v>
      </x:c>
      <x:c r="AL617" s="11" t="n">
        <x:v>0</x:v>
      </x:c>
      <x:c r="AM617" s="12" t="n">
        <x:v>1</x:v>
      </x:c>
      <x:c r="AN617" s="12" t="n">
        <x:v>0.005587788701165898</x:v>
      </x:c>
      <x:c r="AO617" s="11" t="n">
        <x:v>2900863</x:v>
      </x:c>
      <x:c r="AP617" s="11" t="n">
        <x:v>2759842</x:v>
      </x:c>
      <x:c r="AQ617" s="12" t="n">
        <x:v>0.9513865356619737</x:v>
      </x:c>
      <x:c r="AR617" s="11" t="n">
        <x:v>2784.327188940092</x:v>
      </x:c>
      <x:c r="AS617" s="11" t="n">
        <x:v>3266.800307219662</x:v>
      </x:c>
      <x:c r="AT617" s="11" t="n">
        <x:v>5607.3471582181255</x:v>
      </x:c>
      <x:c r="AU617" s="11" t="n">
        <x:v>2105.0276497695854</x:v>
      </x:c>
      <x:c r="AV617" s="11" t="n">
        <x:v>687.0829493087558</x:v>
      </x:c>
      <x:c r="AW617" s="11" t="n">
        <x:v>5.184057761774136</x:v>
      </x:c>
      <x:c r="AX617" s="12" t="n">
        <x:v>0.8856928623313327</x:v>
      </x:c>
      <x:c r="AY617" s="11"/>
      <x:c r="AZ617" s="11"/>
      <x:c r="BA617" s="11"/>
      <x:c r="BB617" s="11"/>
      <x:c r="BC617" s="11"/>
      <x:c r="BD617" s="11"/>
      <x:c r="BE617" s="11"/>
      <x:c r="BF617" s="11"/>
      <x:c r="BG617" s="11"/>
      <x:c r="BH617" s="11"/>
      <x:c r="BI617" s="11"/>
      <x:c r="BJ617" s="11"/>
      <x:c r="BK617" s="12"/>
      <x:c r="BL617" s="12"/>
      <x:c r="BM617" s="12"/>
      <x:c r="BN617" s="12"/>
      <x:c r="BO617" s="12"/>
      <x:c r="BP617" s="12"/>
      <x:c r="BQ617" s="12"/>
      <x:c r="BR617" s="12"/>
      <x:c r="BS617" s="12"/>
      <x:c r="BT617" s="12"/>
      <x:c r="BU617" s="11" t="n">
        <x:v>0</x:v>
      </x:c>
      <x:c r="BV617" s="11" t="n">
        <x:v>727333</x:v>
      </x:c>
      <x:c r="BW617" s="11" t="n">
        <x:v>83087</x:v>
      </x:c>
      <x:c r="BX617" s="11" t="n">
        <x:v>24789</x:v>
      </x:c>
      <x:c r="BY617" s="11" t="n">
        <x:v>-20922</x:v>
      </x:c>
      <x:c r="BZ617" s="11" t="n">
        <x:v>0</x:v>
      </x:c>
      <x:c r="CA617" s="11" t="n">
        <x:v>0</x:v>
      </x:c>
      <x:c r="CB617" s="11" t="n">
        <x:v>0</x:v>
      </x:c>
      <x:c r="CC617" s="11" t="n">
        <x:v>565493</x:v>
      </x:c>
      <x:c r="CD617" s="11" t="n">
        <x:v>30561</x:v>
      </x:c>
      <x:c r="CE617" s="11" t="n">
        <x:v>176919</x:v>
      </x:c>
      <x:c r="CF617" s="11" t="n">
        <x:v>0</x:v>
      </x:c>
      <x:c r="CG617" s="11" t="n">
        <x:v>0</x:v>
      </x:c>
      <x:c r="CH617" s="11" t="n">
        <x:v>378189</x:v>
      </x:c>
      <x:c r="CI617" s="11" t="n">
        <x:v>195375</x:v>
      </x:c>
      <x:c r="CJ617" s="11" t="n">
        <x:v>44476</x:v>
      </x:c>
      <x:c r="CK617" s="11" t="n">
        <x:v>98235</x:v>
      </x:c>
      <x:c r="CL617" s="11" t="n">
        <x:v>0</x:v>
      </x:c>
      <x:c r="CM617" s="11"/>
      <x:c r="CN617" s="11" t="n">
        <x:v>234407</x:v>
      </x:c>
      <x:c r="CO617" s="11" t="n">
        <x:v>0</x:v>
      </x:c>
      <x:c r="CP617" s="8"/>
      <x:c r="CQ617" s="8"/>
    </x:row>
    <x:row r="618">
      <x:c r="A618" s="8" t="str">
        <x:v>Port Alice|2021</x:v>
      </x:c>
      <x:c r="B618" s="8" t="str">
        <x:v>port-alice-v</x:v>
      </x:c>
      <x:c r="C618" s="8" t="str">
        <x:v>Port Alice</x:v>
      </x:c>
      <x:c r="D618" s="8" t="str">
        <x:v>Port Alice</x:v>
      </x:c>
      <x:c r="E618" s="8" t="str">
        <x:v>V</x:v>
      </x:c>
      <x:c r="F618" s="8" t="str">
        <x:v>MW</x:v>
      </x:c>
      <x:c r="G618" s="9" t="n">
        <x:v>2021</x:v>
      </x:c>
      <x:c r="H618" s="10" t="n">
        <x:v>707</x:v>
      </x:c>
      <x:c r="I618" s="8" t="str">
        <x:v>Under 5,000</x:v>
      </x:c>
      <x:c r="J618" s="11" t="n">
        <x:v>1576087</x:v>
      </x:c>
      <x:c r="K618" s="11" t="n">
        <x:v>1958813</x:v>
      </x:c>
      <x:c r="L618" s="11" t="n">
        <x:v>-382726</x:v>
      </x:c>
      <x:c r="M618" s="12" t="n">
        <x:v>-0.24283304157701954</x:v>
      </x:c>
      <x:c r="N618" s="11" t="n">
        <x:v>683004</x:v>
      </x:c>
      <x:c r="O618" s="11" t="n">
        <x:v>351602</x:v>
      </x:c>
      <x:c r="P618" s="11" t="n">
        <x:v>557415</x:v>
      </x:c>
      <x:c r="Q618" s="11" t="n">
        <x:v>-15934</x:v>
      </x:c>
      <x:c r="R618" s="11" t="n">
        <x:v>1516731</x:v>
      </x:c>
      <x:c r="S618" s="11" t="n">
        <x:v>426233</x:v>
      </x:c>
      <x:c r="T618" s="11" t="n">
        <x:v>4156937</x:v>
      </x:c>
      <x:c r="U618" s="11" t="n">
        <x:v>1019101</x:v>
      </x:c>
      <x:c r="V618" s="11" t="n">
        <x:v>3582239</x:v>
      </x:c>
      <x:c r="W618" s="11" t="n">
        <x:v>1545117</x:v>
      </x:c>
      <x:c r="X618" s="11" t="n">
        <x:v>447291</x:v>
      </x:c>
      <x:c r="Y618" s="11" t="n">
        <x:v>0</x:v>
      </x:c>
      <x:c r="Z618" s="11" t="n">
        <x:v>11959</x:v>
      </x:c>
      <x:c r="AA618" s="11" t="n">
        <x:v>429233</x:v>
      </x:c>
      <x:c r="AB618" s="11" t="n">
        <x:v>15849</x:v>
      </x:c>
      <x:c r="AC618" s="11" t="n">
        <x:v>27808</x:v>
      </x:c>
      <x:c r="AD618" s="11" t="n">
        <x:v>340409</x:v>
      </x:c>
      <x:c r="AE618" s="11" t="n">
        <x:v>312601</x:v>
      </x:c>
      <x:c r="AF618" s="11" t="n">
        <x:v>1361637</x:v>
      </x:c>
      <x:c r="AG618" s="11" t="n">
        <x:v>16878484</x:v>
      </x:c>
      <x:c r="AH618" s="11" t="n">
        <x:v>8183952</x:v>
      </x:c>
      <x:c r="AI618" s="11" t="n">
        <x:v>8694532</x:v>
      </x:c>
      <x:c r="AJ618" s="11" t="n">
        <x:v>111651</x:v>
      </x:c>
      <x:c r="AK618" s="11" t="n">
        <x:v>63360626</x:v>
      </x:c>
      <x:c r="AL618" s="11" t="n">
        <x:v>0</x:v>
      </x:c>
      <x:c r="AM618" s="12" t="n">
        <x:v>1</x:v>
      </x:c>
      <x:c r="AN618" s="12" t="n">
        <x:v>0.0017621511504636964</x:v>
      </x:c>
      <x:c r="AO618" s="11" t="n">
        <x:v>2970982</x:v>
      </x:c>
      <x:c r="AP618" s="11" t="n">
        <x:v>2810443</x:v>
      </x:c>
      <x:c r="AQ618" s="12" t="n">
        <x:v>0.9459643309855126</x:v>
      </x:c>
      <x:c r="AR618" s="11" t="n">
        <x:v>2229.2602545968884</x:v>
      </x:c>
      <x:c r="AS618" s="11" t="n">
        <x:v>2770.5983026874114</x:v>
      </x:c>
      <x:c r="AT618" s="11" t="n">
        <x:v>5066.81612446959</x:v>
      </x:c>
      <x:c r="AU618" s="11" t="n">
        <x:v>2185.4554455445545</x:v>
      </x:c>
      <x:c r="AV618" s="11" t="n">
        <x:v>607.1188118811881</x:v>
      </x:c>
      <x:c r="AW618" s="11" t="n">
        <x:v>4.079023570774634</x:v>
      </x:c>
      <x:c r="AX618" s="12" t="n">
        <x:v>0.9183100329309742</x:v>
      </x:c>
      <x:c r="AY618" s="11"/>
      <x:c r="AZ618" s="11"/>
      <x:c r="BA618" s="11"/>
      <x:c r="BB618" s="11"/>
      <x:c r="BC618" s="11"/>
      <x:c r="BD618" s="11"/>
      <x:c r="BE618" s="11"/>
      <x:c r="BF618" s="11"/>
      <x:c r="BG618" s="11"/>
      <x:c r="BH618" s="11"/>
      <x:c r="BI618" s="11"/>
      <x:c r="BJ618" s="11"/>
      <x:c r="BK618" s="12"/>
      <x:c r="BL618" s="12"/>
      <x:c r="BM618" s="12"/>
      <x:c r="BN618" s="12"/>
      <x:c r="BO618" s="12"/>
      <x:c r="BP618" s="12"/>
      <x:c r="BQ618" s="12"/>
      <x:c r="BR618" s="12"/>
      <x:c r="BS618" s="12"/>
      <x:c r="BT618" s="12"/>
      <x:c r="BU618" s="11" t="n">
        <x:v>0</x:v>
      </x:c>
      <x:c r="BV618" s="11" t="n">
        <x:v>387224</x:v>
      </x:c>
      <x:c r="BW618" s="11" t="n">
        <x:v>170191</x:v>
      </x:c>
      <x:c r="BX618" s="11" t="n">
        <x:v>10130</x:v>
      </x:c>
      <x:c r="BY618" s="11" t="n">
        <x:v>-26064</x:v>
      </x:c>
      <x:c r="BZ618" s="11" t="n">
        <x:v>0</x:v>
      </x:c>
      <x:c r="CA618" s="11" t="n">
        <x:v>0</x:v>
      </x:c>
      <x:c r="CB618" s="11" t="n">
        <x:v>0</x:v>
      </x:c>
      <x:c r="CC618" s="11" t="n">
        <x:v>514941</x:v>
      </x:c>
      <x:c r="CD618" s="11" t="n">
        <x:v>38508</x:v>
      </x:c>
      <x:c r="CE618" s="11" t="n">
        <x:v>176272</x:v>
      </x:c>
      <x:c r="CF618" s="11" t="n">
        <x:v>0</x:v>
      </x:c>
      <x:c r="CG618" s="11" t="n">
        <x:v>0</x:v>
      </x:c>
      <x:c r="CH618" s="11" t="n">
        <x:v>368991</x:v>
      </x:c>
      <x:c r="CI618" s="11" t="n">
        <x:v>234965</x:v>
      </x:c>
      <x:c r="CJ618" s="11" t="n">
        <x:v>57220</x:v>
      </x:c>
      <x:c r="CK618" s="11" t="n">
        <x:v>141683</x:v>
      </x:c>
      <x:c r="CL618" s="11" t="n">
        <x:v>0</x:v>
      </x:c>
      <x:c r="CM618" s="11"/>
      <x:c r="CN618" s="11" t="n">
        <x:v>0</x:v>
      </x:c>
      <x:c r="CO618" s="11" t="n">
        <x:v>0</x:v>
      </x:c>
      <x:c r="CP618" s="8"/>
      <x:c r="CQ618" s="8"/>
    </x:row>
    <x:row r="619">
      <x:c r="A619" s="8" t="str">
        <x:v>Port Alice|2022</x:v>
      </x:c>
      <x:c r="B619" s="8" t="str">
        <x:v>port-alice-v</x:v>
      </x:c>
      <x:c r="C619" s="8" t="str">
        <x:v>Port Alice</x:v>
      </x:c>
      <x:c r="D619" s="8" t="str">
        <x:v>Port Alice</x:v>
      </x:c>
      <x:c r="E619" s="8" t="str">
        <x:v>V</x:v>
      </x:c>
      <x:c r="F619" s="8" t="str">
        <x:v>MW</x:v>
      </x:c>
      <x:c r="G619" s="9" t="n">
        <x:v>2022</x:v>
      </x:c>
      <x:c r="H619" s="10" t="n">
        <x:v>266</x:v>
      </x:c>
      <x:c r="I619" s="8" t="str">
        <x:v>Under 5,000</x:v>
      </x:c>
      <x:c r="J619" s="11" t="n">
        <x:v>2176049</x:v>
      </x:c>
      <x:c r="K619" s="11" t="n">
        <x:v>2211235</x:v>
      </x:c>
      <x:c r="L619" s="11" t="n">
        <x:v>-35186</x:v>
      </x:c>
      <x:c r="M619" s="12" t="n">
        <x:v>-0.01616967264983463</x:v>
      </x:c>
      <x:c r="N619" s="11" t="n">
        <x:v>841576</x:v>
      </x:c>
      <x:c r="O619" s="11" t="n">
        <x:v>395735</x:v>
      </x:c>
      <x:c r="P619" s="11" t="n">
        <x:v>630890</x:v>
      </x:c>
      <x:c r="Q619" s="11" t="n">
        <x:v>307848</x:v>
      </x:c>
      <x:c r="R619" s="11" t="n">
        <x:v>1769386</x:v>
      </x:c>
      <x:c r="S619" s="11" t="n">
        <x:v>433029</x:v>
      </x:c>
      <x:c r="T619" s="11" t="n">
        <x:v>4145677</x:v>
      </x:c>
      <x:c r="U619" s="11" t="n">
        <x:v>975169</x:v>
      </x:c>
      <x:c r="V619" s="11" t="n">
        <x:v>3731489</x:v>
      </x:c>
      <x:c r="W619" s="11" t="n">
        <x:v>567917</x:v>
      </x:c>
      <x:c r="X619" s="11" t="n">
        <x:v>429233</x:v>
      </x:c>
      <x:c r="Y619" s="11" t="n">
        <x:v>0</x:v>
      </x:c>
      <x:c r="Z619" s="11" t="n">
        <x:v>16077</x:v>
      </x:c>
      <x:c r="AA619" s="11" t="n">
        <x:v>403953</x:v>
      </x:c>
      <x:c r="AB619" s="11" t="n">
        <x:v>8820</x:v>
      </x:c>
      <x:c r="AC619" s="11" t="n">
        <x:v>24897</x:v>
      </x:c>
      <x:c r="AD619" s="11" t="n">
        <x:v>434895</x:v>
      </x:c>
      <x:c r="AE619" s="11" t="n">
        <x:v>409998</x:v>
      </x:c>
      <x:c r="AF619" s="11" t="n">
        <x:v>1739581</x:v>
      </x:c>
      <x:c r="AG619" s="11" t="n">
        <x:v>17129424</x:v>
      </x:c>
      <x:c r="AH619" s="11" t="n">
        <x:v>8616981</x:v>
      </x:c>
      <x:c r="AI619" s="11" t="n">
        <x:v>8512443</x:v>
      </x:c>
      <x:c r="AJ619" s="11" t="n">
        <x:v>250940</x:v>
      </x:c>
      <x:c r="AK619" s="11" t="n">
        <x:v>63369064</x:v>
      </x:c>
      <x:c r="AL619" s="11" t="n">
        <x:v>0</x:v>
      </x:c>
      <x:c r="AM619" s="12" t="n">
        <x:v>1</x:v>
      </x:c>
      <x:c r="AN619" s="12" t="n">
        <x:v>0.0039599764326643675</x:v>
      </x:c>
      <x:c r="AO619" s="11" t="n">
        <x:v>3446708</x:v>
      </x:c>
      <x:c r="AP619" s="11" t="n">
        <x:v>3232105</x:v>
      </x:c>
      <x:c r="AQ619" s="12" t="n">
        <x:v>0.9377368201773982</x:v>
      </x:c>
      <x:c r="AR619" s="11" t="n">
        <x:v>8180.6353383458645</x:v>
      </x:c>
      <x:c r="AS619" s="11" t="n">
        <x:v>8312.913533834586</x:v>
      </x:c>
      <x:c r="AT619" s="11" t="n">
        <x:v>14028.154135338345</x:v>
      </x:c>
      <x:c r="AU619" s="11" t="n">
        <x:v>2135.0263157894738</x:v>
      </x:c>
      <x:c r="AV619" s="11" t="n">
        <x:v>1518.6203007518798</x:v>
      </x:c>
      <x:c r="AW619" s="11" t="n">
        <x:v>4.251239528738096</x:v>
      </x:c>
      <x:c r="AX619" s="12" t="n">
        <x:v>0.9427516986858897</x:v>
      </x:c>
      <x:c r="AY619" s="11"/>
      <x:c r="AZ619" s="11"/>
      <x:c r="BA619" s="11"/>
      <x:c r="BB619" s="11"/>
      <x:c r="BC619" s="11"/>
      <x:c r="BD619" s="11"/>
      <x:c r="BE619" s="11"/>
      <x:c r="BF619" s="11"/>
      <x:c r="BG619" s="11"/>
      <x:c r="BH619" s="11"/>
      <x:c r="BI619" s="11"/>
      <x:c r="BJ619" s="11"/>
      <x:c r="BK619" s="12"/>
      <x:c r="BL619" s="12"/>
      <x:c r="BM619" s="12"/>
      <x:c r="BN619" s="12"/>
      <x:c r="BO619" s="12"/>
      <x:c r="BP619" s="12"/>
      <x:c r="BQ619" s="12"/>
      <x:c r="BR619" s="12"/>
      <x:c r="BS619" s="12"/>
      <x:c r="BT619" s="12"/>
      <x:c r="BU619" s="11" t="n">
        <x:v>1160</x:v>
      </x:c>
      <x:c r="BV619" s="11" t="n">
        <x:v>475000</x:v>
      </x:c>
      <x:c r="BW619" s="11" t="n">
        <x:v>154730</x:v>
      </x:c>
      <x:c r="BX619" s="11" t="n">
        <x:v>81473</x:v>
      </x:c>
      <x:c r="BY619" s="11" t="n">
        <x:v>226375</x:v>
      </x:c>
      <x:c r="BZ619" s="11" t="n">
        <x:v>0</x:v>
      </x:c>
      <x:c r="CA619" s="11" t="n">
        <x:v>0</x:v>
      </x:c>
      <x:c r="CB619" s="11" t="n">
        <x:v>0</x:v>
      </x:c>
      <x:c r="CC619" s="11" t="n">
        <x:v>659489</x:v>
      </x:c>
      <x:c r="CD619" s="11" t="n">
        <x:v>82201</x:v>
      </x:c>
      <x:c r="CE619" s="11" t="n">
        <x:v>174438</x:v>
      </x:c>
      <x:c r="CF619" s="11" t="n">
        <x:v>0</x:v>
      </x:c>
      <x:c r="CG619" s="11" t="n">
        <x:v>0</x:v>
      </x:c>
      <x:c r="CH619" s="11" t="n">
        <x:v>407930</x:v>
      </x:c>
      <x:c r="CI619" s="11" t="n">
        <x:v>269371</x:v>
      </x:c>
      <x:c r="CJ619" s="11" t="n">
        <x:v>70028</x:v>
      </x:c>
      <x:c r="CK619" s="11" t="n">
        <x:v>114749</x:v>
      </x:c>
      <x:c r="CL619" s="11" t="n">
        <x:v>0</x:v>
      </x:c>
      <x:c r="CM619" s="11"/>
      <x:c r="CN619" s="11" t="n">
        <x:v>0</x:v>
      </x:c>
      <x:c r="CO619" s="11" t="n">
        <x:v>0</x:v>
      </x:c>
      <x:c r="CP619" s="8"/>
      <x:c r="CQ619" s="8"/>
    </x:row>
    <x:row r="620">
      <x:c r="A620" s="8" t="str">
        <x:v>Port Alice|2023</x:v>
      </x:c>
      <x:c r="B620" s="8" t="str">
        <x:v>port-alice-v</x:v>
      </x:c>
      <x:c r="C620" s="8" t="str">
        <x:v>Port Alice</x:v>
      </x:c>
      <x:c r="D620" s="8" t="str">
        <x:v>Port Alice</x:v>
      </x:c>
      <x:c r="E620" s="8" t="str">
        <x:v>V</x:v>
      </x:c>
      <x:c r="F620" s="8" t="str">
        <x:v>MW</x:v>
      </x:c>
      <x:c r="G620" s="9" t="n">
        <x:v>2023</x:v>
      </x:c>
      <x:c r="H620" s="10" t="n">
        <x:v>700</x:v>
      </x:c>
      <x:c r="I620" s="8" t="str">
        <x:v>Under 5,000</x:v>
      </x:c>
      <x:c r="J620" s="11" t="n">
        <x:v>3276493</x:v>
      </x:c>
      <x:c r="K620" s="11" t="n">
        <x:v>2680585</x:v>
      </x:c>
      <x:c r="L620" s="11" t="n">
        <x:v>595908</x:v>
      </x:c>
      <x:c r="M620" s="12" t="n">
        <x:v>0.18187372901452864</x:v>
      </x:c>
      <x:c r="N620" s="11" t="n">
        <x:v>1002252</x:v>
      </x:c>
      <x:c r="O620" s="11" t="n">
        <x:v>409097</x:v>
      </x:c>
      <x:c r="P620" s="11" t="n">
        <x:v>1601829</x:v>
      </x:c>
      <x:c r="Q620" s="11" t="n">
        <x:v>263315</x:v>
      </x:c>
      <x:c r="R620" s="11" t="n">
        <x:v>2136768</x:v>
      </x:c>
      <x:c r="S620" s="11" t="n">
        <x:v>534997</x:v>
      </x:c>
      <x:c r="T620" s="11" t="n">
        <x:v>5464941</x:v>
      </x:c>
      <x:c r="U620" s="11" t="n">
        <x:v>2148517</x:v>
      </x:c>
      <x:c r="V620" s="11" t="n">
        <x:v>3973179</x:v>
      </x:c>
      <x:c r="W620" s="11" t="n">
        <x:v>1331642</x:v>
      </x:c>
      <x:c r="X620" s="11" t="n">
        <x:v>403953</x:v>
      </x:c>
      <x:c r="Y620" s="11" t="n">
        <x:v>0</x:v>
      </x:c>
      <x:c r="Z620" s="11" t="n">
        <x:v>16077</x:v>
      </x:c>
      <x:c r="AA620" s="11" t="n">
        <x:v>381048</x:v>
      </x:c>
      <x:c r="AB620" s="11" t="n">
        <x:v>8820</x:v>
      </x:c>
      <x:c r="AC620" s="11" t="n">
        <x:v>24897</x:v>
      </x:c>
      <x:c r="AD620" s="11" t="n">
        <x:v>545433</x:v>
      </x:c>
      <x:c r="AE620" s="11" t="n">
        <x:v>520536</x:v>
      </x:c>
      <x:c r="AF620" s="11" t="n">
        <x:v>2181730</x:v>
      </x:c>
      <x:c r="AG620" s="11" t="n">
        <x:v>18001030</x:v>
      </x:c>
      <x:c r="AH620" s="11" t="n">
        <x:v>9136716</x:v>
      </x:c>
      <x:c r="AI620" s="11" t="n">
        <x:v>8864314</x:v>
      </x:c>
      <x:c r="AJ620" s="11" t="n">
        <x:v>358870</x:v>
      </x:c>
      <x:c r="AK620" s="11" t="n">
        <x:v>64183476</x:v>
      </x:c>
      <x:c r="AL620" s="11" t="n">
        <x:v>0</x:v>
      </x:c>
      <x:c r="AM620" s="12" t="n">
        <x:v>1</x:v>
      </x:c>
      <x:c r="AN620" s="12" t="n">
        <x:v>0.005591314499700827</x:v>
      </x:c>
      <x:c r="AO620" s="11" t="n">
        <x:v>3878329</x:v>
      </x:c>
      <x:c r="AP620" s="11" t="n">
        <x:v>987016</x:v>
      </x:c>
      <x:c r="AQ620" s="12" t="n">
        <x:v>0.2544951704716129</x:v>
      </x:c>
      <x:c r="AR620" s="11" t="n">
        <x:v>4680.704285714286</x:v>
      </x:c>
      <x:c r="AS620" s="11" t="n">
        <x:v>3829.407142857143</x:v>
      </x:c>
      <x:c r="AT620" s="11" t="n">
        <x:v>5675.97</x:v>
      </x:c>
      <x:c r="AU620" s="11" t="n">
        <x:v>1902.3457142857144</x:v>
      </x:c>
      <x:c r="AV620" s="11" t="n">
        <x:v>544.3542857142858</x:v>
      </x:c>
      <x:c r="AW620" s="11" t="n">
        <x:v>2.5435875071037373</x:v>
      </x:c>
      <x:c r="AX620" s="12" t="n">
        <x:v>0.9543536969710303</x:v>
      </x:c>
      <x:c r="AY620" s="11"/>
      <x:c r="AZ620" s="11"/>
      <x:c r="BA620" s="11"/>
      <x:c r="BB620" s="11"/>
      <x:c r="BC620" s="11"/>
      <x:c r="BD620" s="11"/>
      <x:c r="BE620" s="11"/>
      <x:c r="BF620" s="11"/>
      <x:c r="BG620" s="11"/>
      <x:c r="BH620" s="11"/>
      <x:c r="BI620" s="11"/>
      <x:c r="BJ620" s="11"/>
      <x:c r="BK620" s="12"/>
      <x:c r="BL620" s="12"/>
      <x:c r="BM620" s="12"/>
      <x:c r="BN620" s="12"/>
      <x:c r="BO620" s="12"/>
      <x:c r="BP620" s="12"/>
      <x:c r="BQ620" s="12"/>
      <x:c r="BR620" s="12"/>
      <x:c r="BS620" s="12"/>
      <x:c r="BT620" s="12"/>
      <x:c r="BU620" s="11" t="n">
        <x:v>1320</x:v>
      </x:c>
      <x:c r="BV620" s="11" t="n">
        <x:v>1600509</x:v>
      </x:c>
      <x:c r="BW620" s="11" t="n">
        <x:v>0</x:v>
      </x:c>
      <x:c r="BX620" s="11" t="n">
        <x:v>223209</x:v>
      </x:c>
      <x:c r="BY620" s="11" t="n">
        <x:v>30544</x:v>
      </x:c>
      <x:c r="BZ620" s="11" t="n">
        <x:v>0</x:v>
      </x:c>
      <x:c r="CA620" s="11" t="n">
        <x:v>9562</x:v>
      </x:c>
      <x:c r="CB620" s="11" t="n">
        <x:v>0</x:v>
      </x:c>
      <x:c r="CC620" s="11" t="n">
        <x:v>880619</x:v>
      </x:c>
      <x:c r="CD620" s="11" t="n">
        <x:v>100349</x:v>
      </x:c>
      <x:c r="CE620" s="11" t="n">
        <x:v>244107</x:v>
      </x:c>
      <x:c r="CF620" s="11" t="n">
        <x:v>0</x:v>
      </x:c>
      <x:c r="CG620" s="11" t="n">
        <x:v>0</x:v>
      </x:c>
      <x:c r="CH620" s="11" t="n">
        <x:v>407602</x:v>
      </x:c>
      <x:c r="CI620" s="11" t="n">
        <x:v>294595</x:v>
      </x:c>
      <x:c r="CJ620" s="11" t="n">
        <x:v>81074</x:v>
      </x:c>
      <x:c r="CK620" s="11" t="n">
        <x:v>137242</x:v>
      </x:c>
      <x:c r="CL620" s="11" t="n">
        <x:v>0</x:v>
      </x:c>
      <x:c r="CM620" s="11" t="n">
        <x:v>0</x:v>
      </x:c>
      <x:c r="CN620" s="11" t="n">
        <x:v>0</x:v>
      </x:c>
      <x:c r="CO620" s="11" t="n">
        <x:v>0</x:v>
      </x:c>
      <x:c r="CP620" s="8"/>
      <x:c r="CQ620" s="8"/>
    </x:row>
    <x:row r="621">
      <x:c r="A621" s="8" t="str">
        <x:v>Port Alice|2024</x:v>
      </x:c>
      <x:c r="B621" s="8" t="str">
        <x:v>port-alice-v</x:v>
      </x:c>
      <x:c r="C621" s="8" t="str">
        <x:v>Port Alice</x:v>
      </x:c>
      <x:c r="D621" s="8" t="str">
        <x:v>Port Alice</x:v>
      </x:c>
      <x:c r="E621" s="8" t="str">
        <x:v>V</x:v>
      </x:c>
      <x:c r="F621" s="8" t="str">
        <x:v>MW</x:v>
      </x:c>
      <x:c r="G621" s="9" t="n">
        <x:v>2024</x:v>
      </x:c>
      <x:c r="H621" s="10" t="n">
        <x:v>700</x:v>
      </x:c>
      <x:c r="I621" s="8" t="str">
        <x:v>Under 5,000</x:v>
      </x:c>
      <x:c r="J621" s="11" t="n">
        <x:v>2626085</x:v>
      </x:c>
      <x:c r="K621" s="11" t="n">
        <x:v>2739488</x:v>
      </x:c>
      <x:c r="L621" s="11" t="n">
        <x:v>-113403</x:v>
      </x:c>
      <x:c r="M621" s="12" t="n">
        <x:v>-0.043183293762387734</x:v>
      </x:c>
      <x:c r="N621" s="11" t="n">
        <x:v>1078631</x:v>
      </x:c>
      <x:c r="O621" s="11" t="n">
        <x:v>577640</x:v>
      </x:c>
      <x:c r="P621" s="11" t="n">
        <x:v>702919</x:v>
      </x:c>
      <x:c r="Q621" s="11" t="n">
        <x:v>266895</x:v>
      </x:c>
      <x:c r="R621" s="11" t="n">
        <x:v>2190705</x:v>
      </x:c>
      <x:c r="S621" s="11" t="n">
        <x:v>539963</x:v>
      </x:c>
      <x:c r="T621" s="11" t="n">
        <x:v>6200720</x:v>
      </x:c>
      <x:c r="U621" s="11" t="n">
        <x:v>2791268</x:v>
      </x:c>
      <x:c r="V621" s="11" t="n">
        <x:v>4106217</x:v>
      </x:c>
      <x:c r="W621" s="11" t="n">
        <x:v>2505661</x:v>
      </x:c>
      <x:c r="X621" s="11" t="n">
        <x:v>381048</x:v>
      </x:c>
      <x:c r="Y621" s="11" t="n">
        <x:v>0</x:v>
      </x:c>
      <x:c r="Z621" s="11" t="n">
        <x:v>16077</x:v>
      </x:c>
      <x:c r="AA621" s="11" t="n">
        <x:v>357341</x:v>
      </x:c>
      <x:c r="AB621" s="11" t="n">
        <x:v>8820</x:v>
      </x:c>
      <x:c r="AC621" s="11" t="n">
        <x:v>24897</x:v>
      </x:c>
      <x:c r="AD621" s="11" t="n">
        <x:v>593231</x:v>
      </x:c>
      <x:c r="AE621" s="11" t="n">
        <x:v>568334</x:v>
      </x:c>
      <x:c r="AF621" s="11" t="n">
        <x:v>2372924</x:v>
      </x:c>
      <x:c r="AG621" s="11" t="n">
        <x:v>18294552</x:v>
      </x:c>
      <x:c r="AH621" s="11" t="n">
        <x:v>9676679</x:v>
      </x:c>
      <x:c r="AI621" s="11" t="n">
        <x:v>8617873</x:v>
      </x:c>
      <x:c r="AJ621" s="11" t="n">
        <x:v>293522</x:v>
      </x:c>
      <x:c r="AK621" s="11" t="n">
        <x:v>65308147</x:v>
      </x:c>
      <x:c r="AL621" s="11" t="n">
        <x:v>9676679</x:v>
      </x:c>
      <x:c r="AM621" s="12" t="n">
        <x:v>0.8518304462075765</x:v>
      </x:c>
      <x:c r="AN621" s="12" t="n">
        <x:v>0.004494416293881374</x:v>
      </x:c>
      <x:c r="AO621" s="11" t="n">
        <x:v>4380319</x:v>
      </x:c>
      <x:c r="AP621" s="11" t="n">
        <x:v>1198547</x:v>
      </x:c>
      <x:c r="AQ621" s="12" t="n">
        <x:v>0.27362093947952193</x:v>
      </x:c>
      <x:c r="AR621" s="11" t="n">
        <x:v>3751.55</x:v>
      </x:c>
      <x:c r="AS621" s="11" t="n">
        <x:v>3913.554285714286</x:v>
      </x:c>
      <x:c r="AT621" s="11" t="n">
        <x:v>5866.024285714286</x:v>
      </x:c>
      <x:c r="AU621" s="11" t="n">
        <x:v>3579.5157142857142</x:v>
      </x:c>
      <x:c r="AV621" s="11" t="n">
        <x:v>510.4871428571429</x:v>
      </x:c>
      <x:c r="AW621" s="11" t="n">
        <x:v>2.2214706721103097</x:v>
      </x:c>
      <x:c r="AX621" s="12" t="n">
        <x:v>0.9580315256620102</x:v>
      </x:c>
      <x:c r="AY621" s="11" t="n">
        <x:v>4648.097865362712</x:v>
      </x:c>
      <x:c r="AZ621" s="11" t="n">
        <x:v>3546.5079302077975</x:v>
      </x:c>
      <x:c r="BA621" s="11" t="n">
        <x:v>3428.422456291105</x:v>
      </x:c>
      <x:c r="BB621" s="11" t="n">
        <x:v>2783.665107049771</x:v>
      </x:c>
      <x:c r="BC621" s="11" t="n">
        <x:v>5030.364110900993</x:v>
      </x:c>
      <x:c r="BD621" s="11" t="n">
        <x:v>2437.8724475115623</x:v>
      </x:c>
      <x:c r="BE621" s="11" t="n">
        <x:v>2420.45</x:v>
      </x:c>
      <x:c r="BF621" s="11" t="n">
        <x:v>1604.3462673977224</x:v>
      </x:c>
      <x:c r="BG621" s="11" t="n">
        <x:v>224.31236112962716</x:v>
      </x:c>
      <x:c r="BH621" s="11" t="n">
        <x:v>518.5374381567245</x:v>
      </x:c>
      <x:c r="BI621" s="11" t="n">
        <x:v>2.204313821553219</x:v>
      </x:c>
      <x:c r="BJ621" s="11" t="n">
        <x:v>1.7099330852451193</x:v>
      </x:c>
      <x:c r="BK621" s="12" t="n">
        <x:v>0.030042455998363887</x:v>
      </x:c>
      <x:c r="BL621" s="12" t="n">
        <x:v>0.02529861000232605</x:v>
      </x:c>
      <x:c r="BM621" s="12" t="n">
        <x:v>0.9786113537119745</x:v>
      </x:c>
      <x:c r="BN621" s="12" t="n">
        <x:v>0.9815511712696461</x:v>
      </x:c>
      <x:c r="BO621" s="12" t="n">
        <x:v>0.9039920521842442</x:v>
      </x:c>
      <x:c r="BP621" s="12" t="n">
        <x:v>0.8619101997275483</x:v>
      </x:c>
      <x:c r="BQ621" s="12" t="n">
        <x:v>0.9333160528846489</x:v>
      </x:c>
      <x:c r="BR621" s="12" t="n">
        <x:v>0.9623635142836453</x:v>
      </x:c>
      <x:c r="BS621" s="12" t="n">
        <x:v>0.20869205825466772</x:v>
      </x:c>
      <x:c r="BT621" s="12" t="n">
        <x:v>0.19976549769108282</x:v>
      </x:c>
      <x:c r="BU621" s="11" t="n">
        <x:v>31204</x:v>
      </x:c>
      <x:c r="BV621" s="11" t="n">
        <x:v>671715</x:v>
      </x:c>
      <x:c r="BW621" s="11" t="n">
        <x:v>0</x:v>
      </x:c>
      <x:c r="BX621" s="11" t="n">
        <x:v>272083</x:v>
      </x:c>
      <x:c r="BY621" s="11" t="n">
        <x:v>-5188</x:v>
      </x:c>
      <x:c r="BZ621" s="11" t="n">
        <x:v>0</x:v>
      </x:c>
      <x:c r="CA621" s="11" t="n">
        <x:v>0</x:v>
      </x:c>
      <x:c r="CB621" s="11" t="n">
        <x:v>0</x:v>
      </x:c>
      <x:c r="CC621" s="11" t="n">
        <x:v>855023</x:v>
      </x:c>
      <x:c r="CD621" s="11" t="n">
        <x:v>86556</x:v>
      </x:c>
      <x:c r="CE621" s="11" t="n">
        <x:v>315043</x:v>
      </x:c>
      <x:c r="CF621" s="11" t="n">
        <x:v>0</x:v>
      </x:c>
      <x:c r="CG621" s="11" t="n">
        <x:v>0</x:v>
      </x:c>
      <x:c r="CH621" s="11" t="n">
        <x:v>456729</x:v>
      </x:c>
      <x:c r="CI621" s="11" t="n">
        <x:v>302468</x:v>
      </x:c>
      <x:c r="CJ621" s="11" t="n">
        <x:v>51245</x:v>
      </x:c>
      <x:c r="CK621" s="11" t="n">
        <x:v>132461</x:v>
      </x:c>
      <x:c r="CL621" s="11" t="n">
        <x:v>0</x:v>
      </x:c>
      <x:c r="CM621" s="11" t="n">
        <x:v>0</x:v>
      </x:c>
      <x:c r="CN621" s="11" t="n">
        <x:v>0</x:v>
      </x:c>
      <x:c r="CO621" s="11" t="n">
        <x:v>0</x:v>
      </x:c>
      <x:c r="CP621" s="8"/>
      <x:c r="CQ621" s="8"/>
    </x:row>
    <x:row r="622">
      <x:c r="A622" s="8" t="str">
        <x:v>Port Clements|2019</x:v>
      </x:c>
      <x:c r="B622" s="8" t="str">
        <x:v>port-clements-v</x:v>
      </x:c>
      <x:c r="C622" s="8" t="str">
        <x:v>Port Clements</x:v>
      </x:c>
      <x:c r="D622" s="8" t="str">
        <x:v>Port Clements</x:v>
      </x:c>
      <x:c r="E622" s="8" t="str">
        <x:v>V</x:v>
      </x:c>
      <x:c r="F622" s="8" t="str">
        <x:v>SKQ</x:v>
      </x:c>
      <x:c r="G622" s="9" t="n">
        <x:v>2019</x:v>
      </x:c>
      <x:c r="H622" s="10" t="n">
        <x:v>274</x:v>
      </x:c>
      <x:c r="I622" s="8" t="str">
        <x:v>Under 5,000</x:v>
      </x:c>
      <x:c r="J622" s="11" t="n">
        <x:v>3215546</x:v>
      </x:c>
      <x:c r="K622" s="11" t="n">
        <x:v>4495488</x:v>
      </x:c>
      <x:c r="L622" s="11" t="n">
        <x:v>-1279942</x:v>
      </x:c>
      <x:c r="M622" s="12" t="n">
        <x:v>-0.39804810753756903</x:v>
      </x:c>
      <x:c r="N622" s="11" t="n">
        <x:v>237589</x:v>
      </x:c>
      <x:c r="O622" s="11" t="n">
        <x:v>96926</x:v>
      </x:c>
      <x:c r="P622" s="11" t="n">
        <x:v>2624345</x:v>
      </x:c>
      <x:c r="Q622" s="11" t="n">
        <x:v>256686</x:v>
      </x:c>
      <x:c r="R622" s="11" t="n">
        <x:v>4341617</x:v>
      </x:c>
      <x:c r="S622" s="11" t="n">
        <x:v>153871</x:v>
      </x:c>
      <x:c r="T622" s="11" t="n">
        <x:v>5157756</x:v>
      </x:c>
      <x:c r="U622" s="11" t="n">
        <x:v>3669929</x:v>
      </x:c>
      <x:c r="V622" s="11" t="n">
        <x:v>1635530</x:v>
      </x:c>
      <x:c r="W622" s="11" t="n">
        <x:v>2133790</x:v>
      </x:c>
      <x:c r="X622" s="11" t="n">
        <x:v>0</x:v>
      </x:c>
      <x:c r="Y622" s="11" t="n">
        <x:v>0</x:v>
      </x:c>
      <x:c r="Z622" s="11" t="n">
        <x:v>0</x:v>
      </x:c>
      <x:c r="AA622" s="11" t="n">
        <x:v>0</x:v>
      </x:c>
      <x:c r="AB622" s="11" t="n">
        <x:v>0</x:v>
      </x:c>
      <x:c r="AC622" s="11" t="n">
        <x:v>0</x:v>
      </x:c>
      <x:c r="AD622" s="11" t="n">
        <x:v>251028</x:v>
      </x:c>
      <x:c r="AE622" s="11" t="n">
        <x:v>251028</x:v>
      </x:c>
      <x:c r="AF622" s="11" t="n">
        <x:v>1004111</x:v>
      </x:c>
      <x:c r="AG622" s="11" t="n">
        <x:v>10953873</x:v>
      </x:c>
      <x:c r="AH622" s="11" t="n">
        <x:v>2344007</x:v>
      </x:c>
      <x:c r="AI622" s="11" t="n">
        <x:v>8609866</x:v>
      </x:c>
      <x:c r="AJ622" s="11" t="n">
        <x:v>274521</x:v>
      </x:c>
      <x:c r="AK622" s="11" t="n">
        <x:v>65982958</x:v>
      </x:c>
      <x:c r="AL622" s="11" t="n">
        <x:v>1445467</x:v>
      </x:c>
      <x:c r="AM622" s="12" t="n">
        <x:v>0.9780933282803114</x:v>
      </x:c>
      <x:c r="AN622" s="12" t="n">
        <x:v>0.0041604833781474304</x:v>
      </x:c>
      <x:c r="AO622" s="11" t="n">
        <x:v>495020</x:v>
      </x:c>
      <x:c r="AP622" s="11" t="n">
        <x:v>455777</x:v>
      </x:c>
      <x:c r="AQ622" s="12" t="n">
        <x:v>0.9207244151751445</x:v>
      </x:c>
      <x:c r="AR622" s="11" t="n">
        <x:v>11735.569343065694</x:v>
      </x:c>
      <x:c r="AS622" s="11" t="n">
        <x:v>16406.890510948906</x:v>
      </x:c>
      <x:c r="AT622" s="11" t="n">
        <x:v>5969.087591240876</x:v>
      </x:c>
      <x:c r="AU622" s="11" t="n">
        <x:v>7787.554744525547</x:v>
      </x:c>
      <x:c r="AV622" s="11" t="n">
        <x:v>0</x:v>
      </x:c>
      <x:c r="AW622" s="11" t="n">
        <x:v>1.405410295403535</x:v>
      </x:c>
      <x:c r="AX622" s="12" t="n">
        <x:v>1</x:v>
      </x:c>
      <x:c r="AY622" s="11"/>
      <x:c r="AZ622" s="11"/>
      <x:c r="BA622" s="11"/>
      <x:c r="BB622" s="11"/>
      <x:c r="BC622" s="11"/>
      <x:c r="BD622" s="11"/>
      <x:c r="BE622" s="11"/>
      <x:c r="BF622" s="11"/>
      <x:c r="BG622" s="11"/>
      <x:c r="BH622" s="11"/>
      <x:c r="BI622" s="11"/>
      <x:c r="BJ622" s="11"/>
      <x:c r="BK622" s="12"/>
      <x:c r="BL622" s="12"/>
      <x:c r="BM622" s="12"/>
      <x:c r="BN622" s="12"/>
      <x:c r="BO622" s="12"/>
      <x:c r="BP622" s="12"/>
      <x:c r="BQ622" s="12"/>
      <x:c r="BR622" s="12"/>
      <x:c r="BS622" s="12"/>
      <x:c r="BT622" s="12"/>
      <x:c r="BU622" s="11" t="n">
        <x:v>0</x:v>
      </x:c>
      <x:c r="BV622" s="11" t="n">
        <x:v>2515858</x:v>
      </x:c>
      <x:c r="BW622" s="11" t="n">
        <x:v>108487</x:v>
      </x:c>
      <x:c r="BX622" s="11" t="n">
        <x:v>83378</x:v>
      </x:c>
      <x:c r="BY622" s="11" t="n">
        <x:v>0</x:v>
      </x:c>
      <x:c r="BZ622" s="11" t="n">
        <x:v>0</x:v>
      </x:c>
      <x:c r="CA622" s="11" t="n">
        <x:v>0</x:v>
      </x:c>
      <x:c r="CB622" s="11" t="n">
        <x:v>173308</x:v>
      </x:c>
      <x:c r="CC622" s="11" t="n">
        <x:v>296312</x:v>
      </x:c>
      <x:c r="CD622" s="11" t="n">
        <x:v>43914</x:v>
      </x:c>
      <x:c r="CE622" s="11" t="n">
        <x:v>0</x:v>
      </x:c>
      <x:c r="CF622" s="11" t="n">
        <x:v>8114</x:v>
      </x:c>
      <x:c r="CG622" s="11" t="n">
        <x:v>134478</x:v>
      </x:c>
      <x:c r="CH622" s="11" t="n">
        <x:v>47628</x:v>
      </x:c>
      <x:c r="CI622" s="11" t="n">
        <x:v>81355</x:v>
      </x:c>
      <x:c r="CJ622" s="11" t="n">
        <x:v>94398</x:v>
      </x:c>
      <x:c r="CK622" s="11" t="n">
        <x:v>55020</x:v>
      </x:c>
      <x:c r="CL622" s="11" t="n">
        <x:v>124138</x:v>
      </x:c>
      <x:c r="CM622" s="11"/>
      <x:c r="CN622" s="11" t="n">
        <x:v>0</x:v>
      </x:c>
      <x:c r="CO622" s="11" t="n">
        <x:v>3456260</x:v>
      </x:c>
      <x:c r="CP622" s="8"/>
      <x:c r="CQ622" s="8"/>
    </x:row>
    <x:row r="623">
      <x:c r="A623" s="8" t="str">
        <x:v>Port Clements|2020</x:v>
      </x:c>
      <x:c r="B623" s="8" t="str">
        <x:v>port-clements-v</x:v>
      </x:c>
      <x:c r="C623" s="8" t="str">
        <x:v>Port Clements</x:v>
      </x:c>
      <x:c r="D623" s="8" t="str">
        <x:v>Port Clements</x:v>
      </x:c>
      <x:c r="E623" s="8" t="str">
        <x:v>V</x:v>
      </x:c>
      <x:c r="F623" s="8" t="str">
        <x:v>SKQ</x:v>
      </x:c>
      <x:c r="G623" s="9" t="n">
        <x:v>2020</x:v>
      </x:c>
      <x:c r="H623" s="10" t="n">
        <x:v>286</x:v>
      </x:c>
      <x:c r="I623" s="8" t="str">
        <x:v>Under 5,000</x:v>
      </x:c>
      <x:c r="J623" s="11" t="n">
        <x:v>2186432</x:v>
      </x:c>
      <x:c r="K623" s="11" t="n">
        <x:v>1393774</x:v>
      </x:c>
      <x:c r="L623" s="11" t="n">
        <x:v>792658</x:v>
      </x:c>
      <x:c r="M623" s="12" t="n">
        <x:v>0.3625349427743465</x:v>
      </x:c>
      <x:c r="N623" s="11" t="n">
        <x:v>214866</x:v>
      </x:c>
      <x:c r="O623" s="11" t="n">
        <x:v>178859</x:v>
      </x:c>
      <x:c r="P623" s="11" t="n">
        <x:v>1626128</x:v>
      </x:c>
      <x:c r="Q623" s="11" t="n">
        <x:v>166579</x:v>
      </x:c>
      <x:c r="R623" s="11" t="n">
        <x:v>1235012</x:v>
      </x:c>
      <x:c r="S623" s="11" t="n">
        <x:v>158762</x:v>
      </x:c>
      <x:c r="T623" s="11" t="n">
        <x:v>5921245</x:v>
      </x:c>
      <x:c r="U623" s="11" t="n">
        <x:v>3910218</x:v>
      </x:c>
      <x:c r="V623" s="11" t="n">
        <x:v>2297389</x:v>
      </x:c>
      <x:c r="W623" s="11" t="n">
        <x:v>-217380</x:v>
      </x:c>
      <x:c r="X623" s="11" t="n">
        <x:v>0</x:v>
      </x:c>
      <x:c r="Y623" s="11" t="n">
        <x:v>0</x:v>
      </x:c>
      <x:c r="Z623" s="11" t="n">
        <x:v>0</x:v>
      </x:c>
      <x:c r="AA623" s="11" t="n">
        <x:v>0</x:v>
      </x:c>
      <x:c r="AB623" s="11" t="n">
        <x:v>0</x:v>
      </x:c>
      <x:c r="AC623" s="11" t="n">
        <x:v>0</x:v>
      </x:c>
      <x:c r="AD623" s="11" t="n">
        <x:v>240669</x:v>
      </x:c>
      <x:c r="AE623" s="11" t="n">
        <x:v>240669</x:v>
      </x:c>
      <x:c r="AF623" s="11" t="n">
        <x:v>962674</x:v>
      </x:c>
      <x:c r="AG623" s="11" t="n">
        <x:v>11276481</x:v>
      </x:c>
      <x:c r="AH623" s="11" t="n">
        <x:v>2502769</x:v>
      </x:c>
      <x:c r="AI623" s="11" t="n">
        <x:v>8773712</x:v>
      </x:c>
      <x:c r="AJ623" s="11" t="n">
        <x:v>322608</x:v>
      </x:c>
      <x:c r="AK623" s="11" t="n">
        <x:v>466958</x:v>
      </x:c>
      <x:c r="AL623" s="11" t="n">
        <x:v>0</x:v>
      </x:c>
      <x:c r="AM623" s="12" t="n">
        <x:v>1</x:v>
      </x:c>
      <x:c r="AN623" s="12" t="n">
        <x:v>0.6908715559001024</x:v>
      </x:c>
      <x:c r="AO623" s="11" t="n">
        <x:v>426975</x:v>
      </x:c>
      <x:c r="AP623" s="11" t="n">
        <x:v>385533</x:v>
      </x:c>
      <x:c r="AQ623" s="12" t="n">
        <x:v>0.9029404531881258</x:v>
      </x:c>
      <x:c r="AR623" s="11" t="n">
        <x:v>7644.867132867133</x:v>
      </x:c>
      <x:c r="AS623" s="11" t="n">
        <x:v>4873.335664335665</x:v>
      </x:c>
      <x:c r="AT623" s="11" t="n">
        <x:v>8032.828671328672</x:v>
      </x:c>
      <x:c r="AU623" s="11" t="n">
        <x:v>-760.06993006993</x:v>
      </x:c>
      <x:c r="AV623" s="11" t="n">
        <x:v>0</x:v>
      </x:c>
      <x:c r="AW623" s="11" t="n">
        <x:v>1.5143004814565326</x:v>
      </x:c>
      <x:c r="AX623" s="12" t="n">
        <x:v>1</x:v>
      </x:c>
      <x:c r="AY623" s="11"/>
      <x:c r="AZ623" s="11"/>
      <x:c r="BA623" s="11"/>
      <x:c r="BB623" s="11"/>
      <x:c r="BC623" s="11"/>
      <x:c r="BD623" s="11"/>
      <x:c r="BE623" s="11"/>
      <x:c r="BF623" s="11"/>
      <x:c r="BG623" s="11"/>
      <x:c r="BH623" s="11"/>
      <x:c r="BI623" s="11"/>
      <x:c r="BJ623" s="11"/>
      <x:c r="BK623" s="12"/>
      <x:c r="BL623" s="12"/>
      <x:c r="BM623" s="12"/>
      <x:c r="BN623" s="12"/>
      <x:c r="BO623" s="12"/>
      <x:c r="BP623" s="12"/>
      <x:c r="BQ623" s="12"/>
      <x:c r="BR623" s="12"/>
      <x:c r="BS623" s="12"/>
      <x:c r="BT623" s="12"/>
      <x:c r="BU623" s="11" t="n">
        <x:v>0</x:v>
      </x:c>
      <x:c r="BV623" s="11" t="n">
        <x:v>1626128</x:v>
      </x:c>
      <x:c r="BW623" s="11" t="n">
        <x:v>0</x:v>
      </x:c>
      <x:c r="BX623" s="11" t="n">
        <x:v>142970</x:v>
      </x:c>
      <x:c r="BY623" s="11" t="n">
        <x:v>0</x:v>
      </x:c>
      <x:c r="BZ623" s="11" t="n">
        <x:v>6750</x:v>
      </x:c>
      <x:c r="CA623" s="11" t="n">
        <x:v>16859</x:v>
      </x:c>
      <x:c r="CB623" s="11" t="n">
        <x:v>0</x:v>
      </x:c>
      <x:c r="CC623" s="11" t="n">
        <x:v>404929</x:v>
      </x:c>
      <x:c r="CD623" s="11" t="n">
        <x:v>42274</x:v>
      </x:c>
      <x:c r="CE623" s="11" t="n">
        <x:v>0</x:v>
      </x:c>
      <x:c r="CF623" s="11" t="n">
        <x:v>3376</x:v>
      </x:c>
      <x:c r="CG623" s="11" t="n">
        <x:v>108828</x:v>
      </x:c>
      <x:c r="CH623" s="11" t="n">
        <x:v>374257</x:v>
      </x:c>
      <x:c r="CI623" s="11" t="n">
        <x:v>93662</x:v>
      </x:c>
      <x:c r="CJ623" s="11" t="n">
        <x:v>77303</x:v>
      </x:c>
      <x:c r="CK623" s="11" t="n">
        <x:v>38495</x:v>
      </x:c>
      <x:c r="CL623" s="11" t="n">
        <x:v>91888</x:v>
      </x:c>
      <x:c r="CM623" s="11"/>
      <x:c r="CN623" s="11" t="n">
        <x:v>0</x:v>
      </x:c>
      <x:c r="CO623" s="11" t="n">
        <x:v>0</x:v>
      </x:c>
      <x:c r="CP623" s="8"/>
      <x:c r="CQ623" s="8"/>
    </x:row>
    <x:row r="624">
      <x:c r="A624" s="8" t="str">
        <x:v>Port Clements|2021</x:v>
      </x:c>
      <x:c r="B624" s="8" t="str">
        <x:v>port-clements-v</x:v>
      </x:c>
      <x:c r="C624" s="8" t="str">
        <x:v>Port Clements</x:v>
      </x:c>
      <x:c r="D624" s="8" t="str">
        <x:v>Port Clements</x:v>
      </x:c>
      <x:c r="E624" s="8" t="str">
        <x:v>V</x:v>
      </x:c>
      <x:c r="F624" s="8" t="str">
        <x:v>NCRD</x:v>
      </x:c>
      <x:c r="G624" s="9" t="n">
        <x:v>2021</x:v>
      </x:c>
      <x:c r="H624" s="10" t="n">
        <x:v>275</x:v>
      </x:c>
      <x:c r="I624" s="8" t="str">
        <x:v>Under 5,000</x:v>
      </x:c>
      <x:c r="J624" s="11" t="n">
        <x:v>1356162</x:v>
      </x:c>
      <x:c r="K624" s="11" t="n">
        <x:v>1178129</x:v>
      </x:c>
      <x:c r="L624" s="11" t="n">
        <x:v>178033</x:v>
      </x:c>
      <x:c r="M624" s="12" t="n">
        <x:v>0.13127708931528828</x:v>
      </x:c>
      <x:c r="N624" s="11" t="n">
        <x:v>219386</x:v>
      </x:c>
      <x:c r="O624" s="11" t="n">
        <x:v>172912</x:v>
      </x:c>
      <x:c r="P624" s="11" t="n">
        <x:v>887792</x:v>
      </x:c>
      <x:c r="Q624" s="11" t="n">
        <x:v>76072</x:v>
      </x:c>
      <x:c r="R624" s="11" t="n">
        <x:v>1010954</x:v>
      </x:c>
      <x:c r="S624" s="11" t="n">
        <x:v>167175</x:v>
      </x:c>
      <x:c r="T624" s="11" t="n">
        <x:v>6175484</x:v>
      </x:c>
      <x:c r="U624" s="11" t="n">
        <x:v>3908225</x:v>
      </x:c>
      <x:c r="V624" s="11" t="n">
        <x:v>2399370</x:v>
      </x:c>
      <x:c r="W624" s="11" t="n">
        <x:v>-237634</x:v>
      </x:c>
      <x:c r="X624" s="11" t="n">
        <x:v>0</x:v>
      </x:c>
      <x:c r="Y624" s="11" t="n">
        <x:v>0</x:v>
      </x:c>
      <x:c r="Z624" s="11" t="n">
        <x:v>0</x:v>
      </x:c>
      <x:c r="AA624" s="11" t="n">
        <x:v>0</x:v>
      </x:c>
      <x:c r="AB624" s="11" t="n">
        <x:v>0</x:v>
      </x:c>
      <x:c r="AC624" s="11" t="n">
        <x:v>0</x:v>
      </x:c>
      <x:c r="AD624" s="11" t="n">
        <x:v>205999</x:v>
      </x:c>
      <x:c r="AE624" s="11" t="n">
        <x:v>205999</x:v>
      </x:c>
      <x:c r="AF624" s="11" t="n">
        <x:v>823994</x:v>
      </x:c>
      <x:c r="AG624" s="11" t="n">
        <x:v>11329373</x:v>
      </x:c>
      <x:c r="AH624" s="11" t="n">
        <x:v>2632086</x:v>
      </x:c>
      <x:c r="AI624" s="11" t="n">
        <x:v>8697287</x:v>
      </x:c>
      <x:c r="AJ624" s="11" t="n">
        <x:v>91746</x:v>
      </x:c>
      <x:c r="AK624" s="11" t="n">
        <x:v>466958</x:v>
      </x:c>
      <x:c r="AL624" s="11" t="n">
        <x:v>0</x:v>
      </x:c>
      <x:c r="AM624" s="12" t="n">
        <x:v>1</x:v>
      </x:c>
      <x:c r="AN624" s="12" t="n">
        <x:v>0.19647591432205894</x:v>
      </x:c>
      <x:c r="AO624" s="11" t="n">
        <x:v>415363</x:v>
      </x:c>
      <x:c r="AP624" s="11" t="n">
        <x:v>371510</x:v>
      </x:c>
      <x:c r="AQ624" s="12" t="n">
        <x:v>0.8944224690210731</x:v>
      </x:c>
      <x:c r="AR624" s="11" t="n">
        <x:v>4931.498181818181</x:v>
      </x:c>
      <x:c r="AS624" s="11" t="n">
        <x:v>4284.105454545454</x:v>
      </x:c>
      <x:c r="AT624" s="11" t="n">
        <x:v>8724.981818181817</x:v>
      </x:c>
      <x:c r="AU624" s="11" t="n">
        <x:v>-864.1236363636364</x:v>
      </x:c>
      <x:c r="AV624" s="11" t="n">
        <x:v>0</x:v>
      </x:c>
      <x:c r="AW624" s="11" t="n">
        <x:v>1.5801249928036385</x:v>
      </x:c>
      <x:c r="AX624" s="12" t="n">
        <x:v>1</x:v>
      </x:c>
      <x:c r="AY624" s="11"/>
      <x:c r="AZ624" s="11"/>
      <x:c r="BA624" s="11"/>
      <x:c r="BB624" s="11"/>
      <x:c r="BC624" s="11"/>
      <x:c r="BD624" s="11"/>
      <x:c r="BE624" s="11"/>
      <x:c r="BF624" s="11"/>
      <x:c r="BG624" s="11"/>
      <x:c r="BH624" s="11"/>
      <x:c r="BI624" s="11"/>
      <x:c r="BJ624" s="11"/>
      <x:c r="BK624" s="12"/>
      <x:c r="BL624" s="12"/>
      <x:c r="BM624" s="12"/>
      <x:c r="BN624" s="12"/>
      <x:c r="BO624" s="12"/>
      <x:c r="BP624" s="12"/>
      <x:c r="BQ624" s="12"/>
      <x:c r="BR624" s="12"/>
      <x:c r="BS624" s="12"/>
      <x:c r="BT624" s="12"/>
      <x:c r="BU624" s="11" t="n">
        <x:v>0</x:v>
      </x:c>
      <x:c r="BV624" s="11" t="n">
        <x:v>887792</x:v>
      </x:c>
      <x:c r="BW624" s="11" t="n">
        <x:v>0</x:v>
      </x:c>
      <x:c r="BX624" s="11" t="n">
        <x:v>41862</x:v>
      </x:c>
      <x:c r="BY624" s="11" t="n">
        <x:v>0</x:v>
      </x:c>
      <x:c r="BZ624" s="11" t="n">
        <x:v>6886</x:v>
      </x:c>
      <x:c r="CA624" s="11" t="n">
        <x:v>27324</x:v>
      </x:c>
      <x:c r="CB624" s="11" t="n">
        <x:v>0</x:v>
      </x:c>
      <x:c r="CC624" s="11" t="n">
        <x:v>336301</x:v>
      </x:c>
      <x:c r="CD624" s="11" t="n">
        <x:v>53178</x:v>
      </x:c>
      <x:c r="CE624" s="11" t="n">
        <x:v>0</x:v>
      </x:c>
      <x:c r="CF624" s="11" t="n">
        <x:v>0</x:v>
      </x:c>
      <x:c r="CG624" s="11" t="n">
        <x:v>242320</x:v>
      </x:c>
      <x:c r="CH624" s="11" t="n">
        <x:v>65546</x:v>
      </x:c>
      <x:c r="CI624" s="11" t="n">
        <x:v>67198</x:v>
      </x:c>
      <x:c r="CJ624" s="11" t="n">
        <x:v>69175</x:v>
      </x:c>
      <x:c r="CK624" s="11" t="n">
        <x:v>71725</x:v>
      </x:c>
      <x:c r="CL624" s="11" t="n">
        <x:v>105511</x:v>
      </x:c>
      <x:c r="CM624" s="11"/>
      <x:c r="CN624" s="11" t="n">
        <x:v>0</x:v>
      </x:c>
      <x:c r="CO624" s="11" t="n">
        <x:v>0</x:v>
      </x:c>
      <x:c r="CP624" s="8"/>
      <x:c r="CQ624" s="8"/>
    </x:row>
    <x:row r="625">
      <x:c r="A625" s="8" t="str">
        <x:v>Port Clements|2022</x:v>
      </x:c>
      <x:c r="B625" s="8" t="str">
        <x:v>port-clements-v</x:v>
      </x:c>
      <x:c r="C625" s="8" t="str">
        <x:v>Port Clements</x:v>
      </x:c>
      <x:c r="D625" s="8" t="str">
        <x:v>Port Clements</x:v>
      </x:c>
      <x:c r="E625" s="8" t="str">
        <x:v>V</x:v>
      </x:c>
      <x:c r="F625" s="8" t="str">
        <x:v>NCRD</x:v>
      </x:c>
      <x:c r="G625" s="9" t="n">
        <x:v>2022</x:v>
      </x:c>
      <x:c r="H625" s="10" t="n">
        <x:v>65246</x:v>
      </x:c>
      <x:c r="I625" s="8" t="str">
        <x:v>20,000 to 99,999</x:v>
      </x:c>
      <x:c r="J625" s="11" t="n">
        <x:v>1582863</x:v>
      </x:c>
      <x:c r="K625" s="11" t="n">
        <x:v>2570135</x:v>
      </x:c>
      <x:c r="L625" s="11" t="n">
        <x:v>-987272</x:v>
      </x:c>
      <x:c r="M625" s="12" t="n">
        <x:v>-0.623725489824451</x:v>
      </x:c>
      <x:c r="N625" s="11" t="n">
        <x:v>243182</x:v>
      </x:c>
      <x:c r="O625" s="11" t="n">
        <x:v>233730</x:v>
      </x:c>
      <x:c r="P625" s="11" t="n">
        <x:v>823569</x:v>
      </x:c>
      <x:c r="Q625" s="11" t="n">
        <x:v>282382</x:v>
      </x:c>
      <x:c r="R625" s="11" t="n">
        <x:v>2431731</x:v>
      </x:c>
      <x:c r="S625" s="11" t="n">
        <x:v>138404</x:v>
      </x:c>
      <x:c r="T625" s="11" t="n">
        <x:v>6557835</x:v>
      </x:c>
      <x:c r="U625" s="11" t="n">
        <x:v>5300096</x:v>
      </x:c>
      <x:c r="V625" s="11" t="n">
        <x:v>1471416</x:v>
      </x:c>
      <x:c r="W625" s="11" t="n">
        <x:v>-1508847</x:v>
      </x:c>
      <x:c r="X625" s="11" t="n">
        <x:v>0</x:v>
      </x:c>
      <x:c r="Y625" s="11" t="n">
        <x:v>0</x:v>
      </x:c>
      <x:c r="Z625" s="11" t="n">
        <x:v>0</x:v>
      </x:c>
      <x:c r="AA625" s="11" t="n">
        <x:v>0</x:v>
      </x:c>
      <x:c r="AB625" s="11" t="n">
        <x:v>0</x:v>
      </x:c>
      <x:c r="AC625" s="11" t="n">
        <x:v>0</x:v>
      </x:c>
      <x:c r="AD625" s="11" t="n">
        <x:v>260709</x:v>
      </x:c>
      <x:c r="AE625" s="11" t="n">
        <x:v>260709</x:v>
      </x:c>
      <x:c r="AF625" s="11" t="n">
        <x:v>1042836</x:v>
      </x:c>
      <x:c r="AG625" s="11" t="n">
        <x:v>11402523</x:v>
      </x:c>
      <x:c r="AH625" s="11" t="n">
        <x:v>2770495</x:v>
      </x:c>
      <x:c r="AI625" s="11" t="n">
        <x:v>8632028</x:v>
      </x:c>
      <x:c r="AJ625" s="11" t="n">
        <x:v>73150</x:v>
      </x:c>
      <x:c r="AK625" s="11" t="n">
        <x:v>42217831</x:v>
      </x:c>
      <x:c r="AL625" s="11" t="n">
        <x:v>542139</x:v>
      </x:c>
      <x:c r="AM625" s="12" t="n">
        <x:v>0.9871585302428256</x:v>
      </x:c>
      <x:c r="AN625" s="12" t="n">
        <x:v>0.0017326802033008281</x:v>
      </x:c>
      <x:c r="AO625" s="11" t="n">
        <x:v>480021</x:v>
      </x:c>
      <x:c r="AP625" s="11" t="n">
        <x:v>434918</x:v>
      </x:c>
      <x:c r="AQ625" s="12" t="n">
        <x:v>0.9060395274373413</x:v>
      </x:c>
      <x:c r="AR625" s="11" t="n">
        <x:v>24.2599239800141</x:v>
      </x:c>
      <x:c r="AS625" s="11" t="n">
        <x:v>39.39145694755234</x:v>
      </x:c>
      <x:c r="AT625" s="11" t="n">
        <x:v>22.551819268614167</x:v>
      </x:c>
      <x:c r="AU625" s="11" t="n">
        <x:v>-23.12550960978451</x:v>
      </x:c>
      <x:c r="AV625" s="11" t="n">
        <x:v>0</x:v>
      </x:c>
      <x:c r="AW625" s="11" t="n">
        <x:v>1.2373049469292632</x:v>
      </x:c>
      <x:c r="AX625" s="12" t="n">
        <x:v>1</x:v>
      </x:c>
      <x:c r="AY625" s="11"/>
      <x:c r="AZ625" s="11"/>
      <x:c r="BA625" s="11"/>
      <x:c r="BB625" s="11"/>
      <x:c r="BC625" s="11"/>
      <x:c r="BD625" s="11"/>
      <x:c r="BE625" s="11"/>
      <x:c r="BF625" s="11"/>
      <x:c r="BG625" s="11"/>
      <x:c r="BH625" s="11"/>
      <x:c r="BI625" s="11"/>
      <x:c r="BJ625" s="11"/>
      <x:c r="BK625" s="12"/>
      <x:c r="BL625" s="12"/>
      <x:c r="BM625" s="12"/>
      <x:c r="BN625" s="12"/>
      <x:c r="BO625" s="12"/>
      <x:c r="BP625" s="12"/>
      <x:c r="BQ625" s="12"/>
      <x:c r="BR625" s="12"/>
      <x:c r="BS625" s="12"/>
      <x:c r="BT625" s="12"/>
      <x:c r="BU625" s="11" t="n">
        <x:v>0</x:v>
      </x:c>
      <x:c r="BV625" s="11" t="n">
        <x:v>823569</x:v>
      </x:c>
      <x:c r="BW625" s="11" t="n">
        <x:v>0</x:v>
      </x:c>
      <x:c r="BX625" s="11" t="n">
        <x:v>82924</x:v>
      </x:c>
      <x:c r="BY625" s="11" t="n">
        <x:v>0</x:v>
      </x:c>
      <x:c r="BZ625" s="11" t="n">
        <x:v>0</x:v>
      </x:c>
      <x:c r="CA625" s="11" t="n">
        <x:v>199458</x:v>
      </x:c>
      <x:c r="CB625" s="11" t="n">
        <x:v>0</x:v>
      </x:c>
      <x:c r="CC625" s="11" t="n">
        <x:v>340611</x:v>
      </x:c>
      <x:c r="CD625" s="11" t="n">
        <x:v>33767</x:v>
      </x:c>
      <x:c r="CE625" s="11" t="n">
        <x:v>0</x:v>
      </x:c>
      <x:c r="CF625" s="11" t="n">
        <x:v>0</x:v>
      </x:c>
      <x:c r="CG625" s="11" t="n">
        <x:v>317839</x:v>
      </x:c>
      <x:c r="CH625" s="11" t="n">
        <x:v>53251</x:v>
      </x:c>
      <x:c r="CI625" s="11" t="n">
        <x:v>85298</x:v>
      </x:c>
      <x:c r="CJ625" s="11" t="n">
        <x:v>86075</x:v>
      </x:c>
      <x:c r="CK625" s="11" t="n">
        <x:v>62386</x:v>
      </x:c>
      <x:c r="CL625" s="11" t="n">
        <x:v>97336</x:v>
      </x:c>
      <x:c r="CM625" s="11"/>
      <x:c r="CN625" s="11" t="n">
        <x:v>0</x:v>
      </x:c>
      <x:c r="CO625" s="11" t="n">
        <x:v>1355168</x:v>
      </x:c>
      <x:c r="CP625" s="8"/>
      <x:c r="CQ625" s="8"/>
    </x:row>
    <x:row r="626">
      <x:c r="A626" s="8" t="str">
        <x:v>Port Clements|2023</x:v>
      </x:c>
      <x:c r="B626" s="8" t="str">
        <x:v>port-clements-v</x:v>
      </x:c>
      <x:c r="C626" s="8" t="str">
        <x:v>Port Clements</x:v>
      </x:c>
      <x:c r="D626" s="8" t="str">
        <x:v>Port Clements</x:v>
      </x:c>
      <x:c r="E626" s="8" t="str">
        <x:v>V</x:v>
      </x:c>
      <x:c r="F626" s="8" t="str">
        <x:v>NCRD</x:v>
      </x:c>
      <x:c r="G626" s="9" t="n">
        <x:v>2023</x:v>
      </x:c>
      <x:c r="H626" s="10" t="n">
        <x:v>267</x:v>
      </x:c>
      <x:c r="I626" s="8" t="str">
        <x:v>Under 5,000</x:v>
      </x:c>
      <x:c r="J626" s="11" t="n">
        <x:v>2037279</x:v>
      </x:c>
      <x:c r="K626" s="11" t="n">
        <x:v>1188990</x:v>
      </x:c>
      <x:c r="L626" s="11" t="n">
        <x:v>848289</x:v>
      </x:c>
      <x:c r="M626" s="12" t="n">
        <x:v>0.41638332305000936</x:v>
      </x:c>
      <x:c r="N626" s="11" t="n">
        <x:v>245698</x:v>
      </x:c>
      <x:c r="O626" s="11" t="n">
        <x:v>277447</x:v>
      </x:c>
      <x:c r="P626" s="11" t="n">
        <x:v>1295451</x:v>
      </x:c>
      <x:c r="Q626" s="11" t="n">
        <x:v>218683</x:v>
      </x:c>
      <x:c r="R626" s="11" t="n">
        <x:v>1035037</x:v>
      </x:c>
      <x:c r="S626" s="11" t="n">
        <x:v>153953</x:v>
      </x:c>
      <x:c r="T626" s="11" t="n">
        <x:v>7335198</x:v>
      </x:c>
      <x:c r="U626" s="11" t="n">
        <x:v>5310760</x:v>
      </x:c>
      <x:c r="V626" s="11" t="n">
        <x:v>2196627</x:v>
      </x:c>
      <x:c r="W626" s="11" t="n">
        <x:v>2392602</x:v>
      </x:c>
      <x:c r="X626" s="11" t="n">
        <x:v>0</x:v>
      </x:c>
      <x:c r="Y626" s="11" t="n">
        <x:v>0</x:v>
      </x:c>
      <x:c r="Z626" s="11" t="n">
        <x:v>0</x:v>
      </x:c>
      <x:c r="AA626" s="11" t="n">
        <x:v>0</x:v>
      </x:c>
      <x:c r="AB626" s="11" t="n">
        <x:v>0</x:v>
      </x:c>
      <x:c r="AC626" s="11" t="n">
        <x:v>0</x:v>
      </x:c>
      <x:c r="AD626" s="11" t="n">
        <x:v>275507</x:v>
      </x:c>
      <x:c r="AE626" s="11" t="n">
        <x:v>275507</x:v>
      </x:c>
      <x:c r="AF626" s="11" t="n">
        <x:v>1102028</x:v>
      </x:c>
      <x:c r="AG626" s="11" t="n">
        <x:v>11493650</x:v>
      </x:c>
      <x:c r="AH626" s="11" t="n">
        <x:v>2924448</x:v>
      </x:c>
      <x:c r="AI626" s="11" t="n">
        <x:v>8569202</x:v>
      </x:c>
      <x:c r="AJ626" s="11" t="n">
        <x:v>81925</x:v>
      </x:c>
      <x:c r="AK626" s="11" t="n">
        <x:v>8569202</x:v>
      </x:c>
      <x:c r="AL626" s="11" t="n">
        <x:v>138821</x:v>
      </x:c>
      <x:c r="AM626" s="12" t="n">
        <x:v>0.9838000084488614</x:v>
      </x:c>
      <x:c r="AN626" s="12" t="n">
        <x:v>0.009560400139943019</x:v>
      </x:c>
      <x:c r="AO626" s="11" t="n">
        <x:v>629005</x:v>
      </x:c>
      <x:c r="AP626" s="11" t="n">
        <x:v>575010</x:v>
      </x:c>
      <x:c r="AQ626" s="12" t="n">
        <x:v>0.9141580750550472</x:v>
      </x:c>
      <x:c r="AR626" s="11" t="n">
        <x:v>7630.258426966292</x:v>
      </x:c>
      <x:c r="AS626" s="11" t="n">
        <x:v>4453.146067415731</x:v>
      </x:c>
      <x:c r="AT626" s="11" t="n">
        <x:v>8227.067415730337</x:v>
      </x:c>
      <x:c r="AU626" s="11" t="n">
        <x:v>8961.056179775282</x:v>
      </x:c>
      <x:c r="AV626" s="11" t="n">
        <x:v>0</x:v>
      </x:c>
      <x:c r="AW626" s="11" t="n">
        <x:v>1.3811955351023206</x:v>
      </x:c>
      <x:c r="AX626" s="12" t="n">
        <x:v>1</x:v>
      </x:c>
      <x:c r="AY626" s="11"/>
      <x:c r="AZ626" s="11"/>
      <x:c r="BA626" s="11"/>
      <x:c r="BB626" s="11"/>
      <x:c r="BC626" s="11"/>
      <x:c r="BD626" s="11"/>
      <x:c r="BE626" s="11"/>
      <x:c r="BF626" s="11"/>
      <x:c r="BG626" s="11"/>
      <x:c r="BH626" s="11"/>
      <x:c r="BI626" s="11"/>
      <x:c r="BJ626" s="11"/>
      <x:c r="BK626" s="12"/>
      <x:c r="BL626" s="12"/>
      <x:c r="BM626" s="12"/>
      <x:c r="BN626" s="12"/>
      <x:c r="BO626" s="12"/>
      <x:c r="BP626" s="12"/>
      <x:c r="BQ626" s="12"/>
      <x:c r="BR626" s="12"/>
      <x:c r="BS626" s="12"/>
      <x:c r="BT626" s="12"/>
      <x:c r="BU626" s="11" t="n">
        <x:v>2263</x:v>
      </x:c>
      <x:c r="BV626" s="11" t="n">
        <x:v>1249139</x:v>
      </x:c>
      <x:c r="BW626" s="11" t="n">
        <x:v>44049</x:v>
      </x:c>
      <x:c r="BX626" s="11" t="n">
        <x:v>217883</x:v>
      </x:c>
      <x:c r="BY626" s="11" t="n">
        <x:v>0</x:v>
      </x:c>
      <x:c r="BZ626" s="11" t="n">
        <x:v>800</x:v>
      </x:c>
      <x:c r="CA626" s="11" t="n">
        <x:v>0</x:v>
      </x:c>
      <x:c r="CB626" s="11" t="n">
        <x:v>0</x:v>
      </x:c>
      <x:c r="CC626" s="11" t="n">
        <x:v>418390</x:v>
      </x:c>
      <x:c r="CD626" s="11" t="n">
        <x:v>38625</x:v>
      </x:c>
      <x:c r="CE626" s="11" t="n">
        <x:v>0</x:v>
      </x:c>
      <x:c r="CF626" s="11" t="n">
        <x:v>0</x:v>
      </x:c>
      <x:c r="CG626" s="11" t="n">
        <x:v>179162</x:v>
      </x:c>
      <x:c r="CH626" s="11" t="n">
        <x:v>41319</x:v>
      </x:c>
      <x:c r="CI626" s="11" t="n">
        <x:v>81971</x:v>
      </x:c>
      <x:c r="CJ626" s="11" t="n">
        <x:v>99610</x:v>
      </x:c>
      <x:c r="CK626" s="11" t="n">
        <x:v>54456</x:v>
      </x:c>
      <x:c r="CL626" s="11" t="n">
        <x:v>121504</x:v>
      </x:c>
      <x:c r="CM626" s="11" t="n">
        <x:v>0</x:v>
      </x:c>
      <x:c r="CN626" s="11" t="n">
        <x:v>0</x:v>
      </x:c>
      <x:c r="CO626" s="11" t="n">
        <x:v>0</x:v>
      </x:c>
      <x:c r="CP626" s="8"/>
      <x:c r="CQ626" s="8"/>
    </x:row>
    <x:row r="627">
      <x:c r="A627" s="8" t="str">
        <x:v>Port Clements|2024</x:v>
      </x:c>
      <x:c r="B627" s="8" t="str">
        <x:v>port-clements-v</x:v>
      </x:c>
      <x:c r="C627" s="8" t="str">
        <x:v>Port Clements</x:v>
      </x:c>
      <x:c r="D627" s="8" t="str">
        <x:v>Port Clements</x:v>
      </x:c>
      <x:c r="E627" s="8" t="str">
        <x:v>V</x:v>
      </x:c>
      <x:c r="F627" s="8" t="str">
        <x:v>NCRD</x:v>
      </x:c>
      <x:c r="G627" s="9" t="n">
        <x:v>2024</x:v>
      </x:c>
      <x:c r="H627" s="10" t="n">
        <x:v>267</x:v>
      </x:c>
      <x:c r="I627" s="8" t="str">
        <x:v>Under 5,000</x:v>
      </x:c>
      <x:c r="J627" s="11" t="n">
        <x:v>2883589</x:v>
      </x:c>
      <x:c r="K627" s="11" t="n">
        <x:v>1320086</x:v>
      </x:c>
      <x:c r="L627" s="11" t="n">
        <x:v>1563503</x:v>
      </x:c>
      <x:c r="M627" s="12" t="n">
        <x:v>0.5422072979193637</x:v>
      </x:c>
      <x:c r="N627" s="11" t="n">
        <x:v>242180</x:v>
      </x:c>
      <x:c r="O627" s="11" t="n">
        <x:v>296993</x:v>
      </x:c>
      <x:c r="P627" s="11" t="n">
        <x:v>2038732</x:v>
      </x:c>
      <x:c r="Q627" s="11" t="n">
        <x:v>305684</x:v>
      </x:c>
      <x:c r="R627" s="11" t="n">
        <x:v>1145129</x:v>
      </x:c>
      <x:c r="S627" s="11" t="n">
        <x:v>174957</x:v>
      </x:c>
      <x:c r="T627" s="11" t="n">
        <x:v>8499664</x:v>
      </x:c>
      <x:c r="U627" s="11" t="n">
        <x:v>5260751</x:v>
      </x:c>
      <x:c r="V627" s="11" t="n">
        <x:v>3467159</x:v>
      </x:c>
      <x:c r="W627" s="11" t="n">
        <x:v>4047667</x:v>
      </x:c>
      <x:c r="X627" s="11" t="n">
        <x:v>0</x:v>
      </x:c>
      <x:c r="Y627" s="11" t="n">
        <x:v>0</x:v>
      </x:c>
      <x:c r="Z627" s="11" t="n">
        <x:v>0</x:v>
      </x:c>
      <x:c r="AA627" s="11" t="n">
        <x:v>0</x:v>
      </x:c>
      <x:c r="AB627" s="11" t="n">
        <x:v>0</x:v>
      </x:c>
      <x:c r="AC627" s="11" t="n">
        <x:v>0</x:v>
      </x:c>
      <x:c r="AD627" s="11" t="n">
        <x:v>304089</x:v>
      </x:c>
      <x:c r="AE627" s="11" t="n">
        <x:v>304089</x:v>
      </x:c>
      <x:c r="AF627" s="11" t="n">
        <x:v>1216357</x:v>
      </x:c>
      <x:c r="AG627" s="11" t="n">
        <x:v>12091037</x:v>
      </x:c>
      <x:c r="AH627" s="11" t="n">
        <x:v>3066435</x:v>
      </x:c>
      <x:c r="AI627" s="11" t="n">
        <x:v>9024602</x:v>
      </x:c>
      <x:c r="AJ627" s="11" t="n">
        <x:v>639559</x:v>
      </x:c>
      <x:c r="AK627" s="11" t="n">
        <x:v>19317225</x:v>
      </x:c>
      <x:c r="AL627" s="11" t="n">
        <x:v>303977</x:v>
      </x:c>
      <x:c r="AM627" s="12" t="n">
        <x:v>0.9842639406022345</x:v>
      </x:c>
      <x:c r="AN627" s="12" t="n">
        <x:v>0.03310822336023937</x:v>
      </x:c>
      <x:c r="AO627" s="11" t="n">
        <x:v>617089</x:v>
      </x:c>
      <x:c r="AP627" s="11" t="n">
        <x:v>584065</x:v>
      </x:c>
      <x:c r="AQ627" s="12" t="n">
        <x:v>0.9464842186459328</x:v>
      </x:c>
      <x:c r="AR627" s="11" t="n">
        <x:v>10799.958801498127</x:v>
      </x:c>
      <x:c r="AS627" s="11" t="n">
        <x:v>4944.142322097378</x:v>
      </x:c>
      <x:c r="AT627" s="11" t="n">
        <x:v>12985.614232209738</x:v>
      </x:c>
      <x:c r="AU627" s="11" t="n">
        <x:v>15159.80149812734</x:v>
      </x:c>
      <x:c r="AV627" s="11" t="n">
        <x:v>0</x:v>
      </x:c>
      <x:c r="AW627" s="11" t="n">
        <x:v>1.6156750243453835</x:v>
      </x:c>
      <x:c r="AX627" s="12" t="n">
        <x:v>1</x:v>
      </x:c>
      <x:c r="AY627" s="11" t="n">
        <x:v>4648.097865362712</x:v>
      </x:c>
      <x:c r="AZ627" s="11" t="n">
        <x:v>3546.5079302077975</x:v>
      </x:c>
      <x:c r="BA627" s="11" t="n">
        <x:v>3428.422456291105</x:v>
      </x:c>
      <x:c r="BB627" s="11" t="n">
        <x:v>2783.665107049771</x:v>
      </x:c>
      <x:c r="BC627" s="11" t="n">
        <x:v>5030.364110900993</x:v>
      </x:c>
      <x:c r="BD627" s="11" t="n">
        <x:v>2437.8724475115623</x:v>
      </x:c>
      <x:c r="BE627" s="11" t="n">
        <x:v>2420.45</x:v>
      </x:c>
      <x:c r="BF627" s="11" t="n">
        <x:v>1604.3462673977224</x:v>
      </x:c>
      <x:c r="BG627" s="11" t="n">
        <x:v>224.31236112962716</x:v>
      </x:c>
      <x:c r="BH627" s="11" t="n">
        <x:v>518.5374381567245</x:v>
      </x:c>
      <x:c r="BI627" s="11" t="n">
        <x:v>2.204313821553219</x:v>
      </x:c>
      <x:c r="BJ627" s="11" t="n">
        <x:v>1.7099330852451193</x:v>
      </x:c>
      <x:c r="BK627" s="12" t="n">
        <x:v>0.030042455998363887</x:v>
      </x:c>
      <x:c r="BL627" s="12" t="n">
        <x:v>0.02529861000232605</x:v>
      </x:c>
      <x:c r="BM627" s="12" t="n">
        <x:v>0.9786113537119745</x:v>
      </x:c>
      <x:c r="BN627" s="12" t="n">
        <x:v>0.9815511712696461</x:v>
      </x:c>
      <x:c r="BO627" s="12" t="n">
        <x:v>0.9039920521842442</x:v>
      </x:c>
      <x:c r="BP627" s="12" t="n">
        <x:v>0.8619101997275483</x:v>
      </x:c>
      <x:c r="BQ627" s="12" t="n">
        <x:v>0.9333160528846489</x:v>
      </x:c>
      <x:c r="BR627" s="12" t="n">
        <x:v>0.9623635142836453</x:v>
      </x:c>
      <x:c r="BS627" s="12" t="n">
        <x:v>0.20869205825466772</x:v>
      </x:c>
      <x:c r="BT627" s="12" t="n">
        <x:v>0.19976549769108282</x:v>
      </x:c>
      <x:c r="BU627" s="11" t="n">
        <x:v>22906</x:v>
      </x:c>
      <x:c r="BV627" s="11" t="n">
        <x:v>1613222</x:v>
      </x:c>
      <x:c r="BW627" s="11" t="n">
        <x:v>402604</x:v>
      </x:c>
      <x:c r="BX627" s="11" t="n">
        <x:v>305684</x:v>
      </x:c>
      <x:c r="BY627" s="11" t="n">
        <x:v>0</x:v>
      </x:c>
      <x:c r="BZ627" s="11" t="n">
        <x:v>0</x:v>
      </x:c>
      <x:c r="CA627" s="11" t="n">
        <x:v>0</x:v>
      </x:c>
      <x:c r="CB627" s="11" t="n">
        <x:v>0</x:v>
      </x:c>
      <x:c r="CC627" s="11" t="n">
        <x:v>424717</x:v>
      </x:c>
      <x:c r="CD627" s="11" t="n">
        <x:v>48143</x:v>
      </x:c>
      <x:c r="CE627" s="11" t="n">
        <x:v>0</x:v>
      </x:c>
      <x:c r="CF627" s="11" t="n">
        <x:v>0</x:v>
      </x:c>
      <x:c r="CG627" s="11" t="n">
        <x:v>252364</x:v>
      </x:c>
      <x:c r="CH627" s="11" t="n">
        <x:v>65991</x:v>
      </x:c>
      <x:c r="CI627" s="11" t="n">
        <x:v>94465</x:v>
      </x:c>
      <x:c r="CJ627" s="11" t="n">
        <x:v>114118</x:v>
      </x:c>
      <x:c r="CK627" s="11" t="n">
        <x:v>81255</x:v>
      </x:c>
      <x:c r="CL627" s="11" t="n">
        <x:v>64076</x:v>
      </x:c>
      <x:c r="CM627" s="11" t="n">
        <x:v>0</x:v>
      </x:c>
      <x:c r="CN627" s="11" t="n">
        <x:v>0</x:v>
      </x:c>
      <x:c r="CO627" s="11" t="n">
        <x:v>0</x:v>
      </x:c>
      <x:c r="CP627" s="8"/>
      <x:c r="CQ627" s="8"/>
    </x:row>
    <x:row r="628">
      <x:c r="A628" s="8" t="str">
        <x:v>Port Coquitlam|2019</x:v>
      </x:c>
      <x:c r="B628" s="8" t="str">
        <x:v>port-coquitlam-c</x:v>
      </x:c>
      <x:c r="C628" s="8" t="str">
        <x:v>Port Coquitlam</x:v>
      </x:c>
      <x:c r="D628" s="8" t="str">
        <x:v>Port Coquitlam</x:v>
      </x:c>
      <x:c r="E628" s="8" t="str">
        <x:v>C</x:v>
      </x:c>
      <x:c r="F628" s="8" t="str">
        <x:v>GVR</x:v>
      </x:c>
      <x:c r="G628" s="9" t="n">
        <x:v>2019</x:v>
      </x:c>
      <x:c r="H628" s="10" t="n">
        <x:v>63305</x:v>
      </x:c>
      <x:c r="I628" s="8" t="str">
        <x:v>20,000 to 99,999</x:v>
      </x:c>
      <x:c r="J628" s="11" t="n">
        <x:v>115545054</x:v>
      </x:c>
      <x:c r="K628" s="11" t="n">
        <x:v>103663636</x:v>
      </x:c>
      <x:c r="L628" s="11" t="n">
        <x:v>11881418</x:v>
      </x:c>
      <x:c r="M628" s="12" t="n">
        <x:v>0.10282930847044305</x:v>
      </x:c>
      <x:c r="N628" s="11" t="n">
        <x:v>69076078</x:v>
      </x:c>
      <x:c r="O628" s="11" t="n">
        <x:v>36139227</x:v>
      </x:c>
      <x:c r="P628" s="11" t="n">
        <x:v>2653103</x:v>
      </x:c>
      <x:c r="Q628" s="11" t="n">
        <x:v>7676646</x:v>
      </x:c>
      <x:c r="R628" s="11" t="n">
        <x:v>90073903</x:v>
      </x:c>
      <x:c r="S628" s="11" t="n">
        <x:v>12394810</x:v>
      </x:c>
      <x:c r="T628" s="11" t="n">
        <x:v>210817643</x:v>
      </x:c>
      <x:c r="U628" s="11" t="n">
        <x:v>157356731</x:v>
      </x:c>
      <x:c r="V628" s="11" t="n">
        <x:v>63514573</x:v>
      </x:c>
      <x:c r="W628" s="11" t="n">
        <x:v>78357231</x:v>
      </x:c>
      <x:c r="X628" s="11" t="n">
        <x:v>20465325</x:v>
      </x:c>
      <x:c r="Y628" s="11" t="n">
        <x:v>52000000</x:v>
      </x:c>
      <x:c r="Z628" s="11" t="n">
        <x:v>288696</x:v>
      </x:c>
      <x:c r="AA628" s="11" t="n">
        <x:v>71987937</x:v>
      </x:c>
      <x:c r="AB628" s="11" t="n">
        <x:v>1194923</x:v>
      </x:c>
      <x:c r="AC628" s="11" t="n">
        <x:v>1483619</x:v>
      </x:c>
      <x:c r="AD628" s="11" t="n">
        <x:v>27779379</x:v>
      </x:c>
      <x:c r="AE628" s="11" t="n">
        <x:v>26295760</x:v>
      </x:c>
      <x:c r="AF628" s="11" t="n">
        <x:v>111117517</x:v>
      </x:c>
      <x:c r="AG628" s="11" t="n">
        <x:v>950270845</x:v>
      </x:c>
      <x:c r="AH628" s="11" t="n">
        <x:v>217173656</x:v>
      </x:c>
      <x:c r="AI628" s="11" t="n">
        <x:v>733097189</x:v>
      </x:c>
      <x:c r="AJ628" s="11" t="n">
        <x:v>60015203</x:v>
      </x:c>
      <x:c r="AK628" s="11" t="n">
        <x:v>291423398</x:v>
      </x:c>
      <x:c r="AL628" s="11" t="n">
        <x:v>0</x:v>
      </x:c>
      <x:c r="AM628" s="12" t="n">
        <x:v>1</x:v>
      </x:c>
      <x:c r="AN628" s="12" t="n">
        <x:v>0.20593817590446187</x:v>
      </x:c>
      <x:c r="AO628" s="11" t="n">
        <x:v>109381012</x:v>
      </x:c>
      <x:c r="AP628" s="11" t="n">
        <x:v>107625604</x:v>
      </x:c>
      <x:c r="AQ628" s="12" t="n">
        <x:v>0.9839514375676099</x:v>
      </x:c>
      <x:c r="AR628" s="11" t="n">
        <x:v>1825.2121317431483</x:v>
      </x:c>
      <x:c r="AS628" s="11" t="n">
        <x:v>1637.5268304241372</x:v>
      </x:c>
      <x:c r="AT628" s="11" t="n">
        <x:v>1003.3105283942816</x:v>
      </x:c>
      <x:c r="AU628" s="11" t="n">
        <x:v>1237.7731774741333</x:v>
      </x:c>
      <x:c r="AV628" s="11" t="n">
        <x:v>1137.160366479741</x:v>
      </x:c>
      <x:c r="AW628" s="11" t="n">
        <x:v>1.3397434076080292</x:v>
      </x:c>
      <x:c r="AX628" s="12" t="n">
        <x:v>0.9465927946049478</x:v>
      </x:c>
      <x:c r="AY628" s="11"/>
      <x:c r="AZ628" s="11"/>
      <x:c r="BA628" s="11"/>
      <x:c r="BB628" s="11"/>
      <x:c r="BC628" s="11"/>
      <x:c r="BD628" s="11"/>
      <x:c r="BE628" s="11"/>
      <x:c r="BF628" s="11"/>
      <x:c r="BG628" s="11"/>
      <x:c r="BH628" s="11"/>
      <x:c r="BI628" s="11"/>
      <x:c r="BJ628" s="11"/>
      <x:c r="BK628" s="12"/>
      <x:c r="BL628" s="12"/>
      <x:c r="BM628" s="12"/>
      <x:c r="BN628" s="12"/>
      <x:c r="BO628" s="12"/>
      <x:c r="BP628" s="12"/>
      <x:c r="BQ628" s="12"/>
      <x:c r="BR628" s="12"/>
      <x:c r="BS628" s="12"/>
      <x:c r="BT628" s="12"/>
      <x:c r="BU628" s="11" t="n">
        <x:v>22634</x:v>
      </x:c>
      <x:c r="BV628" s="11" t="n">
        <x:v>775036</x:v>
      </x:c>
      <x:c r="BW628" s="11" t="n">
        <x:v>1855433</x:v>
      </x:c>
      <x:c r="BX628" s="11" t="n">
        <x:v>3939061</x:v>
      </x:c>
      <x:c r="BY628" s="11" t="n">
        <x:v>0</x:v>
      </x:c>
      <x:c r="BZ628" s="11" t="n">
        <x:v>2294101</x:v>
      </x:c>
      <x:c r="CA628" s="11" t="n">
        <x:v>0</x:v>
      </x:c>
      <x:c r="CB628" s="11" t="n">
        <x:v>1443484</x:v>
      </x:c>
      <x:c r="CC628" s="11" t="n">
        <x:v>8462727</x:v>
      </x:c>
      <x:c r="CD628" s="11" t="n">
        <x:v>29035785</x:v>
      </x:c>
      <x:c r="CE628" s="11" t="n">
        <x:v>4050963</x:v>
      </x:c>
      <x:c r="CF628" s="11" t="n">
        <x:v>0</x:v>
      </x:c>
      <x:c r="CG628" s="11" t="n">
        <x:v>3479995</x:v>
      </x:c>
      <x:c r="CH628" s="11" t="n">
        <x:v>10833852</x:v>
      </x:c>
      <x:c r="CI628" s="11" t="n">
        <x:v>14210156</x:v>
      </x:c>
      <x:c r="CJ628" s="11" t="n">
        <x:v>9346196</x:v>
      </x:c>
      <x:c r="CK628" s="11" t="n">
        <x:v>7392278</x:v>
      </x:c>
      <x:c r="CL628" s="11" t="n">
        <x:v>0</x:v>
      </x:c>
      <x:c r="CM628" s="11"/>
      <x:c r="CN628" s="11" t="n">
        <x:v>4456874</x:v>
      </x:c>
      <x:c r="CO628" s="11" t="n">
        <x:v>0</x:v>
      </x:c>
      <x:c r="CP628" s="8"/>
      <x:c r="CQ628" s="8"/>
    </x:row>
    <x:row r="629">
      <x:c r="A629" s="8" t="str">
        <x:v>Port Coquitlam|2020</x:v>
      </x:c>
      <x:c r="B629" s="8" t="str">
        <x:v>port-coquitlam-c</x:v>
      </x:c>
      <x:c r="C629" s="8" t="str">
        <x:v>Port Coquitlam</x:v>
      </x:c>
      <x:c r="D629" s="8" t="str">
        <x:v>Port Coquitlam</x:v>
      </x:c>
      <x:c r="E629" s="8" t="str">
        <x:v>C</x:v>
      </x:c>
      <x:c r="F629" s="8" t="str">
        <x:v>GVR</x:v>
      </x:c>
      <x:c r="G629" s="9" t="n">
        <x:v>2020</x:v>
      </x:c>
      <x:c r="H629" s="10" t="n">
        <x:v>63508</x:v>
      </x:c>
      <x:c r="I629" s="8" t="str">
        <x:v>20,000 to 99,999</x:v>
      </x:c>
      <x:c r="J629" s="11" t="n">
        <x:v>118612572</x:v>
      </x:c>
      <x:c r="K629" s="11" t="n">
        <x:v>99806099</x:v>
      </x:c>
      <x:c r="L629" s="11" t="n">
        <x:v>18806473</x:v>
      </x:c>
      <x:c r="M629" s="12" t="n">
        <x:v>0.15855379141428616</x:v>
      </x:c>
      <x:c r="N629" s="11" t="n">
        <x:v>70739080</x:v>
      </x:c>
      <x:c r="O629" s="11" t="n">
        <x:v>32247673</x:v>
      </x:c>
      <x:c r="P629" s="11" t="n">
        <x:v>7322249</x:v>
      </x:c>
      <x:c r="Q629" s="11" t="n">
        <x:v>8303570</x:v>
      </x:c>
      <x:c r="R629" s="11" t="n">
        <x:v>85268376</x:v>
      </x:c>
      <x:c r="S629" s="11" t="n">
        <x:v>12887236</x:v>
      </x:c>
      <x:c r="T629" s="11" t="n">
        <x:v>207108825</x:v>
      </x:c>
      <x:c r="U629" s="11" t="n">
        <x:v>176977942</x:v>
      </x:c>
      <x:c r="V629" s="11" t="n">
        <x:v>39356246</x:v>
      </x:c>
      <x:c r="W629" s="11" t="n">
        <x:v>76858394</x:v>
      </x:c>
      <x:c r="X629" s="11" t="n">
        <x:v>71987937</x:v>
      </x:c>
      <x:c r="Y629" s="11" t="n">
        <x:v>0</x:v>
      </x:c>
      <x:c r="Z629" s="11" t="n">
        <x:v>1551326</x:v>
      </x:c>
      <x:c r="AA629" s="11" t="n">
        <x:v>70222541</x:v>
      </x:c>
      <x:c r="AB629" s="11" t="n">
        <x:v>1650487</x:v>
      </x:c>
      <x:c r="AC629" s="11" t="n">
        <x:v>3201813</x:v>
      </x:c>
      <x:c r="AD629" s="11" t="n">
        <x:v>27515753</x:v>
      </x:c>
      <x:c r="AE629" s="11" t="n">
        <x:v>24313940</x:v>
      </x:c>
      <x:c r="AF629" s="11" t="n">
        <x:v>110063010</x:v>
      </x:c>
      <x:c r="AG629" s="11" t="n">
        <x:v>1004293931</x:v>
      </x:c>
      <x:c r="AH629" s="11" t="n">
        <x:v>228749248</x:v>
      </x:c>
      <x:c r="AI629" s="11" t="n">
        <x:v>775544683</x:v>
      </x:c>
      <x:c r="AJ629" s="11" t="n">
        <x:v>55947059</x:v>
      </x:c>
      <x:c r="AK629" s="11" t="n">
        <x:v>303069434</x:v>
      </x:c>
      <x:c r="AL629" s="11" t="n">
        <x:v>0</x:v>
      </x:c>
      <x:c r="AM629" s="12" t="n">
        <x:v>1</x:v>
      </x:c>
      <x:c r="AN629" s="12" t="n">
        <x:v>0.18460145670777212</x:v>
      </x:c>
      <x:c r="AO629" s="11" t="n">
        <x:v>103123746</x:v>
      </x:c>
      <x:c r="AP629" s="11" t="n">
        <x:v>100893400</x:v>
      </x:c>
      <x:c r="AQ629" s="12" t="n">
        <x:v>0.9783721394294579</x:v>
      </x:c>
      <x:c r="AR629" s="11" t="n">
        <x:v>1867.6792215153996</x:v>
      </x:c>
      <x:c r="AS629" s="11" t="n">
        <x:v>1571.5515997984505</x:v>
      </x:c>
      <x:c r="AT629" s="11" t="n">
        <x:v>619.7053284625559</x:v>
      </x:c>
      <x:c r="AU629" s="11" t="n">
        <x:v>1210.215941298734</x:v>
      </x:c>
      <x:c r="AV629" s="11" t="n">
        <x:v>1105.7274831517288</x:v>
      </x:c>
      <x:c r="AW629" s="11" t="n">
        <x:v>1.170252194479694</x:v>
      </x:c>
      <x:c r="AX629" s="12" t="n">
        <x:v>0.8836370932679909</x:v>
      </x:c>
      <x:c r="AY629" s="11"/>
      <x:c r="AZ629" s="11"/>
      <x:c r="BA629" s="11"/>
      <x:c r="BB629" s="11"/>
      <x:c r="BC629" s="11"/>
      <x:c r="BD629" s="11"/>
      <x:c r="BE629" s="11"/>
      <x:c r="BF629" s="11"/>
      <x:c r="BG629" s="11"/>
      <x:c r="BH629" s="11"/>
      <x:c r="BI629" s="11"/>
      <x:c r="BJ629" s="11"/>
      <x:c r="BK629" s="12"/>
      <x:c r="BL629" s="12"/>
      <x:c r="BM629" s="12"/>
      <x:c r="BN629" s="12"/>
      <x:c r="BO629" s="12"/>
      <x:c r="BP629" s="12"/>
      <x:c r="BQ629" s="12"/>
      <x:c r="BR629" s="12"/>
      <x:c r="BS629" s="12"/>
      <x:c r="BT629" s="12"/>
      <x:c r="BU629" s="11" t="n">
        <x:v>249631</x:v>
      </x:c>
      <x:c r="BV629" s="11" t="n">
        <x:v>6364624</x:v>
      </x:c>
      <x:c r="BW629" s="11" t="n">
        <x:v>707994</x:v>
      </x:c>
      <x:c r="BX629" s="11" t="n">
        <x:v>3731490</x:v>
      </x:c>
      <x:c r="BY629" s="11" t="n">
        <x:v>0</x:v>
      </x:c>
      <x:c r="BZ629" s="11" t="n">
        <x:v>1755836</x:v>
      </x:c>
      <x:c r="CA629" s="11" t="n">
        <x:v>0</x:v>
      </x:c>
      <x:c r="CB629" s="11" t="n">
        <x:v>2816244</x:v>
      </x:c>
      <x:c r="CC629" s="11" t="n">
        <x:v>9114335</x:v>
      </x:c>
      <x:c r="CD629" s="11" t="n">
        <x:v>31353478</x:v>
      </x:c>
      <x:c r="CE629" s="11" t="n">
        <x:v>4613024</x:v>
      </x:c>
      <x:c r="CF629" s="11" t="n">
        <x:v>0</x:v>
      </x:c>
      <x:c r="CG629" s="11" t="n">
        <x:v>3453652</x:v>
      </x:c>
      <x:c r="CH629" s="11" t="n">
        <x:v>10155111</x:v>
      </x:c>
      <x:c r="CI629" s="11" t="n">
        <x:v>10377847</x:v>
      </x:c>
      <x:c r="CJ629" s="11" t="n">
        <x:v>9825378</x:v>
      </x:c>
      <x:c r="CK629" s="11" t="n">
        <x:v>7502363</x:v>
      </x:c>
      <x:c r="CL629" s="11" t="n">
        <x:v>0</x:v>
      </x:c>
      <x:c r="CM629" s="11"/>
      <x:c r="CN629" s="11" t="n">
        <x:v>523675</x:v>
      </x:c>
      <x:c r="CO629" s="11" t="n">
        <x:v>0</x:v>
      </x:c>
      <x:c r="CP629" s="8"/>
      <x:c r="CQ629" s="8"/>
    </x:row>
    <x:row r="630">
      <x:c r="A630" s="8" t="str">
        <x:v>Port Coquitlam|2021</x:v>
      </x:c>
      <x:c r="B630" s="8" t="str">
        <x:v>port-coquitlam-c</x:v>
      </x:c>
      <x:c r="C630" s="8" t="str">
        <x:v>Port Coquitlam</x:v>
      </x:c>
      <x:c r="D630" s="8" t="str">
        <x:v>Port Coquitlam</x:v>
      </x:c>
      <x:c r="E630" s="8" t="str">
        <x:v>C</x:v>
      </x:c>
      <x:c r="F630" s="8" t="str">
        <x:v>MVRD</x:v>
      </x:c>
      <x:c r="G630" s="9" t="n">
        <x:v>2021</x:v>
      </x:c>
      <x:c r="H630" s="10" t="n">
        <x:v>63917</x:v>
      </x:c>
      <x:c r="I630" s="8" t="str">
        <x:v>20,000 to 99,999</x:v>
      </x:c>
      <x:c r="J630" s="11" t="n">
        <x:v>121505619</x:v>
      </x:c>
      <x:c r="K630" s="11" t="n">
        <x:v>106573834</x:v>
      </x:c>
      <x:c r="L630" s="11" t="n">
        <x:v>14931785</x:v>
      </x:c>
      <x:c r="M630" s="12" t="n">
        <x:v>0.12288966652645093</x:v>
      </x:c>
      <x:c r="N630" s="11" t="n">
        <x:v>73520326</x:v>
      </x:c>
      <x:c r="O630" s="11" t="n">
        <x:v>35558138</x:v>
      </x:c>
      <x:c r="P630" s="11" t="n">
        <x:v>3134473</x:v>
      </x:c>
      <x:c r="Q630" s="11" t="n">
        <x:v>9292682</x:v>
      </x:c>
      <x:c r="R630" s="11" t="n">
        <x:v>91147056</x:v>
      </x:c>
      <x:c r="S630" s="11" t="n">
        <x:v>13699478</x:v>
      </x:c>
      <x:c r="T630" s="11" t="n">
        <x:v>191938633</x:v>
      </x:c>
      <x:c r="U630" s="11" t="n">
        <x:v>170190668</x:v>
      </x:c>
      <x:c r="V630" s="11" t="n">
        <x:v>29452859</x:v>
      </x:c>
      <x:c r="W630" s="11" t="n">
        <x:v>74423225</x:v>
      </x:c>
      <x:c r="X630" s="11" t="n">
        <x:v>70222541</x:v>
      </x:c>
      <x:c r="Y630" s="11" t="n">
        <x:v>0</x:v>
      </x:c>
      <x:c r="Z630" s="11" t="n">
        <x:v>1552375</x:v>
      </x:c>
      <x:c r="AA630" s="11" t="n">
        <x:v>68396913</x:v>
      </x:c>
      <x:c r="AB630" s="11" t="n">
        <x:v>1727300</x:v>
      </x:c>
      <x:c r="AC630" s="11" t="n">
        <x:v>3279675</x:v>
      </x:c>
      <x:c r="AD630" s="11" t="n">
        <x:v>28555032</x:v>
      </x:c>
      <x:c r="AE630" s="11" t="n">
        <x:v>25275357</x:v>
      </x:c>
      <x:c r="AF630" s="11" t="n">
        <x:v>114220126</x:v>
      </x:c>
      <x:c r="AG630" s="11" t="n">
        <x:v>1041480965</x:v>
      </x:c>
      <x:c r="AH630" s="11" t="n">
        <x:v>241192803</x:v>
      </x:c>
      <x:c r="AI630" s="11" t="n">
        <x:v>800288162</x:v>
      </x:c>
      <x:c r="AJ630" s="11" t="n">
        <x:v>39564264</x:v>
      </x:c>
      <x:c r="AK630" s="11" t="n">
        <x:v>1406107603</x:v>
      </x:c>
      <x:c r="AL630" s="11" t="n">
        <x:v>22659553</x:v>
      </x:c>
      <x:c r="AM630" s="12" t="n">
        <x:v>0.9838849082732681</x:v>
      </x:c>
      <x:c r="AN630" s="12" t="n">
        <x:v>0.028137436932698243</x:v>
      </x:c>
      <x:c r="AO630" s="11" t="n">
        <x:v>117411319</x:v>
      </x:c>
      <x:c r="AP630" s="11" t="n">
        <x:v>115322441</x:v>
      </x:c>
      <x:c r="AQ630" s="12" t="n">
        <x:v>0.9822088873731161</x:v>
      </x:c>
      <x:c r="AR630" s="11" t="n">
        <x:v>1900.9906441165888</x:v>
      </x:c>
      <x:c r="AS630" s="11" t="n">
        <x:v>1667.378537791198</x:v>
      </x:c>
      <x:c r="AT630" s="11" t="n">
        <x:v>460.7985199555674</x:v>
      </x:c>
      <x:c r="AU630" s="11" t="n">
        <x:v>1164.372936777383</x:v>
      </x:c>
      <x:c r="AV630" s="11" t="n">
        <x:v>1070.0895379945866</x:v>
      </x:c>
      <x:c r="AW630" s="11" t="n">
        <x:v>1.1277858842413147</x:v>
      </x:c>
      <x:c r="AX630" s="12" t="n">
        <x:v>0.885145462277892</x:v>
      </x:c>
      <x:c r="AY630" s="11"/>
      <x:c r="AZ630" s="11"/>
      <x:c r="BA630" s="11"/>
      <x:c r="BB630" s="11"/>
      <x:c r="BC630" s="11"/>
      <x:c r="BD630" s="11"/>
      <x:c r="BE630" s="11"/>
      <x:c r="BF630" s="11"/>
      <x:c r="BG630" s="11"/>
      <x:c r="BH630" s="11"/>
      <x:c r="BI630" s="11"/>
      <x:c r="BJ630" s="11"/>
      <x:c r="BK630" s="12"/>
      <x:c r="BL630" s="12"/>
      <x:c r="BM630" s="12"/>
      <x:c r="BN630" s="12"/>
      <x:c r="BO630" s="12"/>
      <x:c r="BP630" s="12"/>
      <x:c r="BQ630" s="12"/>
      <x:c r="BR630" s="12"/>
      <x:c r="BS630" s="12"/>
      <x:c r="BT630" s="12"/>
      <x:c r="BU630" s="11" t="n">
        <x:v>128606</x:v>
      </x:c>
      <x:c r="BV630" s="11" t="n">
        <x:v>1048803</x:v>
      </x:c>
      <x:c r="BW630" s="11" t="n">
        <x:v>1957064</x:v>
      </x:c>
      <x:c r="BX630" s="11" t="n">
        <x:v>2186228</x:v>
      </x:c>
      <x:c r="BY630" s="11" t="n">
        <x:v>0</x:v>
      </x:c>
      <x:c r="BZ630" s="11" t="n">
        <x:v>1727582</x:v>
      </x:c>
      <x:c r="CA630" s="11" t="n">
        <x:v>2903978</x:v>
      </x:c>
      <x:c r="CB630" s="11" t="n">
        <x:v>2474894</x:v>
      </x:c>
      <x:c r="CC630" s="11" t="n">
        <x:v>10489890</x:v>
      </x:c>
      <x:c r="CD630" s="11" t="n">
        <x:v>32309625</x:v>
      </x:c>
      <x:c r="CE630" s="11" t="n">
        <x:v>4871461</x:v>
      </x:c>
      <x:c r="CF630" s="11" t="n">
        <x:v>0</x:v>
      </x:c>
      <x:c r="CG630" s="11" t="n">
        <x:v>2748313</x:v>
      </x:c>
      <x:c r="CH630" s="11" t="n">
        <x:v>10408784</x:v>
      </x:c>
      <x:c r="CI630" s="11" t="n">
        <x:v>13037938</x:v>
      </x:c>
      <x:c r="CJ630" s="11" t="n">
        <x:v>11191699</x:v>
      </x:c>
      <x:c r="CK630" s="11" t="n">
        <x:v>7816646</x:v>
      </x:c>
      <x:c r="CL630" s="11" t="n">
        <x:v>0</x:v>
      </x:c>
      <x:c r="CM630" s="11"/>
      <x:c r="CN630" s="11" t="n">
        <x:v>0</x:v>
      </x:c>
      <x:c r="CO630" s="11" t="n">
        <x:v>0</x:v>
      </x:c>
      <x:c r="CP630" s="8"/>
      <x:c r="CQ630" s="8"/>
    </x:row>
    <x:row r="631">
      <x:c r="A631" s="8" t="str">
        <x:v>Port Coquitlam|2022</x:v>
      </x:c>
      <x:c r="B631" s="8" t="str">
        <x:v>port-coquitlam-c</x:v>
      </x:c>
      <x:c r="C631" s="8" t="str">
        <x:v>Port Coquitlam</x:v>
      </x:c>
      <x:c r="D631" s="8" t="str">
        <x:v>Port Coquitlam</x:v>
      </x:c>
      <x:c r="E631" s="8" t="str">
        <x:v>C</x:v>
      </x:c>
      <x:c r="F631" s="8" t="str">
        <x:v>MVRD</x:v>
      </x:c>
      <x:c r="G631" s="9" t="n">
        <x:v>2022</x:v>
      </x:c>
      <x:c r="H631" s="10" t="n">
        <x:v>493</x:v>
      </x:c>
      <x:c r="I631" s="8" t="str">
        <x:v>Under 5,000</x:v>
      </x:c>
      <x:c r="J631" s="11" t="n">
        <x:v>126815226</x:v>
      </x:c>
      <x:c r="K631" s="11" t="n">
        <x:v>113063111</x:v>
      </x:c>
      <x:c r="L631" s="11" t="n">
        <x:v>13752115</x:v>
      </x:c>
      <x:c r="M631" s="12" t="n">
        <x:v>0.10844214400564171</x:v>
      </x:c>
      <x:c r="N631" s="11" t="n">
        <x:v>77353291</x:v>
      </x:c>
      <x:c r="O631" s="11" t="n">
        <x:v>38669361</x:v>
      </x:c>
      <x:c r="P631" s="11" t="n">
        <x:v>2941064</x:v>
      </x:c>
      <x:c r="Q631" s="11" t="n">
        <x:v>7851510</x:v>
      </x:c>
      <x:c r="R631" s="11" t="n">
        <x:v>96963761</x:v>
      </x:c>
      <x:c r="S631" s="11" t="n">
        <x:v>14372050</x:v>
      </x:c>
      <x:c r="T631" s="11" t="n">
        <x:v>200835572</x:v>
      </x:c>
      <x:c r="U631" s="11" t="n">
        <x:v>175521503</x:v>
      </x:c>
      <x:c r="V631" s="11" t="n">
        <x:v>32614710</x:v>
      </x:c>
      <x:c r="W631" s="11" t="n">
        <x:v>78345904</x:v>
      </x:c>
      <x:c r="X631" s="11" t="n">
        <x:v>68396913</x:v>
      </x:c>
      <x:c r="Y631" s="11" t="n">
        <x:v>0</x:v>
      </x:c>
      <x:c r="Z631" s="11" t="n">
        <x:v>1538754</x:v>
      </x:c>
      <x:c r="AA631" s="11" t="n">
        <x:v>66509595</x:v>
      </x:c>
      <x:c r="AB631" s="11" t="n">
        <x:v>1727300</x:v>
      </x:c>
      <x:c r="AC631" s="11" t="n">
        <x:v>3266054</x:v>
      </x:c>
      <x:c r="AD631" s="11" t="n">
        <x:v>30091206</x:v>
      </x:c>
      <x:c r="AE631" s="11" t="n">
        <x:v>26825152</x:v>
      </x:c>
      <x:c r="AF631" s="11" t="n">
        <x:v>120364823</x:v>
      </x:c>
      <x:c r="AG631" s="11" t="n">
        <x:v>1065198929</x:v>
      </x:c>
      <x:c r="AH631" s="11" t="n">
        <x:v>254198494</x:v>
      </x:c>
      <x:c r="AI631" s="11" t="n">
        <x:v>811000435</x:v>
      </x:c>
      <x:c r="AJ631" s="11" t="n">
        <x:v>25573042</x:v>
      </x:c>
      <x:c r="AK631" s="11" t="n">
        <x:v>1416378416</x:v>
      </x:c>
      <x:c r="AL631" s="11" t="n">
        <x:v>22714299</x:v>
      </x:c>
      <x:c r="AM631" s="12" t="n">
        <x:v>0.9839631141343232</x:v>
      </x:c>
      <x:c r="AN631" s="12" t="n">
        <x:v>0.0180552327761538</x:v>
      </x:c>
      <x:c r="AO631" s="11" t="n">
        <x:v>126723599</x:v>
      </x:c>
      <x:c r="AP631" s="11" t="n">
        <x:v>124306854</x:v>
      </x:c>
      <x:c r="AQ631" s="12" t="n">
        <x:v>0.9809290059699141</x:v>
      </x:c>
      <x:c r="AR631" s="11" t="n">
        <x:v>257231.6957403651</x:v>
      </x:c>
      <x:c r="AS631" s="11" t="n">
        <x:v>229336.93914807303</x:v>
      </x:c>
      <x:c r="AT631" s="11" t="n">
        <x:v>66155.59837728195</x:v>
      </x:c>
      <x:c r="AU631" s="11" t="n">
        <x:v>158916.64097363083</x:v>
      </x:c>
      <x:c r="AV631" s="11" t="n">
        <x:v>134907.90060851927</x:v>
      </x:c>
      <x:c r="AW631" s="11" t="n">
        <x:v>1.144222038709411</x:v>
      </x:c>
      <x:c r="AX631" s="12" t="n">
        <x:v>0.8914615120444159</x:v>
      </x:c>
      <x:c r="AY631" s="11"/>
      <x:c r="AZ631" s="11"/>
      <x:c r="BA631" s="11"/>
      <x:c r="BB631" s="11"/>
      <x:c r="BC631" s="11"/>
      <x:c r="BD631" s="11"/>
      <x:c r="BE631" s="11"/>
      <x:c r="BF631" s="11"/>
      <x:c r="BG631" s="11"/>
      <x:c r="BH631" s="11"/>
      <x:c r="BI631" s="11"/>
      <x:c r="BJ631" s="11"/>
      <x:c r="BK631" s="12"/>
      <x:c r="BL631" s="12"/>
      <x:c r="BM631" s="12"/>
      <x:c r="BN631" s="12"/>
      <x:c r="BO631" s="12"/>
      <x:c r="BP631" s="12"/>
      <x:c r="BQ631" s="12"/>
      <x:c r="BR631" s="12"/>
      <x:c r="BS631" s="12"/>
      <x:c r="BT631" s="12"/>
      <x:c r="BU631" s="11" t="n">
        <x:v>65229</x:v>
      </x:c>
      <x:c r="BV631" s="11" t="n">
        <x:v>1053508</x:v>
      </x:c>
      <x:c r="BW631" s="11" t="n">
        <x:v>1822327</x:v>
      </x:c>
      <x:c r="BX631" s="11" t="n">
        <x:v>4150734</x:v>
      </x:c>
      <x:c r="BY631" s="11" t="n">
        <x:v>0</x:v>
      </x:c>
      <x:c r="BZ631" s="11" t="n">
        <x:v>3090551</x:v>
      </x:c>
      <x:c r="CA631" s="11" t="n">
        <x:v>610225</x:v>
      </x:c>
      <x:c r="CB631" s="11" t="n">
        <x:v>0</x:v>
      </x:c>
      <x:c r="CC631" s="11" t="n">
        <x:v>8234824</x:v>
      </x:c>
      <x:c r="CD631" s="11" t="n">
        <x:v>32832455</x:v>
      </x:c>
      <x:c r="CE631" s="11" t="n">
        <x:v>4701974</x:v>
      </x:c>
      <x:c r="CF631" s="11" t="n">
        <x:v>0</x:v>
      </x:c>
      <x:c r="CG631" s="11" t="n">
        <x:v>4041835</x:v>
      </x:c>
      <x:c r="CH631" s="11" t="n">
        <x:v>11252995</x:v>
      </x:c>
      <x:c r="CI631" s="11" t="n">
        <x:v>18326443</x:v>
      </x:c>
      <x:c r="CJ631" s="11" t="n">
        <x:v>11344151</x:v>
      </x:c>
      <x:c r="CK631" s="11" t="n">
        <x:v>7956384</x:v>
      </x:c>
      <x:c r="CL631" s="11" t="n">
        <x:v>0</x:v>
      </x:c>
      <x:c r="CM631" s="11"/>
      <x:c r="CN631" s="11" t="n">
        <x:v>0</x:v>
      </x:c>
      <x:c r="CO631" s="11" t="n">
        <x:v>0</x:v>
      </x:c>
      <x:c r="CP631" s="8"/>
      <x:c r="CQ631" s="8"/>
    </x:row>
    <x:row r="632">
      <x:c r="A632" s="8" t="str">
        <x:v>Port Coquitlam|2023</x:v>
      </x:c>
      <x:c r="B632" s="8" t="str">
        <x:v>port-coquitlam-c</x:v>
      </x:c>
      <x:c r="C632" s="8" t="str">
        <x:v>Port Coquitlam</x:v>
      </x:c>
      <x:c r="D632" s="8" t="str">
        <x:v>Port Coquitlam</x:v>
      </x:c>
      <x:c r="E632" s="8" t="str">
        <x:v>C</x:v>
      </x:c>
      <x:c r="F632" s="8" t="str">
        <x:v>MVRD</x:v>
      </x:c>
      <x:c r="G632" s="9" t="n">
        <x:v>2023</x:v>
      </x:c>
      <x:c r="H632" s="10" t="n">
        <x:v>67151</x:v>
      </x:c>
      <x:c r="I632" s="8" t="str">
        <x:v>20,000 to 99,999</x:v>
      </x:c>
      <x:c r="J632" s="11" t="n">
        <x:v>154845284</x:v>
      </x:c>
      <x:c r="K632" s="11" t="n">
        <x:v>124909478</x:v>
      </x:c>
      <x:c r="L632" s="11" t="n">
        <x:v>29935806</x:v>
      </x:c>
      <x:c r="M632" s="12" t="n">
        <x:v>0.1933272052379716</x:v>
      </x:c>
      <x:c r="N632" s="11" t="n">
        <x:v>81414582</x:v>
      </x:c>
      <x:c r="O632" s="11" t="n">
        <x:v>42147372</x:v>
      </x:c>
      <x:c r="P632" s="11" t="n">
        <x:v>13863615</x:v>
      </x:c>
      <x:c r="Q632" s="11" t="n">
        <x:v>17419715</x:v>
      </x:c>
      <x:c r="R632" s="11" t="n">
        <x:v>106779871</x:v>
      </x:c>
      <x:c r="S632" s="11" t="n">
        <x:v>16227723</x:v>
      </x:c>
      <x:c r="T632" s="11" t="n">
        <x:v>223460540</x:v>
      </x:c>
      <x:c r="U632" s="11" t="n">
        <x:v>208303530</x:v>
      </x:c>
      <x:c r="V632" s="11" t="n">
        <x:v>23775373</x:v>
      </x:c>
      <x:c r="W632" s="11" t="n">
        <x:v>93636628</x:v>
      </x:c>
      <x:c r="X632" s="11" t="n">
        <x:v>66509595</x:v>
      </x:c>
      <x:c r="Y632" s="11" t="n">
        <x:v>25200000</x:v>
      </x:c>
      <x:c r="Z632" s="11" t="n">
        <x:v>1538754</x:v>
      </x:c>
      <x:c r="AA632" s="11" t="n">
        <x:v>89758736</x:v>
      </x:c>
      <x:c r="AB632" s="11" t="n">
        <x:v>1901884</x:v>
      </x:c>
      <x:c r="AC632" s="11" t="n">
        <x:v>3440638</x:v>
      </x:c>
      <x:c r="AD632" s="11" t="n">
        <x:v>33007128</x:v>
      </x:c>
      <x:c r="AE632" s="11" t="n">
        <x:v>29566490</x:v>
      </x:c>
      <x:c r="AF632" s="11" t="n">
        <x:v>132028512</x:v>
      </x:c>
      <x:c r="AG632" s="11" t="n">
        <x:v>1118360448</x:v>
      </x:c>
      <x:c r="AH632" s="11" t="n">
        <x:v>268413875</x:v>
      </x:c>
      <x:c r="AI632" s="11" t="n">
        <x:v>849946573</x:v>
      </x:c>
      <x:c r="AJ632" s="11" t="n">
        <x:v>53880009</x:v>
      </x:c>
      <x:c r="AK632" s="11" t="n">
        <x:v>1435054001</x:v>
      </x:c>
      <x:c r="AL632" s="11" t="n">
        <x:v>22649344</x:v>
      </x:c>
      <x:c r="AM632" s="12" t="n">
        <x:v>0.9842170789501878</x:v>
      </x:c>
      <x:c r="AN632" s="12" t="n">
        <x:v>0.03754563170616183</x:v>
      </x:c>
      <x:c r="AO632" s="11" t="n">
        <x:v>140187811</x:v>
      </x:c>
      <x:c r="AP632" s="11" t="n">
        <x:v>136896350</x:v>
      </x:c>
      <x:c r="AQ632" s="12" t="n">
        <x:v>0.9765210614494865</x:v>
      </x:c>
      <x:c r="AR632" s="11" t="n">
        <x:v>2305.926702506292</x:v>
      </x:c>
      <x:c r="AS632" s="11" t="n">
        <x:v>1860.1283376271388</x:v>
      </x:c>
      <x:c r="AT632" s="11" t="n">
        <x:v>354.0583610072821</x:v>
      </x:c>
      <x:c r="AU632" s="11" t="n">
        <x:v>1394.418966210481</x:v>
      </x:c>
      <x:c r="AV632" s="11" t="n">
        <x:v>1336.670131494691</x:v>
      </x:c>
      <x:c r="AW632" s="11" t="n">
        <x:v>1.0727640573349861</x:v>
      </x:c>
      <x:c r="AX632" s="12" t="n">
        <x:v>0.8957607581004927</x:v>
      </x:c>
      <x:c r="AY632" s="11"/>
      <x:c r="AZ632" s="11"/>
      <x:c r="BA632" s="11"/>
      <x:c r="BB632" s="11"/>
      <x:c r="BC632" s="11"/>
      <x:c r="BD632" s="11"/>
      <x:c r="BE632" s="11"/>
      <x:c r="BF632" s="11"/>
      <x:c r="BG632" s="11"/>
      <x:c r="BH632" s="11"/>
      <x:c r="BI632" s="11"/>
      <x:c r="BJ632" s="11"/>
      <x:c r="BK632" s="12"/>
      <x:c r="BL632" s="12"/>
      <x:c r="BM632" s="12"/>
      <x:c r="BN632" s="12"/>
      <x:c r="BO632" s="12"/>
      <x:c r="BP632" s="12"/>
      <x:c r="BQ632" s="12"/>
      <x:c r="BR632" s="12"/>
      <x:c r="BS632" s="12"/>
      <x:c r="BT632" s="12"/>
      <x:c r="BU632" s="11" t="n">
        <x:v>424290</x:v>
      </x:c>
      <x:c r="BV632" s="11" t="n">
        <x:v>11533174</x:v>
      </x:c>
      <x:c r="BW632" s="11" t="n">
        <x:v>1906151</x:v>
      </x:c>
      <x:c r="BX632" s="11" t="n">
        <x:v>8278663</x:v>
      </x:c>
      <x:c r="BY632" s="11" t="n">
        <x:v>0</x:v>
      </x:c>
      <x:c r="BZ632" s="11" t="n">
        <x:v>9141052</x:v>
      </x:c>
      <x:c r="CA632" s="11" t="n">
        <x:v>0</x:v>
      </x:c>
      <x:c r="CB632" s="11" t="n">
        <x:v>0</x:v>
      </x:c>
      <x:c r="CC632" s="11" t="n">
        <x:v>10468303</x:v>
      </x:c>
      <x:c r="CD632" s="11" t="n">
        <x:v>34968355</x:v>
      </x:c>
      <x:c r="CE632" s="11" t="n">
        <x:v>4934377</x:v>
      </x:c>
      <x:c r="CF632" s="11" t="n">
        <x:v>0</x:v>
      </x:c>
      <x:c r="CG632" s="11" t="n">
        <x:v>3973896</x:v>
      </x:c>
      <x:c r="CH632" s="11" t="n">
        <x:v>12774926</x:v>
      </x:c>
      <x:c r="CI632" s="11" t="n">
        <x:v>21120092</x:v>
      </x:c>
      <x:c r="CJ632" s="11" t="n">
        <x:v>11106056</x:v>
      </x:c>
      <x:c r="CK632" s="11" t="n">
        <x:v>8504604</x:v>
      </x:c>
      <x:c r="CL632" s="11" t="n">
        <x:v>405751</x:v>
      </x:c>
      <x:c r="CM632" s="11" t="n">
        <x:v>0</x:v>
      </x:c>
      <x:c r="CN632" s="11" t="n">
        <x:v>425395</x:v>
      </x:c>
      <x:c r="CO632" s="11" t="n">
        <x:v>0</x:v>
      </x:c>
      <x:c r="CP632" s="8"/>
      <x:c r="CQ632" s="8"/>
    </x:row>
    <x:row r="633">
      <x:c r="A633" s="8" t="str">
        <x:v>Port Coquitlam|2024</x:v>
      </x:c>
      <x:c r="B633" s="8" t="str">
        <x:v>port-coquitlam-c</x:v>
      </x:c>
      <x:c r="C633" s="8" t="str">
        <x:v>Port Coquitlam</x:v>
      </x:c>
      <x:c r="D633" s="8" t="str">
        <x:v>Port Coquitlam</x:v>
      </x:c>
      <x:c r="E633" s="8" t="str">
        <x:v>C</x:v>
      </x:c>
      <x:c r="F633" s="8" t="str">
        <x:v>MVRD</x:v>
      </x:c>
      <x:c r="G633" s="9" t="n">
        <x:v>2024</x:v>
      </x:c>
      <x:c r="H633" s="10" t="n">
        <x:v>67151</x:v>
      </x:c>
      <x:c r="I633" s="8" t="str">
        <x:v>20,000 to 99,999</x:v>
      </x:c>
      <x:c r="J633" s="11" t="n">
        <x:v>170814168</x:v>
      </x:c>
      <x:c r="K633" s="11" t="n">
        <x:v>134947382</x:v>
      </x:c>
      <x:c r="L633" s="11" t="n">
        <x:v>35866786</x:v>
      </x:c>
      <x:c r="M633" s="12" t="n">
        <x:v>0.20997547463393085</x:v>
      </x:c>
      <x:c r="N633" s="11" t="n">
        <x:v>85766650</x:v>
      </x:c>
      <x:c r="O633" s="11" t="n">
        <x:v>47041338</x:v>
      </x:c>
      <x:c r="P633" s="11" t="n">
        <x:v>6067260</x:v>
      </x:c>
      <x:c r="Q633" s="11" t="n">
        <x:v>31938920</x:v>
      </x:c>
      <x:c r="R633" s="11" t="n">
        <x:v>115953703</x:v>
      </x:c>
      <x:c r="S633" s="11" t="n">
        <x:v>15964506</x:v>
      </x:c>
      <x:c r="T633" s="11" t="n">
        <x:v>242891208</x:v>
      </x:c>
      <x:c r="U633" s="11" t="n">
        <x:v>220464684</x:v>
      </x:c>
      <x:c r="V633" s="11" t="n">
        <x:v>35566150</x:v>
      </x:c>
      <x:c r="W633" s="11" t="n">
        <x:v>108646556</x:v>
      </x:c>
      <x:c r="X633" s="11" t="n">
        <x:v>89758736</x:v>
      </x:c>
      <x:c r="Y633" s="11" t="n">
        <x:v>0</x:v>
      </x:c>
      <x:c r="Z633" s="11" t="n">
        <x:v>1538754</x:v>
      </x:c>
      <x:c r="AA633" s="11" t="n">
        <x:v>87841404</x:v>
      </x:c>
      <x:c r="AB633" s="11" t="n">
        <x:v>3029173</x:v>
      </x:c>
      <x:c r="AC633" s="11" t="n">
        <x:v>4567927</x:v>
      </x:c>
      <x:c r="AD633" s="11" t="n">
        <x:v>35851443</x:v>
      </x:c>
      <x:c r="AE633" s="11" t="n">
        <x:v>31283516</x:v>
      </x:c>
      <x:c r="AF633" s="11" t="n">
        <x:v>143405772</x:v>
      </x:c>
      <x:c r="AG633" s="11" t="n">
        <x:v>1156220216</x:v>
      </x:c>
      <x:c r="AH633" s="11" t="n">
        <x:v>281943412</x:v>
      </x:c>
      <x:c r="AI633" s="11" t="n">
        <x:v>874276804</x:v>
      </x:c>
      <x:c r="AJ633" s="11" t="n">
        <x:v>45644120</x:v>
      </x:c>
      <x:c r="AK633" s="11" t="n">
        <x:v>1407933899</x:v>
      </x:c>
      <x:c r="AL633" s="11" t="n">
        <x:v>14530408</x:v>
      </x:c>
      <x:c r="AM633" s="12" t="n">
        <x:v>0.9896796234465834</x:v>
      </x:c>
      <x:c r="AN633" s="12" t="n">
        <x:v>0.03241922084013974</x:v>
      </x:c>
      <x:c r="AO633" s="11" t="n">
        <x:v>152115089</x:v>
      </x:c>
      <x:c r="AP633" s="11" t="n">
        <x:v>148509241</x:v>
      </x:c>
      <x:c r="AQ633" s="12" t="n">
        <x:v>0.9762952641732997</x:v>
      </x:c>
      <x:c r="AR633" s="11" t="n">
        <x:v>2543.7323048055873</x:v>
      </x:c>
      <x:c r="AS633" s="11" t="n">
        <x:v>2009.6109067623713</x:v>
      </x:c>
      <x:c r="AT633" s="11" t="n">
        <x:v>529.644383553484</x:v>
      </x:c>
      <x:c r="AU633" s="11" t="n">
        <x:v>1617.9439770070437</x:v>
      </x:c>
      <x:c r="AV633" s="11" t="n">
        <x:v>1308.1175857396017</x:v>
      </x:c>
      <x:c r="AW633" s="11" t="n">
        <x:v>1.1017238842661985</x:v>
      </x:c>
      <x:c r="AX633" s="12" t="n">
        <x:v>0.8725873600122594</x:v>
      </x:c>
      <x:c r="AY633" s="11" t="n">
        <x:v>2823.8160359162957</x:v>
      </x:c>
      <x:c r="AZ633" s="11" t="n">
        <x:v>3546.5079302077975</x:v>
      </x:c>
      <x:c r="BA633" s="11" t="n">
        <x:v>2313.177731087988</x:v>
      </x:c>
      <x:c r="BB633" s="11" t="n">
        <x:v>2783.665107049771</x:v>
      </x:c>
      <x:c r="BC633" s="11" t="n">
        <x:v>1634.933826557682</x:v>
      </x:c>
      <x:c r="BD633" s="11" t="n">
        <x:v>2437.8724475115623</x:v>
      </x:c>
      <x:c r="BE633" s="11" t="n">
        <x:v>1015.8871081440785</x:v>
      </x:c>
      <x:c r="BF633" s="11" t="n">
        <x:v>1604.3462673977224</x:v>
      </x:c>
      <x:c r="BG633" s="11" t="n">
        <x:v>757.3716446138835</x:v>
      </x:c>
      <x:c r="BH633" s="11" t="n">
        <x:v>518.5374381567245</x:v>
      </x:c>
      <x:c r="BI633" s="11" t="n">
        <x:v>1.4428133381403412</x:v>
      </x:c>
      <x:c r="BJ633" s="11" t="n">
        <x:v>1.7099330852451193</x:v>
      </x:c>
      <x:c r="BK633" s="12" t="n">
        <x:v>0.021350493990494074</x:v>
      </x:c>
      <x:c r="BL633" s="12" t="n">
        <x:v>0.02529861000232605</x:v>
      </x:c>
      <x:c r="BM633" s="12" t="n">
        <x:v>0.9847118933607182</x:v>
      </x:c>
      <x:c r="BN633" s="12" t="n">
        <x:v>0.9815511712696461</x:v>
      </x:c>
      <x:c r="BO633" s="12" t="n">
        <x:v>0.8457939120832807</x:v>
      </x:c>
      <x:c r="BP633" s="12" t="n">
        <x:v>0.8619101997275483</x:v>
      </x:c>
      <x:c r="BQ633" s="12" t="n">
        <x:v>0.9744645665293163</x:v>
      </x:c>
      <x:c r="BR633" s="12" t="n">
        <x:v>0.9623635142836453</x:v>
      </x:c>
      <x:c r="BS633" s="12" t="n">
        <x:v>0.16542076645989975</x:v>
      </x:c>
      <x:c r="BT633" s="12" t="n">
        <x:v>0.19976549769108282</x:v>
      </x:c>
      <x:c r="BU633" s="11" t="n">
        <x:v>1204822</x:v>
      </x:c>
      <x:c r="BV633" s="11" t="n">
        <x:v>2668538</x:v>
      </x:c>
      <x:c r="BW633" s="11" t="n">
        <x:v>2193900</x:v>
      </x:c>
      <x:c r="BX633" s="11" t="n">
        <x:v>10421362</x:v>
      </x:c>
      <x:c r="BY633" s="11" t="n">
        <x:v>0</x:v>
      </x:c>
      <x:c r="BZ633" s="11" t="n">
        <x:v>14482524</x:v>
      </x:c>
      <x:c r="CA633" s="11" t="n">
        <x:v>7035034</x:v>
      </x:c>
      <x:c r="CB633" s="11" t="n">
        <x:v>0</x:v>
      </x:c>
      <x:c r="CC633" s="11" t="n">
        <x:v>13987137</x:v>
      </x:c>
      <x:c r="CD633" s="11" t="n">
        <x:v>35588451</x:v>
      </x:c>
      <x:c r="CE633" s="11" t="n">
        <x:v>5132021</x:v>
      </x:c>
      <x:c r="CF633" s="11" t="n">
        <x:v>0</x:v>
      </x:c>
      <x:c r="CG633" s="11" t="n">
        <x:v>5043875</x:v>
      </x:c>
      <x:c r="CH633" s="11" t="n">
        <x:v>14016955</x:v>
      </x:c>
      <x:c r="CI633" s="11" t="n">
        <x:v>22001658</x:v>
      </x:c>
      <x:c r="CJ633" s="11" t="n">
        <x:v>12933396</x:v>
      </x:c>
      <x:c r="CK633" s="11" t="n">
        <x:v>10279383</x:v>
      </x:c>
      <x:c r="CL633" s="11" t="n">
        <x:v>0</x:v>
      </x:c>
      <x:c r="CM633" s="11" t="n">
        <x:v>0</x:v>
      </x:c>
      <x:c r="CN633" s="11" t="n">
        <x:v>0</x:v>
      </x:c>
      <x:c r="CO633" s="11" t="n">
        <x:v>0</x:v>
      </x:c>
      <x:c r="CP633" s="8"/>
      <x:c r="CQ633" s="8"/>
    </x:row>
    <x:row r="634">
      <x:c r="A634" s="8" t="str">
        <x:v>Port Edward|2019</x:v>
      </x:c>
      <x:c r="B634" s="8" t="str">
        <x:v>port-edward-d</x:v>
      </x:c>
      <x:c r="C634" s="8" t="str">
        <x:v>Port Edward</x:v>
      </x:c>
      <x:c r="D634" s="8" t="str">
        <x:v>Port Edward</x:v>
      </x:c>
      <x:c r="E634" s="8" t="str">
        <x:v>D</x:v>
      </x:c>
      <x:c r="F634" s="8" t="str">
        <x:v>SKQ</x:v>
      </x:c>
      <x:c r="G634" s="9" t="n">
        <x:v>2019</x:v>
      </x:c>
      <x:c r="H634" s="10" t="n">
        <x:v>423</x:v>
      </x:c>
      <x:c r="I634" s="8" t="str">
        <x:v>Under 5,000</x:v>
      </x:c>
      <x:c r="J634" s="11" t="n">
        <x:v>3981040</x:v>
      </x:c>
      <x:c r="K634" s="11" t="n">
        <x:v>2980499</x:v>
      </x:c>
      <x:c r="L634" s="11" t="n">
        <x:v>1000541</x:v>
      </x:c>
      <x:c r="M634" s="12" t="n">
        <x:v>0.25132653778912045</x:v>
      </x:c>
      <x:c r="N634" s="11" t="n">
        <x:v>1081479</x:v>
      </x:c>
      <x:c r="O634" s="11" t="n">
        <x:v>1074108</x:v>
      </x:c>
      <x:c r="P634" s="11" t="n">
        <x:v>1710278</x:v>
      </x:c>
      <x:c r="Q634" s="11" t="n">
        <x:v>115175</x:v>
      </x:c>
      <x:c r="R634" s="11" t="n">
        <x:v>2142796</x:v>
      </x:c>
      <x:c r="S634" s="11" t="n">
        <x:v>775728</x:v>
      </x:c>
      <x:c r="T634" s="11" t="n">
        <x:v>8842051</x:v>
      </x:c>
      <x:c r="U634" s="11" t="n">
        <x:v>3779335</x:v>
      </x:c>
      <x:c r="V634" s="11" t="n">
        <x:v>5320500</x:v>
      </x:c>
      <x:c r="W634" s="11" t="n">
        <x:v>463364</x:v>
      </x:c>
      <x:c r="X634" s="11" t="n">
        <x:v>1099064</x:v>
      </x:c>
      <x:c r="Y634" s="11" t="n">
        <x:v>0</x:v>
      </x:c>
      <x:c r="Z634" s="11" t="n">
        <x:v>79722</x:v>
      </x:c>
      <x:c r="AA634" s="11" t="n">
        <x:v>1003113</x:v>
      </x:c>
      <x:c r="AB634" s="11" t="n">
        <x:v>61975</x:v>
      </x:c>
      <x:c r="AC634" s="11" t="n">
        <x:v>141697</x:v>
      </x:c>
      <x:c r="AD634" s="11" t="n">
        <x:v>800505</x:v>
      </x:c>
      <x:c r="AE634" s="11" t="n">
        <x:v>658808</x:v>
      </x:c>
      <x:c r="AF634" s="11" t="n">
        <x:v>3202021</x:v>
      </x:c>
      <x:c r="AG634" s="11" t="n">
        <x:v>25338176</x:v>
      </x:c>
      <x:c r="AH634" s="11" t="n">
        <x:v>10575427</x:v>
      </x:c>
      <x:c r="AI634" s="11" t="n">
        <x:v>14762749</x:v>
      </x:c>
      <x:c r="AJ634" s="11" t="n">
        <x:v>306538</x:v>
      </x:c>
      <x:c r="AK634" s="11" t="n">
        <x:v>14762749</x:v>
      </x:c>
      <x:c r="AL634" s="11" t="n">
        <x:v>644540</x:v>
      </x:c>
      <x:c r="AM634" s="12" t="n">
        <x:v>0.9563401098264287</x:v>
      </x:c>
      <x:c r="AN634" s="12" t="n">
        <x:v>0.02076428990291713</x:v>
      </x:c>
      <x:c r="AO634" s="11" t="n">
        <x:v>1775223</x:v>
      </x:c>
      <x:c r="AP634" s="11" t="n">
        <x:v>1636954</x:v>
      </x:c>
      <x:c r="AQ634" s="12" t="n">
        <x:v>0.9221117572271202</x:v>
      </x:c>
      <x:c r="AR634" s="11" t="n">
        <x:v>9411.44208037825</x:v>
      </x:c>
      <x:c r="AS634" s="11" t="n">
        <x:v>7046.096926713948</x:v>
      </x:c>
      <x:c r="AT634" s="11" t="n">
        <x:v>12578.014184397163</x:v>
      </x:c>
      <x:c r="AU634" s="11" t="n">
        <x:v>1095.4231678486997</x:v>
      </x:c>
      <x:c r="AV634" s="11" t="n">
        <x:v>2371.425531914894</x:v>
      </x:c>
      <x:c r="AW634" s="11" t="n">
        <x:v>2.3395785237349958</x:v>
      </x:c>
      <x:c r="AX634" s="12" t="n">
        <x:v>0.8229904872549203</x:v>
      </x:c>
      <x:c r="AY634" s="11"/>
      <x:c r="AZ634" s="11"/>
      <x:c r="BA634" s="11"/>
      <x:c r="BB634" s="11"/>
      <x:c r="BC634" s="11"/>
      <x:c r="BD634" s="11"/>
      <x:c r="BE634" s="11"/>
      <x:c r="BF634" s="11"/>
      <x:c r="BG634" s="11"/>
      <x:c r="BH634" s="11"/>
      <x:c r="BI634" s="11"/>
      <x:c r="BJ634" s="11"/>
      <x:c r="BK634" s="12"/>
      <x:c r="BL634" s="12"/>
      <x:c r="BM634" s="12"/>
      <x:c r="BN634" s="12"/>
      <x:c r="BO634" s="12"/>
      <x:c r="BP634" s="12"/>
      <x:c r="BQ634" s="12"/>
      <x:c r="BR634" s="12"/>
      <x:c r="BS634" s="12"/>
      <x:c r="BT634" s="12"/>
      <x:c r="BU634" s="11" t="n">
        <x:v>0</x:v>
      </x:c>
      <x:c r="BV634" s="11" t="n">
        <x:v>303151</x:v>
      </x:c>
      <x:c r="BW634" s="11" t="n">
        <x:v>1407127</x:v>
      </x:c>
      <x:c r="BX634" s="11" t="n">
        <x:v>115175</x:v>
      </x:c>
      <x:c r="BY634" s="11" t="n">
        <x:v>0</x:v>
      </x:c>
      <x:c r="BZ634" s="11" t="n">
        <x:v>0</x:v>
      </x:c>
      <x:c r="CA634" s="11" t="n">
        <x:v>0</x:v>
      </x:c>
      <x:c r="CB634" s="11" t="n">
        <x:v>0</x:v>
      </x:c>
      <x:c r="CC634" s="11" t="n">
        <x:v>537531</x:v>
      </x:c>
      <x:c r="CD634" s="11" t="n">
        <x:v>64686</x:v>
      </x:c>
      <x:c r="CE634" s="11" t="n">
        <x:v>91985</x:v>
      </x:c>
      <x:c r="CF634" s="11" t="n">
        <x:v>0</x:v>
      </x:c>
      <x:c r="CG634" s="11" t="n">
        <x:v>0</x:v>
      </x:c>
      <x:c r="CH634" s="11" t="n">
        <x:v>1151734</x:v>
      </x:c>
      <x:c r="CI634" s="11" t="n">
        <x:v>50880</x:v>
      </x:c>
      <x:c r="CJ634" s="11" t="n">
        <x:v>220050</x:v>
      </x:c>
      <x:c r="CK634" s="11" t="n">
        <x:v>87905</x:v>
      </x:c>
      <x:c r="CL634" s="11" t="n">
        <x:v>0</x:v>
      </x:c>
      <x:c r="CM634" s="11"/>
      <x:c r="CN634" s="11" t="n">
        <x:v>0</x:v>
      </x:c>
      <x:c r="CO634" s="11" t="n">
        <x:v>0</x:v>
      </x:c>
      <x:c r="CP634" s="8"/>
      <x:c r="CQ634" s="8"/>
    </x:row>
    <x:row r="635">
      <x:c r="A635" s="8" t="str">
        <x:v>Port Edward|2020</x:v>
      </x:c>
      <x:c r="B635" s="8" t="str">
        <x:v>port-edward-d</x:v>
      </x:c>
      <x:c r="C635" s="8" t="str">
        <x:v>Port Edward</x:v>
      </x:c>
      <x:c r="D635" s="8" t="str">
        <x:v>Port Edward</x:v>
      </x:c>
      <x:c r="E635" s="8" t="str">
        <x:v>D</x:v>
      </x:c>
      <x:c r="F635" s="8" t="str">
        <x:v>SKQ</x:v>
      </x:c>
      <x:c r="G635" s="9" t="n">
        <x:v>2020</x:v>
      </x:c>
      <x:c r="H635" s="10" t="n">
        <x:v>450</x:v>
      </x:c>
      <x:c r="I635" s="8" t="str">
        <x:v>Under 5,000</x:v>
      </x:c>
      <x:c r="J635" s="11" t="n">
        <x:v>4321487</x:v>
      </x:c>
      <x:c r="K635" s="11" t="n">
        <x:v>2856205</x:v>
      </x:c>
      <x:c r="L635" s="11" t="n">
        <x:v>1465282</x:v>
      </x:c>
      <x:c r="M635" s="12" t="n">
        <x:v>0.3390689362249615</x:v>
      </x:c>
      <x:c r="N635" s="11" t="n">
        <x:v>1118798</x:v>
      </x:c>
      <x:c r="O635" s="11" t="n">
        <x:v>691866</x:v>
      </x:c>
      <x:c r="P635" s="11" t="n">
        <x:v>1878813</x:v>
      </x:c>
      <x:c r="Q635" s="11" t="n">
        <x:v>632010</x:v>
      </x:c>
      <x:c r="R635" s="11" t="n">
        <x:v>1999265</x:v>
      </x:c>
      <x:c r="S635" s="11" t="n">
        <x:v>799190</x:v>
      </x:c>
      <x:c r="T635" s="11" t="n">
        <x:v>9745210</x:v>
      </x:c>
      <x:c r="U635" s="11" t="n">
        <x:v>4095924</x:v>
      </x:c>
      <x:c r="V635" s="11" t="n">
        <x:v>6625924</x:v>
      </x:c>
      <x:c r="W635" s="11" t="n">
        <x:v>463364</x:v>
      </x:c>
      <x:c r="X635" s="11" t="n">
        <x:v>1003113</x:v>
      </x:c>
      <x:c r="Y635" s="11" t="n">
        <x:v>0</x:v>
      </x:c>
      <x:c r="Z635" s="11" t="n">
        <x:v>74912</x:v>
      </x:c>
      <x:c r="AA635" s="11" t="n">
        <x:v>908326</x:v>
      </x:c>
      <x:c r="AB635" s="11" t="n">
        <x:v>57750</x:v>
      </x:c>
      <x:c r="AC635" s="11" t="n">
        <x:v>132662</x:v>
      </x:c>
      <x:c r="AD635" s="11" t="n">
        <x:v>695964</x:v>
      </x:c>
      <x:c r="AE635" s="11" t="n">
        <x:v>563302</x:v>
      </x:c>
      <x:c r="AF635" s="11" t="n">
        <x:v>2783857</x:v>
      </x:c>
      <x:c r="AG635" s="11" t="n">
        <x:v>26600278</x:v>
      </x:c>
      <x:c r="AH635" s="11" t="n">
        <x:v>11322723</x:v>
      </x:c>
      <x:c r="AI635" s="11" t="n">
        <x:v>15277555</x:v>
      </x:c>
      <x:c r="AJ635" s="11" t="n">
        <x:v>1354145</x:v>
      </x:c>
      <x:c r="AK635" s="11" t="n">
        <x:v>26543204</x:v>
      </x:c>
      <x:c r="AL635" s="11" t="n">
        <x:v>11265649</x:v>
      </x:c>
      <x:c r="AM635" s="12" t="n">
        <x:v>0.5755731297547952</x:v>
      </x:c>
      <x:c r="AN635" s="12" t="n">
        <x:v>0.051016636876241465</x:v>
      </x:c>
      <x:c r="AO635" s="11" t="n">
        <x:v>1822361</x:v>
      </x:c>
      <x:c r="AP635" s="11" t="n">
        <x:v>1701826</x:v>
      </x:c>
      <x:c r="AQ635" s="12" t="n">
        <x:v>0.9338577811970296</x:v>
      </x:c>
      <x:c r="AR635" s="11" t="n">
        <x:v>9603.304444444444</x:v>
      </x:c>
      <x:c r="AS635" s="11" t="n">
        <x:v>6347.122222222222</x:v>
      </x:c>
      <x:c r="AT635" s="11" t="n">
        <x:v>14724.275555555556</x:v>
      </x:c>
      <x:c r="AU635" s="11" t="n">
        <x:v>1029.6977777777777</x:v>
      </x:c>
      <x:c r="AV635" s="11" t="n">
        <x:v>2018.5022222222221</x:v>
      </x:c>
      <x:c r="AW635" s="11" t="n">
        <x:v>2.379245806318672</x:v>
      </x:c>
      <x:c r="AX635" s="12" t="n">
        <x:v>0.8093838187032663</x:v>
      </x:c>
      <x:c r="AY635" s="11"/>
      <x:c r="AZ635" s="11"/>
      <x:c r="BA635" s="11"/>
      <x:c r="BB635" s="11"/>
      <x:c r="BC635" s="11"/>
      <x:c r="BD635" s="11"/>
      <x:c r="BE635" s="11"/>
      <x:c r="BF635" s="11"/>
      <x:c r="BG635" s="11"/>
      <x:c r="BH635" s="11"/>
      <x:c r="BI635" s="11"/>
      <x:c r="BJ635" s="11"/>
      <x:c r="BK635" s="12"/>
      <x:c r="BL635" s="12"/>
      <x:c r="BM635" s="12"/>
      <x:c r="BN635" s="12"/>
      <x:c r="BO635" s="12"/>
      <x:c r="BP635" s="12"/>
      <x:c r="BQ635" s="12"/>
      <x:c r="BR635" s="12"/>
      <x:c r="BS635" s="12"/>
      <x:c r="BT635" s="12"/>
      <x:c r="BU635" s="11" t="n">
        <x:v>0</x:v>
      </x:c>
      <x:c r="BV635" s="11" t="n">
        <x:v>804022</x:v>
      </x:c>
      <x:c r="BW635" s="11" t="n">
        <x:v>1074791</x:v>
      </x:c>
      <x:c r="BX635" s="11" t="n">
        <x:v>93125</x:v>
      </x:c>
      <x:c r="BY635" s="11" t="n">
        <x:v>5139</x:v>
      </x:c>
      <x:c r="BZ635" s="11" t="n">
        <x:v>0</x:v>
      </x:c>
      <x:c r="CA635" s="11" t="n">
        <x:v>533746</x:v>
      </x:c>
      <x:c r="CB635" s="11" t="n">
        <x:v>0</x:v>
      </x:c>
      <x:c r="CC635" s="11" t="n">
        <x:v>446806</x:v>
      </x:c>
      <x:c r="CD635" s="11" t="n">
        <x:v>59631</x:v>
      </x:c>
      <x:c r="CE635" s="11" t="n">
        <x:v>106466</x:v>
      </x:c>
      <x:c r="CF635" s="11" t="n">
        <x:v>0</x:v>
      </x:c>
      <x:c r="CG635" s="11" t="n">
        <x:v>0</x:v>
      </x:c>
      <x:c r="CH635" s="11" t="n">
        <x:v>1077060</x:v>
      </x:c>
      <x:c r="CI635" s="11" t="n">
        <x:v>22459</x:v>
      </x:c>
      <x:c r="CJ635" s="11" t="n">
        <x:v>246326</x:v>
      </x:c>
      <x:c r="CK635" s="11" t="n">
        <x:v>98267</x:v>
      </x:c>
      <x:c r="CL635" s="11" t="n">
        <x:v>0</x:v>
      </x:c>
      <x:c r="CM635" s="11"/>
      <x:c r="CN635" s="11" t="n">
        <x:v>0</x:v>
      </x:c>
      <x:c r="CO635" s="11" t="n">
        <x:v>0</x:v>
      </x:c>
      <x:c r="CP635" s="8"/>
      <x:c r="CQ635" s="8"/>
    </x:row>
    <x:row r="636">
      <x:c r="A636" s="8" t="str">
        <x:v>Port Edward|2021</x:v>
      </x:c>
      <x:c r="B636" s="8" t="str">
        <x:v>port-edward-d</x:v>
      </x:c>
      <x:c r="C636" s="8" t="str">
        <x:v>Port Edward</x:v>
      </x:c>
      <x:c r="D636" s="8" t="str">
        <x:v>Port Edward</x:v>
      </x:c>
      <x:c r="E636" s="8" t="str">
        <x:v>D</x:v>
      </x:c>
      <x:c r="F636" s="8" t="str">
        <x:v>NCRD</x:v>
      </x:c>
      <x:c r="G636" s="9" t="n">
        <x:v>2021</x:v>
      </x:c>
      <x:c r="H636" s="10" t="n">
        <x:v>462</x:v>
      </x:c>
      <x:c r="I636" s="8" t="str">
        <x:v>Under 5,000</x:v>
      </x:c>
      <x:c r="J636" s="11" t="n">
        <x:v>5935237</x:v>
      </x:c>
      <x:c r="K636" s="11" t="n">
        <x:v>3241773</x:v>
      </x:c>
      <x:c r="L636" s="11" t="n">
        <x:v>2693464</x:v>
      </x:c>
      <x:c r="M636" s="12" t="n">
        <x:v>0.45380900543651415</x:v>
      </x:c>
      <x:c r="N636" s="11" t="n">
        <x:v>1209862</x:v>
      </x:c>
      <x:c r="O636" s="11" t="n">
        <x:v>781949</x:v>
      </x:c>
      <x:c r="P636" s="11" t="n">
        <x:v>3573805</x:v>
      </x:c>
      <x:c r="Q636" s="11" t="n">
        <x:v>369621</x:v>
      </x:c>
      <x:c r="R636" s="11" t="n">
        <x:v>2278033</x:v>
      </x:c>
      <x:c r="S636" s="11" t="n">
        <x:v>905990</x:v>
      </x:c>
      <x:c r="T636" s="11" t="n">
        <x:v>9192060</x:v>
      </x:c>
      <x:c r="U636" s="11" t="n">
        <x:v>4109126</x:v>
      </x:c>
      <x:c r="V636" s="11" t="n">
        <x:v>5967405</x:v>
      </x:c>
      <x:c r="W636" s="11" t="n">
        <x:v>1480612</x:v>
      </x:c>
      <x:c r="X636" s="11" t="n">
        <x:v>908326</x:v>
      </x:c>
      <x:c r="Y636" s="11" t="n">
        <x:v>0</x:v>
      </x:c>
      <x:c r="Z636" s="11" t="n">
        <x:v>74912</x:v>
      </x:c>
      <x:c r="AA636" s="11" t="n">
        <x:v>809747</x:v>
      </x:c>
      <x:c r="AB636" s="11" t="n">
        <x:v>57750</x:v>
      </x:c>
      <x:c r="AC636" s="11" t="n">
        <x:v>132662</x:v>
      </x:c>
      <x:c r="AD636" s="11" t="n">
        <x:v>732610</x:v>
      </x:c>
      <x:c r="AE636" s="11" t="n">
        <x:v>599948</x:v>
      </x:c>
      <x:c r="AF636" s="11" t="n">
        <x:v>2930440</x:v>
      </x:c>
      <x:c r="AG636" s="11" t="n">
        <x:v>30854071</x:v>
      </x:c>
      <x:c r="AH636" s="11" t="n">
        <x:v>12225634</x:v>
      </x:c>
      <x:c r="AI636" s="11" t="n">
        <x:v>18628437</x:v>
      </x:c>
      <x:c r="AJ636" s="11" t="n">
        <x:v>4261282</x:v>
      </x:c>
      <x:c r="AK636" s="11" t="n">
        <x:v>18628437</x:v>
      </x:c>
      <x:c r="AL636" s="11" t="n">
        <x:v>12165376</x:v>
      </x:c>
      <x:c r="AM636" s="12" t="n">
        <x:v>0.34694596224041774</x:v>
      </x:c>
      <x:c r="AN636" s="12" t="n">
        <x:v>0.22875145134291192</x:v>
      </x:c>
      <x:c r="AO636" s="11" t="n">
        <x:v>1919671</x:v>
      </x:c>
      <x:c r="AP636" s="11" t="n">
        <x:v>1788948</x:v>
      </x:c>
      <x:c r="AQ636" s="12" t="n">
        <x:v>0.9319034355366101</x:v>
      </x:c>
      <x:c r="AR636" s="11" t="n">
        <x:v>12846.833333333334</x:v>
      </x:c>
      <x:c r="AS636" s="11" t="n">
        <x:v>7016.824675324675</x:v>
      </x:c>
      <x:c r="AT636" s="11" t="n">
        <x:v>12916.461038961039</x:v>
      </x:c>
      <x:c r="AU636" s="11" t="n">
        <x:v>3204.787878787879</x:v>
      </x:c>
      <x:c r="AV636" s="11" t="n">
        <x:v>1752.6991341991343</x:v>
      </x:c>
      <x:c r="AW636" s="11" t="n">
        <x:v>2.2369866487423358</x:v>
      </x:c>
      <x:c r="AX636" s="12" t="n">
        <x:v>0.8189186606789424</x:v>
      </x:c>
      <x:c r="AY636" s="11"/>
      <x:c r="AZ636" s="11"/>
      <x:c r="BA636" s="11"/>
      <x:c r="BB636" s="11"/>
      <x:c r="BC636" s="11"/>
      <x:c r="BD636" s="11"/>
      <x:c r="BE636" s="11"/>
      <x:c r="BF636" s="11"/>
      <x:c r="BG636" s="11"/>
      <x:c r="BH636" s="11"/>
      <x:c r="BI636" s="11"/>
      <x:c r="BJ636" s="11"/>
      <x:c r="BK636" s="12"/>
      <x:c r="BL636" s="12"/>
      <x:c r="BM636" s="12"/>
      <x:c r="BN636" s="12"/>
      <x:c r="BO636" s="12"/>
      <x:c r="BP636" s="12"/>
      <x:c r="BQ636" s="12"/>
      <x:c r="BR636" s="12"/>
      <x:c r="BS636" s="12"/>
      <x:c r="BT636" s="12"/>
      <x:c r="BU636" s="11" t="n">
        <x:v>0</x:v>
      </x:c>
      <x:c r="BV636" s="11" t="n">
        <x:v>2405827</x:v>
      </x:c>
      <x:c r="BW636" s="11" t="n">
        <x:v>1167978</x:v>
      </x:c>
      <x:c r="BX636" s="11" t="n">
        <x:v>45991</x:v>
      </x:c>
      <x:c r="BY636" s="11" t="n">
        <x:v>234615</x:v>
      </x:c>
      <x:c r="BZ636" s="11" t="n">
        <x:v>0</x:v>
      </x:c>
      <x:c r="CA636" s="11" t="n">
        <x:v>89015</x:v>
      </x:c>
      <x:c r="CB636" s="11" t="n">
        <x:v>0</x:v>
      </x:c>
      <x:c r="CC636" s="11" t="n">
        <x:v>770175</x:v>
      </x:c>
      <x:c r="CD636" s="11" t="n">
        <x:v>75999</x:v>
      </x:c>
      <x:c r="CE636" s="11" t="n">
        <x:v>112672</x:v>
      </x:c>
      <x:c r="CF636" s="11" t="n">
        <x:v>0</x:v>
      </x:c>
      <x:c r="CG636" s="11" t="n">
        <x:v>0</x:v>
      </x:c>
      <x:c r="CH636" s="11" t="n">
        <x:v>948744</x:v>
      </x:c>
      <x:c r="CI636" s="11" t="n">
        <x:v>43907</x:v>
      </x:c>
      <x:c r="CJ636" s="11" t="n">
        <x:v>245396</x:v>
      </x:c>
      <x:c r="CK636" s="11" t="n">
        <x:v>138890</x:v>
      </x:c>
      <x:c r="CL636" s="11" t="n">
        <x:v>0</x:v>
      </x:c>
      <x:c r="CM636" s="11"/>
      <x:c r="CN636" s="11" t="n">
        <x:v>0</x:v>
      </x:c>
      <x:c r="CO636" s="11" t="n">
        <x:v>0</x:v>
      </x:c>
      <x:c r="CP636" s="8"/>
      <x:c r="CQ636" s="8"/>
    </x:row>
    <x:row r="637">
      <x:c r="A637" s="8" t="str">
        <x:v>Port Edward|2022</x:v>
      </x:c>
      <x:c r="B637" s="8" t="str">
        <x:v>port-edward-d</x:v>
      </x:c>
      <x:c r="C637" s="8" t="str">
        <x:v>Port Edward</x:v>
      </x:c>
      <x:c r="D637" s="8" t="str">
        <x:v>Port Edward</x:v>
      </x:c>
      <x:c r="E637" s="8" t="str">
        <x:v>D</x:v>
      </x:c>
      <x:c r="F637" s="8" t="str">
        <x:v>NCRD</x:v>
      </x:c>
      <x:c r="G637" s="9" t="n">
        <x:v>2022</x:v>
      </x:c>
      <x:c r="H637" s="10" t="n">
        <x:v>4426</x:v>
      </x:c>
      <x:c r="I637" s="8" t="str">
        <x:v>Under 5,000</x:v>
      </x:c>
      <x:c r="J637" s="11" t="n">
        <x:v>4024465</x:v>
      </x:c>
      <x:c r="K637" s="11" t="n">
        <x:v>3662163</x:v>
      </x:c>
      <x:c r="L637" s="11" t="n">
        <x:v>362302</x:v>
      </x:c>
      <x:c r="M637" s="12" t="n">
        <x:v>0.09002488529531255</x:v>
      </x:c>
      <x:c r="N637" s="11" t="n">
        <x:v>934362</x:v>
      </x:c>
      <x:c r="O637" s="11" t="n">
        <x:v>646245</x:v>
      </x:c>
      <x:c r="P637" s="11" t="n">
        <x:v>2332019</x:v>
      </x:c>
      <x:c r="Q637" s="11" t="n">
        <x:v>111839</x:v>
      </x:c>
      <x:c r="R637" s="11" t="n">
        <x:v>2659912</x:v>
      </x:c>
      <x:c r="S637" s="11" t="n">
        <x:v>940373</x:v>
      </x:c>
      <x:c r="T637" s="11" t="n">
        <x:v>8956084</x:v>
      </x:c>
      <x:c r="U637" s="11" t="n">
        <x:v>3653541</x:v>
      </x:c>
      <x:c r="V637" s="11" t="n">
        <x:v>6215351</x:v>
      </x:c>
      <x:c r="W637" s="11" t="n">
        <x:v>1917225</x:v>
      </x:c>
      <x:c r="X637" s="11" t="n">
        <x:v>809747</x:v>
      </x:c>
      <x:c r="Y637" s="11" t="n">
        <x:v>0</x:v>
      </x:c>
      <x:c r="Z637" s="11" t="n">
        <x:v>74912</x:v>
      </x:c>
      <x:c r="AA637" s="11" t="n">
        <x:v>707225</x:v>
      </x:c>
      <x:c r="AB637" s="11" t="n">
        <x:v>61878</x:v>
      </x:c>
      <x:c r="AC637" s="11" t="n">
        <x:v>136790</x:v>
      </x:c>
      <x:c r="AD637" s="11" t="n">
        <x:v>389581</x:v>
      </x:c>
      <x:c r="AE637" s="11" t="n">
        <x:v>252791</x:v>
      </x:c>
      <x:c r="AF637" s="11" t="n">
        <x:v>1558323</x:v>
      </x:c>
      <x:c r="AG637" s="11" t="n">
        <x:v>31852980</x:v>
      </x:c>
      <x:c r="AH637" s="11" t="n">
        <x:v>13099487</x:v>
      </x:c>
      <x:c r="AI637" s="11" t="n">
        <x:v>18753493</x:v>
      </x:c>
      <x:c r="AJ637" s="11" t="n">
        <x:v>1065430</x:v>
      </x:c>
      <x:c r="AK637" s="11" t="n">
        <x:v>18753493</x:v>
      </x:c>
      <x:c r="AL637" s="11" t="n">
        <x:v>13099487</x:v>
      </x:c>
      <x:c r="AM637" s="12" t="n">
        <x:v>0.301490820936665</x:v>
      </x:c>
      <x:c r="AN637" s="12" t="n">
        <x:v>0.05681234957135719</x:v>
      </x:c>
      <x:c r="AO637" s="11" t="n">
        <x:v>1721543</x:v>
      </x:c>
      <x:c r="AP637" s="11" t="n">
        <x:v>1585388</x:v>
      </x:c>
      <x:c r="AQ637" s="12" t="n">
        <x:v>0.9209110664096104</x:v>
      </x:c>
      <x:c r="AR637" s="11" t="n">
        <x:v>909.2781292363308</x:v>
      </x:c>
      <x:c r="AS637" s="11" t="n">
        <x:v>827.4204699502938</x:v>
      </x:c>
      <x:c r="AT637" s="11" t="n">
        <x:v>1404.2817442385901</x:v>
      </x:c>
      <x:c r="AU637" s="11" t="n">
        <x:v>433.17329417080884</x:v>
      </x:c>
      <x:c r="AV637" s="11" t="n">
        <x:v>159.7887483054677</x:v>
      </x:c>
      <x:c r="AW637" s="11" t="n">
        <x:v>2.451343504835446</x:v>
      </x:c>
      <x:c r="AX637" s="12" t="n">
        <x:v>0.6488791804528455</x:v>
      </x:c>
      <x:c r="AY637" s="11"/>
      <x:c r="AZ637" s="11"/>
      <x:c r="BA637" s="11"/>
      <x:c r="BB637" s="11"/>
      <x:c r="BC637" s="11"/>
      <x:c r="BD637" s="11"/>
      <x:c r="BE637" s="11"/>
      <x:c r="BF637" s="11"/>
      <x:c r="BG637" s="11"/>
      <x:c r="BH637" s="11"/>
      <x:c r="BI637" s="11"/>
      <x:c r="BJ637" s="11"/>
      <x:c r="BK637" s="12"/>
      <x:c r="BL637" s="12"/>
      <x:c r="BM637" s="12"/>
      <x:c r="BN637" s="12"/>
      <x:c r="BO637" s="12"/>
      <x:c r="BP637" s="12"/>
      <x:c r="BQ637" s="12"/>
      <x:c r="BR637" s="12"/>
      <x:c r="BS637" s="12"/>
      <x:c r="BT637" s="12"/>
      <x:c r="BU637" s="11" t="n">
        <x:v>0</x:v>
      </x:c>
      <x:c r="BV637" s="11" t="n">
        <x:v>1307888</x:v>
      </x:c>
      <x:c r="BW637" s="11" t="n">
        <x:v>1024131</x:v>
      </x:c>
      <x:c r="BX637" s="11" t="n">
        <x:v>113882</x:v>
      </x:c>
      <x:c r="BY637" s="11" t="n">
        <x:v>-2043</x:v>
      </x:c>
      <x:c r="BZ637" s="11" t="n">
        <x:v>0</x:v>
      </x:c>
      <x:c r="CA637" s="11" t="n">
        <x:v>0</x:v>
      </x:c>
      <x:c r="CB637" s="11" t="n">
        <x:v>0</x:v>
      </x:c>
      <x:c r="CC637" s="11" t="n">
        <x:v>919424</x:v>
      </x:c>
      <x:c r="CD637" s="11" t="n">
        <x:v>63804</x:v>
      </x:c>
      <x:c r="CE637" s="11" t="n">
        <x:v>104985</x:v>
      </x:c>
      <x:c r="CF637" s="11" t="n">
        <x:v>0</x:v>
      </x:c>
      <x:c r="CG637" s="11" t="n">
        <x:v>0</x:v>
      </x:c>
      <x:c r="CH637" s="11" t="n">
        <x:v>1114617</x:v>
      </x:c>
      <x:c r="CI637" s="11" t="n">
        <x:v>103252</x:v>
      </x:c>
      <x:c r="CJ637" s="11" t="n">
        <x:v>295052</x:v>
      </x:c>
      <x:c r="CK637" s="11" t="n">
        <x:v>120656</x:v>
      </x:c>
      <x:c r="CL637" s="11" t="n">
        <x:v>0</x:v>
      </x:c>
      <x:c r="CM637" s="11"/>
      <x:c r="CN637" s="11" t="n">
        <x:v>0</x:v>
      </x:c>
      <x:c r="CO637" s="11" t="n">
        <x:v>0</x:v>
      </x:c>
      <x:c r="CP637" s="8"/>
      <x:c r="CQ637" s="8"/>
    </x:row>
    <x:row r="638">
      <x:c r="A638" s="8" t="str">
        <x:v>Port Edward|2023</x:v>
      </x:c>
      <x:c r="B638" s="8" t="str">
        <x:v>port-edward-d</x:v>
      </x:c>
      <x:c r="C638" s="8" t="str">
        <x:v>Port Edward</x:v>
      </x:c>
      <x:c r="D638" s="8" t="str">
        <x:v>Port Edward</x:v>
      </x:c>
      <x:c r="E638" s="8" t="str">
        <x:v>D</x:v>
      </x:c>
      <x:c r="F638" s="8" t="str">
        <x:v>NCRD</x:v>
      </x:c>
      <x:c r="G638" s="9" t="n">
        <x:v>2023</x:v>
      </x:c>
      <x:c r="H638" s="10" t="n">
        <x:v>493</x:v>
      </x:c>
      <x:c r="I638" s="8" t="str">
        <x:v>Under 5,000</x:v>
      </x:c>
      <x:c r="J638" s="11" t="n">
        <x:v>4166530</x:v>
      </x:c>
      <x:c r="K638" s="11" t="n">
        <x:v>3498046</x:v>
      </x:c>
      <x:c r="L638" s="11" t="n">
        <x:v>668484</x:v>
      </x:c>
      <x:c r="M638" s="12" t="n">
        <x:v>0.1604414224786573</x:v>
      </x:c>
      <x:c r="N638" s="11" t="n">
        <x:v>2274763</x:v>
      </x:c>
      <x:c r="O638" s="11" t="n">
        <x:v>487668</x:v>
      </x:c>
      <x:c r="P638" s="11" t="n">
        <x:v>1033920</x:v>
      </x:c>
      <x:c r="Q638" s="11" t="n">
        <x:v>370179</x:v>
      </x:c>
      <x:c r="R638" s="11" t="n">
        <x:v>2452092</x:v>
      </x:c>
      <x:c r="S638" s="11" t="n">
        <x:v>984447</x:v>
      </x:c>
      <x:c r="T638" s="11" t="n">
        <x:v>8952953</x:v>
      </x:c>
      <x:c r="U638" s="11" t="n">
        <x:v>4404124</x:v>
      </x:c>
      <x:c r="V638" s="11" t="n">
        <x:v>5524001</x:v>
      </x:c>
      <x:c r="W638" s="11" t="n">
        <x:v>5008182</x:v>
      </x:c>
      <x:c r="X638" s="11" t="n">
        <x:v>707225</x:v>
      </x:c>
      <x:c r="Y638" s="11" t="n">
        <x:v>0</x:v>
      </x:c>
      <x:c r="Z638" s="11" t="n">
        <x:v>74912</x:v>
      </x:c>
      <x:c r="AA638" s="11" t="n">
        <x:v>600603</x:v>
      </x:c>
      <x:c r="AB638" s="11" t="n">
        <x:v>61507</x:v>
      </x:c>
      <x:c r="AC638" s="11" t="n">
        <x:v>136419</x:v>
      </x:c>
      <x:c r="AD638" s="11" t="n">
        <x:v>735550</x:v>
      </x:c>
      <x:c r="AE638" s="11" t="n">
        <x:v>599131</x:v>
      </x:c>
      <x:c r="AF638" s="11" t="n">
        <x:v>2942198</x:v>
      </x:c>
      <x:c r="AG638" s="11" t="n">
        <x:v>33951612</x:v>
      </x:c>
      <x:c r="AH638" s="11" t="n">
        <x:v>14154924</x:v>
      </x:c>
      <x:c r="AI638" s="11" t="n">
        <x:v>19796688</x:v>
      </x:c>
      <x:c r="AJ638" s="11" t="n">
        <x:v>2026963</x:v>
      </x:c>
      <x:c r="AK638" s="11" t="n">
        <x:v>19796688</x:v>
      </x:c>
      <x:c r="AL638" s="11" t="n">
        <x:v>14088298</x:v>
      </x:c>
      <x:c r="AM638" s="12" t="n">
        <x:v>0.2883507584703058</x:v>
      </x:c>
      <x:c r="AN638" s="12" t="n">
        <x:v>0.10238899557340096</x:v>
      </x:c>
      <x:c r="AO638" s="11" t="n">
        <x:v>3142142</x:v>
      </x:c>
      <x:c r="AP638" s="11" t="n">
        <x:v>2949492</x:v>
      </x:c>
      <x:c r="AQ638" s="12" t="n">
        <x:v>0.9386883215335271</x:v>
      </x:c>
      <x:c r="AR638" s="11" t="n">
        <x:v>8451.379310344828</x:v>
      </x:c>
      <x:c r="AS638" s="11" t="n">
        <x:v>7095.4279918864095</x:v>
      </x:c>
      <x:c r="AT638" s="11" t="n">
        <x:v>11204.87018255578</x:v>
      </x:c>
      <x:c r="AU638" s="11" t="n">
        <x:v>10158.584178498986</x:v>
      </x:c>
      <x:c r="AV638" s="11" t="n">
        <x:v>1218.261663286004</x:v>
      </x:c>
      <x:c r="AW638" s="11" t="n">
        <x:v>2.032856704307145</x:v>
      </x:c>
      <x:c r="AX638" s="12" t="n">
        <x:v>0.8145347019237306</x:v>
      </x:c>
      <x:c r="AY638" s="11"/>
      <x:c r="AZ638" s="11"/>
      <x:c r="BA638" s="11"/>
      <x:c r="BB638" s="11"/>
      <x:c r="BC638" s="11"/>
      <x:c r="BD638" s="11"/>
      <x:c r="BE638" s="11"/>
      <x:c r="BF638" s="11"/>
      <x:c r="BG638" s="11"/>
      <x:c r="BH638" s="11"/>
      <x:c r="BI638" s="11"/>
      <x:c r="BJ638" s="11"/>
      <x:c r="BK638" s="12"/>
      <x:c r="BL638" s="12"/>
      <x:c r="BM638" s="12"/>
      <x:c r="BN638" s="12"/>
      <x:c r="BO638" s="12"/>
      <x:c r="BP638" s="12"/>
      <x:c r="BQ638" s="12"/>
      <x:c r="BR638" s="12"/>
      <x:c r="BS638" s="12"/>
      <x:c r="BT638" s="12"/>
      <x:c r="BU638" s="11" t="n">
        <x:v>0</x:v>
      </x:c>
      <x:c r="BV638" s="11" t="n">
        <x:v>538000</x:v>
      </x:c>
      <x:c r="BW638" s="11" t="n">
        <x:v>495920</x:v>
      </x:c>
      <x:c r="BX638" s="11" t="n">
        <x:v>232115</x:v>
      </x:c>
      <x:c r="BY638" s="11" t="n">
        <x:v>-47748</x:v>
      </x:c>
      <x:c r="BZ638" s="11" t="n">
        <x:v>0</x:v>
      </x:c>
      <x:c r="CA638" s="11" t="n">
        <x:v>0</x:v>
      </x:c>
      <x:c r="CB638" s="11" t="n">
        <x:v>185812</x:v>
      </x:c>
      <x:c r="CC638" s="11" t="n">
        <x:v>940389</x:v>
      </x:c>
      <x:c r="CD638" s="11" t="n">
        <x:v>94576</x:v>
      </x:c>
      <x:c r="CE638" s="11" t="n">
        <x:v>99817</x:v>
      </x:c>
      <x:c r="CF638" s="11" t="n">
        <x:v>0</x:v>
      </x:c>
      <x:c r="CG638" s="11" t="n">
        <x:v>0</x:v>
      </x:c>
      <x:c r="CH638" s="11" t="n">
        <x:v>912878</x:v>
      </x:c>
      <x:c r="CI638" s="11" t="n">
        <x:v>50271</x:v>
      </x:c>
      <x:c r="CJ638" s="11" t="n">
        <x:v>310700</x:v>
      </x:c>
      <x:c r="CK638" s="11" t="n">
        <x:v>102398</x:v>
      </x:c>
      <x:c r="CL638" s="11" t="n">
        <x:v>0</x:v>
      </x:c>
      <x:c r="CM638" s="11" t="n">
        <x:v>2570</x:v>
      </x:c>
      <x:c r="CN638" s="11" t="n">
        <x:v>0</x:v>
      </x:c>
      <x:c r="CO638" s="11" t="n">
        <x:v>0</x:v>
      </x:c>
      <x:c r="CP638" s="8"/>
      <x:c r="CQ638" s="8"/>
    </x:row>
    <x:row r="639">
      <x:c r="A639" s="8" t="str">
        <x:v>Port Edward|2024</x:v>
      </x:c>
      <x:c r="B639" s="8" t="str">
        <x:v>port-edward-d</x:v>
      </x:c>
      <x:c r="C639" s="8" t="str">
        <x:v>Port Edward</x:v>
      </x:c>
      <x:c r="D639" s="8" t="str">
        <x:v>Port Edward</x:v>
      </x:c>
      <x:c r="E639" s="8" t="str">
        <x:v>D</x:v>
      </x:c>
      <x:c r="F639" s="8" t="str">
        <x:v>NCRD</x:v>
      </x:c>
      <x:c r="G639" s="9" t="n">
        <x:v>2024</x:v>
      </x:c>
      <x:c r="H639" s="10" t="n">
        <x:v>493</x:v>
      </x:c>
      <x:c r="I639" s="8" t="str">
        <x:v>Under 5,000</x:v>
      </x:c>
      <x:c r="J639" s="11" t="n">
        <x:v>5425058</x:v>
      </x:c>
      <x:c r="K639" s="11" t="n">
        <x:v>4139973</x:v>
      </x:c>
      <x:c r="L639" s="11" t="n">
        <x:v>1285085</x:v>
      </x:c>
      <x:c r="M639" s="12" t="n">
        <x:v>0.23687949511323197</x:v>
      </x:c>
      <x:c r="N639" s="11" t="n">
        <x:v>2514858</x:v>
      </x:c>
      <x:c r="O639" s="11" t="n">
        <x:v>684125</x:v>
      </x:c>
      <x:c r="P639" s="11" t="n">
        <x:v>1652022</x:v>
      </x:c>
      <x:c r="Q639" s="11" t="n">
        <x:v>574053</x:v>
      </x:c>
      <x:c r="R639" s="11" t="n">
        <x:v>3081684</x:v>
      </x:c>
      <x:c r="S639" s="11" t="n">
        <x:v>990489</x:v>
      </x:c>
      <x:c r="T639" s="11" t="n">
        <x:v>11078659</x:v>
      </x:c>
      <x:c r="U639" s="11" t="n">
        <x:v>2234682</x:v>
      </x:c>
      <x:c r="V639" s="11" t="n">
        <x:v>9443336</x:v>
      </x:c>
      <x:c r="W639" s="11" t="n">
        <x:v>2615050</x:v>
      </x:c>
      <x:c r="X639" s="11" t="n">
        <x:v>600602</x:v>
      </x:c>
      <x:c r="Y639" s="11" t="n">
        <x:v>0</x:v>
      </x:c>
      <x:c r="Z639" s="11" t="n">
        <x:v>80522</x:v>
      </x:c>
      <x:c r="AA639" s="11" t="n">
        <x:v>488601</x:v>
      </x:c>
      <x:c r="AB639" s="11" t="n">
        <x:v>67800</x:v>
      </x:c>
      <x:c r="AC639" s="11" t="n">
        <x:v>148322</x:v>
      </x:c>
      <x:c r="AD639" s="11" t="n">
        <x:v>844567</x:v>
      </x:c>
      <x:c r="AE639" s="11" t="n">
        <x:v>696245</x:v>
      </x:c>
      <x:c r="AF639" s="11" t="n">
        <x:v>3378269</x:v>
      </x:c>
      <x:c r="AG639" s="11" t="n">
        <x:v>34894074</x:v>
      </x:c>
      <x:c r="AH639" s="11" t="n">
        <x:v>15142334</x:v>
      </x:c>
      <x:c r="AI639" s="11" t="n">
        <x:v>19751740</x:v>
      </x:c>
      <x:c r="AJ639" s="11" t="n">
        <x:v>945541</x:v>
      </x:c>
      <x:c r="AK639" s="11" t="n">
        <x:v>34781683</x:v>
      </x:c>
      <x:c r="AL639" s="11" t="n">
        <x:v>984226</x:v>
      </x:c>
      <x:c r="AM639" s="12" t="n">
        <x:v>0.971702749404047</x:v>
      </x:c>
      <x:c r="AN639" s="12" t="n">
        <x:v>0.027185027245518856</x:v>
      </x:c>
      <x:c r="AO639" s="11" t="n">
        <x:v>2442988</x:v>
      </x:c>
      <x:c r="AP639" s="11" t="n">
        <x:v>2242532</x:v>
      </x:c>
      <x:c r="AQ639" s="12" t="n">
        <x:v>0.9179463836907917</x:v>
      </x:c>
      <x:c r="AR639" s="11" t="n">
        <x:v>11004.17444219067</x:v>
      </x:c>
      <x:c r="AS639" s="11" t="n">
        <x:v>8397.511156186612</x:v>
      </x:c>
      <x:c r="AT639" s="11" t="n">
        <x:v>19154.839756592293</x:v>
      </x:c>
      <x:c r="AU639" s="11" t="n">
        <x:v>5304.361054766734</x:v>
      </x:c>
      <x:c r="AV639" s="11" t="n">
        <x:v>991.077079107505</x:v>
      </x:c>
      <x:c r="AW639" s="11" t="n">
        <x:v>4.957599783772367</x:v>
      </x:c>
      <x:c r="AX639" s="12" t="n">
        <x:v>0.8243810141764951</x:v>
      </x:c>
      <x:c r="AY639" s="11" t="n">
        <x:v>4486.511144130758</x:v>
      </x:c>
      <x:c r="AZ639" s="11" t="n">
        <x:v>3546.5079302077975</x:v>
      </x:c>
      <x:c r="BA639" s="11" t="n">
        <x:v>3557.844717668488</x:v>
      </x:c>
      <x:c r="BB639" s="11" t="n">
        <x:v>2783.665107049771</x:v>
      </x:c>
      <x:c r="BC639" s="11" t="n">
        <x:v>5496.677373974208</x:v>
      </x:c>
      <x:c r="BD639" s="11" t="n">
        <x:v>2437.8724475115623</x:v>
      </x:c>
      <x:c r="BE639" s="11" t="n">
        <x:v>3386.4506393861893</x:v>
      </x:c>
      <x:c r="BF639" s="11" t="n">
        <x:v>1604.3462673977224</x:v>
      </x:c>
      <x:c r="BG639" s="11" t="n">
        <x:v>624.7436119532265</x:v>
      </x:c>
      <x:c r="BH639" s="11" t="n">
        <x:v>518.5374381567245</x:v>
      </x:c>
      <x:c r="BI639" s="11" t="n">
        <x:v>3.324657351485151</x:v>
      </x:c>
      <x:c r="BJ639" s="11" t="n">
        <x:v>1.7099330852451193</x:v>
      </x:c>
      <x:c r="BK639" s="12" t="n">
        <x:v>0.02521828600111612</x:v>
      </x:c>
      <x:c r="BL639" s="12" t="n">
        <x:v>0.02529861000232605</x:v>
      </x:c>
      <x:c r="BM639" s="12" t="n">
        <x:v>0.9816336034641139</x:v>
      </x:c>
      <x:c r="BN639" s="12" t="n">
        <x:v>0.9815511712696461</x:v>
      </x:c>
      <x:c r="BO639" s="12" t="n">
        <x:v>0.8531878894527055</x:v>
      </x:c>
      <x:c r="BP639" s="12" t="n">
        <x:v>0.8619101997275483</x:v>
      </x:c>
      <x:c r="BQ639" s="12" t="n">
        <x:v>0.9614729661922712</x:v>
      </x:c>
      <x:c r="BR639" s="12" t="n">
        <x:v>0.9623635142836453</x:v>
      </x:c>
      <x:c r="BS639" s="12" t="n">
        <x:v>0.23352896680225554</x:v>
      </x:c>
      <x:c r="BT639" s="12" t="n">
        <x:v>0.19976549769108282</x:v>
      </x:c>
      <x:c r="BU639" s="11" t="n">
        <x:v>133184</x:v>
      </x:c>
      <x:c r="BV639" s="11" t="n">
        <x:v>1443838</x:v>
      </x:c>
      <x:c r="BW639" s="11" t="n">
        <x:v>75000</x:v>
      </x:c>
      <x:c r="BX639" s="11" t="n">
        <x:v>410111</x:v>
      </x:c>
      <x:c r="BY639" s="11" t="n">
        <x:v>0</x:v>
      </x:c>
      <x:c r="BZ639" s="11" t="n">
        <x:v>120000</x:v>
      </x:c>
      <x:c r="CA639" s="11" t="n">
        <x:v>43942</x:v>
      </x:c>
      <x:c r="CB639" s="11" t="n">
        <x:v>0</x:v>
      </x:c>
      <x:c r="CC639" s="11" t="n">
        <x:v>1541304</x:v>
      </x:c>
      <x:c r="CD639" s="11" t="n">
        <x:v>87722</x:v>
      </x:c>
      <x:c r="CE639" s="11" t="n">
        <x:v>96110</x:v>
      </x:c>
      <x:c r="CF639" s="11" t="n">
        <x:v>0</x:v>
      </x:c>
      <x:c r="CG639" s="11" t="n">
        <x:v>0</x:v>
      </x:c>
      <x:c r="CH639" s="11" t="n">
        <x:v>853618</x:v>
      </x:c>
      <x:c r="CI639" s="11" t="n">
        <x:v>22948</x:v>
      </x:c>
      <x:c r="CJ639" s="11" t="n">
        <x:v>374926</x:v>
      </x:c>
      <x:c r="CK639" s="11" t="n">
        <x:v>170412</x:v>
      </x:c>
      <x:c r="CL639" s="11" t="n">
        <x:v>0</x:v>
      </x:c>
      <x:c r="CM639" s="11" t="n">
        <x:v>2444</x:v>
      </x:c>
      <x:c r="CN639" s="11" t="n">
        <x:v>0</x:v>
      </x:c>
      <x:c r="CO639" s="11" t="n">
        <x:v>0</x:v>
      </x:c>
      <x:c r="CP639" s="8"/>
      <x:c r="CQ639" s="8"/>
    </x:row>
    <x:row r="640">
      <x:c r="A640" s="8" t="str">
        <x:v>Port Hardy|2019</x:v>
      </x:c>
      <x:c r="B640" s="8" t="str">
        <x:v>port-hardy-d</x:v>
      </x:c>
      <x:c r="C640" s="8" t="str">
        <x:v>Port Hardy</x:v>
      </x:c>
      <x:c r="D640" s="8" t="str">
        <x:v>Port Hardy</x:v>
      </x:c>
      <x:c r="E640" s="8" t="str">
        <x:v>D</x:v>
      </x:c>
      <x:c r="F640" s="8" t="str">
        <x:v>MW</x:v>
      </x:c>
      <x:c r="G640" s="9" t="n">
        <x:v>2019</x:v>
      </x:c>
      <x:c r="H640" s="10" t="n">
        <x:v>4315</x:v>
      </x:c>
      <x:c r="I640" s="8" t="str">
        <x:v>Under 5,000</x:v>
      </x:c>
      <x:c r="J640" s="11" t="n">
        <x:v>10597514</x:v>
      </x:c>
      <x:c r="K640" s="11" t="n">
        <x:v>8626112</x:v>
      </x:c>
      <x:c r="L640" s="11" t="n">
        <x:v>1971402</x:v>
      </x:c>
      <x:c r="M640" s="12" t="n">
        <x:v>0.18602494887008406</x:v>
      </x:c>
      <x:c r="N640" s="11" t="n">
        <x:v>3521438</x:v>
      </x:c>
      <x:c r="O640" s="11" t="n">
        <x:v>3943387</x:v>
      </x:c>
      <x:c r="P640" s="11" t="n">
        <x:v>1874009</x:v>
      </x:c>
      <x:c r="Q640" s="11" t="n">
        <x:v>1258680</x:v>
      </x:c>
      <x:c r="R640" s="11" t="n">
        <x:v>6437254</x:v>
      </x:c>
      <x:c r="S640" s="11" t="n">
        <x:v>2156450</x:v>
      </x:c>
      <x:c r="T640" s="11" t="n">
        <x:v>7716136</x:v>
      </x:c>
      <x:c r="U640" s="11" t="n">
        <x:v>2735644</x:v>
      </x:c>
      <x:c r="V640" s="11" t="n">
        <x:v>7730262</x:v>
      </x:c>
      <x:c r="W640" s="11" t="n">
        <x:v>1104857</x:v>
      </x:c>
      <x:c r="X640" s="11" t="n">
        <x:v>1295833</x:v>
      </x:c>
      <x:c r="Y640" s="11" t="n">
        <x:v>299000</x:v>
      </x:c>
      <x:c r="Z640" s="11" t="n">
        <x:v>151401</x:v>
      </x:c>
      <x:c r="AA640" s="11" t="n">
        <x:v>1443432</x:v>
      </x:c>
      <x:c r="AB640" s="11" t="n">
        <x:v>32408</x:v>
      </x:c>
      <x:c r="AC640" s="11" t="n">
        <x:v>183809</x:v>
      </x:c>
      <x:c r="AD640" s="11" t="n">
        <x:v>2036679</x:v>
      </x:c>
      <x:c r="AE640" s="11" t="n">
        <x:v>1407070</x:v>
      </x:c>
      <x:c r="AF640" s="11" t="n">
        <x:v>8146716</x:v>
      </x:c>
      <x:c r="AG640" s="11" t="n">
        <x:v>86835406</x:v>
      </x:c>
      <x:c r="AH640" s="11" t="n">
        <x:v>44424952</x:v>
      </x:c>
      <x:c r="AI640" s="11" t="n">
        <x:v>42410454</x:v>
      </x:c>
      <x:c r="AJ640" s="11" t="n">
        <x:v>1423824</x:v>
      </x:c>
      <x:c r="AK640" s="11" t="n">
        <x:v>3093179</x:v>
      </x:c>
      <x:c r="AL640" s="11" t="n">
        <x:v>0</x:v>
      </x:c>
      <x:c r="AM640" s="12" t="n">
        <x:v>1</x:v>
      </x:c>
      <x:c r="AN640" s="12" t="n">
        <x:v>0.4603108969768643</x:v>
      </x:c>
      <x:c r="AO640" s="11" t="n">
        <x:v>6117146</x:v>
      </x:c>
      <x:c r="AP640" s="11" t="n">
        <x:v>5533972</x:v>
      </x:c>
      <x:c r="AQ640" s="12" t="n">
        <x:v>0.9046656725211397</x:v>
      </x:c>
      <x:c r="AR640" s="11" t="n">
        <x:v>2455.9707995365006</x:v>
      </x:c>
      <x:c r="AS640" s="11" t="n">
        <x:v>1999.0989571263035</x:v>
      </x:c>
      <x:c r="AT640" s="11" t="n">
        <x:v>1791.485979142526</x:v>
      </x:c>
      <x:c r="AU640" s="11" t="n">
        <x:v>256.0502896871379</x:v>
      </x:c>
      <x:c r="AV640" s="11" t="n">
        <x:v>334.5149478563152</x:v>
      </x:c>
      <x:c r="AW640" s="11" t="n">
        <x:v>2.820592153072549</x:v>
      </x:c>
      <x:c r="AX640" s="12" t="n">
        <x:v>0.6908648834696091</x:v>
      </x:c>
      <x:c r="AY640" s="11"/>
      <x:c r="AZ640" s="11"/>
      <x:c r="BA640" s="11"/>
      <x:c r="BB640" s="11"/>
      <x:c r="BC640" s="11"/>
      <x:c r="BD640" s="11"/>
      <x:c r="BE640" s="11"/>
      <x:c r="BF640" s="11"/>
      <x:c r="BG640" s="11"/>
      <x:c r="BH640" s="11"/>
      <x:c r="BI640" s="11"/>
      <x:c r="BJ640" s="11"/>
      <x:c r="BK640" s="12"/>
      <x:c r="BL640" s="12"/>
      <x:c r="BM640" s="12"/>
      <x:c r="BN640" s="12"/>
      <x:c r="BO640" s="12"/>
      <x:c r="BP640" s="12"/>
      <x:c r="BQ640" s="12"/>
      <x:c r="BR640" s="12"/>
      <x:c r="BS640" s="12"/>
      <x:c r="BT640" s="12"/>
      <x:c r="BU640" s="11" t="n">
        <x:v>657539</x:v>
      </x:c>
      <x:c r="BV640" s="11" t="n">
        <x:v>744377</x:v>
      </x:c>
      <x:c r="BW640" s="11" t="n">
        <x:v>472093</x:v>
      </x:c>
      <x:c r="BX640" s="11" t="n">
        <x:v>142615</x:v>
      </x:c>
      <x:c r="BY640" s="11" t="n">
        <x:v>989018</x:v>
      </x:c>
      <x:c r="BZ640" s="11" t="n">
        <x:v>0</x:v>
      </x:c>
      <x:c r="CA640" s="11" t="n">
        <x:v>1838</x:v>
      </x:c>
      <x:c r="CB640" s="11" t="n">
        <x:v>125209</x:v>
      </x:c>
      <x:c r="CC640" s="11" t="n">
        <x:v>1133087</x:v>
      </x:c>
      <x:c r="CD640" s="11" t="n">
        <x:v>459046</x:v>
      </x:c>
      <x:c r="CE640" s="11" t="n">
        <x:v>272781</x:v>
      </x:c>
      <x:c r="CF640" s="11" t="n">
        <x:v>0</x:v>
      </x:c>
      <x:c r="CG640" s="11" t="n">
        <x:v>201765</x:v>
      </x:c>
      <x:c r="CH640" s="11" t="n">
        <x:v>1316596</x:v>
      </x:c>
      <x:c r="CI640" s="11" t="n">
        <x:v>1250636</x:v>
      </x:c>
      <x:c r="CJ640" s="11" t="n">
        <x:v>970373</x:v>
      </x:c>
      <x:c r="CK640" s="11" t="n">
        <x:v>838390</x:v>
      </x:c>
      <x:c r="CL640" s="11" t="n">
        <x:v>0</x:v>
      </x:c>
      <x:c r="CM640" s="11"/>
      <x:c r="CN640" s="11" t="n">
        <x:v>26988</x:v>
      </x:c>
      <x:c r="CO640" s="11" t="n">
        <x:v>0</x:v>
      </x:c>
      <x:c r="CP640" s="8"/>
      <x:c r="CQ640" s="8"/>
    </x:row>
    <x:row r="641">
      <x:c r="A641" s="8" t="str">
        <x:v>Port Hardy|2020</x:v>
      </x:c>
      <x:c r="B641" s="8" t="str">
        <x:v>port-hardy-d</x:v>
      </x:c>
      <x:c r="C641" s="8" t="str">
        <x:v>Port Hardy</x:v>
      </x:c>
      <x:c r="D641" s="8" t="str">
        <x:v>Port Hardy</x:v>
      </x:c>
      <x:c r="E641" s="8" t="str">
        <x:v>D</x:v>
      </x:c>
      <x:c r="F641" s="8" t="str">
        <x:v>MW</x:v>
      </x:c>
      <x:c r="G641" s="9" t="n">
        <x:v>2020</x:v>
      </x:c>
      <x:c r="H641" s="10" t="n">
        <x:v>4421</x:v>
      </x:c>
      <x:c r="I641" s="8" t="str">
        <x:v>Under 5,000</x:v>
      </x:c>
      <x:c r="J641" s="11" t="n">
        <x:v>11639943</x:v>
      </x:c>
      <x:c r="K641" s="11" t="n">
        <x:v>8586763</x:v>
      </x:c>
      <x:c r="L641" s="11" t="n">
        <x:v>3053180</x:v>
      </x:c>
      <x:c r="M641" s="12" t="n">
        <x:v>0.2623019717536417</x:v>
      </x:c>
      <x:c r="N641" s="11" t="n">
        <x:v>3518301</x:v>
      </x:c>
      <x:c r="O641" s="11" t="n">
        <x:v>3967057</x:v>
      </x:c>
      <x:c r="P641" s="11" t="n">
        <x:v>3882517</x:v>
      </x:c>
      <x:c r="Q641" s="11" t="n">
        <x:v>272068</x:v>
      </x:c>
      <x:c r="R641" s="11" t="n">
        <x:v>6364593</x:v>
      </x:c>
      <x:c r="S641" s="11" t="n">
        <x:v>2197802</x:v>
      </x:c>
      <x:c r="T641" s="11" t="n">
        <x:v>10558498</x:v>
      </x:c>
      <x:c r="U641" s="11" t="n">
        <x:v>3167034</x:v>
      </x:c>
      <x:c r="V641" s="11" t="n">
        <x:v>10287143</x:v>
      </x:c>
      <x:c r="W641" s="11" t="n">
        <x:v>2739883</x:v>
      </x:c>
      <x:c r="X641" s="11" t="n">
        <x:v>1443432</x:v>
      </x:c>
      <x:c r="Y641" s="11" t="n">
        <x:v>175000</x:v>
      </x:c>
      <x:c r="Z641" s="11" t="n">
        <x:v>209293</x:v>
      </x:c>
      <x:c r="AA641" s="11" t="n">
        <x:v>1409139</x:v>
      </x:c>
      <x:c r="AB641" s="11" t="n">
        <x:v>24368</x:v>
      </x:c>
      <x:c r="AC641" s="11" t="n">
        <x:v>233661</x:v>
      </x:c>
      <x:c r="AD641" s="11" t="n">
        <x:v>2415288</x:v>
      </x:c>
      <x:c r="AE641" s="11" t="n">
        <x:v>2181627</x:v>
      </x:c>
      <x:c r="AF641" s="11" t="n">
        <x:v>9661153</x:v>
      </x:c>
      <x:c r="AG641" s="11" t="n">
        <x:v>89490773</x:v>
      </x:c>
      <x:c r="AH641" s="11" t="n">
        <x:v>46622754</x:v>
      </x:c>
      <x:c r="AI641" s="11" t="n">
        <x:v>42868019</x:v>
      </x:c>
      <x:c r="AJ641" s="11" t="n">
        <x:v>2655367</x:v>
      </x:c>
      <x:c r="AK641" s="11" t="n">
        <x:v>4544579</x:v>
      </x:c>
      <x:c r="AL641" s="11" t="n">
        <x:v>0</x:v>
      </x:c>
      <x:c r="AM641" s="12" t="n">
        <x:v>1</x:v>
      </x:c>
      <x:c r="AN641" s="12" t="n">
        <x:v>0.5842932865728596</x:v>
      </x:c>
      <x:c r="AO641" s="11" t="n">
        <x:v>6393304</x:v>
      </x:c>
      <x:c r="AP641" s="11" t="n">
        <x:v>5809930</x:v>
      </x:c>
      <x:c r="AQ641" s="12" t="n">
        <x:v>0.9087523446405802</x:v>
      </x:c>
      <x:c r="AR641" s="11" t="n">
        <x:v>2632.8755937570686</x:v>
      </x:c>
      <x:c r="AS641" s="11" t="n">
        <x:v>1942.2671341325492</x:v>
      </x:c>
      <x:c r="AT641" s="11" t="n">
        <x:v>2326.8814747794618</x:v>
      </x:c>
      <x:c r="AU641" s="11" t="n">
        <x:v>619.7428183668853</x:v>
      </x:c>
      <x:c r="AV641" s="11" t="n">
        <x:v>318.7376159239991</x:v>
      </x:c>
      <x:c r="AW641" s="11" t="n">
        <x:v>3.3338757967233694</x:v>
      </x:c>
      <x:c r="AX641" s="12" t="n">
        <x:v>0.9032574997267406</x:v>
      </x:c>
      <x:c r="AY641" s="11"/>
      <x:c r="AZ641" s="11"/>
      <x:c r="BA641" s="11"/>
      <x:c r="BB641" s="11"/>
      <x:c r="BC641" s="11"/>
      <x:c r="BD641" s="11"/>
      <x:c r="BE641" s="11"/>
      <x:c r="BF641" s="11"/>
      <x:c r="BG641" s="11"/>
      <x:c r="BH641" s="11"/>
      <x:c r="BI641" s="11"/>
      <x:c r="BJ641" s="11"/>
      <x:c r="BK641" s="12"/>
      <x:c r="BL641" s="12"/>
      <x:c r="BM641" s="12"/>
      <x:c r="BN641" s="12"/>
      <x:c r="BO641" s="12"/>
      <x:c r="BP641" s="12"/>
      <x:c r="BQ641" s="12"/>
      <x:c r="BR641" s="12"/>
      <x:c r="BS641" s="12"/>
      <x:c r="BT641" s="12"/>
      <x:c r="BU641" s="11" t="n">
        <x:v>1532506</x:v>
      </x:c>
      <x:c r="BV641" s="11" t="n">
        <x:v>2120879</x:v>
      </x:c>
      <x:c r="BW641" s="11" t="n">
        <x:v>229132</x:v>
      </x:c>
      <x:c r="BX641" s="11" t="n">
        <x:v>96257</x:v>
      </x:c>
      <x:c r="BY641" s="11" t="n">
        <x:v>-21089</x:v>
      </x:c>
      <x:c r="BZ641" s="11" t="n">
        <x:v>0</x:v>
      </x:c>
      <x:c r="CA641" s="11" t="n">
        <x:v>0</x:v>
      </x:c>
      <x:c r="CB641" s="11" t="n">
        <x:v>196900</x:v>
      </x:c>
      <x:c r="CC641" s="11" t="n">
        <x:v>963469</x:v>
      </x:c>
      <x:c r="CD641" s="11" t="n">
        <x:v>487523</x:v>
      </x:c>
      <x:c r="CE641" s="11" t="n">
        <x:v>298483</x:v>
      </x:c>
      <x:c r="CF641" s="11" t="n">
        <x:v>0</x:v>
      </x:c>
      <x:c r="CG641" s="11" t="n">
        <x:v>180448</x:v>
      </x:c>
      <x:c r="CH641" s="11" t="n">
        <x:v>1295763</x:v>
      </x:c>
      <x:c r="CI641" s="11" t="n">
        <x:v>1142623</x:v>
      </x:c>
      <x:c r="CJ641" s="11" t="n">
        <x:v>1127281</x:v>
      </x:c>
      <x:c r="CK641" s="11" t="n">
        <x:v>893371</x:v>
      </x:c>
      <x:c r="CL641" s="11" t="n">
        <x:v>0</x:v>
      </x:c>
      <x:c r="CM641" s="11"/>
      <x:c r="CN641" s="11" t="n">
        <x:v>0</x:v>
      </x:c>
      <x:c r="CO641" s="11" t="n">
        <x:v>0</x:v>
      </x:c>
      <x:c r="CP641" s="8"/>
      <x:c r="CQ641" s="8"/>
    </x:row>
    <x:row r="642">
      <x:c r="A642" s="8" t="str">
        <x:v>Port Hardy|2021</x:v>
      </x:c>
      <x:c r="B642" s="8" t="str">
        <x:v>port-hardy-d</x:v>
      </x:c>
      <x:c r="C642" s="8" t="str">
        <x:v>Port Hardy</x:v>
      </x:c>
      <x:c r="D642" s="8" t="str">
        <x:v>Port Hardy</x:v>
      </x:c>
      <x:c r="E642" s="8" t="str">
        <x:v>D</x:v>
      </x:c>
      <x:c r="F642" s="8" t="str">
        <x:v>MW</x:v>
      </x:c>
      <x:c r="G642" s="9" t="n">
        <x:v>2021</x:v>
      </x:c>
      <x:c r="H642" s="10" t="n">
        <x:v>4351</x:v>
      </x:c>
      <x:c r="I642" s="8" t="str">
        <x:v>Under 5,000</x:v>
      </x:c>
      <x:c r="J642" s="11" t="n">
        <x:v>10863973</x:v>
      </x:c>
      <x:c r="K642" s="11" t="n">
        <x:v>9469189</x:v>
      </x:c>
      <x:c r="L642" s="11" t="n">
        <x:v>1394784</x:v>
      </x:c>
      <x:c r="M642" s="12" t="n">
        <x:v>0.1283861806357582</x:v>
      </x:c>
      <x:c r="N642" s="11" t="n">
        <x:v>3681718</x:v>
      </x:c>
      <x:c r="O642" s="11" t="n">
        <x:v>4016269</x:v>
      </x:c>
      <x:c r="P642" s="11" t="n">
        <x:v>2977349</x:v>
      </x:c>
      <x:c r="Q642" s="11" t="n">
        <x:v>188637</x:v>
      </x:c>
      <x:c r="R642" s="11" t="n">
        <x:v>7297482</x:v>
      </x:c>
      <x:c r="S642" s="11" t="n">
        <x:v>2159600</x:v>
      </x:c>
      <x:c r="T642" s="11" t="n">
        <x:v>12302821</x:v>
      </x:c>
      <x:c r="U642" s="11" t="n">
        <x:v>2823078</x:v>
      </x:c>
      <x:c r="V642" s="11" t="n">
        <x:v>11850581</x:v>
      </x:c>
      <x:c r="W642" s="11" t="n">
        <x:v>3218338</x:v>
      </x:c>
      <x:c r="X642" s="11" t="n">
        <x:v>1409139</x:v>
      </x:c>
      <x:c r="Y642" s="11" t="n">
        <x:v>0</x:v>
      </x:c>
      <x:c r="Z642" s="11" t="n">
        <x:v>242760</x:v>
      </x:c>
      <x:c r="AA642" s="11" t="n">
        <x:v>1166379</x:v>
      </x:c>
      <x:c r="AB642" s="11" t="n">
        <x:v>12107</x:v>
      </x:c>
      <x:c r="AC642" s="11" t="n">
        <x:v>254867</x:v>
      </x:c>
      <x:c r="AD642" s="11" t="n">
        <x:v>2503018</x:v>
      </x:c>
      <x:c r="AE642" s="11" t="n">
        <x:v>2248151</x:v>
      </x:c>
      <x:c r="AF642" s="11" t="n">
        <x:v>10012073</x:v>
      </x:c>
      <x:c r="AG642" s="11" t="n">
        <x:v>91409954</x:v>
      </x:c>
      <x:c r="AH642" s="11" t="n">
        <x:v>48716188</x:v>
      </x:c>
      <x:c r="AI642" s="11" t="n">
        <x:v>42693766</x:v>
      </x:c>
      <x:c r="AJ642" s="11" t="n">
        <x:v>2017561</x:v>
      </x:c>
      <x:c r="AK642" s="11" t="n">
        <x:v>42692860</x:v>
      </x:c>
      <x:c r="AL642" s="11" t="n">
        <x:v>1539574</x:v>
      </x:c>
      <x:c r="AM642" s="12" t="n">
        <x:v>0.9639383728333029</x:v>
      </x:c>
      <x:c r="AN642" s="12" t="n">
        <x:v>0.047257574217328145</x:v>
      </x:c>
      <x:c r="AO642" s="11" t="n">
        <x:v>6405507</x:v>
      </x:c>
      <x:c r="AP642" s="11" t="n">
        <x:v>5891694</x:v>
      </x:c>
      <x:c r="AQ642" s="12" t="n">
        <x:v>0.9197857406135065</x:v>
      </x:c>
      <x:c r="AR642" s="11" t="n">
        <x:v>2496.8910595265456</x:v>
      </x:c>
      <x:c r="AS642" s="11" t="n">
        <x:v>2176.324752930361</x:v>
      </x:c>
      <x:c r="AT642" s="11" t="n">
        <x:v>2723.645368880717</x:v>
      </x:c>
      <x:c r="AU642" s="11" t="n">
        <x:v>739.6777752240864</x:v>
      </x:c>
      <x:c r="AV642" s="11" t="n">
        <x:v>268.0714778211905</x:v>
      </x:c>
      <x:c r="AW642" s="11" t="n">
        <x:v>4.357945830756359</x:v>
      </x:c>
      <x:c r="AX642" s="12" t="n">
        <x:v>0.8981761217857802</x:v>
      </x:c>
      <x:c r="AY642" s="11"/>
      <x:c r="AZ642" s="11"/>
      <x:c r="BA642" s="11"/>
      <x:c r="BB642" s="11"/>
      <x:c r="BC642" s="11"/>
      <x:c r="BD642" s="11"/>
      <x:c r="BE642" s="11"/>
      <x:c r="BF642" s="11"/>
      <x:c r="BG642" s="11"/>
      <x:c r="BH642" s="11"/>
      <x:c r="BI642" s="11"/>
      <x:c r="BJ642" s="11"/>
      <x:c r="BK642" s="12"/>
      <x:c r="BL642" s="12"/>
      <x:c r="BM642" s="12"/>
      <x:c r="BN642" s="12"/>
      <x:c r="BO642" s="12"/>
      <x:c r="BP642" s="12"/>
      <x:c r="BQ642" s="12"/>
      <x:c r="BR642" s="12"/>
      <x:c r="BS642" s="12"/>
      <x:c r="BT642" s="12"/>
      <x:c r="BU642" s="11" t="n">
        <x:v>536863</x:v>
      </x:c>
      <x:c r="BV642" s="11" t="n">
        <x:v>2440486</x:v>
      </x:c>
      <x:c r="BW642" s="11" t="n">
        <x:v>0</x:v>
      </x:c>
      <x:c r="BX642" s="11" t="n">
        <x:v>90184</x:v>
      </x:c>
      <x:c r="BY642" s="11" t="n">
        <x:v>-26064</x:v>
      </x:c>
      <x:c r="BZ642" s="11" t="n">
        <x:v>0</x:v>
      </x:c>
      <x:c r="CA642" s="11" t="n">
        <x:v>0</x:v>
      </x:c>
      <x:c r="CB642" s="11" t="n">
        <x:v>124517</x:v>
      </x:c>
      <x:c r="CC642" s="11" t="n">
        <x:v>1276054</x:v>
      </x:c>
      <x:c r="CD642" s="11" t="n">
        <x:v>518879</x:v>
      </x:c>
      <x:c r="CE642" s="11" t="n">
        <x:v>329468</x:v>
      </x:c>
      <x:c r="CF642" s="11" t="n">
        <x:v>0</x:v>
      </x:c>
      <x:c r="CG642" s="11" t="n">
        <x:v>197478</x:v>
      </x:c>
      <x:c r="CH642" s="11" t="n">
        <x:v>1490044</x:v>
      </x:c>
      <x:c r="CI642" s="11" t="n">
        <x:v>1404349</x:v>
      </x:c>
      <x:c r="CJ642" s="11" t="n">
        <x:v>1123150</x:v>
      </x:c>
      <x:c r="CK642" s="11" t="n">
        <x:v>937953</x:v>
      </x:c>
      <x:c r="CL642" s="11" t="n">
        <x:v>0</x:v>
      </x:c>
      <x:c r="CM642" s="11"/>
      <x:c r="CN642" s="11" t="n">
        <x:v>32214</x:v>
      </x:c>
      <x:c r="CO642" s="11" t="n">
        <x:v>0</x:v>
      </x:c>
      <x:c r="CP642" s="8"/>
      <x:c r="CQ642" s="8"/>
    </x:row>
    <x:row r="643">
      <x:c r="A643" s="8" t="str">
        <x:v>Port Hardy|2022</x:v>
      </x:c>
      <x:c r="B643" s="8" t="str">
        <x:v>port-hardy-d</x:v>
      </x:c>
      <x:c r="C643" s="8" t="str">
        <x:v>Port Hardy</x:v>
      </x:c>
      <x:c r="D643" s="8" t="str">
        <x:v>Port Hardy</x:v>
      </x:c>
      <x:c r="E643" s="8" t="str">
        <x:v>D</x:v>
      </x:c>
      <x:c r="F643" s="8" t="str">
        <x:v>MW</x:v>
      </x:c>
      <x:c r="G643" s="9" t="n">
        <x:v>2022</x:v>
      </x:c>
      <x:c r="H643" s="10" t="n">
        <x:v>2518</x:v>
      </x:c>
      <x:c r="I643" s="8" t="str">
        <x:v>Under 5,000</x:v>
      </x:c>
      <x:c r="J643" s="11" t="n">
        <x:v>10234912</x:v>
      </x:c>
      <x:c r="K643" s="11" t="n">
        <x:v>9886923</x:v>
      </x:c>
      <x:c r="L643" s="11" t="n">
        <x:v>347989</x:v>
      </x:c>
      <x:c r="M643" s="12" t="n">
        <x:v>0.03400019462795577</x:v>
      </x:c>
      <x:c r="N643" s="11" t="n">
        <x:v>3910545</x:v>
      </x:c>
      <x:c r="O643" s="11" t="n">
        <x:v>4392652</x:v>
      </x:c>
      <x:c r="P643" s="11" t="n">
        <x:v>1383493</x:v>
      </x:c>
      <x:c r="Q643" s="11" t="n">
        <x:v>548222</x:v>
      </x:c>
      <x:c r="R643" s="11" t="n">
        <x:v>7670029</x:v>
      </x:c>
      <x:c r="S643" s="11" t="n">
        <x:v>2193860</x:v>
      </x:c>
      <x:c r="T643" s="11" t="n">
        <x:v>13404780</x:v>
      </x:c>
      <x:c r="U643" s="11" t="n">
        <x:v>2820693</x:v>
      </x:c>
      <x:c r="V643" s="11" t="n">
        <x:v>12758868</x:v>
      </x:c>
      <x:c r="W643" s="11" t="n">
        <x:v>2495440</x:v>
      </x:c>
      <x:c r="X643" s="11" t="n">
        <x:v>1166379</x:v>
      </x:c>
      <x:c r="Y643" s="11" t="n">
        <x:v>0</x:v>
      </x:c>
      <x:c r="Z643" s="11" t="n">
        <x:v>231803</x:v>
      </x:c>
      <x:c r="AA643" s="11" t="n">
        <x:v>934576</x:v>
      </x:c>
      <x:c r="AB643" s="11" t="n">
        <x:v>23034</x:v>
      </x:c>
      <x:c r="AC643" s="11" t="n">
        <x:v>254837</x:v>
      </x:c>
      <x:c r="AD643" s="11" t="n">
        <x:v>2302084</x:v>
      </x:c>
      <x:c r="AE643" s="11" t="n">
        <x:v>1841397</x:v>
      </x:c>
      <x:c r="AF643" s="11" t="n">
        <x:v>9208334</x:v>
      </x:c>
      <x:c r="AG643" s="11" t="n">
        <x:v>92999885</x:v>
      </x:c>
      <x:c r="AH643" s="11" t="n">
        <x:v>50842491</x:v>
      </x:c>
      <x:c r="AI643" s="11" t="n">
        <x:v>42157394</x:v>
      </x:c>
      <x:c r="AJ643" s="11" t="n">
        <x:v>1685573</x:v>
      </x:c>
      <x:c r="AK643" s="11" t="n">
        <x:v>4898269</x:v>
      </x:c>
      <x:c r="AL643" s="11" t="n">
        <x:v>0</x:v>
      </x:c>
      <x:c r="AM643" s="12" t="n">
        <x:v>1</x:v>
      </x:c>
      <x:c r="AN643" s="12" t="n">
        <x:v>0.3441160540590972</x:v>
      </x:c>
      <x:c r="AO643" s="11" t="n">
        <x:v>6650370</x:v>
      </x:c>
      <x:c r="AP643" s="11" t="n">
        <x:v>6096602</x:v>
      </x:c>
      <x:c r="AQ643" s="12" t="n">
        <x:v>0.9167312495394994</x:v>
      </x:c>
      <x:c r="AR643" s="11" t="n">
        <x:v>4064.698967434472</x:v>
      </x:c>
      <x:c r="AS643" s="11" t="n">
        <x:v>3926.498411437649</x:v>
      </x:c>
      <x:c r="AT643" s="11" t="n">
        <x:v>5067.064336775218</x:v>
      </x:c>
      <x:c r="AU643" s="11" t="n">
        <x:v>991.0405083399523</x:v>
      </x:c>
      <x:c r="AV643" s="11" t="n">
        <x:v>371.1580619539317</x:v>
      </x:c>
      <x:c r="AW643" s="11" t="n">
        <x:v>4.752300232602414</x:v>
      </x:c>
      <x:c r="AX643" s="12" t="n">
        <x:v>0.7998826280882887</x:v>
      </x:c>
      <x:c r="AY643" s="11"/>
      <x:c r="AZ643" s="11"/>
      <x:c r="BA643" s="11"/>
      <x:c r="BB643" s="11"/>
      <x:c r="BC643" s="11"/>
      <x:c r="BD643" s="11"/>
      <x:c r="BE643" s="11"/>
      <x:c r="BF643" s="11"/>
      <x:c r="BG643" s="11"/>
      <x:c r="BH643" s="11"/>
      <x:c r="BI643" s="11"/>
      <x:c r="BJ643" s="11"/>
      <x:c r="BK643" s="12"/>
      <x:c r="BL643" s="12"/>
      <x:c r="BM643" s="12"/>
      <x:c r="BN643" s="12"/>
      <x:c r="BO643" s="12"/>
      <x:c r="BP643" s="12"/>
      <x:c r="BQ643" s="12"/>
      <x:c r="BR643" s="12"/>
      <x:c r="BS643" s="12"/>
      <x:c r="BT643" s="12"/>
      <x:c r="BU643" s="11" t="n">
        <x:v>52619</x:v>
      </x:c>
      <x:c r="BV643" s="11" t="n">
        <x:v>1015983</x:v>
      </x:c>
      <x:c r="BW643" s="11" t="n">
        <x:v>314891</x:v>
      </x:c>
      <x:c r="BX643" s="11" t="n">
        <x:v>321705</x:v>
      </x:c>
      <x:c r="BY643" s="11" t="n">
        <x:v>226375</x:v>
      </x:c>
      <x:c r="BZ643" s="11" t="n">
        <x:v>142</x:v>
      </x:c>
      <x:c r="CA643" s="11" t="n">
        <x:v>0</x:v>
      </x:c>
      <x:c r="CB643" s="11" t="n">
        <x:v>0</x:v>
      </x:c>
      <x:c r="CC643" s="11" t="n">
        <x:v>1681911</x:v>
      </x:c>
      <x:c r="CD643" s="11" t="n">
        <x:v>533534</x:v>
      </x:c>
      <x:c r="CE643" s="11" t="n">
        <x:v>303764</x:v>
      </x:c>
      <x:c r="CF643" s="11" t="n">
        <x:v>0</x:v>
      </x:c>
      <x:c r="CG643" s="11" t="n">
        <x:v>225499</x:v>
      </x:c>
      <x:c r="CH643" s="11" t="n">
        <x:v>1621679</x:v>
      </x:c>
      <x:c r="CI643" s="11" t="n">
        <x:v>1371339</x:v>
      </x:c>
      <x:c r="CJ643" s="11" t="n">
        <x:v>1084129</x:v>
      </x:c>
      <x:c r="CK643" s="11" t="n">
        <x:v>843124</x:v>
      </x:c>
      <x:c r="CL643" s="11" t="n">
        <x:v>0</x:v>
      </x:c>
      <x:c r="CM643" s="11"/>
      <x:c r="CN643" s="11" t="n">
        <x:v>28084</x:v>
      </x:c>
      <x:c r="CO643" s="11" t="n">
        <x:v>0</x:v>
      </x:c>
      <x:c r="CP643" s="8"/>
      <x:c r="CQ643" s="8"/>
    </x:row>
    <x:row r="644">
      <x:c r="A644" s="8" t="str">
        <x:v>Port Hardy|2023</x:v>
      </x:c>
      <x:c r="B644" s="8" t="str">
        <x:v>port-hardy-d</x:v>
      </x:c>
      <x:c r="C644" s="8" t="str">
        <x:v>Port Hardy</x:v>
      </x:c>
      <x:c r="D644" s="8" t="str">
        <x:v>Port Hardy</x:v>
      </x:c>
      <x:c r="E644" s="8" t="str">
        <x:v>D</x:v>
      </x:c>
      <x:c r="F644" s="8" t="str">
        <x:v>MW</x:v>
      </x:c>
      <x:c r="G644" s="9" t="n">
        <x:v>2023</x:v>
      </x:c>
      <x:c r="H644" s="10" t="n">
        <x:v>4552</x:v>
      </x:c>
      <x:c r="I644" s="8" t="str">
        <x:v>Under 5,000</x:v>
      </x:c>
      <x:c r="J644" s="11" t="n">
        <x:v>13361833</x:v>
      </x:c>
      <x:c r="K644" s="11" t="n">
        <x:v>10606288</x:v>
      </x:c>
      <x:c r="L644" s="11" t="n">
        <x:v>2755545</x:v>
      </x:c>
      <x:c r="M644" s="12" t="n">
        <x:v>0.206225074059824</x:v>
      </x:c>
      <x:c r="N644" s="11" t="n">
        <x:v>4227987</x:v>
      </x:c>
      <x:c r="O644" s="11" t="n">
        <x:v>4825964</x:v>
      </x:c>
      <x:c r="P644" s="11" t="n">
        <x:v>3201734</x:v>
      </x:c>
      <x:c r="Q644" s="11" t="n">
        <x:v>1106148</x:v>
      </x:c>
      <x:c r="R644" s="11" t="n">
        <x:v>7857486</x:v>
      </x:c>
      <x:c r="S644" s="11" t="n">
        <x:v>2704220</x:v>
      </x:c>
      <x:c r="T644" s="11" t="n">
        <x:v>17200120</x:v>
      </x:c>
      <x:c r="U644" s="11" t="n">
        <x:v>8701512</x:v>
      </x:c>
      <x:c r="V644" s="11" t="n">
        <x:v>10663445</x:v>
      </x:c>
      <x:c r="W644" s="11" t="n">
        <x:v>4194505</x:v>
      </x:c>
      <x:c r="X644" s="11" t="n">
        <x:v>934576</x:v>
      </x:c>
      <x:c r="Y644" s="11" t="n">
        <x:v>2300000</x:v>
      </x:c>
      <x:c r="Z644" s="11" t="n">
        <x:v>156053</x:v>
      </x:c>
      <x:c r="AA644" s="11" t="n">
        <x:v>3078523</x:v>
      </x:c>
      <x:c r="AB644" s="11" t="n">
        <x:v>44582</x:v>
      </x:c>
      <x:c r="AC644" s="11" t="n">
        <x:v>200635</x:v>
      </x:c>
      <x:c r="AD644" s="11" t="n">
        <x:v>2560210</x:v>
      </x:c>
      <x:c r="AE644" s="11" t="n">
        <x:v>2359575</x:v>
      </x:c>
      <x:c r="AF644" s="11" t="n">
        <x:v>10240838</x:v>
      </x:c>
      <x:c r="AG644" s="11" t="n">
        <x:v>100521119</x:v>
      </x:c>
      <x:c r="AH644" s="11" t="n">
        <x:v>53523441</x:v>
      </x:c>
      <x:c r="AI644" s="11" t="n">
        <x:v>46997678</x:v>
      </x:c>
      <x:c r="AJ644" s="11" t="n">
        <x:v>4938873</x:v>
      </x:c>
      <x:c r="AK644" s="11" t="n">
        <x:v>8262210</x:v>
      </x:c>
      <x:c r="AL644" s="11" t="n">
        <x:v>0</x:v>
      </x:c>
      <x:c r="AM644" s="12" t="n">
        <x:v>1</x:v>
      </x:c>
      <x:c r="AN644" s="12" t="n">
        <x:v>0.5977665781915492</x:v>
      </x:c>
      <x:c r="AO644" s="11" t="n">
        <x:v>7224877</x:v>
      </x:c>
      <x:c r="AP644" s="11" t="n">
        <x:v>6561610</x:v>
      </x:c>
      <x:c r="AQ644" s="12" t="n">
        <x:v>0.9081967762219343</x:v>
      </x:c>
      <x:c r="AR644" s="11" t="n">
        <x:v>2935.376318101933</x:v>
      </x:c>
      <x:c r="AS644" s="11" t="n">
        <x:v>2330.0281195079087</x:v>
      </x:c>
      <x:c r="AT644" s="11" t="n">
        <x:v>2342.5845782073816</x:v>
      </x:c>
      <x:c r="AU644" s="11" t="n">
        <x:v>921.4641915641477</x:v>
      </x:c>
      <x:c r="AV644" s="11" t="n">
        <x:v>676.3011862917399</x:v>
      </x:c>
      <x:c r="AW644" s="11" t="n">
        <x:v>1.9766817536998167</x:v>
      </x:c>
      <x:c r="AX644" s="12" t="n">
        <x:v>0.9216333816366626</x:v>
      </x:c>
      <x:c r="AY644" s="11"/>
      <x:c r="AZ644" s="11"/>
      <x:c r="BA644" s="11"/>
      <x:c r="BB644" s="11"/>
      <x:c r="BC644" s="11"/>
      <x:c r="BD644" s="11"/>
      <x:c r="BE644" s="11"/>
      <x:c r="BF644" s="11"/>
      <x:c r="BG644" s="11"/>
      <x:c r="BH644" s="11"/>
      <x:c r="BI644" s="11"/>
      <x:c r="BJ644" s="11"/>
      <x:c r="BK644" s="12"/>
      <x:c r="BL644" s="12"/>
      <x:c r="BM644" s="12"/>
      <x:c r="BN644" s="12"/>
      <x:c r="BO644" s="12"/>
      <x:c r="BP644" s="12"/>
      <x:c r="BQ644" s="12"/>
      <x:c r="BR644" s="12"/>
      <x:c r="BS644" s="12"/>
      <x:c r="BT644" s="12"/>
      <x:c r="BU644" s="11" t="n">
        <x:v>53154</x:v>
      </x:c>
      <x:c r="BV644" s="11" t="n">
        <x:v>2748413</x:v>
      </x:c>
      <x:c r="BW644" s="11" t="n">
        <x:v>400167</x:v>
      </x:c>
      <x:c r="BX644" s="11" t="n">
        <x:v>819569</x:v>
      </x:c>
      <x:c r="BY644" s="11" t="n">
        <x:v>30544</x:v>
      </x:c>
      <x:c r="BZ644" s="11" t="n">
        <x:v>256035</x:v>
      </x:c>
      <x:c r="CA644" s="11" t="n">
        <x:v>0</x:v>
      </x:c>
      <x:c r="CB644" s="11" t="n">
        <x:v>0</x:v>
      </x:c>
      <x:c r="CC644" s="11" t="n">
        <x:v>1517943</x:v>
      </x:c>
      <x:c r="CD644" s="11" t="n">
        <x:v>476448</x:v>
      </x:c>
      <x:c r="CE644" s="11" t="n">
        <x:v>347528</x:v>
      </x:c>
      <x:c r="CF644" s="11" t="n">
        <x:v>0</x:v>
      </x:c>
      <x:c r="CG644" s="11" t="n">
        <x:v>267266</x:v>
      </x:c>
      <x:c r="CH644" s="11" t="n">
        <x:v>1700775</x:v>
      </x:c>
      <x:c r="CI644" s="11" t="n">
        <x:v>1351011</x:v>
      </x:c>
      <x:c r="CJ644" s="11" t="n">
        <x:v>1254799</x:v>
      </x:c>
      <x:c r="CK644" s="11" t="n">
        <x:v>962668</x:v>
      </x:c>
      <x:c r="CL644" s="11" t="n">
        <x:v>20252</x:v>
      </x:c>
      <x:c r="CM644" s="11" t="n">
        <x:v>0</x:v>
      </x:c>
      <x:c r="CN644" s="11" t="n">
        <x:v>3378</x:v>
      </x:c>
      <x:c r="CO644" s="11" t="n">
        <x:v>0</x:v>
      </x:c>
      <x:c r="CP644" s="8"/>
      <x:c r="CQ644" s="8"/>
    </x:row>
    <x:row r="645">
      <x:c r="A645" s="8" t="str">
        <x:v>Port Hardy|2024</x:v>
      </x:c>
      <x:c r="B645" s="8" t="str">
        <x:v>port-hardy-d</x:v>
      </x:c>
      <x:c r="C645" s="8" t="str">
        <x:v>Port Hardy</x:v>
      </x:c>
      <x:c r="D645" s="8" t="str">
        <x:v>Port Hardy</x:v>
      </x:c>
      <x:c r="E645" s="8" t="str">
        <x:v>D</x:v>
      </x:c>
      <x:c r="F645" s="8" t="str">
        <x:v>MW</x:v>
      </x:c>
      <x:c r="G645" s="9" t="n">
        <x:v>2024</x:v>
      </x:c>
      <x:c r="H645" s="10" t="n">
        <x:v>4552</x:v>
      </x:c>
      <x:c r="I645" s="8" t="str">
        <x:v>Under 5,000</x:v>
      </x:c>
      <x:c r="J645" s="11" t="n">
        <x:v>12068782</x:v>
      </x:c>
      <x:c r="K645" s="11" t="n">
        <x:v>11734289</x:v>
      </x:c>
      <x:c r="L645" s="11" t="n">
        <x:v>334493</x:v>
      </x:c>
      <x:c r="M645" s="12" t="n">
        <x:v>0.027715555720535842</x:v>
      </x:c>
      <x:c r="N645" s="11" t="n">
        <x:v>4440177</x:v>
      </x:c>
      <x:c r="O645" s="11" t="n">
        <x:v>4610658</x:v>
      </x:c>
      <x:c r="P645" s="11" t="n">
        <x:v>1874097</x:v>
      </x:c>
      <x:c r="Q645" s="11" t="n">
        <x:v>1143850</x:v>
      </x:c>
      <x:c r="R645" s="11" t="n">
        <x:v>8824122</x:v>
      </x:c>
      <x:c r="S645" s="11" t="n">
        <x:v>2758503</x:v>
      </x:c>
      <x:c r="T645" s="11" t="n">
        <x:v>16903502</x:v>
      </x:c>
      <x:c r="U645" s="11" t="n">
        <x:v>8218451</x:v>
      </x:c>
      <x:c r="V645" s="11" t="n">
        <x:v>11016725</x:v>
      </x:c>
      <x:c r="W645" s="11" t="n">
        <x:v>4197617</x:v>
      </x:c>
      <x:c r="X645" s="11" t="n">
        <x:v>3078523</x:v>
      </x:c>
      <x:c r="Y645" s="11" t="n">
        <x:v>0</x:v>
      </x:c>
      <x:c r="Z645" s="11" t="n">
        <x:v>258623</x:v>
      </x:c>
      <x:c r="AA645" s="11" t="n">
        <x:v>2819900</x:v>
      </x:c>
      <x:c r="AB645" s="11" t="n">
        <x:v>151664</x:v>
      </x:c>
      <x:c r="AC645" s="11" t="n">
        <x:v>410287</x:v>
      </x:c>
      <x:c r="AD645" s="11" t="n">
        <x:v>2619350</x:v>
      </x:c>
      <x:c r="AE645" s="11" t="n">
        <x:v>2209063</x:v>
      </x:c>
      <x:c r="AF645" s="11" t="n">
        <x:v>10477400</x:v>
      </x:c>
      <x:c r="AG645" s="11" t="n">
        <x:v>102519941</x:v>
      </x:c>
      <x:c r="AH645" s="11" t="n">
        <x:v>56236944</x:v>
      </x:c>
      <x:c r="AI645" s="11" t="n">
        <x:v>46282997</x:v>
      </x:c>
      <x:c r="AJ645" s="11" t="n">
        <x:v>2628063</x:v>
      </x:c>
      <x:c r="AK645" s="11" t="n">
        <x:v>140784493</x:v>
      </x:c>
      <x:c r="AL645" s="11" t="n">
        <x:v>2534783</x:v>
      </x:c>
      <x:c r="AM645" s="12" t="n">
        <x:v>0.9819952968825906</x:v>
      </x:c>
      <x:c r="AN645" s="12" t="n">
        <x:v>0.01866727608984606</x:v>
      </x:c>
      <x:c r="AO645" s="11" t="n">
        <x:v>7227513</x:v>
      </x:c>
      <x:c r="AP645" s="11" t="n">
        <x:v>6494432</x:v>
      </x:c>
      <x:c r="AQ645" s="12" t="n">
        <x:v>0.8985707808481286</x:v>
      </x:c>
      <x:c r="AR645" s="11" t="n">
        <x:v>2651.3141476274163</x:v>
      </x:c>
      <x:c r="AS645" s="11" t="n">
        <x:v>2577.831502636204</x:v>
      </x:c>
      <x:c r="AT645" s="11" t="n">
        <x:v>2420.1944200351495</x:v>
      </x:c>
      <x:c r="AU645" s="11" t="n">
        <x:v>922.1478471001758</x:v>
      </x:c>
      <x:c r="AV645" s="11" t="n">
        <x:v>619.4859402460457</x:v>
      </x:c>
      <x:c r="AW645" s="11" t="n">
        <x:v>2.0567746890502847</x:v>
      </x:c>
      <x:c r="AX645" s="12" t="n">
        <x:v>0.8433630480844484</x:v>
      </x:c>
      <x:c r="AY645" s="11" t="n">
        <x:v>4486.511144130758</x:v>
      </x:c>
      <x:c r="AZ645" s="11" t="n">
        <x:v>3546.5079302077975</x:v>
      </x:c>
      <x:c r="BA645" s="11" t="n">
        <x:v>3557.844717668488</x:v>
      </x:c>
      <x:c r="BB645" s="11" t="n">
        <x:v>2783.665107049771</x:v>
      </x:c>
      <x:c r="BC645" s="11" t="n">
        <x:v>5496.677373974208</x:v>
      </x:c>
      <x:c r="BD645" s="11" t="n">
        <x:v>2437.8724475115623</x:v>
      </x:c>
      <x:c r="BE645" s="11" t="n">
        <x:v>3386.4506393861893</x:v>
      </x:c>
      <x:c r="BF645" s="11" t="n">
        <x:v>1604.3462673977224</x:v>
      </x:c>
      <x:c r="BG645" s="11" t="n">
        <x:v>624.7436119532265</x:v>
      </x:c>
      <x:c r="BH645" s="11" t="n">
        <x:v>518.5374381567245</x:v>
      </x:c>
      <x:c r="BI645" s="11" t="n">
        <x:v>3.324657351485151</x:v>
      </x:c>
      <x:c r="BJ645" s="11" t="n">
        <x:v>1.7099330852451193</x:v>
      </x:c>
      <x:c r="BK645" s="12" t="n">
        <x:v>0.02521828600111612</x:v>
      </x:c>
      <x:c r="BL645" s="12" t="n">
        <x:v>0.02529861000232605</x:v>
      </x:c>
      <x:c r="BM645" s="12" t="n">
        <x:v>0.9816336034641139</x:v>
      </x:c>
      <x:c r="BN645" s="12" t="n">
        <x:v>0.9815511712696461</x:v>
      </x:c>
      <x:c r="BO645" s="12" t="n">
        <x:v>0.8531878894527055</x:v>
      </x:c>
      <x:c r="BP645" s="12" t="n">
        <x:v>0.8619101997275483</x:v>
      </x:c>
      <x:c r="BQ645" s="12" t="n">
        <x:v>0.9614729661922712</x:v>
      </x:c>
      <x:c r="BR645" s="12" t="n">
        <x:v>0.9623635142836453</x:v>
      </x:c>
      <x:c r="BS645" s="12" t="n">
        <x:v>0.23352896680225554</x:v>
      </x:c>
      <x:c r="BT645" s="12" t="n">
        <x:v>0.19976549769108282</x:v>
      </x:c>
      <x:c r="BU645" s="11" t="n">
        <x:v>241085</x:v>
      </x:c>
      <x:c r="BV645" s="11" t="n">
        <x:v>1633012</x:v>
      </x:c>
      <x:c r="BW645" s="11" t="n">
        <x:v>0</x:v>
      </x:c>
      <x:c r="BX645" s="11" t="n">
        <x:v>754866</x:v>
      </x:c>
      <x:c r="BY645" s="11" t="n">
        <x:v>-5188</x:v>
      </x:c>
      <x:c r="BZ645" s="11" t="n">
        <x:v>153450</x:v>
      </x:c>
      <x:c r="CA645" s="11" t="n">
        <x:v>0</x:v>
      </x:c>
      <x:c r="CB645" s="11" t="n">
        <x:v>240722</x:v>
      </x:c>
      <x:c r="CC645" s="11" t="n">
        <x:v>1978487</x:v>
      </x:c>
      <x:c r="CD645" s="11" t="n">
        <x:v>539238</x:v>
      </x:c>
      <x:c r="CE645" s="11" t="n">
        <x:v>368365</x:v>
      </x:c>
      <x:c r="CF645" s="11" t="n">
        <x:v>0</x:v>
      </x:c>
      <x:c r="CG645" s="11" t="n">
        <x:v>300646</x:v>
      </x:c>
      <x:c r="CH645" s="11" t="n">
        <x:v>1770486</x:v>
      </x:c>
      <x:c r="CI645" s="11" t="n">
        <x:v>1628377</x:v>
      </x:c>
      <x:c r="CJ645" s="11" t="n">
        <x:v>1277096</x:v>
      </x:c>
      <x:c r="CK645" s="11" t="n">
        <x:v>1113091</x:v>
      </x:c>
      <x:c r="CL645" s="11" t="n">
        <x:v>0</x:v>
      </x:c>
      <x:c r="CM645" s="11" t="n">
        <x:v>0</x:v>
      </x:c>
      <x:c r="CN645" s="11" t="n">
        <x:v>0</x:v>
      </x:c>
      <x:c r="CO645" s="11" t="n">
        <x:v>0</x:v>
      </x:c>
      <x:c r="CP645" s="8"/>
      <x:c r="CQ645" s="8"/>
    </x:row>
    <x:row r="646">
      <x:c r="A646" s="8" t="str">
        <x:v>Port McNeill|2019</x:v>
      </x:c>
      <x:c r="B646" s="8" t="str">
        <x:v>port-mcneill-t</x:v>
      </x:c>
      <x:c r="C646" s="8" t="str">
        <x:v>Port McNeill</x:v>
      </x:c>
      <x:c r="D646" s="8" t="str">
        <x:v>Port McNeill</x:v>
      </x:c>
      <x:c r="E646" s="8" t="str">
        <x:v>T</x:v>
      </x:c>
      <x:c r="F646" s="8" t="str">
        <x:v>MW</x:v>
      </x:c>
      <x:c r="G646" s="9" t="n">
        <x:v>2019</x:v>
      </x:c>
      <x:c r="H646" s="10" t="n">
        <x:v>2395</x:v>
      </x:c>
      <x:c r="I646" s="8" t="str">
        <x:v>Under 5,000</x:v>
      </x:c>
      <x:c r="J646" s="11" t="n">
        <x:v>4943940</x:v>
      </x:c>
      <x:c r="K646" s="11" t="n">
        <x:v>4240311</x:v>
      </x:c>
      <x:c r="L646" s="11" t="n">
        <x:v>703629</x:v>
      </x:c>
      <x:c r="M646" s="12" t="n">
        <x:v>0.14232150875617422</x:v>
      </x:c>
      <x:c r="N646" s="11" t="n">
        <x:v>1547398</x:v>
      </x:c>
      <x:c r="O646" s="11" t="n">
        <x:v>1566396</x:v>
      </x:c>
      <x:c r="P646" s="11" t="n">
        <x:v>782618</x:v>
      </x:c>
      <x:c r="Q646" s="11" t="n">
        <x:v>1047528</x:v>
      </x:c>
      <x:c r="R646" s="11" t="n">
        <x:v>2956950</x:v>
      </x:c>
      <x:c r="S646" s="11" t="n">
        <x:v>1211311</x:v>
      </x:c>
      <x:c r="T646" s="11" t="n">
        <x:v>4755926</x:v>
      </x:c>
      <x:c r="U646" s="11" t="n">
        <x:v>1975800</x:v>
      </x:c>
      <x:c r="V646" s="11" t="n">
        <x:v>3461773</x:v>
      </x:c>
      <x:c r="W646" s="11" t="n">
        <x:v>2960330</x:v>
      </x:c>
      <x:c r="X646" s="11" t="n">
        <x:v>1327073</x:v>
      </x:c>
      <x:c r="Y646" s="11" t="n">
        <x:v>0</x:v>
      </x:c>
      <x:c r="Z646" s="11" t="n">
        <x:v>63805</x:v>
      </x:c>
      <x:c r="AA646" s="11" t="n">
        <x:v>1240350</x:v>
      </x:c>
      <x:c r="AB646" s="11" t="n">
        <x:v>72050</x:v>
      </x:c>
      <x:c r="AC646" s="11" t="n">
        <x:v>135855</x:v>
      </x:c>
      <x:c r="AD646" s="11" t="n">
        <x:v>907279</x:v>
      </x:c>
      <x:c r="AE646" s="11" t="n">
        <x:v>771424</x:v>
      </x:c>
      <x:c r="AF646" s="11" t="n">
        <x:v>3629116</x:v>
      </x:c>
      <x:c r="AG646" s="11" t="n">
        <x:v>81048706</x:v>
      </x:c>
      <x:c r="AH646" s="11" t="n">
        <x:v>55660686</x:v>
      </x:c>
      <x:c r="AI646" s="11" t="n">
        <x:v>25388020</x:v>
      </x:c>
      <x:c r="AJ646" s="11" t="n">
        <x:v>622938</x:v>
      </x:c>
      <x:c r="AK646" s="11" t="n">
        <x:v>1352069</x:v>
      </x:c>
      <x:c r="AL646" s="11" t="n">
        <x:v>0</x:v>
      </x:c>
      <x:c r="AM646" s="12" t="n">
        <x:v>1</x:v>
      </x:c>
      <x:c r="AN646" s="12" t="n">
        <x:v>0.46072944502092716</x:v>
      </x:c>
      <x:c r="AO646" s="11" t="n">
        <x:v>3146120</x:v>
      </x:c>
      <x:c r="AP646" s="11" t="n">
        <x:v>2986488</x:v>
      </x:c>
      <x:c r="AQ646" s="12" t="n">
        <x:v>0.9492606766429761</x:v>
      </x:c>
      <x:c r="AR646" s="11" t="n">
        <x:v>2064.275574112735</x:v>
      </x:c>
      <x:c r="AS646" s="11" t="n">
        <x:v>1770.4847599164927</x:v>
      </x:c>
      <x:c r="AT646" s="11" t="n">
        <x:v>1445.416701461378</x:v>
      </x:c>
      <x:c r="AU646" s="11" t="n">
        <x:v>1236.0459290187891</x:v>
      </x:c>
      <x:c r="AV646" s="11" t="n">
        <x:v>517.8914405010438</x:v>
      </x:c>
      <x:c r="AW646" s="11" t="n">
        <x:v>2.407088774167426</x:v>
      </x:c>
      <x:c r="AX646" s="12" t="n">
        <x:v>0.850261055309337</x:v>
      </x:c>
      <x:c r="AY646" s="11"/>
      <x:c r="AZ646" s="11"/>
      <x:c r="BA646" s="11"/>
      <x:c r="BB646" s="11"/>
      <x:c r="BC646" s="11"/>
      <x:c r="BD646" s="11"/>
      <x:c r="BE646" s="11"/>
      <x:c r="BF646" s="11"/>
      <x:c r="BG646" s="11"/>
      <x:c r="BH646" s="11"/>
      <x:c r="BI646" s="11"/>
      <x:c r="BJ646" s="11"/>
      <x:c r="BK646" s="12"/>
      <x:c r="BL646" s="12"/>
      <x:c r="BM646" s="12"/>
      <x:c r="BN646" s="12"/>
      <x:c r="BO646" s="12"/>
      <x:c r="BP646" s="12"/>
      <x:c r="BQ646" s="12"/>
      <x:c r="BR646" s="12"/>
      <x:c r="BS646" s="12"/>
      <x:c r="BT646" s="12"/>
      <x:c r="BU646" s="11" t="n">
        <x:v>13583</x:v>
      </x:c>
      <x:c r="BV646" s="11" t="n">
        <x:v>524961</x:v>
      </x:c>
      <x:c r="BW646" s="11" t="n">
        <x:v>244074</x:v>
      </x:c>
      <x:c r="BX646" s="11" t="n">
        <x:v>58510</x:v>
      </x:c>
      <x:c r="BY646" s="11" t="n">
        <x:v>989018</x:v>
      </x:c>
      <x:c r="BZ646" s="11" t="n">
        <x:v>0</x:v>
      </x:c>
      <x:c r="CA646" s="11" t="n">
        <x:v>0</x:v>
      </x:c>
      <x:c r="CB646" s="11" t="n">
        <x:v>0</x:v>
      </x:c>
      <x:c r="CC646" s="11" t="n">
        <x:v>1345609</x:v>
      </x:c>
      <x:c r="CD646" s="11" t="n">
        <x:v>138211</x:v>
      </x:c>
      <x:c r="CE646" s="11" t="n">
        <x:v>199336</x:v>
      </x:c>
      <x:c r="CF646" s="11" t="n">
        <x:v>0</x:v>
      </x:c>
      <x:c r="CG646" s="11" t="n">
        <x:v>0</x:v>
      </x:c>
      <x:c r="CH646" s="11" t="n">
        <x:v>350797</x:v>
      </x:c>
      <x:c r="CI646" s="11" t="n">
        <x:v>484150</x:v>
      </x:c>
      <x:c r="CJ646" s="11" t="n">
        <x:v>243973</x:v>
      </x:c>
      <x:c r="CK646" s="11" t="n">
        <x:v>266924</x:v>
      </x:c>
      <x:c r="CL646" s="11" t="n">
        <x:v>0</x:v>
      </x:c>
      <x:c r="CM646" s="11"/>
      <x:c r="CN646" s="11" t="n">
        <x:v>0</x:v>
      </x:c>
      <x:c r="CO646" s="11" t="n">
        <x:v>0</x:v>
      </x:c>
      <x:c r="CP646" s="8"/>
      <x:c r="CQ646" s="8"/>
    </x:row>
    <x:row r="647">
      <x:c r="A647" s="8" t="str">
        <x:v>Port McNeill|2020</x:v>
      </x:c>
      <x:c r="B647" s="8" t="str">
        <x:v>port-mcneill-t</x:v>
      </x:c>
      <x:c r="C647" s="8" t="str">
        <x:v>Port McNeill</x:v>
      </x:c>
      <x:c r="D647" s="8" t="str">
        <x:v>Port McNeill</x:v>
      </x:c>
      <x:c r="E647" s="8" t="str">
        <x:v>T</x:v>
      </x:c>
      <x:c r="F647" s="8" t="str">
        <x:v>MW</x:v>
      </x:c>
      <x:c r="G647" s="9" t="n">
        <x:v>2020</x:v>
      </x:c>
      <x:c r="H647" s="10" t="n">
        <x:v>2416</x:v>
      </x:c>
      <x:c r="I647" s="8" t="str">
        <x:v>Under 5,000</x:v>
      </x:c>
      <x:c r="J647" s="11" t="n">
        <x:v>4612768</x:v>
      </x:c>
      <x:c r="K647" s="11" t="n">
        <x:v>3833269</x:v>
      </x:c>
      <x:c r="L647" s="11" t="n">
        <x:v>779499</x:v>
      </x:c>
      <x:c r="M647" s="12" t="n">
        <x:v>0.16898725450748878</x:v>
      </x:c>
      <x:c r="N647" s="11" t="n">
        <x:v>1568844</x:v>
      </x:c>
      <x:c r="O647" s="11" t="n">
        <x:v>1440001</x:v>
      </x:c>
      <x:c r="P647" s="11" t="n">
        <x:v>1517113</x:v>
      </x:c>
      <x:c r="Q647" s="11" t="n">
        <x:v>86810</x:v>
      </x:c>
      <x:c r="R647" s="11" t="n">
        <x:v>2542021</x:v>
      </x:c>
      <x:c r="S647" s="11" t="n">
        <x:v>1219198</x:v>
      </x:c>
      <x:c r="T647" s="11" t="n">
        <x:v>6331957</x:v>
      </x:c>
      <x:c r="U647" s="11" t="n">
        <x:v>1968231</x:v>
      </x:c>
      <x:c r="V647" s="11" t="n">
        <x:v>4910813</x:v>
      </x:c>
      <x:c r="W647" s="11" t="n">
        <x:v>2750062</x:v>
      </x:c>
      <x:c r="X647" s="11" t="n">
        <x:v>1240350</x:v>
      </x:c>
      <x:c r="Y647" s="11" t="n">
        <x:v>0</x:v>
      </x:c>
      <x:c r="Z647" s="11" t="n">
        <x:v>63805</x:v>
      </x:c>
      <x:c r="AA647" s="11" t="n">
        <x:v>1150159</x:v>
      </x:c>
      <x:c r="AB647" s="11" t="n">
        <x:v>72050</x:v>
      </x:c>
      <x:c r="AC647" s="11" t="n">
        <x:v>135855</x:v>
      </x:c>
      <x:c r="AD647" s="11" t="n">
        <x:v>905225</x:v>
      </x:c>
      <x:c r="AE647" s="11" t="n">
        <x:v>769370</x:v>
      </x:c>
      <x:c r="AF647" s="11" t="n">
        <x:v>3620900</x:v>
      </x:c>
      <x:c r="AG647" s="11" t="n">
        <x:v>81599362</x:v>
      </x:c>
      <x:c r="AH647" s="11" t="n">
        <x:v>56879884</x:v>
      </x:c>
      <x:c r="AI647" s="11" t="n">
        <x:v>24719478</x:v>
      </x:c>
      <x:c r="AJ647" s="11" t="n">
        <x:v>550656</x:v>
      </x:c>
      <x:c r="AK647" s="11" t="n">
        <x:v>1057414</x:v>
      </x:c>
      <x:c r="AL647" s="11" t="n">
        <x:v>0</x:v>
      </x:c>
      <x:c r="AM647" s="12" t="n">
        <x:v>1</x:v>
      </x:c>
      <x:c r="AN647" s="12" t="n">
        <x:v>0.5207572436150836</x:v>
      </x:c>
      <x:c r="AO647" s="11" t="n">
        <x:v>3160863</x:v>
      </x:c>
      <x:c r="AP647" s="11" t="n">
        <x:v>3099308</x:v>
      </x:c>
      <x:c r="AQ647" s="12" t="n">
        <x:v>0.9805258880248844</x:v>
      </x:c>
      <x:c r="AR647" s="11" t="n">
        <x:v>1909.2582781456954</x:v>
      </x:c>
      <x:c r="AS647" s="11" t="n">
        <x:v>1586.617963576159</x:v>
      </x:c>
      <x:c r="AT647" s="11" t="n">
        <x:v>2032.6212748344371</x:v>
      </x:c>
      <x:c r="AU647" s="11" t="n">
        <x:v>1138.2706953642385</x:v>
      </x:c>
      <x:c r="AV647" s="11" t="n">
        <x:v>476.05918874172187</x:v>
      </x:c>
      <x:c r="AW647" s="11" t="n">
        <x:v>3.217080210605361</x:v>
      </x:c>
      <x:c r="AX647" s="12" t="n">
        <x:v>0.8499212902869452</x:v>
      </x:c>
      <x:c r="AY647" s="11"/>
      <x:c r="AZ647" s="11"/>
      <x:c r="BA647" s="11"/>
      <x:c r="BB647" s="11"/>
      <x:c r="BC647" s="11"/>
      <x:c r="BD647" s="11"/>
      <x:c r="BE647" s="11"/>
      <x:c r="BF647" s="11"/>
      <x:c r="BG647" s="11"/>
      <x:c r="BH647" s="11"/>
      <x:c r="BI647" s="11"/>
      <x:c r="BJ647" s="11"/>
      <x:c r="BK647" s="12"/>
      <x:c r="BL647" s="12"/>
      <x:c r="BM647" s="12"/>
      <x:c r="BN647" s="12"/>
      <x:c r="BO647" s="12"/>
      <x:c r="BP647" s="12"/>
      <x:c r="BQ647" s="12"/>
      <x:c r="BR647" s="12"/>
      <x:c r="BS647" s="12"/>
      <x:c r="BT647" s="12"/>
      <x:c r="BU647" s="11" t="n">
        <x:v>6600</x:v>
      </x:c>
      <x:c r="BV647" s="11" t="n">
        <x:v>1476043</x:v>
      </x:c>
      <x:c r="BW647" s="11" t="n">
        <x:v>34470</x:v>
      </x:c>
      <x:c r="BX647" s="11" t="n">
        <x:v>86810</x:v>
      </x:c>
      <x:c r="BY647" s="11" t="n">
        <x:v>0</x:v>
      </x:c>
      <x:c r="BZ647" s="11" t="n">
        <x:v>0</x:v>
      </x:c>
      <x:c r="CA647" s="11" t="n">
        <x:v>0</x:v>
      </x:c>
      <x:c r="CB647" s="11" t="n">
        <x:v>0</x:v>
      </x:c>
      <x:c r="CC647" s="11" t="n">
        <x:v>1216314</x:v>
      </x:c>
      <x:c r="CD647" s="11" t="n">
        <x:v>164227</x:v>
      </x:c>
      <x:c r="CE647" s="11" t="n">
        <x:v>205650</x:v>
      </x:c>
      <x:c r="CF647" s="11" t="n">
        <x:v>0</x:v>
      </x:c>
      <x:c r="CG647" s="11" t="n">
        <x:v>0</x:v>
      </x:c>
      <x:c r="CH647" s="11" t="n">
        <x:v>362963</x:v>
      </x:c>
      <x:c r="CI647" s="11" t="n">
        <x:v>238017</x:v>
      </x:c>
      <x:c r="CJ647" s="11" t="n">
        <x:v>210914</x:v>
      </x:c>
      <x:c r="CK647" s="11" t="n">
        <x:v>215986</x:v>
      </x:c>
      <x:c r="CL647" s="11" t="n">
        <x:v>0</x:v>
      </x:c>
      <x:c r="CM647" s="11"/>
      <x:c r="CN647" s="11" t="n">
        <x:v>0</x:v>
      </x:c>
      <x:c r="CO647" s="11" t="n">
        <x:v>0</x:v>
      </x:c>
      <x:c r="CP647" s="8"/>
      <x:c r="CQ647" s="8"/>
    </x:row>
    <x:row r="648">
      <x:c r="A648" s="8" t="str">
        <x:v>Port McNeill|2021</x:v>
      </x:c>
      <x:c r="B648" s="8" t="str">
        <x:v>port-mcneill-t</x:v>
      </x:c>
      <x:c r="C648" s="8" t="str">
        <x:v>Port McNeill</x:v>
      </x:c>
      <x:c r="D648" s="8" t="str">
        <x:v>Port McNeill</x:v>
      </x:c>
      <x:c r="E648" s="8" t="str">
        <x:v>T</x:v>
      </x:c>
      <x:c r="F648" s="8" t="str">
        <x:v>MW</x:v>
      </x:c>
      <x:c r="G648" s="9" t="n">
        <x:v>2021</x:v>
      </x:c>
      <x:c r="H648" s="10" t="n">
        <x:v>2441</x:v>
      </x:c>
      <x:c r="I648" s="8" t="str">
        <x:v>Under 5,000</x:v>
      </x:c>
      <x:c r="J648" s="11" t="n">
        <x:v>4408955</x:v>
      </x:c>
      <x:c r="K648" s="11" t="n">
        <x:v>4575651</x:v>
      </x:c>
      <x:c r="L648" s="11" t="n">
        <x:v>-166696</x:v>
      </x:c>
      <x:c r="M648" s="12" t="n">
        <x:v>-0.037808505643627574</x:v>
      </x:c>
      <x:c r="N648" s="11" t="n">
        <x:v>1583686</x:v>
      </x:c>
      <x:c r="O648" s="11" t="n">
        <x:v>1597089</x:v>
      </x:c>
      <x:c r="P648" s="11" t="n">
        <x:v>1156176</x:v>
      </x:c>
      <x:c r="Q648" s="11" t="n">
        <x:v>72004</x:v>
      </x:c>
      <x:c r="R648" s="11" t="n">
        <x:v>3409945</x:v>
      </x:c>
      <x:c r="S648" s="11" t="n">
        <x:v>1112766</x:v>
      </x:c>
      <x:c r="T648" s="11" t="n">
        <x:v>5982565</x:v>
      </x:c>
      <x:c r="U648" s="11" t="n">
        <x:v>2853511</x:v>
      </x:c>
      <x:c r="V648" s="11" t="n">
        <x:v>3890088</x:v>
      </x:c>
      <x:c r="W648" s="11" t="n">
        <x:v>2669129</x:v>
      </x:c>
      <x:c r="X648" s="11" t="n">
        <x:v>1150159</x:v>
      </x:c>
      <x:c r="Y648" s="11" t="n">
        <x:v>0</x:v>
      </x:c>
      <x:c r="Z648" s="11" t="n">
        <x:v>63805</x:v>
      </x:c>
      <x:c r="AA648" s="11" t="n">
        <x:v>1056360</x:v>
      </x:c>
      <x:c r="AB648" s="11" t="n">
        <x:v>52940</x:v>
      </x:c>
      <x:c r="AC648" s="11" t="n">
        <x:v>116745</x:v>
      </x:c>
      <x:c r="AD648" s="11" t="n">
        <x:v>936334</x:v>
      </x:c>
      <x:c r="AE648" s="11" t="n">
        <x:v>819589</x:v>
      </x:c>
      <x:c r="AF648" s="11" t="n">
        <x:v>3745334</x:v>
      </x:c>
      <x:c r="AG648" s="11" t="n">
        <x:v>83451578</x:v>
      </x:c>
      <x:c r="AH648" s="11" t="n">
        <x:v>57883953</x:v>
      </x:c>
      <x:c r="AI648" s="11" t="n">
        <x:v>25567625</x:v>
      </x:c>
      <x:c r="AJ648" s="11" t="n">
        <x:v>1960910</x:v>
      </x:c>
      <x:c r="AK648" s="11" t="n">
        <x:v>1389069</x:v>
      </x:c>
      <x:c r="AL648" s="11" t="n">
        <x:v>0</x:v>
      </x:c>
      <x:c r="AM648" s="12" t="n">
        <x:v>1</x:v>
      </x:c>
      <x:c r="AN648" s="12" t="n">
        <x:v>1.4116721343576164</x:v>
      </x:c>
      <x:c r="AO648" s="11" t="n">
        <x:v>3267414</x:v>
      </x:c>
      <x:c r="AP648" s="11" t="n">
        <x:v>3228410</x:v>
      </x:c>
      <x:c r="AQ648" s="12" t="n">
        <x:v>0.9880627309548162</x:v>
      </x:c>
      <x:c r="AR648" s="11" t="n">
        <x:v>1806.2085210979108</x:v>
      </x:c>
      <x:c r="AS648" s="11" t="n">
        <x:v>1874.4985661614094</x:v>
      </x:c>
      <x:c r="AT648" s="11" t="n">
        <x:v>1593.6452273658338</x:v>
      </x:c>
      <x:c r="AU648" s="11" t="n">
        <x:v>1093.457189676362</x:v>
      </x:c>
      <x:c r="AV648" s="11" t="n">
        <x:v>432.75706677591154</x:v>
      </x:c>
      <x:c r="AW648" s="11" t="n">
        <x:v>2.0965627957978783</x:v>
      </x:c>
      <x:c r="AX648" s="12" t="n">
        <x:v>0.8753169275066376</x:v>
      </x:c>
      <x:c r="AY648" s="11"/>
      <x:c r="AZ648" s="11"/>
      <x:c r="BA648" s="11"/>
      <x:c r="BB648" s="11"/>
      <x:c r="BC648" s="11"/>
      <x:c r="BD648" s="11"/>
      <x:c r="BE648" s="11"/>
      <x:c r="BF648" s="11"/>
      <x:c r="BG648" s="11"/>
      <x:c r="BH648" s="11"/>
      <x:c r="BI648" s="11"/>
      <x:c r="BJ648" s="11"/>
      <x:c r="BK648" s="12"/>
      <x:c r="BL648" s="12"/>
      <x:c r="BM648" s="12"/>
      <x:c r="BN648" s="12"/>
      <x:c r="BO648" s="12"/>
      <x:c r="BP648" s="12"/>
      <x:c r="BQ648" s="12"/>
      <x:c r="BR648" s="12"/>
      <x:c r="BS648" s="12"/>
      <x:c r="BT648" s="12"/>
      <x:c r="BU648" s="11" t="n">
        <x:v>3345</x:v>
      </x:c>
      <x:c r="BV648" s="11" t="n">
        <x:v>659216</x:v>
      </x:c>
      <x:c r="BW648" s="11" t="n">
        <x:v>493615</x:v>
      </x:c>
      <x:c r="BX648" s="11" t="n">
        <x:v>72004</x:v>
      </x:c>
      <x:c r="BY648" s="11" t="n">
        <x:v>0</x:v>
      </x:c>
      <x:c r="BZ648" s="11" t="n">
        <x:v>0</x:v>
      </x:c>
      <x:c r="CA648" s="11" t="n">
        <x:v>0</x:v>
      </x:c>
      <x:c r="CB648" s="11" t="n">
        <x:v>0</x:v>
      </x:c>
      <x:c r="CC648" s="11" t="n">
        <x:v>1430258</x:v>
      </x:c>
      <x:c r="CD648" s="11" t="n">
        <x:v>236026</x:v>
      </x:c>
      <x:c r="CE648" s="11" t="n">
        <x:v>203147</x:v>
      </x:c>
      <x:c r="CF648" s="11" t="n">
        <x:v>0</x:v>
      </x:c>
      <x:c r="CG648" s="11" t="n">
        <x:v>0</x:v>
      </x:c>
      <x:c r="CH648" s="11" t="n">
        <x:v>509232</x:v>
      </x:c>
      <x:c r="CI648" s="11" t="n">
        <x:v>409223</x:v>
      </x:c>
      <x:c r="CJ648" s="11" t="n">
        <x:v>227711</x:v>
      </x:c>
      <x:c r="CK648" s="11" t="n">
        <x:v>201779</x:v>
      </x:c>
      <x:c r="CL648" s="11" t="n">
        <x:v>0</x:v>
      </x:c>
      <x:c r="CM648" s="11"/>
      <x:c r="CN648" s="11" t="n">
        <x:v>245509</x:v>
      </x:c>
      <x:c r="CO648" s="11" t="n">
        <x:v>0</x:v>
      </x:c>
      <x:c r="CP648" s="8"/>
      <x:c r="CQ648" s="8"/>
    </x:row>
    <x:row r="649">
      <x:c r="A649" s="8" t="str">
        <x:v>Port McNeill|2022</x:v>
      </x:c>
      <x:c r="B649" s="8" t="str">
        <x:v>port-mcneill-t</x:v>
      </x:c>
      <x:c r="C649" s="8" t="str">
        <x:v>Port McNeill</x:v>
      </x:c>
      <x:c r="D649" s="8" t="str">
        <x:v>Port McNeill</x:v>
      </x:c>
      <x:c r="E649" s="8" t="str">
        <x:v>T</x:v>
      </x:c>
      <x:c r="F649" s="8" t="str">
        <x:v>MW</x:v>
      </x:c>
      <x:c r="G649" s="9" t="n">
        <x:v>2022</x:v>
      </x:c>
      <x:c r="H649" s="10" t="n">
        <x:v>36786</x:v>
      </x:c>
      <x:c r="I649" s="8" t="str">
        <x:v>20,000 to 99,999</x:v>
      </x:c>
      <x:c r="J649" s="11" t="n">
        <x:v>5256961</x:v>
      </x:c>
      <x:c r="K649" s="11" t="n">
        <x:v>4930219</x:v>
      </x:c>
      <x:c r="L649" s="11" t="n">
        <x:v>326742</x:v>
      </x:c>
      <x:c r="M649" s="12" t="n">
        <x:v>0.06215416093062132</x:v>
      </x:c>
      <x:c r="N649" s="11" t="n">
        <x:v>1614686</x:v>
      </x:c>
      <x:c r="O649" s="11" t="n">
        <x:v>1694822</x:v>
      </x:c>
      <x:c r="P649" s="11" t="n">
        <x:v>1556199</x:v>
      </x:c>
      <x:c r="Q649" s="11" t="n">
        <x:v>391254</x:v>
      </x:c>
      <x:c r="R649" s="11" t="n">
        <x:v>3906336</x:v>
      </x:c>
      <x:c r="S649" s="11" t="n">
        <x:v>990053</x:v>
      </x:c>
      <x:c r="T649" s="11" t="n">
        <x:v>6010456</x:v>
      </x:c>
      <x:c r="U649" s="11" t="n">
        <x:v>3221267</x:v>
      </x:c>
      <x:c r="V649" s="11" t="n">
        <x:v>3616934</x:v>
      </x:c>
      <x:c r="W649" s="11" t="n">
        <x:v>2570423</x:v>
      </x:c>
      <x:c r="X649" s="11" t="n">
        <x:v>1056360</x:v>
      </x:c>
      <x:c r="Y649" s="11" t="n">
        <x:v>0</x:v>
      </x:c>
      <x:c r="Z649" s="11" t="n">
        <x:v>68257</x:v>
      </x:c>
      <x:c r="AA649" s="11" t="n">
        <x:v>958809</x:v>
      </x:c>
      <x:c r="AB649" s="11" t="n">
        <x:v>33830</x:v>
      </x:c>
      <x:c r="AC649" s="11" t="n">
        <x:v>102087</x:v>
      </x:c>
      <x:c r="AD649" s="11" t="n">
        <x:v>1141921</x:v>
      </x:c>
      <x:c r="AE649" s="11" t="n">
        <x:v>1039834</x:v>
      </x:c>
      <x:c r="AF649" s="11" t="n">
        <x:v>4567683</x:v>
      </x:c>
      <x:c r="AG649" s="11" t="n">
        <x:v>84944191</x:v>
      </x:c>
      <x:c r="AH649" s="11" t="n">
        <x:v>58874008</x:v>
      </x:c>
      <x:c r="AI649" s="11" t="n">
        <x:v>26070183</x:v>
      </x:c>
      <x:c r="AJ649" s="11" t="n">
        <x:v>1492614</x:v>
      </x:c>
      <x:c r="AK649" s="11" t="n">
        <x:v>1389069</x:v>
      </x:c>
      <x:c r="AL649" s="11" t="n">
        <x:v>0</x:v>
      </x:c>
      <x:c r="AM649" s="12" t="n">
        <x:v>1</x:v>
      </x:c>
      <x:c r="AN649" s="12" t="n">
        <x:v>1.074542733298346</x:v>
      </x:c>
      <x:c r="AO649" s="11" t="n">
        <x:v>3298087</x:v>
      </x:c>
      <x:c r="AP649" s="11" t="n">
        <x:v>3239344</x:v>
      </x:c>
      <x:c r="AQ649" s="12" t="n">
        <x:v>0.9821887657905931</x:v>
      </x:c>
      <x:c r="AR649" s="11" t="n">
        <x:v>142.9065677159789</x:v>
      </x:c>
      <x:c r="AS649" s="11" t="n">
        <x:v>134.0243299081172</x:v>
      </x:c>
      <x:c r="AT649" s="11" t="n">
        <x:v>98.3236557385962</x:v>
      </x:c>
      <x:c r="AU649" s="11" t="n">
        <x:v>69.8750339803186</x:v>
      </x:c>
      <x:c r="AV649" s="11" t="n">
        <x:v>26.06450823682923</x:v>
      </x:c>
      <x:c r="AW649" s="11" t="n">
        <x:v>1.8658670641086257</x:v>
      </x:c>
      <x:c r="AX649" s="12" t="n">
        <x:v>0.9106006457539532</x:v>
      </x:c>
      <x:c r="AY649" s="11"/>
      <x:c r="AZ649" s="11"/>
      <x:c r="BA649" s="11"/>
      <x:c r="BB649" s="11"/>
      <x:c r="BC649" s="11"/>
      <x:c r="BD649" s="11"/>
      <x:c r="BE649" s="11"/>
      <x:c r="BF649" s="11"/>
      <x:c r="BG649" s="11"/>
      <x:c r="BH649" s="11"/>
      <x:c r="BI649" s="11"/>
      <x:c r="BJ649" s="11"/>
      <x:c r="BK649" s="12"/>
      <x:c r="BL649" s="12"/>
      <x:c r="BM649" s="12"/>
      <x:c r="BN649" s="12"/>
      <x:c r="BO649" s="12"/>
      <x:c r="BP649" s="12"/>
      <x:c r="BQ649" s="12"/>
      <x:c r="BR649" s="12"/>
      <x:c r="BS649" s="12"/>
      <x:c r="BT649" s="12"/>
      <x:c r="BU649" s="11" t="n">
        <x:v>1680</x:v>
      </x:c>
      <x:c r="BV649" s="11" t="n">
        <x:v>1049101</x:v>
      </x:c>
      <x:c r="BW649" s="11" t="n">
        <x:v>505418</x:v>
      </x:c>
      <x:c r="BX649" s="11" t="n">
        <x:v>391254</x:v>
      </x:c>
      <x:c r="BY649" s="11" t="n">
        <x:v>0</x:v>
      </x:c>
      <x:c r="BZ649" s="11" t="n">
        <x:v>0</x:v>
      </x:c>
      <x:c r="CA649" s="11" t="n">
        <x:v>0</x:v>
      </x:c>
      <x:c r="CB649" s="11" t="n">
        <x:v>0</x:v>
      </x:c>
      <x:c r="CC649" s="11" t="n">
        <x:v>1694262</x:v>
      </x:c>
      <x:c r="CD649" s="11" t="n">
        <x:v>326775</x:v>
      </x:c>
      <x:c r="CE649" s="11" t="n">
        <x:v>192981</x:v>
      </x:c>
      <x:c r="CF649" s="11" t="n">
        <x:v>0</x:v>
      </x:c>
      <x:c r="CG649" s="11" t="n">
        <x:v>0</x:v>
      </x:c>
      <x:c r="CH649" s="11" t="n">
        <x:v>0</x:v>
      </x:c>
      <x:c r="CI649" s="11" t="n">
        <x:v>643845</x:v>
      </x:c>
      <x:c r="CJ649" s="11" t="n">
        <x:v>167291</x:v>
      </x:c>
      <x:c r="CK649" s="11" t="n">
        <x:v>323545</x:v>
      </x:c>
      <x:c r="CL649" s="11" t="n">
        <x:v>591467</x:v>
      </x:c>
      <x:c r="CM649" s="11"/>
      <x:c r="CN649" s="11" t="n">
        <x:v>0</x:v>
      </x:c>
      <x:c r="CO649" s="11" t="n">
        <x:v>0</x:v>
      </x:c>
      <x:c r="CP649" s="8"/>
      <x:c r="CQ649" s="8"/>
    </x:row>
    <x:row r="650">
      <x:c r="A650" s="8" t="str">
        <x:v>Port McNeill|2023</x:v>
      </x:c>
      <x:c r="B650" s="8" t="str">
        <x:v>port-mcneill-t</x:v>
      </x:c>
      <x:c r="C650" s="8" t="str">
        <x:v>Port McNeill</x:v>
      </x:c>
      <x:c r="D650" s="8" t="str">
        <x:v>Port McNeill</x:v>
      </x:c>
      <x:c r="E650" s="8" t="str">
        <x:v>T</x:v>
      </x:c>
      <x:c r="F650" s="8" t="str">
        <x:v>MW</x:v>
      </x:c>
      <x:c r="G650" s="9" t="n">
        <x:v>2023</x:v>
      </x:c>
      <x:c r="H650" s="10" t="n">
        <x:v>2591</x:v>
      </x:c>
      <x:c r="I650" s="8" t="str">
        <x:v>Under 5,000</x:v>
      </x:c>
      <x:c r="J650" s="11" t="n">
        <x:v>8074546</x:v>
      </x:c>
      <x:c r="K650" s="11" t="n">
        <x:v>4981832</x:v>
      </x:c>
      <x:c r="L650" s="11" t="n">
        <x:v>3092714</x:v>
      </x:c>
      <x:c r="M650" s="12" t="n">
        <x:v>0.3830201722796551</x:v>
      </x:c>
      <x:c r="N650" s="11" t="n">
        <x:v>1679864</x:v>
      </x:c>
      <x:c r="O650" s="11" t="n">
        <x:v>1791509</x:v>
      </x:c>
      <x:c r="P650" s="11" t="n">
        <x:v>3805539</x:v>
      </x:c>
      <x:c r="Q650" s="11" t="n">
        <x:v>797634</x:v>
      </x:c>
      <x:c r="R650" s="11" t="n">
        <x:v>3756775</x:v>
      </x:c>
      <x:c r="S650" s="11" t="n">
        <x:v>1172910</x:v>
      </x:c>
      <x:c r="T650" s="11" t="n">
        <x:v>6451606</x:v>
      </x:c>
      <x:c r="U650" s="11" t="n">
        <x:v>3329881</x:v>
      </x:c>
      <x:c r="V650" s="11" t="n">
        <x:v>3868478</x:v>
      </x:c>
      <x:c r="W650" s="11" t="n">
        <x:v>4051423</x:v>
      </x:c>
      <x:c r="X650" s="11" t="n">
        <x:v>958809</x:v>
      </x:c>
      <x:c r="Y650" s="11" t="n">
        <x:v>430000</x:v>
      </x:c>
      <x:c r="Z650" s="11" t="n">
        <x:v>110765</x:v>
      </x:c>
      <x:c r="AA650" s="11" t="n">
        <x:v>1243510</x:v>
      </x:c>
      <x:c r="AB650" s="11" t="n">
        <x:v>52147</x:v>
      </x:c>
      <x:c r="AC650" s="11" t="n">
        <x:v>162912</x:v>
      </x:c>
      <x:c r="AD650" s="11" t="n">
        <x:v>1083419</x:v>
      </x:c>
      <x:c r="AE650" s="11" t="n">
        <x:v>920507</x:v>
      </x:c>
      <x:c r="AF650" s="11" t="n">
        <x:v>4333676</x:v>
      </x:c>
      <x:c r="AG650" s="11" t="n">
        <x:v>89050175</x:v>
      </x:c>
      <x:c r="AH650" s="11" t="n">
        <x:v>60046918</x:v>
      </x:c>
      <x:c r="AI650" s="11" t="n">
        <x:v>29003257</x:v>
      </x:c>
      <x:c r="AJ650" s="11" t="n">
        <x:v>3295921</x:v>
      </x:c>
      <x:c r="AK650" s="11" t="n">
        <x:v>1717069</x:v>
      </x:c>
      <x:c r="AL650" s="11" t="n">
        <x:v>0</x:v>
      </x:c>
      <x:c r="AM650" s="12" t="n">
        <x:v>1</x:v>
      </x:c>
      <x:c r="AN650" s="12" t="n">
        <x:v>1.9195041084545816</x:v>
      </x:c>
      <x:c r="AO650" s="11" t="n">
        <x:v>3548178</x:v>
      </x:c>
      <x:c r="AP650" s="11" t="n">
        <x:v>3283685</x:v>
      </x:c>
      <x:c r="AQ650" s="12" t="n">
        <x:v>0.9254566710012857</x:v>
      </x:c>
      <x:c r="AR650" s="11" t="n">
        <x:v>3116.382091856426</x:v>
      </x:c>
      <x:c r="AS650" s="11" t="n">
        <x:v>1922.7448861443459</x:v>
      </x:c>
      <x:c r="AT650" s="11" t="n">
        <x:v>1493.0443844075646</x:v>
      </x:c>
      <x:c r="AU650" s="11" t="n">
        <x:v>1563.6522578155152</x:v>
      </x:c>
      <x:c r="AV650" s="11" t="n">
        <x:v>479.93438826707836</x:v>
      </x:c>
      <x:c r="AW650" s="11" t="n">
        <x:v>1.9374884567947022</x:v>
      </x:c>
      <x:c r="AX650" s="12" t="n">
        <x:v>0.8496315829794382</x:v>
      </x:c>
      <x:c r="AY650" s="11"/>
      <x:c r="AZ650" s="11"/>
      <x:c r="BA650" s="11"/>
      <x:c r="BB650" s="11"/>
      <x:c r="BC650" s="11"/>
      <x:c r="BD650" s="11"/>
      <x:c r="BE650" s="11"/>
      <x:c r="BF650" s="11"/>
      <x:c r="BG650" s="11"/>
      <x:c r="BH650" s="11"/>
      <x:c r="BI650" s="11"/>
      <x:c r="BJ650" s="11"/>
      <x:c r="BK650" s="12"/>
      <x:c r="BL650" s="12"/>
      <x:c r="BM650" s="12"/>
      <x:c r="BN650" s="12"/>
      <x:c r="BO650" s="12"/>
      <x:c r="BP650" s="12"/>
      <x:c r="BQ650" s="12"/>
      <x:c r="BR650" s="12"/>
      <x:c r="BS650" s="12"/>
      <x:c r="BT650" s="12"/>
      <x:c r="BU650" s="11" t="n">
        <x:v>0</x:v>
      </x:c>
      <x:c r="BV650" s="11" t="n">
        <x:v>3732143</x:v>
      </x:c>
      <x:c r="BW650" s="11" t="n">
        <x:v>73396</x:v>
      </x:c>
      <x:c r="BX650" s="11" t="n">
        <x:v>453761</x:v>
      </x:c>
      <x:c r="BY650" s="11" t="n">
        <x:v>0</x:v>
      </x:c>
      <x:c r="BZ650" s="11" t="n">
        <x:v>343873</x:v>
      </x:c>
      <x:c r="CA650" s="11" t="n">
        <x:v>0</x:v>
      </x:c>
      <x:c r="CB650" s="11" t="n">
        <x:v>0</x:v>
      </x:c>
      <x:c r="CC650" s="11" t="n">
        <x:v>1501104</x:v>
      </x:c>
      <x:c r="CD650" s="11" t="n">
        <x:v>422585</x:v>
      </x:c>
      <x:c r="CE650" s="11" t="n">
        <x:v>200502</x:v>
      </x:c>
      <x:c r="CF650" s="11" t="n">
        <x:v>0</x:v>
      </x:c>
      <x:c r="CG650" s="11" t="n">
        <x:v>0</x:v>
      </x:c>
      <x:c r="CH650" s="11" t="n">
        <x:v>62839</x:v>
      </x:c>
      <x:c r="CI650" s="11" t="n">
        <x:v>632762</x:v>
      </x:c>
      <x:c r="CJ650" s="11" t="n">
        <x:v>148070</x:v>
      </x:c>
      <x:c r="CK650" s="11" t="n">
        <x:v>372006</x:v>
      </x:c>
      <x:c r="CL650" s="11" t="n">
        <x:v>469054</x:v>
      </x:c>
      <x:c r="CM650" s="11" t="n">
        <x:v>0</x:v>
      </x:c>
      <x:c r="CN650" s="11" t="n">
        <x:v>0</x:v>
      </x:c>
      <x:c r="CO650" s="11" t="n">
        <x:v>0</x:v>
      </x:c>
      <x:c r="CP650" s="8"/>
      <x:c r="CQ650" s="8"/>
    </x:row>
    <x:row r="651">
      <x:c r="A651" s="8" t="str">
        <x:v>Port McNeill|2024</x:v>
      </x:c>
      <x:c r="B651" s="8" t="str">
        <x:v>port-mcneill-t</x:v>
      </x:c>
      <x:c r="C651" s="8" t="str">
        <x:v>Port McNeill</x:v>
      </x:c>
      <x:c r="D651" s="8" t="str">
        <x:v>Port McNeill</x:v>
      </x:c>
      <x:c r="E651" s="8" t="str">
        <x:v>T</x:v>
      </x:c>
      <x:c r="F651" s="8" t="str">
        <x:v>MW</x:v>
      </x:c>
      <x:c r="G651" s="9" t="n">
        <x:v>2024</x:v>
      </x:c>
      <x:c r="H651" s="10" t="n">
        <x:v>2591</x:v>
      </x:c>
      <x:c r="I651" s="8" t="str">
        <x:v>Under 5,000</x:v>
      </x:c>
      <x:c r="J651" s="11" t="n">
        <x:v>5911671</x:v>
      </x:c>
      <x:c r="K651" s="11" t="n">
        <x:v>5320238</x:v>
      </x:c>
      <x:c r="L651" s="11" t="n">
        <x:v>591433</x:v>
      </x:c>
      <x:c r="M651" s="12" t="n">
        <x:v>0.10004497882240064</x:v>
      </x:c>
      <x:c r="N651" s="11" t="n">
        <x:v>1678270</x:v>
      </x:c>
      <x:c r="O651" s="11" t="n">
        <x:v>1895205</x:v>
      </x:c>
      <x:c r="P651" s="11" t="n">
        <x:v>1861159</x:v>
      </x:c>
      <x:c r="Q651" s="11" t="n">
        <x:v>477037</x:v>
      </x:c>
      <x:c r="R651" s="11" t="n">
        <x:v>4014692</x:v>
      </x:c>
      <x:c r="S651" s="11" t="n">
        <x:v>1265427</x:v>
      </x:c>
      <x:c r="T651" s="11" t="n">
        <x:v>6918024</x:v>
      </x:c>
      <x:c r="U651" s="11" t="n">
        <x:v>3214655</x:v>
      </x:c>
      <x:c r="V651" s="11" t="n">
        <x:v>4468872</x:v>
      </x:c>
      <x:c r="W651" s="11" t="n">
        <x:v>4153086</x:v>
      </x:c>
      <x:c r="X651" s="11" t="n">
        <x:v>1243510</x:v>
      </x:c>
      <x:c r="Y651" s="11" t="n">
        <x:v>0</x:v>
      </x:c>
      <x:c r="Z651" s="11" t="n">
        <x:v>137459</x:v>
      </x:c>
      <x:c r="AA651" s="11" t="n">
        <x:v>1067774</x:v>
      </x:c>
      <x:c r="AB651" s="11" t="n">
        <x:v>40119</x:v>
      </x:c>
      <x:c r="AC651" s="11" t="n">
        <x:v>177578</x:v>
      </x:c>
      <x:c r="AD651" s="11" t="n">
        <x:v>1132984</x:v>
      </x:c>
      <x:c r="AE651" s="11" t="n">
        <x:v>955406</x:v>
      </x:c>
      <x:c r="AF651" s="11" t="n">
        <x:v>4531935</x:v>
      </x:c>
      <x:c r="AG651" s="11" t="n">
        <x:v>90271039</x:v>
      </x:c>
      <x:c r="AH651" s="11" t="n">
        <x:v>61282345</x:v>
      </x:c>
      <x:c r="AI651" s="11" t="n">
        <x:v>28988694</x:v>
      </x:c>
      <x:c r="AJ651" s="11" t="n">
        <x:v>1250864</x:v>
      </x:c>
      <x:c r="AK651" s="11" t="n">
        <x:v>272217069</x:v>
      </x:c>
      <x:c r="AL651" s="11" t="n">
        <x:v>6707424</x:v>
      </x:c>
      <x:c r="AM651" s="12" t="n">
        <x:v>0.9753600168253961</x:v>
      </x:c>
      <x:c r="AN651" s="12" t="n">
        <x:v>0.00459509759838021</x:v>
      </x:c>
      <x:c r="AO651" s="11" t="n">
        <x:v>4002959</x:v>
      </x:c>
      <x:c r="AP651" s="11" t="n">
        <x:v>3723969</x:v>
      </x:c>
      <x:c r="AQ651" s="12" t="n">
        <x:v>0.9303040575734101</x:v>
      </x:c>
      <x:c r="AR651" s="11" t="n">
        <x:v>2281.617522192204</x:v>
      </x:c>
      <x:c r="AS651" s="11" t="n">
        <x:v>2053.3531455036664</x:v>
      </x:c>
      <x:c r="AT651" s="11" t="n">
        <x:v>1724.7672713238132</x:v>
      </x:c>
      <x:c r="AU651" s="11" t="n">
        <x:v>1602.8892319567735</x:v>
      </x:c>
      <x:c r="AV651" s="11" t="n">
        <x:v>412.10883828637594</x:v>
      </x:c>
      <x:c r="AW651" s="11" t="n">
        <x:v>2.1520268893551564</x:v>
      </x:c>
      <x:c r="AX651" s="12" t="n">
        <x:v>0.8432652182202044</x:v>
      </x:c>
      <x:c r="AY651" s="11" t="n">
        <x:v>3295.226833884918</x:v>
      </x:c>
      <x:c r="AZ651" s="11" t="n">
        <x:v>3546.5079302077975</x:v>
      </x:c>
      <x:c r="BA651" s="11" t="n">
        <x:v>2651.6543505296113</x:v>
      </x:c>
      <x:c r="BB651" s="11" t="n">
        <x:v>2783.665107049771</x:v>
      </x:c>
      <x:c r="BC651" s="11" t="n">
        <x:v>2725.020435376871</x:v>
      </x:c>
      <x:c r="BD651" s="11" t="n">
        <x:v>2437.8724475115623</x:v>
      </x:c>
      <x:c r="BE651" s="11" t="n">
        <x:v>1311.726099436231</x:v>
      </x:c>
      <x:c r="BF651" s="11" t="n">
        <x:v>1604.3462673977224</x:v>
      </x:c>
      <x:c r="BG651" s="11" t="n">
        <x:v>745.266315888418</x:v>
      </x:c>
      <x:c r="BH651" s="11" t="n">
        <x:v>518.5374381567245</x:v>
      </x:c>
      <x:c r="BI651" s="11" t="n">
        <x:v>2.026605100433861</x:v>
      </x:c>
      <x:c r="BJ651" s="11" t="n">
        <x:v>1.7099330852451193</x:v>
      </x:c>
      <x:c r="BK651" s="12" t="n">
        <x:v>0.015313583120714683</x:v>
      </x:c>
      <x:c r="BL651" s="12" t="n">
        <x:v>0.02529861000232605</x:v>
      </x:c>
      <x:c r="BM651" s="12" t="n">
        <x:v>0.9862284812495371</x:v>
      </x:c>
      <x:c r="BN651" s="12" t="n">
        <x:v>0.9815511712696461</x:v>
      </x:c>
      <x:c r="BO651" s="12" t="n">
        <x:v>0.804628726290725</x:v>
      </x:c>
      <x:c r="BP651" s="12" t="n">
        <x:v>0.8619101997275483</x:v>
      </x:c>
      <x:c r="BQ651" s="12" t="n">
        <x:v>0.9387070475233437</x:v>
      </x:c>
      <x:c r="BR651" s="12" t="n">
        <x:v>0.9623635142836453</x:v>
      </x:c>
      <x:c r="BS651" s="12" t="n">
        <x:v>0.26007843824193605</x:v>
      </x:c>
      <x:c r="BT651" s="12" t="n">
        <x:v>0.19976549769108282</x:v>
      </x:c>
      <x:c r="BU651" s="11" t="n">
        <x:v>98884</x:v>
      </x:c>
      <x:c r="BV651" s="11" t="n">
        <x:v>1762275</x:v>
      </x:c>
      <x:c r="BW651" s="11" t="n">
        <x:v>0</x:v>
      </x:c>
      <x:c r="BX651" s="11" t="n">
        <x:v>477037</x:v>
      </x:c>
      <x:c r="BY651" s="11" t="n">
        <x:v>0</x:v>
      </x:c>
      <x:c r="BZ651" s="11" t="n">
        <x:v>0</x:v>
      </x:c>
      <x:c r="CA651" s="11" t="n">
        <x:v>0</x:v>
      </x:c>
      <x:c r="CB651" s="11" t="n">
        <x:v>0</x:v>
      </x:c>
      <x:c r="CC651" s="11" t="n">
        <x:v>1779716</x:v>
      </x:c>
      <x:c r="CD651" s="11" t="n">
        <x:v>356818</x:v>
      </x:c>
      <x:c r="CE651" s="11" t="n">
        <x:v>191038</x:v>
      </x:c>
      <x:c r="CF651" s="11" t="n">
        <x:v>0</x:v>
      </x:c>
      <x:c r="CG651" s="11" t="n">
        <x:v>0</x:v>
      </x:c>
      <x:c r="CH651" s="11" t="n">
        <x:v>0</x:v>
      </x:c>
      <x:c r="CI651" s="11" t="n">
        <x:v>760758</x:v>
      </x:c>
      <x:c r="CJ651" s="11" t="n">
        <x:v>183976</x:v>
      </x:c>
      <x:c r="CK651" s="11" t="n">
        <x:v>281555</x:v>
      </x:c>
      <x:c r="CL651" s="11" t="n">
        <x:v>500950</x:v>
      </x:c>
      <x:c r="CM651" s="11" t="n">
        <x:v>0</x:v>
      </x:c>
      <x:c r="CN651" s="11" t="n">
        <x:v>0</x:v>
      </x:c>
      <x:c r="CO651" s="11" t="n">
        <x:v>0</x:v>
      </x:c>
      <x:c r="CP651" s="8"/>
      <x:c r="CQ651" s="8"/>
    </x:row>
    <x:row r="652">
      <x:c r="A652" s="8" t="str">
        <x:v>Port Moody|2019</x:v>
      </x:c>
      <x:c r="B652" s="8" t="str">
        <x:v>port-moody-c</x:v>
      </x:c>
      <x:c r="C652" s="8" t="str">
        <x:v>Port Moody</x:v>
      </x:c>
      <x:c r="D652" s="8" t="str">
        <x:v>Port Moody</x:v>
      </x:c>
      <x:c r="E652" s="8" t="str">
        <x:v>C</x:v>
      </x:c>
      <x:c r="F652" s="8" t="str">
        <x:v>GVR</x:v>
      </x:c>
      <x:c r="G652" s="9" t="n">
        <x:v>2019</x:v>
      </x:c>
      <x:c r="H652" s="10" t="n">
        <x:v>35052</x:v>
      </x:c>
      <x:c r="I652" s="8" t="str">
        <x:v>20,000 to 99,999</x:v>
      </x:c>
      <x:c r="J652" s="11" t="n">
        <x:v>82446244</x:v>
      </x:c>
      <x:c r="K652" s="11" t="n">
        <x:v>73378984</x:v>
      </x:c>
      <x:c r="L652" s="11" t="n">
        <x:v>9067260</x:v>
      </x:c>
      <x:c r="M652" s="12" t="n">
        <x:v>0.10997784204699489</x:v>
      </x:c>
      <x:c r="N652" s="11" t="n">
        <x:v>45658168</x:v>
      </x:c>
      <x:c r="O652" s="11" t="n">
        <x:v>25840598</x:v>
      </x:c>
      <x:c r="P652" s="11" t="n">
        <x:v>4141113</x:v>
      </x:c>
      <x:c r="Q652" s="11" t="n">
        <x:v>6806365</x:v>
      </x:c>
      <x:c r="R652" s="11" t="n">
        <x:v>63658587</x:v>
      </x:c>
      <x:c r="S652" s="11" t="n">
        <x:v>9033397</x:v>
      </x:c>
      <x:c r="T652" s="11" t="n">
        <x:v>71527066</x:v>
      </x:c>
      <x:c r="U652" s="11" t="n">
        <x:v>54907446</x:v>
      </x:c>
      <x:c r="V652" s="11" t="n">
        <x:v>21765679</x:v>
      </x:c>
      <x:c r="W652" s="11" t="n">
        <x:v>4795204</x:v>
      </x:c>
      <x:c r="X652" s="11" t="n">
        <x:v>22044497</x:v>
      </x:c>
      <x:c r="Y652" s="11" t="n">
        <x:v>0</x:v>
      </x:c>
      <x:c r="Z652" s="11" t="n">
        <x:v>849489</x:v>
      </x:c>
      <x:c r="AA652" s="11" t="n">
        <x:v>21094484</x:v>
      </x:c>
      <x:c r="AB652" s="11" t="n">
        <x:v>687000</x:v>
      </x:c>
      <x:c r="AC652" s="11" t="n">
        <x:v>1536489</x:v>
      </x:c>
      <x:c r="AD652" s="11" t="n">
        <x:v>17803731</x:v>
      </x:c>
      <x:c r="AE652" s="11" t="n">
        <x:v>16267242</x:v>
      </x:c>
      <x:c r="AF652" s="11" t="n">
        <x:v>71214923</x:v>
      </x:c>
      <x:c r="AG652" s="11" t="n">
        <x:v>822315646</x:v>
      </x:c>
      <x:c r="AH652" s="11" t="n">
        <x:v>138748295</x:v>
      </x:c>
      <x:c r="AI652" s="11" t="n">
        <x:v>683567351</x:v>
      </x:c>
      <x:c r="AJ652" s="11" t="n">
        <x:v>21064823</x:v>
      </x:c>
      <x:c r="AK652" s="11" t="n">
        <x:v>1107174554</x:v>
      </x:c>
      <x:c r="AL652" s="11" t="n">
        <x:v>13748390</x:v>
      </x:c>
      <x:c r="AM652" s="12" t="n">
        <x:v>0.9875824548619458</x:v>
      </x:c>
      <x:c r="AN652" s="12" t="n">
        <x:v>0.019025747045844768</x:v>
      </x:c>
      <x:c r="AO652" s="11" t="n">
        <x:v>71521587</x:v>
      </x:c>
      <x:c r="AP652" s="11" t="n">
        <x:v>70416001</x:v>
      </x:c>
      <x:c r="AQ652" s="12" t="n">
        <x:v>0.9845419257824913</x:v>
      </x:c>
      <x:c r="AR652" s="11" t="n">
        <x:v>2352.1124044277076</x:v>
      </x:c>
      <x:c r="AS652" s="11" t="n">
        <x:v>2093.4321579367797</x:v>
      </x:c>
      <x:c r="AT652" s="11" t="n">
        <x:v>620.9539826543421</x:v>
      </x:c>
      <x:c r="AU652" s="11" t="n">
        <x:v>136.8025790254479</x:v>
      </x:c>
      <x:c r="AV652" s="11" t="n">
        <x:v>601.8054319297045</x:v>
      </x:c>
      <x:c r="AW652" s="11" t="n">
        <x:v>1.3026842661740268</x:v>
      </x:c>
      <x:c r="AX652" s="12" t="n">
        <x:v>0.9136984826382739</x:v>
      </x:c>
      <x:c r="AY652" s="11"/>
      <x:c r="AZ652" s="11"/>
      <x:c r="BA652" s="11"/>
      <x:c r="BB652" s="11"/>
      <x:c r="BC652" s="11"/>
      <x:c r="BD652" s="11"/>
      <x:c r="BE652" s="11"/>
      <x:c r="BF652" s="11"/>
      <x:c r="BG652" s="11"/>
      <x:c r="BH652" s="11"/>
      <x:c r="BI652" s="11"/>
      <x:c r="BJ652" s="11"/>
      <x:c r="BK652" s="12"/>
      <x:c r="BL652" s="12"/>
      <x:c r="BM652" s="12"/>
      <x:c r="BN652" s="12"/>
      <x:c r="BO652" s="12"/>
      <x:c r="BP652" s="12"/>
      <x:c r="BQ652" s="12"/>
      <x:c r="BR652" s="12"/>
      <x:c r="BS652" s="12"/>
      <x:c r="BT652" s="12"/>
      <x:c r="BU652" s="11" t="n">
        <x:v>0</x:v>
      </x:c>
      <x:c r="BV652" s="11" t="n">
        <x:v>2663113</x:v>
      </x:c>
      <x:c r="BW652" s="11" t="n">
        <x:v>1478000</x:v>
      </x:c>
      <x:c r="BX652" s="11" t="n">
        <x:v>1363635</x:v>
      </x:c>
      <x:c r="BY652" s="11" t="n">
        <x:v>0</x:v>
      </x:c>
      <x:c r="BZ652" s="11" t="n">
        <x:v>5442730</x:v>
      </x:c>
      <x:c r="CA652" s="11" t="n">
        <x:v>0</x:v>
      </x:c>
      <x:c r="CB652" s="11" t="n">
        <x:v>0</x:v>
      </x:c>
      <x:c r="CC652" s="11" t="n">
        <x:v>8678103</x:v>
      </x:c>
      <x:c r="CD652" s="11" t="n">
        <x:v>20264597</x:v>
      </x:c>
      <x:c r="CE652" s="11" t="n">
        <x:v>2259460</x:v>
      </x:c>
      <x:c r="CF652" s="11" t="n">
        <x:v>179113</x:v>
      </x:c>
      <x:c r="CG652" s="11" t="n">
        <x:v>2318731</x:v>
      </x:c>
      <x:c r="CH652" s="11" t="n">
        <x:v>3785724</x:v>
      </x:c>
      <x:c r="CI652" s="11" t="n">
        <x:v>15298330</x:v>
      </x:c>
      <x:c r="CJ652" s="11" t="n">
        <x:v>6096063</x:v>
      </x:c>
      <x:c r="CK652" s="11" t="n">
        <x:v>4369465</x:v>
      </x:c>
      <x:c r="CL652" s="11" t="n">
        <x:v>0</x:v>
      </x:c>
      <x:c r="CM652" s="11"/>
      <x:c r="CN652" s="11" t="n">
        <x:v>1096001</x:v>
      </x:c>
      <x:c r="CO652" s="11" t="n">
        <x:v>0</x:v>
      </x:c>
      <x:c r="CP652" s="8"/>
      <x:c r="CQ652" s="8"/>
    </x:row>
    <x:row r="653">
      <x:c r="A653" s="8" t="str">
        <x:v>Port Moody|2020</x:v>
      </x:c>
      <x:c r="B653" s="8" t="str">
        <x:v>port-moody-c</x:v>
      </x:c>
      <x:c r="C653" s="8" t="str">
        <x:v>Port Moody</x:v>
      </x:c>
      <x:c r="D653" s="8" t="str">
        <x:v>Port Moody</x:v>
      </x:c>
      <x:c r="E653" s="8" t="str">
        <x:v>C</x:v>
      </x:c>
      <x:c r="F653" s="8" t="str">
        <x:v>GVR</x:v>
      </x:c>
      <x:c r="G653" s="9" t="n">
        <x:v>2020</x:v>
      </x:c>
      <x:c r="H653" s="10" t="n">
        <x:v>35151</x:v>
      </x:c>
      <x:c r="I653" s="8" t="str">
        <x:v>20,000 to 99,999</x:v>
      </x:c>
      <x:c r="J653" s="11" t="n">
        <x:v>99874684</x:v>
      </x:c>
      <x:c r="K653" s="11" t="n">
        <x:v>72579043</x:v>
      </x:c>
      <x:c r="L653" s="11" t="n">
        <x:v>27295641</x:v>
      </x:c>
      <x:c r="M653" s="12" t="n">
        <x:v>0.27329889724607287</x:v>
      </x:c>
      <x:c r="N653" s="11" t="n">
        <x:v>46730701</x:v>
      </x:c>
      <x:c r="O653" s="11" t="n">
        <x:v>24264087</x:v>
      </x:c>
      <x:c r="P653" s="11" t="n">
        <x:v>8065191</x:v>
      </x:c>
      <x:c r="Q653" s="11" t="n">
        <x:v>20814705</x:v>
      </x:c>
      <x:c r="R653" s="11" t="n">
        <x:v>62478492</x:v>
      </x:c>
      <x:c r="S653" s="11" t="n">
        <x:v>9392961</x:v>
      </x:c>
      <x:c r="T653" s="11" t="n">
        <x:v>109304116</x:v>
      </x:c>
      <x:c r="U653" s="11" t="n">
        <x:v>71318256</x:v>
      </x:c>
      <x:c r="V653" s="11" t="n">
        <x:v>45803554</x:v>
      </x:c>
      <x:c r="W653" s="11" t="n">
        <x:v>4826799</x:v>
      </x:c>
      <x:c r="X653" s="11" t="n">
        <x:v>21094484</x:v>
      </x:c>
      <x:c r="Y653" s="11" t="n">
        <x:v>3605000</x:v>
      </x:c>
      <x:c r="Z653" s="11" t="n">
        <x:v>824569</x:v>
      </x:c>
      <x:c r="AA653" s="11" t="n">
        <x:v>23751282</x:v>
      </x:c>
      <x:c r="AB653" s="11" t="n">
        <x:v>707590</x:v>
      </x:c>
      <x:c r="AC653" s="11" t="n">
        <x:v>1532159</x:v>
      </x:c>
      <x:c r="AD653" s="11" t="n">
        <x:v>17854663</x:v>
      </x:c>
      <x:c r="AE653" s="11" t="n">
        <x:v>16322504</x:v>
      </x:c>
      <x:c r="AF653" s="11" t="n">
        <x:v>71418653</x:v>
      </x:c>
      <x:c r="AG653" s="11" t="n">
        <x:v>833692405</x:v>
      </x:c>
      <x:c r="AH653" s="11" t="n">
        <x:v>146931841</x:v>
      </x:c>
      <x:c r="AI653" s="11" t="n">
        <x:v>686760564</x:v>
      </x:c>
      <x:c r="AJ653" s="11" t="n">
        <x:v>13630025</x:v>
      </x:c>
      <x:c r="AK653" s="11" t="n">
        <x:v>1212553975</x:v>
      </x:c>
      <x:c r="AL653" s="11" t="n">
        <x:v>16748276</x:v>
      </x:c>
      <x:c r="AM653" s="12" t="n">
        <x:v>0.9861876037312071</x:v>
      </x:c>
      <x:c r="AN653" s="12" t="n">
        <x:v>0.011240757344430792</x:v>
      </x:c>
      <x:c r="AO653" s="11" t="n">
        <x:v>69734033</x:v>
      </x:c>
      <x:c r="AP653" s="11" t="n">
        <x:v>67346414</x:v>
      </x:c>
      <x:c r="AQ653" s="12" t="n">
        <x:v>0.9657610653323321</x:v>
      </x:c>
      <x:c r="AR653" s="11" t="n">
        <x:v>2841.304201871924</x:v>
      </x:c>
      <x:c r="AS653" s="11" t="n">
        <x:v>2064.778896759694</x:v>
      </x:c>
      <x:c r="AT653" s="11" t="n">
        <x:v>1303.0512360957014</x:v>
      </x:c>
      <x:c r="AU653" s="11" t="n">
        <x:v>137.3161218741999</x:v>
      </x:c>
      <x:c r="AV653" s="11" t="n">
        <x:v>675.692924810105</x:v>
      </x:c>
      <x:c r="AW653" s="11" t="n">
        <x:v>1.5326246340067542</x:v>
      </x:c>
      <x:c r="AX653" s="12" t="n">
        <x:v>0.9141871790019224</x:v>
      </x:c>
      <x:c r="AY653" s="11"/>
      <x:c r="AZ653" s="11"/>
      <x:c r="BA653" s="11"/>
      <x:c r="BB653" s="11"/>
      <x:c r="BC653" s="11"/>
      <x:c r="BD653" s="11"/>
      <x:c r="BE653" s="11"/>
      <x:c r="BF653" s="11"/>
      <x:c r="BG653" s="11"/>
      <x:c r="BH653" s="11"/>
      <x:c r="BI653" s="11"/>
      <x:c r="BJ653" s="11"/>
      <x:c r="BK653" s="12"/>
      <x:c r="BL653" s="12"/>
      <x:c r="BM653" s="12"/>
      <x:c r="BN653" s="12"/>
      <x:c r="BO653" s="12"/>
      <x:c r="BP653" s="12"/>
      <x:c r="BQ653" s="12"/>
      <x:c r="BR653" s="12"/>
      <x:c r="BS653" s="12"/>
      <x:c r="BT653" s="12"/>
      <x:c r="BU653" s="11" t="n">
        <x:v>0</x:v>
      </x:c>
      <x:c r="BV653" s="11" t="n">
        <x:v>7845191</x:v>
      </x:c>
      <x:c r="BW653" s="11" t="n">
        <x:v>220000</x:v>
      </x:c>
      <x:c r="BX653" s="11" t="n">
        <x:v>1085338</x:v>
      </x:c>
      <x:c r="BY653" s="11" t="n">
        <x:v>0</x:v>
      </x:c>
      <x:c r="BZ653" s="11" t="n">
        <x:v>19701061</x:v>
      </x:c>
      <x:c r="CA653" s="11" t="n">
        <x:v>28306</x:v>
      </x:c>
      <x:c r="CB653" s="11" t="n">
        <x:v>0</x:v>
      </x:c>
      <x:c r="CC653" s="11" t="n">
        <x:v>7898987</x:v>
      </x:c>
      <x:c r="CD653" s="11" t="n">
        <x:v>20472997</x:v>
      </x:c>
      <x:c r="CE653" s="11" t="n">
        <x:v>2514411</x:v>
      </x:c>
      <x:c r="CF653" s="11" t="n">
        <x:v>153954</x:v>
      </x:c>
      <x:c r="CG653" s="11" t="n">
        <x:v>2533142</x:v>
      </x:c>
      <x:c r="CH653" s="11" t="n">
        <x:v>3660064</x:v>
      </x:c>
      <x:c r="CI653" s="11" t="n">
        <x:v>13863429</x:v>
      </x:c>
      <x:c r="CJ653" s="11" t="n">
        <x:v>6865997</x:v>
      </x:c>
      <x:c r="CK653" s="11" t="n">
        <x:v>4558542</x:v>
      </x:c>
      <x:c r="CL653" s="11" t="n">
        <x:v>0</x:v>
      </x:c>
      <x:c r="CM653" s="11"/>
      <x:c r="CN653" s="11" t="n">
        <x:v>664559</x:v>
      </x:c>
      <x:c r="CO653" s="11" t="n">
        <x:v>0</x:v>
      </x:c>
      <x:c r="CP653" s="8"/>
      <x:c r="CQ653" s="8"/>
    </x:row>
    <x:row r="654">
      <x:c r="A654" s="8" t="str">
        <x:v>Port Moody|2021</x:v>
      </x:c>
      <x:c r="B654" s="8" t="str">
        <x:v>port-moody-c</x:v>
      </x:c>
      <x:c r="C654" s="8" t="str">
        <x:v>Port Moody</x:v>
      </x:c>
      <x:c r="D654" s="8" t="str">
        <x:v>Port Moody</x:v>
      </x:c>
      <x:c r="E654" s="8" t="str">
        <x:v>C</x:v>
      </x:c>
      <x:c r="F654" s="8" t="str">
        <x:v>MVRD</x:v>
      </x:c>
      <x:c r="G654" s="9" t="n">
        <x:v>2021</x:v>
      </x:c>
      <x:c r="H654" s="10" t="n">
        <x:v>35951</x:v>
      </x:c>
      <x:c r="I654" s="8" t="str">
        <x:v>20,000 to 99,999</x:v>
      </x:c>
      <x:c r="J654" s="11" t="n">
        <x:v>89286388</x:v>
      </x:c>
      <x:c r="K654" s="11" t="n">
        <x:v>75646116</x:v>
      </x:c>
      <x:c r="L654" s="11" t="n">
        <x:v>13640272</x:v>
      </x:c>
      <x:c r="M654" s="12" t="n">
        <x:v>0.1527698936594904</x:v>
      </x:c>
      <x:c r="N654" s="11" t="n">
        <x:v>46795698</x:v>
      </x:c>
      <x:c r="O654" s="11" t="n">
        <x:v>25574974</x:v>
      </x:c>
      <x:c r="P654" s="11" t="n">
        <x:v>3978011</x:v>
      </x:c>
      <x:c r="Q654" s="11" t="n">
        <x:v>12937705</x:v>
      </x:c>
      <x:c r="R654" s="11" t="n">
        <x:v>64909315</x:v>
      </x:c>
      <x:c r="S654" s="11" t="n">
        <x:v>10012088</x:v>
      </x:c>
      <x:c r="T654" s="11" t="n">
        <x:v>113589252</x:v>
      </x:c>
      <x:c r="U654" s="11" t="n">
        <x:v>58847588</x:v>
      </x:c>
      <x:c r="V654" s="11" t="n">
        <x:v>61508452</x:v>
      </x:c>
      <x:c r="W654" s="11" t="n">
        <x:v>7035843</x:v>
      </x:c>
      <x:c r="X654" s="11" t="n">
        <x:v>23653752</x:v>
      </x:c>
      <x:c r="Y654" s="11" t="n">
        <x:v>0</x:v>
      </x:c>
      <x:c r="Z654" s="11" t="n">
        <x:v>1017509</x:v>
      </x:c>
      <x:c r="AA654" s="11" t="n">
        <x:v>22488662</x:v>
      </x:c>
      <x:c r="AB654" s="11" t="n">
        <x:v>724713</x:v>
      </x:c>
      <x:c r="AC654" s="11" t="n">
        <x:v>1742222</x:v>
      </x:c>
      <x:c r="AD654" s="11" t="n">
        <x:v>17934266</x:v>
      </x:c>
      <x:c r="AE654" s="11" t="n">
        <x:v>16192044</x:v>
      </x:c>
      <x:c r="AF654" s="11" t="n">
        <x:v>71737063</x:v>
      </x:c>
      <x:c r="AG654" s="11" t="n">
        <x:v>840804562</x:v>
      </x:c>
      <x:c r="AH654" s="11" t="n">
        <x:v>156136319</x:v>
      </x:c>
      <x:c r="AI654" s="11" t="n">
        <x:v>684668243</x:v>
      </x:c>
      <x:c r="AJ654" s="11" t="n">
        <x:v>8221219</x:v>
      </x:c>
      <x:c r="AK654" s="11" t="n">
        <x:v>1256037364</x:v>
      </x:c>
      <x:c r="AL654" s="11" t="n">
        <x:v>17836173</x:v>
      </x:c>
      <x:c r="AM654" s="12" t="n">
        <x:v>0.9857996477563385</x:v>
      </x:c>
      <x:c r="AN654" s="12" t="n">
        <x:v>0.0065453618145709875</x:v>
      </x:c>
      <x:c r="AO654" s="11" t="n">
        <x:v>75804270</x:v>
      </x:c>
      <x:c r="AP654" s="11" t="n">
        <x:v>74795725</x:v>
      </x:c>
      <x:c r="AQ654" s="12" t="n">
        <x:v>0.986695406472485</x:v>
      </x:c>
      <x:c r="AR654" s="11" t="n">
        <x:v>2483.5578426191205</x:v>
      </x:c>
      <x:c r="AS654" s="11" t="n">
        <x:v>2104.144975105004</x:v>
      </x:c>
      <x:c r="AT654" s="11" t="n">
        <x:v>1710.8968317988374</x:v>
      </x:c>
      <x:c r="AU654" s="11" t="n">
        <x:v>195.70646157269616</x:v>
      </x:c>
      <x:c r="AV654" s="11" t="n">
        <x:v>625.5364802091736</x:v>
      </x:c>
      <x:c r="AW654" s="11" t="n">
        <x:v>1.9302278285390388</x:v>
      </x:c>
      <x:c r="AX654" s="12" t="n">
        <x:v>0.9028551266051257</x:v>
      </x:c>
      <x:c r="AY654" s="11"/>
      <x:c r="AZ654" s="11"/>
      <x:c r="BA654" s="11"/>
      <x:c r="BB654" s="11"/>
      <x:c r="BC654" s="11"/>
      <x:c r="BD654" s="11"/>
      <x:c r="BE654" s="11"/>
      <x:c r="BF654" s="11"/>
      <x:c r="BG654" s="11"/>
      <x:c r="BH654" s="11"/>
      <x:c r="BI654" s="11"/>
      <x:c r="BJ654" s="11"/>
      <x:c r="BK654" s="12"/>
      <x:c r="BL654" s="12"/>
      <x:c r="BM654" s="12"/>
      <x:c r="BN654" s="12"/>
      <x:c r="BO654" s="12"/>
      <x:c r="BP654" s="12"/>
      <x:c r="BQ654" s="12"/>
      <x:c r="BR654" s="12"/>
      <x:c r="BS654" s="12"/>
      <x:c r="BT654" s="12"/>
      <x:c r="BU654" s="11" t="n">
        <x:v>0</x:v>
      </x:c>
      <x:c r="BV654" s="11" t="n">
        <x:v>2439011</x:v>
      </x:c>
      <x:c r="BW654" s="11" t="n">
        <x:v>1539000</x:v>
      </x:c>
      <x:c r="BX654" s="11" t="n">
        <x:v>966809</x:v>
      </x:c>
      <x:c r="BY654" s="11" t="n">
        <x:v>0</x:v>
      </x:c>
      <x:c r="BZ654" s="11" t="n">
        <x:v>9780172</x:v>
      </x:c>
      <x:c r="CA654" s="11" t="n">
        <x:v>2190724</x:v>
      </x:c>
      <x:c r="CB654" s="11" t="n">
        <x:v>0</x:v>
      </x:c>
      <x:c r="CC654" s="11" t="n">
        <x:v>8276759</x:v>
      </x:c>
      <x:c r="CD654" s="11" t="n">
        <x:v>21329210</x:v>
      </x:c>
      <x:c r="CE654" s="11" t="n">
        <x:v>2556380</x:v>
      </x:c>
      <x:c r="CF654" s="11" t="n">
        <x:v>157105</x:v>
      </x:c>
      <x:c r="CG654" s="11" t="n">
        <x:v>3127226</x:v>
      </x:c>
      <x:c r="CH654" s="11" t="n">
        <x:v>4093324</x:v>
      </x:c>
      <x:c r="CI654" s="11" t="n">
        <x:v>14284386</x:v>
      </x:c>
      <x:c r="CJ654" s="11" t="n">
        <x:v>6672287</x:v>
      </x:c>
      <x:c r="CK654" s="11" t="n">
        <x:v>4908856</x:v>
      </x:c>
      <x:c r="CL654" s="11" t="n">
        <x:v>0</x:v>
      </x:c>
      <x:c r="CM654" s="11"/>
      <x:c r="CN654" s="11" t="n">
        <x:v>228495</x:v>
      </x:c>
      <x:c r="CO654" s="11" t="n">
        <x:v>0</x:v>
      </x:c>
      <x:c r="CP654" s="8"/>
      <x:c r="CQ654" s="8"/>
    </x:row>
    <x:row r="655">
      <x:c r="A655" s="8" t="str">
        <x:v>Port Moody|2022</x:v>
      </x:c>
      <x:c r="B655" s="8" t="str">
        <x:v>port-moody-c</x:v>
      </x:c>
      <x:c r="C655" s="8" t="str">
        <x:v>Port Moody</x:v>
      </x:c>
      <x:c r="D655" s="8" t="str">
        <x:v>Port Moody</x:v>
      </x:c>
      <x:c r="E655" s="8" t="str">
        <x:v>C</x:v>
      </x:c>
      <x:c r="F655" s="8" t="str">
        <x:v>MVRD</x:v>
      </x:c>
      <x:c r="G655" s="9" t="n">
        <x:v>2022</x:v>
      </x:c>
      <x:c r="H655" s="10" t="n">
        <x:v>832</x:v>
      </x:c>
      <x:c r="I655" s="8" t="str">
        <x:v>Under 5,000</x:v>
      </x:c>
      <x:c r="J655" s="11" t="n">
        <x:v>97114574</x:v>
      </x:c>
      <x:c r="K655" s="11" t="n">
        <x:v>82305946</x:v>
      </x:c>
      <x:c r="L655" s="11" t="n">
        <x:v>14808628</x:v>
      </x:c>
      <x:c r="M655" s="12" t="n">
        <x:v>0.15248615516760647</x:v>
      </x:c>
      <x:c r="N655" s="11" t="n">
        <x:v>49932175</x:v>
      </x:c>
      <x:c r="O655" s="11" t="n">
        <x:v>27994245</x:v>
      </x:c>
      <x:c r="P655" s="11" t="n">
        <x:v>4289615</x:v>
      </x:c>
      <x:c r="Q655" s="11" t="n">
        <x:v>14898539</x:v>
      </x:c>
      <x:c r="R655" s="11" t="n">
        <x:v>71346575</x:v>
      </x:c>
      <x:c r="S655" s="11" t="n">
        <x:v>10195567</x:v>
      </x:c>
      <x:c r="T655" s="11" t="n">
        <x:v>121543917</x:v>
      </x:c>
      <x:c r="U655" s="11" t="n">
        <x:v>72107454</x:v>
      </x:c>
      <x:c r="V655" s="11" t="n">
        <x:v>57431111</x:v>
      </x:c>
      <x:c r="W655" s="11" t="n">
        <x:v>8296279</x:v>
      </x:c>
      <x:c r="X655" s="11" t="n">
        <x:v>22488662</x:v>
      </x:c>
      <x:c r="Y655" s="11" t="n">
        <x:v>1474000</x:v>
      </x:c>
      <x:c r="Z655" s="11" t="n">
        <x:v>833939</x:v>
      </x:c>
      <x:c r="AA655" s="11" t="n">
        <x:v>22956326</x:v>
      </x:c>
      <x:c r="AB655" s="11" t="n">
        <x:v>763804</x:v>
      </x:c>
      <x:c r="AC655" s="11" t="n">
        <x:v>1597743</x:v>
      </x:c>
      <x:c r="AD655" s="11" t="n">
        <x:v>19723760</x:v>
      </x:c>
      <x:c r="AE655" s="11" t="n">
        <x:v>18126017</x:v>
      </x:c>
      <x:c r="AF655" s="11" t="n">
        <x:v>78895039</x:v>
      </x:c>
      <x:c r="AG655" s="11" t="n">
        <x:v>868633135</x:v>
      </x:c>
      <x:c r="AH655" s="11" t="n">
        <x:v>165175933</x:v>
      </x:c>
      <x:c r="AI655" s="11" t="n">
        <x:v>703457202</x:v>
      </x:c>
      <x:c r="AJ655" s="11" t="n">
        <x:v>29199552</x:v>
      </x:c>
      <x:c r="AK655" s="11" t="n">
        <x:v>1303569298</x:v>
      </x:c>
      <x:c r="AL655" s="11" t="n">
        <x:v>18400503</x:v>
      </x:c>
      <x:c r="AM655" s="12" t="n">
        <x:v>0.9858845225733446</x:v>
      </x:c>
      <x:c r="AN655" s="12" t="n">
        <x:v>0.02239969293907074</x:v>
      </x:c>
      <x:c r="AO655" s="11" t="n">
        <x:v>74469953</x:v>
      </x:c>
      <x:c r="AP655" s="11" t="n">
        <x:v>73307054</x:v>
      </x:c>
      <x:c r="AQ655" s="12" t="n">
        <x:v>0.9843843194046329</x:v>
      </x:c>
      <x:c r="AR655" s="11" t="n">
        <x:v>116724.24759615384</x:v>
      </x:c>
      <x:c r="AS655" s="11" t="n">
        <x:v>98925.41586538461</x:v>
      </x:c>
      <x:c r="AT655" s="11" t="n">
        <x:v>69027.77764423077</x:v>
      </x:c>
      <x:c r="AU655" s="11" t="n">
        <x:v>9971.489182692309</x:v>
      </x:c>
      <x:c r="AV655" s="11" t="n">
        <x:v>27591.73798076923</x:v>
      </x:c>
      <x:c r="AW655" s="11" t="n">
        <x:v>1.6855943492332983</x:v>
      </x:c>
      <x:c r="AX655" s="12" t="n">
        <x:v>0.9189939950597655</x:v>
      </x:c>
      <x:c r="AY655" s="11"/>
      <x:c r="AZ655" s="11"/>
      <x:c r="BA655" s="11"/>
      <x:c r="BB655" s="11"/>
      <x:c r="BC655" s="11"/>
      <x:c r="BD655" s="11"/>
      <x:c r="BE655" s="11"/>
      <x:c r="BF655" s="11"/>
      <x:c r="BG655" s="11"/>
      <x:c r="BH655" s="11"/>
      <x:c r="BI655" s="11"/>
      <x:c r="BJ655" s="11"/>
      <x:c r="BK655" s="12"/>
      <x:c r="BL655" s="12"/>
      <x:c r="BM655" s="12"/>
      <x:c r="BN655" s="12"/>
      <x:c r="BO655" s="12"/>
      <x:c r="BP655" s="12"/>
      <x:c r="BQ655" s="12"/>
      <x:c r="BR655" s="12"/>
      <x:c r="BS655" s="12"/>
      <x:c r="BT655" s="12"/>
      <x:c r="BU655" s="11" t="n">
        <x:v>0</x:v>
      </x:c>
      <x:c r="BV655" s="11" t="n">
        <x:v>2720615</x:v>
      </x:c>
      <x:c r="BW655" s="11" t="n">
        <x:v>1569000</x:v>
      </x:c>
      <x:c r="BX655" s="11" t="n">
        <x:v>2531896</x:v>
      </x:c>
      <x:c r="BY655" s="11" t="n">
        <x:v>0</x:v>
      </x:c>
      <x:c r="BZ655" s="11" t="n">
        <x:v>12335734</x:v>
      </x:c>
      <x:c r="CA655" s="11" t="n">
        <x:v>30909</x:v>
      </x:c>
      <x:c r="CB655" s="11" t="n">
        <x:v>0</x:v>
      </x:c>
      <x:c r="CC655" s="11" t="n">
        <x:v>9896575</x:v>
      </x:c>
      <x:c r="CD655" s="11" t="n">
        <x:v>22613526</x:v>
      </x:c>
      <x:c r="CE655" s="11" t="n">
        <x:v>2832415</x:v>
      </x:c>
      <x:c r="CF655" s="11" t="n">
        <x:v>179096</x:v>
      </x:c>
      <x:c r="CG655" s="11" t="n">
        <x:v>3622441</x:v>
      </x:c>
      <x:c r="CH655" s="11" t="n">
        <x:v>4762033</x:v>
      </x:c>
      <x:c r="CI655" s="11" t="n">
        <x:v>16617907</x:v>
      </x:c>
      <x:c r="CJ655" s="11" t="n">
        <x:v>6574558</x:v>
      </x:c>
      <x:c r="CK655" s="11" t="n">
        <x:v>4833222</x:v>
      </x:c>
      <x:c r="CL655" s="11" t="n">
        <x:v>0</x:v>
      </x:c>
      <x:c r="CM655" s="11"/>
      <x:c r="CN655" s="11" t="n">
        <x:v>178606</x:v>
      </x:c>
      <x:c r="CO655" s="11" t="n">
        <x:v>0</x:v>
      </x:c>
      <x:c r="CP655" s="8"/>
      <x:c r="CQ655" s="8"/>
    </x:row>
    <x:row r="656">
      <x:c r="A656" s="8" t="str">
        <x:v>Port Moody|2023</x:v>
      </x:c>
      <x:c r="B656" s="8" t="str">
        <x:v>port-moody-c</x:v>
      </x:c>
      <x:c r="C656" s="8" t="str">
        <x:v>Port Moody</x:v>
      </x:c>
      <x:c r="D656" s="8" t="str">
        <x:v>Port Moody</x:v>
      </x:c>
      <x:c r="E656" s="8" t="str">
        <x:v>C</x:v>
      </x:c>
      <x:c r="F656" s="8" t="str">
        <x:v>MVRD</x:v>
      </x:c>
      <x:c r="G656" s="9" t="n">
        <x:v>2023</x:v>
      </x:c>
      <x:c r="H656" s="10" t="n">
        <x:v>39316</x:v>
      </x:c>
      <x:c r="I656" s="8" t="str">
        <x:v>20,000 to 99,999</x:v>
      </x:c>
      <x:c r="J656" s="11" t="n">
        <x:v>116255104</x:v>
      </x:c>
      <x:c r="K656" s="11" t="n">
        <x:v>90935326</x:v>
      </x:c>
      <x:c r="L656" s="11" t="n">
        <x:v>25319778</x:v>
      </x:c>
      <x:c r="M656" s="12" t="n">
        <x:v>0.21779497956494023</x:v>
      </x:c>
      <x:c r="N656" s="11" t="n">
        <x:v>56422028</x:v>
      </x:c>
      <x:c r="O656" s="11" t="n">
        <x:v>32960516</x:v>
      </x:c>
      <x:c r="P656" s="11" t="n">
        <x:v>17612782</x:v>
      </x:c>
      <x:c r="Q656" s="11" t="n">
        <x:v>9259778</x:v>
      </x:c>
      <x:c r="R656" s="11" t="n">
        <x:v>78935909</x:v>
      </x:c>
      <x:c r="S656" s="11" t="n">
        <x:v>11013338</x:v>
      </x:c>
      <x:c r="T656" s="11" t="n">
        <x:v>129431148</x:v>
      </x:c>
      <x:c r="U656" s="11" t="n">
        <x:v>81284504</x:v>
      </x:c>
      <x:c r="V656" s="11" t="n">
        <x:v>63758418</x:v>
      </x:c>
      <x:c r="W656" s="11" t="n">
        <x:v>9946948</x:v>
      </x:c>
      <x:c r="X656" s="11" t="n">
        <x:v>22956326</x:v>
      </x:c>
      <x:c r="Y656" s="11" t="n">
        <x:v>185477</x:v>
      </x:c>
      <x:c r="Z656" s="11" t="n">
        <x:v>888002</x:v>
      </x:c>
      <x:c r="AA656" s="11" t="n">
        <x:v>22057156</x:v>
      </x:c>
      <x:c r="AB656" s="11" t="n">
        <x:v>986079</x:v>
      </x:c>
      <x:c r="AC656" s="11" t="n">
        <x:v>1874081</x:v>
      </x:c>
      <x:c r="AD656" s="11" t="n">
        <x:v>23037943</x:v>
      </x:c>
      <x:c r="AE656" s="11" t="n">
        <x:v>21163862</x:v>
      </x:c>
      <x:c r="AF656" s="11" t="n">
        <x:v>92151772</x:v>
      </x:c>
      <x:c r="AG656" s="11" t="n">
        <x:v>897631617</x:v>
      </x:c>
      <x:c r="AH656" s="11" t="n">
        <x:v>175708797</x:v>
      </x:c>
      <x:c r="AI656" s="11" t="n">
        <x:v>721922820</x:v>
      </x:c>
      <x:c r="AJ656" s="11" t="n">
        <x:v>29369725</x:v>
      </x:c>
      <x:c r="AK656" s="11" t="n">
        <x:v>1390653838</x:v>
      </x:c>
      <x:c r="AL656" s="11" t="n">
        <x:v>20236419</x:v>
      </x:c>
      <x:c r="AM656" s="12" t="n">
        <x:v>0.9854482701251496</x:v>
      </x:c>
      <x:c r="AN656" s="12" t="n">
        <x:v>0.021119364285679267</x:v>
      </x:c>
      <x:c r="AO656" s="11" t="n">
        <x:v>88319949</x:v>
      </x:c>
      <x:c r="AP656" s="11" t="n">
        <x:v>87007170</x:v>
      </x:c>
      <x:c r="AQ656" s="12" t="n">
        <x:v>0.9851360987538613</x:v>
      </x:c>
      <x:c r="AR656" s="11" t="n">
        <x:v>2956.9412961644116</x:v>
      </x:c>
      <x:c r="AS656" s="11" t="n">
        <x:v>2312.9343269915557</x:v>
      </x:c>
      <x:c r="AT656" s="11" t="n">
        <x:v>1621.6913724692238</x:v>
      </x:c>
      <x:c r="AU656" s="11" t="n">
        <x:v>253</x:v>
      </x:c>
      <x:c r="AV656" s="11" t="n">
        <x:v>561.0223827449385</x:v>
      </x:c>
      <x:c r="AW656" s="11" t="n">
        <x:v>1.592322541575698</x:v>
      </x:c>
      <x:c r="AX656" s="12" t="n">
        <x:v>0.918652416146702</x:v>
      </x:c>
      <x:c r="AY656" s="11"/>
      <x:c r="AZ656" s="11"/>
      <x:c r="BA656" s="11"/>
      <x:c r="BB656" s="11"/>
      <x:c r="BC656" s="11"/>
      <x:c r="BD656" s="11"/>
      <x:c r="BE656" s="11"/>
      <x:c r="BF656" s="11"/>
      <x:c r="BG656" s="11"/>
      <x:c r="BH656" s="11"/>
      <x:c r="BI656" s="11"/>
      <x:c r="BJ656" s="11"/>
      <x:c r="BK656" s="12"/>
      <x:c r="BL656" s="12"/>
      <x:c r="BM656" s="12"/>
      <x:c r="BN656" s="12"/>
      <x:c r="BO656" s="12"/>
      <x:c r="BP656" s="12"/>
      <x:c r="BQ656" s="12"/>
      <x:c r="BR656" s="12"/>
      <x:c r="BS656" s="12"/>
      <x:c r="BT656" s="12"/>
      <x:c r="BU656" s="11" t="n">
        <x:v>0</x:v>
      </x:c>
      <x:c r="BV656" s="11" t="n">
        <x:v>15995782</x:v>
      </x:c>
      <x:c r="BW656" s="11" t="n">
        <x:v>1617000</x:v>
      </x:c>
      <x:c r="BX656" s="11" t="n">
        <x:v>4706199</x:v>
      </x:c>
      <x:c r="BY656" s="11" t="n">
        <x:v>0</x:v>
      </x:c>
      <x:c r="BZ656" s="11" t="n">
        <x:v>4490041</x:v>
      </x:c>
      <x:c r="CA656" s="11" t="n">
        <x:v>63538</x:v>
      </x:c>
      <x:c r="CB656" s="11" t="n">
        <x:v>0</x:v>
      </x:c>
      <x:c r="CC656" s="11" t="n">
        <x:v>10365157</x:v>
      </x:c>
      <x:c r="CD656" s="11" t="n">
        <x:v>25300714</x:v>
      </x:c>
      <x:c r="CE656" s="11" t="n">
        <x:v>2638034</x:v>
      </x:c>
      <x:c r="CF656" s="11" t="n">
        <x:v>191407</x:v>
      </x:c>
      <x:c r="CG656" s="11" t="n">
        <x:v>4640458</x:v>
      </x:c>
      <x:c r="CH656" s="11" t="n">
        <x:v>4885918</x:v>
      </x:c>
      <x:c r="CI656" s="11" t="n">
        <x:v>18910417</x:v>
      </x:c>
      <x:c r="CJ656" s="11" t="n">
        <x:v>6834260</x:v>
      </x:c>
      <x:c r="CK656" s="11" t="n">
        <x:v>5728164</x:v>
      </x:c>
      <x:c r="CL656" s="11" t="n">
        <x:v>0</x:v>
      </x:c>
      <x:c r="CM656" s="11" t="n">
        <x:v>24072</x:v>
      </x:c>
      <x:c r="CN656" s="11" t="n">
        <x:v>403387</x:v>
      </x:c>
      <x:c r="CO656" s="11" t="n">
        <x:v>0</x:v>
      </x:c>
      <x:c r="CP656" s="8"/>
      <x:c r="CQ656" s="8"/>
    </x:row>
    <x:row r="657">
      <x:c r="A657" s="8" t="str">
        <x:v>Port Moody|2024</x:v>
      </x:c>
      <x:c r="B657" s="8" t="str">
        <x:v>port-moody-c</x:v>
      </x:c>
      <x:c r="C657" s="8" t="str">
        <x:v>Port Moody</x:v>
      </x:c>
      <x:c r="D657" s="8" t="str">
        <x:v>Port Moody</x:v>
      </x:c>
      <x:c r="E657" s="8" t="str">
        <x:v>C</x:v>
      </x:c>
      <x:c r="F657" s="8" t="str">
        <x:v>MVRD</x:v>
      </x:c>
      <x:c r="G657" s="9" t="n">
        <x:v>2024</x:v>
      </x:c>
      <x:c r="H657" s="10" t="n">
        <x:v>39316</x:v>
      </x:c>
      <x:c r="I657" s="8" t="str">
        <x:v>20,000 to 99,999</x:v>
      </x:c>
      <x:c r="J657" s="11" t="n">
        <x:v>116547823</x:v>
      </x:c>
      <x:c r="K657" s="11" t="n">
        <x:v>96071764</x:v>
      </x:c>
      <x:c r="L657" s="11" t="n">
        <x:v>20476059</x:v>
      </x:c>
      <x:c r="M657" s="12" t="n">
        <x:v>0.1756880435252746</x:v>
      </x:c>
      <x:c r="N657" s="11" t="n">
        <x:v>61312582</x:v>
      </x:c>
      <x:c r="O657" s="11" t="n">
        <x:v>31678082</x:v>
      </x:c>
      <x:c r="P657" s="11" t="n">
        <x:v>7913660</x:v>
      </x:c>
      <x:c r="Q657" s="11" t="n">
        <x:v>15643499</x:v>
      </x:c>
      <x:c r="R657" s="11" t="n">
        <x:v>83376521</x:v>
      </x:c>
      <x:c r="S657" s="11" t="n">
        <x:v>11660564</x:v>
      </x:c>
      <x:c r="T657" s="11" t="n">
        <x:v>130274004</x:v>
      </x:c>
      <x:c r="U657" s="11" t="n">
        <x:v>80003969</x:v>
      </x:c>
      <x:c r="V657" s="11" t="n">
        <x:v>66233649</x:v>
      </x:c>
      <x:c r="W657" s="11" t="n">
        <x:v>15735316</x:v>
      </x:c>
      <x:c r="X657" s="11" t="n">
        <x:v>22057156</x:v>
      </x:c>
      <x:c r="Y657" s="11" t="n">
        <x:v>1578197</x:v>
      </x:c>
      <x:c r="Z657" s="11" t="n">
        <x:v>944756</x:v>
      </x:c>
      <x:c r="AA657" s="11" t="n">
        <x:v>22468218</x:v>
      </x:c>
      <x:c r="AB657" s="11" t="n">
        <x:v>1034679</x:v>
      </x:c>
      <x:c r="AC657" s="11" t="n">
        <x:v>1979435</x:v>
      </x:c>
      <x:c r="AD657" s="11" t="n">
        <x:v>24187398</x:v>
      </x:c>
      <x:c r="AE657" s="11" t="n">
        <x:v>22207963</x:v>
      </x:c>
      <x:c r="AF657" s="11" t="n">
        <x:v>96749593</x:v>
      </x:c>
      <x:c r="AG657" s="11" t="n">
        <x:v>926168392</x:v>
      </x:c>
      <x:c r="AH657" s="11" t="n">
        <x:v>186312443</x:v>
      </x:c>
      <x:c r="AI657" s="11" t="n">
        <x:v>739855949</x:v>
      </x:c>
      <x:c r="AJ657" s="11" t="n">
        <x:v>29929882</x:v>
      </x:c>
      <x:c r="AK657" s="11" t="n">
        <x:v>1442169698</x:v>
      </x:c>
      <x:c r="AL657" s="11" t="n">
        <x:v>21291988</x:v>
      </x:c>
      <x:c r="AM657" s="12" t="n">
        <x:v>0.9852361424390432</x:v>
      </x:c>
      <x:c r="AN657" s="12" t="n">
        <x:v>0.020753370453911728</x:v>
      </x:c>
      <x:c r="AO657" s="11" t="n">
        <x:v>96971455</x:v>
      </x:c>
      <x:c r="AP657" s="11" t="n">
        <x:v>95404443</x:v>
      </x:c>
      <x:c r="AQ657" s="12" t="n">
        <x:v>0.9838404817170167</x:v>
      </x:c>
      <x:c r="AR657" s="11" t="n">
        <x:v>2964.3865856139996</x:v>
      </x:c>
      <x:c r="AS657" s="11" t="n">
        <x:v>2443.579306134907</x:v>
      </x:c>
      <x:c r="AT657" s="11" t="n">
        <x:v>1684.6487180791535</x:v>
      </x:c>
      <x:c r="AU657" s="11" t="n">
        <x:v>400.22677790212634</x:v>
      </x:c>
      <x:c r="AV657" s="11" t="n">
        <x:v>571.4777189948113</x:v>
      </x:c>
      <x:c r="AW657" s="11" t="n">
        <x:v>1.6283442637702137</x:v>
      </x:c>
      <x:c r="AX657" s="12" t="n">
        <x:v>0.9181625489438756</x:v>
      </x:c>
      <x:c r="AY657" s="11" t="n">
        <x:v>2823.8160359162957</x:v>
      </x:c>
      <x:c r="AZ657" s="11" t="n">
        <x:v>3546.5079302077975</x:v>
      </x:c>
      <x:c r="BA657" s="11" t="n">
        <x:v>2313.177731087988</x:v>
      </x:c>
      <x:c r="BB657" s="11" t="n">
        <x:v>2783.665107049771</x:v>
      </x:c>
      <x:c r="BC657" s="11" t="n">
        <x:v>1634.933826557682</x:v>
      </x:c>
      <x:c r="BD657" s="11" t="n">
        <x:v>2437.8724475115623</x:v>
      </x:c>
      <x:c r="BE657" s="11" t="n">
        <x:v>1015.8871081440785</x:v>
      </x:c>
      <x:c r="BF657" s="11" t="n">
        <x:v>1604.3462673977224</x:v>
      </x:c>
      <x:c r="BG657" s="11" t="n">
        <x:v>757.3716446138835</x:v>
      </x:c>
      <x:c r="BH657" s="11" t="n">
        <x:v>518.5374381567245</x:v>
      </x:c>
      <x:c r="BI657" s="11" t="n">
        <x:v>1.4428133381403412</x:v>
      </x:c>
      <x:c r="BJ657" s="11" t="n">
        <x:v>1.7099330852451193</x:v>
      </x:c>
      <x:c r="BK657" s="12" t="n">
        <x:v>0.021350493990494074</x:v>
      </x:c>
      <x:c r="BL657" s="12" t="n">
        <x:v>0.02529861000232605</x:v>
      </x:c>
      <x:c r="BM657" s="12" t="n">
        <x:v>0.9847118933607182</x:v>
      </x:c>
      <x:c r="BN657" s="12" t="n">
        <x:v>0.9815511712696461</x:v>
      </x:c>
      <x:c r="BO657" s="12" t="n">
        <x:v>0.8457939120832807</x:v>
      </x:c>
      <x:c r="BP657" s="12" t="n">
        <x:v>0.8619101997275483</x:v>
      </x:c>
      <x:c r="BQ657" s="12" t="n">
        <x:v>0.9744645665293163</x:v>
      </x:c>
      <x:c r="BR657" s="12" t="n">
        <x:v>0.9623635142836453</x:v>
      </x:c>
      <x:c r="BS657" s="12" t="n">
        <x:v>0.16542076645989975</x:v>
      </x:c>
      <x:c r="BT657" s="12" t="n">
        <x:v>0.19976549769108282</x:v>
      </x:c>
      <x:c r="BU657" s="11" t="n">
        <x:v>0</x:v>
      </x:c>
      <x:c r="BV657" s="11" t="n">
        <x:v>6232660</x:v>
      </x:c>
      <x:c r="BW657" s="11" t="n">
        <x:v>1681000</x:v>
      </x:c>
      <x:c r="BX657" s="11" t="n">
        <x:v>5112241</x:v>
      </x:c>
      <x:c r="BY657" s="11" t="n">
        <x:v>0</x:v>
      </x:c>
      <x:c r="BZ657" s="11" t="n">
        <x:v>5796468</x:v>
      </x:c>
      <x:c r="CA657" s="11" t="n">
        <x:v>4734790</x:v>
      </x:c>
      <x:c r="CB657" s="11" t="n">
        <x:v>0</x:v>
      </x:c>
      <x:c r="CC657" s="11" t="n">
        <x:v>10755160</x:v>
      </x:c>
      <x:c r="CD657" s="11" t="n">
        <x:v>26081245</x:v>
      </x:c>
      <x:c r="CE657" s="11" t="n">
        <x:v>3287963</x:v>
      </x:c>
      <x:c r="CF657" s="11" t="n">
        <x:v>173987</x:v>
      </x:c>
      <x:c r="CG657" s="11" t="n">
        <x:v>4564662</x:v>
      </x:c>
      <x:c r="CH657" s="11" t="n">
        <x:v>5149634</x:v>
      </x:c>
      <x:c r="CI657" s="11" t="n">
        <x:v>20474524</x:v>
      </x:c>
      <x:c r="CJ657" s="11" t="n">
        <x:v>7449350</x:v>
      </x:c>
      <x:c r="CK657" s="11" t="n">
        <x:v>6196667</x:v>
      </x:c>
      <x:c r="CL657" s="11" t="n">
        <x:v>0</x:v>
      </x:c>
      <x:c r="CM657" s="11" t="n">
        <x:v>25124</x:v>
      </x:c>
      <x:c r="CN657" s="11" t="n">
        <x:v>252884</x:v>
      </x:c>
      <x:c r="CO657" s="11" t="n">
        <x:v>0</x:v>
      </x:c>
      <x:c r="CP657" s="8"/>
      <x:c r="CQ657" s="8"/>
    </x:row>
    <x:row r="658">
      <x:c r="A658" s="8" t="str">
        <x:v>Pouce Coupe|2019</x:v>
      </x:c>
      <x:c r="B658" s="8" t="str">
        <x:v>pouce-coupe-v</x:v>
      </x:c>
      <x:c r="C658" s="8" t="str">
        <x:v>Pouce Coupe</x:v>
      </x:c>
      <x:c r="D658" s="8" t="str">
        <x:v>Pouce Coupe</x:v>
      </x:c>
      <x:c r="E658" s="8" t="str">
        <x:v>V</x:v>
      </x:c>
      <x:c r="F658" s="8" t="str">
        <x:v>PEA</x:v>
      </x:c>
      <x:c r="G658" s="9" t="n">
        <x:v>2019</x:v>
      </x:c>
      <x:c r="H658" s="10" t="n">
        <x:v>830</x:v>
      </x:c>
      <x:c r="I658" s="8" t="str">
        <x:v>Under 5,000</x:v>
      </x:c>
      <x:c r="J658" s="11" t="n">
        <x:v>2928971</x:v>
      </x:c>
      <x:c r="K658" s="11" t="n">
        <x:v>2684454</x:v>
      </x:c>
      <x:c r="L658" s="11" t="n">
        <x:v>244517</x:v>
      </x:c>
      <x:c r="M658" s="12" t="n">
        <x:v>0.08348221952351184</x:v>
      </x:c>
      <x:c r="N658" s="11" t="n">
        <x:v>549270</x:v>
      </x:c>
      <x:c r="O658" s="11" t="n">
        <x:v>400923</x:v>
      </x:c>
      <x:c r="P658" s="11" t="n">
        <x:v>1833329</x:v>
      </x:c>
      <x:c r="Q658" s="11" t="n">
        <x:v>145449</x:v>
      </x:c>
      <x:c r="R658" s="11" t="n">
        <x:v>2289314</x:v>
      </x:c>
      <x:c r="S658" s="11" t="n">
        <x:v>395140</x:v>
      </x:c>
      <x:c r="T658" s="11" t="n">
        <x:v>5230328</x:v>
      </x:c>
      <x:c r="U658" s="11" t="n">
        <x:v>348731</x:v>
      </x:c>
      <x:c r="V658" s="11" t="n">
        <x:v>5162846</x:v>
      </x:c>
      <x:c r="W658" s="11" t="n">
        <x:v>1177921</x:v>
      </x:c>
      <x:c r="X658" s="11" t="n">
        <x:v>0</x:v>
      </x:c>
      <x:c r="Y658" s="11" t="n">
        <x:v>0</x:v>
      </x:c>
      <x:c r="Z658" s="11" t="n">
        <x:v>0</x:v>
      </x:c>
      <x:c r="AA658" s="11" t="n">
        <x:v>0</x:v>
      </x:c>
      <x:c r="AB658" s="11" t="n">
        <x:v>0</x:v>
      </x:c>
      <x:c r="AC658" s="11" t="n">
        <x:v>0</x:v>
      </x:c>
      <x:c r="AD658" s="11" t="n">
        <x:v>636245</x:v>
      </x:c>
      <x:c r="AE658" s="11" t="n">
        <x:v>636245</x:v>
      </x:c>
      <x:c r="AF658" s="11" t="n">
        <x:v>2544980</x:v>
      </x:c>
      <x:c r="AG658" s="11" t="n">
        <x:v>19921082</x:v>
      </x:c>
      <x:c r="AH658" s="11" t="n">
        <x:v>7756892</x:v>
      </x:c>
      <x:c r="AI658" s="11" t="n">
        <x:v>12164190</x:v>
      </x:c>
      <x:c r="AJ658" s="11" t="n">
        <x:v>533606</x:v>
      </x:c>
      <x:c r="AK658" s="11" t="n">
        <x:v>867983</x:v>
      </x:c>
      <x:c r="AL658" s="11" t="n">
        <x:v>0</x:v>
      </x:c>
      <x:c r="AM658" s="12" t="n">
        <x:v>1</x:v>
      </x:c>
      <x:c r="AN658" s="12" t="n">
        <x:v>0.6147654965592644</x:v>
      </x:c>
      <x:c r="AO658" s="11" t="n">
        <x:v>1069336</x:v>
      </x:c>
      <x:c r="AP658" s="11" t="n">
        <x:v>992258</x:v>
      </x:c>
      <x:c r="AQ658" s="12" t="n">
        <x:v>0.9279197558110828</x:v>
      </x:c>
      <x:c r="AR658" s="11" t="n">
        <x:v>3528.880722891566</x:v>
      </x:c>
      <x:c r="AS658" s="11" t="n">
        <x:v>3234.2819277108433</x:v>
      </x:c>
      <x:c r="AT658" s="11" t="n">
        <x:v>6220.2963855421685</x:v>
      </x:c>
      <x:c r="AU658" s="11" t="n">
        <x:v>1419.1819277108434</x:v>
      </x:c>
      <x:c r="AV658" s="11" t="n">
        <x:v>0</x:v>
      </x:c>
      <x:c r="AW658" s="11" t="n">
        <x:v>14.998173377187575</x:v>
      </x:c>
      <x:c r="AX658" s="12" t="n">
        <x:v>1</x:v>
      </x:c>
      <x:c r="AY658" s="11"/>
      <x:c r="AZ658" s="11"/>
      <x:c r="BA658" s="11"/>
      <x:c r="BB658" s="11"/>
      <x:c r="BC658" s="11"/>
      <x:c r="BD658" s="11"/>
      <x:c r="BE658" s="11"/>
      <x:c r="BF658" s="11"/>
      <x:c r="BG658" s="11"/>
      <x:c r="BH658" s="11"/>
      <x:c r="BI658" s="11"/>
      <x:c r="BJ658" s="11"/>
      <x:c r="BK658" s="12"/>
      <x:c r="BL658" s="12"/>
      <x:c r="BM658" s="12"/>
      <x:c r="BN658" s="12"/>
      <x:c r="BO658" s="12"/>
      <x:c r="BP658" s="12"/>
      <x:c r="BQ658" s="12"/>
      <x:c r="BR658" s="12"/>
      <x:c r="BS658" s="12"/>
      <x:c r="BT658" s="12"/>
      <x:c r="BU658" s="11" t="n">
        <x:v>2400</x:v>
      </x:c>
      <x:c r="BV658" s="11" t="n">
        <x:v>1675318</x:v>
      </x:c>
      <x:c r="BW658" s="11" t="n">
        <x:v>155611</x:v>
      </x:c>
      <x:c r="BX658" s="11" t="n">
        <x:v>145449</x:v>
      </x:c>
      <x:c r="BY658" s="11" t="n">
        <x:v>0</x:v>
      </x:c>
      <x:c r="BZ658" s="11" t="n">
        <x:v>0</x:v>
      </x:c>
      <x:c r="CA658" s="11" t="n">
        <x:v>0</x:v>
      </x:c>
      <x:c r="CB658" s="11" t="n">
        <x:v>0</x:v>
      </x:c>
      <x:c r="CC658" s="11" t="n">
        <x:v>743008</x:v>
      </x:c>
      <x:c r="CD658" s="11" t="n">
        <x:v>259797</x:v>
      </x:c>
      <x:c r="CE658" s="11" t="n">
        <x:v>47667</x:v>
      </x:c>
      <x:c r="CF658" s="11" t="n">
        <x:v>0</x:v>
      </x:c>
      <x:c r="CG658" s="11" t="n">
        <x:v>0</x:v>
      </x:c>
      <x:c r="CH658" s="11" t="n">
        <x:v>466288</x:v>
      </x:c>
      <x:c r="CI658" s="11" t="n">
        <x:v>275422</x:v>
      </x:c>
      <x:c r="CJ658" s="11" t="n">
        <x:v>399847</x:v>
      </x:c>
      <x:c r="CK658" s="11" t="n">
        <x:v>97285</x:v>
      </x:c>
      <x:c r="CL658" s="11" t="n">
        <x:v>0</x:v>
      </x:c>
      <x:c r="CM658" s="11"/>
      <x:c r="CN658" s="11" t="n">
        <x:v>0</x:v>
      </x:c>
      <x:c r="CO658" s="11" t="n">
        <x:v>0</x:v>
      </x:c>
      <x:c r="CP658" s="8"/>
      <x:c r="CQ658" s="8"/>
    </x:row>
    <x:row r="659">
      <x:c r="A659" s="8" t="str">
        <x:v>Pouce Coupe|2020</x:v>
      </x:c>
      <x:c r="B659" s="8" t="str">
        <x:v>pouce-coupe-v</x:v>
      </x:c>
      <x:c r="C659" s="8" t="str">
        <x:v>Pouce Coupe</x:v>
      </x:c>
      <x:c r="D659" s="8" t="str">
        <x:v>Pouce Coupe</x:v>
      </x:c>
      <x:c r="E659" s="8" t="str">
        <x:v>V</x:v>
      </x:c>
      <x:c r="F659" s="8" t="str">
        <x:v>PEA</x:v>
      </x:c>
      <x:c r="G659" s="9" t="n">
        <x:v>2020</x:v>
      </x:c>
      <x:c r="H659" s="10" t="n">
        <x:v>835</x:v>
      </x:c>
      <x:c r="I659" s="8" t="str">
        <x:v>Under 5,000</x:v>
      </x:c>
      <x:c r="J659" s="11" t="n">
        <x:v>3094309</x:v>
      </x:c>
      <x:c r="K659" s="11" t="n">
        <x:v>2654479</x:v>
      </x:c>
      <x:c r="L659" s="11" t="n">
        <x:v>439830</x:v>
      </x:c>
      <x:c r="M659" s="12" t="n">
        <x:v>0.14214158960853618</x:v>
      </x:c>
      <x:c r="N659" s="11" t="n">
        <x:v>501657</x:v>
      </x:c>
      <x:c r="O659" s="11" t="n">
        <x:v>284861</x:v>
      </x:c>
      <x:c r="P659" s="11" t="n">
        <x:v>2134055</x:v>
      </x:c>
      <x:c r="Q659" s="11" t="n">
        <x:v>173736</x:v>
      </x:c>
      <x:c r="R659" s="11" t="n">
        <x:v>2253220</x:v>
      </x:c>
      <x:c r="S659" s="11" t="n">
        <x:v>401259</x:v>
      </x:c>
      <x:c r="T659" s="11" t="n">
        <x:v>5870439</x:v>
      </x:c>
      <x:c r="U659" s="11" t="n">
        <x:v>349184</x:v>
      </x:c>
      <x:c r="V659" s="11" t="n">
        <x:v>5815261</x:v>
      </x:c>
      <x:c r="W659" s="11" t="n">
        <x:v>1389147</x:v>
      </x:c>
      <x:c r="X659" s="11" t="n">
        <x:v>0</x:v>
      </x:c>
      <x:c r="Y659" s="11" t="n">
        <x:v>0</x:v>
      </x:c>
      <x:c r="Z659" s="11" t="n">
        <x:v>0</x:v>
      </x:c>
      <x:c r="AA659" s="11" t="n">
        <x:v>0</x:v>
      </x:c>
      <x:c r="AB659" s="11" t="n">
        <x:v>0</x:v>
      </x:c>
      <x:c r="AC659" s="11" t="n">
        <x:v>0</x:v>
      </x:c>
      <x:c r="AD659" s="11" t="n">
        <x:v>600798</x:v>
      </x:c>
      <x:c r="AE659" s="11" t="n">
        <x:v>600798</x:v>
      </x:c>
      <x:c r="AF659" s="11" t="n">
        <x:v>2403192</x:v>
      </x:c>
      <x:c r="AG659" s="11" t="n">
        <x:v>20146933</x:v>
      </x:c>
      <x:c r="AH659" s="11" t="n">
        <x:v>8158151</x:v>
      </x:c>
      <x:c r="AI659" s="11" t="n">
        <x:v>11988782</x:v>
      </x:c>
      <x:c r="AJ659" s="11" t="n">
        <x:v>204110</x:v>
      </x:c>
      <x:c r="AK659" s="11" t="n">
        <x:v>867983</x:v>
      </x:c>
      <x:c r="AL659" s="11" t="n">
        <x:v>0</x:v>
      </x:c>
      <x:c r="AM659" s="12" t="n">
        <x:v>1</x:v>
      </x:c>
      <x:c r="AN659" s="12" t="n">
        <x:v>0.235154375143292</x:v>
      </x:c>
      <x:c r="AO659" s="11" t="n">
        <x:v>1018561</x:v>
      </x:c>
      <x:c r="AP659" s="11" t="n">
        <x:v>971382</x:v>
      </x:c>
      <x:c r="AQ659" s="12" t="n">
        <x:v>0.9536807319345626</x:v>
      </x:c>
      <x:c r="AR659" s="11" t="n">
        <x:v>3705.7592814371255</x:v>
      </x:c>
      <x:c r="AS659" s="11" t="n">
        <x:v>3179.0167664670657</x:v>
      </x:c>
      <x:c r="AT659" s="11" t="n">
        <x:v>6964.384431137724</x:v>
      </x:c>
      <x:c r="AU659" s="11" t="n">
        <x:v>1663.6491017964072</x:v>
      </x:c>
      <x:c r="AV659" s="11" t="n">
        <x:v>0</x:v>
      </x:c>
      <x:c r="AW659" s="11" t="n">
        <x:v>16.811878551136363</x:v>
      </x:c>
      <x:c r="AX659" s="12" t="n">
        <x:v>1</x:v>
      </x:c>
      <x:c r="AY659" s="11"/>
      <x:c r="AZ659" s="11"/>
      <x:c r="BA659" s="11"/>
      <x:c r="BB659" s="11"/>
      <x:c r="BC659" s="11"/>
      <x:c r="BD659" s="11"/>
      <x:c r="BE659" s="11"/>
      <x:c r="BF659" s="11"/>
      <x:c r="BG659" s="11"/>
      <x:c r="BH659" s="11"/>
      <x:c r="BI659" s="11"/>
      <x:c r="BJ659" s="11"/>
      <x:c r="BK659" s="12"/>
      <x:c r="BL659" s="12"/>
      <x:c r="BM659" s="12"/>
      <x:c r="BN659" s="12"/>
      <x:c r="BO659" s="12"/>
      <x:c r="BP659" s="12"/>
      <x:c r="BQ659" s="12"/>
      <x:c r="BR659" s="12"/>
      <x:c r="BS659" s="12"/>
      <x:c r="BT659" s="12"/>
      <x:c r="BU659" s="11" t="n">
        <x:v>107693</x:v>
      </x:c>
      <x:c r="BV659" s="11" t="n">
        <x:v>1868938</x:v>
      </x:c>
      <x:c r="BW659" s="11" t="n">
        <x:v>157424</x:v>
      </x:c>
      <x:c r="BX659" s="11" t="n">
        <x:v>124858</x:v>
      </x:c>
      <x:c r="BY659" s="11" t="n">
        <x:v>0</x:v>
      </x:c>
      <x:c r="BZ659" s="11" t="n">
        <x:v>0</x:v>
      </x:c>
      <x:c r="CA659" s="11" t="n">
        <x:v>0</x:v>
      </x:c>
      <x:c r="CB659" s="11" t="n">
        <x:v>48878</x:v>
      </x:c>
      <x:c r="CC659" s="11" t="n">
        <x:v>714598</x:v>
      </x:c>
      <x:c r="CD659" s="11" t="n">
        <x:v>204152</x:v>
      </x:c>
      <x:c r="CE659" s="11" t="n">
        <x:v>110848</x:v>
      </x:c>
      <x:c r="CF659" s="11" t="n">
        <x:v>75732</x:v>
      </x:c>
      <x:c r="CG659" s="11" t="n">
        <x:v>0</x:v>
      </x:c>
      <x:c r="CH659" s="11" t="n">
        <x:v>501401</x:v>
      </x:c>
      <x:c r="CI659" s="11" t="n">
        <x:v>221114</x:v>
      </x:c>
      <x:c r="CJ659" s="11" t="n">
        <x:v>285980</x:v>
      </x:c>
      <x:c r="CK659" s="11" t="n">
        <x:v>139395</x:v>
      </x:c>
      <x:c r="CL659" s="11" t="n">
        <x:v>0</x:v>
      </x:c>
      <x:c r="CM659" s="11"/>
      <x:c r="CN659" s="11" t="n">
        <x:v>0</x:v>
      </x:c>
      <x:c r="CO659" s="11" t="n">
        <x:v>0</x:v>
      </x:c>
      <x:c r="CP659" s="8"/>
      <x:c r="CQ659" s="8"/>
    </x:row>
    <x:row r="660">
      <x:c r="A660" s="8" t="str">
        <x:v>Pouce Coupe|2021</x:v>
      </x:c>
      <x:c r="B660" s="8" t="str">
        <x:v>pouce-coupe-v</x:v>
      </x:c>
      <x:c r="C660" s="8" t="str">
        <x:v>Pouce Coupe</x:v>
      </x:c>
      <x:c r="D660" s="8" t="str">
        <x:v>Pouce Coupe</x:v>
      </x:c>
      <x:c r="E660" s="8" t="str">
        <x:v>V</x:v>
      </x:c>
      <x:c r="F660" s="8" t="str">
        <x:v>PEA</x:v>
      </x:c>
      <x:c r="G660" s="9" t="n">
        <x:v>2021</x:v>
      </x:c>
      <x:c r="H660" s="10" t="n">
        <x:v>839</x:v>
      </x:c>
      <x:c r="I660" s="8" t="str">
        <x:v>Under 5,000</x:v>
      </x:c>
      <x:c r="J660" s="11" t="n">
        <x:v>2913316</x:v>
      </x:c>
      <x:c r="K660" s="11" t="n">
        <x:v>2914144</x:v>
      </x:c>
      <x:c r="L660" s="11" t="n">
        <x:v>-828</x:v>
      </x:c>
      <x:c r="M660" s="12" t="n">
        <x:v>-0.0002842122172809266</x:v>
      </x:c>
      <x:c r="N660" s="11" t="n">
        <x:v>577824</x:v>
      </x:c>
      <x:c r="O660" s="11" t="n">
        <x:v>359832</x:v>
      </x:c>
      <x:c r="P660" s="11" t="n">
        <x:v>1902893</x:v>
      </x:c>
      <x:c r="Q660" s="11" t="n">
        <x:v>72767</x:v>
      </x:c>
      <x:c r="R660" s="11" t="n">
        <x:v>2524596</x:v>
      </x:c>
      <x:c r="S660" s="11" t="n">
        <x:v>389548</x:v>
      </x:c>
      <x:c r="T660" s="11" t="n">
        <x:v>6050266</x:v>
      </x:c>
      <x:c r="U660" s="11" t="n">
        <x:v>430068</x:v>
      </x:c>
      <x:c r="V660" s="11" t="n">
        <x:v>5889213</x:v>
      </x:c>
      <x:c r="W660" s="11" t="n">
        <x:v>1583843</x:v>
      </x:c>
      <x:c r="X660" s="11" t="n">
        <x:v>0</x:v>
      </x:c>
      <x:c r="Y660" s="11" t="n">
        <x:v>0</x:v>
      </x:c>
      <x:c r="Z660" s="11" t="n">
        <x:v>0</x:v>
      </x:c>
      <x:c r="AA660" s="11" t="n">
        <x:v>0</x:v>
      </x:c>
      <x:c r="AB660" s="11" t="n">
        <x:v>0</x:v>
      </x:c>
      <x:c r="AC660" s="11" t="n">
        <x:v>0</x:v>
      </x:c>
      <x:c r="AD660" s="11" t="n">
        <x:v>615235</x:v>
      </x:c>
      <x:c r="AE660" s="11" t="n">
        <x:v>615235</x:v>
      </x:c>
      <x:c r="AF660" s="11" t="n">
        <x:v>2460941</x:v>
      </x:c>
      <x:c r="AG660" s="11" t="n">
        <x:v>20385532</x:v>
      </x:c>
      <x:c r="AH660" s="11" t="n">
        <x:v>8473167</x:v>
      </x:c>
      <x:c r="AI660" s="11" t="n">
        <x:v>11912365</x:v>
      </x:c>
      <x:c r="AJ660" s="11" t="n">
        <x:v>316849</x:v>
      </x:c>
      <x:c r="AK660" s="11" t="n">
        <x:v>971594</x:v>
      </x:c>
      <x:c r="AL660" s="11" t="n">
        <x:v>0</x:v>
      </x:c>
      <x:c r="AM660" s="12" t="n">
        <x:v>1</x:v>
      </x:c>
      <x:c r="AN660" s="12" t="n">
        <x:v>0.32611255318579574</x:v>
      </x:c>
      <x:c r="AO660" s="11" t="n">
        <x:v>1119778</x:v>
      </x:c>
      <x:c r="AP660" s="11" t="n">
        <x:v>1038458</x:v>
      </x:c>
      <x:c r="AQ660" s="12" t="n">
        <x:v>0.9273784625166774</x:v>
      </x:c>
      <x:c r="AR660" s="11" t="n">
        <x:v>3472.367103694875</x:v>
      </x:c>
      <x:c r="AS660" s="11" t="n">
        <x:v>3473.3539928486293</x:v>
      </x:c>
      <x:c r="AT660" s="11" t="n">
        <x:v>7019.324195470798</x:v>
      </x:c>
      <x:c r="AU660" s="11" t="n">
        <x:v>1887.7747318235995</x:v>
      </x:c>
      <x:c r="AV660" s="11" t="n">
        <x:v>0</x:v>
      </x:c>
      <x:c r="AW660" s="11" t="n">
        <x:v>14.068161314024758</x:v>
      </x:c>
      <x:c r="AX660" s="12" t="n">
        <x:v>1</x:v>
      </x:c>
      <x:c r="AY660" s="11"/>
      <x:c r="AZ660" s="11"/>
      <x:c r="BA660" s="11"/>
      <x:c r="BB660" s="11"/>
      <x:c r="BC660" s="11"/>
      <x:c r="BD660" s="11"/>
      <x:c r="BE660" s="11"/>
      <x:c r="BF660" s="11"/>
      <x:c r="BG660" s="11"/>
      <x:c r="BH660" s="11"/>
      <x:c r="BI660" s="11"/>
      <x:c r="BJ660" s="11"/>
      <x:c r="BK660" s="12"/>
      <x:c r="BL660" s="12"/>
      <x:c r="BM660" s="12"/>
      <x:c r="BN660" s="12"/>
      <x:c r="BO660" s="12"/>
      <x:c r="BP660" s="12"/>
      <x:c r="BQ660" s="12"/>
      <x:c r="BR660" s="12"/>
      <x:c r="BS660" s="12"/>
      <x:c r="BT660" s="12"/>
      <x:c r="BU660" s="11" t="n">
        <x:v>181215</x:v>
      </x:c>
      <x:c r="BV660" s="11" t="n">
        <x:v>1561770</x:v>
      </x:c>
      <x:c r="BW660" s="11" t="n">
        <x:v>159908</x:v>
      </x:c>
      <x:c r="BX660" s="11" t="n">
        <x:v>49197</x:v>
      </x:c>
      <x:c r="BY660" s="11" t="n">
        <x:v>0</x:v>
      </x:c>
      <x:c r="BZ660" s="11" t="n">
        <x:v>11570</x:v>
      </x:c>
      <x:c r="CA660" s="11" t="n">
        <x:v>12000</x:v>
      </x:c>
      <x:c r="CB660" s="11" t="n">
        <x:v>0</x:v>
      </x:c>
      <x:c r="CC660" s="11" t="n">
        <x:v>962976</x:v>
      </x:c>
      <x:c r="CD660" s="11" t="n">
        <x:v>186250</x:v>
      </x:c>
      <x:c r="CE660" s="11" t="n">
        <x:v>114960</x:v>
      </x:c>
      <x:c r="CF660" s="11" t="n">
        <x:v>69449</x:v>
      </x:c>
      <x:c r="CG660" s="11" t="n">
        <x:v>0</x:v>
      </x:c>
      <x:c r="CH660" s="11" t="n">
        <x:v>537198</x:v>
      </x:c>
      <x:c r="CI660" s="11" t="n">
        <x:v>188290</x:v>
      </x:c>
      <x:c r="CJ660" s="11" t="n">
        <x:v>254767</x:v>
      </x:c>
      <x:c r="CK660" s="11" t="n">
        <x:v>210706</x:v>
      </x:c>
      <x:c r="CL660" s="11" t="n">
        <x:v>0</x:v>
      </x:c>
      <x:c r="CM660" s="11"/>
      <x:c r="CN660" s="11" t="n">
        <x:v>0</x:v>
      </x:c>
      <x:c r="CO660" s="11" t="n">
        <x:v>0</x:v>
      </x:c>
      <x:c r="CP660" s="8"/>
      <x:c r="CQ660" s="8"/>
    </x:row>
    <x:row r="661">
      <x:c r="A661" s="8" t="str">
        <x:v>Pouce Coupe|2022</x:v>
      </x:c>
      <x:c r="B661" s="8" t="str">
        <x:v>pouce-coupe-v</x:v>
      </x:c>
      <x:c r="C661" s="8" t="str">
        <x:v>Pouce Coupe</x:v>
      </x:c>
      <x:c r="D661" s="8" t="str">
        <x:v>Pouce Coupe</x:v>
      </x:c>
      <x:c r="E661" s="8" t="str">
        <x:v>V</x:v>
      </x:c>
      <x:c r="F661" s="8" t="str">
        <x:v>PEA</x:v>
      </x:c>
      <x:c r="G661" s="9" t="n">
        <x:v>2022</x:v>
      </x:c>
      <x:c r="H661" s="10" t="n">
        <x:v>14148</x:v>
      </x:c>
      <x:c r="I661" s="8" t="str">
        <x:v>5,000 to 19,999</x:v>
      </x:c>
      <x:c r="J661" s="11" t="n">
        <x:v>3124546</x:v>
      </x:c>
      <x:c r="K661" s="11" t="n">
        <x:v>3110645</x:v>
      </x:c>
      <x:c r="L661" s="11" t="n">
        <x:v>13901</x:v>
      </x:c>
      <x:c r="M661" s="12" t="n">
        <x:v>0.004448966345830722</x:v>
      </x:c>
      <x:c r="N661" s="11" t="n">
        <x:v>609748</x:v>
      </x:c>
      <x:c r="O661" s="11" t="n">
        <x:v>592726</x:v>
      </x:c>
      <x:c r="P661" s="11" t="n">
        <x:v>1779914</x:v>
      </x:c>
      <x:c r="Q661" s="11" t="n">
        <x:v>142158</x:v>
      </x:c>
      <x:c r="R661" s="11" t="n">
        <x:v>2707174</x:v>
      </x:c>
      <x:c r="S661" s="11" t="n">
        <x:v>403471</x:v>
      </x:c>
      <x:c r="T661" s="11" t="n">
        <x:v>5583000</x:v>
      </x:c>
      <x:c r="U661" s="11" t="n">
        <x:v>498550</x:v>
      </x:c>
      <x:c r="V661" s="11" t="n">
        <x:v>5489741</x:v>
      </x:c>
      <x:c r="W661" s="11" t="n">
        <x:v>1809517</x:v>
      </x:c>
      <x:c r="X661" s="11" t="n">
        <x:v>0</x:v>
      </x:c>
      <x:c r="Y661" s="11" t="n">
        <x:v>0</x:v>
      </x:c>
      <x:c r="Z661" s="11" t="n">
        <x:v>0</x:v>
      </x:c>
      <x:c r="AA661" s="11" t="n">
        <x:v>0</x:v>
      </x:c>
      <x:c r="AB661" s="11" t="n">
        <x:v>0</x:v>
      </x:c>
      <x:c r="AC661" s="11" t="n">
        <x:v>0</x:v>
      </x:c>
      <x:c r="AD661" s="11" t="n">
        <x:v>732248</x:v>
      </x:c>
      <x:c r="AE661" s="11" t="n">
        <x:v>732248</x:v>
      </x:c>
      <x:c r="AF661" s="11" t="n">
        <x:v>2928990</x:v>
      </x:c>
      <x:c r="AG661" s="11" t="n">
        <x:v>21203297</x:v>
      </x:c>
      <x:c r="AH661" s="11" t="n">
        <x:v>8876638</x:v>
      </x:c>
      <x:c r="AI661" s="11" t="n">
        <x:v>12326659</x:v>
      </x:c>
      <x:c r="AJ661" s="11" t="n">
        <x:v>825697</x:v>
      </x:c>
      <x:c r="AK661" s="11" t="n">
        <x:v>868365</x:v>
      </x:c>
      <x:c r="AL661" s="11" t="n">
        <x:v>0</x:v>
      </x:c>
      <x:c r="AM661" s="12" t="n">
        <x:v>1</x:v>
      </x:c>
      <x:c r="AN661" s="12" t="n">
        <x:v>0.9508639800084066</x:v>
      </x:c>
      <x:c r="AO661" s="11" t="n">
        <x:v>1180664</x:v>
      </x:c>
      <x:c r="AP661" s="11" t="n">
        <x:v>1075462</x:v>
      </x:c>
      <x:c r="AQ661" s="12" t="n">
        <x:v>0.9108959026446135</x:v>
      </x:c>
      <x:c r="AR661" s="11" t="n">
        <x:v>220.84718688153802</x:v>
      </x:c>
      <x:c r="AS661" s="11" t="n">
        <x:v>219.86464517953067</x:v>
      </x:c>
      <x:c r="AT661" s="11" t="n">
        <x:v>388.02240599378</x:v>
      </x:c>
      <x:c r="AU661" s="11" t="n">
        <x:v>127.89913768730563</x:v>
      </x:c>
      <x:c r="AV661" s="11" t="n">
        <x:v>0</x:v>
      </x:c>
      <x:c r="AW661" s="11" t="n">
        <x:v>11.198475579179622</x:v>
      </x:c>
      <x:c r="AX661" s="12" t="n">
        <x:v>1</x:v>
      </x:c>
      <x:c r="AY661" s="11"/>
      <x:c r="AZ661" s="11"/>
      <x:c r="BA661" s="11"/>
      <x:c r="BB661" s="11"/>
      <x:c r="BC661" s="11"/>
      <x:c r="BD661" s="11"/>
      <x:c r="BE661" s="11"/>
      <x:c r="BF661" s="11"/>
      <x:c r="BG661" s="11"/>
      <x:c r="BH661" s="11"/>
      <x:c r="BI661" s="11"/>
      <x:c r="BJ661" s="11"/>
      <x:c r="BK661" s="12"/>
      <x:c r="BL661" s="12"/>
      <x:c r="BM661" s="12"/>
      <x:c r="BN661" s="12"/>
      <x:c r="BO661" s="12"/>
      <x:c r="BP661" s="12"/>
      <x:c r="BQ661" s="12"/>
      <x:c r="BR661" s="12"/>
      <x:c r="BS661" s="12"/>
      <x:c r="BT661" s="12"/>
      <x:c r="BU661" s="11" t="n">
        <x:v>11290</x:v>
      </x:c>
      <x:c r="BV661" s="11" t="n">
        <x:v>1675887</x:v>
      </x:c>
      <x:c r="BW661" s="11" t="n">
        <x:v>92737</x:v>
      </x:c>
      <x:c r="BX661" s="11" t="n">
        <x:v>126521</x:v>
      </x:c>
      <x:c r="BY661" s="11" t="n">
        <x:v>0</x:v>
      </x:c>
      <x:c r="BZ661" s="11" t="n">
        <x:v>15637</x:v>
      </x:c>
      <x:c r="CA661" s="11" t="n">
        <x:v>0</x:v>
      </x:c>
      <x:c r="CB661" s="11" t="n">
        <x:v>0</x:v>
      </x:c>
      <x:c r="CC661" s="11" t="n">
        <x:v>876787</x:v>
      </x:c>
      <x:c r="CD661" s="11" t="n">
        <x:v>271340</x:v>
      </x:c>
      <x:c r="CE661" s="11" t="n">
        <x:v>118497</x:v>
      </x:c>
      <x:c r="CF661" s="11" t="n">
        <x:v>68355</x:v>
      </x:c>
      <x:c r="CG661" s="11" t="n">
        <x:v>0</x:v>
      </x:c>
      <x:c r="CH661" s="11" t="n">
        <x:v>773450</x:v>
      </x:c>
      <x:c r="CI661" s="11" t="n">
        <x:v>181887</x:v>
      </x:c>
      <x:c r="CJ661" s="11" t="n">
        <x:v>333221</x:v>
      </x:c>
      <x:c r="CK661" s="11" t="n">
        <x:v>83637</x:v>
      </x:c>
      <x:c r="CL661" s="11" t="n">
        <x:v>0</x:v>
      </x:c>
      <x:c r="CM661" s="11"/>
      <x:c r="CN661" s="11" t="n">
        <x:v>0</x:v>
      </x:c>
      <x:c r="CO661" s="11" t="n">
        <x:v>0</x:v>
      </x:c>
      <x:c r="CP661" s="8"/>
      <x:c r="CQ661" s="8"/>
    </x:row>
    <x:row r="662">
      <x:c r="A662" s="8" t="str">
        <x:v>Pouce Coupe|2023</x:v>
      </x:c>
      <x:c r="B662" s="8" t="str">
        <x:v>pouce-coupe-v</x:v>
      </x:c>
      <x:c r="C662" s="8" t="str">
        <x:v>Pouce Coupe</x:v>
      </x:c>
      <x:c r="D662" s="8" t="str">
        <x:v>Pouce Coupe</x:v>
      </x:c>
      <x:c r="E662" s="8" t="str">
        <x:v>V</x:v>
      </x:c>
      <x:c r="F662" s="8" t="str">
        <x:v>PEA</x:v>
      </x:c>
      <x:c r="G662" s="9" t="n">
        <x:v>2023</x:v>
      </x:c>
      <x:c r="H662" s="10" t="n">
        <x:v>832</x:v>
      </x:c>
      <x:c r="I662" s="8" t="str">
        <x:v>Under 5,000</x:v>
      </x:c>
      <x:c r="J662" s="11" t="n">
        <x:v>4326188</x:v>
      </x:c>
      <x:c r="K662" s="11" t="n">
        <x:v>3057402</x:v>
      </x:c>
      <x:c r="L662" s="11" t="n">
        <x:v>1268786</x:v>
      </x:c>
      <x:c r="M662" s="12" t="n">
        <x:v>0.2932803659942656</x:v>
      </x:c>
      <x:c r="N662" s="11" t="n">
        <x:v>685309</x:v>
      </x:c>
      <x:c r="O662" s="11" t="n">
        <x:v>832357</x:v>
      </x:c>
      <x:c r="P662" s="11" t="n">
        <x:v>2579827</x:v>
      </x:c>
      <x:c r="Q662" s="11" t="n">
        <x:v>228695</x:v>
      </x:c>
      <x:c r="R662" s="11" t="n">
        <x:v>2569406</x:v>
      </x:c>
      <x:c r="S662" s="11" t="n">
        <x:v>487996</x:v>
      </x:c>
      <x:c r="T662" s="11" t="n">
        <x:v>6687516</x:v>
      </x:c>
      <x:c r="U662" s="11" t="n">
        <x:v>492169</x:v>
      </x:c>
      <x:c r="V662" s="11" t="n">
        <x:v>6684543</x:v>
      </x:c>
      <x:c r="W662" s="11" t="n">
        <x:v>772146</x:v>
      </x:c>
      <x:c r="X662" s="11" t="n">
        <x:v>0</x:v>
      </x:c>
      <x:c r="Y662" s="11" t="n">
        <x:v>0</x:v>
      </x:c>
      <x:c r="Z662" s="11" t="n">
        <x:v>0</x:v>
      </x:c>
      <x:c r="AA662" s="11" t="n">
        <x:v>0</x:v>
      </x:c>
      <x:c r="AB662" s="11" t="n">
        <x:v>0</x:v>
      </x:c>
      <x:c r="AC662" s="11" t="n">
        <x:v>0</x:v>
      </x:c>
      <x:c r="AD662" s="11" t="n">
        <x:v>813609</x:v>
      </x:c>
      <x:c r="AE662" s="11" t="n">
        <x:v>813609</x:v>
      </x:c>
      <x:c r="AF662" s="11" t="n">
        <x:v>3254434</x:v>
      </x:c>
      <x:c r="AG662" s="11" t="n">
        <x:v>21723790</x:v>
      </x:c>
      <x:c r="AH662" s="11" t="n">
        <x:v>9393804</x:v>
      </x:c>
      <x:c r="AI662" s="11" t="n">
        <x:v>12329986</x:v>
      </x:c>
      <x:c r="AJ662" s="11" t="n">
        <x:v>499341</x:v>
      </x:c>
      <x:c r="AK662" s="11" t="n">
        <x:v>68379546</x:v>
      </x:c>
      <x:c r="AL662" s="11" t="n">
        <x:v>1030175</x:v>
      </x:c>
      <x:c r="AM662" s="12" t="n">
        <x:v>0.9849344568622904</x:v>
      </x:c>
      <x:c r="AN662" s="12" t="n">
        <x:v>0.007302490718496434</x:v>
      </x:c>
      <x:c r="AO662" s="11" t="n">
        <x:v>1349553</x:v>
      </x:c>
      <x:c r="AP662" s="11" t="n">
        <x:v>1230023</x:v>
      </x:c>
      <x:c r="AQ662" s="12" t="n">
        <x:v>0.9114299327258729</x:v>
      </x:c>
      <x:c r="AR662" s="11" t="n">
        <x:v>5199.745192307692</x:v>
      </x:c>
      <x:c r="AS662" s="11" t="n">
        <x:v>3674.762019230769</x:v>
      </x:c>
      <x:c r="AT662" s="11" t="n">
        <x:v>8034.306490384615</x:v>
      </x:c>
      <x:c r="AU662" s="11" t="n">
        <x:v>928.0600961538462</x:v>
      </x:c>
      <x:c r="AV662" s="11" t="n">
        <x:v>0</x:v>
      </x:c>
      <x:c r="AW662" s="11" t="n">
        <x:v>13.587844825659479</x:v>
      </x:c>
      <x:c r="AX662" s="12" t="n">
        <x:v>1</x:v>
      </x:c>
      <x:c r="AY662" s="11"/>
      <x:c r="AZ662" s="11"/>
      <x:c r="BA662" s="11"/>
      <x:c r="BB662" s="11"/>
      <x:c r="BC662" s="11"/>
      <x:c r="BD662" s="11"/>
      <x:c r="BE662" s="11"/>
      <x:c r="BF662" s="11"/>
      <x:c r="BG662" s="11"/>
      <x:c r="BH662" s="11"/>
      <x:c r="BI662" s="11"/>
      <x:c r="BJ662" s="11"/>
      <x:c r="BK662" s="12"/>
      <x:c r="BL662" s="12"/>
      <x:c r="BM662" s="12"/>
      <x:c r="BN662" s="12"/>
      <x:c r="BO662" s="12"/>
      <x:c r="BP662" s="12"/>
      <x:c r="BQ662" s="12"/>
      <x:c r="BR662" s="12"/>
      <x:c r="BS662" s="12"/>
      <x:c r="BT662" s="12"/>
      <x:c r="BU662" s="11" t="n">
        <x:v>18693</x:v>
      </x:c>
      <x:c r="BV662" s="11" t="n">
        <x:v>2463908</x:v>
      </x:c>
      <x:c r="BW662" s="11" t="n">
        <x:v>97226</x:v>
      </x:c>
      <x:c r="BX662" s="11" t="n">
        <x:v>209054</x:v>
      </x:c>
      <x:c r="BY662" s="11" t="n">
        <x:v>0</x:v>
      </x:c>
      <x:c r="BZ662" s="11" t="n">
        <x:v>19641</x:v>
      </x:c>
      <x:c r="CA662" s="11" t="n">
        <x:v>0</x:v>
      </x:c>
      <x:c r="CB662" s="11" t="n">
        <x:v>0</x:v>
      </x:c>
      <x:c r="CC662" s="11" t="n">
        <x:v>903765</x:v>
      </x:c>
      <x:c r="CD662" s="11" t="n">
        <x:v>381100</x:v>
      </x:c>
      <x:c r="CE662" s="11" t="n">
        <x:v>129514</x:v>
      </x:c>
      <x:c r="CF662" s="11" t="n">
        <x:v>29752</x:v>
      </x:c>
      <x:c r="CG662" s="11" t="n">
        <x:v>0</x:v>
      </x:c>
      <x:c r="CH662" s="11" t="n">
        <x:v>488669</x:v>
      </x:c>
      <x:c r="CI662" s="11" t="n">
        <x:v>190505</x:v>
      </x:c>
      <x:c r="CJ662" s="11" t="n">
        <x:v>364800</x:v>
      </x:c>
      <x:c r="CK662" s="11" t="n">
        <x:v>80720</x:v>
      </x:c>
      <x:c r="CL662" s="11" t="n">
        <x:v>400</x:v>
      </x:c>
      <x:c r="CM662" s="11" t="n">
        <x:v>181</x:v>
      </x:c>
      <x:c r="CN662" s="11" t="n">
        <x:v>0</x:v>
      </x:c>
      <x:c r="CO662" s="11" t="n">
        <x:v>0</x:v>
      </x:c>
      <x:c r="CP662" s="8"/>
      <x:c r="CQ662" s="8"/>
    </x:row>
    <x:row r="663">
      <x:c r="A663" s="8" t="str">
        <x:v>Pouce Coupe|2024</x:v>
      </x:c>
      <x:c r="B663" s="8" t="str">
        <x:v>pouce-coupe-v</x:v>
      </x:c>
      <x:c r="C663" s="8" t="str">
        <x:v>Pouce Coupe</x:v>
      </x:c>
      <x:c r="D663" s="8" t="str">
        <x:v>Pouce Coupe</x:v>
      </x:c>
      <x:c r="E663" s="8" t="str">
        <x:v>V</x:v>
      </x:c>
      <x:c r="F663" s="8" t="str">
        <x:v>PEA</x:v>
      </x:c>
      <x:c r="G663" s="9" t="n">
        <x:v>2024</x:v>
      </x:c>
      <x:c r="H663" s="10" t="n">
        <x:v>832</x:v>
      </x:c>
      <x:c r="I663" s="8" t="str">
        <x:v>Under 5,000</x:v>
      </x:c>
      <x:c r="J663" s="11" t="n">
        <x:v>5334726</x:v>
      </x:c>
      <x:c r="K663" s="11" t="n">
        <x:v>3045776</x:v>
      </x:c>
      <x:c r="L663" s="11" t="n">
        <x:v>2288950</x:v>
      </x:c>
      <x:c r="M663" s="12" t="n">
        <x:v>0.4290660851185234</x:v>
      </x:c>
      <x:c r="N663" s="11" t="n">
        <x:v>682645</x:v>
      </x:c>
      <x:c r="O663" s="11" t="n">
        <x:v>750357</x:v>
      </x:c>
      <x:c r="P663" s="11" t="n">
        <x:v>3545175</x:v>
      </x:c>
      <x:c r="Q663" s="11" t="n">
        <x:v>356549</x:v>
      </x:c>
      <x:c r="R663" s="11" t="n">
        <x:v>2573661</x:v>
      </x:c>
      <x:c r="S663" s="11" t="n">
        <x:v>472115</x:v>
      </x:c>
      <x:c r="T663" s="11" t="n">
        <x:v>8114139</x:v>
      </x:c>
      <x:c r="U663" s="11" t="n">
        <x:v>1054550</x:v>
      </x:c>
      <x:c r="V663" s="11" t="n">
        <x:v>7562958</x:v>
      </x:c>
      <x:c r="W663" s="11" t="n">
        <x:v>802943</x:v>
      </x:c>
      <x:c r="X663" s="11" t="n">
        <x:v>0</x:v>
      </x:c>
      <x:c r="Y663" s="11" t="n">
        <x:v>0</x:v>
      </x:c>
      <x:c r="Z663" s="11" t="n">
        <x:v>0</x:v>
      </x:c>
      <x:c r="AA663" s="11" t="n">
        <x:v>0</x:v>
      </x:c>
      <x:c r="AB663" s="11" t="n">
        <x:v>0</x:v>
      </x:c>
      <x:c r="AC663" s="11" t="n">
        <x:v>0</x:v>
      </x:c>
      <x:c r="AD663" s="11" t="n">
        <x:v>841488</x:v>
      </x:c>
      <x:c r="AE663" s="11" t="n">
        <x:v>841488</x:v>
      </x:c>
      <x:c r="AF663" s="11" t="n">
        <x:v>3365951</x:v>
      </x:c>
      <x:c r="AG663" s="11" t="n">
        <x:v>23607576</x:v>
      </x:c>
      <x:c r="AH663" s="11" t="n">
        <x:v>9865920</x:v>
      </x:c>
      <x:c r="AI663" s="11" t="n">
        <x:v>13741656</x:v>
      </x:c>
      <x:c r="AJ663" s="11" t="n">
        <x:v>1883786</x:v>
      </x:c>
      <x:c r="AK663" s="11" t="n">
        <x:v>70030176</x:v>
      </x:c>
      <x:c r="AL663" s="11" t="n">
        <x:v>1119493</x:v>
      </x:c>
      <x:c r="AM663" s="12" t="n">
        <x:v>0.9840141341355475</x:v>
      </x:c>
      <x:c r="AN663" s="12" t="n">
        <x:v>0.026899632524127883</x:v>
      </x:c>
      <x:c r="AO663" s="11" t="n">
        <x:v>1215341</x:v>
      </x:c>
      <x:c r="AP663" s="11" t="n">
        <x:v>1108969</x:v>
      </x:c>
      <x:c r="AQ663" s="12" t="n">
        <x:v>0.9124755932697078</x:v>
      </x:c>
      <x:c r="AR663" s="11" t="n">
        <x:v>6411.930288461538</x:v>
      </x:c>
      <x:c r="AS663" s="11" t="n">
        <x:v>3660.7884615384614</x:v>
      </x:c>
      <x:c r="AT663" s="11" t="n">
        <x:v>9090.09375</x:v>
      </x:c>
      <x:c r="AU663" s="11" t="n">
        <x:v>965.0757211538462</x:v>
      </x:c>
      <x:c r="AV663" s="11" t="n">
        <x:v>0</x:v>
      </x:c>
      <x:c r="AW663" s="11" t="n">
        <x:v>7.6944089896164245</x:v>
      </x:c>
      <x:c r="AX663" s="12" t="n">
        <x:v>1</x:v>
      </x:c>
      <x:c r="AY663" s="11" t="n">
        <x:v>4648.097865362712</x:v>
      </x:c>
      <x:c r="AZ663" s="11" t="n">
        <x:v>3546.5079302077975</x:v>
      </x:c>
      <x:c r="BA663" s="11" t="n">
        <x:v>3428.422456291105</x:v>
      </x:c>
      <x:c r="BB663" s="11" t="n">
        <x:v>2783.665107049771</x:v>
      </x:c>
      <x:c r="BC663" s="11" t="n">
        <x:v>5030.364110900993</x:v>
      </x:c>
      <x:c r="BD663" s="11" t="n">
        <x:v>2437.8724475115623</x:v>
      </x:c>
      <x:c r="BE663" s="11" t="n">
        <x:v>2420.45</x:v>
      </x:c>
      <x:c r="BF663" s="11" t="n">
        <x:v>1604.3462673977224</x:v>
      </x:c>
      <x:c r="BG663" s="11" t="n">
        <x:v>224.31236112962716</x:v>
      </x:c>
      <x:c r="BH663" s="11" t="n">
        <x:v>518.5374381567245</x:v>
      </x:c>
      <x:c r="BI663" s="11" t="n">
        <x:v>2.204313821553219</x:v>
      </x:c>
      <x:c r="BJ663" s="11" t="n">
        <x:v>1.7099330852451193</x:v>
      </x:c>
      <x:c r="BK663" s="12" t="n">
        <x:v>0.030042455998363887</x:v>
      </x:c>
      <x:c r="BL663" s="12" t="n">
        <x:v>0.02529861000232605</x:v>
      </x:c>
      <x:c r="BM663" s="12" t="n">
        <x:v>0.9786113537119745</x:v>
      </x:c>
      <x:c r="BN663" s="12" t="n">
        <x:v>0.9815511712696461</x:v>
      </x:c>
      <x:c r="BO663" s="12" t="n">
        <x:v>0.9039920521842442</x:v>
      </x:c>
      <x:c r="BP663" s="12" t="n">
        <x:v>0.8619101997275483</x:v>
      </x:c>
      <x:c r="BQ663" s="12" t="n">
        <x:v>0.9333160528846489</x:v>
      </x:c>
      <x:c r="BR663" s="12" t="n">
        <x:v>0.9623635142836453</x:v>
      </x:c>
      <x:c r="BS663" s="12" t="n">
        <x:v>0.20869205825466772</x:v>
      </x:c>
      <x:c r="BT663" s="12" t="n">
        <x:v>0.19976549769108282</x:v>
      </x:c>
      <x:c r="BU663" s="11" t="n">
        <x:v>1517595</x:v>
      </x:c>
      <x:c r="BV663" s="11" t="n">
        <x:v>1794842</x:v>
      </x:c>
      <x:c r="BW663" s="11" t="n">
        <x:v>232738</x:v>
      </x:c>
      <x:c r="BX663" s="11" t="n">
        <x:v>356549</x:v>
      </x:c>
      <x:c r="BY663" s="11" t="n">
        <x:v>0</x:v>
      </x:c>
      <x:c r="BZ663" s="11" t="n">
        <x:v>0</x:v>
      </x:c>
      <x:c r="CA663" s="11" t="n">
        <x:v>0</x:v>
      </x:c>
      <x:c r="CB663" s="11" t="n">
        <x:v>0</x:v>
      </x:c>
      <x:c r="CC663" s="11" t="n">
        <x:v>895801</x:v>
      </x:c>
      <x:c r="CD663" s="11" t="n">
        <x:v>291874</x:v>
      </x:c>
      <x:c r="CE663" s="11" t="n">
        <x:v>115807</x:v>
      </x:c>
      <x:c r="CF663" s="11" t="n">
        <x:v>101807</x:v>
      </x:c>
      <x:c r="CG663" s="11" t="n">
        <x:v>0</x:v>
      </x:c>
      <x:c r="CH663" s="11" t="n">
        <x:v>437150</x:v>
      </x:c>
      <x:c r="CI663" s="11" t="n">
        <x:v>280112</x:v>
      </x:c>
      <x:c r="CJ663" s="11" t="n">
        <x:v>355425</x:v>
      </x:c>
      <x:c r="CK663" s="11" t="n">
        <x:v>94430</x:v>
      </x:c>
      <x:c r="CL663" s="11" t="n">
        <x:v>0</x:v>
      </x:c>
      <x:c r="CM663" s="11" t="n">
        <x:v>1255</x:v>
      </x:c>
      <x:c r="CN663" s="11" t="n">
        <x:v>0</x:v>
      </x:c>
      <x:c r="CO663" s="11" t="n">
        <x:v>0</x:v>
      </x:c>
      <x:c r="CP663" s="8"/>
      <x:c r="CQ663" s="8"/>
    </x:row>
    <x:row r="664">
      <x:c r="A664" s="8" t="str">
        <x:v>Powell River|2019</x:v>
      </x:c>
      <x:c r="B664" s="8" t="str">
        <x:v>powell-river-c</x:v>
      </x:c>
      <x:c r="C664" s="8" t="str">
        <x:v>Powell River</x:v>
      </x:c>
      <x:c r="D664" s="8" t="str">
        <x:v>Powell River</x:v>
      </x:c>
      <x:c r="E664" s="8" t="str">
        <x:v>C</x:v>
      </x:c>
      <x:c r="F664" s="8" t="str">
        <x:v>POW</x:v>
      </x:c>
      <x:c r="G664" s="9" t="n">
        <x:v>2019</x:v>
      </x:c>
      <x:c r="H664" s="10" t="n">
        <x:v>13829</x:v>
      </x:c>
      <x:c r="I664" s="8" t="str">
        <x:v>5,000 to 19,999</x:v>
      </x:c>
      <x:c r="J664" s="11" t="n">
        <x:v>41388132</x:v>
      </x:c>
      <x:c r="K664" s="11" t="n">
        <x:v>32432747</x:v>
      </x:c>
      <x:c r="L664" s="11" t="n">
        <x:v>8955385</x:v>
      </x:c>
      <x:c r="M664" s="12" t="n">
        <x:v>0.21637567503650562</x:v>
      </x:c>
      <x:c r="N664" s="11" t="n">
        <x:v>20288507</x:v>
      </x:c>
      <x:c r="O664" s="11" t="n">
        <x:v>11368945</x:v>
      </x:c>
      <x:c r="P664" s="11" t="n">
        <x:v>4247596</x:v>
      </x:c>
      <x:c r="Q664" s="11" t="n">
        <x:v>5483084</x:v>
      </x:c>
      <x:c r="R664" s="11" t="n">
        <x:v>28799358</x:v>
      </x:c>
      <x:c r="S664" s="11" t="n">
        <x:v>3204581</x:v>
      </x:c>
      <x:c r="T664" s="11" t="n">
        <x:v>34778906</x:v>
      </x:c>
      <x:c r="U664" s="11" t="n">
        <x:v>24338778</x:v>
      </x:c>
      <x:c r="V664" s="11" t="n">
        <x:v>18849926</x:v>
      </x:c>
      <x:c r="W664" s="11" t="n">
        <x:v>12036876</x:v>
      </x:c>
      <x:c r="X664" s="11" t="n">
        <x:v>13107531</x:v>
      </x:c>
      <x:c r="Y664" s="11" t="n">
        <x:v>1500000</x:v>
      </x:c>
      <x:c r="Z664" s="11" t="n">
        <x:v>2063455</x:v>
      </x:c>
      <x:c r="AA664" s="11" t="n">
        <x:v>12432697</x:v>
      </x:c>
      <x:c r="AB664" s="11" t="n">
        <x:v>428808</x:v>
      </x:c>
      <x:c r="AC664" s="11" t="n">
        <x:v>2492263</x:v>
      </x:c>
      <x:c r="AD664" s="11" t="n">
        <x:v>7852692</x:v>
      </x:c>
      <x:c r="AE664" s="11" t="n">
        <x:v>4076525</x:v>
      </x:c>
      <x:c r="AF664" s="11" t="n">
        <x:v>31410766</x:v>
      </x:c>
      <x:c r="AG664" s="11" t="n">
        <x:v>207889749</x:v>
      </x:c>
      <x:c r="AH664" s="11" t="n">
        <x:v>95509781</x:v>
      </x:c>
      <x:c r="AI664" s="11" t="n">
        <x:v>112379968</x:v>
      </x:c>
      <x:c r="AJ664" s="11" t="n">
        <x:v>10114924</x:v>
      </x:c>
      <x:c r="AK664" s="11" t="n">
        <x:v>524868856</x:v>
      </x:c>
      <x:c r="AL664" s="11" t="n">
        <x:v>8384350</x:v>
      </x:c>
      <x:c r="AM664" s="12" t="n">
        <x:v>0.9840258192038737</x:v>
      </x:c>
      <x:c r="AN664" s="12" t="n">
        <x:v>0.019271335847749368</x:v>
      </x:c>
      <x:c r="AO664" s="11" t="n">
        <x:v>28425081</x:v>
      </x:c>
      <x:c r="AP664" s="11" t="n">
        <x:v>27402651</x:v>
      </x:c>
      <x:c r="AQ664" s="12" t="n">
        <x:v>0.9640307093584007</x:v>
      </x:c>
      <x:c r="AR664" s="11" t="n">
        <x:v>2992.8506761154094</x:v>
      </x:c>
      <x:c r="AS664" s="11" t="n">
        <x:v>2345.2705907874756</x:v>
      </x:c>
      <x:c r="AT664" s="11" t="n">
        <x:v>1363.07223949671</x:v>
      </x:c>
      <x:c r="AU664" s="11" t="n">
        <x:v>870.4082724708945</x:v>
      </x:c>
      <x:c r="AV664" s="11" t="n">
        <x:v>899.0308048304288</x:v>
      </x:c>
      <x:c r="AW664" s="11" t="n">
        <x:v>1.4289503770485108</x:v>
      </x:c>
      <x:c r="AX664" s="12" t="n">
        <x:v>0.5191245244306029</x:v>
      </x:c>
      <x:c r="AY664" s="11"/>
      <x:c r="AZ664" s="11"/>
      <x:c r="BA664" s="11"/>
      <x:c r="BB664" s="11"/>
      <x:c r="BC664" s="11"/>
      <x:c r="BD664" s="11"/>
      <x:c r="BE664" s="11"/>
      <x:c r="BF664" s="11"/>
      <x:c r="BG664" s="11"/>
      <x:c r="BH664" s="11"/>
      <x:c r="BI664" s="11"/>
      <x:c r="BJ664" s="11"/>
      <x:c r="BK664" s="12"/>
      <x:c r="BL664" s="12"/>
      <x:c r="BM664" s="12"/>
      <x:c r="BN664" s="12"/>
      <x:c r="BO664" s="12"/>
      <x:c r="BP664" s="12"/>
      <x:c r="BQ664" s="12"/>
      <x:c r="BR664" s="12"/>
      <x:c r="BS664" s="12"/>
      <x:c r="BT664" s="12"/>
      <x:c r="BU664" s="11" t="n">
        <x:v>1869011</x:v>
      </x:c>
      <x:c r="BV664" s="11" t="n">
        <x:v>1089749</x:v>
      </x:c>
      <x:c r="BW664" s="11" t="n">
        <x:v>1288836</x:v>
      </x:c>
      <x:c r="BX664" s="11" t="n">
        <x:v>983234</x:v>
      </x:c>
      <x:c r="BY664" s="11" t="n">
        <x:v>2814000</x:v>
      </x:c>
      <x:c r="BZ664" s="11" t="n">
        <x:v>1683550</x:v>
      </x:c>
      <x:c r="CA664" s="11" t="n">
        <x:v>2300</x:v>
      </x:c>
      <x:c r="CB664" s="11" t="n">
        <x:v>0</x:v>
      </x:c>
      <x:c r="CC664" s="11" t="n">
        <x:v>4978694</x:v>
      </x:c>
      <x:c r="CD664" s="11" t="n">
        <x:v>6167749</x:v>
      </x:c>
      <x:c r="CE664" s="11" t="n">
        <x:v>575612</x:v>
      </x:c>
      <x:c r="CF664" s="11" t="n">
        <x:v>0</x:v>
      </x:c>
      <x:c r="CG664" s="11" t="n">
        <x:v>1459034</x:v>
      </x:c>
      <x:c r="CH664" s="11" t="n">
        <x:v>4630765</x:v>
      </x:c>
      <x:c r="CI664" s="11" t="n">
        <x:v>6581997</x:v>
      </x:c>
      <x:c r="CJ664" s="11" t="n">
        <x:v>1525680</x:v>
      </x:c>
      <x:c r="CK664" s="11" t="n">
        <x:v>2328991</x:v>
      </x:c>
      <x:c r="CL664" s="11" t="n">
        <x:v>979644</x:v>
      </x:c>
      <x:c r="CM664" s="11"/>
      <x:c r="CN664" s="11" t="n">
        <x:v>0</x:v>
      </x:c>
      <x:c r="CO664" s="11" t="n">
        <x:v>0</x:v>
      </x:c>
      <x:c r="CP664" s="8"/>
      <x:c r="CQ664" s="8"/>
    </x:row>
    <x:row r="665">
      <x:c r="A665" s="8" t="str">
        <x:v>Powell River|2020</x:v>
      </x:c>
      <x:c r="B665" s="8" t="str">
        <x:v>powell-river-c</x:v>
      </x:c>
      <x:c r="C665" s="8" t="str">
        <x:v>Powell River</x:v>
      </x:c>
      <x:c r="D665" s="8" t="str">
        <x:v>Powell River</x:v>
      </x:c>
      <x:c r="E665" s="8" t="str">
        <x:v>C</x:v>
      </x:c>
      <x:c r="F665" s="8" t="str">
        <x:v>POW</x:v>
      </x:c>
      <x:c r="G665" s="9" t="n">
        <x:v>2020</x:v>
      </x:c>
      <x:c r="H665" s="10" t="n">
        <x:v>13865</x:v>
      </x:c>
      <x:c r="I665" s="8" t="str">
        <x:v>5,000 to 19,999</x:v>
      </x:c>
      <x:c r="J665" s="11" t="n">
        <x:v>42733870</x:v>
      </x:c>
      <x:c r="K665" s="11" t="n">
        <x:v>31807358</x:v>
      </x:c>
      <x:c r="L665" s="11" t="n">
        <x:v>10926512</x:v>
      </x:c>
      <x:c r="M665" s="12" t="n">
        <x:v>0.2556873973735587</x:v>
      </x:c>
      <x:c r="N665" s="11" t="n">
        <x:v>21554555</x:v>
      </x:c>
      <x:c r="O665" s="11" t="n">
        <x:v>9651849</x:v>
      </x:c>
      <x:c r="P665" s="11" t="n">
        <x:v>6717579</x:v>
      </x:c>
      <x:c r="Q665" s="11" t="n">
        <x:v>4809887</x:v>
      </x:c>
      <x:c r="R665" s="11" t="n">
        <x:v>28085818</x:v>
      </x:c>
      <x:c r="S665" s="11" t="n">
        <x:v>3241019</x:v>
      </x:c>
      <x:c r="T665" s="11" t="n">
        <x:v>73730934</x:v>
      </x:c>
      <x:c r="U665" s="11" t="n">
        <x:v>55146101</x:v>
      </x:c>
      <x:c r="V665" s="11" t="n">
        <x:v>26243123</x:v>
      </x:c>
      <x:c r="W665" s="11" t="n">
        <x:v>13154691</x:v>
      </x:c>
      <x:c r="X665" s="11" t="n">
        <x:v>12432697</x:v>
      </x:c>
      <x:c r="Y665" s="11" t="n">
        <x:v>10000000</x:v>
      </x:c>
      <x:c r="Z665" s="11" t="n">
        <x:v>982787</x:v>
      </x:c>
      <x:c r="AA665" s="11" t="n">
        <x:v>21377835</x:v>
      </x:c>
      <x:c r="AB665" s="11" t="n">
        <x:v>480521</x:v>
      </x:c>
      <x:c r="AC665" s="11" t="n">
        <x:v>1463308</x:v>
      </x:c>
      <x:c r="AD665" s="11" t="n">
        <x:v>7592590</x:v>
      </x:c>
      <x:c r="AE665" s="11" t="n">
        <x:v>4762434</x:v>
      </x:c>
      <x:c r="AF665" s="11" t="n">
        <x:v>30370361</x:v>
      </x:c>
      <x:c r="AG665" s="11" t="n">
        <x:v>214409102</x:v>
      </x:c>
      <x:c r="AH665" s="11" t="n">
        <x:v>98423166</x:v>
      </x:c>
      <x:c r="AI665" s="11" t="n">
        <x:v>115985936</x:v>
      </x:c>
      <x:c r="AJ665" s="11" t="n">
        <x:v>6852311</x:v>
      </x:c>
      <x:c r="AK665" s="11" t="n">
        <x:v>531194692</x:v>
      </x:c>
      <x:c r="AL665" s="11" t="n">
        <x:v>8499359</x:v>
      </x:c>
      <x:c r="AM665" s="12" t="n">
        <x:v>0.9839995407936042</x:v>
      </x:c>
      <x:c r="AN665" s="12" t="n">
        <x:v>0.012899810753380044</x:v>
      </x:c>
      <x:c r="AO665" s="11" t="n">
        <x:v>29886364</x:v>
      </x:c>
      <x:c r="AP665" s="11" t="n">
        <x:v>28860146</x:v>
      </x:c>
      <x:c r="AQ665" s="12" t="n">
        <x:v>0.965662668098401</x:v>
      </x:c>
      <x:c r="AR665" s="11" t="n">
        <x:v>3082.1399206635415</x:v>
      </x:c>
      <x:c r="AS665" s="11" t="n">
        <x:v>2294.0755860079335</x:v>
      </x:c>
      <x:c r="AT665" s="11" t="n">
        <x:v>1892.7604038946988</x:v>
      </x:c>
      <x:c r="AU665" s="11" t="n">
        <x:v>948.7696357735305</x:v>
      </x:c>
      <x:c r="AV665" s="11" t="n">
        <x:v>1541.8561125135232</x:v>
      </x:c>
      <x:c r="AW665" s="11" t="n">
        <x:v>1.3370108251170831</x:v>
      </x:c>
      <x:c r="AX665" s="12" t="n">
        <x:v>0.6272476190601626</x:v>
      </x:c>
      <x:c r="AY665" s="11"/>
      <x:c r="AZ665" s="11"/>
      <x:c r="BA665" s="11"/>
      <x:c r="BB665" s="11"/>
      <x:c r="BC665" s="11"/>
      <x:c r="BD665" s="11"/>
      <x:c r="BE665" s="11"/>
      <x:c r="BF665" s="11"/>
      <x:c r="BG665" s="11"/>
      <x:c r="BH665" s="11"/>
      <x:c r="BI665" s="11"/>
      <x:c r="BJ665" s="11"/>
      <x:c r="BK665" s="12"/>
      <x:c r="BL665" s="12"/>
      <x:c r="BM665" s="12"/>
      <x:c r="BN665" s="12"/>
      <x:c r="BO665" s="12"/>
      <x:c r="BP665" s="12"/>
      <x:c r="BQ665" s="12"/>
      <x:c r="BR665" s="12"/>
      <x:c r="BS665" s="12"/>
      <x:c r="BT665" s="12"/>
      <x:c r="BU665" s="11" t="n">
        <x:v>1146703</x:v>
      </x:c>
      <x:c r="BV665" s="11" t="n">
        <x:v>4340208</x:v>
      </x:c>
      <x:c r="BW665" s="11" t="n">
        <x:v>1230668</x:v>
      </x:c>
      <x:c r="BX665" s="11" t="n">
        <x:v>1242399</x:v>
      </x:c>
      <x:c r="BY665" s="11" t="n">
        <x:v>1849277</x:v>
      </x:c>
      <x:c r="BZ665" s="11" t="n">
        <x:v>1709531</x:v>
      </x:c>
      <x:c r="CA665" s="11" t="n">
        <x:v>8677</x:v>
      </x:c>
      <x:c r="CB665" s="11" t="n">
        <x:v>3</x:v>
      </x:c>
      <x:c r="CC665" s="11" t="n">
        <x:v>5316632</x:v>
      </x:c>
      <x:c r="CD665" s="11" t="n">
        <x:v>6468979</x:v>
      </x:c>
      <x:c r="CE665" s="11" t="n">
        <x:v>651423</x:v>
      </x:c>
      <x:c r="CF665" s="11" t="n">
        <x:v>0</x:v>
      </x:c>
      <x:c r="CG665" s="11" t="n">
        <x:v>1858749</x:v>
      </x:c>
      <x:c r="CH665" s="11" t="n">
        <x:v>3856622</x:v>
      </x:c>
      <x:c r="CI665" s="11" t="n">
        <x:v>5405395</x:v>
      </x:c>
      <x:c r="CJ665" s="11" t="n">
        <x:v>1515823</x:v>
      </x:c>
      <x:c r="CK665" s="11" t="n">
        <x:v>2617895</x:v>
      </x:c>
      <x:c r="CL665" s="11" t="n">
        <x:v>874821</x:v>
      </x:c>
      <x:c r="CM665" s="11"/>
      <x:c r="CN665" s="11" t="n">
        <x:v>0</x:v>
      </x:c>
      <x:c r="CO665" s="11" t="n">
        <x:v>0</x:v>
      </x:c>
      <x:c r="CP665" s="8"/>
      <x:c r="CQ665" s="8"/>
    </x:row>
    <x:row r="666">
      <x:c r="A666" s="8" t="str">
        <x:v>Powell River|2021</x:v>
      </x:c>
      <x:c r="B666" s="8" t="str">
        <x:v>powell-river-c</x:v>
      </x:c>
      <x:c r="C666" s="8" t="str">
        <x:v>Powell River</x:v>
      </x:c>
      <x:c r="D666" s="8" t="str">
        <x:v>Powell River</x:v>
      </x:c>
      <x:c r="E666" s="8" t="str">
        <x:v>C</x:v>
      </x:c>
      <x:c r="F666" s="8" t="str">
        <x:v>qRD</x:v>
      </x:c>
      <x:c r="G666" s="9" t="n">
        <x:v>2021</x:v>
      </x:c>
      <x:c r="H666" s="10" t="n">
        <x:v>14024</x:v>
      </x:c>
      <x:c r="I666" s="8" t="str">
        <x:v>5,000 to 19,999</x:v>
      </x:c>
      <x:c r="J666" s="11" t="n">
        <x:v>55034135</x:v>
      </x:c>
      <x:c r="K666" s="11" t="n">
        <x:v>34605011</x:v>
      </x:c>
      <x:c r="L666" s="11" t="n">
        <x:v>20429124</x:v>
      </x:c>
      <x:c r="M666" s="12" t="n">
        <x:v>0.37120823285402776</x:v>
      </x:c>
      <x:c r="N666" s="11" t="n">
        <x:v>22434378</x:v>
      </x:c>
      <x:c r="O666" s="11" t="n">
        <x:v>11115965</x:v>
      </x:c>
      <x:c r="P666" s="11" t="n">
        <x:v>15882882</x:v>
      </x:c>
      <x:c r="Q666" s="11" t="n">
        <x:v>5600910</x:v>
      </x:c>
      <x:c r="R666" s="11" t="n">
        <x:v>30621695</x:v>
      </x:c>
      <x:c r="S666" s="11" t="n">
        <x:v>3352670</x:v>
      </x:c>
      <x:c r="T666" s="11" t="n">
        <x:v>74586840</x:v>
      </x:c>
      <x:c r="U666" s="11" t="n">
        <x:v>61745989</x:v>
      </x:c>
      <x:c r="V666" s="11" t="n">
        <x:v>25572728</x:v>
      </x:c>
      <x:c r="W666" s="11" t="n">
        <x:v>14368067</x:v>
      </x:c>
      <x:c r="X666" s="11" t="n">
        <x:v>21377835</x:v>
      </x:c>
      <x:c r="Y666" s="11" t="n">
        <x:v>5000000</x:v>
      </x:c>
      <x:c r="Z666" s="11" t="n">
        <x:v>1578125</x:v>
      </x:c>
      <x:c r="AA666" s="11" t="n">
        <x:v>24718686</x:v>
      </x:c>
      <x:c r="AB666" s="11" t="n">
        <x:v>630646</x:v>
      </x:c>
      <x:c r="AC666" s="11" t="n">
        <x:v>2208771</x:v>
      </x:c>
      <x:c r="AD666" s="11" t="n">
        <x:v>8107720</x:v>
      </x:c>
      <x:c r="AE666" s="11" t="n">
        <x:v>4840413</x:v>
      </x:c>
      <x:c r="AF666" s="11" t="n">
        <x:v>32430880</x:v>
      </x:c>
      <x:c r="AG666" s="11" t="n">
        <x:v>236378589</x:v>
      </x:c>
      <x:c r="AH666" s="11" t="n">
        <x:v>99451840</x:v>
      </x:c>
      <x:c r="AI666" s="11" t="n">
        <x:v>136926749</x:v>
      </x:c>
      <x:c r="AJ666" s="11" t="n">
        <x:v>24483624</x:v>
      </x:c>
      <x:c r="AK666" s="11" t="n">
        <x:v>575305224</x:v>
      </x:c>
      <x:c r="AL666" s="11" t="n">
        <x:v>9048945</x:v>
      </x:c>
      <x:c r="AM666" s="12" t="n">
        <x:v>0.9842710536555114</x:v>
      </x:c>
      <x:c r="AN666" s="12" t="n">
        <x:v>0.042557625028623064</x:v>
      </x:c>
      <x:c r="AO666" s="11" t="n">
        <x:v>31662066</x:v>
      </x:c>
      <x:c r="AP666" s="11" t="n">
        <x:v>30584065</x:v>
      </x:c>
      <x:c r="AQ666" s="12" t="n">
        <x:v>0.9659529166542701</x:v>
      </x:c>
      <x:c r="AR666" s="11" t="n">
        <x:v>3924.2823017683972</x:v>
      </x:c>
      <x:c r="AS666" s="11" t="n">
        <x:v>2467.556403308614</x:v>
      </x:c>
      <x:c r="AT666" s="11" t="n">
        <x:v>1823.4974329720478</x:v>
      </x:c>
      <x:c r="AU666" s="11" t="n">
        <x:v>1024.5341557330291</x:v>
      </x:c>
      <x:c r="AV666" s="11" t="n">
        <x:v>1762.5988305761553</x:v>
      </x:c>
      <x:c r="AW666" s="11" t="n">
        <x:v>1.2079625123503974</x:v>
      </x:c>
      <x:c r="AX666" s="12" t="n">
        <x:v>0.5970128470149438</x:v>
      </x:c>
      <x:c r="AY666" s="11"/>
      <x:c r="AZ666" s="11"/>
      <x:c r="BA666" s="11"/>
      <x:c r="BB666" s="11"/>
      <x:c r="BC666" s="11"/>
      <x:c r="BD666" s="11"/>
      <x:c r="BE666" s="11"/>
      <x:c r="BF666" s="11"/>
      <x:c r="BG666" s="11"/>
      <x:c r="BH666" s="11"/>
      <x:c r="BI666" s="11"/>
      <x:c r="BJ666" s="11"/>
      <x:c r="BK666" s="12"/>
      <x:c r="BL666" s="12"/>
      <x:c r="BM666" s="12"/>
      <x:c r="BN666" s="12"/>
      <x:c r="BO666" s="12"/>
      <x:c r="BP666" s="12"/>
      <x:c r="BQ666" s="12"/>
      <x:c r="BR666" s="12"/>
      <x:c r="BS666" s="12"/>
      <x:c r="BT666" s="12"/>
      <x:c r="BU666" s="11" t="n">
        <x:v>7430017</x:v>
      </x:c>
      <x:c r="BV666" s="11" t="n">
        <x:v>6206844</x:v>
      </x:c>
      <x:c r="BW666" s="11" t="n">
        <x:v>2246021</x:v>
      </x:c>
      <x:c r="BX666" s="11" t="n">
        <x:v>799795</x:v>
      </x:c>
      <x:c r="BY666" s="11" t="n">
        <x:v>3109347</x:v>
      </x:c>
      <x:c r="BZ666" s="11" t="n">
        <x:v>1366909</x:v>
      </x:c>
      <x:c r="CA666" s="11" t="n">
        <x:v>324859</x:v>
      </x:c>
      <x:c r="CB666" s="11" t="n">
        <x:v>0</x:v>
      </x:c>
      <x:c r="CC666" s="11" t="n">
        <x:v>5024481</x:v>
      </x:c>
      <x:c r="CD666" s="11" t="n">
        <x:v>6939613</x:v>
      </x:c>
      <x:c r="CE666" s="11" t="n">
        <x:v>756096</x:v>
      </x:c>
      <x:c r="CF666" s="11" t="n">
        <x:v>0</x:v>
      </x:c>
      <x:c r="CG666" s="11" t="n">
        <x:v>2146268</x:v>
      </x:c>
      <x:c r="CH666" s="11" t="n">
        <x:v>6009043</x:v>
      </x:c>
      <x:c r="CI666" s="11" t="n">
        <x:v>6050427</x:v>
      </x:c>
      <x:c r="CJ666" s="11" t="n">
        <x:v>1493551</x:v>
      </x:c>
      <x:c r="CK666" s="11" t="n">
        <x:v>2830401</x:v>
      </x:c>
      <x:c r="CL666" s="11" t="n">
        <x:v>2461</x:v>
      </x:c>
      <x:c r="CM666" s="11"/>
      <x:c r="CN666" s="11" t="n">
        <x:v>0</x:v>
      </x:c>
      <x:c r="CO666" s="11" t="n">
        <x:v>0</x:v>
      </x:c>
      <x:c r="CP666" s="8"/>
      <x:c r="CQ666" s="8"/>
    </x:row>
    <x:row r="667">
      <x:c r="A667" s="8" t="str">
        <x:v>Powell River|2022</x:v>
      </x:c>
      <x:c r="B667" s="8" t="str">
        <x:v>powell-river-c</x:v>
      </x:c>
      <x:c r="C667" s="8" t="str">
        <x:v>Powell River</x:v>
      </x:c>
      <x:c r="D667" s="8" t="str">
        <x:v>Powell River</x:v>
      </x:c>
      <x:c r="E667" s="8" t="str">
        <x:v>C</x:v>
      </x:c>
      <x:c r="F667" s="8" t="str">
        <x:v>qRD</x:v>
      </x:c>
      <x:c r="G667" s="9" t="n">
        <x:v>2022</x:v>
      </x:c>
      <x:c r="H667" s="10" t="n">
        <x:v>82125</x:v>
      </x:c>
      <x:c r="I667" s="8" t="str">
        <x:v>20,000 to 99,999</x:v>
      </x:c>
      <x:c r="J667" s="11" t="n">
        <x:v>90285980</x:v>
      </x:c>
      <x:c r="K667" s="11" t="n">
        <x:v>40523968</x:v>
      </x:c>
      <x:c r="L667" s="11" t="n">
        <x:v>49762012</x:v>
      </x:c>
      <x:c r="M667" s="12" t="n">
        <x:v>0.5511599032319303</x:v>
      </x:c>
      <x:c r="N667" s="11" t="n">
        <x:v>21074087</x:v>
      </x:c>
      <x:c r="O667" s="11" t="n">
        <x:v>14238026</x:v>
      </x:c>
      <x:c r="P667" s="11" t="n">
        <x:v>45253803</x:v>
      </x:c>
      <x:c r="Q667" s="11" t="n">
        <x:v>9720064</x:v>
      </x:c>
      <x:c r="R667" s="11" t="n">
        <x:v>36354363</x:v>
      </x:c>
      <x:c r="S667" s="11" t="n">
        <x:v>3476136</x:v>
      </x:c>
      <x:c r="T667" s="11" t="n">
        <x:v>48155228</x:v>
      </x:c>
      <x:c r="U667" s="11" t="n">
        <x:v>55013270</x:v>
      </x:c>
      <x:c r="V667" s="11" t="n">
        <x:v>11982218</x:v>
      </x:c>
      <x:c r="W667" s="11" t="n">
        <x:v>18141602</x:v>
      </x:c>
      <x:c r="X667" s="11" t="n">
        <x:v>24718686</x:v>
      </x:c>
      <x:c r="Y667" s="11" t="n">
        <x:v>5000000</x:v>
      </x:c>
      <x:c r="Z667" s="11" t="n">
        <x:v>902634</x:v>
      </x:c>
      <x:c r="AA667" s="11" t="n">
        <x:v>28724913</x:v>
      </x:c>
      <x:c r="AB667" s="11" t="n">
        <x:v>693469</x:v>
      </x:c>
      <x:c r="AC667" s="11" t="n">
        <x:v>1596103</x:v>
      </x:c>
      <x:c r="AD667" s="11" t="n">
        <x:v>8406067</x:v>
      </x:c>
      <x:c r="AE667" s="11" t="n">
        <x:v>5852224</x:v>
      </x:c>
      <x:c r="AF667" s="11" t="n">
        <x:v>33624267</x:v>
      </x:c>
      <x:c r="AG667" s="11" t="n">
        <x:v>302463221</x:v>
      </x:c>
      <x:c r="AH667" s="11" t="n">
        <x:v>102360426</x:v>
      </x:c>
      <x:c r="AI667" s="11" t="n">
        <x:v>200102795</x:v>
      </x:c>
      <x:c r="AJ667" s="11" t="n">
        <x:v>67404377</x:v>
      </x:c>
      <x:c r="AK667" s="11" t="n">
        <x:v>654272598</x:v>
      </x:c>
      <x:c r="AL667" s="11" t="n">
        <x:v>9341304</x:v>
      </x:c>
      <x:c r="AM667" s="12" t="n">
        <x:v>0.9857226116017165</x:v>
      </x:c>
      <x:c r="AN667" s="12" t="n">
        <x:v>0.10302185542546595</x:v>
      </x:c>
      <x:c r="AO667" s="11" t="n">
        <x:v>31073063</x:v>
      </x:c>
      <x:c r="AP667" s="11" t="n">
        <x:v>30361091</x:v>
      </x:c>
      <x:c r="AQ667" s="12" t="n">
        <x:v>0.9770871638885423</x:v>
      </x:c>
      <x:c r="AR667" s="11" t="n">
        <x:v>1099.3726636225267</x:v>
      </x:c>
      <x:c r="AS667" s="11" t="n">
        <x:v>493.4425327245053</x:v>
      </x:c>
      <x:c r="AT667" s="11" t="n">
        <x:v>145.90219786910197</x:v>
      </x:c>
      <x:c r="AU667" s="11" t="n">
        <x:v>220.90230745814307</x:v>
      </x:c>
      <x:c r="AV667" s="11" t="n">
        <x:v>349.7706301369863</x:v>
      </x:c>
      <x:c r="AW667" s="11" t="n">
        <x:v>0.8753384047158077</x:v>
      </x:c>
      <x:c r="AX667" s="12" t="n">
        <x:v>0.6961905014556748</x:v>
      </x:c>
      <x:c r="AY667" s="11"/>
      <x:c r="AZ667" s="11"/>
      <x:c r="BA667" s="11"/>
      <x:c r="BB667" s="11"/>
      <x:c r="BC667" s="11"/>
      <x:c r="BD667" s="11"/>
      <x:c r="BE667" s="11"/>
      <x:c r="BF667" s="11"/>
      <x:c r="BG667" s="11"/>
      <x:c r="BH667" s="11"/>
      <x:c r="BI667" s="11"/>
      <x:c r="BJ667" s="11"/>
      <x:c r="BK667" s="12"/>
      <x:c r="BL667" s="12"/>
      <x:c r="BM667" s="12"/>
      <x:c r="BN667" s="12"/>
      <x:c r="BO667" s="12"/>
      <x:c r="BP667" s="12"/>
      <x:c r="BQ667" s="12"/>
      <x:c r="BR667" s="12"/>
      <x:c r="BS667" s="12"/>
      <x:c r="BT667" s="12"/>
      <x:c r="BU667" s="11" t="n">
        <x:v>22663586</x:v>
      </x:c>
      <x:c r="BV667" s="11" t="n">
        <x:v>20343355</x:v>
      </x:c>
      <x:c r="BW667" s="11" t="n">
        <x:v>2246862</x:v>
      </x:c>
      <x:c r="BX667" s="11" t="n">
        <x:v>1227989</x:v>
      </x:c>
      <x:c r="BY667" s="11" t="n">
        <x:v>3040996</x:v>
      </x:c>
      <x:c r="BZ667" s="11" t="n">
        <x:v>50147</x:v>
      </x:c>
      <x:c r="CA667" s="11" t="n">
        <x:v>5400932</x:v>
      </x:c>
      <x:c r="CB667" s="11" t="n">
        <x:v>0</x:v>
      </x:c>
      <x:c r="CC667" s="11" t="n">
        <x:v>6209935</x:v>
      </x:c>
      <x:c r="CD667" s="11" t="n">
        <x:v>6837802</x:v>
      </x:c>
      <x:c r="CE667" s="11" t="n">
        <x:v>960093</x:v>
      </x:c>
      <x:c r="CF667" s="11" t="n">
        <x:v>0</x:v>
      </x:c>
      <x:c r="CG667" s="11" t="n">
        <x:v>2970101</x:v>
      </x:c>
      <x:c r="CH667" s="11" t="n">
        <x:v>5495415</x:v>
      </x:c>
      <x:c r="CI667" s="11" t="n">
        <x:v>6765241</x:v>
      </x:c>
      <x:c r="CJ667" s="11" t="n">
        <x:v>1628224</x:v>
      </x:c>
      <x:c r="CK667" s="11" t="n">
        <x:v>2861504</x:v>
      </x:c>
      <x:c r="CL667" s="11" t="n">
        <x:v>3319517</x:v>
      </x:c>
      <x:c r="CM667" s="11"/>
      <x:c r="CN667" s="11" t="n">
        <x:v>0</x:v>
      </x:c>
      <x:c r="CO667" s="11" t="n">
        <x:v>0</x:v>
      </x:c>
      <x:c r="CP667" s="8"/>
      <x:c r="CQ667" s="8"/>
    </x:row>
    <x:row r="668">
      <x:c r="A668" s="8" t="str">
        <x:v>Powell River|2023</x:v>
      </x:c>
      <x:c r="B668" s="8" t="str">
        <x:v>powell-river-c</x:v>
      </x:c>
      <x:c r="C668" s="8" t="str">
        <x:v>Powell River</x:v>
      </x:c>
      <x:c r="D668" s="8" t="str">
        <x:v>Powell River</x:v>
      </x:c>
      <x:c r="E668" s="8" t="str">
        <x:v>C</x:v>
      </x:c>
      <x:c r="F668" s="8" t="str">
        <x:v>qRD</x:v>
      </x:c>
      <x:c r="G668" s="9" t="n">
        <x:v>2023</x:v>
      </x:c>
      <x:c r="H668" s="10" t="n">
        <x:v>14607</x:v>
      </x:c>
      <x:c r="I668" s="8" t="str">
        <x:v>5,000 to 19,999</x:v>
      </x:c>
      <x:c r="J668" s="11" t="n">
        <x:v>57547345</x:v>
      </x:c>
      <x:c r="K668" s="11" t="n">
        <x:v>44806958</x:v>
      </x:c>
      <x:c r="L668" s="11" t="n">
        <x:v>12740387</x:v>
      </x:c>
      <x:c r="M668" s="12" t="n">
        <x:v>0.22138965750722298</x:v>
      </x:c>
      <x:c r="N668" s="11" t="n">
        <x:v>24724417</x:v>
      </x:c>
      <x:c r="O668" s="11" t="n">
        <x:v>12394167</x:v>
      </x:c>
      <x:c r="P668" s="11" t="n">
        <x:v>7668843</x:v>
      </x:c>
      <x:c r="Q668" s="11" t="n">
        <x:v>12759918</x:v>
      </x:c>
      <x:c r="R668" s="11" t="n">
        <x:v>38033574</x:v>
      </x:c>
      <x:c r="S668" s="11" t="n">
        <x:v>5698370</x:v>
      </x:c>
      <x:c r="T668" s="11" t="n">
        <x:v>49573412</x:v>
      </x:c>
      <x:c r="U668" s="11" t="n">
        <x:v>55691641</x:v>
      </x:c>
      <x:c r="V668" s="11" t="n">
        <x:v>14334870</x:v>
      </x:c>
      <x:c r="W668" s="11" t="n">
        <x:v>27443765</x:v>
      </x:c>
      <x:c r="X668" s="11" t="n">
        <x:v>28724913</x:v>
      </x:c>
      <x:c r="Y668" s="11" t="n">
        <x:v>5500000</x:v>
      </x:c>
      <x:c r="Z668" s="11" t="n">
        <x:v>760977</x:v>
      </x:c>
      <x:c r="AA668" s="11" t="n">
        <x:v>33353550</x:v>
      </x:c>
      <x:c r="AB668" s="11" t="n">
        <x:v>1075014</x:v>
      </x:c>
      <x:c r="AC668" s="11" t="n">
        <x:v>1835991</x:v>
      </x:c>
      <x:c r="AD668" s="11" t="n">
        <x:v>9130291</x:v>
      </x:c>
      <x:c r="AE668" s="11" t="n">
        <x:v>6770378</x:v>
      </x:c>
      <x:c r="AF668" s="11" t="n">
        <x:v>36521165</x:v>
      </x:c>
      <x:c r="AG668" s="11" t="n">
        <x:v>308010822</x:v>
      </x:c>
      <x:c r="AH668" s="11" t="n">
        <x:v>99144831</x:v>
      </x:c>
      <x:c r="AI668" s="11" t="n">
        <x:v>208865991</x:v>
      </x:c>
      <x:c r="AJ668" s="11" t="n">
        <x:v>15678099</x:v>
      </x:c>
      <x:c r="AK668" s="11" t="n">
        <x:v>591780983</x:v>
      </x:c>
      <x:c r="AL668" s="11" t="n">
        <x:v>10836503</x:v>
      </x:c>
      <x:c r="AM668" s="12" t="n">
        <x:v>0.9816883216742367</x:v>
      </x:c>
      <x:c r="AN668" s="12" t="n">
        <x:v>0.026493076746942373</x:v>
      </x:c>
      <x:c r="AO668" s="11" t="n">
        <x:v>35495361</x:v>
      </x:c>
      <x:c r="AP668" s="11" t="n">
        <x:v>4381777</x:v>
      </x:c>
      <x:c r="AQ668" s="12" t="n">
        <x:v>0.12344646952597552</x:v>
      </x:c>
      <x:c r="AR668" s="11" t="n">
        <x:v>3939.710070514137</x:v>
      </x:c>
      <x:c r="AS668" s="11" t="n">
        <x:v>3067.499007325255</x:v>
      </x:c>
      <x:c r="AT668" s="11" t="n">
        <x:v>981.3698911480797</x:v>
      </x:c>
      <x:c r="AU668" s="11" t="n">
        <x:v>1878.809132607654</x:v>
      </x:c>
      <x:c r="AV668" s="11" t="n">
        <x:v>2283.39494762785</x:v>
      </x:c>
      <x:c r="AW668" s="11" t="n">
        <x:v>0.8901409818396265</x:v>
      </x:c>
      <x:c r="AX668" s="12" t="n">
        <x:v>0.7415292677966124</x:v>
      </x:c>
      <x:c r="AY668" s="11"/>
      <x:c r="AZ668" s="11"/>
      <x:c r="BA668" s="11"/>
      <x:c r="BB668" s="11"/>
      <x:c r="BC668" s="11"/>
      <x:c r="BD668" s="11"/>
      <x:c r="BE668" s="11"/>
      <x:c r="BF668" s="11"/>
      <x:c r="BG668" s="11"/>
      <x:c r="BH668" s="11"/>
      <x:c r="BI668" s="11"/>
      <x:c r="BJ668" s="11"/>
      <x:c r="BK668" s="12"/>
      <x:c r="BL668" s="12"/>
      <x:c r="BM668" s="12"/>
      <x:c r="BN668" s="12"/>
      <x:c r="BO668" s="12"/>
      <x:c r="BP668" s="12"/>
      <x:c r="BQ668" s="12"/>
      <x:c r="BR668" s="12"/>
      <x:c r="BS668" s="12"/>
      <x:c r="BT668" s="12"/>
      <x:c r="BU668" s="11" t="n">
        <x:v>269681</x:v>
      </x:c>
      <x:c r="BV668" s="11" t="n">
        <x:v>5627911</x:v>
      </x:c>
      <x:c r="BW668" s="11" t="n">
        <x:v>1771251</x:v>
      </x:c>
      <x:c r="BX668" s="11" t="n">
        <x:v>2589237</x:v>
      </x:c>
      <x:c r="BY668" s="11" t="n">
        <x:v>9582958</x:v>
      </x:c>
      <x:c r="BZ668" s="11" t="n">
        <x:v>578224</x:v>
      </x:c>
      <x:c r="CA668" s="11" t="n">
        <x:v>9499</x:v>
      </x:c>
      <x:c r="CB668" s="11" t="n">
        <x:v>0</x:v>
      </x:c>
      <x:c r="CC668" s="11" t="n">
        <x:v>6789605</x:v>
      </x:c>
      <x:c r="CD668" s="11" t="n">
        <x:v>7967227</x:v>
      </x:c>
      <x:c r="CE668" s="11" t="n">
        <x:v>1017969</x:v>
      </x:c>
      <x:c r="CF668" s="11" t="n">
        <x:v>0</x:v>
      </x:c>
      <x:c r="CG668" s="11" t="n">
        <x:v>2047814</x:v>
      </x:c>
      <x:c r="CH668" s="11" t="n">
        <x:v>5824880</x:v>
      </x:c>
      <x:c r="CI668" s="11" t="n">
        <x:v>7284008</x:v>
      </x:c>
      <x:c r="CJ668" s="11" t="n">
        <x:v>1671726</x:v>
      </x:c>
      <x:c r="CK668" s="11" t="n">
        <x:v>3658591</x:v>
      </x:c>
      <x:c r="CL668" s="11" t="n">
        <x:v>1294438</x:v>
      </x:c>
      <x:c r="CM668" s="11" t="n">
        <x:v>88176</x:v>
      </x:c>
      <x:c r="CN668" s="11" t="n">
        <x:v>1464154</x:v>
      </x:c>
      <x:c r="CO668" s="11" t="n">
        <x:v>0</x:v>
      </x:c>
      <x:c r="CP668" s="8"/>
      <x:c r="CQ668" s="8"/>
    </x:row>
    <x:row r="669">
      <x:c r="A669" s="8" t="str">
        <x:v>Powell River|2024</x:v>
      </x:c>
      <x:c r="B669" s="8" t="str">
        <x:v>powell-river-c</x:v>
      </x:c>
      <x:c r="C669" s="8" t="str">
        <x:v>Powell River</x:v>
      </x:c>
      <x:c r="D669" s="8" t="str">
        <x:v>Powell River</x:v>
      </x:c>
      <x:c r="E669" s="8" t="str">
        <x:v>C</x:v>
      </x:c>
      <x:c r="F669" s="8" t="str">
        <x:v>qRD</x:v>
      </x:c>
      <x:c r="G669" s="9" t="n">
        <x:v>2024</x:v>
      </x:c>
      <x:c r="H669" s="10" t="n">
        <x:v>14607</x:v>
      </x:c>
      <x:c r="I669" s="8" t="str">
        <x:v>5,000 to 19,999</x:v>
      </x:c>
      <x:c r="J669" s="11" t="n">
        <x:v>56549857</x:v>
      </x:c>
      <x:c r="K669" s="11" t="n">
        <x:v>45353107</x:v>
      </x:c>
      <x:c r="L669" s="11" t="n">
        <x:v>11196750</x:v>
      </x:c>
      <x:c r="M669" s="12" t="n">
        <x:v>0.19799784816431984</x:v>
      </x:c>
      <x:c r="N669" s="11" t="n">
        <x:v>28061324</x:v>
      </x:c>
      <x:c r="O669" s="11" t="n">
        <x:v>12737958</x:v>
      </x:c>
      <x:c r="P669" s="11" t="n">
        <x:v>10161769</x:v>
      </x:c>
      <x:c r="Q669" s="11" t="n">
        <x:v>5588806</x:v>
      </x:c>
      <x:c r="R669" s="11" t="n">
        <x:v>38205261</x:v>
      </x:c>
      <x:c r="S669" s="11" t="n">
        <x:v>5944385</x:v>
      </x:c>
      <x:c r="T669" s="11" t="n">
        <x:v>66402515</x:v>
      </x:c>
      <x:c r="U669" s="11" t="n">
        <x:v>56801248</x:v>
      </x:c>
      <x:c r="V669" s="11" t="n">
        <x:v>18663828</x:v>
      </x:c>
      <x:c r="W669" s="11" t="n">
        <x:v>30317145</x:v>
      </x:c>
      <x:c r="X669" s="11" t="n">
        <x:v>33353550</x:v>
      </x:c>
      <x:c r="Y669" s="11" t="n">
        <x:v>1000000</x:v>
      </x:c>
      <x:c r="Z669" s="11" t="n">
        <x:v>1337774</x:v>
      </x:c>
      <x:c r="AA669" s="11" t="n">
        <x:v>32882179</x:v>
      </x:c>
      <x:c r="AB669" s="11" t="n">
        <x:v>1203461</x:v>
      </x:c>
      <x:c r="AC669" s="11" t="n">
        <x:v>2541235</x:v>
      </x:c>
      <x:c r="AD669" s="11" t="n">
        <x:v>10300801</x:v>
      </x:c>
      <x:c r="AE669" s="11" t="n">
        <x:v>7240205</x:v>
      </x:c>
      <x:c r="AF669" s="11" t="n">
        <x:v>41203205</x:v>
      </x:c>
      <x:c r="AG669" s="11" t="n">
        <x:v>317021031</x:v>
      </x:c>
      <x:c r="AH669" s="11" t="n">
        <x:v>101219809</x:v>
      </x:c>
      <x:c r="AI669" s="11" t="n">
        <x:v>215801222</x:v>
      </x:c>
      <x:c r="AJ669" s="11" t="n">
        <x:v>13956846</x:v>
      </x:c>
      <x:c r="AK669" s="11" t="n">
        <x:v>620353924</x:v>
      </x:c>
      <x:c r="AL669" s="11" t="n">
        <x:v>11420235</x:v>
      </x:c>
      <x:c r="AM669" s="12" t="n">
        <x:v>0.9815907749460774</x:v>
      </x:c>
      <x:c r="AN669" s="12" t="n">
        <x:v>0.022498198947476955</x:v>
      </x:c>
      <x:c r="AO669" s="11" t="n">
        <x:v>41082290</x:v>
      </x:c>
      <x:c r="AP669" s="11" t="n">
        <x:v>39645813</x:v>
      </x:c>
      <x:c r="AQ669" s="12" t="n">
        <x:v>0.9650341546199104</x:v>
      </x:c>
      <x:c r="AR669" s="11" t="n">
        <x:v>3871.4217156158006</x:v>
      </x:c>
      <x:c r="AS669" s="11" t="n">
        <x:v>3104.8885465872527</x:v>
      </x:c>
      <x:c r="AT669" s="11" t="n">
        <x:v>1277.7317724378722</x:v>
      </x:c>
      <x:c r="AU669" s="11" t="n">
        <x:v>2075.5216676935715</x:v>
      </x:c>
      <x:c r="AV669" s="11" t="n">
        <x:v>2251.124734716232</x:v>
      </x:c>
      <x:c r="AW669" s="11" t="n">
        <x:v>1.1690326768876627</x:v>
      </x:c>
      <x:c r="AX669" s="12" t="n">
        <x:v>0.702877863575852</x:v>
      </x:c>
      <x:c r="AY669" s="11" t="n">
        <x:v>3601.3561989291247</x:v>
      </x:c>
      <x:c r="AZ669" s="11" t="n">
        <x:v>3546.5079302077975</x:v>
      </x:c>
      <x:c r="BA669" s="11" t="n">
        <x:v>2957.8976990295423</x:v>
      </x:c>
      <x:c r="BB669" s="11" t="n">
        <x:v>2783.665107049771</x:v>
      </x:c>
      <x:c r="BC669" s="11" t="n">
        <x:v>1917.0647247750476</x:v>
      </x:c>
      <x:c r="BD669" s="11" t="n">
        <x:v>2437.8724475115623</x:v>
      </x:c>
      <x:c r="BE669" s="11" t="n">
        <x:v>987.5598464714869</x:v>
      </x:c>
      <x:c r="BF669" s="11" t="n">
        <x:v>1604.3462673977224</x:v>
      </x:c>
      <x:c r="BG669" s="11" t="n">
        <x:v>936.3446522221191</x:v>
      </x:c>
      <x:c r="BH669" s="11" t="n">
        <x:v>518.5374381567245</x:v>
      </x:c>
      <x:c r="BI669" s="11" t="n">
        <x:v>1.3967465323081123</x:v>
      </x:c>
      <x:c r="BJ669" s="11" t="n">
        <x:v>1.7099330852451193</x:v>
      </x:c>
      <x:c r="BK669" s="12" t="n">
        <x:v>0.018327243000235003</x:v>
      </x:c>
      <x:c r="BL669" s="12" t="n">
        <x:v>0.02529861000232605</x:v>
      </x:c>
      <x:c r="BM669" s="12" t="n">
        <x:v>0.982034678745671</x:v>
      </x:c>
      <x:c r="BN669" s="12" t="n">
        <x:v>0.9815511712696461</x:v>
      </x:c>
      <x:c r="BO669" s="12" t="n">
        <x:v>0.7988058564062199</x:v>
      </x:c>
      <x:c r="BP669" s="12" t="n">
        <x:v>0.8619101997275483</x:v>
      </x:c>
      <x:c r="BQ669" s="12" t="n">
        <x:v>0.970292410805516</x:v>
      </x:c>
      <x:c r="BR669" s="12" t="n">
        <x:v>0.9623635142836453</x:v>
      </x:c>
      <x:c r="BS669" s="12" t="n">
        <x:v>0.19624174475580758</x:v>
      </x:c>
      <x:c r="BT669" s="12" t="n">
        <x:v>0.19976549769108282</x:v>
      </x:c>
      <x:c r="BU669" s="11" t="n">
        <x:v>7048379</x:v>
      </x:c>
      <x:c r="BV669" s="11" t="n">
        <x:v>1536745</x:v>
      </x:c>
      <x:c r="BW669" s="11" t="n">
        <x:v>1576645</x:v>
      </x:c>
      <x:c r="BX669" s="11" t="n">
        <x:v>2849219</x:v>
      </x:c>
      <x:c r="BY669" s="11" t="n">
        <x:v>411897</x:v>
      </x:c>
      <x:c r="BZ669" s="11" t="n">
        <x:v>1922945</x:v>
      </x:c>
      <x:c r="CA669" s="11" t="n">
        <x:v>404745</x:v>
      </x:c>
      <x:c r="CB669" s="11" t="n">
        <x:v>0</x:v>
      </x:c>
      <x:c r="CC669" s="11" t="n">
        <x:v>7659102</x:v>
      </x:c>
      <x:c r="CD669" s="11" t="n">
        <x:v>8255408</x:v>
      </x:c>
      <x:c r="CE669" s="11" t="n">
        <x:v>1165730</x:v>
      </x:c>
      <x:c r="CF669" s="11" t="n">
        <x:v>0</x:v>
      </x:c>
      <x:c r="CG669" s="11" t="n">
        <x:v>1742253</x:v>
      </x:c>
      <x:c r="CH669" s="11" t="n">
        <x:v>5920438</x:v>
      </x:c>
      <x:c r="CI669" s="11" t="n">
        <x:v>7631868</x:v>
      </x:c>
      <x:c r="CJ669" s="11" t="n">
        <x:v>1565518</x:v>
      </x:c>
      <x:c r="CK669" s="11" t="n">
        <x:v>4075830</x:v>
      </x:c>
      <x:c r="CL669" s="11" t="n">
        <x:v>1283525</x:v>
      </x:c>
      <x:c r="CM669" s="11" t="n">
        <x:v>99728</x:v>
      </x:c>
      <x:c r="CN669" s="11" t="n">
        <x:v>9322</x:v>
      </x:c>
      <x:c r="CO669" s="11" t="n">
        <x:v>0</x:v>
      </x:c>
      <x:c r="CP669" s="8"/>
      <x:c r="CQ669" s="8"/>
    </x:row>
    <x:row r="670">
      <x:c r="A670" s="8" t="str">
        <x:v>Prince George|2019</x:v>
      </x:c>
      <x:c r="B670" s="8" t="str">
        <x:v>prince-george-c</x:v>
      </x:c>
      <x:c r="C670" s="8" t="str">
        <x:v>Prince George</x:v>
      </x:c>
      <x:c r="D670" s="8" t="str">
        <x:v>Prince George</x:v>
      </x:c>
      <x:c r="E670" s="8" t="str">
        <x:v>C</x:v>
      </x:c>
      <x:c r="F670" s="8" t="str">
        <x:v>FFG</x:v>
      </x:c>
      <x:c r="G670" s="9" t="n">
        <x:v>2019</x:v>
      </x:c>
      <x:c r="H670" s="10" t="n">
        <x:v>81345</x:v>
      </x:c>
      <x:c r="I670" s="8" t="str">
        <x:v>20,000 to 99,999</x:v>
      </x:c>
      <x:c r="J670" s="11" t="n">
        <x:v>217030000</x:v>
      </x:c>
      <x:c r="K670" s="11" t="n">
        <x:v>175116000</x:v>
      </x:c>
      <x:c r="L670" s="11" t="n">
        <x:v>41914000</x:v>
      </x:c>
      <x:c r="M670" s="12" t="n">
        <x:v>0.19312537437220662</x:v>
      </x:c>
      <x:c r="N670" s="11" t="n">
        <x:v>118400000</x:v>
      </x:c>
      <x:c r="O670" s="11" t="n">
        <x:v>53500000</x:v>
      </x:c>
      <x:c r="P670" s="11" t="n">
        <x:v>20853000</x:v>
      </x:c>
      <x:c r="Q670" s="11" t="n">
        <x:v>24277000</x:v>
      </x:c>
      <x:c r="R670" s="11" t="n">
        <x:v>144024000</x:v>
      </x:c>
      <x:c r="S670" s="11" t="n">
        <x:v>25955000</x:v>
      </x:c>
      <x:c r="T670" s="11" t="n">
        <x:v>101362000</x:v>
      </x:c>
      <x:c r="U670" s="11" t="n">
        <x:v>144293000</x:v>
      </x:c>
      <x:c r="V670" s="11" t="n">
        <x:v>-17731000</x:v>
      </x:c>
      <x:c r="W670" s="11" t="n">
        <x:v>65395000</x:v>
      </x:c>
      <x:c r="X670" s="11" t="n">
        <x:v>83651000</x:v>
      </x:c>
      <x:c r="Y670" s="11" t="n">
        <x:v>14954000</x:v>
      </x:c>
      <x:c r="Z670" s="11" t="n">
        <x:v>8889000</x:v>
      </x:c>
      <x:c r="AA670" s="11" t="n">
        <x:v>86912000</x:v>
      </x:c>
      <x:c r="AB670" s="11" t="n">
        <x:v>5137000</x:v>
      </x:c>
      <x:c r="AC670" s="11" t="n">
        <x:v>14026000</x:v>
      </x:c>
      <x:c r="AD670" s="11" t="n">
        <x:v>44378172</x:v>
      </x:c>
      <x:c r="AE670" s="11" t="n">
        <x:v>23982421</x:v>
      </x:c>
      <x:c r="AF670" s="11" t="n">
        <x:v>177512689</x:v>
      </x:c>
      <x:c r="AG670" s="11" t="n">
        <x:v>1259982000</x:v>
      </x:c>
      <x:c r="AH670" s="11" t="n">
        <x:v>529489000</x:v>
      </x:c>
      <x:c r="AI670" s="11" t="n">
        <x:v>730493000</x:v>
      </x:c>
      <x:c r="AJ670" s="11" t="n">
        <x:v>58957000</x:v>
      </x:c>
      <x:c r="AK670" s="11" t="n">
        <x:v>3259416057</x:v>
      </x:c>
      <x:c r="AL670" s="11" t="n">
        <x:v>0</x:v>
      </x:c>
      <x:c r="AM670" s="12" t="n">
        <x:v>1</x:v>
      </x:c>
      <x:c r="AN670" s="12" t="n">
        <x:v>0.01808820935068493</x:v>
      </x:c>
      <x:c r="AO670" s="11" t="n">
        <x:v>164369000</x:v>
      </x:c>
      <x:c r="AP670" s="11" t="n">
        <x:v>159050000</x:v>
      </x:c>
      <x:c r="AQ670" s="12" t="n">
        <x:v>0.9676398834330074</x:v>
      </x:c>
      <x:c r="AR670" s="11" t="n">
        <x:v>2668.018931710615</x:v>
      </x:c>
      <x:c r="AS670" s="11" t="n">
        <x:v>2152.756776691868</x:v>
      </x:c>
      <x:c r="AT670" s="11" t="n">
        <x:v>-217.9728317659352</x:v>
      </x:c>
      <x:c r="AU670" s="11" t="n">
        <x:v>803.9215686274509</x:v>
      </x:c>
      <x:c r="AV670" s="11" t="n">
        <x:v>1068.4369045423812</x:v>
      </x:c>
      <x:c r="AW670" s="11" t="n">
        <x:v>0.7024734394599876</x:v>
      </x:c>
      <x:c r="AX670" s="12" t="n">
        <x:v>0.5404102945024414</x:v>
      </x:c>
      <x:c r="AY670" s="11"/>
      <x:c r="AZ670" s="11"/>
      <x:c r="BA670" s="11"/>
      <x:c r="BB670" s="11"/>
      <x:c r="BC670" s="11"/>
      <x:c r="BD670" s="11"/>
      <x:c r="BE670" s="11"/>
      <x:c r="BF670" s="11"/>
      <x:c r="BG670" s="11"/>
      <x:c r="BH670" s="11"/>
      <x:c r="BI670" s="11"/>
      <x:c r="BJ670" s="11"/>
      <x:c r="BK670" s="12"/>
      <x:c r="BL670" s="12"/>
      <x:c r="BM670" s="12"/>
      <x:c r="BN670" s="12"/>
      <x:c r="BO670" s="12"/>
      <x:c r="BP670" s="12"/>
      <x:c r="BQ670" s="12"/>
      <x:c r="BR670" s="12"/>
      <x:c r="BS670" s="12"/>
      <x:c r="BT670" s="12"/>
      <x:c r="BU670" s="11" t="n">
        <x:v>6970000</x:v>
      </x:c>
      <x:c r="BV670" s="11" t="n">
        <x:v>13256000</x:v>
      </x:c>
      <x:c r="BW670" s="11" t="n">
        <x:v>627000</x:v>
      </x:c>
      <x:c r="BX670" s="11" t="n">
        <x:v>5230000</x:v>
      </x:c>
      <x:c r="BY670" s="11" t="n">
        <x:v>0</x:v>
      </x:c>
      <x:c r="BZ670" s="11" t="n">
        <x:v>6826000</x:v>
      </x:c>
      <x:c r="CA670" s="11" t="n">
        <x:v>3470000</x:v>
      </x:c>
      <x:c r="CB670" s="11" t="n">
        <x:v>8751000</x:v>
      </x:c>
      <x:c r="CC670" s="11" t="n">
        <x:v>20588000</x:v>
      </x:c>
      <x:c r="CD670" s="11" t="n">
        <x:v>50998000</x:v>
      </x:c>
      <x:c r="CE670" s="11" t="n">
        <x:v>2818000</x:v>
      </x:c>
      <x:c r="CF670" s="11" t="n">
        <x:v>530000</x:v>
      </x:c>
      <x:c r="CG670" s="11" t="n">
        <x:v>2469000</x:v>
      </x:c>
      <x:c r="CH670" s="11" t="n">
        <x:v>29647000</x:v>
      </x:c>
      <x:c r="CI670" s="11" t="n">
        <x:v>26730000</x:v>
      </x:c>
      <x:c r="CJ670" s="11" t="n">
        <x:v>7570000</x:v>
      </x:c>
      <x:c r="CK670" s="11" t="n">
        <x:v>6273000</x:v>
      </x:c>
      <x:c r="CL670" s="11" t="n">
        <x:v>1538000</x:v>
      </x:c>
      <x:c r="CM670" s="11"/>
      <x:c r="CN670" s="11" t="n">
        <x:v>0</x:v>
      </x:c>
      <x:c r="CO670" s="11" t="n">
        <x:v>0</x:v>
      </x:c>
      <x:c r="CP670" s="8"/>
      <x:c r="CQ670" s="8"/>
    </x:row>
    <x:row r="671">
      <x:c r="A671" s="8" t="str">
        <x:v>Prince George|2020</x:v>
      </x:c>
      <x:c r="B671" s="8" t="str">
        <x:v>prince-george-c</x:v>
      </x:c>
      <x:c r="C671" s="8" t="str">
        <x:v>Prince George</x:v>
      </x:c>
      <x:c r="D671" s="8" t="str">
        <x:v>Prince George</x:v>
      </x:c>
      <x:c r="E671" s="8" t="str">
        <x:v>C</x:v>
      </x:c>
      <x:c r="F671" s="8" t="str">
        <x:v>FFG</x:v>
      </x:c>
      <x:c r="G671" s="9" t="n">
        <x:v>2020</x:v>
      </x:c>
      <x:c r="H671" s="10" t="n">
        <x:v>82290</x:v>
      </x:c>
      <x:c r="I671" s="8" t="str">
        <x:v>20,000 to 99,999</x:v>
      </x:c>
      <x:c r="J671" s="11" t="n">
        <x:v>210546000</x:v>
      </x:c>
      <x:c r="K671" s="11" t="n">
        <x:v>172138000</x:v>
      </x:c>
      <x:c r="L671" s="11" t="n">
        <x:v>38408000</x:v>
      </x:c>
      <x:c r="M671" s="12" t="n">
        <x:v>0.1824209436417695</x:v>
      </x:c>
      <x:c r="N671" s="11" t="n">
        <x:v>122033000</x:v>
      </x:c>
      <x:c r="O671" s="11" t="n">
        <x:v>48114000</x:v>
      </x:c>
      <x:c r="P671" s="11" t="n">
        <x:v>27482000</x:v>
      </x:c>
      <x:c r="Q671" s="11" t="n">
        <x:v>12917000</x:v>
      </x:c>
      <x:c r="R671" s="11" t="n">
        <x:v>140113000</x:v>
      </x:c>
      <x:c r="S671" s="11" t="n">
        <x:v>27144000</x:v>
      </x:c>
      <x:c r="T671" s="11" t="n">
        <x:v>96062000</x:v>
      </x:c>
      <x:c r="U671" s="11" t="n">
        <x:v>143071000</x:v>
      </x:c>
      <x:c r="V671" s="11" t="n">
        <x:v>-18786000</x:v>
      </x:c>
      <x:c r="W671" s="11" t="n">
        <x:v>70744000</x:v>
      </x:c>
      <x:c r="X671" s="11" t="n">
        <x:v>86912000</x:v>
      </x:c>
      <x:c r="Y671" s="11" t="n">
        <x:v>671000</x:v>
      </x:c>
      <x:c r="Z671" s="11" t="n">
        <x:v>15847000</x:v>
      </x:c>
      <x:c r="AA671" s="11" t="n">
        <x:v>68593000</x:v>
      </x:c>
      <x:c r="AB671" s="11" t="n">
        <x:v>4881000</x:v>
      </x:c>
      <x:c r="AC671" s="11" t="n">
        <x:v>20728000</x:v>
      </x:c>
      <x:c r="AD671" s="11" t="n">
        <x:v>42878689</x:v>
      </x:c>
      <x:c r="AE671" s="11" t="n">
        <x:v>15422526</x:v>
      </x:c>
      <x:c r="AF671" s="11" t="n">
        <x:v>171514757</x:v>
      </x:c>
      <x:c r="AG671" s="11" t="n">
        <x:v>1321563000</x:v>
      </x:c>
      <x:c r="AH671" s="11" t="n">
        <x:v>551302000</x:v>
      </x:c>
      <x:c r="AI671" s="11" t="n">
        <x:v>770261000</x:v>
      </x:c>
      <x:c r="AJ671" s="11" t="n">
        <x:v>67313000</x:v>
      </x:c>
      <x:c r="AK671" s="11" t="n">
        <x:v>3702363000</x:v>
      </x:c>
      <x:c r="AL671" s="11" t="n">
        <x:v>0</x:v>
      </x:c>
      <x:c r="AM671" s="12" t="n">
        <x:v>1</x:v>
      </x:c>
      <x:c r="AN671" s="12" t="n">
        <x:v>0.01818109137326621</x:v>
      </x:c>
      <x:c r="AO671" s="11" t="n">
        <x:v>165754000</x:v>
      </x:c>
      <x:c r="AP671" s="11" t="n">
        <x:v>159108000</x:v>
      </x:c>
      <x:c r="AQ671" s="12" t="n">
        <x:v>0.9599044366953438</x:v>
      </x:c>
      <x:c r="AR671" s="11" t="n">
        <x:v>2558.585490339045</x:v>
      </x:c>
      <x:c r="AS671" s="11" t="n">
        <x:v>2091.8459108032566</x:v>
      </x:c>
      <x:c r="AT671" s="11" t="n">
        <x:v>-228.29019321910317</x:v>
      </x:c>
      <x:c r="AU671" s="11" t="n">
        <x:v>859.6913355207195</x:v>
      </x:c>
      <x:c r="AV671" s="11" t="n">
        <x:v>833.5520719406975</x:v>
      </x:c>
      <x:c r="AW671" s="11" t="n">
        <x:v>0.6714288709801427</x:v>
      </x:c>
      <x:c r="AX671" s="12" t="n">
        <x:v>0.359678114225927</x:v>
      </x:c>
      <x:c r="AY671" s="11"/>
      <x:c r="AZ671" s="11"/>
      <x:c r="BA671" s="11"/>
      <x:c r="BB671" s="11"/>
      <x:c r="BC671" s="11"/>
      <x:c r="BD671" s="11"/>
      <x:c r="BE671" s="11"/>
      <x:c r="BF671" s="11"/>
      <x:c r="BG671" s="11"/>
      <x:c r="BH671" s="11"/>
      <x:c r="BI671" s="11"/>
      <x:c r="BJ671" s="11"/>
      <x:c r="BK671" s="12"/>
      <x:c r="BL671" s="12"/>
      <x:c r="BM671" s="12"/>
      <x:c r="BN671" s="12"/>
      <x:c r="BO671" s="12"/>
      <x:c r="BP671" s="12"/>
      <x:c r="BQ671" s="12"/>
      <x:c r="BR671" s="12"/>
      <x:c r="BS671" s="12"/>
      <x:c r="BT671" s="12"/>
      <x:c r="BU671" s="11" t="n">
        <x:v>5082000</x:v>
      </x:c>
      <x:c r="BV671" s="11" t="n">
        <x:v>21912000</x:v>
      </x:c>
      <x:c r="BW671" s="11" t="n">
        <x:v>488000</x:v>
      </x:c>
      <x:c r="BX671" s="11" t="n">
        <x:v>4511000</x:v>
      </x:c>
      <x:c r="BY671" s="11" t="n">
        <x:v>0</x:v>
      </x:c>
      <x:c r="BZ671" s="11" t="n">
        <x:v>3064000</x:v>
      </x:c>
      <x:c r="CA671" s="11" t="n">
        <x:v>317000</x:v>
      </x:c>
      <x:c r="CB671" s="11" t="n">
        <x:v>5025000</x:v>
      </x:c>
      <x:c r="CC671" s="11" t="n">
        <x:v>21519000</x:v>
      </x:c>
      <x:c r="CD671" s="11" t="n">
        <x:v>52862000</x:v>
      </x:c>
      <x:c r="CE671" s="11" t="n">
        <x:v>2941000</x:v>
      </x:c>
      <x:c r="CF671" s="11" t="n">
        <x:v>571000</x:v>
      </x:c>
      <x:c r="CG671" s="11" t="n">
        <x:v>3351000</x:v>
      </x:c>
      <x:c r="CH671" s="11" t="n">
        <x:v>28603000</x:v>
      </x:c>
      <x:c r="CI671" s="11" t="n">
        <x:v>20554000</x:v>
      </x:c>
      <x:c r="CJ671" s="11" t="n">
        <x:v>7336000</x:v>
      </x:c>
      <x:c r="CK671" s="11" t="n">
        <x:v>6049000</x:v>
      </x:c>
      <x:c r="CL671" s="11" t="n">
        <x:v>1208000</x:v>
      </x:c>
      <x:c r="CM671" s="11"/>
      <x:c r="CN671" s="11" t="n">
        <x:v>0</x:v>
      </x:c>
      <x:c r="CO671" s="11" t="n">
        <x:v>0</x:v>
      </x:c>
      <x:c r="CP671" s="8"/>
      <x:c r="CQ671" s="8"/>
    </x:row>
    <x:row r="672">
      <x:c r="A672" s="8" t="str">
        <x:v>Prince George|2021</x:v>
      </x:c>
      <x:c r="B672" s="8" t="str">
        <x:v>prince-george-c</x:v>
      </x:c>
      <x:c r="C672" s="8" t="str">
        <x:v>Prince George</x:v>
      </x:c>
      <x:c r="D672" s="8" t="str">
        <x:v>Prince George</x:v>
      </x:c>
      <x:c r="E672" s="8" t="str">
        <x:v>C</x:v>
      </x:c>
      <x:c r="F672" s="8" t="str">
        <x:v>FFG</x:v>
      </x:c>
      <x:c r="G672" s="9" t="n">
        <x:v>2021</x:v>
      </x:c>
      <x:c r="H672" s="10" t="n">
        <x:v>82326</x:v>
      </x:c>
      <x:c r="I672" s="8" t="str">
        <x:v>20,000 to 99,999</x:v>
      </x:c>
      <x:c r="J672" s="11" t="n">
        <x:v>215109000</x:v>
      </x:c>
      <x:c r="K672" s="11" t="n">
        <x:v>166609000</x:v>
      </x:c>
      <x:c r="L672" s="11" t="n">
        <x:v>48500000</x:v>
      </x:c>
      <x:c r="M672" s="12" t="n">
        <x:v>0.2254670887782473</x:v>
      </x:c>
      <x:c r="N672" s="11" t="n">
        <x:v>124322000</x:v>
      </x:c>
      <x:c r="O672" s="11" t="n">
        <x:v>50877000</x:v>
      </x:c>
      <x:c r="P672" s="11" t="n">
        <x:v>23527000</x:v>
      </x:c>
      <x:c r="Q672" s="11" t="n">
        <x:v>16383000</x:v>
      </x:c>
      <x:c r="R672" s="11" t="n">
        <x:v>135405000</x:v>
      </x:c>
      <x:c r="S672" s="11" t="n">
        <x:v>26422000</x:v>
      </x:c>
      <x:c r="T672" s="11" t="n">
        <x:v>179281000</x:v>
      </x:c>
      <x:c r="U672" s="11" t="n">
        <x:v>159493000</x:v>
      </x:c>
      <x:c r="V672" s="11" t="n">
        <x:v>44239000</x:v>
      </x:c>
      <x:c r="W672" s="11" t="n">
        <x:v>133568000</x:v>
      </x:c>
      <x:c r="X672" s="11" t="n">
        <x:v>68593000</x:v>
      </x:c>
      <x:c r="Y672" s="11" t="n">
        <x:v>29937000</x:v>
      </x:c>
      <x:c r="Z672" s="11" t="n">
        <x:v>9081000</x:v>
      </x:c>
      <x:c r="AA672" s="11" t="n">
        <x:v>85979000</x:v>
      </x:c>
      <x:c r="AB672" s="11" t="n">
        <x:v>4782000</x:v>
      </x:c>
      <x:c r="AC672" s="11" t="n">
        <x:v>13863000</x:v>
      </x:c>
      <x:c r="AD672" s="11" t="n">
        <x:v>44552062</x:v>
      </x:c>
      <x:c r="AE672" s="11" t="n">
        <x:v>24965473</x:v>
      </x:c>
      <x:c r="AF672" s="11" t="n">
        <x:v>178208247</x:v>
      </x:c>
      <x:c r="AG672" s="11" t="n">
        <x:v>1298405000</x:v>
      </x:c>
      <x:c r="AH672" s="11" t="n">
        <x:v>542873000</x:v>
      </x:c>
      <x:c r="AI672" s="11" t="n">
        <x:v>755532000</x:v>
      </x:c>
      <x:c r="AJ672" s="11" t="n">
        <x:v>47710000</x:v>
      </x:c>
      <x:c r="AK672" s="11" t="n">
        <x:v>4060401000</x:v>
      </x:c>
      <x:c r="AL672" s="11" t="n">
        <x:v>0</x:v>
      </x:c>
      <x:c r="AM672" s="12" t="n">
        <x:v>1</x:v>
      </x:c>
      <x:c r="AN672" s="12" t="n">
        <x:v>0.01175007099052532</x:v>
      </x:c>
      <x:c r="AO672" s="11" t="n">
        <x:v>176989000</x:v>
      </x:c>
      <x:c r="AP672" s="11" t="n">
        <x:v>172431000</x:v>
      </x:c>
      <x:c r="AQ672" s="12" t="n">
        <x:v>0.9742469871008933</x:v>
      </x:c>
      <x:c r="AR672" s="11" t="n">
        <x:v>2612.892646308578</x:v>
      </x:c>
      <x:c r="AS672" s="11" t="n">
        <x:v>2023.7713480552923</x:v>
      </x:c>
      <x:c r="AT672" s="11" t="n">
        <x:v>537.3636518232394</x:v>
      </x:c>
      <x:c r="AU672" s="11" t="n">
        <x:v>1622.427908558657</x:v>
      </x:c>
      <x:c r="AV672" s="11" t="n">
        <x:v>1044.3723732478197</x:v>
      </x:c>
      <x:c r="AW672" s="11" t="n">
        <x:v>1.1240681409215452</x:v>
      </x:c>
      <x:c r="AX672" s="12" t="n">
        <x:v>0.5603662744049871</x:v>
      </x:c>
      <x:c r="AY672" s="11"/>
      <x:c r="AZ672" s="11"/>
      <x:c r="BA672" s="11"/>
      <x:c r="BB672" s="11"/>
      <x:c r="BC672" s="11"/>
      <x:c r="BD672" s="11"/>
      <x:c r="BE672" s="11"/>
      <x:c r="BF672" s="11"/>
      <x:c r="BG672" s="11"/>
      <x:c r="BH672" s="11"/>
      <x:c r="BI672" s="11"/>
      <x:c r="BJ672" s="11"/>
      <x:c r="BK672" s="12"/>
      <x:c r="BL672" s="12"/>
      <x:c r="BM672" s="12"/>
      <x:c r="BN672" s="12"/>
      <x:c r="BO672" s="12"/>
      <x:c r="BP672" s="12"/>
      <x:c r="BQ672" s="12"/>
      <x:c r="BR672" s="12"/>
      <x:c r="BS672" s="12"/>
      <x:c r="BT672" s="12"/>
      <x:c r="BU672" s="11" t="n">
        <x:v>6502000</x:v>
      </x:c>
      <x:c r="BV672" s="11" t="n">
        <x:v>15872000</x:v>
      </x:c>
      <x:c r="BW672" s="11" t="n">
        <x:v>1153000</x:v>
      </x:c>
      <x:c r="BX672" s="11" t="n">
        <x:v>5740000</x:v>
      </x:c>
      <x:c r="BY672" s="11" t="n">
        <x:v>0</x:v>
      </x:c>
      <x:c r="BZ672" s="11" t="n">
        <x:v>4681000</x:v>
      </x:c>
      <x:c r="CA672" s="11" t="n">
        <x:v>0</x:v>
      </x:c>
      <x:c r="CB672" s="11" t="n">
        <x:v>5962000</x:v>
      </x:c>
      <x:c r="CC672" s="11" t="n">
        <x:v>20021000</x:v>
      </x:c>
      <x:c r="CD672" s="11" t="n">
        <x:v>54279000</x:v>
      </x:c>
      <x:c r="CE672" s="11" t="n">
        <x:v>2788000</x:v>
      </x:c>
      <x:c r="CF672" s="11" t="n">
        <x:v>668000</x:v>
      </x:c>
      <x:c r="CG672" s="11" t="n">
        <x:v>2418000</x:v>
      </x:c>
      <x:c r="CH672" s="11" t="n">
        <x:v>25124000</x:v>
      </x:c>
      <x:c r="CI672" s="11" t="n">
        <x:v>19760000</x:v>
      </x:c>
      <x:c r="CJ672" s="11" t="n">
        <x:v>6902000</x:v>
      </x:c>
      <x:c r="CK672" s="11" t="n">
        <x:v>5639000</x:v>
      </x:c>
      <x:c r="CL672" s="11" t="n">
        <x:v>1252000</x:v>
      </x:c>
      <x:c r="CM672" s="11"/>
      <x:c r="CN672" s="11" t="n">
        <x:v>1336000</x:v>
      </x:c>
      <x:c r="CO672" s="11" t="n">
        <x:v>0</x:v>
      </x:c>
      <x:c r="CP672" s="8"/>
      <x:c r="CQ672" s="8"/>
    </x:row>
    <x:row r="673">
      <x:c r="A673" s="8" t="str">
        <x:v>Prince George|2022</x:v>
      </x:c>
      <x:c r="B673" s="8" t="str">
        <x:v>prince-george-c</x:v>
      </x:c>
      <x:c r="C673" s="8" t="str">
        <x:v>Prince George</x:v>
      </x:c>
      <x:c r="D673" s="8" t="str">
        <x:v>Prince George</x:v>
      </x:c>
      <x:c r="E673" s="8" t="str">
        <x:v>C</x:v>
      </x:c>
      <x:c r="F673" s="8" t="str">
        <x:v>FFG</x:v>
      </x:c>
      <x:c r="G673" s="9" t="n">
        <x:v>2022</x:v>
      </x:c>
      <x:c r="H673" s="10" t="n">
        <x:v>13175</x:v>
      </x:c>
      <x:c r="I673" s="8" t="str">
        <x:v>5,000 to 19,999</x:v>
      </x:c>
      <x:c r="J673" s="11" t="n">
        <x:v>220220000</x:v>
      </x:c>
      <x:c r="K673" s="11" t="n">
        <x:v>178323000</x:v>
      </x:c>
      <x:c r="L673" s="11" t="n">
        <x:v>41897000</x:v>
      </x:c>
      <x:c r="M673" s="12" t="n">
        <x:v>0.19025065843247663</x:v>
      </x:c>
      <x:c r="N673" s="11" t="n">
        <x:v>128788000</x:v>
      </x:c>
      <x:c r="O673" s="11" t="n">
        <x:v>51826000</x:v>
      </x:c>
      <x:c r="P673" s="11" t="n">
        <x:v>15549000</x:v>
      </x:c>
      <x:c r="Q673" s="11" t="n">
        <x:v>24057000</x:v>
      </x:c>
      <x:c r="R673" s="11" t="n">
        <x:v>146320655</x:v>
      </x:c>
      <x:c r="S673" s="11" t="n">
        <x:v>28173000</x:v>
      </x:c>
      <x:c r="T673" s="11" t="n">
        <x:v>220035000</x:v>
      </x:c>
      <x:c r="U673" s="11" t="n">
        <x:v>188233000</x:v>
      </x:c>
      <x:c r="V673" s="11" t="n">
        <x:v>61272000</x:v>
      </x:c>
      <x:c r="W673" s="11" t="n">
        <x:v>145940000</x:v>
      </x:c>
      <x:c r="X673" s="11" t="n">
        <x:v>85979000</x:v>
      </x:c>
      <x:c r="Y673" s="11" t="n">
        <x:v>34899000</x:v>
      </x:c>
      <x:c r="Z673" s="11" t="n">
        <x:v>7423000</x:v>
      </x:c>
      <x:c r="AA673" s="11" t="n">
        <x:v>112350000</x:v>
      </x:c>
      <x:c r="AB673" s="11" t="n">
        <x:v>3829345</x:v>
      </x:c>
      <x:c r="AC673" s="11" t="n">
        <x:v>11252345</x:v>
      </x:c>
      <x:c r="AD673" s="11" t="n">
        <x:v>47141758</x:v>
      </x:c>
      <x:c r="AE673" s="11" t="n">
        <x:v>34110515</x:v>
      </x:c>
      <x:c r="AF673" s="11" t="n">
        <x:v>188567032</x:v>
      </x:c>
      <x:c r="AG673" s="11" t="n">
        <x:v>1340507000</x:v>
      </x:c>
      <x:c r="AH673" s="11" t="n">
        <x:v>560149000</x:v>
      </x:c>
      <x:c r="AI673" s="11" t="n">
        <x:v>780358000</x:v>
      </x:c>
      <x:c r="AJ673" s="11" t="n">
        <x:v>54371000</x:v>
      </x:c>
      <x:c r="AK673" s="11" t="n">
        <x:v>4250344000</x:v>
      </x:c>
      <x:c r="AL673" s="11" t="n">
        <x:v>89307000</x:v>
      </x:c>
      <x:c r="AM673" s="12" t="n">
        <x:v>0.9789882889479063</x:v>
      </x:c>
      <x:c r="AN673" s="12" t="n">
        <x:v>0.01279214105964129</x:v>
      </x:c>
      <x:c r="AO673" s="11" t="n">
        <x:v>182497000</x:v>
      </x:c>
      <x:c r="AP673" s="11" t="n">
        <x:v>177369000</x:v>
      </x:c>
      <x:c r="AQ673" s="12" t="n">
        <x:v>0.9719009079601308</x:v>
      </x:c>
      <x:c r="AR673" s="11" t="n">
        <x:v>16714.990512333967</x:v>
      </x:c>
      <x:c r="AS673" s="11" t="n">
        <x:v>13534.952561669828</x:v>
      </x:c>
      <x:c r="AT673" s="11" t="n">
        <x:v>4650.626185958255</x:v>
      </x:c>
      <x:c r="AU673" s="11" t="n">
        <x:v>11077.039848197344</x:v>
      </x:c>
      <x:c r="AV673" s="11" t="n">
        <x:v>8527.514231499052</x:v>
      </x:c>
      <x:c r="AW673" s="11" t="n">
        <x:v>1.1689501840803684</x:v>
      </x:c>
      <x:c r="AX673" s="12" t="n">
        <x:v>0.7235732490078117</x:v>
      </x:c>
      <x:c r="AY673" s="11"/>
      <x:c r="AZ673" s="11"/>
      <x:c r="BA673" s="11"/>
      <x:c r="BB673" s="11"/>
      <x:c r="BC673" s="11"/>
      <x:c r="BD673" s="11"/>
      <x:c r="BE673" s="11"/>
      <x:c r="BF673" s="11"/>
      <x:c r="BG673" s="11"/>
      <x:c r="BH673" s="11"/>
      <x:c r="BI673" s="11"/>
      <x:c r="BJ673" s="11"/>
      <x:c r="BK673" s="12"/>
      <x:c r="BL673" s="12"/>
      <x:c r="BM673" s="12"/>
      <x:c r="BN673" s="12"/>
      <x:c r="BO673" s="12"/>
      <x:c r="BP673" s="12"/>
      <x:c r="BQ673" s="12"/>
      <x:c r="BR673" s="12"/>
      <x:c r="BS673" s="12"/>
      <x:c r="BT673" s="12"/>
      <x:c r="BU673" s="11" t="n">
        <x:v>4537000</x:v>
      </x:c>
      <x:c r="BV673" s="11" t="n">
        <x:v>10552000</x:v>
      </x:c>
      <x:c r="BW673" s="11" t="n">
        <x:v>460000</x:v>
      </x:c>
      <x:c r="BX673" s="11" t="n">
        <x:v>6509000</x:v>
      </x:c>
      <x:c r="BY673" s="11" t="n">
        <x:v>0</x:v>
      </x:c>
      <x:c r="BZ673" s="11" t="n">
        <x:v>6827000</x:v>
      </x:c>
      <x:c r="CA673" s="11" t="n">
        <x:v>0</x:v>
      </x:c>
      <x:c r="CB673" s="11" t="n">
        <x:v>10721000</x:v>
      </x:c>
      <x:c r="CC673" s="11" t="n">
        <x:v>18163000</x:v>
      </x:c>
      <x:c r="CD673" s="11" t="n">
        <x:v>56306000</x:v>
      </x:c>
      <x:c r="CE673" s="11" t="n">
        <x:v>2798000</x:v>
      </x:c>
      <x:c r="CF673" s="11" t="n">
        <x:v>634000</x:v>
      </x:c>
      <x:c r="CG673" s="11" t="n">
        <x:v>2559000</x:v>
      </x:c>
      <x:c r="CH673" s="11" t="n">
        <x:v>28440000</x:v>
      </x:c>
      <x:c r="CI673" s="11" t="n">
        <x:v>25720000</x:v>
      </x:c>
      <x:c r="CJ673" s="11" t="n">
        <x:v>7224000</x:v>
      </x:c>
      <x:c r="CK673" s="11" t="n">
        <x:v>6103000</x:v>
      </x:c>
      <x:c r="CL673" s="11" t="n">
        <x:v>2128000</x:v>
      </x:c>
      <x:c r="CM673" s="11"/>
      <x:c r="CN673" s="11" t="n">
        <x:v>75000</x:v>
      </x:c>
      <x:c r="CO673" s="11" t="n">
        <x:v>0</x:v>
      </x:c>
      <x:c r="CP673" s="8"/>
      <x:c r="CQ673" s="8"/>
    </x:row>
    <x:row r="674">
      <x:c r="A674" s="8" t="str">
        <x:v>Prince George|2023</x:v>
      </x:c>
      <x:c r="B674" s="8" t="str">
        <x:v>prince-george-c</x:v>
      </x:c>
      <x:c r="C674" s="8" t="str">
        <x:v>Prince George</x:v>
      </x:c>
      <x:c r="D674" s="8" t="str">
        <x:v>Prince George</x:v>
      </x:c>
      <x:c r="E674" s="8" t="str">
        <x:v>C</x:v>
      </x:c>
      <x:c r="F674" s="8" t="str">
        <x:v>FFG</x:v>
      </x:c>
      <x:c r="G674" s="9" t="n">
        <x:v>2023</x:v>
      </x:c>
      <x:c r="H674" s="10" t="n">
        <x:v>84006</x:v>
      </x:c>
      <x:c r="I674" s="8" t="str">
        <x:v>20,000 to 99,999</x:v>
      </x:c>
      <x:c r="J674" s="11" t="n">
        <x:v>249606000</x:v>
      </x:c>
      <x:c r="K674" s="11" t="n">
        <x:v>196552000</x:v>
      </x:c>
      <x:c r="L674" s="11" t="n">
        <x:v>53054000</x:v>
      </x:c>
      <x:c r="M674" s="12" t="n">
        <x:v>0.21255098034502376</x:v>
      </x:c>
      <x:c r="N674" s="11" t="n">
        <x:v>140216000</x:v>
      </x:c>
      <x:c r="O674" s="11" t="n">
        <x:v>64853000</x:v>
      </x:c>
      <x:c r="P674" s="11" t="n">
        <x:v>25484000</x:v>
      </x:c>
      <x:c r="Q674" s="11" t="n">
        <x:v>19053000</x:v>
      </x:c>
      <x:c r="R674" s="11" t="n">
        <x:v>161240000</x:v>
      </x:c>
      <x:c r="S674" s="11" t="n">
        <x:v>30861000</x:v>
      </x:c>
      <x:c r="T674" s="11" t="n">
        <x:v>249459000</x:v>
      </x:c>
      <x:c r="U674" s="11" t="n">
        <x:v>194777000</x:v>
      </x:c>
      <x:c r="V674" s="11" t="n">
        <x:v>84867000</x:v>
      </x:c>
      <x:c r="W674" s="11" t="n">
        <x:v>160644000</x:v>
      </x:c>
      <x:c r="X674" s="11" t="n">
        <x:v>112350000</x:v>
      </x:c>
      <x:c r="Y674" s="11" t="n">
        <x:v>1561000</x:v>
      </x:c>
      <x:c r="Z674" s="11" t="n">
        <x:v>8375000</x:v>
      </x:c>
      <x:c r="AA674" s="11" t="n">
        <x:v>104359000</x:v>
      </x:c>
      <x:c r="AB674" s="11" t="n">
        <x:v>4451000</x:v>
      </x:c>
      <x:c r="AC674" s="11" t="n">
        <x:v>12826000</x:v>
      </x:c>
      <x:c r="AD674" s="11" t="n">
        <x:v>52472279</x:v>
      </x:c>
      <x:c r="AE674" s="11" t="n">
        <x:v>38327316</x:v>
      </x:c>
      <x:c r="AF674" s="11" t="n">
        <x:v>209889114</x:v>
      </x:c>
      <x:c r="AG674" s="11" t="n">
        <x:v>1392793000</x:v>
      </x:c>
      <x:c r="AH674" s="11" t="n">
        <x:v>583715000</x:v>
      </x:c>
      <x:c r="AI674" s="11" t="n">
        <x:v>809078000</x:v>
      </x:c>
      <x:c r="AJ674" s="11" t="n">
        <x:v>47152000</x:v>
      </x:c>
      <x:c r="AK674" s="11" t="n">
        <x:v>4455015359</x:v>
      </x:c>
      <x:c r="AL674" s="11" t="n">
        <x:v>91229589</x:v>
      </x:c>
      <x:c r="AM674" s="12" t="n">
        <x:v>0.9795220483772972</x:v>
      </x:c>
      <x:c r="AN674" s="12" t="n">
        <x:v>0.010584026361378028</x:v>
      </x:c>
      <x:c r="AO674" s="11" t="n">
        <x:v>198955000</x:v>
      </x:c>
      <x:c r="AP674" s="11" t="n">
        <x:v>190885000</x:v>
      </x:c>
      <x:c r="AQ674" s="12" t="n">
        <x:v>0.9594380638837928</x:v>
      </x:c>
      <x:c r="AR674" s="11" t="n">
        <x:v>2971.2877651596314</x:v>
      </x:c>
      <x:c r="AS674" s="11" t="n">
        <x:v>2339.737637787777</x:v>
      </x:c>
      <x:c r="AT674" s="11" t="n">
        <x:v>1010.249267909435</x:v>
      </x:c>
      <x:c r="AU674" s="11" t="n">
        <x:v>1912.291979144347</x:v>
      </x:c>
      <x:c r="AV674" s="11" t="n">
        <x:v>1242.280313310954</x:v>
      </x:c>
      <x:c r="AW674" s="11" t="n">
        <x:v>1.280741565995985</x:v>
      </x:c>
      <x:c r="AX674" s="12" t="n">
        <x:v>0.7304297951304917</x:v>
      </x:c>
      <x:c r="AY674" s="11"/>
      <x:c r="AZ674" s="11"/>
      <x:c r="BA674" s="11"/>
      <x:c r="BB674" s="11"/>
      <x:c r="BC674" s="11"/>
      <x:c r="BD674" s="11"/>
      <x:c r="BE674" s="11"/>
      <x:c r="BF674" s="11"/>
      <x:c r="BG674" s="11"/>
      <x:c r="BH674" s="11"/>
      <x:c r="BI674" s="11"/>
      <x:c r="BJ674" s="11"/>
      <x:c r="BK674" s="12"/>
      <x:c r="BL674" s="12"/>
      <x:c r="BM674" s="12"/>
      <x:c r="BN674" s="12"/>
      <x:c r="BO674" s="12"/>
      <x:c r="BP674" s="12"/>
      <x:c r="BQ674" s="12"/>
      <x:c r="BR674" s="12"/>
      <x:c r="BS674" s="12"/>
      <x:c r="BT674" s="12"/>
      <x:c r="BU674" s="11" t="n">
        <x:v>277000</x:v>
      </x:c>
      <x:c r="BV674" s="11" t="n">
        <x:v>20445000</x:v>
      </x:c>
      <x:c r="BW674" s="11" t="n">
        <x:v>4762000</x:v>
      </x:c>
      <x:c r="BX674" s="11" t="n">
        <x:v>13263000</x:v>
      </x:c>
      <x:c r="BY674" s="11" t="n">
        <x:v>0</x:v>
      </x:c>
      <x:c r="BZ674" s="11" t="n">
        <x:v>5464000</x:v>
      </x:c>
      <x:c r="CA674" s="11" t="n">
        <x:v>326000</x:v>
      </x:c>
      <x:c r="CB674" s="11" t="n">
        <x:v>0</x:v>
      </x:c>
      <x:c r="CC674" s="11" t="n">
        <x:v>19088000</x:v>
      </x:c>
      <x:c r="CD674" s="11" t="n">
        <x:v>60224000</x:v>
      </x:c>
      <x:c r="CE674" s="11" t="n">
        <x:v>2780000</x:v>
      </x:c>
      <x:c r="CF674" s="11" t="n">
        <x:v>0</x:v>
      </x:c>
      <x:c r="CG674" s="11" t="n">
        <x:v>5037000</x:v>
      </x:c>
      <x:c r="CH674" s="11" t="n">
        <x:v>33312000</x:v>
      </x:c>
      <x:c r="CI674" s="11" t="n">
        <x:v>29386000</x:v>
      </x:c>
      <x:c r="CJ674" s="11" t="n">
        <x:v>7316000</x:v>
      </x:c>
      <x:c r="CK674" s="11" t="n">
        <x:v>6181000</x:v>
      </x:c>
      <x:c r="CL674" s="11" t="n">
        <x:v>1084000</x:v>
      </x:c>
      <x:c r="CM674" s="11" t="n">
        <x:v>0</x:v>
      </x:c>
      <x:c r="CN674" s="11" t="n">
        <x:v>1283000</x:v>
      </x:c>
      <x:c r="CO674" s="11" t="n">
        <x:v>0</x:v>
      </x:c>
      <x:c r="CP674" s="8"/>
      <x:c r="CQ674" s="8"/>
    </x:row>
    <x:row r="675">
      <x:c r="A675" s="8" t="str">
        <x:v>Prince George|2024</x:v>
      </x:c>
      <x:c r="B675" s="8" t="str">
        <x:v>prince-george-c</x:v>
      </x:c>
      <x:c r="C675" s="8" t="str">
        <x:v>Prince George</x:v>
      </x:c>
      <x:c r="D675" s="8" t="str">
        <x:v>Prince George</x:v>
      </x:c>
      <x:c r="E675" s="8" t="str">
        <x:v>C</x:v>
      </x:c>
      <x:c r="F675" s="8" t="str">
        <x:v>FFG</x:v>
      </x:c>
      <x:c r="G675" s="9" t="n">
        <x:v>2024</x:v>
      </x:c>
      <x:c r="H675" s="10" t="n">
        <x:v>84006</x:v>
      </x:c>
      <x:c r="I675" s="8" t="str">
        <x:v>20,000 to 99,999</x:v>
      </x:c>
      <x:c r="J675" s="11" t="n">
        <x:v>251038000</x:v>
      </x:c>
      <x:c r="K675" s="11" t="n">
        <x:v>208484000</x:v>
      </x:c>
      <x:c r="L675" s="11" t="n">
        <x:v>42554000</x:v>
      </x:c>
      <x:c r="M675" s="12" t="n">
        <x:v>0.16951218540619348</x:v>
      </x:c>
      <x:c r="N675" s="11" t="n">
        <x:v>149539000</x:v>
      </x:c>
      <x:c r="O675" s="11" t="n">
        <x:v>66486000</x:v>
      </x:c>
      <x:c r="P675" s="11" t="n">
        <x:v>13230000</x:v>
      </x:c>
      <x:c r="Q675" s="11" t="n">
        <x:v>21783000</x:v>
      </x:c>
      <x:c r="R675" s="11" t="n">
        <x:v>171266000</x:v>
      </x:c>
      <x:c r="S675" s="11" t="n">
        <x:v>32183000</x:v>
      </x:c>
      <x:c r="T675" s="11" t="n">
        <x:v>271201000</x:v>
      </x:c>
      <x:c r="U675" s="11" t="n">
        <x:v>199231000</x:v>
      </x:c>
      <x:c r="V675" s="11" t="n">
        <x:v>102455000</x:v>
      </x:c>
      <x:c r="W675" s="11" t="n">
        <x:v>169692000</x:v>
      </x:c>
      <x:c r="X675" s="11" t="n">
        <x:v>104359000</x:v>
      </x:c>
      <x:c r="Y675" s="11" t="n">
        <x:v>5536000</x:v>
      </x:c>
      <x:c r="Z675" s="11" t="n">
        <x:v>8207000</x:v>
      </x:c>
      <x:c r="AA675" s="11" t="n">
        <x:v>100498000</x:v>
      </x:c>
      <x:c r="AB675" s="11" t="n">
        <x:v>5035000</x:v>
      </x:c>
      <x:c r="AC675" s="11" t="n">
        <x:v>13242000</x:v>
      </x:c>
      <x:c r="AD675" s="11" t="n">
        <x:v>55463860</x:v>
      </x:c>
      <x:c r="AE675" s="11" t="n">
        <x:v>38623214</x:v>
      </x:c>
      <x:c r="AF675" s="11" t="n">
        <x:v>221855438</x:v>
      </x:c>
      <x:c r="AG675" s="11" t="n">
        <x:v>1445000000</x:v>
      </x:c>
      <x:c r="AH675" s="11" t="n">
        <x:v>610937000</x:v>
      </x:c>
      <x:c r="AI675" s="11" t="n">
        <x:v>834063000</x:v>
      </x:c>
      <x:c r="AJ675" s="11" t="n">
        <x:v>57184000</x:v>
      </x:c>
      <x:c r="AK675" s="11" t="n">
        <x:v>5236759000</x:v>
      </x:c>
      <x:c r="AL675" s="11" t="n">
        <x:v>93985294</x:v>
      </x:c>
      <x:c r="AM675" s="12" t="n">
        <x:v>0.9820527746264436</x:v>
      </x:c>
      <x:c r="AN675" s="12" t="n">
        <x:v>0.010919731077943438</x:v>
      </x:c>
      <x:c r="AO675" s="11" t="n">
        <x:v>212899000</x:v>
      </x:c>
      <x:c r="AP675" s="11" t="n">
        <x:v>204041000</x:v>
      </x:c>
      <x:c r="AQ675" s="12" t="n">
        <x:v>0.9583934165966022</x:v>
      </x:c>
      <x:c r="AR675" s="11" t="n">
        <x:v>2988.334166607147</x:v>
      </x:c>
      <x:c r="AS675" s="11" t="n">
        <x:v>2481.775111301574</x:v>
      </x:c>
      <x:c r="AT675" s="11" t="n">
        <x:v>1219.6152655762683</x:v>
      </x:c>
      <x:c r="AU675" s="11" t="n">
        <x:v>2019.998571530605</x:v>
      </x:c>
      <x:c r="AV675" s="11" t="n">
        <x:v>1196.3193105254386</x:v>
      </x:c>
      <x:c r="AW675" s="11" t="n">
        <x:v>1.361238963815872</x:v>
      </x:c>
      <x:c r="AX675" s="12" t="n">
        <x:v>0.696367220023994</x:v>
      </x:c>
      <x:c r="AY675" s="11" t="n">
        <x:v>2823.8160359162957</x:v>
      </x:c>
      <x:c r="AZ675" s="11" t="n">
        <x:v>3546.5079302077975</x:v>
      </x:c>
      <x:c r="BA675" s="11" t="n">
        <x:v>2313.177731087988</x:v>
      </x:c>
      <x:c r="BB675" s="11" t="n">
        <x:v>2783.665107049771</x:v>
      </x:c>
      <x:c r="BC675" s="11" t="n">
        <x:v>1634.933826557682</x:v>
      </x:c>
      <x:c r="BD675" s="11" t="n">
        <x:v>2437.8724475115623</x:v>
      </x:c>
      <x:c r="BE675" s="11" t="n">
        <x:v>1015.8871081440785</x:v>
      </x:c>
      <x:c r="BF675" s="11" t="n">
        <x:v>1604.3462673977224</x:v>
      </x:c>
      <x:c r="BG675" s="11" t="n">
        <x:v>757.3716446138835</x:v>
      </x:c>
      <x:c r="BH675" s="11" t="n">
        <x:v>518.5374381567245</x:v>
      </x:c>
      <x:c r="BI675" s="11" t="n">
        <x:v>1.4428133381403412</x:v>
      </x:c>
      <x:c r="BJ675" s="11" t="n">
        <x:v>1.7099330852451193</x:v>
      </x:c>
      <x:c r="BK675" s="12" t="n">
        <x:v>0.021350493990494074</x:v>
      </x:c>
      <x:c r="BL675" s="12" t="n">
        <x:v>0.02529861000232605</x:v>
      </x:c>
      <x:c r="BM675" s="12" t="n">
        <x:v>0.9847118933607182</x:v>
      </x:c>
      <x:c r="BN675" s="12" t="n">
        <x:v>0.9815511712696461</x:v>
      </x:c>
      <x:c r="BO675" s="12" t="n">
        <x:v>0.8457939120832807</x:v>
      </x:c>
      <x:c r="BP675" s="12" t="n">
        <x:v>0.8619101997275483</x:v>
      </x:c>
      <x:c r="BQ675" s="12" t="n">
        <x:v>0.9744645665293163</x:v>
      </x:c>
      <x:c r="BR675" s="12" t="n">
        <x:v>0.9623635142836453</x:v>
      </x:c>
      <x:c r="BS675" s="12" t="n">
        <x:v>0.16542076645989975</x:v>
      </x:c>
      <x:c r="BT675" s="12" t="n">
        <x:v>0.19976549769108282</x:v>
      </x:c>
      <x:c r="BU675" s="11" t="n">
        <x:v>620000</x:v>
      </x:c>
      <x:c r="BV675" s="11" t="n">
        <x:v>8411000</x:v>
      </x:c>
      <x:c r="BW675" s="11" t="n">
        <x:v>4199000</x:v>
      </x:c>
      <x:c r="BX675" s="11" t="n">
        <x:v>14139000</x:v>
      </x:c>
      <x:c r="BY675" s="11" t="n">
        <x:v>0</x:v>
      </x:c>
      <x:c r="BZ675" s="11" t="n">
        <x:v>6595000</x:v>
      </x:c>
      <x:c r="CA675" s="11" t="n">
        <x:v>15000</x:v>
      </x:c>
      <x:c r="CB675" s="11" t="n">
        <x:v>1034000</x:v>
      </x:c>
      <x:c r="CC675" s="11" t="n">
        <x:v>22618000</x:v>
      </x:c>
      <x:c r="CD675" s="11" t="n">
        <x:v>65954000</x:v>
      </x:c>
      <x:c r="CE675" s="11" t="n">
        <x:v>3038000</x:v>
      </x:c>
      <x:c r="CF675" s="11" t="n">
        <x:v>0</x:v>
      </x:c>
      <x:c r="CG675" s="11" t="n">
        <x:v>5372000</x:v>
      </x:c>
      <x:c r="CH675" s="11" t="n">
        <x:v>32697000</x:v>
      </x:c>
      <x:c r="CI675" s="11" t="n">
        <x:v>31648000</x:v>
      </x:c>
      <x:c r="CJ675" s="11" t="n">
        <x:v>7179000</x:v>
      </x:c>
      <x:c r="CK675" s="11" t="n">
        <x:v>6599000</x:v>
      </x:c>
      <x:c r="CL675" s="11" t="n">
        <x:v>1196000</x:v>
      </x:c>
      <x:c r="CM675" s="11" t="n">
        <x:v>0</x:v>
      </x:c>
      <x:c r="CN675" s="11" t="n">
        <x:v>0</x:v>
      </x:c>
      <x:c r="CO675" s="11" t="n">
        <x:v>0</x:v>
      </x:c>
      <x:c r="CP675" s="8"/>
      <x:c r="CQ675" s="8"/>
    </x:row>
    <x:row r="676">
      <x:c r="A676" s="8" t="str">
        <x:v>Prince Rupert|2019</x:v>
      </x:c>
      <x:c r="B676" s="8" t="str">
        <x:v>prince-rupert-c</x:v>
      </x:c>
      <x:c r="C676" s="8" t="str">
        <x:v>Prince Rupert</x:v>
      </x:c>
      <x:c r="D676" s="8" t="str">
        <x:v>Prince Rupert</x:v>
      </x:c>
      <x:c r="E676" s="8" t="str">
        <x:v>C</x:v>
      </x:c>
      <x:c r="F676" s="8" t="str">
        <x:v>SKQ</x:v>
      </x:c>
      <x:c r="G676" s="9" t="n">
        <x:v>2019</x:v>
      </x:c>
      <x:c r="H676" s="10" t="n">
        <x:v>13054</x:v>
      </x:c>
      <x:c r="I676" s="8" t="str">
        <x:v>5,000 to 19,999</x:v>
      </x:c>
      <x:c r="J676" s="11" t="n">
        <x:v>57701448</x:v>
      </x:c>
      <x:c r="K676" s="11" t="n">
        <x:v>40057419</x:v>
      </x:c>
      <x:c r="L676" s="11" t="n">
        <x:v>17644029</x:v>
      </x:c>
      <x:c r="M676" s="12" t="n">
        <x:v>0.3057813904427494</x:v>
      </x:c>
      <x:c r="N676" s="11" t="n">
        <x:v>22398793</x:v>
      </x:c>
      <x:c r="O676" s="11" t="n">
        <x:v>12693125</x:v>
      </x:c>
      <x:c r="P676" s="11" t="n">
        <x:v>11358501</x:v>
      </x:c>
      <x:c r="Q676" s="11" t="n">
        <x:v>11251029</x:v>
      </x:c>
      <x:c r="R676" s="11" t="n">
        <x:v>34985563</x:v>
      </x:c>
      <x:c r="S676" s="11" t="n">
        <x:v>4726604</x:v>
      </x:c>
      <x:c r="T676" s="11" t="n">
        <x:v>48460255</x:v>
      </x:c>
      <x:c r="U676" s="11" t="n">
        <x:v>33213707</x:v>
      </x:c>
      <x:c r="V676" s="11" t="n">
        <x:v>73467654</x:v>
      </x:c>
      <x:c r="W676" s="11" t="n">
        <x:v>15445887</x:v>
      </x:c>
      <x:c r="X676" s="11" t="n">
        <x:v>8488267</x:v>
      </x:c>
      <x:c r="Y676" s="11" t="n">
        <x:v>1600000</x:v>
      </x:c>
      <x:c r="Z676" s="11" t="n">
        <x:v>803330</x:v>
      </x:c>
      <x:c r="AA676" s="11" t="n">
        <x:v>9149300</x:v>
      </x:c>
      <x:c r="AB676" s="11" t="n">
        <x:v>345252</x:v>
      </x:c>
      <x:c r="AC676" s="11" t="n">
        <x:v>1148582</x:v>
      </x:c>
      <x:c r="AD676" s="11" t="n">
        <x:v>8534745</x:v>
      </x:c>
      <x:c r="AE676" s="11" t="n">
        <x:v>7386163</x:v>
      </x:c>
      <x:c r="AF676" s="11" t="n">
        <x:v>34138978</x:v>
      </x:c>
      <x:c r="AG676" s="11" t="n">
        <x:v>142967900</x:v>
      </x:c>
      <x:c r="AH676" s="11" t="n">
        <x:v>62792884</x:v>
      </x:c>
      <x:c r="AI676" s="11" t="n">
        <x:v>80175016</x:v>
      </x:c>
      <x:c r="AJ676" s="11" t="n">
        <x:v>7462208</x:v>
      </x:c>
      <x:c r="AK676" s="11" t="n">
        <x:v>7544598</x:v>
      </x:c>
      <x:c r="AL676" s="11" t="n">
        <x:v>0</x:v>
      </x:c>
      <x:c r="AM676" s="12" t="n">
        <x:v>1</x:v>
      </x:c>
      <x:c r="AN676" s="12" t="n">
        <x:v>0.9890796037111587</x:v>
      </x:c>
      <x:c r="AO676" s="11" t="n">
        <x:v>28769496</x:v>
      </x:c>
      <x:c r="AP676" s="11" t="n">
        <x:v>27706697</x:v>
      </x:c>
      <x:c r="AQ676" s="12" t="n">
        <x:v>0.9630581293464439</x:v>
      </x:c>
      <x:c r="AR676" s="11" t="n">
        <x:v>4420.21204228589</x:v>
      </x:c>
      <x:c r="AS676" s="11" t="n">
        <x:v>3068.5934579439254</x:v>
      </x:c>
      <x:c r="AT676" s="11" t="n">
        <x:v>5627.980235943006</x:v>
      </x:c>
      <x:c r="AU676" s="11" t="n">
        <x:v>1183.23019764057</x:v>
      </x:c>
      <x:c r="AV676" s="11" t="n">
        <x:v>700.8809560288034</x:v>
      </x:c>
      <x:c r="AW676" s="11" t="n">
        <x:v>1.4590438519855673</x:v>
      </x:c>
      <x:c r="AX676" s="12" t="n">
        <x:v>0.8654228099374967</x:v>
      </x:c>
      <x:c r="AY676" s="11"/>
      <x:c r="AZ676" s="11"/>
      <x:c r="BA676" s="11"/>
      <x:c r="BB676" s="11"/>
      <x:c r="BC676" s="11"/>
      <x:c r="BD676" s="11"/>
      <x:c r="BE676" s="11"/>
      <x:c r="BF676" s="11"/>
      <x:c r="BG676" s="11"/>
      <x:c r="BH676" s="11"/>
      <x:c r="BI676" s="11"/>
      <x:c r="BJ676" s="11"/>
      <x:c r="BK676" s="12"/>
      <x:c r="BL676" s="12"/>
      <x:c r="BM676" s="12"/>
      <x:c r="BN676" s="12"/>
      <x:c r="BO676" s="12"/>
      <x:c r="BP676" s="12"/>
      <x:c r="BQ676" s="12"/>
      <x:c r="BR676" s="12"/>
      <x:c r="BS676" s="12"/>
      <x:c r="BT676" s="12"/>
      <x:c r="BU676" s="11" t="n">
        <x:v>676303</x:v>
      </x:c>
      <x:c r="BV676" s="11" t="n">
        <x:v>9173408</x:v>
      </x:c>
      <x:c r="BW676" s="11" t="n">
        <x:v>1508790</x:v>
      </x:c>
      <x:c r="BX676" s="11" t="n">
        <x:v>889753</x:v>
      </x:c>
      <x:c r="BY676" s="11" t="n">
        <x:v>10141762</x:v>
      </x:c>
      <x:c r="BZ676" s="11" t="n">
        <x:v>31095</x:v>
      </x:c>
      <x:c r="CA676" s="11" t="n">
        <x:v>102269</x:v>
      </x:c>
      <x:c r="CB676" s="11" t="n">
        <x:v>86150</x:v>
      </x:c>
      <x:c r="CC676" s="11" t="n">
        <x:v>4438512</x:v>
      </x:c>
      <x:c r="CD676" s="11" t="n">
        <x:v>9819449</x:v>
      </x:c>
      <x:c r="CE676" s="11" t="n">
        <x:v>2722279</x:v>
      </x:c>
      <x:c r="CF676" s="11" t="n">
        <x:v>0</x:v>
      </x:c>
      <x:c r="CG676" s="11" t="n">
        <x:v>1185078</x:v>
      </x:c>
      <x:c r="CH676" s="11" t="n">
        <x:v>7181226</x:v>
      </x:c>
      <x:c r="CI676" s="11" t="n">
        <x:v>6067015</x:v>
      </x:c>
      <x:c r="CJ676" s="11" t="n">
        <x:v>2401018</x:v>
      </x:c>
      <x:c r="CK676" s="11" t="n">
        <x:v>1184158</x:v>
      </x:c>
      <x:c r="CL676" s="11" t="n">
        <x:v>332080</x:v>
      </x:c>
      <x:c r="CM676" s="11"/>
      <x:c r="CN676" s="11" t="n">
        <x:v>0</x:v>
      </x:c>
      <x:c r="CO676" s="11" t="n">
        <x:v>0</x:v>
      </x:c>
      <x:c r="CP676" s="8"/>
      <x:c r="CQ676" s="8"/>
    </x:row>
    <x:row r="677">
      <x:c r="A677" s="8" t="str">
        <x:v>Prince Rupert|2020</x:v>
      </x:c>
      <x:c r="B677" s="8" t="str">
        <x:v>prince-rupert-c</x:v>
      </x:c>
      <x:c r="C677" s="8" t="str">
        <x:v>Prince Rupert</x:v>
      </x:c>
      <x:c r="D677" s="8" t="str">
        <x:v>Prince Rupert</x:v>
      </x:c>
      <x:c r="E677" s="8" t="str">
        <x:v>C</x:v>
      </x:c>
      <x:c r="F677" s="8" t="str">
        <x:v>SKQ</x:v>
      </x:c>
      <x:c r="G677" s="9" t="n">
        <x:v>2020</x:v>
      </x:c>
      <x:c r="H677" s="10" t="n">
        <x:v>13036</x:v>
      </x:c>
      <x:c r="I677" s="8" t="str">
        <x:v>5,000 to 19,999</x:v>
      </x:c>
      <x:c r="J677" s="11" t="n">
        <x:v>78317174</x:v>
      </x:c>
      <x:c r="K677" s="11" t="n">
        <x:v>40850111</x:v>
      </x:c>
      <x:c r="L677" s="11" t="n">
        <x:v>37467063</x:v>
      </x:c>
      <x:c r="M677" s="12" t="n">
        <x:v>0.47840162107994344</x:v>
      </x:c>
      <x:c r="N677" s="11" t="n">
        <x:v>25360495</x:v>
      </x:c>
      <x:c r="O677" s="11" t="n">
        <x:v>18669596</x:v>
      </x:c>
      <x:c r="P677" s="11" t="n">
        <x:v>27060685</x:v>
      </x:c>
      <x:c r="Q677" s="11" t="n">
        <x:v>7226398</x:v>
      </x:c>
      <x:c r="R677" s="11" t="n">
        <x:v>35647527</x:v>
      </x:c>
      <x:c r="S677" s="11" t="n">
        <x:v>4872608</x:v>
      </x:c>
      <x:c r="T677" s="11" t="n">
        <x:v>64642403</x:v>
      </x:c>
      <x:c r="U677" s="11" t="n">
        <x:v>34696569</x:v>
      </x:c>
      <x:c r="V677" s="11" t="n">
        <x:v>97114189</x:v>
      </x:c>
      <x:c r="W677" s="11" t="n">
        <x:v>1865905</x:v>
      </x:c>
      <x:c r="X677" s="11" t="n">
        <x:v>9083029</x:v>
      </x:c>
      <x:c r="Y677" s="11" t="n">
        <x:v>3350000</x:v>
      </x:c>
      <x:c r="Z677" s="11" t="n">
        <x:v>923521</x:v>
      </x:c>
      <x:c r="AA677" s="11" t="n">
        <x:v>11353575</x:v>
      </x:c>
      <x:c r="AB677" s="11" t="n">
        <x:v>329976</x:v>
      </x:c>
      <x:c r="AC677" s="11" t="n">
        <x:v>1253497</x:v>
      </x:c>
      <x:c r="AD677" s="11" t="n">
        <x:v>10537597</x:v>
      </x:c>
      <x:c r="AE677" s="11" t="n">
        <x:v>9284100</x:v>
      </x:c>
      <x:c r="AF677" s="11" t="n">
        <x:v>42150389</x:v>
      </x:c>
      <x:c r="AG677" s="11" t="n">
        <x:v>159914754</x:v>
      </x:c>
      <x:c r="AH677" s="11" t="n">
        <x:v>65872648</x:v>
      </x:c>
      <x:c r="AI677" s="11" t="n">
        <x:v>94042106</x:v>
      </x:c>
      <x:c r="AJ677" s="11" t="n">
        <x:v>18739698</x:v>
      </x:c>
      <x:c r="AK677" s="11" t="n">
        <x:v>9708806</x:v>
      </x:c>
      <x:c r="AL677" s="11" t="n">
        <x:v>0</x:v>
      </x:c>
      <x:c r="AM677" s="12" t="n">
        <x:v>1</x:v>
      </x:c>
      <x:c r="AN677" s="12" t="n">
        <x:v>1.9301753480294075</x:v>
      </x:c>
      <x:c r="AO677" s="11" t="n">
        <x:v>30177538</x:v>
      </x:c>
      <x:c r="AP677" s="11" t="n">
        <x:v>29201056</x:v>
      </x:c>
      <x:c r="AQ677" s="12" t="n">
        <x:v>0.9676420919426892</x:v>
      </x:c>
      <x:c r="AR677" s="11" t="n">
        <x:v>6007.761123043879</x:v>
      </x:c>
      <x:c r="AS677" s="11" t="n">
        <x:v>3133.6384627186253</x:v>
      </x:c>
      <x:c r="AT677" s="11" t="n">
        <x:v>7449.6923135931265</x:v>
      </x:c>
      <x:c r="AU677" s="11" t="n">
        <x:v>143.13478060754832</x:v>
      </x:c>
      <x:c r="AV677" s="11" t="n">
        <x:v>870.9400889843511</x:v>
      </x:c>
      <x:c r="AW677" s="11" t="n">
        <x:v>1.863077672031491</x:v>
      </x:c>
      <x:c r="AX677" s="12" t="n">
        <x:v>0.8810452705678534</x:v>
      </x:c>
      <x:c r="AY677" s="11"/>
      <x:c r="AZ677" s="11"/>
      <x:c r="BA677" s="11"/>
      <x:c r="BB677" s="11"/>
      <x:c r="BC677" s="11"/>
      <x:c r="BD677" s="11"/>
      <x:c r="BE677" s="11"/>
      <x:c r="BF677" s="11"/>
      <x:c r="BG677" s="11"/>
      <x:c r="BH677" s="11"/>
      <x:c r="BI677" s="11"/>
      <x:c r="BJ677" s="11"/>
      <x:c r="BK677" s="12"/>
      <x:c r="BL677" s="12"/>
      <x:c r="BM677" s="12"/>
      <x:c r="BN677" s="12"/>
      <x:c r="BO677" s="12"/>
      <x:c r="BP677" s="12"/>
      <x:c r="BQ677" s="12"/>
      <x:c r="BR677" s="12"/>
      <x:c r="BS677" s="12"/>
      <x:c r="BT677" s="12"/>
      <x:c r="BU677" s="11" t="n">
        <x:v>7744574</x:v>
      </x:c>
      <x:c r="BV677" s="11" t="n">
        <x:v>17253955</x:v>
      </x:c>
      <x:c r="BW677" s="11" t="n">
        <x:v>2062156</x:v>
      </x:c>
      <x:c r="BX677" s="11" t="n">
        <x:v>775244</x:v>
      </x:c>
      <x:c r="BY677" s="11" t="n">
        <x:v>4898000</x:v>
      </x:c>
      <x:c r="BZ677" s="11" t="n">
        <x:v>3170</x:v>
      </x:c>
      <x:c r="CA677" s="11" t="n">
        <x:v>227437</x:v>
      </x:c>
      <x:c r="CB677" s="11" t="n">
        <x:v>1322547</x:v>
      </x:c>
      <x:c r="CC677" s="11" t="n">
        <x:v>5296225</x:v>
      </x:c>
      <x:c r="CD677" s="11" t="n">
        <x:v>10973040</x:v>
      </x:c>
      <x:c r="CE677" s="11" t="n">
        <x:v>2778616</x:v>
      </x:c>
      <x:c r="CF677" s="11" t="n">
        <x:v>0</x:v>
      </x:c>
      <x:c r="CG677" s="11" t="n">
        <x:v>889271</x:v>
      </x:c>
      <x:c r="CH677" s="11" t="n">
        <x:v>5970914</x:v>
      </x:c>
      <x:c r="CI677" s="11" t="n">
        <x:v>5311455</x:v>
      </x:c>
      <x:c r="CJ677" s="11" t="n">
        <x:v>2313695</x:v>
      </x:c>
      <x:c r="CK677" s="11" t="n">
        <x:v>2117221</x:v>
      </x:c>
      <x:c r="CL677" s="11" t="n">
        <x:v>327066</x:v>
      </x:c>
      <x:c r="CM677" s="11"/>
      <x:c r="CN677" s="11" t="n">
        <x:v>0</x:v>
      </x:c>
      <x:c r="CO677" s="11" t="n">
        <x:v>0</x:v>
      </x:c>
      <x:c r="CP677" s="8"/>
      <x:c r="CQ677" s="8"/>
    </x:row>
    <x:row r="678">
      <x:c r="A678" s="8" t="str">
        <x:v>Prince Rupert|2021</x:v>
      </x:c>
      <x:c r="B678" s="8" t="str">
        <x:v>prince-rupert-c</x:v>
      </x:c>
      <x:c r="C678" s="8" t="str">
        <x:v>Prince Rupert</x:v>
      </x:c>
      <x:c r="D678" s="8" t="str">
        <x:v>Prince Rupert</x:v>
      </x:c>
      <x:c r="E678" s="8" t="str">
        <x:v>C</x:v>
      </x:c>
      <x:c r="F678" s="8" t="str">
        <x:v>NCRD</x:v>
      </x:c>
      <x:c r="G678" s="9" t="n">
        <x:v>2021</x:v>
      </x:c>
      <x:c r="H678" s="10" t="n">
        <x:v>13177</x:v>
      </x:c>
      <x:c r="I678" s="8" t="str">
        <x:v>5,000 to 19,999</x:v>
      </x:c>
      <x:c r="J678" s="11" t="n">
        <x:v>48684425</x:v>
      </x:c>
      <x:c r="K678" s="11" t="n">
        <x:v>41424735</x:v>
      </x:c>
      <x:c r="L678" s="11" t="n">
        <x:v>7259690</x:v>
      </x:c>
      <x:c r="M678" s="12" t="n">
        <x:v>0.14911729983459804</x:v>
      </x:c>
      <x:c r="N678" s="11" t="n">
        <x:v>26463143</x:v>
      </x:c>
      <x:c r="O678" s="11" t="n">
        <x:v>15369401</x:v>
      </x:c>
      <x:c r="P678" s="11" t="n">
        <x:v>2085600</x:v>
      </x:c>
      <x:c r="Q678" s="11" t="n">
        <x:v>4766281</x:v>
      </x:c>
      <x:c r="R678" s="11" t="n">
        <x:v>36668947</x:v>
      </x:c>
      <x:c r="S678" s="11" t="n">
        <x:v>4310832</x:v>
      </x:c>
      <x:c r="T678" s="11" t="n">
        <x:v>77853089</x:v>
      </x:c>
      <x:c r="U678" s="11" t="n">
        <x:v>61150192</x:v>
      </x:c>
      <x:c r="V678" s="11" t="n">
        <x:v>83783576</x:v>
      </x:c>
      <x:c r="W678" s="11" t="n">
        <x:v>1649699</x:v>
      </x:c>
      <x:c r="X678" s="11" t="n">
        <x:v>11345903</x:v>
      </x:c>
      <x:c r="Y678" s="11" t="n">
        <x:v>20000000</x:v>
      </x:c>
      <x:c r="Z678" s="11" t="n">
        <x:v>3570976</x:v>
      </x:c>
      <x:c r="AA678" s="11" t="n">
        <x:v>27597896</x:v>
      </x:c>
      <x:c r="AB678" s="11" t="n">
        <x:v>444956</x:v>
      </x:c>
      <x:c r="AC678" s="11" t="n">
        <x:v>4015932</x:v>
      </x:c>
      <x:c r="AD678" s="11" t="n">
        <x:v>9613954</x:v>
      </x:c>
      <x:c r="AE678" s="11" t="n">
        <x:v>5598022</x:v>
      </x:c>
      <x:c r="AF678" s="11" t="n">
        <x:v>38455816</x:v>
      </x:c>
      <x:c r="AG678" s="11" t="n">
        <x:v>184043654</x:v>
      </x:c>
      <x:c r="AH678" s="11" t="n">
        <x:v>69565063</x:v>
      </x:c>
      <x:c r="AI678" s="11" t="n">
        <x:v>114478591</x:v>
      </x:c>
      <x:c r="AJ678" s="11" t="n">
        <x:v>24747316</x:v>
      </x:c>
      <x:c r="AK678" s="11" t="n">
        <x:v>11258432</x:v>
      </x:c>
      <x:c r="AL678" s="11" t="n">
        <x:v>0</x:v>
      </x:c>
      <x:c r="AM678" s="12" t="n">
        <x:v>1</x:v>
      </x:c>
      <x:c r="AN678" s="12" t="n">
        <x:v>2.1981139114221233</x:v>
      </x:c>
      <x:c r="AO678" s="11" t="n">
        <x:v>32231785</x:v>
      </x:c>
      <x:c r="AP678" s="11" t="n">
        <x:v>31623721</x:v>
      </x:c>
      <x:c r="AQ678" s="12" t="n">
        <x:v>0.9811346470572448</x:v>
      </x:c>
      <x:c r="AR678" s="11" t="n">
        <x:v>3694.6516657812854</x:v>
      </x:c>
      <x:c r="AS678" s="11" t="n">
        <x:v>3143.7151855505804</x:v>
      </x:c>
      <x:c r="AT678" s="11" t="n">
        <x:v>6358.319496091675</x:v>
      </x:c>
      <x:c r="AU678" s="11" t="n">
        <x:v>125.19534036578888</x:v>
      </x:c>
      <x:c r="AV678" s="11" t="n">
        <x:v>2094.3990286104577</x:v>
      </x:c>
      <x:c r="AW678" s="11" t="n">
        <x:v>1.2731454547190955</x:v>
      </x:c>
      <x:c r="AX678" s="12" t="n">
        <x:v>0.5822809220847115</x:v>
      </x:c>
      <x:c r="AY678" s="11"/>
      <x:c r="AZ678" s="11"/>
      <x:c r="BA678" s="11"/>
      <x:c r="BB678" s="11"/>
      <x:c r="BC678" s="11"/>
      <x:c r="BD678" s="11"/>
      <x:c r="BE678" s="11"/>
      <x:c r="BF678" s="11"/>
      <x:c r="BG678" s="11"/>
      <x:c r="BH678" s="11"/>
      <x:c r="BI678" s="11"/>
      <x:c r="BJ678" s="11"/>
      <x:c r="BK678" s="12"/>
      <x:c r="BL678" s="12"/>
      <x:c r="BM678" s="12"/>
      <x:c r="BN678" s="12"/>
      <x:c r="BO678" s="12"/>
      <x:c r="BP678" s="12"/>
      <x:c r="BQ678" s="12"/>
      <x:c r="BR678" s="12"/>
      <x:c r="BS678" s="12"/>
      <x:c r="BT678" s="12"/>
      <x:c r="BU678" s="11" t="n">
        <x:v>22173</x:v>
      </x:c>
      <x:c r="BV678" s="11" t="n">
        <x:v>1128271</x:v>
      </x:c>
      <x:c r="BW678" s="11" t="n">
        <x:v>935156</x:v>
      </x:c>
      <x:c r="BX678" s="11" t="n">
        <x:v>621792</x:v>
      </x:c>
      <x:c r="BY678" s="11" t="n">
        <x:v>3989000</x:v>
      </x:c>
      <x:c r="BZ678" s="11" t="n">
        <x:v>30000</x:v>
      </x:c>
      <x:c r="CA678" s="11" t="n">
        <x:v>0</x:v>
      </x:c>
      <x:c r="CB678" s="11" t="n">
        <x:v>125489</x:v>
      </x:c>
      <x:c r="CC678" s="11" t="n">
        <x:v>3703179</x:v>
      </x:c>
      <x:c r="CD678" s="11" t="n">
        <x:v>12958842</x:v>
      </x:c>
      <x:c r="CE678" s="11" t="n">
        <x:v>2957391</x:v>
      </x:c>
      <x:c r="CF678" s="11" t="n">
        <x:v>0</x:v>
      </x:c>
      <x:c r="CG678" s="11" t="n">
        <x:v>892377</x:v>
      </x:c>
      <x:c r="CH678" s="11" t="n">
        <x:v>6348324</x:v>
      </x:c>
      <x:c r="CI678" s="11" t="n">
        <x:v>5623653</x:v>
      </x:c>
      <x:c r="CJ678" s="11" t="n">
        <x:v>2557651</x:v>
      </x:c>
      <x:c r="CK678" s="11" t="n">
        <x:v>1743116</x:v>
      </x:c>
      <x:c r="CL678" s="11" t="n">
        <x:v>329370</x:v>
      </x:c>
      <x:c r="CM678" s="11"/>
      <x:c r="CN678" s="11" t="n">
        <x:v>0</x:v>
      </x:c>
      <x:c r="CO678" s="11" t="n">
        <x:v>0</x:v>
      </x:c>
      <x:c r="CP678" s="8"/>
      <x:c r="CQ678" s="8"/>
    </x:row>
    <x:row r="679">
      <x:c r="A679" s="8" t="str">
        <x:v>Prince Rupert|2022</x:v>
      </x:c>
      <x:c r="B679" s="8" t="str">
        <x:v>prince-rupert-c</x:v>
      </x:c>
      <x:c r="C679" s="8" t="str">
        <x:v>Prince Rupert</x:v>
      </x:c>
      <x:c r="D679" s="8" t="str">
        <x:v>Prince Rupert</x:v>
      </x:c>
      <x:c r="E679" s="8" t="str">
        <x:v>C</x:v>
      </x:c>
      <x:c r="F679" s="8" t="str">
        <x:v>NCRD</x:v>
      </x:c>
      <x:c r="G679" s="9" t="n">
        <x:v>2022</x:v>
      </x:c>
      <x:c r="H679" s="10" t="n">
        <x:v>3237</x:v>
      </x:c>
      <x:c r="I679" s="8" t="str">
        <x:v>Under 5,000</x:v>
      </x:c>
      <x:c r="J679" s="11" t="n">
        <x:v>52035648</x:v>
      </x:c>
      <x:c r="K679" s="11" t="n">
        <x:v>45801911</x:v>
      </x:c>
      <x:c r="L679" s="11" t="n">
        <x:v>6233737</x:v>
      </x:c>
      <x:c r="M679" s="12" t="n">
        <x:v>0.11979743194511577</x:v>
      </x:c>
      <x:c r="N679" s="11" t="n">
        <x:v>27345703</x:v>
      </x:c>
      <x:c r="O679" s="11" t="n">
        <x:v>18306644</x:v>
      </x:c>
      <x:c r="P679" s="11" t="n">
        <x:v>3756317</x:v>
      </x:c>
      <x:c r="Q679" s="11" t="n">
        <x:v>2626984</x:v>
      </x:c>
      <x:c r="R679" s="11" t="n">
        <x:v>41216168</x:v>
      </x:c>
      <x:c r="S679" s="11" t="n">
        <x:v>3778871</x:v>
      </x:c>
      <x:c r="T679" s="11" t="n">
        <x:v>59171782</x:v>
      </x:c>
      <x:c r="U679" s="11" t="n">
        <x:v>58086783</x:v>
      </x:c>
      <x:c r="V679" s="11" t="n">
        <x:v>70342235</x:v>
      </x:c>
      <x:c r="W679" s="11" t="n">
        <x:v>1665942</x:v>
      </x:c>
      <x:c r="X679" s="11" t="n">
        <x:v>27583620</x:v>
      </x:c>
      <x:c r="Y679" s="11" t="n">
        <x:v>850000</x:v>
      </x:c>
      <x:c r="Z679" s="11" t="n">
        <x:v>1608028</x:v>
      </x:c>
      <x:c r="AA679" s="11" t="n">
        <x:v>26661629</x:v>
      </x:c>
      <x:c r="AB679" s="11" t="n">
        <x:v>806872</x:v>
      </x:c>
      <x:c r="AC679" s="11" t="n">
        <x:v>2414900</x:v>
      </x:c>
      <x:c r="AD679" s="11" t="n">
        <x:v>10488371</x:v>
      </x:c>
      <x:c r="AE679" s="11" t="n">
        <x:v>5835971</x:v>
      </x:c>
      <x:c r="AF679" s="11" t="n">
        <x:v>41953483</x:v>
      </x:c>
      <x:c r="AG679" s="11" t="n">
        <x:v>206400463</x:v>
      </x:c>
      <x:c r="AH679" s="11" t="n">
        <x:v>72486157</x:v>
      </x:c>
      <x:c r="AI679" s="11" t="n">
        <x:v>133914306</x:v>
      </x:c>
      <x:c r="AJ679" s="11" t="n">
        <x:v>23214589</x:v>
      </x:c>
      <x:c r="AK679" s="11" t="n">
        <x:v>17396190</x:v>
      </x:c>
      <x:c r="AL679" s="11" t="n">
        <x:v>0</x:v>
      </x:c>
      <x:c r="AM679" s="12" t="n">
        <x:v>1</x:v>
      </x:c>
      <x:c r="AN679" s="12" t="n">
        <x:v>1.334463983205518</x:v>
      </x:c>
      <x:c r="AO679" s="11" t="n">
        <x:v>33156598</x:v>
      </x:c>
      <x:c r="AP679" s="11" t="n">
        <x:v>32118137</x:v>
      </x:c>
      <x:c r="AQ679" s="12" t="n">
        <x:v>0.9686801100643678</x:v>
      </x:c>
      <x:c r="AR679" s="11" t="n">
        <x:v>16075.269694161261</x:v>
      </x:c>
      <x:c r="AS679" s="11" t="n">
        <x:v>14149.493666975595</x:v>
      </x:c>
      <x:c r="AT679" s="11" t="n">
        <x:v>21730.68736484399</x:v>
      </x:c>
      <x:c r="AU679" s="11" t="n">
        <x:v>514.6561631139945</x:v>
      </x:c>
      <x:c r="AV679" s="11" t="n">
        <x:v>8236.524250849552</x:v>
      </x:c>
      <x:c r="AW679" s="11" t="n">
        <x:v>1.0186789307991113</x:v>
      </x:c>
      <x:c r="AX679" s="12" t="n">
        <x:v>0.5564230136405358</x:v>
      </x:c>
      <x:c r="AY679" s="11"/>
      <x:c r="AZ679" s="11"/>
      <x:c r="BA679" s="11"/>
      <x:c r="BB679" s="11"/>
      <x:c r="BC679" s="11"/>
      <x:c r="BD679" s="11"/>
      <x:c r="BE679" s="11"/>
      <x:c r="BF679" s="11"/>
      <x:c r="BG679" s="11"/>
      <x:c r="BH679" s="11"/>
      <x:c r="BI679" s="11"/>
      <x:c r="BJ679" s="11"/>
      <x:c r="BK679" s="12"/>
      <x:c r="BL679" s="12"/>
      <x:c r="BM679" s="12"/>
      <x:c r="BN679" s="12"/>
      <x:c r="BO679" s="12"/>
      <x:c r="BP679" s="12"/>
      <x:c r="BQ679" s="12"/>
      <x:c r="BR679" s="12"/>
      <x:c r="BS679" s="12"/>
      <x:c r="BT679" s="12"/>
      <x:c r="BU679" s="11" t="n">
        <x:v>29772</x:v>
      </x:c>
      <x:c r="BV679" s="11" t="n">
        <x:v>2389795</x:v>
      </x:c>
      <x:c r="BW679" s="11" t="n">
        <x:v>1336750</x:v>
      </x:c>
      <x:c r="BX679" s="11" t="n">
        <x:v>1386069</x:v>
      </x:c>
      <x:c r="BY679" s="11" t="n">
        <x:v>993000</x:v>
      </x:c>
      <x:c r="BZ679" s="11" t="n">
        <x:v>39516</x:v>
      </x:c>
      <x:c r="CA679" s="11" t="n">
        <x:v>73410</x:v>
      </x:c>
      <x:c r="CB679" s="11" t="n">
        <x:v>134989</x:v>
      </x:c>
      <x:c r="CC679" s="11" t="n">
        <x:v>4889143</x:v>
      </x:c>
      <x:c r="CD679" s="11" t="n">
        <x:v>12821424</x:v>
      </x:c>
      <x:c r="CE679" s="11" t="n">
        <x:v>4522358</x:v>
      </x:c>
      <x:c r="CF679" s="11" t="n">
        <x:v>0</x:v>
      </x:c>
      <x:c r="CG679" s="11" t="n">
        <x:v>1076510</x:v>
      </x:c>
      <x:c r="CH679" s="11" t="n">
        <x:v>7198641</x:v>
      </x:c>
      <x:c r="CI679" s="11" t="n">
        <x:v>6351805</x:v>
      </x:c>
      <x:c r="CJ679" s="11" t="n">
        <x:v>3540338</x:v>
      </x:c>
      <x:c r="CK679" s="11" t="n">
        <x:v>1277210</x:v>
      </x:c>
      <x:c r="CL679" s="11" t="n">
        <x:v>345611</x:v>
      </x:c>
      <x:c r="CM679" s="11"/>
      <x:c r="CN679" s="11" t="n">
        <x:v>0</x:v>
      </x:c>
      <x:c r="CO679" s="11" t="n">
        <x:v>0</x:v>
      </x:c>
      <x:c r="CP679" s="8"/>
      <x:c r="CQ679" s="8"/>
    </x:row>
    <x:row r="680">
      <x:c r="A680" s="8" t="str">
        <x:v>Prince Rupert|2023</x:v>
      </x:c>
      <x:c r="B680" s="8" t="str">
        <x:v>prince-rupert-c</x:v>
      </x:c>
      <x:c r="C680" s="8" t="str">
        <x:v>Prince Rupert</x:v>
      </x:c>
      <x:c r="D680" s="8" t="str">
        <x:v>Prince Rupert</x:v>
      </x:c>
      <x:c r="E680" s="8" t="str">
        <x:v>C</x:v>
      </x:c>
      <x:c r="F680" s="8" t="str">
        <x:v>NCRD</x:v>
      </x:c>
      <x:c r="G680" s="9" t="n">
        <x:v>2023</x:v>
      </x:c>
      <x:c r="H680" s="10" t="n">
        <x:v>13536</x:v>
      </x:c>
      <x:c r="I680" s="8" t="str">
        <x:v>5,000 to 19,999</x:v>
      </x:c>
      <x:c r="J680" s="11" t="n">
        <x:v>67013540</x:v>
      </x:c>
      <x:c r="K680" s="11" t="n">
        <x:v>51985643</x:v>
      </x:c>
      <x:c r="L680" s="11" t="n">
        <x:v>15027897</x:v>
      </x:c>
      <x:c r="M680" s="12" t="n">
        <x:v>0.22425165123346716</x:v>
      </x:c>
      <x:c r="N680" s="11" t="n">
        <x:v>29379583</x:v>
      </x:c>
      <x:c r="O680" s="11" t="n">
        <x:v>22979766</x:v>
      </x:c>
      <x:c r="P680" s="11" t="n">
        <x:v>6734633</x:v>
      </x:c>
      <x:c r="Q680" s="11" t="n">
        <x:v>7919558</x:v>
      </x:c>
      <x:c r="R680" s="11" t="n">
        <x:v>46986811</x:v>
      </x:c>
      <x:c r="S680" s="11" t="n">
        <x:v>4136486</x:v>
      </x:c>
      <x:c r="T680" s="11" t="n">
        <x:v>134928375</x:v>
      </x:c>
      <x:c r="U680" s="11" t="n">
        <x:v>149317984</x:v>
      </x:c>
      <x:c r="V680" s="11" t="n">
        <x:v>55534063</x:v>
      </x:c>
      <x:c r="W680" s="11" t="n">
        <x:v>1874547</x:v>
      </x:c>
      <x:c r="X680" s="11" t="n">
        <x:v>26661629</x:v>
      </x:c>
      <x:c r="Y680" s="11" t="n">
        <x:v>10117235</x:v>
      </x:c>
      <x:c r="Z680" s="11" t="n">
        <x:v>1615660</x:v>
      </x:c>
      <x:c r="AA680" s="11" t="n">
        <x:v>34951150</x:v>
      </x:c>
      <x:c r="AB680" s="11" t="n">
        <x:v>862346</x:v>
      </x:c>
      <x:c r="AC680" s="11" t="n">
        <x:v>2478006</x:v>
      </x:c>
      <x:c r="AD680" s="11" t="n">
        <x:v>12691177</x:v>
      </x:c>
      <x:c r="AE680" s="11" t="n">
        <x:v>3780171</x:v>
      </x:c>
      <x:c r="AF680" s="11" t="n">
        <x:v>50764706</x:v>
      </x:c>
      <x:c r="AG680" s="11" t="n">
        <x:v>237779986</x:v>
      </x:c>
      <x:c r="AH680" s="11" t="n">
        <x:v>80489685</x:v>
      </x:c>
      <x:c r="AI680" s="11" t="n">
        <x:v>157290301</x:v>
      </x:c>
      <x:c r="AJ680" s="11" t="n">
        <x:v>27565931</x:v>
      </x:c>
      <x:c r="AK680" s="11" t="n">
        <x:v>27465926</x:v>
      </x:c>
      <x:c r="AL680" s="11" t="n">
        <x:v>0</x:v>
      </x:c>
      <x:c r="AM680" s="12" t="n">
        <x:v>1</x:v>
      </x:c>
      <x:c r="AN680" s="12" t="n">
        <x:v>1.0036410569226757</x:v>
      </x:c>
      <x:c r="AO680" s="11" t="n">
        <x:v>36386441</x:v>
      </x:c>
      <x:c r="AP680" s="11" t="n">
        <x:v>34794796</x:v>
      </x:c>
      <x:c r="AQ680" s="12" t="n">
        <x:v>0.956257194816058</x:v>
      </x:c>
      <x:c r="AR680" s="11" t="n">
        <x:v>4950.763888888889</x:v>
      </x:c>
      <x:c r="AS680" s="11" t="n">
        <x:v>3840.5469119385343</x:v>
      </x:c>
      <x:c r="AT680" s="11" t="n">
        <x:v>4102.6937795508275</x:v>
      </x:c>
      <x:c r="AU680" s="11" t="n">
        <x:v>138.48603723404256</x:v>
      </x:c>
      <x:c r="AV680" s="11" t="n">
        <x:v>2582.088504728132</x:v>
      </x:c>
      <x:c r="AW680" s="11" t="n">
        <x:v>0.9036311058150905</x:v>
      </x:c>
      <x:c r="AX680" s="12" t="n">
        <x:v>0.29785818919710916</x:v>
      </x:c>
      <x:c r="AY680" s="11"/>
      <x:c r="AZ680" s="11"/>
      <x:c r="BA680" s="11"/>
      <x:c r="BB680" s="11"/>
      <x:c r="BC680" s="11"/>
      <x:c r="BD680" s="11"/>
      <x:c r="BE680" s="11"/>
      <x:c r="BF680" s="11"/>
      <x:c r="BG680" s="11"/>
      <x:c r="BH680" s="11"/>
      <x:c r="BI680" s="11"/>
      <x:c r="BJ680" s="11"/>
      <x:c r="BK680" s="12"/>
      <x:c r="BL680" s="12"/>
      <x:c r="BM680" s="12"/>
      <x:c r="BN680" s="12"/>
      <x:c r="BO680" s="12"/>
      <x:c r="BP680" s="12"/>
      <x:c r="BQ680" s="12"/>
      <x:c r="BR680" s="12"/>
      <x:c r="BS680" s="12"/>
      <x:c r="BT680" s="12"/>
      <x:c r="BU680" s="11" t="n">
        <x:v>9000</x:v>
      </x:c>
      <x:c r="BV680" s="11" t="n">
        <x:v>6577084</x:v>
      </x:c>
      <x:c r="BW680" s="11" t="n">
        <x:v>148549</x:v>
      </x:c>
      <x:c r="BX680" s="11" t="n">
        <x:v>5614623</x:v>
      </x:c>
      <x:c r="BY680" s="11" t="n">
        <x:v>1998000</x:v>
      </x:c>
      <x:c r="BZ680" s="11" t="n">
        <x:v>91116</x:v>
      </x:c>
      <x:c r="CA680" s="11" t="n">
        <x:v>90727</x:v>
      </x:c>
      <x:c r="CB680" s="11" t="n">
        <x:v>125092</x:v>
      </x:c>
      <x:c r="CC680" s="11" t="n">
        <x:v>6351518</x:v>
      </x:c>
      <x:c r="CD680" s="11" t="n">
        <x:v>13250899</x:v>
      </x:c>
      <x:c r="CE680" s="11" t="n">
        <x:v>7331967</x:v>
      </x:c>
      <x:c r="CF680" s="11" t="n">
        <x:v>0</x:v>
      </x:c>
      <x:c r="CG680" s="11" t="n">
        <x:v>1167446</x:v>
      </x:c>
      <x:c r="CH680" s="11" t="n">
        <x:v>7003632</x:v>
      </x:c>
      <x:c r="CI680" s="11" t="n">
        <x:v>6208985</x:v>
      </x:c>
      <x:c r="CJ680" s="11" t="n">
        <x:v>3827062</x:v>
      </x:c>
      <x:c r="CK680" s="11" t="n">
        <x:v>1457491</x:v>
      </x:c>
      <x:c r="CL680" s="11" t="n">
        <x:v>284309</x:v>
      </x:c>
      <x:c r="CM680" s="11" t="n">
        <x:v>351952</x:v>
      </x:c>
      <x:c r="CN680" s="11" t="n">
        <x:v>613896</x:v>
      </x:c>
      <x:c r="CO680" s="11" t="n">
        <x:v>0</x:v>
      </x:c>
      <x:c r="CP680" s="8"/>
      <x:c r="CQ680" s="8"/>
    </x:row>
    <x:row r="681">
      <x:c r="A681" s="8" t="str">
        <x:v>Prince Rupert|2024</x:v>
      </x:c>
      <x:c r="B681" s="8" t="str">
        <x:v>prince-rupert-c</x:v>
      </x:c>
      <x:c r="C681" s="8" t="str">
        <x:v>Prince Rupert</x:v>
      </x:c>
      <x:c r="D681" s="8" t="str">
        <x:v>Prince Rupert</x:v>
      </x:c>
      <x:c r="E681" s="8" t="str">
        <x:v>C</x:v>
      </x:c>
      <x:c r="F681" s="8" t="str">
        <x:v>NCRD</x:v>
      </x:c>
      <x:c r="G681" s="9" t="n">
        <x:v>2024</x:v>
      </x:c>
      <x:c r="H681" s="10" t="n">
        <x:v>13536</x:v>
      </x:c>
      <x:c r="I681" s="8" t="str">
        <x:v>5,000 to 19,999</x:v>
      </x:c>
      <x:c r="J681" s="11" t="n">
        <x:v>79006955</x:v>
      </x:c>
      <x:c r="K681" s="11" t="n">
        <x:v>53804064</x:v>
      </x:c>
      <x:c r="L681" s="11" t="n">
        <x:v>25202891</x:v>
      </x:c>
      <x:c r="M681" s="12" t="n">
        <x:v>0.3189958529600337</x:v>
      </x:c>
      <x:c r="N681" s="11" t="n">
        <x:v>32026886</x:v>
      </x:c>
      <x:c r="O681" s="11" t="n">
        <x:v>19384591</x:v>
      </x:c>
      <x:c r="P681" s="11" t="n">
        <x:v>19859924</x:v>
      </x:c>
      <x:c r="Q681" s="11" t="n">
        <x:v>7735554</x:v>
      </x:c>
      <x:c r="R681" s="11" t="n">
        <x:v>47440949</x:v>
      </x:c>
      <x:c r="S681" s="11" t="n">
        <x:v>4954464</x:v>
      </x:c>
      <x:c r="T681" s="11" t="n">
        <x:v>124515401</x:v>
      </x:c>
      <x:c r="U681" s="11" t="n">
        <x:v>155051482</x:v>
      </x:c>
      <x:c r="V681" s="11" t="n">
        <x:v>35800985</x:v>
      </x:c>
      <x:c r="W681" s="11" t="n">
        <x:v>6441123</x:v>
      </x:c>
      <x:c r="X681" s="11" t="n">
        <x:v>34951150</x:v>
      </x:c>
      <x:c r="Y681" s="11" t="n">
        <x:v>14470000</x:v>
      </x:c>
      <x:c r="Z681" s="11" t="n">
        <x:v>1740313</x:v>
      </x:c>
      <x:c r="AA681" s="11" t="n">
        <x:v>47443399</x:v>
      </x:c>
      <x:c r="AB681" s="11" t="n">
        <x:v>1408651</x:v>
      </x:c>
      <x:c r="AC681" s="11" t="n">
        <x:v>3148964</x:v>
      </x:c>
      <x:c r="AD681" s="11" t="n">
        <x:v>12668284</x:v>
      </x:c>
      <x:c r="AE681" s="11" t="n">
        <x:v>4691020</x:v>
      </x:c>
      <x:c r="AF681" s="11" t="n">
        <x:v>50673136</x:v>
      </x:c>
      <x:c r="AG681" s="11" t="n">
        <x:v>289338174</x:v>
      </x:c>
      <x:c r="AH681" s="11" t="n">
        <x:v>85196373</x:v>
      </x:c>
      <x:c r="AI681" s="11" t="n">
        <x:v>204141801</x:v>
      </x:c>
      <x:c r="AJ681" s="11" t="n">
        <x:v>51805966</x:v>
      </x:c>
      <x:c r="AK681" s="11" t="n">
        <x:v>899595714</x:v>
      </x:c>
      <x:c r="AL681" s="11" t="n">
        <x:v>1113200</x:v>
      </x:c>
      <x:c r="AM681" s="12" t="n">
        <x:v>0.9987625552426765</x:v>
      </x:c>
      <x:c r="AN681" s="12" t="n">
        <x:v>0.05758805338194397</x:v>
      </x:c>
      <x:c r="AO681" s="11" t="n">
        <x:v>39827532</x:v>
      </x:c>
      <x:c r="AP681" s="11" t="n">
        <x:v>38093354</x:v>
      </x:c>
      <x:c r="AQ681" s="12" t="n">
        <x:v>0.9564578091356501</x:v>
      </x:c>
      <x:c r="AR681" s="11" t="n">
        <x:v>5836.80223108747</x:v>
      </x:c>
      <x:c r="AS681" s="11" t="n">
        <x:v>3974.886524822695</x:v>
      </x:c>
      <x:c r="AT681" s="11" t="n">
        <x:v>2644.871823286052</x:v>
      </x:c>
      <x:c r="AU681" s="11" t="n">
        <x:v>475.8512854609929</x:v>
      </x:c>
      <x:c r="AV681" s="11" t="n">
        <x:v>3504.979240543735</x:v>
      </x:c>
      <x:c r="AW681" s="11" t="n">
        <x:v>0.8030584383579127</x:v>
      </x:c>
      <x:c r="AX681" s="12" t="n">
        <x:v>0.37029640320662216</x:v>
      </x:c>
      <x:c r="AY681" s="11" t="n">
        <x:v>3601.3561989291247</x:v>
      </x:c>
      <x:c r="AZ681" s="11" t="n">
        <x:v>3546.5079302077975</x:v>
      </x:c>
      <x:c r="BA681" s="11" t="n">
        <x:v>2957.8976990295423</x:v>
      </x:c>
      <x:c r="BB681" s="11" t="n">
        <x:v>2783.665107049771</x:v>
      </x:c>
      <x:c r="BC681" s="11" t="n">
        <x:v>1917.0647247750476</x:v>
      </x:c>
      <x:c r="BD681" s="11" t="n">
        <x:v>2437.8724475115623</x:v>
      </x:c>
      <x:c r="BE681" s="11" t="n">
        <x:v>987.5598464714869</x:v>
      </x:c>
      <x:c r="BF681" s="11" t="n">
        <x:v>1604.3462673977224</x:v>
      </x:c>
      <x:c r="BG681" s="11" t="n">
        <x:v>936.3446522221191</x:v>
      </x:c>
      <x:c r="BH681" s="11" t="n">
        <x:v>518.5374381567245</x:v>
      </x:c>
      <x:c r="BI681" s="11" t="n">
        <x:v>1.3967465323081123</x:v>
      </x:c>
      <x:c r="BJ681" s="11" t="n">
        <x:v>1.7099330852451193</x:v>
      </x:c>
      <x:c r="BK681" s="12" t="n">
        <x:v>0.018327243000235003</x:v>
      </x:c>
      <x:c r="BL681" s="12" t="n">
        <x:v>0.02529861000232605</x:v>
      </x:c>
      <x:c r="BM681" s="12" t="n">
        <x:v>0.982034678745671</x:v>
      </x:c>
      <x:c r="BN681" s="12" t="n">
        <x:v>0.9815511712696461</x:v>
      </x:c>
      <x:c r="BO681" s="12" t="n">
        <x:v>0.7988058564062199</x:v>
      </x:c>
      <x:c r="BP681" s="12" t="n">
        <x:v>0.8619101997275483</x:v>
      </x:c>
      <x:c r="BQ681" s="12" t="n">
        <x:v>0.970292410805516</x:v>
      </x:c>
      <x:c r="BR681" s="12" t="n">
        <x:v>0.9623635142836453</x:v>
      </x:c>
      <x:c r="BS681" s="12" t="n">
        <x:v>0.19624174475580758</x:v>
      </x:c>
      <x:c r="BT681" s="12" t="n">
        <x:v>0.19976549769108282</x:v>
      </x:c>
      <x:c r="BU681" s="11" t="n">
        <x:v>4471897</x:v>
      </x:c>
      <x:c r="BV681" s="11" t="n">
        <x:v>14445608</x:v>
      </x:c>
      <x:c r="BW681" s="11" t="n">
        <x:v>942419</x:v>
      </x:c>
      <x:c r="BX681" s="11" t="n">
        <x:v>6556420</x:v>
      </x:c>
      <x:c r="BY681" s="11" t="n">
        <x:v>-61000</x:v>
      </x:c>
      <x:c r="BZ681" s="11" t="n">
        <x:v>113590</x:v>
      </x:c>
      <x:c r="CA681" s="11" t="n">
        <x:v>0</x:v>
      </x:c>
      <x:c r="CB681" s="11" t="n">
        <x:v>1126544</x:v>
      </x:c>
      <x:c r="CC681" s="11" t="n">
        <x:v>8392875</x:v>
      </x:c>
      <x:c r="CD681" s="11" t="n">
        <x:v>14604757</x:v>
      </x:c>
      <x:c r="CE681" s="11" t="n">
        <x:v>6271680</x:v>
      </x:c>
      <x:c r="CF681" s="11" t="n">
        <x:v>0</x:v>
      </x:c>
      <x:c r="CG681" s="11" t="n">
        <x:v>1296097</x:v>
      </x:c>
      <x:c r="CH681" s="11" t="n">
        <x:v>6193995</x:v>
      </x:c>
      <x:c r="CI681" s="11" t="n">
        <x:v>6436681</x:v>
      </x:c>
      <x:c r="CJ681" s="11" t="n">
        <x:v>3752414</x:v>
      </x:c>
      <x:c r="CK681" s="11" t="n">
        <x:v>1275040</x:v>
      </x:c>
      <x:c r="CL681" s="11" t="n">
        <x:v>314422</x:v>
      </x:c>
      <x:c r="CM681" s="11" t="n">
        <x:v>311639</x:v>
      </x:c>
      <x:c r="CN681" s="11" t="n">
        <x:v>0</x:v>
      </x:c>
      <x:c r="CO681" s="11" t="n">
        <x:v>0</x:v>
      </x:c>
      <x:c r="CP681" s="8"/>
      <x:c r="CQ681" s="8"/>
    </x:row>
    <x:row r="682">
      <x:c r="A682" s="8" t="str">
        <x:v>Princeton|2019</x:v>
      </x:c>
      <x:c r="B682" s="8" t="str">
        <x:v>princeton-t</x:v>
      </x:c>
      <x:c r="C682" s="8" t="str">
        <x:v>Princeton</x:v>
      </x:c>
      <x:c r="D682" s="8" t="str">
        <x:v>Princeton</x:v>
      </x:c>
      <x:c r="E682" s="8" t="str">
        <x:v>T</x:v>
      </x:c>
      <x:c r="F682" s="8" t="str">
        <x:v>OKS</x:v>
      </x:c>
      <x:c r="G682" s="9" t="n">
        <x:v>2019</x:v>
      </x:c>
      <x:c r="H682" s="10" t="n">
        <x:v>2988</x:v>
      </x:c>
      <x:c r="I682" s="8" t="str">
        <x:v>Under 5,000</x:v>
      </x:c>
      <x:c r="J682" s="11" t="n">
        <x:v>7713948</x:v>
      </x:c>
      <x:c r="K682" s="11" t="n">
        <x:v>7529149</x:v>
      </x:c>
      <x:c r="L682" s="11" t="n">
        <x:v>184799</x:v>
      </x:c>
      <x:c r="M682" s="12" t="n">
        <x:v>0.02395647468715112</x:v>
      </x:c>
      <x:c r="N682" s="11" t="n">
        <x:v>2851543</x:v>
      </x:c>
      <x:c r="O682" s="11" t="n">
        <x:v>1728356</x:v>
      </x:c>
      <x:c r="P682" s="11" t="n">
        <x:v>2256519</x:v>
      </x:c>
      <x:c r="Q682" s="11" t="n">
        <x:v>877530</x:v>
      </x:c>
      <x:c r="R682" s="11" t="n">
        <x:v>6408032</x:v>
      </x:c>
      <x:c r="S682" s="11" t="n">
        <x:v>1121117</x:v>
      </x:c>
      <x:c r="T682" s="11" t="n">
        <x:v>3987843</x:v>
      </x:c>
      <x:c r="U682" s="11" t="n">
        <x:v>1415228</x:v>
      </x:c>
      <x:c r="V682" s="11" t="n">
        <x:v>5660282</x:v>
      </x:c>
      <x:c r="W682" s="11" t="n">
        <x:v>4681872</x:v>
      </x:c>
      <x:c r="X682" s="11" t="n">
        <x:v>0</x:v>
      </x:c>
      <x:c r="Y682" s="11" t="n">
        <x:v>0</x:v>
      </x:c>
      <x:c r="Z682" s="11" t="n">
        <x:v>0</x:v>
      </x:c>
      <x:c r="AA682" s="11" t="n">
        <x:v>0</x:v>
      </x:c>
      <x:c r="AB682" s="11" t="n">
        <x:v>0</x:v>
      </x:c>
      <x:c r="AC682" s="11" t="n">
        <x:v>0</x:v>
      </x:c>
      <x:c r="AD682" s="11" t="n">
        <x:v>868366</x:v>
      </x:c>
      <x:c r="AE682" s="11" t="n">
        <x:v>868366</x:v>
      </x:c>
      <x:c r="AF682" s="11" t="n">
        <x:v>3473464</x:v>
      </x:c>
      <x:c r="AG682" s="11" t="n">
        <x:v>38290785</x:v>
      </x:c>
      <x:c r="AH682" s="11" t="n">
        <x:v>16957375</x:v>
      </x:c>
      <x:c r="AI682" s="11" t="n">
        <x:v>21333410</x:v>
      </x:c>
      <x:c r="AJ682" s="11" t="n">
        <x:v>1308050</x:v>
      </x:c>
      <x:c r="AK682" s="11" t="n">
        <x:v>3831343</x:v>
      </x:c>
      <x:c r="AL682" s="11" t="n">
        <x:v>0</x:v>
      </x:c>
      <x:c r="AM682" s="12" t="n">
        <x:v>1</x:v>
      </x:c>
      <x:c r="AN682" s="12" t="n">
        <x:v>0.34140769959776507</x:v>
      </x:c>
      <x:c r="AO682" s="11" t="n">
        <x:v>4796854</x:v>
      </x:c>
      <x:c r="AP682" s="11" t="n">
        <x:v>4585579</x:v>
      </x:c>
      <x:c r="AQ682" s="12" t="n">
        <x:v>0.9559555075055443</x:v>
      </x:c>
      <x:c r="AR682" s="11" t="n">
        <x:v>2581.6425702811243</x:v>
      </x:c>
      <x:c r="AS682" s="11" t="n">
        <x:v>2519.795515394913</x:v>
      </x:c>
      <x:c r="AT682" s="11" t="n">
        <x:v>1894.3380187416333</x:v>
      </x:c>
      <x:c r="AU682" s="11" t="n">
        <x:v>1566.8915662650602</x:v>
      </x:c>
      <x:c r="AV682" s="11" t="n">
        <x:v>0</x:v>
      </x:c>
      <x:c r="AW682" s="11" t="n">
        <x:v>2.817809568493557</x:v>
      </x:c>
      <x:c r="AX682" s="12" t="n">
        <x:v>1</x:v>
      </x:c>
      <x:c r="AY682" s="11"/>
      <x:c r="AZ682" s="11"/>
      <x:c r="BA682" s="11"/>
      <x:c r="BB682" s="11"/>
      <x:c r="BC682" s="11"/>
      <x:c r="BD682" s="11"/>
      <x:c r="BE682" s="11"/>
      <x:c r="BF682" s="11"/>
      <x:c r="BG682" s="11"/>
      <x:c r="BH682" s="11"/>
      <x:c r="BI682" s="11"/>
      <x:c r="BJ682" s="11"/>
      <x:c r="BK682" s="12"/>
      <x:c r="BL682" s="12"/>
      <x:c r="BM682" s="12"/>
      <x:c r="BN682" s="12"/>
      <x:c r="BO682" s="12"/>
      <x:c r="BP682" s="12"/>
      <x:c r="BQ682" s="12"/>
      <x:c r="BR682" s="12"/>
      <x:c r="BS682" s="12"/>
      <x:c r="BT682" s="12"/>
      <x:c r="BU682" s="11" t="n">
        <x:v>354961</x:v>
      </x:c>
      <x:c r="BV682" s="11" t="n">
        <x:v>1177319</x:v>
      </x:c>
      <x:c r="BW682" s="11" t="n">
        <x:v>724239</x:v>
      </x:c>
      <x:c r="BX682" s="11" t="n">
        <x:v>87547</x:v>
      </x:c>
      <x:c r="BY682" s="11" t="n">
        <x:v>112463</x:v>
      </x:c>
      <x:c r="BZ682" s="11" t="n">
        <x:v>0</x:v>
      </x:c>
      <x:c r="CA682" s="11" t="n">
        <x:v>677520</x:v>
      </x:c>
      <x:c r="CB682" s="11" t="n">
        <x:v>0</x:v>
      </x:c>
      <x:c r="CC682" s="11" t="n">
        <x:v>1168865</x:v>
      </x:c>
      <x:c r="CD682" s="11" t="n">
        <x:v>267440</x:v>
      </x:c>
      <x:c r="CE682" s="11" t="n">
        <x:v>1115203</x:v>
      </x:c>
      <x:c r="CF682" s="11" t="n">
        <x:v>24320</x:v>
      </x:c>
      <x:c r="CG682" s="11" t="n">
        <x:v>456651</x:v>
      </x:c>
      <x:c r="CH682" s="11" t="n">
        <x:v>1501372</x:v>
      </x:c>
      <x:c r="CI682" s="11" t="n">
        <x:v>1208946</x:v>
      </x:c>
      <x:c r="CJ682" s="11" t="n">
        <x:v>434299</x:v>
      </x:c>
      <x:c r="CK682" s="11" t="n">
        <x:v>230936</x:v>
      </x:c>
      <x:c r="CL682" s="11" t="n">
        <x:v>0</x:v>
      </x:c>
      <x:c r="CM682" s="11"/>
      <x:c r="CN682" s="11" t="n">
        <x:v>0</x:v>
      </x:c>
      <x:c r="CO682" s="11" t="n">
        <x:v>0</x:v>
      </x:c>
      <x:c r="CP682" s="8"/>
      <x:c r="CQ682" s="8"/>
    </x:row>
    <x:row r="683">
      <x:c r="A683" s="8" t="str">
        <x:v>Princeton|2020</x:v>
      </x:c>
      <x:c r="B683" s="8" t="str">
        <x:v>princeton-t</x:v>
      </x:c>
      <x:c r="C683" s="8" t="str">
        <x:v>Princeton</x:v>
      </x:c>
      <x:c r="D683" s="8" t="str">
        <x:v>Princeton</x:v>
      </x:c>
      <x:c r="E683" s="8" t="str">
        <x:v>T</x:v>
      </x:c>
      <x:c r="F683" s="8" t="str">
        <x:v>OKS</x:v>
      </x:c>
      <x:c r="G683" s="9" t="n">
        <x:v>2020</x:v>
      </x:c>
      <x:c r="H683" s="10" t="n">
        <x:v>3108</x:v>
      </x:c>
      <x:c r="I683" s="8" t="str">
        <x:v>Under 5,000</x:v>
      </x:c>
      <x:c r="J683" s="11" t="n">
        <x:v>7917139</x:v>
      </x:c>
      <x:c r="K683" s="11" t="n">
        <x:v>7429991</x:v>
      </x:c>
      <x:c r="L683" s="11" t="n">
        <x:v>487148</x:v>
      </x:c>
      <x:c r="M683" s="12" t="n">
        <x:v>0.06153081308790966</x:v>
      </x:c>
      <x:c r="N683" s="11" t="n">
        <x:v>3094617</x:v>
      </x:c>
      <x:c r="O683" s="11" t="n">
        <x:v>2065710</x:v>
      </x:c>
      <x:c r="P683" s="11" t="n">
        <x:v>2547808</x:v>
      </x:c>
      <x:c r="Q683" s="11" t="n">
        <x:v>209004</x:v>
      </x:c>
      <x:c r="R683" s="11" t="n">
        <x:v>6254836</x:v>
      </x:c>
      <x:c r="S683" s="11" t="n">
        <x:v>1174781</x:v>
      </x:c>
      <x:c r="T683" s="11" t="n">
        <x:v>4843744</x:v>
      </x:c>
      <x:c r="U683" s="11" t="n">
        <x:v>2052761</x:v>
      </x:c>
      <x:c r="V683" s="11" t="n">
        <x:v>5845305</x:v>
      </x:c>
      <x:c r="W683" s="11" t="n">
        <x:v>4901802</x:v>
      </x:c>
      <x:c r="X683" s="11" t="n">
        <x:v>0</x:v>
      </x:c>
      <x:c r="Y683" s="11" t="n">
        <x:v>0</x:v>
      </x:c>
      <x:c r="Z683" s="11" t="n">
        <x:v>0</x:v>
      </x:c>
      <x:c r="AA683" s="11" t="n">
        <x:v>0</x:v>
      </x:c>
      <x:c r="AB683" s="11" t="n">
        <x:v>374</x:v>
      </x:c>
      <x:c r="AC683" s="11" t="n">
        <x:v>374</x:v>
      </x:c>
      <x:c r="AD683" s="11" t="n">
        <x:v>988899</x:v>
      </x:c>
      <x:c r="AE683" s="11" t="n">
        <x:v>988525</x:v>
      </x:c>
      <x:c r="AF683" s="11" t="n">
        <x:v>3955595</x:v>
      </x:c>
      <x:c r="AG683" s="11" t="n">
        <x:v>39740012</x:v>
      </x:c>
      <x:c r="AH683" s="11" t="n">
        <x:v>18083133</x:v>
      </x:c>
      <x:c r="AI683" s="11" t="n">
        <x:v>21656879</x:v>
      </x:c>
      <x:c r="AJ683" s="11" t="n">
        <x:v>1499632</x:v>
      </x:c>
      <x:c r="AK683" s="11" t="n">
        <x:v>3930152</x:v>
      </x:c>
      <x:c r="AL683" s="11" t="n">
        <x:v>0</x:v>
      </x:c>
      <x:c r="AM683" s="12" t="n">
        <x:v>1</x:v>
      </x:c>
      <x:c r="AN683" s="12" t="n">
        <x:v>0.3815709926740747</x:v>
      </x:c>
      <x:c r="AO683" s="11" t="n">
        <x:v>4775302</x:v>
      </x:c>
      <x:c r="AP683" s="11" t="n">
        <x:v>4363472</x:v>
      </x:c>
      <x:c r="AQ683" s="12" t="n">
        <x:v>0.9137583340278793</x:v>
      </x:c>
      <x:c r="AR683" s="11" t="n">
        <x:v>2547.3420205920206</x:v>
      </x:c>
      <x:c r="AS683" s="11" t="n">
        <x:v>2390.6019948519947</x:v>
      </x:c>
      <x:c r="AT683" s="11" t="n">
        <x:v>1880.7287644787646</x:v>
      </x:c>
      <x:c r="AU683" s="11" t="n">
        <x:v>1577.1563706563707</x:v>
      </x:c>
      <x:c r="AV683" s="11" t="n">
        <x:v>0</x:v>
      </x:c>
      <x:c r="AW683" s="11" t="n">
        <x:v>2.359623940634102</x:v>
      </x:c>
      <x:c r="AX683" s="12" t="n">
        <x:v>0.9996218016197812</x:v>
      </x:c>
      <x:c r="AY683" s="11"/>
      <x:c r="AZ683" s="11"/>
      <x:c r="BA683" s="11"/>
      <x:c r="BB683" s="11"/>
      <x:c r="BC683" s="11"/>
      <x:c r="BD683" s="11"/>
      <x:c r="BE683" s="11"/>
      <x:c r="BF683" s="11"/>
      <x:c r="BG683" s="11"/>
      <x:c r="BH683" s="11"/>
      <x:c r="BI683" s="11"/>
      <x:c r="BJ683" s="11"/>
      <x:c r="BK683" s="12"/>
      <x:c r="BL683" s="12"/>
      <x:c r="BM683" s="12"/>
      <x:c r="BN683" s="12"/>
      <x:c r="BO683" s="12"/>
      <x:c r="BP683" s="12"/>
      <x:c r="BQ683" s="12"/>
      <x:c r="BR683" s="12"/>
      <x:c r="BS683" s="12"/>
      <x:c r="BT683" s="12"/>
      <x:c r="BU683" s="11" t="n">
        <x:v>179260</x:v>
      </x:c>
      <x:c r="BV683" s="11" t="n">
        <x:v>1590889</x:v>
      </x:c>
      <x:c r="BW683" s="11" t="n">
        <x:v>777659</x:v>
      </x:c>
      <x:c r="BX683" s="11" t="n">
        <x:v>51576</x:v>
      </x:c>
      <x:c r="BY683" s="11" t="n">
        <x:v>126928</x:v>
      </x:c>
      <x:c r="BZ683" s="11" t="n">
        <x:v>0</x:v>
      </x:c>
      <x:c r="CA683" s="11" t="n">
        <x:v>30500</x:v>
      </x:c>
      <x:c r="CB683" s="11" t="n">
        <x:v>0</x:v>
      </x:c>
      <x:c r="CC683" s="11" t="n">
        <x:v>985441</x:v>
      </x:c>
      <x:c r="CD683" s="11" t="n">
        <x:v>339301</x:v>
      </x:c>
      <x:c r="CE683" s="11" t="n">
        <x:v>829010</x:v>
      </x:c>
      <x:c r="CF683" s="11" t="n">
        <x:v>71176</x:v>
      </x:c>
      <x:c r="CG683" s="11" t="n">
        <x:v>458581</x:v>
      </x:c>
      <x:c r="CH683" s="11" t="n">
        <x:v>1511196</x:v>
      </x:c>
      <x:c r="CI683" s="11" t="n">
        <x:v>1140148</x:v>
      </x:c>
      <x:c r="CJ683" s="11" t="n">
        <x:v>618114</x:v>
      </x:c>
      <x:c r="CK683" s="11" t="n">
        <x:v>302243</x:v>
      </x:c>
      <x:c r="CL683" s="11" t="n">
        <x:v>0</x:v>
      </x:c>
      <x:c r="CM683" s="11"/>
      <x:c r="CN683" s="11" t="n">
        <x:v>0</x:v>
      </x:c>
      <x:c r="CO683" s="11" t="n">
        <x:v>0</x:v>
      </x:c>
      <x:c r="CP683" s="8"/>
      <x:c r="CQ683" s="8"/>
    </x:row>
    <x:row r="684">
      <x:c r="A684" s="8" t="str">
        <x:v>Princeton|2021</x:v>
      </x:c>
      <x:c r="B684" s="8" t="str">
        <x:v>princeton-t</x:v>
      </x:c>
      <x:c r="C684" s="8" t="str">
        <x:v>Princeton</x:v>
      </x:c>
      <x:c r="D684" s="8" t="str">
        <x:v>Princeton</x:v>
      </x:c>
      <x:c r="E684" s="8" t="str">
        <x:v>T</x:v>
      </x:c>
      <x:c r="F684" s="8" t="str">
        <x:v>OKS</x:v>
      </x:c>
      <x:c r="G684" s="9" t="n">
        <x:v>2021</x:v>
      </x:c>
      <x:c r="H684" s="10" t="n">
        <x:v>3280</x:v>
      </x:c>
      <x:c r="I684" s="8" t="str">
        <x:v>Under 5,000</x:v>
      </x:c>
      <x:c r="J684" s="11" t="n">
        <x:v>10640279</x:v>
      </x:c>
      <x:c r="K684" s="11" t="n">
        <x:v>10126225</x:v>
      </x:c>
      <x:c r="L684" s="11" t="n">
        <x:v>514054</x:v>
      </x:c>
      <x:c r="M684" s="12" t="n">
        <x:v>0.048312079034769674</x:v>
      </x:c>
      <x:c r="N684" s="11" t="n">
        <x:v>3410454</x:v>
      </x:c>
      <x:c r="O684" s="11" t="n">
        <x:v>2431590</x:v>
      </x:c>
      <x:c r="P684" s="11" t="n">
        <x:v>3415766</x:v>
      </x:c>
      <x:c r="Q684" s="11" t="n">
        <x:v>1382469</x:v>
      </x:c>
      <x:c r="R684" s="11" t="n">
        <x:v>8938948</x:v>
      </x:c>
      <x:c r="S684" s="11" t="n">
        <x:v>1182937</x:v>
      </x:c>
      <x:c r="T684" s="11" t="n">
        <x:v>4808123</x:v>
      </x:c>
      <x:c r="U684" s="11" t="n">
        <x:v>2977260</x:v>
      </x:c>
      <x:c r="V684" s="11" t="n">
        <x:v>7047081</x:v>
      </x:c>
      <x:c r="W684" s="11" t="n">
        <x:v>6262658</x:v>
      </x:c>
      <x:c r="X684" s="11" t="n">
        <x:v>0</x:v>
      </x:c>
      <x:c r="Y684" s="11" t="n">
        <x:v>0</x:v>
      </x:c>
      <x:c r="Z684" s="11" t="n">
        <x:v>0</x:v>
      </x:c>
      <x:c r="AA684" s="11" t="n">
        <x:v>0</x:v>
      </x:c>
      <x:c r="AB684" s="11" t="n">
        <x:v>4340</x:v>
      </x:c>
      <x:c r="AC684" s="11" t="n">
        <x:v>4340</x:v>
      </x:c>
      <x:c r="AD684" s="11" t="n">
        <x:v>1197865</x:v>
      </x:c>
      <x:c r="AE684" s="11" t="n">
        <x:v>1193525</x:v>
      </x:c>
      <x:c r="AF684" s="11" t="n">
        <x:v>4791461</x:v>
      </x:c>
      <x:c r="AG684" s="11" t="n">
        <x:v>39805927</x:v>
      </x:c>
      <x:c r="AH684" s="11" t="n">
        <x:v>18666817</x:v>
      </x:c>
      <x:c r="AI684" s="11" t="n">
        <x:v>21139110</x:v>
      </x:c>
      <x:c r="AJ684" s="11" t="n">
        <x:v>890919</x:v>
      </x:c>
      <x:c r="AK684" s="11" t="n">
        <x:v>4169552</x:v>
      </x:c>
      <x:c r="AL684" s="11" t="n">
        <x:v>0</x:v>
      </x:c>
      <x:c r="AM684" s="12" t="n">
        <x:v>1</x:v>
      </x:c>
      <x:c r="AN684" s="12" t="n">
        <x:v>0.21367259600072142</x:v>
      </x:c>
      <x:c r="AO684" s="11" t="n">
        <x:v>5628696</x:v>
      </x:c>
      <x:c r="AP684" s="11" t="n">
        <x:v>4834168</x:v>
      </x:c>
      <x:c r="AQ684" s="12" t="n">
        <x:v>0.8588433271223033</x:v>
      </x:c>
      <x:c r="AR684" s="11" t="n">
        <x:v>3243.9875</x:v>
      </x:c>
      <x:c r="AS684" s="11" t="n">
        <x:v>3087.263719512195</x:v>
      </x:c>
      <x:c r="AT684" s="11" t="n">
        <x:v>2148.5003048780486</x:v>
      </x:c>
      <x:c r="AU684" s="11" t="n">
        <x:v>1909.3469512195122</x:v>
      </x:c>
      <x:c r="AV684" s="11" t="n">
        <x:v>0</x:v>
      </x:c>
      <x:c r="AW684" s="11" t="n">
        <x:v>1.6149489799345706</x:v>
      </x:c>
      <x:c r="AX684" s="12" t="n">
        <x:v>0.996376887211831</x:v>
      </x:c>
      <x:c r="AY684" s="11"/>
      <x:c r="AZ684" s="11"/>
      <x:c r="BA684" s="11"/>
      <x:c r="BB684" s="11"/>
      <x:c r="BC684" s="11"/>
      <x:c r="BD684" s="11"/>
      <x:c r="BE684" s="11"/>
      <x:c r="BF684" s="11"/>
      <x:c r="BG684" s="11"/>
      <x:c r="BH684" s="11"/>
      <x:c r="BI684" s="11"/>
      <x:c r="BJ684" s="11"/>
      <x:c r="BK684" s="12"/>
      <x:c r="BL684" s="12"/>
      <x:c r="BM684" s="12"/>
      <x:c r="BN684" s="12"/>
      <x:c r="BO684" s="12"/>
      <x:c r="BP684" s="12"/>
      <x:c r="BQ684" s="12"/>
      <x:c r="BR684" s="12"/>
      <x:c r="BS684" s="12"/>
      <x:c r="BT684" s="12"/>
      <x:c r="BU684" s="11" t="n">
        <x:v>65350</x:v>
      </x:c>
      <x:c r="BV684" s="11" t="n">
        <x:v>2198787</x:v>
      </x:c>
      <x:c r="BW684" s="11" t="n">
        <x:v>1151629</x:v>
      </x:c>
      <x:c r="BX684" s="11" t="n">
        <x:v>25332</x:v>
      </x:c>
      <x:c r="BY684" s="11" t="n">
        <x:v>792761</x:v>
      </x:c>
      <x:c r="BZ684" s="11" t="n">
        <x:v>0</x:v>
      </x:c>
      <x:c r="CA684" s="11" t="n">
        <x:v>564376</x:v>
      </x:c>
      <x:c r="CB684" s="11" t="n">
        <x:v>0</x:v>
      </x:c>
      <x:c r="CC684" s="11" t="n">
        <x:v>1061681</x:v>
      </x:c>
      <x:c r="CD684" s="11" t="n">
        <x:v>1988379</x:v>
      </x:c>
      <x:c r="CE684" s="11" t="n">
        <x:v>1004717</x:v>
      </x:c>
      <x:c r="CF684" s="11" t="n">
        <x:v>37149</x:v>
      </x:c>
      <x:c r="CG684" s="11" t="n">
        <x:v>508089</x:v>
      </x:c>
      <x:c r="CH684" s="11" t="n">
        <x:v>1790846</x:v>
      </x:c>
      <x:c r="CI684" s="11" t="n">
        <x:v>1298041</x:v>
      </x:c>
      <x:c r="CJ684" s="11" t="n">
        <x:v>532168</x:v>
      </x:c>
      <x:c r="CK684" s="11" t="n">
        <x:v>320898</x:v>
      </x:c>
      <x:c r="CL684" s="11" t="n">
        <x:v>175568</x:v>
      </x:c>
      <x:c r="CM684" s="11"/>
      <x:c r="CN684" s="11" t="n">
        <x:v>225752</x:v>
      </x:c>
      <x:c r="CO684" s="11" t="n">
        <x:v>0</x:v>
      </x:c>
      <x:c r="CP684" s="8"/>
      <x:c r="CQ684" s="8"/>
    </x:row>
    <x:row r="685">
      <x:c r="A685" s="8" t="str">
        <x:v>Princeton|2022</x:v>
      </x:c>
      <x:c r="B685" s="8" t="str">
        <x:v>princeton-t</x:v>
      </x:c>
      <x:c r="C685" s="8" t="str">
        <x:v>Princeton</x:v>
      </x:c>
      <x:c r="D685" s="8" t="str">
        <x:v>Princeton</x:v>
      </x:c>
      <x:c r="E685" s="8" t="str">
        <x:v>T</x:v>
      </x:c>
      <x:c r="F685" s="8" t="str">
        <x:v>OKS</x:v>
      </x:c>
      <x:c r="G685" s="9" t="n">
        <x:v>2022</x:v>
      </x:c>
      <x:c r="H685" s="10" t="n">
        <x:v>9397</x:v>
      </x:c>
      <x:c r="I685" s="8" t="str">
        <x:v>5,000 to 19,999</x:v>
      </x:c>
      <x:c r="J685" s="11" t="n">
        <x:v>15450283</x:v>
      </x:c>
      <x:c r="K685" s="11" t="n">
        <x:v>11153619</x:v>
      </x:c>
      <x:c r="L685" s="11" t="n">
        <x:v>4296664</x:v>
      </x:c>
      <x:c r="M685" s="12" t="n">
        <x:v>0.2780961358442431</x:v>
      </x:c>
      <x:c r="N685" s="11" t="n">
        <x:v>3670593</x:v>
      </x:c>
      <x:c r="O685" s="11" t="n">
        <x:v>2470252</x:v>
      </x:c>
      <x:c r="P685" s="11" t="n">
        <x:v>7459209</x:v>
      </x:c>
      <x:c r="Q685" s="11" t="n">
        <x:v>1850229</x:v>
      </x:c>
      <x:c r="R685" s="11" t="n">
        <x:v>9809754</x:v>
      </x:c>
      <x:c r="S685" s="11" t="n">
        <x:v>1264308</x:v>
      </x:c>
      <x:c r="T685" s="11" t="n">
        <x:v>20542638</x:v>
      </x:c>
      <x:c r="U685" s="11" t="n">
        <x:v>19927992</x:v>
      </x:c>
      <x:c r="V685" s="11" t="n">
        <x:v>7692518</x:v>
      </x:c>
      <x:c r="W685" s="11" t="n">
        <x:v>0</x:v>
      </x:c>
      <x:c r="X685" s="11" t="n">
        <x:v>0</x:v>
      </x:c>
      <x:c r="Y685" s="11" t="n">
        <x:v>7320770</x:v>
      </x:c>
      <x:c r="Z685" s="11" t="n">
        <x:v>3463</x:v>
      </x:c>
      <x:c r="AA685" s="11" t="n">
        <x:v>7317307</x:v>
      </x:c>
      <x:c r="AB685" s="11" t="n">
        <x:v>79557</x:v>
      </x:c>
      <x:c r="AC685" s="11" t="n">
        <x:v>83020</x:v>
      </x:c>
      <x:c r="AD685" s="11" t="n">
        <x:v>1416926</x:v>
      </x:c>
      <x:c r="AE685" s="11" t="n">
        <x:v>1333906</x:v>
      </x:c>
      <x:c r="AF685" s="11" t="n">
        <x:v>5667703</x:v>
      </x:c>
      <x:c r="AG685" s="11" t="n">
        <x:v>44542277</x:v>
      </x:c>
      <x:c r="AH685" s="11" t="n">
        <x:v>19931126</x:v>
      </x:c>
      <x:c r="AI685" s="11" t="n">
        <x:v>24611151</x:v>
      </x:c>
      <x:c r="AJ685" s="11" t="n">
        <x:v>4736349</x:v>
      </x:c>
      <x:c r="AK685" s="11" t="n">
        <x:v>6407914</x:v>
      </x:c>
      <x:c r="AL685" s="11" t="n">
        <x:v>0</x:v>
      </x:c>
      <x:c r="AM685" s="12" t="n">
        <x:v>1</x:v>
      </x:c>
      <x:c r="AN685" s="12" t="n">
        <x:v>0.739140537778753</x:v>
      </x:c>
      <x:c r="AO685" s="11" t="n">
        <x:v>6314062</x:v>
      </x:c>
      <x:c r="AP685" s="11" t="n">
        <x:v>5846852</x:v>
      </x:c>
      <x:c r="AQ685" s="12" t="n">
        <x:v>0.926004844425031</x:v>
      </x:c>
      <x:c r="AR685" s="11" t="n">
        <x:v>1644.171863360647</x:v>
      </x:c>
      <x:c r="AS685" s="11" t="n">
        <x:v>1186.9340214962222</x:v>
      </x:c>
      <x:c r="AT685" s="11" t="n">
        <x:v>818.614238586783</x:v>
      </x:c>
      <x:c r="AU685" s="11" t="n">
        <x:v>0</x:v>
      </x:c>
      <x:c r="AV685" s="11" t="n">
        <x:v>778.6854315206981</x:v>
      </x:c>
      <x:c r="AW685" s="11" t="n">
        <x:v>1.030843348391549</x:v>
      </x:c>
      <x:c r="AX685" s="12" t="n">
        <x:v>0.9414083727731724</x:v>
      </x:c>
      <x:c r="AY685" s="11"/>
      <x:c r="AZ685" s="11"/>
      <x:c r="BA685" s="11"/>
      <x:c r="BB685" s="11"/>
      <x:c r="BC685" s="11"/>
      <x:c r="BD685" s="11"/>
      <x:c r="BE685" s="11"/>
      <x:c r="BF685" s="11"/>
      <x:c r="BG685" s="11"/>
      <x:c r="BH685" s="11"/>
      <x:c r="BI685" s="11"/>
      <x:c r="BJ685" s="11"/>
      <x:c r="BK685" s="12"/>
      <x:c r="BL685" s="12"/>
      <x:c r="BM685" s="12"/>
      <x:c r="BN685" s="12"/>
      <x:c r="BO685" s="12"/>
      <x:c r="BP685" s="12"/>
      <x:c r="BQ685" s="12"/>
      <x:c r="BR685" s="12"/>
      <x:c r="BS685" s="12"/>
      <x:c r="BT685" s="12"/>
      <x:c r="BU685" s="11" t="n">
        <x:v>795381</x:v>
      </x:c>
      <x:c r="BV685" s="11" t="n">
        <x:v>6015359</x:v>
      </x:c>
      <x:c r="BW685" s="11" t="n">
        <x:v>648469</x:v>
      </x:c>
      <x:c r="BX685" s="11" t="n">
        <x:v>381068</x:v>
      </x:c>
      <x:c r="BY685" s="11" t="n">
        <x:v>266818</x:v>
      </x:c>
      <x:c r="BZ685" s="11" t="n">
        <x:v>28470</x:v>
      </x:c>
      <x:c r="CA685" s="11" t="n">
        <x:v>1173873</x:v>
      </x:c>
      <x:c r="CB685" s="11" t="n">
        <x:v>0</x:v>
      </x:c>
      <x:c r="CC685" s="11" t="n">
        <x:v>2344742</x:v>
      </x:c>
      <x:c r="CD685" s="11" t="n">
        <x:v>2336738</x:v>
      </x:c>
      <x:c r="CE685" s="11" t="n">
        <x:v>632227</x:v>
      </x:c>
      <x:c r="CF685" s="11" t="n">
        <x:v>0</x:v>
      </x:c>
      <x:c r="CG685" s="11" t="n">
        <x:v>694827</x:v>
      </x:c>
      <x:c r="CH685" s="11" t="n">
        <x:v>1734573</x:v>
      </x:c>
      <x:c r="CI685" s="11" t="n">
        <x:v>1199028</x:v>
      </x:c>
      <x:c r="CJ685" s="11" t="n">
        <x:v>576516</x:v>
      </x:c>
      <x:c r="CK685" s="11" t="n">
        <x:v>306357</x:v>
      </x:c>
      <x:c r="CL685" s="11" t="n">
        <x:v>64303</x:v>
      </x:c>
      <x:c r="CM685" s="11"/>
      <x:c r="CN685" s="11" t="n">
        <x:v>0</x:v>
      </x:c>
      <x:c r="CO685" s="11" t="n">
        <x:v>0</x:v>
      </x:c>
      <x:c r="CP685" s="8"/>
      <x:c r="CQ685" s="8"/>
    </x:row>
    <x:row r="686">
      <x:c r="A686" s="8" t="str">
        <x:v>Princeton|2023</x:v>
      </x:c>
      <x:c r="B686" s="8" t="str">
        <x:v>princeton-t</x:v>
      </x:c>
      <x:c r="C686" s="8" t="str">
        <x:v>Princeton</x:v>
      </x:c>
      <x:c r="D686" s="8" t="str">
        <x:v>Princeton</x:v>
      </x:c>
      <x:c r="E686" s="8" t="str">
        <x:v>T</x:v>
      </x:c>
      <x:c r="F686" s="8" t="str">
        <x:v>OKS</x:v>
      </x:c>
      <x:c r="G686" s="9" t="n">
        <x:v>2023</x:v>
      </x:c>
      <x:c r="H686" s="10" t="n">
        <x:v>3333</x:v>
      </x:c>
      <x:c r="I686" s="8" t="str">
        <x:v>Under 5,000</x:v>
      </x:c>
      <x:c r="J686" s="11" t="n">
        <x:v>21225554</x:v>
      </x:c>
      <x:c r="K686" s="11" t="n">
        <x:v>11084990</x:v>
      </x:c>
      <x:c r="L686" s="11" t="n">
        <x:v>10140564</x:v>
      </x:c>
      <x:c r="M686" s="12" t="n">
        <x:v>0.47775261837688665</x:v>
      </x:c>
      <x:c r="N686" s="11" t="n">
        <x:v>6543533</x:v>
      </x:c>
      <x:c r="O686" s="11" t="n">
        <x:v>2958834</x:v>
      </x:c>
      <x:c r="P686" s="11" t="n">
        <x:v>8288213</x:v>
      </x:c>
      <x:c r="Q686" s="11" t="n">
        <x:v>3434974</x:v>
      </x:c>
      <x:c r="R686" s="11" t="n">
        <x:v>9599489</x:v>
      </x:c>
      <x:c r="S686" s="11" t="n">
        <x:v>1184565</x:v>
      </x:c>
      <x:c r="T686" s="11" t="n">
        <x:v>18821302</x:v>
      </x:c>
      <x:c r="U686" s="11" t="n">
        <x:v>21540781</x:v>
      </x:c>
      <x:c r="V686" s="11" t="n">
        <x:v>9144623</x:v>
      </x:c>
      <x:c r="W686" s="11" t="n">
        <x:v>8436008</x:v>
      </x:c>
      <x:c r="X686" s="11" t="n">
        <x:v>7317307</x:v>
      </x:c>
      <x:c r="Y686" s="11" t="n">
        <x:v>0</x:v>
      </x:c>
      <x:c r="Z686" s="11" t="n">
        <x:v>191487</x:v>
      </x:c>
      <x:c r="AA686" s="11" t="n">
        <x:v>7125820</x:v>
      </x:c>
      <x:c r="AB686" s="11" t="n">
        <x:v>300936</x:v>
      </x:c>
      <x:c r="AC686" s="11" t="n">
        <x:v>492423</x:v>
      </x:c>
      <x:c r="AD686" s="11" t="n">
        <x:v>2429848</x:v>
      </x:c>
      <x:c r="AE686" s="11" t="n">
        <x:v>1937425</x:v>
      </x:c>
      <x:c r="AF686" s="11" t="n">
        <x:v>9719393</x:v>
      </x:c>
      <x:c r="AG686" s="11" t="n">
        <x:v>54505385</x:v>
      </x:c>
      <x:c r="AH686" s="11" t="n">
        <x:v>21274412</x:v>
      </x:c>
      <x:c r="AI686" s="11" t="n">
        <x:v>33230973</x:v>
      </x:c>
      <x:c r="AJ686" s="11" t="n">
        <x:v>8907910</x:v>
      </x:c>
      <x:c r="AK686" s="11" t="n">
        <x:v>10113844</x:v>
      </x:c>
      <x:c r="AL686" s="11" t="n">
        <x:v>0</x:v>
      </x:c>
      <x:c r="AM686" s="12" t="n">
        <x:v>1</x:v>
      </x:c>
      <x:c r="AN686" s="12" t="n">
        <x:v>0.8807640299771283</x:v>
      </x:c>
      <x:c r="AO686" s="11" t="n">
        <x:v>9189970</x:v>
      </x:c>
      <x:c r="AP686" s="11" t="n">
        <x:v>8626645</x:v>
      </x:c>
      <x:c r="AQ686" s="12" t="n">
        <x:v>0.9387021938047676</x:v>
      </x:c>
      <x:c r="AR686" s="11" t="n">
        <x:v>6368.30303030303</x:v>
      </x:c>
      <x:c r="AS686" s="11" t="n">
        <x:v>3325.8295829582958</x:v>
      </x:c>
      <x:c r="AT686" s="11" t="n">
        <x:v>2743.6612661266126</x:v>
      </x:c>
      <x:c r="AU686" s="11" t="n">
        <x:v>2531.055505550555</x:v>
      </x:c>
      <x:c r="AV686" s="11" t="n">
        <x:v>2137.959795979598</x:v>
      </x:c>
      <x:c r="AW686" s="11" t="n">
        <x:v>0.8737520705493454</x:v>
      </x:c>
      <x:c r="AX686" s="12" t="n">
        <x:v>0.7973441137058779</x:v>
      </x:c>
      <x:c r="AY686" s="11"/>
      <x:c r="AZ686" s="11"/>
      <x:c r="BA686" s="11"/>
      <x:c r="BB686" s="11"/>
      <x:c r="BC686" s="11"/>
      <x:c r="BD686" s="11"/>
      <x:c r="BE686" s="11"/>
      <x:c r="BF686" s="11"/>
      <x:c r="BG686" s="11"/>
      <x:c r="BH686" s="11"/>
      <x:c r="BI686" s="11"/>
      <x:c r="BJ686" s="11"/>
      <x:c r="BK686" s="12"/>
      <x:c r="BL686" s="12"/>
      <x:c r="BM686" s="12"/>
      <x:c r="BN686" s="12"/>
      <x:c r="BO686" s="12"/>
      <x:c r="BP686" s="12"/>
      <x:c r="BQ686" s="12"/>
      <x:c r="BR686" s="12"/>
      <x:c r="BS686" s="12"/>
      <x:c r="BT686" s="12"/>
      <x:c r="BU686" s="11" t="n">
        <x:v>1478179</x:v>
      </x:c>
      <x:c r="BV686" s="11" t="n">
        <x:v>6333175</x:v>
      </x:c>
      <x:c r="BW686" s="11" t="n">
        <x:v>476859</x:v>
      </x:c>
      <x:c r="BX686" s="11" t="n">
        <x:v>1038250</x:v>
      </x:c>
      <x:c r="BY686" s="11" t="n">
        <x:v>2003</x:v>
      </x:c>
      <x:c r="BZ686" s="11" t="n">
        <x:v>273879</x:v>
      </x:c>
      <x:c r="CA686" s="11" t="n">
        <x:v>2120842</x:v>
      </x:c>
      <x:c r="CB686" s="11" t="n">
        <x:v>0</x:v>
      </x:c>
      <x:c r="CC686" s="11" t="n">
        <x:v>2048172</x:v>
      </x:c>
      <x:c r="CD686" s="11" t="n">
        <x:v>410768</x:v>
      </x:c>
      <x:c r="CE686" s="11" t="n">
        <x:v>762565</x:v>
      </x:c>
      <x:c r="CF686" s="11" t="n">
        <x:v>0</x:v>
      </x:c>
      <x:c r="CG686" s="11" t="n">
        <x:v>770320</x:v>
      </x:c>
      <x:c r="CH686" s="11" t="n">
        <x:v>2857960</x:v>
      </x:c>
      <x:c r="CI686" s="11" t="n">
        <x:v>1524073</x:v>
      </x:c>
      <x:c r="CJ686" s="11" t="n">
        <x:v>720835</x:v>
      </x:c>
      <x:c r="CK686" s="11" t="n">
        <x:v>637267</x:v>
      </x:c>
      <x:c r="CL686" s="11" t="n">
        <x:v>93210</x:v>
      </x:c>
      <x:c r="CM686" s="11" t="n">
        <x:v>75255</x:v>
      </x:c>
      <x:c r="CN686" s="11" t="n">
        <x:v>0</x:v>
      </x:c>
      <x:c r="CO686" s="11" t="n">
        <x:v>0</x:v>
      </x:c>
      <x:c r="CP686" s="8"/>
      <x:c r="CQ686" s="8"/>
    </x:row>
    <x:row r="687">
      <x:c r="A687" s="8" t="str">
        <x:v>Princeton|2024</x:v>
      </x:c>
      <x:c r="B687" s="8" t="str">
        <x:v>princeton-t</x:v>
      </x:c>
      <x:c r="C687" s="8" t="str">
        <x:v>Princeton</x:v>
      </x:c>
      <x:c r="D687" s="8" t="str">
        <x:v>Princeton</x:v>
      </x:c>
      <x:c r="E687" s="8" t="str">
        <x:v>T</x:v>
      </x:c>
      <x:c r="F687" s="8" t="str">
        <x:v>OKS</x:v>
      </x:c>
      <x:c r="G687" s="9" t="n">
        <x:v>2024</x:v>
      </x:c>
      <x:c r="H687" s="10" t="n">
        <x:v>3333</x:v>
      </x:c>
      <x:c r="I687" s="8" t="str">
        <x:v>Under 5,000</x:v>
      </x:c>
      <x:c r="J687" s="11" t="n">
        <x:v>19562015</x:v>
      </x:c>
      <x:c r="K687" s="11" t="n">
        <x:v>11715968</x:v>
      </x:c>
      <x:c r="L687" s="11" t="n">
        <x:v>7846047</x:v>
      </x:c>
      <x:c r="M687" s="12" t="n">
        <x:v>0.4010858288371622</x:v>
      </x:c>
      <x:c r="N687" s="11" t="n">
        <x:v>4995737</x:v>
      </x:c>
      <x:c r="O687" s="11" t="n">
        <x:v>3684547</x:v>
      </x:c>
      <x:c r="P687" s="11" t="n">
        <x:v>9921385</x:v>
      </x:c>
      <x:c r="Q687" s="11" t="n">
        <x:v>960346</x:v>
      </x:c>
      <x:c r="R687" s="11" t="n">
        <x:v>9983474</x:v>
      </x:c>
      <x:c r="S687" s="11" t="n">
        <x:v>1429363</x:v>
      </x:c>
      <x:c r="T687" s="11" t="n">
        <x:v>14402630</x:v>
      </x:c>
      <x:c r="U687" s="11" t="n">
        <x:v>13117067</x:v>
      </x:c>
      <x:c r="V687" s="11" t="n">
        <x:v>8932868</x:v>
      </x:c>
      <x:c r="W687" s="11" t="n">
        <x:v>5465810</x:v>
      </x:c>
      <x:c r="X687" s="11" t="n">
        <x:v>7125820</x:v>
      </x:c>
      <x:c r="Y687" s="11" t="n">
        <x:v>346204</x:v>
      </x:c>
      <x:c r="Z687" s="11" t="n">
        <x:v>211252</x:v>
      </x:c>
      <x:c r="AA687" s="11" t="n">
        <x:v>7256026</x:v>
      </x:c>
      <x:c r="AB687" s="11" t="n">
        <x:v>303131</x:v>
      </x:c>
      <x:c r="AC687" s="11" t="n">
        <x:v>514383</x:v>
      </x:c>
      <x:c r="AD687" s="11" t="n">
        <x:v>2198145</x:v>
      </x:c>
      <x:c r="AE687" s="11" t="n">
        <x:v>1683762</x:v>
      </x:c>
      <x:c r="AF687" s="11" t="n">
        <x:v>8792578</x:v>
      </x:c>
      <x:c r="AG687" s="11" t="n">
        <x:v>63909295</x:v>
      </x:c>
      <x:c r="AH687" s="11" t="n">
        <x:v>22661511</x:v>
      </x:c>
      <x:c r="AI687" s="11" t="n">
        <x:v>41247784</x:v>
      </x:c>
      <x:c r="AJ687" s="11" t="n">
        <x:v>9466755</x:v>
      </x:c>
      <x:c r="AK687" s="11" t="n">
        <x:v>475336597</x:v>
      </x:c>
      <x:c r="AL687" s="11" t="n">
        <x:v>2806251</x:v>
      </x:c>
      <x:c r="AM687" s="12" t="n">
        <x:v>0.994096286678301</x:v>
      </x:c>
      <x:c r="AN687" s="12" t="n">
        <x:v>0.01991589761812512</x:v>
      </x:c>
      <x:c r="AO687" s="11" t="n">
        <x:v>7682186</x:v>
      </x:c>
      <x:c r="AP687" s="11" t="n">
        <x:v>7129808</x:v>
      </x:c>
      <x:c r="AQ687" s="12" t="n">
        <x:v>0.928096247604523</x:v>
      </x:c>
      <x:c r="AR687" s="11" t="n">
        <x:v>5869.191419141915</x:v>
      </x:c>
      <x:c r="AS687" s="11" t="n">
        <x:v>3515.1419141914193</x:v>
      </x:c>
      <x:c r="AT687" s="11" t="n">
        <x:v>2680.128412841284</x:v>
      </x:c>
      <x:c r="AU687" s="11" t="n">
        <x:v>1639.9069906990699</x:v>
      </x:c>
      <x:c r="AV687" s="11" t="n">
        <x:v>2177.025502550255</x:v>
      </x:c>
      <x:c r="AW687" s="11" t="n">
        <x:v>1.0980068943766164</x:v>
      </x:c>
      <x:c r="AX687" s="12" t="n">
        <x:v>0.7659922343612455</x:v>
      </x:c>
      <x:c r="AY687" s="11" t="n">
        <x:v>3295.226833884918</x:v>
      </x:c>
      <x:c r="AZ687" s="11" t="n">
        <x:v>3546.5079302077975</x:v>
      </x:c>
      <x:c r="BA687" s="11" t="n">
        <x:v>2651.6543505296113</x:v>
      </x:c>
      <x:c r="BB687" s="11" t="n">
        <x:v>2783.665107049771</x:v>
      </x:c>
      <x:c r="BC687" s="11" t="n">
        <x:v>2725.020435376871</x:v>
      </x:c>
      <x:c r="BD687" s="11" t="n">
        <x:v>2437.8724475115623</x:v>
      </x:c>
      <x:c r="BE687" s="11" t="n">
        <x:v>1311.726099436231</x:v>
      </x:c>
      <x:c r="BF687" s="11" t="n">
        <x:v>1604.3462673977224</x:v>
      </x:c>
      <x:c r="BG687" s="11" t="n">
        <x:v>745.266315888418</x:v>
      </x:c>
      <x:c r="BH687" s="11" t="n">
        <x:v>518.5374381567245</x:v>
      </x:c>
      <x:c r="BI687" s="11" t="n">
        <x:v>2.026605100433861</x:v>
      </x:c>
      <x:c r="BJ687" s="11" t="n">
        <x:v>1.7099330852451193</x:v>
      </x:c>
      <x:c r="BK687" s="12" t="n">
        <x:v>0.015313583120714683</x:v>
      </x:c>
      <x:c r="BL687" s="12" t="n">
        <x:v>0.02529861000232605</x:v>
      </x:c>
      <x:c r="BM687" s="12" t="n">
        <x:v>0.9862284812495371</x:v>
      </x:c>
      <x:c r="BN687" s="12" t="n">
        <x:v>0.9815511712696461</x:v>
      </x:c>
      <x:c r="BO687" s="12" t="n">
        <x:v>0.804628726290725</x:v>
      </x:c>
      <x:c r="BP687" s="12" t="n">
        <x:v>0.8619101997275483</x:v>
      </x:c>
      <x:c r="BQ687" s="12" t="n">
        <x:v>0.9387070475233437</x:v>
      </x:c>
      <x:c r="BR687" s="12" t="n">
        <x:v>0.9623635142836453</x:v>
      </x:c>
      <x:c r="BS687" s="12" t="n">
        <x:v>0.26007843824193605</x:v>
      </x:c>
      <x:c r="BT687" s="12" t="n">
        <x:v>0.19976549769108282</x:v>
      </x:c>
      <x:c r="BU687" s="11" t="n">
        <x:v>725729</x:v>
      </x:c>
      <x:c r="BV687" s="11" t="n">
        <x:v>7668115</x:v>
      </x:c>
      <x:c r="BW687" s="11" t="n">
        <x:v>1527541</x:v>
      </x:c>
      <x:c r="BX687" s="11" t="n">
        <x:v>874596</x:v>
      </x:c>
      <x:c r="BY687" s="11" t="n">
        <x:v>85750</x:v>
      </x:c>
      <x:c r="BZ687" s="11" t="n">
        <x:v>0</x:v>
      </x:c>
      <x:c r="CA687" s="11" t="n">
        <x:v>0</x:v>
      </x:c>
      <x:c r="CB687" s="11" t="n">
        <x:v>0</x:v>
      </x:c>
      <x:c r="CC687" s="11" t="n">
        <x:v>2099394</x:v>
      </x:c>
      <x:c r="CD687" s="11" t="n">
        <x:v>902669</x:v>
      </x:c>
      <x:c r="CE687" s="11" t="n">
        <x:v>725295</x:v>
      </x:c>
      <x:c r="CF687" s="11" t="n">
        <x:v>0</x:v>
      </x:c>
      <x:c r="CG687" s="11" t="n">
        <x:v>815700</x:v>
      </x:c>
      <x:c r="CH687" s="11" t="n">
        <x:v>2569170</x:v>
      </x:c>
      <x:c r="CI687" s="11" t="n">
        <x:v>1574494</x:v>
      </x:c>
      <x:c r="CJ687" s="11" t="n">
        <x:v>740589</x:v>
      </x:c>
      <x:c r="CK687" s="11" t="n">
        <x:v>606586</x:v>
      </x:c>
      <x:c r="CL687" s="11" t="n">
        <x:v>136098</x:v>
      </x:c>
      <x:c r="CM687" s="11" t="n">
        <x:v>96030</x:v>
      </x:c>
      <x:c r="CN687" s="11" t="n">
        <x:v>20580</x:v>
      </x:c>
      <x:c r="CO687" s="11" t="n">
        <x:v>0</x:v>
      </x:c>
      <x:c r="CP687" s="8"/>
      <x:c r="CQ687" s="8"/>
    </x:row>
    <x:row r="688">
      <x:c r="A688" s="8" t="str">
        <x:v>Qualicum Beach|2019</x:v>
      </x:c>
      <x:c r="B688" s="8" t="str">
        <x:v>qualicum-beach-t</x:v>
      </x:c>
      <x:c r="C688" s="8" t="str">
        <x:v>Qualicum Beach</x:v>
      </x:c>
      <x:c r="D688" s="8" t="str">
        <x:v>Qualicum Beach</x:v>
      </x:c>
      <x:c r="E688" s="8" t="str">
        <x:v>T</x:v>
      </x:c>
      <x:c r="F688" s="8" t="str">
        <x:v>NAN</x:v>
      </x:c>
      <x:c r="G688" s="9" t="n">
        <x:v>2019</x:v>
      </x:c>
      <x:c r="H688" s="10" t="n">
        <x:v>9166</x:v>
      </x:c>
      <x:c r="I688" s="8" t="str">
        <x:v>5,000 to 19,999</x:v>
      </x:c>
      <x:c r="J688" s="11" t="n">
        <x:v>21360381</x:v>
      </x:c>
      <x:c r="K688" s="11" t="n">
        <x:v>15325761</x:v>
      </x:c>
      <x:c r="L688" s="11" t="n">
        <x:v>6034620</x:v>
      </x:c>
      <x:c r="M688" s="12" t="n">
        <x:v>0.2825146236857854</x:v>
      </x:c>
      <x:c r="N688" s="11" t="n">
        <x:v>10335998</x:v>
      </x:c>
      <x:c r="O688" s="11" t="n">
        <x:v>3947038</x:v>
      </x:c>
      <x:c r="P688" s="11" t="n">
        <x:v>4448081</x:v>
      </x:c>
      <x:c r="Q688" s="11" t="n">
        <x:v>2629264</x:v>
      </x:c>
      <x:c r="R688" s="11" t="n">
        <x:v>11998800</x:v>
      </x:c>
      <x:c r="S688" s="11" t="n">
        <x:v>3256653</x:v>
      </x:c>
      <x:c r="T688" s="11" t="n">
        <x:v>10729372</x:v>
      </x:c>
      <x:c r="U688" s="11" t="n">
        <x:v>10527830</x:v>
      </x:c>
      <x:c r="V688" s="11" t="n">
        <x:v>4151786</x:v>
      </x:c>
      <x:c r="W688" s="11" t="n">
        <x:v>1174404</x:v>
      </x:c>
      <x:c r="X688" s="11" t="n">
        <x:v>3240555</x:v>
      </x:c>
      <x:c r="Y688" s="11" t="n">
        <x:v>0</x:v>
      </x:c>
      <x:c r="Z688" s="11" t="n">
        <x:v>462936</x:v>
      </x:c>
      <x:c r="AA688" s="11" t="n">
        <x:v>2777619</x:v>
      </x:c>
      <x:c r="AB688" s="11" t="n">
        <x:v>70308</x:v>
      </x:c>
      <x:c r="AC688" s="11" t="n">
        <x:v>533244</x:v>
      </x:c>
      <x:c r="AD688" s="11" t="n">
        <x:v>3742692</x:v>
      </x:c>
      <x:c r="AE688" s="11" t="n">
        <x:v>3070460</x:v>
      </x:c>
      <x:c r="AF688" s="11" t="n">
        <x:v>14970766</x:v>
      </x:c>
      <x:c r="AG688" s="11" t="n">
        <x:v>193085655</x:v>
      </x:c>
      <x:c r="AH688" s="11" t="n">
        <x:v>72466079</x:v>
      </x:c>
      <x:c r="AI688" s="11" t="n">
        <x:v>120619576</x:v>
      </x:c>
      <x:c r="AJ688" s="11" t="n">
        <x:v>7373495</x:v>
      </x:c>
      <x:c r="AK688" s="11" t="n">
        <x:v>44429614</x:v>
      </x:c>
      <x:c r="AL688" s="11" t="n">
        <x:v>0</x:v>
      </x:c>
      <x:c r="AM688" s="12" t="n">
        <x:v>1</x:v>
      </x:c>
      <x:c r="AN688" s="12" t="n">
        <x:v>0.1659590155340985</x:v>
      </x:c>
      <x:c r="AO688" s="11" t="n">
        <x:v>20476141</x:v>
      </x:c>
      <x:c r="AP688" s="11" t="n">
        <x:v>20151452</x:v>
      </x:c>
      <x:c r="AQ688" s="12" t="n">
        <x:v>0.9841430570340378</x:v>
      </x:c>
      <x:c r="AR688" s="11" t="n">
        <x:v>2330.3928649356317</x:v>
      </x:c>
      <x:c r="AS688" s="11" t="n">
        <x:v>1672.0228016583023</x:v>
      </x:c>
      <x:c r="AT688" s="11" t="n">
        <x:v>452.95505127645646</x:v>
      </x:c>
      <x:c r="AU688" s="11" t="n">
        <x:v>128.12611826314642</x:v>
      </x:c>
      <x:c r="AV688" s="11" t="n">
        <x:v>303.0350207287803</x:v>
      </x:c>
      <x:c r="AW688" s="11" t="n">
        <x:v>1.0191437361735514</x:v>
      </x:c>
      <x:c r="AX688" s="12" t="n">
        <x:v>0.8203881056736702</x:v>
      </x:c>
      <x:c r="AY688" s="11"/>
      <x:c r="AZ688" s="11"/>
      <x:c r="BA688" s="11"/>
      <x:c r="BB688" s="11"/>
      <x:c r="BC688" s="11"/>
      <x:c r="BD688" s="11"/>
      <x:c r="BE688" s="11"/>
      <x:c r="BF688" s="11"/>
      <x:c r="BG688" s="11"/>
      <x:c r="BH688" s="11"/>
      <x:c r="BI688" s="11"/>
      <x:c r="BJ688" s="11"/>
      <x:c r="BK688" s="12"/>
      <x:c r="BL688" s="12"/>
      <x:c r="BM688" s="12"/>
      <x:c r="BN688" s="12"/>
      <x:c r="BO688" s="12"/>
      <x:c r="BP688" s="12"/>
      <x:c r="BQ688" s="12"/>
      <x:c r="BR688" s="12"/>
      <x:c r="BS688" s="12"/>
      <x:c r="BT688" s="12"/>
      <x:c r="BU688" s="11" t="n">
        <x:v>0</x:v>
      </x:c>
      <x:c r="BV688" s="11" t="n">
        <x:v>3299037</x:v>
      </x:c>
      <x:c r="BW688" s="11" t="n">
        <x:v>1149044</x:v>
      </x:c>
      <x:c r="BX688" s="11" t="n">
        <x:v>205187</x:v>
      </x:c>
      <x:c r="BY688" s="11" t="n">
        <x:v>0</x:v>
      </x:c>
      <x:c r="BZ688" s="11" t="n">
        <x:v>2245543</x:v>
      </x:c>
      <x:c r="CA688" s="11" t="n">
        <x:v>178534</x:v>
      </x:c>
      <x:c r="CB688" s="11" t="n">
        <x:v>0</x:v>
      </x:c>
      <x:c r="CC688" s="11" t="n">
        <x:v>2228945</x:v>
      </x:c>
      <x:c r="CD688" s="11" t="n">
        <x:v>2673230</x:v>
      </x:c>
      <x:c r="CE688" s="11" t="n">
        <x:v>805882</x:v>
      </x:c>
      <x:c r="CF688" s="11" t="n">
        <x:v>0</x:v>
      </x:c>
      <x:c r="CG688" s="11" t="n">
        <x:v>1038270</x:v>
      </x:c>
      <x:c r="CH688" s="11" t="n">
        <x:v>2505830</x:v>
      </x:c>
      <x:c r="CI688" s="11" t="n">
        <x:v>1559203</x:v>
      </x:c>
      <x:c r="CJ688" s="11" t="n">
        <x:v>1012150</x:v>
      </x:c>
      <x:c r="CK688" s="11" t="n">
        <x:v>210262</x:v>
      </x:c>
      <x:c r="CL688" s="11" t="n">
        <x:v>35336</x:v>
      </x:c>
      <x:c r="CM688" s="11"/>
      <x:c r="CN688" s="11" t="n">
        <x:v>0</x:v>
      </x:c>
      <x:c r="CO688" s="11" t="n">
        <x:v>0</x:v>
      </x:c>
      <x:c r="CP688" s="8"/>
      <x:c r="CQ688" s="8"/>
    </x:row>
    <x:row r="689">
      <x:c r="A689" s="8" t="str">
        <x:v>Qualicum Beach|2020</x:v>
      </x:c>
      <x:c r="B689" s="8" t="str">
        <x:v>qualicum-beach-t</x:v>
      </x:c>
      <x:c r="C689" s="8" t="str">
        <x:v>Qualicum Beach</x:v>
      </x:c>
      <x:c r="D689" s="8" t="str">
        <x:v>Qualicum Beach</x:v>
      </x:c>
      <x:c r="E689" s="8" t="str">
        <x:v>T</x:v>
      </x:c>
      <x:c r="F689" s="8" t="str">
        <x:v>NAN</x:v>
      </x:c>
      <x:c r="G689" s="9" t="n">
        <x:v>2020</x:v>
      </x:c>
      <x:c r="H689" s="10" t="n">
        <x:v>9233</x:v>
      </x:c>
      <x:c r="I689" s="8" t="str">
        <x:v>5,000 to 19,999</x:v>
      </x:c>
      <x:c r="J689" s="11" t="n">
        <x:v>20134472</x:v>
      </x:c>
      <x:c r="K689" s="11" t="n">
        <x:v>15546360</x:v>
      </x:c>
      <x:c r="L689" s="11" t="n">
        <x:v>4588112</x:v>
      </x:c>
      <x:c r="M689" s="12" t="n">
        <x:v>0.22787346993752805</x:v>
      </x:c>
      <x:c r="N689" s="11" t="n">
        <x:v>10794773</x:v>
      </x:c>
      <x:c r="O689" s="11" t="n">
        <x:v>3719715</x:v>
      </x:c>
      <x:c r="P689" s="11" t="n">
        <x:v>4689086</x:v>
      </x:c>
      <x:c r="Q689" s="11" t="n">
        <x:v>930898</x:v>
      </x:c>
      <x:c r="R689" s="11" t="n">
        <x:v>12045248</x:v>
      </x:c>
      <x:c r="S689" s="11" t="n">
        <x:v>3441220</x:v>
      </x:c>
      <x:c r="T689" s="11" t="n">
        <x:v>16723444</x:v>
      </x:c>
      <x:c r="U689" s="11" t="n">
        <x:v>12271555</x:v>
      </x:c>
      <x:c r="V689" s="11" t="n">
        <x:v>7801415</x:v>
      </x:c>
      <x:c r="W689" s="11" t="n">
        <x:v>3318622</x:v>
      </x:c>
      <x:c r="X689" s="11" t="n">
        <x:v>2777619</x:v>
      </x:c>
      <x:c r="Y689" s="11" t="n">
        <x:v>0</x:v>
      </x:c>
      <x:c r="Z689" s="11" t="n">
        <x:v>462937</x:v>
      </x:c>
      <x:c r="AA689" s="11" t="n">
        <x:v>2314682</x:v>
      </x:c>
      <x:c r="AB689" s="11" t="n">
        <x:v>59892</x:v>
      </x:c>
      <x:c r="AC689" s="11" t="n">
        <x:v>522829</x:v>
      </x:c>
      <x:c r="AD689" s="11" t="n">
        <x:v>3782612</x:v>
      </x:c>
      <x:c r="AE689" s="11" t="n">
        <x:v>3111816</x:v>
      </x:c>
      <x:c r="AF689" s="11" t="n">
        <x:v>15130447</x:v>
      </x:c>
      <x:c r="AG689" s="11" t="n">
        <x:v>197273461</x:v>
      </x:c>
      <x:c r="AH689" s="11" t="n">
        <x:v>75730501</x:v>
      </x:c>
      <x:c r="AI689" s="11" t="n">
        <x:v>121542960</x:v>
      </x:c>
      <x:c r="AJ689" s="11" t="n">
        <x:v>5325562</x:v>
      </x:c>
      <x:c r="AK689" s="11" t="n">
        <x:v>39988378</x:v>
      </x:c>
      <x:c r="AL689" s="11" t="n">
        <x:v>0</x:v>
      </x:c>
      <x:c r="AM689" s="12" t="n">
        <x:v>1</x:v>
      </x:c>
      <x:c r="AN689" s="12" t="n">
        <x:v>0.13317774479374983</x:v>
      </x:c>
      <x:c r="AO689" s="11" t="n">
        <x:v>20891736</x:v>
      </x:c>
      <x:c r="AP689" s="11" t="n">
        <x:v>20646619</x:v>
      </x:c>
      <x:c r="AQ689" s="12" t="n">
        <x:v>0.9882672746774132</x:v>
      </x:c>
      <x:c r="AR689" s="11" t="n">
        <x:v>2180.707462363262</x:v>
      </x:c>
      <x:c r="AS689" s="11" t="n">
        <x:v>1683.7820859958842</x:v>
      </x:c>
      <x:c r="AT689" s="11" t="n">
        <x:v>844.9490956352215</x:v>
      </x:c>
      <x:c r="AU689" s="11" t="n">
        <x:v>359.4305209574353</x:v>
      </x:c>
      <x:c r="AV689" s="11" t="n">
        <x:v>250.6966316473519</x:v>
      </x:c>
      <x:c r="AW689" s="11" t="n">
        <x:v>1.3627811634303884</x:v>
      </x:c>
      <x:c r="AX689" s="12" t="n">
        <x:v>0.8226632813516163</x:v>
      </x:c>
      <x:c r="AY689" s="11"/>
      <x:c r="AZ689" s="11"/>
      <x:c r="BA689" s="11"/>
      <x:c r="BB689" s="11"/>
      <x:c r="BC689" s="11"/>
      <x:c r="BD689" s="11"/>
      <x:c r="BE689" s="11"/>
      <x:c r="BF689" s="11"/>
      <x:c r="BG689" s="11"/>
      <x:c r="BH689" s="11"/>
      <x:c r="BI689" s="11"/>
      <x:c r="BJ689" s="11"/>
      <x:c r="BK689" s="12"/>
      <x:c r="BL689" s="12"/>
      <x:c r="BM689" s="12"/>
      <x:c r="BN689" s="12"/>
      <x:c r="BO689" s="12"/>
      <x:c r="BP689" s="12"/>
      <x:c r="BQ689" s="12"/>
      <x:c r="BR689" s="12"/>
      <x:c r="BS689" s="12"/>
      <x:c r="BT689" s="12"/>
      <x:c r="BU689" s="11" t="n">
        <x:v>0</x:v>
      </x:c>
      <x:c r="BV689" s="11" t="n">
        <x:v>3886405</x:v>
      </x:c>
      <x:c r="BW689" s="11" t="n">
        <x:v>802681</x:v>
      </x:c>
      <x:c r="BX689" s="11" t="n">
        <x:v>98013</x:v>
      </x:c>
      <x:c r="BY689" s="11" t="n">
        <x:v>0</x:v>
      </x:c>
      <x:c r="BZ689" s="11" t="n">
        <x:v>140745</x:v>
      </x:c>
      <x:c r="CA689" s="11" t="n">
        <x:v>692140</x:v>
      </x:c>
      <x:c r="CB689" s="11" t="n">
        <x:v>0</x:v>
      </x:c>
      <x:c r="CC689" s="11" t="n">
        <x:v>2295092</x:v>
      </x:c>
      <x:c r="CD689" s="11" t="n">
        <x:v>2797828</x:v>
      </x:c>
      <x:c r="CE689" s="11" t="n">
        <x:v>809125</x:v>
      </x:c>
      <x:c r="CF689" s="11" t="n">
        <x:v>0</x:v>
      </x:c>
      <x:c r="CG689" s="11" t="n">
        <x:v>887062</x:v>
      </x:c>
      <x:c r="CH689" s="11" t="n">
        <x:v>2294745</x:v>
      </x:c>
      <x:c r="CI689" s="11" t="n">
        <x:v>1751781</x:v>
      </x:c>
      <x:c r="CJ689" s="11" t="n">
        <x:v>1000889</x:v>
      </x:c>
      <x:c r="CK689" s="11" t="n">
        <x:v>224713</x:v>
      </x:c>
      <x:c r="CL689" s="11" t="n">
        <x:v>43905</x:v>
      </x:c>
      <x:c r="CM689" s="11"/>
      <x:c r="CN689" s="11" t="n">
        <x:v>0</x:v>
      </x:c>
      <x:c r="CO689" s="11" t="n">
        <x:v>0</x:v>
      </x:c>
      <x:c r="CP689" s="8"/>
      <x:c r="CQ689" s="8"/>
    </x:row>
    <x:row r="690">
      <x:c r="A690" s="8" t="str">
        <x:v>Qualicum Beach|2021</x:v>
      </x:c>
      <x:c r="B690" s="8" t="str">
        <x:v>qualicum-beach-t</x:v>
      </x:c>
      <x:c r="C690" s="8" t="str">
        <x:v>Qualicum Beach</x:v>
      </x:c>
      <x:c r="D690" s="8" t="str">
        <x:v>Qualicum Beach</x:v>
      </x:c>
      <x:c r="E690" s="8" t="str">
        <x:v>T</x:v>
      </x:c>
      <x:c r="F690" s="8" t="str">
        <x:v>NAN</x:v>
      </x:c>
      <x:c r="G690" s="9" t="n">
        <x:v>2021</x:v>
      </x:c>
      <x:c r="H690" s="10" t="n">
        <x:v>9387</x:v>
      </x:c>
      <x:c r="I690" s="8" t="str">
        <x:v>5,000 to 19,999</x:v>
      </x:c>
      <x:c r="J690" s="11" t="n">
        <x:v>20203960</x:v>
      </x:c>
      <x:c r="K690" s="11" t="n">
        <x:v>16430908</x:v>
      </x:c>
      <x:c r="L690" s="11" t="n">
        <x:v>3773052</x:v>
      </x:c>
      <x:c r="M690" s="12" t="n">
        <x:v>0.18674814244336257</x:v>
      </x:c>
      <x:c r="N690" s="11" t="n">
        <x:v>11382697</x:v>
      </x:c>
      <x:c r="O690" s="11" t="n">
        <x:v>5038724</x:v>
      </x:c>
      <x:c r="P690" s="11" t="n">
        <x:v>2913968</x:v>
      </x:c>
      <x:c r="Q690" s="11" t="n">
        <x:v>868571</x:v>
      </x:c>
      <x:c r="R690" s="11" t="n">
        <x:v>12915641</x:v>
      </x:c>
      <x:c r="S690" s="11" t="n">
        <x:v>3465791</x:v>
      </x:c>
      <x:c r="T690" s="11" t="n">
        <x:v>17638963</x:v>
      </x:c>
      <x:c r="U690" s="11" t="n">
        <x:v>12744450</x:v>
      </x:c>
      <x:c r="V690" s="11" t="n">
        <x:v>8042291</x:v>
      </x:c>
      <x:c r="W690" s="11" t="n">
        <x:v>3029213</x:v>
      </x:c>
      <x:c r="X690" s="11" t="n">
        <x:v>2314682</x:v>
      </x:c>
      <x:c r="Y690" s="11" t="n">
        <x:v>0</x:v>
      </x:c>
      <x:c r="Z690" s="11" t="n">
        <x:v>462936</x:v>
      </x:c>
      <x:c r="AA690" s="11" t="n">
        <x:v>1851746</x:v>
      </x:c>
      <x:c r="AB690" s="11" t="n">
        <x:v>49476</x:v>
      </x:c>
      <x:c r="AC690" s="11" t="n">
        <x:v>512412</x:v>
      </x:c>
      <x:c r="AD690" s="11" t="n">
        <x:v>4267751</x:v>
      </x:c>
      <x:c r="AE690" s="11" t="n">
        <x:v>3755339</x:v>
      </x:c>
      <x:c r="AF690" s="11" t="n">
        <x:v>17071003</x:v>
      </x:c>
      <x:c r="AG690" s="11" t="n">
        <x:v>204121688</x:v>
      </x:c>
      <x:c r="AH690" s="11" t="n">
        <x:v>79068462</x:v>
      </x:c>
      <x:c r="AI690" s="11" t="n">
        <x:v>125053226</x:v>
      </x:c>
      <x:c r="AJ690" s="11" t="n">
        <x:v>7347011</x:v>
      </x:c>
      <x:c r="AK690" s="11" t="n">
        <x:v>362791655</x:v>
      </x:c>
      <x:c r="AL690" s="11" t="n">
        <x:v>6056864</x:v>
      </x:c>
      <x:c r="AM690" s="12" t="n">
        <x:v>0.9833048420036012</x:v>
      </x:c>
      <x:c r="AN690" s="12" t="n">
        <x:v>0.020251323035531232</x:v>
      </x:c>
      <x:c r="AO690" s="11" t="n">
        <x:v>22254714</x:v>
      </x:c>
      <x:c r="AP690" s="11" t="n">
        <x:v>22028879</x:v>
      </x:c>
      <x:c r="AQ690" s="12" t="n">
        <x:v>0.9898522623117062</x:v>
      </x:c>
      <x:c r="AR690" s="11" t="n">
        <x:v>2152.3340790454886</x:v>
      </x:c>
      <x:c r="AS690" s="11" t="n">
        <x:v>1750.3896878661978</x:v>
      </x:c>
      <x:c r="AT690" s="11" t="n">
        <x:v>856.7477362309577</x:v>
      </x:c>
      <x:c r="AU690" s="11" t="n">
        <x:v>322.70299350165124</x:v>
      </x:c>
      <x:c r="AV690" s="11" t="n">
        <x:v>197.26707148183658</x:v>
      </x:c>
      <x:c r="AW690" s="11" t="n">
        <x:v>1.3840505474932225</x:v>
      </x:c>
      <x:c r="AX690" s="12" t="n">
        <x:v>0.8799339511606933</x:v>
      </x:c>
      <x:c r="AY690" s="11"/>
      <x:c r="AZ690" s="11"/>
      <x:c r="BA690" s="11"/>
      <x:c r="BB690" s="11"/>
      <x:c r="BC690" s="11"/>
      <x:c r="BD690" s="11"/>
      <x:c r="BE690" s="11"/>
      <x:c r="BF690" s="11"/>
      <x:c r="BG690" s="11"/>
      <x:c r="BH690" s="11"/>
      <x:c r="BI690" s="11"/>
      <x:c r="BJ690" s="11"/>
      <x:c r="BK690" s="12"/>
      <x:c r="BL690" s="12"/>
      <x:c r="BM690" s="12"/>
      <x:c r="BN690" s="12"/>
      <x:c r="BO690" s="12"/>
      <x:c r="BP690" s="12"/>
      <x:c r="BQ690" s="12"/>
      <x:c r="BR690" s="12"/>
      <x:c r="BS690" s="12"/>
      <x:c r="BT690" s="12"/>
      <x:c r="BU690" s="11" t="n">
        <x:v>0</x:v>
      </x:c>
      <x:c r="BV690" s="11" t="n">
        <x:v>1690858</x:v>
      </x:c>
      <x:c r="BW690" s="11" t="n">
        <x:v>1223110</x:v>
      </x:c>
      <x:c r="BX690" s="11" t="n">
        <x:v>91946</x:v>
      </x:c>
      <x:c r="BY690" s="11" t="n">
        <x:v>0</x:v>
      </x:c>
      <x:c r="BZ690" s="11" t="n">
        <x:v>64940</x:v>
      </x:c>
      <x:c r="CA690" s="11" t="n">
        <x:v>711685</x:v>
      </x:c>
      <x:c r="CB690" s="11" t="n">
        <x:v>0</x:v>
      </x:c>
      <x:c r="CC690" s="11" t="n">
        <x:v>2569828</x:v>
      </x:c>
      <x:c r="CD690" s="11" t="n">
        <x:v>2748519</x:v>
      </x:c>
      <x:c r="CE690" s="11" t="n">
        <x:v>880544</x:v>
      </x:c>
      <x:c r="CF690" s="11" t="n">
        <x:v>0</x:v>
      </x:c>
      <x:c r="CG690" s="11" t="n">
        <x:v>1169779</x:v>
      </x:c>
      <x:c r="CH690" s="11" t="n">
        <x:v>2422943</x:v>
      </x:c>
      <x:c r="CI690" s="11" t="n">
        <x:v>1767428</x:v>
      </x:c>
      <x:c r="CJ690" s="11" t="n">
        <x:v>1098516</x:v>
      </x:c>
      <x:c r="CK690" s="11" t="n">
        <x:v>257660</x:v>
      </x:c>
      <x:c r="CL690" s="11" t="n">
        <x:v>49900</x:v>
      </x:c>
      <x:c r="CM690" s="11"/>
      <x:c r="CN690" s="11" t="n">
        <x:v>0</x:v>
      </x:c>
      <x:c r="CO690" s="11" t="n">
        <x:v>0</x:v>
      </x:c>
      <x:c r="CP690" s="8"/>
      <x:c r="CQ690" s="8"/>
    </x:row>
    <x:row r="691">
      <x:c r="A691" s="8" t="str">
        <x:v>Qualicum Beach|2022</x:v>
      </x:c>
      <x:c r="B691" s="8" t="str">
        <x:v>qualicum-beach-t</x:v>
      </x:c>
      <x:c r="C691" s="8" t="str">
        <x:v>Qualicum Beach</x:v>
      </x:c>
      <x:c r="D691" s="8" t="str">
        <x:v>Qualicum Beach</x:v>
      </x:c>
      <x:c r="E691" s="8" t="str">
        <x:v>T</x:v>
      </x:c>
      <x:c r="F691" s="8" t="str">
        <x:v>NAN</x:v>
      </x:c>
      <x:c r="G691" s="9" t="n">
        <x:v>2022</x:v>
      </x:c>
      <x:c r="H691" s="10" t="n">
        <x:v>1004</x:v>
      </x:c>
      <x:c r="I691" s="8" t="str">
        <x:v>Under 5,000</x:v>
      </x:c>
      <x:c r="J691" s="11" t="n">
        <x:v>26291942</x:v>
      </x:c>
      <x:c r="K691" s="11" t="n">
        <x:v>17903383</x:v>
      </x:c>
      <x:c r="L691" s="11" t="n">
        <x:v>8388559</x:v>
      </x:c>
      <x:c r="M691" s="12" t="n">
        <x:v>0.3190543703466256</x:v>
      </x:c>
      <x:c r="N691" s="11" t="n">
        <x:v>12180152</x:v>
      </x:c>
      <x:c r="O691" s="11" t="n">
        <x:v>5891141</x:v>
      </x:c>
      <x:c r="P691" s="11" t="n">
        <x:v>5187136</x:v>
      </x:c>
      <x:c r="Q691" s="11" t="n">
        <x:v>3033513</x:v>
      </x:c>
      <x:c r="R691" s="11" t="n">
        <x:v>14322815</x:v>
      </x:c>
      <x:c r="S691" s="11" t="n">
        <x:v>3541508</x:v>
      </x:c>
      <x:c r="T691" s="11" t="n">
        <x:v>22181322</x:v>
      </x:c>
      <x:c r="U691" s="11" t="n">
        <x:v>12068350</x:v>
      </x:c>
      <x:c r="V691" s="11" t="n">
        <x:v>12964674</x:v>
      </x:c>
      <x:c r="W691" s="11" t="n">
        <x:v>3228654</x:v>
      </x:c>
      <x:c r="X691" s="11" t="n">
        <x:v>1851746</x:v>
      </x:c>
      <x:c r="Y691" s="11" t="n">
        <x:v>920000</x:v>
      </x:c>
      <x:c r="Z691" s="11" t="n">
        <x:v>462937</x:v>
      </x:c>
      <x:c r="AA691" s="11" t="n">
        <x:v>2308809</x:v>
      </x:c>
      <x:c r="AB691" s="11" t="n">
        <x:v>39060</x:v>
      </x:c>
      <x:c r="AC691" s="11" t="n">
        <x:v>501997</x:v>
      </x:c>
      <x:c r="AD691" s="11" t="n">
        <x:v>4768566</x:v>
      </x:c>
      <x:c r="AE691" s="11" t="n">
        <x:v>4266569</x:v>
      </x:c>
      <x:c r="AF691" s="11" t="n">
        <x:v>19074263</x:v>
      </x:c>
      <x:c r="AG691" s="11" t="n">
        <x:v>210760958</x:v>
      </x:c>
      <x:c r="AH691" s="11" t="n">
        <x:v>82223056</x:v>
      </x:c>
      <x:c r="AI691" s="11" t="n">
        <x:v>128537902</x:v>
      </x:c>
      <x:c r="AJ691" s="11" t="n">
        <x:v>7069247</x:v>
      </x:c>
      <x:c r="AK691" s="11" t="n">
        <x:v>49969186</x:v>
      </x:c>
      <x:c r="AL691" s="11" t="n">
        <x:v>0</x:v>
      </x:c>
      <x:c r="AM691" s="12" t="n">
        <x:v>1</x:v>
      </x:c>
      <x:c r="AN691" s="12" t="n">
        <x:v>0.14147212644208373</x:v>
      </x:c>
      <x:c r="AO691" s="11" t="n">
        <x:v>24826046</x:v>
      </x:c>
      <x:c r="AP691" s="11" t="n">
        <x:v>24441984</x:v>
      </x:c>
      <x:c r="AQ691" s="12" t="n">
        <x:v>0.9845298764048048</x:v>
      </x:c>
      <x:c r="AR691" s="11" t="n">
        <x:v>26187.193227091633</x:v>
      </x:c>
      <x:c r="AS691" s="11" t="n">
        <x:v>17832.054780876493</x:v>
      </x:c>
      <x:c r="AT691" s="11" t="n">
        <x:v>12913.021912350598</x:v>
      </x:c>
      <x:c r="AU691" s="11" t="n">
        <x:v>3215.7908366533866</x:v>
      </x:c>
      <x:c r="AV691" s="11" t="n">
        <x:v>2299.610557768924</x:v>
      </x:c>
      <x:c r="AW691" s="11" t="n">
        <x:v>1.8379747024241093</x:v>
      </x:c>
      <x:c r="AX691" s="12" t="n">
        <x:v>0.8947278909424762</x:v>
      </x:c>
      <x:c r="AY691" s="11"/>
      <x:c r="AZ691" s="11"/>
      <x:c r="BA691" s="11"/>
      <x:c r="BB691" s="11"/>
      <x:c r="BC691" s="11"/>
      <x:c r="BD691" s="11"/>
      <x:c r="BE691" s="11"/>
      <x:c r="BF691" s="11"/>
      <x:c r="BG691" s="11"/>
      <x:c r="BH691" s="11"/>
      <x:c r="BI691" s="11"/>
      <x:c r="BJ691" s="11"/>
      <x:c r="BK691" s="12"/>
      <x:c r="BL691" s="12"/>
      <x:c r="BM691" s="12"/>
      <x:c r="BN691" s="12"/>
      <x:c r="BO691" s="12"/>
      <x:c r="BP691" s="12"/>
      <x:c r="BQ691" s="12"/>
      <x:c r="BR691" s="12"/>
      <x:c r="BS691" s="12"/>
      <x:c r="BT691" s="12"/>
      <x:c r="BU691" s="11" t="n">
        <x:v>1075269</x:v>
      </x:c>
      <x:c r="BV691" s="11" t="n">
        <x:v>3092028</x:v>
      </x:c>
      <x:c r="BW691" s="11" t="n">
        <x:v>1019839</x:v>
      </x:c>
      <x:c r="BX691" s="11" t="n">
        <x:v>439259</x:v>
      </x:c>
      <x:c r="BY691" s="11" t="n">
        <x:v>0</x:v>
      </x:c>
      <x:c r="BZ691" s="11" t="n">
        <x:v>12550</x:v>
      </x:c>
      <x:c r="CA691" s="11" t="n">
        <x:v>2581704</x:v>
      </x:c>
      <x:c r="CB691" s="11" t="n">
        <x:v>0</x:v>
      </x:c>
      <x:c r="CC691" s="11" t="n">
        <x:v>2496245</x:v>
      </x:c>
      <x:c r="CD691" s="11" t="n">
        <x:v>2936865</x:v>
      </x:c>
      <x:c r="CE691" s="11" t="n">
        <x:v>924259</x:v>
      </x:c>
      <x:c r="CF691" s="11" t="n">
        <x:v>0</x:v>
      </x:c>
      <x:c r="CG691" s="11" t="n">
        <x:v>1264645</x:v>
      </x:c>
      <x:c r="CH691" s="11" t="n">
        <x:v>3327789</x:v>
      </x:c>
      <x:c r="CI691" s="11" t="n">
        <x:v>1604584</x:v>
      </x:c>
      <x:c r="CJ691" s="11" t="n">
        <x:v>1407526</x:v>
      </x:c>
      <x:c r="CK691" s="11" t="n">
        <x:v>304102</x:v>
      </x:c>
      <x:c r="CL691" s="11" t="n">
        <x:v>52797</x:v>
      </x:c>
      <x:c r="CM691" s="11"/>
      <x:c r="CN691" s="11" t="n">
        <x:v>43063</x:v>
      </x:c>
      <x:c r="CO691" s="11" t="n">
        <x:v>0</x:v>
      </x:c>
      <x:c r="CP691" s="8"/>
      <x:c r="CQ691" s="8"/>
    </x:row>
    <x:row r="692">
      <x:c r="A692" s="8" t="str">
        <x:v>Qualicum Beach|2023</x:v>
      </x:c>
      <x:c r="B692" s="8" t="str">
        <x:v>qualicum-beach-t</x:v>
      </x:c>
      <x:c r="C692" s="8" t="str">
        <x:v>Qualicum Beach</x:v>
      </x:c>
      <x:c r="D692" s="8" t="str">
        <x:v>Qualicum Beach</x:v>
      </x:c>
      <x:c r="E692" s="8" t="str">
        <x:v>T</x:v>
      </x:c>
      <x:c r="F692" s="8" t="str">
        <x:v>NAN</x:v>
      </x:c>
      <x:c r="G692" s="9" t="n">
        <x:v>2023</x:v>
      </x:c>
      <x:c r="H692" s="10" t="n">
        <x:v>9663</x:v>
      </x:c>
      <x:c r="I692" s="8" t="str">
        <x:v>5,000 to 19,999</x:v>
      </x:c>
      <x:c r="J692" s="11" t="n">
        <x:v>28296668</x:v>
      </x:c>
      <x:c r="K692" s="11" t="n">
        <x:v>19053831</x:v>
      </x:c>
      <x:c r="L692" s="11" t="n">
        <x:v>9242837</x:v>
      </x:c>
      <x:c r="M692" s="12" t="n">
        <x:v>0.3266404722987173</x:v>
      </x:c>
      <x:c r="N692" s="11" t="n">
        <x:v>12895924</x:v>
      </x:c>
      <x:c r="O692" s="11" t="n">
        <x:v>5851929</x:v>
      </x:c>
      <x:c r="P692" s="11" t="n">
        <x:v>7383214</x:v>
      </x:c>
      <x:c r="Q692" s="11" t="n">
        <x:v>2165601</x:v>
      </x:c>
      <x:c r="R692" s="11" t="n">
        <x:v>15012212</x:v>
      </x:c>
      <x:c r="S692" s="11" t="n">
        <x:v>3922330</x:v>
      </x:c>
      <x:c r="T692" s="11" t="n">
        <x:v>29083630</x:v>
      </x:c>
      <x:c r="U692" s="11" t="n">
        <x:v>16156118</x:v>
      </x:c>
      <x:c r="V692" s="11" t="n">
        <x:v>16454306</x:v>
      </x:c>
      <x:c r="W692" s="11" t="n">
        <x:v>15499418</x:v>
      </x:c>
      <x:c r="X692" s="11" t="n">
        <x:v>2308809</x:v>
      </x:c>
      <x:c r="Y692" s="11" t="n">
        <x:v>2000000</x:v>
      </x:c>
      <x:c r="Z692" s="11" t="n">
        <x:v>611321</x:v>
      </x:c>
      <x:c r="AA692" s="11" t="n">
        <x:v>3697488</x:v>
      </x:c>
      <x:c r="AB692" s="11" t="n">
        <x:v>119289</x:v>
      </x:c>
      <x:c r="AC692" s="11" t="n">
        <x:v>730610</x:v>
      </x:c>
      <x:c r="AD692" s="11" t="n">
        <x:v>5098660</x:v>
      </x:c>
      <x:c r="AE692" s="11" t="n">
        <x:v>4368050</x:v>
      </x:c>
      <x:c r="AF692" s="11" t="n">
        <x:v>20394638</x:v>
      </x:c>
      <x:c r="AG692" s="11" t="n">
        <x:v>220189062</x:v>
      </x:c>
      <x:c r="AH692" s="11" t="n">
        <x:v>86032750</x:v>
      </x:c>
      <x:c r="AI692" s="11" t="n">
        <x:v>134156312</x:v>
      </x:c>
      <x:c r="AJ692" s="11" t="n">
        <x:v>9233610</x:v>
      </x:c>
      <x:c r="AK692" s="11" t="n">
        <x:v>44886597</x:v>
      </x:c>
      <x:c r="AL692" s="11" t="n">
        <x:v>0</x:v>
      </x:c>
      <x:c r="AM692" s="12" t="n">
        <x:v>1</x:v>
      </x:c>
      <x:c r="AN692" s="12" t="n">
        <x:v>0.20570973558097977</x:v>
      </x:c>
      <x:c r="AO692" s="11" t="n">
        <x:v>26911926</x:v>
      </x:c>
      <x:c r="AP692" s="11" t="n">
        <x:v>26464854</x:v>
      </x:c>
      <x:c r="AQ692" s="12" t="n">
        <x:v>0.9833875880901278</x:v>
      </x:c>
      <x:c r="AR692" s="11" t="n">
        <x:v>2928.352271551278</x:v>
      </x:c>
      <x:c r="AS692" s="11" t="n">
        <x:v>1971.833902514747</x:v>
      </x:c>
      <x:c r="AT692" s="11" t="n">
        <x:v>1702.815481734451</x:v>
      </x:c>
      <x:c r="AU692" s="11" t="n">
        <x:v>1603.9964814239884</x:v>
      </x:c>
      <x:c r="AV692" s="11" t="n">
        <x:v>382.6438994101211</x:v>
      </x:c>
      <x:c r="AW692" s="11" t="n">
        <x:v>1.8001620191187016</x:v>
      </x:c>
      <x:c r="AX692" s="12" t="n">
        <x:v>0.8567054873241204</x:v>
      </x:c>
      <x:c r="AY692" s="11"/>
      <x:c r="AZ692" s="11"/>
      <x:c r="BA692" s="11"/>
      <x:c r="BB692" s="11"/>
      <x:c r="BC692" s="11"/>
      <x:c r="BD692" s="11"/>
      <x:c r="BE692" s="11"/>
      <x:c r="BF692" s="11"/>
      <x:c r="BG692" s="11"/>
      <x:c r="BH692" s="11"/>
      <x:c r="BI692" s="11"/>
      <x:c r="BJ692" s="11"/>
      <x:c r="BK692" s="12"/>
      <x:c r="BL692" s="12"/>
      <x:c r="BM692" s="12"/>
      <x:c r="BN692" s="12"/>
      <x:c r="BO692" s="12"/>
      <x:c r="BP692" s="12"/>
      <x:c r="BQ692" s="12"/>
      <x:c r="BR692" s="12"/>
      <x:c r="BS692" s="12"/>
      <x:c r="BT692" s="12"/>
      <x:c r="BU692" s="11" t="n">
        <x:v>1251743</x:v>
      </x:c>
      <x:c r="BV692" s="11" t="n">
        <x:v>5423066</x:v>
      </x:c>
      <x:c r="BW692" s="11" t="n">
        <x:v>708405</x:v>
      </x:c>
      <x:c r="BX692" s="11" t="n">
        <x:v>1205785</x:v>
      </x:c>
      <x:c r="BY692" s="11" t="n">
        <x:v>0</x:v>
      </x:c>
      <x:c r="BZ692" s="11" t="n">
        <x:v>930000</x:v>
      </x:c>
      <x:c r="CA692" s="11" t="n">
        <x:v>29816</x:v>
      </x:c>
      <x:c r="CB692" s="11" t="n">
        <x:v>0</x:v>
      </x:c>
      <x:c r="CC692" s="11" t="n">
        <x:v>2545846</x:v>
      </x:c>
      <x:c r="CD692" s="11" t="n">
        <x:v>2553186</x:v>
      </x:c>
      <x:c r="CE692" s="11" t="n">
        <x:v>995136</x:v>
      </x:c>
      <x:c r="CF692" s="11" t="n">
        <x:v>0</x:v>
      </x:c>
      <x:c r="CG692" s="11" t="n">
        <x:v>2187978</x:v>
      </x:c>
      <x:c r="CH692" s="11" t="n">
        <x:v>3517459</x:v>
      </x:c>
      <x:c r="CI692" s="11" t="n">
        <x:v>649390</x:v>
      </x:c>
      <x:c r="CJ692" s="11" t="n">
        <x:v>1837422</x:v>
      </x:c>
      <x:c r="CK692" s="11" t="n">
        <x:v>789734</x:v>
      </x:c>
      <x:c r="CL692" s="11" t="n">
        <x:v>55350</x:v>
      </x:c>
      <x:c r="CM692" s="11" t="n">
        <x:v>0</x:v>
      </x:c>
      <x:c r="CN692" s="11" t="n">
        <x:v>0</x:v>
      </x:c>
      <x:c r="CO692" s="11" t="n">
        <x:v>0</x:v>
      </x:c>
      <x:c r="CP692" s="8"/>
      <x:c r="CQ692" s="8"/>
    </x:row>
    <x:row r="693">
      <x:c r="A693" s="8" t="str">
        <x:v>Qualicum Beach|2024</x:v>
      </x:c>
      <x:c r="B693" s="8" t="str">
        <x:v>qualicum-beach-t</x:v>
      </x:c>
      <x:c r="C693" s="8" t="str">
        <x:v>Qualicum Beach</x:v>
      </x:c>
      <x:c r="D693" s="8" t="str">
        <x:v>Qualicum Beach</x:v>
      </x:c>
      <x:c r="E693" s="8" t="str">
        <x:v>T</x:v>
      </x:c>
      <x:c r="F693" s="8" t="str">
        <x:v>NAN</x:v>
      </x:c>
      <x:c r="G693" s="9" t="n">
        <x:v>2024</x:v>
      </x:c>
      <x:c r="H693" s="10" t="n">
        <x:v>9663</x:v>
      </x:c>
      <x:c r="I693" s="8" t="str">
        <x:v>5,000 to 19,999</x:v>
      </x:c>
      <x:c r="J693" s="11" t="n">
        <x:v>28652315</x:v>
      </x:c>
      <x:c r="K693" s="11" t="n">
        <x:v>20703228</x:v>
      </x:c>
      <x:c r="L693" s="11" t="n">
        <x:v>7949087</x:v>
      </x:c>
      <x:c r="M693" s="12" t="n">
        <x:v>0.2774326262991315</x:v>
      </x:c>
      <x:c r="N693" s="11" t="n">
        <x:v>14026170</x:v>
      </x:c>
      <x:c r="O693" s="11" t="n">
        <x:v>5516963</x:v>
      </x:c>
      <x:c r="P693" s="11" t="n">
        <x:v>4683585</x:v>
      </x:c>
      <x:c r="Q693" s="11" t="n">
        <x:v>4425597</x:v>
      </x:c>
      <x:c r="R693" s="11" t="n">
        <x:v>16650508</x:v>
      </x:c>
      <x:c r="S693" s="11" t="n">
        <x:v>3839821</x:v>
      </x:c>
      <x:c r="T693" s="11" t="n">
        <x:v>27871933</x:v>
      </x:c>
      <x:c r="U693" s="11" t="n">
        <x:v>13777636</x:v>
      </x:c>
      <x:c r="V693" s="11" t="n">
        <x:v>18788810</x:v>
      </x:c>
      <x:c r="W693" s="11" t="n">
        <x:v>15248088</x:v>
      </x:c>
      <x:c r="X693" s="11" t="n">
        <x:v>3697488</x:v>
      </x:c>
      <x:c r="Y693" s="11" t="n">
        <x:v>0</x:v>
      </x:c>
      <x:c r="Z693" s="11" t="n">
        <x:v>1009396</x:v>
      </x:c>
      <x:c r="AA693" s="11" t="n">
        <x:v>2688092</x:v>
      </x:c>
      <x:c r="AB693" s="11" t="n">
        <x:v>212899</x:v>
      </x:c>
      <x:c r="AC693" s="11" t="n">
        <x:v>1222295</x:v>
      </x:c>
      <x:c r="AD693" s="11" t="n">
        <x:v>5341788</x:v>
      </x:c>
      <x:c r="AE693" s="11" t="n">
        <x:v>4047979</x:v>
      </x:c>
      <x:c r="AF693" s="11" t="n">
        <x:v>21367150</x:v>
      </x:c>
      <x:c r="AG693" s="11" t="n">
        <x:v>228936409</x:v>
      </x:c>
      <x:c r="AH693" s="11" t="n">
        <x:v>89145739</x:v>
      </x:c>
      <x:c r="AI693" s="11" t="n">
        <x:v>139790670</x:v>
      </x:c>
      <x:c r="AJ693" s="11" t="n">
        <x:v>9561800</x:v>
      </x:c>
      <x:c r="AK693" s="11" t="n">
        <x:v>407278460</x:v>
      </x:c>
      <x:c r="AL693" s="11" t="n">
        <x:v>6232000</x:v>
      </x:c>
      <x:c r="AM693" s="12" t="n">
        <x:v>0.9846984296689788</x:v>
      </x:c>
      <x:c r="AN693" s="12" t="n">
        <x:v>0.023477303464563285</x:v>
      </x:c>
      <x:c r="AO693" s="11" t="n">
        <x:v>29103994</x:v>
      </x:c>
      <x:c r="AP693" s="11" t="n">
        <x:v>28645385</x:v>
      </x:c>
      <x:c r="AQ693" s="12" t="n">
        <x:v>0.9842424032935136</x:v>
      </x:c>
      <x:c r="AR693" s="11" t="n">
        <x:v>2965.157301045224</x:v>
      </x:c>
      <x:c r="AS693" s="11" t="n">
        <x:v>2142.525923626203</x:v>
      </x:c>
      <x:c r="AT693" s="11" t="n">
        <x:v>1944.407533892166</x:v>
      </x:c>
      <x:c r="AU693" s="11" t="n">
        <x:v>1577.986960571251</x:v>
      </x:c>
      <x:c r="AV693" s="11" t="n">
        <x:v>278.18400082790026</x:v>
      </x:c>
      <x:c r="AW693" s="11" t="n">
        <x:v>2.022983696187067</x:v>
      </x:c>
      <x:c r="AX693" s="12" t="n">
        <x:v>0.7577947683434835</x:v>
      </x:c>
      <x:c r="AY693" s="11" t="n">
        <x:v>2866.2208483821423</x:v>
      </x:c>
      <x:c r="AZ693" s="11" t="n">
        <x:v>3546.5079302077975</x:v>
      </x:c>
      <x:c r="BA693" s="11" t="n">
        <x:v>2297.657175284081</x:v>
      </x:c>
      <x:c r="BB693" s="11" t="n">
        <x:v>2783.665107049771</x:v>
      </x:c>
      <x:c r="BC693" s="11" t="n">
        <x:v>1859.732534766857</x:v>
      </x:c>
      <x:c r="BD693" s="11" t="n">
        <x:v>2437.8724475115623</x:v>
      </x:c>
      <x:c r="BE693" s="11" t="n">
        <x:v>918.4907099893891</x:v>
      </x:c>
      <x:c r="BF693" s="11" t="n">
        <x:v>1604.3462673977224</x:v>
      </x:c>
      <x:c r="BG693" s="11" t="n">
        <x:v>814.8464198087386</x:v>
      </x:c>
      <x:c r="BH693" s="11" t="n">
        <x:v>518.5374381567245</x:v>
      </x:c>
      <x:c r="BI693" s="11" t="n">
        <x:v>1.5120151567026447</x:v>
      </x:c>
      <x:c r="BJ693" s="11" t="n">
        <x:v>1.7099330852451193</x:v>
      </x:c>
      <x:c r="BK693" s="12" t="n">
        <x:v>0.024769834473671436</x:v>
      </x:c>
      <x:c r="BL693" s="12" t="n">
        <x:v>0.02529861000232605</x:v>
      </x:c>
      <x:c r="BM693" s="12" t="n">
        <x:v>0.9804574834797263</x:v>
      </x:c>
      <x:c r="BN693" s="12" t="n">
        <x:v>0.9815511712696461</x:v>
      </x:c>
      <x:c r="BO693" s="12" t="n">
        <x:v>0.8566659461626738</x:v>
      </x:c>
      <x:c r="BP693" s="12" t="n">
        <x:v>0.8619101997275483</x:v>
      </x:c>
      <x:c r="BQ693" s="12" t="n">
        <x:v>0.9770312225566793</x:v>
      </x:c>
      <x:c r="BR693" s="12" t="n">
        <x:v>0.9623635142836453</x:v>
      </x:c>
      <x:c r="BS693" s="12" t="n">
        <x:v>0.17479552285244132</x:v>
      </x:c>
      <x:c r="BT693" s="12" t="n">
        <x:v>0.19976549769108282</x:v>
      </x:c>
      <x:c r="BU693" s="11" t="n">
        <x:v>4759</x:v>
      </x:c>
      <x:c r="BV693" s="11" t="n">
        <x:v>3878898</x:v>
      </x:c>
      <x:c r="BW693" s="11" t="n">
        <x:v>799928</x:v>
      </x:c>
      <x:c r="BX693" s="11" t="n">
        <x:v>1346417</x:v>
      </x:c>
      <x:c r="BY693" s="11" t="n">
        <x:v>0</x:v>
      </x:c>
      <x:c r="BZ693" s="11" t="n">
        <x:v>3046801</x:v>
      </x:c>
      <x:c r="CA693" s="11" t="n">
        <x:v>32379</x:v>
      </x:c>
      <x:c r="CB693" s="11" t="n">
        <x:v>0</x:v>
      </x:c>
      <x:c r="CC693" s="11" t="n">
        <x:v>3090102</x:v>
      </x:c>
      <x:c r="CD693" s="11" t="n">
        <x:v>2833982</x:v>
      </x:c>
      <x:c r="CE693" s="11" t="n">
        <x:v>987291</x:v>
      </x:c>
      <x:c r="CF693" s="11" t="n">
        <x:v>0</x:v>
      </x:c>
      <x:c r="CG693" s="11" t="n">
        <x:v>1221724</x:v>
      </x:c>
      <x:c r="CH693" s="11" t="n">
        <x:v>4143787</x:v>
      </x:c>
      <x:c r="CI693" s="11" t="n">
        <x:v>1684535</x:v>
      </x:c>
      <x:c r="CJ693" s="11" t="n">
        <x:v>2017365</x:v>
      </x:c>
      <x:c r="CK693" s="11" t="n">
        <x:v>828793</x:v>
      </x:c>
      <x:c r="CL693" s="11" t="n">
        <x:v>55828</x:v>
      </x:c>
      <x:c r="CM693" s="11" t="n">
        <x:v>0</x:v>
      </x:c>
      <x:c r="CN693" s="11" t="n">
        <x:v>0</x:v>
      </x:c>
      <x:c r="CO693" s="11" t="n">
        <x:v>0</x:v>
      </x:c>
      <x:c r="CP693" s="8"/>
      <x:c r="CQ693" s="8"/>
    </x:row>
    <x:row r="694">
      <x:c r="A694" s="8" t="str">
        <x:v>Quesnel|2019</x:v>
      </x:c>
      <x:c r="B694" s="8" t="str">
        <x:v>quesnel-c</x:v>
      </x:c>
      <x:c r="C694" s="8" t="str">
        <x:v>Quesnel</x:v>
      </x:c>
      <x:c r="D694" s="8" t="str">
        <x:v>Quesnel</x:v>
      </x:c>
      <x:c r="E694" s="8" t="str">
        <x:v>C</x:v>
      </x:c>
      <x:c r="F694" s="8" t="str">
        <x:v>CAR</x:v>
      </x:c>
      <x:c r="G694" s="9" t="n">
        <x:v>2019</x:v>
      </x:c>
      <x:c r="H694" s="10" t="n">
        <x:v>10392</x:v>
      </x:c>
      <x:c r="I694" s="8" t="str">
        <x:v>5,000 to 19,999</x:v>
      </x:c>
      <x:c r="J694" s="11" t="n">
        <x:v>29679580</x:v>
      </x:c>
      <x:c r="K694" s="11" t="n">
        <x:v>28440174</x:v>
      </x:c>
      <x:c r="L694" s="11" t="n">
        <x:v>1239406</x:v>
      </x:c>
      <x:c r="M694" s="12" t="n">
        <x:v>0.04175955320122455</x:v>
      </x:c>
      <x:c r="N694" s="11" t="n">
        <x:v>18112731</x:v>
      </x:c>
      <x:c r="O694" s="11" t="n">
        <x:v>6067213</x:v>
      </x:c>
      <x:c r="P694" s="11" t="n">
        <x:v>3974069</x:v>
      </x:c>
      <x:c r="Q694" s="11" t="n">
        <x:v>1525567</x:v>
      </x:c>
      <x:c r="R694" s="11" t="n">
        <x:v>23929360</x:v>
      </x:c>
      <x:c r="S694" s="11" t="n">
        <x:v>4297529</x:v>
      </x:c>
      <x:c r="T694" s="11" t="n">
        <x:v>24382364</x:v>
      </x:c>
      <x:c r="U694" s="11" t="n">
        <x:v>15370067</x:v>
      </x:c>
      <x:c r="V694" s="11" t="n">
        <x:v>12110883</x:v>
      </x:c>
      <x:c r="W694" s="11" t="n">
        <x:v>15904175</x:v>
      </x:c>
      <x:c r="X694" s="11" t="n">
        <x:v>4791667</x:v>
      </x:c>
      <x:c r="Y694" s="11" t="n">
        <x:v>1016325</x:v>
      </x:c>
      <x:c r="Z694" s="11" t="n">
        <x:v>296175</x:v>
      </x:c>
      <x:c r="AA694" s="11" t="n">
        <x:v>5274113</x:v>
      </x:c>
      <x:c r="AB694" s="11" t="n">
        <x:v>213285</x:v>
      </x:c>
      <x:c r="AC694" s="11" t="n">
        <x:v>509460</x:v>
      </x:c>
      <x:c r="AD694" s="11" t="n">
        <x:v>5126364</x:v>
      </x:c>
      <x:c r="AE694" s="11" t="n">
        <x:v>3985354</x:v>
      </x:c>
      <x:c r="AF694" s="11" t="n">
        <x:v>20505456</x:v>
      </x:c>
      <x:c r="AG694" s="11" t="n">
        <x:v>174439150</x:v>
      </x:c>
      <x:c r="AH694" s="11" t="n">
        <x:v>76012509</x:v>
      </x:c>
      <x:c r="AI694" s="11" t="n">
        <x:v>98426641</x:v>
      </x:c>
      <x:c r="AJ694" s="11" t="n">
        <x:v>6788557</x:v>
      </x:c>
      <x:c r="AK694" s="11" t="n">
        <x:v>309872230</x:v>
      </x:c>
      <x:c r="AL694" s="11" t="n">
        <x:v>6629500</x:v>
      </x:c>
      <x:c r="AM694" s="12" t="n">
        <x:v>0.9786056982260075</x:v>
      </x:c>
      <x:c r="AN694" s="12" t="n">
        <x:v>0.021907600432604108</x:v>
      </x:c>
      <x:c r="AO694" s="11" t="n">
        <x:v>26171675</x:v>
      </x:c>
      <x:c r="AP694" s="11" t="n">
        <x:v>25362915</x:v>
      </x:c>
      <x:c r="AQ694" s="12" t="n">
        <x:v>0.969097889225661</x:v>
      </x:c>
      <x:c r="AR694" s="11" t="n">
        <x:v>2856.0026943802927</x:v>
      </x:c>
      <x:c r="AS694" s="11" t="n">
        <x:v>2736.737297921478</x:v>
      </x:c>
      <x:c r="AT694" s="11" t="n">
        <x:v>1165.4044457274827</x:v>
      </x:c>
      <x:c r="AU694" s="11" t="n">
        <x:v>1530.4248460354117</x:v>
      </x:c>
      <x:c r="AV694" s="11" t="n">
        <x:v>507.5166474210931</x:v>
      </x:c>
      <x:c r="AW694" s="11" t="n">
        <x:v>1.5863537875274063</x:v>
      </x:c>
      <x:c r="AX694" s="12" t="n">
        <x:v>0.7774231404558865</x:v>
      </x:c>
      <x:c r="AY694" s="11"/>
      <x:c r="AZ694" s="11"/>
      <x:c r="BA694" s="11"/>
      <x:c r="BB694" s="11"/>
      <x:c r="BC694" s="11"/>
      <x:c r="BD694" s="11"/>
      <x:c r="BE694" s="11"/>
      <x:c r="BF694" s="11"/>
      <x:c r="BG694" s="11"/>
      <x:c r="BH694" s="11"/>
      <x:c r="BI694" s="11"/>
      <x:c r="BJ694" s="11"/>
      <x:c r="BK694" s="12"/>
      <x:c r="BL694" s="12"/>
      <x:c r="BM694" s="12"/>
      <x:c r="BN694" s="12"/>
      <x:c r="BO694" s="12"/>
      <x:c r="BP694" s="12"/>
      <x:c r="BQ694" s="12"/>
      <x:c r="BR694" s="12"/>
      <x:c r="BS694" s="12"/>
      <x:c r="BT694" s="12"/>
      <x:c r="BU694" s="11" t="n">
        <x:v>159435</x:v>
      </x:c>
      <x:c r="BV694" s="11" t="n">
        <x:v>2251966</x:v>
      </x:c>
      <x:c r="BW694" s="11" t="n">
        <x:v>1562668</x:v>
      </x:c>
      <x:c r="BX694" s="11" t="n">
        <x:v>542631</x:v>
      </x:c>
      <x:c r="BY694" s="11" t="n">
        <x:v>0</x:v>
      </x:c>
      <x:c r="BZ694" s="11" t="n">
        <x:v>133098</x:v>
      </x:c>
      <x:c r="CA694" s="11" t="n">
        <x:v>71016</x:v>
      </x:c>
      <x:c r="CB694" s="11" t="n">
        <x:v>778822</x:v>
      </x:c>
      <x:c r="CC694" s="11" t="n">
        <x:v>2566223</x:v>
      </x:c>
      <x:c r="CD694" s="11" t="n">
        <x:v>6012585</x:v>
      </x:c>
      <x:c r="CE694" s="11" t="n">
        <x:v>3175990</x:v>
      </x:c>
      <x:c r="CF694" s="11" t="n">
        <x:v>160811</x:v>
      </x:c>
      <x:c r="CG694" s="11" t="n">
        <x:v>1475006</x:v>
      </x:c>
      <x:c r="CH694" s="11" t="n">
        <x:v>4883852</x:v>
      </x:c>
      <x:c r="CI694" s="11" t="n">
        <x:v>1616850</x:v>
      </x:c>
      <x:c r="CJ694" s="11" t="n">
        <x:v>1488487</x:v>
      </x:c>
      <x:c r="CK694" s="11" t="n">
        <x:v>892268</x:v>
      </x:c>
      <x:c r="CL694" s="11" t="n">
        <x:v>1870573</x:v>
      </x:c>
      <x:c r="CM694" s="11"/>
      <x:c r="CN694" s="11" t="n">
        <x:v>0</x:v>
      </x:c>
      <x:c r="CO694" s="11" t="n">
        <x:v>0</x:v>
      </x:c>
      <x:c r="CP694" s="8"/>
      <x:c r="CQ694" s="8"/>
    </x:row>
    <x:row r="695">
      <x:c r="A695" s="8" t="str">
        <x:v>Quesnel|2020</x:v>
      </x:c>
      <x:c r="B695" s="8" t="str">
        <x:v>quesnel-c</x:v>
      </x:c>
      <x:c r="C695" s="8" t="str">
        <x:v>Quesnel</x:v>
      </x:c>
      <x:c r="D695" s="8" t="str">
        <x:v>Quesnel</x:v>
      </x:c>
      <x:c r="E695" s="8" t="str">
        <x:v>C</x:v>
      </x:c>
      <x:c r="F695" s="8" t="str">
        <x:v>CAR</x:v>
      </x:c>
      <x:c r="G695" s="9" t="n">
        <x:v>2020</x:v>
      </x:c>
      <x:c r="H695" s="10" t="n">
        <x:v>10356</x:v>
      </x:c>
      <x:c r="I695" s="8" t="str">
        <x:v>5,000 to 19,999</x:v>
      </x:c>
      <x:c r="J695" s="11" t="n">
        <x:v>32910502</x:v>
      </x:c>
      <x:c r="K695" s="11" t="n">
        <x:v>27387557</x:v>
      </x:c>
      <x:c r="L695" s="11" t="n">
        <x:v>5522945</x:v>
      </x:c>
      <x:c r="M695" s="12" t="n">
        <x:v>0.1678170998424758</x:v>
      </x:c>
      <x:c r="N695" s="11" t="n">
        <x:v>18859075</x:v>
      </x:c>
      <x:c r="O695" s="11" t="n">
        <x:v>6631919</x:v>
      </x:c>
      <x:c r="P695" s="11" t="n">
        <x:v>6114926</x:v>
      </x:c>
      <x:c r="Q695" s="11" t="n">
        <x:v>1304582</x:v>
      </x:c>
      <x:c r="R695" s="11" t="n">
        <x:v>22939918</x:v>
      </x:c>
      <x:c r="S695" s="11" t="n">
        <x:v>4384479</x:v>
      </x:c>
      <x:c r="T695" s="11" t="n">
        <x:v>30117379</x:v>
      </x:c>
      <x:c r="U695" s="11" t="n">
        <x:v>26063030</x:v>
      </x:c>
      <x:c r="V695" s="11" t="n">
        <x:v>7811530</x:v>
      </x:c>
      <x:c r="W695" s="11" t="n">
        <x:v>16397732</x:v>
      </x:c>
      <x:c r="X695" s="11" t="n">
        <x:v>5274113</x:v>
      </x:c>
      <x:c r="Y695" s="11" t="n">
        <x:v>7760000</x:v>
      </x:c>
      <x:c r="Z695" s="11" t="n">
        <x:v>516181</x:v>
      </x:c>
      <x:c r="AA695" s="11" t="n">
        <x:v>12258288</x:v>
      </x:c>
      <x:c r="AB695" s="11" t="n">
        <x:v>63160</x:v>
      </x:c>
      <x:c r="AC695" s="11" t="n">
        <x:v>579341</x:v>
      </x:c>
      <x:c r="AD695" s="11" t="n">
        <x:v>5280859</x:v>
      </x:c>
      <x:c r="AE695" s="11" t="n">
        <x:v>4582868</x:v>
      </x:c>
      <x:c r="AF695" s="11" t="n">
        <x:v>21123435</x:v>
      </x:c>
      <x:c r="AG695" s="11" t="n">
        <x:v>187432886</x:v>
      </x:c>
      <x:c r="AH695" s="11" t="n">
        <x:v>79111339</x:v>
      </x:c>
      <x:c r="AI695" s="11" t="n">
        <x:v>108321547</x:v>
      </x:c>
      <x:c r="AJ695" s="11" t="n">
        <x:v>14501936</x:v>
      </x:c>
      <x:c r="AK695" s="11" t="n">
        <x:v>324558292</x:v>
      </x:c>
      <x:c r="AL695" s="11" t="n">
        <x:v>6169500</x:v>
      </x:c>
      <x:c r="AM695" s="12" t="n">
        <x:v>0.9809910880354276</x:v>
      </x:c>
      <x:c r="AN695" s="12" t="n">
        <x:v>0.04468206900719086</x:v>
      </x:c>
      <x:c r="AO695" s="11" t="n">
        <x:v>27198694</x:v>
      </x:c>
      <x:c r="AP695" s="11" t="n">
        <x:v>26342175</x:v>
      </x:c>
      <x:c r="AQ695" s="12" t="n">
        <x:v>0.9685088188425518</x:v>
      </x:c>
      <x:c r="AR695" s="11" t="n">
        <x:v>3177.9163769795286</x:v>
      </x:c>
      <x:c r="AS695" s="11" t="n">
        <x:v>2644.607667052916</x:v>
      </x:c>
      <x:c r="AT695" s="11" t="n">
        <x:v>754.2999227500966</x:v>
      </x:c>
      <x:c r="AU695" s="11" t="n">
        <x:v>1583.4040169949787</x:v>
      </x:c>
      <x:c r="AV695" s="11" t="n">
        <x:v>1183.6894553881807</x:v>
      </x:c>
      <x:c r="AW695" s="11" t="n">
        <x:v>1.1555593881448165</x:v>
      </x:c>
      <x:c r="AX695" s="12" t="n">
        <x:v>0.8678262381177002</x:v>
      </x:c>
      <x:c r="AY695" s="11"/>
      <x:c r="AZ695" s="11"/>
      <x:c r="BA695" s="11"/>
      <x:c r="BB695" s="11"/>
      <x:c r="BC695" s="11"/>
      <x:c r="BD695" s="11"/>
      <x:c r="BE695" s="11"/>
      <x:c r="BF695" s="11"/>
      <x:c r="BG695" s="11"/>
      <x:c r="BH695" s="11"/>
      <x:c r="BI695" s="11"/>
      <x:c r="BJ695" s="11"/>
      <x:c r="BK695" s="12"/>
      <x:c r="BL695" s="12"/>
      <x:c r="BM695" s="12"/>
      <x:c r="BN695" s="12"/>
      <x:c r="BO695" s="12"/>
      <x:c r="BP695" s="12"/>
      <x:c r="BQ695" s="12"/>
      <x:c r="BR695" s="12"/>
      <x:c r="BS695" s="12"/>
      <x:c r="BT695" s="12"/>
      <x:c r="BU695" s="11" t="n">
        <x:v>651872</x:v>
      </x:c>
      <x:c r="BV695" s="11" t="n">
        <x:v>4474409</x:v>
      </x:c>
      <x:c r="BW695" s="11" t="n">
        <x:v>988645</x:v>
      </x:c>
      <x:c r="BX695" s="11" t="n">
        <x:v>625158</x:v>
      </x:c>
      <x:c r="BY695" s="11" t="n">
        <x:v>0</x:v>
      </x:c>
      <x:c r="BZ695" s="11" t="n">
        <x:v>267128</x:v>
      </x:c>
      <x:c r="CA695" s="11" t="n">
        <x:v>17921</x:v>
      </x:c>
      <x:c r="CB695" s="11" t="n">
        <x:v>394375</x:v>
      </x:c>
      <x:c r="CC695" s="11" t="n">
        <x:v>2577466</x:v>
      </x:c>
      <x:c r="CD695" s="11" t="n">
        <x:v>6139121</x:v>
      </x:c>
      <x:c r="CE695" s="11" t="n">
        <x:v>1671873</x:v>
      </x:c>
      <x:c r="CF695" s="11" t="n">
        <x:v>160794</x:v>
      </x:c>
      <x:c r="CG695" s="11" t="n">
        <x:v>1607266</x:v>
      </x:c>
      <x:c r="CH695" s="11" t="n">
        <x:v>4650462</x:v>
      </x:c>
      <x:c r="CI695" s="11" t="n">
        <x:v>1676655</x:v>
      </x:c>
      <x:c r="CJ695" s="11" t="n">
        <x:v>1413250</x:v>
      </x:c>
      <x:c r="CK695" s="11" t="n">
        <x:v>870754</x:v>
      </x:c>
      <x:c r="CL695" s="11" t="n">
        <x:v>2235437</x:v>
      </x:c>
      <x:c r="CM695" s="11"/>
      <x:c r="CN695" s="11" t="n">
        <x:v>0</x:v>
      </x:c>
      <x:c r="CO695" s="11" t="n">
        <x:v>0</x:v>
      </x:c>
      <x:c r="CP695" s="8"/>
      <x:c r="CQ695" s="8"/>
    </x:row>
    <x:row r="696">
      <x:c r="A696" s="8" t="str">
        <x:v>Quesnel|2021</x:v>
      </x:c>
      <x:c r="B696" s="8" t="str">
        <x:v>quesnel-c</x:v>
      </x:c>
      <x:c r="C696" s="8" t="str">
        <x:v>Quesnel</x:v>
      </x:c>
      <x:c r="D696" s="8" t="str">
        <x:v>Quesnel</x:v>
      </x:c>
      <x:c r="E696" s="8" t="str">
        <x:v>C</x:v>
      </x:c>
      <x:c r="F696" s="8" t="str">
        <x:v>CAR</x:v>
      </x:c>
      <x:c r="G696" s="9" t="n">
        <x:v>2021</x:v>
      </x:c>
      <x:c r="H696" s="10" t="n">
        <x:v>10122</x:v>
      </x:c>
      <x:c r="I696" s="8" t="str">
        <x:v>5,000 to 19,999</x:v>
      </x:c>
      <x:c r="J696" s="11" t="n">
        <x:v>34923388</x:v>
      </x:c>
      <x:c r="K696" s="11" t="n">
        <x:v>28481851</x:v>
      </x:c>
      <x:c r="L696" s="11" t="n">
        <x:v>6441537</x:v>
      </x:c>
      <x:c r="M696" s="12" t="n">
        <x:v>0.18444765439137806</x:v>
      </x:c>
      <x:c r="N696" s="11" t="n">
        <x:v>19167844</x:v>
      </x:c>
      <x:c r="O696" s="11" t="n">
        <x:v>7000232</x:v>
      </x:c>
      <x:c r="P696" s="11" t="n">
        <x:v>7287087</x:v>
      </x:c>
      <x:c r="Q696" s="11" t="n">
        <x:v>1468225</x:v>
      </x:c>
      <x:c r="R696" s="11" t="n">
        <x:v>23663360</x:v>
      </x:c>
      <x:c r="S696" s="11" t="n">
        <x:v>4548617</x:v>
      </x:c>
      <x:c r="T696" s="11" t="n">
        <x:v>30256160</x:v>
      </x:c>
      <x:c r="U696" s="11" t="n">
        <x:v>27315203</x:v>
      </x:c>
      <x:c r="V696" s="11" t="n">
        <x:v>9741831</x:v>
      </x:c>
      <x:c r="W696" s="11" t="n">
        <x:v>19720876</x:v>
      </x:c>
      <x:c r="X696" s="11" t="n">
        <x:v>12258288</x:v>
      </x:c>
      <x:c r="Y696" s="11" t="n">
        <x:v>2000000</x:v>
      </x:c>
      <x:c r="Z696" s="11" t="n">
        <x:v>578237</x:v>
      </x:c>
      <x:c r="AA696" s="11" t="n">
        <x:v>13547130</x:v>
      </x:c>
      <x:c r="AB696" s="11" t="n">
        <x:v>269874</x:v>
      </x:c>
      <x:c r="AC696" s="11" t="n">
        <x:v>848111</x:v>
      </x:c>
      <x:c r="AD696" s="11" t="n">
        <x:v>5501904</x:v>
      </x:c>
      <x:c r="AE696" s="11" t="n">
        <x:v>4653793</x:v>
      </x:c>
      <x:c r="AF696" s="11" t="n">
        <x:v>22007617</x:v>
      </x:c>
      <x:c r="AG696" s="11" t="n">
        <x:v>194205978</x:v>
      </x:c>
      <x:c r="AH696" s="11" t="n">
        <x:v>81711777</x:v>
      </x:c>
      <x:c r="AI696" s="11" t="n">
        <x:v>112494201</x:v>
      </x:c>
      <x:c r="AJ696" s="11" t="n">
        <x:v>8775834</x:v>
      </x:c>
      <x:c r="AK696" s="11" t="n">
        <x:v>339575938</x:v>
      </x:c>
      <x:c r="AL696" s="11" t="n">
        <x:v>6233500</x:v>
      </x:c>
      <x:c r="AM696" s="12" t="n">
        <x:v>0.9816432812150547</x:v>
      </x:c>
      <x:c r="AN696" s="12" t="n">
        <x:v>0.025843509559855798</x:v>
      </x:c>
      <x:c r="AO696" s="11" t="n">
        <x:v>28279836</x:v>
      </x:c>
      <x:c r="AP696" s="11" t="n">
        <x:v>27203910</x:v>
      </x:c>
      <x:c r="AQ696" s="12" t="n">
        <x:v>0.9619543055341622</x:v>
      </x:c>
      <x:c r="AR696" s="11" t="n">
        <x:v>3450.2458012250545</x:v>
      </x:c>
      <x:c r="AS696" s="11" t="n">
        <x:v>2813.856056115392</x:v>
      </x:c>
      <x:c r="AT696" s="11" t="n">
        <x:v>962.4413159454654</x:v>
      </x:c>
      <x:c r="AU696" s="11" t="n">
        <x:v>1948.3181189488243</x:v>
      </x:c>
      <x:c r="AV696" s="11" t="n">
        <x:v>1338.3847065797274</x:v>
      </x:c>
      <x:c r="AW696" s="11" t="n">
        <x:v>1.1076674041192371</x:v>
      </x:c>
      <x:c r="AX696" s="12" t="n">
        <x:v>0.8458513634552693</x:v>
      </x:c>
      <x:c r="AY696" s="11"/>
      <x:c r="AZ696" s="11"/>
      <x:c r="BA696" s="11"/>
      <x:c r="BB696" s="11"/>
      <x:c r="BC696" s="11"/>
      <x:c r="BD696" s="11"/>
      <x:c r="BE696" s="11"/>
      <x:c r="BF696" s="11"/>
      <x:c r="BG696" s="11"/>
      <x:c r="BH696" s="11"/>
      <x:c r="BI696" s="11"/>
      <x:c r="BJ696" s="11"/>
      <x:c r="BK696" s="12"/>
      <x:c r="BL696" s="12"/>
      <x:c r="BM696" s="12"/>
      <x:c r="BN696" s="12"/>
      <x:c r="BO696" s="12"/>
      <x:c r="BP696" s="12"/>
      <x:c r="BQ696" s="12"/>
      <x:c r="BR696" s="12"/>
      <x:c r="BS696" s="12"/>
      <x:c r="BT696" s="12"/>
      <x:c r="BU696" s="11" t="n">
        <x:v>1793323</x:v>
      </x:c>
      <x:c r="BV696" s="11" t="n">
        <x:v>4007191</x:v>
      </x:c>
      <x:c r="BW696" s="11" t="n">
        <x:v>1486573</x:v>
      </x:c>
      <x:c r="BX696" s="11" t="n">
        <x:v>563018</x:v>
      </x:c>
      <x:c r="BY696" s="11" t="n">
        <x:v>0</x:v>
      </x:c>
      <x:c r="BZ696" s="11" t="n">
        <x:v>28694</x:v>
      </x:c>
      <x:c r="CA696" s="11" t="n">
        <x:v>177560</x:v>
      </x:c>
      <x:c r="CB696" s="11" t="n">
        <x:v>698953</x:v>
      </x:c>
      <x:c r="CC696" s="11" t="n">
        <x:v>2825989</x:v>
      </x:c>
      <x:c r="CD696" s="11" t="n">
        <x:v>6474896</x:v>
      </x:c>
      <x:c r="CE696" s="11" t="n">
        <x:v>1594524</x:v>
      </x:c>
      <x:c r="CF696" s="11" t="n">
        <x:v>213126</x:v>
      </x:c>
      <x:c r="CG696" s="11" t="n">
        <x:v>1416606</x:v>
      </x:c>
      <x:c r="CH696" s="11" t="n">
        <x:v>4984389</x:v>
      </x:c>
      <x:c r="CI696" s="11" t="n">
        <x:v>2087329</x:v>
      </x:c>
      <x:c r="CJ696" s="11" t="n">
        <x:v>1385085</x:v>
      </x:c>
      <x:c r="CK696" s="11" t="n">
        <x:v>792196</x:v>
      </x:c>
      <x:c r="CL696" s="11" t="n">
        <x:v>2159094</x:v>
      </x:c>
      <x:c r="CM696" s="11"/>
      <x:c r="CN696" s="11" t="n">
        <x:v>0</x:v>
      </x:c>
      <x:c r="CO696" s="11" t="n">
        <x:v>0</x:v>
      </x:c>
      <x:c r="CP696" s="8"/>
      <x:c r="CQ696" s="8"/>
    </x:row>
    <x:row r="697">
      <x:c r="A697" s="8" t="str">
        <x:v>Quesnel|2022</x:v>
      </x:c>
      <x:c r="B697" s="8" t="str">
        <x:v>quesnel-c</x:v>
      </x:c>
      <x:c r="C697" s="8" t="str">
        <x:v>Quesnel</x:v>
      </x:c>
      <x:c r="D697" s="8" t="str">
        <x:v>Quesnel</x:v>
      </x:c>
      <x:c r="E697" s="8" t="str">
        <x:v>C</x:v>
      </x:c>
      <x:c r="F697" s="8" t="str">
        <x:v>CAR</x:v>
      </x:c>
      <x:c r="G697" s="9" t="n">
        <x:v>2022</x:v>
      </x:c>
      <x:c r="H697" s="10" t="n">
        <x:v>10198</x:v>
      </x:c>
      <x:c r="I697" s="8" t="str">
        <x:v>5,000 to 19,999</x:v>
      </x:c>
      <x:c r="J697" s="11" t="n">
        <x:v>44445058</x:v>
      </x:c>
      <x:c r="K697" s="11" t="n">
        <x:v>29137578</x:v>
      </x:c>
      <x:c r="L697" s="11" t="n">
        <x:v>15307480</x:v>
      </x:c>
      <x:c r="M697" s="12" t="n">
        <x:v>0.34441354537100616</x:v>
      </x:c>
      <x:c r="N697" s="11" t="n">
        <x:v>20295480</x:v>
      </x:c>
      <x:c r="O697" s="11" t="n">
        <x:v>7071000</x:v>
      </x:c>
      <x:c r="P697" s="11" t="n">
        <x:v>15029699</x:v>
      </x:c>
      <x:c r="Q697" s="11" t="n">
        <x:v>2048879</x:v>
      </x:c>
      <x:c r="R697" s="11" t="n">
        <x:v>23652260</x:v>
      </x:c>
      <x:c r="S697" s="11" t="n">
        <x:v>5151831</x:v>
      </x:c>
      <x:c r="T697" s="11" t="n">
        <x:v>30778773</x:v>
      </x:c>
      <x:c r="U697" s="11" t="n">
        <x:v>26289465</x:v>
      </x:c>
      <x:c r="V697" s="11" t="n">
        <x:v>12944438</x:v>
      </x:c>
      <x:c r="W697" s="11" t="n">
        <x:v>21675962</x:v>
      </x:c>
      <x:c r="X697" s="11" t="n">
        <x:v>13547130</x:v>
      </x:c>
      <x:c r="Y697" s="11" t="n">
        <x:v>320000</x:v>
      </x:c>
      <x:c r="Z697" s="11" t="n">
        <x:v>858524</x:v>
      </x:c>
      <x:c r="AA697" s="11" t="n">
        <x:v>12863545</x:v>
      </x:c>
      <x:c r="AB697" s="11" t="n">
        <x:v>333487</x:v>
      </x:c>
      <x:c r="AC697" s="11" t="n">
        <x:v>1192011</x:v>
      </x:c>
      <x:c r="AD697" s="11" t="n">
        <x:v>5725232</x:v>
      </x:c>
      <x:c r="AE697" s="11" t="n">
        <x:v>4533221</x:v>
      </x:c>
      <x:c r="AF697" s="11" t="n">
        <x:v>22900927</x:v>
      </x:c>
      <x:c r="AG697" s="11" t="n">
        <x:v>208576152</x:v>
      </x:c>
      <x:c r="AH697" s="11" t="n">
        <x:v>84066040</x:v>
      </x:c>
      <x:c r="AI697" s="11" t="n">
        <x:v>124510112</x:v>
      </x:c>
      <x:c r="AJ697" s="11" t="n">
        <x:v>17330829</x:v>
      </x:c>
      <x:c r="AK697" s="11" t="n">
        <x:v>383531253</x:v>
      </x:c>
      <x:c r="AL697" s="11" t="n">
        <x:v>8327500</x:v>
      </x:c>
      <x:c r="AM697" s="12" t="n">
        <x:v>0.9782872974891567</x:v>
      </x:c>
      <x:c r="AN697" s="12" t="n">
        <x:v>0.04518752739036889</x:v>
      </x:c>
      <x:c r="AO697" s="11" t="n">
        <x:v>29386664</x:v>
      </x:c>
      <x:c r="AP697" s="11" t="n">
        <x:v>28418743</x:v>
      </x:c>
      <x:c r="AQ697" s="12" t="n">
        <x:v>0.967062576412212</x:v>
      </x:c>
      <x:c r="AR697" s="11" t="n">
        <x:v>4358.213179054716</x:v>
      </x:c>
      <x:c r="AS697" s="11" t="n">
        <x:v>2857.185526573838</x:v>
      </x:c>
      <x:c r="AT697" s="11" t="n">
        <x:v>1269.3114336144342</x:v>
      </x:c>
      <x:c r="AU697" s="11" t="n">
        <x:v>2125.51108060404</x:v>
      </x:c>
      <x:c r="AV697" s="11" t="n">
        <x:v>1261.379191998431</x:v>
      </x:c>
      <x:c r="AW697" s="11" t="n">
        <x:v>1.1707645248771703</x:v>
      </x:c>
      <x:c r="AX697" s="12" t="n">
        <x:v>0.7917969088414234</x:v>
      </x:c>
      <x:c r="AY697" s="11"/>
      <x:c r="AZ697" s="11"/>
      <x:c r="BA697" s="11"/>
      <x:c r="BB697" s="11"/>
      <x:c r="BC697" s="11"/>
      <x:c r="BD697" s="11"/>
      <x:c r="BE697" s="11"/>
      <x:c r="BF697" s="11"/>
      <x:c r="BG697" s="11"/>
      <x:c r="BH697" s="11"/>
      <x:c r="BI697" s="11"/>
      <x:c r="BJ697" s="11"/>
      <x:c r="BK697" s="12"/>
      <x:c r="BL697" s="12"/>
      <x:c r="BM697" s="12"/>
      <x:c r="BN697" s="12"/>
      <x:c r="BO697" s="12"/>
      <x:c r="BP697" s="12"/>
      <x:c r="BQ697" s="12"/>
      <x:c r="BR697" s="12"/>
      <x:c r="BS697" s="12"/>
      <x:c r="BT697" s="12"/>
      <x:c r="BU697" s="11" t="n">
        <x:v>7606647</x:v>
      </x:c>
      <x:c r="BV697" s="11" t="n">
        <x:v>5339322</x:v>
      </x:c>
      <x:c r="BW697" s="11" t="n">
        <x:v>2083730</x:v>
      </x:c>
      <x:c r="BX697" s="11" t="n">
        <x:v>591338</x:v>
      </x:c>
      <x:c r="BY697" s="11" t="n">
        <x:v>0</x:v>
      </x:c>
      <x:c r="BZ697" s="11" t="n">
        <x:v>397000</x:v>
      </x:c>
      <x:c r="CA697" s="11" t="n">
        <x:v>0</x:v>
      </x:c>
      <x:c r="CB697" s="11" t="n">
        <x:v>1060541</x:v>
      </x:c>
      <x:c r="CC697" s="11" t="n">
        <x:v>3279021</x:v>
      </x:c>
      <x:c r="CD697" s="11" t="n">
        <x:v>6546171</x:v>
      </x:c>
      <x:c r="CE697" s="11" t="n">
        <x:v>430706</x:v>
      </x:c>
      <x:c r="CF697" s="11" t="n">
        <x:v>159031</x:v>
      </x:c>
      <x:c r="CG697" s="11" t="n">
        <x:v>1838975</x:v>
      </x:c>
      <x:c r="CH697" s="11" t="n">
        <x:v>5740716</x:v>
      </x:c>
      <x:c r="CI697" s="11" t="n">
        <x:v>2015465</x:v>
      </x:c>
      <x:c r="CJ697" s="11" t="n">
        <x:v>1314631</x:v>
      </x:c>
      <x:c r="CK697" s="11" t="n">
        <x:v>919446</x:v>
      </x:c>
      <x:c r="CL697" s="11" t="n">
        <x:v>1613095</x:v>
      </x:c>
      <x:c r="CM697" s="11"/>
      <x:c r="CN697" s="11" t="n">
        <x:v>128490</x:v>
      </x:c>
      <x:c r="CO697" s="11" t="n">
        <x:v>0</x:v>
      </x:c>
      <x:c r="CP697" s="8"/>
      <x:c r="CQ697" s="8"/>
    </x:row>
    <x:row r="698">
      <x:c r="A698" s="8" t="str">
        <x:v>Quesnel|2023</x:v>
      </x:c>
      <x:c r="B698" s="8" t="str">
        <x:v>quesnel-c</x:v>
      </x:c>
      <x:c r="C698" s="8" t="str">
        <x:v>Quesnel</x:v>
      </x:c>
      <x:c r="D698" s="8" t="str">
        <x:v>Quesnel</x:v>
      </x:c>
      <x:c r="E698" s="8" t="str">
        <x:v>C</x:v>
      </x:c>
      <x:c r="F698" s="8" t="str">
        <x:v>CAR</x:v>
      </x:c>
      <x:c r="G698" s="9" t="n">
        <x:v>2023</x:v>
      </x:c>
      <x:c r="H698" s="10" t="n">
        <x:v>10422</x:v>
      </x:c>
      <x:c r="I698" s="8" t="str">
        <x:v>5,000 to 19,999</x:v>
      </x:c>
      <x:c r="J698" s="11" t="n">
        <x:v>42541652</x:v>
      </x:c>
      <x:c r="K698" s="11" t="n">
        <x:v>31333446</x:v>
      </x:c>
      <x:c r="L698" s="11" t="n">
        <x:v>11208206</x:v>
      </x:c>
      <x:c r="M698" s="12" t="n">
        <x:v>0.2634642867183437</x:v>
      </x:c>
      <x:c r="N698" s="11" t="n">
        <x:v>21398822</x:v>
      </x:c>
      <x:c r="O698" s="11" t="n">
        <x:v>7076692</x:v>
      </x:c>
      <x:c r="P698" s="11" t="n">
        <x:v>10946042</x:v>
      </x:c>
      <x:c r="Q698" s="11" t="n">
        <x:v>3120096</x:v>
      </x:c>
      <x:c r="R698" s="11" t="n">
        <x:v>25279507</x:v>
      </x:c>
      <x:c r="S698" s="11" t="n">
        <x:v>5670955</x:v>
      </x:c>
      <x:c r="T698" s="11" t="n">
        <x:v>34686196</x:v>
      </x:c>
      <x:c r="U698" s="11" t="n">
        <x:v>27294174</x:v>
      </x:c>
      <x:c r="V698" s="11" t="n">
        <x:v>14473969</x:v>
      </x:c>
      <x:c r="W698" s="11" t="n">
        <x:v>24997417</x:v>
      </x:c>
      <x:c r="X698" s="11" t="n">
        <x:v>12863545</x:v>
      </x:c>
      <x:c r="Y698" s="11" t="n">
        <x:v>630000</x:v>
      </x:c>
      <x:c r="Z698" s="11" t="n">
        <x:v>883018</x:v>
      </x:c>
      <x:c r="AA698" s="11" t="n">
        <x:v>12469701</x:v>
      </x:c>
      <x:c r="AB698" s="11" t="n">
        <x:v>382984</x:v>
      </x:c>
      <x:c r="AC698" s="11" t="n">
        <x:v>1266002</x:v>
      </x:c>
      <x:c r="AD698" s="11" t="n">
        <x:v>6234862</x:v>
      </x:c>
      <x:c r="AE698" s="11" t="n">
        <x:v>4968860</x:v>
      </x:c>
      <x:c r="AF698" s="11" t="n">
        <x:v>24939447</x:v>
      </x:c>
      <x:c r="AG698" s="11" t="n">
        <x:v>225943720</x:v>
      </x:c>
      <x:c r="AH698" s="11" t="n">
        <x:v>91744973</x:v>
      </x:c>
      <x:c r="AI698" s="11" t="n">
        <x:v>134198747</x:v>
      </x:c>
      <x:c r="AJ698" s="11" t="n">
        <x:v>13199363</x:v>
      </x:c>
      <x:c r="AK698" s="11" t="n">
        <x:v>389387197</x:v>
      </x:c>
      <x:c r="AL698" s="11" t="n">
        <x:v>8544167</x:v>
      </x:c>
      <x:c r="AM698" s="12" t="n">
        <x:v>0.9780574013069053</x:v>
      </x:c>
      <x:c r="AN698" s="12" t="n">
        <x:v>0.03389778375276165</x:v>
      </x:c>
      <x:c r="AO698" s="11" t="n">
        <x:v>31230206</x:v>
      </x:c>
      <x:c r="AP698" s="11" t="n">
        <x:v>29561622</x:v>
      </x:c>
      <x:c r="AQ698" s="12" t="n">
        <x:v>0.9465714699416328</x:v>
      </x:c>
      <x:c r="AR698" s="11" t="n">
        <x:v>4081.9086547687584</x:v>
      </x:c>
      <x:c r="AS698" s="11" t="n">
        <x:v>3006.4715025906735</x:v>
      </x:c>
      <x:c r="AT698" s="11" t="n">
        <x:v>1388.7899635386682</x:v>
      </x:c>
      <x:c r="AU698" s="11" t="n">
        <x:v>2398.523987718288</x:v>
      </x:c>
      <x:c r="AV698" s="11" t="n">
        <x:v>1196.47869890616</x:v>
      </x:c>
      <x:c r="AW698" s="11" t="n">
        <x:v>1.270827833075293</x:v>
      </x:c>
      <x:c r="AX698" s="12" t="n">
        <x:v>0.7969478715006042</x:v>
      </x:c>
      <x:c r="AY698" s="11"/>
      <x:c r="AZ698" s="11"/>
      <x:c r="BA698" s="11"/>
      <x:c r="BB698" s="11"/>
      <x:c r="BC698" s="11"/>
      <x:c r="BD698" s="11"/>
      <x:c r="BE698" s="11"/>
      <x:c r="BF698" s="11"/>
      <x:c r="BG698" s="11"/>
      <x:c r="BH698" s="11"/>
      <x:c r="BI698" s="11"/>
      <x:c r="BJ698" s="11"/>
      <x:c r="BK698" s="12"/>
      <x:c r="BL698" s="12"/>
      <x:c r="BM698" s="12"/>
      <x:c r="BN698" s="12"/>
      <x:c r="BO698" s="12"/>
      <x:c r="BP698" s="12"/>
      <x:c r="BQ698" s="12"/>
      <x:c r="BR698" s="12"/>
      <x:c r="BS698" s="12"/>
      <x:c r="BT698" s="12"/>
      <x:c r="BU698" s="11" t="n">
        <x:v>720636</x:v>
      </x:c>
      <x:c r="BV698" s="11" t="n">
        <x:v>7507461</x:v>
      </x:c>
      <x:c r="BW698" s="11" t="n">
        <x:v>2717945</x:v>
      </x:c>
      <x:c r="BX698" s="11" t="n">
        <x:v>1787405</x:v>
      </x:c>
      <x:c r="BY698" s="11" t="n">
        <x:v>347224</x:v>
      </x:c>
      <x:c r="BZ698" s="11" t="n">
        <x:v>15304</x:v>
      </x:c>
      <x:c r="CA698" s="11" t="n">
        <x:v>0</x:v>
      </x:c>
      <x:c r="CB698" s="11" t="n">
        <x:v>970163</x:v>
      </x:c>
      <x:c r="CC698" s="11" t="n">
        <x:v>3101057</x:v>
      </x:c>
      <x:c r="CD698" s="11" t="n">
        <x:v>6702765</x:v>
      </x:c>
      <x:c r="CE698" s="11" t="n">
        <x:v>1581054</x:v>
      </x:c>
      <x:c r="CF698" s="11" t="n">
        <x:v>237622</x:v>
      </x:c>
      <x:c r="CG698" s="11" t="n">
        <x:v>1787718</x:v>
      </x:c>
      <x:c r="CH698" s="11" t="n">
        <x:v>5671104</x:v>
      </x:c>
      <x:c r="CI698" s="11" t="n">
        <x:v>1961642</x:v>
      </x:c>
      <x:c r="CJ698" s="11" t="n">
        <x:v>1657888</x:v>
      </x:c>
      <x:c r="CK698" s="11" t="n">
        <x:v>970645</x:v>
      </x:c>
      <x:c r="CL698" s="11" t="n">
        <x:v>1533943</x:v>
      </x:c>
      <x:c r="CM698" s="11" t="n">
        <x:v>70005</x:v>
      </x:c>
      <x:c r="CN698" s="11" t="n">
        <x:v>387048</x:v>
      </x:c>
      <x:c r="CO698" s="11" t="n">
        <x:v>0</x:v>
      </x:c>
      <x:c r="CP698" s="8"/>
      <x:c r="CQ698" s="8"/>
    </x:row>
    <x:row r="699">
      <x:c r="A699" s="8" t="str">
        <x:v>Quesnel|2024</x:v>
      </x:c>
      <x:c r="B699" s="8" t="str">
        <x:v>quesnel-c</x:v>
      </x:c>
      <x:c r="C699" s="8" t="str">
        <x:v>Quesnel</x:v>
      </x:c>
      <x:c r="D699" s="8" t="str">
        <x:v>Quesnel</x:v>
      </x:c>
      <x:c r="E699" s="8" t="str">
        <x:v>C</x:v>
      </x:c>
      <x:c r="F699" s="8" t="str">
        <x:v>CAR</x:v>
      </x:c>
      <x:c r="G699" s="9" t="n">
        <x:v>2024</x:v>
      </x:c>
      <x:c r="H699" s="10" t="n">
        <x:v>10422</x:v>
      </x:c>
      <x:c r="I699" s="8" t="str">
        <x:v>5,000 to 19,999</x:v>
      </x:c>
      <x:c r="J699" s="11" t="n">
        <x:v>37062346</x:v>
      </x:c>
      <x:c r="K699" s="11" t="n">
        <x:v>33689837</x:v>
      </x:c>
      <x:c r="L699" s="11" t="n">
        <x:v>3372509</x:v>
      </x:c>
      <x:c r="M699" s="12" t="n">
        <x:v>0.0909955619107328</x:v>
      </x:c>
      <x:c r="N699" s="11" t="n">
        <x:v>22471367</x:v>
      </x:c>
      <x:c r="O699" s="11" t="n">
        <x:v>7422631</x:v>
      </x:c>
      <x:c r="P699" s="11" t="n">
        <x:v>4366971</x:v>
      </x:c>
      <x:c r="Q699" s="11" t="n">
        <x:v>2801377</x:v>
      </x:c>
      <x:c r="R699" s="11" t="n">
        <x:v>27392345</x:v>
      </x:c>
      <x:c r="S699" s="11" t="n">
        <x:v>5904674</x:v>
      </x:c>
      <x:c r="T699" s="11" t="n">
        <x:v>40425700</x:v>
      </x:c>
      <x:c r="U699" s="11" t="n">
        <x:v>29298007</x:v>
      </x:c>
      <x:c r="V699" s="11" t="n">
        <x:v>16160576</x:v>
      </x:c>
      <x:c r="W699" s="11" t="n">
        <x:v>28913047</x:v>
      </x:c>
      <x:c r="X699" s="11" t="n">
        <x:v>12469701</x:v>
      </x:c>
      <x:c r="Y699" s="11" t="n">
        <x:v>750000</x:v>
      </x:c>
      <x:c r="Z699" s="11" t="n">
        <x:v>1009772</x:v>
      </x:c>
      <x:c r="AA699" s="11" t="n">
        <x:v>12053133</x:v>
      </x:c>
      <x:c r="AB699" s="11" t="n">
        <x:v>392818</x:v>
      </x:c>
      <x:c r="AC699" s="11" t="n">
        <x:v>1402590</x:v>
      </x:c>
      <x:c r="AD699" s="11" t="n">
        <x:v>6448300</x:v>
      </x:c>
      <x:c r="AE699" s="11" t="n">
        <x:v>5045710</x:v>
      </x:c>
      <x:c r="AF699" s="11" t="n">
        <x:v>25793198</x:v>
      </x:c>
      <x:c r="AG699" s="11" t="n">
        <x:v>232255541</x:v>
      </x:c>
      <x:c r="AH699" s="11" t="n">
        <x:v>96226018</x:v>
      </x:c>
      <x:c r="AI699" s="11" t="n">
        <x:v>136029523</x:v>
      </x:c>
      <x:c r="AJ699" s="11" t="n">
        <x:v>7480826</x:v>
      </x:c>
      <x:c r="AK699" s="11" t="n">
        <x:v>610384337</x:v>
      </x:c>
      <x:c r="AL699" s="11" t="n">
        <x:v>11944400</x:v>
      </x:c>
      <x:c r="AM699" s="12" t="n">
        <x:v>0.9804313458325193</x:v>
      </x:c>
      <x:c r="AN699" s="12" t="n">
        <x:v>0.012255927202797801</x:v>
      </x:c>
      <x:c r="AO699" s="11" t="n">
        <x:v>33015314</x:v>
      </x:c>
      <x:c r="AP699" s="11" t="n">
        <x:v>31525200</x:v>
      </x:c>
      <x:c r="AQ699" s="12" t="n">
        <x:v>0.9548659752259209</x:v>
      </x:c>
      <x:c r="AR699" s="11" t="n">
        <x:v>3556.164459796584</x:v>
      </x:c>
      <x:c r="AS699" s="11" t="n">
        <x:v>3232.5692765304166</x:v>
      </x:c>
      <x:c r="AT699" s="11" t="n">
        <x:v>1550.6213778545384</x:v>
      </x:c>
      <x:c r="AU699" s="11" t="n">
        <x:v>2774.232105162157</x:v>
      </x:c>
      <x:c r="AV699" s="11" t="n">
        <x:v>1156.5086355785838</x:v>
      </x:c>
      <x:c r="AW699" s="11" t="n">
        <x:v>1.3798105789243615</x:v>
      </x:c>
      <x:c r="AX699" s="12" t="n">
        <x:v>0.78248685700107</x:v>
      </x:c>
      <x:c r="AY699" s="11" t="n">
        <x:v>3601.3561989291247</x:v>
      </x:c>
      <x:c r="AZ699" s="11" t="n">
        <x:v>3546.5079302077975</x:v>
      </x:c>
      <x:c r="BA699" s="11" t="n">
        <x:v>2957.8976990295423</x:v>
      </x:c>
      <x:c r="BB699" s="11" t="n">
        <x:v>2783.665107049771</x:v>
      </x:c>
      <x:c r="BC699" s="11" t="n">
        <x:v>1917.0647247750476</x:v>
      </x:c>
      <x:c r="BD699" s="11" t="n">
        <x:v>2437.8724475115623</x:v>
      </x:c>
      <x:c r="BE699" s="11" t="n">
        <x:v>987.5598464714869</x:v>
      </x:c>
      <x:c r="BF699" s="11" t="n">
        <x:v>1604.3462673977224</x:v>
      </x:c>
      <x:c r="BG699" s="11" t="n">
        <x:v>936.3446522221191</x:v>
      </x:c>
      <x:c r="BH699" s="11" t="n">
        <x:v>518.5374381567245</x:v>
      </x:c>
      <x:c r="BI699" s="11" t="n">
        <x:v>1.3967465323081123</x:v>
      </x:c>
      <x:c r="BJ699" s="11" t="n">
        <x:v>1.7099330852451193</x:v>
      </x:c>
      <x:c r="BK699" s="12" t="n">
        <x:v>0.018327243000235003</x:v>
      </x:c>
      <x:c r="BL699" s="12" t="n">
        <x:v>0.02529861000232605</x:v>
      </x:c>
      <x:c r="BM699" s="12" t="n">
        <x:v>0.982034678745671</x:v>
      </x:c>
      <x:c r="BN699" s="12" t="n">
        <x:v>0.9815511712696461</x:v>
      </x:c>
      <x:c r="BO699" s="12" t="n">
        <x:v>0.7988058564062199</x:v>
      </x:c>
      <x:c r="BP699" s="12" t="n">
        <x:v>0.8619101997275483</x:v>
      </x:c>
      <x:c r="BQ699" s="12" t="n">
        <x:v>0.970292410805516</x:v>
      </x:c>
      <x:c r="BR699" s="12" t="n">
        <x:v>0.9623635142836453</x:v>
      </x:c>
      <x:c r="BS699" s="12" t="n">
        <x:v>0.19624174475580758</x:v>
      </x:c>
      <x:c r="BT699" s="12" t="n">
        <x:v>0.19976549769108282</x:v>
      </x:c>
      <x:c r="BU699" s="11" t="n">
        <x:v>730639</x:v>
      </x:c>
      <x:c r="BV699" s="11" t="n">
        <x:v>2167338</x:v>
      </x:c>
      <x:c r="BW699" s="11" t="n">
        <x:v>1468994</x:v>
      </x:c>
      <x:c r="BX699" s="11" t="n">
        <x:v>1928027</x:v>
      </x:c>
      <x:c r="BY699" s="11" t="n">
        <x:v>-77800</x:v>
      </x:c>
      <x:c r="BZ699" s="11" t="n">
        <x:v>2055</x:v>
      </x:c>
      <x:c r="CA699" s="11" t="n">
        <x:v>0</x:v>
      </x:c>
      <x:c r="CB699" s="11" t="n">
        <x:v>949095</x:v>
      </x:c>
      <x:c r="CC699" s="11" t="n">
        <x:v>3394115</x:v>
      </x:c>
      <x:c r="CD699" s="11" t="n">
        <x:v>7542522</x:v>
      </x:c>
      <x:c r="CE699" s="11" t="n">
        <x:v>1601056</x:v>
      </x:c>
      <x:c r="CF699" s="11" t="n">
        <x:v>197635</x:v>
      </x:c>
      <x:c r="CG699" s="11" t="n">
        <x:v>2074663</x:v>
      </x:c>
      <x:c r="CH699" s="11" t="n">
        <x:v>5770455</x:v>
      </x:c>
      <x:c r="CI699" s="11" t="n">
        <x:v>2228672</x:v>
      </x:c>
      <x:c r="CJ699" s="11" t="n">
        <x:v>1720638</x:v>
      </x:c>
      <x:c r="CK699" s="11" t="n">
        <x:v>938549</x:v>
      </x:c>
      <x:c r="CL699" s="11" t="n">
        <x:v>1633523</x:v>
      </x:c>
      <x:c r="CM699" s="11" t="n">
        <x:v>298543</x:v>
      </x:c>
      <x:c r="CN699" s="11" t="n">
        <x:v>384792</x:v>
      </x:c>
      <x:c r="CO699" s="11" t="n">
        <x:v>0</x:v>
      </x:c>
      <x:c r="CP699" s="8"/>
      <x:c r="CQ699" s="8"/>
    </x:row>
    <x:row r="700">
      <x:c r="A700" s="8" t="str">
        <x:v>Radium Hot Springs|2019</x:v>
      </x:c>
      <x:c r="B700" s="8" t="str">
        <x:v>radium-hot-springs-v</x:v>
      </x:c>
      <x:c r="C700" s="8" t="str">
        <x:v>Radium Hot Springs</x:v>
      </x:c>
      <x:c r="D700" s="8" t="str">
        <x:v>Radium Hot Springs</x:v>
      </x:c>
      <x:c r="E700" s="8" t="str">
        <x:v>V</x:v>
      </x:c>
      <x:c r="F700" s="8" t="str">
        <x:v>EKO</x:v>
      </x:c>
      <x:c r="G700" s="9" t="n">
        <x:v>2019</x:v>
      </x:c>
      <x:c r="H700" s="10" t="n">
        <x:v>811</x:v>
      </x:c>
      <x:c r="I700" s="8" t="str">
        <x:v>Under 5,000</x:v>
      </x:c>
      <x:c r="J700" s="11" t="n">
        <x:v>5142062</x:v>
      </x:c>
      <x:c r="K700" s="11" t="n">
        <x:v>3323270</x:v>
      </x:c>
      <x:c r="L700" s="11" t="n">
        <x:v>1818792</x:v>
      </x:c>
      <x:c r="M700" s="12" t="n">
        <x:v>0.353708687293152</x:v>
      </x:c>
      <x:c r="N700" s="11" t="n">
        <x:v>2727291</x:v>
      </x:c>
      <x:c r="O700" s="11" t="n">
        <x:v>1303166</x:v>
      </x:c>
      <x:c r="P700" s="11" t="n">
        <x:v>710852</x:v>
      </x:c>
      <x:c r="Q700" s="11" t="n">
        <x:v>400753</x:v>
      </x:c>
      <x:c r="R700" s="11" t="n">
        <x:v>2230874</x:v>
      </x:c>
      <x:c r="S700" s="11" t="n">
        <x:v>979635</x:v>
      </x:c>
      <x:c r="T700" s="11" t="n">
        <x:v>13165225</x:v>
      </x:c>
      <x:c r="U700" s="11" t="n">
        <x:v>5241624</x:v>
      </x:c>
      <x:c r="V700" s="11" t="n">
        <x:v>8531723</x:v>
      </x:c>
      <x:c r="W700" s="11" t="n">
        <x:v>8008586</x:v>
      </x:c>
      <x:c r="X700" s="11" t="n">
        <x:v>3438726</x:v>
      </x:c>
      <x:c r="Y700" s="11" t="n">
        <x:v>0</x:v>
      </x:c>
      <x:c r="Z700" s="11" t="n">
        <x:v>132523</x:v>
      </x:c>
      <x:c r="AA700" s="11" t="n">
        <x:v>3299752</x:v>
      </x:c>
      <x:c r="AB700" s="11" t="n">
        <x:v>112761</x:v>
      </x:c>
      <x:c r="AC700" s="11" t="n">
        <x:v>245284</x:v>
      </x:c>
      <x:c r="AD700" s="11" t="n">
        <x:v>1013948</x:v>
      </x:c>
      <x:c r="AE700" s="11" t="n">
        <x:v>768664</x:v>
      </x:c>
      <x:c r="AF700" s="11" t="n">
        <x:v>4055792</x:v>
      </x:c>
      <x:c r="AG700" s="11" t="n">
        <x:v>47109847</x:v>
      </x:c>
      <x:c r="AH700" s="11" t="n">
        <x:v>14545748</x:v>
      </x:c>
      <x:c r="AI700" s="11" t="n">
        <x:v>32564099</x:v>
      </x:c>
      <x:c r="AJ700" s="11" t="n">
        <x:v>1411970</x:v>
      </x:c>
      <x:c r="AK700" s="11" t="n">
        <x:v>2682754</x:v>
      </x:c>
      <x:c r="AL700" s="11" t="n">
        <x:v>0</x:v>
      </x:c>
      <x:c r="AM700" s="12" t="n">
        <x:v>1</x:v>
      </x:c>
      <x:c r="AN700" s="12" t="n">
        <x:v>0.5263136314399307</x:v>
      </x:c>
      <x:c r="AO700" s="11" t="n">
        <x:v>3715663</x:v>
      </x:c>
      <x:c r="AP700" s="11" t="n">
        <x:v>3587985</x:v>
      </x:c>
      <x:c r="AQ700" s="12" t="n">
        <x:v>0.9656378955787971</x:v>
      </x:c>
      <x:c r="AR700" s="11" t="n">
        <x:v>6340.3970406905055</x:v>
      </x:c>
      <x:c r="AS700" s="11" t="n">
        <x:v>4097.7435265104805</x:v>
      </x:c>
      <x:c r="AT700" s="11" t="n">
        <x:v>10520.003699136869</x:v>
      </x:c>
      <x:c r="AU700" s="11" t="n">
        <x:v>9874.951911220714</x:v>
      </x:c>
      <x:c r="AV700" s="11" t="n">
        <x:v>4068.7447595561034</x:v>
      </x:c>
      <x:c r="AW700" s="11" t="n">
        <x:v>2.511669093395482</x:v>
      </x:c>
      <x:c r="AX700" s="12" t="n">
        <x:v>0.7580901584696651</x:v>
      </x:c>
      <x:c r="AY700" s="11"/>
      <x:c r="AZ700" s="11"/>
      <x:c r="BA700" s="11"/>
      <x:c r="BB700" s="11"/>
      <x:c r="BC700" s="11"/>
      <x:c r="BD700" s="11"/>
      <x:c r="BE700" s="11"/>
      <x:c r="BF700" s="11"/>
      <x:c r="BG700" s="11"/>
      <x:c r="BH700" s="11"/>
      <x:c r="BI700" s="11"/>
      <x:c r="BJ700" s="11"/>
      <x:c r="BK700" s="12"/>
      <x:c r="BL700" s="12"/>
      <x:c r="BM700" s="12"/>
      <x:c r="BN700" s="12"/>
      <x:c r="BO700" s="12"/>
      <x:c r="BP700" s="12"/>
      <x:c r="BQ700" s="12"/>
      <x:c r="BR700" s="12"/>
      <x:c r="BS700" s="12"/>
      <x:c r="BT700" s="12"/>
      <x:c r="BU700" s="11" t="n">
        <x:v>0</x:v>
      </x:c>
      <x:c r="BV700" s="11" t="n">
        <x:v>299324</x:v>
      </x:c>
      <x:c r="BW700" s="11" t="n">
        <x:v>411528</x:v>
      </x:c>
      <x:c r="BX700" s="11" t="n">
        <x:v>304103</x:v>
      </x:c>
      <x:c r="BY700" s="11" t="n">
        <x:v>0</x:v>
      </x:c>
      <x:c r="BZ700" s="11" t="n">
        <x:v>96650</x:v>
      </x:c>
      <x:c r="CA700" s="11" t="n">
        <x:v>0</x:v>
      </x:c>
      <x:c r="CB700" s="11" t="n">
        <x:v>0</x:v>
      </x:c>
      <x:c r="CC700" s="11" t="n">
        <x:v>462316</x:v>
      </x:c>
      <x:c r="CD700" s="11" t="n">
        <x:v>206842</x:v>
      </x:c>
      <x:c r="CE700" s="11" t="n">
        <x:v>0</x:v>
      </x:c>
      <x:c r="CF700" s="11" t="n">
        <x:v>0</x:v>
      </x:c>
      <x:c r="CG700" s="11" t="n">
        <x:v>336812</x:v>
      </x:c>
      <x:c r="CH700" s="11" t="n">
        <x:v>354391</x:v>
      </x:c>
      <x:c r="CI700" s="11" t="n">
        <x:v>255892</x:v>
      </x:c>
      <x:c r="CJ700" s="11" t="n">
        <x:v>407771</x:v>
      </x:c>
      <x:c r="CK700" s="11" t="n">
        <x:v>296622</x:v>
      </x:c>
      <x:c r="CL700" s="11" t="n">
        <x:v>0</x:v>
      </x:c>
      <x:c r="CM700" s="11"/>
      <x:c r="CN700" s="11" t="n">
        <x:v>22989</x:v>
      </x:c>
      <x:c r="CO700" s="11" t="n">
        <x:v>0</x:v>
      </x:c>
      <x:c r="CP700" s="8"/>
      <x:c r="CQ700" s="8"/>
    </x:row>
    <x:row r="701">
      <x:c r="A701" s="8" t="str">
        <x:v>Radium Hot Springs|2020</x:v>
      </x:c>
      <x:c r="B701" s="8" t="str">
        <x:v>radium-hot-springs-v</x:v>
      </x:c>
      <x:c r="C701" s="8" t="str">
        <x:v>Radium Hot Springs</x:v>
      </x:c>
      <x:c r="D701" s="8" t="str">
        <x:v>Radium Hot Springs</x:v>
      </x:c>
      <x:c r="E701" s="8" t="str">
        <x:v>V</x:v>
      </x:c>
      <x:c r="F701" s="8" t="str">
        <x:v>EKO</x:v>
      </x:c>
      <x:c r="G701" s="9" t="n">
        <x:v>2020</x:v>
      </x:c>
      <x:c r="H701" s="10" t="n">
        <x:v>837</x:v>
      </x:c>
      <x:c r="I701" s="8" t="str">
        <x:v>Under 5,000</x:v>
      </x:c>
      <x:c r="J701" s="11" t="n">
        <x:v>5597017</x:v>
      </x:c>
      <x:c r="K701" s="11" t="n">
        <x:v>3413381</x:v>
      </x:c>
      <x:c r="L701" s="11" t="n">
        <x:v>2183636</x:v>
      </x:c>
      <x:c r="M701" s="12" t="n">
        <x:v>0.39014282072039447</x:v>
      </x:c>
      <x:c r="N701" s="11" t="n">
        <x:v>2571600</x:v>
      </x:c>
      <x:c r="O701" s="11" t="n">
        <x:v>1090882</x:v>
      </x:c>
      <x:c r="P701" s="11" t="n">
        <x:v>971186</x:v>
      </x:c>
      <x:c r="Q701" s="11" t="n">
        <x:v>963349</x:v>
      </x:c>
      <x:c r="R701" s="11" t="n">
        <x:v>2276327</x:v>
      </x:c>
      <x:c r="S701" s="11" t="n">
        <x:v>1024054</x:v>
      </x:c>
      <x:c r="T701" s="11" t="n">
        <x:v>13548831</x:v>
      </x:c>
      <x:c r="U701" s="11" t="n">
        <x:v>4639666</x:v>
      </x:c>
      <x:c r="V701" s="11" t="n">
        <x:v>9494942</x:v>
      </x:c>
      <x:c r="W701" s="11" t="n">
        <x:v>8140634</x:v>
      </x:c>
      <x:c r="X701" s="11" t="n">
        <x:v>3299752</x:v>
      </x:c>
      <x:c r="Y701" s="11" t="n">
        <x:v>0</x:v>
      </x:c>
      <x:c r="Z701" s="11" t="n">
        <x:v>132523</x:v>
      </x:c>
      <x:c r="AA701" s="11" t="n">
        <x:v>3156410</x:v>
      </x:c>
      <x:c r="AB701" s="11" t="n">
        <x:v>113000</x:v>
      </x:c>
      <x:c r="AC701" s="11" t="n">
        <x:v>245523</x:v>
      </x:c>
      <x:c r="AD701" s="11" t="n">
        <x:v>950585</x:v>
      </x:c>
      <x:c r="AE701" s="11" t="n">
        <x:v>705062</x:v>
      </x:c>
      <x:c r="AF701" s="11" t="n">
        <x:v>3802339</x:v>
      </x:c>
      <x:c r="AG701" s="11" t="n">
        <x:v>49349806</x:v>
      </x:c>
      <x:c r="AH701" s="11" t="n">
        <x:v>15537879</x:v>
      </x:c>
      <x:c r="AI701" s="11" t="n">
        <x:v>33811927</x:v>
      </x:c>
      <x:c r="AJ701" s="11" t="n">
        <x:v>2273924</x:v>
      </x:c>
      <x:c r="AK701" s="11" t="n">
        <x:v>3379785</x:v>
      </x:c>
      <x:c r="AL701" s="11" t="n">
        <x:v>0</x:v>
      </x:c>
      <x:c r="AM701" s="12" t="n">
        <x:v>1</x:v>
      </x:c>
      <x:c r="AN701" s="12" t="n">
        <x:v>0.6728013764189142</x:v>
      </x:c>
      <x:c r="AO701" s="11" t="n">
        <x:v>3797854</x:v>
      </x:c>
      <x:c r="AP701" s="11" t="n">
        <x:v>3696234</x:v>
      </x:c>
      <x:c r="AQ701" s="12" t="n">
        <x:v>0.9732427839511472</x:v>
      </x:c>
      <x:c r="AR701" s="11" t="n">
        <x:v>6686.997610513739</x:v>
      </x:c>
      <x:c r="AS701" s="11" t="n">
        <x:v>4078.1135005973715</x:v>
      </x:c>
      <x:c r="AT701" s="11" t="n">
        <x:v>11344.016726403823</x:v>
      </x:c>
      <x:c r="AU701" s="11" t="n">
        <x:v>9725.966547192354</x:v>
      </x:c>
      <x:c r="AV701" s="11" t="n">
        <x:v>3771.099163679809</x:v>
      </x:c>
      <x:c r="AW701" s="11" t="n">
        <x:v>2.9202168863017293</x:v>
      </x:c>
      <x:c r="AX701" s="12" t="n">
        <x:v>0.7417137867734079</x:v>
      </x:c>
      <x:c r="AY701" s="11"/>
      <x:c r="AZ701" s="11"/>
      <x:c r="BA701" s="11"/>
      <x:c r="BB701" s="11"/>
      <x:c r="BC701" s="11"/>
      <x:c r="BD701" s="11"/>
      <x:c r="BE701" s="11"/>
      <x:c r="BF701" s="11"/>
      <x:c r="BG701" s="11"/>
      <x:c r="BH701" s="11"/>
      <x:c r="BI701" s="11"/>
      <x:c r="BJ701" s="11"/>
      <x:c r="BK701" s="12"/>
      <x:c r="BL701" s="12"/>
      <x:c r="BM701" s="12"/>
      <x:c r="BN701" s="12"/>
      <x:c r="BO701" s="12"/>
      <x:c r="BP701" s="12"/>
      <x:c r="BQ701" s="12"/>
      <x:c r="BR701" s="12"/>
      <x:c r="BS701" s="12"/>
      <x:c r="BT701" s="12"/>
      <x:c r="BU701" s="11" t="n">
        <x:v>0</x:v>
      </x:c>
      <x:c r="BV701" s="11" t="n">
        <x:v>807302</x:v>
      </x:c>
      <x:c r="BW701" s="11" t="n">
        <x:v>163884</x:v>
      </x:c>
      <x:c r="BX701" s="11" t="n">
        <x:v>189358</x:v>
      </x:c>
      <x:c r="BY701" s="11" t="n">
        <x:v>0</x:v>
      </x:c>
      <x:c r="BZ701" s="11" t="n">
        <x:v>753369</x:v>
      </x:c>
      <x:c r="CA701" s="11" t="n">
        <x:v>0</x:v>
      </x:c>
      <x:c r="CB701" s="11" t="n">
        <x:v>20622</x:v>
      </x:c>
      <x:c r="CC701" s="11" t="n">
        <x:v>425899</x:v>
      </x:c>
      <x:c r="CD701" s="11" t="n">
        <x:v>244785</x:v>
      </x:c>
      <x:c r="CE701" s="11" t="n">
        <x:v>0</x:v>
      </x:c>
      <x:c r="CF701" s="11" t="n">
        <x:v>0</x:v>
      </x:c>
      <x:c r="CG701" s="11" t="n">
        <x:v>273025</x:v>
      </x:c>
      <x:c r="CH701" s="11" t="n">
        <x:v>371813</x:v>
      </x:c>
      <x:c r="CI701" s="11" t="n">
        <x:v>288965</x:v>
      </x:c>
      <x:c r="CJ701" s="11" t="n">
        <x:v>423933</x:v>
      </x:c>
      <x:c r="CK701" s="11" t="n">
        <x:v>358865</x:v>
      </x:c>
      <x:c r="CL701" s="11" t="n">
        <x:v>0</x:v>
      </x:c>
      <x:c r="CM701" s="11"/>
      <x:c r="CN701" s="11" t="n">
        <x:v>2042</x:v>
      </x:c>
      <x:c r="CO701" s="11" t="n">
        <x:v>0</x:v>
      </x:c>
      <x:c r="CP701" s="8"/>
      <x:c r="CQ701" s="8"/>
    </x:row>
    <x:row r="702">
      <x:c r="A702" s="8" t="str">
        <x:v>Radium Hot Springs|2021</x:v>
      </x:c>
      <x:c r="B702" s="8" t="str">
        <x:v>radium-hot-springs-v</x:v>
      </x:c>
      <x:c r="C702" s="8" t="str">
        <x:v>Radium Hot Springs</x:v>
      </x:c>
      <x:c r="D702" s="8" t="str">
        <x:v>Radium Hot Springs</x:v>
      </x:c>
      <x:c r="E702" s="8" t="str">
        <x:v>V</x:v>
      </x:c>
      <x:c r="F702" s="8" t="str">
        <x:v>EKO</x:v>
      </x:c>
      <x:c r="G702" s="9" t="n">
        <x:v>2021</x:v>
      </x:c>
      <x:c r="H702" s="10" t="n">
        <x:v>879</x:v>
      </x:c>
      <x:c r="I702" s="8" t="str">
        <x:v>Under 5,000</x:v>
      </x:c>
      <x:c r="J702" s="11" t="n">
        <x:v>5038854</x:v>
      </x:c>
      <x:c r="K702" s="11" t="n">
        <x:v>3909004</x:v>
      </x:c>
      <x:c r="L702" s="11" t="n">
        <x:v>1129850</x:v>
      </x:c>
      <x:c r="M702" s="12" t="n">
        <x:v>0.22422757238054525</x:v>
      </x:c>
      <x:c r="N702" s="11" t="n">
        <x:v>2736471</x:v>
      </x:c>
      <x:c r="O702" s="11" t="n">
        <x:v>1111783</x:v>
      </x:c>
      <x:c r="P702" s="11" t="n">
        <x:v>902519</x:v>
      </x:c>
      <x:c r="Q702" s="11" t="n">
        <x:v>288081</x:v>
      </x:c>
      <x:c r="R702" s="11" t="n">
        <x:v>2738486</x:v>
      </x:c>
      <x:c r="S702" s="11" t="n">
        <x:v>1057518</x:v>
      </x:c>
      <x:c r="T702" s="11" t="n">
        <x:v>14565855</x:v>
      </x:c>
      <x:c r="U702" s="11" t="n">
        <x:v>4780954</x:v>
      </x:c>
      <x:c r="V702" s="11" t="n">
        <x:v>10446955</x:v>
      </x:c>
      <x:c r="W702" s="11" t="n">
        <x:v>8915360</x:v>
      </x:c>
      <x:c r="X702" s="11" t="n">
        <x:v>3156410</x:v>
      </x:c>
      <x:c r="Y702" s="11" t="n">
        <x:v>0</x:v>
      </x:c>
      <x:c r="Z702" s="11" t="n">
        <x:v>132523</x:v>
      </x:c>
      <x:c r="AA702" s="11" t="n">
        <x:v>3008561</x:v>
      </x:c>
      <x:c r="AB702" s="11" t="n">
        <x:v>113000</x:v>
      </x:c>
      <x:c r="AC702" s="11" t="n">
        <x:v>245523</x:v>
      </x:c>
      <x:c r="AD702" s="11" t="n">
        <x:v>973244</x:v>
      </x:c>
      <x:c r="AE702" s="11" t="n">
        <x:v>727721</x:v>
      </x:c>
      <x:c r="AF702" s="11" t="n">
        <x:v>3892975</x:v>
      </x:c>
      <x:c r="AG702" s="11" t="n">
        <x:v>50438692</x:v>
      </x:c>
      <x:c r="AH702" s="11" t="n">
        <x:v>16446756</x:v>
      </x:c>
      <x:c r="AI702" s="11" t="n">
        <x:v>33991936</x:v>
      </x:c>
      <x:c r="AJ702" s="11" t="n">
        <x:v>1330882</x:v>
      </x:c>
      <x:c r="AK702" s="11" t="n">
        <x:v>2858566</x:v>
      </x:c>
      <x:c r="AL702" s="11" t="n">
        <x:v>0</x:v>
      </x:c>
      <x:c r="AM702" s="12" t="n">
        <x:v>1</x:v>
      </x:c>
      <x:c r="AN702" s="12" t="n">
        <x:v>0.4655767961978139</x:v>
      </x:c>
      <x:c r="AO702" s="11" t="n">
        <x:v>3971895</x:v>
      </x:c>
      <x:c r="AP702" s="11" t="n">
        <x:v>3934654</x:v>
      </x:c>
      <x:c r="AQ702" s="12" t="n">
        <x:v>0.9906238709734271</x:v>
      </x:c>
      <x:c r="AR702" s="11" t="n">
        <x:v>5732.484641638225</x:v>
      </x:c>
      <x:c r="AS702" s="11" t="n">
        <x:v>4447.103526734926</x:v>
      </x:c>
      <x:c r="AT702" s="11" t="n">
        <x:v>11885.04550625711</x:v>
      </x:c>
      <x:c r="AU702" s="11" t="n">
        <x:v>10142.616609783845</x:v>
      </x:c>
      <x:c r="AV702" s="11" t="n">
        <x:v>3422.708759954494</x:v>
      </x:c>
      <x:c r="AW702" s="11" t="n">
        <x:v>3.046641946356313</x:v>
      </x:c>
      <x:c r="AX702" s="12" t="n">
        <x:v>0.747727188659781</x:v>
      </x:c>
      <x:c r="AY702" s="11"/>
      <x:c r="AZ702" s="11"/>
      <x:c r="BA702" s="11"/>
      <x:c r="BB702" s="11"/>
      <x:c r="BC702" s="11"/>
      <x:c r="BD702" s="11"/>
      <x:c r="BE702" s="11"/>
      <x:c r="BF702" s="11"/>
      <x:c r="BG702" s="11"/>
      <x:c r="BH702" s="11"/>
      <x:c r="BI702" s="11"/>
      <x:c r="BJ702" s="11"/>
      <x:c r="BK702" s="12"/>
      <x:c r="BL702" s="12"/>
      <x:c r="BM702" s="12"/>
      <x:c r="BN702" s="12"/>
      <x:c r="BO702" s="12"/>
      <x:c r="BP702" s="12"/>
      <x:c r="BQ702" s="12"/>
      <x:c r="BR702" s="12"/>
      <x:c r="BS702" s="12"/>
      <x:c r="BT702" s="12"/>
      <x:c r="BU702" s="11" t="n">
        <x:v>0</x:v>
      </x:c>
      <x:c r="BV702" s="11" t="n">
        <x:v>546812</x:v>
      </x:c>
      <x:c r="BW702" s="11" t="n">
        <x:v>355707</x:v>
      </x:c>
      <x:c r="BX702" s="11" t="n">
        <x:v>194849</x:v>
      </x:c>
      <x:c r="BY702" s="11" t="n">
        <x:v>0</x:v>
      </x:c>
      <x:c r="BZ702" s="11" t="n">
        <x:v>65171</x:v>
      </x:c>
      <x:c r="CA702" s="11" t="n">
        <x:v>0</x:v>
      </x:c>
      <x:c r="CB702" s="11" t="n">
        <x:v>28061</x:v>
      </x:c>
      <x:c r="CC702" s="11" t="n">
        <x:v>572278</x:v>
      </x:c>
      <x:c r="CD702" s="11" t="n">
        <x:v>283611</x:v>
      </x:c>
      <x:c r="CE702" s="11" t="n">
        <x:v>0</x:v>
      </x:c>
      <x:c r="CF702" s="11" t="n">
        <x:v>0</x:v>
      </x:c>
      <x:c r="CG702" s="11" t="n">
        <x:v>349724</x:v>
      </x:c>
      <x:c r="CH702" s="11" t="n">
        <x:v>393374</x:v>
      </x:c>
      <x:c r="CI702" s="11" t="n">
        <x:v>286732</x:v>
      </x:c>
      <x:c r="CJ702" s="11" t="n">
        <x:v>468440</x:v>
      </x:c>
      <x:c r="CK702" s="11" t="n">
        <x:v>403971</x:v>
      </x:c>
      <x:c r="CL702" s="11" t="n">
        <x:v>0</x:v>
      </x:c>
      <x:c r="CM702" s="11"/>
      <x:c r="CN702" s="11" t="n">
        <x:v>93356</x:v>
      </x:c>
      <x:c r="CO702" s="11" t="n">
        <x:v>0</x:v>
      </x:c>
      <x:c r="CP702" s="8"/>
      <x:c r="CQ702" s="8"/>
    </x:row>
    <x:row r="703">
      <x:c r="A703" s="8" t="str">
        <x:v>Radium Hot Springs|2022</x:v>
      </x:c>
      <x:c r="B703" s="8" t="str">
        <x:v>radium-hot-springs-v</x:v>
      </x:c>
      <x:c r="C703" s="8" t="str">
        <x:v>Radium Hot Springs</x:v>
      </x:c>
      <x:c r="D703" s="8" t="str">
        <x:v>Radium Hot Springs</x:v>
      </x:c>
      <x:c r="E703" s="8" t="str">
        <x:v>V</x:v>
      </x:c>
      <x:c r="F703" s="8" t="str">
        <x:v>EKO</x:v>
      </x:c>
      <x:c r="G703" s="9" t="n">
        <x:v>2022</x:v>
      </x:c>
      <x:c r="H703" s="10" t="n">
        <x:v>984</x:v>
      </x:c>
      <x:c r="I703" s="8" t="str">
        <x:v>Under 5,000</x:v>
      </x:c>
      <x:c r="J703" s="11" t="n">
        <x:v>4930721</x:v>
      </x:c>
      <x:c r="K703" s="11" t="n">
        <x:v>4082748</x:v>
      </x:c>
      <x:c r="L703" s="11" t="n">
        <x:v>847973</x:v>
      </x:c>
      <x:c r="M703" s="12" t="n">
        <x:v>0.1719774856456084</x:v>
      </x:c>
      <x:c r="N703" s="11" t="n">
        <x:v>2502675</x:v>
      </x:c>
      <x:c r="O703" s="11" t="n">
        <x:v>1251272</x:v>
      </x:c>
      <x:c r="P703" s="11" t="n">
        <x:v>585416</x:v>
      </x:c>
      <x:c r="Q703" s="11" t="n">
        <x:v>591358</x:v>
      </x:c>
      <x:c r="R703" s="11" t="n">
        <x:v>2924691</x:v>
      </x:c>
      <x:c r="S703" s="11" t="n">
        <x:v>1045057</x:v>
      </x:c>
      <x:c r="T703" s="11" t="n">
        <x:v>15884314</x:v>
      </x:c>
      <x:c r="U703" s="11" t="n">
        <x:v>5062347</x:v>
      </x:c>
      <x:c r="V703" s="11" t="n">
        <x:v>11382381</x:v>
      </x:c>
      <x:c r="W703" s="11" t="n">
        <x:v>3970627</x:v>
      </x:c>
      <x:c r="X703" s="11" t="n">
        <x:v>3008561</x:v>
      </x:c>
      <x:c r="Y703" s="11" t="n">
        <x:v>0</x:v>
      </x:c>
      <x:c r="Z703" s="11" t="n">
        <x:v>132523</x:v>
      </x:c>
      <x:c r="AA703" s="11" t="n">
        <x:v>2856061</x:v>
      </x:c>
      <x:c r="AB703" s="11" t="n">
        <x:v>113000</x:v>
      </x:c>
      <x:c r="AC703" s="11" t="n">
        <x:v>245523</x:v>
      </x:c>
      <x:c r="AD703" s="11" t="n">
        <x:v>1170832</x:v>
      </x:c>
      <x:c r="AE703" s="11" t="n">
        <x:v>925309</x:v>
      </x:c>
      <x:c r="AF703" s="11" t="n">
        <x:v>4683328</x:v>
      </x:c>
      <x:c r="AG703" s="11" t="n">
        <x:v>51327117</x:v>
      </x:c>
      <x:c r="AH703" s="11" t="n">
        <x:v>17491816</x:v>
      </x:c>
      <x:c r="AI703" s="11" t="n">
        <x:v>33835301</x:v>
      </x:c>
      <x:c r="AJ703" s="11" t="n">
        <x:v>888425</x:v>
      </x:c>
      <x:c r="AK703" s="11" t="n">
        <x:v>3045229</x:v>
      </x:c>
      <x:c r="AL703" s="11" t="n">
        <x:v>0</x:v>
      </x:c>
      <x:c r="AM703" s="12" t="n">
        <x:v>1</x:v>
      </x:c>
      <x:c r="AN703" s="12" t="n">
        <x:v>0.2917432482089196</x:v>
      </x:c>
      <x:c r="AO703" s="11" t="n">
        <x:v>4292117</x:v>
      </x:c>
      <x:c r="AP703" s="11" t="n">
        <x:v>4215675</x:v>
      </x:c>
      <x:c r="AQ703" s="12" t="n">
        <x:v>0.9821901406695112</x:v>
      </x:c>
      <x:c r="AR703" s="11" t="n">
        <x:v>5010.8953252032525</x:v>
      </x:c>
      <x:c r="AS703" s="11" t="n">
        <x:v>4149.134146341464</x:v>
      </x:c>
      <x:c r="AT703" s="11" t="n">
        <x:v>11567.460365853658</x:v>
      </x:c>
      <x:c r="AU703" s="11" t="n">
        <x:v>4035.1900406504064</x:v>
      </x:c>
      <x:c r="AV703" s="11" t="n">
        <x:v>2902.5010162601625</x:v>
      </x:c>
      <x:c r="AW703" s="11" t="n">
        <x:v>3.1377371009928794</x:v>
      </x:c>
      <x:c r="AX703" s="12" t="n">
        <x:v>0.790300401765582</x:v>
      </x:c>
      <x:c r="AY703" s="11"/>
      <x:c r="AZ703" s="11"/>
      <x:c r="BA703" s="11"/>
      <x:c r="BB703" s="11"/>
      <x:c r="BC703" s="11"/>
      <x:c r="BD703" s="11"/>
      <x:c r="BE703" s="11"/>
      <x:c r="BF703" s="11"/>
      <x:c r="BG703" s="11"/>
      <x:c r="BH703" s="11"/>
      <x:c r="BI703" s="11"/>
      <x:c r="BJ703" s="11"/>
      <x:c r="BK703" s="12"/>
      <x:c r="BL703" s="12"/>
      <x:c r="BM703" s="12"/>
      <x:c r="BN703" s="12"/>
      <x:c r="BO703" s="12"/>
      <x:c r="BP703" s="12"/>
      <x:c r="BQ703" s="12"/>
      <x:c r="BR703" s="12"/>
      <x:c r="BS703" s="12"/>
      <x:c r="BT703" s="12"/>
      <x:c r="BU703" s="11" t="n">
        <x:v>0</x:v>
      </x:c>
      <x:c r="BV703" s="11" t="n">
        <x:v>513275</x:v>
      </x:c>
      <x:c r="BW703" s="11" t="n">
        <x:v>72141</x:v>
      </x:c>
      <x:c r="BX703" s="11" t="n">
        <x:v>432081</x:v>
      </x:c>
      <x:c r="BY703" s="11" t="n">
        <x:v>0</x:v>
      </x:c>
      <x:c r="BZ703" s="11" t="n">
        <x:v>0</x:v>
      </x:c>
      <x:c r="CA703" s="11" t="n">
        <x:v>0</x:v>
      </x:c>
      <x:c r="CB703" s="11" t="n">
        <x:v>159277</x:v>
      </x:c>
      <x:c r="CC703" s="11" t="n">
        <x:v>764286</x:v>
      </x:c>
      <x:c r="CD703" s="11" t="n">
        <x:v>369244</x:v>
      </x:c>
      <x:c r="CE703" s="11" t="n">
        <x:v>0</x:v>
      </x:c>
      <x:c r="CF703" s="11" t="n">
        <x:v>0</x:v>
      </x:c>
      <x:c r="CG703" s="11" t="n">
        <x:v>201866</x:v>
      </x:c>
      <x:c r="CH703" s="11" t="n">
        <x:v>484100</x:v>
      </x:c>
      <x:c r="CI703" s="11" t="n">
        <x:v>327916</x:v>
      </x:c>
      <x:c r="CJ703" s="11" t="n">
        <x:v>499445</x:v>
      </x:c>
      <x:c r="CK703" s="11" t="n">
        <x:v>390834</x:v>
      </x:c>
      <x:c r="CL703" s="11" t="n">
        <x:v>0</x:v>
      </x:c>
      <x:c r="CM703" s="11"/>
      <x:c r="CN703" s="11" t="n">
        <x:v>0</x:v>
      </x:c>
      <x:c r="CO703" s="11" t="n">
        <x:v>0</x:v>
      </x:c>
      <x:c r="CP703" s="8"/>
      <x:c r="CQ703" s="8"/>
    </x:row>
    <x:row r="704">
      <x:c r="A704" s="8" t="str">
        <x:v>Radium Hot Springs|2023</x:v>
      </x:c>
      <x:c r="B704" s="8" t="str">
        <x:v>radium-hot-springs-v</x:v>
      </x:c>
      <x:c r="C704" s="8" t="str">
        <x:v>Radium Hot Springs</x:v>
      </x:c>
      <x:c r="D704" s="8" t="str">
        <x:v>Radium Hot Springs</x:v>
      </x:c>
      <x:c r="E704" s="8" t="str">
        <x:v>V</x:v>
      </x:c>
      <x:c r="F704" s="8" t="str">
        <x:v>EKO</x:v>
      </x:c>
      <x:c r="G704" s="9" t="n">
        <x:v>2023</x:v>
      </x:c>
      <x:c r="H704" s="10" t="n">
        <x:v>1036</x:v>
      </x:c>
      <x:c r="I704" s="8" t="str">
        <x:v>Under 5,000</x:v>
      </x:c>
      <x:c r="J704" s="11" t="n">
        <x:v>6957588</x:v>
      </x:c>
      <x:c r="K704" s="11" t="n">
        <x:v>4196172</x:v>
      </x:c>
      <x:c r="L704" s="11" t="n">
        <x:v>2761416</x:v>
      </x:c>
      <x:c r="M704" s="12" t="n">
        <x:v>0.39689271626891387</x:v>
      </x:c>
      <x:c r="N704" s="11" t="n">
        <x:v>2758314</x:v>
      </x:c>
      <x:c r="O704" s="11" t="n">
        <x:v>1107140</x:v>
      </x:c>
      <x:c r="P704" s="11" t="n">
        <x:v>2097993</x:v>
      </x:c>
      <x:c r="Q704" s="11" t="n">
        <x:v>994141</x:v>
      </x:c>
      <x:c r="R704" s="11" t="n">
        <x:v>3037508</x:v>
      </x:c>
      <x:c r="S704" s="11" t="n">
        <x:v>1043384</x:v>
      </x:c>
      <x:c r="T704" s="11" t="n">
        <x:v>20520100</x:v>
      </x:c>
      <x:c r="U704" s="11" t="n">
        <x:v>7982971</x:v>
      </x:c>
      <x:c r="V704" s="11" t="n">
        <x:v>13174578</x:v>
      </x:c>
      <x:c r="W704" s="11" t="n">
        <x:v>5006970</x:v>
      </x:c>
      <x:c r="X704" s="11" t="n">
        <x:v>2856061</x:v>
      </x:c>
      <x:c r="Y704" s="11" t="n">
        <x:v>0</x:v>
      </x:c>
      <x:c r="Z704" s="11" t="n">
        <x:v>132523</x:v>
      </x:c>
      <x:c r="AA704" s="11" t="n">
        <x:v>2698763</x:v>
      </x:c>
      <x:c r="AB704" s="11" t="n">
        <x:v>115280</x:v>
      </x:c>
      <x:c r="AC704" s="11" t="n">
        <x:v>247803</x:v>
      </x:c>
      <x:c r="AD704" s="11" t="n">
        <x:v>1271401</x:v>
      </x:c>
      <x:c r="AE704" s="11" t="n">
        <x:v>1023598</x:v>
      </x:c>
      <x:c r="AF704" s="11" t="n">
        <x:v>5085602</x:v>
      </x:c>
      <x:c r="AG704" s="11" t="n">
        <x:v>53320319</x:v>
      </x:c>
      <x:c r="AH704" s="11" t="n">
        <x:v>18535200</x:v>
      </x:c>
      <x:c r="AI704" s="11" t="n">
        <x:v>34785119</x:v>
      </x:c>
      <x:c r="AJ704" s="11" t="n">
        <x:v>1945587</x:v>
      </x:c>
      <x:c r="AK704" s="11" t="n">
        <x:v>2873112</x:v>
      </x:c>
      <x:c r="AL704" s="11" t="n">
        <x:v>0</x:v>
      </x:c>
      <x:c r="AM704" s="12" t="n">
        <x:v>1</x:v>
      </x:c>
      <x:c r="AN704" s="12" t="n">
        <x:v>0.6771706080375565</x:v>
      </x:c>
      <x:c r="AO704" s="11" t="n">
        <x:v>4848468</x:v>
      </x:c>
      <x:c r="AP704" s="11" t="n">
        <x:v>4792539</x:v>
      </x:c>
      <x:c r="AQ704" s="12" t="n">
        <x:v>0.9884646036644977</x:v>
      </x:c>
      <x:c r="AR704" s="11" t="n">
        <x:v>6715.818532818533</x:v>
      </x:c>
      <x:c r="AS704" s="11" t="n">
        <x:v>4050.359073359073</x:v>
      </x:c>
      <x:c r="AT704" s="11" t="n">
        <x:v>12716.774131274131</x:v>
      </x:c>
      <x:c r="AU704" s="11" t="n">
        <x:v>4832.982625482626</x:v>
      </x:c>
      <x:c r="AV704" s="11" t="n">
        <x:v>2604.9835907335905</x:v>
      </x:c>
      <x:c r="AW704" s="11" t="n">
        <x:v>2.57048409671036</x:v>
      </x:c>
      <x:c r="AX704" s="12" t="n">
        <x:v>0.80509453744334</x:v>
      </x:c>
      <x:c r="AY704" s="11"/>
      <x:c r="AZ704" s="11"/>
      <x:c r="BA704" s="11"/>
      <x:c r="BB704" s="11"/>
      <x:c r="BC704" s="11"/>
      <x:c r="BD704" s="11"/>
      <x:c r="BE704" s="11"/>
      <x:c r="BF704" s="11"/>
      <x:c r="BG704" s="11"/>
      <x:c r="BH704" s="11"/>
      <x:c r="BI704" s="11"/>
      <x:c r="BJ704" s="11"/>
      <x:c r="BK704" s="12"/>
      <x:c r="BL704" s="12"/>
      <x:c r="BM704" s="12"/>
      <x:c r="BN704" s="12"/>
      <x:c r="BO704" s="12"/>
      <x:c r="BP704" s="12"/>
      <x:c r="BQ704" s="12"/>
      <x:c r="BR704" s="12"/>
      <x:c r="BS704" s="12"/>
      <x:c r="BT704" s="12"/>
      <x:c r="BU704" s="11" t="n">
        <x:v>0</x:v>
      </x:c>
      <x:c r="BV704" s="11" t="n">
        <x:v>1768311</x:v>
      </x:c>
      <x:c r="BW704" s="11" t="n">
        <x:v>329682</x:v>
      </x:c>
      <x:c r="BX704" s="11" t="n">
        <x:v>958923</x:v>
      </x:c>
      <x:c r="BY704" s="11" t="n">
        <x:v>0</x:v>
      </x:c>
      <x:c r="BZ704" s="11" t="n">
        <x:v>34125</x:v>
      </x:c>
      <x:c r="CA704" s="11" t="n">
        <x:v>1093</x:v>
      </x:c>
      <x:c r="CB704" s="11" t="n">
        <x:v>0</x:v>
      </x:c>
      <x:c r="CC704" s="11" t="n">
        <x:v>646315</x:v>
      </x:c>
      <x:c r="CD704" s="11" t="n">
        <x:v>481584</x:v>
      </x:c>
      <x:c r="CE704" s="11" t="n">
        <x:v>0</x:v>
      </x:c>
      <x:c r="CF704" s="11" t="n">
        <x:v>0</x:v>
      </x:c>
      <x:c r="CG704" s="11" t="n">
        <x:v>133333</x:v>
      </x:c>
      <x:c r="CH704" s="11" t="n">
        <x:v>511162</x:v>
      </x:c>
      <x:c r="CI704" s="11" t="n">
        <x:v>339619</x:v>
      </x:c>
      <x:c r="CJ704" s="11" t="n">
        <x:v>593095</x:v>
      </x:c>
      <x:c r="CK704" s="11" t="n">
        <x:v>447680</x:v>
      </x:c>
      <x:c r="CL704" s="11" t="n">
        <x:v>0</x:v>
      </x:c>
      <x:c r="CM704" s="11" t="n">
        <x:v>0</x:v>
      </x:c>
      <x:c r="CN704" s="11" t="n">
        <x:v>0</x:v>
      </x:c>
      <x:c r="CO704" s="11" t="n">
        <x:v>0</x:v>
      </x:c>
      <x:c r="CP704" s="8"/>
      <x:c r="CQ704" s="8"/>
    </x:row>
    <x:row r="705">
      <x:c r="A705" s="8" t="str">
        <x:v>Radium Hot Springs|2024</x:v>
      </x:c>
      <x:c r="B705" s="8" t="str">
        <x:v>radium-hot-springs-v</x:v>
      </x:c>
      <x:c r="C705" s="8" t="str">
        <x:v>Radium Hot Springs</x:v>
      </x:c>
      <x:c r="D705" s="8" t="str">
        <x:v>Radium Hot Springs</x:v>
      </x:c>
      <x:c r="E705" s="8" t="str">
        <x:v>V</x:v>
      </x:c>
      <x:c r="F705" s="8" t="str">
        <x:v>EKO</x:v>
      </x:c>
      <x:c r="G705" s="9" t="n">
        <x:v>2024</x:v>
      </x:c>
      <x:c r="H705" s="10" t="n">
        <x:v>1036</x:v>
      </x:c>
      <x:c r="I705" s="8" t="str">
        <x:v>Under 5,000</x:v>
      </x:c>
      <x:c r="J705" s="11" t="n">
        <x:v>6913707</x:v>
      </x:c>
      <x:c r="K705" s="11" t="n">
        <x:v>4688174</x:v>
      </x:c>
      <x:c r="L705" s="11" t="n">
        <x:v>2225533</x:v>
      </x:c>
      <x:c r="M705" s="12" t="n">
        <x:v>0.3219015500656883</x:v>
      </x:c>
      <x:c r="N705" s="11" t="n">
        <x:v>2894679</x:v>
      </x:c>
      <x:c r="O705" s="11" t="n">
        <x:v>1137295</x:v>
      </x:c>
      <x:c r="P705" s="11" t="n">
        <x:v>1738125</x:v>
      </x:c>
      <x:c r="Q705" s="11" t="n">
        <x:v>1143608</x:v>
      </x:c>
      <x:c r="R705" s="11" t="n">
        <x:v>3438431</x:v>
      </x:c>
      <x:c r="S705" s="11" t="n">
        <x:v>1130366</x:v>
      </x:c>
      <x:c r="T705" s="11" t="n">
        <x:v>21325808</x:v>
      </x:c>
      <x:c r="U705" s="11" t="n">
        <x:v>7694766</x:v>
      </x:c>
      <x:c r="V705" s="11" t="n">
        <x:v>14297530</x:v>
      </x:c>
      <x:c r="W705" s="11" t="n">
        <x:v>4761188</x:v>
      </x:c>
      <x:c r="X705" s="11" t="n">
        <x:v>2698763</x:v>
      </x:c>
      <x:c r="Y705" s="11" t="n">
        <x:v>520000</x:v>
      </x:c>
      <x:c r="Z705" s="11" t="n">
        <x:v>132523</x:v>
      </x:c>
      <x:c r="AA705" s="11" t="n">
        <x:v>3056513</x:v>
      </x:c>
      <x:c r="AB705" s="11" t="n">
        <x:v>119377</x:v>
      </x:c>
      <x:c r="AC705" s="11" t="n">
        <x:v>251900</x:v>
      </x:c>
      <x:c r="AD705" s="11" t="n">
        <x:v>1353403</x:v>
      </x:c>
      <x:c r="AE705" s="11" t="n">
        <x:v>1101503</x:v>
      </x:c>
      <x:c r="AF705" s="11" t="n">
        <x:v>5413612</x:v>
      </x:c>
      <x:c r="AG705" s="11" t="n">
        <x:v>55351544</x:v>
      </x:c>
      <x:c r="AH705" s="11" t="n">
        <x:v>19465927</x:v>
      </x:c>
      <x:c r="AI705" s="11" t="n">
        <x:v>35885617</x:v>
      </x:c>
      <x:c r="AJ705" s="11" t="n">
        <x:v>2230970</x:v>
      </x:c>
      <x:c r="AK705" s="11" t="n">
        <x:v>73340429</x:v>
      </x:c>
      <x:c r="AL705" s="11" t="n">
        <x:v>1170000</x:v>
      </x:c>
      <x:c r="AM705" s="12" t="n">
        <x:v>0.9840469981434115</x:v>
      </x:c>
      <x:c r="AN705" s="12" t="n">
        <x:v>0.030419374830763533</x:v>
      </x:c>
      <x:c r="AO705" s="11" t="n">
        <x:v>5092812</x:v>
      </x:c>
      <x:c r="AP705" s="11" t="n">
        <x:v>4933193</x:v>
      </x:c>
      <x:c r="AQ705" s="12" t="n">
        <x:v>0.9686579830553337</x:v>
      </x:c>
      <x:c r="AR705" s="11" t="n">
        <x:v>6673.462355212355</x:v>
      </x:c>
      <x:c r="AS705" s="11" t="n">
        <x:v>4525.264478764479</x:v>
      </x:c>
      <x:c r="AT705" s="11" t="n">
        <x:v>13800.704633204634</x:v>
      </x:c>
      <x:c r="AU705" s="11" t="n">
        <x:v>4595.741312741313</x:v>
      </x:c>
      <x:c r="AV705" s="11" t="n">
        <x:v>2950.3021235521237</x:v>
      </x:c>
      <x:c r="AW705" s="11" t="n">
        <x:v>2.7714693338302947</x:v>
      </x:c>
      <x:c r="AX705" s="12" t="n">
        <x:v>0.8138765763043232</x:v>
      </x:c>
      <x:c r="AY705" s="11" t="n">
        <x:v>4648.097865362712</x:v>
      </x:c>
      <x:c r="AZ705" s="11" t="n">
        <x:v>3546.5079302077975</x:v>
      </x:c>
      <x:c r="BA705" s="11" t="n">
        <x:v>3428.422456291105</x:v>
      </x:c>
      <x:c r="BB705" s="11" t="n">
        <x:v>2783.665107049771</x:v>
      </x:c>
      <x:c r="BC705" s="11" t="n">
        <x:v>5030.364110900993</x:v>
      </x:c>
      <x:c r="BD705" s="11" t="n">
        <x:v>2437.8724475115623</x:v>
      </x:c>
      <x:c r="BE705" s="11" t="n">
        <x:v>2420.45</x:v>
      </x:c>
      <x:c r="BF705" s="11" t="n">
        <x:v>1604.3462673977224</x:v>
      </x:c>
      <x:c r="BG705" s="11" t="n">
        <x:v>224.31236112962716</x:v>
      </x:c>
      <x:c r="BH705" s="11" t="n">
        <x:v>518.5374381567245</x:v>
      </x:c>
      <x:c r="BI705" s="11" t="n">
        <x:v>2.204313821553219</x:v>
      </x:c>
      <x:c r="BJ705" s="11" t="n">
        <x:v>1.7099330852451193</x:v>
      </x:c>
      <x:c r="BK705" s="12" t="n">
        <x:v>0.030042455998363887</x:v>
      </x:c>
      <x:c r="BL705" s="12" t="n">
        <x:v>0.02529861000232605</x:v>
      </x:c>
      <x:c r="BM705" s="12" t="n">
        <x:v>0.9786113537119745</x:v>
      </x:c>
      <x:c r="BN705" s="12" t="n">
        <x:v>0.9815511712696461</x:v>
      </x:c>
      <x:c r="BO705" s="12" t="n">
        <x:v>0.9039920521842442</x:v>
      </x:c>
      <x:c r="BP705" s="12" t="n">
        <x:v>0.8619101997275483</x:v>
      </x:c>
      <x:c r="BQ705" s="12" t="n">
        <x:v>0.9333160528846489</x:v>
      </x:c>
      <x:c r="BR705" s="12" t="n">
        <x:v>0.9623635142836453</x:v>
      </x:c>
      <x:c r="BS705" s="12" t="n">
        <x:v>0.20869205825466772</x:v>
      </x:c>
      <x:c r="BT705" s="12" t="n">
        <x:v>0.19976549769108282</x:v>
      </x:c>
      <x:c r="BU705" s="11" t="n">
        <x:v>0</x:v>
      </x:c>
      <x:c r="BV705" s="11" t="n">
        <x:v>1567283</x:v>
      </x:c>
      <x:c r="BW705" s="11" t="n">
        <x:v>170842</x:v>
      </x:c>
      <x:c r="BX705" s="11" t="n">
        <x:v>1089665</x:v>
      </x:c>
      <x:c r="BY705" s="11" t="n">
        <x:v>0</x:v>
      </x:c>
      <x:c r="BZ705" s="11" t="n">
        <x:v>31343</x:v>
      </x:c>
      <x:c r="CA705" s="11" t="n">
        <x:v>22600</x:v>
      </x:c>
      <x:c r="CB705" s="11" t="n">
        <x:v>0</x:v>
      </x:c>
      <x:c r="CC705" s="11" t="n">
        <x:v>685333</x:v>
      </x:c>
      <x:c r="CD705" s="11" t="n">
        <x:v>498895</x:v>
      </x:c>
      <x:c r="CE705" s="11" t="n">
        <x:v>0</x:v>
      </x:c>
      <x:c r="CF705" s="11" t="n">
        <x:v>0</x:v>
      </x:c>
      <x:c r="CG705" s="11" t="n">
        <x:v>283939</x:v>
      </x:c>
      <x:c r="CH705" s="11" t="n">
        <x:v>589783</x:v>
      </x:c>
      <x:c r="CI705" s="11" t="n">
        <x:v>448948</x:v>
      </x:c>
      <x:c r="CJ705" s="11" t="n">
        <x:v>562761</x:v>
      </x:c>
      <x:c r="CK705" s="11" t="n">
        <x:v>488043</x:v>
      </x:c>
      <x:c r="CL705" s="11" t="n">
        <x:v>0</x:v>
      </x:c>
      <x:c r="CM705" s="11" t="n">
        <x:v>0</x:v>
      </x:c>
      <x:c r="CN705" s="11" t="n">
        <x:v>106</x:v>
      </x:c>
      <x:c r="CO705" s="11" t="n">
        <x:v>0</x:v>
      </x:c>
      <x:c r="CP705" s="8"/>
      <x:c r="CQ705" s="8"/>
    </x:row>
    <x:row r="706">
      <x:c r="A706" s="8" t="str">
        <x:v>Revelstoke|2019</x:v>
      </x:c>
      <x:c r="B706" s="8" t="str">
        <x:v>revelstoke-c</x:v>
      </x:c>
      <x:c r="C706" s="8" t="str">
        <x:v>Revelstoke</x:v>
      </x:c>
      <x:c r="D706" s="8" t="str">
        <x:v>Revelstoke</x:v>
      </x:c>
      <x:c r="E706" s="8" t="str">
        <x:v>C</x:v>
      </x:c>
      <x:c r="F706" s="8" t="str">
        <x:v>COL</x:v>
      </x:c>
      <x:c r="G706" s="9" t="n">
        <x:v>2019</x:v>
      </x:c>
      <x:c r="H706" s="10" t="n">
        <x:v>8259</x:v>
      </x:c>
      <x:c r="I706" s="8" t="str">
        <x:v>5,000 to 19,999</x:v>
      </x:c>
      <x:c r="J706" s="11" t="n">
        <x:v>29598822</x:v>
      </x:c>
      <x:c r="K706" s="11" t="n">
        <x:v>23190945</x:v>
      </x:c>
      <x:c r="L706" s="11" t="n">
        <x:v>6407877</x:v>
      </x:c>
      <x:c r="M706" s="12" t="n">
        <x:v>0.21649094683565448</x:v>
      </x:c>
      <x:c r="N706" s="11" t="n">
        <x:v>16234424</x:v>
      </x:c>
      <x:c r="O706" s="11" t="n">
        <x:v>6285472</x:v>
      </x:c>
      <x:c r="P706" s="11" t="n">
        <x:v>5764447</x:v>
      </x:c>
      <x:c r="Q706" s="11" t="n">
        <x:v>1314479</x:v>
      </x:c>
      <x:c r="R706" s="11" t="n">
        <x:v>19981976</x:v>
      </x:c>
      <x:c r="S706" s="11" t="n">
        <x:v>2360738</x:v>
      </x:c>
      <x:c r="T706" s="11" t="n">
        <x:v>25739962</x:v>
      </x:c>
      <x:c r="U706" s="11" t="n">
        <x:v>26316996</x:v>
      </x:c>
      <x:c r="V706" s="11" t="n">
        <x:v>11842130</x:v>
      </x:c>
      <x:c r="W706" s="11" t="n">
        <x:v>11005940</x:v>
      </x:c>
      <x:c r="X706" s="11" t="n">
        <x:v>16819731</x:v>
      </x:c>
      <x:c r="Y706" s="11" t="n">
        <x:v>0</x:v>
      </x:c>
      <x:c r="Z706" s="11" t="n">
        <x:v>1050751</x:v>
      </x:c>
      <x:c r="AA706" s="11" t="n">
        <x:v>15330409</x:v>
      </x:c>
      <x:c r="AB706" s="11" t="n">
        <x:v>848231</x:v>
      </x:c>
      <x:c r="AC706" s="11" t="n">
        <x:v>1898982</x:v>
      </x:c>
      <x:c r="AD706" s="11" t="n">
        <x:v>5916847</x:v>
      </x:c>
      <x:c r="AE706" s="11" t="n">
        <x:v>4017865</x:v>
      </x:c>
      <x:c r="AF706" s="11" t="n">
        <x:v>23667388</x:v>
      </x:c>
      <x:c r="AG706" s="11" t="n">
        <x:v>126096423</x:v>
      </x:c>
      <x:c r="AH706" s="11" t="n">
        <x:v>49889084</x:v>
      </x:c>
      <x:c r="AI706" s="11" t="n">
        <x:v>76207339</x:v>
      </x:c>
      <x:c r="AJ706" s="11" t="n">
        <x:v>5689312</x:v>
      </x:c>
      <x:c r="AK706" s="11" t="n">
        <x:v>15335342</x:v>
      </x:c>
      <x:c r="AL706" s="11" t="n">
        <x:v>0</x:v>
      </x:c>
      <x:c r="AM706" s="12" t="n">
        <x:v>1</x:v>
      </x:c>
      <x:c r="AN706" s="12" t="n">
        <x:v>0.37099348680974964</x:v>
      </x:c>
      <x:c r="AO706" s="11" t="n">
        <x:v>19752236</x:v>
      </x:c>
      <x:c r="AP706" s="11" t="n">
        <x:v>18522810</x:v>
      </x:c>
      <x:c r="AQ706" s="12" t="n">
        <x:v>0.9377576290603251</x:v>
      </x:c>
      <x:c r="AR706" s="11" t="n">
        <x:v>3583.8263712313837</x:v>
      </x:c>
      <x:c r="AS706" s="11" t="n">
        <x:v>2807.960406828914</x:v>
      </x:c>
      <x:c r="AT706" s="11" t="n">
        <x:v>1433.8455018767406</x:v>
      </x:c>
      <x:c r="AU706" s="11" t="n">
        <x:v>1332.5995883278847</x:v>
      </x:c>
      <x:c r="AV706" s="11" t="n">
        <x:v>1856.2064414578035</x:v>
      </x:c>
      <x:c r="AW706" s="11" t="n">
        <x:v>0.9780737132763937</x:v>
      </x:c>
      <x:c r="AX706" s="12" t="n">
        <x:v>0.679055077814248</x:v>
      </x:c>
      <x:c r="AY706" s="11"/>
      <x:c r="AZ706" s="11"/>
      <x:c r="BA706" s="11"/>
      <x:c r="BB706" s="11"/>
      <x:c r="BC706" s="11"/>
      <x:c r="BD706" s="11"/>
      <x:c r="BE706" s="11"/>
      <x:c r="BF706" s="11"/>
      <x:c r="BG706" s="11"/>
      <x:c r="BH706" s="11"/>
      <x:c r="BI706" s="11"/>
      <x:c r="BJ706" s="11"/>
      <x:c r="BK706" s="12"/>
      <x:c r="BL706" s="12"/>
      <x:c r="BM706" s="12"/>
      <x:c r="BN706" s="12"/>
      <x:c r="BO706" s="12"/>
      <x:c r="BP706" s="12"/>
      <x:c r="BQ706" s="12"/>
      <x:c r="BR706" s="12"/>
      <x:c r="BS706" s="12"/>
      <x:c r="BT706" s="12"/>
      <x:c r="BU706" s="11" t="n">
        <x:v>0</x:v>
      </x:c>
      <x:c r="BV706" s="11" t="n">
        <x:v>3990051</x:v>
      </x:c>
      <x:c r="BW706" s="11" t="n">
        <x:v>1774396</x:v>
      </x:c>
      <x:c r="BX706" s="11" t="n">
        <x:v>1143429</x:v>
      </x:c>
      <x:c r="BY706" s="11" t="n">
        <x:v>-47735</x:v>
      </x:c>
      <x:c r="BZ706" s="11" t="n">
        <x:v>218785</x:v>
      </x:c>
      <x:c r="CA706" s="11" t="n">
        <x:v>0</x:v>
      </x:c>
      <x:c r="CB706" s="11" t="n">
        <x:v>0</x:v>
      </x:c>
      <x:c r="CC706" s="11" t="n">
        <x:v>2266136</x:v>
      </x:c>
      <x:c r="CD706" s="11" t="n">
        <x:v>4185340</x:v>
      </x:c>
      <x:c r="CE706" s="11" t="n">
        <x:v>388517</x:v>
      </x:c>
      <x:c r="CF706" s="11" t="n">
        <x:v>625560</x:v>
      </x:c>
      <x:c r="CG706" s="11" t="n">
        <x:v>841839</x:v>
      </x:c>
      <x:c r="CH706" s="11" t="n">
        <x:v>5453280</x:v>
      </x:c>
      <x:c r="CI706" s="11" t="n">
        <x:v>3370599</x:v>
      </x:c>
      <x:c r="CJ706" s="11" t="n">
        <x:v>1261457</x:v>
      </x:c>
      <x:c r="CK706" s="11" t="n">
        <x:v>698877</x:v>
      </x:c>
      <x:c r="CL706" s="11" t="n">
        <x:v>1738602</x:v>
      </x:c>
      <x:c r="CM706" s="11"/>
      <x:c r="CN706" s="11" t="n">
        <x:v>0</x:v>
      </x:c>
      <x:c r="CO706" s="11" t="n">
        <x:v>0</x:v>
      </x:c>
      <x:c r="CP706" s="8"/>
      <x:c r="CQ706" s="8"/>
    </x:row>
    <x:row r="707">
      <x:c r="A707" s="8" t="str">
        <x:v>Revelstoke|2020</x:v>
      </x:c>
      <x:c r="B707" s="8" t="str">
        <x:v>revelstoke-c</x:v>
      </x:c>
      <x:c r="C707" s="8" t="str">
        <x:v>Revelstoke</x:v>
      </x:c>
      <x:c r="D707" s="8" t="str">
        <x:v>Revelstoke</x:v>
      </x:c>
      <x:c r="E707" s="8" t="str">
        <x:v>C</x:v>
      </x:c>
      <x:c r="F707" s="8" t="str">
        <x:v>COL</x:v>
      </x:c>
      <x:c r="G707" s="9" t="n">
        <x:v>2020</x:v>
      </x:c>
      <x:c r="H707" s="10" t="n">
        <x:v>8744</x:v>
      </x:c>
      <x:c r="I707" s="8" t="str">
        <x:v>5,000 to 19,999</x:v>
      </x:c>
      <x:c r="J707" s="11" t="n">
        <x:v>36142173</x:v>
      </x:c>
      <x:c r="K707" s="11" t="n">
        <x:v>24498659</x:v>
      </x:c>
      <x:c r="L707" s="11" t="n">
        <x:v>11643514</x:v>
      </x:c>
      <x:c r="M707" s="12" t="n">
        <x:v>0.32215865935897103</x:v>
      </x:c>
      <x:c r="N707" s="11" t="n">
        <x:v>16860560</x:v>
      </x:c>
      <x:c r="O707" s="11" t="n">
        <x:v>6177359</x:v>
      </x:c>
      <x:c r="P707" s="11" t="n">
        <x:v>11467706</x:v>
      </x:c>
      <x:c r="Q707" s="11" t="n">
        <x:v>1636548</x:v>
      </x:c>
      <x:c r="R707" s="11" t="n">
        <x:v>21117243</x:v>
      </x:c>
      <x:c r="S707" s="11" t="n">
        <x:v>2580567</x:v>
      </x:c>
      <x:c r="T707" s="11" t="n">
        <x:v>27337633</x:v>
      </x:c>
      <x:c r="U707" s="11" t="n">
        <x:v>28044464</x:v>
      </x:c>
      <x:c r="V707" s="11" t="n">
        <x:v>13724220</x:v>
      </x:c>
      <x:c r="W707" s="11" t="n">
        <x:v>13495503</x:v>
      </x:c>
      <x:c r="X707" s="11" t="n">
        <x:v>15330409</x:v>
      </x:c>
      <x:c r="Y707" s="11" t="n">
        <x:v>0</x:v>
      </x:c>
      <x:c r="Z707" s="11" t="n">
        <x:v>952971</x:v>
      </x:c>
      <x:c r="AA707" s="11" t="n">
        <x:v>13889974</x:v>
      </x:c>
      <x:c r="AB707" s="11" t="n">
        <x:v>800849</x:v>
      </x:c>
      <x:c r="AC707" s="11" t="n">
        <x:v>1753820</x:v>
      </x:c>
      <x:c r="AD707" s="11" t="n">
        <x:v>5995501</x:v>
      </x:c>
      <x:c r="AE707" s="11" t="n">
        <x:v>4241681</x:v>
      </x:c>
      <x:c r="AF707" s="11" t="n">
        <x:v>23982004</x:v>
      </x:c>
      <x:c r="AG707" s="11" t="n">
        <x:v>137905214</x:v>
      </x:c>
      <x:c r="AH707" s="11" t="n">
        <x:v>52111310</x:v>
      </x:c>
      <x:c r="AI707" s="11" t="n">
        <x:v>85793904</x:v>
      </x:c>
      <x:c r="AJ707" s="11" t="n">
        <x:v>12386143</x:v>
      </x:c>
      <x:c r="AK707" s="11" t="n">
        <x:v>15375992</x:v>
      </x:c>
      <x:c r="AL707" s="11" t="n">
        <x:v>0</x:v>
      </x:c>
      <x:c r="AM707" s="12" t="n">
        <x:v>1</x:v>
      </x:c>
      <x:c r="AN707" s="12" t="n">
        <x:v>0.8055508223469419</x:v>
      </x:c>
      <x:c r="AO707" s="11" t="n">
        <x:v>20650394</x:v>
      </x:c>
      <x:c r="AP707" s="11" t="n">
        <x:v>19218330</x:v>
      </x:c>
      <x:c r="AQ707" s="12" t="n">
        <x:v>0.9306519769065907</x:v>
      </x:c>
      <x:c r="AR707" s="11" t="n">
        <x:v>4133.368366880147</x:v>
      </x:c>
      <x:c r="AS707" s="11" t="n">
        <x:v>2801.767955169259</x:v>
      </x:c>
      <x:c r="AT707" s="11" t="n">
        <x:v>1569.5585544373284</x:v>
      </x:c>
      <x:c r="AU707" s="11" t="n">
        <x:v>1543.4015324794145</x:v>
      </x:c>
      <x:c r="AV707" s="11" t="n">
        <x:v>1588.514867337603</x:v>
      </x:c>
      <x:c r="AW707" s="11" t="n">
        <x:v>0.9747960595716859</x:v>
      </x:c>
      <x:c r="AX707" s="12" t="n">
        <x:v>0.7074773234130058</x:v>
      </x:c>
      <x:c r="AY707" s="11"/>
      <x:c r="AZ707" s="11"/>
      <x:c r="BA707" s="11"/>
      <x:c r="BB707" s="11"/>
      <x:c r="BC707" s="11"/>
      <x:c r="BD707" s="11"/>
      <x:c r="BE707" s="11"/>
      <x:c r="BF707" s="11"/>
      <x:c r="BG707" s="11"/>
      <x:c r="BH707" s="11"/>
      <x:c r="BI707" s="11"/>
      <x:c r="BJ707" s="11"/>
      <x:c r="BK707" s="12"/>
      <x:c r="BL707" s="12"/>
      <x:c r="BM707" s="12"/>
      <x:c r="BN707" s="12"/>
      <x:c r="BO707" s="12"/>
      <x:c r="BP707" s="12"/>
      <x:c r="BQ707" s="12"/>
      <x:c r="BR707" s="12"/>
      <x:c r="BS707" s="12"/>
      <x:c r="BT707" s="12"/>
      <x:c r="BU707" s="11" t="n">
        <x:v>5902720</x:v>
      </x:c>
      <x:c r="BV707" s="11" t="n">
        <x:v>4584746</x:v>
      </x:c>
      <x:c r="BW707" s="11" t="n">
        <x:v>980240</x:v>
      </x:c>
      <x:c r="BX707" s="11" t="n">
        <x:v>1023050</x:v>
      </x:c>
      <x:c r="BY707" s="11" t="n">
        <x:v>293680</x:v>
      </x:c>
      <x:c r="BZ707" s="11" t="n">
        <x:v>319818</x:v>
      </x:c>
      <x:c r="CA707" s="11" t="n">
        <x:v>0</x:v>
      </x:c>
      <x:c r="CB707" s="11" t="n">
        <x:v>0</x:v>
      </x:c>
      <x:c r="CC707" s="11" t="n">
        <x:v>2659666</x:v>
      </x:c>
      <x:c r="CD707" s="11" t="n">
        <x:v>3986945</x:v>
      </x:c>
      <x:c r="CE707" s="11" t="n">
        <x:v>315320</x:v>
      </x:c>
      <x:c r="CF707" s="11" t="n">
        <x:v>794062</x:v>
      </x:c>
      <x:c r="CG707" s="11" t="n">
        <x:v>937928</x:v>
      </x:c>
      <x:c r="CH707" s="11" t="n">
        <x:v>6398096</x:v>
      </x:c>
      <x:c r="CI707" s="11" t="n">
        <x:v>2929218</x:v>
      </x:c>
      <x:c r="CJ707" s="11" t="n">
        <x:v>1212054</x:v>
      </x:c>
      <x:c r="CK707" s="11" t="n">
        <x:v>762868</x:v>
      </x:c>
      <x:c r="CL707" s="11" t="n">
        <x:v>1921935</x:v>
      </x:c>
      <x:c r="CM707" s="11"/>
      <x:c r="CN707" s="11" t="n">
        <x:v>0</x:v>
      </x:c>
      <x:c r="CO707" s="11" t="n">
        <x:v>0</x:v>
      </x:c>
      <x:c r="CP707" s="8"/>
      <x:c r="CQ707" s="8"/>
    </x:row>
    <x:row r="708">
      <x:c r="A708" s="8" t="str">
        <x:v>Revelstoke|2021</x:v>
      </x:c>
      <x:c r="B708" s="8" t="str">
        <x:v>revelstoke-c</x:v>
      </x:c>
      <x:c r="C708" s="8" t="str">
        <x:v>Revelstoke</x:v>
      </x:c>
      <x:c r="D708" s="8" t="str">
        <x:v>Revelstoke</x:v>
      </x:c>
      <x:c r="E708" s="8" t="str">
        <x:v>C</x:v>
      </x:c>
      <x:c r="F708" s="8" t="str">
        <x:v>COL</x:v>
      </x:c>
      <x:c r="G708" s="9" t="n">
        <x:v>2021</x:v>
      </x:c>
      <x:c r="H708" s="10" t="n">
        <x:v>8429</x:v>
      </x:c>
      <x:c r="I708" s="8" t="str">
        <x:v>5,000 to 19,999</x:v>
      </x:c>
      <x:c r="J708" s="11" t="n">
        <x:v>30331029</x:v>
      </x:c>
      <x:c r="K708" s="11" t="n">
        <x:v>24626305</x:v>
      </x:c>
      <x:c r="L708" s="11" t="n">
        <x:v>5704724</x:v>
      </x:c>
      <x:c r="M708" s="12" t="n">
        <x:v>0.1880821122158434</x:v>
      </x:c>
      <x:c r="N708" s="11" t="n">
        <x:v>17255544</x:v>
      </x:c>
      <x:c r="O708" s="11" t="n">
        <x:v>6912595</x:v>
      </x:c>
      <x:c r="P708" s="11" t="n">
        <x:v>5230954</x:v>
      </x:c>
      <x:c r="Q708" s="11" t="n">
        <x:v>931936</x:v>
      </x:c>
      <x:c r="R708" s="11" t="n">
        <x:v>21193638</x:v>
      </x:c>
      <x:c r="S708" s="11" t="n">
        <x:v>2935635</x:v>
      </x:c>
      <x:c r="T708" s="11" t="n">
        <x:v>35309209</x:v>
      </x:c>
      <x:c r="U708" s="11" t="n">
        <x:v>29702662</x:v>
      </x:c>
      <x:c r="V708" s="11" t="n">
        <x:v>16581878</x:v>
      </x:c>
      <x:c r="W708" s="11" t="n">
        <x:v>14402044</x:v>
      </x:c>
      <x:c r="X708" s="11" t="n">
        <x:v>13889974</x:v>
      </x:c>
      <x:c r="Y708" s="11" t="n">
        <x:v>0</x:v>
      </x:c>
      <x:c r="Z708" s="11" t="n">
        <x:v>799117</x:v>
      </x:c>
      <x:c r="AA708" s="11" t="n">
        <x:v>12752344</x:v>
      </x:c>
      <x:c r="AB708" s="11" t="n">
        <x:v>497032</x:v>
      </x:c>
      <x:c r="AC708" s="11" t="n">
        <x:v>1296149</x:v>
      </x:c>
      <x:c r="AD708" s="11" t="n">
        <x:v>6265385</x:v>
      </x:c>
      <x:c r="AE708" s="11" t="n">
        <x:v>4969236</x:v>
      </x:c>
      <x:c r="AF708" s="11" t="n">
        <x:v>25061540</x:v>
      </x:c>
      <x:c r="AG708" s="11" t="n">
        <x:v>143635305</x:v>
      </x:c>
      <x:c r="AH708" s="11" t="n">
        <x:v>55003532</x:v>
      </x:c>
      <x:c r="AI708" s="11" t="n">
        <x:v>88631773</x:v>
      </x:c>
      <x:c r="AJ708" s="11" t="n">
        <x:v>5776614</x:v>
      </x:c>
      <x:c r="AK708" s="11" t="n">
        <x:v>15618695</x:v>
      </x:c>
      <x:c r="AL708" s="11" t="n">
        <x:v>0</x:v>
      </x:c>
      <x:c r="AM708" s="12" t="n">
        <x:v>1</x:v>
      </x:c>
      <x:c r="AN708" s="12" t="n">
        <x:v>0.3698525388964955</x:v>
      </x:c>
      <x:c r="AO708" s="11" t="n">
        <x:v>21990186</x:v>
      </x:c>
      <x:c r="AP708" s="11" t="n">
        <x:v>20747726</x:v>
      </x:c>
      <x:c r="AQ708" s="12" t="n">
        <x:v>0.9434993410242187</x:v>
      </x:c>
      <x:c r="AR708" s="11" t="n">
        <x:v>3598.41369082928</x:v>
      </x:c>
      <x:c r="AS708" s="11" t="n">
        <x:v>2921.6164432317</x:v>
      </x:c>
      <x:c r="AT708" s="11" t="n">
        <x:v>1967.2414284019458</x:v>
      </x:c>
      <x:c r="AU708" s="11" t="n">
        <x:v>1708.6302052438011</x:v>
      </x:c>
      <x:c r="AV708" s="11" t="n">
        <x:v>1512.9130383200854</x:v>
      </x:c>
      <x:c r="AW708" s="11" t="n">
        <x:v>1.1887557081584135</x:v>
      </x:c>
      <x:c r="AX708" s="12" t="n">
        <x:v>0.7931254025091834</x:v>
      </x:c>
      <x:c r="AY708" s="11"/>
      <x:c r="AZ708" s="11"/>
      <x:c r="BA708" s="11"/>
      <x:c r="BB708" s="11"/>
      <x:c r="BC708" s="11"/>
      <x:c r="BD708" s="11"/>
      <x:c r="BE708" s="11"/>
      <x:c r="BF708" s="11"/>
      <x:c r="BG708" s="11"/>
      <x:c r="BH708" s="11"/>
      <x:c r="BI708" s="11"/>
      <x:c r="BJ708" s="11"/>
      <x:c r="BK708" s="12"/>
      <x:c r="BL708" s="12"/>
      <x:c r="BM708" s="12"/>
      <x:c r="BN708" s="12"/>
      <x:c r="BO708" s="12"/>
      <x:c r="BP708" s="12"/>
      <x:c r="BQ708" s="12"/>
      <x:c r="BR708" s="12"/>
      <x:c r="BS708" s="12"/>
      <x:c r="BT708" s="12"/>
      <x:c r="BU708" s="11" t="n">
        <x:v>0</x:v>
      </x:c>
      <x:c r="BV708" s="11" t="n">
        <x:v>3522764</x:v>
      </x:c>
      <x:c r="BW708" s="11" t="n">
        <x:v>1708190</x:v>
      </x:c>
      <x:c r="BX708" s="11" t="n">
        <x:v>809575</x:v>
      </x:c>
      <x:c r="BY708" s="11" t="n">
        <x:v>17763</x:v>
      </x:c>
      <x:c r="BZ708" s="11" t="n">
        <x:v>80789</x:v>
      </x:c>
      <x:c r="CA708" s="11" t="n">
        <x:v>5395</x:v>
      </x:c>
      <x:c r="CB708" s="11" t="n">
        <x:v>18414</x:v>
      </x:c>
      <x:c r="CC708" s="11" t="n">
        <x:v>2491086</x:v>
      </x:c>
      <x:c r="CD708" s="11" t="n">
        <x:v>4381622</x:v>
      </x:c>
      <x:c r="CE708" s="11" t="n">
        <x:v>311653</x:v>
      </x:c>
      <x:c r="CF708" s="11" t="n">
        <x:v>669681</x:v>
      </x:c>
      <x:c r="CG708" s="11" t="n">
        <x:v>1310333</x:v>
      </x:c>
      <x:c r="CH708" s="11" t="n">
        <x:v>5528340</x:v>
      </x:c>
      <x:c r="CI708" s="11" t="n">
        <x:v>3097737</x:v>
      </x:c>
      <x:c r="CJ708" s="11" t="n">
        <x:v>1242147</x:v>
      </x:c>
      <x:c r="CK708" s="11" t="n">
        <x:v>1046415</x:v>
      </x:c>
      <x:c r="CL708" s="11" t="n">
        <x:v>1611656</x:v>
      </x:c>
      <x:c r="CM708" s="11"/>
      <x:c r="CN708" s="11" t="n">
        <x:v>0</x:v>
      </x:c>
      <x:c r="CO708" s="11" t="n">
        <x:v>0</x:v>
      </x:c>
      <x:c r="CP708" s="8"/>
      <x:c r="CQ708" s="8"/>
    </x:row>
    <x:row r="709">
      <x:c r="A709" s="8" t="str">
        <x:v>Revelstoke|2022</x:v>
      </x:c>
      <x:c r="B709" s="8" t="str">
        <x:v>revelstoke-c</x:v>
      </x:c>
      <x:c r="C709" s="8" t="str">
        <x:v>Revelstoke</x:v>
      </x:c>
      <x:c r="D709" s="8" t="str">
        <x:v>Revelstoke</x:v>
      </x:c>
      <x:c r="E709" s="8" t="str">
        <x:v>C</x:v>
      </x:c>
      <x:c r="F709" s="8" t="str">
        <x:v>COL</x:v>
      </x:c>
      <x:c r="G709" s="9" t="n">
        <x:v>2022</x:v>
      </x:c>
      <x:c r="H709" s="10" t="n">
        <x:v>8439</x:v>
      </x:c>
      <x:c r="I709" s="8" t="str">
        <x:v>5,000 to 19,999</x:v>
      </x:c>
      <x:c r="J709" s="11" t="n">
        <x:v>35675004</x:v>
      </x:c>
      <x:c r="K709" s="11" t="n">
        <x:v>27367495</x:v>
      </x:c>
      <x:c r="L709" s="11" t="n">
        <x:v>8307509</x:v>
      </x:c>
      <x:c r="M709" s="12" t="n">
        <x:v>0.23286637893579493</x:v>
      </x:c>
      <x:c r="N709" s="11" t="n">
        <x:v>18339752</x:v>
      </x:c>
      <x:c r="O709" s="11" t="n">
        <x:v>8037709</x:v>
      </x:c>
      <x:c r="P709" s="11" t="n">
        <x:v>6563871</x:v>
      </x:c>
      <x:c r="Q709" s="11" t="n">
        <x:v>2733672</x:v>
      </x:c>
      <x:c r="R709" s="11" t="n">
        <x:v>23794517</x:v>
      </x:c>
      <x:c r="S709" s="11" t="n">
        <x:v>3092357</x:v>
      </x:c>
      <x:c r="T709" s="11" t="n">
        <x:v>38570102</x:v>
      </x:c>
      <x:c r="U709" s="11" t="n">
        <x:v>29657843</x:v>
      </x:c>
      <x:c r="V709" s="11" t="n">
        <x:v>22585438</x:v>
      </x:c>
      <x:c r="W709" s="11" t="n">
        <x:v>12811112</x:v>
      </x:c>
      <x:c r="X709" s="11" t="n">
        <x:v>12752344</x:v>
      </x:c>
      <x:c r="Y709" s="11" t="n">
        <x:v>0</x:v>
      </x:c>
      <x:c r="Z709" s="11" t="n">
        <x:v>761419</x:v>
      </x:c>
      <x:c r="AA709" s="11" t="n">
        <x:v>11617410</x:v>
      </x:c>
      <x:c r="AB709" s="11" t="n">
        <x:v>480621</x:v>
      </x:c>
      <x:c r="AC709" s="11" t="n">
        <x:v>1242040</x:v>
      </x:c>
      <x:c r="AD709" s="11" t="n">
        <x:v>6837706</x:v>
      </x:c>
      <x:c r="AE709" s="11" t="n">
        <x:v>4790166</x:v>
      </x:c>
      <x:c r="AF709" s="11" t="n">
        <x:v>27350822</x:v>
      </x:c>
      <x:c r="AG709" s="11" t="n">
        <x:v>148948786</x:v>
      </x:c>
      <x:c r="AH709" s="11" t="n">
        <x:v>58095851</x:v>
      </x:c>
      <x:c r="AI709" s="11" t="n">
        <x:v>90852935</x:v>
      </x:c>
      <x:c r="AJ709" s="11" t="n">
        <x:v>5313519</x:v>
      </x:c>
      <x:c r="AK709" s="11" t="n">
        <x:v>17137659</x:v>
      </x:c>
      <x:c r="AL709" s="11" t="n">
        <x:v>0</x:v>
      </x:c>
      <x:c r="AM709" s="12" t="n">
        <x:v>1</x:v>
      </x:c>
      <x:c r="AN709" s="12" t="n">
        <x:v>0.31004928969586804</x:v>
      </x:c>
      <x:c r="AO709" s="11" t="n">
        <x:v>22559448</x:v>
      </x:c>
      <x:c r="AP709" s="11" t="n">
        <x:v>21373863</x:v>
      </x:c>
      <x:c r="AQ709" s="12" t="n">
        <x:v>0.9474461875130987</x:v>
      </x:c>
      <x:c r="AR709" s="11" t="n">
        <x:v>4227.397084962673</x:v>
      </x:c>
      <x:c r="AS709" s="11" t="n">
        <x:v>3242.9784334636806</x:v>
      </x:c>
      <x:c r="AT709" s="11" t="n">
        <x:v>2676.316862187463</x:v>
      </x:c>
      <x:c r="AU709" s="11" t="n">
        <x:v>1518.0841331911363</x:v>
      </x:c>
      <x:c r="AV709" s="11" t="n">
        <x:v>1376.6334873800213</x:v>
      </x:c>
      <x:c r="AW709" s="11" t="n">
        <x:v>1.300502602296465</x:v>
      </x:c>
      <x:c r="AX709" s="12" t="n">
        <x:v>0.7005516177501636</x:v>
      </x:c>
      <x:c r="AY709" s="11"/>
      <x:c r="AZ709" s="11"/>
      <x:c r="BA709" s="11"/>
      <x:c r="BB709" s="11"/>
      <x:c r="BC709" s="11"/>
      <x:c r="BD709" s="11"/>
      <x:c r="BE709" s="11"/>
      <x:c r="BF709" s="11"/>
      <x:c r="BG709" s="11"/>
      <x:c r="BH709" s="11"/>
      <x:c r="BI709" s="11"/>
      <x:c r="BJ709" s="11"/>
      <x:c r="BK709" s="12"/>
      <x:c r="BL709" s="12"/>
      <x:c r="BM709" s="12"/>
      <x:c r="BN709" s="12"/>
      <x:c r="BO709" s="12"/>
      <x:c r="BP709" s="12"/>
      <x:c r="BQ709" s="12"/>
      <x:c r="BR709" s="12"/>
      <x:c r="BS709" s="12"/>
      <x:c r="BT709" s="12"/>
      <x:c r="BU709" s="11" t="n">
        <x:v>0</x:v>
      </x:c>
      <x:c r="BV709" s="11" t="n">
        <x:v>5851451</x:v>
      </x:c>
      <x:c r="BW709" s="11" t="n">
        <x:v>712420</x:v>
      </x:c>
      <x:c r="BX709" s="11" t="n">
        <x:v>913625</x:v>
      </x:c>
      <x:c r="BY709" s="11" t="n">
        <x:v>1739258</x:v>
      </x:c>
      <x:c r="BZ709" s="11" t="n">
        <x:v>80789</x:v>
      </x:c>
      <x:c r="CA709" s="11" t="n">
        <x:v>0</x:v>
      </x:c>
      <x:c r="CB709" s="11" t="n">
        <x:v>0</x:v>
      </x:c>
      <x:c r="CC709" s="11" t="n">
        <x:v>2984166</x:v>
      </x:c>
      <x:c r="CD709" s="11" t="n">
        <x:v>4487865</x:v>
      </x:c>
      <x:c r="CE709" s="11" t="n">
        <x:v>403772</x:v>
      </x:c>
      <x:c r="CF709" s="11" t="n">
        <x:v>636474</x:v>
      </x:c>
      <x:c r="CG709" s="11" t="n">
        <x:v>1072043</x:v>
      </x:c>
      <x:c r="CH709" s="11" t="n">
        <x:v>7092106</x:v>
      </x:c>
      <x:c r="CI709" s="11" t="n">
        <x:v>3422720</x:v>
      </x:c>
      <x:c r="CJ709" s="11" t="n">
        <x:v>1086069</x:v>
      </x:c>
      <x:c r="CK709" s="11" t="n">
        <x:v>828599</x:v>
      </x:c>
      <x:c r="CL709" s="11" t="n">
        <x:v>2261324</x:v>
      </x:c>
      <x:c r="CM709" s="11"/>
      <x:c r="CN709" s="11" t="n">
        <x:v>0</x:v>
      </x:c>
      <x:c r="CO709" s="11" t="n">
        <x:v>0</x:v>
      </x:c>
      <x:c r="CP709" s="8"/>
      <x:c r="CQ709" s="8"/>
    </x:row>
    <x:row r="710">
      <x:c r="A710" s="8" t="str">
        <x:v>Revelstoke|2023</x:v>
      </x:c>
      <x:c r="B710" s="8" t="str">
        <x:v>revelstoke-c</x:v>
      </x:c>
      <x:c r="C710" s="8" t="str">
        <x:v>Revelstoke</x:v>
      </x:c>
      <x:c r="D710" s="8" t="str">
        <x:v>Revelstoke</x:v>
      </x:c>
      <x:c r="E710" s="8" t="str">
        <x:v>C</x:v>
      </x:c>
      <x:c r="F710" s="8" t="str">
        <x:v>COL</x:v>
      </x:c>
      <x:c r="G710" s="9" t="n">
        <x:v>2023</x:v>
      </x:c>
      <x:c r="H710" s="10" t="n">
        <x:v>8617</x:v>
      </x:c>
      <x:c r="I710" s="8" t="str">
        <x:v>5,000 to 19,999</x:v>
      </x:c>
      <x:c r="J710" s="11" t="n">
        <x:v>44151588</x:v>
      </x:c>
      <x:c r="K710" s="11" t="n">
        <x:v>30164627</x:v>
      </x:c>
      <x:c r="L710" s="11" t="n">
        <x:v>13986961</x:v>
      </x:c>
      <x:c r="M710" s="12" t="n">
        <x:v>0.3167940641229031</x:v>
      </x:c>
      <x:c r="N710" s="11" t="n">
        <x:v>21114845</x:v>
      </x:c>
      <x:c r="O710" s="11" t="n">
        <x:v>9533173</x:v>
      </x:c>
      <x:c r="P710" s="11" t="n">
        <x:v>10155180</x:v>
      </x:c>
      <x:c r="Q710" s="11" t="n">
        <x:v>3348390</x:v>
      </x:c>
      <x:c r="R710" s="11" t="n">
        <x:v>26440510</x:v>
      </x:c>
      <x:c r="S710" s="11" t="n">
        <x:v>3219029</x:v>
      </x:c>
      <x:c r="T710" s="11" t="n">
        <x:v>40333435</x:v>
      </x:c>
      <x:c r="U710" s="11" t="n">
        <x:v>32062125</x:v>
      </x:c>
      <x:c r="V710" s="11" t="n">
        <x:v>23431656</x:v>
      </x:c>
      <x:c r="W710" s="11" t="n">
        <x:v>24085068</x:v>
      </x:c>
      <x:c r="X710" s="11" t="n">
        <x:v>11617410</x:v>
      </x:c>
      <x:c r="Y710" s="11" t="n">
        <x:v>1284093</x:v>
      </x:c>
      <x:c r="Z710" s="11" t="n">
        <x:v>618939</x:v>
      </x:c>
      <x:c r="AA710" s="11" t="n">
        <x:v>11878763</x:v>
      </x:c>
      <x:c r="AB710" s="11" t="n">
        <x:v>505088</x:v>
      </x:c>
      <x:c r="AC710" s="11" t="n">
        <x:v>1124027</x:v>
      </x:c>
      <x:c r="AD710" s="11" t="n">
        <x:v>7682479</x:v>
      </x:c>
      <x:c r="AE710" s="11" t="n">
        <x:v>5731352</x:v>
      </x:c>
      <x:c r="AF710" s="11" t="n">
        <x:v>30729915</x:v>
      </x:c>
      <x:c r="AG710" s="11" t="n">
        <x:v>167243215</x:v>
      </x:c>
      <x:c r="AH710" s="11" t="n">
        <x:v>64496886</x:v>
      </x:c>
      <x:c r="AI710" s="11" t="n">
        <x:v>102746329</x:v>
      </x:c>
      <x:c r="AJ710" s="11" t="n">
        <x:v>12969599</x:v>
      </x:c>
      <x:c r="AK710" s="11" t="n">
        <x:v>17873350</x:v>
      </x:c>
      <x:c r="AL710" s="11" t="n">
        <x:v>0</x:v>
      </x:c>
      <x:c r="AM710" s="12" t="n">
        <x:v>1</x:v>
      </x:c>
      <x:c r="AN710" s="12" t="n">
        <x:v>0.7256389540852722</x:v>
      </x:c>
      <x:c r="AO710" s="11" t="n">
        <x:v>25099026</x:v>
      </x:c>
      <x:c r="AP710" s="11" t="n">
        <x:v>23573072</x:v>
      </x:c>
      <x:c r="AQ710" s="12" t="n">
        <x:v>0.939202660692889</x:v>
      </x:c>
      <x:c r="AR710" s="11" t="n">
        <x:v>5123.777184635024</x:v>
      </x:c>
      <x:c r="AS710" s="11" t="n">
        <x:v>3500.594986654288</x:v>
      </x:c>
      <x:c r="AT710" s="11" t="n">
        <x:v>2719.2359289776023</x:v>
      </x:c>
      <x:c r="AU710" s="11" t="n">
        <x:v>2795.0641754671</x:v>
      </x:c>
      <x:c r="AV710" s="11" t="n">
        <x:v>1378.5265173494256</x:v>
      </x:c>
      <x:c r="AW710" s="11" t="n">
        <x:v>1.2579775981785362</x:v>
      </x:c>
      <x:c r="AX710" s="12" t="n">
        <x:v>0.7460289836132321</x:v>
      </x:c>
      <x:c r="AY710" s="11"/>
      <x:c r="AZ710" s="11"/>
      <x:c r="BA710" s="11"/>
      <x:c r="BB710" s="11"/>
      <x:c r="BC710" s="11"/>
      <x:c r="BD710" s="11"/>
      <x:c r="BE710" s="11"/>
      <x:c r="BF710" s="11"/>
      <x:c r="BG710" s="11"/>
      <x:c r="BH710" s="11"/>
      <x:c r="BI710" s="11"/>
      <x:c r="BJ710" s="11"/>
      <x:c r="BK710" s="12"/>
      <x:c r="BL710" s="12"/>
      <x:c r="BM710" s="12"/>
      <x:c r="BN710" s="12"/>
      <x:c r="BO710" s="12"/>
      <x:c r="BP710" s="12"/>
      <x:c r="BQ710" s="12"/>
      <x:c r="BR710" s="12"/>
      <x:c r="BS710" s="12"/>
      <x:c r="BT710" s="12"/>
      <x:c r="BU710" s="11" t="n">
        <x:v>0</x:v>
      </x:c>
      <x:c r="BV710" s="11" t="n">
        <x:v>9243727</x:v>
      </x:c>
      <x:c r="BW710" s="11" t="n">
        <x:v>911453</x:v>
      </x:c>
      <x:c r="BX710" s="11" t="n">
        <x:v>1566852</x:v>
      </x:c>
      <x:c r="BY710" s="11" t="n">
        <x:v>1431357</x:v>
      </x:c>
      <x:c r="BZ710" s="11" t="n">
        <x:v>350181</x:v>
      </x:c>
      <x:c r="CA710" s="11" t="n">
        <x:v>0</x:v>
      </x:c>
      <x:c r="CB710" s="11" t="n">
        <x:v>0</x:v>
      </x:c>
      <x:c r="CC710" s="11" t="n">
        <x:v>3015657</x:v>
      </x:c>
      <x:c r="CD710" s="11" t="n">
        <x:v>5181428</x:v>
      </x:c>
      <x:c r="CE710" s="11" t="n">
        <x:v>280160</x:v>
      </x:c>
      <x:c r="CF710" s="11" t="n">
        <x:v>141882</x:v>
      </x:c>
      <x:c r="CG710" s="11" t="n">
        <x:v>1173216</x:v>
      </x:c>
      <x:c r="CH710" s="11" t="n">
        <x:v>6898720</x:v>
      </x:c>
      <x:c r="CI710" s="11" t="n">
        <x:v>4038252</x:v>
      </x:c>
      <x:c r="CJ710" s="11" t="n">
        <x:v>1128625</x:v>
      </x:c>
      <x:c r="CK710" s="11" t="n">
        <x:v>1131499</x:v>
      </x:c>
      <x:c r="CL710" s="11" t="n">
        <x:v>3887282</x:v>
      </x:c>
      <x:c r="CM710" s="11" t="n">
        <x:v>68877</x:v>
      </x:c>
      <x:c r="CN710" s="11" t="n">
        <x:v>0</x:v>
      </x:c>
      <x:c r="CO710" s="11" t="n">
        <x:v>0</x:v>
      </x:c>
      <x:c r="CP710" s="8"/>
      <x:c r="CQ710" s="8"/>
    </x:row>
    <x:row r="711">
      <x:c r="A711" s="8" t="str">
        <x:v>Revelstoke|2024</x:v>
      </x:c>
      <x:c r="B711" s="8" t="str">
        <x:v>revelstoke-c</x:v>
      </x:c>
      <x:c r="C711" s="8" t="str">
        <x:v>Revelstoke</x:v>
      </x:c>
      <x:c r="D711" s="8" t="str">
        <x:v>Revelstoke</x:v>
      </x:c>
      <x:c r="E711" s="8" t="str">
        <x:v>C</x:v>
      </x:c>
      <x:c r="F711" s="8" t="str">
        <x:v>COL</x:v>
      </x:c>
      <x:c r="G711" s="9" t="n">
        <x:v>2024</x:v>
      </x:c>
      <x:c r="H711" s="10" t="n">
        <x:v>8617</x:v>
      </x:c>
      <x:c r="I711" s="8" t="str">
        <x:v>5,000 to 19,999</x:v>
      </x:c>
      <x:c r="J711" s="11" t="n">
        <x:v>45257378</x:v>
      </x:c>
      <x:c r="K711" s="11" t="n">
        <x:v>32038206</x:v>
      </x:c>
      <x:c r="L711" s="11" t="n">
        <x:v>13219172</x:v>
      </x:c>
      <x:c r="M711" s="12" t="n">
        <x:v>0.2920887727963383</x:v>
      </x:c>
      <x:c r="N711" s="11" t="n">
        <x:v>23352140</x:v>
      </x:c>
      <x:c r="O711" s="11" t="n">
        <x:v>12392961</x:v>
      </x:c>
      <x:c r="P711" s="11" t="n">
        <x:v>6891235</x:v>
      </x:c>
      <x:c r="Q711" s="11" t="n">
        <x:v>2621042</x:v>
      </x:c>
      <x:c r="R711" s="11" t="n">
        <x:v>27759015</x:v>
      </x:c>
      <x:c r="S711" s="11" t="n">
        <x:v>3756539</x:v>
      </x:c>
      <x:c r="T711" s="11" t="n">
        <x:v>47390047</x:v>
      </x:c>
      <x:c r="U711" s="11" t="n">
        <x:v>33326957</x:v>
      </x:c>
      <x:c r="V711" s="11" t="n">
        <x:v>28247392</x:v>
      </x:c>
      <x:c r="W711" s="11" t="n">
        <x:v>27963935</x:v>
      </x:c>
      <x:c r="X711" s="11" t="n">
        <x:v>11878763</x:v>
      </x:c>
      <x:c r="Y711" s="11" t="n">
        <x:v>0</x:v>
      </x:c>
      <x:c r="Z711" s="11" t="n">
        <x:v>1880748</x:v>
      </x:c>
      <x:c r="AA711" s="11" t="n">
        <x:v>9599759</x:v>
      </x:c>
      <x:c r="AB711" s="11" t="n">
        <x:v>522652</x:v>
      </x:c>
      <x:c r="AC711" s="11" t="n">
        <x:v>2403400</x:v>
      </x:c>
      <x:c r="AD711" s="11" t="n">
        <x:v>8935390</x:v>
      </x:c>
      <x:c r="AE711" s="11" t="n">
        <x:v>5712090</x:v>
      </x:c>
      <x:c r="AF711" s="11" t="n">
        <x:v>35741560</x:v>
      </x:c>
      <x:c r="AG711" s="11" t="n">
        <x:v>178813030</x:v>
      </x:c>
      <x:c r="AH711" s="11" t="n">
        <x:v>67827277</x:v>
      </x:c>
      <x:c r="AI711" s="11" t="n">
        <x:v>110985753</x:v>
      </x:c>
      <x:c r="AJ711" s="11" t="n">
        <x:v>12444147</x:v>
      </x:c>
      <x:c r="AK711" s="11" t="n">
        <x:v>349901535</x:v>
      </x:c>
      <x:c r="AL711" s="11" t="n">
        <x:v>7570000</x:v>
      </x:c>
      <x:c r="AM711" s="12" t="n">
        <x:v>0.978365342124035</x:v>
      </x:c>
      <x:c r="AN711" s="12" t="n">
        <x:v>0.03556471108364815</x:v>
      </x:c>
      <x:c r="AO711" s="11" t="n">
        <x:v>27013180</x:v>
      </x:c>
      <x:c r="AP711" s="11" t="n">
        <x:v>25708539</x:v>
      </x:c>
      <x:c r="AQ711" s="12" t="n">
        <x:v>0.9517035387910642</x:v>
      </x:c>
      <x:c r="AR711" s="11" t="n">
        <x:v>5252.103748404317</x:v>
      </x:c>
      <x:c r="AS711" s="11" t="n">
        <x:v>3718.023209933852</x:v>
      </x:c>
      <x:c r="AT711" s="11" t="n">
        <x:v>3278.100499013578</x:v>
      </x:c>
      <x:c r="AU711" s="11" t="n">
        <x:v>3245.2054079145873</x:v>
      </x:c>
      <x:c r="AV711" s="11" t="n">
        <x:v>1114.0488569107579</x:v>
      </x:c>
      <x:c r="AW711" s="11" t="n">
        <x:v>1.421973419295377</x:v>
      </x:c>
      <x:c r="AX711" s="12" t="n">
        <x:v>0.6392658854286158</x:v>
      </x:c>
      <x:c r="AY711" s="11" t="n">
        <x:v>3601.3561989291247</x:v>
      </x:c>
      <x:c r="AZ711" s="11" t="n">
        <x:v>3546.5079302077975</x:v>
      </x:c>
      <x:c r="BA711" s="11" t="n">
        <x:v>2957.8976990295423</x:v>
      </x:c>
      <x:c r="BB711" s="11" t="n">
        <x:v>2783.665107049771</x:v>
      </x:c>
      <x:c r="BC711" s="11" t="n">
        <x:v>1917.0647247750476</x:v>
      </x:c>
      <x:c r="BD711" s="11" t="n">
        <x:v>2437.8724475115623</x:v>
      </x:c>
      <x:c r="BE711" s="11" t="n">
        <x:v>987.5598464714869</x:v>
      </x:c>
      <x:c r="BF711" s="11" t="n">
        <x:v>1604.3462673977224</x:v>
      </x:c>
      <x:c r="BG711" s="11" t="n">
        <x:v>936.3446522221191</x:v>
      </x:c>
      <x:c r="BH711" s="11" t="n">
        <x:v>518.5374381567245</x:v>
      </x:c>
      <x:c r="BI711" s="11" t="n">
        <x:v>1.3967465323081123</x:v>
      </x:c>
      <x:c r="BJ711" s="11" t="n">
        <x:v>1.7099330852451193</x:v>
      </x:c>
      <x:c r="BK711" s="12" t="n">
        <x:v>0.018327243000235003</x:v>
      </x:c>
      <x:c r="BL711" s="12" t="n">
        <x:v>0.02529861000232605</x:v>
      </x:c>
      <x:c r="BM711" s="12" t="n">
        <x:v>0.982034678745671</x:v>
      </x:c>
      <x:c r="BN711" s="12" t="n">
        <x:v>0.9815511712696461</x:v>
      </x:c>
      <x:c r="BO711" s="12" t="n">
        <x:v>0.7988058564062199</x:v>
      </x:c>
      <x:c r="BP711" s="12" t="n">
        <x:v>0.8619101997275483</x:v>
      </x:c>
      <x:c r="BQ711" s="12" t="n">
        <x:v>0.970292410805516</x:v>
      </x:c>
      <x:c r="BR711" s="12" t="n">
        <x:v>0.9623635142836453</x:v>
      </x:c>
      <x:c r="BS711" s="12" t="n">
        <x:v>0.19624174475580758</x:v>
      </x:c>
      <x:c r="BT711" s="12" t="n">
        <x:v>0.19976549769108282</x:v>
      </x:c>
      <x:c r="BU711" s="11" t="n">
        <x:v>0</x:v>
      </x:c>
      <x:c r="BV711" s="11" t="n">
        <x:v>6017466</x:v>
      </x:c>
      <x:c r="BW711" s="11" t="n">
        <x:v>873769</x:v>
      </x:c>
      <x:c r="BX711" s="11" t="n">
        <x:v>1873985</x:v>
      </x:c>
      <x:c r="BY711" s="11" t="n">
        <x:v>-848852</x:v>
      </x:c>
      <x:c r="BZ711" s="11" t="n">
        <x:v>1595909</x:v>
      </x:c>
      <x:c r="CA711" s="11" t="n">
        <x:v>0</x:v>
      </x:c>
      <x:c r="CB711" s="11" t="n">
        <x:v>0</x:v>
      </x:c>
      <x:c r="CC711" s="11" t="n">
        <x:v>3420780</x:v>
      </x:c>
      <x:c r="CD711" s="11" t="n">
        <x:v>5692597</x:v>
      </x:c>
      <x:c r="CE711" s="11" t="n">
        <x:v>329051</x:v>
      </x:c>
      <x:c r="CF711" s="11" t="n">
        <x:v>137601</x:v>
      </x:c>
      <x:c r="CG711" s="11" t="n">
        <x:v>1284496</x:v>
      </x:c>
      <x:c r="CH711" s="11" t="n">
        <x:v>6452306</x:v>
      </x:c>
      <x:c r="CI711" s="11" t="n">
        <x:v>4154147</x:v>
      </x:c>
      <x:c r="CJ711" s="11" t="n">
        <x:v>1151155</x:v>
      </x:c>
      <x:c r="CK711" s="11" t="n">
        <x:v>1057094</x:v>
      </x:c>
      <x:c r="CL711" s="11" t="n">
        <x:v>4528142</x:v>
      </x:c>
      <x:c r="CM711" s="11" t="n">
        <x:v>74298</x:v>
      </x:c>
      <x:c r="CN711" s="11" t="n">
        <x:v>0</x:v>
      </x:c>
      <x:c r="CO711" s="11" t="n">
        <x:v>0</x:v>
      </x:c>
      <x:c r="CP711" s="8"/>
      <x:c r="CQ711" s="8"/>
    </x:row>
    <x:row r="712">
      <x:c r="A712" s="8" t="str">
        <x:v>Richmond|2019</x:v>
      </x:c>
      <x:c r="B712" s="8" t="str">
        <x:v>richmond-c</x:v>
      </x:c>
      <x:c r="C712" s="8" t="str">
        <x:v>Richmond</x:v>
      </x:c>
      <x:c r="D712" s="8" t="str">
        <x:v>Richmond</x:v>
      </x:c>
      <x:c r="E712" s="8" t="str">
        <x:v>C</x:v>
      </x:c>
      <x:c r="F712" s="8" t="str">
        <x:v>GVR</x:v>
      </x:c>
      <x:c r="G712" s="9" t="n">
        <x:v>2019</x:v>
      </x:c>
      <x:c r="H712" s="10" t="n">
        <x:v>212276</x:v>
      </x:c>
      <x:c r="I712" s="8" t="str">
        <x:v>100,000 and over</x:v>
      </x:c>
      <x:c r="J712" s="11" t="n">
        <x:v>581942857</x:v>
      </x:c>
      <x:c r="K712" s="11" t="n">
        <x:v>483689979</x:v>
      </x:c>
      <x:c r="L712" s="11" t="n">
        <x:v>98252878</x:v>
      </x:c>
      <x:c r="M712" s="12" t="n">
        <x:v>0.16883595497074724</x:v>
      </x:c>
      <x:c r="N712" s="11" t="n">
        <x:v>246475145</x:v>
      </x:c>
      <x:c r="O712" s="11" t="n">
        <x:v>154218271</x:v>
      </x:c>
      <x:c r="P712" s="11" t="n">
        <x:v>34863043</x:v>
      </x:c>
      <x:c r="Q712" s="11" t="n">
        <x:v>146386398</x:v>
      </x:c>
      <x:c r="R712" s="11" t="n">
        <x:v>417785991</x:v>
      </x:c>
      <x:c r="S712" s="11" t="n">
        <x:v>64227093</x:v>
      </x:c>
      <x:c r="T712" s="11" t="n">
        <x:v>1220460283</x:v>
      </x:c>
      <x:c r="U712" s="11" t="n">
        <x:v>514879318</x:v>
      </x:c>
      <x:c r="V712" s="11" t="n">
        <x:v>805869770</x:v>
      </x:c>
      <x:c r="W712" s="11" t="n">
        <x:v>557575726</x:v>
      </x:c>
      <x:c r="X712" s="11" t="n">
        <x:v>32842141</x:v>
      </x:c>
      <x:c r="Y712" s="11" t="n">
        <x:v>0</x:v>
      </x:c>
      <x:c r="Z712" s="11" t="n">
        <x:v>4232429</x:v>
      </x:c>
      <x:c r="AA712" s="11" t="n">
        <x:v>27890798</x:v>
      </x:c>
      <x:c r="AB712" s="11" t="n">
        <x:v>1676895</x:v>
      </x:c>
      <x:c r="AC712" s="11" t="n">
        <x:v>5909324</x:v>
      </x:c>
      <x:c r="AD712" s="11" t="n">
        <x:v>114573913</x:v>
      </x:c>
      <x:c r="AE712" s="11" t="n">
        <x:v>107944589</x:v>
      </x:c>
      <x:c r="AF712" s="11" t="n">
        <x:v>458295651</x:v>
      </x:c>
      <x:c r="AG712" s="11" t="n">
        <x:v>3580949611</x:v>
      </x:c>
      <x:c r="AH712" s="11" t="n">
        <x:v>1153151172</x:v>
      </x:c>
      <x:c r="AI712" s="11" t="n">
        <x:v>2427798439</x:v>
      </x:c>
      <x:c r="AJ712" s="11" t="n">
        <x:v>122020659</x:v>
      </x:c>
      <x:c r="AK712" s="11" t="n">
        <x:v>4352299546</x:v>
      </x:c>
      <x:c r="AL712" s="11" t="n">
        <x:v>44462927</x:v>
      </x:c>
      <x:c r="AM712" s="12" t="n">
        <x:v>0.9897840379482006</x:v>
      </x:c>
      <x:c r="AN712" s="12" t="n">
        <x:v>0.028035905550697588</x:v>
      </x:c>
      <x:c r="AO712" s="11" t="n">
        <x:v>476431329</x:v>
      </x:c>
      <x:c r="AP712" s="11" t="n">
        <x:v>466104196</x:v>
      </x:c>
      <x:c r="AQ712" s="12" t="n">
        <x:v>0.978323984231524</x:v>
      </x:c>
      <x:c r="AR712" s="11" t="n">
        <x:v>2741.4444261244794</x:v>
      </x:c>
      <x:c r="AS712" s="11" t="n">
        <x:v>2278.590038440521</x:v>
      </x:c>
      <x:c r="AT712" s="11" t="n">
        <x:v>3796.3301079726393</x:v>
      </x:c>
      <x:c r="AU712" s="11" t="n">
        <x:v>2626.654572349206</x:v>
      </x:c>
      <x:c r="AV712" s="11" t="n">
        <x:v>131.38931391207674</x:v>
      </x:c>
      <x:c r="AW712" s="11" t="n">
        <x:v>2.3703812531075488</x:v>
      </x:c>
      <x:c r="AX712" s="12" t="n">
        <x:v>0.9421393245074906</x:v>
      </x:c>
      <x:c r="AY712" s="11"/>
      <x:c r="AZ712" s="11"/>
      <x:c r="BA712" s="11"/>
      <x:c r="BB712" s="11"/>
      <x:c r="BC712" s="11"/>
      <x:c r="BD712" s="11"/>
      <x:c r="BE712" s="11"/>
      <x:c r="BF712" s="11"/>
      <x:c r="BG712" s="11"/>
      <x:c r="BH712" s="11"/>
      <x:c r="BI712" s="11"/>
      <x:c r="BJ712" s="11"/>
      <x:c r="BK712" s="12"/>
      <x:c r="BL712" s="12"/>
      <x:c r="BM712" s="12"/>
      <x:c r="BN712" s="12"/>
      <x:c r="BO712" s="12"/>
      <x:c r="BP712" s="12"/>
      <x:c r="BQ712" s="12"/>
      <x:c r="BR712" s="12"/>
      <x:c r="BS712" s="12"/>
      <x:c r="BT712" s="12"/>
      <x:c r="BU712" s="11" t="n">
        <x:v>5616026</x:v>
      </x:c>
      <x:c r="BV712" s="11" t="n">
        <x:v>29247017</x:v>
      </x:c>
      <x:c r="BW712" s="11" t="n">
        <x:v>0</x:v>
      </x:c>
      <x:c r="BX712" s="11" t="n">
        <x:v>25142420</x:v>
      </x:c>
      <x:c r="BY712" s="11" t="n">
        <x:v>1634398</x:v>
      </x:c>
      <x:c r="BZ712" s="11" t="n">
        <x:v>91546626</x:v>
      </x:c>
      <x:c r="CA712" s="11" t="n">
        <x:v>17636903</x:v>
      </x:c>
      <x:c r="CB712" s="11" t="n">
        <x:v>10426051</x:v>
      </x:c>
      <x:c r="CC712" s="11" t="n">
        <x:v>45600015</x:v>
      </x:c>
      <x:c r="CD712" s="11" t="n">
        <x:v>103444086</x:v>
      </x:c>
      <x:c r="CE712" s="11" t="n">
        <x:v>17553355</x:v>
      </x:c>
      <x:c r="CF712" s="11" t="n">
        <x:v>0</x:v>
      </x:c>
      <x:c r="CG712" s="11" t="n">
        <x:v>46080397</x:v>
      </x:c>
      <x:c r="CH712" s="11" t="n">
        <x:v>52052471</x:v>
      </x:c>
      <x:c r="CI712" s="11" t="n">
        <x:v>82410732</x:v>
      </x:c>
      <x:c r="CJ712" s="11" t="n">
        <x:v>39950787</x:v>
      </x:c>
      <x:c r="CK712" s="11" t="n">
        <x:v>32371043</x:v>
      </x:c>
      <x:c r="CL712" s="11" t="n">
        <x:v>0</x:v>
      </x:c>
      <x:c r="CM712" s="11"/>
      <x:c r="CN712" s="11" t="n">
        <x:v>0</x:v>
      </x:c>
      <x:c r="CO712" s="11" t="n">
        <x:v>0</x:v>
      </x:c>
      <x:c r="CP712" s="8"/>
      <x:c r="CQ712" s="8"/>
    </x:row>
    <x:row r="713">
      <x:c r="A713" s="8" t="str">
        <x:v>Richmond|2020</x:v>
      </x:c>
      <x:c r="B713" s="8" t="str">
        <x:v>richmond-c</x:v>
      </x:c>
      <x:c r="C713" s="8" t="str">
        <x:v>Richmond</x:v>
      </x:c>
      <x:c r="D713" s="8" t="str">
        <x:v>Richmond</x:v>
      </x:c>
      <x:c r="E713" s="8" t="str">
        <x:v>C</x:v>
      </x:c>
      <x:c r="F713" s="8" t="str">
        <x:v>GVR</x:v>
      </x:c>
      <x:c r="G713" s="9" t="n">
        <x:v>2020</x:v>
      </x:c>
      <x:c r="H713" s="10" t="n">
        <x:v>216046</x:v>
      </x:c>
      <x:c r="I713" s="8" t="str">
        <x:v>100,000 and over</x:v>
      </x:c>
      <x:c r="J713" s="11" t="n">
        <x:v>579051700</x:v>
      </x:c>
      <x:c r="K713" s="11" t="n">
        <x:v>434187984</x:v>
      </x:c>
      <x:c r="L713" s="11" t="n">
        <x:v>144863716</x:v>
      </x:c>
      <x:c r="M713" s="12" t="n">
        <x:v>0.2501740621778677</x:v>
      </x:c>
      <x:c r="N713" s="11" t="n">
        <x:v>256810650</x:v>
      </x:c>
      <x:c r="O713" s="11" t="n">
        <x:v>143425002</x:v>
      </x:c>
      <x:c r="P713" s="11" t="n">
        <x:v>31747251</x:v>
      </x:c>
      <x:c r="Q713" s="11" t="n">
        <x:v>147068797</x:v>
      </x:c>
      <x:c r="R713" s="11" t="n">
        <x:v>366256192</x:v>
      </x:c>
      <x:c r="S713" s="11" t="n">
        <x:v>66254897</x:v>
      </x:c>
      <x:c r="T713" s="11" t="n">
        <x:v>1364146255</x:v>
      </x:c>
      <x:c r="U713" s="11" t="n">
        <x:v>582457648</x:v>
      </x:c>
      <x:c r="V713" s="11" t="n">
        <x:v>888985585</x:v>
      </x:c>
      <x:c r="W713" s="11" t="n">
        <x:v>609532254</x:v>
      </x:c>
      <x:c r="X713" s="11" t="n">
        <x:v>27890798</x:v>
      </x:c>
      <x:c r="Y713" s="11" t="n">
        <x:v>0</x:v>
      </x:c>
      <x:c r="Z713" s="11" t="n">
        <x:v>4276361</x:v>
      </x:c>
      <x:c r="AA713" s="11" t="n">
        <x:v>23030519</x:v>
      </x:c>
      <x:c r="AB713" s="11" t="n">
        <x:v>1676895</x:v>
      </x:c>
      <x:c r="AC713" s="11" t="n">
        <x:v>5620205</x:v>
      </x:c>
      <x:c r="AD713" s="11" t="n">
        <x:v>120137967</x:v>
      </x:c>
      <x:c r="AE713" s="11" t="n">
        <x:v>113767762</x:v>
      </x:c>
      <x:c r="AF713" s="11" t="n">
        <x:v>480551869</x:v>
      </x:c>
      <x:c r="AG713" s="11" t="n">
        <x:v>3698990527</x:v>
      </x:c>
      <x:c r="AH713" s="11" t="n">
        <x:v>1210850855</x:v>
      </x:c>
      <x:c r="AI713" s="11" t="n">
        <x:v>2488139672</x:v>
      </x:c>
      <x:c r="AJ713" s="11" t="n">
        <x:v>128966548</x:v>
      </x:c>
      <x:c r="AK713" s="11" t="n">
        <x:v>4427463494</x:v>
      </x:c>
      <x:c r="AL713" s="11" t="n">
        <x:v>45352186</x:v>
      </x:c>
      <x:c r="AM713" s="12" t="n">
        <x:v>0.9897566211304825</x:v>
      </x:c>
      <x:c r="AN713" s="12" t="n">
        <x:v>0.029128765979611712</x:v>
      </x:c>
      <x:c r="AO713" s="11" t="n">
        <x:v>434174909</x:v>
      </x:c>
      <x:c r="AP713" s="11" t="n">
        <x:v>420416820</x:v>
      </x:c>
      <x:c r="AQ713" s="12" t="n">
        <x:v>0.9683121048342294</x:v>
      </x:c>
      <x:c r="AR713" s="11" t="n">
        <x:v>2680.2241189376336</x:v>
      </x:c>
      <x:c r="AS713" s="11" t="n">
        <x:v>2009.7015635559094</x:v>
      </x:c>
      <x:c r="AT713" s="11" t="n">
        <x:v>4114.797705118354</x:v>
      </x:c>
      <x:c r="AU713" s="11" t="n">
        <x:v>2821.3077492756174</x:v>
      </x:c>
      <x:c r="AV713" s="11" t="n">
        <x:v>106.60007128111606</x:v>
      </x:c>
      <x:c r="AW713" s="11" t="n">
        <x:v>2.3420522671203727</x:v>
      </x:c>
      <x:c r="AX713" s="12" t="n">
        <x:v>0.9469759214420533</x:v>
      </x:c>
      <x:c r="AY713" s="11"/>
      <x:c r="AZ713" s="11"/>
      <x:c r="BA713" s="11"/>
      <x:c r="BB713" s="11"/>
      <x:c r="BC713" s="11"/>
      <x:c r="BD713" s="11"/>
      <x:c r="BE713" s="11"/>
      <x:c r="BF713" s="11"/>
      <x:c r="BG713" s="11"/>
      <x:c r="BH713" s="11"/>
      <x:c r="BI713" s="11"/>
      <x:c r="BJ713" s="11"/>
      <x:c r="BK713" s="12"/>
      <x:c r="BL713" s="12"/>
      <x:c r="BM713" s="12"/>
      <x:c r="BN713" s="12"/>
      <x:c r="BO713" s="12"/>
      <x:c r="BP713" s="12"/>
      <x:c r="BQ713" s="12"/>
      <x:c r="BR713" s="12"/>
      <x:c r="BS713" s="12"/>
      <x:c r="BT713" s="12"/>
      <x:c r="BU713" s="11" t="n">
        <x:v>1578673</x:v>
      </x:c>
      <x:c r="BV713" s="11" t="n">
        <x:v>30168578</x:v>
      </x:c>
      <x:c r="BW713" s="11" t="n">
        <x:v>0</x:v>
      </x:c>
      <x:c r="BX713" s="11" t="n">
        <x:v>20174101</x:v>
      </x:c>
      <x:c r="BY713" s="11" t="n">
        <x:v>1322336</x:v>
      </x:c>
      <x:c r="BZ713" s="11" t="n">
        <x:v>84019984</x:v>
      </x:c>
      <x:c r="CA713" s="11" t="n">
        <x:v>6136347</x:v>
      </x:c>
      <x:c r="CB713" s="11" t="n">
        <x:v>35416029</x:v>
      </x:c>
      <x:c r="CC713" s="11" t="n">
        <x:v>41736739</x:v>
      </x:c>
      <x:c r="CD713" s="11" t="n">
        <x:v>109703763</x:v>
      </x:c>
      <x:c r="CE713" s="11" t="n">
        <x:v>20310215</x:v>
      </x:c>
      <x:c r="CF713" s="11" t="n">
        <x:v>0</x:v>
      </x:c>
      <x:c r="CG713" s="11" t="n">
        <x:v>17003100</x:v>
      </x:c>
      <x:c r="CH713" s="11" t="n">
        <x:v>44986871</x:v>
      </x:c>
      <x:c r="CI713" s="11" t="n">
        <x:v>60739997</x:v>
      </x:c>
      <x:c r="CJ713" s="11" t="n">
        <x:v>38397309</x:v>
      </x:c>
      <x:c r="CK713" s="11" t="n">
        <x:v>35055093</x:v>
      </x:c>
      <x:c r="CL713" s="11" t="n">
        <x:v>0</x:v>
      </x:c>
      <x:c r="CM713" s="11"/>
      <x:c r="CN713" s="11" t="n">
        <x:v>0</x:v>
      </x:c>
      <x:c r="CO713" s="11" t="n">
        <x:v>0</x:v>
      </x:c>
      <x:c r="CP713" s="8"/>
      <x:c r="CQ713" s="8"/>
    </x:row>
    <x:row r="714">
      <x:c r="A714" s="8" t="str">
        <x:v>Richmond|2021</x:v>
      </x:c>
      <x:c r="B714" s="8" t="str">
        <x:v>richmond-c</x:v>
      </x:c>
      <x:c r="C714" s="8" t="str">
        <x:v>Richmond</x:v>
      </x:c>
      <x:c r="D714" s="8" t="str">
        <x:v>Richmond</x:v>
      </x:c>
      <x:c r="E714" s="8" t="str">
        <x:v>C</x:v>
      </x:c>
      <x:c r="F714" s="8" t="str">
        <x:v>MVRD</x:v>
      </x:c>
      <x:c r="G714" s="9" t="n">
        <x:v>2021</x:v>
      </x:c>
      <x:c r="H714" s="10" t="n">
        <x:v>216280</x:v>
      </x:c>
      <x:c r="I714" s="8" t="str">
        <x:v>100,000 and over</x:v>
      </x:c>
      <x:c r="J714" s="11" t="n">
        <x:v>576695347</x:v>
      </x:c>
      <x:c r="K714" s="11" t="n">
        <x:v>473015385</x:v>
      </x:c>
      <x:c r="L714" s="11" t="n">
        <x:v>103679962</x:v>
      </x:c>
      <x:c r="M714" s="12" t="n">
        <x:v>0.1797829001731134</x:v>
      </x:c>
      <x:c r="N714" s="11" t="n">
        <x:v>270626162</x:v>
      </x:c>
      <x:c r="O714" s="11" t="n">
        <x:v>153744794</x:v>
      </x:c>
      <x:c r="P714" s="11" t="n">
        <x:v>27986764</x:v>
      </x:c>
      <x:c r="Q714" s="11" t="n">
        <x:v>124337627</x:v>
      </x:c>
      <x:c r="R714" s="11" t="n">
        <x:v>402819805</x:v>
      </x:c>
      <x:c r="S714" s="11" t="n">
        <x:v>68518685</x:v>
      </x:c>
      <x:c r="T714" s="11" t="n">
        <x:v>1369062524</x:v>
      </x:c>
      <x:c r="U714" s="11" t="n">
        <x:v>528238935</x:v>
      </x:c>
      <x:c r="V714" s="11" t="n">
        <x:v>940003832</x:v>
      </x:c>
      <x:c r="W714" s="11" t="n">
        <x:v>647209076</x:v>
      </x:c>
      <x:c r="X714" s="11" t="n">
        <x:v>23030519</x:v>
      </x:c>
      <x:c r="Y714" s="11" t="n">
        <x:v>0</x:v>
      </x:c>
      <x:c r="Z714" s="11" t="n">
        <x:v>4270503</x:v>
      </x:c>
      <x:c r="AA714" s="11" t="n">
        <x:v>17637072</x:v>
      </x:c>
      <x:c r="AB714" s="11" t="n">
        <x:v>1676895</x:v>
      </x:c>
      <x:c r="AC714" s="11" t="n">
        <x:v>5947398</x:v>
      </x:c>
      <x:c r="AD714" s="11" t="n">
        <x:v>119808298</x:v>
      </x:c>
      <x:c r="AE714" s="11" t="n">
        <x:v>113078291</x:v>
      </x:c>
      <x:c r="AF714" s="11" t="n">
        <x:v>479233191</x:v>
      </x:c>
      <x:c r="AG714" s="11" t="n">
        <x:v>3803912148</x:v>
      </x:c>
      <x:c r="AH714" s="11" t="n">
        <x:v>1264645439</x:v>
      </x:c>
      <x:c r="AI714" s="11" t="n">
        <x:v>2539266709</x:v>
      </x:c>
      <x:c r="AJ714" s="11" t="n">
        <x:v>122152252</x:v>
      </x:c>
      <x:c r="AK714" s="11" t="n">
        <x:v>4558499100</x:v>
      </x:c>
      <x:c r="AL714" s="11" t="n">
        <x:v>47212463</x:v>
      </x:c>
      <x:c r="AM714" s="12" t="n">
        <x:v>0.9896429807346019</x:v>
      </x:c>
      <x:c r="AN714" s="12" t="n">
        <x:v>0.02679659451945488</x:v>
      </x:c>
      <x:c r="AO714" s="11" t="n">
        <x:v>522376629</x:v>
      </x:c>
      <x:c r="AP714" s="11" t="n">
        <x:v>508834246</x:v>
      </x:c>
      <x:c r="AQ714" s="12" t="n">
        <x:v>0.9740754424141743</x:v>
      </x:c>
      <x:c r="AR714" s="11" t="n">
        <x:v>2666.429383206954</x:v>
      </x:c>
      <x:c r="AS714" s="11" t="n">
        <x:v>2187.0509755872017</x:v>
      </x:c>
      <x:c r="AT714" s="11" t="n">
        <x:v>4346.235583502867</x:v>
      </x:c>
      <x:c r="AU714" s="11" t="n">
        <x:v>2992.4592010356946</x:v>
      </x:c>
      <x:c r="AV714" s="11" t="n">
        <x:v>81.54740151655261</x:v>
      </x:c>
      <x:c r="AW714" s="11" t="n">
        <x:v>2.5917486070957643</x:v>
      </x:c>
      <x:c r="AX714" s="12" t="n">
        <x:v>0.9438268708232547</x:v>
      </x:c>
      <x:c r="AY714" s="11"/>
      <x:c r="AZ714" s="11"/>
      <x:c r="BA714" s="11"/>
      <x:c r="BB714" s="11"/>
      <x:c r="BC714" s="11"/>
      <x:c r="BD714" s="11"/>
      <x:c r="BE714" s="11"/>
      <x:c r="BF714" s="11"/>
      <x:c r="BG714" s="11"/>
      <x:c r="BH714" s="11"/>
      <x:c r="BI714" s="11"/>
      <x:c r="BJ714" s="11"/>
      <x:c r="BK714" s="12"/>
      <x:c r="BL714" s="12"/>
      <x:c r="BM714" s="12"/>
      <x:c r="BN714" s="12"/>
      <x:c r="BO714" s="12"/>
      <x:c r="BP714" s="12"/>
      <x:c r="BQ714" s="12"/>
      <x:c r="BR714" s="12"/>
      <x:c r="BS714" s="12"/>
      <x:c r="BT714" s="12"/>
      <x:c r="BU714" s="11" t="n">
        <x:v>2566310</x:v>
      </x:c>
      <x:c r="BV714" s="11" t="n">
        <x:v>25420454</x:v>
      </x:c>
      <x:c r="BW714" s="11" t="n">
        <x:v>0</x:v>
      </x:c>
      <x:c r="BX714" s="11" t="n">
        <x:v>14967616</x:v>
      </x:c>
      <x:c r="BY714" s="11" t="n">
        <x:v>911040</x:v>
      </x:c>
      <x:c r="BZ714" s="11" t="n">
        <x:v>83806127</x:v>
      </x:c>
      <x:c r="CA714" s="11" t="n">
        <x:v>723095</x:v>
      </x:c>
      <x:c r="CB714" s="11" t="n">
        <x:v>23929749</x:v>
      </x:c>
      <x:c r="CC714" s="11" t="n">
        <x:v>44617303</x:v>
      </x:c>
      <x:c r="CD714" s="11" t="n">
        <x:v>119560634</x:v>
      </x:c>
      <x:c r="CE714" s="11" t="n">
        <x:v>21411775</x:v>
      </x:c>
      <x:c r="CF714" s="11" t="n">
        <x:v>0</x:v>
      </x:c>
      <x:c r="CG714" s="11" t="n">
        <x:v>22374097</x:v>
      </x:c>
      <x:c r="CH714" s="11" t="n">
        <x:v>47805656</x:v>
      </x:c>
      <x:c r="CI714" s="11" t="n">
        <x:v>69827013</x:v>
      </x:c>
      <x:c r="CJ714" s="11" t="n">
        <x:v>40868225</x:v>
      </x:c>
      <x:c r="CK714" s="11" t="n">
        <x:v>35595303</x:v>
      </x:c>
      <x:c r="CL714" s="11" t="n">
        <x:v>0</x:v>
      </x:c>
      <x:c r="CM714" s="11"/>
      <x:c r="CN714" s="11" t="n">
        <x:v>2436694</x:v>
      </x:c>
      <x:c r="CO714" s="11" t="n">
        <x:v>0</x:v>
      </x:c>
      <x:c r="CP714" s="8"/>
      <x:c r="CQ714" s="8"/>
    </x:row>
    <x:row r="715">
      <x:c r="A715" s="8" t="str">
        <x:v>Richmond|2022</x:v>
      </x:c>
      <x:c r="B715" s="8" t="str">
        <x:v>richmond-c</x:v>
      </x:c>
      <x:c r="C715" s="8" t="str">
        <x:v>Richmond</x:v>
      </x:c>
      <x:c r="D715" s="8" t="str">
        <x:v>Richmond</x:v>
      </x:c>
      <x:c r="E715" s="8" t="str">
        <x:v>C</x:v>
      </x:c>
      <x:c r="F715" s="8" t="str">
        <x:v>MVRD</x:v>
      </x:c>
      <x:c r="G715" s="9" t="n">
        <x:v>2022</x:v>
      </x:c>
      <x:c r="H715" s="10" t="n">
        <x:v>222954</x:v>
      </x:c>
      <x:c r="I715" s="8" t="str">
        <x:v>100,000 and over</x:v>
      </x:c>
      <x:c r="J715" s="11" t="n">
        <x:v>644348534</x:v>
      </x:c>
      <x:c r="K715" s="11" t="n">
        <x:v>503067745</x:v>
      </x:c>
      <x:c r="L715" s="11" t="n">
        <x:v>141280789</x:v>
      </x:c>
      <x:c r="M715" s="12" t="n">
        <x:v>0.21926144244164603</x:v>
      </x:c>
      <x:c r="N715" s="11" t="n">
        <x:v>290895405</x:v>
      </x:c>
      <x:c r="O715" s="11" t="n">
        <x:v>172459047</x:v>
      </x:c>
      <x:c r="P715" s="11" t="n">
        <x:v>36368935</x:v>
      </x:c>
      <x:c r="Q715" s="11" t="n">
        <x:v>144625147</x:v>
      </x:c>
      <x:c r="R715" s="11" t="n">
        <x:v>427595520</x:v>
      </x:c>
      <x:c r="S715" s="11" t="n">
        <x:v>72721535</x:v>
      </x:c>
      <x:c r="T715" s="11" t="n">
        <x:v>1576142570</x:v>
      </x:c>
      <x:c r="U715" s="11" t="n">
        <x:v>696048226</x:v>
      </x:c>
      <x:c r="V715" s="11" t="n">
        <x:v>1025722280</x:v>
      </x:c>
      <x:c r="W715" s="11" t="n">
        <x:v>703183845</x:v>
      </x:c>
      <x:c r="X715" s="11" t="n">
        <x:v>17637072</x:v>
      </x:c>
      <x:c r="Y715" s="11" t="n">
        <x:v>96000000</x:v>
      </x:c>
      <x:c r="Z715" s="11" t="n">
        <x:v>4302418</x:v>
      </x:c>
      <x:c r="AA715" s="11" t="n">
        <x:v>107997495</x:v>
      </x:c>
      <x:c r="AB715" s="11" t="n">
        <x:v>2750690</x:v>
      </x:c>
      <x:c r="AC715" s="11" t="n">
        <x:v>7053108</x:v>
      </x:c>
      <x:c r="AD715" s="11" t="n">
        <x:v>134423923</x:v>
      </x:c>
      <x:c r="AE715" s="11" t="n">
        <x:v>127370815</x:v>
      </x:c>
      <x:c r="AF715" s="11" t="n">
        <x:v>537695692</x:v>
      </x:c>
      <x:c r="AG715" s="11" t="n">
        <x:v>3919712317</x:v>
      </x:c>
      <x:c r="AH715" s="11" t="n">
        <x:v>1325500108</x:v>
      </x:c>
      <x:c r="AI715" s="11" t="n">
        <x:v>2594212209</x:v>
      </x:c>
      <x:c r="AJ715" s="11" t="n">
        <x:v>128433537</x:v>
      </x:c>
      <x:c r="AK715" s="11" t="n">
        <x:v>4859473581</x:v>
      </x:c>
      <x:c r="AL715" s="11" t="n">
        <x:v>50719226</x:v>
      </x:c>
      <x:c r="AM715" s="12" t="n">
        <x:v>0.9895628147463736</x:v>
      </x:c>
      <x:c r="AN715" s="12" t="n">
        <x:v>0.02642951646082835</x:v>
      </x:c>
      <x:c r="AO715" s="11" t="n">
        <x:v>558086368</x:v>
      </x:c>
      <x:c r="AP715" s="11" t="n">
        <x:v>542862306</x:v>
      </x:c>
      <x:c r="AQ715" s="12" t="n">
        <x:v>0.9727209570544465</x:v>
      </x:c>
      <x:c r="AR715" s="11" t="n">
        <x:v>2890.0514635305935</x:v>
      </x:c>
      <x:c r="AS715" s="11" t="n">
        <x:v>2256.3746109062854</x:v>
      </x:c>
      <x:c r="AT715" s="11" t="n">
        <x:v>4600.600482610763</x:v>
      </x:c>
      <x:c r="AU715" s="11" t="n">
        <x:v>3153.9413735568774</x:v>
      </x:c>
      <x:c r="AV715" s="11" t="n">
        <x:v>484.39361931160687</x:v>
      </x:c>
      <x:c r="AW715" s="11" t="n">
        <x:v>2.2644157561576774</x:v>
      </x:c>
      <x:c r="AX715" s="12" t="n">
        <x:v>0.9475308572864668</x:v>
      </x:c>
      <x:c r="AY715" s="11"/>
      <x:c r="AZ715" s="11"/>
      <x:c r="BA715" s="11"/>
      <x:c r="BB715" s="11"/>
      <x:c r="BC715" s="11"/>
      <x:c r="BD715" s="11"/>
      <x:c r="BE715" s="11"/>
      <x:c r="BF715" s="11"/>
      <x:c r="BG715" s="11"/>
      <x:c r="BH715" s="11"/>
      <x:c r="BI715" s="11"/>
      <x:c r="BJ715" s="11"/>
      <x:c r="BK715" s="12"/>
      <x:c r="BL715" s="12"/>
      <x:c r="BM715" s="12"/>
      <x:c r="BN715" s="12"/>
      <x:c r="BO715" s="12"/>
      <x:c r="BP715" s="12"/>
      <x:c r="BQ715" s="12"/>
      <x:c r="BR715" s="12"/>
      <x:c r="BS715" s="12"/>
      <x:c r="BT715" s="12"/>
      <x:c r="BU715" s="11" t="n">
        <x:v>3700309</x:v>
      </x:c>
      <x:c r="BV715" s="11" t="n">
        <x:v>32668626</x:v>
      </x:c>
      <x:c r="BW715" s="11" t="n">
        <x:v>0</x:v>
      </x:c>
      <x:c r="BX715" s="11" t="n">
        <x:v>30250863</x:v>
      </x:c>
      <x:c r="BY715" s="11" t="n">
        <x:v>1380670</x:v>
      </x:c>
      <x:c r="BZ715" s="11" t="n">
        <x:v>92172794</x:v>
      </x:c>
      <x:c r="CA715" s="11" t="n">
        <x:v>260299</x:v>
      </x:c>
      <x:c r="CB715" s="11" t="n">
        <x:v>20560521</x:v>
      </x:c>
      <x:c r="CC715" s="11" t="n">
        <x:v>50159373</x:v>
      </x:c>
      <x:c r="CD715" s="11" t="n">
        <x:v>124367516</x:v>
      </x:c>
      <x:c r="CE715" s="11" t="n">
        <x:v>21959774</x:v>
      </x:c>
      <x:c r="CF715" s="11" t="n">
        <x:v>0</x:v>
      </x:c>
      <x:c r="CG715" s="11" t="n">
        <x:v>20312635</x:v>
      </x:c>
      <x:c r="CH715" s="11" t="n">
        <x:v>54412699</x:v>
      </x:c>
      <x:c r="CI715" s="11" t="n">
        <x:v>79120446</x:v>
      </x:c>
      <x:c r="CJ715" s="11" t="n">
        <x:v>41161597</x:v>
      </x:c>
      <x:c r="CK715" s="11" t="n">
        <x:v>38370456</x:v>
      </x:c>
      <x:c r="CL715" s="11" t="n">
        <x:v>0</x:v>
      </x:c>
      <x:c r="CM715" s="11"/>
      <x:c r="CN715" s="11" t="n">
        <x:v>481714</x:v>
      </x:c>
      <x:c r="CO715" s="11" t="n">
        <x:v>0</x:v>
      </x:c>
      <x:c r="CP715" s="8"/>
      <x:c r="CQ715" s="8"/>
    </x:row>
    <x:row r="716">
      <x:c r="A716" s="8" t="str">
        <x:v>Richmond|2023</x:v>
      </x:c>
      <x:c r="B716" s="8" t="str">
        <x:v>richmond-c</x:v>
      </x:c>
      <x:c r="C716" s="8" t="str">
        <x:v>Richmond</x:v>
      </x:c>
      <x:c r="D716" s="8" t="str">
        <x:v>Richmond</x:v>
      </x:c>
      <x:c r="E716" s="8" t="str">
        <x:v>C</x:v>
      </x:c>
      <x:c r="F716" s="8" t="str">
        <x:v>MVRD</x:v>
      </x:c>
      <x:c r="G716" s="9" t="n">
        <x:v>2023</x:v>
      </x:c>
      <x:c r="H716" s="10" t="n">
        <x:v>229781</x:v>
      </x:c>
      <x:c r="I716" s="8" t="str">
        <x:v>100,000 and over</x:v>
      </x:c>
      <x:c r="J716" s="11" t="n">
        <x:v>741099337</x:v>
      </x:c>
      <x:c r="K716" s="11" t="n">
        <x:v>538735628</x:v>
      </x:c>
      <x:c r="L716" s="11" t="n">
        <x:v>202363709</x:v>
      </x:c>
      <x:c r="M716" s="12" t="n">
        <x:v>0.2730588180245532</x:v>
      </x:c>
      <x:c r="N716" s="11" t="n">
        <x:v>309091369</x:v>
      </x:c>
      <x:c r="O716" s="11" t="n">
        <x:v>199621526</x:v>
      </x:c>
      <x:c r="P716" s="11" t="n">
        <x:v>58987349</x:v>
      </x:c>
      <x:c r="Q716" s="11" t="n">
        <x:v>173399093</x:v>
      </x:c>
      <x:c r="R716" s="11" t="n">
        <x:v>461195291</x:v>
      </x:c>
      <x:c r="S716" s="11" t="n">
        <x:v>71937042</x:v>
      </x:c>
      <x:c r="T716" s="11" t="n">
        <x:v>1701861715</x:v>
      </x:c>
      <x:c r="U716" s="11" t="n">
        <x:v>717366637</x:v>
      </x:c>
      <x:c r="V716" s="11" t="n">
        <x:v>1125574853</x:v>
      </x:c>
      <x:c r="W716" s="11" t="n">
        <x:v>789710098</x:v>
      </x:c>
      <x:c r="X716" s="11" t="n">
        <x:v>107997495</x:v>
      </x:c>
      <x:c r="Y716" s="11" t="n">
        <x:v>0</x:v>
      </x:c>
      <x:c r="Z716" s="11" t="n">
        <x:v>7703350</x:v>
      </x:c>
      <x:c r="AA716" s="11" t="n">
        <x:v>98734203</x:v>
      </x:c>
      <x:c r="AB716" s="11" t="n">
        <x:v>5603295</x:v>
      </x:c>
      <x:c r="AC716" s="11" t="n">
        <x:v>13306645</x:v>
      </x:c>
      <x:c r="AD716" s="11" t="n">
        <x:v>156339584</x:v>
      </x:c>
      <x:c r="AE716" s="11" t="n">
        <x:v>143032939</x:v>
      </x:c>
      <x:c r="AF716" s="11" t="n">
        <x:v>625358336</x:v>
      </x:c>
      <x:c r="AG716" s="11" t="n">
        <x:v>4078668629</x:v>
      </x:c>
      <x:c r="AH716" s="11" t="n">
        <x:v>1383765625</x:v>
      </x:c>
      <x:c r="AI716" s="11" t="n">
        <x:v>2694903004</x:v>
      </x:c>
      <x:c r="AJ716" s="11" t="n">
        <x:v>165990586</x:v>
      </x:c>
      <x:c r="AK716" s="11" t="n">
        <x:v>6338936497</x:v>
      </x:c>
      <x:c r="AL716" s="11" t="n">
        <x:v>79741157</x:v>
      </x:c>
      <x:c r="AM716" s="12" t="n">
        <x:v>0.9874204202806356</x:v>
      </x:c>
      <x:c r="AN716" s="12" t="n">
        <x:v>0.026185872989665952</x:v>
      </x:c>
      <x:c r="AO716" s="11" t="n">
        <x:v>592066810</x:v>
      </x:c>
      <x:c r="AP716" s="11" t="n">
        <x:v>572592488</x:v>
      </x:c>
      <x:c r="AQ716" s="12" t="n">
        <x:v>0.9671078978401103</x:v>
      </x:c>
      <x:c r="AR716" s="11" t="n">
        <x:v>3225.242021751146</x:v>
      </x:c>
      <x:c r="AS716" s="11" t="n">
        <x:v>2344.5612474486575</x:v>
      </x:c>
      <x:c r="AT716" s="11" t="n">
        <x:v>4898.467902045861</x:v>
      </x:c>
      <x:c r="AU716" s="11" t="n">
        <x:v>3436.7945913717845</x:v>
      </x:c>
      <x:c r="AV716" s="11" t="n">
        <x:v>429.6882814505986</x:v>
      </x:c>
      <x:c r="AW716" s="11" t="n">
        <x:v>2.3723736611408652</x:v>
      </x:c>
      <x:c r="AX716" s="12" t="n">
        <x:v>0.9148862709011686</x:v>
      </x:c>
      <x:c r="AY716" s="11"/>
      <x:c r="AZ716" s="11"/>
      <x:c r="BA716" s="11"/>
      <x:c r="BB716" s="11"/>
      <x:c r="BC716" s="11"/>
      <x:c r="BD716" s="11"/>
      <x:c r="BE716" s="11"/>
      <x:c r="BF716" s="11"/>
      <x:c r="BG716" s="11"/>
      <x:c r="BH716" s="11"/>
      <x:c r="BI716" s="11"/>
      <x:c r="BJ716" s="11"/>
      <x:c r="BK716" s="12"/>
      <x:c r="BL716" s="12"/>
      <x:c r="BM716" s="12"/>
      <x:c r="BN716" s="12"/>
      <x:c r="BO716" s="12"/>
      <x:c r="BP716" s="12"/>
      <x:c r="BQ716" s="12"/>
      <x:c r="BR716" s="12"/>
      <x:c r="BS716" s="12"/>
      <x:c r="BT716" s="12"/>
      <x:c r="BU716" s="11" t="n">
        <x:v>8921282</x:v>
      </x:c>
      <x:c r="BV716" s="11" t="n">
        <x:v>50066067</x:v>
      </x:c>
      <x:c r="BW716" s="11" t="n">
        <x:v>0</x:v>
      </x:c>
      <x:c r="BX716" s="11" t="n">
        <x:v>61503215</x:v>
      </x:c>
      <x:c r="BY716" s="11" t="n">
        <x:v>2069740</x:v>
      </x:c>
      <x:c r="BZ716" s="11" t="n">
        <x:v>89339233</x:v>
      </x:c>
      <x:c r="CA716" s="11" t="n">
        <x:v>2497360</x:v>
      </x:c>
      <x:c r="CB716" s="11" t="n">
        <x:v>17989545</x:v>
      </x:c>
      <x:c r="CC716" s="11" t="n">
        <x:v>62492806</x:v>
      </x:c>
      <x:c r="CD716" s="11" t="n">
        <x:v>135250122</x:v>
      </x:c>
      <x:c r="CE716" s="11" t="n">
        <x:v>22519429</x:v>
      </x:c>
      <x:c r="CF716" s="11" t="n">
        <x:v>0</x:v>
      </x:c>
      <x:c r="CG716" s="11" t="n">
        <x:v>25500558</x:v>
      </x:c>
      <x:c r="CH716" s="11" t="n">
        <x:v>50085533</x:v>
      </x:c>
      <x:c r="CI716" s="11" t="n">
        <x:v>87961397</x:v>
      </x:c>
      <x:c r="CJ716" s="11" t="n">
        <x:v>43227344</x:v>
      </x:c>
      <x:c r="CK716" s="11" t="n">
        <x:v>39107935</x:v>
      </x:c>
      <x:c r="CL716" s="11" t="n">
        <x:v>0</x:v>
      </x:c>
      <x:c r="CM716" s="11" t="n">
        <x:v>290302</x:v>
      </x:c>
      <x:c r="CN716" s="11" t="n">
        <x:v>363160</x:v>
      </x:c>
      <x:c r="CO716" s="11" t="n">
        <x:v>0</x:v>
      </x:c>
      <x:c r="CP716" s="8"/>
      <x:c r="CQ716" s="8"/>
    </x:row>
    <x:row r="717">
      <x:c r="A717" s="8" t="str">
        <x:v>Richmond|2024</x:v>
      </x:c>
      <x:c r="B717" s="8" t="str">
        <x:v>richmond-c</x:v>
      </x:c>
      <x:c r="C717" s="8" t="str">
        <x:v>Richmond</x:v>
      </x:c>
      <x:c r="D717" s="8" t="str">
        <x:v>Richmond</x:v>
      </x:c>
      <x:c r="E717" s="8" t="str">
        <x:v>C</x:v>
      </x:c>
      <x:c r="F717" s="8" t="str">
        <x:v>MVRD</x:v>
      </x:c>
      <x:c r="G717" s="9" t="n">
        <x:v>2024</x:v>
      </x:c>
      <x:c r="H717" s="10" t="n">
        <x:v>229781</x:v>
      </x:c>
      <x:c r="I717" s="8" t="str">
        <x:v>100,000 and over</x:v>
      </x:c>
      <x:c r="J717" s="11" t="n">
        <x:v>814481662</x:v>
      </x:c>
      <x:c r="K717" s="11" t="n">
        <x:v>581466086</x:v>
      </x:c>
      <x:c r="L717" s="11" t="n">
        <x:v>233015576</x:v>
      </x:c>
      <x:c r="M717" s="12" t="n">
        <x:v>0.2860906351504818</x:v>
      </x:c>
      <x:c r="N717" s="11" t="n">
        <x:v>338146775</x:v>
      </x:c>
      <x:c r="O717" s="11" t="n">
        <x:v>208274191</x:v>
      </x:c>
      <x:c r="P717" s="11" t="n">
        <x:v>33621629</x:v>
      </x:c>
      <x:c r="Q717" s="11" t="n">
        <x:v>234439067</x:v>
      </x:c>
      <x:c r="R717" s="11" t="n">
        <x:v>504998266</x:v>
      </x:c>
      <x:c r="S717" s="11" t="n">
        <x:v>71702972</x:v>
      </x:c>
      <x:c r="T717" s="11" t="n">
        <x:v>1789691620</x:v>
      </x:c>
      <x:c r="U717" s="11" t="n">
        <x:v>731812696</x:v>
      </x:c>
      <x:c r="V717" s="11" t="n">
        <x:v>1212467935</x:v>
      </x:c>
      <x:c r="W717" s="11" t="n">
        <x:v>892736044</x:v>
      </x:c>
      <x:c r="X717" s="11" t="n">
        <x:v>98734203</x:v>
      </x:c>
      <x:c r="Y717" s="11" t="n">
        <x:v>0</x:v>
      </x:c>
      <x:c r="Z717" s="11" t="n">
        <x:v>7710413</x:v>
      </x:c>
      <x:c r="AA717" s="11" t="n">
        <x:v>89113339</x:v>
      </x:c>
      <x:c r="AB717" s="11" t="n">
        <x:v>4764848</x:v>
      </x:c>
      <x:c r="AC717" s="11" t="n">
        <x:v>12475261</x:v>
      </x:c>
      <x:c r="AD717" s="11" t="n">
        <x:v>165165193</x:v>
      </x:c>
      <x:c r="AE717" s="11" t="n">
        <x:v>152689932</x:v>
      </x:c>
      <x:c r="AF717" s="11" t="n">
        <x:v>660660772</x:v>
      </x:c>
      <x:c r="AG717" s="11" t="n">
        <x:v>4288431922</x:v>
      </x:c>
      <x:c r="AH717" s="11" t="n">
        <x:v>1447504147</x:v>
      </x:c>
      <x:c r="AI717" s="11" t="n">
        <x:v>2840927775</x:v>
      </x:c>
      <x:c r="AJ717" s="11" t="n">
        <x:v>218443114</x:v>
      </x:c>
      <x:c r="AK717" s="11" t="n">
        <x:v>10433620663</x:v>
      </x:c>
      <x:c r="AL717" s="11" t="n">
        <x:v>257839230</x:v>
      </x:c>
      <x:c r="AM717" s="12" t="n">
        <x:v>0.9752876553280917</x:v>
      </x:c>
      <x:c r="AN717" s="12" t="n">
        <x:v>0.020936463099013092</x:v>
      </x:c>
      <x:c r="AO717" s="11" t="n">
        <x:v>644913693</x:v>
      </x:c>
      <x:c r="AP717" s="11" t="n">
        <x:v>619142882</x:v>
      </x:c>
      <x:c r="AQ717" s="12" t="n">
        <x:v>0.9600399072314316</x:v>
      </x:c>
      <x:c r="AR717" s="11" t="n">
        <x:v>3544.5996927509236</x:v>
      </x:c>
      <x:c r="AS717" s="11" t="n">
        <x:v>2530.5229152976094</x:v>
      </x:c>
      <x:c r="AT717" s="11" t="n">
        <x:v>5276.623981095043</x:v>
      </x:c>
      <x:c r="AU717" s="11" t="n">
        <x:v>3885.160409259251</x:v>
      </x:c>
      <x:c r="AV717" s="11" t="n">
        <x:v>387.8185707260391</x:v>
      </x:c>
      <x:c r="AW717" s="11" t="n">
        <x:v>2.4455596763792684</x:v>
      </x:c>
      <x:c r="AX717" s="12" t="n">
        <x:v>0.9244679779473876</x:v>
      </x:c>
      <x:c r="AY717" s="11" t="n">
        <x:v>3003.390678329474</x:v>
      </x:c>
      <x:c r="AZ717" s="11" t="n">
        <x:v>3546.5079302077975</x:v>
      </x:c>
      <x:c r="BA717" s="11" t="n">
        <x:v>2379.369597210911</x:v>
      </x:c>
      <x:c r="BB717" s="11" t="n">
        <x:v>2783.665107049771</x:v>
      </x:c>
      <x:c r="BC717" s="11" t="n">
        <x:v>2052.765446183268</x:v>
      </x:c>
      <x:c r="BD717" s="11" t="n">
        <x:v>2437.8724475115623</x:v>
      </x:c>
      <x:c r="BE717" s="11" t="n">
        <x:v>1093.3312652075697</x:v>
      </x:c>
      <x:c r="BF717" s="11" t="n">
        <x:v>1604.3462673977224</x:v>
      </x:c>
      <x:c r="BG717" s="11" t="n">
        <x:v>312.26099706744867</x:v>
      </x:c>
      <x:c r="BH717" s="11" t="n">
        <x:v>518.5374381567245</x:v>
      </x:c>
      <x:c r="BI717" s="11" t="n">
        <x:v>1.6357691597817738</x:v>
      </x:c>
      <x:c r="BJ717" s="11" t="n">
        <x:v>1.7099330852451193</x:v>
      </x:c>
      <x:c r="BK717" s="12" t="n">
        <x:v>0.025378934003535983</x:v>
      </x:c>
      <x:c r="BL717" s="12" t="n">
        <x:v>0.02529861000232605</x:v>
      </x:c>
      <x:c r="BM717" s="12" t="n">
        <x:v>0.9802497344746216</x:v>
      </x:c>
      <x:c r="BN717" s="12" t="n">
        <x:v>0.9815511712696461</x:v>
      </x:c>
      <x:c r="BO717" s="12" t="n">
        <x:v>0.9023585311053542</x:v>
      </x:c>
      <x:c r="BP717" s="12" t="n">
        <x:v>0.8619101997275483</x:v>
      </x:c>
      <x:c r="BQ717" s="12" t="n">
        <x:v>0.9669710895067201</x:v>
      </x:c>
      <x:c r="BR717" s="12" t="n">
        <x:v>0.9623635142836453</x:v>
      </x:c>
      <x:c r="BS717" s="12" t="n">
        <x:v>0.27009754429306687</x:v>
      </x:c>
      <x:c r="BT717" s="12" t="n">
        <x:v>0.19976549769108282</x:v>
      </x:c>
      <x:c r="BU717" s="11" t="n">
        <x:v>9873521</x:v>
      </x:c>
      <x:c r="BV717" s="11" t="n">
        <x:v>23748108</x:v>
      </x:c>
      <x:c r="BW717" s="11" t="n">
        <x:v>0</x:v>
      </x:c>
      <x:c r="BX717" s="11" t="n">
        <x:v>69852867</x:v>
      </x:c>
      <x:c r="BY717" s="11" t="n">
        <x:v>2757372</x:v>
      </x:c>
      <x:c r="BZ717" s="11" t="n">
        <x:v>117481998</x:v>
      </x:c>
      <x:c r="CA717" s="11" t="n">
        <x:v>3008021</x:v>
      </x:c>
      <x:c r="CB717" s="11" t="n">
        <x:v>41338809</x:v>
      </x:c>
      <x:c r="CC717" s="11" t="n">
        <x:v>64854801</x:v>
      </x:c>
      <x:c r="CD717" s="11" t="n">
        <x:v>149514248</x:v>
      </x:c>
      <x:c r="CE717" s="11" t="n">
        <x:v>23962211</x:v>
      </x:c>
      <x:c r="CF717" s="11" t="n">
        <x:v>0</x:v>
      </x:c>
      <x:c r="CG717" s="11" t="n">
        <x:v>25360964</x:v>
      </x:c>
      <x:c r="CH717" s="11" t="n">
        <x:v>45815334</x:v>
      </x:c>
      <x:c r="CI717" s="11" t="n">
        <x:v>96554277</x:v>
      </x:c>
      <x:c r="CJ717" s="11" t="n">
        <x:v>47291398</x:v>
      </x:c>
      <x:c r="CK717" s="11" t="n">
        <x:v>45089309</x:v>
      </x:c>
      <x:c r="CL717" s="11" t="n">
        <x:v>10631692</x:v>
      </x:c>
      <x:c r="CM717" s="11" t="n">
        <x:v>195188</x:v>
      </x:c>
      <x:c r="CN717" s="11" t="n">
        <x:v>493692</x:v>
      </x:c>
      <x:c r="CO717" s="11" t="n">
        <x:v>0</x:v>
      </x:c>
      <x:c r="CP717" s="8"/>
      <x:c r="CQ717" s="8"/>
    </x:row>
    <x:row r="718">
      <x:c r="A718" s="8" t="str">
        <x:v>Rossland|2019</x:v>
      </x:c>
      <x:c r="B718" s="8" t="str">
        <x:v>rossland-c</x:v>
      </x:c>
      <x:c r="C718" s="8" t="str">
        <x:v>Rossland</x:v>
      </x:c>
      <x:c r="D718" s="8" t="str">
        <x:v>Rossland</x:v>
      </x:c>
      <x:c r="E718" s="8" t="str">
        <x:v>C</x:v>
      </x:c>
      <x:c r="F718" s="8" t="str">
        <x:v>KOO</x:v>
      </x:c>
      <x:c r="G718" s="9" t="n">
        <x:v>2019</x:v>
      </x:c>
      <x:c r="H718" s="10" t="n">
        <x:v>4108</x:v>
      </x:c>
      <x:c r="I718" s="8" t="str">
        <x:v>Under 5,000</x:v>
      </x:c>
      <x:c r="J718" s="11" t="n">
        <x:v>9634275</x:v>
      </x:c>
      <x:c r="K718" s="11" t="n">
        <x:v>8495040</x:v>
      </x:c>
      <x:c r="L718" s="11" t="n">
        <x:v>1139235</x:v>
      </x:c>
      <x:c r="M718" s="12" t="n">
        <x:v>0.11824812972434355</x:v>
      </x:c>
      <x:c r="N718" s="11" t="n">
        <x:v>5524682</x:v>
      </x:c>
      <x:c r="O718" s="11" t="n">
        <x:v>2150178</x:v>
      </x:c>
      <x:c r="P718" s="11" t="n">
        <x:v>1444586</x:v>
      </x:c>
      <x:c r="Q718" s="11" t="n">
        <x:v>514829</x:v>
      </x:c>
      <x:c r="R718" s="11" t="n">
        <x:v>6208951</x:v>
      </x:c>
      <x:c r="S718" s="11" t="n">
        <x:v>1902648</x:v>
      </x:c>
      <x:c r="T718" s="11" t="n">
        <x:v>12734426</x:v>
      </x:c>
      <x:c r="U718" s="11" t="n">
        <x:v>12732424</x:v>
      </x:c>
      <x:c r="V718" s="11" t="n">
        <x:v>1486820</x:v>
      </x:c>
      <x:c r="W718" s="11" t="n">
        <x:v>7694407</x:v>
      </x:c>
      <x:c r="X718" s="11" t="n">
        <x:v>9451794</x:v>
      </x:c>
      <x:c r="Y718" s="11" t="n">
        <x:v>0</x:v>
      </x:c>
      <x:c r="Z718" s="11" t="n">
        <x:v>259141</x:v>
      </x:c>
      <x:c r="AA718" s="11" t="n">
        <x:v>9070041</x:v>
      </x:c>
      <x:c r="AB718" s="11" t="n">
        <x:v>383441</x:v>
      </x:c>
      <x:c r="AC718" s="11" t="n">
        <x:v>642582</x:v>
      </x:c>
      <x:c r="AD718" s="11" t="n">
        <x:v>2116525</x:v>
      </x:c>
      <x:c r="AE718" s="11" t="n">
        <x:v>1473943</x:v>
      </x:c>
      <x:c r="AF718" s="11" t="n">
        <x:v>8466098</x:v>
      </x:c>
      <x:c r="AG718" s="11" t="n">
        <x:v>88154741</x:v>
      </x:c>
      <x:c r="AH718" s="11" t="n">
        <x:v>34970939</x:v>
      </x:c>
      <x:c r="AI718" s="11" t="n">
        <x:v>53183802</x:v>
      </x:c>
      <x:c r="AJ718" s="11" t="n">
        <x:v>1078959</x:v>
      </x:c>
      <x:c r="AK718" s="11" t="n">
        <x:v>200119303</x:v>
      </x:c>
      <x:c r="AL718" s="11" t="n">
        <x:v>2482762</x:v>
      </x:c>
      <x:c r="AM718" s="12" t="n">
        <x:v>0.9875935906092977</x:v>
      </x:c>
      <x:c r="AN718" s="12" t="n">
        <x:v>0.005391578842346857</x:v>
      </x:c>
      <x:c r="AO718" s="11" t="n">
        <x:v>9269659</x:v>
      </x:c>
      <x:c r="AP718" s="11" t="n">
        <x:v>9025882</x:v>
      </x:c>
      <x:c r="AQ718" s="12" t="n">
        <x:v>0.9737016216022617</x:v>
      </x:c>
      <x:c r="AR718" s="11" t="n">
        <x:v>2345.247078870497</x:v>
      </x:c>
      <x:c r="AS718" s="11" t="n">
        <x:v>2067.9259980525803</x:v>
      </x:c>
      <x:c r="AT718" s="11" t="n">
        <x:v>361.9328140214216</x:v>
      </x:c>
      <x:c r="AU718" s="11" t="n">
        <x:v>1873.02994157741</x:v>
      </x:c>
      <x:c r="AV718" s="11" t="n">
        <x:v>2207.897030185005</x:v>
      </x:c>
      <x:c r="AW718" s="11" t="n">
        <x:v>1.0001572363597064</x:v>
      </x:c>
      <x:c r="AX718" s="12" t="n">
        <x:v>0.6963976329124391</x:v>
      </x:c>
      <x:c r="AY718" s="11"/>
      <x:c r="AZ718" s="11"/>
      <x:c r="BA718" s="11"/>
      <x:c r="BB718" s="11"/>
      <x:c r="BC718" s="11"/>
      <x:c r="BD718" s="11"/>
      <x:c r="BE718" s="11"/>
      <x:c r="BF718" s="11"/>
      <x:c r="BG718" s="11"/>
      <x:c r="BH718" s="11"/>
      <x:c r="BI718" s="11"/>
      <x:c r="BJ718" s="11"/>
      <x:c r="BK718" s="12"/>
      <x:c r="BL718" s="12"/>
      <x:c r="BM718" s="12"/>
      <x:c r="BN718" s="12"/>
      <x:c r="BO718" s="12"/>
      <x:c r="BP718" s="12"/>
      <x:c r="BQ718" s="12"/>
      <x:c r="BR718" s="12"/>
      <x:c r="BS718" s="12"/>
      <x:c r="BT718" s="12"/>
      <x:c r="BU718" s="11" t="n">
        <x:v>426280</x:v>
      </x:c>
      <x:c r="BV718" s="11" t="n">
        <x:v>862768</x:v>
      </x:c>
      <x:c r="BW718" s="11" t="n">
        <x:v>155538</x:v>
      </x:c>
      <x:c r="BX718" s="11" t="n">
        <x:v>271691</x:v>
      </x:c>
      <x:c r="BY718" s="11" t="n">
        <x:v>0</x:v>
      </x:c>
      <x:c r="BZ718" s="11" t="n">
        <x:v>0</x:v>
      </x:c>
      <x:c r="CA718" s="11" t="n">
        <x:v>133126</x:v>
      </x:c>
      <x:c r="CB718" s="11" t="n">
        <x:v>110012</x:v>
      </x:c>
      <x:c r="CC718" s="11" t="n">
        <x:v>1977374</x:v>
      </x:c>
      <x:c r="CD718" s="11" t="n">
        <x:v>249358</x:v>
      </x:c>
      <x:c r="CE718" s="11" t="n">
        <x:v>143524</x:v>
      </x:c>
      <x:c r="CF718" s="11" t="n">
        <x:v>619</x:v>
      </x:c>
      <x:c r="CG718" s="11" t="n">
        <x:v>274691</x:v>
      </x:c>
      <x:c r="CH718" s="11" t="n">
        <x:v>1399455</x:v>
      </x:c>
      <x:c r="CI718" s="11" t="n">
        <x:v>1105309</x:v>
      </x:c>
      <x:c r="CJ718" s="11" t="n">
        <x:v>703956</x:v>
      </x:c>
      <x:c r="CK718" s="11" t="n">
        <x:v>738106</x:v>
      </x:c>
      <x:c r="CL718" s="11" t="n">
        <x:v>0</x:v>
      </x:c>
      <x:c r="CM718" s="11"/>
      <x:c r="CN718" s="11" t="n">
        <x:v>0</x:v>
      </x:c>
      <x:c r="CO718" s="11" t="n">
        <x:v>0</x:v>
      </x:c>
      <x:c r="CP718" s="8"/>
      <x:c r="CQ718" s="8"/>
    </x:row>
    <x:row r="719">
      <x:c r="A719" s="8" t="str">
        <x:v>Rossland|2020</x:v>
      </x:c>
      <x:c r="B719" s="8" t="str">
        <x:v>rossland-c</x:v>
      </x:c>
      <x:c r="C719" s="8" t="str">
        <x:v>Rossland</x:v>
      </x:c>
      <x:c r="D719" s="8" t="str">
        <x:v>Rossland</x:v>
      </x:c>
      <x:c r="E719" s="8" t="str">
        <x:v>C</x:v>
      </x:c>
      <x:c r="F719" s="8" t="str">
        <x:v>KOO</x:v>
      </x:c>
      <x:c r="G719" s="9" t="n">
        <x:v>2020</x:v>
      </x:c>
      <x:c r="H719" s="10" t="n">
        <x:v>4096</x:v>
      </x:c>
      <x:c r="I719" s="8" t="str">
        <x:v>Under 5,000</x:v>
      </x:c>
      <x:c r="J719" s="11" t="n">
        <x:v>11516787</x:v>
      </x:c>
      <x:c r="K719" s="11" t="n">
        <x:v>8522179</x:v>
      </x:c>
      <x:c r="L719" s="11" t="n">
        <x:v>2994608</x:v>
      </x:c>
      <x:c r="M719" s="12" t="n">
        <x:v>0.2600211326301337</x:v>
      </x:c>
      <x:c r="N719" s="11" t="n">
        <x:v>5731058</x:v>
      </x:c>
      <x:c r="O719" s="11" t="n">
        <x:v>2208260</x:v>
      </x:c>
      <x:c r="P719" s="11" t="n">
        <x:v>2695642</x:v>
      </x:c>
      <x:c r="Q719" s="11" t="n">
        <x:v>881827</x:v>
      </x:c>
      <x:c r="R719" s="11" t="n">
        <x:v>6328908</x:v>
      </x:c>
      <x:c r="S719" s="11" t="n">
        <x:v>1818950</x:v>
      </x:c>
      <x:c r="T719" s="11" t="n">
        <x:v>15989960</x:v>
      </x:c>
      <x:c r="U719" s="11" t="n">
        <x:v>12787243</x:v>
      </x:c>
      <x:c r="V719" s="11" t="n">
        <x:v>4465182</x:v>
      </x:c>
      <x:c r="W719" s="11" t="n">
        <x:v>9197900</x:v>
      </x:c>
      <x:c r="X719" s="11" t="n">
        <x:v>9070041</x:v>
      </x:c>
      <x:c r="Y719" s="11" t="n">
        <x:v>0</x:v>
      </x:c>
      <x:c r="Z719" s="11" t="n">
        <x:v>259141</x:v>
      </x:c>
      <x:c r="AA719" s="11" t="n">
        <x:v>8672408</x:v>
      </x:c>
      <x:c r="AB719" s="11" t="n">
        <x:v>374321</x:v>
      </x:c>
      <x:c r="AC719" s="11" t="n">
        <x:v>633462</x:v>
      </x:c>
      <x:c r="AD719" s="11" t="n">
        <x:v>2134042</x:v>
      </x:c>
      <x:c r="AE719" s="11" t="n">
        <x:v>1500580</x:v>
      </x:c>
      <x:c r="AF719" s="11" t="n">
        <x:v>8536167</x:v>
      </x:c>
      <x:c r="AG719" s="11" t="n">
        <x:v>89890603</x:v>
      </x:c>
      <x:c r="AH719" s="11" t="n">
        <x:v>36705167</x:v>
      </x:c>
      <x:c r="AI719" s="11" t="n">
        <x:v>53185436</x:v>
      </x:c>
      <x:c r="AJ719" s="11" t="n">
        <x:v>1854365</x:v>
      </x:c>
      <x:c r="AK719" s="11" t="n">
        <x:v>199772540</x:v>
      </x:c>
      <x:c r="AL719" s="11" t="n">
        <x:v>4646316</x:v>
      </x:c>
      <x:c r="AM719" s="12" t="n">
        <x:v>0.9767419686409353</x:v>
      </x:c>
      <x:c r="AN719" s="12" t="n">
        <x:v>0.009282381852881282</x:v>
      </x:c>
      <x:c r="AO719" s="11" t="n">
        <x:v>9855293</x:v>
      </x:c>
      <x:c r="AP719" s="11" t="n">
        <x:v>9601770</x:v>
      </x:c>
      <x:c r="AQ719" s="12" t="n">
        <x:v>0.9742754477213412</x:v>
      </x:c>
      <x:c r="AR719" s="11" t="n">
        <x:v>2811.715576171875</x:v>
      </x:c>
      <x:c r="AS719" s="11" t="n">
        <x:v>2080.610107421875</x:v>
      </x:c>
      <x:c r="AT719" s="11" t="n">
        <x:v>1090.13232421875</x:v>
      </x:c>
      <x:c r="AU719" s="11" t="n">
        <x:v>2245.5810546875</x:v>
      </x:c>
      <x:c r="AV719" s="11" t="n">
        <x:v>2117.287109375</x:v>
      </x:c>
      <x:c r="AW719" s="11" t="n">
        <x:v>1.250461886115717</x:v>
      </x:c>
      <x:c r="AX719" s="12" t="n">
        <x:v>0.7031632929436253</x:v>
      </x:c>
      <x:c r="AY719" s="11"/>
      <x:c r="AZ719" s="11"/>
      <x:c r="BA719" s="11"/>
      <x:c r="BB719" s="11"/>
      <x:c r="BC719" s="11"/>
      <x:c r="BD719" s="11"/>
      <x:c r="BE719" s="11"/>
      <x:c r="BF719" s="11"/>
      <x:c r="BG719" s="11"/>
      <x:c r="BH719" s="11"/>
      <x:c r="BI719" s="11"/>
      <x:c r="BJ719" s="11"/>
      <x:c r="BK719" s="12"/>
      <x:c r="BL719" s="12"/>
      <x:c r="BM719" s="12"/>
      <x:c r="BN719" s="12"/>
      <x:c r="BO719" s="12"/>
      <x:c r="BP719" s="12"/>
      <x:c r="BQ719" s="12"/>
      <x:c r="BR719" s="12"/>
      <x:c r="BS719" s="12"/>
      <x:c r="BT719" s="12"/>
      <x:c r="BU719" s="11" t="n">
        <x:v>4088</x:v>
      </x:c>
      <x:c r="BV719" s="11" t="n">
        <x:v>2293252</x:v>
      </x:c>
      <x:c r="BW719" s="11" t="n">
        <x:v>398302</x:v>
      </x:c>
      <x:c r="BX719" s="11" t="n">
        <x:v>220689</x:v>
      </x:c>
      <x:c r="BY719" s="11" t="n">
        <x:v>0</x:v>
      </x:c>
      <x:c r="BZ719" s="11" t="n">
        <x:v>0</x:v>
      </x:c>
      <x:c r="CA719" s="11" t="n">
        <x:v>661138</x:v>
      </x:c>
      <x:c r="CB719" s="11" t="n">
        <x:v>0</x:v>
      </x:c>
      <x:c r="CC719" s="11" t="n">
        <x:v>2043995</x:v>
      </x:c>
      <x:c r="CD719" s="11" t="n">
        <x:v>285250</x:v>
      </x:c>
      <x:c r="CE719" s="11" t="n">
        <x:v>159393</x:v>
      </x:c>
      <x:c r="CF719" s="11" t="n">
        <x:v>763</x:v>
      </x:c>
      <x:c r="CG719" s="11" t="n">
        <x:v>372022</x:v>
      </x:c>
      <x:c r="CH719" s="11" t="n">
        <x:v>1578074</x:v>
      </x:c>
      <x:c r="CI719" s="11" t="n">
        <x:v>1045014</x:v>
      </x:c>
      <x:c r="CJ719" s="11" t="n">
        <x:v>620147</x:v>
      </x:c>
      <x:c r="CK719" s="11" t="n">
        <x:v>598571</x:v>
      </x:c>
      <x:c r="CL719" s="11" t="n">
        <x:v>0</x:v>
      </x:c>
      <x:c r="CM719" s="11"/>
      <x:c r="CN719" s="11" t="n">
        <x:v>0</x:v>
      </x:c>
      <x:c r="CO719" s="11" t="n">
        <x:v>0</x:v>
      </x:c>
      <x:c r="CP719" s="8"/>
      <x:c r="CQ719" s="8"/>
    </x:row>
    <x:row r="720">
      <x:c r="A720" s="8" t="str">
        <x:v>Rossland|2021</x:v>
      </x:c>
      <x:c r="B720" s="8" t="str">
        <x:v>rossland-c</x:v>
      </x:c>
      <x:c r="C720" s="8" t="str">
        <x:v>Rossland</x:v>
      </x:c>
      <x:c r="D720" s="8" t="str">
        <x:v>Rossland</x:v>
      </x:c>
      <x:c r="E720" s="8" t="str">
        <x:v>C</x:v>
      </x:c>
      <x:c r="F720" s="8" t="str">
        <x:v>KOO</x:v>
      </x:c>
      <x:c r="G720" s="9" t="n">
        <x:v>2021</x:v>
      </x:c>
      <x:c r="H720" s="10" t="n">
        <x:v>4194</x:v>
      </x:c>
      <x:c r="I720" s="8" t="str">
        <x:v>Under 5,000</x:v>
      </x:c>
      <x:c r="J720" s="11" t="n">
        <x:v>12155151</x:v>
      </x:c>
      <x:c r="K720" s="11" t="n">
        <x:v>9128913</x:v>
      </x:c>
      <x:c r="L720" s="11" t="n">
        <x:v>3026238</x:v>
      </x:c>
      <x:c r="M720" s="12" t="n">
        <x:v>0.24896753647897915</x:v>
      </x:c>
      <x:c r="N720" s="11" t="n">
        <x:v>6004668</x:v>
      </x:c>
      <x:c r="O720" s="11" t="n">
        <x:v>2460313</x:v>
      </x:c>
      <x:c r="P720" s="11" t="n">
        <x:v>3410916</x:v>
      </x:c>
      <x:c r="Q720" s="11" t="n">
        <x:v>279254</x:v>
      </x:c>
      <x:c r="R720" s="11" t="n">
        <x:v>6939049</x:v>
      </x:c>
      <x:c r="S720" s="11" t="n">
        <x:v>1818515</x:v>
      </x:c>
      <x:c r="T720" s="11" t="n">
        <x:v>14484029</x:v>
      </x:c>
      <x:c r="U720" s="11" t="n">
        <x:v>13235462</x:v>
      </x:c>
      <x:c r="V720" s="11" t="n">
        <x:v>4208570</x:v>
      </x:c>
      <x:c r="W720" s="11" t="n">
        <x:v>9196637</x:v>
      </x:c>
      <x:c r="X720" s="11" t="n">
        <x:v>8672408</x:v>
      </x:c>
      <x:c r="Y720" s="11" t="n">
        <x:v>0</x:v>
      </x:c>
      <x:c r="Z720" s="11" t="n">
        <x:v>259139</x:v>
      </x:c>
      <x:c r="AA720" s="11" t="n">
        <x:v>8258214</x:v>
      </x:c>
      <x:c r="AB720" s="11" t="n">
        <x:v>371349</x:v>
      </x:c>
      <x:c r="AC720" s="11" t="n">
        <x:v>630488</x:v>
      </x:c>
      <x:c r="AD720" s="11" t="n">
        <x:v>2264259</x:v>
      </x:c>
      <x:c r="AE720" s="11" t="n">
        <x:v>1580586</x:v>
      </x:c>
      <x:c r="AF720" s="11" t="n">
        <x:v>9057035</x:v>
      </x:c>
      <x:c r="AG720" s="11" t="n">
        <x:v>94818598</x:v>
      </x:c>
      <x:c r="AH720" s="11" t="n">
        <x:v>38362148</x:v>
      </x:c>
      <x:c r="AI720" s="11" t="n">
        <x:v>56456450</x:v>
      </x:c>
      <x:c r="AJ720" s="11" t="n">
        <x:v>5089529</x:v>
      </x:c>
      <x:c r="AK720" s="11" t="n">
        <x:v>208219795</x:v>
      </x:c>
      <x:c r="AL720" s="11" t="n">
        <x:v>4846740</x:v>
      </x:c>
      <x:c r="AM720" s="12" t="n">
        <x:v>0.9767229623869335</x:v>
      </x:c>
      <x:c r="AN720" s="12" t="n">
        <x:v>0.02444306027676187</x:v>
      </x:c>
      <x:c r="AO720" s="11" t="n">
        <x:v>10337323</x:v>
      </x:c>
      <x:c r="AP720" s="11" t="n">
        <x:v>10072803</x:v>
      </x:c>
      <x:c r="AQ720" s="12" t="n">
        <x:v>0.9744111700872653</x:v>
      </x:c>
      <x:c r="AR720" s="11" t="n">
        <x:v>2898.2238912732473</x:v>
      </x:c>
      <x:c r="AS720" s="11" t="n">
        <x:v>2176.6602288984263</x:v>
      </x:c>
      <x:c r="AT720" s="11" t="n">
        <x:v>1003.4740104911779</x:v>
      </x:c>
      <x:c r="AU720" s="11" t="n">
        <x:v>2192.8080591320936</x:v>
      </x:c>
      <x:c r="AV720" s="11" t="n">
        <x:v>1969.0543633762518</x:v>
      </x:c>
      <x:c r="AW720" s="11" t="n">
        <x:v>1.0943349767465615</x:v>
      </x:c>
      <x:c r="AX720" s="12" t="n">
        <x:v>0.6980588351420929</x:v>
      </x:c>
      <x:c r="AY720" s="11"/>
      <x:c r="AZ720" s="11"/>
      <x:c r="BA720" s="11"/>
      <x:c r="BB720" s="11"/>
      <x:c r="BC720" s="11"/>
      <x:c r="BD720" s="11"/>
      <x:c r="BE720" s="11"/>
      <x:c r="BF720" s="11"/>
      <x:c r="BG720" s="11"/>
      <x:c r="BH720" s="11"/>
      <x:c r="BI720" s="11"/>
      <x:c r="BJ720" s="11"/>
      <x:c r="BK720" s="12"/>
      <x:c r="BL720" s="12"/>
      <x:c r="BM720" s="12"/>
      <x:c r="BN720" s="12"/>
      <x:c r="BO720" s="12"/>
      <x:c r="BP720" s="12"/>
      <x:c r="BQ720" s="12"/>
      <x:c r="BR720" s="12"/>
      <x:c r="BS720" s="12"/>
      <x:c r="BT720" s="12"/>
      <x:c r="BU720" s="11" t="n">
        <x:v>437104</x:v>
      </x:c>
      <x:c r="BV720" s="11" t="n">
        <x:v>2821000</x:v>
      </x:c>
      <x:c r="BW720" s="11" t="n">
        <x:v>152812</x:v>
      </x:c>
      <x:c r="BX720" s="11" t="n">
        <x:v>231104</x:v>
      </x:c>
      <x:c r="BY720" s="11" t="n">
        <x:v>0</x:v>
      </x:c>
      <x:c r="BZ720" s="11" t="n">
        <x:v>0</x:v>
      </x:c>
      <x:c r="CA720" s="11" t="n">
        <x:v>48150</x:v>
      </x:c>
      <x:c r="CB720" s="11" t="n">
        <x:v>0</x:v>
      </x:c>
      <x:c r="CC720" s="11" t="n">
        <x:v>2058006</x:v>
      </x:c>
      <x:c r="CD720" s="11" t="n">
        <x:v>507764</x:v>
      </x:c>
      <x:c r="CE720" s="11" t="n">
        <x:v>152903</x:v>
      </x:c>
      <x:c r="CF720" s="11" t="n">
        <x:v>8033</x:v>
      </x:c>
      <x:c r="CG720" s="11" t="n">
        <x:v>513665</x:v>
      </x:c>
      <x:c r="CH720" s="11" t="n">
        <x:v>1579884</x:v>
      </x:c>
      <x:c r="CI720" s="11" t="n">
        <x:v>1044142</x:v>
      </x:c>
      <x:c r="CJ720" s="11" t="n">
        <x:v>801508</x:v>
      </x:c>
      <x:c r="CK720" s="11" t="n">
        <x:v>644493</x:v>
      </x:c>
      <x:c r="CL720" s="11" t="n">
        <x:v>0</x:v>
      </x:c>
      <x:c r="CM720" s="11"/>
      <x:c r="CN720" s="11" t="n">
        <x:v>0</x:v>
      </x:c>
      <x:c r="CO720" s="11" t="n">
        <x:v>0</x:v>
      </x:c>
      <x:c r="CP720" s="8"/>
      <x:c r="CQ720" s="8"/>
    </x:row>
    <x:row r="721">
      <x:c r="A721" s="8" t="str">
        <x:v>Rossland|2022</x:v>
      </x:c>
      <x:c r="B721" s="8" t="str">
        <x:v>rossland-c</x:v>
      </x:c>
      <x:c r="C721" s="8" t="str">
        <x:v>Rossland</x:v>
      </x:c>
      <x:c r="D721" s="8" t="str">
        <x:v>Rossland</x:v>
      </x:c>
      <x:c r="E721" s="8" t="str">
        <x:v>C</x:v>
      </x:c>
      <x:c r="F721" s="8" t="str">
        <x:v>KOO</x:v>
      </x:c>
      <x:c r="G721" s="9" t="n">
        <x:v>2022</x:v>
      </x:c>
      <x:c r="H721" s="10" t="n">
        <x:v>4254</x:v>
      </x:c>
      <x:c r="I721" s="8" t="str">
        <x:v>Under 5,000</x:v>
      </x:c>
      <x:c r="J721" s="11" t="n">
        <x:v>12401655</x:v>
      </x:c>
      <x:c r="K721" s="11" t="n">
        <x:v>10435966</x:v>
      </x:c>
      <x:c r="L721" s="11" t="n">
        <x:v>1965689</x:v>
      </x:c>
      <x:c r="M721" s="12" t="n">
        <x:v>0.15850215152735664</x:v>
      </x:c>
      <x:c r="N721" s="11" t="n">
        <x:v>6381809</x:v>
      </x:c>
      <x:c r="O721" s="11" t="n">
        <x:v>2722625</x:v>
      </x:c>
      <x:c r="P721" s="11" t="n">
        <x:v>2187110</x:v>
      </x:c>
      <x:c r="Q721" s="11" t="n">
        <x:v>1110111</x:v>
      </x:c>
      <x:c r="R721" s="11" t="n">
        <x:v>7972069</x:v>
      </x:c>
      <x:c r="S721" s="11" t="n">
        <x:v>2119365</x:v>
      </x:c>
      <x:c r="T721" s="11" t="n">
        <x:v>13147625</x:v>
      </x:c>
      <x:c r="U721" s="11" t="n">
        <x:v>14028984</x:v>
      </x:c>
      <x:c r="V721" s="11" t="n">
        <x:v>970696</x:v>
      </x:c>
      <x:c r="W721" s="11" t="n">
        <x:v>10695284</x:v>
      </x:c>
      <x:c r="X721" s="11" t="n">
        <x:v>8258214</x:v>
      </x:c>
      <x:c r="Y721" s="11" t="n">
        <x:v>0</x:v>
      </x:c>
      <x:c r="Z721" s="11" t="n">
        <x:v>250731</x:v>
      </x:c>
      <x:c r="AA721" s="11" t="n">
        <x:v>7825052</x:v>
      </x:c>
      <x:c r="AB721" s="11" t="n">
        <x:v>344532</x:v>
      </x:c>
      <x:c r="AC721" s="11" t="n">
        <x:v>595263</x:v>
      </x:c>
      <x:c r="AD721" s="11" t="n">
        <x:v>2500725</x:v>
      </x:c>
      <x:c r="AE721" s="11" t="n">
        <x:v>1850443</x:v>
      </x:c>
      <x:c r="AF721" s="11" t="n">
        <x:v>10002901</x:v>
      </x:c>
      <x:c r="AG721" s="11" t="n">
        <x:v>100993844</x:v>
      </x:c>
      <x:c r="AH721" s="11" t="n">
        <x:v>40325686</x:v>
      </x:c>
      <x:c r="AI721" s="11" t="n">
        <x:v>60668158</x:v>
      </x:c>
      <x:c r="AJ721" s="11" t="n">
        <x:v>4634783</x:v>
      </x:c>
      <x:c r="AK721" s="11" t="n">
        <x:v>212691360</x:v>
      </x:c>
      <x:c r="AL721" s="11" t="n">
        <x:v>4892172</x:v>
      </x:c>
      <x:c r="AM721" s="12" t="n">
        <x:v>0.9769987271697356</x:v>
      </x:c>
      <x:c r="AN721" s="12" t="n">
        <x:v>0.021791120241085486</x:v>
      </x:c>
      <x:c r="AO721" s="11" t="n">
        <x:v>11065461</x:v>
      </x:c>
      <x:c r="AP721" s="11" t="n">
        <x:v>10830454</x:v>
      </x:c>
      <x:c r="AQ721" s="12" t="n">
        <x:v>0.9787621139327137</x:v>
      </x:c>
      <x:c r="AR721" s="11" t="n">
        <x:v>2915.292665726375</x:v>
      </x:c>
      <x:c r="AS721" s="11" t="n">
        <x:v>2453.212505876822</x:v>
      </x:c>
      <x:c r="AT721" s="11" t="n">
        <x:v>228.18429713211094</x:v>
      </x:c>
      <x:c r="AU721" s="11" t="n">
        <x:v>2514.1711330512458</x:v>
      </x:c>
      <x:c r="AV721" s="11" t="n">
        <x:v>1839.4574518100612</x:v>
      </x:c>
      <x:c r="AW721" s="11" t="n">
        <x:v>0.9371758496552566</x:v>
      </x:c>
      <x:c r="AX721" s="12" t="n">
        <x:v>0.7399626108428555</x:v>
      </x:c>
      <x:c r="AY721" s="11"/>
      <x:c r="AZ721" s="11"/>
      <x:c r="BA721" s="11"/>
      <x:c r="BB721" s="11"/>
      <x:c r="BC721" s="11"/>
      <x:c r="BD721" s="11"/>
      <x:c r="BE721" s="11"/>
      <x:c r="BF721" s="11"/>
      <x:c r="BG721" s="11"/>
      <x:c r="BH721" s="11"/>
      <x:c r="BI721" s="11"/>
      <x:c r="BJ721" s="11"/>
      <x:c r="BK721" s="12"/>
      <x:c r="BL721" s="12"/>
      <x:c r="BM721" s="12"/>
      <x:c r="BN721" s="12"/>
      <x:c r="BO721" s="12"/>
      <x:c r="BP721" s="12"/>
      <x:c r="BQ721" s="12"/>
      <x:c r="BR721" s="12"/>
      <x:c r="BS721" s="12"/>
      <x:c r="BT721" s="12"/>
      <x:c r="BU721" s="11" t="n">
        <x:v>0</x:v>
      </x:c>
      <x:c r="BV721" s="11" t="n">
        <x:v>1845140</x:v>
      </x:c>
      <x:c r="BW721" s="11" t="n">
        <x:v>341970</x:v>
      </x:c>
      <x:c r="BX721" s="11" t="n">
        <x:v>434898</x:v>
      </x:c>
      <x:c r="BY721" s="11" t="n">
        <x:v>0</x:v>
      </x:c>
      <x:c r="BZ721" s="11" t="n">
        <x:v>635604</x:v>
      </x:c>
      <x:c r="CA721" s="11" t="n">
        <x:v>39609</x:v>
      </x:c>
      <x:c r="CB721" s="11" t="n">
        <x:v>0</x:v>
      </x:c>
      <x:c r="CC721" s="11" t="n">
        <x:v>2504743</x:v>
      </x:c>
      <x:c r="CD721" s="11" t="n">
        <x:v>738435</x:v>
      </x:c>
      <x:c r="CE721" s="11" t="n">
        <x:v>175240</x:v>
      </x:c>
      <x:c r="CF721" s="11" t="n">
        <x:v>0</x:v>
      </x:c>
      <x:c r="CG721" s="11" t="n">
        <x:v>500612</x:v>
      </x:c>
      <x:c r="CH721" s="11" t="n">
        <x:v>1788990</x:v>
      </x:c>
      <x:c r="CI721" s="11" t="n">
        <x:v>1271211</x:v>
      </x:c>
      <x:c r="CJ721" s="11" t="n">
        <x:v>778296</x:v>
      </x:c>
      <x:c r="CK721" s="11" t="n">
        <x:v>541405</x:v>
      </x:c>
      <x:c r="CL721" s="11" t="n">
        <x:v>17669</x:v>
      </x:c>
      <x:c r="CM721" s="11"/>
      <x:c r="CN721" s="11" t="n">
        <x:v>0</x:v>
      </x:c>
      <x:c r="CO721" s="11" t="n">
        <x:v>0</x:v>
      </x:c>
      <x:c r="CP721" s="8"/>
      <x:c r="CQ721" s="8"/>
    </x:row>
    <x:row r="722">
      <x:c r="A722" s="8" t="str">
        <x:v>Rossland|2023</x:v>
      </x:c>
      <x:c r="B722" s="8" t="str">
        <x:v>rossland-c</x:v>
      </x:c>
      <x:c r="C722" s="8" t="str">
        <x:v>Rossland</x:v>
      </x:c>
      <x:c r="D722" s="8" t="str">
        <x:v>Rossland</x:v>
      </x:c>
      <x:c r="E722" s="8" t="str">
        <x:v>C</x:v>
      </x:c>
      <x:c r="F722" s="8" t="str">
        <x:v>KOO</x:v>
      </x:c>
      <x:c r="G722" s="9" t="n">
        <x:v>2023</x:v>
      </x:c>
      <x:c r="H722" s="10" t="n">
        <x:v>4390</x:v>
      </x:c>
      <x:c r="I722" s="8" t="str">
        <x:v>Under 5,000</x:v>
      </x:c>
      <x:c r="J722" s="11" t="n">
        <x:v>15207999</x:v>
      </x:c>
      <x:c r="K722" s="11" t="n">
        <x:v>11580518</x:v>
      </x:c>
      <x:c r="L722" s="11" t="n">
        <x:v>3627481</x:v>
      </x:c>
      <x:c r="M722" s="12" t="n">
        <x:v>0.2385245422491151</x:v>
      </x:c>
      <x:c r="N722" s="11" t="n">
        <x:v>6498630</x:v>
      </x:c>
      <x:c r="O722" s="11" t="n">
        <x:v>2718380</x:v>
      </x:c>
      <x:c r="P722" s="11" t="n">
        <x:v>5083045</x:v>
      </x:c>
      <x:c r="Q722" s="11" t="n">
        <x:v>907944</x:v>
      </x:c>
      <x:c r="R722" s="11" t="n">
        <x:v>8858063</x:v>
      </x:c>
      <x:c r="S722" s="11" t="n">
        <x:v>2416591</x:v>
      </x:c>
      <x:c r="T722" s="11" t="n">
        <x:v>16895362</x:v>
      </x:c>
      <x:c r="U722" s="11" t="n">
        <x:v>15630506</x:v>
      </x:c>
      <x:c r="V722" s="11" t="n">
        <x:v>2782163</x:v>
      </x:c>
      <x:c r="W722" s="11" t="n">
        <x:v>12624768</x:v>
      </x:c>
      <x:c r="X722" s="11" t="n">
        <x:v>7825052</x:v>
      </x:c>
      <x:c r="Y722" s="11" t="n">
        <x:v>0</x:v>
      </x:c>
      <x:c r="Z722" s="11" t="n">
        <x:v>250730</x:v>
      </x:c>
      <x:c r="AA722" s="11" t="n">
        <x:v>7418305</x:v>
      </x:c>
      <x:c r="AB722" s="11" t="n">
        <x:v>305864</x:v>
      </x:c>
      <x:c r="AC722" s="11" t="n">
        <x:v>556594</x:v>
      </x:c>
      <x:c r="AD722" s="11" t="n">
        <x:v>2553115</x:v>
      </x:c>
      <x:c r="AE722" s="11" t="n">
        <x:v>1940716</x:v>
      </x:c>
      <x:c r="AF722" s="11" t="n">
        <x:v>10212458</x:v>
      </x:c>
      <x:c r="AG722" s="11" t="n">
        <x:v>109900033</x:v>
      </x:c>
      <x:c r="AH722" s="11" t="n">
        <x:v>43138493</x:v>
      </x:c>
      <x:c r="AI722" s="11" t="n">
        <x:v>66761540</x:v>
      </x:c>
      <x:c r="AJ722" s="11" t="n">
        <x:v>4170415</x:v>
      </x:c>
      <x:c r="AK722" s="11" t="n">
        <x:v>340053001</x:v>
      </x:c>
      <x:c r="AL722" s="11" t="n">
        <x:v>0</x:v>
      </x:c>
      <x:c r="AM722" s="12" t="n">
        <x:v>1</x:v>
      </x:c>
      <x:c r="AN722" s="12" t="n">
        <x:v>0.012264014691051057</x:v>
      </x:c>
      <x:c r="AO722" s="11" t="n">
        <x:v>11648219</x:v>
      </x:c>
      <x:c r="AP722" s="11" t="n">
        <x:v>11342818</x:v>
      </x:c>
      <x:c r="AQ722" s="12" t="n">
        <x:v>0.973781313692677</x:v>
      </x:c>
      <x:c r="AR722" s="11" t="n">
        <x:v>3464.236674259681</x:v>
      </x:c>
      <x:c r="AS722" s="11" t="n">
        <x:v>2637.931207289294</x:v>
      </x:c>
      <x:c r="AT722" s="11" t="n">
        <x:v>633.7501138952164</x:v>
      </x:c>
      <x:c r="AU722" s="11" t="n">
        <x:v>2875.8013667425967</x:v>
      </x:c>
      <x:c r="AV722" s="11" t="n">
        <x:v>1689.8189066059226</x:v>
      </x:c>
      <x:c r="AW722" s="11" t="n">
        <x:v>1.0809222682874118</x:v>
      </x:c>
      <x:c r="AX722" s="12" t="n">
        <x:v>0.7601365390904836</x:v>
      </x:c>
      <x:c r="AY722" s="11"/>
      <x:c r="AZ722" s="11"/>
      <x:c r="BA722" s="11"/>
      <x:c r="BB722" s="11"/>
      <x:c r="BC722" s="11"/>
      <x:c r="BD722" s="11"/>
      <x:c r="BE722" s="11"/>
      <x:c r="BF722" s="11"/>
      <x:c r="BG722" s="11"/>
      <x:c r="BH722" s="11"/>
      <x:c r="BI722" s="11"/>
      <x:c r="BJ722" s="11"/>
      <x:c r="BK722" s="12"/>
      <x:c r="BL722" s="12"/>
      <x:c r="BM722" s="12"/>
      <x:c r="BN722" s="12"/>
      <x:c r="BO722" s="12"/>
      <x:c r="BP722" s="12"/>
      <x:c r="BQ722" s="12"/>
      <x:c r="BR722" s="12"/>
      <x:c r="BS722" s="12"/>
      <x:c r="BT722" s="12"/>
      <x:c r="BU722" s="11" t="n">
        <x:v>0</x:v>
      </x:c>
      <x:c r="BV722" s="11" t="n">
        <x:v>4275552</x:v>
      </x:c>
      <x:c r="BW722" s="11" t="n">
        <x:v>807493</x:v>
      </x:c>
      <x:c r="BX722" s="11" t="n">
        <x:v>647465</x:v>
      </x:c>
      <x:c r="BY722" s="11" t="n">
        <x:v>0</x:v>
      </x:c>
      <x:c r="BZ722" s="11" t="n">
        <x:v>158000</x:v>
      </x:c>
      <x:c r="CA722" s="11" t="n">
        <x:v>102479</x:v>
      </x:c>
      <x:c r="CB722" s="11" t="n">
        <x:v>0</x:v>
      </x:c>
      <x:c r="CC722" s="11" t="n">
        <x:v>3053481</x:v>
      </x:c>
      <x:c r="CD722" s="11" t="n">
        <x:v>637200</x:v>
      </x:c>
      <x:c r="CE722" s="11" t="n">
        <x:v>125923</x:v>
      </x:c>
      <x:c r="CF722" s="11" t="n">
        <x:v>0</x:v>
      </x:c>
      <x:c r="CG722" s="11" t="n">
        <x:v>466649</x:v>
      </x:c>
      <x:c r="CH722" s="11" t="n">
        <x:v>1784036</x:v>
      </x:c>
      <x:c r="CI722" s="11" t="n">
        <x:v>1548954</x:v>
      </x:c>
      <x:c r="CJ722" s="11" t="n">
        <x:v>765109</x:v>
      </x:c>
      <x:c r="CK722" s="11" t="n">
        <x:v>640177</x:v>
      </x:c>
      <x:c r="CL722" s="11" t="n">
        <x:v>10422</x:v>
      </x:c>
      <x:c r="CM722" s="11" t="n">
        <x:v>131976</x:v>
      </x:c>
      <x:c r="CN722" s="11" t="n">
        <x:v>0</x:v>
      </x:c>
      <x:c r="CO722" s="11" t="n">
        <x:v>0</x:v>
      </x:c>
      <x:c r="CP722" s="8"/>
      <x:c r="CQ722" s="8"/>
    </x:row>
    <x:row r="723">
      <x:c r="A723" s="8" t="str">
        <x:v>Rossland|2024</x:v>
      </x:c>
      <x:c r="B723" s="8" t="str">
        <x:v>rossland-c</x:v>
      </x:c>
      <x:c r="C723" s="8" t="str">
        <x:v>Rossland</x:v>
      </x:c>
      <x:c r="D723" s="8" t="str">
        <x:v>Rossland</x:v>
      </x:c>
      <x:c r="E723" s="8" t="str">
        <x:v>C</x:v>
      </x:c>
      <x:c r="F723" s="8" t="str">
        <x:v>KOO</x:v>
      </x:c>
      <x:c r="G723" s="9" t="n">
        <x:v>2024</x:v>
      </x:c>
      <x:c r="H723" s="10" t="n">
        <x:v>4390</x:v>
      </x:c>
      <x:c r="I723" s="8" t="str">
        <x:v>Under 5,000</x:v>
      </x:c>
      <x:c r="J723" s="11" t="n">
        <x:v>17688640</x:v>
      </x:c>
      <x:c r="K723" s="11" t="n">
        <x:v>11765880</x:v>
      </x:c>
      <x:c r="L723" s="11" t="n">
        <x:v>5922760</x:v>
      </x:c>
      <x:c r="M723" s="12" t="n">
        <x:v>0.3348341082186081</x:v>
      </x:c>
      <x:c r="N723" s="11" t="n">
        <x:v>7221939</x:v>
      </x:c>
      <x:c r="O723" s="11" t="n">
        <x:v>2902474</x:v>
      </x:c>
      <x:c r="P723" s="11" t="n">
        <x:v>3247821</x:v>
      </x:c>
      <x:c r="Q723" s="11" t="n">
        <x:v>4316406</x:v>
      </x:c>
      <x:c r="R723" s="11" t="n">
        <x:v>8897861</x:v>
      </x:c>
      <x:c r="S723" s="11" t="n">
        <x:v>2443917</x:v>
      </x:c>
      <x:c r="T723" s="11" t="n">
        <x:v>16488165</x:v>
      </x:c>
      <x:c r="U723" s="11" t="n">
        <x:v>14238178</x:v>
      </x:c>
      <x:c r="V723" s="11" t="n">
        <x:v>4055492</x:v>
      </x:c>
      <x:c r="W723" s="11" t="n">
        <x:v>2265496</x:v>
      </x:c>
      <x:c r="X723" s="11" t="n">
        <x:v>7418305</x:v>
      </x:c>
      <x:c r="Y723" s="11" t="n">
        <x:v>0</x:v>
      </x:c>
      <x:c r="Z723" s="11" t="n">
        <x:v>208825</x:v>
      </x:c>
      <x:c r="AA723" s="11" t="n">
        <x:v>7137198</x:v>
      </x:c>
      <x:c r="AB723" s="11" t="n">
        <x:v>424102</x:v>
      </x:c>
      <x:c r="AC723" s="11" t="n">
        <x:v>632927</x:v>
      </x:c>
      <x:c r="AD723" s="11" t="n">
        <x:v>2845285</x:v>
      </x:c>
      <x:c r="AE723" s="11" t="n">
        <x:v>2212358</x:v>
      </x:c>
      <x:c r="AF723" s="11" t="n">
        <x:v>11381139</x:v>
      </x:c>
      <x:c r="AG723" s="11" t="n">
        <x:v>116665310</x:v>
      </x:c>
      <x:c r="AH723" s="11" t="n">
        <x:v>45257254</x:v>
      </x:c>
      <x:c r="AI723" s="11" t="n">
        <x:v>71408056</x:v>
      </x:c>
      <x:c r="AJ723" s="11" t="n">
        <x:v>7113200</x:v>
      </x:c>
      <x:c r="AK723" s="11" t="n">
        <x:v>279824417</x:v>
      </x:c>
      <x:c r="AL723" s="11" t="n">
        <x:v>4684000</x:v>
      </x:c>
      <x:c r="AM723" s="12" t="n">
        <x:v>0.9832609318006728</x:v>
      </x:c>
      <x:c r="AN723" s="12" t="n">
        <x:v>0.02542022628425596</x:v>
      </x:c>
      <x:c r="AO723" s="11" t="n">
        <x:v>13221088</x:v>
      </x:c>
      <x:c r="AP723" s="11" t="n">
        <x:v>12849196</x:v>
      </x:c>
      <x:c r="AQ723" s="12" t="n">
        <x:v>0.9718713013633976</x:v>
      </x:c>
      <x:c r="AR723" s="11" t="n">
        <x:v>4029.3029612756263</x:v>
      </x:c>
      <x:c r="AS723" s="11" t="n">
        <x:v>2680.1548974943053</x:v>
      </x:c>
      <x:c r="AT723" s="11" t="n">
        <x:v>923.802277904328</x:v>
      </x:c>
      <x:c r="AU723" s="11" t="n">
        <x:v>516.0583143507972</x:v>
      </x:c>
      <x:c r="AV723" s="11" t="n">
        <x:v>1625.7854214123006</x:v>
      </x:c>
      <x:c r="AW723" s="11" t="n">
        <x:v>1.1580249242564604</x:v>
      </x:c>
      <x:c r="AX723" s="12" t="n">
        <x:v>0.7775523365849115</x:v>
      </x:c>
      <x:c r="AY723" s="11" t="n">
        <x:v>4029.3029612756263</x:v>
      </x:c>
      <x:c r="AZ723" s="11" t="n">
        <x:v>3546.5079302077975</x:v>
      </x:c>
      <x:c r="BA723" s="11" t="n">
        <x:v>2680.1548974943053</x:v>
      </x:c>
      <x:c r="BB723" s="11" t="n">
        <x:v>2783.665107049771</x:v>
      </x:c>
      <x:c r="BC723" s="11" t="n">
        <x:v>1972.4097144142117</x:v>
      </x:c>
      <x:c r="BD723" s="11" t="n">
        <x:v>2437.8724475115623</x:v>
      </x:c>
      <x:c r="BE723" s="11" t="n">
        <x:v>1160.2663957632108</x:v>
      </x:c>
      <x:c r="BF723" s="11" t="n">
        <x:v>1604.3462673977224</x:v>
      </x:c>
      <x:c r="BG723" s="11" t="n">
        <x:v>585.9197211603328</x:v>
      </x:c>
      <x:c r="BH723" s="11" t="n">
        <x:v>518.5374381567245</x:v>
      </x:c>
      <x:c r="BI723" s="11" t="n">
        <x:v>1.1580249242564604</x:v>
      </x:c>
      <x:c r="BJ723" s="11" t="n">
        <x:v>1.7099330852451193</x:v>
      </x:c>
      <x:c r="BK723" s="12" t="n">
        <x:v>0.02542022628425596</x:v>
      </x:c>
      <x:c r="BL723" s="12" t="n">
        <x:v>0.02529861000232605</x:v>
      </x:c>
      <x:c r="BM723" s="12" t="n">
        <x:v>0.9804639308808624</x:v>
      </x:c>
      <x:c r="BN723" s="12" t="n">
        <x:v>0.9815511712696461</x:v>
      </x:c>
      <x:c r="BO723" s="12" t="n">
        <x:v>0.8435772029337734</x:v>
      </x:c>
      <x:c r="BP723" s="12" t="n">
        <x:v>0.8619101997275483</x:v>
      </x:c>
      <x:c r="BQ723" s="12" t="n">
        <x:v>0.9642963039370254</x:v>
      </x:c>
      <x:c r="BR723" s="12" t="n">
        <x:v>0.9623635142836453</x:v>
      </x:c>
      <x:c r="BS723" s="12" t="n">
        <x:v>0.37423160107130715</x:v>
      </x:c>
      <x:c r="BT723" s="12" t="n">
        <x:v>0.19976549769108282</x:v>
      </x:c>
      <x:c r="BU723" s="11" t="n">
        <x:v>251922</x:v>
      </x:c>
      <x:c r="BV723" s="11" t="n">
        <x:v>2209080</x:v>
      </x:c>
      <x:c r="BW723" s="11" t="n">
        <x:v>786819</x:v>
      </x:c>
      <x:c r="BX723" s="11" t="n">
        <x:v>770608</x:v>
      </x:c>
      <x:c r="BY723" s="11" t="n">
        <x:v>0</x:v>
      </x:c>
      <x:c r="BZ723" s="11" t="n">
        <x:v>3427335</x:v>
      </x:c>
      <x:c r="CA723" s="11" t="n">
        <x:v>118463</x:v>
      </x:c>
      <x:c r="CB723" s="11" t="n">
        <x:v>0</x:v>
      </x:c>
      <x:c r="CC723" s="11" t="n">
        <x:v>2908456</x:v>
      </x:c>
      <x:c r="CD723" s="11" t="n">
        <x:v>510298</x:v>
      </x:c>
      <x:c r="CE723" s="11" t="n">
        <x:v>59645</x:v>
      </x:c>
      <x:c r="CF723" s="11" t="n">
        <x:v>7736</x:v>
      </x:c>
      <x:c r="CG723" s="11" t="n">
        <x:v>484002</x:v>
      </x:c>
      <x:c r="CH723" s="11" t="n">
        <x:v>2157822</x:v>
      </x:c>
      <x:c r="CI723" s="11" t="n">
        <x:v>1584931</x:v>
      </x:c>
      <x:c r="CJ723" s="11" t="n">
        <x:v>800769</x:v>
      </x:c>
      <x:c r="CK723" s="11" t="n">
        <x:v>686349</x:v>
      </x:c>
      <x:c r="CL723" s="11" t="n">
        <x:v>0</x:v>
      </x:c>
      <x:c r="CM723" s="11" t="n">
        <x:v>121955</x:v>
      </x:c>
      <x:c r="CN723" s="11" t="n">
        <x:v>0</x:v>
      </x:c>
      <x:c r="CO723" s="11" t="n">
        <x:v>0</x:v>
      </x:c>
      <x:c r="CP723" s="8"/>
      <x:c r="CQ723" s="8"/>
    </x:row>
    <x:row r="724">
      <x:c r="A724" s="8" t="str">
        <x:v>Saanich|2019</x:v>
      </x:c>
      <x:c r="B724" s="8" t="str">
        <x:v>saanich-d</x:v>
      </x:c>
      <x:c r="C724" s="8" t="str">
        <x:v>Saanich</x:v>
      </x:c>
      <x:c r="D724" s="8" t="str">
        <x:v>Saanich</x:v>
      </x:c>
      <x:c r="E724" s="8" t="str">
        <x:v>D</x:v>
      </x:c>
      <x:c r="F724" s="8" t="str">
        <x:v>CAP</x:v>
      </x:c>
      <x:c r="G724" s="9" t="n">
        <x:v>2019</x:v>
      </x:c>
      <x:c r="H724" s="10" t="n">
        <x:v>122173</x:v>
      </x:c>
      <x:c r="I724" s="8" t="str">
        <x:v>100,000 and over</x:v>
      </x:c>
      <x:c r="J724" s="11" t="n">
        <x:v>229395745</x:v>
      </x:c>
      <x:c r="K724" s="11" t="n">
        <x:v>202839514</x:v>
      </x:c>
      <x:c r="L724" s="11" t="n">
        <x:v>26556231</x:v>
      </x:c>
      <x:c r="M724" s="12" t="n">
        <x:v>0.11576601388138215</x:v>
      </x:c>
      <x:c r="N724" s="11" t="n">
        <x:v>133269037</x:v>
      </x:c>
      <x:c r="O724" s="11" t="n">
        <x:v>75609001</x:v>
      </x:c>
      <x:c r="P724" s="11" t="n">
        <x:v>12151357</x:v>
      </x:c>
      <x:c r="Q724" s="11" t="n">
        <x:v>8366350</x:v>
      </x:c>
      <x:c r="R724" s="11" t="n">
        <x:v>180882111</x:v>
      </x:c>
      <x:c r="S724" s="11" t="n">
        <x:v>20600857</x:v>
      </x:c>
      <x:c r="T724" s="11" t="n">
        <x:v>226212212</x:v>
      </x:c>
      <x:c r="U724" s="11" t="n">
        <x:v>119061516</x:v>
      </x:c>
      <x:c r="V724" s="11" t="n">
        <x:v>126806067</x:v>
      </x:c>
      <x:c r="W724" s="11" t="n">
        <x:v>93787241</x:v>
      </x:c>
      <x:c r="X724" s="11" t="n">
        <x:v>34214702</x:v>
      </x:c>
      <x:c r="Y724" s="11" t="n">
        <x:v>13790400</x:v>
      </x:c>
      <x:c r="Z724" s="11" t="n">
        <x:v>2992309</x:v>
      </x:c>
      <x:c r="AA724" s="11" t="n">
        <x:v>44421319</x:v>
      </x:c>
      <x:c r="AB724" s="11" t="n">
        <x:v>1356546</x:v>
      </x:c>
      <x:c r="AC724" s="11" t="n">
        <x:v>4348855</x:v>
      </x:c>
      <x:c r="AD724" s="11" t="n">
        <x:v>53519092</x:v>
      </x:c>
      <x:c r="AE724" s="11" t="n">
        <x:v>48038212</x:v>
      </x:c>
      <x:c r="AF724" s="11" t="n">
        <x:v>214076369</x:v>
      </x:c>
      <x:c r="AG724" s="11" t="n">
        <x:v>1306078693</x:v>
      </x:c>
      <x:c r="AH724" s="11" t="n">
        <x:v>424133210</x:v>
      </x:c>
      <x:c r="AI724" s="11" t="n">
        <x:v>881945483</x:v>
      </x:c>
      <x:c r="AJ724" s="11" t="n">
        <x:v>36948258</x:v>
      </x:c>
      <x:c r="AK724" s="11" t="n">
        <x:v>300464179</x:v>
      </x:c>
      <x:c r="AL724" s="11" t="n">
        <x:v>0</x:v>
      </x:c>
      <x:c r="AM724" s="12" t="n">
        <x:v>1</x:v>
      </x:c>
      <x:c r="AN724" s="12" t="n">
        <x:v>0.1229705921117472</x:v>
      </x:c>
      <x:c r="AO724" s="11" t="n">
        <x:v>211066484</x:v>
      </x:c>
      <x:c r="AP724" s="11" t="n">
        <x:v>208710939</x:v>
      </x:c>
      <x:c r="AQ724" s="12" t="n">
        <x:v>0.988839796090032</x:v>
      </x:c>
      <x:c r="AR724" s="11" t="n">
        <x:v>1877.6304502631515</x:v>
      </x:c>
      <x:c r="AS724" s="11" t="n">
        <x:v>1660.2646574938817</x:v>
      </x:c>
      <x:c r="AT724" s="11" t="n">
        <x:v>1037.9221841159667</x:v>
      </x:c>
      <x:c r="AU724" s="11" t="n">
        <x:v>767.6593109770571</x:v>
      </x:c>
      <x:c r="AV724" s="11" t="n">
        <x:v>363.59358450721516</x:v>
      </x:c>
      <x:c r="AW724" s="11" t="n">
        <x:v>1.8999607900171538</x:v>
      </x:c>
      <x:c r="AX724" s="12" t="n">
        <x:v>0.8975901908051803</x:v>
      </x:c>
      <x:c r="AY724" s="11"/>
      <x:c r="AZ724" s="11"/>
      <x:c r="BA724" s="11"/>
      <x:c r="BB724" s="11"/>
      <x:c r="BC724" s="11"/>
      <x:c r="BD724" s="11"/>
      <x:c r="BE724" s="11"/>
      <x:c r="BF724" s="11"/>
      <x:c r="BG724" s="11"/>
      <x:c r="BH724" s="11"/>
      <x:c r="BI724" s="11"/>
      <x:c r="BJ724" s="11"/>
      <x:c r="BK724" s="12"/>
      <x:c r="BL724" s="12"/>
      <x:c r="BM724" s="12"/>
      <x:c r="BN724" s="12"/>
      <x:c r="BO724" s="12"/>
      <x:c r="BP724" s="12"/>
      <x:c r="BQ724" s="12"/>
      <x:c r="BR724" s="12"/>
      <x:c r="BS724" s="12"/>
      <x:c r="BT724" s="12"/>
      <x:c r="BU724" s="11" t="n">
        <x:v>6711</x:v>
      </x:c>
      <x:c r="BV724" s="11" t="n">
        <x:v>2380070</x:v>
      </x:c>
      <x:c r="BW724" s="11" t="n">
        <x:v>9764576</x:v>
      </x:c>
      <x:c r="BX724" s="11" t="n">
        <x:v>4096386</x:v>
      </x:c>
      <x:c r="BY724" s="11" t="n">
        <x:v>0</x:v>
      </x:c>
      <x:c r="BZ724" s="11" t="n">
        <x:v>3591402</x:v>
      </x:c>
      <x:c r="CA724" s="11" t="n">
        <x:v>105461</x:v>
      </x:c>
      <x:c r="CB724" s="11" t="n">
        <x:v>573101</x:v>
      </x:c>
      <x:c r="CC724" s="11" t="n">
        <x:v>22595753</x:v>
      </x:c>
      <x:c r="CD724" s="11" t="n">
        <x:v>57647457</x:v>
      </x:c>
      <x:c r="CE724" s="11" t="n">
        <x:v>6285407</x:v>
      </x:c>
      <x:c r="CF724" s="11" t="n">
        <x:v>0</x:v>
      </x:c>
      <x:c r="CG724" s="11" t="n">
        <x:v>3644593</x:v>
      </x:c>
      <x:c r="CH724" s="11" t="n">
        <x:v>17561161</x:v>
      </x:c>
      <x:c r="CI724" s="11" t="n">
        <x:v>40733350</x:v>
      </x:c>
      <x:c r="CJ724" s="11" t="n">
        <x:v>16414620</x:v>
      </x:c>
      <x:c r="CK724" s="11" t="n">
        <x:v>16875720</x:v>
      </x:c>
      <x:c r="CL724" s="11" t="n">
        <x:v>114212</x:v>
      </x:c>
      <x:c r="CM724" s="11"/>
      <x:c r="CN724" s="11" t="n">
        <x:v>366384</x:v>
      </x:c>
      <x:c r="CO724" s="11" t="n">
        <x:v>0</x:v>
      </x:c>
      <x:c r="CP724" s="8"/>
      <x:c r="CQ724" s="8"/>
    </x:row>
    <x:row r="725">
      <x:c r="A725" s="8" t="str">
        <x:v>Saanich|2020</x:v>
      </x:c>
      <x:c r="B725" s="8" t="str">
        <x:v>saanich-d</x:v>
      </x:c>
      <x:c r="C725" s="8" t="str">
        <x:v>Saanich</x:v>
      </x:c>
      <x:c r="D725" s="8" t="str">
        <x:v>Saanich</x:v>
      </x:c>
      <x:c r="E725" s="8" t="str">
        <x:v>D</x:v>
      </x:c>
      <x:c r="F725" s="8" t="str">
        <x:v>CAP</x:v>
      </x:c>
      <x:c r="G725" s="9" t="n">
        <x:v>2020</x:v>
      </x:c>
      <x:c r="H725" s="10" t="n">
        <x:v>125107</x:v>
      </x:c>
      <x:c r="I725" s="8" t="str">
        <x:v>100,000 and over</x:v>
      </x:c>
      <x:c r="J725" s="11" t="n">
        <x:v>236086667</x:v>
      </x:c>
      <x:c r="K725" s="11" t="n">
        <x:v>207024373</x:v>
      </x:c>
      <x:c r="L725" s="11" t="n">
        <x:v>29062294</x:v>
      </x:c>
      <x:c r="M725" s="12" t="n">
        <x:v>0.12310010713142051</x:v>
      </x:c>
      <x:c r="N725" s="11" t="n">
        <x:v>138767068</x:v>
      </x:c>
      <x:c r="O725" s="11" t="n">
        <x:v>71180891</x:v>
      </x:c>
      <x:c r="P725" s="11" t="n">
        <x:v>14179082</x:v>
      </x:c>
      <x:c r="Q725" s="11" t="n">
        <x:v>11959626</x:v>
      </x:c>
      <x:c r="R725" s="11" t="n">
        <x:v>183056548</x:v>
      </x:c>
      <x:c r="S725" s="11" t="n">
        <x:v>22466675</x:v>
      </x:c>
      <x:c r="T725" s="11" t="n">
        <x:v>272325785</x:v>
      </x:c>
      <x:c r="U725" s="11" t="n">
        <x:v>152164218</x:v>
      </x:c>
      <x:c r="V725" s="11" t="n">
        <x:v>139722391</x:v>
      </x:c>
      <x:c r="W725" s="11" t="n">
        <x:v>97723006</x:v>
      </x:c>
      <x:c r="X725" s="11" t="n">
        <x:v>44486657</x:v>
      </x:c>
      <x:c r="Y725" s="11" t="n">
        <x:v>8871100</x:v>
      </x:c>
      <x:c r="Z725" s="11" t="n">
        <x:v>3755012</x:v>
      </x:c>
      <x:c r="AA725" s="11" t="n">
        <x:v>48953104</x:v>
      </x:c>
      <x:c r="AB725" s="11" t="n">
        <x:v>1501150</x:v>
      </x:c>
      <x:c r="AC725" s="11" t="n">
        <x:v>5256162</x:v>
      </x:c>
      <x:c r="AD725" s="11" t="n">
        <x:v>53623777</x:v>
      </x:c>
      <x:c r="AE725" s="11" t="n">
        <x:v>47402083</x:v>
      </x:c>
      <x:c r="AF725" s="11" t="n">
        <x:v>214495107</x:v>
      </x:c>
      <x:c r="AG725" s="11" t="n">
        <x:v>1340346234</x:v>
      </x:c>
      <x:c r="AH725" s="11" t="n">
        <x:v>444072862</x:v>
      </x:c>
      <x:c r="AI725" s="11" t="n">
        <x:v>896273372</x:v>
      </x:c>
      <x:c r="AJ725" s="11" t="n">
        <x:v>37130008</x:v>
      </x:c>
      <x:c r="AK725" s="11" t="n">
        <x:v>303027998</x:v>
      </x:c>
      <x:c r="AL725" s="11" t="n">
        <x:v>0</x:v>
      </x:c>
      <x:c r="AM725" s="12" t="n">
        <x:v>1</x:v>
      </x:c>
      <x:c r="AN725" s="12" t="n">
        <x:v>0.12252995843638184</x:v>
      </x:c>
      <x:c r="AO725" s="11" t="n">
        <x:v>212867962</x:v>
      </x:c>
      <x:c r="AP725" s="11" t="n">
        <x:v>210151882</x:v>
      </x:c>
      <x:c r="AQ725" s="12" t="n">
        <x:v>0.9872405411576215</x:v>
      </x:c>
      <x:c r="AR725" s="11" t="n">
        <x:v>1887.0779972343673</x:v>
      </x:c>
      <x:c r="AS725" s="11" t="n">
        <x:v>1654.7784936094704</x:v>
      </x:c>
      <x:c r="AT725" s="11" t="n">
        <x:v>1116.823127402943</x:v>
      </x:c>
      <x:c r="AU725" s="11" t="n">
        <x:v>781.1154132062954</x:v>
      </x:c>
      <x:c r="AV725" s="11" t="n">
        <x:v>391.2898878559953</x:v>
      </x:c>
      <x:c r="AW725" s="11" t="n">
        <x:v>1.7896834655306413</x:v>
      </x:c>
      <x:c r="AX725" s="12" t="n">
        <x:v>0.8839750881404718</x:v>
      </x:c>
      <x:c r="AY725" s="11"/>
      <x:c r="AZ725" s="11"/>
      <x:c r="BA725" s="11"/>
      <x:c r="BB725" s="11"/>
      <x:c r="BC725" s="11"/>
      <x:c r="BD725" s="11"/>
      <x:c r="BE725" s="11"/>
      <x:c r="BF725" s="11"/>
      <x:c r="BG725" s="11"/>
      <x:c r="BH725" s="11"/>
      <x:c r="BI725" s="11"/>
      <x:c r="BJ725" s="11"/>
      <x:c r="BK725" s="12"/>
      <x:c r="BL725" s="12"/>
      <x:c r="BM725" s="12"/>
      <x:c r="BN725" s="12"/>
      <x:c r="BO725" s="12"/>
      <x:c r="BP725" s="12"/>
      <x:c r="BQ725" s="12"/>
      <x:c r="BR725" s="12"/>
      <x:c r="BS725" s="12"/>
      <x:c r="BT725" s="12"/>
      <x:c r="BU725" s="11" t="n">
        <x:v>111404</x:v>
      </x:c>
      <x:c r="BV725" s="11" t="n">
        <x:v>9205554</x:v>
      </x:c>
      <x:c r="BW725" s="11" t="n">
        <x:v>4862124</x:v>
      </x:c>
      <x:c r="BX725" s="11" t="n">
        <x:v>3099616</x:v>
      </x:c>
      <x:c r="BY725" s="11" t="n">
        <x:v>0</x:v>
      </x:c>
      <x:c r="BZ725" s="11" t="n">
        <x:v>8237395</x:v>
      </x:c>
      <x:c r="CA725" s="11" t="n">
        <x:v>92824</x:v>
      </x:c>
      <x:c r="CB725" s="11" t="n">
        <x:v>529791</x:v>
      </x:c>
      <x:c r="CC725" s="11" t="n">
        <x:v>21695471</x:v>
      </x:c>
      <x:c r="CD725" s="11" t="n">
        <x:v>59393047</x:v>
      </x:c>
      <x:c r="CE725" s="11" t="n">
        <x:v>6783744</x:v>
      </x:c>
      <x:c r="CF725" s="11" t="n">
        <x:v>0</x:v>
      </x:c>
      <x:c r="CG725" s="11" t="n">
        <x:v>3703250</x:v>
      </x:c>
      <x:c r="CH725" s="11" t="n">
        <x:v>20971084</x:v>
      </x:c>
      <x:c r="CI725" s="11" t="n">
        <x:v>35967958</x:v>
      </x:c>
      <x:c r="CJ725" s="11" t="n">
        <x:v>16594423</x:v>
      </x:c>
      <x:c r="CK725" s="11" t="n">
        <x:v>18984528</x:v>
      </x:c>
      <x:c r="CL725" s="11" t="n">
        <x:v>128745</x:v>
      </x:c>
      <x:c r="CM725" s="11"/>
      <x:c r="CN725" s="11" t="n">
        <x:v>335448</x:v>
      </x:c>
      <x:c r="CO725" s="11" t="n">
        <x:v>0</x:v>
      </x:c>
      <x:c r="CP725" s="8"/>
      <x:c r="CQ725" s="8"/>
    </x:row>
    <x:row r="726">
      <x:c r="A726" s="8" t="str">
        <x:v>Saanich|2021</x:v>
      </x:c>
      <x:c r="B726" s="8" t="str">
        <x:v>saanich-d</x:v>
      </x:c>
      <x:c r="C726" s="8" t="str">
        <x:v>Saanich</x:v>
      </x:c>
      <x:c r="D726" s="8" t="str">
        <x:v>Saanich</x:v>
      </x:c>
      <x:c r="E726" s="8" t="str">
        <x:v>D</x:v>
      </x:c>
      <x:c r="F726" s="8" t="str">
        <x:v>CAP</x:v>
      </x:c>
      <x:c r="G726" s="9" t="n">
        <x:v>2021</x:v>
      </x:c>
      <x:c r="H726" s="10" t="n">
        <x:v>124639</x:v>
      </x:c>
      <x:c r="I726" s="8" t="str">
        <x:v>100,000 and over</x:v>
      </x:c>
      <x:c r="J726" s="11" t="n">
        <x:v>256715699</x:v>
      </x:c>
      <x:c r="K726" s="11" t="n">
        <x:v>215737471</x:v>
      </x:c>
      <x:c r="L726" s="11" t="n">
        <x:v>40978228</x:v>
      </x:c>
      <x:c r="M726" s="12" t="n">
        <x:v>0.15962493980549278</x:v>
      </x:c>
      <x:c r="N726" s="11" t="n">
        <x:v>145483621</x:v>
      </x:c>
      <x:c r="O726" s="11" t="n">
        <x:v>77697277</x:v>
      </x:c>
      <x:c r="P726" s="11" t="n">
        <x:v>13158342</x:v>
      </x:c>
      <x:c r="Q726" s="11" t="n">
        <x:v>20376459</x:v>
      </x:c>
      <x:c r="R726" s="11" t="n">
        <x:v>192427751</x:v>
      </x:c>
      <x:c r="S726" s="11" t="n">
        <x:v>21882996</x:v>
      </x:c>
      <x:c r="T726" s="11" t="n">
        <x:v>274809779</x:v>
      </x:c>
      <x:c r="U726" s="11" t="n">
        <x:v>137476484</x:v>
      </x:c>
      <x:c r="V726" s="11" t="n">
        <x:v>158139258</x:v>
      </x:c>
      <x:c r="W726" s="11" t="n">
        <x:v>127021098</x:v>
      </x:c>
      <x:c r="X726" s="11" t="n">
        <x:v>48790328</x:v>
      </x:c>
      <x:c r="Y726" s="11" t="n">
        <x:v>3291137</x:v>
      </x:c>
      <x:c r="Z726" s="11" t="n">
        <x:v>3706950</x:v>
      </x:c>
      <x:c r="AA726" s="11" t="n">
        <x:v>47824402</x:v>
      </x:c>
      <x:c r="AB726" s="11" t="n">
        <x:v>1426724</x:v>
      </x:c>
      <x:c r="AC726" s="11" t="n">
        <x:v>5133674</x:v>
      </x:c>
      <x:c r="AD726" s="11" t="n">
        <x:v>56603503</x:v>
      </x:c>
      <x:c r="AE726" s="11" t="n">
        <x:v>50741589</x:v>
      </x:c>
      <x:c r="AF726" s="11" t="n">
        <x:v>226414013</x:v>
      </x:c>
      <x:c r="AG726" s="11" t="n">
        <x:v>1381235876</x:v>
      </x:c>
      <x:c r="AH726" s="11" t="n">
        <x:v>463779943</x:v>
      </x:c>
      <x:c r="AI726" s="11" t="n">
        <x:v>917455933</x:v>
      </x:c>
      <x:c r="AJ726" s="11" t="n">
        <x:v>42912575</x:v>
      </x:c>
      <x:c r="AK726" s="11" t="n">
        <x:v>5286376286</x:v>
      </x:c>
      <x:c r="AL726" s="11" t="n">
        <x:v>70200000</x:v>
      </x:c>
      <x:c r="AM726" s="12" t="n">
        <x:v>0.9867205820770057</x:v>
      </x:c>
      <x:c r="AN726" s="12" t="n">
        <x:v>0.008117578597960591</x:v>
      </x:c>
      <x:c r="AO726" s="11" t="n">
        <x:v>227118448</x:v>
      </x:c>
      <x:c r="AP726" s="11" t="n">
        <x:v>224567378</x:v>
      </x:c>
      <x:c r="AQ726" s="12" t="n">
        <x:v>0.9887676671689831</x:v>
      </x:c>
      <x:c r="AR726" s="11" t="n">
        <x:v>2059.6739303107374</x:v>
      </x:c>
      <x:c r="AS726" s="11" t="n">
        <x:v>1730.8986031659433</x:v>
      </x:c>
      <x:c r="AT726" s="11" t="n">
        <x:v>1268.7782957180336</x:v>
      </x:c>
      <x:c r="AU726" s="11" t="n">
        <x:v>1019.1119793964971</x:v>
      </x:c>
      <x:c r="AV726" s="11" t="n">
        <x:v>383.7033512784923</x:v>
      </x:c>
      <x:c r="AW726" s="11" t="n">
        <x:v>1.9989584473225253</x:v>
      </x:c>
      <x:c r="AX726" s="12" t="n">
        <x:v>0.896439024277349</x:v>
      </x:c>
      <x:c r="AY726" s="11"/>
      <x:c r="AZ726" s="11"/>
      <x:c r="BA726" s="11"/>
      <x:c r="BB726" s="11"/>
      <x:c r="BC726" s="11"/>
      <x:c r="BD726" s="11"/>
      <x:c r="BE726" s="11"/>
      <x:c r="BF726" s="11"/>
      <x:c r="BG726" s="11"/>
      <x:c r="BH726" s="11"/>
      <x:c r="BI726" s="11"/>
      <x:c r="BJ726" s="11"/>
      <x:c r="BK726" s="12"/>
      <x:c r="BL726" s="12"/>
      <x:c r="BM726" s="12"/>
      <x:c r="BN726" s="12"/>
      <x:c r="BO726" s="12"/>
      <x:c r="BP726" s="12"/>
      <x:c r="BQ726" s="12"/>
      <x:c r="BR726" s="12"/>
      <x:c r="BS726" s="12"/>
      <x:c r="BT726" s="12"/>
      <x:c r="BU726" s="11" t="n">
        <x:v>40279</x:v>
      </x:c>
      <x:c r="BV726" s="11" t="n">
        <x:v>3174181</x:v>
      </x:c>
      <x:c r="BW726" s="11" t="n">
        <x:v>9943882</x:v>
      </x:c>
      <x:c r="BX726" s="11" t="n">
        <x:v>1889540</x:v>
      </x:c>
      <x:c r="BY726" s="11" t="n">
        <x:v>0</x:v>
      </x:c>
      <x:c r="BZ726" s="11" t="n">
        <x:v>17788095</x:v>
      </x:c>
      <x:c r="CA726" s="11" t="n">
        <x:v>152982</x:v>
      </x:c>
      <x:c r="CB726" s="11" t="n">
        <x:v>545842</x:v>
      </x:c>
      <x:c r="CC726" s="11" t="n">
        <x:v>25077048</x:v>
      </x:c>
      <x:c r="CD726" s="11" t="n">
        <x:v>62643172</x:v>
      </x:c>
      <x:c r="CE726" s="11" t="n">
        <x:v>7268018</x:v>
      </x:c>
      <x:c r="CF726" s="11" t="n">
        <x:v>0</x:v>
      </x:c>
      <x:c r="CG726" s="11" t="n">
        <x:v>4318466</x:v>
      </x:c>
      <x:c r="CH726" s="11" t="n">
        <x:v>18973827</x:v>
      </x:c>
      <x:c r="CI726" s="11" t="n">
        <x:v>37786095</x:v>
      </x:c>
      <x:c r="CJ726" s="11" t="n">
        <x:v>17564765</x:v>
      </x:c>
      <x:c r="CK726" s="11" t="n">
        <x:v>20150308</x:v>
      </x:c>
      <x:c r="CL726" s="11" t="n">
        <x:v>72776</x:v>
      </x:c>
      <x:c r="CM726" s="11"/>
      <x:c r="CN726" s="11" t="n">
        <x:v>0</x:v>
      </x:c>
      <x:c r="CO726" s="11" t="n">
        <x:v>0</x:v>
      </x:c>
      <x:c r="CP726" s="8"/>
      <x:c r="CQ726" s="8"/>
    </x:row>
    <x:row r="727">
      <x:c r="A727" s="8" t="str">
        <x:v>Saanich|2022</x:v>
      </x:c>
      <x:c r="B727" s="8" t="str">
        <x:v>saanich-d</x:v>
      </x:c>
      <x:c r="C727" s="8" t="str">
        <x:v>Saanich</x:v>
      </x:c>
      <x:c r="D727" s="8" t="str">
        <x:v>Saanich</x:v>
      </x:c>
      <x:c r="E727" s="8" t="str">
        <x:v>D</x:v>
      </x:c>
      <x:c r="F727" s="8" t="str">
        <x:v>CAP</x:v>
      </x:c>
      <x:c r="G727" s="9" t="n">
        <x:v>2022</x:v>
      </x:c>
      <x:c r="H727" s="10" t="n">
        <x:v>125853</x:v>
      </x:c>
      <x:c r="I727" s="8" t="str">
        <x:v>100,000 and over</x:v>
      </x:c>
      <x:c r="J727" s="11" t="n">
        <x:v>266504400</x:v>
      </x:c>
      <x:c r="K727" s="11" t="n">
        <x:v>230674994</x:v>
      </x:c>
      <x:c r="L727" s="11" t="n">
        <x:v>35829406</x:v>
      </x:c>
      <x:c r="M727" s="12" t="n">
        <x:v>0.13444208050598788</x:v>
      </x:c>
      <x:c r="N727" s="11" t="n">
        <x:v>155649268</x:v>
      </x:c>
      <x:c r="O727" s="11" t="n">
        <x:v>82456283</x:v>
      </x:c>
      <x:c r="P727" s="11" t="n">
        <x:v>9456968</x:v>
      </x:c>
      <x:c r="Q727" s="11" t="n">
        <x:v>18941881</x:v>
      </x:c>
      <x:c r="R727" s="11" t="n">
        <x:v>206472983</x:v>
      </x:c>
      <x:c r="S727" s="11" t="n">
        <x:v>22666090</x:v>
      </x:c>
      <x:c r="T727" s="11" t="n">
        <x:v>286998397</x:v>
      </x:c>
      <x:c r="U727" s="11" t="n">
        <x:v>143959040</x:v>
      </x:c>
      <x:c r="V727" s="11" t="n">
        <x:v>167263772</x:v>
      </x:c>
      <x:c r="W727" s="11" t="n">
        <x:v>131096475</x:v>
      </x:c>
      <x:c r="X727" s="11" t="n">
        <x:v>47824402</x:v>
      </x:c>
      <x:c r="Y727" s="11" t="n">
        <x:v>3565000</x:v>
      </x:c>
      <x:c r="Z727" s="11" t="n">
        <x:v>4309008</x:v>
      </x:c>
      <x:c r="AA727" s="11" t="n">
        <x:v>46613765</x:v>
      </x:c>
      <x:c r="AB727" s="11" t="n">
        <x:v>1535921</x:v>
      </x:c>
      <x:c r="AC727" s="11" t="n">
        <x:v>5844929</x:v>
      </x:c>
      <x:c r="AD727" s="11" t="n">
        <x:v>61024878</x:v>
      </x:c>
      <x:c r="AE727" s="11" t="n">
        <x:v>53695225</x:v>
      </x:c>
      <x:c r="AF727" s="11" t="n">
        <x:v>244099511</x:v>
      </x:c>
      <x:c r="AG727" s="11" t="n">
        <x:v>1430740133</x:v>
      </x:c>
      <x:c r="AH727" s="11" t="n">
        <x:v>485760127</x:v>
      </x:c>
      <x:c r="AI727" s="11" t="n">
        <x:v>944980006</x:v>
      </x:c>
      <x:c r="AJ727" s="11" t="n">
        <x:v>50713225</x:v>
      </x:c>
      <x:c r="AK727" s="11" t="n">
        <x:v>4983532559</x:v>
      </x:c>
      <x:c r="AL727" s="11" t="n">
        <x:v>77400000</x:v>
      </x:c>
      <x:c r="AM727" s="12" t="n">
        <x:v>0.9844688483352597</x:v>
      </x:c>
      <x:c r="AN727" s="12" t="n">
        <x:v>0.010176160063089095</x:v>
      </x:c>
      <x:c r="AO727" s="11" t="n">
        <x:v>241112467</x:v>
      </x:c>
      <x:c r="AP727" s="11" t="n">
        <x:v>238303598</x:v>
      </x:c>
      <x:c r="AQ727" s="12" t="n">
        <x:v>0.9883503784148996</x:v>
      </x:c>
      <x:c r="AR727" s="11" t="n">
        <x:v>2117.5848013158206</x:v>
      </x:c>
      <x:c r="AS727" s="11" t="n">
        <x:v>1832.8922949790629</x:v>
      </x:c>
      <x:c r="AT727" s="11" t="n">
        <x:v>1329.0408015700857</x:v>
      </x:c>
      <x:c r="AU727" s="11" t="n">
        <x:v>1041.6634883554623</x:v>
      </x:c>
      <x:c r="AV727" s="11" t="n">
        <x:v>370.3826289401127</x:v>
      </x:c>
      <x:c r="AW727" s="11" t="n">
        <x:v>1.993611495325337</x:v>
      </x:c>
      <x:c r="AX727" s="12" t="n">
        <x:v>0.8798907389868112</x:v>
      </x:c>
      <x:c r="AY727" s="11"/>
      <x:c r="AZ727" s="11"/>
      <x:c r="BA727" s="11"/>
      <x:c r="BB727" s="11"/>
      <x:c r="BC727" s="11"/>
      <x:c r="BD727" s="11"/>
      <x:c r="BE727" s="11"/>
      <x:c r="BF727" s="11"/>
      <x:c r="BG727" s="11"/>
      <x:c r="BH727" s="11"/>
      <x:c r="BI727" s="11"/>
      <x:c r="BJ727" s="11"/>
      <x:c r="BK727" s="12"/>
      <x:c r="BL727" s="12"/>
      <x:c r="BM727" s="12"/>
      <x:c r="BN727" s="12"/>
      <x:c r="BO727" s="12"/>
      <x:c r="BP727" s="12"/>
      <x:c r="BQ727" s="12"/>
      <x:c r="BR727" s="12"/>
      <x:c r="BS727" s="12"/>
      <x:c r="BT727" s="12"/>
      <x:c r="BU727" s="11" t="n">
        <x:v>34998</x:v>
      </x:c>
      <x:c r="BV727" s="11" t="n">
        <x:v>4340213</x:v>
      </x:c>
      <x:c r="BW727" s="11" t="n">
        <x:v>5081757</x:v>
      </x:c>
      <x:c r="BX727" s="11" t="n">
        <x:v>5522185</x:v>
      </x:c>
      <x:c r="BY727" s="11" t="n">
        <x:v>0</x:v>
      </x:c>
      <x:c r="BZ727" s="11" t="n">
        <x:v>13419696</x:v>
      </x:c>
      <x:c r="CA727" s="11" t="n">
        <x:v>0</x:v>
      </x:c>
      <x:c r="CB727" s="11" t="n">
        <x:v>0</x:v>
      </x:c>
      <x:c r="CC727" s="11" t="n">
        <x:v>25253546</x:v>
      </x:c>
      <x:c r="CD727" s="11" t="n">
        <x:v>66280133</x:v>
      </x:c>
      <x:c r="CE727" s="11" t="n">
        <x:v>7624900</x:v>
      </x:c>
      <x:c r="CF727" s="11" t="n">
        <x:v>0</x:v>
      </x:c>
      <x:c r="CG727" s="11" t="n">
        <x:v>5632430</x:v>
      </x:c>
      <x:c r="CH727" s="11" t="n">
        <x:v>20993422</x:v>
      </x:c>
      <x:c r="CI727" s="11" t="n">
        <x:v>42374766</x:v>
      </x:c>
      <x:c r="CJ727" s="11" t="n">
        <x:v>17328722</x:v>
      </x:c>
      <x:c r="CK727" s="11" t="n">
        <x:v>21923030</x:v>
      </x:c>
      <x:c r="CL727" s="11" t="n">
        <x:v>74893</x:v>
      </x:c>
      <x:c r="CM727" s="11"/>
      <x:c r="CN727" s="11" t="n">
        <x:v>523062</x:v>
      </x:c>
      <x:c r="CO727" s="11" t="n">
        <x:v>0</x:v>
      </x:c>
      <x:c r="CP727" s="8"/>
      <x:c r="CQ727" s="8"/>
    </x:row>
    <x:row r="728">
      <x:c r="A728" s="8" t="str">
        <x:v>Saanich|2023</x:v>
      </x:c>
      <x:c r="B728" s="8" t="str">
        <x:v>saanich-d</x:v>
      </x:c>
      <x:c r="C728" s="8" t="str">
        <x:v>Saanich</x:v>
      </x:c>
      <x:c r="D728" s="8" t="str">
        <x:v>Saanich</x:v>
      </x:c>
      <x:c r="E728" s="8" t="str">
        <x:v>D</x:v>
      </x:c>
      <x:c r="F728" s="8" t="str">
        <x:v>CAP</x:v>
      </x:c>
      <x:c r="G728" s="9" t="n">
        <x:v>2023</x:v>
      </x:c>
      <x:c r="H728" s="10" t="n">
        <x:v>129786</x:v>
      </x:c>
      <x:c r="I728" s="8" t="str">
        <x:v>100,000 and over</x:v>
      </x:c>
      <x:c r="J728" s="11" t="n">
        <x:v>310983037</x:v>
      </x:c>
      <x:c r="K728" s="11" t="n">
        <x:v>258077347</x:v>
      </x:c>
      <x:c r="L728" s="11" t="n">
        <x:v>52905690</x:v>
      </x:c>
      <x:c r="M728" s="12" t="n">
        <x:v>0.17012403798731954</x:v>
      </x:c>
      <x:c r="N728" s="11" t="n">
        <x:v>167531289</x:v>
      </x:c>
      <x:c r="O728" s="11" t="n">
        <x:v>93800166</x:v>
      </x:c>
      <x:c r="P728" s="11" t="n">
        <x:v>26422176</x:v>
      </x:c>
      <x:c r="Q728" s="11" t="n">
        <x:v>23229406</x:v>
      </x:c>
      <x:c r="R728" s="11" t="n">
        <x:v>229817042</x:v>
      </x:c>
      <x:c r="S728" s="11" t="n">
        <x:v>26449005</x:v>
      </x:c>
      <x:c r="T728" s="11" t="n">
        <x:v>315712211</x:v>
      </x:c>
      <x:c r="U728" s="11" t="n">
        <x:v>171376225</x:v>
      </x:c>
      <x:c r="V728" s="11" t="n">
        <x:v>169784852</x:v>
      </x:c>
      <x:c r="W728" s="11" t="n">
        <x:v>144517171</x:v>
      </x:c>
      <x:c r="X728" s="11" t="n">
        <x:v>46613765</x:v>
      </x:c>
      <x:c r="Y728" s="11" t="n">
        <x:v>16237413</x:v>
      </x:c>
      <x:c r="Z728" s="11" t="n">
        <x:v>6516627</x:v>
      </x:c>
      <x:c r="AA728" s="11" t="n">
        <x:v>57735841</x:v>
      </x:c>
      <x:c r="AB728" s="11" t="n">
        <x:v>1811300</x:v>
      </x:c>
      <x:c r="AC728" s="11" t="n">
        <x:v>6402527</x:v>
      </x:c>
      <x:c r="AD728" s="11" t="n">
        <x:v>67845865</x:v>
      </x:c>
      <x:c r="AE728" s="11" t="n">
        <x:v>57769751</x:v>
      </x:c>
      <x:c r="AF728" s="11" t="n">
        <x:v>271383458</x:v>
      </x:c>
      <x:c r="AG728" s="11" t="n">
        <x:v>1500836107</x:v>
      </x:c>
      <x:c r="AH728" s="11" t="n">
        <x:v>509188113</x:v>
      </x:c>
      <x:c r="AI728" s="11" t="n">
        <x:v>991647994</x:v>
      </x:c>
      <x:c r="AJ728" s="11" t="n">
        <x:v>63154468</x:v>
      </x:c>
      <x:c r="AK728" s="11" t="n">
        <x:v>5226973049</x:v>
      </x:c>
      <x:c r="AL728" s="11" t="n">
        <x:v>85900000</x:v>
      </x:c>
      <x:c r="AM728" s="12" t="n">
        <x:v>0.983566014365344</x:v>
      </x:c>
      <x:c r="AN728" s="12" t="n">
        <x:v>0.012082416995067999</x:v>
      </x:c>
      <x:c r="AO728" s="11" t="n">
        <x:v>260550348</x:v>
      </x:c>
      <x:c r="AP728" s="11" t="n">
        <x:v>257626060</x:v>
      </x:c>
      <x:c r="AQ728" s="12" t="n">
        <x:v>0.9887764955124911</x:v>
      </x:c>
      <x:c r="AR728" s="11" t="n">
        <x:v>2396.1215924676003</x:v>
      </x:c>
      <x:c r="AS728" s="11" t="n">
        <x:v>1988.483711648406</x:v>
      </x:c>
      <x:c r="AT728" s="11" t="n">
        <x:v>1308.1908064043887</x:v>
      </x:c>
      <x:c r="AU728" s="11" t="n">
        <x:v>1113.503544295995</x:v>
      </x:c>
      <x:c r="AV728" s="11" t="n">
        <x:v>444.854152219808</x:v>
      </x:c>
      <x:c r="AW728" s="11" t="n">
        <x:v>1.8422170928318675</x:v>
      </x:c>
      <x:c r="AX728" s="12" t="n">
        <x:v>0.8514852157902327</x:v>
      </x:c>
      <x:c r="AY728" s="11"/>
      <x:c r="AZ728" s="11"/>
      <x:c r="BA728" s="11"/>
      <x:c r="BB728" s="11"/>
      <x:c r="BC728" s="11"/>
      <x:c r="BD728" s="11"/>
      <x:c r="BE728" s="11"/>
      <x:c r="BF728" s="11"/>
      <x:c r="BG728" s="11"/>
      <x:c r="BH728" s="11"/>
      <x:c r="BI728" s="11"/>
      <x:c r="BJ728" s="11"/>
      <x:c r="BK728" s="12"/>
      <x:c r="BL728" s="12"/>
      <x:c r="BM728" s="12"/>
      <x:c r="BN728" s="12"/>
      <x:c r="BO728" s="12"/>
      <x:c r="BP728" s="12"/>
      <x:c r="BQ728" s="12"/>
      <x:c r="BR728" s="12"/>
      <x:c r="BS728" s="12"/>
      <x:c r="BT728" s="12"/>
      <x:c r="BU728" s="11" t="n">
        <x:v>109676</x:v>
      </x:c>
      <x:c r="BV728" s="11" t="n">
        <x:v>18438021</x:v>
      </x:c>
      <x:c r="BW728" s="11" t="n">
        <x:v>7874479</x:v>
      </x:c>
      <x:c r="BX728" s="11" t="n">
        <x:v>9731163</x:v>
      </x:c>
      <x:c r="BY728" s="11" t="n">
        <x:v>0</x:v>
      </x:c>
      <x:c r="BZ728" s="11" t="n">
        <x:v>13120302</x:v>
      </x:c>
      <x:c r="CA728" s="11" t="n">
        <x:v>377941</x:v>
      </x:c>
      <x:c r="CB728" s="11" t="n">
        <x:v>0</x:v>
      </x:c>
      <x:c r="CC728" s="11" t="n">
        <x:v>29430838</x:v>
      </x:c>
      <x:c r="CD728" s="11" t="n">
        <x:v>70999903</x:v>
      </x:c>
      <x:c r="CE728" s="11" t="n">
        <x:v>8232167</x:v>
      </x:c>
      <x:c r="CF728" s="11" t="n">
        <x:v>0</x:v>
      </x:c>
      <x:c r="CG728" s="11" t="n">
        <x:v>6097230</x:v>
      </x:c>
      <x:c r="CH728" s="11" t="n">
        <x:v>24314572</x:v>
      </x:c>
      <x:c r="CI728" s="11" t="n">
        <x:v>48131154</x:v>
      </x:c>
      <x:c r="CJ728" s="11" t="n">
        <x:v>20137486</x:v>
      </x:c>
      <x:c r="CK728" s="11" t="n">
        <x:v>23653369</x:v>
      </x:c>
      <x:c r="CL728" s="11" t="n">
        <x:v>0</x:v>
      </x:c>
      <x:c r="CM728" s="11" t="n">
        <x:v>345139</x:v>
      </x:c>
      <x:c r="CN728" s="11" t="n">
        <x:v>286484</x:v>
      </x:c>
      <x:c r="CO728" s="11" t="n">
        <x:v>0</x:v>
      </x:c>
      <x:c r="CP728" s="8"/>
      <x:c r="CQ728" s="8"/>
    </x:row>
    <x:row r="729">
      <x:c r="A729" s="8" t="str">
        <x:v>Saanich|2024</x:v>
      </x:c>
      <x:c r="B729" s="8" t="str">
        <x:v>saanich-d</x:v>
      </x:c>
      <x:c r="C729" s="8" t="str">
        <x:v>Saanich</x:v>
      </x:c>
      <x:c r="D729" s="8" t="str">
        <x:v>Saanich</x:v>
      </x:c>
      <x:c r="E729" s="8" t="str">
        <x:v>D</x:v>
      </x:c>
      <x:c r="F729" s="8" t="str">
        <x:v>CAP</x:v>
      </x:c>
      <x:c r="G729" s="9" t="n">
        <x:v>2024</x:v>
      </x:c>
      <x:c r="H729" s="10" t="n">
        <x:v>129786</x:v>
      </x:c>
      <x:c r="I729" s="8" t="str">
        <x:v>100,000 and over</x:v>
      </x:c>
      <x:c r="J729" s="11" t="n">
        <x:v>313636870</x:v>
      </x:c>
      <x:c r="K729" s="11" t="n">
        <x:v>278424768</x:v>
      </x:c>
      <x:c r="L729" s="11" t="n">
        <x:v>35212102</x:v>
      </x:c>
      <x:c r="M729" s="12" t="n">
        <x:v>0.11227028888535968</x:v>
      </x:c>
      <x:c r="N729" s="11" t="n">
        <x:v>181156837</x:v>
      </x:c>
      <x:c r="O729" s="11" t="n">
        <x:v>96778545</x:v>
      </x:c>
      <x:c r="P729" s="11" t="n">
        <x:v>12347740</x:v>
      </x:c>
      <x:c r="Q729" s="11" t="n">
        <x:v>23353748</x:v>
      </x:c>
      <x:c r="R729" s="11" t="n">
        <x:v>248526718</x:v>
      </x:c>
      <x:c r="S729" s="11" t="n">
        <x:v>26341749</x:v>
      </x:c>
      <x:c r="T729" s="11" t="n">
        <x:v>325789409</x:v>
      </x:c>
      <x:c r="U729" s="11" t="n">
        <x:v>216391252</x:v>
      </x:c>
      <x:c r="V729" s="11" t="n">
        <x:v>138611033</x:v>
      </x:c>
      <x:c r="W729" s="11" t="n">
        <x:v>130979596</x:v>
      </x:c>
      <x:c r="X729" s="11" t="n">
        <x:v>57735841</x:v>
      </x:c>
      <x:c r="Y729" s="11" t="n">
        <x:v>30795770</x:v>
      </x:c>
      <x:c r="Z729" s="11" t="n">
        <x:v>5330952</x:v>
      </x:c>
      <x:c r="AA729" s="11" t="n">
        <x:v>82635420</x:v>
      </x:c>
      <x:c r="AB729" s="11" t="n">
        <x:v>3556301</x:v>
      </x:c>
      <x:c r="AC729" s="11" t="n">
        <x:v>8887253</x:v>
      </x:c>
      <x:c r="AD729" s="11" t="n">
        <x:v>72940809</x:v>
      </x:c>
      <x:c r="AE729" s="11" t="n">
        <x:v>56537806</x:v>
      </x:c>
      <x:c r="AF729" s="11" t="n">
        <x:v>291763236</x:v>
      </x:c>
      <x:c r="AG729" s="11" t="n">
        <x:v>1592564061</x:v>
      </x:c>
      <x:c r="AH729" s="11" t="n">
        <x:v>531378488</x:v>
      </x:c>
      <x:c r="AI729" s="11" t="n">
        <x:v>1061185573</x:v>
      </x:c>
      <x:c r="AJ729" s="11" t="n">
        <x:v>96417567</x:v>
      </x:c>
      <x:c r="AK729" s="11" t="n">
        <x:v>5626373172</x:v>
      </x:c>
      <x:c r="AL729" s="11" t="n">
        <x:v>92300000</x:v>
      </x:c>
      <x:c r="AM729" s="12" t="n">
        <x:v>0.9835951158626774</x:v>
      </x:c>
      <x:c r="AN729" s="12" t="n">
        <x:v>0.017136717393689434</x:v>
      </x:c>
      <x:c r="AO729" s="11" t="n">
        <x:v>282234890</x:v>
      </x:c>
      <x:c r="AP729" s="11" t="n">
        <x:v>278775277</x:v>
      </x:c>
      <x:c r="AQ729" s="12" t="n">
        <x:v>0.9877420789470784</x:v>
      </x:c>
      <x:c r="AR729" s="11" t="n">
        <x:v>2416.5693526266314</x:v>
      </x:c>
      <x:c r="AS729" s="11" t="n">
        <x:v>2145.260413295733</x:v>
      </x:c>
      <x:c r="AT729" s="11" t="n">
        <x:v>1067.9968024286134</x:v>
      </x:c>
      <x:c r="AU729" s="11" t="n">
        <x:v>1009.1966467877892</x:v>
      </x:c>
      <x:c r="AV729" s="11" t="n">
        <x:v>636.7051916231335</x:v>
      </x:c>
      <x:c r="AW729" s="11" t="n">
        <x:v>1.5055572070907932</x:v>
      </x:c>
      <x:c r="AX729" s="12" t="n">
        <x:v>0.7751189872325107</x:v>
      </x:c>
      <x:c r="AY729" s="11" t="n">
        <x:v>2926.770007924518</x:v>
      </x:c>
      <x:c r="AZ729" s="11" t="n">
        <x:v>3546.5079302077975</x:v>
      </x:c>
      <x:c r="BA729" s="11" t="n">
        <x:v>2253.2286473116947</x:v>
      </x:c>
      <x:c r="BB729" s="11" t="n">
        <x:v>2783.665107049771</x:v>
      </x:c>
      <x:c r="BC729" s="11" t="n">
        <x:v>505.31078643357574</x:v>
      </x:c>
      <x:c r="BD729" s="11" t="n">
        <x:v>2437.8724475115623</x:v>
      </x:c>
      <x:c r="BE729" s="11" t="n">
        <x:v>835.9639870535584</x:v>
      </x:c>
      <x:c r="BF729" s="11" t="n">
        <x:v>1604.3462673977224</x:v>
      </x:c>
      <x:c r="BG729" s="11" t="n">
        <x:v>1385.6199903478357</x:v>
      </x:c>
      <x:c r="BH729" s="11" t="n">
        <x:v>518.5374381567245</x:v>
      </x:c>
      <x:c r="BI729" s="11" t="n">
        <x:v>1.168434818156359</x:v>
      </x:c>
      <x:c r="BJ729" s="11" t="n">
        <x:v>1.7099330852451193</x:v>
      </x:c>
      <x:c r="BK729" s="12" t="n">
        <x:v>0.06451572223281492</x:v>
      </x:c>
      <x:c r="BL729" s="12" t="n">
        <x:v>0.02529861000232605</x:v>
      </x:c>
      <x:c r="BM729" s="12" t="n">
        <x:v>0.982732789016175</x:v>
      </x:c>
      <x:c r="BN729" s="12" t="n">
        <x:v>0.9815511712696461</x:v>
      </x:c>
      <x:c r="BO729" s="12" t="n">
        <x:v>0.742372553201734</x:v>
      </x:c>
      <x:c r="BP729" s="12" t="n">
        <x:v>0.8619101997275483</x:v>
      </x:c>
      <x:c r="BQ729" s="12" t="n">
        <x:v>0.9707950553258613</x:v>
      </x:c>
      <x:c r="BR729" s="12" t="n">
        <x:v>0.9623635142836453</x:v>
      </x:c>
      <x:c r="BS729" s="12" t="n">
        <x:v>0.21263543020394</x:v>
      </x:c>
      <x:c r="BT729" s="12" t="n">
        <x:v>0.19976549769108282</x:v>
      </x:c>
      <x:c r="BU729" s="11" t="n">
        <x:v>29000</x:v>
      </x:c>
      <x:c r="BV729" s="11" t="n">
        <x:v>6762101</x:v>
      </x:c>
      <x:c r="BW729" s="11" t="n">
        <x:v>5556639</x:v>
      </x:c>
      <x:c r="BX729" s="11" t="n">
        <x:v>13089433</x:v>
      </x:c>
      <x:c r="BY729" s="11" t="n">
        <x:v>0</x:v>
      </x:c>
      <x:c r="BZ729" s="11" t="n">
        <x:v>9896250</x:v>
      </x:c>
      <x:c r="CA729" s="11" t="n">
        <x:v>24292</x:v>
      </x:c>
      <x:c r="CB729" s="11" t="n">
        <x:v>343773</x:v>
      </x:c>
      <x:c r="CC729" s="11" t="n">
        <x:v>37139425</x:v>
      </x:c>
      <x:c r="CD729" s="11" t="n">
        <x:v>79354341</x:v>
      </x:c>
      <x:c r="CE729" s="11" t="n">
        <x:v>10003516</x:v>
      </x:c>
      <x:c r="CF729" s="11" t="n">
        <x:v>0</x:v>
      </x:c>
      <x:c r="CG729" s="11" t="n">
        <x:v>6425355</x:v>
      </x:c>
      <x:c r="CH729" s="11" t="n">
        <x:v>21734903</x:v>
      </x:c>
      <x:c r="CI729" s="11" t="n">
        <x:v>53678075</x:v>
      </x:c>
      <x:c r="CJ729" s="11" t="n">
        <x:v>20085195</x:v>
      </x:c>
      <x:c r="CK729" s="11" t="n">
        <x:v>22821549</x:v>
      </x:c>
      <x:c r="CL729" s="11" t="n">
        <x:v>0</x:v>
      </x:c>
      <x:c r="CM729" s="11" t="n">
        <x:v>326074</x:v>
      </x:c>
      <x:c r="CN729" s="11" t="n">
        <x:v>514586</x:v>
      </x:c>
      <x:c r="CO729" s="11" t="n">
        <x:v>0</x:v>
      </x:c>
      <x:c r="CP729" s="8"/>
      <x:c r="CQ729" s="8"/>
    </x:row>
    <x:row r="730">
      <x:c r="A730" s="8" t="str">
        <x:v>Salmo|2019</x:v>
      </x:c>
      <x:c r="B730" s="8" t="str">
        <x:v>salmo-v</x:v>
      </x:c>
      <x:c r="C730" s="8" t="str">
        <x:v>Salmo</x:v>
      </x:c>
      <x:c r="D730" s="8" t="str">
        <x:v>Salmo</x:v>
      </x:c>
      <x:c r="E730" s="8" t="str">
        <x:v>V</x:v>
      </x:c>
      <x:c r="F730" s="8" t="str">
        <x:v>CKO</x:v>
      </x:c>
      <x:c r="G730" s="9" t="n">
        <x:v>2019</x:v>
      </x:c>
      <x:c r="H730" s="10" t="n">
        <x:v>1247</x:v>
      </x:c>
      <x:c r="I730" s="8" t="str">
        <x:v>Under 5,000</x:v>
      </x:c>
      <x:c r="J730" s="11" t="n">
        <x:v>3224422</x:v>
      </x:c>
      <x:c r="K730" s="11" t="n">
        <x:v>1697214</x:v>
      </x:c>
      <x:c r="L730" s="11" t="n">
        <x:v>1527208</x:v>
      </x:c>
      <x:c r="M730" s="12" t="n">
        <x:v>0.4736377558520566</x:v>
      </x:c>
      <x:c r="N730" s="11" t="n">
        <x:v>420437</x:v>
      </x:c>
      <x:c r="O730" s="11" t="n">
        <x:v>650314</x:v>
      </x:c>
      <x:c r="P730" s="11" t="n">
        <x:v>2115246</x:v>
      </x:c>
      <x:c r="Q730" s="11" t="n">
        <x:v>38425</x:v>
      </x:c>
      <x:c r="R730" s="11" t="n">
        <x:v>1326553</x:v>
      </x:c>
      <x:c r="S730" s="11" t="n">
        <x:v>323783</x:v>
      </x:c>
      <x:c r="T730" s="11" t="n">
        <x:v>1268816</x:v>
      </x:c>
      <x:c r="U730" s="11" t="n">
        <x:v>1362309</x:v>
      </x:c>
      <x:c r="V730" s="11" t="n">
        <x:v>540863</x:v>
      </x:c>
      <x:c r="W730" s="11" t="n">
        <x:v>1354383</x:v>
      </x:c>
      <x:c r="X730" s="11" t="n">
        <x:v>991168</x:v>
      </x:c>
      <x:c r="Y730" s="11" t="n">
        <x:v>0</x:v>
      </x:c>
      <x:c r="Z730" s="11" t="n">
        <x:v>73437</x:v>
      </x:c>
      <x:c r="AA730" s="11" t="n">
        <x:v>908685</x:v>
      </x:c>
      <x:c r="AB730" s="11" t="n">
        <x:v>46878</x:v>
      </x:c>
      <x:c r="AC730" s="11" t="n">
        <x:v>120315</x:v>
      </x:c>
      <x:c r="AD730" s="11" t="n">
        <x:v>388081</x:v>
      </x:c>
      <x:c r="AE730" s="11" t="n">
        <x:v>267766</x:v>
      </x:c>
      <x:c r="AF730" s="11" t="n">
        <x:v>1552324</x:v>
      </x:c>
      <x:c r="AG730" s="11" t="n">
        <x:v>14744579</x:v>
      </x:c>
      <x:c r="AH730" s="11" t="n">
        <x:v>6164721</x:v>
      </x:c>
      <x:c r="AI730" s="11" t="n">
        <x:v>8579858</x:v>
      </x:c>
      <x:c r="AJ730" s="11" t="n">
        <x:v>1738391</x:v>
      </x:c>
      <x:c r="AK730" s="11" t="n">
        <x:v>3064420</x:v>
      </x:c>
      <x:c r="AL730" s="11" t="n">
        <x:v>0</x:v>
      </x:c>
      <x:c r="AM730" s="12" t="n">
        <x:v>1</x:v>
      </x:c>
      <x:c r="AN730" s="12" t="n">
        <x:v>0.5672822263266785</x:v>
      </x:c>
      <x:c r="AO730" s="11" t="n">
        <x:v>1108388</x:v>
      </x:c>
      <x:c r="AP730" s="11" t="n">
        <x:v>1027340</x:v>
      </x:c>
      <x:c r="AQ730" s="12" t="n">
        <x:v>0.926877591601497</x:v>
      </x:c>
      <x:c r="AR730" s="11" t="n">
        <x:v>2585.7433841218926</x:v>
      </x:c>
      <x:c r="AS730" s="11" t="n">
        <x:v>1361.0376904570971</x:v>
      </x:c>
      <x:c r="AT730" s="11" t="n">
        <x:v>433.73135525260625</x:v>
      </x:c>
      <x:c r="AU730" s="11" t="n">
        <x:v>1086.1130713712912</x:v>
      </x:c>
      <x:c r="AV730" s="11" t="n">
        <x:v>728.6968724939856</x:v>
      </x:c>
      <x:c r="AW730" s="11" t="n">
        <x:v>0.9313716638442526</x:v>
      </x:c>
      <x:c r="AX730" s="12" t="n">
        <x:v>0.6899745156294691</x:v>
      </x:c>
      <x:c r="AY730" s="11"/>
      <x:c r="AZ730" s="11"/>
      <x:c r="BA730" s="11"/>
      <x:c r="BB730" s="11"/>
      <x:c r="BC730" s="11"/>
      <x:c r="BD730" s="11"/>
      <x:c r="BE730" s="11"/>
      <x:c r="BF730" s="11"/>
      <x:c r="BG730" s="11"/>
      <x:c r="BH730" s="11"/>
      <x:c r="BI730" s="11"/>
      <x:c r="BJ730" s="11"/>
      <x:c r="BK730" s="12"/>
      <x:c r="BL730" s="12"/>
      <x:c r="BM730" s="12"/>
      <x:c r="BN730" s="12"/>
      <x:c r="BO730" s="12"/>
      <x:c r="BP730" s="12"/>
      <x:c r="BQ730" s="12"/>
      <x:c r="BR730" s="12"/>
      <x:c r="BS730" s="12"/>
      <x:c r="BT730" s="12"/>
      <x:c r="BU730" s="11" t="n">
        <x:v>208606</x:v>
      </x:c>
      <x:c r="BV730" s="11" t="n">
        <x:v>1674082</x:v>
      </x:c>
      <x:c r="BW730" s="11" t="n">
        <x:v>232558</x:v>
      </x:c>
      <x:c r="BX730" s="11" t="n">
        <x:v>38425</x:v>
      </x:c>
      <x:c r="BY730" s="11" t="n">
        <x:v>0</x:v>
      </x:c>
      <x:c r="BZ730" s="11" t="n">
        <x:v>0</x:v>
      </x:c>
      <x:c r="CA730" s="11" t="n">
        <x:v>0</x:v>
      </x:c>
      <x:c r="CB730" s="11" t="n">
        <x:v>0</x:v>
      </x:c>
      <x:c r="CC730" s="11" t="n">
        <x:v>393003</x:v>
      </x:c>
      <x:c r="CD730" s="11" t="n">
        <x:v>229656</x:v>
      </x:c>
      <x:c r="CE730" s="11" t="n">
        <x:v>99742</x:v>
      </x:c>
      <x:c r="CF730" s="11" t="n">
        <x:v>47692</x:v>
      </x:c>
      <x:c r="CG730" s="11" t="n">
        <x:v>0</x:v>
      </x:c>
      <x:c r="CH730" s="11" t="n">
        <x:v>255888</x:v>
      </x:c>
      <x:c r="CI730" s="11" t="n">
        <x:v>46101</x:v>
      </x:c>
      <x:c r="CJ730" s="11" t="n">
        <x:v>121732</x:v>
      </x:c>
      <x:c r="CK730" s="11" t="n">
        <x:v>179617</x:v>
      </x:c>
      <x:c r="CL730" s="11" t="n">
        <x:v>0</x:v>
      </x:c>
      <x:c r="CM730" s="11"/>
      <x:c r="CN730" s="11" t="n">
        <x:v>0</x:v>
      </x:c>
      <x:c r="CO730" s="11" t="n">
        <x:v>0</x:v>
      </x:c>
      <x:c r="CP730" s="8"/>
      <x:c r="CQ730" s="8"/>
    </x:row>
    <x:row r="731">
      <x:c r="A731" s="8" t="str">
        <x:v>Salmo|2020</x:v>
      </x:c>
      <x:c r="B731" s="8" t="str">
        <x:v>salmo-v</x:v>
      </x:c>
      <x:c r="C731" s="8" t="str">
        <x:v>Salmo</x:v>
      </x:c>
      <x:c r="D731" s="8" t="str">
        <x:v>Salmo</x:v>
      </x:c>
      <x:c r="E731" s="8" t="str">
        <x:v>V</x:v>
      </x:c>
      <x:c r="F731" s="8" t="str">
        <x:v>CKO</x:v>
      </x:c>
      <x:c r="G731" s="9" t="n">
        <x:v>2020</x:v>
      </x:c>
      <x:c r="H731" s="10" t="n">
        <x:v>1333</x:v>
      </x:c>
      <x:c r="I731" s="8" t="str">
        <x:v>Under 5,000</x:v>
      </x:c>
      <x:c r="J731" s="11" t="n">
        <x:v>2774197</x:v>
      </x:c>
      <x:c r="K731" s="11" t="n">
        <x:v>1830500</x:v>
      </x:c>
      <x:c r="L731" s="11" t="n">
        <x:v>943697</x:v>
      </x:c>
      <x:c r="M731" s="12" t="n">
        <x:v>0.3401694256031565</x:v>
      </x:c>
      <x:c r="N731" s="11" t="n">
        <x:v>425140</x:v>
      </x:c>
      <x:c r="O731" s="11" t="n">
        <x:v>658500</x:v>
      </x:c>
      <x:c r="P731" s="11" t="n">
        <x:v>1628648</x:v>
      </x:c>
      <x:c r="Q731" s="11" t="n">
        <x:v>61909</x:v>
      </x:c>
      <x:c r="R731" s="11" t="n">
        <x:v>1410417</x:v>
      </x:c>
      <x:c r="S731" s="11" t="n">
        <x:v>391828</x:v>
      </x:c>
      <x:c r="T731" s="11" t="n">
        <x:v>2079468</x:v>
      </x:c>
      <x:c r="U731" s="11" t="n">
        <x:v>1051125</x:v>
      </x:c>
      <x:c r="V731" s="11" t="n">
        <x:v>1436593</x:v>
      </x:c>
      <x:c r="W731" s="11" t="n">
        <x:v>1489145</x:v>
      </x:c>
      <x:c r="X731" s="11" t="n">
        <x:v>908685</x:v>
      </x:c>
      <x:c r="Y731" s="11" t="n">
        <x:v>0</x:v>
      </x:c>
      <x:c r="Z731" s="11" t="n">
        <x:v>76771</x:v>
      </x:c>
      <x:c r="AA731" s="11" t="n">
        <x:v>821575</x:v>
      </x:c>
      <x:c r="AB731" s="11" t="n">
        <x:v>28255</x:v>
      </x:c>
      <x:c r="AC731" s="11" t="n">
        <x:v>105026</x:v>
      </x:c>
      <x:c r="AD731" s="11" t="n">
        <x:v>394818</x:v>
      </x:c>
      <x:c r="AE731" s="11" t="n">
        <x:v>289792</x:v>
      </x:c>
      <x:c r="AF731" s="11" t="n">
        <x:v>1579270</x:v>
      </x:c>
      <x:c r="AG731" s="11" t="n">
        <x:v>15286199</x:v>
      </x:c>
      <x:c r="AH731" s="11" t="n">
        <x:v>6646546</x:v>
      </x:c>
      <x:c r="AI731" s="11" t="n">
        <x:v>8639653</x:v>
      </x:c>
      <x:c r="AJ731" s="11" t="n">
        <x:v>451623</x:v>
      </x:c>
      <x:c r="AK731" s="11" t="n">
        <x:v>1256899</x:v>
      </x:c>
      <x:c r="AL731" s="11" t="n">
        <x:v>0</x:v>
      </x:c>
      <x:c r="AM731" s="12" t="n">
        <x:v>1</x:v>
      </x:c>
      <x:c r="AN731" s="12" t="n">
        <x:v>0.35931526717739454</x:v>
      </x:c>
      <x:c r="AO731" s="11" t="n">
        <x:v>1153656</x:v>
      </x:c>
      <x:c r="AP731" s="11" t="n">
        <x:v>1073859</x:v>
      </x:c>
      <x:c r="AQ731" s="12" t="n">
        <x:v>0.9308312009819218</x:v>
      </x:c>
      <x:c r="AR731" s="11" t="n">
        <x:v>2081.1680420105026</x:v>
      </x:c>
      <x:c r="AS731" s="11" t="n">
        <x:v>1373.218304576144</x:v>
      </x:c>
      <x:c r="AT731" s="11" t="n">
        <x:v>1077.714178544636</x:v>
      </x:c>
      <x:c r="AU731" s="11" t="n">
        <x:v>1117.1380345086272</x:v>
      </x:c>
      <x:c r="AV731" s="11" t="n">
        <x:v>616.3353338334583</x:v>
      </x:c>
      <x:c r="AW731" s="11" t="n">
        <x:v>1.9783260792008561</x:v>
      </x:c>
      <x:c r="AX731" s="12" t="n">
        <x:v>0.7339888252308658</x:v>
      </x:c>
      <x:c r="AY731" s="11"/>
      <x:c r="AZ731" s="11"/>
      <x:c r="BA731" s="11"/>
      <x:c r="BB731" s="11"/>
      <x:c r="BC731" s="11"/>
      <x:c r="BD731" s="11"/>
      <x:c r="BE731" s="11"/>
      <x:c r="BF731" s="11"/>
      <x:c r="BG731" s="11"/>
      <x:c r="BH731" s="11"/>
      <x:c r="BI731" s="11"/>
      <x:c r="BJ731" s="11"/>
      <x:c r="BK731" s="12"/>
      <x:c r="BL731" s="12"/>
      <x:c r="BM731" s="12"/>
      <x:c r="BN731" s="12"/>
      <x:c r="BO731" s="12"/>
      <x:c r="BP731" s="12"/>
      <x:c r="BQ731" s="12"/>
      <x:c r="BR731" s="12"/>
      <x:c r="BS731" s="12"/>
      <x:c r="BT731" s="12"/>
      <x:c r="BU731" s="11" t="n">
        <x:v>103175</x:v>
      </x:c>
      <x:c r="BV731" s="11" t="n">
        <x:v>1252503</x:v>
      </x:c>
      <x:c r="BW731" s="11" t="n">
        <x:v>272970</x:v>
      </x:c>
      <x:c r="BX731" s="11" t="n">
        <x:v>37663</x:v>
      </x:c>
      <x:c r="BY731" s="11" t="n">
        <x:v>0</x:v>
      </x:c>
      <x:c r="BZ731" s="11" t="n">
        <x:v>0</x:v>
      </x:c>
      <x:c r="CA731" s="11" t="n">
        <x:v>24246</x:v>
      </x:c>
      <x:c r="CB731" s="11" t="n">
        <x:v>0</x:v>
      </x:c>
      <x:c r="CC731" s="11" t="n">
        <x:v>396127</x:v>
      </x:c>
      <x:c r="CD731" s="11" t="n">
        <x:v>221017</x:v>
      </x:c>
      <x:c r="CE731" s="11" t="n">
        <x:v>96137</x:v>
      </x:c>
      <x:c r="CF731" s="11" t="n">
        <x:v>42027</x:v>
      </x:c>
      <x:c r="CG731" s="11" t="n">
        <x:v>0</x:v>
      </x:c>
      <x:c r="CH731" s="11" t="n">
        <x:v>251174</x:v>
      </x:c>
      <x:c r="CI731" s="11" t="n">
        <x:v>75924</x:v>
      </x:c>
      <x:c r="CJ731" s="11" t="n">
        <x:v>156175</x:v>
      </x:c>
      <x:c r="CK731" s="11" t="n">
        <x:v>200091</x:v>
      </x:c>
      <x:c r="CL731" s="11" t="n">
        <x:v>0</x:v>
      </x:c>
      <x:c r="CM731" s="11"/>
      <x:c r="CN731" s="11" t="n">
        <x:v>0</x:v>
      </x:c>
      <x:c r="CO731" s="11" t="n">
        <x:v>0</x:v>
      </x:c>
      <x:c r="CP731" s="8"/>
      <x:c r="CQ731" s="8"/>
    </x:row>
    <x:row r="732">
      <x:c r="A732" s="8" t="str">
        <x:v>Salmo|2021</x:v>
      </x:c>
      <x:c r="B732" s="8" t="str">
        <x:v>salmo-v</x:v>
      </x:c>
      <x:c r="C732" s="8" t="str">
        <x:v>Salmo</x:v>
      </x:c>
      <x:c r="D732" s="8" t="str">
        <x:v>Salmo</x:v>
      </x:c>
      <x:c r="E732" s="8" t="str">
        <x:v>V</x:v>
      </x:c>
      <x:c r="F732" s="8" t="str">
        <x:v>CKO</x:v>
      </x:c>
      <x:c r="G732" s="9" t="n">
        <x:v>2021</x:v>
      </x:c>
      <x:c r="H732" s="10" t="n">
        <x:v>1327</x:v>
      </x:c>
      <x:c r="I732" s="8" t="str">
        <x:v>Under 5,000</x:v>
      </x:c>
      <x:c r="J732" s="11" t="n">
        <x:v>2070601</x:v>
      </x:c>
      <x:c r="K732" s="11" t="n">
        <x:v>1931644</x:v>
      </x:c>
      <x:c r="L732" s="11" t="n">
        <x:v>138957</x:v>
      </x:c>
      <x:c r="M732" s="12" t="n">
        <x:v>0.0671095010579054</x:v>
      </x:c>
      <x:c r="N732" s="11" t="n">
        <x:v>440853</x:v>
      </x:c>
      <x:c r="O732" s="11" t="n">
        <x:v>675662</x:v>
      </x:c>
      <x:c r="P732" s="11" t="n">
        <x:v>901164</x:v>
      </x:c>
      <x:c r="Q732" s="11" t="n">
        <x:v>52922</x:v>
      </x:c>
      <x:c r="R732" s="11" t="n">
        <x:v>1512266</x:v>
      </x:c>
      <x:c r="S732" s="11" t="n">
        <x:v>394587</x:v>
      </x:c>
      <x:c r="T732" s="11" t="n">
        <x:v>2408849</x:v>
      </x:c>
      <x:c r="U732" s="11" t="n">
        <x:v>967784</x:v>
      </x:c>
      <x:c r="V732" s="11" t="n">
        <x:v>1667477</x:v>
      </x:c>
      <x:c r="W732" s="11" t="n">
        <x:v>1724714</x:v>
      </x:c>
      <x:c r="X732" s="11" t="n">
        <x:v>821575</x:v>
      </x:c>
      <x:c r="Y732" s="11" t="n">
        <x:v>0</x:v>
      </x:c>
      <x:c r="Z732" s="11" t="n">
        <x:v>52045</x:v>
      </x:c>
      <x:c r="AA732" s="11" t="n">
        <x:v>757849</x:v>
      </x:c>
      <x:c r="AB732" s="11" t="n">
        <x:v>24791</x:v>
      </x:c>
      <x:c r="AC732" s="11" t="n">
        <x:v>76836</x:v>
      </x:c>
      <x:c r="AD732" s="11" t="n">
        <x:v>408442</x:v>
      </x:c>
      <x:c r="AE732" s="11" t="n">
        <x:v>331606</x:v>
      </x:c>
      <x:c r="AF732" s="11" t="n">
        <x:v>1633768</x:v>
      </x:c>
      <x:c r="AG732" s="11" t="n">
        <x:v>15391560</x:v>
      </x:c>
      <x:c r="AH732" s="11" t="n">
        <x:v>6852813</x:v>
      </x:c>
      <x:c r="AI732" s="11" t="n">
        <x:v>8538747</x:v>
      </x:c>
      <x:c r="AJ732" s="11" t="n">
        <x:v>293681</x:v>
      </x:c>
      <x:c r="AK732" s="11" t="n">
        <x:v>1256899</x:v>
      </x:c>
      <x:c r="AL732" s="11" t="n">
        <x:v>0</x:v>
      </x:c>
      <x:c r="AM732" s="12" t="n">
        <x:v>1</x:v>
      </x:c>
      <x:c r="AN732" s="12" t="n">
        <x:v>0.23365521016406252</x:v>
      </x:c>
      <x:c r="AO732" s="11" t="n">
        <x:v>1247614</x:v>
      </x:c>
      <x:c r="AP732" s="11" t="n">
        <x:v>1166942</x:v>
      </x:c>
      <x:c r="AQ732" s="12" t="n">
        <x:v>0.9353389750355479</x:v>
      </x:c>
      <x:c r="AR732" s="11" t="n">
        <x:v>1560.3624717407686</x:v>
      </x:c>
      <x:c r="AS732" s="11" t="n">
        <x:v>1455.6473247927656</x:v>
      </x:c>
      <x:c r="AT732" s="11" t="n">
        <x:v>1256.5764883195177</x:v>
      </x:c>
      <x:c r="AU732" s="11" t="n">
        <x:v>1299.709118311982</x:v>
      </x:c>
      <x:c r="AV732" s="11" t="n">
        <x:v>571.0994724943481</x:v>
      </x:c>
      <x:c r="AW732" s="11" t="n">
        <x:v>2.4890357765782447</x:v>
      </x:c>
      <x:c r="AX732" s="12" t="n">
        <x:v>0.8118802669656892</x:v>
      </x:c>
      <x:c r="AY732" s="11"/>
      <x:c r="AZ732" s="11"/>
      <x:c r="BA732" s="11"/>
      <x:c r="BB732" s="11"/>
      <x:c r="BC732" s="11"/>
      <x:c r="BD732" s="11"/>
      <x:c r="BE732" s="11"/>
      <x:c r="BF732" s="11"/>
      <x:c r="BG732" s="11"/>
      <x:c r="BH732" s="11"/>
      <x:c r="BI732" s="11"/>
      <x:c r="BJ732" s="11"/>
      <x:c r="BK732" s="12"/>
      <x:c r="BL732" s="12"/>
      <x:c r="BM732" s="12"/>
      <x:c r="BN732" s="12"/>
      <x:c r="BO732" s="12"/>
      <x:c r="BP732" s="12"/>
      <x:c r="BQ732" s="12"/>
      <x:c r="BR732" s="12"/>
      <x:c r="BS732" s="12"/>
      <x:c r="BT732" s="12"/>
      <x:c r="BU732" s="11" t="n">
        <x:v>211272</x:v>
      </x:c>
      <x:c r="BV732" s="11" t="n">
        <x:v>477027</x:v>
      </x:c>
      <x:c r="BW732" s="11" t="n">
        <x:v>212865</x:v>
      </x:c>
      <x:c r="BX732" s="11" t="n">
        <x:v>52922</x:v>
      </x:c>
      <x:c r="BY732" s="11" t="n">
        <x:v>0</x:v>
      </x:c>
      <x:c r="BZ732" s="11" t="n">
        <x:v>0</x:v>
      </x:c>
      <x:c r="CA732" s="11" t="n">
        <x:v>0</x:v>
      </x:c>
      <x:c r="CB732" s="11" t="n">
        <x:v>0</x:v>
      </x:c>
      <x:c r="CC732" s="11" t="n">
        <x:v>564825</x:v>
      </x:c>
      <x:c r="CD732" s="11" t="n">
        <x:v>98351</x:v>
      </x:c>
      <x:c r="CE732" s="11" t="n">
        <x:v>104269</x:v>
      </x:c>
      <x:c r="CF732" s="11" t="n">
        <x:v>36262</x:v>
      </x:c>
      <x:c r="CG732" s="11" t="n">
        <x:v>0</x:v>
      </x:c>
      <x:c r="CH732" s="11" t="n">
        <x:v>280591</x:v>
      </x:c>
      <x:c r="CI732" s="11" t="n">
        <x:v>48131</x:v>
      </x:c>
      <x:c r="CJ732" s="11" t="n">
        <x:v>148263</x:v>
      </x:c>
      <x:c r="CK732" s="11" t="n">
        <x:v>256365</x:v>
      </x:c>
      <x:c r="CL732" s="11" t="n">
        <x:v>0</x:v>
      </x:c>
      <x:c r="CM732" s="11"/>
      <x:c r="CN732" s="11" t="n">
        <x:v>0</x:v>
      </x:c>
      <x:c r="CO732" s="11" t="n">
        <x:v>0</x:v>
      </x:c>
      <x:c r="CP732" s="8"/>
      <x:c r="CQ732" s="8"/>
    </x:row>
    <x:row r="733">
      <x:c r="A733" s="8" t="str">
        <x:v>Salmo|2022</x:v>
      </x:c>
      <x:c r="B733" s="8" t="str">
        <x:v>salmo-v</x:v>
      </x:c>
      <x:c r="C733" s="8" t="str">
        <x:v>Salmo</x:v>
      </x:c>
      <x:c r="D733" s="8" t="str">
        <x:v>Salmo</x:v>
      </x:c>
      <x:c r="E733" s="8" t="str">
        <x:v>V</x:v>
      </x:c>
      <x:c r="F733" s="8" t="str">
        <x:v>CKO</x:v>
      </x:c>
      <x:c r="G733" s="9" t="n">
        <x:v>2022</x:v>
      </x:c>
      <x:c r="H733" s="10" t="n">
        <x:v>1397</x:v>
      </x:c>
      <x:c r="I733" s="8" t="str">
        <x:v>Under 5,000</x:v>
      </x:c>
      <x:c r="J733" s="11" t="n">
        <x:v>2076529</x:v>
      </x:c>
      <x:c r="K733" s="11" t="n">
        <x:v>1968774</x:v>
      </x:c>
      <x:c r="L733" s="11" t="n">
        <x:v>107755</x:v>
      </x:c>
      <x:c r="M733" s="12" t="n">
        <x:v>0.05189188304136374</x:v>
      </x:c>
      <x:c r="N733" s="11" t="n">
        <x:v>446830</x:v>
      </x:c>
      <x:c r="O733" s="11" t="n">
        <x:v>784568</x:v>
      </x:c>
      <x:c r="P733" s="11" t="n">
        <x:v>785840</x:v>
      </x:c>
      <x:c r="Q733" s="11" t="n">
        <x:v>59291</x:v>
      </x:c>
      <x:c r="R733" s="11" t="n">
        <x:v>1557006</x:v>
      </x:c>
      <x:c r="S733" s="11" t="n">
        <x:v>389217</x:v>
      </x:c>
      <x:c r="T733" s="11" t="n">
        <x:v>2230248</x:v>
      </x:c>
      <x:c r="U733" s="11" t="n">
        <x:v>968654</x:v>
      </x:c>
      <x:c r="V733" s="11" t="n">
        <x:v>1501436</x:v>
      </x:c>
      <x:c r="W733" s="11" t="n">
        <x:v>1375834</x:v>
      </x:c>
      <x:c r="X733" s="11" t="n">
        <x:v>757849</x:v>
      </x:c>
      <x:c r="Y733" s="11" t="n">
        <x:v>0</x:v>
      </x:c>
      <x:c r="Z733" s="11" t="n">
        <x:v>52582</x:v>
      </x:c>
      <x:c r="AA733" s="11" t="n">
        <x:v>692635</x:v>
      </x:c>
      <x:c r="AB733" s="11" t="n">
        <x:v>22551</x:v>
      </x:c>
      <x:c r="AC733" s="11" t="n">
        <x:v>75133</x:v>
      </x:c>
      <x:c r="AD733" s="11" t="n">
        <x:v>467764</x:v>
      </x:c>
      <x:c r="AE733" s="11" t="n">
        <x:v>392631</x:v>
      </x:c>
      <x:c r="AF733" s="11" t="n">
        <x:v>1871057</x:v>
      </x:c>
      <x:c r="AG733" s="11" t="n">
        <x:v>16056479</x:v>
      </x:c>
      <x:c r="AH733" s="11" t="n">
        <x:v>7242030</x:v>
      </x:c>
      <x:c r="AI733" s="11" t="n">
        <x:v>8814449</x:v>
      </x:c>
      <x:c r="AJ733" s="11" t="n">
        <x:v>664917</x:v>
      </x:c>
      <x:c r="AK733" s="11" t="n">
        <x:v>1256899</x:v>
      </x:c>
      <x:c r="AL733" s="11" t="n">
        <x:v>0</x:v>
      </x:c>
      <x:c r="AM733" s="12" t="n">
        <x:v>1</x:v>
      </x:c>
      <x:c r="AN733" s="12" t="n">
        <x:v>0.5290138666670909</x:v>
      </x:c>
      <x:c r="AO733" s="11" t="n">
        <x:v>1264985</x:v>
      </x:c>
      <x:c r="AP733" s="11" t="n">
        <x:v>1179013</x:v>
      </x:c>
      <x:c r="AQ733" s="12" t="n">
        <x:v>0.9320371387803017</x:v>
      </x:c>
      <x:c r="AR733" s="11" t="n">
        <x:v>1486.4201861130996</x:v>
      </x:c>
      <x:c r="AS733" s="11" t="n">
        <x:v>1409.2870436649964</x:v>
      </x:c>
      <x:c r="AT733" s="11" t="n">
        <x:v>1074.757337151038</x:v>
      </x:c>
      <x:c r="AU733" s="11" t="n">
        <x:v>984.8489620615605</x:v>
      </x:c>
      <x:c r="AV733" s="11" t="n">
        <x:v>495.8017179670723</x:v>
      </x:c>
      <x:c r="AW733" s="11" t="n">
        <x:v>2.302419646230749</x:v>
      </x:c>
      <x:c r="AX733" s="12" t="n">
        <x:v>0.8393784044945742</x:v>
      </x:c>
      <x:c r="AY733" s="11"/>
      <x:c r="AZ733" s="11"/>
      <x:c r="BA733" s="11"/>
      <x:c r="BB733" s="11"/>
      <x:c r="BC733" s="11"/>
      <x:c r="BD733" s="11"/>
      <x:c r="BE733" s="11"/>
      <x:c r="BF733" s="11"/>
      <x:c r="BG733" s="11"/>
      <x:c r="BH733" s="11"/>
      <x:c r="BI733" s="11"/>
      <x:c r="BJ733" s="11"/>
      <x:c r="BK733" s="12"/>
      <x:c r="BL733" s="12"/>
      <x:c r="BM733" s="12"/>
      <x:c r="BN733" s="12"/>
      <x:c r="BO733" s="12"/>
      <x:c r="BP733" s="12"/>
      <x:c r="BQ733" s="12"/>
      <x:c r="BR733" s="12"/>
      <x:c r="BS733" s="12"/>
      <x:c r="BT733" s="12"/>
      <x:c r="BU733" s="11" t="n">
        <x:v>3360</x:v>
      </x:c>
      <x:c r="BV733" s="11" t="n">
        <x:v>604203</x:v>
      </x:c>
      <x:c r="BW733" s="11" t="n">
        <x:v>178277</x:v>
      </x:c>
      <x:c r="BX733" s="11" t="n">
        <x:v>59291</x:v>
      </x:c>
      <x:c r="BY733" s="11" t="n">
        <x:v>0</x:v>
      </x:c>
      <x:c r="BZ733" s="11" t="n">
        <x:v>0</x:v>
      </x:c>
      <x:c r="CA733" s="11" t="n">
        <x:v>0</x:v>
      </x:c>
      <x:c r="CB733" s="11" t="n">
        <x:v>0</x:v>
      </x:c>
      <x:c r="CC733" s="11" t="n">
        <x:v>526300</x:v>
      </x:c>
      <x:c r="CD733" s="11" t="n">
        <x:v>102067</x:v>
      </x:c>
      <x:c r="CE733" s="11" t="n">
        <x:v>99132</x:v>
      </x:c>
      <x:c r="CF733" s="11" t="n">
        <x:v>0</x:v>
      </x:c>
      <x:c r="CG733" s="11" t="n">
        <x:v>0</x:v>
      </x:c>
      <x:c r="CH733" s="11" t="n">
        <x:v>327415</x:v>
      </x:c>
      <x:c r="CI733" s="11" t="n">
        <x:v>53015</x:v>
      </x:c>
      <x:c r="CJ733" s="11" t="n">
        <x:v>146643</x:v>
      </x:c>
      <x:c r="CK733" s="11" t="n">
        <x:v>293043</x:v>
      </x:c>
      <x:c r="CL733" s="11" t="n">
        <x:v>31942</x:v>
      </x:c>
      <x:c r="CM733" s="11"/>
      <x:c r="CN733" s="11" t="n">
        <x:v>0</x:v>
      </x:c>
      <x:c r="CO733" s="11" t="n">
        <x:v>0</x:v>
      </x:c>
      <x:c r="CP733" s="8"/>
      <x:c r="CQ733" s="8"/>
    </x:row>
    <x:row r="734">
      <x:c r="A734" s="8" t="str">
        <x:v>Salmo|2023</x:v>
      </x:c>
      <x:c r="B734" s="8" t="str">
        <x:v>salmo-v</x:v>
      </x:c>
      <x:c r="C734" s="8" t="str">
        <x:v>Salmo</x:v>
      </x:c>
      <x:c r="D734" s="8" t="str">
        <x:v>Salmo</x:v>
      </x:c>
      <x:c r="E734" s="8" t="str">
        <x:v>V</x:v>
      </x:c>
      <x:c r="F734" s="8" t="str">
        <x:v>CKO</x:v>
      </x:c>
      <x:c r="G734" s="9" t="n">
        <x:v>2023</x:v>
      </x:c>
      <x:c r="H734" s="10" t="n">
        <x:v>1437</x:v>
      </x:c>
      <x:c r="I734" s="8" t="str">
        <x:v>Under 5,000</x:v>
      </x:c>
      <x:c r="J734" s="11" t="n">
        <x:v>3219536</x:v>
      </x:c>
      <x:c r="K734" s="11" t="n">
        <x:v>1935988</x:v>
      </x:c>
      <x:c r="L734" s="11" t="n">
        <x:v>1283548</x:v>
      </x:c>
      <x:c r="M734" s="12" t="n">
        <x:v>0.39867484010118226</x:v>
      </x:c>
      <x:c r="N734" s="11" t="n">
        <x:v>478272</x:v>
      </x:c>
      <x:c r="O734" s="11" t="n">
        <x:v>823581</x:v>
      </x:c>
      <x:c r="P734" s="11" t="n">
        <x:v>1837613</x:v>
      </x:c>
      <x:c r="Q734" s="11" t="n">
        <x:v>80070</x:v>
      </x:c>
      <x:c r="R734" s="11" t="n">
        <x:v>1481570</x:v>
      </x:c>
      <x:c r="S734" s="11" t="n">
        <x:v>431877</x:v>
      </x:c>
      <x:c r="T734" s="11" t="n">
        <x:v>3341232</x:v>
      </x:c>
      <x:c r="U734" s="11" t="n">
        <x:v>1770438</x:v>
      </x:c>
      <x:c r="V734" s="11" t="n">
        <x:v>1863404</x:v>
      </x:c>
      <x:c r="W734" s="11" t="n">
        <x:v>2280008</x:v>
      </x:c>
      <x:c r="X734" s="11" t="n">
        <x:v>692635</x:v>
      </x:c>
      <x:c r="Y734" s="11" t="n">
        <x:v>0</x:v>
      </x:c>
      <x:c r="Z734" s="11" t="n">
        <x:v>44972</x:v>
      </x:c>
      <x:c r="AA734" s="11" t="n">
        <x:v>633628</x:v>
      </x:c>
      <x:c r="AB734" s="11" t="n">
        <x:v>22541</x:v>
      </x:c>
      <x:c r="AC734" s="11" t="n">
        <x:v>67513</x:v>
      </x:c>
      <x:c r="AD734" s="11" t="n">
        <x:v>456722</x:v>
      </x:c>
      <x:c r="AE734" s="11" t="n">
        <x:v>389209</x:v>
      </x:c>
      <x:c r="AF734" s="11" t="n">
        <x:v>1826888</x:v>
      </x:c>
      <x:c r="AG734" s="11" t="n">
        <x:v>17410463</x:v>
      </x:c>
      <x:c r="AH734" s="11" t="n">
        <x:v>7673907</x:v>
      </x:c>
      <x:c r="AI734" s="11" t="n">
        <x:v>9736556</x:v>
      </x:c>
      <x:c r="AJ734" s="11" t="n">
        <x:v>685894</x:v>
      </x:c>
      <x:c r="AK734" s="11" t="n">
        <x:v>1256899</x:v>
      </x:c>
      <x:c r="AL734" s="11" t="n">
        <x:v>0</x:v>
      </x:c>
      <x:c r="AM734" s="12" t="n">
        <x:v>1</x:v>
      </x:c>
      <x:c r="AN734" s="12" t="n">
        <x:v>0.5457033540483365</x:v>
      </x:c>
      <x:c r="AO734" s="11" t="n">
        <x:v>1390505</x:v>
      </x:c>
      <x:c r="AP734" s="11" t="n">
        <x:v>1311019</x:v>
      </x:c>
      <x:c r="AQ734" s="12" t="n">
        <x:v>0.9428365953376651</x:v>
      </x:c>
      <x:c r="AR734" s="11" t="n">
        <x:v>2240.4565066109953</x:v>
      </x:c>
      <x:c r="AS734" s="11" t="n">
        <x:v>1347.2428670842032</x:v>
      </x:c>
      <x:c r="AT734" s="11" t="n">
        <x:v>1296.73208072373</x:v>
      </x:c>
      <x:c r="AU734" s="11" t="n">
        <x:v>1586.6443980514962</x:v>
      </x:c>
      <x:c r="AV734" s="11" t="n">
        <x:v>440.93806541405706</x:v>
      </x:c>
      <x:c r="AW734" s="11" t="n">
        <x:v>1.8872346842984618</x:v>
      </x:c>
      <x:c r="AX734" s="12" t="n">
        <x:v>0.8521792249990148</x:v>
      </x:c>
      <x:c r="AY734" s="11"/>
      <x:c r="AZ734" s="11"/>
      <x:c r="BA734" s="11"/>
      <x:c r="BB734" s="11"/>
      <x:c r="BC734" s="11"/>
      <x:c r="BD734" s="11"/>
      <x:c r="BE734" s="11"/>
      <x:c r="BF734" s="11"/>
      <x:c r="BG734" s="11"/>
      <x:c r="BH734" s="11"/>
      <x:c r="BI734" s="11"/>
      <x:c r="BJ734" s="11"/>
      <x:c r="BK734" s="12"/>
      <x:c r="BL734" s="12"/>
      <x:c r="BM734" s="12"/>
      <x:c r="BN734" s="12"/>
      <x:c r="BO734" s="12"/>
      <x:c r="BP734" s="12"/>
      <x:c r="BQ734" s="12"/>
      <x:c r="BR734" s="12"/>
      <x:c r="BS734" s="12"/>
      <x:c r="BT734" s="12"/>
      <x:c r="BU734" s="11" t="n">
        <x:v>2950</x:v>
      </x:c>
      <x:c r="BV734" s="11" t="n">
        <x:v>1609847</x:v>
      </x:c>
      <x:c r="BW734" s="11" t="n">
        <x:v>224816</x:v>
      </x:c>
      <x:c r="BX734" s="11" t="n">
        <x:v>80070</x:v>
      </x:c>
      <x:c r="BY734" s="11" t="n">
        <x:v>0</x:v>
      </x:c>
      <x:c r="BZ734" s="11" t="n">
        <x:v>0</x:v>
      </x:c>
      <x:c r="CA734" s="11" t="n">
        <x:v>0</x:v>
      </x:c>
      <x:c r="CB734" s="11" t="n">
        <x:v>0</x:v>
      </x:c>
      <x:c r="CC734" s="11" t="n">
        <x:v>521806</x:v>
      </x:c>
      <x:c r="CD734" s="11" t="n">
        <x:v>108340</x:v>
      </x:c>
      <x:c r="CE734" s="11" t="n">
        <x:v>105655</x:v>
      </x:c>
      <x:c r="CF734" s="11" t="n">
        <x:v>0</x:v>
      </x:c>
      <x:c r="CG734" s="11" t="n">
        <x:v>0</x:v>
      </x:c>
      <x:c r="CH734" s="11" t="n">
        <x:v>214857</x:v>
      </x:c>
      <x:c r="CI734" s="11" t="n">
        <x:v>40696</x:v>
      </x:c>
      <x:c r="CJ734" s="11" t="n">
        <x:v>124463</x:v>
      </x:c>
      <x:c r="CK734" s="11" t="n">
        <x:v>320492</x:v>
      </x:c>
      <x:c r="CL734" s="11" t="n">
        <x:v>36201</x:v>
      </x:c>
      <x:c r="CM734" s="11" t="n">
        <x:v>31601</x:v>
      </x:c>
      <x:c r="CN734" s="11" t="n">
        <x:v>0</x:v>
      </x:c>
      <x:c r="CO734" s="11" t="n">
        <x:v>0</x:v>
      </x:c>
      <x:c r="CP734" s="8"/>
      <x:c r="CQ734" s="8"/>
    </x:row>
    <x:row r="735">
      <x:c r="A735" s="8" t="str">
        <x:v>Salmo|2024</x:v>
      </x:c>
      <x:c r="B735" s="8" t="str">
        <x:v>salmo-v</x:v>
      </x:c>
      <x:c r="C735" s="8" t="str">
        <x:v>Salmo</x:v>
      </x:c>
      <x:c r="D735" s="8" t="str">
        <x:v>Salmo</x:v>
      </x:c>
      <x:c r="E735" s="8" t="str">
        <x:v>V</x:v>
      </x:c>
      <x:c r="F735" s="8" t="str">
        <x:v>CKO</x:v>
      </x:c>
      <x:c r="G735" s="9" t="n">
        <x:v>2024</x:v>
      </x:c>
      <x:c r="H735" s="10" t="n">
        <x:v>1437</x:v>
      </x:c>
      <x:c r="I735" s="8" t="str">
        <x:v>Under 5,000</x:v>
      </x:c>
      <x:c r="J735" s="11" t="n">
        <x:v>2315275</x:v>
      </x:c>
      <x:c r="K735" s="11" t="n">
        <x:v>2237300</x:v>
      </x:c>
      <x:c r="L735" s="11" t="n">
        <x:v>77975</x:v>
      </x:c>
      <x:c r="M735" s="12" t="n">
        <x:v>0.033678504713263</x:v>
      </x:c>
      <x:c r="N735" s="11" t="n">
        <x:v>504983</x:v>
      </x:c>
      <x:c r="O735" s="11" t="n">
        <x:v>875261</x:v>
      </x:c>
      <x:c r="P735" s="11" t="n">
        <x:v>848589</x:v>
      </x:c>
      <x:c r="Q735" s="11" t="n">
        <x:v>86442</x:v>
      </x:c>
      <x:c r="R735" s="11" t="n">
        <x:v>1769599</x:v>
      </x:c>
      <x:c r="S735" s="11" t="n">
        <x:v>445581</x:v>
      </x:c>
      <x:c r="T735" s="11" t="n">
        <x:v>3884422</x:v>
      </x:c>
      <x:c r="U735" s="11" t="n">
        <x:v>2077240</x:v>
      </x:c>
      <x:c r="V735" s="11" t="n">
        <x:v>2017562</x:v>
      </x:c>
      <x:c r="W735" s="11" t="n">
        <x:v>2413707</x:v>
      </x:c>
      <x:c r="X735" s="11" t="n">
        <x:v>633628</x:v>
      </x:c>
      <x:c r="Y735" s="11" t="n">
        <x:v>0</x:v>
      </x:c>
      <x:c r="Z735" s="11" t="n">
        <x:v>23832</x:v>
      </x:c>
      <x:c r="AA735" s="11" t="n">
        <x:v>594305</x:v>
      </x:c>
      <x:c r="AB735" s="11" t="n">
        <x:v>22120</x:v>
      </x:c>
      <x:c r="AC735" s="11" t="n">
        <x:v>45952</x:v>
      </x:c>
      <x:c r="AD735" s="11" t="n">
        <x:v>487449</x:v>
      </x:c>
      <x:c r="AE735" s="11" t="n">
        <x:v>441497</x:v>
      </x:c>
      <x:c r="AF735" s="11" t="n">
        <x:v>1949795</x:v>
      </x:c>
      <x:c r="AG735" s="11" t="n">
        <x:v>17753862</x:v>
      </x:c>
      <x:c r="AH735" s="11" t="n">
        <x:v>8119489</x:v>
      </x:c>
      <x:c r="AI735" s="11" t="n">
        <x:v>9634373</x:v>
      </x:c>
      <x:c r="AJ735" s="11" t="n">
        <x:v>343399</x:v>
      </x:c>
      <x:c r="AK735" s="11" t="n">
        <x:v>27734279</x:v>
      </x:c>
      <x:c r="AL735" s="11" t="n">
        <x:v>408997</x:v>
      </x:c>
      <x:c r="AM735" s="12" t="n">
        <x:v>0.985253014870154</x:v>
      </x:c>
      <x:c r="AN735" s="12" t="n">
        <x:v>0.012381753280840652</x:v>
      </x:c>
      <x:c r="AO735" s="11" t="n">
        <x:v>1484263</x:v>
      </x:c>
      <x:c r="AP735" s="11" t="n">
        <x:v>1383418</x:v>
      </x:c>
      <x:c r="AQ735" s="12" t="n">
        <x:v>0.9320571893256114</x:v>
      </x:c>
      <x:c r="AR735" s="11" t="n">
        <x:v>1611.1864996520528</x:v>
      </x:c>
      <x:c r="AS735" s="11" t="n">
        <x:v>1556.9241475295755</x:v>
      </x:c>
      <x:c r="AT735" s="11" t="n">
        <x:v>1404.009742519137</x:v>
      </x:c>
      <x:c r="AU735" s="11" t="n">
        <x:v>1679.6847599164928</x:v>
      </x:c>
      <x:c r="AV735" s="11" t="n">
        <x:v>413.5734168406402</x:v>
      </x:c>
      <x:c r="AW735" s="11" t="n">
        <x:v>1.8699919123452273</x:v>
      </x:c>
      <x:c r="AX735" s="12" t="n">
        <x:v>0.9057296250479537</x:v>
      </x:c>
      <x:c r="AY735" s="11" t="n">
        <x:v>4648.097865362712</x:v>
      </x:c>
      <x:c r="AZ735" s="11" t="n">
        <x:v>3546.5079302077975</x:v>
      </x:c>
      <x:c r="BA735" s="11" t="n">
        <x:v>3428.422456291105</x:v>
      </x:c>
      <x:c r="BB735" s="11" t="n">
        <x:v>2783.665107049771</x:v>
      </x:c>
      <x:c r="BC735" s="11" t="n">
        <x:v>5030.364110900993</x:v>
      </x:c>
      <x:c r="BD735" s="11" t="n">
        <x:v>2437.8724475115623</x:v>
      </x:c>
      <x:c r="BE735" s="11" t="n">
        <x:v>2420.45</x:v>
      </x:c>
      <x:c r="BF735" s="11" t="n">
        <x:v>1604.3462673977224</x:v>
      </x:c>
      <x:c r="BG735" s="11" t="n">
        <x:v>224.31236112962716</x:v>
      </x:c>
      <x:c r="BH735" s="11" t="n">
        <x:v>518.5374381567245</x:v>
      </x:c>
      <x:c r="BI735" s="11" t="n">
        <x:v>2.204313821553219</x:v>
      </x:c>
      <x:c r="BJ735" s="11" t="n">
        <x:v>1.7099330852451193</x:v>
      </x:c>
      <x:c r="BK735" s="12" t="n">
        <x:v>0.030042455998363887</x:v>
      </x:c>
      <x:c r="BL735" s="12" t="n">
        <x:v>0.02529861000232605</x:v>
      </x:c>
      <x:c r="BM735" s="12" t="n">
        <x:v>0.9786113537119745</x:v>
      </x:c>
      <x:c r="BN735" s="12" t="n">
        <x:v>0.9815511712696461</x:v>
      </x:c>
      <x:c r="BO735" s="12" t="n">
        <x:v>0.9039920521842442</x:v>
      </x:c>
      <x:c r="BP735" s="12" t="n">
        <x:v>0.8619101997275483</x:v>
      </x:c>
      <x:c r="BQ735" s="12" t="n">
        <x:v>0.9333160528846489</x:v>
      </x:c>
      <x:c r="BR735" s="12" t="n">
        <x:v>0.9623635142836453</x:v>
      </x:c>
      <x:c r="BS735" s="12" t="n">
        <x:v>0.20869205825466772</x:v>
      </x:c>
      <x:c r="BT735" s="12" t="n">
        <x:v>0.19976549769108282</x:v>
      </x:c>
      <x:c r="BU735" s="11" t="n">
        <x:v>6790</x:v>
      </x:c>
      <x:c r="BV735" s="11" t="n">
        <x:v>752766</x:v>
      </x:c>
      <x:c r="BW735" s="11" t="n">
        <x:v>89033</x:v>
      </x:c>
      <x:c r="BX735" s="11" t="n">
        <x:v>86442</x:v>
      </x:c>
      <x:c r="BY735" s="11" t="n">
        <x:v>0</x:v>
      </x:c>
      <x:c r="BZ735" s="11" t="n">
        <x:v>0</x:v>
      </x:c>
      <x:c r="CA735" s="11" t="n">
        <x:v>0</x:v>
      </x:c>
      <x:c r="CB735" s="11" t="n">
        <x:v>0</x:v>
      </x:c>
      <x:c r="CC735" s="11" t="n">
        <x:v>691046</x:v>
      </x:c>
      <x:c r="CD735" s="11" t="n">
        <x:v>113945</x:v>
      </x:c>
      <x:c r="CE735" s="11" t="n">
        <x:v>113503</x:v>
      </x:c>
      <x:c r="CF735" s="11" t="n">
        <x:v>0</x:v>
      </x:c>
      <x:c r="CG735" s="11" t="n">
        <x:v>0</x:v>
      </x:c>
      <x:c r="CH735" s="11" t="n">
        <x:v>269194</x:v>
      </x:c>
      <x:c r="CI735" s="11" t="n">
        <x:v>51113</x:v>
      </x:c>
      <x:c r="CJ735" s="11" t="n">
        <x:v>150424</x:v>
      </x:c>
      <x:c r="CK735" s="11" t="n">
        <x:v>336483</x:v>
      </x:c>
      <x:c r="CL735" s="11" t="n">
        <x:v>32916</x:v>
      </x:c>
      <x:c r="CM735" s="11" t="n">
        <x:v>33095</x:v>
      </x:c>
      <x:c r="CN735" s="11" t="n">
        <x:v>0</x:v>
      </x:c>
      <x:c r="CO735" s="11" t="n">
        <x:v>0</x:v>
      </x:c>
      <x:c r="CP735" s="8"/>
      <x:c r="CQ735" s="8"/>
    </x:row>
    <x:row r="736">
      <x:c r="A736" s="8" t="str">
        <x:v>Salmon Arm|2019</x:v>
      </x:c>
      <x:c r="B736" s="8" t="str">
        <x:v>salmon-arm-c</x:v>
      </x:c>
      <x:c r="C736" s="8" t="str">
        <x:v>Salmon Arm</x:v>
      </x:c>
      <x:c r="D736" s="8" t="str">
        <x:v>Salmon Arm</x:v>
      </x:c>
      <x:c r="E736" s="8" t="str">
        <x:v>C</x:v>
      </x:c>
      <x:c r="F736" s="8" t="str">
        <x:v>COL</x:v>
      </x:c>
      <x:c r="G736" s="9" t="n">
        <x:v>2019</x:v>
      </x:c>
      <x:c r="H736" s="10" t="n">
        <x:v>19115</x:v>
      </x:c>
      <x:c r="I736" s="8" t="str">
        <x:v>5,000 to 19,999</x:v>
      </x:c>
      <x:c r="J736" s="11" t="n">
        <x:v>38019746</x:v>
      </x:c>
      <x:c r="K736" s="11" t="n">
        <x:v>31440875</x:v>
      </x:c>
      <x:c r="L736" s="11" t="n">
        <x:v>6578871</x:v>
      </x:c>
      <x:c r="M736" s="12" t="n">
        <x:v>0.1730382680620749</x:v>
      </x:c>
      <x:c r="N736" s="11" t="n">
        <x:v>22766323</x:v>
      </x:c>
      <x:c r="O736" s="11" t="n">
        <x:v>9251722</x:v>
      </x:c>
      <x:c r="P736" s="11" t="n">
        <x:v>1647892</x:v>
      </x:c>
      <x:c r="Q736" s="11" t="n">
        <x:v>4353809</x:v>
      </x:c>
      <x:c r="R736" s="11" t="n">
        <x:v>22117603</x:v>
      </x:c>
      <x:c r="S736" s="11" t="n">
        <x:v>7915698</x:v>
      </x:c>
      <x:c r="T736" s="11" t="n">
        <x:v>67970782</x:v>
      </x:c>
      <x:c r="U736" s="11" t="n">
        <x:v>51744822</x:v>
      </x:c>
      <x:c r="V736" s="11" t="n">
        <x:v>20085599</x:v>
      </x:c>
      <x:c r="W736" s="11" t="n">
        <x:v>10361959</x:v>
      </x:c>
      <x:c r="X736" s="11" t="n">
        <x:v>22407773</x:v>
      </x:c>
      <x:c r="Y736" s="11" t="n">
        <x:v>6145000</x:v>
      </x:c>
      <x:c r="Z736" s="11" t="n">
        <x:v>1316686</x:v>
      </x:c>
      <x:c r="AA736" s="11" t="n">
        <x:v>26388390</x:v>
      </x:c>
      <x:c r="AB736" s="11" t="n">
        <x:v>1407574</x:v>
      </x:c>
      <x:c r="AC736" s="11" t="n">
        <x:v>2724260</x:v>
      </x:c>
      <x:c r="AD736" s="11" t="n">
        <x:v>8203394</x:v>
      </x:c>
      <x:c r="AE736" s="11" t="n">
        <x:v>5423409</x:v>
      </x:c>
      <x:c r="AF736" s="11" t="n">
        <x:v>32813575</x:v>
      </x:c>
      <x:c r="AG736" s="11" t="n">
        <x:v>347738521</x:v>
      </x:c>
      <x:c r="AH736" s="11" t="n">
        <x:v>128588097</x:v>
      </x:c>
      <x:c r="AI736" s="11" t="n">
        <x:v>219150424</x:v>
      </x:c>
      <x:c r="AJ736" s="11" t="n">
        <x:v>9308640</x:v>
      </x:c>
      <x:c r="AK736" s="11" t="n">
        <x:v>40190839</x:v>
      </x:c>
      <x:c r="AL736" s="11" t="n">
        <x:v>0</x:v>
      </x:c>
      <x:c r="AM736" s="12" t="n">
        <x:v>1</x:v>
      </x:c>
      <x:c r="AN736" s="12" t="n">
        <x:v>0.23161098975813865</x:v>
      </x:c>
      <x:c r="AO736" s="11" t="n">
        <x:v>34445183</x:v>
      </x:c>
      <x:c r="AP736" s="11" t="n">
        <x:v>33622327</x:v>
      </x:c>
      <x:c r="AQ736" s="12" t="n">
        <x:v>0.9761111444813634</x:v>
      </x:c>
      <x:c r="AR736" s="11" t="n">
        <x:v>1989.000575464295</x:v>
      </x:c>
      <x:c r="AS736" s="11" t="n">
        <x:v>1644.8273607114832</x:v>
      </x:c>
      <x:c r="AT736" s="11" t="n">
        <x:v>1050.77682448339</x:v>
      </x:c>
      <x:c r="AU736" s="11" t="n">
        <x:v>542.0852210306042</x:v>
      </x:c>
      <x:c r="AV736" s="11" t="n">
        <x:v>1380.5069317290086</x:v>
      </x:c>
      <x:c r="AW736" s="11" t="n">
        <x:v>1.3135764966009547</x:v>
      </x:c>
      <x:c r="AX736" s="12" t="n">
        <x:v>0.6611177032335641</x:v>
      </x:c>
      <x:c r="AY736" s="11"/>
      <x:c r="AZ736" s="11"/>
      <x:c r="BA736" s="11"/>
      <x:c r="BB736" s="11"/>
      <x:c r="BC736" s="11"/>
      <x:c r="BD736" s="11"/>
      <x:c r="BE736" s="11"/>
      <x:c r="BF736" s="11"/>
      <x:c r="BG736" s="11"/>
      <x:c r="BH736" s="11"/>
      <x:c r="BI736" s="11"/>
      <x:c r="BJ736" s="11"/>
      <x:c r="BK736" s="12"/>
      <x:c r="BL736" s="12"/>
      <x:c r="BM736" s="12"/>
      <x:c r="BN736" s="12"/>
      <x:c r="BO736" s="12"/>
      <x:c r="BP736" s="12"/>
      <x:c r="BQ736" s="12"/>
      <x:c r="BR736" s="12"/>
      <x:c r="BS736" s="12"/>
      <x:c r="BT736" s="12"/>
      <x:c r="BU736" s="11" t="n">
        <x:v>0</x:v>
      </x:c>
      <x:c r="BV736" s="11" t="n">
        <x:v>483511</x:v>
      </x:c>
      <x:c r="BW736" s="11" t="n">
        <x:v>1164381</x:v>
      </x:c>
      <x:c r="BX736" s="11" t="n">
        <x:v>1777816</x:v>
      </x:c>
      <x:c r="BY736" s="11" t="n">
        <x:v>0</x:v>
      </x:c>
      <x:c r="BZ736" s="11" t="n">
        <x:v>2233115</x:v>
      </x:c>
      <x:c r="CA736" s="11" t="n">
        <x:v>245571</x:v>
      </x:c>
      <x:c r="CB736" s="11" t="n">
        <x:v>97307</x:v>
      </x:c>
      <x:c r="CC736" s="11" t="n">
        <x:v>4014534</x:v>
      </x:c>
      <x:c r="CD736" s="11" t="n">
        <x:v>4927973</x:v>
      </x:c>
      <x:c r="CE736" s="11" t="n">
        <x:v>0</x:v>
      </x:c>
      <x:c r="CF736" s="11" t="n">
        <x:v>1417534</x:v>
      </x:c>
      <x:c r="CG736" s="11" t="n">
        <x:v>1304274</x:v>
      </x:c>
      <x:c r="CH736" s="11" t="n">
        <x:v>4719290</x:v>
      </x:c>
      <x:c r="CI736" s="11" t="n">
        <x:v>2962374</x:v>
      </x:c>
      <x:c r="CJ736" s="11" t="n">
        <x:v>2479793</x:v>
      </x:c>
      <x:c r="CK736" s="11" t="n">
        <x:v>1699405</x:v>
      </x:c>
      <x:c r="CL736" s="11" t="n">
        <x:v>0</x:v>
      </x:c>
      <x:c r="CM736" s="11"/>
      <x:c r="CN736" s="11" t="n">
        <x:v>0</x:v>
      </x:c>
      <x:c r="CO736" s="11" t="n">
        <x:v>0</x:v>
      </x:c>
      <x:c r="CP736" s="8"/>
      <x:c r="CQ736" s="8"/>
    </x:row>
    <x:row r="737">
      <x:c r="A737" s="8" t="str">
        <x:v>Salmon Arm|2020</x:v>
      </x:c>
      <x:c r="B737" s="8" t="str">
        <x:v>salmon-arm-c</x:v>
      </x:c>
      <x:c r="C737" s="8" t="str">
        <x:v>Salmon Arm</x:v>
      </x:c>
      <x:c r="D737" s="8" t="str">
        <x:v>Salmon Arm</x:v>
      </x:c>
      <x:c r="E737" s="8" t="str">
        <x:v>C</x:v>
      </x:c>
      <x:c r="F737" s="8" t="str">
        <x:v>COL</x:v>
      </x:c>
      <x:c r="G737" s="9" t="n">
        <x:v>2020</x:v>
      </x:c>
      <x:c r="H737" s="10" t="n">
        <x:v>19296</x:v>
      </x:c>
      <x:c r="I737" s="8" t="str">
        <x:v>5,000 to 19,999</x:v>
      </x:c>
      <x:c r="J737" s="11" t="n">
        <x:v>38917911</x:v>
      </x:c>
      <x:c r="K737" s="11" t="n">
        <x:v>31739152</x:v>
      </x:c>
      <x:c r="L737" s="11" t="n">
        <x:v>7178759</x:v>
      </x:c>
      <x:c r="M737" s="12" t="n">
        <x:v>0.18445900140940247</x:v>
      </x:c>
      <x:c r="N737" s="11" t="n">
        <x:v>23033119</x:v>
      </x:c>
      <x:c r="O737" s="11" t="n">
        <x:v>8992340</x:v>
      </x:c>
      <x:c r="P737" s="11" t="n">
        <x:v>5126962</x:v>
      </x:c>
      <x:c r="Q737" s="11" t="n">
        <x:v>1765490</x:v>
      </x:c>
      <x:c r="R737" s="11" t="n">
        <x:v>22520318</x:v>
      </x:c>
      <x:c r="S737" s="11" t="n">
        <x:v>7897010</x:v>
      </x:c>
      <x:c r="T737" s="11" t="n">
        <x:v>79637093</x:v>
      </x:c>
      <x:c r="U737" s="11" t="n">
        <x:v>54209320</x:v>
      </x:c>
      <x:c r="V737" s="11" t="n">
        <x:v>29490034</x:v>
      </x:c>
      <x:c r="W737" s="11" t="n">
        <x:v>11347661</x:v>
      </x:c>
      <x:c r="X737" s="11" t="n">
        <x:v>26388390</x:v>
      </x:c>
      <x:c r="Y737" s="11" t="n">
        <x:v>845000</x:v>
      </x:c>
      <x:c r="Z737" s="11" t="n">
        <x:v>2007896</x:v>
      </x:c>
      <x:c r="AA737" s="11" t="n">
        <x:v>24652434</x:v>
      </x:c>
      <x:c r="AB737" s="11" t="n">
        <x:v>1321824</x:v>
      </x:c>
      <x:c r="AC737" s="11" t="n">
        <x:v>3329720</x:v>
      </x:c>
      <x:c r="AD737" s="11" t="n">
        <x:v>8140434</x:v>
      </x:c>
      <x:c r="AE737" s="11" t="n">
        <x:v>4749297</x:v>
      </x:c>
      <x:c r="AF737" s="11" t="n">
        <x:v>32561735</x:v>
      </x:c>
      <x:c r="AG737" s="11" t="n">
        <x:v>352940880</x:v>
      </x:c>
      <x:c r="AH737" s="11" t="n">
        <x:v>132084999</x:v>
      </x:c>
      <x:c r="AI737" s="11" t="n">
        <x:v>220855881</x:v>
      </x:c>
      <x:c r="AJ737" s="11" t="n">
        <x:v>5477731</x:v>
      </x:c>
      <x:c r="AK737" s="11" t="n">
        <x:v>42063300</x:v>
      </x:c>
      <x:c r="AL737" s="11" t="n">
        <x:v>0</x:v>
      </x:c>
      <x:c r="AM737" s="12" t="n">
        <x:v>1</x:v>
      </x:c>
      <x:c r="AN737" s="12" t="n">
        <x:v>0.1302258976352307</x:v>
      </x:c>
      <x:c r="AO737" s="11" t="n">
        <x:v>34445332</x:v>
      </x:c>
      <x:c r="AP737" s="11" t="n">
        <x:v>33603131</x:v>
      </x:c>
      <x:c r="AQ737" s="12" t="n">
        <x:v>0.975549633256547</x:v>
      </x:c>
      <x:c r="AR737" s="11" t="n">
        <x:v>2016.890080845771</x:v>
      </x:c>
      <x:c r="AS737" s="11" t="n">
        <x:v>1644.856550580431</x:v>
      </x:c>
      <x:c r="AT737" s="11" t="n">
        <x:v>1528.2977819237149</x:v>
      </x:c>
      <x:c r="AU737" s="11" t="n">
        <x:v>588.0835924543946</x:v>
      </x:c>
      <x:c r="AV737" s="11" t="n">
        <x:v>1277.5929726368158</x:v>
      </x:c>
      <x:c r="AW737" s="11" t="n">
        <x:v>1.469066444663021</x:v>
      </x:c>
      <x:c r="AX737" s="12" t="n">
        <x:v>0.5834206136920955</x:v>
      </x:c>
      <x:c r="AY737" s="11"/>
      <x:c r="AZ737" s="11"/>
      <x:c r="BA737" s="11"/>
      <x:c r="BB737" s="11"/>
      <x:c r="BC737" s="11"/>
      <x:c r="BD737" s="11"/>
      <x:c r="BE737" s="11"/>
      <x:c r="BF737" s="11"/>
      <x:c r="BG737" s="11"/>
      <x:c r="BH737" s="11"/>
      <x:c r="BI737" s="11"/>
      <x:c r="BJ737" s="11"/>
      <x:c r="BK737" s="12"/>
      <x:c r="BL737" s="12"/>
      <x:c r="BM737" s="12"/>
      <x:c r="BN737" s="12"/>
      <x:c r="BO737" s="12"/>
      <x:c r="BP737" s="12"/>
      <x:c r="BQ737" s="12"/>
      <x:c r="BR737" s="12"/>
      <x:c r="BS737" s="12"/>
      <x:c r="BT737" s="12"/>
      <x:c r="BU737" s="11" t="n">
        <x:v>0</x:v>
      </x:c>
      <x:c r="BV737" s="11" t="n">
        <x:v>4532833</x:v>
      </x:c>
      <x:c r="BW737" s="11" t="n">
        <x:v>594129</x:v>
      </x:c>
      <x:c r="BX737" s="11" t="n">
        <x:v>1053431</x:v>
      </x:c>
      <x:c r="BY737" s="11" t="n">
        <x:v>0</x:v>
      </x:c>
      <x:c r="BZ737" s="11" t="n">
        <x:v>616619</x:v>
      </x:c>
      <x:c r="CA737" s="11" t="n">
        <x:v>2617</x:v>
      </x:c>
      <x:c r="CB737" s="11" t="n">
        <x:v>92823</x:v>
      </x:c>
      <x:c r="CC737" s="11" t="n">
        <x:v>4242897</x:v>
      </x:c>
      <x:c r="CD737" s="11" t="n">
        <x:v>5183214</x:v>
      </x:c>
      <x:c r="CE737" s="11" t="n">
        <x:v>0</x:v>
      </x:c>
      <x:c r="CF737" s="11" t="n">
        <x:v>1245794</x:v>
      </x:c>
      <x:c r="CG737" s="11" t="n">
        <x:v>1269852</x:v>
      </x:c>
      <x:c r="CH737" s="11" t="n">
        <x:v>4799733</x:v>
      </x:c>
      <x:c r="CI737" s="11" t="n">
        <x:v>2976197</x:v>
      </x:c>
      <x:c r="CJ737" s="11" t="n">
        <x:v>2342092</x:v>
      </x:c>
      <x:c r="CK737" s="11" t="n">
        <x:v>1782363</x:v>
      </x:c>
      <x:c r="CL737" s="11" t="n">
        <x:v>0</x:v>
      </x:c>
      <x:c r="CM737" s="11"/>
      <x:c r="CN737" s="11" t="n">
        <x:v>0</x:v>
      </x:c>
      <x:c r="CO737" s="11" t="n">
        <x:v>0</x:v>
      </x:c>
      <x:c r="CP737" s="8"/>
      <x:c r="CQ737" s="8"/>
    </x:row>
    <x:row r="738">
      <x:c r="A738" s="8" t="str">
        <x:v>Salmon Arm|2021</x:v>
      </x:c>
      <x:c r="B738" s="8" t="str">
        <x:v>salmon-arm-c</x:v>
      </x:c>
      <x:c r="C738" s="8" t="str">
        <x:v>Salmon Arm</x:v>
      </x:c>
      <x:c r="D738" s="8" t="str">
        <x:v>Salmon Arm</x:v>
      </x:c>
      <x:c r="E738" s="8" t="str">
        <x:v>C</x:v>
      </x:c>
      <x:c r="F738" s="8" t="str">
        <x:v>COL</x:v>
      </x:c>
      <x:c r="G738" s="9" t="n">
        <x:v>2021</x:v>
      </x:c>
      <x:c r="H738" s="10" t="n">
        <x:v>19825</x:v>
      </x:c>
      <x:c r="I738" s="8" t="str">
        <x:v>5,000 to 19,999</x:v>
      </x:c>
      <x:c r="J738" s="11" t="n">
        <x:v>41393922</x:v>
      </x:c>
      <x:c r="K738" s="11" t="n">
        <x:v>34354349</x:v>
      </x:c>
      <x:c r="L738" s="11" t="n">
        <x:v>7039573</x:v>
      </x:c>
      <x:c r="M738" s="12" t="n">
        <x:v>0.17006296238370455</x:v>
      </x:c>
      <x:c r="N738" s="11" t="n">
        <x:v>23620518</x:v>
      </x:c>
      <x:c r="O738" s="11" t="n">
        <x:v>9962185</x:v>
      </x:c>
      <x:c r="P738" s="11" t="n">
        <x:v>1586806</x:v>
      </x:c>
      <x:c r="Q738" s="11" t="n">
        <x:v>6224413</x:v>
      </x:c>
      <x:c r="R738" s="11" t="n">
        <x:v>24893346</x:v>
      </x:c>
      <x:c r="S738" s="11" t="n">
        <x:v>8196572</x:v>
      </x:c>
      <x:c r="T738" s="11" t="n">
        <x:v>79912612</x:v>
      </x:c>
      <x:c r="U738" s="11" t="n">
        <x:v>56205752</x:v>
      </x:c>
      <x:c r="V738" s="11" t="n">
        <x:v>29198945</x:v>
      </x:c>
      <x:c r="W738" s="11" t="n">
        <x:v>11562421</x:v>
      </x:c>
      <x:c r="X738" s="11" t="n">
        <x:v>24652435</x:v>
      </x:c>
      <x:c r="Y738" s="11" t="n">
        <x:v>0</x:v>
      </x:c>
      <x:c r="Z738" s="11" t="n">
        <x:v>1204159</x:v>
      </x:c>
      <x:c r="AA738" s="11" t="n">
        <x:v>22813105</x:v>
      </x:c>
      <x:c r="AB738" s="11" t="n">
        <x:v>1264431</x:v>
      </x:c>
      <x:c r="AC738" s="11" t="n">
        <x:v>2468590</x:v>
      </x:c>
      <x:c r="AD738" s="11" t="n">
        <x:v>8415006</x:v>
      </x:c>
      <x:c r="AE738" s="11" t="n">
        <x:v>5882029</x:v>
      </x:c>
      <x:c r="AF738" s="11" t="n">
        <x:v>33660022</x:v>
      </x:c>
      <x:c r="AG738" s="11" t="n">
        <x:v>367978807</x:v>
      </x:c>
      <x:c r="AH738" s="11" t="n">
        <x:v>140084613</x:v>
      </x:c>
      <x:c r="AI738" s="11" t="n">
        <x:v>227894194</x:v>
      </x:c>
      <x:c r="AJ738" s="11" t="n">
        <x:v>15461881</x:v>
      </x:c>
      <x:c r="AK738" s="11" t="n">
        <x:v>47745984</x:v>
      </x:c>
      <x:c r="AL738" s="11" t="n">
        <x:v>0</x:v>
      </x:c>
      <x:c r="AM738" s="12" t="n">
        <x:v>1</x:v>
      </x:c>
      <x:c r="AN738" s="12" t="n">
        <x:v>0.32383626233360274</x:v>
      </x:c>
      <x:c r="AO738" s="11" t="n">
        <x:v>36466482</x:v>
      </x:c>
      <x:c r="AP738" s="11" t="n">
        <x:v>35913677</x:v>
      </x:c>
      <x:c r="AQ738" s="12" t="n">
        <x:v>0.9848407367620491</x:v>
      </x:c>
      <x:c r="AR738" s="11" t="n">
        <x:v>2087.9658007566204</x:v>
      </x:c>
      <x:c r="AS738" s="11" t="n">
        <x:v>1732.8801513240858</x:v>
      </x:c>
      <x:c r="AT738" s="11" t="n">
        <x:v>1472.834552332913</x:v>
      </x:c>
      <x:c r="AU738" s="11" t="n">
        <x:v>583.224262295082</x:v>
      </x:c>
      <x:c r="AV738" s="11" t="n">
        <x:v>1150.7240857503152</x:v>
      </x:c>
      <x:c r="AW738" s="11" t="n">
        <x:v>1.4217870797280676</x:v>
      </x:c>
      <x:c r="AX738" s="12" t="n">
        <x:v>0.698992846826253</x:v>
      </x:c>
      <x:c r="AY738" s="11"/>
      <x:c r="AZ738" s="11"/>
      <x:c r="BA738" s="11"/>
      <x:c r="BB738" s="11"/>
      <x:c r="BC738" s="11"/>
      <x:c r="BD738" s="11"/>
      <x:c r="BE738" s="11"/>
      <x:c r="BF738" s="11"/>
      <x:c r="BG738" s="11"/>
      <x:c r="BH738" s="11"/>
      <x:c r="BI738" s="11"/>
      <x:c r="BJ738" s="11"/>
      <x:c r="BK738" s="12"/>
      <x:c r="BL738" s="12"/>
      <x:c r="BM738" s="12"/>
      <x:c r="BN738" s="12"/>
      <x:c r="BO738" s="12"/>
      <x:c r="BP738" s="12"/>
      <x:c r="BQ738" s="12"/>
      <x:c r="BR738" s="12"/>
      <x:c r="BS738" s="12"/>
      <x:c r="BT738" s="12"/>
      <x:c r="BU738" s="11" t="n">
        <x:v>0</x:v>
      </x:c>
      <x:c r="BV738" s="11" t="n">
        <x:v>1295968</x:v>
      </x:c>
      <x:c r="BW738" s="11" t="n">
        <x:v>290838</x:v>
      </x:c>
      <x:c r="BX738" s="11" t="n">
        <x:v>769013</x:v>
      </x:c>
      <x:c r="BY738" s="11" t="n">
        <x:v>0</x:v>
      </x:c>
      <x:c r="BZ738" s="11" t="n">
        <x:v>5381703</x:v>
      </x:c>
      <x:c r="CA738" s="11" t="n">
        <x:v>0</x:v>
      </x:c>
      <x:c r="CB738" s="11" t="n">
        <x:v>73697</x:v>
      </x:c>
      <x:c r="CC738" s="11" t="n">
        <x:v>4742409</x:v>
      </x:c>
      <x:c r="CD738" s="11" t="n">
        <x:v>5959694</x:v>
      </x:c>
      <x:c r="CE738" s="11" t="n">
        <x:v>0</x:v>
      </x:c>
      <x:c r="CF738" s="11" t="n">
        <x:v>1183841</x:v>
      </x:c>
      <x:c r="CG738" s="11" t="n">
        <x:v>1422508</x:v>
      </x:c>
      <x:c r="CH738" s="11" t="n">
        <x:v>4853510</x:v>
      </x:c>
      <x:c r="CI738" s="11" t="n">
        <x:v>3348824</x:v>
      </x:c>
      <x:c r="CJ738" s="11" t="n">
        <x:v>2620408</x:v>
      </x:c>
      <x:c r="CK738" s="11" t="n">
        <x:v>1982410</x:v>
      </x:c>
      <x:c r="CL738" s="11" t="n">
        <x:v>0</x:v>
      </x:c>
      <x:c r="CM738" s="11"/>
      <x:c r="CN738" s="11" t="n">
        <x:v>44173</x:v>
      </x:c>
      <x:c r="CO738" s="11" t="n">
        <x:v>0</x:v>
      </x:c>
      <x:c r="CP738" s="8"/>
      <x:c r="CQ738" s="8"/>
    </x:row>
    <x:row r="739">
      <x:c r="A739" s="8" t="str">
        <x:v>Salmon Arm|2022</x:v>
      </x:c>
      <x:c r="B739" s="8" t="str">
        <x:v>salmon-arm-c</x:v>
      </x:c>
      <x:c r="C739" s="8" t="str">
        <x:v>Salmon Arm</x:v>
      </x:c>
      <x:c r="D739" s="8" t="str">
        <x:v>Salmon Arm</x:v>
      </x:c>
      <x:c r="E739" s="8" t="str">
        <x:v>C</x:v>
      </x:c>
      <x:c r="F739" s="8" t="str">
        <x:v>COL</x:v>
      </x:c>
      <x:c r="G739" s="9" t="n">
        <x:v>2022</x:v>
      </x:c>
      <x:c r="H739" s="10" t="n">
        <x:v>20103</x:v>
      </x:c>
      <x:c r="I739" s="8" t="str">
        <x:v>20,000 to 99,999</x:v>
      </x:c>
      <x:c r="J739" s="11" t="n">
        <x:v>47719272</x:v>
      </x:c>
      <x:c r="K739" s="11" t="n">
        <x:v>35194678</x:v>
      </x:c>
      <x:c r="L739" s="11" t="n">
        <x:v>12524594</x:v>
      </x:c>
      <x:c r="M739" s="12" t="n">
        <x:v>0.26246406273758743</x:v>
      </x:c>
      <x:c r="N739" s="11" t="n">
        <x:v>24796148</x:v>
      </x:c>
      <x:c r="O739" s="11" t="n">
        <x:v>10289423</x:v>
      </x:c>
      <x:c r="P739" s="11" t="n">
        <x:v>6940713</x:v>
      </x:c>
      <x:c r="Q739" s="11" t="n">
        <x:v>5692988</x:v>
      </x:c>
      <x:c r="R739" s="11" t="n">
        <x:v>25299921</x:v>
      </x:c>
      <x:c r="S739" s="11" t="n">
        <x:v>8608968</x:v>
      </x:c>
      <x:c r="T739" s="11" t="n">
        <x:v>74673888</x:v>
      </x:c>
      <x:c r="U739" s="11" t="n">
        <x:v>51480336</x:v>
      </x:c>
      <x:c r="V739" s="11" t="n">
        <x:v>30174509</x:v>
      </x:c>
      <x:c r="W739" s="11" t="n">
        <x:v>11198484</x:v>
      </x:c>
      <x:c r="X739" s="11" t="n">
        <x:v>22813102</x:v>
      </x:c>
      <x:c r="Y739" s="11" t="n">
        <x:v>730000</x:v>
      </x:c>
      <x:c r="Z739" s="11" t="n">
        <x:v>1204278</x:v>
      </x:c>
      <x:c r="AA739" s="11" t="n">
        <x:v>21634358</x:v>
      </x:c>
      <x:c r="AB739" s="11" t="n">
        <x:v>1285789</x:v>
      </x:c>
      <x:c r="AC739" s="11" t="n">
        <x:v>2490067</x:v>
      </x:c>
      <x:c r="AD739" s="11" t="n">
        <x:v>9024501</x:v>
      </x:c>
      <x:c r="AE739" s="11" t="n">
        <x:v>6328763</x:v>
      </x:c>
      <x:c r="AF739" s="11" t="n">
        <x:v>36098002</x:v>
      </x:c>
      <x:c r="AG739" s="11" t="n">
        <x:v>387995448</x:v>
      </x:c>
      <x:c r="AH739" s="11" t="n">
        <x:v>148287925</x:v>
      </x:c>
      <x:c r="AI739" s="11" t="n">
        <x:v>239707523</x:v>
      </x:c>
      <x:c r="AJ739" s="11" t="n">
        <x:v>20506125</x:v>
      </x:c>
      <x:c r="AK739" s="11" t="n">
        <x:v>60004025</x:v>
      </x:c>
      <x:c r="AL739" s="11" t="n">
        <x:v>0</x:v>
      </x:c>
      <x:c r="AM739" s="12" t="n">
        <x:v>1</x:v>
      </x:c>
      <x:c r="AN739" s="12" t="n">
        <x:v>0.3417458245509364</x:v>
      </x:c>
      <x:c r="AO739" s="11" t="n">
        <x:v>38016393</x:v>
      </x:c>
      <x:c r="AP739" s="11" t="n">
        <x:v>37320266</x:v>
      </x:c>
      <x:c r="AQ739" s="12" t="n">
        <x:v>0.981688767790253</x:v>
      </x:c>
      <x:c r="AR739" s="11" t="n">
        <x:v>2373.738844948515</x:v>
      </x:c>
      <x:c r="AS739" s="11" t="n">
        <x:v>1750.7177038252996</x:v>
      </x:c>
      <x:c r="AT739" s="11" t="n">
        <x:v>1500.995324080983</x:v>
      </x:c>
      <x:c r="AU739" s="11" t="n">
        <x:v>557.0553648709148</x:v>
      </x:c>
      <x:c r="AV739" s="11" t="n">
        <x:v>1076.1755956822365</x:v>
      </x:c>
      <x:c r="AW739" s="11" t="n">
        <x:v>1.4505322575983186</x:v>
      </x:c>
      <x:c r="AX739" s="12" t="n">
        <x:v>0.7012867525860986</x:v>
      </x:c>
      <x:c r="AY739" s="11"/>
      <x:c r="AZ739" s="11"/>
      <x:c r="BA739" s="11"/>
      <x:c r="BB739" s="11"/>
      <x:c r="BC739" s="11"/>
      <x:c r="BD739" s="11"/>
      <x:c r="BE739" s="11"/>
      <x:c r="BF739" s="11"/>
      <x:c r="BG739" s="11"/>
      <x:c r="BH739" s="11"/>
      <x:c r="BI739" s="11"/>
      <x:c r="BJ739" s="11"/>
      <x:c r="BK739" s="12"/>
      <x:c r="BL739" s="12"/>
      <x:c r="BM739" s="12"/>
      <x:c r="BN739" s="12"/>
      <x:c r="BO739" s="12"/>
      <x:c r="BP739" s="12"/>
      <x:c r="BQ739" s="12"/>
      <x:c r="BR739" s="12"/>
      <x:c r="BS739" s="12"/>
      <x:c r="BT739" s="12"/>
      <x:c r="BU739" s="11" t="n">
        <x:v>24262</x:v>
      </x:c>
      <x:c r="BV739" s="11" t="n">
        <x:v>1128514</x:v>
      </x:c>
      <x:c r="BW739" s="11" t="n">
        <x:v>5787937</x:v>
      </x:c>
      <x:c r="BX739" s="11" t="n">
        <x:v>1858524</x:v>
      </x:c>
      <x:c r="BY739" s="11" t="n">
        <x:v>0</x:v>
      </x:c>
      <x:c r="BZ739" s="11" t="n">
        <x:v>3451779</x:v>
      </x:c>
      <x:c r="CA739" s="11" t="n">
        <x:v>272535</x:v>
      </x:c>
      <x:c r="CB739" s="11" t="n">
        <x:v>110150</x:v>
      </x:c>
      <x:c r="CC739" s="11" t="n">
        <x:v>4381276</x:v>
      </x:c>
      <x:c r="CD739" s="11" t="n">
        <x:v>5856774</x:v>
      </x:c>
      <x:c r="CE739" s="11" t="n">
        <x:v>0</x:v>
      </x:c>
      <x:c r="CF739" s="11" t="n">
        <x:v>1216305</x:v>
      </x:c>
      <x:c r="CG739" s="11" t="n">
        <x:v>1470032</x:v>
      </x:c>
      <x:c r="CH739" s="11" t="n">
        <x:v>5573915</x:v>
      </x:c>
      <x:c r="CI739" s="11" t="n">
        <x:v>3702666</x:v>
      </x:c>
      <x:c r="CJ739" s="11" t="n">
        <x:v>2467175</x:v>
      </x:c>
      <x:c r="CK739" s="11" t="n">
        <x:v>1917567</x:v>
      </x:c>
      <x:c r="CL739" s="11" t="n">
        <x:v>0</x:v>
      </x:c>
      <x:c r="CM739" s="11"/>
      <x:c r="CN739" s="11" t="n">
        <x:v>0</x:v>
      </x:c>
      <x:c r="CO739" s="11" t="n">
        <x:v>0</x:v>
      </x:c>
      <x:c r="CP739" s="8"/>
      <x:c r="CQ739" s="8"/>
    </x:row>
    <x:row r="740">
      <x:c r="A740" s="8" t="str">
        <x:v>Salmon Arm|2023</x:v>
      </x:c>
      <x:c r="B740" s="8" t="str">
        <x:v>salmon-arm-c</x:v>
      </x:c>
      <x:c r="C740" s="8" t="str">
        <x:v>Salmon Arm</x:v>
      </x:c>
      <x:c r="D740" s="8" t="str">
        <x:v>Salmon Arm</x:v>
      </x:c>
      <x:c r="E740" s="8" t="str">
        <x:v>C</x:v>
      </x:c>
      <x:c r="F740" s="8" t="str">
        <x:v>COL</x:v>
      </x:c>
      <x:c r="G740" s="9" t="n">
        <x:v>2023</x:v>
      </x:c>
      <x:c r="H740" s="10" t="n">
        <x:v>21034</x:v>
      </x:c>
      <x:c r="I740" s="8" t="str">
        <x:v>20,000 to 99,999</x:v>
      </x:c>
      <x:c r="J740" s="11" t="n">
        <x:v>56970838</x:v>
      </x:c>
      <x:c r="K740" s="11" t="n">
        <x:v>37868533</x:v>
      </x:c>
      <x:c r="L740" s="11" t="n">
        <x:v>19102305</x:v>
      </x:c>
      <x:c r="M740" s="12" t="n">
        <x:v>0.335299701928204</x:v>
      </x:c>
      <x:c r="N740" s="11" t="n">
        <x:v>25749586</x:v>
      </x:c>
      <x:c r="O740" s="11" t="n">
        <x:v>10743927</x:v>
      </x:c>
      <x:c r="P740" s="11" t="n">
        <x:v>9307763</x:v>
      </x:c>
      <x:c r="Q740" s="11" t="n">
        <x:v>11169562</x:v>
      </x:c>
      <x:c r="R740" s="11" t="n">
        <x:v>27186681</x:v>
      </x:c>
      <x:c r="S740" s="11" t="n">
        <x:v>9260517</x:v>
      </x:c>
      <x:c r="T740" s="11" t="n">
        <x:v>86483783</x:v>
      </x:c>
      <x:c r="U740" s="11" t="n">
        <x:v>54683964</x:v>
      </x:c>
      <x:c r="V740" s="11" t="n">
        <x:v>36839936</x:v>
      </x:c>
      <x:c r="W740" s="11" t="n">
        <x:v>18047931</x:v>
      </x:c>
      <x:c r="X740" s="11" t="n">
        <x:v>21634358</x:v>
      </x:c>
      <x:c r="Y740" s="11" t="n">
        <x:v>2000000</x:v>
      </x:c>
      <x:c r="Z740" s="11" t="n">
        <x:v>1311533</x:v>
      </x:c>
      <x:c r="AA740" s="11" t="n">
        <x:v>21547117</x:v>
      </x:c>
      <x:c r="AB740" s="11" t="n">
        <x:v>1421335</x:v>
      </x:c>
      <x:c r="AC740" s="11" t="n">
        <x:v>2732868</x:v>
      </x:c>
      <x:c r="AD740" s="11" t="n">
        <x:v>9924506</x:v>
      </x:c>
      <x:c r="AE740" s="11" t="n">
        <x:v>6915007</x:v>
      </x:c>
      <x:c r="AF740" s="11" t="n">
        <x:v>39698022</x:v>
      </x:c>
      <x:c r="AG740" s="11" t="n">
        <x:v>407683257</x:v>
      </x:c>
      <x:c r="AH740" s="11" t="n">
        <x:v>158395205</x:v>
      </x:c>
      <x:c r="AI740" s="11" t="n">
        <x:v>249288052</x:v>
      </x:c>
      <x:c r="AJ740" s="11" t="n">
        <x:v>18773703</x:v>
      </x:c>
      <x:c r="AK740" s="11" t="n">
        <x:v>45823888</x:v>
      </x:c>
      <x:c r="AL740" s="11" t="n">
        <x:v>0</x:v>
      </x:c>
      <x:c r="AM740" s="12" t="n">
        <x:v>1</x:v>
      </x:c>
      <x:c r="AN740" s="12" t="n">
        <x:v>0.40969249488389115</x:v>
      </x:c>
      <x:c r="AO740" s="11" t="n">
        <x:v>40144144</x:v>
      </x:c>
      <x:c r="AP740" s="11" t="n">
        <x:v>40027829</x:v>
      </x:c>
      <x:c r="AQ740" s="12" t="n">
        <x:v>0.9971025661924688</x:v>
      </x:c>
      <x:c r="AR740" s="11" t="n">
        <x:v>2708.5118379766095</x:v>
      </x:c>
      <x:c r="AS740" s="11" t="n">
        <x:v>1800.34862603404</x:v>
      </x:c>
      <x:c r="AT740" s="11" t="n">
        <x:v>1751.4469905866692</x:v>
      </x:c>
      <x:c r="AU740" s="11" t="n">
        <x:v>858.0360844347248</x:v>
      </x:c>
      <x:c r="AV740" s="11" t="n">
        <x:v>1024.3946467623848</x:v>
      </x:c>
      <x:c r="AW740" s="11" t="n">
        <x:v>1.5815200046580382</x:v>
      </x:c>
      <x:c r="AX740" s="12" t="n">
        <x:v>0.6967608261811722</x:v>
      </x:c>
      <x:c r="AY740" s="11"/>
      <x:c r="AZ740" s="11"/>
      <x:c r="BA740" s="11"/>
      <x:c r="BB740" s="11"/>
      <x:c r="BC740" s="11"/>
      <x:c r="BD740" s="11"/>
      <x:c r="BE740" s="11"/>
      <x:c r="BF740" s="11"/>
      <x:c r="BG740" s="11"/>
      <x:c r="BH740" s="11"/>
      <x:c r="BI740" s="11"/>
      <x:c r="BJ740" s="11"/>
      <x:c r="BK740" s="12"/>
      <x:c r="BL740" s="12"/>
      <x:c r="BM740" s="12"/>
      <x:c r="BN740" s="12"/>
      <x:c r="BO740" s="12"/>
      <x:c r="BP740" s="12"/>
      <x:c r="BQ740" s="12"/>
      <x:c r="BR740" s="12"/>
      <x:c r="BS740" s="12"/>
      <x:c r="BT740" s="12"/>
      <x:c r="BU740" s="11" t="n">
        <x:v>252729</x:v>
      </x:c>
      <x:c r="BV740" s="11" t="n">
        <x:v>8001787</x:v>
      </x:c>
      <x:c r="BW740" s="11" t="n">
        <x:v>1053247</x:v>
      </x:c>
      <x:c r="BX740" s="11" t="n">
        <x:v>4172174</x:v>
      </x:c>
      <x:c r="BY740" s="11" t="n">
        <x:v>0</x:v>
      </x:c>
      <x:c r="BZ740" s="11" t="n">
        <x:v>6831862</x:v>
      </x:c>
      <x:c r="CA740" s="11" t="n">
        <x:v>21835</x:v>
      </x:c>
      <x:c r="CB740" s="11" t="n">
        <x:v>143691</x:v>
      </x:c>
      <x:c r="CC740" s="11" t="n">
        <x:v>4783261</x:v>
      </x:c>
      <x:c r="CD740" s="11" t="n">
        <x:v>6173229</x:v>
      </x:c>
      <x:c r="CE740" s="11" t="n">
        <x:v>0</x:v>
      </x:c>
      <x:c r="CF740" s="11" t="n">
        <x:v>1452094</x:v>
      </x:c>
      <x:c r="CG740" s="11" t="n">
        <x:v>1694816</x:v>
      </x:c>
      <x:c r="CH740" s="11" t="n">
        <x:v>4900424</x:v>
      </x:c>
      <x:c r="CI740" s="11" t="n">
        <x:v>3612100</x:v>
      </x:c>
      <x:c r="CJ740" s="11" t="n">
        <x:v>2703928</x:v>
      </x:c>
      <x:c r="CK740" s="11" t="n">
        <x:v>2098048</x:v>
      </x:c>
      <x:c r="CL740" s="11" t="n">
        <x:v>1043017</x:v>
      </x:c>
      <x:c r="CM740" s="11" t="n">
        <x:v>147099</x:v>
      </x:c>
      <x:c r="CN740" s="11" t="n">
        <x:v>0</x:v>
      </x:c>
      <x:c r="CO740" s="11" t="n">
        <x:v>0</x:v>
      </x:c>
      <x:c r="CP740" s="8"/>
      <x:c r="CQ740" s="8"/>
    </x:row>
    <x:row r="741">
      <x:c r="A741" s="8" t="str">
        <x:v>Salmon Arm|2024</x:v>
      </x:c>
      <x:c r="B741" s="8" t="str">
        <x:v>salmon-arm-c</x:v>
      </x:c>
      <x:c r="C741" s="8" t="str">
        <x:v>Salmon Arm</x:v>
      </x:c>
      <x:c r="D741" s="8" t="str">
        <x:v>Salmon Arm</x:v>
      </x:c>
      <x:c r="E741" s="8" t="str">
        <x:v>C</x:v>
      </x:c>
      <x:c r="F741" s="8" t="str">
        <x:v>COL</x:v>
      </x:c>
      <x:c r="G741" s="9" t="n">
        <x:v>2024</x:v>
      </x:c>
      <x:c r="H741" s="10" t="n">
        <x:v>21034</x:v>
      </x:c>
      <x:c r="I741" s="8" t="str">
        <x:v>20,000 to 99,999</x:v>
      </x:c>
      <x:c r="J741" s="11" t="n">
        <x:v>46975411</x:v>
      </x:c>
      <x:c r="K741" s="11" t="n">
        <x:v>40467992</x:v>
      </x:c>
      <x:c r="L741" s="11" t="n">
        <x:v>6507419</x:v>
      </x:c>
      <x:c r="M741" s="12" t="n">
        <x:v>0.13852819723067458</x:v>
      </x:c>
      <x:c r="N741" s="11" t="n">
        <x:v>27213723</x:v>
      </x:c>
      <x:c r="O741" s="11" t="n">
        <x:v>11021830</x:v>
      </x:c>
      <x:c r="P741" s="11" t="n">
        <x:v>3319805</x:v>
      </x:c>
      <x:c r="Q741" s="11" t="n">
        <x:v>5420053</x:v>
      </x:c>
      <x:c r="R741" s="11" t="n">
        <x:v>29179332</x:v>
      </x:c>
      <x:c r="S741" s="11" t="n">
        <x:v>9758928</x:v>
      </x:c>
      <x:c r="T741" s="11" t="n">
        <x:v>94267199</x:v>
      </x:c>
      <x:c r="U741" s="11" t="n">
        <x:v>58341632</x:v>
      </x:c>
      <x:c r="V741" s="11" t="n">
        <x:v>41942075</x:v>
      </x:c>
      <x:c r="W741" s="11" t="n">
        <x:v>18107926</x:v>
      </x:c>
      <x:c r="X741" s="11" t="n">
        <x:v>21547117</x:v>
      </x:c>
      <x:c r="Y741" s="11" t="n">
        <x:v>125000</x:v>
      </x:c>
      <x:c r="Z741" s="11" t="n">
        <x:v>1048421</x:v>
      </x:c>
      <x:c r="AA741" s="11" t="n">
        <x:v>19931587</x:v>
      </x:c>
      <x:c r="AB741" s="11" t="n">
        <x:v>1529732</x:v>
      </x:c>
      <x:c r="AC741" s="11" t="n">
        <x:v>2578153</x:v>
      </x:c>
      <x:c r="AD741" s="11" t="n">
        <x:v>10408102</x:v>
      </x:c>
      <x:c r="AE741" s="11" t="n">
        <x:v>7443608</x:v>
      </x:c>
      <x:c r="AF741" s="11" t="n">
        <x:v>41632408</x:v>
      </x:c>
      <x:c r="AG741" s="11" t="n">
        <x:v>418458493</x:v>
      </x:c>
      <x:c r="AH741" s="11" t="n">
        <x:v>168114143</x:v>
      </x:c>
      <x:c r="AI741" s="11" t="n">
        <x:v>250344350</x:v>
      </x:c>
      <x:c r="AJ741" s="11" t="n">
        <x:v>10815232</x:v>
      </x:c>
      <x:c r="AK741" s="11" t="n">
        <x:v>969740400</x:v>
      </x:c>
      <x:c r="AL741" s="11" t="n">
        <x:v>14078097</x:v>
      </x:c>
      <x:c r="AM741" s="12" t="n">
        <x:v>0.9854826126662352</x:v>
      </x:c>
      <x:c r="AN741" s="12" t="n">
        <x:v>0.011152708498068143</x:v>
      </x:c>
      <x:c r="AO741" s="11" t="n">
        <x:v>42536648</x:v>
      </x:c>
      <x:c r="AP741" s="11" t="n">
        <x:v>41659457</x:v>
      </x:c>
      <x:c r="AQ741" s="12" t="n">
        <x:v>0.9793779942415772</x:v>
      </x:c>
      <x:c r="AR741" s="11" t="n">
        <x:v>2233.3085005229627</x:v>
      </x:c>
      <x:c r="AS741" s="11" t="n">
        <x:v>1923.9323000855757</x:v>
      </x:c>
      <x:c r="AT741" s="11" t="n">
        <x:v>1994.0132642388514</x:v>
      </x:c>
      <x:c r="AU741" s="11" t="n">
        <x:v>860.8883712085195</x:v>
      </x:c>
      <x:c r="AV741" s="11" t="n">
        <x:v>947.588998763906</x:v>
      </x:c>
      <x:c r="AW741" s="11" t="n">
        <x:v>1.6157792603401975</x:v>
      </x:c>
      <x:c r="AX741" s="12" t="n">
        <x:v>0.7151743901049394</x:v>
      </x:c>
      <x:c r="AY741" s="11" t="n">
        <x:v>2823.8160359162957</x:v>
      </x:c>
      <x:c r="AZ741" s="11" t="n">
        <x:v>3546.5079302077975</x:v>
      </x:c>
      <x:c r="BA741" s="11" t="n">
        <x:v>2313.177731087988</x:v>
      </x:c>
      <x:c r="BB741" s="11" t="n">
        <x:v>2783.665107049771</x:v>
      </x:c>
      <x:c r="BC741" s="11" t="n">
        <x:v>1634.933826557682</x:v>
      </x:c>
      <x:c r="BD741" s="11" t="n">
        <x:v>2437.8724475115623</x:v>
      </x:c>
      <x:c r="BE741" s="11" t="n">
        <x:v>1015.8871081440785</x:v>
      </x:c>
      <x:c r="BF741" s="11" t="n">
        <x:v>1604.3462673977224</x:v>
      </x:c>
      <x:c r="BG741" s="11" t="n">
        <x:v>757.3716446138835</x:v>
      </x:c>
      <x:c r="BH741" s="11" t="n">
        <x:v>518.5374381567245</x:v>
      </x:c>
      <x:c r="BI741" s="11" t="n">
        <x:v>1.4428133381403412</x:v>
      </x:c>
      <x:c r="BJ741" s="11" t="n">
        <x:v>1.7099330852451193</x:v>
      </x:c>
      <x:c r="BK741" s="12" t="n">
        <x:v>0.021350493990494074</x:v>
      </x:c>
      <x:c r="BL741" s="12" t="n">
        <x:v>0.02529861000232605</x:v>
      </x:c>
      <x:c r="BM741" s="12" t="n">
        <x:v>0.9847118933607182</x:v>
      </x:c>
      <x:c r="BN741" s="12" t="n">
        <x:v>0.9815511712696461</x:v>
      </x:c>
      <x:c r="BO741" s="12" t="n">
        <x:v>0.8457939120832807</x:v>
      </x:c>
      <x:c r="BP741" s="12" t="n">
        <x:v>0.8619101997275483</x:v>
      </x:c>
      <x:c r="BQ741" s="12" t="n">
        <x:v>0.9744645665293163</x:v>
      </x:c>
      <x:c r="BR741" s="12" t="n">
        <x:v>0.9623635142836453</x:v>
      </x:c>
      <x:c r="BS741" s="12" t="n">
        <x:v>0.16542076645989975</x:v>
      </x:c>
      <x:c r="BT741" s="12" t="n">
        <x:v>0.19976549769108282</x:v>
      </x:c>
      <x:c r="BU741" s="11" t="n">
        <x:v>1329724</x:v>
      </x:c>
      <x:c r="BV741" s="11" t="n">
        <x:v>1612609</x:v>
      </x:c>
      <x:c r="BW741" s="11" t="n">
        <x:v>377472</x:v>
      </x:c>
      <x:c r="BX741" s="11" t="n">
        <x:v>4412594</x:v>
      </x:c>
      <x:c r="BY741" s="11" t="n">
        <x:v>0</x:v>
      </x:c>
      <x:c r="BZ741" s="11" t="n">
        <x:v>917929</x:v>
      </x:c>
      <x:c r="CA741" s="11" t="n">
        <x:v>0</x:v>
      </x:c>
      <x:c r="CB741" s="11" t="n">
        <x:v>89530</x:v>
      </x:c>
      <x:c r="CC741" s="11" t="n">
        <x:v>4833565</x:v>
      </x:c>
      <x:c r="CD741" s="11" t="n">
        <x:v>7430163</x:v>
      </x:c>
      <x:c r="CE741" s="11" t="n">
        <x:v>0</x:v>
      </x:c>
      <x:c r="CF741" s="11" t="n">
        <x:v>1434812</x:v>
      </x:c>
      <x:c r="CG741" s="11" t="n">
        <x:v>2116918</x:v>
      </x:c>
      <x:c r="CH741" s="11" t="n">
        <x:v>4418786</x:v>
      </x:c>
      <x:c r="CI741" s="11" t="n">
        <x:v>4187627</x:v>
      </x:c>
      <x:c r="CJ741" s="11" t="n">
        <x:v>2937640</x:v>
      </x:c>
      <x:c r="CK741" s="11" t="n">
        <x:v>2073983</x:v>
      </x:c>
      <x:c r="CL741" s="11" t="n">
        <x:v>1124646</x:v>
      </x:c>
      <x:c r="CM741" s="11" t="n">
        <x:v>150924</x:v>
      </x:c>
      <x:c r="CN741" s="11" t="n">
        <x:v>0</x:v>
      </x:c>
      <x:c r="CO741" s="11" t="n">
        <x:v>0</x:v>
      </x:c>
      <x:c r="CP741" s="8"/>
      <x:c r="CQ741" s="8"/>
    </x:row>
    <x:row r="742">
      <x:c r="A742" s="8" t="str">
        <x:v>Sayward|2019</x:v>
      </x:c>
      <x:c r="B742" s="8" t="str">
        <x:v>sayward-v</x:v>
      </x:c>
      <x:c r="C742" s="8" t="str">
        <x:v>Sayward</x:v>
      </x:c>
      <x:c r="D742" s="8" t="str">
        <x:v>Sayward</x:v>
      </x:c>
      <x:c r="E742" s="8" t="str">
        <x:v>V</x:v>
      </x:c>
      <x:c r="F742" s="8" t="str">
        <x:v>STR</x:v>
      </x:c>
      <x:c r="G742" s="9" t="n">
        <x:v>2019</x:v>
      </x:c>
      <x:c r="H742" s="10" t="n">
        <x:v>342</x:v>
      </x:c>
      <x:c r="I742" s="8" t="str">
        <x:v>Under 5,000</x:v>
      </x:c>
      <x:c r="J742" s="11" t="n">
        <x:v>3577105</x:v>
      </x:c>
      <x:c r="K742" s="11" t="n">
        <x:v>1138477</x:v>
      </x:c>
      <x:c r="L742" s="11" t="n">
        <x:v>2438628</x:v>
      </x:c>
      <x:c r="M742" s="12" t="n">
        <x:v>0.6817322946908184</x:v>
      </x:c>
      <x:c r="N742" s="11" t="n">
        <x:v>352678</x:v>
      </x:c>
      <x:c r="O742" s="11" t="n">
        <x:v>291382</x:v>
      </x:c>
      <x:c r="P742" s="11" t="n">
        <x:v>2882544</x:v>
      </x:c>
      <x:c r="Q742" s="11" t="n">
        <x:v>50501</x:v>
      </x:c>
      <x:c r="R742" s="11" t="n">
        <x:v>1021209</x:v>
      </x:c>
      <x:c r="S742" s="11" t="n">
        <x:v>114341</x:v>
      </x:c>
      <x:c r="T742" s="11" t="n">
        <x:v>445931</x:v>
      </x:c>
      <x:c r="U742" s="11" t="n">
        <x:v>401363</x:v>
      </x:c>
      <x:c r="V742" s="11" t="n">
        <x:v>983186</x:v>
      </x:c>
      <x:c r="W742" s="11" t="n">
        <x:v>405401</x:v>
      </x:c>
      <x:c r="X742" s="11" t="n">
        <x:v>71369</x:v>
      </x:c>
      <x:c r="Y742" s="11" t="n">
        <x:v>0</x:v>
      </x:c>
      <x:c r="Z742" s="11" t="n">
        <x:v>5979</x:v>
      </x:c>
      <x:c r="AA742" s="11" t="n">
        <x:v>62195</x:v>
      </x:c>
      <x:c r="AB742" s="11" t="n">
        <x:v>2927</x:v>
      </x:c>
      <x:c r="AC742" s="11" t="n">
        <x:v>8906</x:v>
      </x:c>
      <x:c r="AD742" s="11" t="n">
        <x:v>279767</x:v>
      </x:c>
      <x:c r="AE742" s="11" t="n">
        <x:v>270861</x:v>
      </x:c>
      <x:c r="AF742" s="11" t="n">
        <x:v>1119069</x:v>
      </x:c>
      <x:c r="AG742" s="11" t="n">
        <x:v>14393947</x:v>
      </x:c>
      <x:c r="AH742" s="11" t="n">
        <x:v>3857192</x:v>
      </x:c>
      <x:c r="AI742" s="11" t="n">
        <x:v>10536755</x:v>
      </x:c>
      <x:c r="AJ742" s="11" t="n">
        <x:v>2729856</x:v>
      </x:c>
      <x:c r="AK742" s="11" t="n">
        <x:v>1959114</x:v>
      </x:c>
      <x:c r="AL742" s="11" t="n">
        <x:v>0</x:v>
      </x:c>
      <x:c r="AM742" s="12" t="n">
        <x:v>1</x:v>
      </x:c>
      <x:c r="AN742" s="12" t="n">
        <x:v>1.3934135532694882</x:v>
      </x:c>
      <x:c r="AO742" s="11" t="n">
        <x:v>578948</x:v>
      </x:c>
      <x:c r="AP742" s="11" t="n">
        <x:v>557783</x:v>
      </x:c>
      <x:c r="AQ742" s="12" t="n">
        <x:v>0.9634423126083862</x:v>
      </x:c>
      <x:c r="AR742" s="11" t="n">
        <x:v>10459.37134502924</x:v>
      </x:c>
      <x:c r="AS742" s="11" t="n">
        <x:v>3328.8801169590643</x:v>
      </x:c>
      <x:c r="AT742" s="11" t="n">
        <x:v>2874.812865497076</x:v>
      </x:c>
      <x:c r="AU742" s="11" t="n">
        <x:v>1185.3830409356726</x:v>
      </x:c>
      <x:c r="AV742" s="11" t="n">
        <x:v>181.85672514619884</x:v>
      </x:c>
      <x:c r="AW742" s="11" t="n">
        <x:v>1.1110416256605615</x:v>
      </x:c>
      <x:c r="AX742" s="12" t="n">
        <x:v>0.9681663670125498</x:v>
      </x:c>
      <x:c r="AY742" s="11"/>
      <x:c r="AZ742" s="11"/>
      <x:c r="BA742" s="11"/>
      <x:c r="BB742" s="11"/>
      <x:c r="BC742" s="11"/>
      <x:c r="BD742" s="11"/>
      <x:c r="BE742" s="11"/>
      <x:c r="BF742" s="11"/>
      <x:c r="BG742" s="11"/>
      <x:c r="BH742" s="11"/>
      <x:c r="BI742" s="11"/>
      <x:c r="BJ742" s="11"/>
      <x:c r="BK742" s="12"/>
      <x:c r="BL742" s="12"/>
      <x:c r="BM742" s="12"/>
      <x:c r="BN742" s="12"/>
      <x:c r="BO742" s="12"/>
      <x:c r="BP742" s="12"/>
      <x:c r="BQ742" s="12"/>
      <x:c r="BR742" s="12"/>
      <x:c r="BS742" s="12"/>
      <x:c r="BT742" s="12"/>
      <x:c r="BU742" s="11" t="n">
        <x:v>137348</x:v>
      </x:c>
      <x:c r="BV742" s="11" t="n">
        <x:v>2563056</x:v>
      </x:c>
      <x:c r="BW742" s="11" t="n">
        <x:v>182140</x:v>
      </x:c>
      <x:c r="BX742" s="11" t="n">
        <x:v>48876</x:v>
      </x:c>
      <x:c r="BY742" s="11" t="n">
        <x:v>0</x:v>
      </x:c>
      <x:c r="BZ742" s="11" t="n">
        <x:v>1625</x:v>
      </x:c>
      <x:c r="CA742" s="11" t="n">
        <x:v>0</x:v>
      </x:c>
      <x:c r="CB742" s="11" t="n">
        <x:v>0</x:v>
      </x:c>
      <x:c r="CC742" s="11" t="n">
        <x:v>385059</x:v>
      </x:c>
      <x:c r="CD742" s="11" t="n">
        <x:v>91302</x:v>
      </x:c>
      <x:c r="CE742" s="11" t="n">
        <x:v>37801</x:v>
      </x:c>
      <x:c r="CF742" s="11" t="n">
        <x:v>0</x:v>
      </x:c>
      <x:c r="CG742" s="11" t="n">
        <x:v>0</x:v>
      </x:c>
      <x:c r="CH742" s="11" t="n">
        <x:v>36006</x:v>
      </x:c>
      <x:c r="CI742" s="11" t="n">
        <x:v>262783</x:v>
      </x:c>
      <x:c r="CJ742" s="11" t="n">
        <x:v>91743</x:v>
      </x:c>
      <x:c r="CK742" s="11" t="n">
        <x:v>63719</x:v>
      </x:c>
      <x:c r="CL742" s="11" t="n">
        <x:v>55723</x:v>
      </x:c>
      <x:c r="CM742" s="11"/>
      <x:c r="CN742" s="11" t="n">
        <x:v>0</x:v>
      </x:c>
      <x:c r="CO742" s="11" t="n">
        <x:v>0</x:v>
      </x:c>
      <x:c r="CP742" s="8"/>
      <x:c r="CQ742" s="8"/>
    </x:row>
    <x:row r="743">
      <x:c r="A743" s="8" t="str">
        <x:v>Sayward|2020</x:v>
      </x:c>
      <x:c r="B743" s="8" t="str">
        <x:v>sayward-v</x:v>
      </x:c>
      <x:c r="C743" s="8" t="str">
        <x:v>Sayward</x:v>
      </x:c>
      <x:c r="D743" s="8" t="str">
        <x:v>Sayward</x:v>
      </x:c>
      <x:c r="E743" s="8" t="str">
        <x:v>V</x:v>
      </x:c>
      <x:c r="F743" s="8" t="str">
        <x:v>STR</x:v>
      </x:c>
      <x:c r="G743" s="9" t="n">
        <x:v>2020</x:v>
      </x:c>
      <x:c r="H743" s="10" t="n">
        <x:v>318</x:v>
      </x:c>
      <x:c r="I743" s="8" t="str">
        <x:v>Under 5,000</x:v>
      </x:c>
      <x:c r="J743" s="11" t="n">
        <x:v>1496905</x:v>
      </x:c>
      <x:c r="K743" s="11" t="n">
        <x:v>1103695</x:v>
      </x:c>
      <x:c r="L743" s="11" t="n">
        <x:v>393210</x:v>
      </x:c>
      <x:c r="M743" s="12" t="n">
        <x:v>0.2626820005277556</x:v>
      </x:c>
      <x:c r="N743" s="11" t="n">
        <x:v>362463</x:v>
      </x:c>
      <x:c r="O743" s="11" t="n">
        <x:v>290724</x:v>
      </x:c>
      <x:c r="P743" s="11" t="n">
        <x:v>823371</x:v>
      </x:c>
      <x:c r="Q743" s="11" t="n">
        <x:v>20347</x:v>
      </x:c>
      <x:c r="R743" s="11" t="n">
        <x:v>904114</x:v>
      </x:c>
      <x:c r="S743" s="11" t="n">
        <x:v>195798</x:v>
      </x:c>
      <x:c r="T743" s="11" t="n">
        <x:v>1632711</x:v>
      </x:c>
      <x:c r="U743" s="11" t="n">
        <x:v>445655</x:v>
      </x:c>
      <x:c r="V743" s="11" t="n">
        <x:v>1354207</x:v>
      </x:c>
      <x:c r="W743" s="11" t="n">
        <x:v>635352</x:v>
      </x:c>
      <x:c r="X743" s="11" t="n">
        <x:v>62195</x:v>
      </x:c>
      <x:c r="Y743" s="11" t="n">
        <x:v>65000</x:v>
      </x:c>
      <x:c r="Z743" s="11" t="n">
        <x:v>16752</x:v>
      </x:c>
      <x:c r="AA743" s="11" t="n">
        <x:v>106927</x:v>
      </x:c>
      <x:c r="AB743" s="11" t="n">
        <x:v>3783</x:v>
      </x:c>
      <x:c r="AC743" s="11" t="n">
        <x:v>20535</x:v>
      </x:c>
      <x:c r="AD743" s="11" t="n">
        <x:v>273854</x:v>
      </x:c>
      <x:c r="AE743" s="11" t="n">
        <x:v>253319</x:v>
      </x:c>
      <x:c r="AF743" s="11" t="n">
        <x:v>1095417</x:v>
      </x:c>
      <x:c r="AG743" s="11" t="n">
        <x:v>14513648</x:v>
      </x:c>
      <x:c r="AH743" s="11" t="n">
        <x:v>4052989</x:v>
      </x:c>
      <x:c r="AI743" s="11" t="n">
        <x:v>10460659</x:v>
      </x:c>
      <x:c r="AJ743" s="11" t="n">
        <x:v>119701</x:v>
      </x:c>
      <x:c r="AK743" s="11" t="n">
        <x:v>1959114</x:v>
      </x:c>
      <x:c r="AL743" s="11" t="n">
        <x:v>0</x:v>
      </x:c>
      <x:c r="AM743" s="12" t="n">
        <x:v>1</x:v>
      </x:c>
      <x:c r="AN743" s="12" t="n">
        <x:v>0.061099558269707636</x:v>
      </x:c>
      <x:c r="AO743" s="11" t="n">
        <x:v>540612</x:v>
      </x:c>
      <x:c r="AP743" s="11" t="n">
        <x:v>481300</x:v>
      </x:c>
      <x:c r="AQ743" s="12" t="n">
        <x:v>0.8902873040184087</x:v>
      </x:c>
      <x:c r="AR743" s="11" t="n">
        <x:v>4707.248427672956</x:v>
      </x:c>
      <x:c r="AS743" s="11" t="n">
        <x:v>3470.738993710692</x:v>
      </x:c>
      <x:c r="AT743" s="11" t="n">
        <x:v>4258.512578616353</x:v>
      </x:c>
      <x:c r="AU743" s="11" t="n">
        <x:v>1997.9622641509434</x:v>
      </x:c>
      <x:c r="AV743" s="11" t="n">
        <x:v>336.248427672956</x:v>
      </x:c>
      <x:c r="AW743" s="11" t="n">
        <x:v>3.663620962403653</x:v>
      </x:c>
      <x:c r="AX743" s="12" t="n">
        <x:v>0.9250147889021157</x:v>
      </x:c>
      <x:c r="AY743" s="11"/>
      <x:c r="AZ743" s="11"/>
      <x:c r="BA743" s="11"/>
      <x:c r="BB743" s="11"/>
      <x:c r="BC743" s="11"/>
      <x:c r="BD743" s="11"/>
      <x:c r="BE743" s="11"/>
      <x:c r="BF743" s="11"/>
      <x:c r="BG743" s="11"/>
      <x:c r="BH743" s="11"/>
      <x:c r="BI743" s="11"/>
      <x:c r="BJ743" s="11"/>
      <x:c r="BK743" s="12"/>
      <x:c r="BL743" s="12"/>
      <x:c r="BM743" s="12"/>
      <x:c r="BN743" s="12"/>
      <x:c r="BO743" s="12"/>
      <x:c r="BP743" s="12"/>
      <x:c r="BQ743" s="12"/>
      <x:c r="BR743" s="12"/>
      <x:c r="BS743" s="12"/>
      <x:c r="BT743" s="12"/>
      <x:c r="BU743" s="11" t="n">
        <x:v>69758</x:v>
      </x:c>
      <x:c r="BV743" s="11" t="n">
        <x:v>666912</x:v>
      </x:c>
      <x:c r="BW743" s="11" t="n">
        <x:v>86701</x:v>
      </x:c>
      <x:c r="BX743" s="11" t="n">
        <x:v>20027</x:v>
      </x:c>
      <x:c r="BY743" s="11" t="n">
        <x:v>0</x:v>
      </x:c>
      <x:c r="BZ743" s="11" t="n">
        <x:v>320</x:v>
      </x:c>
      <x:c r="CA743" s="11" t="n">
        <x:v>0</x:v>
      </x:c>
      <x:c r="CB743" s="11" t="n">
        <x:v>0</x:v>
      </x:c>
      <x:c r="CC743" s="11" t="n">
        <x:v>312089</x:v>
      </x:c>
      <x:c r="CD743" s="11" t="n">
        <x:v>100474</x:v>
      </x:c>
      <x:c r="CE743" s="11" t="n">
        <x:v>39986</x:v>
      </x:c>
      <x:c r="CF743" s="11" t="n">
        <x:v>0</x:v>
      </x:c>
      <x:c r="CG743" s="11" t="n">
        <x:v>0</x:v>
      </x:c>
      <x:c r="CH743" s="11" t="n">
        <x:v>31775</x:v>
      </x:c>
      <x:c r="CI743" s="11" t="n">
        <x:v>202419</x:v>
      </x:c>
      <x:c r="CJ743" s="11" t="n">
        <x:v>104552</x:v>
      </x:c>
      <x:c r="CK743" s="11" t="n">
        <x:v>64295</x:v>
      </x:c>
      <x:c r="CL743" s="11" t="n">
        <x:v>52307</x:v>
      </x:c>
      <x:c r="CM743" s="11"/>
      <x:c r="CN743" s="11" t="n">
        <x:v>0</x:v>
      </x:c>
      <x:c r="CO743" s="11" t="n">
        <x:v>0</x:v>
      </x:c>
      <x:c r="CP743" s="8"/>
      <x:c r="CQ743" s="8"/>
    </x:row>
    <x:row r="744">
      <x:c r="A744" s="8" t="str">
        <x:v>Sayward|2021</x:v>
      </x:c>
      <x:c r="B744" s="8" t="str">
        <x:v>sayward-v</x:v>
      </x:c>
      <x:c r="C744" s="8" t="str">
        <x:v>Sayward</x:v>
      </x:c>
      <x:c r="D744" s="8" t="str">
        <x:v>Sayward</x:v>
      </x:c>
      <x:c r="E744" s="8" t="str">
        <x:v>V</x:v>
      </x:c>
      <x:c r="F744" s="8" t="str">
        <x:v>STR</x:v>
      </x:c>
      <x:c r="G744" s="9" t="n">
        <x:v>2021</x:v>
      </x:c>
      <x:c r="H744" s="10" t="n">
        <x:v>326</x:v>
      </x:c>
      <x:c r="I744" s="8" t="str">
        <x:v>Under 5,000</x:v>
      </x:c>
      <x:c r="J744" s="11" t="n">
        <x:v>1729448</x:v>
      </x:c>
      <x:c r="K744" s="11" t="n">
        <x:v>1573370</x:v>
      </x:c>
      <x:c r="L744" s="11" t="n">
        <x:v>156078</x:v>
      </x:c>
      <x:c r="M744" s="12" t="n">
        <x:v>0.09024729277781118</x:v>
      </x:c>
      <x:c r="N744" s="11" t="n">
        <x:v>368724</x:v>
      </x:c>
      <x:c r="O744" s="11" t="n">
        <x:v>315451</x:v>
      </x:c>
      <x:c r="P744" s="11" t="n">
        <x:v>1008841</x:v>
      </x:c>
      <x:c r="Q744" s="11" t="n">
        <x:v>36432</x:v>
      </x:c>
      <x:c r="R744" s="11" t="n">
        <x:v>1368394</x:v>
      </x:c>
      <x:c r="S744" s="11" t="n">
        <x:v>203496</x:v>
      </x:c>
      <x:c r="T744" s="11" t="n">
        <x:v>1103661</x:v>
      </x:c>
      <x:c r="U744" s="11" t="n">
        <x:v>396766</x:v>
      </x:c>
      <x:c r="V744" s="11" t="n">
        <x:v>1125254</x:v>
      </x:c>
      <x:c r="W744" s="11" t="n">
        <x:v>511598</x:v>
      </x:c>
      <x:c r="X744" s="11" t="n">
        <x:v>106927</x:v>
      </x:c>
      <x:c r="Y744" s="11" t="n">
        <x:v>0</x:v>
      </x:c>
      <x:c r="Z744" s="11" t="n">
        <x:v>20049</x:v>
      </x:c>
      <x:c r="AA744" s="11" t="n">
        <x:v>83580</x:v>
      </x:c>
      <x:c r="AB744" s="11" t="n">
        <x:v>1480</x:v>
      </x:c>
      <x:c r="AC744" s="11" t="n">
        <x:v>21529</x:v>
      </x:c>
      <x:c r="AD744" s="11" t="n">
        <x:v>283258</x:v>
      </x:c>
      <x:c r="AE744" s="11" t="n">
        <x:v>261729</x:v>
      </x:c>
      <x:c r="AF744" s="11" t="n">
        <x:v>1133033</x:v>
      </x:c>
      <x:c r="AG744" s="11" t="n">
        <x:v>14841433</x:v>
      </x:c>
      <x:c r="AH744" s="11" t="n">
        <x:v>3999114</x:v>
      </x:c>
      <x:c r="AI744" s="11" t="n">
        <x:v>10842319</x:v>
      </x:c>
      <x:c r="AJ744" s="11" t="n">
        <x:v>670981</x:v>
      </x:c>
      <x:c r="AK744" s="11" t="n">
        <x:v>2007114</x:v>
      </x:c>
      <x:c r="AL744" s="11" t="n">
        <x:v>0</x:v>
      </x:c>
      <x:c r="AM744" s="12" t="n">
        <x:v>1</x:v>
      </x:c>
      <x:c r="AN744" s="12" t="n">
        <x:v>0.3343013899559268</x:v>
      </x:c>
      <x:c r="AO744" s="11" t="n">
        <x:v>591709</x:v>
      </x:c>
      <x:c r="AP744" s="11" t="n">
        <x:v>538210</x:v>
      </x:c>
      <x:c r="AQ744" s="12" t="n">
        <x:v>0.9095856240145072</x:v>
      </x:c>
      <x:c r="AR744" s="11" t="n">
        <x:v>5305.055214723926</x:v>
      </x:c>
      <x:c r="AS744" s="11" t="n">
        <x:v>4826.288343558283</x:v>
      </x:c>
      <x:c r="AT744" s="11" t="n">
        <x:v>3451.6993865030677</x:v>
      </x:c>
      <x:c r="AU744" s="11" t="n">
        <x:v>1569.3190184049079</x:v>
      </x:c>
      <x:c r="AV744" s="11" t="n">
        <x:v>256.3803680981595</x:v>
      </x:c>
      <x:c r="AW744" s="11" t="n">
        <x:v>2.7816420761859635</x:v>
      </x:c>
      <x:c r="AX744" s="12" t="n">
        <x:v>0.9239950857522118</x:v>
      </x:c>
      <x:c r="AY744" s="11"/>
      <x:c r="AZ744" s="11"/>
      <x:c r="BA744" s="11"/>
      <x:c r="BB744" s="11"/>
      <x:c r="BC744" s="11"/>
      <x:c r="BD744" s="11"/>
      <x:c r="BE744" s="11"/>
      <x:c r="BF744" s="11"/>
      <x:c r="BG744" s="11"/>
      <x:c r="BH744" s="11"/>
      <x:c r="BI744" s="11"/>
      <x:c r="BJ744" s="11"/>
      <x:c r="BK744" s="12"/>
      <x:c r="BL744" s="12"/>
      <x:c r="BM744" s="12"/>
      <x:c r="BN744" s="12"/>
      <x:c r="BO744" s="12"/>
      <x:c r="BP744" s="12"/>
      <x:c r="BQ744" s="12"/>
      <x:c r="BR744" s="12"/>
      <x:c r="BS744" s="12"/>
      <x:c r="BT744" s="12"/>
      <x:c r="BU744" s="11" t="n">
        <x:v>139790</x:v>
      </x:c>
      <x:c r="BV744" s="11" t="n">
        <x:v>572361</x:v>
      </x:c>
      <x:c r="BW744" s="11" t="n">
        <x:v>296690</x:v>
      </x:c>
      <x:c r="BX744" s="11" t="n">
        <x:v>35947</x:v>
      </x:c>
      <x:c r="BY744" s="11" t="n">
        <x:v>0</x:v>
      </x:c>
      <x:c r="BZ744" s="11" t="n">
        <x:v>485</x:v>
      </x:c>
      <x:c r="CA744" s="11" t="n">
        <x:v>0</x:v>
      </x:c>
      <x:c r="CB744" s="11" t="n">
        <x:v>0</x:v>
      </x:c>
      <x:c r="CC744" s="11" t="n">
        <x:v>488638</x:v>
      </x:c>
      <x:c r="CD744" s="11" t="n">
        <x:v>231047</x:v>
      </x:c>
      <x:c r="CE744" s="11" t="n">
        <x:v>42066</x:v>
      </x:c>
      <x:c r="CF744" s="11" t="n">
        <x:v>0</x:v>
      </x:c>
      <x:c r="CG744" s="11" t="n">
        <x:v>0</x:v>
      </x:c>
      <x:c r="CH744" s="11" t="n">
        <x:v>41726</x:v>
      </x:c>
      <x:c r="CI744" s="11" t="n">
        <x:v>218060</x:v>
      </x:c>
      <x:c r="CJ744" s="11" t="n">
        <x:v>112285</x:v>
      </x:c>
      <x:c r="CK744" s="11" t="n">
        <x:v>68880</x:v>
      </x:c>
      <x:c r="CL744" s="11" t="n">
        <x:v>81347</x:v>
      </x:c>
      <x:c r="CM744" s="11"/>
      <x:c r="CN744" s="11" t="n">
        <x:v>85825</x:v>
      </x:c>
      <x:c r="CO744" s="11" t="n">
        <x:v>0</x:v>
      </x:c>
      <x:c r="CP744" s="8"/>
      <x:c r="CQ744" s="8"/>
    </x:row>
    <x:row r="745">
      <x:c r="A745" s="8" t="str">
        <x:v>Sayward|2022</x:v>
      </x:c>
      <x:c r="B745" s="8" t="str">
        <x:v>sayward-v</x:v>
      </x:c>
      <x:c r="C745" s="8" t="str">
        <x:v>Sayward</x:v>
      </x:c>
      <x:c r="D745" s="8" t="str">
        <x:v>Sayward</x:v>
      </x:c>
      <x:c r="E745" s="8" t="str">
        <x:v>V</x:v>
      </x:c>
      <x:c r="F745" s="8" t="str">
        <x:v>STR</x:v>
      </x:c>
      <x:c r="G745" s="9" t="n">
        <x:v>2022</x:v>
      </x:c>
      <x:c r="H745" s="10" t="n">
        <x:v>302</x:v>
      </x:c>
      <x:c r="I745" s="8" t="str">
        <x:v>Under 5,000</x:v>
      </x:c>
      <x:c r="J745" s="11" t="n">
        <x:v>1434183</x:v>
      </x:c>
      <x:c r="K745" s="11" t="n">
        <x:v>1650924</x:v>
      </x:c>
      <x:c r="L745" s="11" t="n">
        <x:v>-216741</x:v>
      </x:c>
      <x:c r="M745" s="12" t="n">
        <x:v>-0.15112506562969996</x:v>
      </x:c>
      <x:c r="N745" s="11" t="n">
        <x:v>402844</x:v>
      </x:c>
      <x:c r="O745" s="11" t="n">
        <x:v>344928</x:v>
      </x:c>
      <x:c r="P745" s="11" t="n">
        <x:v>638939</x:v>
      </x:c>
      <x:c r="Q745" s="11" t="n">
        <x:v>47472</x:v>
      </x:c>
      <x:c r="R745" s="11" t="n">
        <x:v>1422020</x:v>
      </x:c>
      <x:c r="S745" s="11" t="n">
        <x:v>227424</x:v>
      </x:c>
      <x:c r="T745" s="11" t="n">
        <x:v>621630</x:v>
      </x:c>
      <x:c r="U745" s="11" t="n">
        <x:v>398316</x:v>
      </x:c>
      <x:c r="V745" s="11" t="n">
        <x:v>647938</x:v>
      </x:c>
      <x:c r="W745" s="11" t="n">
        <x:v>282780</x:v>
      </x:c>
      <x:c r="X745" s="11" t="n">
        <x:v>83580</x:v>
      </x:c>
      <x:c r="Y745" s="11" t="n">
        <x:v>0</x:v>
      </x:c>
      <x:c r="Z745" s="11" t="n">
        <x:v>19741</x:v>
      </x:c>
      <x:c r="AA745" s="11" t="n">
        <x:v>60243</x:v>
      </x:c>
      <x:c r="AB745" s="11" t="n">
        <x:v>1480</x:v>
      </x:c>
      <x:c r="AC745" s="11" t="n">
        <x:v>21221</x:v>
      </x:c>
      <x:c r="AD745" s="11" t="n">
        <x:v>313236</x:v>
      </x:c>
      <x:c r="AE745" s="11" t="n">
        <x:v>292015</x:v>
      </x:c>
      <x:c r="AF745" s="11" t="n">
        <x:v>1252942</x:v>
      </x:c>
      <x:c r="AG745" s="11" t="n">
        <x:v>15324173</x:v>
      </x:c>
      <x:c r="AH745" s="11" t="n">
        <x:v>4226537</x:v>
      </x:c>
      <x:c r="AI745" s="11" t="n">
        <x:v>11097636</x:v>
      </x:c>
      <x:c r="AJ745" s="11" t="n">
        <x:v>482740</x:v>
      </x:c>
      <x:c r="AK745" s="11" t="n">
        <x:v>2122436</x:v>
      </x:c>
      <x:c r="AL745" s="11" t="n">
        <x:v>0</x:v>
      </x:c>
      <x:c r="AM745" s="12" t="n">
        <x:v>1</x:v>
      </x:c>
      <x:c r="AN745" s="12" t="n">
        <x:v>0.22744619861329152</x:v>
      </x:c>
      <x:c r="AO745" s="11" t="n">
        <x:v>626221</x:v>
      </x:c>
      <x:c r="AP745" s="11" t="n">
        <x:v>561903</x:v>
      </x:c>
      <x:c r="AQ745" s="12" t="n">
        <x:v>0.8972918506405886</x:v>
      </x:c>
      <x:c r="AR745" s="11" t="n">
        <x:v>4748.950331125828</x:v>
      </x:c>
      <x:c r="AS745" s="11" t="n">
        <x:v>5466.635761589404</x:v>
      </x:c>
      <x:c r="AT745" s="11" t="n">
        <x:v>2145.4900662251657</x:v>
      </x:c>
      <x:c r="AU745" s="11" t="n">
        <x:v>936.3576158940398</x:v>
      </x:c>
      <x:c r="AV745" s="11" t="n">
        <x:v>199.48013245033113</x:v>
      </x:c>
      <x:c r="AW745" s="11" t="n">
        <x:v>1.5606453167836591</x:v>
      </x:c>
      <x:c r="AX745" s="12" t="n">
        <x:v>0.9322523592435097</x:v>
      </x:c>
      <x:c r="AY745" s="11"/>
      <x:c r="AZ745" s="11"/>
      <x:c r="BA745" s="11"/>
      <x:c r="BB745" s="11"/>
      <x:c r="BC745" s="11"/>
      <x:c r="BD745" s="11"/>
      <x:c r="BE745" s="11"/>
      <x:c r="BF745" s="11"/>
      <x:c r="BG745" s="11"/>
      <x:c r="BH745" s="11"/>
      <x:c r="BI745" s="11"/>
      <x:c r="BJ745" s="11"/>
      <x:c r="BK745" s="12"/>
      <x:c r="BL745" s="12"/>
      <x:c r="BM745" s="12"/>
      <x:c r="BN745" s="12"/>
      <x:c r="BO745" s="12"/>
      <x:c r="BP745" s="12"/>
      <x:c r="BQ745" s="12"/>
      <x:c r="BR745" s="12"/>
      <x:c r="BS745" s="12"/>
      <x:c r="BT745" s="12"/>
      <x:c r="BU745" s="11" t="n">
        <x:v>0</x:v>
      </x:c>
      <x:c r="BV745" s="11" t="n">
        <x:v>463000</x:v>
      </x:c>
      <x:c r="BW745" s="11" t="n">
        <x:v>175939</x:v>
      </x:c>
      <x:c r="BX745" s="11" t="n">
        <x:v>45766</x:v>
      </x:c>
      <x:c r="BY745" s="11" t="n">
        <x:v>0</x:v>
      </x:c>
      <x:c r="BZ745" s="11" t="n">
        <x:v>1706</x:v>
      </x:c>
      <x:c r="CA745" s="11" t="n">
        <x:v>0</x:v>
      </x:c>
      <x:c r="CB745" s="11" t="n">
        <x:v>0</x:v>
      </x:c>
      <x:c r="CC745" s="11" t="n">
        <x:v>546572</x:v>
      </x:c>
      <x:c r="CD745" s="11" t="n">
        <x:v>99014</x:v>
      </x:c>
      <x:c r="CE745" s="11" t="n">
        <x:v>54049</x:v>
      </x:c>
      <x:c r="CF745" s="11" t="n">
        <x:v>0</x:v>
      </x:c>
      <x:c r="CG745" s="11" t="n">
        <x:v>0</x:v>
      </x:c>
      <x:c r="CH745" s="11" t="n">
        <x:v>74373</x:v>
      </x:c>
      <x:c r="CI745" s="11" t="n">
        <x:v>303963</x:v>
      </x:c>
      <x:c r="CJ745" s="11" t="n">
        <x:v>167700</x:v>
      </x:c>
      <x:c r="CK745" s="11" t="n">
        <x:v>97100</x:v>
      </x:c>
      <x:c r="CL745" s="11" t="n">
        <x:v>80729</x:v>
      </x:c>
      <x:c r="CM745" s="11"/>
      <x:c r="CN745" s="11" t="n">
        <x:v>0</x:v>
      </x:c>
      <x:c r="CO745" s="11" t="n">
        <x:v>0</x:v>
      </x:c>
      <x:c r="CP745" s="8"/>
      <x:c r="CQ745" s="8"/>
    </x:row>
    <x:row r="746">
      <x:c r="A746" s="8" t="str">
        <x:v>Sayward|2023</x:v>
      </x:c>
      <x:c r="B746" s="8" t="str">
        <x:v>sayward-v</x:v>
      </x:c>
      <x:c r="C746" s="8" t="str">
        <x:v>Sayward</x:v>
      </x:c>
      <x:c r="D746" s="8" t="str">
        <x:v>Sayward</x:v>
      </x:c>
      <x:c r="E746" s="8" t="str">
        <x:v>V</x:v>
      </x:c>
      <x:c r="F746" s="8" t="str">
        <x:v>STR</x:v>
      </x:c>
      <x:c r="G746" s="9" t="n">
        <x:v>2023</x:v>
      </x:c>
      <x:c r="H746" s="10" t="n">
        <x:v>305</x:v>
      </x:c>
      <x:c r="I746" s="8" t="str">
        <x:v>Under 5,000</x:v>
      </x:c>
      <x:c r="J746" s="11" t="n">
        <x:v>2139950</x:v>
      </x:c>
      <x:c r="K746" s="11" t="n">
        <x:v>1758447</x:v>
      </x:c>
      <x:c r="L746" s="11" t="n">
        <x:v>381503</x:v>
      </x:c>
      <x:c r="M746" s="12" t="n">
        <x:v>0.17827659524755252</x:v>
      </x:c>
      <x:c r="N746" s="11" t="n">
        <x:v>439008</x:v>
      </x:c>
      <x:c r="O746" s="11" t="n">
        <x:v>419993</x:v>
      </x:c>
      <x:c r="P746" s="11" t="n">
        <x:v>1178708</x:v>
      </x:c>
      <x:c r="Q746" s="11" t="n">
        <x:v>102241</x:v>
      </x:c>
      <x:c r="R746" s="11" t="n">
        <x:v>1447108</x:v>
      </x:c>
      <x:c r="S746" s="11" t="n">
        <x:v>309859</x:v>
      </x:c>
      <x:c r="T746" s="11" t="n">
        <x:v>1678037</x:v>
      </x:c>
      <x:c r="U746" s="11" t="n">
        <x:v>1503765</x:v>
      </x:c>
      <x:c r="V746" s="11" t="n">
        <x:v>292761</x:v>
      </x:c>
      <x:c r="W746" s="11" t="n">
        <x:v>873975</x:v>
      </x:c>
      <x:c r="X746" s="11" t="n">
        <x:v>60243</x:v>
      </x:c>
      <x:c r="Y746" s="11" t="n">
        <x:v>0</x:v>
      </x:c>
      <x:c r="Z746" s="11" t="n">
        <x:v>19358</x:v>
      </x:c>
      <x:c r="AA746" s="11" t="n">
        <x:v>36982</x:v>
      </x:c>
      <x:c r="AB746" s="11" t="n">
        <x:v>1480</x:v>
      </x:c>
      <x:c r="AC746" s="11" t="n">
        <x:v>20838</x:v>
      </x:c>
      <x:c r="AD746" s="11" t="n">
        <x:v>324443</x:v>
      </x:c>
      <x:c r="AE746" s="11" t="n">
        <x:v>303605</x:v>
      </x:c>
      <x:c r="AF746" s="11" t="n">
        <x:v>1297773</x:v>
      </x:c>
      <x:c r="AG746" s="11" t="n">
        <x:v>16376908</x:v>
      </x:c>
      <x:c r="AH746" s="11" t="n">
        <x:v>4536395</x:v>
      </x:c>
      <x:c r="AI746" s="11" t="n">
        <x:v>11840513</x:v>
      </x:c>
      <x:c r="AJ746" s="11" t="n">
        <x:v>72932</x:v>
      </x:c>
      <x:c r="AK746" s="11" t="n">
        <x:v>2122436</x:v>
      </x:c>
      <x:c r="AL746" s="11" t="n">
        <x:v>0</x:v>
      </x:c>
      <x:c r="AM746" s="12" t="n">
        <x:v>1</x:v>
      </x:c>
      <x:c r="AN746" s="12" t="n">
        <x:v>0.034362402446999576</x:v>
      </x:c>
      <x:c r="AO746" s="11" t="n">
        <x:v>694946</x:v>
      </x:c>
      <x:c r="AP746" s="11" t="n">
        <x:v>635996</x:v>
      </x:c>
      <x:c r="AQ746" s="12" t="n">
        <x:v>0.9151732652608979</x:v>
      </x:c>
      <x:c r="AR746" s="11" t="n">
        <x:v>7016.229508196721</x:v>
      </x:c>
      <x:c r="AS746" s="11" t="n">
        <x:v>5765.4</x:v>
      </x:c>
      <x:c r="AT746" s="11" t="n">
        <x:v>959.872131147541</x:v>
      </x:c>
      <x:c r="AU746" s="11" t="n">
        <x:v>2865.4918032786886</x:v>
      </x:c>
      <x:c r="AV746" s="11" t="n">
        <x:v>121.25245901639344</x:v>
      </x:c>
      <x:c r="AW746" s="11" t="n">
        <x:v>1.11589044830808</x:v>
      </x:c>
      <x:c r="AX746" s="12" t="n">
        <x:v>0.9357730017291173</x:v>
      </x:c>
      <x:c r="AY746" s="11"/>
      <x:c r="AZ746" s="11"/>
      <x:c r="BA746" s="11"/>
      <x:c r="BB746" s="11"/>
      <x:c r="BC746" s="11"/>
      <x:c r="BD746" s="11"/>
      <x:c r="BE746" s="11"/>
      <x:c r="BF746" s="11"/>
      <x:c r="BG746" s="11"/>
      <x:c r="BH746" s="11"/>
      <x:c r="BI746" s="11"/>
      <x:c r="BJ746" s="11"/>
      <x:c r="BK746" s="12"/>
      <x:c r="BL746" s="12"/>
      <x:c r="BM746" s="12"/>
      <x:c r="BN746" s="12"/>
      <x:c r="BO746" s="12"/>
      <x:c r="BP746" s="12"/>
      <x:c r="BQ746" s="12"/>
      <x:c r="BR746" s="12"/>
      <x:c r="BS746" s="12"/>
      <x:c r="BT746" s="12"/>
      <x:c r="BU746" s="11" t="n">
        <x:v>0</x:v>
      </x:c>
      <x:c r="BV746" s="11" t="n">
        <x:v>965000</x:v>
      </x:c>
      <x:c r="BW746" s="11" t="n">
        <x:v>213708</x:v>
      </x:c>
      <x:c r="BX746" s="11" t="n">
        <x:v>99675</x:v>
      </x:c>
      <x:c r="BY746" s="11" t="n">
        <x:v>0</x:v>
      </x:c>
      <x:c r="BZ746" s="11" t="n">
        <x:v>2566</x:v>
      </x:c>
      <x:c r="CA746" s="11" t="n">
        <x:v>0</x:v>
      </x:c>
      <x:c r="CB746" s="11" t="n">
        <x:v>0</x:v>
      </x:c>
      <x:c r="CC746" s="11" t="n">
        <x:v>630452</x:v>
      </x:c>
      <x:c r="CD746" s="11" t="n">
        <x:v>111744</x:v>
      </x:c>
      <x:c r="CE746" s="11" t="n">
        <x:v>47721</x:v>
      </x:c>
      <x:c r="CF746" s="11" t="n">
        <x:v>0</x:v>
      </x:c>
      <x:c r="CG746" s="11" t="n">
        <x:v>0</x:v>
      </x:c>
      <x:c r="CH746" s="11" t="n">
        <x:v>32491</x:v>
      </x:c>
      <x:c r="CI746" s="11" t="n">
        <x:v>329428</x:v>
      </x:c>
      <x:c r="CJ746" s="11" t="n">
        <x:v>122360</x:v>
      </x:c>
      <x:c r="CK746" s="11" t="n">
        <x:v>85221</x:v>
      </x:c>
      <x:c r="CL746" s="11" t="n">
        <x:v>89171</x:v>
      </x:c>
      <x:c r="CM746" s="11" t="n">
        <x:v>0</x:v>
      </x:c>
      <x:c r="CN746" s="11" t="n">
        <x:v>0</x:v>
      </x:c>
      <x:c r="CO746" s="11" t="n">
        <x:v>0</x:v>
      </x:c>
      <x:c r="CP746" s="8"/>
      <x:c r="CQ746" s="8"/>
    </x:row>
    <x:row r="747">
      <x:c r="A747" s="8" t="str">
        <x:v>Sayward|2024</x:v>
      </x:c>
      <x:c r="B747" s="8" t="str">
        <x:v>sayward-v</x:v>
      </x:c>
      <x:c r="C747" s="8" t="str">
        <x:v>Sayward</x:v>
      </x:c>
      <x:c r="D747" s="8" t="str">
        <x:v>Sayward</x:v>
      </x:c>
      <x:c r="E747" s="8" t="str">
        <x:v>V</x:v>
      </x:c>
      <x:c r="F747" s="8" t="str">
        <x:v>STR</x:v>
      </x:c>
      <x:c r="G747" s="9" t="n">
        <x:v>2024</x:v>
      </x:c>
      <x:c r="H747" s="10" t="n">
        <x:v>305</x:v>
      </x:c>
      <x:c r="I747" s="8" t="str">
        <x:v>Under 5,000</x:v>
      </x:c>
      <x:c r="J747" s="11" t="n">
        <x:v>1860437</x:v>
      </x:c>
      <x:c r="K747" s="11" t="n">
        <x:v>2010281</x:v>
      </x:c>
      <x:c r="L747" s="11" t="n">
        <x:v>-149844</x:v>
      </x:c>
      <x:c r="M747" s="12" t="n">
        <x:v>-0.08054236719652426</x:v>
      </x:c>
      <x:c r="N747" s="11" t="n">
        <x:v>491599</x:v>
      </x:c>
      <x:c r="O747" s="11" t="n">
        <x:v>564175</x:v>
      </x:c>
      <x:c r="P747" s="11" t="n">
        <x:v>700697</x:v>
      </x:c>
      <x:c r="Q747" s="11" t="n">
        <x:v>103966</x:v>
      </x:c>
      <x:c r="R747" s="11" t="n">
        <x:v>1717824</x:v>
      </x:c>
      <x:c r="S747" s="11" t="n">
        <x:v>290497</x:v>
      </x:c>
      <x:c r="T747" s="11" t="n">
        <x:v>1738245</x:v>
      </x:c>
      <x:c r="U747" s="11" t="n">
        <x:v>1555894</x:v>
      </x:c>
      <x:c r="V747" s="11" t="n">
        <x:v>347211</x:v>
      </x:c>
      <x:c r="W747" s="11" t="n">
        <x:v>5767</x:v>
      </x:c>
      <x:c r="X747" s="11" t="n">
        <x:v>36982</x:v>
      </x:c>
      <x:c r="Y747" s="11" t="n">
        <x:v>0</x:v>
      </x:c>
      <x:c r="Z747" s="11" t="n">
        <x:v>20018</x:v>
      </x:c>
      <x:c r="AA747" s="11" t="n">
        <x:v>12745</x:v>
      </x:c>
      <x:c r="AB747" s="11" t="n">
        <x:v>1960</x:v>
      </x:c>
      <x:c r="AC747" s="11" t="n">
        <x:v>21978</x:v>
      </x:c>
      <x:c r="AD747" s="11" t="n">
        <x:v>379334</x:v>
      </x:c>
      <x:c r="AE747" s="11" t="n">
        <x:v>357356</x:v>
      </x:c>
      <x:c r="AF747" s="11" t="n">
        <x:v>1517337</x:v>
      </x:c>
      <x:c r="AG747" s="11" t="n">
        <x:v>16497350</x:v>
      </x:c>
      <x:c r="AH747" s="11" t="n">
        <x:v>4826892</x:v>
      </x:c>
      <x:c r="AI747" s="11" t="n">
        <x:v>11670458</x:v>
      </x:c>
      <x:c r="AJ747" s="11" t="n">
        <x:v>96926</x:v>
      </x:c>
      <x:c r="AK747" s="11" t="n">
        <x:v>48352436</x:v>
      </x:c>
      <x:c r="AL747" s="11" t="n">
        <x:v>652589</x:v>
      </x:c>
      <x:c r="AM747" s="12" t="n">
        <x:v>0.9865034928126475</x:v>
      </x:c>
      <x:c r="AN747" s="12" t="n">
        <x:v>0.0020045732545925917</x:v>
      </x:c>
      <x:c r="AO747" s="11" t="n">
        <x:v>734008</x:v>
      </x:c>
      <x:c r="AP747" s="11" t="n">
        <x:v>666278</x:v>
      </x:c>
      <x:c r="AQ747" s="12" t="n">
        <x:v>0.9077258013536638</x:v>
      </x:c>
      <x:c r="AR747" s="11" t="n">
        <x:v>6099.793442622951</x:v>
      </x:c>
      <x:c r="AS747" s="11" t="n">
        <x:v>6591.08524590164</x:v>
      </x:c>
      <x:c r="AT747" s="11" t="n">
        <x:v>1138.3967213114754</x:v>
      </x:c>
      <x:c r="AU747" s="11" t="n">
        <x:v>18.908196721311477</x:v>
      </x:c>
      <x:c r="AV747" s="11" t="n">
        <x:v>41.78688524590164</x:v>
      </x:c>
      <x:c r="AW747" s="11" t="n">
        <x:v>1.1172001434545027</x:v>
      </x:c>
      <x:c r="AX747" s="12" t="n">
        <x:v>0.9420616132484829</x:v>
      </x:c>
      <x:c r="AY747" s="11" t="n">
        <x:v>4648.097865362712</x:v>
      </x:c>
      <x:c r="AZ747" s="11" t="n">
        <x:v>3546.5079302077975</x:v>
      </x:c>
      <x:c r="BA747" s="11" t="n">
        <x:v>3428.422456291105</x:v>
      </x:c>
      <x:c r="BB747" s="11" t="n">
        <x:v>2783.665107049771</x:v>
      </x:c>
      <x:c r="BC747" s="11" t="n">
        <x:v>5030.364110900993</x:v>
      </x:c>
      <x:c r="BD747" s="11" t="n">
        <x:v>2437.8724475115623</x:v>
      </x:c>
      <x:c r="BE747" s="11" t="n">
        <x:v>2420.45</x:v>
      </x:c>
      <x:c r="BF747" s="11" t="n">
        <x:v>1604.3462673977224</x:v>
      </x:c>
      <x:c r="BG747" s="11" t="n">
        <x:v>224.31236112962716</x:v>
      </x:c>
      <x:c r="BH747" s="11" t="n">
        <x:v>518.5374381567245</x:v>
      </x:c>
      <x:c r="BI747" s="11" t="n">
        <x:v>2.204313821553219</x:v>
      </x:c>
      <x:c r="BJ747" s="11" t="n">
        <x:v>1.7099330852451193</x:v>
      </x:c>
      <x:c r="BK747" s="12" t="n">
        <x:v>0.030042455998363887</x:v>
      </x:c>
      <x:c r="BL747" s="12" t="n">
        <x:v>0.02529861000232605</x:v>
      </x:c>
      <x:c r="BM747" s="12" t="n">
        <x:v>0.9786113537119745</x:v>
      </x:c>
      <x:c r="BN747" s="12" t="n">
        <x:v>0.9815511712696461</x:v>
      </x:c>
      <x:c r="BO747" s="12" t="n">
        <x:v>0.9039920521842442</x:v>
      </x:c>
      <x:c r="BP747" s="12" t="n">
        <x:v>0.8619101997275483</x:v>
      </x:c>
      <x:c r="BQ747" s="12" t="n">
        <x:v>0.9333160528846489</x:v>
      </x:c>
      <x:c r="BR747" s="12" t="n">
        <x:v>0.9623635142836453</x:v>
      </x:c>
      <x:c r="BS747" s="12" t="n">
        <x:v>0.20869205825466772</x:v>
      </x:c>
      <x:c r="BT747" s="12" t="n">
        <x:v>0.19976549769108282</x:v>
      </x:c>
      <x:c r="BU747" s="11" t="n">
        <x:v>78620</x:v>
      </x:c>
      <x:c r="BV747" s="11" t="n">
        <x:v>368200</x:v>
      </x:c>
      <x:c r="BW747" s="11" t="n">
        <x:v>253877</x:v>
      </x:c>
      <x:c r="BX747" s="11" t="n">
        <x:v>97582</x:v>
      </x:c>
      <x:c r="BY747" s="11" t="n">
        <x:v>0</x:v>
      </x:c>
      <x:c r="BZ747" s="11" t="n">
        <x:v>6384</x:v>
      </x:c>
      <x:c r="CA747" s="11" t="n">
        <x:v>0</x:v>
      </x:c>
      <x:c r="CB747" s="11" t="n">
        <x:v>0</x:v>
      </x:c>
      <x:c r="CC747" s="11" t="n">
        <x:v>809239</x:v>
      </x:c>
      <x:c r="CD747" s="11" t="n">
        <x:v>102528</x:v>
      </x:c>
      <x:c r="CE747" s="11" t="n">
        <x:v>50621</x:v>
      </x:c>
      <x:c r="CF747" s="11" t="n">
        <x:v>0</x:v>
      </x:c>
      <x:c r="CG747" s="11" t="n">
        <x:v>0</x:v>
      </x:c>
      <x:c r="CH747" s="11" t="n">
        <x:v>45843</x:v>
      </x:c>
      <x:c r="CI747" s="11" t="n">
        <x:v>345315</x:v>
      </x:c>
      <x:c r="CJ747" s="11" t="n">
        <x:v>184605</x:v>
      </x:c>
      <x:c r="CK747" s="11" t="n">
        <x:v>74591</x:v>
      </x:c>
      <x:c r="CL747" s="11" t="n">
        <x:v>107042</x:v>
      </x:c>
      <x:c r="CM747" s="11" t="n">
        <x:v>0</x:v>
      </x:c>
      <x:c r="CN747" s="11" t="n">
        <x:v>0</x:v>
      </x:c>
      <x:c r="CO747" s="11" t="n">
        <x:v>0</x:v>
      </x:c>
      <x:c r="CP747" s="8"/>
      <x:c r="CQ747" s="8"/>
    </x:row>
    <x:row r="748">
      <x:c r="A748" s="8" t="str">
        <x:v>Sechelt|2019</x:v>
      </x:c>
      <x:c r="B748" s="8" t="str">
        <x:v>sechelt-d</x:v>
      </x:c>
      <x:c r="C748" s="8" t="str">
        <x:v>Sechelt</x:v>
      </x:c>
      <x:c r="D748" s="8" t="str">
        <x:v>Sechelt</x:v>
      </x:c>
      <x:c r="E748" s="8" t="str">
        <x:v>D</x:v>
      </x:c>
      <x:c r="F748" s="8" t="str">
        <x:v>SUN</x:v>
      </x:c>
      <x:c r="G748" s="9" t="n">
        <x:v>2019</x:v>
      </x:c>
      <x:c r="H748" s="10" t="n">
        <x:v>10809</x:v>
      </x:c>
      <x:c r="I748" s="8" t="str">
        <x:v>5,000 to 19,999</x:v>
      </x:c>
      <x:c r="J748" s="11" t="n">
        <x:v>21105335</x:v>
      </x:c>
      <x:c r="K748" s="11" t="n">
        <x:v>18751829</x:v>
      </x:c>
      <x:c r="L748" s="11" t="n">
        <x:v>2353506</x:v>
      </x:c>
      <x:c r="M748" s="12" t="n">
        <x:v>0.11151237353019983</x:v>
      </x:c>
      <x:c r="N748" s="11" t="n">
        <x:v>10772380</x:v>
      </x:c>
      <x:c r="O748" s="11" t="n">
        <x:v>4626583</x:v>
      </x:c>
      <x:c r="P748" s="11" t="n">
        <x:v>3543326</x:v>
      </x:c>
      <x:c r="Q748" s="11" t="n">
        <x:v>2163046</x:v>
      </x:c>
      <x:c r="R748" s="11" t="n">
        <x:v>14819131</x:v>
      </x:c>
      <x:c r="S748" s="11" t="n">
        <x:v>3680282</x:v>
      </x:c>
      <x:c r="T748" s="11" t="n">
        <x:v>18744300</x:v>
      </x:c>
      <x:c r="U748" s="11" t="n">
        <x:v>21281358</x:v>
      </x:c>
      <x:c r="V748" s="11" t="n">
        <x:v>2330458</x:v>
      </x:c>
      <x:c r="W748" s="11" t="n">
        <x:v>3356197</x:v>
      </x:c>
      <x:c r="X748" s="11" t="n">
        <x:v>6523361</x:v>
      </x:c>
      <x:c r="Y748" s="11" t="n">
        <x:v>0</x:v>
      </x:c>
      <x:c r="Z748" s="11" t="n">
        <x:v>969654</x:v>
      </x:c>
      <x:c r="AA748" s="11" t="n">
        <x:v>5349800</x:v>
      </x:c>
      <x:c r="AB748" s="11" t="n">
        <x:v>252416</x:v>
      </x:c>
      <x:c r="AC748" s="11" t="n">
        <x:v>1222070</x:v>
      </x:c>
      <x:c r="AD748" s="11" t="n">
        <x:v>4034807</x:v>
      </x:c>
      <x:c r="AE748" s="11" t="n">
        <x:v>2812737</x:v>
      </x:c>
      <x:c r="AF748" s="11" t="n">
        <x:v>16139226</x:v>
      </x:c>
      <x:c r="AG748" s="11" t="n">
        <x:v>214056872</x:v>
      </x:c>
      <x:c r="AH748" s="11" t="n">
        <x:v>65169910</x:v>
      </x:c>
      <x:c r="AI748" s="11" t="n">
        <x:v>148886962</x:v>
      </x:c>
      <x:c r="AJ748" s="11" t="n">
        <x:v>4493316</x:v>
      </x:c>
      <x:c r="AK748" s="11" t="n">
        <x:v>72269954</x:v>
      </x:c>
      <x:c r="AL748" s="11" t="n">
        <x:v>0</x:v>
      </x:c>
      <x:c r="AM748" s="12" t="n">
        <x:v>1</x:v>
      </x:c>
      <x:c r="AN748" s="12" t="n">
        <x:v>0.062174053687650055</x:v>
      </x:c>
      <x:c r="AO748" s="11" t="n">
        <x:v>25400688</x:v>
      </x:c>
      <x:c r="AP748" s="11" t="n">
        <x:v>24393699</x:v>
      </x:c>
      <x:c r="AQ748" s="12" t="n">
        <x:v>0.9603558376056586</x:v>
      </x:c>
      <x:c r="AR748" s="11" t="n">
        <x:v>1952.5705430659636</x:v>
      </x:c>
      <x:c r="AS748" s="11" t="n">
        <x:v>1734.8347673235266</x:v>
      </x:c>
      <x:c r="AT748" s="11" t="n">
        <x:v>215.6034785826626</x:v>
      </x:c>
      <x:c r="AU748" s="11" t="n">
        <x:v>310.50023128874085</x:v>
      </x:c>
      <x:c r="AV748" s="11" t="n">
        <x:v>494.9394023498936</x:v>
      </x:c>
      <x:c r="AW748" s="11" t="n">
        <x:v>0.8807849574261192</x:v>
      </x:c>
      <x:c r="AX748" s="12" t="n">
        <x:v>0.6971181025511257</x:v>
      </x:c>
      <x:c r="AY748" s="11"/>
      <x:c r="AZ748" s="11"/>
      <x:c r="BA748" s="11"/>
      <x:c r="BB748" s="11"/>
      <x:c r="BC748" s="11"/>
      <x:c r="BD748" s="11"/>
      <x:c r="BE748" s="11"/>
      <x:c r="BF748" s="11"/>
      <x:c r="BG748" s="11"/>
      <x:c r="BH748" s="11"/>
      <x:c r="BI748" s="11"/>
      <x:c r="BJ748" s="11"/>
      <x:c r="BK748" s="12"/>
      <x:c r="BL748" s="12"/>
      <x:c r="BM748" s="12"/>
      <x:c r="BN748" s="12"/>
      <x:c r="BO748" s="12"/>
      <x:c r="BP748" s="12"/>
      <x:c r="BQ748" s="12"/>
      <x:c r="BR748" s="12"/>
      <x:c r="BS748" s="12"/>
      <x:c r="BT748" s="12"/>
      <x:c r="BU748" s="11" t="n">
        <x:v>69125</x:v>
      </x:c>
      <x:c r="BV748" s="11" t="n">
        <x:v>2406305</x:v>
      </x:c>
      <x:c r="BW748" s="11" t="n">
        <x:v>1067896</x:v>
      </x:c>
      <x:c r="BX748" s="11" t="n">
        <x:v>456202</x:v>
      </x:c>
      <x:c r="BY748" s="11" t="n">
        <x:v>-391684</x:v>
      </x:c>
      <x:c r="BZ748" s="11" t="n">
        <x:v>2098528</x:v>
      </x:c>
      <x:c r="CA748" s="11" t="n">
        <x:v>0</x:v>
      </x:c>
      <x:c r="CB748" s="11" t="n">
        <x:v>0</x:v>
      </x:c>
      <x:c r="CC748" s="11" t="n">
        <x:v>3478743</x:v>
      </x:c>
      <x:c r="CD748" s="11" t="n">
        <x:v>2521441</x:v>
      </x:c>
      <x:c r="CE748" s="11" t="n">
        <x:v>1122491</x:v>
      </x:c>
      <x:c r="CF748" s="11" t="n">
        <x:v>5951</x:v>
      </x:c>
      <x:c r="CG748" s="11" t="n">
        <x:v>984286</x:v>
      </x:c>
      <x:c r="CH748" s="11" t="n">
        <x:v>2315343</x:v>
      </x:c>
      <x:c r="CI748" s="11" t="n">
        <x:v>1672778</x:v>
      </x:c>
      <x:c r="CJ748" s="11" t="n">
        <x:v>0</x:v>
      </x:c>
      <x:c r="CK748" s="11" t="n">
        <x:v>2311782</x:v>
      </x:c>
      <x:c r="CL748" s="11" t="n">
        <x:v>609371</x:v>
      </x:c>
      <x:c r="CM748" s="11"/>
      <x:c r="CN748" s="11" t="n">
        <x:v>49361</x:v>
      </x:c>
      <x:c r="CO748" s="11" t="n">
        <x:v>0</x:v>
      </x:c>
      <x:c r="CP748" s="8"/>
      <x:c r="CQ748" s="8"/>
    </x:row>
    <x:row r="749">
      <x:c r="A749" s="8" t="str">
        <x:v>Sechelt|2020</x:v>
      </x:c>
      <x:c r="B749" s="8" t="str">
        <x:v>sechelt-d</x:v>
      </x:c>
      <x:c r="C749" s="8" t="str">
        <x:v>Sechelt</x:v>
      </x:c>
      <x:c r="D749" s="8" t="str">
        <x:v>Sechelt</x:v>
      </x:c>
      <x:c r="E749" s="8" t="str">
        <x:v>D</x:v>
      </x:c>
      <x:c r="F749" s="8" t="str">
        <x:v>SUN</x:v>
      </x:c>
      <x:c r="G749" s="9" t="n">
        <x:v>2020</x:v>
      </x:c>
      <x:c r="H749" s="10" t="n">
        <x:v>10872</x:v>
      </x:c>
      <x:c r="I749" s="8" t="str">
        <x:v>5,000 to 19,999</x:v>
      </x:c>
      <x:c r="J749" s="11" t="n">
        <x:v>26076509</x:v>
      </x:c>
      <x:c r="K749" s="11" t="n">
        <x:v>18125950</x:v>
      </x:c>
      <x:c r="L749" s="11" t="n">
        <x:v>7950559</x:v>
      </x:c>
      <x:c r="M749" s="12" t="n">
        <x:v>0.30489353463686414</x:v>
      </x:c>
      <x:c r="N749" s="11" t="n">
        <x:v>11205611</x:v>
      </x:c>
      <x:c r="O749" s="11" t="n">
        <x:v>5639373</x:v>
      </x:c>
      <x:c r="P749" s="11" t="n">
        <x:v>4158303</x:v>
      </x:c>
      <x:c r="Q749" s="11" t="n">
        <x:v>5073222</x:v>
      </x:c>
      <x:c r="R749" s="11" t="n">
        <x:v>14202450</x:v>
      </x:c>
      <x:c r="S749" s="11" t="n">
        <x:v>3692754</x:v>
      </x:c>
      <x:c r="T749" s="11" t="n">
        <x:v>26183605</x:v>
      </x:c>
      <x:c r="U749" s="11" t="n">
        <x:v>21512604</x:v>
      </x:c>
      <x:c r="V749" s="11" t="n">
        <x:v>9003235</x:v>
      </x:c>
      <x:c r="W749" s="11" t="n">
        <x:v>4429944</x:v>
      </x:c>
      <x:c r="X749" s="11" t="n">
        <x:v>5349800</x:v>
      </x:c>
      <x:c r="Y749" s="11" t="n">
        <x:v>19528</x:v>
      </x:c>
      <x:c r="Z749" s="11" t="n">
        <x:v>940725</x:v>
      </x:c>
      <x:c r="AA749" s="11" t="n">
        <x:v>4205881</x:v>
      </x:c>
      <x:c r="AB749" s="11" t="n">
        <x:v>230746</x:v>
      </x:c>
      <x:c r="AC749" s="11" t="n">
        <x:v>1171471</x:v>
      </x:c>
      <x:c r="AD749" s="11" t="n">
        <x:v>4400099</x:v>
      </x:c>
      <x:c r="AE749" s="11" t="n">
        <x:v>3228628</x:v>
      </x:c>
      <x:c r="AF749" s="11" t="n">
        <x:v>17600395</x:v>
      </x:c>
      <x:c r="AG749" s="11" t="n">
        <x:v>218959230</x:v>
      </x:c>
      <x:c r="AH749" s="11" t="n">
        <x:v>68842102</x:v>
      </x:c>
      <x:c r="AI749" s="11" t="n">
        <x:v>150117128</x:v>
      </x:c>
      <x:c r="AJ749" s="11" t="n">
        <x:v>5291006</x:v>
      </x:c>
      <x:c r="AK749" s="11" t="n">
        <x:v>76303777</x:v>
      </x:c>
      <x:c r="AL749" s="11" t="n">
        <x:v>0</x:v>
      </x:c>
      <x:c r="AM749" s="12" t="n">
        <x:v>1</x:v>
      </x:c>
      <x:c r="AN749" s="12" t="n">
        <x:v>0.06934133810964561</x:v>
      </x:c>
      <x:c r="AO749" s="11" t="n">
        <x:v>25842868</x:v>
      </x:c>
      <x:c r="AP749" s="11" t="n">
        <x:v>24819280</x:v>
      </x:c>
      <x:c r="AQ749" s="12" t="n">
        <x:v>0.9603918574362567</x:v>
      </x:c>
      <x:c r="AR749" s="11" t="n">
        <x:v>2398.5015636497424</x:v>
      </x:c>
      <x:c r="AS749" s="11" t="n">
        <x:v>1667.2139440765268</x:v>
      </x:c>
      <x:c r="AT749" s="11" t="n">
        <x:v>828.1121228844739</x:v>
      </x:c>
      <x:c r="AU749" s="11" t="n">
        <x:v>407.4635761589404</x:v>
      </x:c>
      <x:c r="AV749" s="11" t="n">
        <x:v>386.8543966151582</x:v>
      </x:c>
      <x:c r="AW749" s="11" t="n">
        <x:v>1.2171285726265402</x:v>
      </x:c>
      <x:c r="AX749" s="12" t="n">
        <x:v>0.7337625812510128</x:v>
      </x:c>
      <x:c r="AY749" s="11"/>
      <x:c r="AZ749" s="11"/>
      <x:c r="BA749" s="11"/>
      <x:c r="BB749" s="11"/>
      <x:c r="BC749" s="11"/>
      <x:c r="BD749" s="11"/>
      <x:c r="BE749" s="11"/>
      <x:c r="BF749" s="11"/>
      <x:c r="BG749" s="11"/>
      <x:c r="BH749" s="11"/>
      <x:c r="BI749" s="11"/>
      <x:c r="BJ749" s="11"/>
      <x:c r="BK749" s="12"/>
      <x:c r="BL749" s="12"/>
      <x:c r="BM749" s="12"/>
      <x:c r="BN749" s="12"/>
      <x:c r="BO749" s="12"/>
      <x:c r="BP749" s="12"/>
      <x:c r="BQ749" s="12"/>
      <x:c r="BR749" s="12"/>
      <x:c r="BS749" s="12"/>
      <x:c r="BT749" s="12"/>
      <x:c r="BU749" s="11" t="n">
        <x:v>367573</x:v>
      </x:c>
      <x:c r="BV749" s="11" t="n">
        <x:v>3110801</x:v>
      </x:c>
      <x:c r="BW749" s="11" t="n">
        <x:v>679929</x:v>
      </x:c>
      <x:c r="BX749" s="11" t="n">
        <x:v>508885</x:v>
      </x:c>
      <x:c r="BY749" s="11" t="n">
        <x:v>86834</x:v>
      </x:c>
      <x:c r="BZ749" s="11" t="n">
        <x:v>4477503</x:v>
      </x:c>
      <x:c r="CA749" s="11" t="n">
        <x:v>0</x:v>
      </x:c>
      <x:c r="CB749" s="11" t="n">
        <x:v>0</x:v>
      </x:c>
      <x:c r="CC749" s="11" t="n">
        <x:v>3368673</x:v>
      </x:c>
      <x:c r="CD749" s="11" t="n">
        <x:v>2282295</x:v>
      </x:c>
      <x:c r="CE749" s="11" t="n">
        <x:v>1000701</x:v>
      </x:c>
      <x:c r="CF749" s="11" t="n">
        <x:v>1897</x:v>
      </x:c>
      <x:c r="CG749" s="11" t="n">
        <x:v>987285</x:v>
      </x:c>
      <x:c r="CH749" s="11" t="n">
        <x:v>2089799</x:v>
      </x:c>
      <x:c r="CI749" s="11" t="n">
        <x:v>1870790</x:v>
      </x:c>
      <x:c r="CJ749" s="11" t="n">
        <x:v>0</x:v>
      </x:c>
      <x:c r="CK749" s="11" t="n">
        <x:v>2160967</x:v>
      </x:c>
      <x:c r="CL749" s="11" t="n">
        <x:v>668289</x:v>
      </x:c>
      <x:c r="CM749" s="11"/>
      <x:c r="CN749" s="11" t="n">
        <x:v>2500</x:v>
      </x:c>
      <x:c r="CO749" s="11" t="n">
        <x:v>0</x:v>
      </x:c>
      <x:c r="CP749" s="8"/>
      <x:c r="CQ749" s="8"/>
    </x:row>
    <x:row r="750">
      <x:c r="A750" s="8" t="str">
        <x:v>Sechelt|2021</x:v>
      </x:c>
      <x:c r="B750" s="8" t="str">
        <x:v>sechelt-d</x:v>
      </x:c>
      <x:c r="C750" s="8" t="str">
        <x:v>Sechelt</x:v>
      </x:c>
      <x:c r="D750" s="8" t="str">
        <x:v>Sechelt</x:v>
      </x:c>
      <x:c r="E750" s="8" t="str">
        <x:v>D</x:v>
      </x:c>
      <x:c r="F750" s="8" t="str">
        <x:v>SUN</x:v>
      </x:c>
      <x:c r="G750" s="9" t="n">
        <x:v>2021</x:v>
      </x:c>
      <x:c r="H750" s="10" t="n">
        <x:v>10971</x:v>
      </x:c>
      <x:c r="I750" s="8" t="str">
        <x:v>5,000 to 19,999</x:v>
      </x:c>
      <x:c r="J750" s="11" t="n">
        <x:v>25905072</x:v>
      </x:c>
      <x:c r="K750" s="11" t="n">
        <x:v>18246832</x:v>
      </x:c>
      <x:c r="L750" s="11" t="n">
        <x:v>7658240</x:v>
      </x:c>
      <x:c r="M750" s="12" t="n">
        <x:v>0.29562704940561446</x:v>
      </x:c>
      <x:c r="N750" s="11" t="n">
        <x:v>12290922</x:v>
      </x:c>
      <x:c r="O750" s="11" t="n">
        <x:v>6308801</x:v>
      </x:c>
      <x:c r="P750" s="11" t="n">
        <x:v>3667225</x:v>
      </x:c>
      <x:c r="Q750" s="11" t="n">
        <x:v>3638124</x:v>
      </x:c>
      <x:c r="R750" s="11" t="n">
        <x:v>14597858</x:v>
      </x:c>
      <x:c r="S750" s="11" t="n">
        <x:v>3446327</x:v>
      </x:c>
      <x:c r="T750" s="11" t="n">
        <x:v>25734028</x:v>
      </x:c>
      <x:c r="U750" s="11" t="n">
        <x:v>17216385</x:v>
      </x:c>
      <x:c r="V750" s="11" t="n">
        <x:v>13967525</x:v>
      </x:c>
      <x:c r="W750" s="11" t="n">
        <x:v>5480030</x:v>
      </x:c>
      <x:c r="X750" s="11" t="n">
        <x:v>4205881</x:v>
      </x:c>
      <x:c r="Y750" s="11" t="n">
        <x:v>214182</x:v>
      </x:c>
      <x:c r="Z750" s="11" t="n">
        <x:v>940398</x:v>
      </x:c>
      <x:c r="AA750" s="11" t="n">
        <x:v>3237188</x:v>
      </x:c>
      <x:c r="AB750" s="11" t="n">
        <x:v>202647</x:v>
      </x:c>
      <x:c r="AC750" s="11" t="n">
        <x:v>1143045</x:v>
      </x:c>
      <x:c r="AD750" s="11" t="n">
        <x:v>4813277</x:v>
      </x:c>
      <x:c r="AE750" s="11" t="n">
        <x:v>3670232</x:v>
      </x:c>
      <x:c r="AF750" s="11" t="n">
        <x:v>19253109</x:v>
      </x:c>
      <x:c r="AG750" s="11" t="n">
        <x:v>225064269</x:v>
      </x:c>
      <x:c r="AH750" s="11" t="n">
        <x:v>72267143</x:v>
      </x:c>
      <x:c r="AI750" s="11" t="n">
        <x:v>152797126</x:v>
      </x:c>
      <x:c r="AJ750" s="11" t="n">
        <x:v>6138467</x:v>
      </x:c>
      <x:c r="AK750" s="11" t="n">
        <x:v>81619557</x:v>
      </x:c>
      <x:c r="AL750" s="11" t="n">
        <x:v>0</x:v>
      </x:c>
      <x:c r="AM750" s="12" t="n">
        <x:v>1</x:v>
      </x:c>
      <x:c r="AN750" s="12" t="n">
        <x:v>0.07520828617092347</x:v>
      </x:c>
      <x:c r="AO750" s="11" t="n">
        <x:v>28435021</x:v>
      </x:c>
      <x:c r="AP750" s="11" t="n">
        <x:v>27444368</x:v>
      </x:c>
      <x:c r="AQ750" s="12" t="n">
        <x:v>0.9651608134912226</x:v>
      </x:c>
      <x:c r="AR750" s="11" t="n">
        <x:v>2361.2316106097896</x:v>
      </x:c>
      <x:c r="AS750" s="11" t="n">
        <x:v>1663.1876766019507</x:v>
      </x:c>
      <x:c r="AT750" s="11" t="n">
        <x:v>1273.1314374259412</x:v>
      </x:c>
      <x:c r="AU750" s="11" t="n">
        <x:v>499.5014128156048</x:v>
      </x:c>
      <x:c r="AV750" s="11" t="n">
        <x:v>295.0677239996354</x:v>
      </x:c>
      <x:c r="AW750" s="11" t="n">
        <x:v>1.494740504467111</x:v>
      </x:c>
      <x:c r="AX750" s="12" t="n">
        <x:v>0.7625224976663508</x:v>
      </x:c>
      <x:c r="AY750" s="11"/>
      <x:c r="AZ750" s="11"/>
      <x:c r="BA750" s="11"/>
      <x:c r="BB750" s="11"/>
      <x:c r="BC750" s="11"/>
      <x:c r="BD750" s="11"/>
      <x:c r="BE750" s="11"/>
      <x:c r="BF750" s="11"/>
      <x:c r="BG750" s="11"/>
      <x:c r="BH750" s="11"/>
      <x:c r="BI750" s="11"/>
      <x:c r="BJ750" s="11"/>
      <x:c r="BK750" s="12"/>
      <x:c r="BL750" s="12"/>
      <x:c r="BM750" s="12"/>
      <x:c r="BN750" s="12"/>
      <x:c r="BO750" s="12"/>
      <x:c r="BP750" s="12"/>
      <x:c r="BQ750" s="12"/>
      <x:c r="BR750" s="12"/>
      <x:c r="BS750" s="12"/>
      <x:c r="BT750" s="12"/>
      <x:c r="BU750" s="11" t="n">
        <x:v>48700</x:v>
      </x:c>
      <x:c r="BV750" s="11" t="n">
        <x:v>2482104</x:v>
      </x:c>
      <x:c r="BW750" s="11" t="n">
        <x:v>1136421</x:v>
      </x:c>
      <x:c r="BX750" s="11" t="n">
        <x:v>419430</x:v>
      </x:c>
      <x:c r="BY750" s="11" t="n">
        <x:v>842899</x:v>
      </x:c>
      <x:c r="BZ750" s="11" t="n">
        <x:v>2375795</x:v>
      </x:c>
      <x:c r="CA750" s="11" t="n">
        <x:v>0</x:v>
      </x:c>
      <x:c r="CB750" s="11" t="n">
        <x:v>0</x:v>
      </x:c>
      <x:c r="CC750" s="11" t="n">
        <x:v>3353929</x:v>
      </x:c>
      <x:c r="CD750" s="11" t="n">
        <x:v>2389161</x:v>
      </x:c>
      <x:c r="CE750" s="11" t="n">
        <x:v>1038825</x:v>
      </x:c>
      <x:c r="CF750" s="11" t="n">
        <x:v>2479</x:v>
      </x:c>
      <x:c r="CG750" s="11" t="n">
        <x:v>1104059</x:v>
      </x:c>
      <x:c r="CH750" s="11" t="n">
        <x:v>2228093</x:v>
      </x:c>
      <x:c r="CI750" s="11" t="n">
        <x:v>1966150</x:v>
      </x:c>
      <x:c r="CJ750" s="11" t="n">
        <x:v>0</x:v>
      </x:c>
      <x:c r="CK750" s="11" t="n">
        <x:v>2008013</x:v>
      </x:c>
      <x:c r="CL750" s="11" t="n">
        <x:v>697656</x:v>
      </x:c>
      <x:c r="CM750" s="11"/>
      <x:c r="CN750" s="11" t="n">
        <x:v>12140</x:v>
      </x:c>
      <x:c r="CO750" s="11" t="n">
        <x:v>0</x:v>
      </x:c>
      <x:c r="CP750" s="8"/>
      <x:c r="CQ750" s="8"/>
    </x:row>
    <x:row r="751">
      <x:c r="A751" s="8" t="str">
        <x:v>Sechelt|2022</x:v>
      </x:c>
      <x:c r="B751" s="8" t="str">
        <x:v>sechelt-d</x:v>
      </x:c>
      <x:c r="C751" s="8" t="str">
        <x:v>Sechelt</x:v>
      </x:c>
      <x:c r="D751" s="8" t="str">
        <x:v>Sechelt</x:v>
      </x:c>
      <x:c r="E751" s="8" t="str">
        <x:v>D</x:v>
      </x:c>
      <x:c r="F751" s="8" t="str">
        <x:v>SUN</x:v>
      </x:c>
      <x:c r="G751" s="9" t="n">
        <x:v>2022</x:v>
      </x:c>
      <x:c r="H751" s="10" t="n">
        <x:v>11238</x:v>
      </x:c>
      <x:c r="I751" s="8" t="str">
        <x:v>5,000 to 19,999</x:v>
      </x:c>
      <x:c r="J751" s="11" t="n">
        <x:v>26302261</x:v>
      </x:c>
      <x:c r="K751" s="11" t="n">
        <x:v>21046649</x:v>
      </x:c>
      <x:c r="L751" s="11" t="n">
        <x:v>5255612</x:v>
      </x:c>
      <x:c r="M751" s="12" t="n">
        <x:v>0.1998159777974981</x:v>
      </x:c>
      <x:c r="N751" s="11" t="n">
        <x:v>13261463</x:v>
      </x:c>
      <x:c r="O751" s="11" t="n">
        <x:v>7277207</x:v>
      </x:c>
      <x:c r="P751" s="11" t="n">
        <x:v>3509919</x:v>
      </x:c>
      <x:c r="Q751" s="11" t="n">
        <x:v>2253672</x:v>
      </x:c>
      <x:c r="R751" s="11" t="n">
        <x:v>17438646</x:v>
      </x:c>
      <x:c r="S751" s="11" t="n">
        <x:v>3480503</x:v>
      </x:c>
      <x:c r="T751" s="11" t="n">
        <x:v>27482274</x:v>
      </x:c>
      <x:c r="U751" s="11" t="n">
        <x:v>17133623</x:v>
      </x:c>
      <x:c r="V751" s="11" t="n">
        <x:v>15984191</x:v>
      </x:c>
      <x:c r="W751" s="11" t="n">
        <x:v>6017880</x:v>
      </x:c>
      <x:c r="X751" s="11" t="n">
        <x:v>3237188</x:v>
      </x:c>
      <x:c r="Y751" s="11" t="n">
        <x:v>1470000</x:v>
      </x:c>
      <x:c r="Z751" s="11" t="n">
        <x:v>956840</x:v>
      </x:c>
      <x:c r="AA751" s="11" t="n">
        <x:v>3487128</x:v>
      </x:c>
      <x:c r="AB751" s="11" t="n">
        <x:v>127500</x:v>
      </x:c>
      <x:c r="AC751" s="11" t="n">
        <x:v>1084340</x:v>
      </x:c>
      <x:c r="AD751" s="11" t="n">
        <x:v>5457058</x:v>
      </x:c>
      <x:c r="AE751" s="11" t="n">
        <x:v>4235783</x:v>
      </x:c>
      <x:c r="AF751" s="11" t="n">
        <x:v>21828231</x:v>
      </x:c>
      <x:c r="AG751" s="11" t="n">
        <x:v>231200351</x:v>
      </x:c>
      <x:c r="AH751" s="11" t="n">
        <x:v>75164993</x:v>
      </x:c>
      <x:c r="AI751" s="11" t="n">
        <x:v>156035358</x:v>
      </x:c>
      <x:c r="AJ751" s="11" t="n">
        <x:v>6820207</x:v>
      </x:c>
      <x:c r="AK751" s="11" t="n">
        <x:v>82371703</x:v>
      </x:c>
      <x:c r="AL751" s="11" t="n">
        <x:v>0</x:v>
      </x:c>
      <x:c r="AM751" s="12" t="n">
        <x:v>1</x:v>
      </x:c>
      <x:c r="AN751" s="12" t="n">
        <x:v>0.08279793608249182</x:v>
      </x:c>
      <x:c r="AO751" s="11" t="n">
        <x:v>30345341</x:v>
      </x:c>
      <x:c r="AP751" s="11" t="n">
        <x:v>29037773</x:v>
      </x:c>
      <x:c r="AQ751" s="12" t="n">
        <x:v>0.956910419955406</x:v>
      </x:c>
      <x:c r="AR751" s="11" t="n">
        <x:v>2340.4752625022247</x:v>
      </x:c>
      <x:c r="AS751" s="11" t="n">
        <x:v>1872.8109094144866</x:v>
      </x:c>
      <x:c r="AT751" s="11" t="n">
        <x:v>1422.3341341875778</x:v>
      </x:c>
      <x:c r="AU751" s="11" t="n">
        <x:v>535.4938601174587</x:v>
      </x:c>
      <x:c r="AV751" s="11" t="n">
        <x:v>310.29791777896423</x:v>
      </x:c>
      <x:c r="AW751" s="11" t="n">
        <x:v>1.6039966561654824</x:v>
      </x:c>
      <x:c r="AX751" s="12" t="n">
        <x:v>0.7762026718425936</x:v>
      </x:c>
      <x:c r="AY751" s="11"/>
      <x:c r="AZ751" s="11"/>
      <x:c r="BA751" s="11"/>
      <x:c r="BB751" s="11"/>
      <x:c r="BC751" s="11"/>
      <x:c r="BD751" s="11"/>
      <x:c r="BE751" s="11"/>
      <x:c r="BF751" s="11"/>
      <x:c r="BG751" s="11"/>
      <x:c r="BH751" s="11"/>
      <x:c r="BI751" s="11"/>
      <x:c r="BJ751" s="11"/>
      <x:c r="BK751" s="12"/>
      <x:c r="BL751" s="12"/>
      <x:c r="BM751" s="12"/>
      <x:c r="BN751" s="12"/>
      <x:c r="BO751" s="12"/>
      <x:c r="BP751" s="12"/>
      <x:c r="BQ751" s="12"/>
      <x:c r="BR751" s="12"/>
      <x:c r="BS751" s="12"/>
      <x:c r="BT751" s="12"/>
      <x:c r="BU751" s="11" t="n">
        <x:v>158917</x:v>
      </x:c>
      <x:c r="BV751" s="11" t="n">
        <x:v>2270325</x:v>
      </x:c>
      <x:c r="BW751" s="11" t="n">
        <x:v>1080677</x:v>
      </x:c>
      <x:c r="BX751" s="11" t="n">
        <x:v>1014653</x:v>
      </x:c>
      <x:c r="BY751" s="11" t="n">
        <x:v>681482</x:v>
      </x:c>
      <x:c r="BZ751" s="11" t="n">
        <x:v>557537</x:v>
      </x:c>
      <x:c r="CA751" s="11" t="n">
        <x:v>0</x:v>
      </x:c>
      <x:c r="CB751" s="11" t="n">
        <x:v>0</x:v>
      </x:c>
      <x:c r="CC751" s="11" t="n">
        <x:v>3838040</x:v>
      </x:c>
      <x:c r="CD751" s="11" t="n">
        <x:v>3184492</x:v>
      </x:c>
      <x:c r="CE751" s="11" t="n">
        <x:v>1573614</x:v>
      </x:c>
      <x:c r="CF751" s="11" t="n">
        <x:v>2724</x:v>
      </x:c>
      <x:c r="CG751" s="11" t="n">
        <x:v>1251623</x:v>
      </x:c>
      <x:c r="CH751" s="11" t="n">
        <x:v>2706338</x:v>
      </x:c>
      <x:c r="CI751" s="11" t="n">
        <x:v>2207929</x:v>
      </x:c>
      <x:c r="CJ751" s="11" t="n">
        <x:v>0</x:v>
      </x:c>
      <x:c r="CK751" s="11" t="n">
        <x:v>2204981</x:v>
      </x:c>
      <x:c r="CL751" s="11" t="n">
        <x:v>523141</x:v>
      </x:c>
      <x:c r="CM751" s="11"/>
      <x:c r="CN751" s="11" t="n">
        <x:v>73264</x:v>
      </x:c>
      <x:c r="CO751" s="11" t="n">
        <x:v>0</x:v>
      </x:c>
      <x:c r="CP751" s="8"/>
      <x:c r="CQ751" s="8"/>
    </x:row>
    <x:row r="752">
      <x:c r="A752" s="8" t="str">
        <x:v>Sechelt|2023</x:v>
      </x:c>
      <x:c r="B752" s="8" t="str">
        <x:v>sechelt-d</x:v>
      </x:c>
      <x:c r="C752" s="8" t="str">
        <x:v>Sechelt</x:v>
      </x:c>
      <x:c r="D752" s="8" t="str">
        <x:v>Sechelt</x:v>
      </x:c>
      <x:c r="E752" s="8" t="str">
        <x:v>D</x:v>
      </x:c>
      <x:c r="F752" s="8" t="str">
        <x:v>SUN</x:v>
      </x:c>
      <x:c r="G752" s="9" t="n">
        <x:v>2023</x:v>
      </x:c>
      <x:c r="H752" s="10" t="n">
        <x:v>11707</x:v>
      </x:c>
      <x:c r="I752" s="8" t="str">
        <x:v>5,000 to 19,999</x:v>
      </x:c>
      <x:c r="J752" s="11" t="n">
        <x:v>36456725</x:v>
      </x:c>
      <x:c r="K752" s="11" t="n">
        <x:v>22415375</x:v>
      </x:c>
      <x:c r="L752" s="11" t="n">
        <x:v>14041350</x:v>
      </x:c>
      <x:c r="M752" s="12" t="n">
        <x:v>0.38515116209697936</x:v>
      </x:c>
      <x:c r="N752" s="11" t="n">
        <x:v>14363590</x:v>
      </x:c>
      <x:c r="O752" s="11" t="n">
        <x:v>7671305</x:v>
      </x:c>
      <x:c r="P752" s="11" t="n">
        <x:v>10091794</x:v>
      </x:c>
      <x:c r="Q752" s="11" t="n">
        <x:v>4330036</x:v>
      </x:c>
      <x:c r="R752" s="11" t="n">
        <x:v>18421316</x:v>
      </x:c>
      <x:c r="S752" s="11" t="n">
        <x:v>3854513</x:v>
      </x:c>
      <x:c r="T752" s="11" t="n">
        <x:v>38693094</x:v>
      </x:c>
      <x:c r="U752" s="11" t="n">
        <x:v>31703071</x:v>
      </x:c>
      <x:c r="V752" s="11" t="n">
        <x:v>17867040</x:v>
      </x:c>
      <x:c r="W752" s="11" t="n">
        <x:v>10884160</x:v>
      </x:c>
      <x:c r="X752" s="11" t="n">
        <x:v>3487128</x:v>
      </x:c>
      <x:c r="Y752" s="11" t="n">
        <x:v>1830000</x:v>
      </x:c>
      <x:c r="Z752" s="11" t="n">
        <x:v>842907</x:v>
      </x:c>
      <x:c r="AA752" s="11" t="n">
        <x:v>4474221</x:v>
      </x:c>
      <x:c r="AB752" s="11" t="n">
        <x:v>139546</x:v>
      </x:c>
      <x:c r="AC752" s="11" t="n">
        <x:v>982453</x:v>
      </x:c>
      <x:c r="AD752" s="11" t="n">
        <x:v>6055442</x:v>
      </x:c>
      <x:c r="AE752" s="11" t="n">
        <x:v>5072989</x:v>
      </x:c>
      <x:c r="AF752" s="11" t="n">
        <x:v>24221769</x:v>
      </x:c>
      <x:c r="AG752" s="11" t="n">
        <x:v>246824563</x:v>
      </x:c>
      <x:c r="AH752" s="11" t="n">
        <x:v>78721521</x:v>
      </x:c>
      <x:c r="AI752" s="11" t="n">
        <x:v>168103042</x:v>
      </x:c>
      <x:c r="AJ752" s="11" t="n">
        <x:v>12434509</x:v>
      </x:c>
      <x:c r="AK752" s="11" t="n">
        <x:v>93070806</x:v>
      </x:c>
      <x:c r="AL752" s="11" t="n">
        <x:v>0</x:v>
      </x:c>
      <x:c r="AM752" s="12" t="n">
        <x:v>1</x:v>
      </x:c>
      <x:c r="AN752" s="12" t="n">
        <x:v>0.13360267880349075</x:v>
      </x:c>
      <x:c r="AO752" s="11" t="n">
        <x:v>34468961</x:v>
      </x:c>
      <x:c r="AP752" s="11" t="n">
        <x:v>33030098</x:v>
      </x:c>
      <x:c r="AQ752" s="12" t="n">
        <x:v>0.9582562700395872</x:v>
      </x:c>
      <x:c r="AR752" s="11" t="n">
        <x:v>3114.09626719057</x:v>
      </x:c>
      <x:c r="AS752" s="11" t="n">
        <x:v>1914.6984710002562</x:v>
      </x:c>
      <x:c r="AT752" s="11" t="n">
        <x:v>1526.1843341590502</x:v>
      </x:c>
      <x:c r="AU752" s="11" t="n">
        <x:v>929.7138464166737</x:v>
      </x:c>
      <x:c r="AV752" s="11" t="n">
        <x:v>382.18339455026904</x:v>
      </x:c>
      <x:c r="AW752" s="11" t="n">
        <x:v>1.2204840975815876</x:v>
      </x:c>
      <x:c r="AX752" s="12" t="n">
        <x:v>0.8377570126177412</x:v>
      </x:c>
      <x:c r="AY752" s="11"/>
      <x:c r="AZ752" s="11"/>
      <x:c r="BA752" s="11"/>
      <x:c r="BB752" s="11"/>
      <x:c r="BC752" s="11"/>
      <x:c r="BD752" s="11"/>
      <x:c r="BE752" s="11"/>
      <x:c r="BF752" s="11"/>
      <x:c r="BG752" s="11"/>
      <x:c r="BH752" s="11"/>
      <x:c r="BI752" s="11"/>
      <x:c r="BJ752" s="11"/>
      <x:c r="BK752" s="12"/>
      <x:c r="BL752" s="12"/>
      <x:c r="BM752" s="12"/>
      <x:c r="BN752" s="12"/>
      <x:c r="BO752" s="12"/>
      <x:c r="BP752" s="12"/>
      <x:c r="BQ752" s="12"/>
      <x:c r="BR752" s="12"/>
      <x:c r="BS752" s="12"/>
      <x:c r="BT752" s="12"/>
      <x:c r="BU752" s="11" t="n">
        <x:v>712901</x:v>
      </x:c>
      <x:c r="BV752" s="11" t="n">
        <x:v>8650075</x:v>
      </x:c>
      <x:c r="BW752" s="11" t="n">
        <x:v>728818</x:v>
      </x:c>
      <x:c r="BX752" s="11" t="n">
        <x:v>1761874</x:v>
      </x:c>
      <x:c r="BY752" s="11" t="n">
        <x:v>-91161</x:v>
      </x:c>
      <x:c r="BZ752" s="11" t="n">
        <x:v>2659323</x:v>
      </x:c>
      <x:c r="CA752" s="11" t="n">
        <x:v>0</x:v>
      </x:c>
      <x:c r="CB752" s="11" t="n">
        <x:v>0</x:v>
      </x:c>
      <x:c r="CC752" s="11" t="n">
        <x:v>3874352</x:v>
      </x:c>
      <x:c r="CD752" s="11" t="n">
        <x:v>3250423</x:v>
      </x:c>
      <x:c r="CE752" s="11" t="n">
        <x:v>1668038</x:v>
      </x:c>
      <x:c r="CF752" s="11" t="n">
        <x:v>2736</x:v>
      </x:c>
      <x:c r="CG752" s="11" t="n">
        <x:v>1094724</x:v>
      </x:c>
      <x:c r="CH752" s="11" t="n">
        <x:v>2590387</x:v>
      </x:c>
      <x:c r="CI752" s="11" t="n">
        <x:v>2336224</x:v>
      </x:c>
      <x:c r="CJ752" s="11" t="n">
        <x:v>0</x:v>
      </x:c>
      <x:c r="CK752" s="11" t="n">
        <x:v>2675973</x:v>
      </x:c>
      <x:c r="CL752" s="11" t="n">
        <x:v>948254</x:v>
      </x:c>
      <x:c r="CM752" s="11" t="n">
        <x:v>117308</x:v>
      </x:c>
      <x:c r="CN752" s="11" t="n">
        <x:v>2443</x:v>
      </x:c>
      <x:c r="CO752" s="11" t="n">
        <x:v>0</x:v>
      </x:c>
      <x:c r="CP752" s="8"/>
      <x:c r="CQ752" s="8"/>
    </x:row>
    <x:row r="753">
      <x:c r="A753" s="8" t="str">
        <x:v>Sechelt|2024</x:v>
      </x:c>
      <x:c r="B753" s="8" t="str">
        <x:v>sechelt-d</x:v>
      </x:c>
      <x:c r="C753" s="8" t="str">
        <x:v>Sechelt</x:v>
      </x:c>
      <x:c r="D753" s="8" t="str">
        <x:v>Sechelt</x:v>
      </x:c>
      <x:c r="E753" s="8" t="str">
        <x:v>D</x:v>
      </x:c>
      <x:c r="F753" s="8" t="str">
        <x:v>SUN</x:v>
      </x:c>
      <x:c r="G753" s="9" t="n">
        <x:v>2024</x:v>
      </x:c>
      <x:c r="H753" s="10" t="n">
        <x:v>11707</x:v>
      </x:c>
      <x:c r="I753" s="8" t="str">
        <x:v>5,000 to 19,999</x:v>
      </x:c>
      <x:c r="J753" s="11" t="n">
        <x:v>28043118</x:v>
      </x:c>
      <x:c r="K753" s="11" t="n">
        <x:v>23941044</x:v>
      </x:c>
      <x:c r="L753" s="11" t="n">
        <x:v>4102074</x:v>
      </x:c>
      <x:c r="M753" s="12" t="n">
        <x:v>0.146277386130886</x:v>
      </x:c>
      <x:c r="N753" s="11" t="n">
        <x:v>15534399</x:v>
      </x:c>
      <x:c r="O753" s="11" t="n">
        <x:v>7768210</x:v>
      </x:c>
      <x:c r="P753" s="11" t="n">
        <x:v>1612988</x:v>
      </x:c>
      <x:c r="Q753" s="11" t="n">
        <x:v>3127521</x:v>
      </x:c>
      <x:c r="R753" s="11" t="n">
        <x:v>19699473</x:v>
      </x:c>
      <x:c r="S753" s="11" t="n">
        <x:v>4026285</x:v>
      </x:c>
      <x:c r="T753" s="11" t="n">
        <x:v>40178120</x:v>
      </x:c>
      <x:c r="U753" s="11" t="n">
        <x:v>29814210</x:v>
      </x:c>
      <x:c r="V753" s="11" t="n">
        <x:v>19515167</x:v>
      </x:c>
      <x:c r="W753" s="11" t="n">
        <x:v>11359411</x:v>
      </x:c>
      <x:c r="X753" s="11" t="n">
        <x:v>4474221</x:v>
      </x:c>
      <x:c r="Y753" s="11" t="n">
        <x:v>894960</x:v>
      </x:c>
      <x:c r="Z753" s="11" t="n">
        <x:v>3839451</x:v>
      </x:c>
      <x:c r="AA753" s="11" t="n">
        <x:v>4529730</x:v>
      </x:c>
      <x:c r="AB753" s="11" t="n">
        <x:v>215286</x:v>
      </x:c>
      <x:c r="AC753" s="11" t="n">
        <x:v>1054737</x:v>
      </x:c>
      <x:c r="AD753" s="11" t="n">
        <x:v>6408825</x:v>
      </x:c>
      <x:c r="AE753" s="11" t="n">
        <x:v>5354088</x:v>
      </x:c>
      <x:c r="AF753" s="11" t="n">
        <x:v>25635301</x:v>
      </x:c>
      <x:c r="AG753" s="11" t="n">
        <x:v>253294657</x:v>
      </x:c>
      <x:c r="AH753" s="11" t="n">
        <x:v>82742109</x:v>
      </x:c>
      <x:c r="AI753" s="11" t="n">
        <x:v>170552548</x:v>
      </x:c>
      <x:c r="AJ753" s="11" t="n">
        <x:v>6914449</x:v>
      </x:c>
      <x:c r="AK753" s="11" t="n">
        <x:v>770538476</x:v>
      </x:c>
      <x:c r="AL753" s="11" t="n">
        <x:v>10271407</x:v>
      </x:c>
      <x:c r="AM753" s="12" t="n">
        <x:v>0.9866698324354669</x:v>
      </x:c>
      <x:c r="AN753" s="12" t="n">
        <x:v>0.008973528532791918</x:v>
      </x:c>
      <x:c r="AO753" s="11" t="n">
        <x:v>37209623</x:v>
      </x:c>
      <x:c r="AP753" s="11" t="n">
        <x:v>35467395</x:v>
      </x:c>
      <x:c r="AQ753" s="12" t="n">
        <x:v>0.9531780260176246</x:v>
      </x:c>
      <x:c r="AR753" s="11" t="n">
        <x:v>2395.4145383104124</x:v>
      </x:c>
      <x:c r="AS753" s="11" t="n">
        <x:v>2045.0195609464422</x:v>
      </x:c>
      <x:c r="AT753" s="11" t="n">
        <x:v>1666.9656615700007</x:v>
      </x:c>
      <x:c r="AU753" s="11" t="n">
        <x:v>970.3093021269326</x:v>
      </x:c>
      <x:c r="AV753" s="11" t="n">
        <x:v>386.9249167164944</x:v>
      </x:c>
      <x:c r="AW753" s="11" t="n">
        <x:v>1.347616455374803</x:v>
      </x:c>
      <x:c r="AX753" s="12" t="n">
        <x:v>0.8354242782413313</x:v>
      </x:c>
      <x:c r="AY753" s="11" t="n">
        <x:v>2567.538946805667</x:v>
      </x:c>
      <x:c r="AZ753" s="11" t="n">
        <x:v>3546.5079302077975</x:v>
      </x:c>
      <x:c r="BA753" s="11" t="n">
        <x:v>2045.0195609464422</x:v>
      </x:c>
      <x:c r="BB753" s="11" t="n">
        <x:v>2783.665107049771</x:v>
      </x:c>
      <x:c r="BC753" s="11" t="n">
        <x:v>2217.25520024837</x:v>
      </x:c>
      <x:c r="BD753" s="11" t="n">
        <x:v>2437.8724475115623</x:v>
      </x:c>
      <x:c r="BE753" s="11" t="n">
        <x:v>799.2304887641933</x:v>
      </x:c>
      <x:c r="BF753" s="11" t="n">
        <x:v>1604.3462673977224</x:v>
      </x:c>
      <x:c r="BG753" s="11" t="n">
        <x:v>386.9249167164944</x:v>
      </x:c>
      <x:c r="BH753" s="11" t="n">
        <x:v>518.5374381567245</x:v>
      </x:c>
      <x:c r="BI753" s="11" t="n">
        <x:v>1.5629948984418691</x:v>
      </x:c>
      <x:c r="BJ753" s="11" t="n">
        <x:v>1.7099330852451193</x:v>
      </x:c>
      <x:c r="BK753" s="12" t="n">
        <x:v>0.04472396775938227</x:v>
      </x:c>
      <x:c r="BL753" s="12" t="n">
        <x:v>0.02529861000232605</x:v>
      </x:c>
      <x:c r="BM753" s="12" t="n">
        <x:v>0.9792813777328785</x:v>
      </x:c>
      <x:c r="BN753" s="12" t="n">
        <x:v>0.9815511712696461</x:v>
      </x:c>
      <x:c r="BO753" s="12" t="n">
        <x:v>0.8510570773833829</x:v>
      </x:c>
      <x:c r="BP753" s="12" t="n">
        <x:v>0.8619101997275483</x:v>
      </x:c>
      <x:c r="BQ753" s="12" t="n">
        <x:v>0.9732053424599786</x:v>
      </x:c>
      <x:c r="BR753" s="12" t="n">
        <x:v>0.9623635142836453</x:v>
      </x:c>
      <x:c r="BS753" s="12" t="n">
        <x:v>0.170495619408603</x:v>
      </x:c>
      <x:c r="BT753" s="12" t="n">
        <x:v>0.19976549769108282</x:v>
      </x:c>
      <x:c r="BU753" s="11" t="n">
        <x:v>7500</x:v>
      </x:c>
      <x:c r="BV753" s="11" t="n">
        <x:v>928473</x:v>
      </x:c>
      <x:c r="BW753" s="11" t="n">
        <x:v>677015</x:v>
      </x:c>
      <x:c r="BX753" s="11" t="n">
        <x:v>1862292</x:v>
      </x:c>
      <x:c r="BY753" s="11" t="n">
        <x:v>530141</x:v>
      </x:c>
      <x:c r="BZ753" s="11" t="n">
        <x:v>670839</x:v>
      </x:c>
      <x:c r="CA753" s="11" t="n">
        <x:v>64249</x:v>
      </x:c>
      <x:c r="CB753" s="11" t="n">
        <x:v>0</x:v>
      </x:c>
      <x:c r="CC753" s="11" t="n">
        <x:v>4200051</x:v>
      </x:c>
      <x:c r="CD753" s="11" t="n">
        <x:v>3369873</x:v>
      </x:c>
      <x:c r="CE753" s="11" t="n">
        <x:v>1720574</x:v>
      </x:c>
      <x:c r="CF753" s="11" t="n">
        <x:v>3091</x:v>
      </x:c>
      <x:c r="CG753" s="11" t="n">
        <x:v>1198792</x:v>
      </x:c>
      <x:c r="CH753" s="11" t="n">
        <x:v>2566357</x:v>
      </x:c>
      <x:c r="CI753" s="11" t="n">
        <x:v>2432239</x:v>
      </x:c>
      <x:c r="CJ753" s="11" t="n">
        <x:v>0</x:v>
      </x:c>
      <x:c r="CK753" s="11" t="n">
        <x:v>3088391</x:v>
      </x:c>
      <x:c r="CL753" s="11" t="n">
        <x:v>1213062</x:v>
      </x:c>
      <x:c r="CM753" s="11" t="n">
        <x:v>122329</x:v>
      </x:c>
      <x:c r="CN753" s="11" t="n">
        <x:v>0</x:v>
      </x:c>
      <x:c r="CO753" s="11" t="n">
        <x:v>0</x:v>
      </x:c>
      <x:c r="CP753" s="8"/>
      <x:c r="CQ753" s="8"/>
    </x:row>
    <x:row r="754">
      <x:c r="A754" s="8" t="str">
        <x:v>Sicamous|2019</x:v>
      </x:c>
      <x:c r="B754" s="8" t="str">
        <x:v>sicamous-d</x:v>
      </x:c>
      <x:c r="C754" s="8" t="str">
        <x:v>Sicamous</x:v>
      </x:c>
      <x:c r="D754" s="8" t="str">
        <x:v>Sicamous</x:v>
      </x:c>
      <x:c r="E754" s="8" t="str">
        <x:v>D</x:v>
      </x:c>
      <x:c r="F754" s="8" t="str">
        <x:v>COL</x:v>
      </x:c>
      <x:c r="G754" s="9" t="n">
        <x:v>2019</x:v>
      </x:c>
      <x:c r="H754" s="10" t="n">
        <x:v>2714</x:v>
      </x:c>
      <x:c r="I754" s="8" t="str">
        <x:v>Under 5,000</x:v>
      </x:c>
      <x:c r="J754" s="11" t="n">
        <x:v>9282594</x:v>
      </x:c>
      <x:c r="K754" s="11" t="n">
        <x:v>8509450</x:v>
      </x:c>
      <x:c r="L754" s="11" t="n">
        <x:v>773144</x:v>
      </x:c>
      <x:c r="M754" s="12" t="n">
        <x:v>0.08328964942342626</x:v>
      </x:c>
      <x:c r="N754" s="11" t="n">
        <x:v>5018140</x:v>
      </x:c>
      <x:c r="O754" s="11" t="n">
        <x:v>2009324</x:v>
      </x:c>
      <x:c r="P754" s="11" t="n">
        <x:v>1789928</x:v>
      </x:c>
      <x:c r="Q754" s="11" t="n">
        <x:v>465202</x:v>
      </x:c>
      <x:c r="R754" s="11" t="n">
        <x:v>6292209</x:v>
      </x:c>
      <x:c r="S754" s="11" t="n">
        <x:v>1911788</x:v>
      </x:c>
      <x:c r="T754" s="11" t="n">
        <x:v>13601651</x:v>
      </x:c>
      <x:c r="U754" s="11" t="n">
        <x:v>11426442</x:v>
      </x:c>
      <x:c r="V754" s="11" t="n">
        <x:v>5236990</x:v>
      </x:c>
      <x:c r="W754" s="11" t="n">
        <x:v>9365865</x:v>
      </x:c>
      <x:c r="X754" s="11" t="n">
        <x:v>7962660</x:v>
      </x:c>
      <x:c r="Y754" s="11" t="n">
        <x:v>0</x:v>
      </x:c>
      <x:c r="Z754" s="11" t="n">
        <x:v>315885</x:v>
      </x:c>
      <x:c r="AA754" s="11" t="n">
        <x:v>7624493</x:v>
      </x:c>
      <x:c r="AB754" s="11" t="n">
        <x:v>305453</x:v>
      </x:c>
      <x:c r="AC754" s="11" t="n">
        <x:v>621338</x:v>
      </x:c>
      <x:c r="AD754" s="11" t="n">
        <x:v>1915721</x:v>
      </x:c>
      <x:c r="AE754" s="11" t="n">
        <x:v>1294383</x:v>
      </x:c>
      <x:c r="AF754" s="11" t="n">
        <x:v>7662885</x:v>
      </x:c>
      <x:c r="AG754" s="11" t="n">
        <x:v>91403472</x:v>
      </x:c>
      <x:c r="AH754" s="11" t="n">
        <x:v>19470442</x:v>
      </x:c>
      <x:c r="AI754" s="11" t="n">
        <x:v>71933030</x:v>
      </x:c>
      <x:c r="AJ754" s="11" t="n">
        <x:v>1528815</x:v>
      </x:c>
      <x:c r="AK754" s="11" t="n">
        <x:v>10483544</x:v>
      </x:c>
      <x:c r="AL754" s="11" t="n">
        <x:v>0</x:v>
      </x:c>
      <x:c r="AM754" s="12" t="n">
        <x:v>1</x:v>
      </x:c>
      <x:c r="AN754" s="12" t="n">
        <x:v>0.145829978869741</x:v>
      </x:c>
      <x:c r="AO754" s="11" t="n">
        <x:v>8590576</x:v>
      </x:c>
      <x:c r="AP754" s="11" t="n">
        <x:v>7870285</x:v>
      </x:c>
      <x:c r="AQ754" s="12" t="n">
        <x:v>0.9161533522315617</x:v>
      </x:c>
      <x:c r="AR754" s="11" t="n">
        <x:v>3420.2630803242446</x:v>
      </x:c>
      <x:c r="AS754" s="11" t="n">
        <x:v>3135.3905674281505</x:v>
      </x:c>
      <x:c r="AT754" s="11" t="n">
        <x:v>1929.620486366986</x:v>
      </x:c>
      <x:c r="AU754" s="11" t="n">
        <x:v>3450.9450994841563</x:v>
      </x:c>
      <x:c r="AV754" s="11" t="n">
        <x:v>2809.31945467944</x:v>
      </x:c>
      <x:c r="AW754" s="11" t="n">
        <x:v>1.1903662574929275</x:v>
      </x:c>
      <x:c r="AX754" s="12" t="n">
        <x:v>0.6756636274280023</x:v>
      </x:c>
      <x:c r="AY754" s="11"/>
      <x:c r="AZ754" s="11"/>
      <x:c r="BA754" s="11"/>
      <x:c r="BB754" s="11"/>
      <x:c r="BC754" s="11"/>
      <x:c r="BD754" s="11"/>
      <x:c r="BE754" s="11"/>
      <x:c r="BF754" s="11"/>
      <x:c r="BG754" s="11"/>
      <x:c r="BH754" s="11"/>
      <x:c r="BI754" s="11"/>
      <x:c r="BJ754" s="11"/>
      <x:c r="BK754" s="12"/>
      <x:c r="BL754" s="12"/>
      <x:c r="BM754" s="12"/>
      <x:c r="BN754" s="12"/>
      <x:c r="BO754" s="12"/>
      <x:c r="BP754" s="12"/>
      <x:c r="BQ754" s="12"/>
      <x:c r="BR754" s="12"/>
      <x:c r="BS754" s="12"/>
      <x:c r="BT754" s="12"/>
      <x:c r="BU754" s="11" t="n">
        <x:v>0</x:v>
      </x:c>
      <x:c r="BV754" s="11" t="n">
        <x:v>1291169</x:v>
      </x:c>
      <x:c r="BW754" s="11" t="n">
        <x:v>498759</x:v>
      </x:c>
      <x:c r="BX754" s="11" t="n">
        <x:v>270552</x:v>
      </x:c>
      <x:c r="BY754" s="11" t="n">
        <x:v>0</x:v>
      </x:c>
      <x:c r="BZ754" s="11" t="n">
        <x:v>0</x:v>
      </x:c>
      <x:c r="CA754" s="11" t="n">
        <x:v>194650</x:v>
      </x:c>
      <x:c r="CB754" s="11" t="n">
        <x:v>0</x:v>
      </x:c>
      <x:c r="CC754" s="11" t="n">
        <x:v>1406145</x:v>
      </x:c>
      <x:c r="CD754" s="11" t="n">
        <x:v>617982</x:v>
      </x:c>
      <x:c r="CE754" s="11" t="n">
        <x:v>0</x:v>
      </x:c>
      <x:c r="CF754" s="11" t="n">
        <x:v>122857</x:v>
      </x:c>
      <x:c r="CG754" s="11" t="n">
        <x:v>921558</x:v>
      </x:c>
      <x:c r="CH754" s="11" t="n">
        <x:v>1244384</x:v>
      </x:c>
      <x:c r="CI754" s="11" t="n">
        <x:v>750675</x:v>
      </x:c>
      <x:c r="CJ754" s="11" t="n">
        <x:v>832682</x:v>
      </x:c>
      <x:c r="CK754" s="11" t="n">
        <x:v>701379</x:v>
      </x:c>
      <x:c r="CL754" s="11" t="n">
        <x:v>0</x:v>
      </x:c>
      <x:c r="CM754" s="11"/>
      <x:c r="CN754" s="11" t="n">
        <x:v>0</x:v>
      </x:c>
      <x:c r="CO754" s="11" t="n">
        <x:v>0</x:v>
      </x:c>
      <x:c r="CP754" s="8"/>
      <x:c r="CQ754" s="8"/>
    </x:row>
    <x:row r="755">
      <x:c r="A755" s="8" t="str">
        <x:v>Sicamous|2020</x:v>
      </x:c>
      <x:c r="B755" s="8" t="str">
        <x:v>sicamous-d</x:v>
      </x:c>
      <x:c r="C755" s="8" t="str">
        <x:v>Sicamous</x:v>
      </x:c>
      <x:c r="D755" s="8" t="str">
        <x:v>Sicamous</x:v>
      </x:c>
      <x:c r="E755" s="8" t="str">
        <x:v>D</x:v>
      </x:c>
      <x:c r="F755" s="8" t="str">
        <x:v>COL</x:v>
      </x:c>
      <x:c r="G755" s="9" t="n">
        <x:v>2020</x:v>
      </x:c>
      <x:c r="H755" s="10" t="n">
        <x:v>2700</x:v>
      </x:c>
      <x:c r="I755" s="8" t="str">
        <x:v>Under 5,000</x:v>
      </x:c>
      <x:c r="J755" s="11" t="n">
        <x:v>12403761</x:v>
      </x:c>
      <x:c r="K755" s="11" t="n">
        <x:v>8180232</x:v>
      </x:c>
      <x:c r="L755" s="11" t="n">
        <x:v>4223529</x:v>
      </x:c>
      <x:c r="M755" s="12" t="n">
        <x:v>0.34050390038956735</x:v>
      </x:c>
      <x:c r="N755" s="11" t="n">
        <x:v>5167518</x:v>
      </x:c>
      <x:c r="O755" s="11" t="n">
        <x:v>1989163</x:v>
      </x:c>
      <x:c r="P755" s="11" t="n">
        <x:v>4600814</x:v>
      </x:c>
      <x:c r="Q755" s="11" t="n">
        <x:v>646266</x:v>
      </x:c>
      <x:c r="R755" s="11" t="n">
        <x:v>5995621</x:v>
      </x:c>
      <x:c r="S755" s="11" t="n">
        <x:v>1884425</x:v>
      </x:c>
      <x:c r="T755" s="11" t="n">
        <x:v>14235355</x:v>
      </x:c>
      <x:c r="U755" s="11" t="n">
        <x:v>12627471</x:v>
      </x:c>
      <x:c r="V755" s="11" t="n">
        <x:v>5623249</x:v>
      </x:c>
      <x:c r="W755" s="11" t="n">
        <x:v>8942066</x:v>
      </x:c>
      <x:c r="X755" s="11" t="n">
        <x:v>7602370</x:v>
      </x:c>
      <x:c r="Y755" s="11" t="n">
        <x:v>400000</x:v>
      </x:c>
      <x:c r="Z755" s="11" t="n">
        <x:v>316432</x:v>
      </x:c>
      <x:c r="AA755" s="11" t="n">
        <x:v>7656221</x:v>
      </x:c>
      <x:c r="AB755" s="11" t="n">
        <x:v>300186</x:v>
      </x:c>
      <x:c r="AC755" s="11" t="n">
        <x:v>616618</x:v>
      </x:c>
      <x:c r="AD755" s="11" t="n">
        <x:v>2171222</x:v>
      </x:c>
      <x:c r="AE755" s="11" t="n">
        <x:v>1554604</x:v>
      </x:c>
      <x:c r="AF755" s="11" t="n">
        <x:v>8684889</x:v>
      </x:c>
      <x:c r="AG755" s="11" t="n">
        <x:v>96961745</x:v>
      </x:c>
      <x:c r="AH755" s="11" t="n">
        <x:v>21185297</x:v>
      </x:c>
      <x:c r="AI755" s="11" t="n">
        <x:v>75776448</x:v>
      </x:c>
      <x:c r="AJ755" s="11" t="n">
        <x:v>5798961</x:v>
      </x:c>
      <x:c r="AK755" s="11" t="n">
        <x:v>10931230</x:v>
      </x:c>
      <x:c r="AL755" s="11" t="n">
        <x:v>0</x:v>
      </x:c>
      <x:c r="AM755" s="12" t="n">
        <x:v>1</x:v>
      </x:c>
      <x:c r="AN755" s="12" t="n">
        <x:v>0.5304948299505179</x:v>
      </x:c>
      <x:c r="AO755" s="11" t="n">
        <x:v>8817470</x:v>
      </x:c>
      <x:c r="AP755" s="11" t="n">
        <x:v>8297193</x:v>
      </x:c>
      <x:c r="AQ755" s="12" t="n">
        <x:v>0.9409947524630081</x:v>
      </x:c>
      <x:c r="AR755" s="11" t="n">
        <x:v>4593.985555555556</x:v>
      </x:c>
      <x:c r="AS755" s="11" t="n">
        <x:v>3029.7155555555555</x:v>
      </x:c>
      <x:c r="AT755" s="11" t="n">
        <x:v>2082.6848148148147</x:v>
      </x:c>
      <x:c r="AU755" s="11" t="n">
        <x:v>3311.8762962962965</x:v>
      </x:c>
      <x:c r="AV755" s="11" t="n">
        <x:v>2835.6374074074074</x:v>
      </x:c>
      <x:c r="AW755" s="11" t="n">
        <x:v>1.1273322266984418</x:v>
      </x:c>
      <x:c r="AX755" s="12" t="n">
        <x:v>0.7160041672385412</x:v>
      </x:c>
      <x:c r="AY755" s="11"/>
      <x:c r="AZ755" s="11"/>
      <x:c r="BA755" s="11"/>
      <x:c r="BB755" s="11"/>
      <x:c r="BC755" s="11"/>
      <x:c r="BD755" s="11"/>
      <x:c r="BE755" s="11"/>
      <x:c r="BF755" s="11"/>
      <x:c r="BG755" s="11"/>
      <x:c r="BH755" s="11"/>
      <x:c r="BI755" s="11"/>
      <x:c r="BJ755" s="11"/>
      <x:c r="BK755" s="12"/>
      <x:c r="BL755" s="12"/>
      <x:c r="BM755" s="12"/>
      <x:c r="BN755" s="12"/>
      <x:c r="BO755" s="12"/>
      <x:c r="BP755" s="12"/>
      <x:c r="BQ755" s="12"/>
      <x:c r="BR755" s="12"/>
      <x:c r="BS755" s="12"/>
      <x:c r="BT755" s="12"/>
      <x:c r="BU755" s="11" t="n">
        <x:v>0</x:v>
      </x:c>
      <x:c r="BV755" s="11" t="n">
        <x:v>4262906</x:v>
      </x:c>
      <x:c r="BW755" s="11" t="n">
        <x:v>337908</x:v>
      </x:c>
      <x:c r="BX755" s="11" t="n">
        <x:v>244182</x:v>
      </x:c>
      <x:c r="BY755" s="11" t="n">
        <x:v>0</x:v>
      </x:c>
      <x:c r="BZ755" s="11" t="n">
        <x:v>352202</x:v>
      </x:c>
      <x:c r="CA755" s="11" t="n">
        <x:v>49882</x:v>
      </x:c>
      <x:c r="CB755" s="11" t="n">
        <x:v>0</x:v>
      </x:c>
      <x:c r="CC755" s="11" t="n">
        <x:v>1545801</x:v>
      </x:c>
      <x:c r="CD755" s="11" t="n">
        <x:v>595297</x:v>
      </x:c>
      <x:c r="CE755" s="11" t="n">
        <x:v>0</x:v>
      </x:c>
      <x:c r="CF755" s="11" t="n">
        <x:v>210874</x:v>
      </x:c>
      <x:c r="CG755" s="11" t="n">
        <x:v>753905</x:v>
      </x:c>
      <x:c r="CH755" s="11" t="n">
        <x:v>1285320</x:v>
      </x:c>
      <x:c r="CI755" s="11" t="n">
        <x:v>494277</x:v>
      </x:c>
      <x:c r="CJ755" s="11" t="n">
        <x:v>815494</x:v>
      </x:c>
      <x:c r="CK755" s="11" t="n">
        <x:v>594839</x:v>
      </x:c>
      <x:c r="CL755" s="11" t="n">
        <x:v>0</x:v>
      </x:c>
      <x:c r="CM755" s="11"/>
      <x:c r="CN755" s="11" t="n">
        <x:v>0</x:v>
      </x:c>
      <x:c r="CO755" s="11" t="n">
        <x:v>0</x:v>
      </x:c>
      <x:c r="CP755" s="8"/>
      <x:c r="CQ755" s="8"/>
    </x:row>
    <x:row r="756">
      <x:c r="A756" s="8" t="str">
        <x:v>Sicamous|2021</x:v>
      </x:c>
      <x:c r="B756" s="8" t="str">
        <x:v>sicamous-d</x:v>
      </x:c>
      <x:c r="C756" s="8" t="str">
        <x:v>Sicamous</x:v>
      </x:c>
      <x:c r="D756" s="8" t="str">
        <x:v>Sicamous</x:v>
      </x:c>
      <x:c r="E756" s="8" t="str">
        <x:v>D</x:v>
      </x:c>
      <x:c r="F756" s="8" t="str">
        <x:v>COL</x:v>
      </x:c>
      <x:c r="G756" s="9" t="n">
        <x:v>2021</x:v>
      </x:c>
      <x:c r="H756" s="10" t="n">
        <x:v>2788</x:v>
      </x:c>
      <x:c r="I756" s="8" t="str">
        <x:v>Under 5,000</x:v>
      </x:c>
      <x:c r="J756" s="11" t="n">
        <x:v>12636570</x:v>
      </x:c>
      <x:c r="K756" s="11" t="n">
        <x:v>9345860</x:v>
      </x:c>
      <x:c r="L756" s="11" t="n">
        <x:v>3290710</x:v>
      </x:c>
      <x:c r="M756" s="12" t="n">
        <x:v>0.2604116465148375</x:v>
      </x:c>
      <x:c r="N756" s="11" t="n">
        <x:v>5196950</x:v>
      </x:c>
      <x:c r="O756" s="11" t="n">
        <x:v>2994908</x:v>
      </x:c>
      <x:c r="P756" s="11" t="n">
        <x:v>4006763</x:v>
      </x:c>
      <x:c r="Q756" s="11" t="n">
        <x:v>437949</x:v>
      </x:c>
      <x:c r="R756" s="11" t="n">
        <x:v>7164739</x:v>
      </x:c>
      <x:c r="S756" s="11" t="n">
        <x:v>1889413</x:v>
      </x:c>
      <x:c r="T756" s="11" t="n">
        <x:v>14820050</x:v>
      </x:c>
      <x:c r="U756" s="11" t="n">
        <x:v>14377146</x:v>
      </x:c>
      <x:c r="V756" s="11" t="n">
        <x:v>5146833</x:v>
      </x:c>
      <x:c r="W756" s="11" t="n">
        <x:v>8251990</x:v>
      </x:c>
      <x:c r="X756" s="11" t="n">
        <x:v>7656221</x:v>
      </x:c>
      <x:c r="Y756" s="11" t="n">
        <x:v>400580</x:v>
      </x:c>
      <x:c r="Z756" s="11" t="n">
        <x:v>294628</x:v>
      </x:c>
      <x:c r="AA756" s="11" t="n">
        <x:v>7723231</x:v>
      </x:c>
      <x:c r="AB756" s="11" t="n">
        <x:v>291708</x:v>
      </x:c>
      <x:c r="AC756" s="11" t="n">
        <x:v>586336</x:v>
      </x:c>
      <x:c r="AD756" s="11" t="n">
        <x:v>2182635</x:v>
      </x:c>
      <x:c r="AE756" s="11" t="n">
        <x:v>1596299</x:v>
      </x:c>
      <x:c r="AF756" s="11" t="n">
        <x:v>8730540</x:v>
      </x:c>
      <x:c r="AG756" s="11" t="n">
        <x:v>102087165</x:v>
      </x:c>
      <x:c r="AH756" s="11" t="n">
        <x:v>22945065</x:v>
      </x:c>
      <x:c r="AI756" s="11" t="n">
        <x:v>79142100</x:v>
      </x:c>
      <x:c r="AJ756" s="11" t="n">
        <x:v>5583246</x:v>
      </x:c>
      <x:c r="AK756" s="11" t="n">
        <x:v>11281466</x:v>
      </x:c>
      <x:c r="AL756" s="11" t="n">
        <x:v>0</x:v>
      </x:c>
      <x:c r="AM756" s="12" t="n">
        <x:v>1</x:v>
      </x:c>
      <x:c r="AN756" s="12" t="n">
        <x:v>0.49490429701246275</x:v>
      </x:c>
      <x:c r="AO756" s="11" t="n">
        <x:v>9003862</x:v>
      </x:c>
      <x:c r="AP756" s="11" t="n">
        <x:v>8518671</x:v>
      </x:c>
      <x:c r="AQ756" s="12" t="n">
        <x:v>0.9461130123940149</x:v>
      </x:c>
      <x:c r="AR756" s="11" t="n">
        <x:v>4532.4856527977045</x:v>
      </x:c>
      <x:c r="AS756" s="11" t="n">
        <x:v>3352.173601147776</x:v>
      </x:c>
      <x:c r="AT756" s="11" t="n">
        <x:v>1846.0663558106169</x:v>
      </x:c>
      <x:c r="AU756" s="11" t="n">
        <x:v>2959.8242467718796</x:v>
      </x:c>
      <x:c r="AV756" s="11" t="n">
        <x:v>2770.16893830703</x:v>
      </x:c>
      <x:c r="AW756" s="11" t="n">
        <x:v>1.0308061140924631</x:v>
      </x:c>
      <x:c r="AX756" s="12" t="n">
        <x:v>0.7313632375546072</x:v>
      </x:c>
      <x:c r="AY756" s="11"/>
      <x:c r="AZ756" s="11"/>
      <x:c r="BA756" s="11"/>
      <x:c r="BB756" s="11"/>
      <x:c r="BC756" s="11"/>
      <x:c r="BD756" s="11"/>
      <x:c r="BE756" s="11"/>
      <x:c r="BF756" s="11"/>
      <x:c r="BG756" s="11"/>
      <x:c r="BH756" s="11"/>
      <x:c r="BI756" s="11"/>
      <x:c r="BJ756" s="11"/>
      <x:c r="BK756" s="12"/>
      <x:c r="BL756" s="12"/>
      <x:c r="BM756" s="12"/>
      <x:c r="BN756" s="12"/>
      <x:c r="BO756" s="12"/>
      <x:c r="BP756" s="12"/>
      <x:c r="BQ756" s="12"/>
      <x:c r="BR756" s="12"/>
      <x:c r="BS756" s="12"/>
      <x:c r="BT756" s="12"/>
      <x:c r="BU756" s="11" t="n">
        <x:v>0</x:v>
      </x:c>
      <x:c r="BV756" s="11" t="n">
        <x:v>3499293</x:v>
      </x:c>
      <x:c r="BW756" s="11" t="n">
        <x:v>507470</x:v>
      </x:c>
      <x:c r="BX756" s="11" t="n">
        <x:v>178156</x:v>
      </x:c>
      <x:c r="BY756" s="11" t="n">
        <x:v>0</x:v>
      </x:c>
      <x:c r="BZ756" s="11" t="n">
        <x:v>259793</x:v>
      </x:c>
      <x:c r="CA756" s="11" t="n">
        <x:v>0</x:v>
      </x:c>
      <x:c r="CB756" s="11" t="n">
        <x:v>0</x:v>
      </x:c>
      <x:c r="CC756" s="11" t="n">
        <x:v>1661635</x:v>
      </x:c>
      <x:c r="CD756" s="11" t="n">
        <x:v>858046</x:v>
      </x:c>
      <x:c r="CE756" s="11" t="n">
        <x:v>0</x:v>
      </x:c>
      <x:c r="CF756" s="11" t="n">
        <x:v>740669</x:v>
      </x:c>
      <x:c r="CG756" s="11" t="n">
        <x:v>884164</x:v>
      </x:c>
      <x:c r="CH756" s="11" t="n">
        <x:v>1189556</x:v>
      </x:c>
      <x:c r="CI756" s="11" t="n">
        <x:v>570027</x:v>
      </x:c>
      <x:c r="CJ756" s="11" t="n">
        <x:v>832904</x:v>
      </x:c>
      <x:c r="CK756" s="11" t="n">
        <x:v>551266</x:v>
      </x:c>
      <x:c r="CL756" s="11" t="n">
        <x:v>0</x:v>
      </x:c>
      <x:c r="CM756" s="11"/>
      <x:c r="CN756" s="11" t="n">
        <x:v>168180</x:v>
      </x:c>
      <x:c r="CO756" s="11" t="n">
        <x:v>0</x:v>
      </x:c>
      <x:c r="CP756" s="8"/>
      <x:c r="CQ756" s="8"/>
    </x:row>
    <x:row r="757">
      <x:c r="A757" s="8" t="str">
        <x:v>Sicamous|2022</x:v>
      </x:c>
      <x:c r="B757" s="8" t="str">
        <x:v>sicamous-d</x:v>
      </x:c>
      <x:c r="C757" s="8" t="str">
        <x:v>Sicamous</x:v>
      </x:c>
      <x:c r="D757" s="8" t="str">
        <x:v>Sicamous</x:v>
      </x:c>
      <x:c r="E757" s="8" t="str">
        <x:v>D</x:v>
      </x:c>
      <x:c r="F757" s="8" t="str">
        <x:v>COL</x:v>
      </x:c>
      <x:c r="G757" s="9" t="n">
        <x:v>2022</x:v>
      </x:c>
      <x:c r="H757" s="10" t="n">
        <x:v>2873</x:v>
      </x:c>
      <x:c r="I757" s="8" t="str">
        <x:v>Under 5,000</x:v>
      </x:c>
      <x:c r="J757" s="11" t="n">
        <x:v>11277814</x:v>
      </x:c>
      <x:c r="K757" s="11" t="n">
        <x:v>10066525</x:v>
      </x:c>
      <x:c r="L757" s="11" t="n">
        <x:v>1211289</x:v>
      </x:c>
      <x:c r="M757" s="12" t="n">
        <x:v>0.10740459099609197</x:v>
      </x:c>
      <x:c r="N757" s="11" t="n">
        <x:v>5478055</x:v>
      </x:c>
      <x:c r="O757" s="11" t="n">
        <x:v>3262666</x:v>
      </x:c>
      <x:c r="P757" s="11" t="n">
        <x:v>2025234</x:v>
      </x:c>
      <x:c r="Q757" s="11" t="n">
        <x:v>511859</x:v>
      </x:c>
      <x:c r="R757" s="11" t="n">
        <x:v>7942375</x:v>
      </x:c>
      <x:c r="S757" s="11" t="n">
        <x:v>1904381</x:v>
      </x:c>
      <x:c r="T757" s="11" t="n">
        <x:v>16891499</x:v>
      </x:c>
      <x:c r="U757" s="11" t="n">
        <x:v>13020453</x:v>
      </x:c>
      <x:c r="V757" s="11" t="n">
        <x:v>6011960</x:v>
      </x:c>
      <x:c r="W757" s="11" t="n">
        <x:v>8591015</x:v>
      </x:c>
      <x:c r="X757" s="11" t="n">
        <x:v>7723231</x:v>
      </x:c>
      <x:c r="Y757" s="11" t="n">
        <x:v>0</x:v>
      </x:c>
      <x:c r="Z757" s="11" t="n">
        <x:v>362206</x:v>
      </x:c>
      <x:c r="AA757" s="11" t="n">
        <x:v>7314995</x:v>
      </x:c>
      <x:c r="AB757" s="11" t="n">
        <x:v>219769</x:v>
      </x:c>
      <x:c r="AC757" s="11" t="n">
        <x:v>581975</x:v>
      </x:c>
      <x:c r="AD757" s="11" t="n">
        <x:v>2351664</x:v>
      </x:c>
      <x:c r="AE757" s="11" t="n">
        <x:v>1769689</x:v>
      </x:c>
      <x:c r="AF757" s="11" t="n">
        <x:v>9406657</x:v>
      </x:c>
      <x:c r="AG757" s="11" t="n">
        <x:v>104212967</x:v>
      </x:c>
      <x:c r="AH757" s="11" t="n">
        <x:v>24735526</x:v>
      </x:c>
      <x:c r="AI757" s="11" t="n">
        <x:v>79477441</x:v>
      </x:c>
      <x:c r="AJ757" s="11" t="n">
        <x:v>2600292</x:v>
      </x:c>
      <x:c r="AK757" s="11" t="n">
        <x:v>11318466</x:v>
      </x:c>
      <x:c r="AL757" s="11" t="n">
        <x:v>0</x:v>
      </x:c>
      <x:c r="AM757" s="12" t="n">
        <x:v>1</x:v>
      </x:c>
      <x:c r="AN757" s="12" t="n">
        <x:v>0.22973890631468963</x:v>
      </x:c>
      <x:c r="AO757" s="11" t="n">
        <x:v>9316420</x:v>
      </x:c>
      <x:c r="AP757" s="11" t="n">
        <x:v>8795965</x:v>
      </x:c>
      <x:c r="AQ757" s="12" t="n">
        <x:v>0.9441357302483143</x:v>
      </x:c>
      <x:c r="AR757" s="11" t="n">
        <x:v>3925.4486599373477</x:v>
      </x:c>
      <x:c r="AS757" s="11" t="n">
        <x:v>3503.8374521406195</x:v>
      </x:c>
      <x:c r="AT757" s="11" t="n">
        <x:v>2092.5722241559347</x:v>
      </x:c>
      <x:c r="AU757" s="11" t="n">
        <x:v>2990.2593108249216</x:v>
      </x:c>
      <x:c r="AV757" s="11" t="n">
        <x:v>2546.117298990602</x:v>
      </x:c>
      <x:c r="AW757" s="11" t="n">
        <x:v>1.2973050169606235</x:v>
      </x:c>
      <x:c r="AX757" s="12" t="n">
        <x:v>0.7525262962736173</x:v>
      </x:c>
      <x:c r="AY757" s="11"/>
      <x:c r="AZ757" s="11"/>
      <x:c r="BA757" s="11"/>
      <x:c r="BB757" s="11"/>
      <x:c r="BC757" s="11"/>
      <x:c r="BD757" s="11"/>
      <x:c r="BE757" s="11"/>
      <x:c r="BF757" s="11"/>
      <x:c r="BG757" s="11"/>
      <x:c r="BH757" s="11"/>
      <x:c r="BI757" s="11"/>
      <x:c r="BJ757" s="11"/>
      <x:c r="BK757" s="12"/>
      <x:c r="BL757" s="12"/>
      <x:c r="BM757" s="12"/>
      <x:c r="BN757" s="12"/>
      <x:c r="BO757" s="12"/>
      <x:c r="BP757" s="12"/>
      <x:c r="BQ757" s="12"/>
      <x:c r="BR757" s="12"/>
      <x:c r="BS757" s="12"/>
      <x:c r="BT757" s="12"/>
      <x:c r="BU757" s="11" t="n">
        <x:v>351558</x:v>
      </x:c>
      <x:c r="BV757" s="11" t="n">
        <x:v>1146396</x:v>
      </x:c>
      <x:c r="BW757" s="11" t="n">
        <x:v>527280</x:v>
      </x:c>
      <x:c r="BX757" s="11" t="n">
        <x:v>314551</x:v>
      </x:c>
      <x:c r="BY757" s="11" t="n">
        <x:v>0</x:v>
      </x:c>
      <x:c r="BZ757" s="11" t="n">
        <x:v>197308</x:v>
      </x:c>
      <x:c r="CA757" s="11" t="n">
        <x:v>0</x:v>
      </x:c>
      <x:c r="CB757" s="11" t="n">
        <x:v>0</x:v>
      </x:c>
      <x:c r="CC757" s="11" t="n">
        <x:v>1701776</x:v>
      </x:c>
      <x:c r="CD757" s="11" t="n">
        <x:v>676907</x:v>
      </x:c>
      <x:c r="CE757" s="11" t="n">
        <x:v>0</x:v>
      </x:c>
      <x:c r="CF757" s="11" t="n">
        <x:v>1180568</x:v>
      </x:c>
      <x:c r="CG757" s="11" t="n">
        <x:v>894380</x:v>
      </x:c>
      <x:c r="CH757" s="11" t="n">
        <x:v>1178891</x:v>
      </x:c>
      <x:c r="CI757" s="11" t="n">
        <x:v>676996</x:v>
      </x:c>
      <x:c r="CJ757" s="11" t="n">
        <x:v>856648</x:v>
      </x:c>
      <x:c r="CK757" s="11" t="n">
        <x:v>608066</x:v>
      </x:c>
      <x:c r="CL757" s="11" t="n">
        <x:v>27342</x:v>
      </x:c>
      <x:c r="CM757" s="11"/>
      <x:c r="CN757" s="11" t="n">
        <x:v>360570</x:v>
      </x:c>
      <x:c r="CO757" s="11" t="n">
        <x:v>0</x:v>
      </x:c>
      <x:c r="CP757" s="8"/>
      <x:c r="CQ757" s="8"/>
    </x:row>
    <x:row r="758">
      <x:c r="A758" s="8" t="str">
        <x:v>Sicamous|2023</x:v>
      </x:c>
      <x:c r="B758" s="8" t="str">
        <x:v>sicamous-d</x:v>
      </x:c>
      <x:c r="C758" s="8" t="str">
        <x:v>Sicamous</x:v>
      </x:c>
      <x:c r="D758" s="8" t="str">
        <x:v>Sicamous</x:v>
      </x:c>
      <x:c r="E758" s="8" t="str">
        <x:v>D</x:v>
      </x:c>
      <x:c r="F758" s="8" t="str">
        <x:v>COL</x:v>
      </x:c>
      <x:c r="G758" s="9" t="n">
        <x:v>2023</x:v>
      </x:c>
      <x:c r="H758" s="10" t="n">
        <x:v>3005</x:v>
      </x:c>
      <x:c r="I758" s="8" t="str">
        <x:v>Under 5,000</x:v>
      </x:c>
      <x:c r="J758" s="11" t="n">
        <x:v>14677597</x:v>
      </x:c>
      <x:c r="K758" s="11" t="n">
        <x:v>11116503</x:v>
      </x:c>
      <x:c r="L758" s="11" t="n">
        <x:v>3561094</x:v>
      </x:c>
      <x:c r="M758" s="12" t="n">
        <x:v>0.24262105029862857</x:v>
      </x:c>
      <x:c r="N758" s="11" t="n">
        <x:v>5757973</x:v>
      </x:c>
      <x:c r="O758" s="11" t="n">
        <x:v>3895646</x:v>
      </x:c>
      <x:c r="P758" s="11" t="n">
        <x:v>3759734</x:v>
      </x:c>
      <x:c r="Q758" s="11" t="n">
        <x:v>1264244</x:v>
      </x:c>
      <x:c r="R758" s="11" t="n">
        <x:v>8644362</x:v>
      </x:c>
      <x:c r="S758" s="11" t="n">
        <x:v>2240989</x:v>
      </x:c>
      <x:c r="T758" s="11" t="n">
        <x:v>17804452</x:v>
      </x:c>
      <x:c r="U758" s="11" t="n">
        <x:v>12644250</x:v>
      </x:c>
      <x:c r="V758" s="11" t="n">
        <x:v>7766430</x:v>
      </x:c>
      <x:c r="W758" s="11" t="n">
        <x:v>11362307</x:v>
      </x:c>
      <x:c r="X758" s="11" t="n">
        <x:v>7314995</x:v>
      </x:c>
      <x:c r="Y758" s="11" t="n">
        <x:v>0</x:v>
      </x:c>
      <x:c r="Z758" s="11" t="n">
        <x:v>576590</x:v>
      </x:c>
      <x:c r="AA758" s="11" t="n">
        <x:v>6684351</x:v>
      </x:c>
      <x:c r="AB758" s="11" t="n">
        <x:v>231152</x:v>
      </x:c>
      <x:c r="AC758" s="11" t="n">
        <x:v>807742</x:v>
      </x:c>
      <x:c r="AD758" s="11" t="n">
        <x:v>2660612</x:v>
      </x:c>
      <x:c r="AE758" s="11" t="n">
        <x:v>1852870</x:v>
      </x:c>
      <x:c r="AF758" s="11" t="n">
        <x:v>10642447</x:v>
      </x:c>
      <x:c r="AG758" s="11" t="n">
        <x:v>108079796</x:v>
      </x:c>
      <x:c r="AH758" s="11" t="n">
        <x:v>27760965</x:v>
      </x:c>
      <x:c r="AI758" s="11" t="n">
        <x:v>80318831</x:v>
      </x:c>
      <x:c r="AJ758" s="11" t="n">
        <x:v>4114075</x:v>
      </x:c>
      <x:c r="AK758" s="11" t="n">
        <x:v>13010865</x:v>
      </x:c>
      <x:c r="AL758" s="11" t="n">
        <x:v>0</x:v>
      </x:c>
      <x:c r="AM758" s="12" t="n">
        <x:v>1</x:v>
      </x:c>
      <x:c r="AN758" s="12" t="n">
        <x:v>0.3162030349250415</x:v>
      </x:c>
      <x:c r="AO758" s="11" t="n">
        <x:v>9883800</x:v>
      </x:c>
      <x:c r="AP758" s="11" t="n">
        <x:v>9252142</x:v>
      </x:c>
      <x:c r="AQ758" s="12" t="n">
        <x:v>0.9360915842085028</x:v>
      </x:c>
      <x:c r="AR758" s="11" t="n">
        <x:v>4884.391680532446</x:v>
      </x:c>
      <x:c r="AS758" s="11" t="n">
        <x:v>3699.3354409317803</x:v>
      </x:c>
      <x:c r="AT758" s="11" t="n">
        <x:v>2584.5024958402664</x:v>
      </x:c>
      <x:c r="AU758" s="11" t="n">
        <x:v>3781.1337770382697</x:v>
      </x:c>
      <x:c r="AV758" s="11" t="n">
        <x:v>2224.4096505823627</x:v>
      </x:c>
      <x:c r="AW758" s="11" t="n">
        <x:v>1.4081066097237875</x:v>
      </x:c>
      <x:c r="AX758" s="12" t="n">
        <x:v>0.6964074430995576</x:v>
      </x:c>
      <x:c r="AY758" s="11"/>
      <x:c r="AZ758" s="11"/>
      <x:c r="BA758" s="11"/>
      <x:c r="BB758" s="11"/>
      <x:c r="BC758" s="11"/>
      <x:c r="BD758" s="11"/>
      <x:c r="BE758" s="11"/>
      <x:c r="BF758" s="11"/>
      <x:c r="BG758" s="11"/>
      <x:c r="BH758" s="11"/>
      <x:c r="BI758" s="11"/>
      <x:c r="BJ758" s="11"/>
      <x:c r="BK758" s="12"/>
      <x:c r="BL758" s="12"/>
      <x:c r="BM758" s="12"/>
      <x:c r="BN758" s="12"/>
      <x:c r="BO758" s="12"/>
      <x:c r="BP758" s="12"/>
      <x:c r="BQ758" s="12"/>
      <x:c r="BR758" s="12"/>
      <x:c r="BS758" s="12"/>
      <x:c r="BT758" s="12"/>
      <x:c r="BU758" s="11" t="n">
        <x:v>523442</x:v>
      </x:c>
      <x:c r="BV758" s="11" t="n">
        <x:v>2823064</x:v>
      </x:c>
      <x:c r="BW758" s="11" t="n">
        <x:v>413228</x:v>
      </x:c>
      <x:c r="BX758" s="11" t="n">
        <x:v>774896</x:v>
      </x:c>
      <x:c r="BY758" s="11" t="n">
        <x:v>0</x:v>
      </x:c>
      <x:c r="BZ758" s="11" t="n">
        <x:v>489348</x:v>
      </x:c>
      <x:c r="CA758" s="11" t="n">
        <x:v>0</x:v>
      </x:c>
      <x:c r="CB758" s="11" t="n">
        <x:v>0</x:v>
      </x:c>
      <x:c r="CC758" s="11" t="n">
        <x:v>1759275</x:v>
      </x:c>
      <x:c r="CD758" s="11" t="n">
        <x:v>957652</x:v>
      </x:c>
      <x:c r="CE758" s="11" t="n">
        <x:v>0</x:v>
      </x:c>
      <x:c r="CF758" s="11" t="n">
        <x:v>1057135</x:v>
      </x:c>
      <x:c r="CG758" s="11" t="n">
        <x:v>998133</x:v>
      </x:c>
      <x:c r="CH758" s="11" t="n">
        <x:v>1258116</x:v>
      </x:c>
      <x:c r="CI758" s="11" t="n">
        <x:v>669934</x:v>
      </x:c>
      <x:c r="CJ758" s="11" t="n">
        <x:v>991909</x:v>
      </x:c>
      <x:c r="CK758" s="11" t="n">
        <x:v>749648</x:v>
      </x:c>
      <x:c r="CL758" s="11" t="n">
        <x:v>19093</x:v>
      </x:c>
      <x:c r="CM758" s="11" t="n">
        <x:v>13826</x:v>
      </x:c>
      <x:c r="CN758" s="11" t="n">
        <x:v>400793</x:v>
      </x:c>
      <x:c r="CO758" s="11" t="n">
        <x:v>0</x:v>
      </x:c>
      <x:c r="CP758" s="8"/>
      <x:c r="CQ758" s="8"/>
    </x:row>
    <x:row r="759">
      <x:c r="A759" s="8" t="str">
        <x:v>Sicamous|2024</x:v>
      </x:c>
      <x:c r="B759" s="8" t="str">
        <x:v>sicamous-d</x:v>
      </x:c>
      <x:c r="C759" s="8" t="str">
        <x:v>Sicamous</x:v>
      </x:c>
      <x:c r="D759" s="8" t="str">
        <x:v>Sicamous</x:v>
      </x:c>
      <x:c r="E759" s="8" t="str">
        <x:v>D</x:v>
      </x:c>
      <x:c r="F759" s="8" t="str">
        <x:v>COL</x:v>
      </x:c>
      <x:c r="G759" s="9" t="n">
        <x:v>2024</x:v>
      </x:c>
      <x:c r="H759" s="10" t="n">
        <x:v>3005</x:v>
      </x:c>
      <x:c r="I759" s="8" t="str">
        <x:v>Under 5,000</x:v>
      </x:c>
      <x:c r="J759" s="11" t="n">
        <x:v>19728300</x:v>
      </x:c>
      <x:c r="K759" s="11" t="n">
        <x:v>12406723</x:v>
      </x:c>
      <x:c r="L759" s="11" t="n">
        <x:v>7321577</x:v>
      </x:c>
      <x:c r="M759" s="12" t="n">
        <x:v>0.3711205222953828</x:v>
      </x:c>
      <x:c r="N759" s="11" t="n">
        <x:v>6003367</x:v>
      </x:c>
      <x:c r="O759" s="11" t="n">
        <x:v>3833990</x:v>
      </x:c>
      <x:c r="P759" s="11" t="n">
        <x:v>6778820</x:v>
      </x:c>
      <x:c r="Q759" s="11" t="n">
        <x:v>3112123</x:v>
      </x:c>
      <x:c r="R759" s="11" t="n">
        <x:v>9692224</x:v>
      </x:c>
      <x:c r="S759" s="11" t="n">
        <x:v>2499762</x:v>
      </x:c>
      <x:c r="T759" s="11" t="n">
        <x:v>14241210</x:v>
      </x:c>
      <x:c r="U759" s="11" t="n">
        <x:v>11906648</x:v>
      </x:c>
      <x:c r="V759" s="11" t="n">
        <x:v>5719512</x:v>
      </x:c>
      <x:c r="W759" s="11" t="n">
        <x:v>9148411</x:v>
      </x:c>
      <x:c r="X759" s="11" t="n">
        <x:v>6684351</x:v>
      </x:c>
      <x:c r="Y759" s="11" t="n">
        <x:v>0</x:v>
      </x:c>
      <x:c r="Z759" s="11" t="n">
        <x:v>264849</x:v>
      </x:c>
      <x:c r="AA759" s="11" t="n">
        <x:v>6356899</x:v>
      </x:c>
      <x:c r="AB759" s="11" t="n">
        <x:v>214737</x:v>
      </x:c>
      <x:c r="AC759" s="11" t="n">
        <x:v>479586</x:v>
      </x:c>
      <x:c r="AD759" s="11" t="n">
        <x:v>2706907</x:v>
      </x:c>
      <x:c r="AE759" s="11" t="n">
        <x:v>2227321</x:v>
      </x:c>
      <x:c r="AF759" s="11" t="n">
        <x:v>10827626</x:v>
      </x:c>
      <x:c r="AG759" s="11" t="n">
        <x:v>118874386</x:v>
      </x:c>
      <x:c r="AH759" s="11" t="n">
        <x:v>29567135</x:v>
      </x:c>
      <x:c r="AI759" s="11" t="n">
        <x:v>89307251</x:v>
      </x:c>
      <x:c r="AJ759" s="11" t="n">
        <x:v>12522640</x:v>
      </x:c>
      <x:c r="AK759" s="11" t="n">
        <x:v>200893786</x:v>
      </x:c>
      <x:c r="AL759" s="11" t="n">
        <x:v>3005200</x:v>
      </x:c>
      <x:c r="AM759" s="12" t="n">
        <x:v>0.9850408513880066</x:v>
      </x:c>
      <x:c r="AN759" s="12" t="n">
        <x:v>0.062334630897941265</x:v>
      </x:c>
      <x:c r="AO759" s="11" t="n">
        <x:v>10489026</x:v>
      </x:c>
      <x:c r="AP759" s="11" t="n">
        <x:v>10043166</x:v>
      </x:c>
      <x:c r="AQ759" s="12" t="n">
        <x:v>0.9574927166735977</x:v>
      </x:c>
      <x:c r="AR759" s="11" t="n">
        <x:v>6565.158069883528</x:v>
      </x:c>
      <x:c r="AS759" s="11" t="n">
        <x:v>4128.693178036606</x:v>
      </x:c>
      <x:c r="AT759" s="11" t="n">
        <x:v>1903.3317803660566</x:v>
      </x:c>
      <x:c r="AU759" s="11" t="n">
        <x:v>3044.3963394342763</x:v>
      </x:c>
      <x:c r="AV759" s="11" t="n">
        <x:v>2115.440599001664</x:v>
      </x:c>
      <x:c r="AW759" s="11" t="n">
        <x:v>1.196072143898098</x:v>
      </x:c>
      <x:c r="AX759" s="12" t="n">
        <x:v>0.8228287857691454</x:v>
      </x:c>
      <x:c r="AY759" s="11" t="n">
        <x:v>4486.511144130758</x:v>
      </x:c>
      <x:c r="AZ759" s="11" t="n">
        <x:v>3546.5079302077975</x:v>
      </x:c>
      <x:c r="BA759" s="11" t="n">
        <x:v>3557.844717668488</x:v>
      </x:c>
      <x:c r="BB759" s="11" t="n">
        <x:v>2783.665107049771</x:v>
      </x:c>
      <x:c r="BC759" s="11" t="n">
        <x:v>5496.677373974208</x:v>
      </x:c>
      <x:c r="BD759" s="11" t="n">
        <x:v>2437.8724475115623</x:v>
      </x:c>
      <x:c r="BE759" s="11" t="n">
        <x:v>3386.4506393861893</x:v>
      </x:c>
      <x:c r="BF759" s="11" t="n">
        <x:v>1604.3462673977224</x:v>
      </x:c>
      <x:c r="BG759" s="11" t="n">
        <x:v>624.7436119532265</x:v>
      </x:c>
      <x:c r="BH759" s="11" t="n">
        <x:v>518.5374381567245</x:v>
      </x:c>
      <x:c r="BI759" s="11" t="n">
        <x:v>3.324657351485151</x:v>
      </x:c>
      <x:c r="BJ759" s="11" t="n">
        <x:v>1.7099330852451193</x:v>
      </x:c>
      <x:c r="BK759" s="12" t="n">
        <x:v>0.02521828600111612</x:v>
      </x:c>
      <x:c r="BL759" s="12" t="n">
        <x:v>0.02529861000232605</x:v>
      </x:c>
      <x:c r="BM759" s="12" t="n">
        <x:v>0.9816336034641139</x:v>
      </x:c>
      <x:c r="BN759" s="12" t="n">
        <x:v>0.9815511712696461</x:v>
      </x:c>
      <x:c r="BO759" s="12" t="n">
        <x:v>0.8531878894527055</x:v>
      </x:c>
      <x:c r="BP759" s="12" t="n">
        <x:v>0.8619101997275483</x:v>
      </x:c>
      <x:c r="BQ759" s="12" t="n">
        <x:v>0.9614729661922712</x:v>
      </x:c>
      <x:c r="BR759" s="12" t="n">
        <x:v>0.9623635142836453</x:v>
      </x:c>
      <x:c r="BS759" s="12" t="n">
        <x:v>0.23352896680225554</x:v>
      </x:c>
      <x:c r="BT759" s="12" t="n">
        <x:v>0.19976549769108282</x:v>
      </x:c>
      <x:c r="BU759" s="11" t="n">
        <x:v>0</x:v>
      </x:c>
      <x:c r="BV759" s="11" t="n">
        <x:v>6283495</x:v>
      </x:c>
      <x:c r="BW759" s="11" t="n">
        <x:v>495325</x:v>
      </x:c>
      <x:c r="BX759" s="11" t="n">
        <x:v>756503</x:v>
      </x:c>
      <x:c r="BY759" s="11" t="n">
        <x:v>0</x:v>
      </x:c>
      <x:c r="BZ759" s="11" t="n">
        <x:v>2355620</x:v>
      </x:c>
      <x:c r="CA759" s="11" t="n">
        <x:v>0</x:v>
      </x:c>
      <x:c r="CB759" s="11" t="n">
        <x:v>0</x:v>
      </x:c>
      <x:c r="CC759" s="11" t="n">
        <x:v>1928154</x:v>
      </x:c>
      <x:c r="CD759" s="11" t="n">
        <x:v>1043264</x:v>
      </x:c>
      <x:c r="CE759" s="11" t="n">
        <x:v>0</x:v>
      </x:c>
      <x:c r="CF759" s="11" t="n">
        <x:v>1230740</x:v>
      </x:c>
      <x:c r="CG759" s="11" t="n">
        <x:v>935112</x:v>
      </x:c>
      <x:c r="CH759" s="11" t="n">
        <x:v>1461702</x:v>
      </x:c>
      <x:c r="CI759" s="11" t="n">
        <x:v>759429</x:v>
      </x:c>
      <x:c r="CJ759" s="11" t="n">
        <x:v>917848</x:v>
      </x:c>
      <x:c r="CK759" s="11" t="n">
        <x:v>926755</x:v>
      </x:c>
      <x:c r="CL759" s="11" t="n">
        <x:v>20179</x:v>
      </x:c>
      <x:c r="CM759" s="11" t="n">
        <x:v>14403</x:v>
      </x:c>
      <x:c r="CN759" s="11" t="n">
        <x:v>669375</x:v>
      </x:c>
      <x:c r="CO759" s="11" t="n">
        <x:v>0</x:v>
      </x:c>
      <x:c r="CP759" s="8"/>
      <x:c r="CQ759" s="8"/>
    </x:row>
    <x:row r="760">
      <x:c r="A760" s="8" t="str">
        <x:v>Sidney|2019</x:v>
      </x:c>
      <x:c r="B760" s="8" t="str">
        <x:v>sidney-t</x:v>
      </x:c>
      <x:c r="C760" s="8" t="str">
        <x:v>Sidney</x:v>
      </x:c>
      <x:c r="D760" s="8" t="str">
        <x:v>Sidney</x:v>
      </x:c>
      <x:c r="E760" s="8" t="str">
        <x:v>T</x:v>
      </x:c>
      <x:c r="F760" s="8" t="str">
        <x:v>CAP</x:v>
      </x:c>
      <x:c r="G760" s="9" t="n">
        <x:v>2019</x:v>
      </x:c>
      <x:c r="H760" s="10" t="n">
        <x:v>12235</x:v>
      </x:c>
      <x:c r="I760" s="8" t="str">
        <x:v>5,000 to 19,999</x:v>
      </x:c>
      <x:c r="J760" s="11" t="n">
        <x:v>32625242</x:v>
      </x:c>
      <x:c r="K760" s="11" t="n">
        <x:v>21938532</x:v>
      </x:c>
      <x:c r="L760" s="11" t="n">
        <x:v>10686710</x:v>
      </x:c>
      <x:c r="M760" s="12" t="n">
        <x:v>0.3275595626233209</x:v>
      </x:c>
      <x:c r="N760" s="11" t="n">
        <x:v>14073603</x:v>
      </x:c>
      <x:c r="O760" s="11" t="n">
        <x:v>6504441</x:v>
      </x:c>
      <x:c r="P760" s="11" t="n">
        <x:v>2084335</x:v>
      </x:c>
      <x:c r="Q760" s="11" t="n">
        <x:v>9962863</x:v>
      </x:c>
      <x:c r="R760" s="11" t="n">
        <x:v>18612426</x:v>
      </x:c>
      <x:c r="S760" s="11" t="n">
        <x:v>2933102</x:v>
      </x:c>
      <x:c r="T760" s="11" t="n">
        <x:v>22927049</x:v>
      </x:c>
      <x:c r="U760" s="11" t="n">
        <x:v>20721962</x:v>
      </x:c>
      <x:c r="V760" s="11" t="n">
        <x:v>5140403</x:v>
      </x:c>
      <x:c r="W760" s="11" t="n">
        <x:v>11187583</x:v>
      </x:c>
      <x:c r="X760" s="11" t="n">
        <x:v>12565241</x:v>
      </x:c>
      <x:c r="Y760" s="11" t="n">
        <x:v>2500000</x:v>
      </x:c>
      <x:c r="Z760" s="11" t="n">
        <x:v>2683936</x:v>
      </x:c>
      <x:c r="AA760" s="11" t="n">
        <x:v>12330139</x:v>
      </x:c>
      <x:c r="AB760" s="11" t="n">
        <x:v>393004</x:v>
      </x:c>
      <x:c r="AC760" s="11" t="n">
        <x:v>3076940</x:v>
      </x:c>
      <x:c r="AD760" s="11" t="n">
        <x:v>5386844</x:v>
      </x:c>
      <x:c r="AE760" s="11" t="n">
        <x:v>2309904</x:v>
      </x:c>
      <x:c r="AF760" s="11" t="n">
        <x:v>21547375</x:v>
      </x:c>
      <x:c r="AG760" s="11" t="n">
        <x:v>147590196</x:v>
      </x:c>
      <x:c r="AH760" s="11" t="n">
        <x:v>46849636</x:v>
      </x:c>
      <x:c r="AI760" s="11" t="n">
        <x:v>100740560</x:v>
      </x:c>
      <x:c r="AJ760" s="11" t="n">
        <x:v>8272217</x:v>
      </x:c>
      <x:c r="AK760" s="11" t="n">
        <x:v>206066691</x:v>
      </x:c>
      <x:c r="AL760" s="11" t="n">
        <x:v>2249871</x:v>
      </x:c>
      <x:c r="AM760" s="12" t="n">
        <x:v>0.989081830794284</x:v>
      </x:c>
      <x:c r="AN760" s="12" t="n">
        <x:v>0.04014339707138792</x:v>
      </x:c>
      <x:c r="AO760" s="11" t="n">
        <x:v>26710956</x:v>
      </x:c>
      <x:c r="AP760" s="11" t="n">
        <x:v>26398737</x:v>
      </x:c>
      <x:c r="AQ760" s="12" t="n">
        <x:v>0.9883112008420815</x:v>
      </x:c>
      <x:c r="AR760" s="11" t="n">
        <x:v>2666.5502247650184</x:v>
      </x:c>
      <x:c r="AS760" s="11" t="n">
        <x:v>1793.096199427871</x:v>
      </x:c>
      <x:c r="AT760" s="11" t="n">
        <x:v>420.1391908459338</x:v>
      </x:c>
      <x:c r="AU760" s="11" t="n">
        <x:v>914.39174499387</x:v>
      </x:c>
      <x:c r="AV760" s="11" t="n">
        <x:v>1007.7759705762157</x:v>
      </x:c>
      <x:c r="AW760" s="11" t="n">
        <x:v>1.1064130413905788</x:v>
      </x:c>
      <x:c r="AX760" s="12" t="n">
        <x:v>0.42880469529097187</x:v>
      </x:c>
      <x:c r="AY760" s="11"/>
      <x:c r="AZ760" s="11"/>
      <x:c r="BA760" s="11"/>
      <x:c r="BB760" s="11"/>
      <x:c r="BC760" s="11"/>
      <x:c r="BD760" s="11"/>
      <x:c r="BE760" s="11"/>
      <x:c r="BF760" s="11"/>
      <x:c r="BG760" s="11"/>
      <x:c r="BH760" s="11"/>
      <x:c r="BI760" s="11"/>
      <x:c r="BJ760" s="11"/>
      <x:c r="BK760" s="12"/>
      <x:c r="BL760" s="12"/>
      <x:c r="BM760" s="12"/>
      <x:c r="BN760" s="12"/>
      <x:c r="BO760" s="12"/>
      <x:c r="BP760" s="12"/>
      <x:c r="BQ760" s="12"/>
      <x:c r="BR760" s="12"/>
      <x:c r="BS760" s="12"/>
      <x:c r="BT760" s="12"/>
      <x:c r="BU760" s="11" t="n">
        <x:v>0</x:v>
      </x:c>
      <x:c r="BV760" s="11" t="n">
        <x:v>493530</x:v>
      </x:c>
      <x:c r="BW760" s="11" t="n">
        <x:v>1590805</x:v>
      </x:c>
      <x:c r="BX760" s="11" t="n">
        <x:v>464183</x:v>
      </x:c>
      <x:c r="BY760" s="11" t="n">
        <x:v>0</x:v>
      </x:c>
      <x:c r="BZ760" s="11" t="n">
        <x:v>1290474</x:v>
      </x:c>
      <x:c r="CA760" s="11" t="n">
        <x:v>8093384</x:v>
      </x:c>
      <x:c r="CB760" s="11" t="n">
        <x:v>114822</x:v>
      </x:c>
      <x:c r="CC760" s="11" t="n">
        <x:v>2257634</x:v>
      </x:c>
      <x:c r="CD760" s="11" t="n">
        <x:v>5019552</x:v>
      </x:c>
      <x:c r="CE760" s="11" t="n">
        <x:v>776740</x:v>
      </x:c>
      <x:c r="CF760" s="11" t="n">
        <x:v>0</x:v>
      </x:c>
      <x:c r="CG760" s="11" t="n">
        <x:v>523236</x:v>
      </x:c>
      <x:c r="CH760" s="11" t="n">
        <x:v>3035926</x:v>
      </x:c>
      <x:c r="CI760" s="11" t="n">
        <x:v>2586530</x:v>
      </x:c>
      <x:c r="CJ760" s="11" t="n">
        <x:v>1918263</x:v>
      </x:c>
      <x:c r="CK760" s="11" t="n">
        <x:v>1885752</x:v>
      </x:c>
      <x:c r="CL760" s="11" t="n">
        <x:v>1001797</x:v>
      </x:c>
      <x:c r="CM760" s="11"/>
      <x:c r="CN760" s="11" t="n">
        <x:v>0</x:v>
      </x:c>
      <x:c r="CO760" s="11" t="n">
        <x:v>0</x:v>
      </x:c>
      <x:c r="CP760" s="8"/>
      <x:c r="CQ760" s="8"/>
    </x:row>
    <x:row r="761">
      <x:c r="A761" s="8" t="str">
        <x:v>Sidney|2020</x:v>
      </x:c>
      <x:c r="B761" s="8" t="str">
        <x:v>sidney-t</x:v>
      </x:c>
      <x:c r="C761" s="8" t="str">
        <x:v>Sidney</x:v>
      </x:c>
      <x:c r="D761" s="8" t="str">
        <x:v>Sidney</x:v>
      </x:c>
      <x:c r="E761" s="8" t="str">
        <x:v>T</x:v>
      </x:c>
      <x:c r="F761" s="8" t="str">
        <x:v>CAP</x:v>
      </x:c>
      <x:c r="G761" s="9" t="n">
        <x:v>2020</x:v>
      </x:c>
      <x:c r="H761" s="10" t="n">
        <x:v>12312</x:v>
      </x:c>
      <x:c r="I761" s="8" t="str">
        <x:v>5,000 to 19,999</x:v>
      </x:c>
      <x:c r="J761" s="11" t="n">
        <x:v>26973158</x:v>
      </x:c>
      <x:c r="K761" s="11" t="n">
        <x:v>23023629</x:v>
      </x:c>
      <x:c r="L761" s="11" t="n">
        <x:v>3949529</x:v>
      </x:c>
      <x:c r="M761" s="12" t="n">
        <x:v>0.1464244194172592</x:v>
      </x:c>
      <x:c r="N761" s="11" t="n">
        <x:v>13849226</x:v>
      </x:c>
      <x:c r="O761" s="11" t="n">
        <x:v>6671431</x:v>
      </x:c>
      <x:c r="P761" s="11" t="n">
        <x:v>4654693</x:v>
      </x:c>
      <x:c r="Q761" s="11" t="n">
        <x:v>1797808</x:v>
      </x:c>
      <x:c r="R761" s="11" t="n">
        <x:v>19698795</x:v>
      </x:c>
      <x:c r="S761" s="11" t="n">
        <x:v>2995929</x:v>
      </x:c>
      <x:c r="T761" s="11" t="n">
        <x:v>30053605</x:v>
      </x:c>
      <x:c r="U761" s="11" t="n">
        <x:v>25252523</x:v>
      </x:c>
      <x:c r="V761" s="11" t="n">
        <x:v>7628558</x:v>
      </x:c>
      <x:c r="W761" s="11" t="n">
        <x:v>2811982</x:v>
      </x:c>
      <x:c r="X761" s="11" t="n">
        <x:v>12306949</x:v>
      </x:c>
      <x:c r="Y761" s="11" t="n">
        <x:v>3043437</x:v>
      </x:c>
      <x:c r="Z761" s="11" t="n">
        <x:v>4739514</x:v>
      </x:c>
      <x:c r="AA761" s="11" t="n">
        <x:v>10548145</x:v>
      </x:c>
      <x:c r="AB761" s="11" t="n">
        <x:v>328905</x:v>
      </x:c>
      <x:c r="AC761" s="11" t="n">
        <x:v>5068419</x:v>
      </x:c>
      <x:c r="AD761" s="11" t="n">
        <x:v>6014892</x:v>
      </x:c>
      <x:c r="AE761" s="11" t="n">
        <x:v>827823</x:v>
      </x:c>
      <x:c r="AF761" s="11" t="n">
        <x:v>24059569</x:v>
      </x:c>
      <x:c r="AG761" s="11" t="n">
        <x:v>151262721</x:v>
      </x:c>
      <x:c r="AH761" s="11" t="n">
        <x:v>49208290</x:v>
      </x:c>
      <x:c r="AI761" s="11" t="n">
        <x:v>102054431</x:v>
      </x:c>
      <x:c r="AJ761" s="11" t="n">
        <x:v>4401164</x:v>
      </x:c>
      <x:c r="AK761" s="11" t="n">
        <x:v>293389429</x:v>
      </x:c>
      <x:c r="AL761" s="11" t="n">
        <x:v>8850068</x:v>
      </x:c>
      <x:c r="AM761" s="12" t="n">
        <x:v>0.9698350822312688</x:v>
      </x:c>
      <x:c r="AN761" s="12" t="n">
        <x:v>0.01500109944315683</x:v>
      </x:c>
      <x:c r="AO761" s="11" t="n">
        <x:v>25586587</x:v>
      </x:c>
      <x:c r="AP761" s="11" t="n">
        <x:v>25140730</x:v>
      </x:c>
      <x:c r="AQ761" s="12" t="n">
        <x:v>0.9825745809708814</x:v>
      </x:c>
      <x:c r="AR761" s="11" t="n">
        <x:v>2190.8023066926576</x:v>
      </x:c>
      <x:c r="AS761" s="11" t="n">
        <x:v>1870.015350877193</x:v>
      </x:c>
      <x:c r="AT761" s="11" t="n">
        <x:v>619.6034762833009</x:v>
      </x:c>
      <x:c r="AU761" s="11" t="n">
        <x:v>228.39359974009096</x:v>
      </x:c>
      <x:c r="AV761" s="11" t="n">
        <x:v>856.7369233268356</x:v>
      </x:c>
      <x:c r="AW761" s="11" t="n">
        <x:v>1.1901228641589594</x:v>
      </x:c>
      <x:c r="AX761" s="12" t="n">
        <x:v>0.1376289050576469</x:v>
      </x:c>
      <x:c r="AY761" s="11"/>
      <x:c r="AZ761" s="11"/>
      <x:c r="BA761" s="11"/>
      <x:c r="BB761" s="11"/>
      <x:c r="BC761" s="11"/>
      <x:c r="BD761" s="11"/>
      <x:c r="BE761" s="11"/>
      <x:c r="BF761" s="11"/>
      <x:c r="BG761" s="11"/>
      <x:c r="BH761" s="11"/>
      <x:c r="BI761" s="11"/>
      <x:c r="BJ761" s="11"/>
      <x:c r="BK761" s="12"/>
      <x:c r="BL761" s="12"/>
      <x:c r="BM761" s="12"/>
      <x:c r="BN761" s="12"/>
      <x:c r="BO761" s="12"/>
      <x:c r="BP761" s="12"/>
      <x:c r="BQ761" s="12"/>
      <x:c r="BR761" s="12"/>
      <x:c r="BS761" s="12"/>
      <x:c r="BT761" s="12"/>
      <x:c r="BU761" s="11" t="n">
        <x:v>0</x:v>
      </x:c>
      <x:c r="BV761" s="11" t="n">
        <x:v>3591242</x:v>
      </x:c>
      <x:c r="BW761" s="11" t="n">
        <x:v>1063451</x:v>
      </x:c>
      <x:c r="BX761" s="11" t="n">
        <x:v>355298</x:v>
      </x:c>
      <x:c r="BY761" s="11" t="n">
        <x:v>0</x:v>
      </x:c>
      <x:c r="BZ761" s="11" t="n">
        <x:v>1409740</x:v>
      </x:c>
      <x:c r="CA761" s="11" t="n">
        <x:v>0</x:v>
      </x:c>
      <x:c r="CB761" s="11" t="n">
        <x:v>32770</x:v>
      </x:c>
      <x:c r="CC761" s="11" t="n">
        <x:v>2286181</x:v>
      </x:c>
      <x:c r="CD761" s="11" t="n">
        <x:v>5702788</x:v>
      </x:c>
      <x:c r="CE761" s="11" t="n">
        <x:v>770050</x:v>
      </x:c>
      <x:c r="CF761" s="11" t="n">
        <x:v>0</x:v>
      </x:c>
      <x:c r="CG761" s="11" t="n">
        <x:v>570821</x:v>
      </x:c>
      <x:c r="CH761" s="11" t="n">
        <x:v>2949558</x:v>
      </x:c>
      <x:c r="CI761" s="11" t="n">
        <x:v>2733353</x:v>
      </x:c>
      <x:c r="CJ761" s="11" t="n">
        <x:v>1961224</x:v>
      </x:c>
      <x:c r="CK761" s="11" t="n">
        <x:v>2054587</x:v>
      </x:c>
      <x:c r="CL761" s="11" t="n">
        <x:v>956558</x:v>
      </x:c>
      <x:c r="CM761" s="11"/>
      <x:c r="CN761" s="11" t="n">
        <x:v>42580</x:v>
      </x:c>
      <x:c r="CO761" s="11" t="n">
        <x:v>0</x:v>
      </x:c>
      <x:c r="CP761" s="8"/>
      <x:c r="CQ761" s="8"/>
    </x:row>
    <x:row r="762">
      <x:c r="A762" s="8" t="str">
        <x:v>Sidney|2021</x:v>
      </x:c>
      <x:c r="B762" s="8" t="str">
        <x:v>sidney-t</x:v>
      </x:c>
      <x:c r="C762" s="8" t="str">
        <x:v>Sidney</x:v>
      </x:c>
      <x:c r="D762" s="8" t="str">
        <x:v>Sidney</x:v>
      </x:c>
      <x:c r="E762" s="8" t="str">
        <x:v>T</x:v>
      </x:c>
      <x:c r="F762" s="8" t="str">
        <x:v>CAP</x:v>
      </x:c>
      <x:c r="G762" s="9" t="n">
        <x:v>2021</x:v>
      </x:c>
      <x:c r="H762" s="10" t="n">
        <x:v>12279</x:v>
      </x:c>
      <x:c r="I762" s="8" t="str">
        <x:v>5,000 to 19,999</x:v>
      </x:c>
      <x:c r="J762" s="11" t="n">
        <x:v>24920671</x:v>
      </x:c>
      <x:c r="K762" s="11" t="n">
        <x:v>23298801</x:v>
      </x:c>
      <x:c r="L762" s="11" t="n">
        <x:v>1621870</x:v>
      </x:c>
      <x:c r="M762" s="12" t="n">
        <x:v>0.06508131342049338</x:v>
      </x:c>
      <x:c r="N762" s="11" t="n">
        <x:v>14418343</x:v>
      </x:c>
      <x:c r="O762" s="11" t="n">
        <x:v>6845194</x:v>
      </x:c>
      <x:c r="P762" s="11" t="n">
        <x:v>2306440</x:v>
      </x:c>
      <x:c r="Q762" s="11" t="n">
        <x:v>1350694</x:v>
      </x:c>
      <x:c r="R762" s="11" t="n">
        <x:v>19999895</x:v>
      </x:c>
      <x:c r="S762" s="11" t="n">
        <x:v>2993238</x:v>
      </x:c>
      <x:c r="T762" s="11" t="n">
        <x:v>26172650</x:v>
      </x:c>
      <x:c r="U762" s="11" t="n">
        <x:v>20763168</x:v>
      </x:c>
      <x:c r="V762" s="11" t="n">
        <x:v>8094782</x:v>
      </x:c>
      <x:c r="W762" s="11" t="n">
        <x:v>2825498</x:v>
      </x:c>
      <x:c r="X762" s="11" t="n">
        <x:v>10548145</x:v>
      </x:c>
      <x:c r="Y762" s="11" t="n">
        <x:v>265000</x:v>
      </x:c>
      <x:c r="Z762" s="11" t="n">
        <x:v>338434</x:v>
      </x:c>
      <x:c r="AA762" s="11" t="n">
        <x:v>10407608</x:v>
      </x:c>
      <x:c r="AB762" s="11" t="n">
        <x:v>305668</x:v>
      </x:c>
      <x:c r="AC762" s="11" t="n">
        <x:v>644102</x:v>
      </x:c>
      <x:c r="AD762" s="11" t="n">
        <x:v>5484502</x:v>
      </x:c>
      <x:c r="AE762" s="11" t="n">
        <x:v>4711100</x:v>
      </x:c>
      <x:c r="AF762" s="11" t="n">
        <x:v>21938007</x:v>
      </x:c>
      <x:c r="AG762" s="11" t="n">
        <x:v>154605036</x:v>
      </x:c>
      <x:c r="AH762" s="11" t="n">
        <x:v>51425198</x:v>
      </x:c>
      <x:c r="AI762" s="11" t="n">
        <x:v>103179838</x:v>
      </x:c>
      <x:c r="AJ762" s="11" t="n">
        <x:v>4122093</x:v>
      </x:c>
      <x:c r="AK762" s="11" t="n">
        <x:v>305459829</x:v>
      </x:c>
      <x:c r="AL762" s="11" t="n">
        <x:v>9284573</x:v>
      </x:c>
      <x:c r="AM762" s="12" t="n">
        <x:v>0.9696046022470601</x:v>
      </x:c>
      <x:c r="AN762" s="12" t="n">
        <x:v>0.013494713899024673</x:v>
      </x:c>
      <x:c r="AO762" s="11" t="n">
        <x:v>27755965</x:v>
      </x:c>
      <x:c r="AP762" s="11" t="n">
        <x:v>27376188</x:v>
      </x:c>
      <x:c r="AQ762" s="12" t="n">
        <x:v>0.9863172835100491</x:v>
      </x:c>
      <x:c r="AR762" s="11" t="n">
        <x:v>2029.5358742568612</x:v>
      </x:c>
      <x:c r="AS762" s="11" t="n">
        <x:v>1897.4510139262154</x:v>
      </x:c>
      <x:c r="AT762" s="11" t="n">
        <x:v>659.2378858213209</x:v>
      </x:c>
      <x:c r="AU762" s="11" t="n">
        <x:v>230.10815212965224</x:v>
      </x:c>
      <x:c r="AV762" s="11" t="n">
        <x:v>847.5941037543774</x:v>
      </x:c>
      <x:c r="AW762" s="11" t="n">
        <x:v>1.260532593099473</x:v>
      </x:c>
      <x:c r="AX762" s="12" t="n">
        <x:v>0.8589840973711014</x:v>
      </x:c>
      <x:c r="AY762" s="11"/>
      <x:c r="AZ762" s="11"/>
      <x:c r="BA762" s="11"/>
      <x:c r="BB762" s="11"/>
      <x:c r="BC762" s="11"/>
      <x:c r="BD762" s="11"/>
      <x:c r="BE762" s="11"/>
      <x:c r="BF762" s="11"/>
      <x:c r="BG762" s="11"/>
      <x:c r="BH762" s="11"/>
      <x:c r="BI762" s="11"/>
      <x:c r="BJ762" s="11"/>
      <x:c r="BK762" s="12"/>
      <x:c r="BL762" s="12"/>
      <x:c r="BM762" s="12"/>
      <x:c r="BN762" s="12"/>
      <x:c r="BO762" s="12"/>
      <x:c r="BP762" s="12"/>
      <x:c r="BQ762" s="12"/>
      <x:c r="BR762" s="12"/>
      <x:c r="BS762" s="12"/>
      <x:c r="BT762" s="12"/>
      <x:c r="BU762" s="11" t="n">
        <x:v>0</x:v>
      </x:c>
      <x:c r="BV762" s="11" t="n">
        <x:v>615048</x:v>
      </x:c>
      <x:c r="BW762" s="11" t="n">
        <x:v>1691392</x:v>
      </x:c>
      <x:c r="BX762" s="11" t="n">
        <x:v>276890</x:v>
      </x:c>
      <x:c r="BY762" s="11" t="n">
        <x:v>0</x:v>
      </x:c>
      <x:c r="BZ762" s="11" t="n">
        <x:v>1048971</x:v>
      </x:c>
      <x:c r="CA762" s="11" t="n">
        <x:v>0</x:v>
      </x:c>
      <x:c r="CB762" s="11" t="n">
        <x:v>24833</x:v>
      </x:c>
      <x:c r="CC762" s="11" t="n">
        <x:v>2443676</x:v>
      </x:c>
      <x:c r="CD762" s="11" t="n">
        <x:v>5559016</x:v>
      </x:c>
      <x:c r="CE762" s="11" t="n">
        <x:v>857307</x:v>
      </x:c>
      <x:c r="CF762" s="11" t="n">
        <x:v>0</x:v>
      </x:c>
      <x:c r="CG762" s="11" t="n">
        <x:v>631048</x:v>
      </x:c>
      <x:c r="CH762" s="11" t="n">
        <x:v>2656438</x:v>
      </x:c>
      <x:c r="CI762" s="11" t="n">
        <x:v>2902797</x:v>
      </x:c>
      <x:c r="CJ762" s="11" t="n">
        <x:v>2070338</x:v>
      </x:c>
      <x:c r="CK762" s="11" t="n">
        <x:v>2200375</x:v>
      </x:c>
      <x:c r="CL762" s="11" t="n">
        <x:v>981720</x:v>
      </x:c>
      <x:c r="CM762" s="11"/>
      <x:c r="CN762" s="11" t="n">
        <x:v>2848</x:v>
      </x:c>
      <x:c r="CO762" s="11" t="n">
        <x:v>0</x:v>
      </x:c>
      <x:c r="CP762" s="8"/>
      <x:c r="CQ762" s="8"/>
    </x:row>
    <x:row r="763">
      <x:c r="A763" s="8" t="str">
        <x:v>Sidney|2022</x:v>
      </x:c>
      <x:c r="B763" s="8" t="str">
        <x:v>sidney-t</x:v>
      </x:c>
      <x:c r="C763" s="8" t="str">
        <x:v>Sidney</x:v>
      </x:c>
      <x:c r="D763" s="8" t="str">
        <x:v>Sidney</x:v>
      </x:c>
      <x:c r="E763" s="8" t="str">
        <x:v>T</x:v>
      </x:c>
      <x:c r="F763" s="8" t="str">
        <x:v>CAP</x:v>
      </x:c>
      <x:c r="G763" s="9" t="n">
        <x:v>2022</x:v>
      </x:c>
      <x:c r="H763" s="10" t="n">
        <x:v>12569</x:v>
      </x:c>
      <x:c r="I763" s="8" t="str">
        <x:v>5,000 to 19,999</x:v>
      </x:c>
      <x:c r="J763" s="11" t="n">
        <x:v>25325976</x:v>
      </x:c>
      <x:c r="K763" s="11" t="n">
        <x:v>24729335</x:v>
      </x:c>
      <x:c r="L763" s="11" t="n">
        <x:v>596641</x:v>
      </x:c>
      <x:c r="M763" s="12" t="n">
        <x:v>0.023558460293889562</x:v>
      </x:c>
      <x:c r="N763" s="11" t="n">
        <x:v>15117456</x:v>
      </x:c>
      <x:c r="O763" s="11" t="n">
        <x:v>7444731</x:v>
      </x:c>
      <x:c r="P763" s="11" t="n">
        <x:v>1297892</x:v>
      </x:c>
      <x:c r="Q763" s="11" t="n">
        <x:v>1465897</x:v>
      </x:c>
      <x:c r="R763" s="11" t="n">
        <x:v>21283280</x:v>
      </x:c>
      <x:c r="S763" s="11" t="n">
        <x:v>3169432</x:v>
      </x:c>
      <x:c r="T763" s="11" t="n">
        <x:v>23750531</x:v>
      </x:c>
      <x:c r="U763" s="11" t="n">
        <x:v>19883821</x:v>
      </x:c>
      <x:c r="V763" s="11" t="n">
        <x:v>6931680</x:v>
      </x:c>
      <x:c r="W763" s="11" t="n">
        <x:v>11696181</x:v>
      </x:c>
      <x:c r="X763" s="11" t="n">
        <x:v>10407608</x:v>
      </x:c>
      <x:c r="Y763" s="11" t="n">
        <x:v>0</x:v>
      </x:c>
      <x:c r="Z763" s="11" t="n">
        <x:v>326036</x:v>
      </x:c>
      <x:c r="AA763" s="11" t="n">
        <x:v>10031969</x:v>
      </x:c>
      <x:c r="AB763" s="11" t="n">
        <x:v>276623</x:v>
      </x:c>
      <x:c r="AC763" s="11" t="n">
        <x:v>602659</x:v>
      </x:c>
      <x:c r="AD763" s="11" t="n">
        <x:v>5957272</x:v>
      </x:c>
      <x:c r="AE763" s="11" t="n">
        <x:v>5175613</x:v>
      </x:c>
      <x:c r="AF763" s="11" t="n">
        <x:v>23829089</x:v>
      </x:c>
      <x:c r="AG763" s="11" t="n">
        <x:v>158130972</x:v>
      </x:c>
      <x:c r="AH763" s="11" t="n">
        <x:v>53202841</x:v>
      </x:c>
      <x:c r="AI763" s="11" t="n">
        <x:v>104928131</x:v>
      </x:c>
      <x:c r="AJ763" s="11" t="n">
        <x:v>5185527</x:v>
      </x:c>
      <x:c r="AK763" s="11" t="n">
        <x:v>319322183</x:v>
      </x:c>
      <x:c r="AL763" s="11" t="n">
        <x:v>11833776</x:v>
      </x:c>
      <x:c r="AM763" s="12" t="n">
        <x:v>0.9629409523359046</x:v>
      </x:c>
      <x:c r="AN763" s="12" t="n">
        <x:v>0.016239169328239246</x:v>
      </x:c>
      <x:c r="AO763" s="11" t="n">
        <x:v>28623181</x:v>
      </x:c>
      <x:c r="AP763" s="11" t="n">
        <x:v>28200689</x:v>
      </x:c>
      <x:c r="AQ763" s="12" t="n">
        <x:v>0.9852395161809584</x:v>
      </x:c>
      <x:c r="AR763" s="11" t="n">
        <x:v>2014.9555254992442</x:v>
      </x:c>
      <x:c r="AS763" s="11" t="n">
        <x:v>1967.4862757578169</x:v>
      </x:c>
      <x:c r="AT763" s="11" t="n">
        <x:v>551.4901742382051</x:v>
      </x:c>
      <x:c r="AU763" s="11" t="n">
        <x:v>930.5578009388178</x:v>
      </x:c>
      <x:c r="AV763" s="11" t="n">
        <x:v>798.151722491845</x:v>
      </x:c>
      <x:c r="AW763" s="11" t="n">
        <x:v>1.194465138264924</x:v>
      </x:c>
      <x:c r="AX763" s="12" t="n">
        <x:v>0.8687891034688361</x:v>
      </x:c>
      <x:c r="AY763" s="11"/>
      <x:c r="AZ763" s="11"/>
      <x:c r="BA763" s="11"/>
      <x:c r="BB763" s="11"/>
      <x:c r="BC763" s="11"/>
      <x:c r="BD763" s="11"/>
      <x:c r="BE763" s="11"/>
      <x:c r="BF763" s="11"/>
      <x:c r="BG763" s="11"/>
      <x:c r="BH763" s="11"/>
      <x:c r="BI763" s="11"/>
      <x:c r="BJ763" s="11"/>
      <x:c r="BK763" s="12"/>
      <x:c r="BL763" s="12"/>
      <x:c r="BM763" s="12"/>
      <x:c r="BN763" s="12"/>
      <x:c r="BO763" s="12"/>
      <x:c r="BP763" s="12"/>
      <x:c r="BQ763" s="12"/>
      <x:c r="BR763" s="12"/>
      <x:c r="BS763" s="12"/>
      <x:c r="BT763" s="12"/>
      <x:c r="BU763" s="11" t="n">
        <x:v>0</x:v>
      </x:c>
      <x:c r="BV763" s="11" t="n">
        <x:v>694765</x:v>
      </x:c>
      <x:c r="BW763" s="11" t="n">
        <x:v>603127</x:v>
      </x:c>
      <x:c r="BX763" s="11" t="n">
        <x:v>810445</x:v>
      </x:c>
      <x:c r="BY763" s="11" t="n">
        <x:v>0</x:v>
      </x:c>
      <x:c r="BZ763" s="11" t="n">
        <x:v>655452</x:v>
      </x:c>
      <x:c r="CA763" s="11" t="n">
        <x:v>0</x:v>
      </x:c>
      <x:c r="CB763" s="11" t="n">
        <x:v>0</x:v>
      </x:c>
      <x:c r="CC763" s="11" t="n">
        <x:v>2705771</x:v>
      </x:c>
      <x:c r="CD763" s="11" t="n">
        <x:v>6056871</x:v>
      </x:c>
      <x:c r="CE763" s="11" t="n">
        <x:v>829317</x:v>
      </x:c>
      <x:c r="CF763" s="11" t="n">
        <x:v>180746</x:v>
      </x:c>
      <x:c r="CG763" s="11" t="n">
        <x:v>863079</x:v>
      </x:c>
      <x:c r="CH763" s="11" t="n">
        <x:v>2752213</x:v>
      </x:c>
      <x:c r="CI763" s="11" t="n">
        <x:v>3745111</x:v>
      </x:c>
      <x:c r="CJ763" s="11" t="n">
        <x:v>2022964</x:v>
      </x:c>
      <x:c r="CK763" s="11" t="n">
        <x:v>2295091</x:v>
      </x:c>
      <x:c r="CL763" s="11" t="n">
        <x:v>0</x:v>
      </x:c>
      <x:c r="CM763" s="11"/>
      <x:c r="CN763" s="11" t="n">
        <x:v>108740</x:v>
      </x:c>
      <x:c r="CO763" s="11" t="n">
        <x:v>0</x:v>
      </x:c>
      <x:c r="CP763" s="8"/>
      <x:c r="CQ763" s="8"/>
    </x:row>
    <x:row r="764">
      <x:c r="A764" s="8" t="str">
        <x:v>Sidney|2023</x:v>
      </x:c>
      <x:c r="B764" s="8" t="str">
        <x:v>sidney-t</x:v>
      </x:c>
      <x:c r="C764" s="8" t="str">
        <x:v>Sidney</x:v>
      </x:c>
      <x:c r="D764" s="8" t="str">
        <x:v>Sidney</x:v>
      </x:c>
      <x:c r="E764" s="8" t="str">
        <x:v>T</x:v>
      </x:c>
      <x:c r="F764" s="8" t="str">
        <x:v>CAP</x:v>
      </x:c>
      <x:c r="G764" s="9" t="n">
        <x:v>2023</x:v>
      </x:c>
      <x:c r="H764" s="10" t="n">
        <x:v>12951</x:v>
      </x:c>
      <x:c r="I764" s="8" t="str">
        <x:v>5,000 to 19,999</x:v>
      </x:c>
      <x:c r="J764" s="11" t="n">
        <x:v>35163882</x:v>
      </x:c>
      <x:c r="K764" s="11" t="n">
        <x:v>25956745</x:v>
      </x:c>
      <x:c r="L764" s="11" t="n">
        <x:v>9207137</x:v>
      </x:c>
      <x:c r="M764" s="12" t="n">
        <x:v>0.26183505564033005</x:v>
      </x:c>
      <x:c r="N764" s="11" t="n">
        <x:v>16226532</x:v>
      </x:c>
      <x:c r="O764" s="11" t="n">
        <x:v>6745709</x:v>
      </x:c>
      <x:c r="P764" s="11" t="n">
        <x:v>9685068</x:v>
      </x:c>
      <x:c r="Q764" s="11" t="n">
        <x:v>2506573</x:v>
      </x:c>
      <x:c r="R764" s="11" t="n">
        <x:v>22327174</x:v>
      </x:c>
      <x:c r="S764" s="11" t="n">
        <x:v>3348334</x:v>
      </x:c>
      <x:c r="T764" s="11" t="n">
        <x:v>24261771</x:v>
      </x:c>
      <x:c r="U764" s="11" t="n">
        <x:v>21708185</x:v>
      </x:c>
      <x:c r="V764" s="11" t="n">
        <x:v>9566512</x:v>
      </x:c>
      <x:c r="W764" s="11" t="n">
        <x:v>15429579</x:v>
      </x:c>
      <x:c r="X764" s="11" t="n">
        <x:v>10031969</x:v>
      </x:c>
      <x:c r="Y764" s="11" t="n">
        <x:v>0</x:v>
      </x:c>
      <x:c r="Z764" s="11" t="n">
        <x:v>324651</x:v>
      </x:c>
      <x:c r="AA764" s="11" t="n">
        <x:v>9649651</x:v>
      </x:c>
      <x:c r="AB764" s="11" t="n">
        <x:v>281237</x:v>
      </x:c>
      <x:c r="AC764" s="11" t="n">
        <x:v>605888</x:v>
      </x:c>
      <x:c r="AD764" s="11" t="n">
        <x:v>6190463</x:v>
      </x:c>
      <x:c r="AE764" s="11" t="n">
        <x:v>5584575</x:v>
      </x:c>
      <x:c r="AF764" s="11" t="n">
        <x:v>24761851</x:v>
      </x:c>
      <x:c r="AG764" s="11" t="n">
        <x:v>167369232</x:v>
      </x:c>
      <x:c r="AH764" s="11" t="n">
        <x:v>56164427</x:v>
      </x:c>
      <x:c r="AI764" s="11" t="n">
        <x:v>111204805</x:v>
      </x:c>
      <x:c r="AJ764" s="11" t="n">
        <x:v>8968248</x:v>
      </x:c>
      <x:c r="AK764" s="11" t="n">
        <x:v>394422954</x:v>
      </x:c>
      <x:c r="AL764" s="11" t="n">
        <x:v>11686559</x:v>
      </x:c>
      <x:c r="AM764" s="12" t="n">
        <x:v>0.9703704896444744</x:v>
      </x:c>
      <x:c r="AN764" s="12" t="n">
        <x:v>0.022737642191077958</x:v>
      </x:c>
      <x:c r="AO764" s="11" t="n">
        <x:v>31330981</x:v>
      </x:c>
      <x:c r="AP764" s="11" t="n">
        <x:v>30925254</x:v>
      </x:c>
      <x:c r="AQ764" s="12" t="n">
        <x:v>0.9870502937651394</x:v>
      </x:c>
      <x:c r="AR764" s="11" t="n">
        <x:v>2715.1480194579567</x:v>
      </x:c>
      <x:c r="AS764" s="11" t="n">
        <x:v>2004.227086711451</x:v>
      </x:c>
      <x:c r="AT764" s="11" t="n">
        <x:v>738.6697552312563</x:v>
      </x:c>
      <x:c r="AU764" s="11" t="n">
        <x:v>1191.381283298587</x:v>
      </x:c>
      <x:c r="AV764" s="11" t="n">
        <x:v>745.0892595166397</x:v>
      </x:c>
      <x:c r="AW764" s="11" t="n">
        <x:v>1.117632404551555</x:v>
      </x:c>
      <x:c r="AX764" s="12" t="n">
        <x:v>0.9021255760675736</x:v>
      </x:c>
      <x:c r="AY764" s="11"/>
      <x:c r="AZ764" s="11"/>
      <x:c r="BA764" s="11"/>
      <x:c r="BB764" s="11"/>
      <x:c r="BC764" s="11"/>
      <x:c r="BD764" s="11"/>
      <x:c r="BE764" s="11"/>
      <x:c r="BF764" s="11"/>
      <x:c r="BG764" s="11"/>
      <x:c r="BH764" s="11"/>
      <x:c r="BI764" s="11"/>
      <x:c r="BJ764" s="11"/>
      <x:c r="BK764" s="12"/>
      <x:c r="BL764" s="12"/>
      <x:c r="BM764" s="12"/>
      <x:c r="BN764" s="12"/>
      <x:c r="BO764" s="12"/>
      <x:c r="BP764" s="12"/>
      <x:c r="BQ764" s="12"/>
      <x:c r="BR764" s="12"/>
      <x:c r="BS764" s="12"/>
      <x:c r="BT764" s="12"/>
      <x:c r="BU764" s="11" t="n">
        <x:v>596599</x:v>
      </x:c>
      <x:c r="BV764" s="11" t="n">
        <x:v>8570944</x:v>
      </x:c>
      <x:c r="BW764" s="11" t="n">
        <x:v>517525</x:v>
      </x:c>
      <x:c r="BX764" s="11" t="n">
        <x:v>1428722</x:v>
      </x:c>
      <x:c r="BY764" s="11" t="n">
        <x:v>0</x:v>
      </x:c>
      <x:c r="BZ764" s="11" t="n">
        <x:v>1045045</x:v>
      </x:c>
      <x:c r="CA764" s="11" t="n">
        <x:v>15251</x:v>
      </x:c>
      <x:c r="CB764" s="11" t="n">
        <x:v>17555</x:v>
      </x:c>
      <x:c r="CC764" s="11" t="n">
        <x:v>2921023</x:v>
      </x:c>
      <x:c r="CD764" s="11" t="n">
        <x:v>5944388</x:v>
      </x:c>
      <x:c r="CE764" s="11" t="n">
        <x:v>819591</x:v>
      </x:c>
      <x:c r="CF764" s="11" t="n">
        <x:v>218565</x:v>
      </x:c>
      <x:c r="CG764" s="11" t="n">
        <x:v>544876</x:v>
      </x:c>
      <x:c r="CH764" s="11" t="n">
        <x:v>3154296</x:v>
      </x:c>
      <x:c r="CI764" s="11" t="n">
        <x:v>3417661</x:v>
      </x:c>
      <x:c r="CJ764" s="11" t="n">
        <x:v>2069769</x:v>
      </x:c>
      <x:c r="CK764" s="11" t="n">
        <x:v>2315452</x:v>
      </x:c>
      <x:c r="CL764" s="11" t="n">
        <x:v>1190190</x:v>
      </x:c>
      <x:c r="CM764" s="11" t="n">
        <x:v>12600</x:v>
      </x:c>
      <x:c r="CN764" s="11" t="n">
        <x:v>0</x:v>
      </x:c>
      <x:c r="CO764" s="11" t="n">
        <x:v>0</x:v>
      </x:c>
      <x:c r="CP764" s="8"/>
      <x:c r="CQ764" s="8"/>
    </x:row>
    <x:row r="765">
      <x:c r="A765" s="8" t="str">
        <x:v>Sidney|2024</x:v>
      </x:c>
      <x:c r="B765" s="8" t="str">
        <x:v>sidney-t</x:v>
      </x:c>
      <x:c r="C765" s="8" t="str">
        <x:v>Sidney</x:v>
      </x:c>
      <x:c r="D765" s="8" t="str">
        <x:v>Sidney</x:v>
      </x:c>
      <x:c r="E765" s="8" t="str">
        <x:v>T</x:v>
      </x:c>
      <x:c r="F765" s="8" t="str">
        <x:v>CAP</x:v>
      </x:c>
      <x:c r="G765" s="9" t="n">
        <x:v>2024</x:v>
      </x:c>
      <x:c r="H765" s="10" t="n">
        <x:v>12951</x:v>
      </x:c>
      <x:c r="I765" s="8" t="str">
        <x:v>5,000 to 19,999</x:v>
      </x:c>
      <x:c r="J765" s="11" t="n">
        <x:v>31757022</x:v>
      </x:c>
      <x:c r="K765" s="11" t="n">
        <x:v>28090391</x:v>
      </x:c>
      <x:c r="L765" s="11" t="n">
        <x:v>3666631</x:v>
      </x:c>
      <x:c r="M765" s="12" t="n">
        <x:v>0.1154589054351507</x:v>
      </x:c>
      <x:c r="N765" s="11" t="n">
        <x:v>17321405</x:v>
      </x:c>
      <x:c r="O765" s="11" t="n">
        <x:v>8237863</x:v>
      </x:c>
      <x:c r="P765" s="11" t="n">
        <x:v>3292200</x:v>
      </x:c>
      <x:c r="Q765" s="11" t="n">
        <x:v>2905554</x:v>
      </x:c>
      <x:c r="R765" s="11" t="n">
        <x:v>24331298</x:v>
      </x:c>
      <x:c r="S765" s="11" t="n">
        <x:v>3467217</x:v>
      </x:c>
      <x:c r="T765" s="11" t="n">
        <x:v>23071752</x:v>
      </x:c>
      <x:c r="U765" s="11" t="n">
        <x:v>21202528</x:v>
      </x:c>
      <x:c r="V765" s="11" t="n">
        <x:v>5198871</x:v>
      </x:c>
      <x:c r="W765" s="11" t="n">
        <x:v>12995153</x:v>
      </x:c>
      <x:c r="X765" s="11" t="n">
        <x:v>9649651</x:v>
      </x:c>
      <x:c r="Y765" s="11" t="n">
        <x:v>1300000</x:v>
      </x:c>
      <x:c r="Z765" s="11" t="n">
        <x:v>327078</x:v>
      </x:c>
      <x:c r="AA765" s="11" t="n">
        <x:v>10555138</x:v>
      </x:c>
      <x:c r="AB765" s="11" t="n">
        <x:v>291876</x:v>
      </x:c>
      <x:c r="AC765" s="11" t="n">
        <x:v>618954</x:v>
      </x:c>
      <x:c r="AD765" s="11" t="n">
        <x:v>6811633</x:v>
      </x:c>
      <x:c r="AE765" s="11" t="n">
        <x:v>6192679</x:v>
      </x:c>
      <x:c r="AF765" s="11" t="n">
        <x:v>27246531</x:v>
      </x:c>
      <x:c r="AG765" s="11" t="n">
        <x:v>178517466</x:v>
      </x:c>
      <x:c r="AH765" s="11" t="n">
        <x:v>59330625</x:v>
      </x:c>
      <x:c r="AI765" s="11" t="n">
        <x:v>119186841</x:v>
      </x:c>
      <x:c r="AJ765" s="11" t="n">
        <x:v>11466772</x:v>
      </x:c>
      <x:c r="AK765" s="11" t="n">
        <x:v>439974338</x:v>
      </x:c>
      <x:c r="AL765" s="11" t="n">
        <x:v>21211928</x:v>
      </x:c>
      <x:c r="AM765" s="12" t="n">
        <x:v>0.9517882608871611</x:v>
      </x:c>
      <x:c r="AN765" s="12" t="n">
        <x:v>0.026062365482779588</x:v>
      </x:c>
      <x:c r="AO765" s="11" t="n">
        <x:v>33850749</x:v>
      </x:c>
      <x:c r="AP765" s="11" t="n">
        <x:v>33437812</x:v>
      </x:c>
      <x:c r="AQ765" s="12" t="n">
        <x:v>0.9878012448114516</x:v>
      </x:c>
      <x:c r="AR765" s="11" t="n">
        <x:v>2452.090340514246</x:v>
      </x:c>
      <x:c r="AS765" s="11" t="n">
        <x:v>2168.9746737703654</x:v>
      </x:c>
      <x:c r="AT765" s="11" t="n">
        <x:v>401.42622191336574</x:v>
      </x:c>
      <x:c r="AU765" s="11" t="n">
        <x:v>1003.409234808123</x:v>
      </x:c>
      <x:c r="AV765" s="11" t="n">
        <x:v>815.005636630376</x:v>
      </x:c>
      <x:c r="AW765" s="11" t="n">
        <x:v>1.0881604306807189</x:v>
      </x:c>
      <x:c r="AX765" s="12" t="n">
        <x:v>0.9091328026627389</x:v>
      </x:c>
      <x:c r="AY765" s="11" t="n">
        <x:v>2866.2208483821423</x:v>
      </x:c>
      <x:c r="AZ765" s="11" t="n">
        <x:v>3546.5079302077975</x:v>
      </x:c>
      <x:c r="BA765" s="11" t="n">
        <x:v>2297.657175284081</x:v>
      </x:c>
      <x:c r="BB765" s="11" t="n">
        <x:v>2783.665107049771</x:v>
      </x:c>
      <x:c r="BC765" s="11" t="n">
        <x:v>1859.732534766857</x:v>
      </x:c>
      <x:c r="BD765" s="11" t="n">
        <x:v>2437.8724475115623</x:v>
      </x:c>
      <x:c r="BE765" s="11" t="n">
        <x:v>918.4907099893891</x:v>
      </x:c>
      <x:c r="BF765" s="11" t="n">
        <x:v>1604.3462673977224</x:v>
      </x:c>
      <x:c r="BG765" s="11" t="n">
        <x:v>814.8464198087386</x:v>
      </x:c>
      <x:c r="BH765" s="11" t="n">
        <x:v>518.5374381567245</x:v>
      </x:c>
      <x:c r="BI765" s="11" t="n">
        <x:v>1.5120151567026447</x:v>
      </x:c>
      <x:c r="BJ765" s="11" t="n">
        <x:v>1.7099330852451193</x:v>
      </x:c>
      <x:c r="BK765" s="12" t="n">
        <x:v>0.024769834473671436</x:v>
      </x:c>
      <x:c r="BL765" s="12" t="n">
        <x:v>0.02529861000232605</x:v>
      </x:c>
      <x:c r="BM765" s="12" t="n">
        <x:v>0.9804574834797263</x:v>
      </x:c>
      <x:c r="BN765" s="12" t="n">
        <x:v>0.9815511712696461</x:v>
      </x:c>
      <x:c r="BO765" s="12" t="n">
        <x:v>0.8566659461626738</x:v>
      </x:c>
      <x:c r="BP765" s="12" t="n">
        <x:v>0.8619101997275483</x:v>
      </x:c>
      <x:c r="BQ765" s="12" t="n">
        <x:v>0.9770312225566793</x:v>
      </x:c>
      <x:c r="BR765" s="12" t="n">
        <x:v>0.9623635142836453</x:v>
      </x:c>
      <x:c r="BS765" s="12" t="n">
        <x:v>0.17479552285244132</x:v>
      </x:c>
      <x:c r="BT765" s="12" t="n">
        <x:v>0.19976549769108282</x:v>
      </x:c>
      <x:c r="BU765" s="11" t="n">
        <x:v>624298</x:v>
      </x:c>
      <x:c r="BV765" s="11" t="n">
        <x:v>2157731</x:v>
      </x:c>
      <x:c r="BW765" s="11" t="n">
        <x:v>510171</x:v>
      </x:c>
      <x:c r="BX765" s="11" t="n">
        <x:v>1316098</x:v>
      </x:c>
      <x:c r="BY765" s="11" t="n">
        <x:v>0</x:v>
      </x:c>
      <x:c r="BZ765" s="11" t="n">
        <x:v>1588570</x:v>
      </x:c>
      <x:c r="CA765" s="11" t="n">
        <x:v>886</x:v>
      </x:c>
      <x:c r="CB765" s="11" t="n">
        <x:v>0</x:v>
      </x:c>
      <x:c r="CC765" s="11" t="n">
        <x:v>3472038</x:v>
      </x:c>
      <x:c r="CD765" s="11" t="n">
        <x:v>6682882</x:v>
      </x:c>
      <x:c r="CE765" s="11" t="n">
        <x:v>1086422</x:v>
      </x:c>
      <x:c r="CF765" s="11" t="n">
        <x:v>192476</x:v>
      </x:c>
      <x:c r="CG765" s="11" t="n">
        <x:v>785921</x:v>
      </x:c>
      <x:c r="CH765" s="11" t="n">
        <x:v>3498215</x:v>
      </x:c>
      <x:c r="CI765" s="11" t="n">
        <x:v>4189524</x:v>
      </x:c>
      <x:c r="CJ765" s="11" t="n">
        <x:v>2224265</x:v>
      </x:c>
      <x:c r="CK765" s="11" t="n">
        <x:v>2491431</x:v>
      </x:c>
      <x:c r="CL765" s="11" t="n">
        <x:v>0</x:v>
      </x:c>
      <x:c r="CM765" s="11" t="n">
        <x:v>0</x:v>
      </x:c>
      <x:c r="CN765" s="11" t="n">
        <x:v>0</x:v>
      </x:c>
      <x:c r="CO765" s="11" t="n">
        <x:v>0</x:v>
      </x:c>
      <x:c r="CP765" s="8"/>
      <x:c r="CQ765" s="8"/>
    </x:row>
    <x:row r="766">
      <x:c r="A766" s="8" t="str">
        <x:v>Silverton|2019</x:v>
      </x:c>
      <x:c r="B766" s="8" t="str">
        <x:v>silverton-v</x:v>
      </x:c>
      <x:c r="C766" s="8" t="str">
        <x:v>Silverton</x:v>
      </x:c>
      <x:c r="D766" s="8" t="str">
        <x:v>Silverton</x:v>
      </x:c>
      <x:c r="E766" s="8" t="str">
        <x:v>V</x:v>
      </x:c>
      <x:c r="F766" s="8" t="str">
        <x:v>CKO</x:v>
      </x:c>
      <x:c r="G766" s="9" t="n">
        <x:v>2019</x:v>
      </x:c>
      <x:c r="H766" s="10" t="n">
        <x:v>204</x:v>
      </x:c>
      <x:c r="I766" s="8" t="str">
        <x:v>Under 5,000</x:v>
      </x:c>
      <x:c r="J766" s="11" t="n">
        <x:v>956272</x:v>
      </x:c>
      <x:c r="K766" s="11" t="n">
        <x:v>831736</x:v>
      </x:c>
      <x:c r="L766" s="11" t="n">
        <x:v>124536</x:v>
      </x:c>
      <x:c r="M766" s="12" t="n">
        <x:v>0.1302307293322402</x:v>
      </x:c>
      <x:c r="N766" s="11" t="n">
        <x:v>163722</x:v>
      </x:c>
      <x:c r="O766" s="11" t="n">
        <x:v>172358</x:v>
      </x:c>
      <x:c r="P766" s="11" t="n">
        <x:v>615180</x:v>
      </x:c>
      <x:c r="Q766" s="11" t="n">
        <x:v>5012</x:v>
      </x:c>
      <x:c r="R766" s="11" t="n">
        <x:v>711900</x:v>
      </x:c>
      <x:c r="S766" s="11" t="n">
        <x:v>119836</x:v>
      </x:c>
      <x:c r="T766" s="11" t="n">
        <x:v>809669</x:v>
      </x:c>
      <x:c r="U766" s="11" t="n">
        <x:v>70555</x:v>
      </x:c>
      <x:c r="V766" s="11" t="n">
        <x:v>827117</x:v>
      </x:c>
      <x:c r="W766" s="11" t="n">
        <x:v>450058</x:v>
      </x:c>
      <x:c r="X766" s="11" t="n">
        <x:v>0</x:v>
      </x:c>
      <x:c r="Y766" s="11" t="n">
        <x:v>0</x:v>
      </x:c>
      <x:c r="Z766" s="11" t="n">
        <x:v>0</x:v>
      </x:c>
      <x:c r="AA766" s="11" t="n">
        <x:v>0</x:v>
      </x:c>
      <x:c r="AB766" s="11" t="n">
        <x:v>0</x:v>
      </x:c>
      <x:c r="AC766" s="11" t="n">
        <x:v>0</x:v>
      </x:c>
      <x:c r="AD766" s="11" t="n">
        <x:v>158226</x:v>
      </x:c>
      <x:c r="AE766" s="11" t="n">
        <x:v>158226</x:v>
      </x:c>
      <x:c r="AF766" s="11" t="n">
        <x:v>632903</x:v>
      </x:c>
      <x:c r="AG766" s="11" t="n">
        <x:v>4670940</x:v>
      </x:c>
      <x:c r="AH766" s="11" t="n">
        <x:v>1948932</x:v>
      </x:c>
      <x:c r="AI766" s="11" t="n">
        <x:v>2722008</x:v>
      </x:c>
      <x:c r="AJ766" s="11" t="n">
        <x:v>54624</x:v>
      </x:c>
      <x:c r="AK766" s="11" t="n">
        <x:v>93917</x:v>
      </x:c>
      <x:c r="AL766" s="11" t="n">
        <x:v>0</x:v>
      </x:c>
      <x:c r="AM766" s="12" t="n">
        <x:v>1</x:v>
      </x:c>
      <x:c r="AN766" s="12" t="n">
        <x:v>0.5816199410117444</x:v>
      </x:c>
      <x:c r="AO766" s="11" t="n">
        <x:v>395401</x:v>
      </x:c>
      <x:c r="AP766" s="11" t="n">
        <x:v>363293</x:v>
      </x:c>
      <x:c r="AQ766" s="12" t="n">
        <x:v>0.9187963611624654</x:v>
      </x:c>
      <x:c r="AR766" s="11" t="n">
        <x:v>4687.607843137255</x:v>
      </x:c>
      <x:c r="AS766" s="11" t="n">
        <x:v>4077.1372549019607</x:v>
      </x:c>
      <x:c r="AT766" s="11" t="n">
        <x:v>4054.4950980392155</x:v>
      </x:c>
      <x:c r="AU766" s="11" t="n">
        <x:v>2206.1666666666665</x:v>
      </x:c>
      <x:c r="AV766" s="11" t="n">
        <x:v>0</x:v>
      </x:c>
      <x:c r="AW766" s="11" t="n">
        <x:v>11.475713981999858</x:v>
      </x:c>
      <x:c r="AX766" s="12" t="n">
        <x:v>1</x:v>
      </x:c>
      <x:c r="AY766" s="11"/>
      <x:c r="AZ766" s="11"/>
      <x:c r="BA766" s="11"/>
      <x:c r="BB766" s="11"/>
      <x:c r="BC766" s="11"/>
      <x:c r="BD766" s="11"/>
      <x:c r="BE766" s="11"/>
      <x:c r="BF766" s="11"/>
      <x:c r="BG766" s="11"/>
      <x:c r="BH766" s="11"/>
      <x:c r="BI766" s="11"/>
      <x:c r="BJ766" s="11"/>
      <x:c r="BK766" s="12"/>
      <x:c r="BL766" s="12"/>
      <x:c r="BM766" s="12"/>
      <x:c r="BN766" s="12"/>
      <x:c r="BO766" s="12"/>
      <x:c r="BP766" s="12"/>
      <x:c r="BQ766" s="12"/>
      <x:c r="BR766" s="12"/>
      <x:c r="BS766" s="12"/>
      <x:c r="BT766" s="12"/>
      <x:c r="BU766" s="11" t="n">
        <x:v>127074</x:v>
      </x:c>
      <x:c r="BV766" s="11" t="n">
        <x:v>291811</x:v>
      </x:c>
      <x:c r="BW766" s="11" t="n">
        <x:v>196295</x:v>
      </x:c>
      <x:c r="BX766" s="11" t="n">
        <x:v>5012</x:v>
      </x:c>
      <x:c r="BY766" s="11" t="n">
        <x:v>0</x:v>
      </x:c>
      <x:c r="BZ766" s="11" t="n">
        <x:v>0</x:v>
      </x:c>
      <x:c r="CA766" s="11" t="n">
        <x:v>0</x:v>
      </x:c>
      <x:c r="CB766" s="11" t="n">
        <x:v>0</x:v>
      </x:c>
      <x:c r="CC766" s="11" t="n">
        <x:v>255123</x:v>
      </x:c>
      <x:c r="CD766" s="11" t="n">
        <x:v>210297</x:v>
      </x:c>
      <x:c r="CE766" s="11" t="n">
        <x:v>22880</x:v>
      </x:c>
      <x:c r="CF766" s="11" t="n">
        <x:v>0</x:v>
      </x:c>
      <x:c r="CG766" s="11" t="n">
        <x:v>0</x:v>
      </x:c>
      <x:c r="CH766" s="11" t="n">
        <x:v>133336</x:v>
      </x:c>
      <x:c r="CI766" s="11" t="n">
        <x:v>41369</x:v>
      </x:c>
      <x:c r="CJ766" s="11" t="n">
        <x:v>48895</x:v>
      </x:c>
      <x:c r="CK766" s="11" t="n">
        <x:v>0</x:v>
      </x:c>
      <x:c r="CL766" s="11" t="n">
        <x:v>0</x:v>
      </x:c>
      <x:c r="CM766" s="11"/>
      <x:c r="CN766" s="11" t="n">
        <x:v>0</x:v>
      </x:c>
      <x:c r="CO766" s="11" t="n">
        <x:v>0</x:v>
      </x:c>
      <x:c r="CP766" s="8"/>
      <x:c r="CQ766" s="8"/>
    </x:row>
    <x:row r="767">
      <x:c r="A767" s="8" t="str">
        <x:v>Silverton|2020</x:v>
      </x:c>
      <x:c r="B767" s="8" t="str">
        <x:v>silverton-v</x:v>
      </x:c>
      <x:c r="C767" s="8" t="str">
        <x:v>Silverton</x:v>
      </x:c>
      <x:c r="D767" s="8" t="str">
        <x:v>Silverton</x:v>
      </x:c>
      <x:c r="E767" s="8" t="str">
        <x:v>V</x:v>
      </x:c>
      <x:c r="F767" s="8" t="str">
        <x:v>CKO</x:v>
      </x:c>
      <x:c r="G767" s="9" t="n">
        <x:v>2020</x:v>
      </x:c>
      <x:c r="H767" s="10" t="n">
        <x:v>205</x:v>
      </x:c>
      <x:c r="I767" s="8" t="str">
        <x:v>Under 5,000</x:v>
      </x:c>
      <x:c r="J767" s="11" t="n">
        <x:v>989027</x:v>
      </x:c>
      <x:c r="K767" s="11" t="n">
        <x:v>747748</x:v>
      </x:c>
      <x:c r="L767" s="11" t="n">
        <x:v>241279</x:v>
      </x:c>
      <x:c r="M767" s="12" t="n">
        <x:v>0.24395592840235908</x:v>
      </x:c>
      <x:c r="N767" s="11" t="n">
        <x:v>164452</x:v>
      </x:c>
      <x:c r="O767" s="11" t="n">
        <x:v>162132</x:v>
      </x:c>
      <x:c r="P767" s="11" t="n">
        <x:v>659032</x:v>
      </x:c>
      <x:c r="Q767" s="11" t="n">
        <x:v>3411</x:v>
      </x:c>
      <x:c r="R767" s="11" t="n">
        <x:v>627675</x:v>
      </x:c>
      <x:c r="S767" s="11" t="n">
        <x:v>120073</x:v>
      </x:c>
      <x:c r="T767" s="11" t="n">
        <x:v>1224214</x:v>
      </x:c>
      <x:c r="U767" s="11" t="n">
        <x:v>192368</x:v>
      </x:c>
      <x:c r="V767" s="11" t="n">
        <x:v>1092317</x:v>
      </x:c>
      <x:c r="W767" s="11" t="n">
        <x:v>435278</x:v>
      </x:c>
      <x:c r="X767" s="11" t="n">
        <x:v>0</x:v>
      </x:c>
      <x:c r="Y767" s="11" t="n">
        <x:v>0</x:v>
      </x:c>
      <x:c r="Z767" s="11" t="n">
        <x:v>0</x:v>
      </x:c>
      <x:c r="AA767" s="11" t="n">
        <x:v>0</x:v>
      </x:c>
      <x:c r="AB767" s="11" t="n">
        <x:v>0</x:v>
      </x:c>
      <x:c r="AC767" s="11" t="n">
        <x:v>0</x:v>
      </x:c>
      <x:c r="AD767" s="11" t="n">
        <x:v>157151</x:v>
      </x:c>
      <x:c r="AE767" s="11" t="n">
        <x:v>157151</x:v>
      </x:c>
      <x:c r="AF767" s="11" t="n">
        <x:v>628605</x:v>
      </x:c>
      <x:c r="AG767" s="11" t="n">
        <x:v>4765234</x:v>
      </x:c>
      <x:c r="AH767" s="11" t="n">
        <x:v>2069005</x:v>
      </x:c>
      <x:c r="AI767" s="11" t="n">
        <x:v>2696229</x:v>
      </x:c>
      <x:c r="AJ767" s="11" t="n">
        <x:v>94294</x:v>
      </x:c>
      <x:c r="AK767" s="11" t="n">
        <x:v>93917</x:v>
      </x:c>
      <x:c r="AL767" s="11" t="n">
        <x:v>0</x:v>
      </x:c>
      <x:c r="AM767" s="12" t="n">
        <x:v>1</x:v>
      </x:c>
      <x:c r="AN767" s="12" t="n">
        <x:v>1.00401418273582</x:v>
      </x:c>
      <x:c r="AO767" s="11" t="n">
        <x:v>401963</x:v>
      </x:c>
      <x:c r="AP767" s="11" t="n">
        <x:v>375175</x:v>
      </x:c>
      <x:c r="AQ767" s="12" t="n">
        <x:v>0.9333570502757716</x:v>
      </x:c>
      <x:c r="AR767" s="11" t="n">
        <x:v>4824.521951219513</x:v>
      </x:c>
      <x:c r="AS767" s="11" t="n">
        <x:v>3647.551219512195</x:v>
      </x:c>
      <x:c r="AT767" s="11" t="n">
        <x:v>5328.375609756097</x:v>
      </x:c>
      <x:c r="AU767" s="11" t="n">
        <x:v>2123.307317073171</x:v>
      </x:c>
      <x:c r="AV767" s="11" t="n">
        <x:v>0</x:v>
      </x:c>
      <x:c r="AW767" s="11" t="n">
        <x:v>6.36391707560509</x:v>
      </x:c>
      <x:c r="AX767" s="12" t="n">
        <x:v>1</x:v>
      </x:c>
      <x:c r="AY767" s="11"/>
      <x:c r="AZ767" s="11"/>
      <x:c r="BA767" s="11"/>
      <x:c r="BB767" s="11"/>
      <x:c r="BC767" s="11"/>
      <x:c r="BD767" s="11"/>
      <x:c r="BE767" s="11"/>
      <x:c r="BF767" s="11"/>
      <x:c r="BG767" s="11"/>
      <x:c r="BH767" s="11"/>
      <x:c r="BI767" s="11"/>
      <x:c r="BJ767" s="11"/>
      <x:c r="BK767" s="12"/>
      <x:c r="BL767" s="12"/>
      <x:c r="BM767" s="12"/>
      <x:c r="BN767" s="12"/>
      <x:c r="BO767" s="12"/>
      <x:c r="BP767" s="12"/>
      <x:c r="BQ767" s="12"/>
      <x:c r="BR767" s="12"/>
      <x:c r="BS767" s="12"/>
      <x:c r="BT767" s="12"/>
      <x:c r="BU767" s="11" t="n">
        <x:v>63337</x:v>
      </x:c>
      <x:c r="BV767" s="11" t="n">
        <x:v>529610</x:v>
      </x:c>
      <x:c r="BW767" s="11" t="n">
        <x:v>66085</x:v>
      </x:c>
      <x:c r="BX767" s="11" t="n">
        <x:v>3411</x:v>
      </x:c>
      <x:c r="BY767" s="11" t="n">
        <x:v>0</x:v>
      </x:c>
      <x:c r="BZ767" s="11" t="n">
        <x:v>0</x:v>
      </x:c>
      <x:c r="CA767" s="11" t="n">
        <x:v>0</x:v>
      </x:c>
      <x:c r="CB767" s="11" t="n">
        <x:v>0</x:v>
      </x:c>
      <x:c r="CC767" s="11" t="n">
        <x:v>251292</x:v>
      </x:c>
      <x:c r="CD767" s="11" t="n">
        <x:v>112747</x:v>
      </x:c>
      <x:c r="CE767" s="11" t="n">
        <x:v>22909</x:v>
      </x:c>
      <x:c r="CF767" s="11" t="n">
        <x:v>0</x:v>
      </x:c>
      <x:c r="CG767" s="11" t="n">
        <x:v>0</x:v>
      </x:c>
      <x:c r="CH767" s="11" t="n">
        <x:v>131512</x:v>
      </x:c>
      <x:c r="CI767" s="11" t="n">
        <x:v>64029</x:v>
      </x:c>
      <x:c r="CJ767" s="11" t="n">
        <x:v>45186</x:v>
      </x:c>
      <x:c r="CK767" s="11" t="n">
        <x:v>0</x:v>
      </x:c>
      <x:c r="CL767" s="11" t="n">
        <x:v>0</x:v>
      </x:c>
      <x:c r="CM767" s="11"/>
      <x:c r="CN767" s="11" t="n">
        <x:v>0</x:v>
      </x:c>
      <x:c r="CO767" s="11" t="n">
        <x:v>0</x:v>
      </x:c>
      <x:c r="CP767" s="8"/>
      <x:c r="CQ767" s="8"/>
    </x:row>
    <x:row r="768">
      <x:c r="A768" s="8" t="str">
        <x:v>Silverton|2021</x:v>
      </x:c>
      <x:c r="B768" s="8" t="str">
        <x:v>silverton-v</x:v>
      </x:c>
      <x:c r="C768" s="8" t="str">
        <x:v>Silverton</x:v>
      </x:c>
      <x:c r="D768" s="8" t="str">
        <x:v>Silverton</x:v>
      </x:c>
      <x:c r="E768" s="8" t="str">
        <x:v>V</x:v>
      </x:c>
      <x:c r="F768" s="8" t="str">
        <x:v>CKO</x:v>
      </x:c>
      <x:c r="G768" s="9" t="n">
        <x:v>2021</x:v>
      </x:c>
      <x:c r="H768" s="10" t="n">
        <x:v>208</x:v>
      </x:c>
      <x:c r="I768" s="8" t="str">
        <x:v>Under 5,000</x:v>
      </x:c>
      <x:c r="J768" s="11" t="n">
        <x:v>921561</x:v>
      </x:c>
      <x:c r="K768" s="11" t="n">
        <x:v>807711</x:v>
      </x:c>
      <x:c r="L768" s="11" t="n">
        <x:v>113850</x:v>
      </x:c>
      <x:c r="M768" s="12" t="n">
        <x:v>0.12354038419594579</x:v>
      </x:c>
      <x:c r="N768" s="11" t="n">
        <x:v>170003</x:v>
      </x:c>
      <x:c r="O768" s="11" t="n">
        <x:v>193751</x:v>
      </x:c>
      <x:c r="P768" s="11" t="n">
        <x:v>555714</x:v>
      </x:c>
      <x:c r="Q768" s="11" t="n">
        <x:v>2093</x:v>
      </x:c>
      <x:c r="R768" s="11" t="n">
        <x:v>682493</x:v>
      </x:c>
      <x:c r="S768" s="11" t="n">
        <x:v>125218</x:v>
      </x:c>
      <x:c r="T768" s="11" t="n">
        <x:v>1202850</x:v>
      </x:c>
      <x:c r="U768" s="11" t="n">
        <x:v>123128</x:v>
      </x:c>
      <x:c r="V768" s="11" t="n">
        <x:v>1159964</x:v>
      </x:c>
      <x:c r="W768" s="11" t="n">
        <x:v>510322</x:v>
      </x:c>
      <x:c r="X768" s="11" t="n">
        <x:v>0</x:v>
      </x:c>
      <x:c r="Y768" s="11" t="n">
        <x:v>0</x:v>
      </x:c>
      <x:c r="Z768" s="11" t="n">
        <x:v>0</x:v>
      </x:c>
      <x:c r="AA768" s="11" t="n">
        <x:v>0</x:v>
      </x:c>
      <x:c r="AB768" s="11" t="n">
        <x:v>0</x:v>
      </x:c>
      <x:c r="AC768" s="11" t="n">
        <x:v>0</x:v>
      </x:c>
      <x:c r="AD768" s="11" t="n">
        <x:v>165712</x:v>
      </x:c>
      <x:c r="AE768" s="11" t="n">
        <x:v>165712</x:v>
      </x:c>
      <x:c r="AF768" s="11" t="n">
        <x:v>662847</x:v>
      </x:c>
      <x:c r="AG768" s="11" t="n">
        <x:v>4930770</x:v>
      </x:c>
      <x:c r="AH768" s="11" t="n">
        <x:v>2194223</x:v>
      </x:c>
      <x:c r="AI768" s="11" t="n">
        <x:v>2736547</x:v>
      </x:c>
      <x:c r="AJ768" s="11" t="n">
        <x:v>165536</x:v>
      </x:c>
      <x:c r="AK768" s="11" t="n">
        <x:v>93917</x:v>
      </x:c>
      <x:c r="AL768" s="11" t="n">
        <x:v>0</x:v>
      </x:c>
      <x:c r="AM768" s="12" t="n">
        <x:v>1</x:v>
      </x:c>
      <x:c r="AN768" s="12" t="n">
        <x:v>1.7625775951105764</x:v>
      </x:c>
      <x:c r="AO768" s="11" t="n">
        <x:v>414099</x:v>
      </x:c>
      <x:c r="AP768" s="11" t="n">
        <x:v>394696</x:v>
      </x:c>
      <x:c r="AQ768" s="12" t="n">
        <x:v>0.9531440549240641</x:v>
      </x:c>
      <x:c r="AR768" s="11" t="n">
        <x:v>4430.5817307692305</x:v>
      </x:c>
      <x:c r="AS768" s="11" t="n">
        <x:v>3883.2259615384614</x:v>
      </x:c>
      <x:c r="AT768" s="11" t="n">
        <x:v>5576.75</x:v>
      </x:c>
      <x:c r="AU768" s="11" t="n">
        <x:v>2453.471153846154</x:v>
      </x:c>
      <x:c r="AV768" s="11" t="n">
        <x:v>0</x:v>
      </x:c>
      <x:c r="AW768" s="11" t="n">
        <x:v>9.769102072639855</x:v>
      </x:c>
      <x:c r="AX768" s="12" t="n">
        <x:v>1</x:v>
      </x:c>
      <x:c r="AY768" s="11"/>
      <x:c r="AZ768" s="11"/>
      <x:c r="BA768" s="11"/>
      <x:c r="BB768" s="11"/>
      <x:c r="BC768" s="11"/>
      <x:c r="BD768" s="11"/>
      <x:c r="BE768" s="11"/>
      <x:c r="BF768" s="11"/>
      <x:c r="BG768" s="11"/>
      <x:c r="BH768" s="11"/>
      <x:c r="BI768" s="11"/>
      <x:c r="BJ768" s="11"/>
      <x:c r="BK768" s="12"/>
      <x:c r="BL768" s="12"/>
      <x:c r="BM768" s="12"/>
      <x:c r="BN768" s="12"/>
      <x:c r="BO768" s="12"/>
      <x:c r="BP768" s="12"/>
      <x:c r="BQ768" s="12"/>
      <x:c r="BR768" s="12"/>
      <x:c r="BS768" s="12"/>
      <x:c r="BT768" s="12"/>
      <x:c r="BU768" s="11" t="n">
        <x:v>129799</x:v>
      </x:c>
      <x:c r="BV768" s="11" t="n">
        <x:v>419801</x:v>
      </x:c>
      <x:c r="BW768" s="11" t="n">
        <x:v>6114</x:v>
      </x:c>
      <x:c r="BX768" s="11" t="n">
        <x:v>2093</x:v>
      </x:c>
      <x:c r="BY768" s="11" t="n">
        <x:v>0</x:v>
      </x:c>
      <x:c r="BZ768" s="11" t="n">
        <x:v>0</x:v>
      </x:c>
      <x:c r="CA768" s="11" t="n">
        <x:v>0</x:v>
      </x:c>
      <x:c r="CB768" s="11" t="n">
        <x:v>0</x:v>
      </x:c>
      <x:c r="CC768" s="11" t="n">
        <x:v>259908</x:v>
      </x:c>
      <x:c r="CD768" s="11" t="n">
        <x:v>157598</x:v>
      </x:c>
      <x:c r="CE768" s="11" t="n">
        <x:v>27924</x:v>
      </x:c>
      <x:c r="CF768" s="11" t="n">
        <x:v>0</x:v>
      </x:c>
      <x:c r="CG768" s="11" t="n">
        <x:v>0</x:v>
      </x:c>
      <x:c r="CH768" s="11" t="n">
        <x:v>123354</x:v>
      </x:c>
      <x:c r="CI768" s="11" t="n">
        <x:v>67367</x:v>
      </x:c>
      <x:c r="CJ768" s="11" t="n">
        <x:v>46342</x:v>
      </x:c>
      <x:c r="CK768" s="11" t="n">
        <x:v>0</x:v>
      </x:c>
      <x:c r="CL768" s="11" t="n">
        <x:v>0</x:v>
      </x:c>
      <x:c r="CM768" s="11"/>
      <x:c r="CN768" s="11" t="n">
        <x:v>0</x:v>
      </x:c>
      <x:c r="CO768" s="11" t="n">
        <x:v>0</x:v>
      </x:c>
      <x:c r="CP768" s="8"/>
      <x:c r="CQ768" s="8"/>
    </x:row>
    <x:row r="769">
      <x:c r="A769" s="8" t="str">
        <x:v>Silverton|2022</x:v>
      </x:c>
      <x:c r="B769" s="8" t="str">
        <x:v>silverton-v</x:v>
      </x:c>
      <x:c r="C769" s="8" t="str">
        <x:v>Silverton</x:v>
      </x:c>
      <x:c r="D769" s="8" t="str">
        <x:v>Silverton</x:v>
      </x:c>
      <x:c r="E769" s="8" t="str">
        <x:v>V</x:v>
      </x:c>
      <x:c r="F769" s="8" t="str">
        <x:v>CKO</x:v>
      </x:c>
      <x:c r="G769" s="9" t="n">
        <x:v>2022</x:v>
      </x:c>
      <x:c r="H769" s="10" t="n">
        <x:v>209</x:v>
      </x:c>
      <x:c r="I769" s="8" t="str">
        <x:v>Under 5,000</x:v>
      </x:c>
      <x:c r="J769" s="11" t="n">
        <x:v>1367521</x:v>
      </x:c>
      <x:c r="K769" s="11" t="n">
        <x:v>1241042</x:v>
      </x:c>
      <x:c r="L769" s="11" t="n">
        <x:v>126479</x:v>
      </x:c>
      <x:c r="M769" s="12" t="n">
        <x:v>0.09248779360609453</x:v>
      </x:c>
      <x:c r="N769" s="11" t="n">
        <x:v>176273</x:v>
      </x:c>
      <x:c r="O769" s="11" t="n">
        <x:v>211308</x:v>
      </x:c>
      <x:c r="P769" s="11" t="n">
        <x:v>974743</x:v>
      </x:c>
      <x:c r="Q769" s="11" t="n">
        <x:v>5197</x:v>
      </x:c>
      <x:c r="R769" s="11" t="n">
        <x:v>1110774</x:v>
      </x:c>
      <x:c r="S769" s="11" t="n">
        <x:v>130268</x:v>
      </x:c>
      <x:c r="T769" s="11" t="n">
        <x:v>1305124</x:v>
      </x:c>
      <x:c r="U769" s="11" t="n">
        <x:v>617474</x:v>
      </x:c>
      <x:c r="V769" s="11" t="n">
        <x:v>1182880</x:v>
      </x:c>
      <x:c r="W769" s="11" t="n">
        <x:v>482925</x:v>
      </x:c>
      <x:c r="X769" s="11" t="n">
        <x:v>0</x:v>
      </x:c>
      <x:c r="Y769" s="11" t="n">
        <x:v>0</x:v>
      </x:c>
      <x:c r="Z769" s="11" t="n">
        <x:v>0</x:v>
      </x:c>
      <x:c r="AA769" s="11" t="n">
        <x:v>0</x:v>
      </x:c>
      <x:c r="AB769" s="11" t="n">
        <x:v>0</x:v>
      </x:c>
      <x:c r="AC769" s="11" t="n">
        <x:v>0</x:v>
      </x:c>
      <x:c r="AD769" s="11" t="n">
        <x:v>191945</x:v>
      </x:c>
      <x:c r="AE769" s="11" t="n">
        <x:v>191945</x:v>
      </x:c>
      <x:c r="AF769" s="11" t="n">
        <x:v>767778</x:v>
      </x:c>
      <x:c r="AG769" s="11" t="n">
        <x:v>5181200</x:v>
      </x:c>
      <x:c r="AH769" s="11" t="n">
        <x:v>2324491</x:v>
      </x:c>
      <x:c r="AI769" s="11" t="n">
        <x:v>2856709</x:v>
      </x:c>
      <x:c r="AJ769" s="11" t="n">
        <x:v>250430</x:v>
      </x:c>
      <x:c r="AK769" s="11" t="n">
        <x:v>93917</x:v>
      </x:c>
      <x:c r="AL769" s="11" t="n">
        <x:v>0</x:v>
      </x:c>
      <x:c r="AM769" s="12" t="n">
        <x:v>1</x:v>
      </x:c>
      <x:c r="AN769" s="12" t="n">
        <x:v>2.6665034019400107</x:v>
      </x:c>
      <x:c r="AO769" s="11" t="n">
        <x:v>407704</x:v>
      </x:c>
      <x:c r="AP769" s="11" t="n">
        <x:v>383373</x:v>
      </x:c>
      <x:c r="AQ769" s="12" t="n">
        <x:v>0.9403219002021074</x:v>
      </x:c>
      <x:c r="AR769" s="11" t="n">
        <x:v>6543.162679425837</x:v>
      </x:c>
      <x:c r="AS769" s="11" t="n">
        <x:v>5938</x:v>
      </x:c>
      <x:c r="AT769" s="11" t="n">
        <x:v>5659.712918660287</x:v>
      </x:c>
      <x:c r="AU769" s="11" t="n">
        <x:v>2310.645933014354</x:v>
      </x:c>
      <x:c r="AV769" s="11" t="n">
        <x:v>0</x:v>
      </x:c>
      <x:c r="AW769" s="11" t="n">
        <x:v>2.113650129398161</x:v>
      </x:c>
      <x:c r="AX769" s="12" t="n">
        <x:v>1</x:v>
      </x:c>
      <x:c r="AY769" s="11"/>
      <x:c r="AZ769" s="11"/>
      <x:c r="BA769" s="11"/>
      <x:c r="BB769" s="11"/>
      <x:c r="BC769" s="11"/>
      <x:c r="BD769" s="11"/>
      <x:c r="BE769" s="11"/>
      <x:c r="BF769" s="11"/>
      <x:c r="BG769" s="11"/>
      <x:c r="BH769" s="11"/>
      <x:c r="BI769" s="11"/>
      <x:c r="BJ769" s="11"/>
      <x:c r="BK769" s="12"/>
      <x:c r="BL769" s="12"/>
      <x:c r="BM769" s="12"/>
      <x:c r="BN769" s="12"/>
      <x:c r="BO769" s="12"/>
      <x:c r="BP769" s="12"/>
      <x:c r="BQ769" s="12"/>
      <x:c r="BR769" s="12"/>
      <x:c r="BS769" s="12"/>
      <x:c r="BT769" s="12"/>
      <x:c r="BU769" s="11" t="n">
        <x:v>0</x:v>
      </x:c>
      <x:c r="BV769" s="11" t="n">
        <x:v>896281</x:v>
      </x:c>
      <x:c r="BW769" s="11" t="n">
        <x:v>78462</x:v>
      </x:c>
      <x:c r="BX769" s="11" t="n">
        <x:v>5197</x:v>
      </x:c>
      <x:c r="BY769" s="11" t="n">
        <x:v>0</x:v>
      </x:c>
      <x:c r="BZ769" s="11" t="n">
        <x:v>0</x:v>
      </x:c>
      <x:c r="CA769" s="11" t="n">
        <x:v>0</x:v>
      </x:c>
      <x:c r="CB769" s="11" t="n">
        <x:v>0</x:v>
      </x:c>
      <x:c r="CC769" s="11" t="n">
        <x:v>359479</x:v>
      </x:c>
      <x:c r="CD769" s="11" t="n">
        <x:v>464291</x:v>
      </x:c>
      <x:c r="CE769" s="11" t="n">
        <x:v>27459</x:v>
      </x:c>
      <x:c r="CF769" s="11" t="n">
        <x:v>0</x:v>
      </x:c>
      <x:c r="CG769" s="11" t="n">
        <x:v>0</x:v>
      </x:c>
      <x:c r="CH769" s="11" t="n">
        <x:v>133449</x:v>
      </x:c>
      <x:c r="CI769" s="11" t="n">
        <x:v>74658</x:v>
      </x:c>
      <x:c r="CJ769" s="11" t="n">
        <x:v>51438</x:v>
      </x:c>
      <x:c r="CK769" s="11" t="n">
        <x:v>0</x:v>
      </x:c>
      <x:c r="CL769" s="11" t="n">
        <x:v>0</x:v>
      </x:c>
      <x:c r="CM769" s="11"/>
      <x:c r="CN769" s="11" t="n">
        <x:v>0</x:v>
      </x:c>
      <x:c r="CO769" s="11" t="n">
        <x:v>0</x:v>
      </x:c>
      <x:c r="CP769" s="8"/>
      <x:c r="CQ769" s="8"/>
    </x:row>
    <x:row r="770">
      <x:c r="A770" s="8" t="str">
        <x:v>Silverton|2023</x:v>
      </x:c>
      <x:c r="B770" s="8" t="str">
        <x:v>silverton-v</x:v>
      </x:c>
      <x:c r="C770" s="8" t="str">
        <x:v>Silverton</x:v>
      </x:c>
      <x:c r="D770" s="8" t="str">
        <x:v>Silverton</x:v>
      </x:c>
      <x:c r="E770" s="8" t="str">
        <x:v>V</x:v>
      </x:c>
      <x:c r="F770" s="8" t="str">
        <x:v>CKO</x:v>
      </x:c>
      <x:c r="G770" s="9" t="n">
        <x:v>2023</x:v>
      </x:c>
      <x:c r="H770" s="10" t="n">
        <x:v>217</x:v>
      </x:c>
      <x:c r="I770" s="8" t="str">
        <x:v>Under 5,000</x:v>
      </x:c>
      <x:c r="J770" s="11" t="n">
        <x:v>1661631</x:v>
      </x:c>
      <x:c r="K770" s="11" t="n">
        <x:v>1047699</x:v>
      </x:c>
      <x:c r="L770" s="11" t="n">
        <x:v>613932</x:v>
      </x:c>
      <x:c r="M770" s="12" t="n">
        <x:v>0.3694755333765439</x:v>
      </x:c>
      <x:c r="N770" s="11" t="n">
        <x:v>191788</x:v>
      </x:c>
      <x:c r="O770" s="11" t="n">
        <x:v>207459</x:v>
      </x:c>
      <x:c r="P770" s="11" t="n">
        <x:v>1251474</x:v>
      </x:c>
      <x:c r="Q770" s="11" t="n">
        <x:v>10910</x:v>
      </x:c>
      <x:c r="R770" s="11" t="n">
        <x:v>864444</x:v>
      </x:c>
      <x:c r="S770" s="11" t="n">
        <x:v>183255</x:v>
      </x:c>
      <x:c r="T770" s="11" t="n">
        <x:v>2100665</x:v>
      </x:c>
      <x:c r="U770" s="11" t="n">
        <x:v>1033619</x:v>
      </x:c>
      <x:c r="V770" s="11" t="n">
        <x:v>1274490</x:v>
      </x:c>
      <x:c r="W770" s="11" t="n">
        <x:v>1159706</x:v>
      </x:c>
      <x:c r="X770" s="11" t="n">
        <x:v>0</x:v>
      </x:c>
      <x:c r="Y770" s="11" t="n">
        <x:v>0</x:v>
      </x:c>
      <x:c r="Z770" s="11" t="n">
        <x:v>0</x:v>
      </x:c>
      <x:c r="AA770" s="11" t="n">
        <x:v>0</x:v>
      </x:c>
      <x:c r="AB770" s="11" t="n">
        <x:v>0</x:v>
      </x:c>
      <x:c r="AC770" s="11" t="n">
        <x:v>0</x:v>
      </x:c>
      <x:c r="AD770" s="11" t="n">
        <x:v>176039</x:v>
      </x:c>
      <x:c r="AE770" s="11" t="n">
        <x:v>176039</x:v>
      </x:c>
      <x:c r="AF770" s="11" t="n">
        <x:v>704157</x:v>
      </x:c>
      <x:c r="AG770" s="11" t="n">
        <x:v>5890507</x:v>
      </x:c>
      <x:c r="AH770" s="11" t="n">
        <x:v>2507746</x:v>
      </x:c>
      <x:c r="AI770" s="11" t="n">
        <x:v>3382761</x:v>
      </x:c>
      <x:c r="AJ770" s="11" t="n">
        <x:v>186116</x:v>
      </x:c>
      <x:c r="AK770" s="11" t="n">
        <x:v>93917</x:v>
      </x:c>
      <x:c r="AL770" s="11" t="n">
        <x:v>0</x:v>
      </x:c>
      <x:c r="AM770" s="12" t="n">
        <x:v>1</x:v>
      </x:c>
      <x:c r="AN770" s="12" t="n">
        <x:v>1.9817072521481733</x:v>
      </x:c>
      <x:c r="AO770" s="11" t="n">
        <x:v>475897</x:v>
      </x:c>
      <x:c r="AP770" s="11" t="n">
        <x:v>457356</x:v>
      </x:c>
      <x:c r="AQ770" s="12" t="n">
        <x:v>0.9610398888835189</x:v>
      </x:c>
      <x:c r="AR770" s="11" t="n">
        <x:v>7657.285714285715</x:v>
      </x:c>
      <x:c r="AS770" s="11" t="n">
        <x:v>4828.105990783411</x:v>
      </x:c>
      <x:c r="AT770" s="11" t="n">
        <x:v>5873.225806451613</x:v>
      </x:c>
      <x:c r="AU770" s="11" t="n">
        <x:v>5344.267281105991</x:v>
      </x:c>
      <x:c r="AV770" s="11" t="n">
        <x:v>0</x:v>
      </x:c>
      <x:c r="AW770" s="11" t="n">
        <x:v>2.0323397692960365</x:v>
      </x:c>
      <x:c r="AX770" s="12" t="n">
        <x:v>1</x:v>
      </x:c>
      <x:c r="AY770" s="11"/>
      <x:c r="AZ770" s="11"/>
      <x:c r="BA770" s="11"/>
      <x:c r="BB770" s="11"/>
      <x:c r="BC770" s="11"/>
      <x:c r="BD770" s="11"/>
      <x:c r="BE770" s="11"/>
      <x:c r="BF770" s="11"/>
      <x:c r="BG770" s="11"/>
      <x:c r="BH770" s="11"/>
      <x:c r="BI770" s="11"/>
      <x:c r="BJ770" s="11"/>
      <x:c r="BK770" s="12"/>
      <x:c r="BL770" s="12"/>
      <x:c r="BM770" s="12"/>
      <x:c r="BN770" s="12"/>
      <x:c r="BO770" s="12"/>
      <x:c r="BP770" s="12"/>
      <x:c r="BQ770" s="12"/>
      <x:c r="BR770" s="12"/>
      <x:c r="BS770" s="12"/>
      <x:c r="BT770" s="12"/>
      <x:c r="BU770" s="11" t="n">
        <x:v>0</x:v>
      </x:c>
      <x:c r="BV770" s="11" t="n">
        <x:v>1037450</x:v>
      </x:c>
      <x:c r="BW770" s="11" t="n">
        <x:v>214024</x:v>
      </x:c>
      <x:c r="BX770" s="11" t="n">
        <x:v>10910</x:v>
      </x:c>
      <x:c r="BY770" s="11" t="n">
        <x:v>0</x:v>
      </x:c>
      <x:c r="BZ770" s="11" t="n">
        <x:v>0</x:v>
      </x:c>
      <x:c r="CA770" s="11" t="n">
        <x:v>0</x:v>
      </x:c>
      <x:c r="CB770" s="11" t="n">
        <x:v>0</x:v>
      </x:c>
      <x:c r="CC770" s="11" t="n">
        <x:v>421062</x:v>
      </x:c>
      <x:c r="CD770" s="11" t="n">
        <x:v>211314</x:v>
      </x:c>
      <x:c r="CE770" s="11" t="n">
        <x:v>25641</x:v>
      </x:c>
      <x:c r="CF770" s="11" t="n">
        <x:v>0</x:v>
      </x:c>
      <x:c r="CG770" s="11" t="n">
        <x:v>0</x:v>
      </x:c>
      <x:c r="CH770" s="11" t="n">
        <x:v>96406</x:v>
      </x:c>
      <x:c r="CI770" s="11" t="n">
        <x:v>42524</x:v>
      </x:c>
      <x:c r="CJ770" s="11" t="n">
        <x:v>42750</x:v>
      </x:c>
      <x:c r="CK770" s="11" t="n">
        <x:v>0</x:v>
      </x:c>
      <x:c r="CL770" s="11" t="n">
        <x:v>0</x:v>
      </x:c>
      <x:c r="CM770" s="11" t="n">
        <x:v>24747</x:v>
      </x:c>
      <x:c r="CN770" s="11" t="n">
        <x:v>0</x:v>
      </x:c>
      <x:c r="CO770" s="11" t="n">
        <x:v>0</x:v>
      </x:c>
      <x:c r="CP770" s="8"/>
      <x:c r="CQ770" s="8"/>
    </x:row>
    <x:row r="771">
      <x:c r="A771" s="8" t="str">
        <x:v>Silverton|2024</x:v>
      </x:c>
      <x:c r="B771" s="8" t="str">
        <x:v>silverton-v</x:v>
      </x:c>
      <x:c r="C771" s="8" t="str">
        <x:v>Silverton</x:v>
      </x:c>
      <x:c r="D771" s="8" t="str">
        <x:v>Silverton</x:v>
      </x:c>
      <x:c r="E771" s="8" t="str">
        <x:v>V</x:v>
      </x:c>
      <x:c r="F771" s="8" t="str">
        <x:v>CKO</x:v>
      </x:c>
      <x:c r="G771" s="9" t="n">
        <x:v>2024</x:v>
      </x:c>
      <x:c r="H771" s="10" t="n">
        <x:v>217</x:v>
      </x:c>
      <x:c r="I771" s="8" t="str">
        <x:v>Under 5,000</x:v>
      </x:c>
      <x:c r="J771" s="11" t="n">
        <x:v>1140315</x:v>
      </x:c>
      <x:c r="K771" s="11" t="n">
        <x:v>1108452</x:v>
      </x:c>
      <x:c r="L771" s="11" t="n">
        <x:v>31863</x:v>
      </x:c>
      <x:c r="M771" s="12" t="n">
        <x:v>0.02794227910708883</x:v>
      </x:c>
      <x:c r="N771" s="11" t="n">
        <x:v>209522</x:v>
      </x:c>
      <x:c r="O771" s="11" t="n">
        <x:v>202394</x:v>
      </x:c>
      <x:c r="P771" s="11" t="n">
        <x:v>720856</x:v>
      </x:c>
      <x:c r="Q771" s="11" t="n">
        <x:v>7543</x:v>
      </x:c>
      <x:c r="R771" s="11" t="n">
        <x:v>965504</x:v>
      </x:c>
      <x:c r="S771" s="11" t="n">
        <x:v>142948</x:v>
      </x:c>
      <x:c r="T771" s="11" t="n">
        <x:v>2192285</x:v>
      </x:c>
      <x:c r="U771" s="11" t="n">
        <x:v>966753</x:v>
      </x:c>
      <x:c r="V771" s="11" t="n">
        <x:v>1291770</x:v>
      </x:c>
      <x:c r="W771" s="11" t="n">
        <x:v>1217553</x:v>
      </x:c>
      <x:c r="X771" s="11" t="n">
        <x:v>0</x:v>
      </x:c>
      <x:c r="Y771" s="11" t="n">
        <x:v>0</x:v>
      </x:c>
      <x:c r="Z771" s="11" t="n">
        <x:v>0</x:v>
      </x:c>
      <x:c r="AA771" s="11" t="n">
        <x:v>0</x:v>
      </x:c>
      <x:c r="AB771" s="11" t="n">
        <x:v>0</x:v>
      </x:c>
      <x:c r="AC771" s="11" t="n">
        <x:v>0</x:v>
      </x:c>
      <x:c r="AD771" s="11" t="n">
        <x:v>186322</x:v>
      </x:c>
      <x:c r="AE771" s="11" t="n">
        <x:v>186322</x:v>
      </x:c>
      <x:c r="AF771" s="11" t="n">
        <x:v>745286</x:v>
      </x:c>
      <x:c r="AG771" s="11" t="n">
        <x:v>6026811</x:v>
      </x:c>
      <x:c r="AH771" s="11" t="n">
        <x:v>2650694</x:v>
      </x:c>
      <x:c r="AI771" s="11" t="n">
        <x:v>3376117</x:v>
      </x:c>
      <x:c r="AJ771" s="11" t="n">
        <x:v>136303</x:v>
      </x:c>
      <x:c r="AK771" s="11" t="n">
        <x:v>93916</x:v>
      </x:c>
      <x:c r="AL771" s="11" t="n">
        <x:v>0</x:v>
      </x:c>
      <x:c r="AM771" s="12" t="n">
        <x:v>1</x:v>
      </x:c>
      <x:c r="AN771" s="12" t="n">
        <x:v>1.451328847054815</x:v>
      </x:c>
      <x:c r="AO771" s="11" t="n">
        <x:v>508265</x:v>
      </x:c>
      <x:c r="AP771" s="11" t="n">
        <x:v>469223</x:v>
      </x:c>
      <x:c r="AQ771" s="12" t="n">
        <x:v>0.9231857397223889</x:v>
      </x:c>
      <x:c r="AR771" s="11" t="n">
        <x:v>5254.907834101383</x:v>
      </x:c>
      <x:c r="AS771" s="11" t="n">
        <x:v>5108.0737327188945</x:v>
      </x:c>
      <x:c r="AT771" s="11" t="n">
        <x:v>5952.857142857143</x:v>
      </x:c>
      <x:c r="AU771" s="11" t="n">
        <x:v>5610.843317972351</x:v>
      </x:c>
      <x:c r="AV771" s="11" t="n">
        <x:v>0</x:v>
      </x:c>
      <x:c r="AW771" s="11" t="n">
        <x:v>2.2676785073333106</x:v>
      </x:c>
      <x:c r="AX771" s="12" t="n">
        <x:v>1</x:v>
      </x:c>
      <x:c r="AY771" s="11" t="n">
        <x:v>4648.097865362712</x:v>
      </x:c>
      <x:c r="AZ771" s="11" t="n">
        <x:v>3546.5079302077975</x:v>
      </x:c>
      <x:c r="BA771" s="11" t="n">
        <x:v>3428.422456291105</x:v>
      </x:c>
      <x:c r="BB771" s="11" t="n">
        <x:v>2783.665107049771</x:v>
      </x:c>
      <x:c r="BC771" s="11" t="n">
        <x:v>5030.364110900993</x:v>
      </x:c>
      <x:c r="BD771" s="11" t="n">
        <x:v>2437.8724475115623</x:v>
      </x:c>
      <x:c r="BE771" s="11" t="n">
        <x:v>2420.45</x:v>
      </x:c>
      <x:c r="BF771" s="11" t="n">
        <x:v>1604.3462673977224</x:v>
      </x:c>
      <x:c r="BG771" s="11" t="n">
        <x:v>224.31236112962716</x:v>
      </x:c>
      <x:c r="BH771" s="11" t="n">
        <x:v>518.5374381567245</x:v>
      </x:c>
      <x:c r="BI771" s="11" t="n">
        <x:v>2.204313821553219</x:v>
      </x:c>
      <x:c r="BJ771" s="11" t="n">
        <x:v>1.7099330852451193</x:v>
      </x:c>
      <x:c r="BK771" s="12" t="n">
        <x:v>0.030042455998363887</x:v>
      </x:c>
      <x:c r="BL771" s="12" t="n">
        <x:v>0.02529861000232605</x:v>
      </x:c>
      <x:c r="BM771" s="12" t="n">
        <x:v>0.9786113537119745</x:v>
      </x:c>
      <x:c r="BN771" s="12" t="n">
        <x:v>0.9815511712696461</x:v>
      </x:c>
      <x:c r="BO771" s="12" t="n">
        <x:v>0.9039920521842442</x:v>
      </x:c>
      <x:c r="BP771" s="12" t="n">
        <x:v>0.8619101997275483</x:v>
      </x:c>
      <x:c r="BQ771" s="12" t="n">
        <x:v>0.9333160528846489</x:v>
      </x:c>
      <x:c r="BR771" s="12" t="n">
        <x:v>0.9623635142836453</x:v>
      </x:c>
      <x:c r="BS771" s="12" t="n">
        <x:v>0.20869205825466772</x:v>
      </x:c>
      <x:c r="BT771" s="12" t="n">
        <x:v>0.19976549769108282</x:v>
      </x:c>
      <x:c r="BU771" s="11" t="n">
        <x:v>0</x:v>
      </x:c>
      <x:c r="BV771" s="11" t="n">
        <x:v>720856</x:v>
      </x:c>
      <x:c r="BW771" s="11" t="n">
        <x:v>0</x:v>
      </x:c>
      <x:c r="BX771" s="11" t="n">
        <x:v>7543</x:v>
      </x:c>
      <x:c r="BY771" s="11" t="n">
        <x:v>0</x:v>
      </x:c>
      <x:c r="BZ771" s="11" t="n">
        <x:v>0</x:v>
      </x:c>
      <x:c r="CA771" s="11" t="n">
        <x:v>0</x:v>
      </x:c>
      <x:c r="CB771" s="11" t="n">
        <x:v>0</x:v>
      </x:c>
      <x:c r="CC771" s="11" t="n">
        <x:v>557454</x:v>
      </x:c>
      <x:c r="CD771" s="11" t="n">
        <x:v>88229</x:v>
      </x:c>
      <x:c r="CE771" s="11" t="n">
        <x:v>23677</x:v>
      </x:c>
      <x:c r="CF771" s="11" t="n">
        <x:v>0</x:v>
      </x:c>
      <x:c r="CG771" s="11" t="n">
        <x:v>0</x:v>
      </x:c>
      <x:c r="CH771" s="11" t="n">
        <x:v>75797</x:v>
      </x:c>
      <x:c r="CI771" s="11" t="n">
        <x:v>80328</x:v>
      </x:c>
      <x:c r="CJ771" s="11" t="n">
        <x:v>114102</x:v>
      </x:c>
      <x:c r="CK771" s="11" t="n">
        <x:v>0</x:v>
      </x:c>
      <x:c r="CL771" s="11" t="n">
        <x:v>0</x:v>
      </x:c>
      <x:c r="CM771" s="11" t="n">
        <x:v>25917</x:v>
      </x:c>
      <x:c r="CN771" s="11" t="n">
        <x:v>0</x:v>
      </x:c>
      <x:c r="CO771" s="11" t="n">
        <x:v>0</x:v>
      </x:c>
      <x:c r="CP771" s="8"/>
      <x:c r="CQ771" s="8"/>
    </x:row>
    <x:row r="772">
      <x:c r="A772" s="8" t="str">
        <x:v>Slocan|2019</x:v>
      </x:c>
      <x:c r="B772" s="8" t="str">
        <x:v>slocan-v</x:v>
      </x:c>
      <x:c r="C772" s="8" t="str">
        <x:v>Slocan</x:v>
      </x:c>
      <x:c r="D772" s="8" t="str">
        <x:v>Slocan</x:v>
      </x:c>
      <x:c r="E772" s="8" t="str">
        <x:v>V</x:v>
      </x:c>
      <x:c r="F772" s="8" t="str">
        <x:v>CKO</x:v>
      </x:c>
      <x:c r="G772" s="9" t="n">
        <x:v>2019</x:v>
      </x:c>
      <x:c r="H772" s="10" t="n">
        <x:v>307</x:v>
      </x:c>
      <x:c r="I772" s="8" t="str">
        <x:v>Under 5,000</x:v>
      </x:c>
      <x:c r="J772" s="11" t="n">
        <x:v>1113480</x:v>
      </x:c>
      <x:c r="K772" s="11" t="n">
        <x:v>974275</x:v>
      </x:c>
      <x:c r="L772" s="11" t="n">
        <x:v>139205</x:v>
      </x:c>
      <x:c r="M772" s="12" t="n">
        <x:v>0.12501796170564355</x:v>
      </x:c>
      <x:c r="N772" s="11" t="n">
        <x:v>182094</x:v>
      </x:c>
      <x:c r="O772" s="11" t="n">
        <x:v>229781</x:v>
      </x:c>
      <x:c r="P772" s="11" t="n">
        <x:v>649893</x:v>
      </x:c>
      <x:c r="Q772" s="11" t="n">
        <x:v>51712</x:v>
      </x:c>
      <x:c r="R772" s="11" t="n">
        <x:v>860602</x:v>
      </x:c>
      <x:c r="S772" s="11" t="n">
        <x:v>113673</x:v>
      </x:c>
      <x:c r="T772" s="11" t="n">
        <x:v>2988415</x:v>
      </x:c>
      <x:c r="U772" s="11" t="n">
        <x:v>1501505</x:v>
      </x:c>
      <x:c r="V772" s="11" t="n">
        <x:v>1604024</x:v>
      </x:c>
      <x:c r="W772" s="11" t="n">
        <x:v>708164</x:v>
      </x:c>
      <x:c r="X772" s="11" t="n">
        <x:v>0</x:v>
      </x:c>
      <x:c r="Y772" s="11" t="n">
        <x:v>0</x:v>
      </x:c>
      <x:c r="Z772" s="11" t="n">
        <x:v>0</x:v>
      </x:c>
      <x:c r="AA772" s="11" t="n">
        <x:v>0</x:v>
      </x:c>
      <x:c r="AB772" s="11" t="n">
        <x:v>0</x:v>
      </x:c>
      <x:c r="AC772" s="11" t="n">
        <x:v>0</x:v>
      </x:c>
      <x:c r="AD772" s="11" t="n">
        <x:v>206388</x:v>
      </x:c>
      <x:c r="AE772" s="11" t="n">
        <x:v>206388</x:v>
      </x:c>
      <x:c r="AF772" s="11" t="n">
        <x:v>825552</x:v>
      </x:c>
      <x:c r="AG772" s="11" t="n">
        <x:v>4886453</x:v>
      </x:c>
      <x:c r="AH772" s="11" t="n">
        <x:v>1991483</x:v>
      </x:c>
      <x:c r="AI772" s="11" t="n">
        <x:v>2894970</x:v>
      </x:c>
      <x:c r="AJ772" s="11" t="n">
        <x:v>336445</x:v>
      </x:c>
      <x:c r="AK772" s="11" t="n">
        <x:v>798870</x:v>
      </x:c>
      <x:c r="AL772" s="11" t="n">
        <x:v>0</x:v>
      </x:c>
      <x:c r="AM772" s="12" t="n">
        <x:v>1</x:v>
      </x:c>
      <x:c r="AN772" s="12" t="n">
        <x:v>0.42115112596542614</x:v>
      </x:c>
      <x:c r="AO772" s="11" t="n">
        <x:v>437167</x:v>
      </x:c>
      <x:c r="AP772" s="11" t="n">
        <x:v>373043</x:v>
      </x:c>
      <x:c r="AQ772" s="12" t="n">
        <x:v>0.8533192121088737</x:v>
      </x:c>
      <x:c r="AR772" s="11" t="n">
        <x:v>3626.970684039088</x:v>
      </x:c>
      <x:c r="AS772" s="11" t="n">
        <x:v>3173.5342019543973</x:v>
      </x:c>
      <x:c r="AT772" s="11" t="n">
        <x:v>5224.833876221498</x:v>
      </x:c>
      <x:c r="AU772" s="11" t="n">
        <x:v>2306.7231270358307</x:v>
      </x:c>
      <x:c r="AV772" s="11" t="n">
        <x:v>0</x:v>
      </x:c>
      <x:c r="AW772" s="11" t="n">
        <x:v>1.9902797526481764</x:v>
      </x:c>
      <x:c r="AX772" s="12" t="n">
        <x:v>1</x:v>
      </x:c>
      <x:c r="AY772" s="11"/>
      <x:c r="AZ772" s="11"/>
      <x:c r="BA772" s="11"/>
      <x:c r="BB772" s="11"/>
      <x:c r="BC772" s="11"/>
      <x:c r="BD772" s="11"/>
      <x:c r="BE772" s="11"/>
      <x:c r="BF772" s="11"/>
      <x:c r="BG772" s="11"/>
      <x:c r="BH772" s="11"/>
      <x:c r="BI772" s="11"/>
      <x:c r="BJ772" s="11"/>
      <x:c r="BK772" s="12"/>
      <x:c r="BL772" s="12"/>
      <x:c r="BM772" s="12"/>
      <x:c r="BN772" s="12"/>
      <x:c r="BO772" s="12"/>
      <x:c r="BP772" s="12"/>
      <x:c r="BQ772" s="12"/>
      <x:c r="BR772" s="12"/>
      <x:c r="BS772" s="12"/>
      <x:c r="BT772" s="12"/>
      <x:c r="BU772" s="11" t="n">
        <x:v>1940</x:v>
      </x:c>
      <x:c r="BV772" s="11" t="n">
        <x:v>621095</x:v>
      </x:c>
      <x:c r="BW772" s="11" t="n">
        <x:v>26858</x:v>
      </x:c>
      <x:c r="BX772" s="11" t="n">
        <x:v>51712</x:v>
      </x:c>
      <x:c r="BY772" s="11" t="n">
        <x:v>0</x:v>
      </x:c>
      <x:c r="BZ772" s="11" t="n">
        <x:v>0</x:v>
      </x:c>
      <x:c r="CA772" s="11" t="n">
        <x:v>0</x:v>
      </x:c>
      <x:c r="CB772" s="11" t="n">
        <x:v>0</x:v>
      </x:c>
      <x:c r="CC772" s="11" t="n">
        <x:v>251055</x:v>
      </x:c>
      <x:c r="CD772" s="11" t="n">
        <x:v>129723</x:v>
      </x:c>
      <x:c r="CE772" s="11" t="n">
        <x:v>21303</x:v>
      </x:c>
      <x:c r="CF772" s="11" t="n">
        <x:v>5479</x:v>
      </x:c>
      <x:c r="CG772" s="11" t="n">
        <x:v>0</x:v>
      </x:c>
      <x:c r="CH772" s="11" t="n">
        <x:v>213656</x:v>
      </x:c>
      <x:c r="CI772" s="11" t="n">
        <x:v>96951</x:v>
      </x:c>
      <x:c r="CJ772" s="11" t="n">
        <x:v>98781</x:v>
      </x:c>
      <x:c r="CK772" s="11" t="n">
        <x:v>0</x:v>
      </x:c>
      <x:c r="CL772" s="11" t="n">
        <x:v>0</x:v>
      </x:c>
      <x:c r="CM772" s="11"/>
      <x:c r="CN772" s="11" t="n">
        <x:v>43654</x:v>
      </x:c>
      <x:c r="CO772" s="11" t="n">
        <x:v>0</x:v>
      </x:c>
      <x:c r="CP772" s="8"/>
      <x:c r="CQ772" s="8"/>
    </x:row>
    <x:row r="773">
      <x:c r="A773" s="8" t="str">
        <x:v>Slocan|2020</x:v>
      </x:c>
      <x:c r="B773" s="8" t="str">
        <x:v>slocan-v</x:v>
      </x:c>
      <x:c r="C773" s="8" t="str">
        <x:v>Slocan</x:v>
      </x:c>
      <x:c r="D773" s="8" t="str">
        <x:v>Slocan</x:v>
      </x:c>
      <x:c r="E773" s="8" t="str">
        <x:v>V</x:v>
      </x:c>
      <x:c r="F773" s="8" t="str">
        <x:v>CKO</x:v>
      </x:c>
      <x:c r="G773" s="9" t="n">
        <x:v>2020</x:v>
      </x:c>
      <x:c r="H773" s="10" t="n">
        <x:v>309</x:v>
      </x:c>
      <x:c r="I773" s="8" t="str">
        <x:v>Under 5,000</x:v>
      </x:c>
      <x:c r="J773" s="11" t="n">
        <x:v>1974005</x:v>
      </x:c>
      <x:c r="K773" s="11" t="n">
        <x:v>952219</x:v>
      </x:c>
      <x:c r="L773" s="11" t="n">
        <x:v>1021786</x:v>
      </x:c>
      <x:c r="M773" s="12" t="n">
        <x:v>0.5176207760365349</x:v>
      </x:c>
      <x:c r="N773" s="11" t="n">
        <x:v>183364</x:v>
      </x:c>
      <x:c r="O773" s="11" t="n">
        <x:v>238138</x:v>
      </x:c>
      <x:c r="P773" s="11" t="n">
        <x:v>1516532</x:v>
      </x:c>
      <x:c r="Q773" s="11" t="n">
        <x:v>35971</x:v>
      </x:c>
      <x:c r="R773" s="11" t="n">
        <x:v>824361</x:v>
      </x:c>
      <x:c r="S773" s="11" t="n">
        <x:v>127858</x:v>
      </x:c>
      <x:c r="T773" s="11" t="n">
        <x:v>2886120</x:v>
      </x:c>
      <x:c r="U773" s="11" t="n">
        <x:v>2172227</x:v>
      </x:c>
      <x:c r="V773" s="11" t="n">
        <x:v>838154</x:v>
      </x:c>
      <x:c r="W773" s="11" t="n">
        <x:v>486994</x:v>
      </x:c>
      <x:c r="X773" s="11" t="n">
        <x:v>0</x:v>
      </x:c>
      <x:c r="Y773" s="11" t="n">
        <x:v>845000</x:v>
      </x:c>
      <x:c r="Z773" s="11" t="n">
        <x:v>0</x:v>
      </x:c>
      <x:c r="AA773" s="11" t="n">
        <x:v>845000</x:v>
      </x:c>
      <x:c r="AB773" s="11" t="n">
        <x:v>0</x:v>
      </x:c>
      <x:c r="AC773" s="11" t="n">
        <x:v>0</x:v>
      </x:c>
      <x:c r="AD773" s="11" t="n">
        <x:v>206802</x:v>
      </x:c>
      <x:c r="AE773" s="11" t="n">
        <x:v>206802</x:v>
      </x:c>
      <x:c r="AF773" s="11" t="n">
        <x:v>827208</x:v>
      </x:c>
      <x:c r="AG773" s="11" t="n">
        <x:v>6768042</x:v>
      </x:c>
      <x:c r="AH773" s="11" t="n">
        <x:v>2085862</x:v>
      </x:c>
      <x:c r="AI773" s="11" t="n">
        <x:v>4682180</x:v>
      </x:c>
      <x:c r="AJ773" s="11" t="n">
        <x:v>1915068</x:v>
      </x:c>
      <x:c r="AK773" s="11" t="n">
        <x:v>2301088</x:v>
      </x:c>
      <x:c r="AL773" s="11" t="n">
        <x:v>0</x:v>
      </x:c>
      <x:c r="AM773" s="12" t="n">
        <x:v>1</x:v>
      </x:c>
      <x:c r="AN773" s="12" t="n">
        <x:v>0.8322445730019886</x:v>
      </x:c>
      <x:c r="AO773" s="11" t="n">
        <x:v>454136</x:v>
      </x:c>
      <x:c r="AP773" s="11" t="n">
        <x:v>387056</x:v>
      </x:c>
      <x:c r="AQ773" s="12" t="n">
        <x:v>0.8522909436820688</x:v>
      </x:c>
      <x:c r="AR773" s="11" t="n">
        <x:v>6388.365695792881</x:v>
      </x:c>
      <x:c r="AS773" s="11" t="n">
        <x:v>3081.6148867313914</x:v>
      </x:c>
      <x:c r="AT773" s="11" t="n">
        <x:v>2712.472491909385</x:v>
      </x:c>
      <x:c r="AU773" s="11" t="n">
        <x:v>1576.032362459547</x:v>
      </x:c>
      <x:c r="AV773" s="11" t="n">
        <x:v>2734.6278317152105</x:v>
      </x:c>
      <x:c r="AW773" s="11" t="n">
        <x:v>1.3286456710095216</x:v>
      </x:c>
      <x:c r="AX773" s="12" t="n">
        <x:v>1</x:v>
      </x:c>
      <x:c r="AY773" s="11"/>
      <x:c r="AZ773" s="11"/>
      <x:c r="BA773" s="11"/>
      <x:c r="BB773" s="11"/>
      <x:c r="BC773" s="11"/>
      <x:c r="BD773" s="11"/>
      <x:c r="BE773" s="11"/>
      <x:c r="BF773" s="11"/>
      <x:c r="BG773" s="11"/>
      <x:c r="BH773" s="11"/>
      <x:c r="BI773" s="11"/>
      <x:c r="BJ773" s="11"/>
      <x:c r="BK773" s="12"/>
      <x:c r="BL773" s="12"/>
      <x:c r="BM773" s="12"/>
      <x:c r="BN773" s="12"/>
      <x:c r="BO773" s="12"/>
      <x:c r="BP773" s="12"/>
      <x:c r="BQ773" s="12"/>
      <x:c r="BR773" s="12"/>
      <x:c r="BS773" s="12"/>
      <x:c r="BT773" s="12"/>
      <x:c r="BU773" s="11" t="n">
        <x:v>3212</x:v>
      </x:c>
      <x:c r="BV773" s="11" t="n">
        <x:v>712653</x:v>
      </x:c>
      <x:c r="BW773" s="11" t="n">
        <x:v>800667</x:v>
      </x:c>
      <x:c r="BX773" s="11" t="n">
        <x:v>27806</x:v>
      </x:c>
      <x:c r="BY773" s="11" t="n">
        <x:v>0</x:v>
      </x:c>
      <x:c r="BZ773" s="11" t="n">
        <x:v>0</x:v>
      </x:c>
      <x:c r="CA773" s="11" t="n">
        <x:v>8165</x:v>
      </x:c>
      <x:c r="CB773" s="11" t="n">
        <x:v>0</x:v>
      </x:c>
      <x:c r="CC773" s="11" t="n">
        <x:v>250889</x:v>
      </x:c>
      <x:c r="CD773" s="11" t="n">
        <x:v>1150</x:v>
      </x:c>
      <x:c r="CE773" s="11" t="n">
        <x:v>24543</x:v>
      </x:c>
      <x:c r="CF773" s="11" t="n">
        <x:v>2376</x:v>
      </x:c>
      <x:c r="CG773" s="11" t="n">
        <x:v>0</x:v>
      </x:c>
      <x:c r="CH773" s="11" t="n">
        <x:v>211890</x:v>
      </x:c>
      <x:c r="CI773" s="11" t="n">
        <x:v>228344</x:v>
      </x:c>
      <x:c r="CJ773" s="11" t="n">
        <x:v>105169</x:v>
      </x:c>
      <x:c r="CK773" s="11" t="n">
        <x:v>0</x:v>
      </x:c>
      <x:c r="CL773" s="11" t="n">
        <x:v>0</x:v>
      </x:c>
      <x:c r="CM773" s="11"/>
      <x:c r="CN773" s="11" t="n">
        <x:v>0</x:v>
      </x:c>
      <x:c r="CO773" s="11" t="n">
        <x:v>0</x:v>
      </x:c>
      <x:c r="CP773" s="8"/>
      <x:c r="CQ773" s="8"/>
    </x:row>
    <x:row r="774">
      <x:c r="A774" s="8" t="str">
        <x:v>Slocan|2021</x:v>
      </x:c>
      <x:c r="B774" s="8" t="str">
        <x:v>slocan-v</x:v>
      </x:c>
      <x:c r="C774" s="8" t="str">
        <x:v>Slocan</x:v>
      </x:c>
      <x:c r="D774" s="8" t="str">
        <x:v>Slocan</x:v>
      </x:c>
      <x:c r="E774" s="8" t="str">
        <x:v>V</x:v>
      </x:c>
      <x:c r="F774" s="8" t="str">
        <x:v>CKO</x:v>
      </x:c>
      <x:c r="G774" s="9" t="n">
        <x:v>2021</x:v>
      </x:c>
      <x:c r="H774" s="10" t="n">
        <x:v>311</x:v>
      </x:c>
      <x:c r="I774" s="8" t="str">
        <x:v>Under 5,000</x:v>
      </x:c>
      <x:c r="J774" s="11" t="n">
        <x:v>1280106</x:v>
      </x:c>
      <x:c r="K774" s="11" t="n">
        <x:v>913118</x:v>
      </x:c>
      <x:c r="L774" s="11" t="n">
        <x:v>366988</x:v>
      </x:c>
      <x:c r="M774" s="12" t="n">
        <x:v>0.28668563384594714</x:v>
      </x:c>
      <x:c r="N774" s="11" t="n">
        <x:v>191721</x:v>
      </x:c>
      <x:c r="O774" s="11" t="n">
        <x:v>274184</x:v>
      </x:c>
      <x:c r="P774" s="11" t="n">
        <x:v>789237</x:v>
      </x:c>
      <x:c r="Q774" s="11" t="n">
        <x:v>24964</x:v>
      </x:c>
      <x:c r="R774" s="11" t="n">
        <x:v>766287</x:v>
      </x:c>
      <x:c r="S774" s="11" t="n">
        <x:v>139542</x:v>
      </x:c>
      <x:c r="T774" s="11" t="n">
        <x:v>1672752</x:v>
      </x:c>
      <x:c r="U774" s="11" t="n">
        <x:v>1102168</x:v>
      </x:c>
      <x:c r="V774" s="11" t="n">
        <x:v>805084</x:v>
      </x:c>
      <x:c r="W774" s="11" t="n">
        <x:v>400581</x:v>
      </x:c>
      <x:c r="X774" s="11" t="n">
        <x:v>845000</x:v>
      </x:c>
      <x:c r="Y774" s="11" t="n">
        <x:v>0</x:v>
      </x:c>
      <x:c r="Z774" s="11" t="n">
        <x:v>0</x:v>
      </x:c>
      <x:c r="AA774" s="11" t="n">
        <x:v>845000</x:v>
      </x:c>
      <x:c r="AB774" s="11" t="n">
        <x:v>7289</x:v>
      </x:c>
      <x:c r="AC774" s="11" t="n">
        <x:v>7289</x:v>
      </x:c>
      <x:c r="AD774" s="11" t="n">
        <x:v>214717</x:v>
      </x:c>
      <x:c r="AE774" s="11" t="n">
        <x:v>207428</x:v>
      </x:c>
      <x:c r="AF774" s="11" t="n">
        <x:v>858869</x:v>
      </x:c>
      <x:c r="AG774" s="11" t="n">
        <x:v>7297571</x:v>
      </x:c>
      <x:c r="AH774" s="11" t="n">
        <x:v>2225404</x:v>
      </x:c>
      <x:c r="AI774" s="11" t="n">
        <x:v>5072167</x:v>
      </x:c>
      <x:c r="AJ774" s="11" t="n">
        <x:v>529529</x:v>
      </x:c>
      <x:c r="AK774" s="11" t="n">
        <x:v>2301088</x:v>
      </x:c>
      <x:c r="AL774" s="11" t="n">
        <x:v>0</x:v>
      </x:c>
      <x:c r="AM774" s="12" t="n">
        <x:v>1</x:v>
      </x:c>
      <x:c r="AN774" s="12" t="n">
        <x:v>0.23012114269423856</x:v>
      </x:c>
      <x:c r="AO774" s="11" t="n">
        <x:v>500616</x:v>
      </x:c>
      <x:c r="AP774" s="11" t="n">
        <x:v>435526</x:v>
      </x:c>
      <x:c r="AQ774" s="12" t="n">
        <x:v>0.8699801844128034</x:v>
      </x:c>
      <x:c r="AR774" s="11" t="n">
        <x:v>4116.096463022508</x:v>
      </x:c>
      <x:c r="AS774" s="11" t="n">
        <x:v>2936.0707395498393</x:v>
      </x:c>
      <x:c r="AT774" s="11" t="n">
        <x:v>2588.6945337620577</x:v>
      </x:c>
      <x:c r="AU774" s="11" t="n">
        <x:v>1288.0418006430868</x:v>
      </x:c>
      <x:c r="AV774" s="11" t="n">
        <x:v>2717.041800643087</x:v>
      </x:c>
      <x:c r="AW774" s="11" t="n">
        <x:v>1.5176924026101284</x:v>
      </x:c>
      <x:c r="AX774" s="12" t="n">
        <x:v>0.9660529906807566</x:v>
      </x:c>
      <x:c r="AY774" s="11"/>
      <x:c r="AZ774" s="11"/>
      <x:c r="BA774" s="11"/>
      <x:c r="BB774" s="11"/>
      <x:c r="BC774" s="11"/>
      <x:c r="BD774" s="11"/>
      <x:c r="BE774" s="11"/>
      <x:c r="BF774" s="11"/>
      <x:c r="BG774" s="11"/>
      <x:c r="BH774" s="11"/>
      <x:c r="BI774" s="11"/>
      <x:c r="BJ774" s="11"/>
      <x:c r="BK774" s="12"/>
      <x:c r="BL774" s="12"/>
      <x:c r="BM774" s="12"/>
      <x:c r="BN774" s="12"/>
      <x:c r="BO774" s="12"/>
      <x:c r="BP774" s="12"/>
      <x:c r="BQ774" s="12"/>
      <x:c r="BR774" s="12"/>
      <x:c r="BS774" s="12"/>
      <x:c r="BT774" s="12"/>
      <x:c r="BU774" s="11" t="n">
        <x:v>3192</x:v>
      </x:c>
      <x:c r="BV774" s="11" t="n">
        <x:v>534931</x:v>
      </x:c>
      <x:c r="BW774" s="11" t="n">
        <x:v>251114</x:v>
      </x:c>
      <x:c r="BX774" s="11" t="n">
        <x:v>24964</x:v>
      </x:c>
      <x:c r="BY774" s="11" t="n">
        <x:v>0</x:v>
      </x:c>
      <x:c r="BZ774" s="11" t="n">
        <x:v>0</x:v>
      </x:c>
      <x:c r="CA774" s="11" t="n">
        <x:v>0</x:v>
      </x:c>
      <x:c r="CB774" s="11" t="n">
        <x:v>0</x:v>
      </x:c>
      <x:c r="CC774" s="11" t="n">
        <x:v>295651</x:v>
      </x:c>
      <x:c r="CD774" s="11" t="n">
        <x:v>3520</x:v>
      </x:c>
      <x:c r="CE774" s="11" t="n">
        <x:v>26008</x:v>
      </x:c>
      <x:c r="CF774" s="11" t="n">
        <x:v>5381</x:v>
      </x:c>
      <x:c r="CG774" s="11" t="n">
        <x:v>0</x:v>
      </x:c>
      <x:c r="CH774" s="11" t="n">
        <x:v>224211</x:v>
      </x:c>
      <x:c r="CI774" s="11" t="n">
        <x:v>119314</x:v>
      </x:c>
      <x:c r="CJ774" s="11" t="n">
        <x:v>99491</x:v>
      </x:c>
      <x:c r="CK774" s="11" t="n">
        <x:v>0</x:v>
      </x:c>
      <x:c r="CL774" s="11" t="n">
        <x:v>0</x:v>
      </x:c>
      <x:c r="CM774" s="11"/>
      <x:c r="CN774" s="11" t="n">
        <x:v>0</x:v>
      </x:c>
      <x:c r="CO774" s="11" t="n">
        <x:v>0</x:v>
      </x:c>
      <x:c r="CP774" s="8"/>
      <x:c r="CQ774" s="8"/>
    </x:row>
    <x:row r="775">
      <x:c r="A775" s="8" t="str">
        <x:v>Slocan|2022</x:v>
      </x:c>
      <x:c r="B775" s="8" t="str">
        <x:v>slocan-v</x:v>
      </x:c>
      <x:c r="C775" s="8" t="str">
        <x:v>Slocan</x:v>
      </x:c>
      <x:c r="D775" s="8" t="str">
        <x:v>Slocan</x:v>
      </x:c>
      <x:c r="E775" s="8" t="str">
        <x:v>V</x:v>
      </x:c>
      <x:c r="F775" s="8" t="str">
        <x:v>CKO</x:v>
      </x:c>
      <x:c r="G775" s="9" t="n">
        <x:v>2022</x:v>
      </x:c>
      <x:c r="H775" s="10" t="n">
        <x:v>313</x:v>
      </x:c>
      <x:c r="I775" s="8" t="str">
        <x:v>Under 5,000</x:v>
      </x:c>
      <x:c r="J775" s="11" t="n">
        <x:v>1392983</x:v>
      </x:c>
      <x:c r="K775" s="11" t="n">
        <x:v>1019513</x:v>
      </x:c>
      <x:c r="L775" s="11" t="n">
        <x:v>373470</x:v>
      </x:c>
      <x:c r="M775" s="12" t="n">
        <x:v>0.268108081721026</x:v>
      </x:c>
      <x:c r="N775" s="11" t="n">
        <x:v>206810</x:v>
      </x:c>
      <x:c r="O775" s="11" t="n">
        <x:v>293018</x:v>
      </x:c>
      <x:c r="P775" s="11" t="n">
        <x:v>873650</x:v>
      </x:c>
      <x:c r="Q775" s="11" t="n">
        <x:v>19505</x:v>
      </x:c>
      <x:c r="R775" s="11" t="n">
        <x:v>858216</x:v>
      </x:c>
      <x:c r="S775" s="11" t="n">
        <x:v>142802</x:v>
      </x:c>
      <x:c r="T775" s="11" t="n">
        <x:v>1905376</x:v>
      </x:c>
      <x:c r="U775" s="11" t="n">
        <x:v>1197356</x:v>
      </x:c>
      <x:c r="V775" s="11" t="n">
        <x:v>928107</x:v>
      </x:c>
      <x:c r="W775" s="11" t="n">
        <x:v>259196</x:v>
      </x:c>
      <x:c r="X775" s="11" t="n">
        <x:v>845000</x:v>
      </x:c>
      <x:c r="Y775" s="11" t="n">
        <x:v>0</x:v>
      </x:c>
      <x:c r="Z775" s="11" t="n">
        <x:v>0</x:v>
      </x:c>
      <x:c r="AA775" s="11" t="n">
        <x:v>845000</x:v>
      </x:c>
      <x:c r="AB775" s="11" t="n">
        <x:v>18495</x:v>
      </x:c>
      <x:c r="AC775" s="11" t="n">
        <x:v>18495</x:v>
      </x:c>
      <x:c r="AD775" s="11" t="n">
        <x:v>245583</x:v>
      </x:c>
      <x:c r="AE775" s="11" t="n">
        <x:v>227088</x:v>
      </x:c>
      <x:c r="AF775" s="11" t="n">
        <x:v>982333</x:v>
      </x:c>
      <x:c r="AG775" s="11" t="n">
        <x:v>7642675</x:v>
      </x:c>
      <x:c r="AH775" s="11" t="n">
        <x:v>2314115</x:v>
      </x:c>
      <x:c r="AI775" s="11" t="n">
        <x:v>5328560</x:v>
      </x:c>
      <x:c r="AJ775" s="11" t="n">
        <x:v>399195</x:v>
      </x:c>
      <x:c r="AK775" s="11" t="n">
        <x:v>2301088</x:v>
      </x:c>
      <x:c r="AL775" s="11" t="n">
        <x:v>0</x:v>
      </x:c>
      <x:c r="AM775" s="12" t="n">
        <x:v>1</x:v>
      </x:c>
      <x:c r="AN775" s="12" t="n">
        <x:v>0.1734809794323381</x:v>
      </x:c>
      <x:c r="AO775" s="11" t="n">
        <x:v>602304</x:v>
      </x:c>
      <x:c r="AP775" s="11" t="n">
        <x:v>536598</x:v>
      </x:c>
      <x:c r="AQ775" s="12" t="n">
        <x:v>0.8909089097864201</x:v>
      </x:c>
      <x:c r="AR775" s="11" t="n">
        <x:v>4450.424920127795</x:v>
      </x:c>
      <x:c r="AS775" s="11" t="n">
        <x:v>3257.230031948882</x:v>
      </x:c>
      <x:c r="AT775" s="11" t="n">
        <x:v>2965.1980830670927</x:v>
      </x:c>
      <x:c r="AU775" s="11" t="n">
        <x:v>828.1022364217253</x:v>
      </x:c>
      <x:c r="AV775" s="11" t="n">
        <x:v>2699.6805111821086</x:v>
      </x:c>
      <x:c r="AW775" s="11" t="n">
        <x:v>1.5913195407213894</x:v>
      </x:c>
      <x:c r="AX775" s="12" t="n">
        <x:v>0.9246894125407703</x:v>
      </x:c>
      <x:c r="AY775" s="11"/>
      <x:c r="AZ775" s="11"/>
      <x:c r="BA775" s="11"/>
      <x:c r="BB775" s="11"/>
      <x:c r="BC775" s="11"/>
      <x:c r="BD775" s="11"/>
      <x:c r="BE775" s="11"/>
      <x:c r="BF775" s="11"/>
      <x:c r="BG775" s="11"/>
      <x:c r="BH775" s="11"/>
      <x:c r="BI775" s="11"/>
      <x:c r="BJ775" s="11"/>
      <x:c r="BK775" s="12"/>
      <x:c r="BL775" s="12"/>
      <x:c r="BM775" s="12"/>
      <x:c r="BN775" s="12"/>
      <x:c r="BO775" s="12"/>
      <x:c r="BP775" s="12"/>
      <x:c r="BQ775" s="12"/>
      <x:c r="BR775" s="12"/>
      <x:c r="BS775" s="12"/>
      <x:c r="BT775" s="12"/>
      <x:c r="BU775" s="11" t="n">
        <x:v>2083</x:v>
      </x:c>
      <x:c r="BV775" s="11" t="n">
        <x:v>724968</x:v>
      </x:c>
      <x:c r="BW775" s="11" t="n">
        <x:v>146599</x:v>
      </x:c>
      <x:c r="BX775" s="11" t="n">
        <x:v>19505</x:v>
      </x:c>
      <x:c r="BY775" s="11" t="n">
        <x:v>0</x:v>
      </x:c>
      <x:c r="BZ775" s="11" t="n">
        <x:v>0</x:v>
      </x:c>
      <x:c r="CA775" s="11" t="n">
        <x:v>0</x:v>
      </x:c>
      <x:c r="CB775" s="11" t="n">
        <x:v>0</x:v>
      </x:c>
      <x:c r="CC775" s="11" t="n">
        <x:v>362675</x:v>
      </x:c>
      <x:c r="CD775" s="11" t="n">
        <x:v>501</x:v>
      </x:c>
      <x:c r="CE775" s="11" t="n">
        <x:v>25184</x:v>
      </x:c>
      <x:c r="CF775" s="11" t="n">
        <x:v>2681</x:v>
      </x:c>
      <x:c r="CG775" s="11" t="n">
        <x:v>0</x:v>
      </x:c>
      <x:c r="CH775" s="11" t="n">
        <x:v>222634</x:v>
      </x:c>
      <x:c r="CI775" s="11" t="n">
        <x:v>158636</x:v>
      </x:c>
      <x:c r="CJ775" s="11" t="n">
        <x:v>102604</x:v>
      </x:c>
      <x:c r="CK775" s="11" t="n">
        <x:v>0</x:v>
      </x:c>
      <x:c r="CL775" s="11" t="n">
        <x:v>1796</x:v>
      </x:c>
      <x:c r="CM775" s="11"/>
      <x:c r="CN775" s="11" t="n">
        <x:v>0</x:v>
      </x:c>
      <x:c r="CO775" s="11" t="n">
        <x:v>0</x:v>
      </x:c>
      <x:c r="CP775" s="8"/>
      <x:c r="CQ775" s="8"/>
    </x:row>
    <x:row r="776">
      <x:c r="A776" s="8" t="str">
        <x:v>Slocan|2023</x:v>
      </x:c>
      <x:c r="B776" s="8" t="str">
        <x:v>slocan-v</x:v>
      </x:c>
      <x:c r="C776" s="8" t="str">
        <x:v>Slocan</x:v>
      </x:c>
      <x:c r="D776" s="8" t="str">
        <x:v>Slocan</x:v>
      </x:c>
      <x:c r="E776" s="8" t="str">
        <x:v>V</x:v>
      </x:c>
      <x:c r="F776" s="8" t="str">
        <x:v>CKO</x:v>
      </x:c>
      <x:c r="G776" s="9" t="n">
        <x:v>2023</x:v>
      </x:c>
      <x:c r="H776" s="10" t="n">
        <x:v>334</x:v>
      </x:c>
      <x:c r="I776" s="8" t="str">
        <x:v>Under 5,000</x:v>
      </x:c>
      <x:c r="J776" s="11" t="n">
        <x:v>1868446</x:v>
      </x:c>
      <x:c r="K776" s="11" t="n">
        <x:v>1295344</x:v>
      </x:c>
      <x:c r="L776" s="11" t="n">
        <x:v>573102</x:v>
      </x:c>
      <x:c r="M776" s="12" t="n">
        <x:v>0.30672655243983504</x:v>
      </x:c>
      <x:c r="N776" s="11" t="n">
        <x:v>224592</x:v>
      </x:c>
      <x:c r="O776" s="11" t="n">
        <x:v>292859</x:v>
      </x:c>
      <x:c r="P776" s="11" t="n">
        <x:v>1313641</x:v>
      </x:c>
      <x:c r="Q776" s="11" t="n">
        <x:v>37354</x:v>
      </x:c>
      <x:c r="R776" s="11" t="n">
        <x:v>1091516</x:v>
      </x:c>
      <x:c r="S776" s="11" t="n">
        <x:v>162888</x:v>
      </x:c>
      <x:c r="T776" s="11" t="n">
        <x:v>2491976</x:v>
      </x:c>
      <x:c r="U776" s="11" t="n">
        <x:v>1353823</x:v>
      </x:c>
      <x:c r="V776" s="11" t="n">
        <x:v>1299652</x:v>
      </x:c>
      <x:c r="W776" s="11" t="n">
        <x:v>952269</x:v>
      </x:c>
      <x:c r="X776" s="11" t="n">
        <x:v>845000</x:v>
      </x:c>
      <x:c r="Y776" s="11" t="n">
        <x:v>0</x:v>
      </x:c>
      <x:c r="Z776" s="11" t="n">
        <x:v>145000</x:v>
      </x:c>
      <x:c r="AA776" s="11" t="n">
        <x:v>700000</x:v>
      </x:c>
      <x:c r="AB776" s="11" t="n">
        <x:v>40940</x:v>
      </x:c>
      <x:c r="AC776" s="11" t="n">
        <x:v>185940</x:v>
      </x:c>
      <x:c r="AD776" s="11" t="n">
        <x:v>223654</x:v>
      </x:c>
      <x:c r="AE776" s="11" t="n">
        <x:v>37714</x:v>
      </x:c>
      <x:c r="AF776" s="11" t="n">
        <x:v>894615</x:v>
      </x:c>
      <x:c r="AG776" s="11" t="n">
        <x:v>7953225</x:v>
      </x:c>
      <x:c r="AH776" s="11" t="n">
        <x:v>2426459</x:v>
      </x:c>
      <x:c r="AI776" s="11" t="n">
        <x:v>5526766</x:v>
      </x:c>
      <x:c r="AJ776" s="11" t="n">
        <x:v>185246</x:v>
      </x:c>
      <x:c r="AK776" s="11" t="n">
        <x:v>2301088</x:v>
      </x:c>
      <x:c r="AL776" s="11" t="n">
        <x:v>0</x:v>
      </x:c>
      <x:c r="AM776" s="12" t="n">
        <x:v>1</x:v>
      </x:c>
      <x:c r="AN776" s="12" t="n">
        <x:v>0.08050365740032542</x:v>
      </x:c>
      <x:c r="AO776" s="11" t="n">
        <x:v>687154</x:v>
      </x:c>
      <x:c r="AP776" s="11" t="n">
        <x:v>604573</x:v>
      </x:c>
      <x:c r="AQ776" s="12" t="n">
        <x:v>0.8798216993570582</x:v>
      </x:c>
      <x:c r="AR776" s="11" t="n">
        <x:v>5594.149700598802</x:v>
      </x:c>
      <x:c r="AS776" s="11" t="n">
        <x:v>3878.2754491017963</x:v>
      </x:c>
      <x:c r="AT776" s="11" t="n">
        <x:v>3891.1736526946106</x:v>
      </x:c>
      <x:c r="AU776" s="11" t="n">
        <x:v>2851.104790419162</x:v>
      </x:c>
      <x:c r="AV776" s="11" t="n">
        <x:v>2095.808383233533</x:v>
      </x:c>
      <x:c r="AW776" s="11" t="n">
        <x:v>1.8406955709867538</x:v>
      </x:c>
      <x:c r="AX776" s="12" t="n">
        <x:v>0.16862653920788362</x:v>
      </x:c>
      <x:c r="AY776" s="11"/>
      <x:c r="AZ776" s="11"/>
      <x:c r="BA776" s="11"/>
      <x:c r="BB776" s="11"/>
      <x:c r="BC776" s="11"/>
      <x:c r="BD776" s="11"/>
      <x:c r="BE776" s="11"/>
      <x:c r="BF776" s="11"/>
      <x:c r="BG776" s="11"/>
      <x:c r="BH776" s="11"/>
      <x:c r="BI776" s="11"/>
      <x:c r="BJ776" s="11"/>
      <x:c r="BK776" s="12"/>
      <x:c r="BL776" s="12"/>
      <x:c r="BM776" s="12"/>
      <x:c r="BN776" s="12"/>
      <x:c r="BO776" s="12"/>
      <x:c r="BP776" s="12"/>
      <x:c r="BQ776" s="12"/>
      <x:c r="BR776" s="12"/>
      <x:c r="BS776" s="12"/>
      <x:c r="BT776" s="12"/>
      <x:c r="BU776" s="11" t="n">
        <x:v>2347</x:v>
      </x:c>
      <x:c r="BV776" s="11" t="n">
        <x:v>1275916</x:v>
      </x:c>
      <x:c r="BW776" s="11" t="n">
        <x:v>35378</x:v>
      </x:c>
      <x:c r="BX776" s="11" t="n">
        <x:v>36164</x:v>
      </x:c>
      <x:c r="BY776" s="11" t="n">
        <x:v>0</x:v>
      </x:c>
      <x:c r="BZ776" s="11" t="n">
        <x:v>0</x:v>
      </x:c>
      <x:c r="CA776" s="11" t="n">
        <x:v>1190</x:v>
      </x:c>
      <x:c r="CB776" s="11" t="n">
        <x:v>0</x:v>
      </x:c>
      <x:c r="CC776" s="11" t="n">
        <x:v>435896</x:v>
      </x:c>
      <x:c r="CD776" s="11" t="n">
        <x:v>4400</x:v>
      </x:c>
      <x:c r="CE776" s="11" t="n">
        <x:v>26383</x:v>
      </x:c>
      <x:c r="CF776" s="11" t="n">
        <x:v>9335</x:v>
      </x:c>
      <x:c r="CG776" s="11" t="n">
        <x:v>0</x:v>
      </x:c>
      <x:c r="CH776" s="11" t="n">
        <x:v>238948</x:v>
      </x:c>
      <x:c r="CI776" s="11" t="n">
        <x:v>322289</x:v>
      </x:c>
      <x:c r="CJ776" s="11" t="n">
        <x:v>84034</x:v>
      </x:c>
      <x:c r="CK776" s="11" t="n">
        <x:v>0</x:v>
      </x:c>
      <x:c r="CL776" s="11" t="n">
        <x:v>2091</x:v>
      </x:c>
      <x:c r="CM776" s="11" t="n">
        <x:v>9080</x:v>
      </x:c>
      <x:c r="CN776" s="11" t="n">
        <x:v>0</x:v>
      </x:c>
      <x:c r="CO776" s="11" t="n">
        <x:v>0</x:v>
      </x:c>
      <x:c r="CP776" s="8"/>
      <x:c r="CQ776" s="8"/>
    </x:row>
    <x:row r="777">
      <x:c r="A777" s="8" t="str">
        <x:v>Slocan|2024</x:v>
      </x:c>
      <x:c r="B777" s="8" t="str">
        <x:v>slocan-v</x:v>
      </x:c>
      <x:c r="C777" s="8" t="str">
        <x:v>Slocan</x:v>
      </x:c>
      <x:c r="D777" s="8" t="str">
        <x:v>Slocan</x:v>
      </x:c>
      <x:c r="E777" s="8" t="str">
        <x:v>V</x:v>
      </x:c>
      <x:c r="F777" s="8" t="str">
        <x:v>CKO</x:v>
      </x:c>
      <x:c r="G777" s="9" t="n">
        <x:v>2024</x:v>
      </x:c>
      <x:c r="H777" s="10" t="n">
        <x:v>334</x:v>
      </x:c>
      <x:c r="I777" s="8" t="str">
        <x:v>Under 5,000</x:v>
      </x:c>
      <x:c r="J777" s="11" t="n">
        <x:v>1185171</x:v>
      </x:c>
      <x:c r="K777" s="11" t="n">
        <x:v>989549</x:v>
      </x:c>
      <x:c r="L777" s="11" t="n">
        <x:v>195622</x:v>
      </x:c>
      <x:c r="M777" s="12" t="n">
        <x:v>0.16505803803839278</x:v>
      </x:c>
      <x:c r="N777" s="11" t="n">
        <x:v>244203</x:v>
      </x:c>
      <x:c r="O777" s="11" t="n">
        <x:v>309325</x:v>
      </x:c>
      <x:c r="P777" s="11" t="n">
        <x:v>545956</x:v>
      </x:c>
      <x:c r="Q777" s="11" t="n">
        <x:v>85687</x:v>
      </x:c>
      <x:c r="R777" s="11" t="n">
        <x:v>781056</x:v>
      </x:c>
      <x:c r="S777" s="11" t="n">
        <x:v>171641</x:v>
      </x:c>
      <x:c r="T777" s="11" t="n">
        <x:v>3755855</x:v>
      </x:c>
      <x:c r="U777" s="11" t="n">
        <x:v>2481169</x:v>
      </x:c>
      <x:c r="V777" s="11" t="n">
        <x:v>1503231</x:v>
      </x:c>
      <x:c r="W777" s="11" t="n">
        <x:v>1084817</x:v>
      </x:c>
      <x:c r="X777" s="11" t="n">
        <x:v>700000</x:v>
      </x:c>
      <x:c r="Y777" s="11" t="n">
        <x:v>0</x:v>
      </x:c>
      <x:c r="Z777" s="11" t="n">
        <x:v>100000</x:v>
      </x:c>
      <x:c r="AA777" s="11" t="n">
        <x:v>600000</x:v>
      </x:c>
      <x:c r="AB777" s="11" t="n">
        <x:v>36852</x:v>
      </x:c>
      <x:c r="AC777" s="11" t="n">
        <x:v>136852</x:v>
      </x:c>
      <x:c r="AD777" s="11" t="n">
        <x:v>248804</x:v>
      </x:c>
      <x:c r="AE777" s="11" t="n">
        <x:v>34972</x:v>
      </x:c>
      <x:c r="AF777" s="11" t="n">
        <x:v>995215</x:v>
      </x:c>
      <x:c r="AG777" s="11" t="n">
        <x:v>8108724</x:v>
      </x:c>
      <x:c r="AH777" s="11" t="n">
        <x:v>2598100</x:v>
      </x:c>
      <x:c r="AI777" s="11" t="n">
        <x:v>5510624</x:v>
      </x:c>
      <x:c r="AJ777" s="11" t="n">
        <x:v>155499</x:v>
      </x:c>
      <x:c r="AK777" s="11" t="n">
        <x:v>19649312</x:v>
      </x:c>
      <x:c r="AL777" s="11" t="n">
        <x:v>272865</x:v>
      </x:c>
      <x:c r="AM777" s="12" t="n">
        <x:v>0.9861132542452377</x:v>
      </x:c>
      <x:c r="AN777" s="12" t="n">
        <x:v>0.007913712195114006</x:v>
      </x:c>
      <x:c r="AO777" s="11" t="n">
        <x:v>772367</x:v>
      </x:c>
      <x:c r="AP777" s="11" t="n">
        <x:v>669063</x:v>
      </x:c>
      <x:c r="AQ777" s="12" t="n">
        <x:v>0.8662501116697114</x:v>
      </x:c>
      <x:c r="AR777" s="11" t="n">
        <x:v>3548.416167664671</x:v>
      </x:c>
      <x:c r="AS777" s="11" t="n">
        <x:v>2962.7215568862275</x:v>
      </x:c>
      <x:c r="AT777" s="11" t="n">
        <x:v>4500.691616766467</x:v>
      </x:c>
      <x:c r="AU777" s="11" t="n">
        <x:v>3247.9550898203593</x:v>
      </x:c>
      <x:c r="AV777" s="11" t="n">
        <x:v>1796.4071856287426</x:v>
      </x:c>
      <x:c r="AW777" s="11" t="n">
        <x:v>1.5137441262566154</x:v>
      </x:c>
      <x:c r="AX777" s="12" t="n">
        <x:v>0.14056044115046382</x:v>
      </x:c>
      <x:c r="AY777" s="11" t="n">
        <x:v>4648.097865362712</x:v>
      </x:c>
      <x:c r="AZ777" s="11" t="n">
        <x:v>3546.5079302077975</x:v>
      </x:c>
      <x:c r="BA777" s="11" t="n">
        <x:v>3428.422456291105</x:v>
      </x:c>
      <x:c r="BB777" s="11" t="n">
        <x:v>2783.665107049771</x:v>
      </x:c>
      <x:c r="BC777" s="11" t="n">
        <x:v>5030.364110900993</x:v>
      </x:c>
      <x:c r="BD777" s="11" t="n">
        <x:v>2437.8724475115623</x:v>
      </x:c>
      <x:c r="BE777" s="11" t="n">
        <x:v>2420.45</x:v>
      </x:c>
      <x:c r="BF777" s="11" t="n">
        <x:v>1604.3462673977224</x:v>
      </x:c>
      <x:c r="BG777" s="11" t="n">
        <x:v>224.31236112962716</x:v>
      </x:c>
      <x:c r="BH777" s="11" t="n">
        <x:v>518.5374381567245</x:v>
      </x:c>
      <x:c r="BI777" s="11" t="n">
        <x:v>2.204313821553219</x:v>
      </x:c>
      <x:c r="BJ777" s="11" t="n">
        <x:v>1.7099330852451193</x:v>
      </x:c>
      <x:c r="BK777" s="12" t="n">
        <x:v>0.030042455998363887</x:v>
      </x:c>
      <x:c r="BL777" s="12" t="n">
        <x:v>0.02529861000232605</x:v>
      </x:c>
      <x:c r="BM777" s="12" t="n">
        <x:v>0.9786113537119745</x:v>
      </x:c>
      <x:c r="BN777" s="12" t="n">
        <x:v>0.9815511712696461</x:v>
      </x:c>
      <x:c r="BO777" s="12" t="n">
        <x:v>0.9039920521842442</x:v>
      </x:c>
      <x:c r="BP777" s="12" t="n">
        <x:v>0.8619101997275483</x:v>
      </x:c>
      <x:c r="BQ777" s="12" t="n">
        <x:v>0.9333160528846489</x:v>
      </x:c>
      <x:c r="BR777" s="12" t="n">
        <x:v>0.9623635142836453</x:v>
      </x:c>
      <x:c r="BS777" s="12" t="n">
        <x:v>0.20869205825466772</x:v>
      </x:c>
      <x:c r="BT777" s="12" t="n">
        <x:v>0.19976549769108282</x:v>
      </x:c>
      <x:c r="BU777" s="11" t="n">
        <x:v>0</x:v>
      </x:c>
      <x:c r="BV777" s="11" t="n">
        <x:v>436669</x:v>
      </x:c>
      <x:c r="BW777" s="11" t="n">
        <x:v>109287</x:v>
      </x:c>
      <x:c r="BX777" s="11" t="n">
        <x:v>85687</x:v>
      </x:c>
      <x:c r="BY777" s="11" t="n">
        <x:v>0</x:v>
      </x:c>
      <x:c r="BZ777" s="11" t="n">
        <x:v>0</x:v>
      </x:c>
      <x:c r="CA777" s="11" t="n">
        <x:v>0</x:v>
      </x:c>
      <x:c r="CB777" s="11" t="n">
        <x:v>0</x:v>
      </x:c>
      <x:c r="CC777" s="11" t="n">
        <x:v>378500</x:v>
      </x:c>
      <x:c r="CD777" s="11" t="n">
        <x:v>500</x:v>
      </x:c>
      <x:c r="CE777" s="11" t="n">
        <x:v>24653</x:v>
      </x:c>
      <x:c r="CF777" s="11" t="n">
        <x:v>9864</x:v>
      </x:c>
      <x:c r="CG777" s="11" t="n">
        <x:v>0</x:v>
      </x:c>
      <x:c r="CH777" s="11" t="n">
        <x:v>158895</x:v>
      </x:c>
      <x:c r="CI777" s="11" t="n">
        <x:v>131080</x:v>
      </x:c>
      <x:c r="CJ777" s="11" t="n">
        <x:v>104907</x:v>
      </x:c>
      <x:c r="CK777" s="11" t="n">
        <x:v>0</x:v>
      </x:c>
      <x:c r="CL777" s="11" t="n">
        <x:v>0</x:v>
      </x:c>
      <x:c r="CM777" s="11" t="n">
        <x:v>9509</x:v>
      </x:c>
      <x:c r="CN777" s="11" t="n">
        <x:v>0</x:v>
      </x:c>
      <x:c r="CO777" s="11" t="n">
        <x:v>0</x:v>
      </x:c>
      <x:c r="CP777" s="8"/>
      <x:c r="CQ777" s="8"/>
    </x:row>
    <x:row r="778">
      <x:c r="A778" s="8" t="str">
        <x:v>Smithers|2019</x:v>
      </x:c>
      <x:c r="B778" s="8" t="str">
        <x:v>smithers-t</x:v>
      </x:c>
      <x:c r="C778" s="8" t="str">
        <x:v>Smithers</x:v>
      </x:c>
      <x:c r="D778" s="8" t="str">
        <x:v>Smithers</x:v>
      </x:c>
      <x:c r="E778" s="8" t="str">
        <x:v>T</x:v>
      </x:c>
      <x:c r="F778" s="8" t="str">
        <x:v>BUL</x:v>
      </x:c>
      <x:c r="G778" s="9" t="n">
        <x:v>2019</x:v>
      </x:c>
      <x:c r="H778" s="10" t="n">
        <x:v>5670</x:v>
      </x:c>
      <x:c r="I778" s="8" t="str">
        <x:v>5,000 to 19,999</x:v>
      </x:c>
      <x:c r="J778" s="11" t="n">
        <x:v>22027310</x:v>
      </x:c>
      <x:c r="K778" s="11" t="n">
        <x:v>15211812</x:v>
      </x:c>
      <x:c r="L778" s="11" t="n">
        <x:v>6815498</x:v>
      </x:c>
      <x:c r="M778" s="12" t="n">
        <x:v>0.30941127173495087</x:v>
      </x:c>
      <x:c r="N778" s="11" t="n">
        <x:v>7091200</x:v>
      </x:c>
      <x:c r="O778" s="11" t="n">
        <x:v>4539163</x:v>
      </x:c>
      <x:c r="P778" s="11" t="n">
        <x:v>8906973</x:v>
      </x:c>
      <x:c r="Q778" s="11" t="n">
        <x:v>1489974</x:v>
      </x:c>
      <x:c r="R778" s="11" t="n">
        <x:v>11517265</x:v>
      </x:c>
      <x:c r="S778" s="11" t="n">
        <x:v>3499348</x:v>
      </x:c>
      <x:c r="T778" s="11" t="n">
        <x:v>16902600</x:v>
      </x:c>
      <x:c r="U778" s="11" t="n">
        <x:v>7256230</x:v>
      </x:c>
      <x:c r="V778" s="11" t="n">
        <x:v>10570859</x:v>
      </x:c>
      <x:c r="W778" s="11" t="n">
        <x:v>8435423</x:v>
      </x:c>
      <x:c r="X778" s="11" t="n">
        <x:v>4820794</x:v>
      </x:c>
      <x:c r="Y778" s="11" t="n">
        <x:v>0</x:v>
      </x:c>
      <x:c r="Z778" s="11" t="n">
        <x:v>276903</x:v>
      </x:c>
      <x:c r="AA778" s="11" t="n">
        <x:v>4471014</x:v>
      </x:c>
      <x:c r="AB778" s="11" t="n">
        <x:v>195199</x:v>
      </x:c>
      <x:c r="AC778" s="11" t="n">
        <x:v>472102</x:v>
      </x:c>
      <x:c r="AD778" s="11" t="n">
        <x:v>3218625</x:v>
      </x:c>
      <x:c r="AE778" s="11" t="n">
        <x:v>2746523</x:v>
      </x:c>
      <x:c r="AF778" s="11" t="n">
        <x:v>12874501</x:v>
      </x:c>
      <x:c r="AG778" s="11" t="n">
        <x:v>129449258</x:v>
      </x:c>
      <x:c r="AH778" s="11" t="n">
        <x:v>67157618</x:v>
      </x:c>
      <x:c r="AI778" s="11" t="n">
        <x:v>62291640</x:v>
      </x:c>
      <x:c r="AJ778" s="11" t="n">
        <x:v>2817856</x:v>
      </x:c>
      <x:c r="AK778" s="11" t="n">
        <x:v>7906779</x:v>
      </x:c>
      <x:c r="AL778" s="11" t="n">
        <x:v>0</x:v>
      </x:c>
      <x:c r="AM778" s="12" t="n">
        <x:v>1</x:v>
      </x:c>
      <x:c r="AN778" s="12" t="n">
        <x:v>0.3563848186473911</x:v>
      </x:c>
      <x:c r="AO778" s="11" t="n">
        <x:v>11735375</x:v>
      </x:c>
      <x:c r="AP778" s="11" t="n">
        <x:v>11447657</x:v>
      </x:c>
      <x:c r="AQ778" s="12" t="n">
        <x:v>0.9754828456696101</x:v>
      </x:c>
      <x:c r="AR778" s="11" t="n">
        <x:v>3884.8871252204585</x:v>
      </x:c>
      <x:c r="AS778" s="11" t="n">
        <x:v>2682.859259259259</x:v>
      </x:c>
      <x:c r="AT778" s="11" t="n">
        <x:v>1864.3490299823634</x:v>
      </x:c>
      <x:c r="AU778" s="11" t="n">
        <x:v>1487.7289241622575</x:v>
      </x:c>
      <x:c r="AV778" s="11" t="n">
        <x:v>788.5386243386243</x:v>
      </x:c>
      <x:c r="AW778" s="11" t="n">
        <x:v>2.329391433292495</x:v>
      </x:c>
      <x:c r="AX778" s="12" t="n">
        <x:v>0.8533218377412715</x:v>
      </x:c>
      <x:c r="AY778" s="11"/>
      <x:c r="AZ778" s="11"/>
      <x:c r="BA778" s="11"/>
      <x:c r="BB778" s="11"/>
      <x:c r="BC778" s="11"/>
      <x:c r="BD778" s="11"/>
      <x:c r="BE778" s="11"/>
      <x:c r="BF778" s="11"/>
      <x:c r="BG778" s="11"/>
      <x:c r="BH778" s="11"/>
      <x:c r="BI778" s="11"/>
      <x:c r="BJ778" s="11"/>
      <x:c r="BK778" s="12"/>
      <x:c r="BL778" s="12"/>
      <x:c r="BM778" s="12"/>
      <x:c r="BN778" s="12"/>
      <x:c r="BO778" s="12"/>
      <x:c r="BP778" s="12"/>
      <x:c r="BQ778" s="12"/>
      <x:c r="BR778" s="12"/>
      <x:c r="BS778" s="12"/>
      <x:c r="BT778" s="12"/>
      <x:c r="BU778" s="11" t="n">
        <x:v>1176375</x:v>
      </x:c>
      <x:c r="BV778" s="11" t="n">
        <x:v>6998860</x:v>
      </x:c>
      <x:c r="BW778" s="11" t="n">
        <x:v>731738</x:v>
      </x:c>
      <x:c r="BX778" s="11" t="n">
        <x:v>371176</x:v>
      </x:c>
      <x:c r="BY778" s="11" t="n">
        <x:v>40000</x:v>
      </x:c>
      <x:c r="BZ778" s="11" t="n">
        <x:v>80200</x:v>
      </x:c>
      <x:c r="CA778" s="11" t="n">
        <x:v>110633</x:v>
      </x:c>
      <x:c r="CB778" s="11" t="n">
        <x:v>887965</x:v>
      </x:c>
      <x:c r="CC778" s="11" t="n">
        <x:v>1591633</x:v>
      </x:c>
      <x:c r="CD778" s="11" t="n">
        <x:v>2713123</x:v>
      </x:c>
      <x:c r="CE778" s="11" t="n">
        <x:v>230424</x:v>
      </x:c>
      <x:c r="CF778" s="11" t="n">
        <x:v>47266</x:v>
      </x:c>
      <x:c r="CG778" s="11" t="n">
        <x:v>1055264</x:v>
      </x:c>
      <x:c r="CH778" s="11" t="n">
        <x:v>1353309</x:v>
      </x:c>
      <x:c r="CI778" s="11" t="n">
        <x:v>2259424</x:v>
      </x:c>
      <x:c r="CJ778" s="11" t="n">
        <x:v>507805</x:v>
      </x:c>
      <x:c r="CK778" s="11" t="n">
        <x:v>537260</x:v>
      </x:c>
      <x:c r="CL778" s="11" t="n">
        <x:v>1416956</x:v>
      </x:c>
      <x:c r="CM778" s="11"/>
      <x:c r="CN778" s="11" t="n">
        <x:v>0</x:v>
      </x:c>
      <x:c r="CO778" s="11" t="n">
        <x:v>0</x:v>
      </x:c>
      <x:c r="CP778" s="8"/>
      <x:c r="CQ778" s="8"/>
    </x:row>
    <x:row r="779">
      <x:c r="A779" s="8" t="str">
        <x:v>Smithers|2020</x:v>
      </x:c>
      <x:c r="B779" s="8" t="str">
        <x:v>smithers-t</x:v>
      </x:c>
      <x:c r="C779" s="8" t="str">
        <x:v>Smithers</x:v>
      </x:c>
      <x:c r="D779" s="8" t="str">
        <x:v>Smithers</x:v>
      </x:c>
      <x:c r="E779" s="8" t="str">
        <x:v>T</x:v>
      </x:c>
      <x:c r="F779" s="8" t="str">
        <x:v>BUL</x:v>
      </x:c>
      <x:c r="G779" s="9" t="n">
        <x:v>2020</x:v>
      </x:c>
      <x:c r="H779" s="10" t="n">
        <x:v>5664</x:v>
      </x:c>
      <x:c r="I779" s="8" t="str">
        <x:v>5,000 to 19,999</x:v>
      </x:c>
      <x:c r="J779" s="11" t="n">
        <x:v>20871352</x:v>
      </x:c>
      <x:c r="K779" s="11" t="n">
        <x:v>14774791</x:v>
      </x:c>
      <x:c r="L779" s="11" t="n">
        <x:v>6096561</x:v>
      </x:c>
      <x:c r="M779" s="12" t="n">
        <x:v>0.2921018724613528</x:v>
      </x:c>
      <x:c r="N779" s="11" t="n">
        <x:v>7080023</x:v>
      </x:c>
      <x:c r="O779" s="11" t="n">
        <x:v>3748249</x:v>
      </x:c>
      <x:c r="P779" s="11" t="n">
        <x:v>7119911</x:v>
      </x:c>
      <x:c r="Q779" s="11" t="n">
        <x:v>2923169</x:v>
      </x:c>
      <x:c r="R779" s="11" t="n">
        <x:v>11250599</x:v>
      </x:c>
      <x:c r="S779" s="11" t="n">
        <x:v>3332384</x:v>
      </x:c>
      <x:c r="T779" s="11" t="n">
        <x:v>24580604</x:v>
      </x:c>
      <x:c r="U779" s="11" t="n">
        <x:v>8530436</x:v>
      </x:c>
      <x:c r="V779" s="11" t="n">
        <x:v>16920225</x:v>
      </x:c>
      <x:c r="W779" s="11" t="n">
        <x:v>13524632</x:v>
      </x:c>
      <x:c r="X779" s="11" t="n">
        <x:v>4471014</x:v>
      </x:c>
      <x:c r="Y779" s="11" t="n">
        <x:v>0</x:v>
      </x:c>
      <x:c r="Z779" s="11" t="n">
        <x:v>225180</x:v>
      </x:c>
      <x:c r="AA779" s="11" t="n">
        <x:v>4163920</x:v>
      </x:c>
      <x:c r="AB779" s="11" t="n">
        <x:v>191808</x:v>
      </x:c>
      <x:c r="AC779" s="11" t="n">
        <x:v>416988</x:v>
      </x:c>
      <x:c r="AD779" s="11" t="n">
        <x:v>2813941</x:v>
      </x:c>
      <x:c r="AE779" s="11" t="n">
        <x:v>2396953</x:v>
      </x:c>
      <x:c r="AF779" s="11" t="n">
        <x:v>11255764</x:v>
      </x:c>
      <x:c r="AG779" s="11" t="n">
        <x:v>132376822</x:v>
      </x:c>
      <x:c r="AH779" s="11" t="n">
        <x:v>70324542</x:v>
      </x:c>
      <x:c r="AI779" s="11" t="n">
        <x:v>62052280</x:v>
      </x:c>
      <x:c r="AJ779" s="11" t="n">
        <x:v>3390415</x:v>
      </x:c>
      <x:c r="AK779" s="11" t="n">
        <x:v>7815433</x:v>
      </x:c>
      <x:c r="AL779" s="11" t="n">
        <x:v>0</x:v>
      </x:c>
      <x:c r="AM779" s="12" t="n">
        <x:v>1</x:v>
      </x:c>
      <x:c r="AN779" s="12" t="n">
        <x:v>0.4338102572179942</x:v>
      </x:c>
      <x:c r="AO779" s="11" t="n">
        <x:v>11552334</x:v>
      </x:c>
      <x:c r="AP779" s="11" t="n">
        <x:v>11183114</x:v>
      </x:c>
      <x:c r="AQ779" s="12" t="n">
        <x:v>0.9680393589728274</x:v>
      </x:c>
      <x:c r="AR779" s="11" t="n">
        <x:v>3684.9138418079096</x:v>
      </x:c>
      <x:c r="AS779" s="11" t="n">
        <x:v>2608.543608757062</x:v>
      </x:c>
      <x:c r="AT779" s="11" t="n">
        <x:v>2987.3278601694915</x:v>
      </x:c>
      <x:c r="AU779" s="11" t="n">
        <x:v>2387.8234463276835</x:v>
      </x:c>
      <x:c r="AV779" s="11" t="n">
        <x:v>735.1553672316384</x:v>
      </x:c>
      <x:c r="AW779" s="11" t="n">
        <x:v>2.881517896623338</x:v>
      </x:c>
      <x:c r="AX779" s="12" t="n">
        <x:v>0.8518135241641527</x:v>
      </x:c>
      <x:c r="AY779" s="11"/>
      <x:c r="AZ779" s="11"/>
      <x:c r="BA779" s="11"/>
      <x:c r="BB779" s="11"/>
      <x:c r="BC779" s="11"/>
      <x:c r="BD779" s="11"/>
      <x:c r="BE779" s="11"/>
      <x:c r="BF779" s="11"/>
      <x:c r="BG779" s="11"/>
      <x:c r="BH779" s="11"/>
      <x:c r="BI779" s="11"/>
      <x:c r="BJ779" s="11"/>
      <x:c r="BK779" s="12"/>
      <x:c r="BL779" s="12"/>
      <x:c r="BM779" s="12"/>
      <x:c r="BN779" s="12"/>
      <x:c r="BO779" s="12"/>
      <x:c r="BP779" s="12"/>
      <x:c r="BQ779" s="12"/>
      <x:c r="BR779" s="12"/>
      <x:c r="BS779" s="12"/>
      <x:c r="BT779" s="12"/>
      <x:c r="BU779" s="11" t="n">
        <x:v>310260</x:v>
      </x:c>
      <x:c r="BV779" s="11" t="n">
        <x:v>6096050</x:v>
      </x:c>
      <x:c r="BW779" s="11" t="n">
        <x:v>713601</x:v>
      </x:c>
      <x:c r="BX779" s="11" t="n">
        <x:v>388993</x:v>
      </x:c>
      <x:c r="BY779" s="11" t="n">
        <x:v>0</x:v>
      </x:c>
      <x:c r="BZ779" s="11" t="n">
        <x:v>2337291</x:v>
      </x:c>
      <x:c r="CA779" s="11" t="n">
        <x:v>191066</x:v>
      </x:c>
      <x:c r="CB779" s="11" t="n">
        <x:v>5819</x:v>
      </x:c>
      <x:c r="CC779" s="11" t="n">
        <x:v>1876378</x:v>
      </x:c>
      <x:c r="CD779" s="11" t="n">
        <x:v>2637738</x:v>
      </x:c>
      <x:c r="CE779" s="11" t="n">
        <x:v>225142</x:v>
      </x:c>
      <x:c r="CF779" s="11" t="n">
        <x:v>50345</x:v>
      </x:c>
      <x:c r="CG779" s="11" t="n">
        <x:v>1281208</x:v>
      </x:c>
      <x:c r="CH779" s="11" t="n">
        <x:v>1412738</x:v>
      </x:c>
      <x:c r="CI779" s="11" t="n">
        <x:v>1857505</x:v>
      </x:c>
      <x:c r="CJ779" s="11" t="n">
        <x:v>375248</x:v>
      </x:c>
      <x:c r="CK779" s="11" t="n">
        <x:v>486496</x:v>
      </x:c>
      <x:c r="CL779" s="11" t="n">
        <x:v>1239609</x:v>
      </x:c>
      <x:c r="CM779" s="11"/>
      <x:c r="CN779" s="11" t="n">
        <x:v>0</x:v>
      </x:c>
      <x:c r="CO779" s="11" t="n">
        <x:v>0</x:v>
      </x:c>
      <x:c r="CP779" s="8"/>
      <x:c r="CQ779" s="8"/>
    </x:row>
    <x:row r="780">
      <x:c r="A780" s="8" t="str">
        <x:v>Smithers|2021</x:v>
      </x:c>
      <x:c r="B780" s="8" t="str">
        <x:v>smithers-t</x:v>
      </x:c>
      <x:c r="C780" s="8" t="str">
        <x:v>Smithers</x:v>
      </x:c>
      <x:c r="D780" s="8" t="str">
        <x:v>Smithers</x:v>
      </x:c>
      <x:c r="E780" s="8" t="str">
        <x:v>T</x:v>
      </x:c>
      <x:c r="F780" s="8" t="str">
        <x:v>BUL</x:v>
      </x:c>
      <x:c r="G780" s="9" t="n">
        <x:v>2021</x:v>
      </x:c>
      <x:c r="H780" s="10" t="n">
        <x:v>5697</x:v>
      </x:c>
      <x:c r="I780" s="8" t="str">
        <x:v>5,000 to 19,999</x:v>
      </x:c>
      <x:c r="J780" s="11" t="n">
        <x:v>22488821</x:v>
      </x:c>
      <x:c r="K780" s="11" t="n">
        <x:v>15986916</x:v>
      </x:c>
      <x:c r="L780" s="11" t="n">
        <x:v>6501905</x:v>
      </x:c>
      <x:c r="M780" s="12" t="n">
        <x:v>0.28911720183107864</x:v>
      </x:c>
      <x:c r="N780" s="11" t="n">
        <x:v>7892136</x:v>
      </x:c>
      <x:c r="O780" s="11" t="n">
        <x:v>4851892</x:v>
      </x:c>
      <x:c r="P780" s="11" t="n">
        <x:v>8488818</x:v>
      </x:c>
      <x:c r="Q780" s="11" t="n">
        <x:v>1255975</x:v>
      </x:c>
      <x:c r="R780" s="11" t="n">
        <x:v>12693423</x:v>
      </x:c>
      <x:c r="S780" s="11" t="n">
        <x:v>3118712</x:v>
      </x:c>
      <x:c r="T780" s="11" t="n">
        <x:v>26454166</x:v>
      </x:c>
      <x:c r="U780" s="11" t="n">
        <x:v>10063687</x:v>
      </x:c>
      <x:c r="V780" s="11" t="n">
        <x:v>18489227</x:v>
      </x:c>
      <x:c r="W780" s="11" t="n">
        <x:v>13930242</x:v>
      </x:c>
      <x:c r="X780" s="11" t="n">
        <x:v>4163920</x:v>
      </x:c>
      <x:c r="Y780" s="11" t="n">
        <x:v>0</x:v>
      </x:c>
      <x:c r="Z780" s="11" t="n">
        <x:v>319750</x:v>
      </x:c>
      <x:c r="AA780" s="11" t="n">
        <x:v>3750854</x:v>
      </x:c>
      <x:c r="AB780" s="11" t="n">
        <x:v>174781</x:v>
      </x:c>
      <x:c r="AC780" s="11" t="n">
        <x:v>494531</x:v>
      </x:c>
      <x:c r="AD780" s="11" t="n">
        <x:v>3206038</x:v>
      </x:c>
      <x:c r="AE780" s="11" t="n">
        <x:v>2711507</x:v>
      </x:c>
      <x:c r="AF780" s="11" t="n">
        <x:v>12824151</x:v>
      </x:c>
      <x:c r="AG780" s="11" t="n">
        <x:v>140139199</x:v>
      </x:c>
      <x:c r="AH780" s="11" t="n">
        <x:v>73234761</x:v>
      </x:c>
      <x:c r="AI780" s="11" t="n">
        <x:v>66904438</x:v>
      </x:c>
      <x:c r="AJ780" s="11" t="n">
        <x:v>7994036</x:v>
      </x:c>
      <x:c r="AK780" s="11" t="n">
        <x:v>257541124</x:v>
      </x:c>
      <x:c r="AL780" s="11" t="n">
        <x:v>6120000</x:v>
      </x:c>
      <x:c r="AM780" s="12" t="n">
        <x:v>0.9762368048063657</x:v>
      </x:c>
      <x:c r="AN780" s="12" t="n">
        <x:v>0.03103984278642816</x:v>
      </x:c>
      <x:c r="AO780" s="11" t="n">
        <x:v>12877361</x:v>
      </x:c>
      <x:c r="AP780" s="11" t="n">
        <x:v>12535052</x:v>
      </x:c>
      <x:c r="AQ780" s="12" t="n">
        <x:v>0.9734177678174899</x:v>
      </x:c>
      <x:c r="AR780" s="11" t="n">
        <x:v>3947.4848165701246</x:v>
      </x:c>
      <x:c r="AS780" s="11" t="n">
        <x:v>2806.1990521327016</x:v>
      </x:c>
      <x:c r="AT780" s="11" t="n">
        <x:v>3245.432157275759</x:v>
      </x:c>
      <x:c r="AU780" s="11" t="n">
        <x:v>2445.189046866772</x:v>
      </x:c>
      <x:c r="AV780" s="11" t="n">
        <x:v>658.3910830261541</x:v>
      </x:c>
      <x:c r="AW780" s="11" t="n">
        <x:v>2.6286753552649245</x:v>
      </x:c>
      <x:c r="AX780" s="12" t="n">
        <x:v>0.8457501127559935</x:v>
      </x:c>
      <x:c r="AY780" s="11"/>
      <x:c r="AZ780" s="11"/>
      <x:c r="BA780" s="11"/>
      <x:c r="BB780" s="11"/>
      <x:c r="BC780" s="11"/>
      <x:c r="BD780" s="11"/>
      <x:c r="BE780" s="11"/>
      <x:c r="BF780" s="11"/>
      <x:c r="BG780" s="11"/>
      <x:c r="BH780" s="11"/>
      <x:c r="BI780" s="11"/>
      <x:c r="BJ780" s="11"/>
      <x:c r="BK780" s="12"/>
      <x:c r="BL780" s="12"/>
      <x:c r="BM780" s="12"/>
      <x:c r="BN780" s="12"/>
      <x:c r="BO780" s="12"/>
      <x:c r="BP780" s="12"/>
      <x:c r="BQ780" s="12"/>
      <x:c r="BR780" s="12"/>
      <x:c r="BS780" s="12"/>
      <x:c r="BT780" s="12"/>
      <x:c r="BU780" s="11" t="n">
        <x:v>5905467</x:v>
      </x:c>
      <x:c r="BV780" s="11" t="n">
        <x:v>1547362</x:v>
      </x:c>
      <x:c r="BW780" s="11" t="n">
        <x:v>1035989</x:v>
      </x:c>
      <x:c r="BX780" s="11" t="n">
        <x:v>205979</x:v>
      </x:c>
      <x:c r="BY780" s="11" t="n">
        <x:v>0</x:v>
      </x:c>
      <x:c r="BZ780" s="11" t="n">
        <x:v>1045662</x:v>
      </x:c>
      <x:c r="CA780" s="11" t="n">
        <x:v>4334</x:v>
      </x:c>
      <x:c r="CB780" s="11" t="n">
        <x:v>0</x:v>
      </x:c>
      <x:c r="CC780" s="11" t="n">
        <x:v>2188862</x:v>
      </x:c>
      <x:c r="CD780" s="11" t="n">
        <x:v>3163157</x:v>
      </x:c>
      <x:c r="CE780" s="11" t="n">
        <x:v>183601</x:v>
      </x:c>
      <x:c r="CF780" s="11" t="n">
        <x:v>65593</x:v>
      </x:c>
      <x:c r="CG780" s="11" t="n">
        <x:v>1103643</x:v>
      </x:c>
      <x:c r="CH780" s="11" t="n">
        <x:v>1855292</x:v>
      </x:c>
      <x:c r="CI780" s="11" t="n">
        <x:v>1195079</x:v>
      </x:c>
      <x:c r="CJ780" s="11" t="n">
        <x:v>518335</x:v>
      </x:c>
      <x:c r="CK780" s="11" t="n">
        <x:v>464767</x:v>
      </x:c>
      <x:c r="CL780" s="11" t="n">
        <x:v>2129875</x:v>
      </x:c>
      <x:c r="CM780" s="11"/>
      <x:c r="CN780" s="11" t="n">
        <x:v>0</x:v>
      </x:c>
      <x:c r="CO780" s="11" t="n">
        <x:v>0</x:v>
      </x:c>
      <x:c r="CP780" s="8"/>
      <x:c r="CQ780" s="8"/>
    </x:row>
    <x:row r="781">
      <x:c r="A781" s="8" t="str">
        <x:v>Smithers|2022</x:v>
      </x:c>
      <x:c r="B781" s="8" t="str">
        <x:v>smithers-t</x:v>
      </x:c>
      <x:c r="C781" s="8" t="str">
        <x:v>Smithers</x:v>
      </x:c>
      <x:c r="D781" s="8" t="str">
        <x:v>Smithers</x:v>
      </x:c>
      <x:c r="E781" s="8" t="str">
        <x:v>T</x:v>
      </x:c>
      <x:c r="F781" s="8" t="str">
        <x:v>BUL</x:v>
      </x:c>
      <x:c r="G781" s="9" t="n">
        <x:v>2022</x:v>
      </x:c>
      <x:c r="H781" s="10" t="n">
        <x:v>5725</x:v>
      </x:c>
      <x:c r="I781" s="8" t="str">
        <x:v>5,000 to 19,999</x:v>
      </x:c>
      <x:c r="J781" s="11" t="n">
        <x:v>19814662</x:v>
      </x:c>
      <x:c r="K781" s="11" t="n">
        <x:v>17793255</x:v>
      </x:c>
      <x:c r="L781" s="11" t="n">
        <x:v>2021407</x:v>
      </x:c>
      <x:c r="M781" s="12" t="n">
        <x:v>0.10201571947076361</x:v>
      </x:c>
      <x:c r="N781" s="11" t="n">
        <x:v>9001640</x:v>
      </x:c>
      <x:c r="O781" s="11" t="n">
        <x:v>5833649</x:v>
      </x:c>
      <x:c r="P781" s="11" t="n">
        <x:v>3354663</x:v>
      </x:c>
      <x:c r="Q781" s="11" t="n">
        <x:v>1624710</x:v>
      </x:c>
      <x:c r="R781" s="11" t="n">
        <x:v>13989452</x:v>
      </x:c>
      <x:c r="S781" s="11" t="n">
        <x:v>3642329</x:v>
      </x:c>
      <x:c r="T781" s="11" t="n">
        <x:v>24614698</x:v>
      </x:c>
      <x:c r="U781" s="11" t="n">
        <x:v>8546720</x:v>
      </x:c>
      <x:c r="V781" s="11" t="n">
        <x:v>17474630</x:v>
      </x:c>
      <x:c r="W781" s="11" t="n">
        <x:v>12999086</x:v>
      </x:c>
      <x:c r="X781" s="11" t="n">
        <x:v>3750854</x:v>
      </x:c>
      <x:c r="Y781" s="11" t="n">
        <x:v>0</x:v>
      </x:c>
      <x:c r="Z781" s="11" t="n">
        <x:v>274742</x:v>
      </x:c>
      <x:c r="AA781" s="11" t="n">
        <x:v>3372691</x:v>
      </x:c>
      <x:c r="AB781" s="11" t="n">
        <x:v>161474</x:v>
      </x:c>
      <x:c r="AC781" s="11" t="n">
        <x:v>436216</x:v>
      </x:c>
      <x:c r="AD781" s="11" t="n">
        <x:v>3777354</x:v>
      </x:c>
      <x:c r="AE781" s="11" t="n">
        <x:v>3341138</x:v>
      </x:c>
      <x:c r="AF781" s="11" t="n">
        <x:v>15109417</x:v>
      </x:c>
      <x:c r="AG781" s="11" t="n">
        <x:v>146694834</x:v>
      </x:c>
      <x:c r="AH781" s="11" t="n">
        <x:v>76842743</x:v>
      </x:c>
      <x:c r="AI781" s="11" t="n">
        <x:v>69852091</x:v>
      </x:c>
      <x:c r="AJ781" s="11" t="n">
        <x:v>6593789</x:v>
      </x:c>
      <x:c r="AK781" s="11" t="n">
        <x:v>278780201</x:v>
      </x:c>
      <x:c r="AL781" s="11" t="n">
        <x:v>6500000</x:v>
      </x:c>
      <x:c r="AM781" s="12" t="n">
        <x:v>0.9766841404924591</x:v>
      </x:c>
      <x:c r="AN781" s="12" t="n">
        <x:v>0.023652285837902815</x:v>
      </x:c>
      <x:c r="AO781" s="11" t="n">
        <x:v>13899816</x:v>
      </x:c>
      <x:c r="AP781" s="11" t="n">
        <x:v>13390731</x:v>
      </x:c>
      <x:c r="AQ781" s="12" t="n">
        <x:v>0.9633746950319342</x:v>
      </x:c>
      <x:c r="AR781" s="11" t="n">
        <x:v>3461.0763318777294</x:v>
      </x:c>
      <x:c r="AS781" s="11" t="n">
        <x:v>3107.9921397379912</x:v>
      </x:c>
      <x:c r="AT781" s="11" t="n">
        <x:v>3052.33711790393</x:v>
      </x:c>
      <x:c r="AU781" s="11" t="n">
        <x:v>2270.582707423581</x:v>
      </x:c>
      <x:c r="AV781" s="11" t="n">
        <x:v>589.1163318777293</x:v>
      </x:c>
      <x:c r="AW781" s="11" t="n">
        <x:v>2.8800168953703875</x:v>
      </x:c>
      <x:c r="AX781" s="12" t="n">
        <x:v>0.8845181044720722</x:v>
      </x:c>
      <x:c r="AY781" s="11"/>
      <x:c r="AZ781" s="11"/>
      <x:c r="BA781" s="11"/>
      <x:c r="BB781" s="11"/>
      <x:c r="BC781" s="11"/>
      <x:c r="BD781" s="11"/>
      <x:c r="BE781" s="11"/>
      <x:c r="BF781" s="11"/>
      <x:c r="BG781" s="11"/>
      <x:c r="BH781" s="11"/>
      <x:c r="BI781" s="11"/>
      <x:c r="BJ781" s="11"/>
      <x:c r="BK781" s="12"/>
      <x:c r="BL781" s="12"/>
      <x:c r="BM781" s="12"/>
      <x:c r="BN781" s="12"/>
      <x:c r="BO781" s="12"/>
      <x:c r="BP781" s="12"/>
      <x:c r="BQ781" s="12"/>
      <x:c r="BR781" s="12"/>
      <x:c r="BS781" s="12"/>
      <x:c r="BT781" s="12"/>
      <x:c r="BU781" s="11" t="n">
        <x:v>1546377</x:v>
      </x:c>
      <x:c r="BV781" s="11" t="n">
        <x:v>1064112</x:v>
      </x:c>
      <x:c r="BW781" s="11" t="n">
        <x:v>744174</x:v>
      </x:c>
      <x:c r="BX781" s="11" t="n">
        <x:v>501564</x:v>
      </x:c>
      <x:c r="BY781" s="11" t="n">
        <x:v>0</x:v>
      </x:c>
      <x:c r="BZ781" s="11" t="n">
        <x:v>1123146</x:v>
      </x:c>
      <x:c r="CA781" s="11" t="n">
        <x:v>0</x:v>
      </x:c>
      <x:c r="CB781" s="11" t="n">
        <x:v>0</x:v>
      </x:c>
      <x:c r="CC781" s="11" t="n">
        <x:v>2197949</x:v>
      </x:c>
      <x:c r="CD781" s="11" t="n">
        <x:v>3318031</x:v>
      </x:c>
      <x:c r="CE781" s="11" t="n">
        <x:v>224662</x:v>
      </x:c>
      <x:c r="CF781" s="11" t="n">
        <x:v>0</x:v>
      </x:c>
      <x:c r="CG781" s="11" t="n">
        <x:v>1676886</x:v>
      </x:c>
      <x:c r="CH781" s="11" t="n">
        <x:v>2037345</x:v>
      </x:c>
      <x:c r="CI781" s="11" t="n">
        <x:v>1897061</x:v>
      </x:c>
      <x:c r="CJ781" s="11" t="n">
        <x:v>441537</x:v>
      </x:c>
      <x:c r="CK781" s="11" t="n">
        <x:v>566625</x:v>
      </x:c>
      <x:c r="CL781" s="11" t="n">
        <x:v>1790023</x:v>
      </x:c>
      <x:c r="CM781" s="11"/>
      <x:c r="CN781" s="11" t="n">
        <x:v>807</x:v>
      </x:c>
      <x:c r="CO781" s="11" t="n">
        <x:v>0</x:v>
      </x:c>
      <x:c r="CP781" s="8"/>
      <x:c r="CQ781" s="8"/>
    </x:row>
    <x:row r="782">
      <x:c r="A782" s="8" t="str">
        <x:v>Smithers|2023</x:v>
      </x:c>
      <x:c r="B782" s="8" t="str">
        <x:v>smithers-t</x:v>
      </x:c>
      <x:c r="C782" s="8" t="str">
        <x:v>Smithers</x:v>
      </x:c>
      <x:c r="D782" s="8" t="str">
        <x:v>Smithers</x:v>
      </x:c>
      <x:c r="E782" s="8" t="str">
        <x:v>T</x:v>
      </x:c>
      <x:c r="F782" s="8" t="str">
        <x:v>BUL</x:v>
      </x:c>
      <x:c r="G782" s="9" t="n">
        <x:v>2023</x:v>
      </x:c>
      <x:c r="H782" s="10" t="n">
        <x:v>5879</x:v>
      </x:c>
      <x:c r="I782" s="8" t="str">
        <x:v>5,000 to 19,999</x:v>
      </x:c>
      <x:c r="J782" s="11" t="n">
        <x:v>25582323</x:v>
      </x:c>
      <x:c r="K782" s="11" t="n">
        <x:v>19192495</x:v>
      </x:c>
      <x:c r="L782" s="11" t="n">
        <x:v>6389828</x:v>
      </x:c>
      <x:c r="M782" s="12" t="n">
        <x:v>0.2497751279272019</x:v>
      </x:c>
      <x:c r="N782" s="11" t="n">
        <x:v>9600412</x:v>
      </x:c>
      <x:c r="O782" s="11" t="n">
        <x:v>6187214</x:v>
      </x:c>
      <x:c r="P782" s="11" t="n">
        <x:v>7441513</x:v>
      </x:c>
      <x:c r="Q782" s="11" t="n">
        <x:v>2353184</x:v>
      </x:c>
      <x:c r="R782" s="11" t="n">
        <x:v>15178746</x:v>
      </x:c>
      <x:c r="S782" s="11" t="n">
        <x:v>3860701</x:v>
      </x:c>
      <x:c r="T782" s="11" t="n">
        <x:v>30506413</x:v>
      </x:c>
      <x:c r="U782" s="11" t="n">
        <x:v>12936843</x:v>
      </x:c>
      <x:c r="V782" s="11" t="n">
        <x:v>19212984</x:v>
      </x:c>
      <x:c r="W782" s="11" t="n">
        <x:v>16067507</x:v>
      </x:c>
      <x:c r="X782" s="11" t="n">
        <x:v>3372691</x:v>
      </x:c>
      <x:c r="Y782" s="11" t="n">
        <x:v>0</x:v>
      </x:c>
      <x:c r="Z782" s="11" t="n">
        <x:v>259621</x:v>
      </x:c>
      <x:c r="AA782" s="11" t="n">
        <x:v>3021905</x:v>
      </x:c>
      <x:c r="AB782" s="11" t="n">
        <x:v>153048</x:v>
      </x:c>
      <x:c r="AC782" s="11" t="n">
        <x:v>412669</x:v>
      </x:c>
      <x:c r="AD782" s="11" t="n">
        <x:v>4154661</x:v>
      </x:c>
      <x:c r="AE782" s="11" t="n">
        <x:v>3741992</x:v>
      </x:c>
      <x:c r="AF782" s="11" t="n">
        <x:v>16618644</x:v>
      </x:c>
      <x:c r="AG782" s="11" t="n">
        <x:v>154606738</x:v>
      </x:c>
      <x:c r="AH782" s="11" t="n">
        <x:v>80626554</x:v>
      </x:c>
      <x:c r="AI782" s="11" t="n">
        <x:v>73980184</x:v>
      </x:c>
      <x:c r="AJ782" s="11" t="n">
        <x:v>6070429</x:v>
      </x:c>
      <x:c r="AK782" s="11" t="n">
        <x:v>436380731</x:v>
      </x:c>
      <x:c r="AL782" s="11" t="n">
        <x:v>7150000</x:v>
      </x:c>
      <x:c r="AM782" s="12" t="n">
        <x:v>0.9836152252102992</x:v>
      </x:c>
      <x:c r="AN782" s="12" t="n">
        <x:v>0.013910854831030566</x:v>
      </x:c>
      <x:c r="AO782" s="11" t="n">
        <x:v>15015650</x:v>
      </x:c>
      <x:c r="AP782" s="11" t="n">
        <x:v>14679268</x:v>
      </x:c>
      <x:c r="AQ782" s="12" t="n">
        <x:v>0.9775979061845474</x:v>
      </x:c>
      <x:c r="AR782" s="11" t="n">
        <x:v>4351.475250893009</x:v>
      </x:c>
      <x:c r="AS782" s="11" t="n">
        <x:v>3264.5849634291544</x:v>
      </x:c>
      <x:c r="AT782" s="11" t="n">
        <x:v>3268.070079945569</x:v>
      </x:c>
      <x:c r="AU782" s="11" t="n">
        <x:v>2733.034019391053</x:v>
      </x:c>
      <x:c r="AV782" s="11" t="n">
        <x:v>514.0168395985712</x:v>
      </x:c>
      <x:c r="AW782" s="11" t="n">
        <x:v>2.3581033641669764</x:v>
      </x:c>
      <x:c r="AX782" s="12" t="n">
        <x:v>0.9006732438579225</x:v>
      </x:c>
      <x:c r="AY782" s="11"/>
      <x:c r="AZ782" s="11"/>
      <x:c r="BA782" s="11"/>
      <x:c r="BB782" s="11"/>
      <x:c r="BC782" s="11"/>
      <x:c r="BD782" s="11"/>
      <x:c r="BE782" s="11"/>
      <x:c r="BF782" s="11"/>
      <x:c r="BG782" s="11"/>
      <x:c r="BH782" s="11"/>
      <x:c r="BI782" s="11"/>
      <x:c r="BJ782" s="11"/>
      <x:c r="BK782" s="12"/>
      <x:c r="BL782" s="12"/>
      <x:c r="BM782" s="12"/>
      <x:c r="BN782" s="12"/>
      <x:c r="BO782" s="12"/>
      <x:c r="BP782" s="12"/>
      <x:c r="BQ782" s="12"/>
      <x:c r="BR782" s="12"/>
      <x:c r="BS782" s="12"/>
      <x:c r="BT782" s="12"/>
      <x:c r="BU782" s="11" t="n">
        <x:v>716778</x:v>
      </x:c>
      <x:c r="BV782" s="11" t="n">
        <x:v>5758030</x:v>
      </x:c>
      <x:c r="BW782" s="11" t="n">
        <x:v>966705</x:v>
      </x:c>
      <x:c r="BX782" s="11" t="n">
        <x:v>1285456</x:v>
      </x:c>
      <x:c r="BY782" s="11" t="n">
        <x:v>0</x:v>
      </x:c>
      <x:c r="BZ782" s="11" t="n">
        <x:v>244755</x:v>
      </x:c>
      <x:c r="CA782" s="11" t="n">
        <x:v>822973</x:v>
      </x:c>
      <x:c r="CB782" s="11" t="n">
        <x:v>0</x:v>
      </x:c>
      <x:c r="CC782" s="11" t="n">
        <x:v>1982142</x:v>
      </x:c>
      <x:c r="CD782" s="11" t="n">
        <x:v>3803040</x:v>
      </x:c>
      <x:c r="CE782" s="11" t="n">
        <x:v>369404</x:v>
      </x:c>
      <x:c r="CF782" s="11" t="n">
        <x:v>64749</x:v>
      </x:c>
      <x:c r="CG782" s="11" t="n">
        <x:v>1515900</x:v>
      </x:c>
      <x:c r="CH782" s="11" t="n">
        <x:v>2061367</x:v>
      </x:c>
      <x:c r="CI782" s="11" t="n">
        <x:v>2242928</x:v>
      </x:c>
      <x:c r="CJ782" s="11" t="n">
        <x:v>676272</x:v>
      </x:c>
      <x:c r="CK782" s="11" t="n">
        <x:v>578768</x:v>
      </x:c>
      <x:c r="CL782" s="11" t="n">
        <x:v>1952920</x:v>
      </x:c>
      <x:c r="CM782" s="11" t="n">
        <x:v>84304</x:v>
      </x:c>
      <x:c r="CN782" s="11" t="n">
        <x:v>0</x:v>
      </x:c>
      <x:c r="CO782" s="11" t="n">
        <x:v>0</x:v>
      </x:c>
      <x:c r="CP782" s="8"/>
      <x:c r="CQ782" s="8"/>
    </x:row>
    <x:row r="783">
      <x:c r="A783" s="8" t="str">
        <x:v>Smithers|2024</x:v>
      </x:c>
      <x:c r="B783" s="8" t="str">
        <x:v>smithers-t</x:v>
      </x:c>
      <x:c r="C783" s="8" t="str">
        <x:v>Smithers</x:v>
      </x:c>
      <x:c r="D783" s="8" t="str">
        <x:v>Smithers</x:v>
      </x:c>
      <x:c r="E783" s="8" t="str">
        <x:v>T</x:v>
      </x:c>
      <x:c r="F783" s="8" t="str">
        <x:v>BUL</x:v>
      </x:c>
      <x:c r="G783" s="9" t="n">
        <x:v>2024</x:v>
      </x:c>
      <x:c r="H783" s="10" t="n">
        <x:v>5879</x:v>
      </x:c>
      <x:c r="I783" s="8" t="str">
        <x:v>5,000 to 19,999</x:v>
      </x:c>
      <x:c r="J783" s="11" t="n">
        <x:v>30970266</x:v>
      </x:c>
      <x:c r="K783" s="11" t="n">
        <x:v>20402887</x:v>
      </x:c>
      <x:c r="L783" s="11" t="n">
        <x:v>10567379</x:v>
      </x:c>
      <x:c r="M783" s="12" t="n">
        <x:v>0.34121046942251</x:v>
      </x:c>
      <x:c r="N783" s="11" t="n">
        <x:v>10276324</x:v>
      </x:c>
      <x:c r="O783" s="11" t="n">
        <x:v>6569476</x:v>
      </x:c>
      <x:c r="P783" s="11" t="n">
        <x:v>10396721</x:v>
      </x:c>
      <x:c r="Q783" s="11" t="n">
        <x:v>3727745</x:v>
      </x:c>
      <x:c r="R783" s="11" t="n">
        <x:v>16295031</x:v>
      </x:c>
      <x:c r="S783" s="11" t="n">
        <x:v>3963269</x:v>
      </x:c>
      <x:c r="T783" s="11" t="n">
        <x:v>32182521</x:v>
      </x:c>
      <x:c r="U783" s="11" t="n">
        <x:v>13920593</x:v>
      </x:c>
      <x:c r="V783" s="11" t="n">
        <x:v>21979400</x:v>
      </x:c>
      <x:c r="W783" s="11" t="n">
        <x:v>20041798</x:v>
      </x:c>
      <x:c r="X783" s="11" t="n">
        <x:v>3021905</x:v>
      </x:c>
      <x:c r="Y783" s="11" t="n">
        <x:v>0</x:v>
      </x:c>
      <x:c r="Z783" s="11" t="n">
        <x:v>196970</x:v>
      </x:c>
      <x:c r="AA783" s="11" t="n">
        <x:v>2747813</x:v>
      </x:c>
      <x:c r="AB783" s="11" t="n">
        <x:v>144587</x:v>
      </x:c>
      <x:c r="AC783" s="11" t="n">
        <x:v>341557</x:v>
      </x:c>
      <x:c r="AD783" s="11" t="n">
        <x:v>4490609</x:v>
      </x:c>
      <x:c r="AE783" s="11" t="n">
        <x:v>4149052</x:v>
      </x:c>
      <x:c r="AF783" s="11" t="n">
        <x:v>17962436</x:v>
      </x:c>
      <x:c r="AG783" s="11" t="n">
        <x:v>166543166</x:v>
      </x:c>
      <x:c r="AH783" s="11" t="n">
        <x:v>84589825</x:v>
      </x:c>
      <x:c r="AI783" s="11" t="n">
        <x:v>81953341</x:v>
      </x:c>
      <x:c r="AJ783" s="11" t="n">
        <x:v>12082693</x:v>
      </x:c>
      <x:c r="AK783" s="11" t="n">
        <x:v>442680488</x:v>
      </x:c>
      <x:c r="AL783" s="11" t="n">
        <x:v>8230000</x:v>
      </x:c>
      <x:c r="AM783" s="12" t="n">
        <x:v>0.9814087130038585</x:v>
      </x:c>
      <x:c r="AN783" s="12" t="n">
        <x:v>0.027294388001126445</x:v>
      </x:c>
      <x:c r="AO783" s="11" t="n">
        <x:v>21393120</x:v>
      </x:c>
      <x:c r="AP783" s="11" t="n">
        <x:v>20959690</x:v>
      </x:c>
      <x:c r="AQ783" s="12" t="n">
        <x:v>0.9797397481059331</x:v>
      </x:c>
      <x:c r="AR783" s="11" t="n">
        <x:v>5267.947950331689</x:v>
      </x:c>
      <x:c r="AS783" s="11" t="n">
        <x:v>3470.4689573056644</x:v>
      </x:c>
      <x:c r="AT783" s="11" t="n">
        <x:v>3738.6290185405683</x:v>
      </x:c>
      <x:c r="AU783" s="11" t="n">
        <x:v>3409.0488178261608</x:v>
      </x:c>
      <x:c r="AV783" s="11" t="n">
        <x:v>467.39462493621363</x:v>
      </x:c>
      <x:c r="AW783" s="11" t="n">
        <x:v>2.3118642287724382</x:v>
      </x:c>
      <x:c r="AX783" s="12" t="n">
        <x:v>0.9239397150809612</x:v>
      </x:c>
      <x:c r="AY783" s="11" t="n">
        <x:v>2866.2208483821423</x:v>
      </x:c>
      <x:c r="AZ783" s="11" t="n">
        <x:v>3546.5079302077975</x:v>
      </x:c>
      <x:c r="BA783" s="11" t="n">
        <x:v>2297.657175284081</x:v>
      </x:c>
      <x:c r="BB783" s="11" t="n">
        <x:v>2783.665107049771</x:v>
      </x:c>
      <x:c r="BC783" s="11" t="n">
        <x:v>1859.732534766857</x:v>
      </x:c>
      <x:c r="BD783" s="11" t="n">
        <x:v>2437.8724475115623</x:v>
      </x:c>
      <x:c r="BE783" s="11" t="n">
        <x:v>918.4907099893891</x:v>
      </x:c>
      <x:c r="BF783" s="11" t="n">
        <x:v>1604.3462673977224</x:v>
      </x:c>
      <x:c r="BG783" s="11" t="n">
        <x:v>814.8464198087386</x:v>
      </x:c>
      <x:c r="BH783" s="11" t="n">
        <x:v>518.5374381567245</x:v>
      </x:c>
      <x:c r="BI783" s="11" t="n">
        <x:v>1.5120151567026447</x:v>
      </x:c>
      <x:c r="BJ783" s="11" t="n">
        <x:v>1.7099330852451193</x:v>
      </x:c>
      <x:c r="BK783" s="12" t="n">
        <x:v>0.024769834473671436</x:v>
      </x:c>
      <x:c r="BL783" s="12" t="n">
        <x:v>0.02529861000232605</x:v>
      </x:c>
      <x:c r="BM783" s="12" t="n">
        <x:v>0.9804574834797263</x:v>
      </x:c>
      <x:c r="BN783" s="12" t="n">
        <x:v>0.9815511712696461</x:v>
      </x:c>
      <x:c r="BO783" s="12" t="n">
        <x:v>0.8566659461626738</x:v>
      </x:c>
      <x:c r="BP783" s="12" t="n">
        <x:v>0.8619101997275483</x:v>
      </x:c>
      <x:c r="BQ783" s="12" t="n">
        <x:v>0.9770312225566793</x:v>
      </x:c>
      <x:c r="BR783" s="12" t="n">
        <x:v>0.9623635142836453</x:v>
      </x:c>
      <x:c r="BS783" s="12" t="n">
        <x:v>0.17479552285244132</x:v>
      </x:c>
      <x:c r="BT783" s="12" t="n">
        <x:v>0.19976549769108282</x:v>
      </x:c>
      <x:c r="BU783" s="11" t="n">
        <x:v>2582247</x:v>
      </x:c>
      <x:c r="BV783" s="11" t="n">
        <x:v>6003516</x:v>
      </x:c>
      <x:c r="BW783" s="11" t="n">
        <x:v>1810958</x:v>
      </x:c>
      <x:c r="BX783" s="11" t="n">
        <x:v>1539837</x:v>
      </x:c>
      <x:c r="BY783" s="11" t="n">
        <x:v>0</x:v>
      </x:c>
      <x:c r="BZ783" s="11" t="n">
        <x:v>2111058</x:v>
      </x:c>
      <x:c r="CA783" s="11" t="n">
        <x:v>76850</x:v>
      </x:c>
      <x:c r="CB783" s="11" t="n">
        <x:v>0</x:v>
      </x:c>
      <x:c r="CC783" s="11" t="n">
        <x:v>2253393</x:v>
      </x:c>
      <x:c r="CD783" s="11" t="n">
        <x:v>3847673</x:v>
      </x:c>
      <x:c r="CE783" s="11" t="n">
        <x:v>520394</x:v>
      </x:c>
      <x:c r="CF783" s="11" t="n">
        <x:v>63140</x:v>
      </x:c>
      <x:c r="CG783" s="11" t="n">
        <x:v>1999148</x:v>
      </x:c>
      <x:c r="CH783" s="11" t="n">
        <x:v>2103800</x:v>
      </x:c>
      <x:c r="CI783" s="11" t="n">
        <x:v>2576314</x:v>
      </x:c>
      <x:c r="CJ783" s="11" t="n">
        <x:v>472046</x:v>
      </x:c>
      <x:c r="CK783" s="11" t="n">
        <x:v>599658</x:v>
      </x:c>
      <x:c r="CL783" s="11" t="n">
        <x:v>1916105</x:v>
      </x:c>
      <x:c r="CM783" s="11" t="n">
        <x:v>87947</x:v>
      </x:c>
      <x:c r="CN783" s="11" t="n">
        <x:v>0</x:v>
      </x:c>
      <x:c r="CO783" s="11" t="n">
        <x:v>0</x:v>
      </x:c>
      <x:c r="CP783" s="8"/>
      <x:c r="CQ783" s="8"/>
    </x:row>
    <x:row r="784">
      <x:c r="A784" s="8" t="str">
        <x:v>Sooke|2019</x:v>
      </x:c>
      <x:c r="B784" s="8" t="str">
        <x:v>sooke-d</x:v>
      </x:c>
      <x:c r="C784" s="8" t="str">
        <x:v>Sooke</x:v>
      </x:c>
      <x:c r="D784" s="8" t="str">
        <x:v>Sooke</x:v>
      </x:c>
      <x:c r="E784" s="8" t="str">
        <x:v>D</x:v>
      </x:c>
      <x:c r="F784" s="8" t="str">
        <x:v>CAP</x:v>
      </x:c>
      <x:c r="G784" s="9" t="n">
        <x:v>2019</x:v>
      </x:c>
      <x:c r="H784" s="10" t="n">
        <x:v>14657</x:v>
      </x:c>
      <x:c r="I784" s="8" t="str">
        <x:v>5,000 to 19,999</x:v>
      </x:c>
      <x:c r="J784" s="11" t="n">
        <x:v>15963280</x:v>
      </x:c>
      <x:c r="K784" s="11" t="n">
        <x:v>14317448</x:v>
      </x:c>
      <x:c r="L784" s="11" t="n">
        <x:v>1645832</x:v>
      </x:c>
      <x:c r="M784" s="12" t="n">
        <x:v>0.1031011170636611</x:v>
      </x:c>
      <x:c r="N784" s="11" t="n">
        <x:v>8849866</x:v>
      </x:c>
      <x:c r="O784" s="11" t="n">
        <x:v>3471234</x:v>
      </x:c>
      <x:c r="P784" s="11" t="n">
        <x:v>1962267</x:v>
      </x:c>
      <x:c r="Q784" s="11" t="n">
        <x:v>1679913</x:v>
      </x:c>
      <x:c r="R784" s="11" t="n">
        <x:v>11174794</x:v>
      </x:c>
      <x:c r="S784" s="11" t="n">
        <x:v>2952484</x:v>
      </x:c>
      <x:c r="T784" s="11" t="n">
        <x:v>15040566</x:v>
      </x:c>
      <x:c r="U784" s="11" t="n">
        <x:v>13604432</x:v>
      </x:c>
      <x:c r="V784" s="11" t="n">
        <x:v>2618571</x:v>
      </x:c>
      <x:c r="W784" s="11" t="n">
        <x:v>5816102</x:v>
      </x:c>
      <x:c r="X784" s="11" t="n">
        <x:v>5407202</x:v>
      </x:c>
      <x:c r="Y784" s="11" t="n">
        <x:v>369938</x:v>
      </x:c>
      <x:c r="Z784" s="11" t="n">
        <x:v>664968</x:v>
      </x:c>
      <x:c r="AA784" s="11" t="n">
        <x:v>4923376</x:v>
      </x:c>
      <x:c r="AB784" s="11" t="n">
        <x:v>190170</x:v>
      </x:c>
      <x:c r="AC784" s="11" t="n">
        <x:v>855138</x:v>
      </x:c>
      <x:c r="AD784" s="11" t="n">
        <x:v>3283688</x:v>
      </x:c>
      <x:c r="AE784" s="11" t="n">
        <x:v>2428550</x:v>
      </x:c>
      <x:c r="AF784" s="11" t="n">
        <x:v>13134753</x:v>
      </x:c>
      <x:c r="AG784" s="11" t="n">
        <x:v>154540449</x:v>
      </x:c>
      <x:c r="AH784" s="11" t="n">
        <x:v>44313888</x:v>
      </x:c>
      <x:c r="AI784" s="11" t="n">
        <x:v>110226561</x:v>
      </x:c>
      <x:c r="AJ784" s="11" t="n">
        <x:v>3431291</x:v>
      </x:c>
      <x:c r="AK784" s="11" t="n">
        <x:v>154540459</x:v>
      </x:c>
      <x:c r="AL784" s="11" t="n">
        <x:v>1501376</x:v>
      </x:c>
      <x:c r="AM784" s="12" t="n">
        <x:v>0.9902849000856144</x:v>
      </x:c>
      <x:c r="AN784" s="12" t="n">
        <x:v>0.022203188874959923</x:v>
      </x:c>
      <x:c r="AO784" s="11" t="n">
        <x:v>20021376</x:v>
      </x:c>
      <x:c r="AP784" s="11" t="n">
        <x:v>19180247</x:v>
      </x:c>
      <x:c r="AQ784" s="12" t="n">
        <x:v>0.9579884519425638</x:v>
      </x:c>
      <x:c r="AR784" s="11" t="n">
        <x:v>1089.123285802006</x:v>
      </x:c>
      <x:c r="AS784" s="11" t="n">
        <x:v>976.8334584157741</x:v>
      </x:c>
      <x:c r="AT784" s="11" t="n">
        <x:v>178.65668281367266</x:v>
      </x:c>
      <x:c r="AU784" s="11" t="n">
        <x:v>396.81394555502493</x:v>
      </x:c>
      <x:c r="AV784" s="11" t="n">
        <x:v>335.9061199426895</x:v>
      </x:c>
      <x:c r="AW784" s="11" t="n">
        <x:v>1.1055636868926244</x:v>
      </x:c>
      <x:c r="AX784" s="12" t="n">
        <x:v>0.7395800088193519</x:v>
      </x:c>
      <x:c r="AY784" s="11"/>
      <x:c r="AZ784" s="11"/>
      <x:c r="BA784" s="11"/>
      <x:c r="BB784" s="11"/>
      <x:c r="BC784" s="11"/>
      <x:c r="BD784" s="11"/>
      <x:c r="BE784" s="11"/>
      <x:c r="BF784" s="11"/>
      <x:c r="BG784" s="11"/>
      <x:c r="BH784" s="11"/>
      <x:c r="BI784" s="11"/>
      <x:c r="BJ784" s="11"/>
      <x:c r="BK784" s="12"/>
      <x:c r="BL784" s="12"/>
      <x:c r="BM784" s="12"/>
      <x:c r="BN784" s="12"/>
      <x:c r="BO784" s="12"/>
      <x:c r="BP784" s="12"/>
      <x:c r="BQ784" s="12"/>
      <x:c r="BR784" s="12"/>
      <x:c r="BS784" s="12"/>
      <x:c r="BT784" s="12"/>
      <x:c r="BU784" s="11" t="n">
        <x:v>0</x:v>
      </x:c>
      <x:c r="BV784" s="11" t="n">
        <x:v>507930</x:v>
      </x:c>
      <x:c r="BW784" s="11" t="n">
        <x:v>1454337</x:v>
      </x:c>
      <x:c r="BX784" s="11" t="n">
        <x:v>292903</x:v>
      </x:c>
      <x:c r="BY784" s="11" t="n">
        <x:v>0</x:v>
      </x:c>
      <x:c r="BZ784" s="11" t="n">
        <x:v>1387010</x:v>
      </x:c>
      <x:c r="CA784" s="11" t="n">
        <x:v>0</x:v>
      </x:c>
      <x:c r="CB784" s="11" t="n">
        <x:v>0</x:v>
      </x:c>
      <x:c r="CC784" s="11" t="n">
        <x:v>3000332</x:v>
      </x:c>
      <x:c r="CD784" s="11" t="n">
        <x:v>4002491</x:v>
      </x:c>
      <x:c r="CE784" s="11" t="n">
        <x:v>0</x:v>
      </x:c>
      <x:c r="CF784" s="11" t="n">
        <x:v>0</x:v>
      </x:c>
      <x:c r="CG784" s="11" t="n">
        <x:v>957395</x:v>
      </x:c>
      <x:c r="CH784" s="11" t="n">
        <x:v>1207973</x:v>
      </x:c>
      <x:c r="CI784" s="11" t="n">
        <x:v>627936</x:v>
      </x:c>
      <x:c r="CJ784" s="11" t="n">
        <x:v>0</x:v>
      </x:c>
      <x:c r="CK784" s="11" t="n">
        <x:v>1481227</x:v>
      </x:c>
      <x:c r="CL784" s="11" t="n">
        <x:v>0</x:v>
      </x:c>
      <x:c r="CM784" s="11"/>
      <x:c r="CN784" s="11" t="n">
        <x:v>87610</x:v>
      </x:c>
      <x:c r="CO784" s="11" t="n">
        <x:v>0</x:v>
      </x:c>
      <x:c r="CP784" s="8"/>
      <x:c r="CQ784" s="8"/>
    </x:row>
    <x:row r="785">
      <x:c r="A785" s="8" t="str">
        <x:v>Sooke|2020</x:v>
      </x:c>
      <x:c r="B785" s="8" t="str">
        <x:v>sooke-d</x:v>
      </x:c>
      <x:c r="C785" s="8" t="str">
        <x:v>Sooke</x:v>
      </x:c>
      <x:c r="D785" s="8" t="str">
        <x:v>Sooke</x:v>
      </x:c>
      <x:c r="E785" s="8" t="str">
        <x:v>D</x:v>
      </x:c>
      <x:c r="F785" s="8" t="str">
        <x:v>CAP</x:v>
      </x:c>
      <x:c r="G785" s="9" t="n">
        <x:v>2020</x:v>
      </x:c>
      <x:c r="H785" s="10" t="n">
        <x:v>15083</x:v>
      </x:c>
      <x:c r="I785" s="8" t="str">
        <x:v>5,000 to 19,999</x:v>
      </x:c>
      <x:c r="J785" s="11" t="n">
        <x:v>23769755</x:v>
      </x:c>
      <x:c r="K785" s="11" t="n">
        <x:v>15273086</x:v>
      </x:c>
      <x:c r="L785" s="11" t="n">
        <x:v>8496669</x:v>
      </x:c>
      <x:c r="M785" s="12" t="n">
        <x:v>0.35745715511161136</x:v>
      </x:c>
      <x:c r="N785" s="11" t="n">
        <x:v>8832788</x:v>
      </x:c>
      <x:c r="O785" s="11" t="n">
        <x:v>4216445</x:v>
      </x:c>
      <x:c r="P785" s="11" t="n">
        <x:v>4170305</x:v>
      </x:c>
      <x:c r="Q785" s="11" t="n">
        <x:v>6550217</x:v>
      </x:c>
      <x:c r="R785" s="11" t="n">
        <x:v>11878287</x:v>
      </x:c>
      <x:c r="S785" s="11" t="n">
        <x:v>3194435</x:v>
      </x:c>
      <x:c r="T785" s="11" t="n">
        <x:v>21399501</x:v>
      </x:c>
      <x:c r="U785" s="11" t="n">
        <x:v>17542720</x:v>
      </x:c>
      <x:c r="V785" s="11" t="n">
        <x:v>5237990</x:v>
      </x:c>
      <x:c r="W785" s="11" t="n">
        <x:v>9431886</x:v>
      </x:c>
      <x:c r="X785" s="11" t="n">
        <x:v>4923376</x:v>
      </x:c>
      <x:c r="Y785" s="11" t="n">
        <x:v>800000</x:v>
      </x:c>
      <x:c r="Z785" s="11" t="n">
        <x:v>809503</x:v>
      </x:c>
      <x:c r="AA785" s="11" t="n">
        <x:v>4699848</x:v>
      </x:c>
      <x:c r="AB785" s="11" t="n">
        <x:v>200364</x:v>
      </x:c>
      <x:c r="AC785" s="11" t="n">
        <x:v>1009867</x:v>
      </x:c>
      <x:c r="AD785" s="11" t="n">
        <x:v>3421445</x:v>
      </x:c>
      <x:c r="AE785" s="11" t="n">
        <x:v>2411578</x:v>
      </x:c>
      <x:c r="AF785" s="11" t="n">
        <x:v>13685778</x:v>
      </x:c>
      <x:c r="AG785" s="11" t="n">
        <x:v>163697281</x:v>
      </x:c>
      <x:c r="AH785" s="11" t="n">
        <x:v>47508322</x:v>
      </x:c>
      <x:c r="AI785" s="11" t="n">
        <x:v>116188959</x:v>
      </x:c>
      <x:c r="AJ785" s="11" t="n">
        <x:v>9156832</x:v>
      </x:c>
      <x:c r="AK785" s="11" t="n">
        <x:v>163697281</x:v>
      </x:c>
      <x:c r="AL785" s="11" t="n">
        <x:v>1481438</x:v>
      </x:c>
      <x:c r="AM785" s="12" t="n">
        <x:v>0.9909501367954914</x:v>
      </x:c>
      <x:c r="AN785" s="12" t="n">
        <x:v>0.055937593734376075</x:v>
      </x:c>
      <x:c r="AO785" s="11" t="n">
        <x:v>20164266</x:v>
      </x:c>
      <x:c r="AP785" s="11" t="n">
        <x:v>19350904</x:v>
      </x:c>
      <x:c r="AQ785" s="12" t="n">
        <x:v>0.9596631982537822</x:v>
      </x:c>
      <x:c r="AR785" s="11" t="n">
        <x:v>1575.9301863024598</x:v>
      </x:c>
      <x:c r="AS785" s="11" t="n">
        <x:v>1012.6026652522708</x:v>
      </x:c>
      <x:c r="AT785" s="11" t="n">
        <x:v>347.27772989458333</x:v>
      </x:c>
      <x:c r="AU785" s="11" t="n">
        <x:v>625.3322283365378</x:v>
      </x:c>
      <x:c r="AV785" s="11" t="n">
        <x:v>311.59901876284556</x:v>
      </x:c>
      <x:c r="AW785" s="11" t="n">
        <x:v>1.219850798507871</x:v>
      </x:c>
      <x:c r="AX785" s="12" t="n">
        <x:v>0.7048419600490436</x:v>
      </x:c>
      <x:c r="AY785" s="11"/>
      <x:c r="AZ785" s="11"/>
      <x:c r="BA785" s="11"/>
      <x:c r="BB785" s="11"/>
      <x:c r="BC785" s="11"/>
      <x:c r="BD785" s="11"/>
      <x:c r="BE785" s="11"/>
      <x:c r="BF785" s="11"/>
      <x:c r="BG785" s="11"/>
      <x:c r="BH785" s="11"/>
      <x:c r="BI785" s="11"/>
      <x:c r="BJ785" s="11"/>
      <x:c r="BK785" s="12"/>
      <x:c r="BL785" s="12"/>
      <x:c r="BM785" s="12"/>
      <x:c r="BN785" s="12"/>
      <x:c r="BO785" s="12"/>
      <x:c r="BP785" s="12"/>
      <x:c r="BQ785" s="12"/>
      <x:c r="BR785" s="12"/>
      <x:c r="BS785" s="12"/>
      <x:c r="BT785" s="12"/>
      <x:c r="BU785" s="11" t="n">
        <x:v>0</x:v>
      </x:c>
      <x:c r="BV785" s="11" t="n">
        <x:v>3502846</x:v>
      </x:c>
      <x:c r="BW785" s="11" t="n">
        <x:v>667459</x:v>
      </x:c>
      <x:c r="BX785" s="11" t="n">
        <x:v>363557</x:v>
      </x:c>
      <x:c r="BY785" s="11" t="n">
        <x:v>0</x:v>
      </x:c>
      <x:c r="BZ785" s="11" t="n">
        <x:v>6186660</x:v>
      </x:c>
      <x:c r="CA785" s="11" t="n">
        <x:v>0</x:v>
      </x:c>
      <x:c r="CB785" s="11" t="n">
        <x:v>0</x:v>
      </x:c>
      <x:c r="CC785" s="11" t="n">
        <x:v>2789883</x:v>
      </x:c>
      <x:c r="CD785" s="11" t="n">
        <x:v>4323026</x:v>
      </x:c>
      <x:c r="CE785" s="11" t="n">
        <x:v>0</x:v>
      </x:c>
      <x:c r="CF785" s="11" t="n">
        <x:v>0</x:v>
      </x:c>
      <x:c r="CG785" s="11" t="n">
        <x:v>1041204</x:v>
      </x:c>
      <x:c r="CH785" s="11" t="n">
        <x:v>1538946</x:v>
      </x:c>
      <x:c r="CI785" s="11" t="n">
        <x:v>614344</x:v>
      </x:c>
      <x:c r="CJ785" s="11" t="n">
        <x:v>0</x:v>
      </x:c>
      <x:c r="CK785" s="11" t="n">
        <x:v>1771248</x:v>
      </x:c>
      <x:c r="CL785" s="11" t="n">
        <x:v>0</x:v>
      </x:c>
      <x:c r="CM785" s="11"/>
      <x:c r="CN785" s="11" t="n">
        <x:v>0</x:v>
      </x:c>
      <x:c r="CO785" s="11" t="n">
        <x:v>0</x:v>
      </x:c>
      <x:c r="CP785" s="8"/>
      <x:c r="CQ785" s="8"/>
    </x:row>
    <x:row r="786">
      <x:c r="A786" s="8" t="str">
        <x:v>Sooke|2021</x:v>
      </x:c>
      <x:c r="B786" s="8" t="str">
        <x:v>sooke-d</x:v>
      </x:c>
      <x:c r="C786" s="8" t="str">
        <x:v>Sooke</x:v>
      </x:c>
      <x:c r="D786" s="8" t="str">
        <x:v>Sooke</x:v>
      </x:c>
      <x:c r="E786" s="8" t="str">
        <x:v>D</x:v>
      </x:c>
      <x:c r="F786" s="8" t="str">
        <x:v>CAP</x:v>
      </x:c>
      <x:c r="G786" s="9" t="n">
        <x:v>2021</x:v>
      </x:c>
      <x:c r="H786" s="10" t="n">
        <x:v>15539</x:v>
      </x:c>
      <x:c r="I786" s="8" t="str">
        <x:v>5,000 to 19,999</x:v>
      </x:c>
      <x:c r="J786" s="11" t="n">
        <x:v>23445460</x:v>
      </x:c>
      <x:c r="K786" s="11" t="n">
        <x:v>16580169</x:v>
      </x:c>
      <x:c r="L786" s="11" t="n">
        <x:v>6865291</x:v>
      </x:c>
      <x:c r="M786" s="12" t="n">
        <x:v>0.2928196333106708</x:v>
      </x:c>
      <x:c r="N786" s="11" t="n">
        <x:v>9627021</x:v>
      </x:c>
      <x:c r="O786" s="11" t="n">
        <x:v>4123502</x:v>
      </x:c>
      <x:c r="P786" s="11" t="n">
        <x:v>3908232</x:v>
      </x:c>
      <x:c r="Q786" s="11" t="n">
        <x:v>5786705</x:v>
      </x:c>
      <x:c r="R786" s="11" t="n">
        <x:v>13442852</x:v>
      </x:c>
      <x:c r="S786" s="11" t="n">
        <x:v>2944701</x:v>
      </x:c>
      <x:c r="T786" s="11" t="n">
        <x:v>28160972</x:v>
      </x:c>
      <x:c r="U786" s="11" t="n">
        <x:v>23683137</x:v>
      </x:c>
      <x:c r="V786" s="11" t="n">
        <x:v>7138028</x:v>
      </x:c>
      <x:c r="W786" s="11" t="n">
        <x:v>10107104</x:v>
      </x:c>
      <x:c r="X786" s="11" t="n">
        <x:v>4699848</x:v>
      </x:c>
      <x:c r="Y786" s="11" t="n">
        <x:v>0</x:v>
      </x:c>
      <x:c r="Z786" s="11" t="n">
        <x:v>662316</x:v>
      </x:c>
      <x:c r="AA786" s="11" t="n">
        <x:v>3749539</x:v>
      </x:c>
      <x:c r="AB786" s="11" t="n">
        <x:v>192616</x:v>
      </x:c>
      <x:c r="AC786" s="11" t="n">
        <x:v>854932</x:v>
      </x:c>
      <x:c r="AD786" s="11" t="n">
        <x:v>3640586</x:v>
      </x:c>
      <x:c r="AE786" s="11" t="n">
        <x:v>2785654</x:v>
      </x:c>
      <x:c r="AF786" s="11" t="n">
        <x:v>14562345</x:v>
      </x:c>
      <x:c r="AG786" s="11" t="n">
        <x:v>171304536</x:v>
      </x:c>
      <x:c r="AH786" s="11" t="n">
        <x:v>50209134</x:v>
      </x:c>
      <x:c r="AI786" s="11" t="n">
        <x:v>121095402</x:v>
      </x:c>
      <x:c r="AJ786" s="11" t="n">
        <x:v>7889752</x:v>
      </x:c>
      <x:c r="AK786" s="11" t="n">
        <x:v>168216548</x:v>
      </x:c>
      <x:c r="AL786" s="11" t="n">
        <x:v>2944702</x:v>
      </x:c>
      <x:c r="AM786" s="12" t="n">
        <x:v>0.9824945759795285</x:v>
      </x:c>
      <x:c r="AN786" s="12" t="n">
        <x:v>0.04690235350686188</x:v>
      </x:c>
      <x:c r="AO786" s="11" t="n">
        <x:v>21817779</x:v>
      </x:c>
      <x:c r="AP786" s="11" t="n">
        <x:v>21162435</x:v>
      </x:c>
      <x:c r="AQ786" s="12" t="n">
        <x:v>0.9699628454390339</x:v>
      </x:c>
      <x:c r="AR786" s="11" t="n">
        <x:v>1508.8139519917627</x:v>
      </x:c>
      <x:c r="AS786" s="11" t="n">
        <x:v>1067.0036038355106</x:v>
      </x:c>
      <x:c r="AT786" s="11" t="n">
        <x:v>459.36212111461487</x:v>
      </x:c>
      <x:c r="AU786" s="11" t="n">
        <x:v>650.4346483042667</x:v>
      </x:c>
      <x:c r="AV786" s="11" t="n">
        <x:v>241.29860351373964</x:v>
      </x:c>
      <x:c r="AW786" s="11" t="n">
        <x:v>1.1890727144803495</x:v>
      </x:c>
      <x:c r="AX786" s="12" t="n">
        <x:v>0.7651663770612753</x:v>
      </x:c>
      <x:c r="AY786" s="11"/>
      <x:c r="AZ786" s="11"/>
      <x:c r="BA786" s="11"/>
      <x:c r="BB786" s="11"/>
      <x:c r="BC786" s="11"/>
      <x:c r="BD786" s="11"/>
      <x:c r="BE786" s="11"/>
      <x:c r="BF786" s="11"/>
      <x:c r="BG786" s="11"/>
      <x:c r="BH786" s="11"/>
      <x:c r="BI786" s="11"/>
      <x:c r="BJ786" s="11"/>
      <x:c r="BK786" s="12"/>
      <x:c r="BL786" s="12"/>
      <x:c r="BM786" s="12"/>
      <x:c r="BN786" s="12"/>
      <x:c r="BO786" s="12"/>
      <x:c r="BP786" s="12"/>
      <x:c r="BQ786" s="12"/>
      <x:c r="BR786" s="12"/>
      <x:c r="BS786" s="12"/>
      <x:c r="BT786" s="12"/>
      <x:c r="BU786" s="11" t="n">
        <x:v>0</x:v>
      </x:c>
      <x:c r="BV786" s="11" t="n">
        <x:v>2534474</x:v>
      </x:c>
      <x:c r="BW786" s="11" t="n">
        <x:v>1373758</x:v>
      </x:c>
      <x:c r="BX786" s="11" t="n">
        <x:v>558343</x:v>
      </x:c>
      <x:c r="BY786" s="11" t="n">
        <x:v>0</x:v>
      </x:c>
      <x:c r="BZ786" s="11" t="n">
        <x:v>4825119</x:v>
      </x:c>
      <x:c r="CA786" s="11" t="n">
        <x:v>403243</x:v>
      </x:c>
      <x:c r="CB786" s="11" t="n">
        <x:v>0</x:v>
      </x:c>
      <x:c r="CC786" s="11" t="n">
        <x:v>3371013</x:v>
      </x:c>
      <x:c r="CD786" s="11" t="n">
        <x:v>4336140</x:v>
      </x:c>
      <x:c r="CE786" s="11" t="n">
        <x:v>0</x:v>
      </x:c>
      <x:c r="CF786" s="11" t="n">
        <x:v>0</x:v>
      </x:c>
      <x:c r="CG786" s="11" t="n">
        <x:v>1075265</x:v>
      </x:c>
      <x:c r="CH786" s="11" t="n">
        <x:v>1663968</x:v>
      </x:c>
      <x:c r="CI786" s="11" t="n">
        <x:v>903008</x:v>
      </x:c>
      <x:c r="CJ786" s="11" t="n">
        <x:v>0</x:v>
      </x:c>
      <x:c r="CK786" s="11" t="n">
        <x:v>2247464</x:v>
      </x:c>
      <x:c r="CL786" s="11" t="n">
        <x:v>0</x:v>
      </x:c>
      <x:c r="CM786" s="11"/>
      <x:c r="CN786" s="11" t="n">
        <x:v>38610</x:v>
      </x:c>
      <x:c r="CO786" s="11" t="n">
        <x:v>0</x:v>
      </x:c>
      <x:c r="CP786" s="8"/>
      <x:c r="CQ786" s="8"/>
    </x:row>
    <x:row r="787">
      <x:c r="A787" s="8" t="str">
        <x:v>Sooke|2022</x:v>
      </x:c>
      <x:c r="B787" s="8" t="str">
        <x:v>sooke-d</x:v>
      </x:c>
      <x:c r="C787" s="8" t="str">
        <x:v>Sooke</x:v>
      </x:c>
      <x:c r="D787" s="8" t="str">
        <x:v>Sooke</x:v>
      </x:c>
      <x:c r="E787" s="8" t="str">
        <x:v>D</x:v>
      </x:c>
      <x:c r="F787" s="8" t="str">
        <x:v>CAP</x:v>
      </x:c>
      <x:c r="G787" s="9" t="n">
        <x:v>2022</x:v>
      </x:c>
      <x:c r="H787" s="10" t="n">
        <x:v>15991</x:v>
      </x:c>
      <x:c r="I787" s="8" t="str">
        <x:v>5,000 to 19,999</x:v>
      </x:c>
      <x:c r="J787" s="11" t="n">
        <x:v>29290963</x:v>
      </x:c>
      <x:c r="K787" s="11" t="n">
        <x:v>18058691</x:v>
      </x:c>
      <x:c r="L787" s="11" t="n">
        <x:v>11232272</x:v>
      </x:c>
      <x:c r="M787" s="12" t="n">
        <x:v>0.3834722675386262</x:v>
      </x:c>
      <x:c r="N787" s="11" t="n">
        <x:v>10540209</x:v>
      </x:c>
      <x:c r="O787" s="11" t="n">
        <x:v>4496938</x:v>
      </x:c>
      <x:c r="P787" s="11" t="n">
        <x:v>3332912</x:v>
      </x:c>
      <x:c r="Q787" s="11" t="n">
        <x:v>10920904</x:v>
      </x:c>
      <x:c r="R787" s="11" t="n">
        <x:v>14692880</x:v>
      </x:c>
      <x:c r="S787" s="11" t="n">
        <x:v>3192185</x:v>
      </x:c>
      <x:c r="T787" s="11" t="n">
        <x:v>30225368</x:v>
      </x:c>
      <x:c r="U787" s="11" t="n">
        <x:v>25292267</x:v>
      </x:c>
      <x:c r="V787" s="11" t="n">
        <x:v>6736470</x:v>
      </x:c>
      <x:c r="W787" s="11" t="n">
        <x:v>8646082</x:v>
      </x:c>
      <x:c r="X787" s="11" t="n">
        <x:v>3749539</x:v>
      </x:c>
      <x:c r="Y787" s="11" t="n">
        <x:v>0</x:v>
      </x:c>
      <x:c r="Z787" s="11" t="n">
        <x:v>550501</x:v>
      </x:c>
      <x:c r="AA787" s="11" t="n">
        <x:v>3005680</x:v>
      </x:c>
      <x:c r="AB787" s="11" t="n">
        <x:v>173626</x:v>
      </x:c>
      <x:c r="AC787" s="11" t="n">
        <x:v>724127</x:v>
      </x:c>
      <x:c r="AD787" s="11" t="n">
        <x:v>4041064</x:v>
      </x:c>
      <x:c r="AE787" s="11" t="n">
        <x:v>3316937</x:v>
      </x:c>
      <x:c r="AF787" s="11" t="n">
        <x:v>16164255</x:v>
      </x:c>
      <x:c r="AG787" s="11" t="n">
        <x:v>186120218</x:v>
      </x:c>
      <x:c r="AH787" s="11" t="n">
        <x:v>53401321</x:v>
      </x:c>
      <x:c r="AI787" s="11" t="n">
        <x:v>132718897</x:v>
      </x:c>
      <x:c r="AJ787" s="11" t="n">
        <x:v>14900495</x:v>
      </x:c>
      <x:c r="AK787" s="11" t="n">
        <x:v>186120218</x:v>
      </x:c>
      <x:c r="AL787" s="11" t="n">
        <x:v>3192185</x:v>
      </x:c>
      <x:c r="AM787" s="12" t="n">
        <x:v>0.982848800445742</x:v>
      </x:c>
      <x:c r="AN787" s="12" t="n">
        <x:v>0.08005844373124471</x:v>
      </x:c>
      <x:c r="AO787" s="11" t="n">
        <x:v>23900564</x:v>
      </x:c>
      <x:c r="AP787" s="11" t="n">
        <x:v>22878825</x:v>
      </x:c>
      <x:c r="AQ787" s="12" t="n">
        <x:v>0.9572504230444102</x:v>
      </x:c>
      <x:c r="AR787" s="11" t="n">
        <x:v>1831.7155274842098</x:v>
      </x:c>
      <x:c r="AS787" s="11" t="n">
        <x:v>1129.3034206741293</x:v>
      </x:c>
      <x:c r="AT787" s="11" t="n">
        <x:v>421.26633731473953</x:v>
      </x:c>
      <x:c r="AU787" s="11" t="n">
        <x:v>540.6842598961916</x:v>
      </x:c>
      <x:c r="AV787" s="11" t="n">
        <x:v>187.96072790944908</x:v>
      </x:c>
      <x:c r="AW787" s="11" t="n">
        <x:v>1.1950438448241907</x:v>
      </x:c>
      <x:c r="AX787" s="12" t="n">
        <x:v>0.8208078367479456</x:v>
      </x:c>
      <x:c r="AY787" s="11"/>
      <x:c r="AZ787" s="11"/>
      <x:c r="BA787" s="11"/>
      <x:c r="BB787" s="11"/>
      <x:c r="BC787" s="11"/>
      <x:c r="BD787" s="11"/>
      <x:c r="BE787" s="11"/>
      <x:c r="BF787" s="11"/>
      <x:c r="BG787" s="11"/>
      <x:c r="BH787" s="11"/>
      <x:c r="BI787" s="11"/>
      <x:c r="BJ787" s="11"/>
      <x:c r="BK787" s="12"/>
      <x:c r="BL787" s="12"/>
      <x:c r="BM787" s="12"/>
      <x:c r="BN787" s="12"/>
      <x:c r="BO787" s="12"/>
      <x:c r="BP787" s="12"/>
      <x:c r="BQ787" s="12"/>
      <x:c r="BR787" s="12"/>
      <x:c r="BS787" s="12"/>
      <x:c r="BT787" s="12"/>
      <x:c r="BU787" s="11" t="n">
        <x:v>0</x:v>
      </x:c>
      <x:c r="BV787" s="11" t="n">
        <x:v>2420615</x:v>
      </x:c>
      <x:c r="BW787" s="11" t="n">
        <x:v>912297</x:v>
      </x:c>
      <x:c r="BX787" s="11" t="n">
        <x:v>586159</x:v>
      </x:c>
      <x:c r="BY787" s="11" t="n">
        <x:v>0</x:v>
      </x:c>
      <x:c r="BZ787" s="11" t="n">
        <x:v>10334745</x:v>
      </x:c>
      <x:c r="CA787" s="11" t="n">
        <x:v>0</x:v>
      </x:c>
      <x:c r="CB787" s="11" t="n">
        <x:v>0</x:v>
      </x:c>
      <x:c r="CC787" s="11" t="n">
        <x:v>4049551</x:v>
      </x:c>
      <x:c r="CD787" s="11" t="n">
        <x:v>4731526</x:v>
      </x:c>
      <x:c r="CE787" s="11" t="n">
        <x:v>0</x:v>
      </x:c>
      <x:c r="CF787" s="11" t="n">
        <x:v>0</x:v>
      </x:c>
      <x:c r="CG787" s="11" t="n">
        <x:v>1302254</x:v>
      </x:c>
      <x:c r="CH787" s="11" t="n">
        <x:v>1355080</x:v>
      </x:c>
      <x:c r="CI787" s="11" t="n">
        <x:v>1086812</x:v>
      </x:c>
      <x:c r="CJ787" s="11" t="n">
        <x:v>0</x:v>
      </x:c>
      <x:c r="CK787" s="11" t="n">
        <x:v>2256470</x:v>
      </x:c>
      <x:c r="CL787" s="11" t="n">
        <x:v>0</x:v>
      </x:c>
      <x:c r="CM787" s="11"/>
      <x:c r="CN787" s="11" t="n">
        <x:v>84813</x:v>
      </x:c>
      <x:c r="CO787" s="11" t="n">
        <x:v>0</x:v>
      </x:c>
      <x:c r="CP787" s="8"/>
      <x:c r="CQ787" s="8"/>
    </x:row>
    <x:row r="788">
      <x:c r="A788" s="8" t="str">
        <x:v>Sooke|2023</x:v>
      </x:c>
      <x:c r="B788" s="8" t="str">
        <x:v>sooke-d</x:v>
      </x:c>
      <x:c r="C788" s="8" t="str">
        <x:v>Sooke</x:v>
      </x:c>
      <x:c r="D788" s="8" t="str">
        <x:v>Sooke</x:v>
      </x:c>
      <x:c r="E788" s="8" t="str">
        <x:v>D</x:v>
      </x:c>
      <x:c r="F788" s="8" t="str">
        <x:v>CAP</x:v>
      </x:c>
      <x:c r="G788" s="9" t="n">
        <x:v>2023</x:v>
      </x:c>
      <x:c r="H788" s="10" t="n">
        <x:v>16866</x:v>
      </x:c>
      <x:c r="I788" s="8" t="str">
        <x:v>5,000 to 19,999</x:v>
      </x:c>
      <x:c r="J788" s="11" t="n">
        <x:v>32314288</x:v>
      </x:c>
      <x:c r="K788" s="11" t="n">
        <x:v>20418765</x:v>
      </x:c>
      <x:c r="L788" s="11" t="n">
        <x:v>11895523</x:v>
      </x:c>
      <x:c r="M788" s="12" t="n">
        <x:v>0.3681196070295592</x:v>
      </x:c>
      <x:c r="N788" s="11" t="n">
        <x:v>11481548</x:v>
      </x:c>
      <x:c r="O788" s="11" t="n">
        <x:v>4484273</x:v>
      </x:c>
      <x:c r="P788" s="11" t="n">
        <x:v>12569843</x:v>
      </x:c>
      <x:c r="Q788" s="11" t="n">
        <x:v>3778624</x:v>
      </x:c>
      <x:c r="R788" s="11" t="n">
        <x:v>16853647</x:v>
      </x:c>
      <x:c r="S788" s="11" t="n">
        <x:v>3389152</x:v>
      </x:c>
      <x:c r="T788" s="11" t="n">
        <x:v>29937888</x:v>
      </x:c>
      <x:c r="U788" s="11" t="n">
        <x:v>21547995</x:v>
      </x:c>
      <x:c r="V788" s="11" t="n">
        <x:v>10579465</x:v>
      </x:c>
      <x:c r="W788" s="11" t="n">
        <x:v>12021719</x:v>
      </x:c>
      <x:c r="X788" s="11" t="n">
        <x:v>3005680</x:v>
      </x:c>
      <x:c r="Y788" s="11" t="n">
        <x:v>0</x:v>
      </x:c>
      <x:c r="Z788" s="11" t="n">
        <x:v>546580</x:v>
      </x:c>
      <x:c r="AA788" s="11" t="n">
        <x:v>2183594</x:v>
      </x:c>
      <x:c r="AB788" s="11" t="n">
        <x:v>175966</x:v>
      </x:c>
      <x:c r="AC788" s="11" t="n">
        <x:v>722546</x:v>
      </x:c>
      <x:c r="AD788" s="11" t="n">
        <x:v>4315279</x:v>
      </x:c>
      <x:c r="AE788" s="11" t="n">
        <x:v>3592733</x:v>
      </x:c>
      <x:c r="AF788" s="11" t="n">
        <x:v>17261114</x:v>
      </x:c>
      <x:c r="AG788" s="11" t="n">
        <x:v>197169593</x:v>
      </x:c>
      <x:c r="AH788" s="11" t="n">
        <x:v>56487898</x:v>
      </x:c>
      <x:c r="AI788" s="11" t="n">
        <x:v>140681695</x:v>
      </x:c>
      <x:c r="AJ788" s="11" t="n">
        <x:v>11295950</x:v>
      </x:c>
      <x:c r="AK788" s="11" t="n">
        <x:v>348600095</x:v>
      </x:c>
      <x:c r="AL788" s="11" t="n">
        <x:v>7260000</x:v>
      </x:c>
      <x:c r="AM788" s="12" t="n">
        <x:v>0.9791738438854987</x:v>
      </x:c>
      <x:c r="AN788" s="12" t="n">
        <x:v>0.03240374905807183</x:v>
      </x:c>
      <x:c r="AO788" s="11" t="n">
        <x:v>26367900</x:v>
      </x:c>
      <x:c r="AP788" s="11" t="n">
        <x:v>25492731</x:v>
      </x:c>
      <x:c r="AQ788" s="12" t="n">
        <x:v>0.9668093022197445</x:v>
      </x:c>
      <x:c r="AR788" s="11" t="n">
        <x:v>1915.9426064271315</x:v>
      </x:c>
      <x:c r="AS788" s="11" t="n">
        <x:v>1210.6465670579864</x:v>
      </x:c>
      <x:c r="AT788" s="11" t="n">
        <x:v>627.2658010198031</x:v>
      </x:c>
      <x:c r="AU788" s="11" t="n">
        <x:v>712.7783113957073</x:v>
      </x:c>
      <x:c r="AV788" s="11" t="n">
        <x:v>129.46721214277244</x:v>
      </x:c>
      <x:c r="AW788" s="11" t="n">
        <x:v>1.3893584066638218</x:v>
      </x:c>
      <x:c r="AX788" s="12" t="n">
        <x:v>0.8325610001114644</x:v>
      </x:c>
      <x:c r="AY788" s="11"/>
      <x:c r="AZ788" s="11"/>
      <x:c r="BA788" s="11"/>
      <x:c r="BB788" s="11"/>
      <x:c r="BC788" s="11"/>
      <x:c r="BD788" s="11"/>
      <x:c r="BE788" s="11"/>
      <x:c r="BF788" s="11"/>
      <x:c r="BG788" s="11"/>
      <x:c r="BH788" s="11"/>
      <x:c r="BI788" s="11"/>
      <x:c r="BJ788" s="11"/>
      <x:c r="BK788" s="12"/>
      <x:c r="BL788" s="12"/>
      <x:c r="BM788" s="12"/>
      <x:c r="BN788" s="12"/>
      <x:c r="BO788" s="12"/>
      <x:c r="BP788" s="12"/>
      <x:c r="BQ788" s="12"/>
      <x:c r="BR788" s="12"/>
      <x:c r="BS788" s="12"/>
      <x:c r="BT788" s="12"/>
      <x:c r="BU788" s="11" t="n">
        <x:v>0</x:v>
      </x:c>
      <x:c r="BV788" s="11" t="n">
        <x:v>11865196</x:v>
      </x:c>
      <x:c r="BW788" s="11" t="n">
        <x:v>704647</x:v>
      </x:c>
      <x:c r="BX788" s="11" t="n">
        <x:v>955303</x:v>
      </x:c>
      <x:c r="BY788" s="11" t="n">
        <x:v>0</x:v>
      </x:c>
      <x:c r="BZ788" s="11" t="n">
        <x:v>2823321</x:v>
      </x:c>
      <x:c r="CA788" s="11" t="n">
        <x:v>0</x:v>
      </x:c>
      <x:c r="CB788" s="11" t="n">
        <x:v>0</x:v>
      </x:c>
      <x:c r="CC788" s="11" t="n">
        <x:v>4649592</x:v>
      </x:c>
      <x:c r="CD788" s="11" t="n">
        <x:v>6159899</x:v>
      </x:c>
      <x:c r="CE788" s="11" t="n">
        <x:v>0</x:v>
      </x:c>
      <x:c r="CF788" s="11" t="n">
        <x:v>0</x:v>
      </x:c>
      <x:c r="CG788" s="11" t="n">
        <x:v>790184</x:v>
      </x:c>
      <x:c r="CH788" s="11" t="n">
        <x:v>1792226</x:v>
      </x:c>
      <x:c r="CI788" s="11" t="n">
        <x:v>1352298</x:v>
      </x:c>
      <x:c r="CJ788" s="11" t="n">
        <x:v>0</x:v>
      </x:c>
      <x:c r="CK788" s="11" t="n">
        <x:v>2285414</x:v>
      </x:c>
      <x:c r="CL788" s="11" t="n">
        <x:v>0</x:v>
      </x:c>
      <x:c r="CM788" s="11" t="n">
        <x:v>0</x:v>
      </x:c>
      <x:c r="CN788" s="11" t="n">
        <x:v>0</x:v>
      </x:c>
      <x:c r="CO788" s="11" t="n">
        <x:v>0</x:v>
      </x:c>
      <x:c r="CP788" s="8"/>
      <x:c r="CQ788" s="8"/>
    </x:row>
    <x:row r="789">
      <x:c r="A789" s="8" t="str">
        <x:v>Sooke|2024</x:v>
      </x:c>
      <x:c r="B789" s="8" t="str">
        <x:v>sooke-d</x:v>
      </x:c>
      <x:c r="C789" s="8" t="str">
        <x:v>Sooke</x:v>
      </x:c>
      <x:c r="D789" s="8" t="str">
        <x:v>Sooke</x:v>
      </x:c>
      <x:c r="E789" s="8" t="str">
        <x:v>D</x:v>
      </x:c>
      <x:c r="F789" s="8" t="str">
        <x:v>CAP</x:v>
      </x:c>
      <x:c r="G789" s="9" t="n">
        <x:v>2024</x:v>
      </x:c>
      <x:c r="H789" s="10" t="n">
        <x:v>16866</x:v>
      </x:c>
      <x:c r="I789" s="8" t="str">
        <x:v>5,000 to 19,999</x:v>
      </x:c>
      <x:c r="J789" s="11" t="n">
        <x:v>29862448</x:v>
      </x:c>
      <x:c r="K789" s="11" t="n">
        <x:v>22063267</x:v>
      </x:c>
      <x:c r="L789" s="11" t="n">
        <x:v>7799181</x:v>
      </x:c>
      <x:c r="M789" s="12" t="n">
        <x:v>0.26117018269902054</x:v>
      </x:c>
      <x:c r="N789" s="11" t="n">
        <x:v>12921362</x:v>
      </x:c>
      <x:c r="O789" s="11" t="n">
        <x:v>4375534</x:v>
      </x:c>
      <x:c r="P789" s="11" t="n">
        <x:v>2966234</x:v>
      </x:c>
      <x:c r="Q789" s="11" t="n">
        <x:v>9599318</x:v>
      </x:c>
      <x:c r="R789" s="11" t="n">
        <x:v>18657574</x:v>
      </x:c>
      <x:c r="S789" s="11" t="n">
        <x:v>3235730</x:v>
      </x:c>
      <x:c r="T789" s="11" t="n">
        <x:v>18314424</x:v>
      </x:c>
      <x:c r="U789" s="11" t="n">
        <x:v>14838855</x:v>
      </x:c>
      <x:c r="V789" s="11" t="n">
        <x:v>6226212</x:v>
      </x:c>
      <x:c r="W789" s="11" t="n">
        <x:v>8548237</x:v>
      </x:c>
      <x:c r="X789" s="11" t="n">
        <x:v>2183594</x:v>
      </x:c>
      <x:c r="Y789" s="11" t="n">
        <x:v>815570</x:v>
      </x:c>
      <x:c r="Z789" s="11" t="n">
        <x:v>483904</x:v>
      </x:c>
      <x:c r="AA789" s="11" t="n">
        <x:v>2215910</x:v>
      </x:c>
      <x:c r="AB789" s="11" t="n">
        <x:v>169963</x:v>
      </x:c>
      <x:c r="AC789" s="11" t="n">
        <x:v>653867</x:v>
      </x:c>
      <x:c r="AD789" s="11" t="n">
        <x:v>4671198</x:v>
      </x:c>
      <x:c r="AE789" s="11" t="n">
        <x:v>4017331</x:v>
      </x:c>
      <x:c r="AF789" s="11" t="n">
        <x:v>18684790</x:v>
      </x:c>
      <x:c r="AG789" s="11" t="n">
        <x:v>211679630</x:v>
      </x:c>
      <x:c r="AH789" s="11" t="n">
        <x:v>59270178</x:v>
      </x:c>
      <x:c r="AI789" s="11" t="n">
        <x:v>152409452</x:v>
      </x:c>
      <x:c r="AJ789" s="11" t="n">
        <x:v>15252254</x:v>
      </x:c>
      <x:c r="AK789" s="11" t="n">
        <x:v>342498956</x:v>
      </x:c>
      <x:c r="AL789" s="11" t="n">
        <x:v>7260000</x:v>
      </x:c>
      <x:c r="AM789" s="12" t="n">
        <x:v>0.9788028550954182</x:v>
      </x:c>
      <x:c r="AN789" s="12" t="n">
        <x:v>0.04453226420929587</x:v>
      </x:c>
      <x:c r="AO789" s="11" t="n">
        <x:v>28558712</x:v>
      </x:c>
      <x:c r="AP789" s="11" t="n">
        <x:v>27237271</x:v>
      </x:c>
      <x:c r="AQ789" s="12" t="n">
        <x:v>0.9537289706902748</x:v>
      </x:c>
      <x:c r="AR789" s="11" t="n">
        <x:v>1770.5708526028698</x:v>
      </x:c>
      <x:c r="AS789" s="11" t="n">
        <x:v>1308.1505395470176</x:v>
      </x:c>
      <x:c r="AT789" s="11" t="n">
        <x:v>369.1575951618641</x:v>
      </x:c>
      <x:c r="AU789" s="11" t="n">
        <x:v>506.83250326099846</x:v>
      </x:c>
      <x:c r="AV789" s="11" t="n">
        <x:v>131.38325625518794</x:v>
      </x:c>
      <x:c r="AW789" s="11" t="n">
        <x:v>1.2342208344242194</x:v>
      </x:c>
      <x:c r="AX789" s="12" t="n">
        <x:v>0.860021561920518</x:v>
      </x:c>
      <x:c r="AY789" s="11" t="n">
        <x:v>2567.538946805667</x:v>
      </x:c>
      <x:c r="AZ789" s="11" t="n">
        <x:v>3546.5079302077975</x:v>
      </x:c>
      <x:c r="BA789" s="11" t="n">
        <x:v>2045.0195609464422</x:v>
      </x:c>
      <x:c r="BB789" s="11" t="n">
        <x:v>2783.665107049771</x:v>
      </x:c>
      <x:c r="BC789" s="11" t="n">
        <x:v>2217.25520024837</x:v>
      </x:c>
      <x:c r="BD789" s="11" t="n">
        <x:v>2437.8724475115623</x:v>
      </x:c>
      <x:c r="BE789" s="11" t="n">
        <x:v>799.2304887641933</x:v>
      </x:c>
      <x:c r="BF789" s="11" t="n">
        <x:v>1604.3462673977224</x:v>
      </x:c>
      <x:c r="BG789" s="11" t="n">
        <x:v>386.9249167164944</x:v>
      </x:c>
      <x:c r="BH789" s="11" t="n">
        <x:v>518.5374381567245</x:v>
      </x:c>
      <x:c r="BI789" s="11" t="n">
        <x:v>1.5629948984418691</x:v>
      </x:c>
      <x:c r="BJ789" s="11" t="n">
        <x:v>1.7099330852451193</x:v>
      </x:c>
      <x:c r="BK789" s="12" t="n">
        <x:v>0.04472396775938227</x:v>
      </x:c>
      <x:c r="BL789" s="12" t="n">
        <x:v>0.02529861000232605</x:v>
      </x:c>
      <x:c r="BM789" s="12" t="n">
        <x:v>0.9792813777328785</x:v>
      </x:c>
      <x:c r="BN789" s="12" t="n">
        <x:v>0.9815511712696461</x:v>
      </x:c>
      <x:c r="BO789" s="12" t="n">
        <x:v>0.8510570773833829</x:v>
      </x:c>
      <x:c r="BP789" s="12" t="n">
        <x:v>0.8619101997275483</x:v>
      </x:c>
      <x:c r="BQ789" s="12" t="n">
        <x:v>0.9732053424599786</x:v>
      </x:c>
      <x:c r="BR789" s="12" t="n">
        <x:v>0.9623635142836453</x:v>
      </x:c>
      <x:c r="BS789" s="12" t="n">
        <x:v>0.170495619408603</x:v>
      </x:c>
      <x:c r="BT789" s="12" t="n">
        <x:v>0.19976549769108282</x:v>
      </x:c>
      <x:c r="BU789" s="11" t="n">
        <x:v>194145</x:v>
      </x:c>
      <x:c r="BV789" s="11" t="n">
        <x:v>1488985</x:v>
      </x:c>
      <x:c r="BW789" s="11" t="n">
        <x:v>1283104</x:v>
      </x:c>
      <x:c r="BX789" s="11" t="n">
        <x:v>1086140</x:v>
      </x:c>
      <x:c r="BY789" s="11" t="n">
        <x:v>0</x:v>
      </x:c>
      <x:c r="BZ789" s="11" t="n">
        <x:v>8513178</x:v>
      </x:c>
      <x:c r="CA789" s="11" t="n">
        <x:v>0</x:v>
      </x:c>
      <x:c r="CB789" s="11" t="n">
        <x:v>0</x:v>
      </x:c>
      <x:c r="CC789" s="11" t="n">
        <x:v>5114746</x:v>
      </x:c>
      <x:c r="CD789" s="11" t="n">
        <x:v>6791266</x:v>
      </x:c>
      <x:c r="CE789" s="11" t="n">
        <x:v>0</x:v>
      </x:c>
      <x:c r="CF789" s="11" t="n">
        <x:v>0</x:v>
      </x:c>
      <x:c r="CG789" s="11" t="n">
        <x:v>1167321</x:v>
      </x:c>
      <x:c r="CH789" s="11" t="n">
        <x:v>2118742</x:v>
      </x:c>
      <x:c r="CI789" s="11" t="n">
        <x:v>1271209</x:v>
      </x:c>
      <x:c r="CJ789" s="11" t="n">
        <x:v>0</x:v>
      </x:c>
      <x:c r="CK789" s="11" t="n">
        <x:v>2307556</x:v>
      </x:c>
      <x:c r="CL789" s="11" t="n">
        <x:v>0</x:v>
      </x:c>
      <x:c r="CM789" s="11" t="n">
        <x:v>0</x:v>
      </x:c>
      <x:c r="CN789" s="11" t="n">
        <x:v>56697</x:v>
      </x:c>
      <x:c r="CO789" s="11" t="n">
        <x:v>0</x:v>
      </x:c>
      <x:c r="CP789" s="8"/>
      <x:c r="CQ789" s="8"/>
    </x:row>
    <x:row r="790">
      <x:c r="A790" s="8" t="str">
        <x:v>Spallumcheen|2019</x:v>
      </x:c>
      <x:c r="B790" s="8" t="str">
        <x:v>spallumcheen-d</x:v>
      </x:c>
      <x:c r="C790" s="8" t="str">
        <x:v>Spallumcheen</x:v>
      </x:c>
      <x:c r="D790" s="8" t="str">
        <x:v>Spallumcheen</x:v>
      </x:c>
      <x:c r="E790" s="8" t="str">
        <x:v>D</x:v>
      </x:c>
      <x:c r="F790" s="8" t="str">
        <x:v>NOK</x:v>
      </x:c>
      <x:c r="G790" s="9" t="n">
        <x:v>2019</x:v>
      </x:c>
      <x:c r="H790" s="10" t="n">
        <x:v>5505</x:v>
      </x:c>
      <x:c r="I790" s="8" t="str">
        <x:v>5,000 to 19,999</x:v>
      </x:c>
      <x:c r="J790" s="11" t="n">
        <x:v>8797669</x:v>
      </x:c>
      <x:c r="K790" s="11" t="n">
        <x:v>6925849</x:v>
      </x:c>
      <x:c r="L790" s="11" t="n">
        <x:v>1871820</x:v>
      </x:c>
      <x:c r="M790" s="12" t="n">
        <x:v>0.21276317624588967</x:v>
      </x:c>
      <x:c r="N790" s="11" t="n">
        <x:v>5936955</x:v>
      </x:c>
      <x:c r="O790" s="11" t="n">
        <x:v>798802</x:v>
      </x:c>
      <x:c r="P790" s="11" t="n">
        <x:v>1646434</x:v>
      </x:c>
      <x:c r="Q790" s="11" t="n">
        <x:v>415478</x:v>
      </x:c>
      <x:c r="R790" s="11" t="n">
        <x:v>5803371</x:v>
      </x:c>
      <x:c r="S790" s="11" t="n">
        <x:v>1105027</x:v>
      </x:c>
      <x:c r="T790" s="11" t="n">
        <x:v>10038985</x:v>
      </x:c>
      <x:c r="U790" s="11" t="n">
        <x:v>3832686</x:v>
      </x:c>
      <x:c r="V790" s="11" t="n">
        <x:v>6761643</x:v>
      </x:c>
      <x:c r="W790" s="11" t="n">
        <x:v>2850885</x:v>
      </x:c>
      <x:c r="X790" s="11" t="n">
        <x:v>580233</x:v>
      </x:c>
      <x:c r="Y790" s="11" t="n">
        <x:v>0</x:v>
      </x:c>
      <x:c r="Z790" s="11" t="n">
        <x:v>23705</x:v>
      </x:c>
      <x:c r="AA790" s="11" t="n">
        <x:v>552074</x:v>
      </x:c>
      <x:c r="AB790" s="11" t="n">
        <x:v>17451</x:v>
      </x:c>
      <x:c r="AC790" s="11" t="n">
        <x:v>41156</x:v>
      </x:c>
      <x:c r="AD790" s="11" t="n">
        <x:v>1928414</x:v>
      </x:c>
      <x:c r="AE790" s="11" t="n">
        <x:v>1887258</x:v>
      </x:c>
      <x:c r="AF790" s="11" t="n">
        <x:v>7713657</x:v>
      </x:c>
      <x:c r="AG790" s="11" t="n">
        <x:v>99395412</x:v>
      </x:c>
      <x:c r="AH790" s="11" t="n">
        <x:v>64286188</x:v>
      </x:c>
      <x:c r="AI790" s="11" t="n">
        <x:v>35109224</x:v>
      </x:c>
      <x:c r="AJ790" s="11" t="n">
        <x:v>1995746</x:v>
      </x:c>
      <x:c r="AK790" s="11" t="n">
        <x:v>3616423</x:v>
      </x:c>
      <x:c r="AL790" s="11" t="n">
        <x:v>0</x:v>
      </x:c>
      <x:c r="AM790" s="12" t="n">
        <x:v>1</x:v>
      </x:c>
      <x:c r="AN790" s="12" t="n">
        <x:v>0.5518563508748838</x:v>
      </x:c>
      <x:c r="AO790" s="11" t="n">
        <x:v>10231080</x:v>
      </x:c>
      <x:c r="AP790" s="11" t="n">
        <x:v>9915726</x:v>
      </x:c>
      <x:c r="AQ790" s="12" t="n">
        <x:v>0.9691768610938435</x:v>
      </x:c>
      <x:c r="AR790" s="11" t="n">
        <x:v>1598.1233424159855</x:v>
      </x:c>
      <x:c r="AS790" s="11" t="n">
        <x:v>1258.101544050863</x:v>
      </x:c>
      <x:c r="AT790" s="11" t="n">
        <x:v>1228.2730245231608</x:v>
      </x:c>
      <x:c r="AU790" s="11" t="n">
        <x:v>517.8719346049046</x:v>
      </x:c>
      <x:c r="AV790" s="11" t="n">
        <x:v>100.28592188919164</x:v>
      </x:c>
      <x:c r="AW790" s="11" t="n">
        <x:v>2.619307973572581</x:v>
      </x:c>
      <x:c r="AX790" s="12" t="n">
        <x:v>0.9786581097212528</x:v>
      </x:c>
      <x:c r="AY790" s="11"/>
      <x:c r="AZ790" s="11"/>
      <x:c r="BA790" s="11"/>
      <x:c r="BB790" s="11"/>
      <x:c r="BC790" s="11"/>
      <x:c r="BD790" s="11"/>
      <x:c r="BE790" s="11"/>
      <x:c r="BF790" s="11"/>
      <x:c r="BG790" s="11"/>
      <x:c r="BH790" s="11"/>
      <x:c r="BI790" s="11"/>
      <x:c r="BJ790" s="11"/>
      <x:c r="BK790" s="12"/>
      <x:c r="BL790" s="12"/>
      <x:c r="BM790" s="12"/>
      <x:c r="BN790" s="12"/>
      <x:c r="BO790" s="12"/>
      <x:c r="BP790" s="12"/>
      <x:c r="BQ790" s="12"/>
      <x:c r="BR790" s="12"/>
      <x:c r="BS790" s="12"/>
      <x:c r="BT790" s="12"/>
      <x:c r="BU790" s="11" t="n">
        <x:v>394771</x:v>
      </x:c>
      <x:c r="BV790" s="11" t="n">
        <x:v>688127</x:v>
      </x:c>
      <x:c r="BW790" s="11" t="n">
        <x:v>563536</x:v>
      </x:c>
      <x:c r="BX790" s="11" t="n">
        <x:v>272481</x:v>
      </x:c>
      <x:c r="BY790" s="11" t="n">
        <x:v>0</x:v>
      </x:c>
      <x:c r="BZ790" s="11" t="n">
        <x:v>0</x:v>
      </x:c>
      <x:c r="CA790" s="11" t="n">
        <x:v>0</x:v>
      </x:c>
      <x:c r="CB790" s="11" t="n">
        <x:v>142997</x:v>
      </x:c>
      <x:c r="CC790" s="11" t="n">
        <x:v>1092483</x:v>
      </x:c>
      <x:c r="CD790" s="11" t="n">
        <x:v>734335</x:v>
      </x:c>
      <x:c r="CE790" s="11" t="n">
        <x:v>104085</x:v>
      </x:c>
      <x:c r="CF790" s="11" t="n">
        <x:v>3000</x:v>
      </x:c>
      <x:c r="CG790" s="11" t="n">
        <x:v>683962</x:v>
      </x:c>
      <x:c r="CH790" s="11" t="n">
        <x:v>1407376</x:v>
      </x:c>
      <x:c r="CI790" s="11" t="n">
        <x:v>11101</x:v>
      </x:c>
      <x:c r="CJ790" s="11" t="n">
        <x:v>149485</x:v>
      </x:c>
      <x:c r="CK790" s="11" t="n">
        <x:v>330758</x:v>
      </x:c>
      <x:c r="CL790" s="11" t="n">
        <x:v>1304237</x:v>
      </x:c>
      <x:c r="CM790" s="11"/>
      <x:c r="CN790" s="11" t="n">
        <x:v>0</x:v>
      </x:c>
      <x:c r="CO790" s="11" t="n">
        <x:v>0</x:v>
      </x:c>
      <x:c r="CP790" s="8"/>
      <x:c r="CQ790" s="8"/>
    </x:row>
    <x:row r="791">
      <x:c r="A791" s="8" t="str">
        <x:v>Spallumcheen|2020</x:v>
      </x:c>
      <x:c r="B791" s="8" t="str">
        <x:v>spallumcheen-d</x:v>
      </x:c>
      <x:c r="C791" s="8" t="str">
        <x:v>Spallumcheen</x:v>
      </x:c>
      <x:c r="D791" s="8" t="str">
        <x:v>Spallumcheen</x:v>
      </x:c>
      <x:c r="E791" s="8" t="str">
        <x:v>D</x:v>
      </x:c>
      <x:c r="F791" s="8" t="str">
        <x:v>NOK</x:v>
      </x:c>
      <x:c r="G791" s="9" t="n">
        <x:v>2020</x:v>
      </x:c>
      <x:c r="H791" s="10" t="n">
        <x:v>5623</x:v>
      </x:c>
      <x:c r="I791" s="8" t="str">
        <x:v>5,000 to 19,999</x:v>
      </x:c>
      <x:c r="J791" s="11" t="n">
        <x:v>10038238</x:v>
      </x:c>
      <x:c r="K791" s="11" t="n">
        <x:v>8598441</x:v>
      </x:c>
      <x:c r="L791" s="11" t="n">
        <x:v>1439797</x:v>
      </x:c>
      <x:c r="M791" s="12" t="n">
        <x:v>0.14343124759544454</x:v>
      </x:c>
      <x:c r="N791" s="11" t="n">
        <x:v>6046846</x:v>
      </x:c>
      <x:c r="O791" s="11" t="n">
        <x:v>642937</x:v>
      </x:c>
      <x:c r="P791" s="11" t="n">
        <x:v>3100214</x:v>
      </x:c>
      <x:c r="Q791" s="11" t="n">
        <x:v>248241</x:v>
      </x:c>
      <x:c r="R791" s="11" t="n">
        <x:v>6958381</x:v>
      </x:c>
      <x:c r="S791" s="11" t="n">
        <x:v>1622609</x:v>
      </x:c>
      <x:c r="T791" s="11" t="n">
        <x:v>19170196</x:v>
      </x:c>
      <x:c r="U791" s="11" t="n">
        <x:v>14092313</x:v>
      </x:c>
      <x:c r="V791" s="11" t="n">
        <x:v>5985556</x:v>
      </x:c>
      <x:c r="W791" s="11" t="n">
        <x:v>2909778</x:v>
      </x:c>
      <x:c r="X791" s="11" t="n">
        <x:v>552074</x:v>
      </x:c>
      <x:c r="Y791" s="11" t="n">
        <x:v>0</x:v>
      </x:c>
      <x:c r="Z791" s="11" t="n">
        <x:v>23705</x:v>
      </x:c>
      <x:c r="AA791" s="11" t="n">
        <x:v>522848</x:v>
      </x:c>
      <x:c r="AB791" s="11" t="n">
        <x:v>17451</x:v>
      </x:c>
      <x:c r="AC791" s="11" t="n">
        <x:v>41156</x:v>
      </x:c>
      <x:c r="AD791" s="11" t="n">
        <x:v>1877845</x:v>
      </x:c>
      <x:c r="AE791" s="11" t="n">
        <x:v>1836689</x:v>
      </x:c>
      <x:c r="AF791" s="11" t="n">
        <x:v>7511381</x:v>
      </x:c>
      <x:c r="AG791" s="11" t="n">
        <x:v>103092935</x:v>
      </x:c>
      <x:c r="AH791" s="11" t="n">
        <x:v>65815819</x:v>
      </x:c>
      <x:c r="AI791" s="11" t="n">
        <x:v>37277116</x:v>
      </x:c>
      <x:c r="AJ791" s="11" t="n">
        <x:v>3790501</x:v>
      </x:c>
      <x:c r="AK791" s="11" t="n">
        <x:v>5012341</x:v>
      </x:c>
      <x:c r="AL791" s="11" t="n">
        <x:v>0</x:v>
      </x:c>
      <x:c r="AM791" s="12" t="n">
        <x:v>1</x:v>
      </x:c>
      <x:c r="AN791" s="12" t="n">
        <x:v>0.7562336640703415</x:v>
      </x:c>
      <x:c r="AO791" s="11" t="n">
        <x:v>10273338</x:v>
      </x:c>
      <x:c r="AP791" s="11" t="n">
        <x:v>9974837</x:v>
      </x:c>
      <x:c r="AQ791" s="12" t="n">
        <x:v>0.970944107942326</x:v>
      </x:c>
      <x:c r="AR791" s="11" t="n">
        <x:v>1785.210385914992</x:v>
      </x:c>
      <x:c r="AS791" s="11" t="n">
        <x:v>1529.1554330428596</x:v>
      </x:c>
      <x:c r="AT791" s="11" t="n">
        <x:v>1064.4773252712075</x:v>
      </x:c>
      <x:c r="AU791" s="11" t="n">
        <x:v>517.4778587942379</x:v>
      </x:c>
      <x:c r="AV791" s="11" t="n">
        <x:v>92.98381646807753</x:v>
      </x:c>
      <x:c r="AW791" s="11" t="n">
        <x:v>1.3603299898320453</x:v>
      </x:c>
      <x:c r="AX791" s="12" t="n">
        <x:v>0.9780833881390637</x:v>
      </x:c>
      <x:c r="AY791" s="11"/>
      <x:c r="AZ791" s="11"/>
      <x:c r="BA791" s="11"/>
      <x:c r="BB791" s="11"/>
      <x:c r="BC791" s="11"/>
      <x:c r="BD791" s="11"/>
      <x:c r="BE791" s="11"/>
      <x:c r="BF791" s="11"/>
      <x:c r="BG791" s="11"/>
      <x:c r="BH791" s="11"/>
      <x:c r="BI791" s="11"/>
      <x:c r="BJ791" s="11"/>
      <x:c r="BK791" s="12"/>
      <x:c r="BL791" s="12"/>
      <x:c r="BM791" s="12"/>
      <x:c r="BN791" s="12"/>
      <x:c r="BO791" s="12"/>
      <x:c r="BP791" s="12"/>
      <x:c r="BQ791" s="12"/>
      <x:c r="BR791" s="12"/>
      <x:c r="BS791" s="12"/>
      <x:c r="BT791" s="12"/>
      <x:c r="BU791" s="11" t="n">
        <x:v>0</x:v>
      </x:c>
      <x:c r="BV791" s="11" t="n">
        <x:v>3062590</x:v>
      </x:c>
      <x:c r="BW791" s="11" t="n">
        <x:v>37624</x:v>
      </x:c>
      <x:c r="BX791" s="11" t="n">
        <x:v>206052</x:v>
      </x:c>
      <x:c r="BY791" s="11" t="n">
        <x:v>0</x:v>
      </x:c>
      <x:c r="BZ791" s="11" t="n">
        <x:v>0</x:v>
      </x:c>
      <x:c r="CA791" s="11" t="n">
        <x:v>0</x:v>
      </x:c>
      <x:c r="CB791" s="11" t="n">
        <x:v>42189</x:v>
      </x:c>
      <x:c r="CC791" s="11" t="n">
        <x:v>1378049</x:v>
      </x:c>
      <x:c r="CD791" s="11" t="n">
        <x:v>653075</x:v>
      </x:c>
      <x:c r="CE791" s="11" t="n">
        <x:v>0</x:v>
      </x:c>
      <x:c r="CF791" s="11" t="n">
        <x:v>4924</x:v>
      </x:c>
      <x:c r="CG791" s="11" t="n">
        <x:v>678999</x:v>
      </x:c>
      <x:c r="CH791" s="11" t="n">
        <x:v>1753014</x:v>
      </x:c>
      <x:c r="CI791" s="11" t="n">
        <x:v>11022</x:v>
      </x:c>
      <x:c r="CJ791" s="11" t="n">
        <x:v>190420</x:v>
      </x:c>
      <x:c r="CK791" s="11" t="n">
        <x:v>1151719</x:v>
      </x:c>
      <x:c r="CL791" s="11" t="n">
        <x:v>1154610</x:v>
      </x:c>
      <x:c r="CM791" s="11"/>
      <x:c r="CN791" s="11" t="n">
        <x:v>0</x:v>
      </x:c>
      <x:c r="CO791" s="11" t="n">
        <x:v>0</x:v>
      </x:c>
      <x:c r="CP791" s="8"/>
      <x:c r="CQ791" s="8"/>
    </x:row>
    <x:row r="792">
      <x:c r="A792" s="8" t="str">
        <x:v>Spallumcheen|2021</x:v>
      </x:c>
      <x:c r="B792" s="8" t="str">
        <x:v>spallumcheen-d</x:v>
      </x:c>
      <x:c r="C792" s="8" t="str">
        <x:v>Spallumcheen</x:v>
      </x:c>
      <x:c r="D792" s="8" t="str">
        <x:v>Spallumcheen</x:v>
      </x:c>
      <x:c r="E792" s="8" t="str">
        <x:v>D</x:v>
      </x:c>
      <x:c r="F792" s="8" t="str">
        <x:v>NOK</x:v>
      </x:c>
      <x:c r="G792" s="9" t="n">
        <x:v>2021</x:v>
      </x:c>
      <x:c r="H792" s="10" t="n">
        <x:v>5490</x:v>
      </x:c>
      <x:c r="I792" s="8" t="str">
        <x:v>5,000 to 19,999</x:v>
      </x:c>
      <x:c r="J792" s="11" t="n">
        <x:v>21735421</x:v>
      </x:c>
      <x:c r="K792" s="11" t="n">
        <x:v>9709634</x:v>
      </x:c>
      <x:c r="L792" s="11" t="n">
        <x:v>12025787</x:v>
      </x:c>
      <x:c r="M792" s="12" t="n">
        <x:v>0.5532806104836893</x:v>
      </x:c>
      <x:c r="N792" s="11" t="n">
        <x:v>6288931</x:v>
      </x:c>
      <x:c r="O792" s="11" t="n">
        <x:v>1172518</x:v>
      </x:c>
      <x:c r="P792" s="11" t="n">
        <x:v>2456416</x:v>
      </x:c>
      <x:c r="Q792" s="11" t="n">
        <x:v>11817556</x:v>
      </x:c>
      <x:c r="R792" s="11" t="n">
        <x:v>7906583</x:v>
      </x:c>
      <x:c r="S792" s="11" t="n">
        <x:v>1803051</x:v>
      </x:c>
      <x:c r="T792" s="11" t="n">
        <x:v>19899583</x:v>
      </x:c>
      <x:c r="U792" s="11" t="n">
        <x:v>12281697</x:v>
      </x:c>
      <x:c r="V792" s="11" t="n">
        <x:v>8404996</x:v>
      </x:c>
      <x:c r="W792" s="11" t="n">
        <x:v>3000931</x:v>
      </x:c>
      <x:c r="X792" s="11" t="n">
        <x:v>522848</x:v>
      </x:c>
      <x:c r="Y792" s="11" t="n">
        <x:v>0</x:v>
      </x:c>
      <x:c r="Z792" s="11" t="n">
        <x:v>23705</x:v>
      </x:c>
      <x:c r="AA792" s="11" t="n">
        <x:v>492514</x:v>
      </x:c>
      <x:c r="AB792" s="11" t="n">
        <x:v>0</x:v>
      </x:c>
      <x:c r="AC792" s="11" t="n">
        <x:v>23705</x:v>
      </x:c>
      <x:c r="AD792" s="11" t="n">
        <x:v>2183148</x:v>
      </x:c>
      <x:c r="AE792" s="11" t="n">
        <x:v>2159443</x:v>
      </x:c>
      <x:c r="AF792" s="11" t="n">
        <x:v>8732593</x:v>
      </x:c>
      <x:c r="AG792" s="11" t="n">
        <x:v>114574753</x:v>
      </x:c>
      <x:c r="AH792" s="11" t="n">
        <x:v>67618869</x:v>
      </x:c>
      <x:c r="AI792" s="11" t="n">
        <x:v>46955884</x:v>
      </x:c>
      <x:c r="AJ792" s="11" t="n">
        <x:v>11836977</x:v>
      </x:c>
      <x:c r="AK792" s="11" t="n">
        <x:v>4990130</x:v>
      </x:c>
      <x:c r="AL792" s="11" t="n">
        <x:v>0</x:v>
      </x:c>
      <x:c r="AM792" s="12" t="n">
        <x:v>1</x:v>
      </x:c>
      <x:c r="AN792" s="12" t="n">
        <x:v>2.372077881738552</x:v>
      </x:c>
      <x:c r="AO792" s="11" t="n">
        <x:v>10717453</x:v>
      </x:c>
      <x:c r="AP792" s="11" t="n">
        <x:v>10420903</x:v>
      </x:c>
      <x:c r="AQ792" s="12" t="n">
        <x:v>0.9723301795678507</x:v>
      </x:c>
      <x:c r="AR792" s="11" t="n">
        <x:v>3959.0930783242256</x:v>
      </x:c>
      <x:c r="AS792" s="11" t="n">
        <x:v>1768.6036429872495</x:v>
      </x:c>
      <x:c r="AT792" s="11" t="n">
        <x:v>1530.9646630236793</x:v>
      </x:c>
      <x:c r="AU792" s="11" t="n">
        <x:v>546.6176684881603</x:v>
      </x:c>
      <x:c r="AV792" s="11" t="n">
        <x:v>89.71111111111111</x:v>
      </x:c>
      <x:c r="AW792" s="11" t="n">
        <x:v>1.6202633072612034</x:v>
      </x:c>
      <x:c r="AX792" s="12" t="n">
        <x:v>0.9891418263901486</x:v>
      </x:c>
      <x:c r="AY792" s="11"/>
      <x:c r="AZ792" s="11"/>
      <x:c r="BA792" s="11"/>
      <x:c r="BB792" s="11"/>
      <x:c r="BC792" s="11"/>
      <x:c r="BD792" s="11"/>
      <x:c r="BE792" s="11"/>
      <x:c r="BF792" s="11"/>
      <x:c r="BG792" s="11"/>
      <x:c r="BH792" s="11"/>
      <x:c r="BI792" s="11"/>
      <x:c r="BJ792" s="11"/>
      <x:c r="BK792" s="12"/>
      <x:c r="BL792" s="12"/>
      <x:c r="BM792" s="12"/>
      <x:c r="BN792" s="12"/>
      <x:c r="BO792" s="12"/>
      <x:c r="BP792" s="12"/>
      <x:c r="BQ792" s="12"/>
      <x:c r="BR792" s="12"/>
      <x:c r="BS792" s="12"/>
      <x:c r="BT792" s="12"/>
      <x:c r="BU792" s="11" t="n">
        <x:v>1061839</x:v>
      </x:c>
      <x:c r="BV792" s="11" t="n">
        <x:v>841824</x:v>
      </x:c>
      <x:c r="BW792" s="11" t="n">
        <x:v>552753</x:v>
      </x:c>
      <x:c r="BX792" s="11" t="n">
        <x:v>198373</x:v>
      </x:c>
      <x:c r="BY792" s="11" t="n">
        <x:v>0</x:v>
      </x:c>
      <x:c r="BZ792" s="11" t="n">
        <x:v>11114571</x:v>
      </x:c>
      <x:c r="CA792" s="11" t="n">
        <x:v>0</x:v>
      </x:c>
      <x:c r="CB792" s="11" t="n">
        <x:v>504612</x:v>
      </x:c>
      <x:c r="CC792" s="11" t="n">
        <x:v>1574593</x:v>
      </x:c>
      <x:c r="CD792" s="11" t="n">
        <x:v>876521</x:v>
      </x:c>
      <x:c r="CE792" s="11" t="n">
        <x:v>0</x:v>
      </x:c>
      <x:c r="CF792" s="11" t="n">
        <x:v>0</x:v>
      </x:c>
      <x:c r="CG792" s="11" t="n">
        <x:v>484015</x:v>
      </x:c>
      <x:c r="CH792" s="11" t="n">
        <x:v>1733586</x:v>
      </x:c>
      <x:c r="CI792" s="11" t="n">
        <x:v>11208</x:v>
      </x:c>
      <x:c r="CJ792" s="11" t="n">
        <x:v>761756</x:v>
      </x:c>
      <x:c r="CK792" s="11" t="n">
        <x:v>1036565</x:v>
      </x:c>
      <x:c r="CL792" s="11" t="n">
        <x:v>1428339</x:v>
      </x:c>
      <x:c r="CM792" s="11"/>
      <x:c r="CN792" s="11" t="n">
        <x:v>0</x:v>
      </x:c>
      <x:c r="CO792" s="11" t="n">
        <x:v>0</x:v>
      </x:c>
      <x:c r="CP792" s="8"/>
      <x:c r="CQ792" s="8"/>
    </x:row>
    <x:row r="793">
      <x:c r="A793" s="8" t="str">
        <x:v>Spallumcheen|2022</x:v>
      </x:c>
      <x:c r="B793" s="8" t="str">
        <x:v>spallumcheen-d</x:v>
      </x:c>
      <x:c r="C793" s="8" t="str">
        <x:v>Spallumcheen</x:v>
      </x:c>
      <x:c r="D793" s="8" t="str">
        <x:v>Spallumcheen</x:v>
      </x:c>
      <x:c r="E793" s="8" t="str">
        <x:v>D</x:v>
      </x:c>
      <x:c r="F793" s="8" t="str">
        <x:v>NOK</x:v>
      </x:c>
      <x:c r="G793" s="9" t="n">
        <x:v>2022</x:v>
      </x:c>
      <x:c r="H793" s="10" t="n">
        <x:v>5693</x:v>
      </x:c>
      <x:c r="I793" s="8" t="str">
        <x:v>5,000 to 19,999</x:v>
      </x:c>
      <x:c r="J793" s="11" t="n">
        <x:v>11447547</x:v>
      </x:c>
      <x:c r="K793" s="11" t="n">
        <x:v>10771543</x:v>
      </x:c>
      <x:c r="L793" s="11" t="n">
        <x:v>676004</x:v>
      </x:c>
      <x:c r="M793" s="12" t="n">
        <x:v>0.05905230177259809</x:v>
      </x:c>
      <x:c r="N793" s="11" t="n">
        <x:v>6746727</x:v>
      </x:c>
      <x:c r="O793" s="11" t="n">
        <x:v>890418</x:v>
      </x:c>
      <x:c r="P793" s="11" t="n">
        <x:v>3120317</x:v>
      </x:c>
      <x:c r="Q793" s="11" t="n">
        <x:v>690085</x:v>
      </x:c>
      <x:c r="R793" s="11" t="n">
        <x:v>8779585</x:v>
      </x:c>
      <x:c r="S793" s="11" t="n">
        <x:v>1974507</x:v>
      </x:c>
      <x:c r="T793" s="11" t="n">
        <x:v>19496376</x:v>
      </x:c>
      <x:c r="U793" s="11" t="n">
        <x:v>12059975</x:v>
      </x:c>
      <x:c r="V793" s="11" t="n">
        <x:v>9611530</x:v>
      </x:c>
      <x:c r="W793" s="11" t="n">
        <x:v>3442262</x:v>
      </x:c>
      <x:c r="X793" s="11" t="n">
        <x:v>492514</x:v>
      </x:c>
      <x:c r="Y793" s="11" t="n">
        <x:v>0</x:v>
      </x:c>
      <x:c r="Z793" s="11" t="n">
        <x:v>23705</x:v>
      </x:c>
      <x:c r="AA793" s="11" t="n">
        <x:v>461028</x:v>
      </x:c>
      <x:c r="AB793" s="11" t="n">
        <x:v>17451</x:v>
      </x:c>
      <x:c r="AC793" s="11" t="n">
        <x:v>41156</x:v>
      </x:c>
      <x:c r="AD793" s="11" t="n">
        <x:v>2253238</x:v>
      </x:c>
      <x:c r="AE793" s="11" t="n">
        <x:v>2212082</x:v>
      </x:c>
      <x:c r="AF793" s="11" t="n">
        <x:v>9012950</x:v>
      </x:c>
      <x:c r="AG793" s="11" t="n">
        <x:v>115993875</x:v>
      </x:c>
      <x:c r="AH793" s="11" t="n">
        <x:v>69593376</x:v>
      </x:c>
      <x:c r="AI793" s="11" t="n">
        <x:v>46400499</x:v>
      </x:c>
      <x:c r="AJ793" s="11" t="n">
        <x:v>1419122</x:v>
      </x:c>
      <x:c r="AK793" s="11" t="n">
        <x:v>170990012</x:v>
      </x:c>
      <x:c r="AL793" s="11" t="n">
        <x:v>2623333</x:v>
      </x:c>
      <x:c r="AM793" s="12" t="n">
        <x:v>0.9846579752272314</x:v>
      </x:c>
      <x:c r="AN793" s="12" t="n">
        <x:v>0.008299443829502743</x:v>
      </x:c>
      <x:c r="AO793" s="11" t="n">
        <x:v>11385331</x:v>
      </x:c>
      <x:c r="AP793" s="11" t="n">
        <x:v>10978982</x:v>
      </x:c>
      <x:c r="AQ793" s="12" t="n">
        <x:v>0.9643094258743993</x:v>
      </x:c>
      <x:c r="AR793" s="11" t="n">
        <x:v>2010.8109959599508</x:v>
      </x:c>
      <x:c r="AS793" s="11" t="n">
        <x:v>1892.0679782188652</x:v>
      </x:c>
      <x:c r="AT793" s="11" t="n">
        <x:v>1688.3066924292991</x:v>
      </x:c>
      <x:c r="AU793" s="11" t="n">
        <x:v>604.6481644124364</x:v>
      </x:c>
      <x:c r="AV793" s="11" t="n">
        <x:v>80.98155629720709</x:v>
      </x:c>
      <x:c r="AW793" s="11" t="n">
        <x:v>1.6166182765718835</x:v>
      </x:c>
      <x:c r="AX793" s="12" t="n">
        <x:v>0.9817347301971652</x:v>
      </x:c>
      <x:c r="AY793" s="11"/>
      <x:c r="AZ793" s="11"/>
      <x:c r="BA793" s="11"/>
      <x:c r="BB793" s="11"/>
      <x:c r="BC793" s="11"/>
      <x:c r="BD793" s="11"/>
      <x:c r="BE793" s="11"/>
      <x:c r="BF793" s="11"/>
      <x:c r="BG793" s="11"/>
      <x:c r="BH793" s="11"/>
      <x:c r="BI793" s="11"/>
      <x:c r="BJ793" s="11"/>
      <x:c r="BK793" s="12"/>
      <x:c r="BL793" s="12"/>
      <x:c r="BM793" s="12"/>
      <x:c r="BN793" s="12"/>
      <x:c r="BO793" s="12"/>
      <x:c r="BP793" s="12"/>
      <x:c r="BQ793" s="12"/>
      <x:c r="BR793" s="12"/>
      <x:c r="BS793" s="12"/>
      <x:c r="BT793" s="12"/>
      <x:c r="BU793" s="11" t="n">
        <x:v>2077571</x:v>
      </x:c>
      <x:c r="BV793" s="11" t="n">
        <x:v>760141</x:v>
      </x:c>
      <x:c r="BW793" s="11" t="n">
        <x:v>282605</x:v>
      </x:c>
      <x:c r="BX793" s="11" t="n">
        <x:v>468696</x:v>
      </x:c>
      <x:c r="BY793" s="11" t="n">
        <x:v>0</x:v>
      </x:c>
      <x:c r="BZ793" s="11" t="n">
        <x:v>0</x:v>
      </x:c>
      <x:c r="CA793" s="11" t="n">
        <x:v>0</x:v>
      </x:c>
      <x:c r="CB793" s="11" t="n">
        <x:v>221389</x:v>
      </x:c>
      <x:c r="CC793" s="11" t="n">
        <x:v>1598237</x:v>
      </x:c>
      <x:c r="CD793" s="11" t="n">
        <x:v>1004321</x:v>
      </x:c>
      <x:c r="CE793" s="11" t="n">
        <x:v>0</x:v>
      </x:c>
      <x:c r="CF793" s="11" t="n">
        <x:v>0</x:v>
      </x:c>
      <x:c r="CG793" s="11" t="n">
        <x:v>429195</x:v>
      </x:c>
      <x:c r="CH793" s="11" t="n">
        <x:v>2026763</x:v>
      </x:c>
      <x:c r="CI793" s="11" t="n">
        <x:v>15019</x:v>
      </x:c>
      <x:c r="CJ793" s="11" t="n">
        <x:v>764026</x:v>
      </x:c>
      <x:c r="CK793" s="11" t="n">
        <x:v>1752822</x:v>
      </x:c>
      <x:c r="CL793" s="11" t="n">
        <x:v>1206653</x:v>
      </x:c>
      <x:c r="CM793" s="11"/>
      <x:c r="CN793" s="11" t="n">
        <x:v>0</x:v>
      </x:c>
      <x:c r="CO793" s="11" t="n">
        <x:v>0</x:v>
      </x:c>
      <x:c r="CP793" s="8"/>
      <x:c r="CQ793" s="8"/>
    </x:row>
    <x:row r="794">
      <x:c r="A794" s="8" t="str">
        <x:v>Spallumcheen|2023</x:v>
      </x:c>
      <x:c r="B794" s="8" t="str">
        <x:v>spallumcheen-d</x:v>
      </x:c>
      <x:c r="C794" s="8" t="str">
        <x:v>Spallumcheen</x:v>
      </x:c>
      <x:c r="D794" s="8" t="str">
        <x:v>Spallumcheen</x:v>
      </x:c>
      <x:c r="E794" s="8" t="str">
        <x:v>D</x:v>
      </x:c>
      <x:c r="F794" s="8" t="str">
        <x:v>NOK</x:v>
      </x:c>
      <x:c r="G794" s="9" t="n">
        <x:v>2023</x:v>
      </x:c>
      <x:c r="H794" s="10" t="n">
        <x:v>5858</x:v>
      </x:c>
      <x:c r="I794" s="8" t="str">
        <x:v>5,000 to 19,999</x:v>
      </x:c>
      <x:c r="J794" s="11" t="n">
        <x:v>17315273</x:v>
      </x:c>
      <x:c r="K794" s="11" t="n">
        <x:v>10514675</x:v>
      </x:c>
      <x:c r="L794" s="11" t="n">
        <x:v>6800598</x:v>
      </x:c>
      <x:c r="M794" s="12" t="n">
        <x:v>0.39275141662508006</x:v>
      </x:c>
      <x:c r="N794" s="11" t="n">
        <x:v>7151315</x:v>
      </x:c>
      <x:c r="O794" s="11" t="n">
        <x:v>971313</x:v>
      </x:c>
      <x:c r="P794" s="11" t="n">
        <x:v>7184313</x:v>
      </x:c>
      <x:c r="Q794" s="11" t="n">
        <x:v>2008332</x:v>
      </x:c>
      <x:c r="R794" s="11" t="n">
        <x:v>8523348</x:v>
      </x:c>
      <x:c r="S794" s="11" t="n">
        <x:v>1970884</x:v>
      </x:c>
      <x:c r="T794" s="11" t="n">
        <x:v>24545116</x:v>
      </x:c>
      <x:c r="U794" s="11" t="n">
        <x:v>13709874</x:v>
      </x:c>
      <x:c r="V794" s="11" t="n">
        <x:v>15260186</x:v>
      </x:c>
      <x:c r="W794" s="11" t="n">
        <x:v>2880243</x:v>
      </x:c>
      <x:c r="X794" s="11" t="n">
        <x:v>461028</x:v>
      </x:c>
      <x:c r="Y794" s="11" t="n">
        <x:v>0</x:v>
      </x:c>
      <x:c r="Z794" s="11" t="n">
        <x:v>21217</x:v>
      </x:c>
      <x:c r="AA794" s="11" t="n">
        <x:v>434947</x:v>
      </x:c>
      <x:c r="AB794" s="11" t="n">
        <x:v>20443</x:v>
      </x:c>
      <x:c r="AC794" s="11" t="n">
        <x:v>41660</x:v>
      </x:c>
      <x:c r="AD794" s="11" t="n">
        <x:v>2457357</x:v>
      </x:c>
      <x:c r="AE794" s="11" t="n">
        <x:v>2415697</x:v>
      </x:c>
      <x:c r="AF794" s="11" t="n">
        <x:v>9829426</x:v>
      </x:c>
      <x:c r="AG794" s="11" t="n">
        <x:v>117573239</x:v>
      </x:c>
      <x:c r="AH794" s="11" t="n">
        <x:v>71370986</x:v>
      </x:c>
      <x:c r="AI794" s="11" t="n">
        <x:v>46202253</x:v>
      </x:c>
      <x:c r="AJ794" s="11" t="n">
        <x:v>1840810</x:v>
      </x:c>
      <x:c r="AK794" s="11" t="n">
        <x:v>177375356</x:v>
      </x:c>
      <x:c r="AL794" s="11" t="n">
        <x:v>2730833</x:v>
      </x:c>
      <x:c r="AM794" s="12" t="n">
        <x:v>0.9846042141276943</x:v>
      </x:c>
      <x:c r="AN794" s="12" t="n">
        <x:v>0.010378048233487407</x:v>
      </x:c>
      <x:c r="AO794" s="11" t="n">
        <x:v>12087276</x:v>
      </x:c>
      <x:c r="AP794" s="11" t="n">
        <x:v>11516457</x:v>
      </x:c>
      <x:c r="AQ794" s="12" t="n">
        <x:v>0.952775215855086</x:v>
      </x:c>
      <x:c r="AR794" s="11" t="n">
        <x:v>2955.833560942301</x:v>
      </x:c>
      <x:c r="AS794" s="11" t="n">
        <x:v>1794.9257425742574</x:v>
      </x:c>
      <x:c r="AT794" s="11" t="n">
        <x:v>2605.016387845681</x:v>
      </x:c>
      <x:c r="AU794" s="11" t="n">
        <x:v>491.6768521679754</x:v>
      </x:c>
      <x:c r="AV794" s="11" t="n">
        <x:v>74.24837828610447</x:v>
      </x:c>
      <x:c r="AW794" s="11" t="n">
        <x:v>1.7903239665076427</x:v>
      </x:c>
      <x:c r="AX794" s="12" t="n">
        <x:v>0.983046826326008</x:v>
      </x:c>
      <x:c r="AY794" s="11"/>
      <x:c r="AZ794" s="11"/>
      <x:c r="BA794" s="11"/>
      <x:c r="BB794" s="11"/>
      <x:c r="BC794" s="11"/>
      <x:c r="BD794" s="11"/>
      <x:c r="BE794" s="11"/>
      <x:c r="BF794" s="11"/>
      <x:c r="BG794" s="11"/>
      <x:c r="BH794" s="11"/>
      <x:c r="BI794" s="11"/>
      <x:c r="BJ794" s="11"/>
      <x:c r="BK794" s="12"/>
      <x:c r="BL794" s="12"/>
      <x:c r="BM794" s="12"/>
      <x:c r="BN794" s="12"/>
      <x:c r="BO794" s="12"/>
      <x:c r="BP794" s="12"/>
      <x:c r="BQ794" s="12"/>
      <x:c r="BR794" s="12"/>
      <x:c r="BS794" s="12"/>
      <x:c r="BT794" s="12"/>
      <x:c r="BU794" s="11" t="n">
        <x:v>1504801</x:v>
      </x:c>
      <x:c r="BV794" s="11" t="n">
        <x:v>5384281</x:v>
      </x:c>
      <x:c r="BW794" s="11" t="n">
        <x:v>295231</x:v>
      </x:c>
      <x:c r="BX794" s="11" t="n">
        <x:v>1164662</x:v>
      </x:c>
      <x:c r="BY794" s="11" t="n">
        <x:v>0</x:v>
      </x:c>
      <x:c r="BZ794" s="11" t="n">
        <x:v>617573</x:v>
      </x:c>
      <x:c r="CA794" s="11" t="n">
        <x:v>226097</x:v>
      </x:c>
      <x:c r="CB794" s="11" t="n">
        <x:v>0</x:v>
      </x:c>
      <x:c r="CC794" s="11" t="n">
        <x:v>1716151</x:v>
      </x:c>
      <x:c r="CD794" s="11" t="n">
        <x:v>635275</x:v>
      </x:c>
      <x:c r="CE794" s="11" t="n">
        <x:v>0</x:v>
      </x:c>
      <x:c r="CF794" s="11" t="n">
        <x:v>0</x:v>
      </x:c>
      <x:c r="CG794" s="11" t="n">
        <x:v>439300</x:v>
      </x:c>
      <x:c r="CH794" s="11" t="n">
        <x:v>2124525</x:v>
      </x:c>
      <x:c r="CI794" s="11" t="n">
        <x:v>0</x:v>
      </x:c>
      <x:c r="CJ794" s="11" t="n">
        <x:v>1089650</x:v>
      </x:c>
      <x:c r="CK794" s="11" t="n">
        <x:v>1240598</x:v>
      </x:c>
      <x:c r="CL794" s="11" t="n">
        <x:v>1253508</x:v>
      </x:c>
      <x:c r="CM794" s="11" t="n">
        <x:v>44784</x:v>
      </x:c>
      <x:c r="CN794" s="11" t="n">
        <x:v>0</x:v>
      </x:c>
      <x:c r="CO794" s="11" t="n">
        <x:v>0</x:v>
      </x:c>
      <x:c r="CP794" s="8"/>
      <x:c r="CQ794" s="8"/>
    </x:row>
    <x:row r="795">
      <x:c r="A795" s="8" t="str">
        <x:v>Spallumcheen|2024</x:v>
      </x:c>
      <x:c r="B795" s="8" t="str">
        <x:v>spallumcheen-d</x:v>
      </x:c>
      <x:c r="C795" s="8" t="str">
        <x:v>Spallumcheen</x:v>
      </x:c>
      <x:c r="D795" s="8" t="str">
        <x:v>Spallumcheen</x:v>
      </x:c>
      <x:c r="E795" s="8" t="str">
        <x:v>D</x:v>
      </x:c>
      <x:c r="F795" s="8" t="str">
        <x:v>NOK</x:v>
      </x:c>
      <x:c r="G795" s="9" t="n">
        <x:v>2024</x:v>
      </x:c>
      <x:c r="H795" s="10" t="n">
        <x:v>5858</x:v>
      </x:c>
      <x:c r="I795" s="8" t="str">
        <x:v>5,000 to 19,999</x:v>
      </x:c>
      <x:c r="J795" s="11" t="n">
        <x:v>13916448</x:v>
      </x:c>
      <x:c r="K795" s="11" t="n">
        <x:v>10278117</x:v>
      </x:c>
      <x:c r="L795" s="11" t="n">
        <x:v>3638331</x:v>
      </x:c>
      <x:c r="M795" s="12" t="n">
        <x:v>0.26144106599615075</x:v>
      </x:c>
      <x:c r="N795" s="11" t="n">
        <x:v>7957337</x:v>
      </x:c>
      <x:c r="O795" s="11" t="n">
        <x:v>1119191</x:v>
      </x:c>
      <x:c r="P795" s="11" t="n">
        <x:v>3634832</x:v>
      </x:c>
      <x:c r="Q795" s="11" t="n">
        <x:v>1205088</x:v>
      </x:c>
      <x:c r="R795" s="11" t="n">
        <x:v>8324565</x:v>
      </x:c>
      <x:c r="S795" s="11" t="n">
        <x:v>1937952</x:v>
      </x:c>
      <x:c r="T795" s="11" t="n">
        <x:v>24642774</x:v>
      </x:c>
      <x:c r="U795" s="11" t="n">
        <x:v>15488102</x:v>
      </x:c>
      <x:c r="V795" s="11" t="n">
        <x:v>13793675</x:v>
      </x:c>
      <x:c r="W795" s="11" t="n">
        <x:v>2626491</x:v>
      </x:c>
      <x:c r="X795" s="11" t="n">
        <x:v>434947</x:v>
      </x:c>
      <x:c r="Y795" s="11" t="n">
        <x:v>0</x:v>
      </x:c>
      <x:c r="Z795" s="11" t="n">
        <x:v>21217</x:v>
      </x:c>
      <x:c r="AA795" s="11" t="n">
        <x:v>407954</x:v>
      </x:c>
      <x:c r="AB795" s="11" t="n">
        <x:v>15600</x:v>
      </x:c>
      <x:c r="AC795" s="11" t="n">
        <x:v>36817</x:v>
      </x:c>
      <x:c r="AD795" s="11" t="n">
        <x:v>2711216</x:v>
      </x:c>
      <x:c r="AE795" s="11" t="n">
        <x:v>2674399</x:v>
      </x:c>
      <x:c r="AF795" s="11" t="n">
        <x:v>10844864</x:v>
      </x:c>
      <x:c r="AG795" s="11" t="n">
        <x:v>124649274</x:v>
      </x:c>
      <x:c r="AH795" s="11" t="n">
        <x:v>73308938</x:v>
      </x:c>
      <x:c r="AI795" s="11" t="n">
        <x:v>51340336</x:v>
      </x:c>
      <x:c r="AJ795" s="11" t="n">
        <x:v>7076034</x:v>
      </x:c>
      <x:c r="AK795" s="11" t="n">
        <x:v>158215703</x:v>
      </x:c>
      <x:c r="AL795" s="11" t="n">
        <x:v>2530833</x:v>
      </x:c>
      <x:c r="AM795" s="12" t="n">
        <x:v>0.984003907627298</x:v>
      </x:c>
      <x:c r="AN795" s="12" t="n">
        <x:v>0.04472396775938227</x:v>
      </x:c>
      <x:c r="AO795" s="11" t="n">
        <x:v>13511209</x:v>
      </x:c>
      <x:c r="AP795" s="11" t="n">
        <x:v>12944463</x:v>
      </x:c>
      <x:c r="AQ795" s="12" t="n">
        <x:v>0.9580536427199076</x:v>
      </x:c>
      <x:c r="AR795" s="11" t="n">
        <x:v>2375.6312734721746</x:v>
      </x:c>
      <x:c r="AS795" s="11" t="n">
        <x:v>1754.5437009218163</x:v>
      </x:c>
      <x:c r="AT795" s="11" t="n">
        <x:v>2354.6730966200066</x:v>
      </x:c>
      <x:c r="AU795" s="11" t="n">
        <x:v>448.3596790713554</x:v>
      </x:c>
      <x:c r="AV795" s="11" t="n">
        <x:v>69.64049163537044</x:v>
      </x:c>
      <x:c r="AW795" s="11" t="n">
        <x:v>1.5910777188838245</x:v>
      </x:c>
      <x:c r="AX795" s="12" t="n">
        <x:v>0.9864204843878172</x:v>
      </x:c>
      <x:c r="AY795" s="11" t="n">
        <x:v>2567.538946805667</x:v>
      </x:c>
      <x:c r="AZ795" s="11" t="n">
        <x:v>3546.5079302077975</x:v>
      </x:c>
      <x:c r="BA795" s="11" t="n">
        <x:v>2045.0195609464422</x:v>
      </x:c>
      <x:c r="BB795" s="11" t="n">
        <x:v>2783.665107049771</x:v>
      </x:c>
      <x:c r="BC795" s="11" t="n">
        <x:v>2217.25520024837</x:v>
      </x:c>
      <x:c r="BD795" s="11" t="n">
        <x:v>2437.8724475115623</x:v>
      </x:c>
      <x:c r="BE795" s="11" t="n">
        <x:v>799.2304887641933</x:v>
      </x:c>
      <x:c r="BF795" s="11" t="n">
        <x:v>1604.3462673977224</x:v>
      </x:c>
      <x:c r="BG795" s="11" t="n">
        <x:v>386.9249167164944</x:v>
      </x:c>
      <x:c r="BH795" s="11" t="n">
        <x:v>518.5374381567245</x:v>
      </x:c>
      <x:c r="BI795" s="11" t="n">
        <x:v>1.5629948984418691</x:v>
      </x:c>
      <x:c r="BJ795" s="11" t="n">
        <x:v>1.7099330852451193</x:v>
      </x:c>
      <x:c r="BK795" s="12" t="n">
        <x:v>0.04472396775938227</x:v>
      </x:c>
      <x:c r="BL795" s="12" t="n">
        <x:v>0.02529861000232605</x:v>
      </x:c>
      <x:c r="BM795" s="12" t="n">
        <x:v>0.9792813777328785</x:v>
      </x:c>
      <x:c r="BN795" s="12" t="n">
        <x:v>0.9815511712696461</x:v>
      </x:c>
      <x:c r="BO795" s="12" t="n">
        <x:v>0.8510570773833829</x:v>
      </x:c>
      <x:c r="BP795" s="12" t="n">
        <x:v>0.8619101997275483</x:v>
      </x:c>
      <x:c r="BQ795" s="12" t="n">
        <x:v>0.9732053424599786</x:v>
      </x:c>
      <x:c r="BR795" s="12" t="n">
        <x:v>0.9623635142836453</x:v>
      </x:c>
      <x:c r="BS795" s="12" t="n">
        <x:v>0.170495619408603</x:v>
      </x:c>
      <x:c r="BT795" s="12" t="n">
        <x:v>0.19976549769108282</x:v>
      </x:c>
      <x:c r="BU795" s="11" t="n">
        <x:v>2347111</x:v>
      </x:c>
      <x:c r="BV795" s="11" t="n">
        <x:v>982661</x:v>
      </x:c>
      <x:c r="BW795" s="11" t="n">
        <x:v>305060</x:v>
      </x:c>
      <x:c r="BX795" s="11" t="n">
        <x:v>1171312</x:v>
      </x:c>
      <x:c r="BY795" s="11" t="n">
        <x:v>0</x:v>
      </x:c>
      <x:c r="BZ795" s="11" t="n">
        <x:v>33776</x:v>
      </x:c>
      <x:c r="CA795" s="11" t="n">
        <x:v>0</x:v>
      </x:c>
      <x:c r="CB795" s="11" t="n">
        <x:v>0</x:v>
      </x:c>
      <x:c r="CC795" s="11" t="n">
        <x:v>1621923</x:v>
      </x:c>
      <x:c r="CD795" s="11" t="n">
        <x:v>1604146</x:v>
      </x:c>
      <x:c r="CE795" s="11" t="n">
        <x:v>0</x:v>
      </x:c>
      <x:c r="CF795" s="11" t="n">
        <x:v>0</x:v>
      </x:c>
      <x:c r="CG795" s="11" t="n">
        <x:v>197160</x:v>
      </x:c>
      <x:c r="CH795" s="11" t="n">
        <x:v>2187720</x:v>
      </x:c>
      <x:c r="CI795" s="11" t="n">
        <x:v>662891</x:v>
      </x:c>
      <x:c r="CJ795" s="11" t="n">
        <x:v>1161782</x:v>
      </x:c>
      <x:c r="CK795" s="11" t="n">
        <x:v>800102</x:v>
      </x:c>
      <x:c r="CL795" s="11" t="n">
        <x:v>62955</x:v>
      </x:c>
      <x:c r="CM795" s="11" t="n">
        <x:v>41486</x:v>
      </x:c>
      <x:c r="CN795" s="11" t="n">
        <x:v>0</x:v>
      </x:c>
      <x:c r="CO795" s="11" t="n">
        <x:v>0</x:v>
      </x:c>
      <x:c r="CP795" s="8"/>
      <x:c r="CQ795" s="8"/>
    </x:row>
    <x:row r="796">
      <x:c r="A796" s="8" t="str">
        <x:v>Sparwood|2019</x:v>
      </x:c>
      <x:c r="B796" s="8" t="str">
        <x:v>sparwood-d</x:v>
      </x:c>
      <x:c r="C796" s="8" t="str">
        <x:v>Sparwood</x:v>
      </x:c>
      <x:c r="D796" s="8" t="str">
        <x:v>Sparwood</x:v>
      </x:c>
      <x:c r="E796" s="8" t="str">
        <x:v>D</x:v>
      </x:c>
      <x:c r="F796" s="8" t="str">
        <x:v>EKO</x:v>
      </x:c>
      <x:c r="G796" s="9" t="n">
        <x:v>2019</x:v>
      </x:c>
      <x:c r="H796" s="10" t="n">
        <x:v>4032</x:v>
      </x:c>
      <x:c r="I796" s="8" t="str">
        <x:v>Under 5,000</x:v>
      </x:c>
      <x:c r="J796" s="11" t="n">
        <x:v>16628295</x:v>
      </x:c>
      <x:c r="K796" s="11" t="n">
        <x:v>11943817</x:v>
      </x:c>
      <x:c r="L796" s="11" t="n">
        <x:v>4684478</x:v>
      </x:c>
      <x:c r="M796" s="12" t="n">
        <x:v>0.28171727768842203</x:v>
      </x:c>
      <x:c r="N796" s="11" t="n">
        <x:v>7695125</x:v>
      </x:c>
      <x:c r="O796" s="11" t="n">
        <x:v>3042872</x:v>
      </x:c>
      <x:c r="P796" s="11" t="n">
        <x:v>1101343</x:v>
      </x:c>
      <x:c r="Q796" s="11" t="n">
        <x:v>4788955</x:v>
      </x:c>
      <x:c r="R796" s="11" t="n">
        <x:v>9399458</x:v>
      </x:c>
      <x:c r="S796" s="11" t="n">
        <x:v>2382080</x:v>
      </x:c>
      <x:c r="T796" s="11" t="n">
        <x:v>19187924</x:v>
      </x:c>
      <x:c r="U796" s="11" t="n">
        <x:v>7503915</x:v>
      </x:c>
      <x:c r="V796" s="11" t="n">
        <x:v>14086436</x:v>
      </x:c>
      <x:c r="W796" s="11" t="n">
        <x:v>12433622</x:v>
      </x:c>
      <x:c r="X796" s="11" t="n">
        <x:v>4584180</x:v>
      </x:c>
      <x:c r="Y796" s="11" t="n">
        <x:v>0</x:v>
      </x:c>
      <x:c r="Z796" s="11" t="n">
        <x:v>215557</x:v>
      </x:c>
      <x:c r="AA796" s="11" t="n">
        <x:v>4342611</x:v>
      </x:c>
      <x:c r="AB796" s="11" t="n">
        <x:v>162279</x:v>
      </x:c>
      <x:c r="AC796" s="11" t="n">
        <x:v>377836</x:v>
      </x:c>
      <x:c r="AD796" s="11" t="n">
        <x:v>2819212</x:v>
      </x:c>
      <x:c r="AE796" s="11" t="n">
        <x:v>2441376</x:v>
      </x:c>
      <x:c r="AF796" s="11" t="n">
        <x:v>11276848</x:v>
      </x:c>
      <x:c r="AG796" s="11" t="n">
        <x:v>122047612</x:v>
      </x:c>
      <x:c r="AH796" s="11" t="n">
        <x:v>37943181</x:v>
      </x:c>
      <x:c r="AI796" s="11" t="n">
        <x:v>84104431</x:v>
      </x:c>
      <x:c r="AJ796" s="11" t="n">
        <x:v>6553996</x:v>
      </x:c>
      <x:c r="AK796" s="11" t="n">
        <x:v>7534345</x:v>
      </x:c>
      <x:c r="AL796" s="11" t="n">
        <x:v>0</x:v>
      </x:c>
      <x:c r="AM796" s="12" t="n">
        <x:v>1</x:v>
      </x:c>
      <x:c r="AN796" s="12" t="n">
        <x:v>0.8698826507148266</x:v>
      </x:c>
      <x:c r="AO796" s="11" t="n">
        <x:v>13495229</x:v>
      </x:c>
      <x:c r="AP796" s="11" t="n">
        <x:v>13322527</x:v>
      </x:c>
      <x:c r="AQ796" s="12" t="n">
        <x:v>0.9872027366115832</x:v>
      </x:c>
      <x:c r="AR796" s="11" t="n">
        <x:v>4124.081101190476</x:v>
      </x:c>
      <x:c r="AS796" s="11" t="n">
        <x:v>2962.2562003968255</x:v>
      </x:c>
      <x:c r="AT796" s="11" t="n">
        <x:v>3493.659722222222</x:v>
      </x:c>
      <x:c r="AU796" s="11" t="n">
        <x:v>3083.7356150793653</x:v>
      </x:c>
      <x:c r="AV796" s="11" t="n">
        <x:v>1077.0364583333333</x:v>
      </x:c>
      <x:c r="AW796" s="11" t="n">
        <x:v>2.5570550839128643</x:v>
      </x:c>
      <x:c r="AX796" s="12" t="n">
        <x:v>0.8659781527604168</x:v>
      </x:c>
      <x:c r="AY796" s="11"/>
      <x:c r="AZ796" s="11"/>
      <x:c r="BA796" s="11"/>
      <x:c r="BB796" s="11"/>
      <x:c r="BC796" s="11"/>
      <x:c r="BD796" s="11"/>
      <x:c r="BE796" s="11"/>
      <x:c r="BF796" s="11"/>
      <x:c r="BG796" s="11"/>
      <x:c r="BH796" s="11"/>
      <x:c r="BI796" s="11"/>
      <x:c r="BJ796" s="11"/>
      <x:c r="BK796" s="12"/>
      <x:c r="BL796" s="12"/>
      <x:c r="BM796" s="12"/>
      <x:c r="BN796" s="12"/>
      <x:c r="BO796" s="12"/>
      <x:c r="BP796" s="12"/>
      <x:c r="BQ796" s="12"/>
      <x:c r="BR796" s="12"/>
      <x:c r="BS796" s="12"/>
      <x:c r="BT796" s="12"/>
      <x:c r="BU796" s="11" t="n">
        <x:v>0</x:v>
      </x:c>
      <x:c r="BV796" s="11" t="n">
        <x:v>996821</x:v>
      </x:c>
      <x:c r="BW796" s="11" t="n">
        <x:v>104522</x:v>
      </x:c>
      <x:c r="BX796" s="11" t="n">
        <x:v>507199</x:v>
      </x:c>
      <x:c r="BY796" s="11" t="n">
        <x:v>0</x:v>
      </x:c>
      <x:c r="BZ796" s="11" t="n">
        <x:v>4281756</x:v>
      </x:c>
      <x:c r="CA796" s="11" t="n">
        <x:v>0</x:v>
      </x:c>
      <x:c r="CB796" s="11" t="n">
        <x:v>0</x:v>
      </x:c>
      <x:c r="CC796" s="11" t="n">
        <x:v>1490393</x:v>
      </x:c>
      <x:c r="CD796" s="11" t="n">
        <x:v>909893</x:v>
      </x:c>
      <x:c r="CE796" s="11" t="n">
        <x:v>317365</x:v>
      </x:c>
      <x:c r="CF796" s="11" t="n">
        <x:v>68503</x:v>
      </x:c>
      <x:c r="CG796" s="11" t="n">
        <x:v>788711</x:v>
      </x:c>
      <x:c r="CH796" s="11" t="n">
        <x:v>1926773</x:v>
      </x:c>
      <x:c r="CI796" s="11" t="n">
        <x:v>2667656</x:v>
      </x:c>
      <x:c r="CJ796" s="11" t="n">
        <x:v>615515</x:v>
      </x:c>
      <x:c r="CK796" s="11" t="n">
        <x:v>753956</x:v>
      </x:c>
      <x:c r="CL796" s="11" t="n">
        <x:v>0</x:v>
      </x:c>
      <x:c r="CM796" s="11"/>
      <x:c r="CN796" s="11" t="n">
        <x:v>22972</x:v>
      </x:c>
      <x:c r="CO796" s="11" t="n">
        <x:v>0</x:v>
      </x:c>
      <x:c r="CP796" s="8"/>
      <x:c r="CQ796" s="8"/>
    </x:row>
    <x:row r="797">
      <x:c r="A797" s="8" t="str">
        <x:v>Sparwood|2020</x:v>
      </x:c>
      <x:c r="B797" s="8" t="str">
        <x:v>sparwood-d</x:v>
      </x:c>
      <x:c r="C797" s="8" t="str">
        <x:v>Sparwood</x:v>
      </x:c>
      <x:c r="D797" s="8" t="str">
        <x:v>Sparwood</x:v>
      </x:c>
      <x:c r="E797" s="8" t="str">
        <x:v>D</x:v>
      </x:c>
      <x:c r="F797" s="8" t="str">
        <x:v>EKO</x:v>
      </x:c>
      <x:c r="G797" s="9" t="n">
        <x:v>2020</x:v>
      </x:c>
      <x:c r="H797" s="10" t="n">
        <x:v>4137</x:v>
      </x:c>
      <x:c r="I797" s="8" t="str">
        <x:v>Under 5,000</x:v>
      </x:c>
      <x:c r="J797" s="11" t="n">
        <x:v>13916906</x:v>
      </x:c>
      <x:c r="K797" s="11" t="n">
        <x:v>12039377</x:v>
      </x:c>
      <x:c r="L797" s="11" t="n">
        <x:v>1877529</x:v>
      </x:c>
      <x:c r="M797" s="12" t="n">
        <x:v>0.13490994334516596</x:v>
      </x:c>
      <x:c r="N797" s="11" t="n">
        <x:v>7983679</x:v>
      </x:c>
      <x:c r="O797" s="11" t="n">
        <x:v>2788845</x:v>
      </x:c>
      <x:c r="P797" s="11" t="n">
        <x:v>2126988</x:v>
      </x:c>
      <x:c r="Q797" s="11" t="n">
        <x:v>1017394</x:v>
      </x:c>
      <x:c r="R797" s="11" t="n">
        <x:v>9254303</x:v>
      </x:c>
      <x:c r="S797" s="11" t="n">
        <x:v>2625843</x:v>
      </x:c>
      <x:c r="T797" s="11" t="n">
        <x:v>21724811</x:v>
      </x:c>
      <x:c r="U797" s="11" t="n">
        <x:v>7689448</x:v>
      </x:c>
      <x:c r="V797" s="11" t="n">
        <x:v>16409226</x:v>
      </x:c>
      <x:c r="W797" s="11" t="n">
        <x:v>13077726</x:v>
      </x:c>
      <x:c r="X797" s="11" t="n">
        <x:v>4342611</x:v>
      </x:c>
      <x:c r="Y797" s="11" t="n">
        <x:v>0</x:v>
      </x:c>
      <x:c r="Z797" s="11" t="n">
        <x:v>221440</x:v>
      </x:c>
      <x:c r="AA797" s="11" t="n">
        <x:v>4089317</x:v>
      </x:c>
      <x:c r="AB797" s="11" t="n">
        <x:v>159231</x:v>
      </x:c>
      <x:c r="AC797" s="11" t="n">
        <x:v>380671</x:v>
      </x:c>
      <x:c r="AD797" s="11" t="n">
        <x:v>2918745</x:v>
      </x:c>
      <x:c r="AE797" s="11" t="n">
        <x:v>2538074</x:v>
      </x:c>
      <x:c r="AF797" s="11" t="n">
        <x:v>11674978</x:v>
      </x:c>
      <x:c r="AG797" s="11" t="n">
        <x:v>123778970</x:v>
      </x:c>
      <x:c r="AH797" s="11" t="n">
        <x:v>40095765</x:v>
      </x:c>
      <x:c r="AI797" s="11" t="n">
        <x:v>83683205</x:v>
      </x:c>
      <x:c r="AJ797" s="11" t="n">
        <x:v>2325852</x:v>
      </x:c>
      <x:c r="AK797" s="11" t="n">
        <x:v>7918143</x:v>
      </x:c>
      <x:c r="AL797" s="11" t="n">
        <x:v>0</x:v>
      </x:c>
      <x:c r="AM797" s="12" t="n">
        <x:v>1</x:v>
      </x:c>
      <x:c r="AN797" s="12" t="n">
        <x:v>0.29373705425628205</x:v>
      </x:c>
      <x:c r="AO797" s="11" t="n">
        <x:v>13245182</x:v>
      </x:c>
      <x:c r="AP797" s="11" t="n">
        <x:v>13059592</x:v>
      </x:c>
      <x:c r="AQ797" s="12" t="n">
        <x:v>0.9859881125076273</x:v>
      </x:c>
      <x:c r="AR797" s="11" t="n">
        <x:v>3364.0091854000484</x:v>
      </x:c>
      <x:c r="AS797" s="11" t="n">
        <x:v>2910.17089678511</x:v>
      </x:c>
      <x:c r="AT797" s="11" t="n">
        <x:v>3966.455402465555</x:v>
      </x:c>
      <x:c r="AU797" s="11" t="n">
        <x:v>3161.1617113850616</x:v>
      </x:c>
      <x:c r="AV797" s="11" t="n">
        <x:v>988.4740149867054</x:v>
      </x:c>
      <x:c r="AW797" s="11" t="n">
        <x:v>2.8252757545144984</x:v>
      </x:c>
      <x:c r="AX797" s="12" t="n">
        <x:v>0.8695771641578829</x:v>
      </x:c>
      <x:c r="AY797" s="11"/>
      <x:c r="AZ797" s="11"/>
      <x:c r="BA797" s="11"/>
      <x:c r="BB797" s="11"/>
      <x:c r="BC797" s="11"/>
      <x:c r="BD797" s="11"/>
      <x:c r="BE797" s="11"/>
      <x:c r="BF797" s="11"/>
      <x:c r="BG797" s="11"/>
      <x:c r="BH797" s="11"/>
      <x:c r="BI797" s="11"/>
      <x:c r="BJ797" s="11"/>
      <x:c r="BK797" s="12"/>
      <x:c r="BL797" s="12"/>
      <x:c r="BM797" s="12"/>
      <x:c r="BN797" s="12"/>
      <x:c r="BO797" s="12"/>
      <x:c r="BP797" s="12"/>
      <x:c r="BQ797" s="12"/>
      <x:c r="BR797" s="12"/>
      <x:c r="BS797" s="12"/>
      <x:c r="BT797" s="12"/>
      <x:c r="BU797" s="11" t="n">
        <x:v>0</x:v>
      </x:c>
      <x:c r="BV797" s="11" t="n">
        <x:v>1986104</x:v>
      </x:c>
      <x:c r="BW797" s="11" t="n">
        <x:v>140884</x:v>
      </x:c>
      <x:c r="BX797" s="11" t="n">
        <x:v>599526</x:v>
      </x:c>
      <x:c r="BY797" s="11" t="n">
        <x:v>0</x:v>
      </x:c>
      <x:c r="BZ797" s="11" t="n">
        <x:v>0</x:v>
      </x:c>
      <x:c r="CA797" s="11" t="n">
        <x:v>0</x:v>
      </x:c>
      <x:c r="CB797" s="11" t="n">
        <x:v>417868</x:v>
      </x:c>
      <x:c r="CC797" s="11" t="n">
        <x:v>1719977</x:v>
      </x:c>
      <x:c r="CD797" s="11" t="n">
        <x:v>822462</x:v>
      </x:c>
      <x:c r="CE797" s="11" t="n">
        <x:v>296039</x:v>
      </x:c>
      <x:c r="CF797" s="11" t="n">
        <x:v>81773</x:v>
      </x:c>
      <x:c r="CG797" s="11" t="n">
        <x:v>752673</x:v>
      </x:c>
      <x:c r="CH797" s="11" t="n">
        <x:v>1943521</x:v>
      </x:c>
      <x:c r="CI797" s="11" t="n">
        <x:v>2440869</x:v>
      </x:c>
      <x:c r="CJ797" s="11" t="n">
        <x:v>643290</x:v>
      </x:c>
      <x:c r="CK797" s="11" t="n">
        <x:v>604837</x:v>
      </x:c>
      <x:c r="CL797" s="11" t="n">
        <x:v>0</x:v>
      </x:c>
      <x:c r="CM797" s="11"/>
      <x:c r="CN797" s="11" t="n">
        <x:v>108093</x:v>
      </x:c>
      <x:c r="CO797" s="11" t="n">
        <x:v>0</x:v>
      </x:c>
      <x:c r="CP797" s="8"/>
      <x:c r="CQ797" s="8"/>
    </x:row>
    <x:row r="798">
      <x:c r="A798" s="8" t="str">
        <x:v>Sparwood|2021</x:v>
      </x:c>
      <x:c r="B798" s="8" t="str">
        <x:v>sparwood-d</x:v>
      </x:c>
      <x:c r="C798" s="8" t="str">
        <x:v>Sparwood</x:v>
      </x:c>
      <x:c r="D798" s="8" t="str">
        <x:v>Sparwood</x:v>
      </x:c>
      <x:c r="E798" s="8" t="str">
        <x:v>D</x:v>
      </x:c>
      <x:c r="F798" s="8" t="str">
        <x:v>EKO</x:v>
      </x:c>
      <x:c r="G798" s="9" t="n">
        <x:v>2021</x:v>
      </x:c>
      <x:c r="H798" s="10" t="n">
        <x:v>4121</x:v>
      </x:c>
      <x:c r="I798" s="8" t="str">
        <x:v>Under 5,000</x:v>
      </x:c>
      <x:c r="J798" s="11" t="n">
        <x:v>13862172</x:v>
      </x:c>
      <x:c r="K798" s="11" t="n">
        <x:v>12335152</x:v>
      </x:c>
      <x:c r="L798" s="11" t="n">
        <x:v>1527020</x:v>
      </x:c>
      <x:c r="M798" s="12" t="n">
        <x:v>0.11015734042255428</x:v>
      </x:c>
      <x:c r="N798" s="11" t="n">
        <x:v>8398986</x:v>
      </x:c>
      <x:c r="O798" s="11" t="n">
        <x:v>2995908</x:v>
      </x:c>
      <x:c r="P798" s="11" t="n">
        <x:v>2072247</x:v>
      </x:c>
      <x:c r="Q798" s="11" t="n">
        <x:v>395031</x:v>
      </x:c>
      <x:c r="R798" s="11" t="n">
        <x:v>9503590</x:v>
      </x:c>
      <x:c r="S798" s="11" t="n">
        <x:v>2673923</x:v>
      </x:c>
      <x:c r="T798" s="11" t="n">
        <x:v>24684812</x:v>
      </x:c>
      <x:c r="U798" s="11" t="n">
        <x:v>10281451</x:v>
      </x:c>
      <x:c r="V798" s="11" t="n">
        <x:v>18121221</x:v>
      </x:c>
      <x:c r="W798" s="11" t="n">
        <x:v>14250419</x:v>
      </x:c>
      <x:c r="X798" s="11" t="n">
        <x:v>4089317</x:v>
      </x:c>
      <x:c r="Y798" s="11" t="n">
        <x:v>0</x:v>
      </x:c>
      <x:c r="Z798" s="11" t="n">
        <x:v>157644</x:v>
      </x:c>
      <x:c r="AA798" s="11" t="n">
        <x:v>3893742</x:v>
      </x:c>
      <x:c r="AB798" s="11" t="n">
        <x:v>157639</x:v>
      </x:c>
      <x:c r="AC798" s="11" t="n">
        <x:v>315283</x:v>
      </x:c>
      <x:c r="AD798" s="11" t="n">
        <x:v>2920564</x:v>
      </x:c>
      <x:c r="AE798" s="11" t="n">
        <x:v>2605281</x:v>
      </x:c>
      <x:c r="AF798" s="11" t="n">
        <x:v>11682256</x:v>
      </x:c>
      <x:c r="AG798" s="11" t="n">
        <x:v>125051787</x:v>
      </x:c>
      <x:c r="AH798" s="11" t="n">
        <x:v>42407532</x:v>
      </x:c>
      <x:c r="AI798" s="11" t="n">
        <x:v>82644255</x:v>
      </x:c>
      <x:c r="AJ798" s="11" t="n">
        <x:v>1638415</x:v>
      </x:c>
      <x:c r="AK798" s="11" t="n">
        <x:v>8278177</x:v>
      </x:c>
      <x:c r="AL798" s="11" t="n">
        <x:v>0</x:v>
      </x:c>
      <x:c r="AM798" s="12" t="n">
        <x:v>1</x:v>
      </x:c>
      <x:c r="AN798" s="12" t="n">
        <x:v>0.19791978354654655</x:v>
      </x:c>
      <x:c r="AO798" s="11" t="n">
        <x:v>14654340</x:v>
      </x:c>
      <x:c r="AP798" s="11" t="n">
        <x:v>14214665</x:v>
      </x:c>
      <x:c r="AQ798" s="12" t="n">
        <x:v>0.9699969428851795</x:v>
      </x:c>
      <x:c r="AR798" s="11" t="n">
        <x:v>3363.7884008735746</x:v>
      </x:c>
      <x:c r="AS798" s="11" t="n">
        <x:v>2993.242416889105</x:v>
      </x:c>
      <x:c r="AT798" s="11" t="n">
        <x:v>4397.287308905606</x:v>
      </x:c>
      <x:c r="AU798" s="11" t="n">
        <x:v>3458.000242659549</x:v>
      </x:c>
      <x:c r="AV798" s="11" t="n">
        <x:v>944.853676292162</x:v>
      </x:c>
      <x:c r="AW798" s="11" t="n">
        <x:v>2.4009074205576626</x:v>
      </x:c>
      <x:c r="AX798" s="12" t="n">
        <x:v>0.8920472210162147</x:v>
      </x:c>
      <x:c r="AY798" s="11"/>
      <x:c r="AZ798" s="11"/>
      <x:c r="BA798" s="11"/>
      <x:c r="BB798" s="11"/>
      <x:c r="BC798" s="11"/>
      <x:c r="BD798" s="11"/>
      <x:c r="BE798" s="11"/>
      <x:c r="BF798" s="11"/>
      <x:c r="BG798" s="11"/>
      <x:c r="BH798" s="11"/>
      <x:c r="BI798" s="11"/>
      <x:c r="BJ798" s="11"/>
      <x:c r="BK798" s="12"/>
      <x:c r="BL798" s="12"/>
      <x:c r="BM798" s="12"/>
      <x:c r="BN798" s="12"/>
      <x:c r="BO798" s="12"/>
      <x:c r="BP798" s="12"/>
      <x:c r="BQ798" s="12"/>
      <x:c r="BR798" s="12"/>
      <x:c r="BS798" s="12"/>
      <x:c r="BT798" s="12"/>
      <x:c r="BU798" s="11" t="n">
        <x:v>4442</x:v>
      </x:c>
      <x:c r="BV798" s="11" t="n">
        <x:v>1828554</x:v>
      </x:c>
      <x:c r="BW798" s="11" t="n">
        <x:v>239251</x:v>
      </x:c>
      <x:c r="BX798" s="11" t="n">
        <x:v>53308</x:v>
      </x:c>
      <x:c r="BY798" s="11" t="n">
        <x:v>0</x:v>
      </x:c>
      <x:c r="BZ798" s="11" t="n">
        <x:v>0</x:v>
      </x:c>
      <x:c r="CA798" s="11" t="n">
        <x:v>38818</x:v>
      </x:c>
      <x:c r="CB798" s="11" t="n">
        <x:v>302905</x:v>
      </x:c>
      <x:c r="CC798" s="11" t="n">
        <x:v>1938754</x:v>
      </x:c>
      <x:c r="CD798" s="11" t="n">
        <x:v>960927</x:v>
      </x:c>
      <x:c r="CE798" s="11" t="n">
        <x:v>302219</x:v>
      </x:c>
      <x:c r="CF798" s="11" t="n">
        <x:v>74891</x:v>
      </x:c>
      <x:c r="CG798" s="11" t="n">
        <x:v>766980</x:v>
      </x:c>
      <x:c r="CH798" s="11" t="n">
        <x:v>1839279</x:v>
      </x:c>
      <x:c r="CI798" s="11" t="n">
        <x:v>2609868</x:v>
      </x:c>
      <x:c r="CJ798" s="11" t="n">
        <x:v>590697</x:v>
      </x:c>
      <x:c r="CK798" s="11" t="n">
        <x:v>577614</x:v>
      </x:c>
      <x:c r="CL798" s="11" t="n">
        <x:v>0</x:v>
      </x:c>
      <x:c r="CM798" s="11"/>
      <x:c r="CN798" s="11" t="n">
        <x:v>0</x:v>
      </x:c>
      <x:c r="CO798" s="11" t="n">
        <x:v>0</x:v>
      </x:c>
      <x:c r="CP798" s="8"/>
      <x:c r="CQ798" s="8"/>
    </x:row>
    <x:row r="799">
      <x:c r="A799" s="8" t="str">
        <x:v>Sparwood|2022</x:v>
      </x:c>
      <x:c r="B799" s="8" t="str">
        <x:v>sparwood-d</x:v>
      </x:c>
      <x:c r="C799" s="8" t="str">
        <x:v>Sparwood</x:v>
      </x:c>
      <x:c r="D799" s="8" t="str">
        <x:v>Sparwood</x:v>
      </x:c>
      <x:c r="E799" s="8" t="str">
        <x:v>D</x:v>
      </x:c>
      <x:c r="F799" s="8" t="str">
        <x:v>EKO</x:v>
      </x:c>
      <x:c r="G799" s="9" t="n">
        <x:v>2022</x:v>
      </x:c>
      <x:c r="H799" s="10" t="n">
        <x:v>4159</x:v>
      </x:c>
      <x:c r="I799" s="8" t="str">
        <x:v>Under 5,000</x:v>
      </x:c>
      <x:c r="J799" s="11" t="n">
        <x:v>16421311</x:v>
      </x:c>
      <x:c r="K799" s="11" t="n">
        <x:v>12886049</x:v>
      </x:c>
      <x:c r="L799" s="11" t="n">
        <x:v>3535262</x:v>
      </x:c>
      <x:c r="M799" s="12" t="n">
        <x:v>0.21528500373691237</x:v>
      </x:c>
      <x:c r="N799" s="11" t="n">
        <x:v>8700345</x:v>
      </x:c>
      <x:c r="O799" s="11" t="n">
        <x:v>3352368</x:v>
      </x:c>
      <x:c r="P799" s="11" t="n">
        <x:v>2262906</x:v>
      </x:c>
      <x:c r="Q799" s="11" t="n">
        <x:v>2105692</x:v>
      </x:c>
      <x:c r="R799" s="11" t="n">
        <x:v>10106729</x:v>
      </x:c>
      <x:c r="S799" s="11" t="n">
        <x:v>2621820</x:v>
      </x:c>
      <x:c r="T799" s="11" t="n">
        <x:v>24074576</x:v>
      </x:c>
      <x:c r="U799" s="11" t="n">
        <x:v>9550860</x:v>
      </x:c>
      <x:c r="V799" s="11" t="n">
        <x:v>17162441</x:v>
      </x:c>
      <x:c r="W799" s="11" t="n">
        <x:v>14391963</x:v>
      </x:c>
      <x:c r="X799" s="11" t="n">
        <x:v>3893742</x:v>
      </x:c>
      <x:c r="Y799" s="11" t="n">
        <x:v>0</x:v>
      </x:c>
      <x:c r="Z799" s="11" t="n">
        <x:v>120060</x:v>
      </x:c>
      <x:c r="AA799" s="11" t="n">
        <x:v>3729432</x:v>
      </x:c>
      <x:c r="AB799" s="11" t="n">
        <x:v>157500</x:v>
      </x:c>
      <x:c r="AC799" s="11" t="n">
        <x:v>277560</x:v>
      </x:c>
      <x:c r="AD799" s="11" t="n">
        <x:v>2985065</x:v>
      </x:c>
      <x:c r="AE799" s="11" t="n">
        <x:v>2707505</x:v>
      </x:c>
      <x:c r="AF799" s="11" t="n">
        <x:v>11940258</x:v>
      </x:c>
      <x:c r="AG799" s="11" t="n">
        <x:v>131755004</x:v>
      </x:c>
      <x:c r="AH799" s="11" t="n">
        <x:v>44784401</x:v>
      </x:c>
      <x:c r="AI799" s="11" t="n">
        <x:v>86970603</x:v>
      </x:c>
      <x:c r="AJ799" s="11" t="n">
        <x:v>6242949</x:v>
      </x:c>
      <x:c r="AK799" s="11" t="n">
        <x:v>12101598</x:v>
      </x:c>
      <x:c r="AL799" s="11" t="n">
        <x:v>0</x:v>
      </x:c>
      <x:c r="AM799" s="12" t="n">
        <x:v>1</x:v>
      </x:c>
      <x:c r="AN799" s="12" t="n">
        <x:v>0.5158780683344464</x:v>
      </x:c>
      <x:c r="AO799" s="11" t="n">
        <x:v>15343373</x:v>
      </x:c>
      <x:c r="AP799" s="11" t="n">
        <x:v>14841036</x:v>
      </x:c>
      <x:c r="AQ799" s="12" t="n">
        <x:v>0.9672603279604817</x:v>
      </x:c>
      <x:c r="AR799" s="11" t="n">
        <x:v>3948.379658571772</x:v>
      </x:c>
      <x:c r="AS799" s="11" t="n">
        <x:v>3098.352729021399</x:v>
      </x:c>
      <x:c r="AT799" s="11" t="n">
        <x:v>4126.5787448905985</x:v>
      </x:c>
      <x:c r="AU799" s="11" t="n">
        <x:v>3460.4383265207985</x:v>
      </x:c>
      <x:c r="AV799" s="11" t="n">
        <x:v>896.7136330848762</x:v>
      </x:c>
      <x:c r="AW799" s="11" t="n">
        <x:v>2.52067101810727</x:v>
      </x:c>
      <x:c r="AX799" s="12" t="n">
        <x:v>0.9070171001301479</x:v>
      </x:c>
      <x:c r="AY799" s="11"/>
      <x:c r="AZ799" s="11"/>
      <x:c r="BA799" s="11"/>
      <x:c r="BB799" s="11"/>
      <x:c r="BC799" s="11"/>
      <x:c r="BD799" s="11"/>
      <x:c r="BE799" s="11"/>
      <x:c r="BF799" s="11"/>
      <x:c r="BG799" s="11"/>
      <x:c r="BH799" s="11"/>
      <x:c r="BI799" s="11"/>
      <x:c r="BJ799" s="11"/>
      <x:c r="BK799" s="12"/>
      <x:c r="BL799" s="12"/>
      <x:c r="BM799" s="12"/>
      <x:c r="BN799" s="12"/>
      <x:c r="BO799" s="12"/>
      <x:c r="BP799" s="12"/>
      <x:c r="BQ799" s="12"/>
      <x:c r="BR799" s="12"/>
      <x:c r="BS799" s="12"/>
      <x:c r="BT799" s="12"/>
      <x:c r="BU799" s="11" t="n">
        <x:v>32091</x:v>
      </x:c>
      <x:c r="BV799" s="11" t="n">
        <x:v>1775629</x:v>
      </x:c>
      <x:c r="BW799" s="11" t="n">
        <x:v>455186</x:v>
      </x:c>
      <x:c r="BX799" s="11" t="n">
        <x:v>127206</x:v>
      </x:c>
      <x:c r="BY799" s="11" t="n">
        <x:v>0</x:v>
      </x:c>
      <x:c r="BZ799" s="11" t="n">
        <x:v>1004615</x:v>
      </x:c>
      <x:c r="CA799" s="11" t="n">
        <x:v>973871</x:v>
      </x:c>
      <x:c r="CB799" s="11" t="n">
        <x:v>0</x:v>
      </x:c>
      <x:c r="CC799" s="11" t="n">
        <x:v>2009686</x:v>
      </x:c>
      <x:c r="CD799" s="11" t="n">
        <x:v>1137901</x:v>
      </x:c>
      <x:c r="CE799" s="11" t="n">
        <x:v>338995</x:v>
      </x:c>
      <x:c r="CF799" s="11" t="n">
        <x:v>29543</x:v>
      </x:c>
      <x:c r="CG799" s="11" t="n">
        <x:v>670627</x:v>
      </x:c>
      <x:c r="CH799" s="11" t="n">
        <x:v>2033802</x:v>
      </x:c>
      <x:c r="CI799" s="11" t="n">
        <x:v>2705701</x:v>
      </x:c>
      <x:c r="CJ799" s="11" t="n">
        <x:v>653584</x:v>
      </x:c>
      <x:c r="CK799" s="11" t="n">
        <x:v>620451</x:v>
      </x:c>
      <x:c r="CL799" s="11" t="n">
        <x:v>63939</x:v>
      </x:c>
      <x:c r="CM799" s="11"/>
      <x:c r="CN799" s="11" t="n">
        <x:v>0</x:v>
      </x:c>
      <x:c r="CO799" s="11" t="n">
        <x:v>0</x:v>
      </x:c>
      <x:c r="CP799" s="8"/>
      <x:c r="CQ799" s="8"/>
    </x:row>
    <x:row r="800">
      <x:c r="A800" s="8" t="str">
        <x:v>Sparwood|2023</x:v>
      </x:c>
      <x:c r="B800" s="8" t="str">
        <x:v>sparwood-d</x:v>
      </x:c>
      <x:c r="C800" s="8" t="str">
        <x:v>Sparwood</x:v>
      </x:c>
      <x:c r="D800" s="8" t="str">
        <x:v>Sparwood</x:v>
      </x:c>
      <x:c r="E800" s="8" t="str">
        <x:v>D</x:v>
      </x:c>
      <x:c r="F800" s="8" t="str">
        <x:v>EKO</x:v>
      </x:c>
      <x:c r="G800" s="9" t="n">
        <x:v>2023</x:v>
      </x:c>
      <x:c r="H800" s="10" t="n">
        <x:v>4265</x:v>
      </x:c>
      <x:c r="I800" s="8" t="str">
        <x:v>Under 5,000</x:v>
      </x:c>
      <x:c r="J800" s="11" t="n">
        <x:v>19701536</x:v>
      </x:c>
      <x:c r="K800" s="11" t="n">
        <x:v>13575008</x:v>
      </x:c>
      <x:c r="L800" s="11" t="n">
        <x:v>6126528</x:v>
      </x:c>
      <x:c r="M800" s="12" t="n">
        <x:v>0.3109670230788097</x:v>
      </x:c>
      <x:c r="N800" s="11" t="n">
        <x:v>9342322</x:v>
      </x:c>
      <x:c r="O800" s="11" t="n">
        <x:v>3930027</x:v>
      </x:c>
      <x:c r="P800" s="11" t="n">
        <x:v>3665020</x:v>
      </x:c>
      <x:c r="Q800" s="11" t="n">
        <x:v>2764167</x:v>
      </x:c>
      <x:c r="R800" s="11" t="n">
        <x:v>10577466</x:v>
      </x:c>
      <x:c r="S800" s="11" t="n">
        <x:v>2797910</x:v>
      </x:c>
      <x:c r="T800" s="11" t="n">
        <x:v>27444855</x:v>
      </x:c>
      <x:c r="U800" s="11" t="n">
        <x:v>8712628</x:v>
      </x:c>
      <x:c r="V800" s="11" t="n">
        <x:v>21375515</x:v>
      </x:c>
      <x:c r="W800" s="11" t="n">
        <x:v>17169064</x:v>
      </x:c>
      <x:c r="X800" s="11" t="n">
        <x:v>3729432</x:v>
      </x:c>
      <x:c r="Y800" s="11" t="n">
        <x:v>0</x:v>
      </x:c>
      <x:c r="Z800" s="11" t="n">
        <x:v>120060</x:v>
      </x:c>
      <x:c r="AA800" s="11" t="n">
        <x:v>3558549</x:v>
      </x:c>
      <x:c r="AB800" s="11" t="n">
        <x:v>199632</x:v>
      </x:c>
      <x:c r="AC800" s="11" t="n">
        <x:v>319692</x:v>
      </x:c>
      <x:c r="AD800" s="11" t="n">
        <x:v>3823836</x:v>
      </x:c>
      <x:c r="AE800" s="11" t="n">
        <x:v>3504144</x:v>
      </x:c>
      <x:c r="AF800" s="11" t="n">
        <x:v>15295345</x:v>
      </x:c>
      <x:c r="AG800" s="11" t="n">
        <x:v>137108228</x:v>
      </x:c>
      <x:c r="AH800" s="11" t="n">
        <x:v>47313222</x:v>
      </x:c>
      <x:c r="AI800" s="11" t="n">
        <x:v>89795006</x:v>
      </x:c>
      <x:c r="AJ800" s="11" t="n">
        <x:v>5651622</x:v>
      </x:c>
      <x:c r="AK800" s="11" t="n">
        <x:v>4802722</x:v>
      </x:c>
      <x:c r="AL800" s="11" t="n">
        <x:v>0</x:v>
      </x:c>
      <x:c r="AM800" s="12" t="n">
        <x:v>1</x:v>
      </x:c>
      <x:c r="AN800" s="12" t="n">
        <x:v>1.176753932457469</x:v>
      </x:c>
      <x:c r="AO800" s="11" t="n">
        <x:v>16519581</x:v>
      </x:c>
      <x:c r="AP800" s="11" t="n">
        <x:v>15942461</x:v>
      </x:c>
      <x:c r="AQ800" s="12" t="n">
        <x:v>0.9650644892264519</x:v>
      </x:c>
      <x:c r="AR800" s="11" t="n">
        <x:v>4619.351934349355</x:v>
      </x:c>
      <x:c r="AS800" s="11" t="n">
        <x:v>3182.885814771395</x:v>
      </x:c>
      <x:c r="AT800" s="11" t="n">
        <x:v>5011.84407971864</x:v>
      </x:c>
      <x:c r="AU800" s="11" t="n">
        <x:v>4025.5718640093787</x:v>
      </x:c>
      <x:c r="AV800" s="11" t="n">
        <x:v>834.3608440797186</x:v>
      </x:c>
      <x:c r="AW800" s="11" t="n">
        <x:v>3.1500088147915877</x:v>
      </x:c>
      <x:c r="AX800" s="12" t="n">
        <x:v>0.9163949499926252</x:v>
      </x:c>
      <x:c r="AY800" s="11"/>
      <x:c r="AZ800" s="11"/>
      <x:c r="BA800" s="11"/>
      <x:c r="BB800" s="11"/>
      <x:c r="BC800" s="11"/>
      <x:c r="BD800" s="11"/>
      <x:c r="BE800" s="11"/>
      <x:c r="BF800" s="11"/>
      <x:c r="BG800" s="11"/>
      <x:c r="BH800" s="11"/>
      <x:c r="BI800" s="11"/>
      <x:c r="BJ800" s="11"/>
      <x:c r="BK800" s="12"/>
      <x:c r="BL800" s="12"/>
      <x:c r="BM800" s="12"/>
      <x:c r="BN800" s="12"/>
      <x:c r="BO800" s="12"/>
      <x:c r="BP800" s="12"/>
      <x:c r="BQ800" s="12"/>
      <x:c r="BR800" s="12"/>
      <x:c r="BS800" s="12"/>
      <x:c r="BT800" s="12"/>
      <x:c r="BU800" s="11" t="n">
        <x:v>960</x:v>
      </x:c>
      <x:c r="BV800" s="11" t="n">
        <x:v>2762123</x:v>
      </x:c>
      <x:c r="BW800" s="11" t="n">
        <x:v>901937</x:v>
      </x:c>
      <x:c r="BX800" s="11" t="n">
        <x:v>1593819</x:v>
      </x:c>
      <x:c r="BY800" s="11" t="n">
        <x:v>0</x:v>
      </x:c>
      <x:c r="BZ800" s="11" t="n">
        <x:v>892886</x:v>
      </x:c>
      <x:c r="CA800" s="11" t="n">
        <x:v>277462</x:v>
      </x:c>
      <x:c r="CB800" s="11" t="n">
        <x:v>0</x:v>
      </x:c>
      <x:c r="CC800" s="11" t="n">
        <x:v>2228518</x:v>
      </x:c>
      <x:c r="CD800" s="11" t="n">
        <x:v>1097109</x:v>
      </x:c>
      <x:c r="CE800" s="11" t="n">
        <x:v>382316</x:v>
      </x:c>
      <x:c r="CF800" s="11" t="n">
        <x:v>29543</x:v>
      </x:c>
      <x:c r="CG800" s="11" t="n">
        <x:v>613584</x:v>
      </x:c>
      <x:c r="CH800" s="11" t="n">
        <x:v>1732347</x:v>
      </x:c>
      <x:c r="CI800" s="11" t="n">
        <x:v>3280587</x:v>
      </x:c>
      <x:c r="CJ800" s="11" t="n">
        <x:v>739880</x:v>
      </x:c>
      <x:c r="CK800" s="11" t="n">
        <x:v>596865</x:v>
      </x:c>
      <x:c r="CL800" s="11" t="n">
        <x:v>34692</x:v>
      </x:c>
      <x:c r="CM800" s="11" t="n">
        <x:v>41657</x:v>
      </x:c>
      <x:c r="CN800" s="11" t="n">
        <x:v>0</x:v>
      </x:c>
      <x:c r="CO800" s="11" t="n">
        <x:v>0</x:v>
      </x:c>
      <x:c r="CP800" s="8"/>
      <x:c r="CQ800" s="8"/>
    </x:row>
    <x:row r="801">
      <x:c r="A801" s="8" t="str">
        <x:v>Sparwood|2024</x:v>
      </x:c>
      <x:c r="B801" s="8" t="str">
        <x:v>sparwood-d</x:v>
      </x:c>
      <x:c r="C801" s="8" t="str">
        <x:v>Sparwood</x:v>
      </x:c>
      <x:c r="D801" s="8" t="str">
        <x:v>Sparwood</x:v>
      </x:c>
      <x:c r="E801" s="8" t="str">
        <x:v>D</x:v>
      </x:c>
      <x:c r="F801" s="8" t="str">
        <x:v>EKO</x:v>
      </x:c>
      <x:c r="G801" s="9" t="n">
        <x:v>2024</x:v>
      </x:c>
      <x:c r="H801" s="10" t="n">
        <x:v>4265</x:v>
      </x:c>
      <x:c r="I801" s="8" t="str">
        <x:v>Under 5,000</x:v>
      </x:c>
      <x:c r="J801" s="11" t="n">
        <x:v>19000912</x:v>
      </x:c>
      <x:c r="K801" s="11" t="n">
        <x:v>14775925</x:v>
      </x:c>
      <x:c r="L801" s="11" t="n">
        <x:v>4224987</x:v>
      </x:c>
      <x:c r="M801" s="12" t="n">
        <x:v>0.22235706370304753</x:v>
      </x:c>
      <x:c r="N801" s="11" t="n">
        <x:v>9668360</x:v>
      </x:c>
      <x:c r="O801" s="11" t="n">
        <x:v>4126455</x:v>
      </x:c>
      <x:c r="P801" s="11" t="n">
        <x:v>2091615</x:v>
      </x:c>
      <x:c r="Q801" s="11" t="n">
        <x:v>3114482</x:v>
      </x:c>
      <x:c r="R801" s="11" t="n">
        <x:v>11365209</x:v>
      </x:c>
      <x:c r="S801" s="11" t="n">
        <x:v>3149695</x:v>
      </x:c>
      <x:c r="T801" s="11" t="n">
        <x:v>31124468</x:v>
      </x:c>
      <x:c r="U801" s="11" t="n">
        <x:v>9361707</x:v>
      </x:c>
      <x:c r="V801" s="11" t="n">
        <x:v>23443329</x:v>
      </x:c>
      <x:c r="W801" s="11" t="n">
        <x:v>19291957</x:v>
      </x:c>
      <x:c r="X801" s="11" t="n">
        <x:v>3558549</x:v>
      </x:c>
      <x:c r="Y801" s="11" t="n">
        <x:v>1235612</x:v>
      </x:c>
      <x:c r="Z801" s="11" t="n">
        <x:v>269537</x:v>
      </x:c>
      <x:c r="AA801" s="11" t="n">
        <x:v>4474174</x:v>
      </x:c>
      <x:c r="AB801" s="11" t="n">
        <x:v>261021</x:v>
      </x:c>
      <x:c r="AC801" s="11" t="n">
        <x:v>530558</x:v>
      </x:c>
      <x:c r="AD801" s="11" t="n">
        <x:v>3987437</x:v>
      </x:c>
      <x:c r="AE801" s="11" t="n">
        <x:v>3456879</x:v>
      </x:c>
      <x:c r="AF801" s="11" t="n">
        <x:v>15949749</x:v>
      </x:c>
      <x:c r="AG801" s="11" t="n">
        <x:v>141927271</x:v>
      </x:c>
      <x:c r="AH801" s="11" t="n">
        <x:v>50338241</x:v>
      </x:c>
      <x:c r="AI801" s="11" t="n">
        <x:v>91589030</x:v>
      </x:c>
      <x:c r="AJ801" s="11" t="n">
        <x:v>5004337</x:v>
      </x:c>
      <x:c r="AK801" s="11" t="n">
        <x:v>198440806</x:v>
      </x:c>
      <x:c r="AL801" s="11" t="n">
        <x:v>4938300</x:v>
      </x:c>
      <x:c r="AM801" s="12" t="n">
        <x:v>0.9751144933366175</x:v>
      </x:c>
      <x:c r="AN801" s="12" t="n">
        <x:v>0.02521828600111612</x:v>
      </x:c>
      <x:c r="AO801" s="11" t="n">
        <x:v>17531242</x:v>
      </x:c>
      <x:c r="AP801" s="11" t="n">
        <x:v>17257167</x:v>
      </x:c>
      <x:c r="AQ801" s="12" t="n">
        <x:v>0.9843664812795351</x:v>
      </x:c>
      <x:c r="AR801" s="11" t="n">
        <x:v>4455.079015240328</x:v>
      </x:c>
      <x:c r="AS801" s="11" t="n">
        <x:v>3464.460726846424</x:v>
      </x:c>
      <x:c r="AT801" s="11" t="n">
        <x:v>5496.677373974208</x:v>
      </x:c>
      <x:c r="AU801" s="11" t="n">
        <x:v>4523.319343493552</x:v>
      </x:c>
      <x:c r="AV801" s="11" t="n">
        <x:v>1049.0443141852286</x:v>
      </x:c>
      <x:c r="AW801" s="11" t="n">
        <x:v>3.324657351485151</x:v>
      </x:c>
      <x:c r="AX801" s="12" t="n">
        <x:v>0.8669425999708584</x:v>
      </x:c>
      <x:c r="AY801" s="11" t="n">
        <x:v>4486.511144130758</x:v>
      </x:c>
      <x:c r="AZ801" s="11" t="n">
        <x:v>3546.5079302077975</x:v>
      </x:c>
      <x:c r="BA801" s="11" t="n">
        <x:v>3557.844717668488</x:v>
      </x:c>
      <x:c r="BB801" s="11" t="n">
        <x:v>2783.665107049771</x:v>
      </x:c>
      <x:c r="BC801" s="11" t="n">
        <x:v>5496.677373974208</x:v>
      </x:c>
      <x:c r="BD801" s="11" t="n">
        <x:v>2437.8724475115623</x:v>
      </x:c>
      <x:c r="BE801" s="11" t="n">
        <x:v>3386.4506393861893</x:v>
      </x:c>
      <x:c r="BF801" s="11" t="n">
        <x:v>1604.3462673977224</x:v>
      </x:c>
      <x:c r="BG801" s="11" t="n">
        <x:v>624.7436119532265</x:v>
      </x:c>
      <x:c r="BH801" s="11" t="n">
        <x:v>518.5374381567245</x:v>
      </x:c>
      <x:c r="BI801" s="11" t="n">
        <x:v>3.324657351485151</x:v>
      </x:c>
      <x:c r="BJ801" s="11" t="n">
        <x:v>1.7099330852451193</x:v>
      </x:c>
      <x:c r="BK801" s="12" t="n">
        <x:v>0.02521828600111612</x:v>
      </x:c>
      <x:c r="BL801" s="12" t="n">
        <x:v>0.02529861000232605</x:v>
      </x:c>
      <x:c r="BM801" s="12" t="n">
        <x:v>0.9816336034641139</x:v>
      </x:c>
      <x:c r="BN801" s="12" t="n">
        <x:v>0.9815511712696461</x:v>
      </x:c>
      <x:c r="BO801" s="12" t="n">
        <x:v>0.8531878894527055</x:v>
      </x:c>
      <x:c r="BP801" s="12" t="n">
        <x:v>0.8619101997275483</x:v>
      </x:c>
      <x:c r="BQ801" s="12" t="n">
        <x:v>0.9614729661922712</x:v>
      </x:c>
      <x:c r="BR801" s="12" t="n">
        <x:v>0.9623635142836453</x:v>
      </x:c>
      <x:c r="BS801" s="12" t="n">
        <x:v>0.23352896680225554</x:v>
      </x:c>
      <x:c r="BT801" s="12" t="n">
        <x:v>0.19976549769108282</x:v>
      </x:c>
      <x:c r="BU801" s="11" t="n">
        <x:v>304836</x:v>
      </x:c>
      <x:c r="BV801" s="11" t="n">
        <x:v>922005</x:v>
      </x:c>
      <x:c r="BW801" s="11" t="n">
        <x:v>864774</x:v>
      </x:c>
      <x:c r="BX801" s="11" t="n">
        <x:v>1507160</x:v>
      </x:c>
      <x:c r="BY801" s="11" t="n">
        <x:v>0</x:v>
      </x:c>
      <x:c r="BZ801" s="11" t="n">
        <x:v>112</x:v>
      </x:c>
      <x:c r="CA801" s="11" t="n">
        <x:v>1440786</x:v>
      </x:c>
      <x:c r="CB801" s="11" t="n">
        <x:v>166424</x:v>
      </x:c>
      <x:c r="CC801" s="11" t="n">
        <x:v>2346879</x:v>
      </x:c>
      <x:c r="CD801" s="11" t="n">
        <x:v>1133898</x:v>
      </x:c>
      <x:c r="CE801" s="11" t="n">
        <x:v>469847</x:v>
      </x:c>
      <x:c r="CF801" s="11" t="n">
        <x:v>71823</x:v>
      </x:c>
      <x:c r="CG801" s="11" t="n">
        <x:v>553651</x:v>
      </x:c>
      <x:c r="CH801" s="11" t="n">
        <x:v>2090266</x:v>
      </x:c>
      <x:c r="CI801" s="11" t="n">
        <x:v>3571568</x:v>
      </x:c>
      <x:c r="CJ801" s="11" t="n">
        <x:v>771248</x:v>
      </x:c>
      <x:c r="CK801" s="11" t="n">
        <x:v>646754</x:v>
      </x:c>
      <x:c r="CL801" s="11" t="n">
        <x:v>0</x:v>
      </x:c>
      <x:c r="CM801" s="11" t="n">
        <x:v>-29704</x:v>
      </x:c>
      <x:c r="CN801" s="11" t="n">
        <x:v>0</x:v>
      </x:c>
      <x:c r="CO801" s="11" t="n">
        <x:v>0</x:v>
      </x:c>
      <x:c r="CP801" s="8"/>
      <x:c r="CQ801" s="8"/>
    </x:row>
    <x:row r="802">
      <x:c r="A802" s="8" t="str">
        <x:v>Squamish|2019</x:v>
      </x:c>
      <x:c r="B802" s="8" t="str">
        <x:v>squamish-d</x:v>
      </x:c>
      <x:c r="C802" s="8" t="str">
        <x:v>Squamish</x:v>
      </x:c>
      <x:c r="D802" s="8" t="str">
        <x:v>Squamish</x:v>
      </x:c>
      <x:c r="E802" s="8" t="str">
        <x:v>D</x:v>
      </x:c>
      <x:c r="F802" s="8" t="str">
        <x:v>SQL</x:v>
      </x:c>
      <x:c r="G802" s="9" t="n">
        <x:v>2019</x:v>
      </x:c>
      <x:c r="H802" s="10" t="n">
        <x:v>20404</x:v>
      </x:c>
      <x:c r="I802" s="8" t="str">
        <x:v>20,000 to 99,999</x:v>
      </x:c>
      <x:c r="J802" s="11" t="n">
        <x:v>69690010</x:v>
      </x:c>
      <x:c r="K802" s="11" t="n">
        <x:v>50110625</x:v>
      </x:c>
      <x:c r="L802" s="11" t="n">
        <x:v>19579385</x:v>
      </x:c>
      <x:c r="M802" s="12" t="n">
        <x:v>0.2809496655259484</x:v>
      </x:c>
      <x:c r="N802" s="11" t="n">
        <x:v>31395065</x:v>
      </x:c>
      <x:c r="O802" s="11" t="n">
        <x:v>21150983</x:v>
      </x:c>
      <x:c r="P802" s="11" t="n">
        <x:v>6552638</x:v>
      </x:c>
      <x:c r="Q802" s="11" t="n">
        <x:v>10591324</x:v>
      </x:c>
      <x:c r="R802" s="11" t="n">
        <x:v>41830479</x:v>
      </x:c>
      <x:c r="S802" s="11" t="n">
        <x:v>7203753</x:v>
      </x:c>
      <x:c r="T802" s="11" t="n">
        <x:v>91662951</x:v>
      </x:c>
      <x:c r="U802" s="11" t="n">
        <x:v>69056852</x:v>
      </x:c>
      <x:c r="V802" s="11" t="n">
        <x:v>26817800</x:v>
      </x:c>
      <x:c r="W802" s="11" t="n">
        <x:v>41761474</x:v>
      </x:c>
      <x:c r="X802" s="11" t="n">
        <x:v>24114987</x:v>
      </x:c>
      <x:c r="Y802" s="11" t="n">
        <x:v>2090699</x:v>
      </x:c>
      <x:c r="Z802" s="11" t="n">
        <x:v>1684993</x:v>
      </x:c>
      <x:c r="AA802" s="11" t="n">
        <x:v>23873602</x:v>
      </x:c>
      <x:c r="AB802" s="11" t="n">
        <x:v>1076393</x:v>
      </x:c>
      <x:c r="AC802" s="11" t="n">
        <x:v>2761386</x:v>
      </x:c>
      <x:c r="AD802" s="11" t="n">
        <x:v>13558297</x:v>
      </x:c>
      <x:c r="AE802" s="11" t="n">
        <x:v>9622031</x:v>
      </x:c>
      <x:c r="AF802" s="11" t="n">
        <x:v>54233187</x:v>
      </x:c>
      <x:c r="AG802" s="11" t="n">
        <x:v>393858790</x:v>
      </x:c>
      <x:c r="AH802" s="11" t="n">
        <x:v>123039818</x:v>
      </x:c>
      <x:c r="AI802" s="11" t="n">
        <x:v>270818972</x:v>
      </x:c>
      <x:c r="AJ802" s="11" t="n">
        <x:v>25424978</x:v>
      </x:c>
      <x:c r="AK802" s="11" t="n">
        <x:v>70812290</x:v>
      </x:c>
      <x:c r="AL802" s="11" t="n">
        <x:v>0</x:v>
      </x:c>
      <x:c r="AM802" s="12" t="n">
        <x:v>1</x:v>
      </x:c>
      <x:c r="AN802" s="12" t="n">
        <x:v>0.35904753256814603</x:v>
      </x:c>
      <x:c r="AO802" s="11" t="n">
        <x:v>45116348</x:v>
      </x:c>
      <x:c r="AP802" s="11" t="n">
        <x:v>43898186</x:v>
      </x:c>
      <x:c r="AQ802" s="12" t="n">
        <x:v>0.9729995433140998</x:v>
      </x:c>
      <x:c r="AR802" s="11" t="n">
        <x:v>3415.50725347971</x:v>
      </x:c>
      <x:c r="AS802" s="11" t="n">
        <x:v>2455.921633013135</x:v>
      </x:c>
      <x:c r="AT802" s="11" t="n">
        <x:v>1314.340325426387</x:v>
      </x:c>
      <x:c r="AU802" s="11" t="n">
        <x:v>2046.7297588708097</x:v>
      </x:c>
      <x:c r="AV802" s="11" t="n">
        <x:v>1170.0451872181925</x:v>
      </x:c>
      <x:c r="AW802" s="11" t="n">
        <x:v>1.327354901726479</x:v>
      </x:c>
      <x:c r="AX802" s="12" t="n">
        <x:v>0.7096784352784129</x:v>
      </x:c>
      <x:c r="AY802" s="11"/>
      <x:c r="AZ802" s="11"/>
      <x:c r="BA802" s="11"/>
      <x:c r="BB802" s="11"/>
      <x:c r="BC802" s="11"/>
      <x:c r="BD802" s="11"/>
      <x:c r="BE802" s="11"/>
      <x:c r="BF802" s="11"/>
      <x:c r="BG802" s="11"/>
      <x:c r="BH802" s="11"/>
      <x:c r="BI802" s="11"/>
      <x:c r="BJ802" s="11"/>
      <x:c r="BK802" s="12"/>
      <x:c r="BL802" s="12"/>
      <x:c r="BM802" s="12"/>
      <x:c r="BN802" s="12"/>
      <x:c r="BO802" s="12"/>
      <x:c r="BP802" s="12"/>
      <x:c r="BQ802" s="12"/>
      <x:c r="BR802" s="12"/>
      <x:c r="BS802" s="12"/>
      <x:c r="BT802" s="12"/>
      <x:c r="BU802" s="11" t="n">
        <x:v>1707571</x:v>
      </x:c>
      <x:c r="BV802" s="11" t="n">
        <x:v>1263485</x:v>
      </x:c>
      <x:c r="BW802" s="11" t="n">
        <x:v>3581582</x:v>
      </x:c>
      <x:c r="BX802" s="11" t="n">
        <x:v>2336404</x:v>
      </x:c>
      <x:c r="BY802" s="11" t="n">
        <x:v>0</x:v>
      </x:c>
      <x:c r="BZ802" s="11" t="n">
        <x:v>9021551</x:v>
      </x:c>
      <x:c r="CA802" s="11" t="n">
        <x:v>-924201</x:v>
      </x:c>
      <x:c r="CB802" s="11" t="n">
        <x:v>157570</x:v>
      </x:c>
      <x:c r="CC802" s="11" t="n">
        <x:v>7975393</x:v>
      </x:c>
      <x:c r="CD802" s="11" t="n">
        <x:v>9565116</x:v>
      </x:c>
      <x:c r="CE802" s="11" t="n">
        <x:v>4752818</x:v>
      </x:c>
      <x:c r="CF802" s="11" t="n">
        <x:v>165718</x:v>
      </x:c>
      <x:c r="CG802" s="11" t="n">
        <x:v>3009190</x:v>
      </x:c>
      <x:c r="CH802" s="11" t="n">
        <x:v>5842113</x:v>
      </x:c>
      <x:c r="CI802" s="11" t="n">
        <x:v>6366429</x:v>
      </x:c>
      <x:c r="CJ802" s="11" t="n">
        <x:v>2349791</x:v>
      </x:c>
      <x:c r="CK802" s="11" t="n">
        <x:v>2880304</x:v>
      </x:c>
      <x:c r="CL802" s="11" t="n">
        <x:v>0</x:v>
      </x:c>
      <x:c r="CM802" s="11"/>
      <x:c r="CN802" s="11" t="n">
        <x:v>0</x:v>
      </x:c>
      <x:c r="CO802" s="11" t="n">
        <x:v>0</x:v>
      </x:c>
      <x:c r="CP802" s="8"/>
      <x:c r="CQ802" s="8"/>
    </x:row>
    <x:row r="803">
      <x:c r="A803" s="8" t="str">
        <x:v>Squamish|2020</x:v>
      </x:c>
      <x:c r="B803" s="8" t="str">
        <x:v>squamish-d</x:v>
      </x:c>
      <x:c r="C803" s="8" t="str">
        <x:v>Squamish</x:v>
      </x:c>
      <x:c r="D803" s="8" t="str">
        <x:v>Squamish</x:v>
      </x:c>
      <x:c r="E803" s="8" t="str">
        <x:v>D</x:v>
      </x:c>
      <x:c r="F803" s="8" t="str">
        <x:v>SQL</x:v>
      </x:c>
      <x:c r="G803" s="9" t="n">
        <x:v>2020</x:v>
      </x:c>
      <x:c r="H803" s="10" t="n">
        <x:v>21273</x:v>
      </x:c>
      <x:c r="I803" s="8" t="str">
        <x:v>20,000 to 99,999</x:v>
      </x:c>
      <x:c r="J803" s="11" t="n">
        <x:v>101702690</x:v>
      </x:c>
      <x:c r="K803" s="11" t="n">
        <x:v>52045205</x:v>
      </x:c>
      <x:c r="L803" s="11" t="n">
        <x:v>49657485</x:v>
      </x:c>
      <x:c r="M803" s="12" t="n">
        <x:v>0.48826127411182535</x:v>
      </x:c>
      <x:c r="N803" s="11" t="n">
        <x:v>31737888</x:v>
      </x:c>
      <x:c r="O803" s="11" t="n">
        <x:v>20361661</x:v>
      </x:c>
      <x:c r="P803" s="11" t="n">
        <x:v>5750365</x:v>
      </x:c>
      <x:c r="Q803" s="11" t="n">
        <x:v>43852776</x:v>
      </x:c>
      <x:c r="R803" s="11" t="n">
        <x:v>41888618</x:v>
      </x:c>
      <x:c r="S803" s="11" t="n">
        <x:v>9086011</x:v>
      </x:c>
      <x:c r="T803" s="11" t="n">
        <x:v>112356071</x:v>
      </x:c>
      <x:c r="U803" s="11" t="n">
        <x:v>85169917</x:v>
      </x:c>
      <x:c r="V803" s="11" t="n">
        <x:v>32710534</x:v>
      </x:c>
      <x:c r="W803" s="11" t="n">
        <x:v>50679085</x:v>
      </x:c>
      <x:c r="X803" s="11" t="n">
        <x:v>23873602</x:v>
      </x:c>
      <x:c r="Y803" s="11" t="n">
        <x:v>13943926</x:v>
      </x:c>
      <x:c r="Z803" s="11" t="n">
        <x:v>3807983</x:v>
      </x:c>
      <x:c r="AA803" s="11" t="n">
        <x:v>33268668</x:v>
      </x:c>
      <x:c r="AB803" s="11" t="n">
        <x:v>1070576</x:v>
      </x:c>
      <x:c r="AC803" s="11" t="n">
        <x:v>4878559</x:v>
      </x:c>
      <x:c r="AD803" s="11" t="n">
        <x:v>13761670</x:v>
      </x:c>
      <x:c r="AE803" s="11" t="n">
        <x:v>8290752</x:v>
      </x:c>
      <x:c r="AF803" s="11" t="n">
        <x:v>55046679</x:v>
      </x:c>
      <x:c r="AG803" s="11" t="n">
        <x:v>446264531</x:v>
      </x:c>
      <x:c r="AH803" s="11" t="n">
        <x:v>131653223</x:v>
      </x:c>
      <x:c r="AI803" s="11" t="n">
        <x:v>314611308</x:v>
      </x:c>
      <x:c r="AJ803" s="11" t="n">
        <x:v>52884095</x:v>
      </x:c>
      <x:c r="AK803" s="11" t="n">
        <x:v>80460145</x:v>
      </x:c>
      <x:c r="AL803" s="11" t="n">
        <x:v>0</x:v>
      </x:c>
      <x:c r="AM803" s="12" t="n">
        <x:v>1</x:v>
      </x:c>
      <x:c r="AN803" s="12" t="n">
        <x:v>0.6572706897309221</x:v>
      </x:c>
      <x:c r="AO803" s="11" t="n">
        <x:v>45731903</x:v>
      </x:c>
      <x:c r="AP803" s="11" t="n">
        <x:v>43868165</x:v>
      </x:c>
      <x:c r="AQ803" s="12" t="n">
        <x:v>0.9592464367817801</x:v>
      </x:c>
      <x:c r="AR803" s="11" t="n">
        <x:v>4780.834391012081</x:v>
      </x:c>
      <x:c r="AS803" s="11" t="n">
        <x:v>2446.5380999388894</x:v>
      </x:c>
      <x:c r="AT803" s="11" t="n">
        <x:v>1537.6549616885254</x:v>
      </x:c>
      <x:c r="AU803" s="11" t="n">
        <x:v>2382.3196070135855</x:v>
      </x:c>
      <x:c r="AV803" s="11" t="n">
        <x:v>1563.8916936962346</x:v>
      </x:c>
      <x:c r="AW803" s="11" t="n">
        <x:v>1.3191990195317438</x:v>
      </x:c>
      <x:c r="AX803" s="12" t="n">
        <x:v>0.602452463981479</x:v>
      </x:c>
      <x:c r="AY803" s="11"/>
      <x:c r="AZ803" s="11"/>
      <x:c r="BA803" s="11"/>
      <x:c r="BB803" s="11"/>
      <x:c r="BC803" s="11"/>
      <x:c r="BD803" s="11"/>
      <x:c r="BE803" s="11"/>
      <x:c r="BF803" s="11"/>
      <x:c r="BG803" s="11"/>
      <x:c r="BH803" s="11"/>
      <x:c r="BI803" s="11"/>
      <x:c r="BJ803" s="11"/>
      <x:c r="BK803" s="12"/>
      <x:c r="BL803" s="12"/>
      <x:c r="BM803" s="12"/>
      <x:c r="BN803" s="12"/>
      <x:c r="BO803" s="12"/>
      <x:c r="BP803" s="12"/>
      <x:c r="BQ803" s="12"/>
      <x:c r="BR803" s="12"/>
      <x:c r="BS803" s="12"/>
      <x:c r="BT803" s="12"/>
      <x:c r="BU803" s="11" t="n">
        <x:v>876814</x:v>
      </x:c>
      <x:c r="BV803" s="11" t="n">
        <x:v>4658141</x:v>
      </x:c>
      <x:c r="BW803" s="11" t="n">
        <x:v>215410</x:v>
      </x:c>
      <x:c r="BX803" s="11" t="n">
        <x:v>1797361</x:v>
      </x:c>
      <x:c r="BY803" s="11" t="n">
        <x:v>0</x:v>
      </x:c>
      <x:c r="BZ803" s="11" t="n">
        <x:v>39712939</x:v>
      </x:c>
      <x:c r="CA803" s="11" t="n">
        <x:v>549235</x:v>
      </x:c>
      <x:c r="CB803" s="11" t="n">
        <x:v>1793241</x:v>
      </x:c>
      <x:c r="CC803" s="11" t="n">
        <x:v>8066305</x:v>
      </x:c>
      <x:c r="CD803" s="11" t="n">
        <x:v>10145546</x:v>
      </x:c>
      <x:c r="CE803" s="11" t="n">
        <x:v>4448360</x:v>
      </x:c>
      <x:c r="CF803" s="11" t="n">
        <x:v>128349</x:v>
      </x:c>
      <x:c r="CG803" s="11" t="n">
        <x:v>3194358</x:v>
      </x:c>
      <x:c r="CH803" s="11" t="n">
        <x:v>5748635</x:v>
      </x:c>
      <x:c r="CI803" s="11" t="n">
        <x:v>5628795</x:v>
      </x:c>
      <x:c r="CJ803" s="11" t="n">
        <x:v>2411211</x:v>
      </x:c>
      <x:c r="CK803" s="11" t="n">
        <x:v>3187635</x:v>
      </x:c>
      <x:c r="CL803" s="11" t="n">
        <x:v>0</x:v>
      </x:c>
      <x:c r="CM803" s="11"/>
      <x:c r="CN803" s="11" t="n">
        <x:v>0</x:v>
      </x:c>
      <x:c r="CO803" s="11" t="n">
        <x:v>0</x:v>
      </x:c>
      <x:c r="CP803" s="8"/>
      <x:c r="CQ803" s="8"/>
    </x:row>
    <x:row r="804">
      <x:c r="A804" s="8" t="str">
        <x:v>Squamish|2021</x:v>
      </x:c>
      <x:c r="B804" s="8" t="str">
        <x:v>squamish-d</x:v>
      </x:c>
      <x:c r="C804" s="8" t="str">
        <x:v>Squamish</x:v>
      </x:c>
      <x:c r="D804" s="8" t="str">
        <x:v>Squamish</x:v>
      </x:c>
      <x:c r="E804" s="8" t="str">
        <x:v>D</x:v>
      </x:c>
      <x:c r="F804" s="8" t="str">
        <x:v>SQL</x:v>
      </x:c>
      <x:c r="G804" s="9" t="n">
        <x:v>2021</x:v>
      </x:c>
      <x:c r="H804" s="10" t="n">
        <x:v>22253</x:v>
      </x:c>
      <x:c r="I804" s="8" t="str">
        <x:v>20,000 to 99,999</x:v>
      </x:c>
      <x:c r="J804" s="11" t="n">
        <x:v>72058456</x:v>
      </x:c>
      <x:c r="K804" s="11" t="n">
        <x:v>59826873</x:v>
      </x:c>
      <x:c r="L804" s="11" t="n">
        <x:v>12231583</x:v>
      </x:c>
      <x:c r="M804" s="12" t="n">
        <x:v>0.1697452829130838</x:v>
      </x:c>
      <x:c r="N804" s="11" t="n">
        <x:v>33250545</x:v>
      </x:c>
      <x:c r="O804" s="11" t="n">
        <x:v>22378588</x:v>
      </x:c>
      <x:c r="P804" s="11" t="n">
        <x:v>3904438</x:v>
      </x:c>
      <x:c r="Q804" s="11" t="n">
        <x:v>12524885</x:v>
      </x:c>
      <x:c r="R804" s="11" t="n">
        <x:v>48317303</x:v>
      </x:c>
      <x:c r="S804" s="11" t="n">
        <x:v>10427595</x:v>
      </x:c>
      <x:c r="T804" s="11" t="n">
        <x:v>122862278</x:v>
      </x:c>
      <x:c r="U804" s="11" t="n">
        <x:v>99524076</x:v>
      </x:c>
      <x:c r="V804" s="11" t="n">
        <x:v>29422190</x:v>
      </x:c>
      <x:c r="W804" s="11" t="n">
        <x:v>52716852</x:v>
      </x:c>
      <x:c r="X804" s="11" t="n">
        <x:v>33268668</x:v>
      </x:c>
      <x:c r="Y804" s="11" t="n">
        <x:v>11356362</x:v>
      </x:c>
      <x:c r="Z804" s="11" t="n">
        <x:v>3488947</x:v>
      </x:c>
      <x:c r="AA804" s="11" t="n">
        <x:v>40340417</x:v>
      </x:c>
      <x:c r="AB804" s="11" t="n">
        <x:v>1081975</x:v>
      </x:c>
      <x:c r="AC804" s="11" t="n">
        <x:v>4570922</x:v>
      </x:c>
      <x:c r="AD804" s="11" t="n">
        <x:v>14688534</x:v>
      </x:c>
      <x:c r="AE804" s="11" t="n">
        <x:v>8509380</x:v>
      </x:c>
      <x:c r="AF804" s="11" t="n">
        <x:v>58754135</x:v>
      </x:c>
      <x:c r="AG804" s="11" t="n">
        <x:v>470848391</x:v>
      </x:c>
      <x:c r="AH804" s="11" t="n">
        <x:v>141379079</x:v>
      </x:c>
      <x:c r="AI804" s="11" t="n">
        <x:v>329469312</x:v>
      </x:c>
      <x:c r="AJ804" s="11" t="n">
        <x:v>25592912</x:v>
      </x:c>
      <x:c r="AK804" s="11" t="n">
        <x:v>93037532</x:v>
      </x:c>
      <x:c r="AL804" s="11" t="n">
        <x:v>0</x:v>
      </x:c>
      <x:c r="AM804" s="12" t="n">
        <x:v>1</x:v>
      </x:c>
      <x:c r="AN804" s="12" t="n">
        <x:v>0.27508158750384737</x:v>
      </x:c>
      <x:c r="AO804" s="11" t="n">
        <x:v>52413698</x:v>
      </x:c>
      <x:c r="AP804" s="11" t="n">
        <x:v>50330048</x:v>
      </x:c>
      <x:c r="AQ804" s="12" t="n">
        <x:v>0.9602460791833463</x:v>
      </x:c>
      <x:c r="AR804" s="11" t="n">
        <x:v>3238.1456882218126</x:v>
      </x:c>
      <x:c r="AS804" s="11" t="n">
        <x:v>2688.4857322608186</x:v>
      </x:c>
      <x:c r="AT804" s="11" t="n">
        <x:v>1322.1673482227116</x:v>
      </x:c>
      <x:c r="AU804" s="11" t="n">
        <x:v>2368.9773064305937</x:v>
      </x:c>
      <x:c r="AV804" s="11" t="n">
        <x:v>1812.8080258841505</x:v>
      </x:c>
      <x:c r="AW804" s="11" t="n">
        <x:v>1.2344980525114346</x:v>
      </x:c>
      <x:c r="AX804" s="12" t="n">
        <x:v>0.5793212583366046</x:v>
      </x:c>
      <x:c r="AY804" s="11"/>
      <x:c r="AZ804" s="11"/>
      <x:c r="BA804" s="11"/>
      <x:c r="BB804" s="11"/>
      <x:c r="BC804" s="11"/>
      <x:c r="BD804" s="11"/>
      <x:c r="BE804" s="11"/>
      <x:c r="BF804" s="11"/>
      <x:c r="BG804" s="11"/>
      <x:c r="BH804" s="11"/>
      <x:c r="BI804" s="11"/>
      <x:c r="BJ804" s="11"/>
      <x:c r="BK804" s="12"/>
      <x:c r="BL804" s="12"/>
      <x:c r="BM804" s="12"/>
      <x:c r="BN804" s="12"/>
      <x:c r="BO804" s="12"/>
      <x:c r="BP804" s="12"/>
      <x:c r="BQ804" s="12"/>
      <x:c r="BR804" s="12"/>
      <x:c r="BS804" s="12"/>
      <x:c r="BT804" s="12"/>
      <x:c r="BU804" s="11" t="n">
        <x:v>1850248</x:v>
      </x:c>
      <x:c r="BV804" s="11" t="n">
        <x:v>1836659</x:v>
      </x:c>
      <x:c r="BW804" s="11" t="n">
        <x:v>217531</x:v>
      </x:c>
      <x:c r="BX804" s="11" t="n">
        <x:v>1671245</x:v>
      </x:c>
      <x:c r="BY804" s="11" t="n">
        <x:v>0</x:v>
      </x:c>
      <x:c r="BZ804" s="11" t="n">
        <x:v>8780695</x:v>
      </x:c>
      <x:c r="CA804" s="11" t="n">
        <x:v>0</x:v>
      </x:c>
      <x:c r="CB804" s="11" t="n">
        <x:v>2072945</x:v>
      </x:c>
      <x:c r="CC804" s="11" t="n">
        <x:v>9687091</x:v>
      </x:c>
      <x:c r="CD804" s="11" t="n">
        <x:v>12182588</x:v>
      </x:c>
      <x:c r="CE804" s="11" t="n">
        <x:v>4890847</x:v>
      </x:c>
      <x:c r="CF804" s="11" t="n">
        <x:v>314813</x:v>
      </x:c>
      <x:c r="CG804" s="11" t="n">
        <x:v>3643022</x:v>
      </x:c>
      <x:c r="CH804" s="11" t="n">
        <x:v>5749926</x:v>
      </x:c>
      <x:c r="CI804" s="11" t="n">
        <x:v>6502611</x:v>
      </x:c>
      <x:c r="CJ804" s="11" t="n">
        <x:v>2611946</x:v>
      </x:c>
      <x:c r="CK804" s="11" t="n">
        <x:v>3566182</x:v>
      </x:c>
      <x:c r="CL804" s="11" t="n">
        <x:v>0</x:v>
      </x:c>
      <x:c r="CM804" s="11"/>
      <x:c r="CN804" s="11" t="n">
        <x:v>250252</x:v>
      </x:c>
      <x:c r="CO804" s="11" t="n">
        <x:v>0</x:v>
      </x:c>
      <x:c r="CP804" s="8"/>
      <x:c r="CQ804" s="8"/>
    </x:row>
    <x:row r="805">
      <x:c r="A805" s="8" t="str">
        <x:v>Squamish|2022</x:v>
      </x:c>
      <x:c r="B805" s="8" t="str">
        <x:v>squamish-d</x:v>
      </x:c>
      <x:c r="C805" s="8" t="str">
        <x:v>Squamish</x:v>
      </x:c>
      <x:c r="D805" s="8" t="str">
        <x:v>Squamish</x:v>
      </x:c>
      <x:c r="E805" s="8" t="str">
        <x:v>D</x:v>
      </x:c>
      <x:c r="F805" s="8" t="str">
        <x:v>SQL</x:v>
      </x:c>
      <x:c r="G805" s="9" t="n">
        <x:v>2022</x:v>
      </x:c>
      <x:c r="H805" s="10" t="n">
        <x:v>23652</x:v>
      </x:c>
      <x:c r="I805" s="8" t="str">
        <x:v>20,000 to 99,999</x:v>
      </x:c>
      <x:c r="J805" s="11" t="n">
        <x:v>80536929</x:v>
      </x:c>
      <x:c r="K805" s="11" t="n">
        <x:v>62820313</x:v>
      </x:c>
      <x:c r="L805" s="11" t="n">
        <x:v>17716616</x:v>
      </x:c>
      <x:c r="M805" s="12" t="n">
        <x:v>0.21998127095211192</x:v>
      </x:c>
      <x:c r="N805" s="11" t="n">
        <x:v>36424823</x:v>
      </x:c>
      <x:c r="O805" s="11" t="n">
        <x:v>26720817</x:v>
      </x:c>
      <x:c r="P805" s="11" t="n">
        <x:v>3711765</x:v>
      </x:c>
      <x:c r="Q805" s="11" t="n">
        <x:v>13679524</x:v>
      </x:c>
      <x:c r="R805" s="11" t="n">
        <x:v>50209604</x:v>
      </x:c>
      <x:c r="S805" s="11" t="n">
        <x:v>11308558</x:v>
      </x:c>
      <x:c r="T805" s="11" t="n">
        <x:v>114596020</x:v>
      </x:c>
      <x:c r="U805" s="11" t="n">
        <x:v>95812726</x:v>
      </x:c>
      <x:c r="V805" s="11" t="n">
        <x:v>27383436</x:v>
      </x:c>
      <x:c r="W805" s="11" t="n">
        <x:v>53669923</x:v>
      </x:c>
      <x:c r="X805" s="11" t="n">
        <x:v>40340417</x:v>
      </x:c>
      <x:c r="Y805" s="11" t="n">
        <x:v>2195598</x:v>
      </x:c>
      <x:c r="Z805" s="11" t="n">
        <x:v>11242034</x:v>
      </x:c>
      <x:c r="AA805" s="11" t="n">
        <x:v>37870346</x:v>
      </x:c>
      <x:c r="AB805" s="11" t="n">
        <x:v>1302151</x:v>
      </x:c>
      <x:c r="AC805" s="11" t="n">
        <x:v>5044185</x:v>
      </x:c>
      <x:c r="AD805" s="11" t="n">
        <x:v>16268936</x:v>
      </x:c>
      <x:c r="AE805" s="11" t="n">
        <x:v>7172592</x:v>
      </x:c>
      <x:c r="AF805" s="11" t="n">
        <x:v>65075744</x:v>
      </x:c>
      <x:c r="AG805" s="11" t="n">
        <x:v>499620403</x:v>
      </x:c>
      <x:c r="AH805" s="11" t="n">
        <x:v>151965544</x:v>
      </x:c>
      <x:c r="AI805" s="11" t="n">
        <x:v>347654859</x:v>
      </x:c>
      <x:c r="AJ805" s="11" t="n">
        <x:v>29551083</x:v>
      </x:c>
      <x:c r="AK805" s="11" t="n">
        <x:v>97927805</x:v>
      </x:c>
      <x:c r="AL805" s="11" t="n">
        <x:v>0</x:v>
      </x:c>
      <x:c r="AM805" s="12" t="n">
        <x:v>1</x:v>
      </x:c>
      <x:c r="AN805" s="12" t="n">
        <x:v>0.30176396785366527</x:v>
      </x:c>
      <x:c r="AO805" s="11" t="n">
        <x:v>56796239</x:v>
      </x:c>
      <x:c r="AP805" s="11" t="n">
        <x:v>54375715</x:v>
      </x:c>
      <x:c r="AQ805" s="12" t="n">
        <x:v>0.9573823189243217</x:v>
      </x:c>
      <x:c r="AR805" s="11" t="n">
        <x:v>3405.0790208016238</x:v>
      </x:c>
      <x:c r="AS805" s="11" t="n">
        <x:v>2656.0254101133096</x:v>
      </x:c>
      <x:c r="AT805" s="11" t="n">
        <x:v>1157.7640791476408</x:v>
      </x:c>
      <x:c r="AU805" s="11" t="n">
        <x:v>2269.14945881955</x:v>
      </x:c>
      <x:c r="AV805" s="11" t="n">
        <x:v>1601.1477253509217</x:v>
      </x:c>
      <x:c r="AW805" s="11" t="n">
        <x:v>1.1960417450182974</x:v>
      </x:c>
      <x:c r="AX805" s="12" t="n">
        <x:v>0.440876526897641</x:v>
      </x:c>
      <x:c r="AY805" s="11"/>
      <x:c r="AZ805" s="11"/>
      <x:c r="BA805" s="11"/>
      <x:c r="BB805" s="11"/>
      <x:c r="BC805" s="11"/>
      <x:c r="BD805" s="11"/>
      <x:c r="BE805" s="11"/>
      <x:c r="BF805" s="11"/>
      <x:c r="BG805" s="11"/>
      <x:c r="BH805" s="11"/>
      <x:c r="BI805" s="11"/>
      <x:c r="BJ805" s="11"/>
      <x:c r="BK805" s="12"/>
      <x:c r="BL805" s="12"/>
      <x:c r="BM805" s="12"/>
      <x:c r="BN805" s="12"/>
      <x:c r="BO805" s="12"/>
      <x:c r="BP805" s="12"/>
      <x:c r="BQ805" s="12"/>
      <x:c r="BR805" s="12"/>
      <x:c r="BS805" s="12"/>
      <x:c r="BT805" s="12"/>
      <x:c r="BU805" s="11" t="n">
        <x:v>44445</x:v>
      </x:c>
      <x:c r="BV805" s="11" t="n">
        <x:v>2394342</x:v>
      </x:c>
      <x:c r="BW805" s="11" t="n">
        <x:v>1272978</x:v>
      </x:c>
      <x:c r="BX805" s="11" t="n">
        <x:v>3307362</x:v>
      </x:c>
      <x:c r="BY805" s="11" t="n">
        <x:v>0</x:v>
      </x:c>
      <x:c r="BZ805" s="11" t="n">
        <x:v>10372162</x:v>
      </x:c>
      <x:c r="CA805" s="11" t="n">
        <x:v>0</x:v>
      </x:c>
      <x:c r="CB805" s="11" t="n">
        <x:v>0</x:v>
      </x:c>
      <x:c r="CC805" s="11" t="n">
        <x:v>10905026</x:v>
      </x:c>
      <x:c r="CD805" s="11" t="n">
        <x:v>11174094</x:v>
      </x:c>
      <x:c r="CE805" s="11" t="n">
        <x:v>5384954</x:v>
      </x:c>
      <x:c r="CF805" s="11" t="n">
        <x:v>230869</x:v>
      </x:c>
      <x:c r="CG805" s="11" t="n">
        <x:v>3957066</x:v>
      </x:c>
      <x:c r="CH805" s="11" t="n">
        <x:v>6316547</x:v>
      </x:c>
      <x:c r="CI805" s="11" t="n">
        <x:v>6648194</x:v>
      </x:c>
      <x:c r="CJ805" s="11" t="n">
        <x:v>2725073</x:v>
      </x:c>
      <x:c r="CK805" s="11" t="n">
        <x:v>4067241</x:v>
      </x:c>
      <x:c r="CL805" s="11" t="n">
        <x:v>61986</x:v>
      </x:c>
      <x:c r="CM805" s="11"/>
      <x:c r="CN805" s="11" t="n">
        <x:v>40705</x:v>
      </x:c>
      <x:c r="CO805" s="11" t="n">
        <x:v>0</x:v>
      </x:c>
      <x:c r="CP805" s="8"/>
      <x:c r="CQ805" s="8"/>
    </x:row>
    <x:row r="806">
      <x:c r="A806" s="8" t="str">
        <x:v>Squamish|2023</x:v>
      </x:c>
      <x:c r="B806" s="8" t="str">
        <x:v>squamish-d</x:v>
      </x:c>
      <x:c r="C806" s="8" t="str">
        <x:v>Squamish</x:v>
      </x:c>
      <x:c r="D806" s="8" t="str">
        <x:v>Squamish</x:v>
      </x:c>
      <x:c r="E806" s="8" t="str">
        <x:v>D</x:v>
      </x:c>
      <x:c r="F806" s="8" t="str">
        <x:v>SQL</x:v>
      </x:c>
      <x:c r="G806" s="9" t="n">
        <x:v>2023</x:v>
      </x:c>
      <x:c r="H806" s="10" t="n">
        <x:v>24655</x:v>
      </x:c>
      <x:c r="I806" s="8" t="str">
        <x:v>20,000 to 99,999</x:v>
      </x:c>
      <x:c r="J806" s="11" t="n">
        <x:v>94952698</x:v>
      </x:c>
      <x:c r="K806" s="11" t="n">
        <x:v>70517317</x:v>
      </x:c>
      <x:c r="L806" s="11" t="n">
        <x:v>24435381</x:v>
      </x:c>
      <x:c r="M806" s="12" t="n">
        <x:v>0.2573426718217106</x:v>
      </x:c>
      <x:c r="N806" s="11" t="n">
        <x:v>39895798</x:v>
      </x:c>
      <x:c r="O806" s="11" t="n">
        <x:v>29137830</x:v>
      </x:c>
      <x:c r="P806" s="11" t="n">
        <x:v>10545532</x:v>
      </x:c>
      <x:c r="Q806" s="11" t="n">
        <x:v>15373538</x:v>
      </x:c>
      <x:c r="R806" s="11" t="n">
        <x:v>56713874</x:v>
      </x:c>
      <x:c r="S806" s="11" t="n">
        <x:v>12314471</x:v>
      </x:c>
      <x:c r="T806" s="11" t="n">
        <x:v>121245771</x:v>
      </x:c>
      <x:c r="U806" s="11" t="n">
        <x:v>99725512</x:v>
      </x:c>
      <x:c r="V806" s="11" t="n">
        <x:v>30015326</x:v>
      </x:c>
      <x:c r="W806" s="11" t="n">
        <x:v>43367160</x:v>
      </x:c>
      <x:c r="X806" s="11" t="n">
        <x:v>37870347</x:v>
      </x:c>
      <x:c r="Y806" s="11" t="n">
        <x:v>0</x:v>
      </x:c>
      <x:c r="Z806" s="11" t="n">
        <x:v>3838434</x:v>
      </x:c>
      <x:c r="AA806" s="11" t="n">
        <x:v>33273814</x:v>
      </x:c>
      <x:c r="AB806" s="11" t="n">
        <x:v>1488972</x:v>
      </x:c>
      <x:c r="AC806" s="11" t="n">
        <x:v>5327406</x:v>
      </x:c>
      <x:c r="AD806" s="11" t="n">
        <x:v>18467392</x:v>
      </x:c>
      <x:c r="AE806" s="11" t="n">
        <x:v>7441284</x:v>
      </x:c>
      <x:c r="AF806" s="11" t="n">
        <x:v>73869569</x:v>
      </x:c>
      <x:c r="AG806" s="11" t="n">
        <x:v>534173829</x:v>
      </x:c>
      <x:c r="AH806" s="11" t="n">
        <x:v>163901149</x:v>
      </x:c>
      <x:c r="AI806" s="11" t="n">
        <x:v>370272680</x:v>
      </x:c>
      <x:c r="AJ806" s="11" t="n">
        <x:v>34916158</x:v>
      </x:c>
      <x:c r="AK806" s="11" t="n">
        <x:v>113129076</x:v>
      </x:c>
      <x:c r="AL806" s="11" t="n">
        <x:v>0</x:v>
      </x:c>
      <x:c r="AM806" s="12" t="n">
        <x:v>1</x:v>
      </x:c>
      <x:c r="AN806" s="12" t="n">
        <x:v>0.30863999985291135</x:v>
      </x:c>
      <x:c r="AO806" s="11" t="n">
        <x:v>63964450</x:v>
      </x:c>
      <x:c r="AP806" s="11" t="n">
        <x:v>61816815</x:v>
      </x:c>
      <x:c r="AQ806" s="12" t="n">
        <x:v>0.9664245530134317</x:v>
      </x:c>
      <x:c r="AR806" s="11" t="n">
        <x:v>3851.255242344352</x:v>
      </x:c>
      <x:c r="AS806" s="11" t="n">
        <x:v>2860.162928412087</x:v>
      </x:c>
      <x:c r="AT806" s="11" t="n">
        <x:v>1217.4133441492597</x:v>
      </x:c>
      <x:c r="AU806" s="11" t="n">
        <x:v>1758.960048671669</x:v>
      </x:c>
      <x:c r="AV806" s="11" t="n">
        <x:v>1349.5767187183128</x:v>
      </x:c>
      <x:c r="AW806" s="11" t="n">
        <x:v>1.2157949211632024</x:v>
      </x:c>
      <x:c r="AX806" s="12" t="n">
        <x:v>0.40294179058959706</x:v>
      </x:c>
      <x:c r="AY806" s="11"/>
      <x:c r="AZ806" s="11"/>
      <x:c r="BA806" s="11"/>
      <x:c r="BB806" s="11"/>
      <x:c r="BC806" s="11"/>
      <x:c r="BD806" s="11"/>
      <x:c r="BE806" s="11"/>
      <x:c r="BF806" s="11"/>
      <x:c r="BG806" s="11"/>
      <x:c r="BH806" s="11"/>
      <x:c r="BI806" s="11"/>
      <x:c r="BJ806" s="11"/>
      <x:c r="BK806" s="12"/>
      <x:c r="BL806" s="12"/>
      <x:c r="BM806" s="12"/>
      <x:c r="BN806" s="12"/>
      <x:c r="BO806" s="12"/>
      <x:c r="BP806" s="12"/>
      <x:c r="BQ806" s="12"/>
      <x:c r="BR806" s="12"/>
      <x:c r="BS806" s="12"/>
      <x:c r="BT806" s="12"/>
      <x:c r="BU806" s="11" t="n">
        <x:v>5000</x:v>
      </x:c>
      <x:c r="BV806" s="11" t="n">
        <x:v>8019873</x:v>
      </x:c>
      <x:c r="BW806" s="11" t="n">
        <x:v>2520659</x:v>
      </x:c>
      <x:c r="BX806" s="11" t="n">
        <x:v>6106720</x:v>
      </x:c>
      <x:c r="BY806" s="11" t="n">
        <x:v>0</x:v>
      </x:c>
      <x:c r="BZ806" s="11" t="n">
        <x:v>9253183</x:v>
      </x:c>
      <x:c r="CA806" s="11" t="n">
        <x:v>13635</x:v>
      </x:c>
      <x:c r="CB806" s="11" t="n">
        <x:v>0</x:v>
      </x:c>
      <x:c r="CC806" s="11" t="n">
        <x:v>12449906</x:v>
      </x:c>
      <x:c r="CD806" s="11" t="n">
        <x:v>12640078</x:v>
      </x:c>
      <x:c r="CE806" s="11" t="n">
        <x:v>4809451</x:v>
      </x:c>
      <x:c r="CF806" s="11" t="n">
        <x:v>434091</x:v>
      </x:c>
      <x:c r="CG806" s="11" t="n">
        <x:v>5264645</x:v>
      </x:c>
      <x:c r="CH806" s="11" t="n">
        <x:v>7130854</x:v>
      </x:c>
      <x:c r="CI806" s="11" t="n">
        <x:v>7410897</x:v>
      </x:c>
      <x:c r="CJ806" s="11" t="n">
        <x:v>2986199</x:v>
      </x:c>
      <x:c r="CK806" s="11" t="n">
        <x:v>4706618</x:v>
      </x:c>
      <x:c r="CL806" s="11" t="n">
        <x:v>73405</x:v>
      </x:c>
      <x:c r="CM806" s="11" t="n">
        <x:v>163354</x:v>
      </x:c>
      <x:c r="CN806" s="11" t="n">
        <x:v>133348</x:v>
      </x:c>
      <x:c r="CO806" s="11" t="n">
        <x:v>0</x:v>
      </x:c>
      <x:c r="CP806" s="8"/>
      <x:c r="CQ806" s="8"/>
    </x:row>
    <x:row r="807">
      <x:c r="A807" s="8" t="str">
        <x:v>Squamish|2024</x:v>
      </x:c>
      <x:c r="B807" s="8" t="str">
        <x:v>squamish-d</x:v>
      </x:c>
      <x:c r="C807" s="8" t="str">
        <x:v>Squamish</x:v>
      </x:c>
      <x:c r="D807" s="8" t="str">
        <x:v>Squamish</x:v>
      </x:c>
      <x:c r="E807" s="8" t="str">
        <x:v>D</x:v>
      </x:c>
      <x:c r="F807" s="8" t="str">
        <x:v>SQL</x:v>
      </x:c>
      <x:c r="G807" s="9" t="n">
        <x:v>2024</x:v>
      </x:c>
      <x:c r="H807" s="10" t="n">
        <x:v>24655</x:v>
      </x:c>
      <x:c r="I807" s="8" t="str">
        <x:v>20,000 to 99,999</x:v>
      </x:c>
      <x:c r="J807" s="11" t="n">
        <x:v>143693496</x:v>
      </x:c>
      <x:c r="K807" s="11" t="n">
        <x:v>79164010</x:v>
      </x:c>
      <x:c r="L807" s="11" t="n">
        <x:v>64529486</x:v>
      </x:c>
      <x:c r="M807" s="12" t="n">
        <x:v>0.44907729157066373</x:v>
      </x:c>
      <x:c r="N807" s="11" t="n">
        <x:v>44261141</x:v>
      </x:c>
      <x:c r="O807" s="11" t="n">
        <x:v>29300157</x:v>
      </x:c>
      <x:c r="P807" s="11" t="n">
        <x:v>16867303</x:v>
      </x:c>
      <x:c r="Q807" s="11" t="n">
        <x:v>53264895</x:v>
      </x:c>
      <x:c r="R807" s="11" t="n">
        <x:v>64964665</x:v>
      </x:c>
      <x:c r="S807" s="11" t="n">
        <x:v>12766127</x:v>
      </x:c>
      <x:c r="T807" s="11" t="n">
        <x:v>130382069</x:v>
      </x:c>
      <x:c r="U807" s="11" t="n">
        <x:v>104136990</x:v>
      </x:c>
      <x:c r="V807" s="11" t="n">
        <x:v>39134200</x:v>
      </x:c>
      <x:c r="W807" s="11" t="n">
        <x:v>63346489</x:v>
      </x:c>
      <x:c r="X807" s="11" t="n">
        <x:v>33273814</x:v>
      </x:c>
      <x:c r="Y807" s="11" t="n">
        <x:v>12000000</x:v>
      </x:c>
      <x:c r="Z807" s="11" t="n">
        <x:v>3647658</x:v>
      </x:c>
      <x:c r="AA807" s="11" t="n">
        <x:v>40815325</x:v>
      </x:c>
      <x:c r="AB807" s="11" t="n">
        <x:v>1433218</x:v>
      </x:c>
      <x:c r="AC807" s="11" t="n">
        <x:v>5080876</x:v>
      </x:c>
      <x:c r="AD807" s="11" t="n">
        <x:v>19195167</x:v>
      </x:c>
      <x:c r="AE807" s="11" t="n">
        <x:v>7497994</x:v>
      </x:c>
      <x:c r="AF807" s="11" t="n">
        <x:v>76780667</x:v>
      </x:c>
      <x:c r="AG807" s="11" t="n">
        <x:v>600375688</x:v>
      </x:c>
      <x:c r="AH807" s="11" t="n">
        <x:v>175001125</x:v>
      </x:c>
      <x:c r="AI807" s="11" t="n">
        <x:v>425374563</x:v>
      </x:c>
      <x:c r="AJ807" s="11" t="n">
        <x:v>68817266</x:v>
      </x:c>
      <x:c r="AK807" s="11" t="n">
        <x:v>997085704</x:v>
      </x:c>
      <x:c r="AL807" s="11" t="n">
        <x:v>16163793</x:v>
      </x:c>
      <x:c r="AM807" s="12" t="n">
        <x:v>0.9837889632404156</x:v>
      </x:c>
      <x:c r="AN807" s="12" t="n">
        <x:v>0.06901840606472079</x:v>
      </x:c>
      <x:c r="AO807" s="11" t="n">
        <x:v>69772505</x:v>
      </x:c>
      <x:c r="AP807" s="11" t="n">
        <x:v>67814997</x:v>
      </x:c>
      <x:c r="AQ807" s="12" t="n">
        <x:v>0.9719444213734335</x:v>
      </x:c>
      <x:c r="AR807" s="11" t="n">
        <x:v>5828.16856621375</x:v>
      </x:c>
      <x:c r="AS807" s="11" t="n">
        <x:v>3210.8704116812005</x:v>
      </x:c>
      <x:c r="AT807" s="11" t="n">
        <x:v>1587.2723585479619</x:v>
      </x:c>
      <x:c r="AU807" s="11" t="n">
        <x:v>2569.316122490367</x:v>
      </x:c>
      <x:c r="AV807" s="11" t="n">
        <x:v>1655.4583248833908</x:v>
      </x:c>
      <x:c r="AW807" s="11" t="n">
        <x:v>1.2520245591888146</x:v>
      </x:c>
      <x:c r="AX807" s="12" t="n">
        <x:v>0.3906188469212068</x:v>
      </x:c>
      <x:c r="AY807" s="11" t="n">
        <x:v>4511.346779173996</x:v>
      </x:c>
      <x:c r="AZ807" s="11" t="n">
        <x:v>3546.5079302077975</x:v>
      </x:c>
      <x:c r="BA807" s="11" t="n">
        <x:v>2919.303585494507</x:v>
      </x:c>
      <x:c r="BB807" s="11" t="n">
        <x:v>2783.665107049771</x:v>
      </x:c>
      <x:c r="BC807" s="11" t="n">
        <x:v>1671.5377681570433</x:v>
      </x:c>
      <x:c r="BD807" s="11" t="n">
        <x:v>2437.8724475115623</x:v>
      </x:c>
      <x:c r="BE807" s="11" t="n">
        <x:v>2013.8680402698296</x:v>
      </x:c>
      <x:c r="BF807" s="11" t="n">
        <x:v>1604.3462673977224</x:v>
      </x:c>
      <x:c r="BG807" s="11" t="n">
        <x:v>758.072703793099</x:v>
      </x:c>
      <x:c r="BH807" s="11" t="n">
        <x:v>518.5374381567245</x:v>
      </x:c>
      <x:c r="BI807" s="11" t="n">
        <x:v>1.4106251913295584</x:v>
      </x:c>
      <x:c r="BJ807" s="11" t="n">
        <x:v>1.7099330852451193</x:v>
      </x:c>
      <x:c r="BK807" s="12" t="n">
        <x:v>0.02395434950880719</x:v>
      </x:c>
      <x:c r="BL807" s="12" t="n">
        <x:v>0.02529861000232605</x:v>
      </x:c>
      <x:c r="BM807" s="12" t="n">
        <x:v>0.982881188126185</x:v>
      </x:c>
      <x:c r="BN807" s="12" t="n">
        <x:v>0.9815511712696461</x:v>
      </x:c>
      <x:c r="BO807" s="12" t="n">
        <x:v>0.7663674777332005</x:v>
      </x:c>
      <x:c r="BP807" s="12" t="n">
        <x:v>0.8619101997275483</x:v>
      </x:c>
      <x:c r="BQ807" s="12" t="n">
        <x:v>0.9710385348590358</x:v>
      </x:c>
      <x:c r="BR807" s="12" t="n">
        <x:v>0.9623635142836453</x:v>
      </x:c>
      <x:c r="BS807" s="12" t="n">
        <x:v>0.1541512928248161</x:v>
      </x:c>
      <x:c r="BT807" s="12" t="n">
        <x:v>0.19976549769108282</x:v>
      </x:c>
      <x:c r="BU807" s="11" t="n">
        <x:v>5756510</x:v>
      </x:c>
      <x:c r="BV807" s="11" t="n">
        <x:v>10909928</x:v>
      </x:c>
      <x:c r="BW807" s="11" t="n">
        <x:v>200865</x:v>
      </x:c>
      <x:c r="BX807" s="11" t="n">
        <x:v>6378392</x:v>
      </x:c>
      <x:c r="BY807" s="11" t="n">
        <x:v>461810</x:v>
      </x:c>
      <x:c r="BZ807" s="11" t="n">
        <x:v>28929151</x:v>
      </x:c>
      <x:c r="CA807" s="11" t="n">
        <x:v>17495542</x:v>
      </x:c>
      <x:c r="CB807" s="11" t="n">
        <x:v>0</x:v>
      </x:c>
      <x:c r="CC807" s="11" t="n">
        <x:v>12854717</x:v>
      </x:c>
      <x:c r="CD807" s="11" t="n">
        <x:v>15553597</x:v>
      </x:c>
      <x:c r="CE807" s="11" t="n">
        <x:v>4920997</x:v>
      </x:c>
      <x:c r="CF807" s="11" t="n">
        <x:v>1068901</x:v>
      </x:c>
      <x:c r="CG807" s="11" t="n">
        <x:v>6529762</x:v>
      </x:c>
      <x:c r="CH807" s="11" t="n">
        <x:v>7347700</x:v>
      </x:c>
      <x:c r="CI807" s="11" t="n">
        <x:v>8070427</x:v>
      </x:c>
      <x:c r="CJ807" s="11" t="n">
        <x:v>3172842</x:v>
      </x:c>
      <x:c r="CK807" s="11" t="n">
        <x:v>4686136</x:v>
      </x:c>
      <x:c r="CL807" s="11" t="n">
        <x:v>0</x:v>
      </x:c>
      <x:c r="CM807" s="11" t="n">
        <x:v>1243549</x:v>
      </x:c>
      <x:c r="CN807" s="11" t="n">
        <x:v>949255</x:v>
      </x:c>
      <x:c r="CO807" s="11" t="n">
        <x:v>0</x:v>
      </x:c>
      <x:c r="CP807" s="8"/>
      <x:c r="CQ807" s="8"/>
    </x:row>
    <x:row r="808">
      <x:c r="A808" s="8" t="str">
        <x:v>Stewart|2019</x:v>
      </x:c>
      <x:c r="B808" s="8" t="str">
        <x:v>stewart-d</x:v>
      </x:c>
      <x:c r="C808" s="8" t="str">
        <x:v>Stewart</x:v>
      </x:c>
      <x:c r="D808" s="8" t="str">
        <x:v>Stewart</x:v>
      </x:c>
      <x:c r="E808" s="8" t="str">
        <x:v>D</x:v>
      </x:c>
      <x:c r="F808" s="8" t="str">
        <x:v>KIT</x:v>
      </x:c>
      <x:c r="G808" s="9" t="n">
        <x:v>2019</x:v>
      </x:c>
      <x:c r="H808" s="10" t="n">
        <x:v>419</x:v>
      </x:c>
      <x:c r="I808" s="8" t="str">
        <x:v>Under 5,000</x:v>
      </x:c>
      <x:c r="J808" s="11" t="n">
        <x:v>6197680</x:v>
      </x:c>
      <x:c r="K808" s="11" t="n">
        <x:v>3075302</x:v>
      </x:c>
      <x:c r="L808" s="11" t="n">
        <x:v>3122378</x:v>
      </x:c>
      <x:c r="M808" s="12" t="n">
        <x:v>0.5037978727523847</x:v>
      </x:c>
      <x:c r="N808" s="11" t="n">
        <x:v>2227563</x:v>
      </x:c>
      <x:c r="O808" s="11" t="n">
        <x:v>918974</x:v>
      </x:c>
      <x:c r="P808" s="11" t="n">
        <x:v>2890560</x:v>
      </x:c>
      <x:c r="Q808" s="11" t="n">
        <x:v>160583</x:v>
      </x:c>
      <x:c r="R808" s="11" t="n">
        <x:v>2582950</x:v>
      </x:c>
      <x:c r="S808" s="11" t="n">
        <x:v>483151</x:v>
      </x:c>
      <x:c r="T808" s="11" t="n">
        <x:v>2936435</x:v>
      </x:c>
      <x:c r="U808" s="11" t="n">
        <x:v>2138353</x:v>
      </x:c>
      <x:c r="V808" s="11" t="n">
        <x:v>3008222</x:v>
      </x:c>
      <x:c r="W808" s="11" t="n">
        <x:v>1639116</x:v>
      </x:c>
      <x:c r="X808" s="11" t="n">
        <x:v>249671</x:v>
      </x:c>
      <x:c r="Y808" s="11" t="n">
        <x:v>400000</x:v>
      </x:c>
      <x:c r="Z808" s="11" t="n">
        <x:v>96545</x:v>
      </x:c>
      <x:c r="AA808" s="11" t="n">
        <x:v>553126</x:v>
      </x:c>
      <x:c r="AB808" s="11" t="n">
        <x:v>9201</x:v>
      </x:c>
      <x:c r="AC808" s="11" t="n">
        <x:v>105746</x:v>
      </x:c>
      <x:c r="AD808" s="11" t="n">
        <x:v>875683</x:v>
      </x:c>
      <x:c r="AE808" s="11" t="n">
        <x:v>769937</x:v>
      </x:c>
      <x:c r="AF808" s="11" t="n">
        <x:v>3502731</x:v>
      </x:c>
      <x:c r="AG808" s="11" t="n">
        <x:v>18798919</x:v>
      </x:c>
      <x:c r="AH808" s="11" t="n">
        <x:v>8378901</x:v>
      </x:c>
      <x:c r="AI808" s="11" t="n">
        <x:v>10420018</x:v>
      </x:c>
      <x:c r="AJ808" s="11" t="n">
        <x:v>1394189</x:v>
      </x:c>
      <x:c r="AK808" s="11" t="n">
        <x:v>1513984</x:v>
      </x:c>
      <x:c r="AL808" s="11" t="n">
        <x:v>0</x:v>
      </x:c>
      <x:c r="AM808" s="12" t="n">
        <x:v>1</x:v>
      </x:c>
      <x:c r="AN808" s="12" t="n">
        <x:v>0.9208743289228948</x:v>
      </x:c>
      <x:c r="AO808" s="11" t="n">
        <x:v>3391090</x:v>
      </x:c>
      <x:c r="AP808" s="11" t="n">
        <x:v>3145940</x:v>
      </x:c>
      <x:c r="AQ808" s="12" t="n">
        <x:v>0.9277076102374163</x:v>
      </x:c>
      <x:c r="AR808" s="11" t="n">
        <x:v>14791.599045346062</x:v>
      </x:c>
      <x:c r="AS808" s="11" t="n">
        <x:v>7339.622911694511</x:v>
      </x:c>
      <x:c r="AT808" s="11" t="n">
        <x:v>7179.527446300716</x:v>
      </x:c>
      <x:c r="AU808" s="11" t="n">
        <x:v>3911.9713603818614</x:v>
      </x:c>
      <x:c r="AV808" s="11" t="n">
        <x:v>1320.109785202864</x:v>
      </x:c>
      <x:c r="AW808" s="11" t="n">
        <x:v>1.3732227560183001</x:v>
      </x:c>
      <x:c r="AX808" s="12" t="n">
        <x:v>0.8792416890587119</x:v>
      </x:c>
      <x:c r="AY808" s="11"/>
      <x:c r="AZ808" s="11"/>
      <x:c r="BA808" s="11"/>
      <x:c r="BB808" s="11"/>
      <x:c r="BC808" s="11"/>
      <x:c r="BD808" s="11"/>
      <x:c r="BE808" s="11"/>
      <x:c r="BF808" s="11"/>
      <x:c r="BG808" s="11"/>
      <x:c r="BH808" s="11"/>
      <x:c r="BI808" s="11"/>
      <x:c r="BJ808" s="11"/>
      <x:c r="BK808" s="12"/>
      <x:c r="BL808" s="12"/>
      <x:c r="BM808" s="12"/>
      <x:c r="BN808" s="12"/>
      <x:c r="BO808" s="12"/>
      <x:c r="BP808" s="12"/>
      <x:c r="BQ808" s="12"/>
      <x:c r="BR808" s="12"/>
      <x:c r="BS808" s="12"/>
      <x:c r="BT808" s="12"/>
      <x:c r="BU808" s="11" t="n">
        <x:v>728907</x:v>
      </x:c>
      <x:c r="BV808" s="11" t="n">
        <x:v>1995050</x:v>
      </x:c>
      <x:c r="BW808" s="11" t="n">
        <x:v>166603</x:v>
      </x:c>
      <x:c r="BX808" s="11" t="n">
        <x:v>44499</x:v>
      </x:c>
      <x:c r="BY808" s="11" t="n">
        <x:v>0</x:v>
      </x:c>
      <x:c r="BZ808" s="11" t="n">
        <x:v>0</x:v>
      </x:c>
      <x:c r="CA808" s="11" t="n">
        <x:v>2823</x:v>
      </x:c>
      <x:c r="CB808" s="11" t="n">
        <x:v>113261</x:v>
      </x:c>
      <x:c r="CC808" s="11" t="n">
        <x:v>790804</x:v>
      </x:c>
      <x:c r="CD808" s="11" t="n">
        <x:v>106722</x:v>
      </x:c>
      <x:c r="CE808" s="11" t="n">
        <x:v>-186451</x:v>
      </x:c>
      <x:c r="CF808" s="11" t="n">
        <x:v>0</x:v>
      </x:c>
      <x:c r="CG808" s="11" t="n">
        <x:v>222159</x:v>
      </x:c>
      <x:c r="CH808" s="11" t="n">
        <x:v>889202</x:v>
      </x:c>
      <x:c r="CI808" s="11" t="n">
        <x:v>409748</x:v>
      </x:c>
      <x:c r="CJ808" s="11" t="n">
        <x:v>93390</x:v>
      </x:c>
      <x:c r="CK808" s="11" t="n">
        <x:v>266577</x:v>
      </x:c>
      <x:c r="CL808" s="11" t="n">
        <x:v>0</x:v>
      </x:c>
      <x:c r="CM808" s="11"/>
      <x:c r="CN808" s="11" t="n">
        <x:v>0</x:v>
      </x:c>
      <x:c r="CO808" s="11" t="n">
        <x:v>0</x:v>
      </x:c>
      <x:c r="CP808" s="8"/>
      <x:c r="CQ808" s="8"/>
    </x:row>
    <x:row r="809">
      <x:c r="A809" s="8" t="str">
        <x:v>Stewart|2020</x:v>
      </x:c>
      <x:c r="B809" s="8" t="str">
        <x:v>stewart-d</x:v>
      </x:c>
      <x:c r="C809" s="8" t="str">
        <x:v>Stewart</x:v>
      </x:c>
      <x:c r="D809" s="8" t="str">
        <x:v>Stewart</x:v>
      </x:c>
      <x:c r="E809" s="8" t="str">
        <x:v>D</x:v>
      </x:c>
      <x:c r="F809" s="8" t="str">
        <x:v>KIT</x:v>
      </x:c>
      <x:c r="G809" s="9" t="n">
        <x:v>2020</x:v>
      </x:c>
      <x:c r="H809" s="10" t="n">
        <x:v>425</x:v>
      </x:c>
      <x:c r="I809" s="8" t="str">
        <x:v>Under 5,000</x:v>
      </x:c>
      <x:c r="J809" s="11" t="n">
        <x:v>8386817</x:v>
      </x:c>
      <x:c r="K809" s="11" t="n">
        <x:v>3579105</x:v>
      </x:c>
      <x:c r="L809" s="11" t="n">
        <x:v>4807712</x:v>
      </x:c>
      <x:c r="M809" s="12" t="n">
        <x:v>0.5732463221744316</x:v>
      </x:c>
      <x:c r="N809" s="11" t="n">
        <x:v>2325813</x:v>
      </x:c>
      <x:c r="O809" s="11" t="n">
        <x:v>768701</x:v>
      </x:c>
      <x:c r="P809" s="11" t="n">
        <x:v>5055211</x:v>
      </x:c>
      <x:c r="Q809" s="11" t="n">
        <x:v>237092</x:v>
      </x:c>
      <x:c r="R809" s="11" t="n">
        <x:v>2973228</x:v>
      </x:c>
      <x:c r="S809" s="11" t="n">
        <x:v>591842</x:v>
      </x:c>
      <x:c r="T809" s="11" t="n">
        <x:v>5227637</x:v>
      </x:c>
      <x:c r="U809" s="11" t="n">
        <x:v>2412659</x:v>
      </x:c>
      <x:c r="V809" s="11" t="n">
        <x:v>4609366</x:v>
      </x:c>
      <x:c r="W809" s="11" t="n">
        <x:v>1901101</x:v>
      </x:c>
      <x:c r="X809" s="11" t="n">
        <x:v>553126</x:v>
      </x:c>
      <x:c r="Y809" s="11" t="n">
        <x:v>0</x:v>
      </x:c>
      <x:c r="Z809" s="11" t="n">
        <x:v>142631</x:v>
      </x:c>
      <x:c r="AA809" s="11" t="n">
        <x:v>410495</x:v>
      </x:c>
      <x:c r="AB809" s="11" t="n">
        <x:v>14035</x:v>
      </x:c>
      <x:c r="AC809" s="11" t="n">
        <x:v>156666</x:v>
      </x:c>
      <x:c r="AD809" s="11" t="n">
        <x:v>844530</x:v>
      </x:c>
      <x:c r="AE809" s="11" t="n">
        <x:v>687864</x:v>
      </x:c>
      <x:c r="AF809" s="11" t="n">
        <x:v>3378118</x:v>
      </x:c>
      <x:c r="AG809" s="11" t="n">
        <x:v>22493624</x:v>
      </x:c>
      <x:c r="AH809" s="11" t="n">
        <x:v>8865825</x:v>
      </x:c>
      <x:c r="AI809" s="11" t="n">
        <x:v>13627799</x:v>
      </x:c>
      <x:c r="AJ809" s="11" t="n">
        <x:v>3900852</x:v>
      </x:c>
      <x:c r="AK809" s="11" t="n">
        <x:v>1180391</x:v>
      </x:c>
      <x:c r="AL809" s="11" t="n">
        <x:v>0</x:v>
      </x:c>
      <x:c r="AM809" s="12" t="n">
        <x:v>1</x:v>
      </x:c>
      <x:c r="AN809" s="12" t="n">
        <x:v>3.3047117438204796</x:v>
      </x:c>
      <x:c r="AO809" s="11" t="n">
        <x:v>3442011</x:v>
      </x:c>
      <x:c r="AP809" s="11" t="n">
        <x:v>3193896</x:v>
      </x:c>
      <x:c r="AQ809" s="12" t="n">
        <x:v>0.9279156864983872</x:v>
      </x:c>
      <x:c r="AR809" s="11" t="n">
        <x:v>19733.68705882353</x:v>
      </x:c>
      <x:c r="AS809" s="11" t="n">
        <x:v>8421.423529411764</x:v>
      </x:c>
      <x:c r="AT809" s="11" t="n">
        <x:v>10845.56705882353</x:v>
      </x:c>
      <x:c r="AU809" s="11" t="n">
        <x:v>4473.178823529412</x:v>
      </x:c>
      <x:c r="AV809" s="11" t="n">
        <x:v>965.8705882352941</x:v>
      </x:c>
      <x:c r="AW809" s="11" t="n">
        <x:v>2.1667533621618307</x:v>
      </x:c>
      <x:c r="AX809" s="12" t="n">
        <x:v>0.8144932684451707</x:v>
      </x:c>
      <x:c r="AY809" s="11"/>
      <x:c r="AZ809" s="11"/>
      <x:c r="BA809" s="11"/>
      <x:c r="BB809" s="11"/>
      <x:c r="BC809" s="11"/>
      <x:c r="BD809" s="11"/>
      <x:c r="BE809" s="11"/>
      <x:c r="BF809" s="11"/>
      <x:c r="BG809" s="11"/>
      <x:c r="BH809" s="11"/>
      <x:c r="BI809" s="11"/>
      <x:c r="BJ809" s="11"/>
      <x:c r="BK809" s="12"/>
      <x:c r="BL809" s="12"/>
      <x:c r="BM809" s="12"/>
      <x:c r="BN809" s="12"/>
      <x:c r="BO809" s="12"/>
      <x:c r="BP809" s="12"/>
      <x:c r="BQ809" s="12"/>
      <x:c r="BR809" s="12"/>
      <x:c r="BS809" s="12"/>
      <x:c r="BT809" s="12"/>
      <x:c r="BU809" s="11" t="n">
        <x:v>25446</x:v>
      </x:c>
      <x:c r="BV809" s="11" t="n">
        <x:v>4823510</x:v>
      </x:c>
      <x:c r="BW809" s="11" t="n">
        <x:v>206255</x:v>
      </x:c>
      <x:c r="BX809" s="11" t="n">
        <x:v>54680</x:v>
      </x:c>
      <x:c r="BY809" s="11" t="n">
        <x:v>0</x:v>
      </x:c>
      <x:c r="BZ809" s="11" t="n">
        <x:v>0</x:v>
      </x:c>
      <x:c r="CA809" s="11" t="n">
        <x:v>129152</x:v>
      </x:c>
      <x:c r="CB809" s="11" t="n">
        <x:v>53260</x:v>
      </x:c>
      <x:c r="CC809" s="11" t="n">
        <x:v>742172</x:v>
      </x:c>
      <x:c r="CD809" s="11" t="n">
        <x:v>78471</x:v>
      </x:c>
      <x:c r="CE809" s="11" t="n">
        <x:v>62802</x:v>
      </x:c>
      <x:c r="CF809" s="11" t="n">
        <x:v>0</x:v>
      </x:c>
      <x:c r="CG809" s="11" t="n">
        <x:v>303342</x:v>
      </x:c>
      <x:c r="CH809" s="11" t="n">
        <x:v>1072109</x:v>
      </x:c>
      <x:c r="CI809" s="11" t="n">
        <x:v>460904</x:v>
      </x:c>
      <x:c r="CJ809" s="11" t="n">
        <x:v>145089</x:v>
      </x:c>
      <x:c r="CK809" s="11" t="n">
        <x:v>122374</x:v>
      </x:c>
      <x:c r="CL809" s="11" t="n">
        <x:v>0</x:v>
      </x:c>
      <x:c r="CM809" s="11"/>
      <x:c r="CN809" s="11" t="n">
        <x:v>0</x:v>
      </x:c>
      <x:c r="CO809" s="11" t="n">
        <x:v>0</x:v>
      </x:c>
      <x:c r="CP809" s="8"/>
      <x:c r="CQ809" s="8"/>
    </x:row>
    <x:row r="810">
      <x:c r="A810" s="8" t="str">
        <x:v>Stewart|2021</x:v>
      </x:c>
      <x:c r="B810" s="8" t="str">
        <x:v>stewart-d</x:v>
      </x:c>
      <x:c r="C810" s="8" t="str">
        <x:v>Stewart</x:v>
      </x:c>
      <x:c r="D810" s="8" t="str">
        <x:v>Stewart</x:v>
      </x:c>
      <x:c r="E810" s="8" t="str">
        <x:v>D</x:v>
      </x:c>
      <x:c r="F810" s="8" t="str">
        <x:v>KIT</x:v>
      </x:c>
      <x:c r="G810" s="9" t="n">
        <x:v>2021</x:v>
      </x:c>
      <x:c r="H810" s="10" t="n">
        <x:v>432</x:v>
      </x:c>
      <x:c r="I810" s="8" t="str">
        <x:v>Under 5,000</x:v>
      </x:c>
      <x:c r="J810" s="11" t="n">
        <x:v>5501244</x:v>
      </x:c>
      <x:c r="K810" s="11" t="n">
        <x:v>4503135</x:v>
      </x:c>
      <x:c r="L810" s="11" t="n">
        <x:v>998109</x:v>
      </x:c>
      <x:c r="M810" s="12" t="n">
        <x:v>0.18143332671664808</x:v>
      </x:c>
      <x:c r="N810" s="11" t="n">
        <x:v>2328792</x:v>
      </x:c>
      <x:c r="O810" s="11" t="n">
        <x:v>533412</x:v>
      </x:c>
      <x:c r="P810" s="11" t="n">
        <x:v>1798092</x:v>
      </x:c>
      <x:c r="Q810" s="11" t="n">
        <x:v>840948</x:v>
      </x:c>
      <x:c r="R810" s="11" t="n">
        <x:v>3843580</x:v>
      </x:c>
      <x:c r="S810" s="11" t="n">
        <x:v>650872</x:v>
      </x:c>
      <x:c r="T810" s="11" t="n">
        <x:v>5372727</x:v>
      </x:c>
      <x:c r="U810" s="11" t="n">
        <x:v>2408117</x:v>
      </x:c>
      <x:c r="V810" s="11" t="n">
        <x:v>4655555</x:v>
      </x:c>
      <x:c r="W810" s="11" t="n">
        <x:v>2701281</x:v>
      </x:c>
      <x:c r="X810" s="11" t="n">
        <x:v>410495</x:v>
      </x:c>
      <x:c r="Y810" s="11" t="n">
        <x:v>0</x:v>
      </x:c>
      <x:c r="Z810" s="11" t="n">
        <x:v>134792</x:v>
      </x:c>
      <x:c r="AA810" s="11" t="n">
        <x:v>275703</x:v>
      </x:c>
      <x:c r="AB810" s="11" t="n">
        <x:v>8683</x:v>
      </x:c>
      <x:c r="AC810" s="11" t="n">
        <x:v>143475</x:v>
      </x:c>
      <x:c r="AD810" s="11" t="n">
        <x:v>777939</x:v>
      </x:c>
      <x:c r="AE810" s="11" t="n">
        <x:v>634464</x:v>
      </x:c>
      <x:c r="AF810" s="11" t="n">
        <x:v>3111754</x:v>
      </x:c>
      <x:c r="AG810" s="11" t="n">
        <x:v>23924250</x:v>
      </x:c>
      <x:c r="AH810" s="11" t="n">
        <x:v>9344531</x:v>
      </x:c>
      <x:c r="AI810" s="11" t="n">
        <x:v>14579719</x:v>
      </x:c>
      <x:c r="AJ810" s="11" t="n">
        <x:v>1648815</x:v>
      </x:c>
      <x:c r="AK810" s="11" t="n">
        <x:v>1134370</x:v>
      </x:c>
      <x:c r="AL810" s="11" t="n">
        <x:v>0</x:v>
      </x:c>
      <x:c r="AM810" s="12" t="n">
        <x:v>1</x:v>
      </x:c>
      <x:c r="AN810" s="12" t="n">
        <x:v>1.4535072330897327</x:v>
      </x:c>
      <x:c r="AO810" s="11" t="n">
        <x:v>3521595</x:v>
      </x:c>
      <x:c r="AP810" s="11" t="n">
        <x:v>3264141</x:v>
      </x:c>
      <x:c r="AQ810" s="12" t="n">
        <x:v>0.9268927857973447</x:v>
      </x:c>
      <x:c r="AR810" s="11" t="n">
        <x:v>12734.361111111111</x:v>
      </x:c>
      <x:c r="AS810" s="11" t="n">
        <x:v>10423.923611111111</x:v>
      </x:c>
      <x:c r="AT810" s="11" t="n">
        <x:v>10776.747685185184</x:v>
      </x:c>
      <x:c r="AU810" s="11" t="n">
        <x:v>6252.965277777777</x:v>
      </x:c>
      <x:c r="AV810" s="11" t="n">
        <x:v>638.2013888888889</x:v>
      </x:c>
      <x:c r="AW810" s="11" t="n">
        <x:v>2.2310905159508447</x:v>
      </x:c>
      <x:c r="AX810" s="12" t="n">
        <x:v>0.8155703724842179</x:v>
      </x:c>
      <x:c r="AY810" s="11"/>
      <x:c r="AZ810" s="11"/>
      <x:c r="BA810" s="11"/>
      <x:c r="BB810" s="11"/>
      <x:c r="BC810" s="11"/>
      <x:c r="BD810" s="11"/>
      <x:c r="BE810" s="11"/>
      <x:c r="BF810" s="11"/>
      <x:c r="BG810" s="11"/>
      <x:c r="BH810" s="11"/>
      <x:c r="BI810" s="11"/>
      <x:c r="BJ810" s="11"/>
      <x:c r="BK810" s="12"/>
      <x:c r="BL810" s="12"/>
      <x:c r="BM810" s="12"/>
      <x:c r="BN810" s="12"/>
      <x:c r="BO810" s="12"/>
      <x:c r="BP810" s="12"/>
      <x:c r="BQ810" s="12"/>
      <x:c r="BR810" s="12"/>
      <x:c r="BS810" s="12"/>
      <x:c r="BT810" s="12"/>
      <x:c r="BU810" s="11" t="n">
        <x:v>22746</x:v>
      </x:c>
      <x:c r="BV810" s="11" t="n">
        <x:v>1754994</x:v>
      </x:c>
      <x:c r="BW810" s="11" t="n">
        <x:v>20352</x:v>
      </x:c>
      <x:c r="BX810" s="11" t="n">
        <x:v>9720</x:v>
      </x:c>
      <x:c r="BY810" s="11" t="n">
        <x:v>0</x:v>
      </x:c>
      <x:c r="BZ810" s="11" t="n">
        <x:v>0</x:v>
      </x:c>
      <x:c r="CA810" s="11" t="n">
        <x:v>762889</x:v>
      </x:c>
      <x:c r="CB810" s="11" t="n">
        <x:v>68339</x:v>
      </x:c>
      <x:c r="CC810" s="11" t="n">
        <x:v>862633</x:v>
      </x:c>
      <x:c r="CD810" s="11" t="n">
        <x:v>154228</x:v>
      </x:c>
      <x:c r="CE810" s="11" t="n">
        <x:v>27257</x:v>
      </x:c>
      <x:c r="CF810" s="11" t="n">
        <x:v>0</x:v>
      </x:c>
      <x:c r="CG810" s="11" t="n">
        <x:v>505008</x:v>
      </x:c>
      <x:c r="CH810" s="11" t="n">
        <x:v>1131922</x:v>
      </x:c>
      <x:c r="CI810" s="11" t="n">
        <x:v>435099</x:v>
      </x:c>
      <x:c r="CJ810" s="11" t="n">
        <x:v>150707</x:v>
      </x:c>
      <x:c r="CK810" s="11" t="n">
        <x:v>585409</x:v>
      </x:c>
      <x:c r="CL810" s="11" t="n">
        <x:v>0</x:v>
      </x:c>
      <x:c r="CM810" s="11"/>
      <x:c r="CN810" s="11" t="n">
        <x:v>0</x:v>
      </x:c>
      <x:c r="CO810" s="11" t="n">
        <x:v>0</x:v>
      </x:c>
      <x:c r="CP810" s="8"/>
      <x:c r="CQ810" s="8"/>
    </x:row>
    <x:row r="811">
      <x:c r="A811" s="8" t="str">
        <x:v>Stewart|2022</x:v>
      </x:c>
      <x:c r="B811" s="8" t="str">
        <x:v>stewart-d</x:v>
      </x:c>
      <x:c r="C811" s="8" t="str">
        <x:v>Stewart</x:v>
      </x:c>
      <x:c r="D811" s="8" t="str">
        <x:v>Stewart</x:v>
      </x:c>
      <x:c r="E811" s="8" t="str">
        <x:v>D</x:v>
      </x:c>
      <x:c r="F811" s="8" t="str">
        <x:v>KIT</x:v>
      </x:c>
      <x:c r="G811" s="9" t="n">
        <x:v>2022</x:v>
      </x:c>
      <x:c r="H811" s="10" t="n">
        <x:v>437</x:v>
      </x:c>
      <x:c r="I811" s="8" t="str">
        <x:v>Under 5,000</x:v>
      </x:c>
      <x:c r="J811" s="11" t="n">
        <x:v>4241554</x:v>
      </x:c>
      <x:c r="K811" s="11" t="n">
        <x:v>4153877</x:v>
      </x:c>
      <x:c r="L811" s="11" t="n">
        <x:v>87677</x:v>
      </x:c>
      <x:c r="M811" s="12" t="n">
        <x:v>0.020670961633401343</x:v>
      </x:c>
      <x:c r="N811" s="11" t="n">
        <x:v>2461778</x:v>
      </x:c>
      <x:c r="O811" s="11" t="n">
        <x:v>675835</x:v>
      </x:c>
      <x:c r="P811" s="11" t="n">
        <x:v>986265</x:v>
      </x:c>
      <x:c r="Q811" s="11" t="n">
        <x:v>117676</x:v>
      </x:c>
      <x:c r="R811" s="11" t="n">
        <x:v>3416961</x:v>
      </x:c>
      <x:c r="S811" s="11" t="n">
        <x:v>710882</x:v>
      </x:c>
      <x:c r="T811" s="11" t="n">
        <x:v>5896643</x:v>
      </x:c>
      <x:c r="U811" s="11" t="n">
        <x:v>2985854</x:v>
      </x:c>
      <x:c r="V811" s="11" t="n">
        <x:v>4039187</x:v>
      </x:c>
      <x:c r="W811" s="11" t="n">
        <x:v>0</x:v>
      </x:c>
      <x:c r="X811" s="11" t="n">
        <x:v>275703</x:v>
      </x:c>
      <x:c r="Y811" s="11" t="n">
        <x:v>525600</x:v>
      </x:c>
      <x:c r="Z811" s="11" t="n">
        <x:v>159378</x:v>
      </x:c>
      <x:c r="AA811" s="11" t="n">
        <x:v>641925</x:v>
      </x:c>
      <x:c r="AB811" s="11" t="n">
        <x:v>26034</x:v>
      </x:c>
      <x:c r="AC811" s="11" t="n">
        <x:v>185412</x:v>
      </x:c>
      <x:c r="AD811" s="11" t="n">
        <x:v>860642</x:v>
      </x:c>
      <x:c r="AE811" s="11" t="n">
        <x:v>675230</x:v>
      </x:c>
      <x:c r="AF811" s="11" t="n">
        <x:v>3442567</x:v>
      </x:c>
      <x:c r="AG811" s="11" t="n">
        <x:v>25325688</x:v>
      </x:c>
      <x:c r="AH811" s="11" t="n">
        <x:v>10045391</x:v>
      </x:c>
      <x:c r="AI811" s="11" t="n">
        <x:v>15280297</x:v>
      </x:c>
      <x:c r="AJ811" s="11" t="n">
        <x:v>1451953</x:v>
      </x:c>
      <x:c r="AK811" s="11" t="n">
        <x:v>1133958</x:v>
      </x:c>
      <x:c r="AL811" s="11" t="n">
        <x:v>0</x:v>
      </x:c>
      <x:c r="AM811" s="12" t="n">
        <x:v>1</x:v>
      </x:c>
      <x:c r="AN811" s="12" t="n">
        <x:v>1.2804292575210017</x:v>
      </x:c>
      <x:c r="AO811" s="11" t="n">
        <x:v>3650920</x:v>
      </x:c>
      <x:c r="AP811" s="11" t="n">
        <x:v>3419347</x:v>
      </x:c>
      <x:c r="AQ811" s="12" t="n">
        <x:v>0.9365713299661456</x:v>
      </x:c>
      <x:c r="AR811" s="11" t="n">
        <x:v>9706.073226544622</x:v>
      </x:c>
      <x:c r="AS811" s="11" t="n">
        <x:v>9505.439359267735</x:v>
      </x:c>
      <x:c r="AT811" s="11" t="n">
        <x:v>9242.990846681922</x:v>
      </x:c>
      <x:c r="AU811" s="11" t="n">
        <x:v>0</x:v>
      </x:c>
      <x:c r="AV811" s="11" t="n">
        <x:v>1468.9359267734553</x:v>
      </x:c>
      <x:c r="AW811" s="11" t="n">
        <x:v>1.974859788857727</x:v>
      </x:c>
      <x:c r="AX811" s="12" t="n">
        <x:v>0.7845654755403524</x:v>
      </x:c>
      <x:c r="AY811" s="11"/>
      <x:c r="AZ811" s="11"/>
      <x:c r="BA811" s="11"/>
      <x:c r="BB811" s="11"/>
      <x:c r="BC811" s="11"/>
      <x:c r="BD811" s="11"/>
      <x:c r="BE811" s="11"/>
      <x:c r="BF811" s="11"/>
      <x:c r="BG811" s="11"/>
      <x:c r="BH811" s="11"/>
      <x:c r="BI811" s="11"/>
      <x:c r="BJ811" s="11"/>
      <x:c r="BK811" s="12"/>
      <x:c r="BL811" s="12"/>
      <x:c r="BM811" s="12"/>
      <x:c r="BN811" s="12"/>
      <x:c r="BO811" s="12"/>
      <x:c r="BP811" s="12"/>
      <x:c r="BQ811" s="12"/>
      <x:c r="BR811" s="12"/>
      <x:c r="BS811" s="12"/>
      <x:c r="BT811" s="12"/>
      <x:c r="BU811" s="11" t="n">
        <x:v>9180</x:v>
      </x:c>
      <x:c r="BV811" s="11" t="n">
        <x:v>884797</x:v>
      </x:c>
      <x:c r="BW811" s="11" t="n">
        <x:v>92288</x:v>
      </x:c>
      <x:c r="BX811" s="11" t="n">
        <x:v>35189</x:v>
      </x:c>
      <x:c r="BY811" s="11" t="n">
        <x:v>0</x:v>
      </x:c>
      <x:c r="BZ811" s="11" t="n">
        <x:v>0</x:v>
      </x:c>
      <x:c r="CA811" s="11" t="n">
        <x:v>22532</x:v>
      </x:c>
      <x:c r="CB811" s="11" t="n">
        <x:v>59955</x:v>
      </x:c>
      <x:c r="CC811" s="11" t="n">
        <x:v>1049832</x:v>
      </x:c>
      <x:c r="CD811" s="11" t="n">
        <x:v>89223</x:v>
      </x:c>
      <x:c r="CE811" s="11" t="n">
        <x:v>50080</x:v>
      </x:c>
      <x:c r="CF811" s="11" t="n">
        <x:v>0</x:v>
      </x:c>
      <x:c r="CG811" s="11" t="n">
        <x:v>533687</x:v>
      </x:c>
      <x:c r="CH811" s="11" t="n">
        <x:v>961855</x:v>
      </x:c>
      <x:c r="CI811" s="11" t="n">
        <x:v>497280</x:v>
      </x:c>
      <x:c r="CJ811" s="11" t="n">
        <x:v>156933</x:v>
      </x:c>
      <x:c r="CK811" s="11" t="n">
        <x:v>104105</x:v>
      </x:c>
      <x:c r="CL811" s="11" t="n">
        <x:v>0</x:v>
      </x:c>
      <x:c r="CM811" s="11"/>
      <x:c r="CN811" s="11" t="n">
        <x:v>0</x:v>
      </x:c>
      <x:c r="CO811" s="11" t="n">
        <x:v>0</x:v>
      </x:c>
      <x:c r="CP811" s="8"/>
      <x:c r="CQ811" s="8"/>
    </x:row>
    <x:row r="812">
      <x:c r="A812" s="8" t="str">
        <x:v>Stewart|2023</x:v>
      </x:c>
      <x:c r="B812" s="8" t="str">
        <x:v>stewart-d</x:v>
      </x:c>
      <x:c r="C812" s="8" t="str">
        <x:v>Stewart</x:v>
      </x:c>
      <x:c r="D812" s="8" t="str">
        <x:v>Stewart</x:v>
      </x:c>
      <x:c r="E812" s="8" t="str">
        <x:v>D</x:v>
      </x:c>
      <x:c r="F812" s="8" t="str">
        <x:v>KIT</x:v>
      </x:c>
      <x:c r="G812" s="9" t="n">
        <x:v>2023</x:v>
      </x:c>
      <x:c r="H812" s="10" t="n">
        <x:v>438</x:v>
      </x:c>
      <x:c r="I812" s="8" t="str">
        <x:v>Under 5,000</x:v>
      </x:c>
      <x:c r="J812" s="11" t="n">
        <x:v>5111898</x:v>
      </x:c>
      <x:c r="K812" s="11" t="n">
        <x:v>4645862</x:v>
      </x:c>
      <x:c r="L812" s="11" t="n">
        <x:v>466036</x:v>
      </x:c>
      <x:c r="M812" s="12" t="n">
        <x:v>0.09116692077971822</x:v>
      </x:c>
      <x:c r="N812" s="11" t="n">
        <x:v>2602159</x:v>
      </x:c>
      <x:c r="O812" s="11" t="n">
        <x:v>1019077</x:v>
      </x:c>
      <x:c r="P812" s="11" t="n">
        <x:v>1280620</x:v>
      </x:c>
      <x:c r="Q812" s="11" t="n">
        <x:v>210042</x:v>
      </x:c>
      <x:c r="R812" s="11" t="n">
        <x:v>3870125</x:v>
      </x:c>
      <x:c r="S812" s="11" t="n">
        <x:v>739338</x:v>
      </x:c>
      <x:c r="T812" s="11" t="n">
        <x:v>6482151</x:v>
      </x:c>
      <x:c r="U812" s="11" t="n">
        <x:v>2739041</x:v>
      </x:c>
      <x:c r="V812" s="11" t="n">
        <x:v>4742970</x:v>
      </x:c>
      <x:c r="W812" s="11" t="n">
        <x:v>4705908</x:v>
      </x:c>
      <x:c r="X812" s="11" t="n">
        <x:v>641925</x:v>
      </x:c>
      <x:c r="Y812" s="11" t="n">
        <x:v>0</x:v>
      </x:c>
      <x:c r="Z812" s="11" t="n">
        <x:v>166328</x:v>
      </x:c>
      <x:c r="AA812" s="11" t="n">
        <x:v>475597</x:v>
      </x:c>
      <x:c r="AB812" s="11" t="n">
        <x:v>36399</x:v>
      </x:c>
      <x:c r="AC812" s="11" t="n">
        <x:v>202727</x:v>
      </x:c>
      <x:c r="AD812" s="11" t="n">
        <x:v>1142130</x:v>
      </x:c>
      <x:c r="AE812" s="11" t="n">
        <x:v>939403</x:v>
      </x:c>
      <x:c r="AF812" s="11" t="n">
        <x:v>4568519</x:v>
      </x:c>
      <x:c r="AG812" s="11" t="n">
        <x:v>25825936</x:v>
      </x:c>
      <x:c r="AH812" s="11" t="n">
        <x:v>10784729</x:v>
      </x:c>
      <x:c r="AI812" s="11" t="n">
        <x:v>15041207</x:v>
      </x:c>
      <x:c r="AJ812" s="11" t="n">
        <x:v>406381</x:v>
      </x:c>
      <x:c r="AK812" s="11" t="n">
        <x:v>1133958</x:v>
      </x:c>
      <x:c r="AL812" s="11" t="n">
        <x:v>0</x:v>
      </x:c>
      <x:c r="AM812" s="12" t="n">
        <x:v>1</x:v>
      </x:c>
      <x:c r="AN812" s="12" t="n">
        <x:v>0.35837394330301475</x:v>
      </x:c>
      <x:c r="AO812" s="11" t="n">
        <x:v>3772646</x:v>
      </x:c>
      <x:c r="AP812" s="11" t="n">
        <x:v>3606643</x:v>
      </x:c>
      <x:c r="AQ812" s="12" t="n">
        <x:v>0.9559982569263058</x:v>
      </x:c>
      <x:c r="AR812" s="11" t="n">
        <x:v>11671</x:v>
      </x:c>
      <x:c r="AS812" s="11" t="n">
        <x:v>10606.990867579909</x:v>
      </x:c>
      <x:c r="AT812" s="11" t="n">
        <x:v>10828.698630136987</x:v>
      </x:c>
      <x:c r="AU812" s="11" t="n">
        <x:v>10744.082191780823</x:v>
      </x:c>
      <x:c r="AV812" s="11" t="n">
        <x:v>1085.837899543379</x:v>
      </x:c>
      <x:c r="AW812" s="11" t="n">
        <x:v>2.3665768420406996</x:v>
      </x:c>
      <x:c r="AX812" s="12" t="n">
        <x:v>0.8225009412238536</x:v>
      </x:c>
      <x:c r="AY812" s="11"/>
      <x:c r="AZ812" s="11"/>
      <x:c r="BA812" s="11"/>
      <x:c r="BB812" s="11"/>
      <x:c r="BC812" s="11"/>
      <x:c r="BD812" s="11"/>
      <x:c r="BE812" s="11"/>
      <x:c r="BF812" s="11"/>
      <x:c r="BG812" s="11"/>
      <x:c r="BH812" s="11"/>
      <x:c r="BI812" s="11"/>
      <x:c r="BJ812" s="11"/>
      <x:c r="BK812" s="12"/>
      <x:c r="BL812" s="12"/>
      <x:c r="BM812" s="12"/>
      <x:c r="BN812" s="12"/>
      <x:c r="BO812" s="12"/>
      <x:c r="BP812" s="12"/>
      <x:c r="BQ812" s="12"/>
      <x:c r="BR812" s="12"/>
      <x:c r="BS812" s="12"/>
      <x:c r="BT812" s="12"/>
      <x:c r="BU812" s="11" t="n">
        <x:v>9693</x:v>
      </x:c>
      <x:c r="BV812" s="11" t="n">
        <x:v>1222509</x:v>
      </x:c>
      <x:c r="BW812" s="11" t="n">
        <x:v>48418</x:v>
      </x:c>
      <x:c r="BX812" s="11" t="n">
        <x:v>140712</x:v>
      </x:c>
      <x:c r="BY812" s="11" t="n">
        <x:v>0</x:v>
      </x:c>
      <x:c r="BZ812" s="11" t="n">
        <x:v>0</x:v>
      </x:c>
      <x:c r="CA812" s="11" t="n">
        <x:v>0</x:v>
      </x:c>
      <x:c r="CB812" s="11" t="n">
        <x:v>69330</x:v>
      </x:c>
      <x:c r="CC812" s="11" t="n">
        <x:v>1050004</x:v>
      </x:c>
      <x:c r="CD812" s="11" t="n">
        <x:v>76619</x:v>
      </x:c>
      <x:c r="CE812" s="11" t="n">
        <x:v>10502</x:v>
      </x:c>
      <x:c r="CF812" s="11" t="n">
        <x:v>0</x:v>
      </x:c>
      <x:c r="CG812" s="11" t="n">
        <x:v>544386</x:v>
      </x:c>
      <x:c r="CH812" s="11" t="n">
        <x:v>1258942</x:v>
      </x:c>
      <x:c r="CI812" s="11" t="n">
        <x:v>627684</x:v>
      </x:c>
      <x:c r="CJ812" s="11" t="n">
        <x:v>194084</x:v>
      </x:c>
      <x:c r="CK812" s="11" t="n">
        <x:v>144303</x:v>
      </x:c>
      <x:c r="CL812" s="11" t="n">
        <x:v>0</x:v>
      </x:c>
      <x:c r="CM812" s="11" t="n">
        <x:v>0</x:v>
      </x:c>
      <x:c r="CN812" s="11" t="n">
        <x:v>0</x:v>
      </x:c>
      <x:c r="CO812" s="11" t="n">
        <x:v>0</x:v>
      </x:c>
      <x:c r="CP812" s="8"/>
      <x:c r="CQ812" s="8"/>
    </x:row>
    <x:row r="813">
      <x:c r="A813" s="8" t="str">
        <x:v>Stewart|2024</x:v>
      </x:c>
      <x:c r="B813" s="8" t="str">
        <x:v>stewart-d</x:v>
      </x:c>
      <x:c r="C813" s="8" t="str">
        <x:v>Stewart</x:v>
      </x:c>
      <x:c r="D813" s="8" t="str">
        <x:v>Stewart</x:v>
      </x:c>
      <x:c r="E813" s="8" t="str">
        <x:v>D</x:v>
      </x:c>
      <x:c r="F813" s="8" t="str">
        <x:v>KIT</x:v>
      </x:c>
      <x:c r="G813" s="9" t="n">
        <x:v>2024</x:v>
      </x:c>
      <x:c r="H813" s="10" t="n">
        <x:v>438</x:v>
      </x:c>
      <x:c r="I813" s="8" t="str">
        <x:v>Under 5,000</x:v>
      </x:c>
      <x:c r="J813" s="11" t="n">
        <x:v>6675153</x:v>
      </x:c>
      <x:c r="K813" s="11" t="n">
        <x:v>4708161</x:v>
      </x:c>
      <x:c r="L813" s="11" t="n">
        <x:v>1966992</x:v>
      </x:c>
      <x:c r="M813" s="12" t="n">
        <x:v>0.29467369511979724</x:v>
      </x:c>
      <x:c r="N813" s="11" t="n">
        <x:v>3864641</x:v>
      </x:c>
      <x:c r="O813" s="11" t="n">
        <x:v>955166</x:v>
      </x:c>
      <x:c r="P813" s="11" t="n">
        <x:v>1573357</x:v>
      </x:c>
      <x:c r="Q813" s="11" t="n">
        <x:v>281989</x:v>
      </x:c>
      <x:c r="R813" s="11" t="n">
        <x:v>3933744</x:v>
      </x:c>
      <x:c r="S813" s="11" t="n">
        <x:v>740858</x:v>
      </x:c>
      <x:c r="T813" s="11" t="n">
        <x:v>8656566</x:v>
      </x:c>
      <x:c r="U813" s="11" t="n">
        <x:v>2560252</x:v>
      </x:c>
      <x:c r="V813" s="11" t="n">
        <x:v>6734211</x:v>
      </x:c>
      <x:c r="W813" s="11" t="n">
        <x:v>5694412</x:v>
      </x:c>
      <x:c r="X813" s="11" t="n">
        <x:v>475597</x:v>
      </x:c>
      <x:c r="Y813" s="11" t="n">
        <x:v>0</x:v>
      </x:c>
      <x:c r="Z813" s="11" t="n">
        <x:v>159332</x:v>
      </x:c>
      <x:c r="AA813" s="11" t="n">
        <x:v>316265</x:v>
      </x:c>
      <x:c r="AB813" s="11" t="n">
        <x:v>33559</x:v>
      </x:c>
      <x:c r="AC813" s="11" t="n">
        <x:v>192891</x:v>
      </x:c>
      <x:c r="AD813" s="11" t="n">
        <x:v>1313863</x:v>
      </x:c>
      <x:c r="AE813" s="11" t="n">
        <x:v>1120972</x:v>
      </x:c>
      <x:c r="AF813" s="11" t="n">
        <x:v>5255451</x:v>
      </x:c>
      <x:c r="AG813" s="11" t="n">
        <x:v>26538417</x:v>
      </x:c>
      <x:c r="AH813" s="11" t="n">
        <x:v>11525587</x:v>
      </x:c>
      <x:c r="AI813" s="11" t="n">
        <x:v>15012830</x:v>
      </x:c>
      <x:c r="AJ813" s="11" t="n">
        <x:v>712481</x:v>
      </x:c>
      <x:c r="AK813" s="11" t="n">
        <x:v>40133958</x:v>
      </x:c>
      <x:c r="AL813" s="11" t="n">
        <x:v>743105</x:v>
      </x:c>
      <x:c r="AM813" s="12" t="n">
        <x:v>0.9814843828759675</x:v>
      </x:c>
      <x:c r="AN813" s="12" t="n">
        <x:v>0.017752572522251604</x:v>
      </x:c>
      <x:c r="AO813" s="11" t="n">
        <x:v>5103789</x:v>
      </x:c>
      <x:c r="AP813" s="11" t="n">
        <x:v>4865799</x:v>
      </x:c>
      <x:c r="AQ813" s="12" t="n">
        <x:v>0.9533699375111314</x:v>
      </x:c>
      <x:c r="AR813" s="11" t="n">
        <x:v>15240.075342465754</x:v>
      </x:c>
      <x:c r="AS813" s="11" t="n">
        <x:v>10749.22602739726</x:v>
      </x:c>
      <x:c r="AT813" s="11" t="n">
        <x:v>15374.910958904109</x:v>
      </x:c>
      <x:c r="AU813" s="11" t="n">
        <x:v>13000.940639269407</x:v>
      </x:c>
      <x:c r="AV813" s="11" t="n">
        <x:v>722.066210045662</x:v>
      </x:c>
      <x:c r="AW813" s="11" t="n">
        <x:v>3.381138262952241</x:v>
      </x:c>
      <x:c r="AX813" s="12" t="n">
        <x:v>0.8531878894527055</x:v>
      </x:c>
      <x:c r="AY813" s="11" t="n">
        <x:v>4486.511144130758</x:v>
      </x:c>
      <x:c r="AZ813" s="11" t="n">
        <x:v>3546.5079302077975</x:v>
      </x:c>
      <x:c r="BA813" s="11" t="n">
        <x:v>3557.844717668488</x:v>
      </x:c>
      <x:c r="BB813" s="11" t="n">
        <x:v>2783.665107049771</x:v>
      </x:c>
      <x:c r="BC813" s="11" t="n">
        <x:v>5496.677373974208</x:v>
      </x:c>
      <x:c r="BD813" s="11" t="n">
        <x:v>2437.8724475115623</x:v>
      </x:c>
      <x:c r="BE813" s="11" t="n">
        <x:v>3386.4506393861893</x:v>
      </x:c>
      <x:c r="BF813" s="11" t="n">
        <x:v>1604.3462673977224</x:v>
      </x:c>
      <x:c r="BG813" s="11" t="n">
        <x:v>624.7436119532265</x:v>
      </x:c>
      <x:c r="BH813" s="11" t="n">
        <x:v>518.5374381567245</x:v>
      </x:c>
      <x:c r="BI813" s="11" t="n">
        <x:v>3.324657351485151</x:v>
      </x:c>
      <x:c r="BJ813" s="11" t="n">
        <x:v>1.7099330852451193</x:v>
      </x:c>
      <x:c r="BK813" s="12" t="n">
        <x:v>0.02521828600111612</x:v>
      </x:c>
      <x:c r="BL813" s="12" t="n">
        <x:v>0.02529861000232605</x:v>
      </x:c>
      <x:c r="BM813" s="12" t="n">
        <x:v>0.9816336034641139</x:v>
      </x:c>
      <x:c r="BN813" s="12" t="n">
        <x:v>0.9815511712696461</x:v>
      </x:c>
      <x:c r="BO813" s="12" t="n">
        <x:v>0.8531878894527055</x:v>
      </x:c>
      <x:c r="BP813" s="12" t="n">
        <x:v>0.8619101997275483</x:v>
      </x:c>
      <x:c r="BQ813" s="12" t="n">
        <x:v>0.9614729661922712</x:v>
      </x:c>
      <x:c r="BR813" s="12" t="n">
        <x:v>0.9623635142836453</x:v>
      </x:c>
      <x:c r="BS813" s="12" t="n">
        <x:v>0.23352896680225554</x:v>
      </x:c>
      <x:c r="BT813" s="12" t="n">
        <x:v>0.19976549769108282</x:v>
      </x:c>
      <x:c r="BU813" s="11" t="n">
        <x:v>137267</x:v>
      </x:c>
      <x:c r="BV813" s="11" t="n">
        <x:v>1426529</x:v>
      </x:c>
      <x:c r="BW813" s="11" t="n">
        <x:v>9561</x:v>
      </x:c>
      <x:c r="BX813" s="11" t="n">
        <x:v>180241</x:v>
      </x:c>
      <x:c r="BY813" s="11" t="n">
        <x:v>0</x:v>
      </x:c>
      <x:c r="BZ813" s="11" t="n">
        <x:v>0</x:v>
      </x:c>
      <x:c r="CA813" s="11" t="n">
        <x:v>0</x:v>
      </x:c>
      <x:c r="CB813" s="11" t="n">
        <x:v>101748</x:v>
      </x:c>
      <x:c r="CC813" s="11" t="n">
        <x:v>1026278</x:v>
      </x:c>
      <x:c r="CD813" s="11" t="n">
        <x:v>81795</x:v>
      </x:c>
      <x:c r="CE813" s="11" t="n">
        <x:v>79104</x:v>
      </x:c>
      <x:c r="CF813" s="11" t="n">
        <x:v>0</x:v>
      </x:c>
      <x:c r="CG813" s="11" t="n">
        <x:v>587164</x:v>
      </x:c>
      <x:c r="CH813" s="11" t="n">
        <x:v>1299646</x:v>
      </x:c>
      <x:c r="CI813" s="11" t="n">
        <x:v>559243</x:v>
      </x:c>
      <x:c r="CJ813" s="11" t="n">
        <x:v>203234</x:v>
      </x:c>
      <x:c r="CK813" s="11" t="n">
        <x:v>126718</x:v>
      </x:c>
      <x:c r="CL813" s="11" t="n">
        <x:v>0</x:v>
      </x:c>
      <x:c r="CM813" s="11" t="n">
        <x:v>4121</x:v>
      </x:c>
      <x:c r="CN813" s="11" t="n">
        <x:v>0</x:v>
      </x:c>
      <x:c r="CO813" s="11" t="n">
        <x:v>0</x:v>
      </x:c>
      <x:c r="CP813" s="8"/>
      <x:c r="CQ813" s="8"/>
    </x:row>
    <x:row r="814">
      <x:c r="A814" s="8" t="str">
        <x:v>Summerland|2019</x:v>
      </x:c>
      <x:c r="B814" s="8" t="str">
        <x:v>summerland-d</x:v>
      </x:c>
      <x:c r="C814" s="8" t="str">
        <x:v>Summerland</x:v>
      </x:c>
      <x:c r="D814" s="8" t="str">
        <x:v>Summerland</x:v>
      </x:c>
      <x:c r="E814" s="8" t="str">
        <x:v>D</x:v>
      </x:c>
      <x:c r="F814" s="8" t="str">
        <x:v>OKS</x:v>
      </x:c>
      <x:c r="G814" s="9" t="n">
        <x:v>2019</x:v>
      </x:c>
      <x:c r="H814" s="10" t="n">
        <x:v>12354</x:v>
      </x:c>
      <x:c r="I814" s="8" t="str">
        <x:v>5,000 to 19,999</x:v>
      </x:c>
      <x:c r="J814" s="11" t="n">
        <x:v>38627151</x:v>
      </x:c>
      <x:c r="K814" s="11" t="n">
        <x:v>32033316</x:v>
      </x:c>
      <x:c r="L814" s="11" t="n">
        <x:v>6593835</x:v>
      </x:c>
      <x:c r="M814" s="12" t="n">
        <x:v>0.1707046683303151</x:v>
      </x:c>
      <x:c r="N814" s="11" t="n">
        <x:v>11544813</x:v>
      </x:c>
      <x:c r="O814" s="11" t="n">
        <x:v>20698423</x:v>
      </x:c>
      <x:c r="P814" s="11" t="n">
        <x:v>2959365</x:v>
      </x:c>
      <x:c r="Q814" s="11" t="n">
        <x:v>3424550</x:v>
      </x:c>
      <x:c r="R814" s="11" t="n">
        <x:v>27066458</x:v>
      </x:c>
      <x:c r="S814" s="11" t="n">
        <x:v>4034262</x:v>
      </x:c>
      <x:c r="T814" s="11" t="n">
        <x:v>28227077</x:v>
      </x:c>
      <x:c r="U814" s="11" t="n">
        <x:v>29013655</x:v>
      </x:c>
      <x:c r="V814" s="11" t="n">
        <x:v>4321252</x:v>
      </x:c>
      <x:c r="W814" s="11" t="n">
        <x:v>4769480</x:v>
      </x:c>
      <x:c r="X814" s="11" t="n">
        <x:v>17507422</x:v>
      </x:c>
      <x:c r="Y814" s="11" t="n">
        <x:v>0</x:v>
      </x:c>
      <x:c r="Z814" s="11" t="n">
        <x:v>1197681</x:v>
      </x:c>
      <x:c r="AA814" s="11" t="n">
        <x:v>15409866</x:v>
      </x:c>
      <x:c r="AB814" s="11" t="n">
        <x:v>932596</x:v>
      </x:c>
      <x:c r="AC814" s="11" t="n">
        <x:v>2130277</x:v>
      </x:c>
      <x:c r="AD814" s="11" t="n">
        <x:v>8371491</x:v>
      </x:c>
      <x:c r="AE814" s="11" t="n">
        <x:v>6241214</x:v>
      </x:c>
      <x:c r="AF814" s="11" t="n">
        <x:v>33485964</x:v>
      </x:c>
      <x:c r="AG814" s="11" t="n">
        <x:v>183309146</x:v>
      </x:c>
      <x:c r="AH814" s="11" t="n">
        <x:v>69470721</x:v>
      </x:c>
      <x:c r="AI814" s="11" t="n">
        <x:v>113838425</x:v>
      </x:c>
      <x:c r="AJ814" s="11" t="n">
        <x:v>4767330</x:v>
      </x:c>
      <x:c r="AK814" s="11" t="n">
        <x:v>324108922</x:v>
      </x:c>
      <x:c r="AL814" s="11" t="n">
        <x:v>5634676</x:v>
      </x:c>
      <x:c r="AM814" s="12" t="n">
        <x:v>0.9826148692074573</x:v>
      </x:c>
      <x:c r="AN814" s="12" t="n">
        <x:v>0.014709036612080676</x:v>
      </x:c>
      <x:c r="AO814" s="11" t="n">
        <x:v>19567458</x:v>
      </x:c>
      <x:c r="AP814" s="11" t="n">
        <x:v>19004044</x:v>
      </x:c>
      <x:c r="AQ814" s="12" t="n">
        <x:v>0.9712065818666891</x:v>
      </x:c>
      <x:c r="AR814" s="11" t="n">
        <x:v>3126.6918406993686</x:v>
      </x:c>
      <x:c r="AS814" s="11" t="n">
        <x:v>2592.9509470616804</x:v>
      </x:c>
      <x:c r="AT814" s="11" t="n">
        <x:v>349.7856564675409</x:v>
      </x:c>
      <x:c r="AU814" s="11" t="n">
        <x:v>386.06767039015705</x:v>
      </x:c>
      <x:c r="AV814" s="11" t="n">
        <x:v>1247.3584264205924</x:v>
      </x:c>
      <x:c r="AW814" s="11" t="n">
        <x:v>0.9728893860494309</x:v>
      </x:c>
      <x:c r="AX814" s="12" t="n">
        <x:v>0.7455319488487774</x:v>
      </x:c>
      <x:c r="AY814" s="11"/>
      <x:c r="AZ814" s="11"/>
      <x:c r="BA814" s="11"/>
      <x:c r="BB814" s="11"/>
      <x:c r="BC814" s="11"/>
      <x:c r="BD814" s="11"/>
      <x:c r="BE814" s="11"/>
      <x:c r="BF814" s="11"/>
      <x:c r="BG814" s="11"/>
      <x:c r="BH814" s="11"/>
      <x:c r="BI814" s="11"/>
      <x:c r="BJ814" s="11"/>
      <x:c r="BK814" s="12"/>
      <x:c r="BL814" s="12"/>
      <x:c r="BM814" s="12"/>
      <x:c r="BN814" s="12"/>
      <x:c r="BO814" s="12"/>
      <x:c r="BP814" s="12"/>
      <x:c r="BQ814" s="12"/>
      <x:c r="BR814" s="12"/>
      <x:c r="BS814" s="12"/>
      <x:c r="BT814" s="12"/>
      <x:c r="BU814" s="11" t="n">
        <x:v>0</x:v>
      </x:c>
      <x:c r="BV814" s="11" t="n">
        <x:v>1553117</x:v>
      </x:c>
      <x:c r="BW814" s="11" t="n">
        <x:v>1406248</x:v>
      </x:c>
      <x:c r="BX814" s="11" t="n">
        <x:v>1245705</x:v>
      </x:c>
      <x:c r="BY814" s="11" t="n">
        <x:v>0</x:v>
      </x:c>
      <x:c r="BZ814" s="11" t="n">
        <x:v>967631</x:v>
      </x:c>
      <x:c r="CA814" s="11" t="n">
        <x:v>777079</x:v>
      </x:c>
      <x:c r="CB814" s="11" t="n">
        <x:v>434135</x:v>
      </x:c>
      <x:c r="CC814" s="11" t="n">
        <x:v>1884075</x:v>
      </x:c>
      <x:c r="CD814" s="11" t="n">
        <x:v>2670346</x:v>
      </x:c>
      <x:c r="CE814" s="11" t="n">
        <x:v>2180781</x:v>
      </x:c>
      <x:c r="CF814" s="11" t="n">
        <x:v>81267</x:v>
      </x:c>
      <x:c r="CG814" s="11" t="n">
        <x:v>773295</x:v>
      </x:c>
      <x:c r="CH814" s="11" t="n">
        <x:v>2354327</x:v>
      </x:c>
      <x:c r="CI814" s="11" t="n">
        <x:v>2768233</x:v>
      </x:c>
      <x:c r="CJ814" s="11" t="n">
        <x:v>3363189</x:v>
      </x:c>
      <x:c r="CK814" s="11" t="n">
        <x:v>1654649</x:v>
      </x:c>
      <x:c r="CL814" s="11" t="n">
        <x:v>10268892</x:v>
      </x:c>
      <x:c r="CM814" s="11"/>
      <x:c r="CN814" s="11" t="n">
        <x:v>0</x:v>
      </x:c>
      <x:c r="CO814" s="11" t="n">
        <x:v>0</x:v>
      </x:c>
      <x:c r="CP814" s="8"/>
      <x:c r="CQ814" s="8"/>
    </x:row>
    <x:row r="815">
      <x:c r="A815" s="8" t="str">
        <x:v>Summerland|2020</x:v>
      </x:c>
      <x:c r="B815" s="8" t="str">
        <x:v>summerland-d</x:v>
      </x:c>
      <x:c r="C815" s="8" t="str">
        <x:v>Summerland</x:v>
      </x:c>
      <x:c r="D815" s="8" t="str">
        <x:v>Summerland</x:v>
      </x:c>
      <x:c r="E815" s="8" t="str">
        <x:v>D</x:v>
      </x:c>
      <x:c r="F815" s="8" t="str">
        <x:v>OKS</x:v>
      </x:c>
      <x:c r="G815" s="9" t="n">
        <x:v>2020</x:v>
      </x:c>
      <x:c r="H815" s="10" t="n">
        <x:v>12642</x:v>
      </x:c>
      <x:c r="I815" s="8" t="str">
        <x:v>5,000 to 19,999</x:v>
      </x:c>
      <x:c r="J815" s="11" t="n">
        <x:v>40112787</x:v>
      </x:c>
      <x:c r="K815" s="11" t="n">
        <x:v>33594597</x:v>
      </x:c>
      <x:c r="L815" s="11" t="n">
        <x:v>6518190</x:v>
      </x:c>
      <x:c r="M815" s="12" t="n">
        <x:v>0.16249656250511837</x:v>
      </x:c>
      <x:c r="N815" s="11" t="n">
        <x:v>12034463</x:v>
      </x:c>
      <x:c r="O815" s="11" t="n">
        <x:v>20818316</x:v>
      </x:c>
      <x:c r="P815" s="11" t="n">
        <x:v>4884598</x:v>
      </x:c>
      <x:c r="Q815" s="11" t="n">
        <x:v>2375410</x:v>
      </x:c>
      <x:c r="R815" s="11" t="n">
        <x:v>28579493</x:v>
      </x:c>
      <x:c r="S815" s="11" t="n">
        <x:v>4160468</x:v>
      </x:c>
      <x:c r="T815" s="11" t="n">
        <x:v>34160147</x:v>
      </x:c>
      <x:c r="U815" s="11" t="n">
        <x:v>30924182</x:v>
      </x:c>
      <x:c r="V815" s="11" t="n">
        <x:v>8462645</x:v>
      </x:c>
      <x:c r="W815" s="11" t="n">
        <x:v>5261751</x:v>
      </x:c>
      <x:c r="X815" s="11" t="n">
        <x:v>15409866</x:v>
      </x:c>
      <x:c r="Y815" s="11" t="n">
        <x:v>0</x:v>
      </x:c>
      <x:c r="Z815" s="11" t="n">
        <x:v>1131383</x:v>
      </x:c>
      <x:c r="AA815" s="11" t="n">
        <x:v>13380793</x:v>
      </x:c>
      <x:c r="AB815" s="11" t="n">
        <x:v>854636</x:v>
      </x:c>
      <x:c r="AC815" s="11" t="n">
        <x:v>1986019</x:v>
      </x:c>
      <x:c r="AD815" s="11" t="n">
        <x:v>8479337</x:v>
      </x:c>
      <x:c r="AE815" s="11" t="n">
        <x:v>6493318</x:v>
      </x:c>
      <x:c r="AF815" s="11" t="n">
        <x:v>33917349</x:v>
      </x:c>
      <x:c r="AG815" s="11" t="n">
        <x:v>189202358</x:v>
      </x:c>
      <x:c r="AH815" s="11" t="n">
        <x:v>73402337</x:v>
      </x:c>
      <x:c r="AI815" s="11" t="n">
        <x:v>115800021</x:v>
      </x:c>
      <x:c r="AJ815" s="11" t="n">
        <x:v>6122064</x:v>
      </x:c>
      <x:c r="AK815" s="11" t="n">
        <x:v>451562644</x:v>
      </x:c>
      <x:c r="AL815" s="11" t="n">
        <x:v>4316145</x:v>
      </x:c>
      <x:c r="AM815" s="12" t="n">
        <x:v>0.990441758065355</x:v>
      </x:c>
      <x:c r="AN815" s="12" t="n">
        <x:v>0.013557507648927665</x:v>
      </x:c>
      <x:c r="AO815" s="11" t="n">
        <x:v>20026228</x:v>
      </x:c>
      <x:c r="AP815" s="11" t="n">
        <x:v>19478493</x:v>
      </x:c>
      <x:c r="AQ815" s="12" t="n">
        <x:v>0.9726491179467247</x:v>
      </x:c>
      <x:c r="AR815" s="11" t="n">
        <x:v>3172.9779307071667</x:v>
      </x:c>
      <x:c r="AS815" s="11" t="n">
        <x:v>2657.379924062648</x:v>
      </x:c>
      <x:c r="AT815" s="11" t="n">
        <x:v>669.4071349470021</x:v>
      </x:c>
      <x:c r="AU815" s="11" t="n">
        <x:v>416.21191267204557</x:v>
      </x:c>
      <x:c r="AV815" s="11" t="n">
        <x:v>1058.4395665242841</x:v>
      </x:c>
      <x:c r="AW815" s="11" t="n">
        <x:v>1.1046418948122865</x:v>
      </x:c>
      <x:c r="AX815" s="12" t="n">
        <x:v>0.7657813340830775</x:v>
      </x:c>
      <x:c r="AY815" s="11"/>
      <x:c r="AZ815" s="11"/>
      <x:c r="BA815" s="11"/>
      <x:c r="BB815" s="11"/>
      <x:c r="BC815" s="11"/>
      <x:c r="BD815" s="11"/>
      <x:c r="BE815" s="11"/>
      <x:c r="BF815" s="11"/>
      <x:c r="BG815" s="11"/>
      <x:c r="BH815" s="11"/>
      <x:c r="BI815" s="11"/>
      <x:c r="BJ815" s="11"/>
      <x:c r="BK815" s="12"/>
      <x:c r="BL815" s="12"/>
      <x:c r="BM815" s="12"/>
      <x:c r="BN815" s="12"/>
      <x:c r="BO815" s="12"/>
      <x:c r="BP815" s="12"/>
      <x:c r="BQ815" s="12"/>
      <x:c r="BR815" s="12"/>
      <x:c r="BS815" s="12"/>
      <x:c r="BT815" s="12"/>
      <x:c r="BU815" s="11" t="n">
        <x:v>0</x:v>
      </x:c>
      <x:c r="BV815" s="11" t="n">
        <x:v>4051047</x:v>
      </x:c>
      <x:c r="BW815" s="11" t="n">
        <x:v>833551</x:v>
      </x:c>
      <x:c r="BX815" s="11" t="n">
        <x:v>1234261</x:v>
      </x:c>
      <x:c r="BY815" s="11" t="n">
        <x:v>0</x:v>
      </x:c>
      <x:c r="BZ815" s="11" t="n">
        <x:v>871225</x:v>
      </x:c>
      <x:c r="CA815" s="11" t="n">
        <x:v>10716</x:v>
      </x:c>
      <x:c r="CB815" s="11" t="n">
        <x:v>259208</x:v>
      </x:c>
      <x:c r="CC815" s="11" t="n">
        <x:v>1610314</x:v>
      </x:c>
      <x:c r="CD815" s="11" t="n">
        <x:v>2802515</x:v>
      </x:c>
      <x:c r="CE815" s="11" t="n">
        <x:v>3296037</x:v>
      </x:c>
      <x:c r="CF815" s="11" t="n">
        <x:v>83841</x:v>
      </x:c>
      <x:c r="CG815" s="11" t="n">
        <x:v>676468</x:v>
      </x:c>
      <x:c r="CH815" s="11" t="n">
        <x:v>1998519</x:v>
      </x:c>
      <x:c r="CI815" s="11" t="n">
        <x:v>2269664</x:v>
      </x:c>
      <x:c r="CJ815" s="11" t="n">
        <x:v>3710654</x:v>
      </x:c>
      <x:c r="CK815" s="11" t="n">
        <x:v>1797217</x:v>
      </x:c>
      <x:c r="CL815" s="11" t="n">
        <x:v>11188900</x:v>
      </x:c>
      <x:c r="CM815" s="11"/>
      <x:c r="CN815" s="11" t="n">
        <x:v>0</x:v>
      </x:c>
      <x:c r="CO815" s="11" t="n">
        <x:v>0</x:v>
      </x:c>
      <x:c r="CP815" s="8"/>
      <x:c r="CQ815" s="8"/>
    </x:row>
    <x:row r="816">
      <x:c r="A816" s="8" t="str">
        <x:v>Summerland|2021</x:v>
      </x:c>
      <x:c r="B816" s="8" t="str">
        <x:v>summerland-d</x:v>
      </x:c>
      <x:c r="C816" s="8" t="str">
        <x:v>Summerland</x:v>
      </x:c>
      <x:c r="D816" s="8" t="str">
        <x:v>Summerland</x:v>
      </x:c>
      <x:c r="E816" s="8" t="str">
        <x:v>D</x:v>
      </x:c>
      <x:c r="F816" s="8" t="str">
        <x:v>OKS</x:v>
      </x:c>
      <x:c r="G816" s="9" t="n">
        <x:v>2021</x:v>
      </x:c>
      <x:c r="H816" s="10" t="n">
        <x:v>12877</x:v>
      </x:c>
      <x:c r="I816" s="8" t="str">
        <x:v>5,000 to 19,999</x:v>
      </x:c>
      <x:c r="J816" s="11" t="n">
        <x:v>42947507</x:v>
      </x:c>
      <x:c r="K816" s="11" t="n">
        <x:v>31813322</x:v>
      </x:c>
      <x:c r="L816" s="11" t="n">
        <x:v>11134185</x:v>
      </x:c>
      <x:c r="M816" s="12" t="n">
        <x:v>0.25925102008831385</x:v>
      </x:c>
      <x:c r="N816" s="11" t="n">
        <x:v>12368281</x:v>
      </x:c>
      <x:c r="O816" s="11" t="n">
        <x:v>23188121</x:v>
      </x:c>
      <x:c r="P816" s="11" t="n">
        <x:v>4597813</x:v>
      </x:c>
      <x:c r="Q816" s="11" t="n">
        <x:v>2793292</x:v>
      </x:c>
      <x:c r="R816" s="11" t="n">
        <x:v>26849109</x:v>
      </x:c>
      <x:c r="S816" s="11" t="n">
        <x:v>4253753</x:v>
      </x:c>
      <x:c r="T816" s="11" t="n">
        <x:v>41208914</x:v>
      </x:c>
      <x:c r="U816" s="11" t="n">
        <x:v>31035701</x:v>
      </x:c>
      <x:c r="V816" s="11" t="n">
        <x:v>17381556</x:v>
      </x:c>
      <x:c r="W816" s="11" t="n">
        <x:v>6279144</x:v>
      </x:c>
      <x:c r="X816" s="11" t="n">
        <x:v>13380793</x:v>
      </x:c>
      <x:c r="Y816" s="11" t="n">
        <x:v>0</x:v>
      </x:c>
      <x:c r="Z816" s="11" t="n">
        <x:v>1164853</x:v>
      </x:c>
      <x:c r="AA816" s="11" t="n">
        <x:v>11260255</x:v>
      </x:c>
      <x:c r="AB816" s="11" t="n">
        <x:v>710460</x:v>
      </x:c>
      <x:c r="AC816" s="11" t="n">
        <x:v>1875313</x:v>
      </x:c>
      <x:c r="AD816" s="11" t="n">
        <x:v>9128703</x:v>
      </x:c>
      <x:c r="AE816" s="11" t="n">
        <x:v>7253390</x:v>
      </x:c>
      <x:c r="AF816" s="11" t="n">
        <x:v>36514810</x:v>
      </x:c>
      <x:c r="AG816" s="11" t="n">
        <x:v>195485134</x:v>
      </x:c>
      <x:c r="AH816" s="11" t="n">
        <x:v>77593404</x:v>
      </x:c>
      <x:c r="AI816" s="11" t="n">
        <x:v>117891730</x:v>
      </x:c>
      <x:c r="AJ816" s="11" t="n">
        <x:v>6345462</x:v>
      </x:c>
      <x:c r="AK816" s="11" t="n">
        <x:v>449999544</x:v>
      </x:c>
      <x:c r="AL816" s="11" t="n">
        <x:v>7799714</x:v>
      </x:c>
      <x:c r="AM816" s="12" t="n">
        <x:v>0.982667284658404</x:v>
      </x:c>
      <x:c r="AN816" s="12" t="n">
        <x:v>0.014101040955721502</x:v>
      </x:c>
      <x:c r="AO816" s="11" t="n">
        <x:v>20783503</x:v>
      </x:c>
      <x:c r="AP816" s="11" t="n">
        <x:v>20406117</x:v>
      </x:c>
      <x:c r="AQ816" s="12" t="n">
        <x:v>0.981842040776283</x:v>
      </x:c>
      <x:c r="AR816" s="11" t="n">
        <x:v>3335.2106080608837</x:v>
      </x:c>
      <x:c r="AS816" s="11" t="n">
        <x:v>2470.5538557117343</x:v>
      </x:c>
      <x:c r="AT816" s="11" t="n">
        <x:v>1349.814087132096</x:v>
      </x:c>
      <x:c r="AU816" s="11" t="n">
        <x:v>487.6247573192514</x:v>
      </x:c>
      <x:c r="AV816" s="11" t="n">
        <x:v>874.4470761823407</x:v>
      </x:c>
      <x:c r="AW816" s="11" t="n">
        <x:v>1.3277906627596392</x:v>
      </x:c>
      <x:c r="AX816" s="12" t="n">
        <x:v>0.7945696119152962</x:v>
      </x:c>
      <x:c r="AY816" s="11"/>
      <x:c r="AZ816" s="11"/>
      <x:c r="BA816" s="11"/>
      <x:c r="BB816" s="11"/>
      <x:c r="BC816" s="11"/>
      <x:c r="BD816" s="11"/>
      <x:c r="BE816" s="11"/>
      <x:c r="BF816" s="11"/>
      <x:c r="BG816" s="11"/>
      <x:c r="BH816" s="11"/>
      <x:c r="BI816" s="11"/>
      <x:c r="BJ816" s="11"/>
      <x:c r="BK816" s="12"/>
      <x:c r="BL816" s="12"/>
      <x:c r="BM816" s="12"/>
      <x:c r="BN816" s="12"/>
      <x:c r="BO816" s="12"/>
      <x:c r="BP816" s="12"/>
      <x:c r="BQ816" s="12"/>
      <x:c r="BR816" s="12"/>
      <x:c r="BS816" s="12"/>
      <x:c r="BT816" s="12"/>
      <x:c r="BU816" s="11" t="n">
        <x:v>0</x:v>
      </x:c>
      <x:c r="BV816" s="11" t="n">
        <x:v>3205768</x:v>
      </x:c>
      <x:c r="BW816" s="11" t="n">
        <x:v>1392045</x:v>
      </x:c>
      <x:c r="BX816" s="11" t="n">
        <x:v>1132589</x:v>
      </x:c>
      <x:c r="BY816" s="11" t="n">
        <x:v>0</x:v>
      </x:c>
      <x:c r="BZ816" s="11" t="n">
        <x:v>1302756</x:v>
      </x:c>
      <x:c r="CA816" s="11" t="n">
        <x:v>37500</x:v>
      </x:c>
      <x:c r="CB816" s="11" t="n">
        <x:v>320447</x:v>
      </x:c>
      <x:c r="CC816" s="11" t="n">
        <x:v>1783243</x:v>
      </x:c>
      <x:c r="CD816" s="11" t="n">
        <x:v>3033719</x:v>
      </x:c>
      <x:c r="CE816" s="11" t="n">
        <x:v>-71988</x:v>
      </x:c>
      <x:c r="CF816" s="11" t="n">
        <x:v>85105</x:v>
      </x:c>
      <x:c r="CG816" s="11" t="n">
        <x:v>812039</x:v>
      </x:c>
      <x:c r="CH816" s="11" t="n">
        <x:v>1881686</x:v>
      </x:c>
      <x:c r="CI816" s="11" t="n">
        <x:v>2628144</x:v>
      </x:c>
      <x:c r="CJ816" s="11" t="n">
        <x:v>3754087</x:v>
      </x:c>
      <x:c r="CK816" s="11" t="n">
        <x:v>1833345</x:v>
      </x:c>
      <x:c r="CL816" s="11" t="n">
        <x:v>11820189</x:v>
      </x:c>
      <x:c r="CM816" s="11"/>
      <x:c r="CN816" s="11" t="n">
        <x:v>0</x:v>
      </x:c>
      <x:c r="CO816" s="11" t="n">
        <x:v>0</x:v>
      </x:c>
      <x:c r="CP816" s="8"/>
      <x:c r="CQ816" s="8"/>
    </x:row>
    <x:row r="817">
      <x:c r="A817" s="8" t="str">
        <x:v>Summerland|2022</x:v>
      </x:c>
      <x:c r="B817" s="8" t="str">
        <x:v>summerland-d</x:v>
      </x:c>
      <x:c r="C817" s="8" t="str">
        <x:v>Summerland</x:v>
      </x:c>
      <x:c r="D817" s="8" t="str">
        <x:v>Summerland</x:v>
      </x:c>
      <x:c r="E817" s="8" t="str">
        <x:v>D</x:v>
      </x:c>
      <x:c r="F817" s="8" t="str">
        <x:v>OKS</x:v>
      </x:c>
      <x:c r="G817" s="9" t="n">
        <x:v>2022</x:v>
      </x:c>
      <x:c r="H817" s="10" t="n">
        <x:v>12918</x:v>
      </x:c>
      <x:c r="I817" s="8" t="str">
        <x:v>5,000 to 19,999</x:v>
      </x:c>
      <x:c r="J817" s="11" t="n">
        <x:v>50463444</x:v>
      </x:c>
      <x:c r="K817" s="11" t="n">
        <x:v>36071440</x:v>
      </x:c>
      <x:c r="L817" s="11" t="n">
        <x:v>14392004</x:v>
      </x:c>
      <x:c r="M817" s="12" t="n">
        <x:v>0.2851966266907982</x:v>
      </x:c>
      <x:c r="N817" s="11" t="n">
        <x:v>12948818</x:v>
      </x:c>
      <x:c r="O817" s="11" t="n">
        <x:v>24490304</x:v>
      </x:c>
      <x:c r="P817" s="11" t="n">
        <x:v>5005428</x:v>
      </x:c>
      <x:c r="Q817" s="11" t="n">
        <x:v>8018894</x:v>
      </x:c>
      <x:c r="R817" s="11" t="n">
        <x:v>30975491</x:v>
      </x:c>
      <x:c r="S817" s="11" t="n">
        <x:v>4388160</x:v>
      </x:c>
      <x:c r="T817" s="11" t="n">
        <x:v>43608151</x:v>
      </x:c>
      <x:c r="U817" s="11" t="n">
        <x:v>33998140</x:v>
      </x:c>
      <x:c r="V817" s="11" t="n">
        <x:v>17533992</x:v>
      </x:c>
      <x:c r="W817" s="11" t="n">
        <x:v>11151694</x:v>
      </x:c>
      <x:c r="X817" s="11" t="n">
        <x:v>11260255</x:v>
      </x:c>
      <x:c r="Y817" s="11" t="n">
        <x:v>6464500</x:v>
      </x:c>
      <x:c r="Z817" s="11" t="n">
        <x:v>1144548</x:v>
      </x:c>
      <x:c r="AA817" s="11" t="n">
        <x:v>15594532</x:v>
      </x:c>
      <x:c r="AB817" s="11" t="n">
        <x:v>707789</x:v>
      </x:c>
      <x:c r="AC817" s="11" t="n">
        <x:v>1852337</x:v>
      </x:c>
      <x:c r="AD817" s="11" t="n">
        <x:v>9577086</x:v>
      </x:c>
      <x:c r="AE817" s="11" t="n">
        <x:v>7724749</x:v>
      </x:c>
      <x:c r="AF817" s="11" t="n">
        <x:v>38308344</x:v>
      </x:c>
      <x:c r="AG817" s="11" t="n">
        <x:v>213045612</x:v>
      </x:c>
      <x:c r="AH817" s="11" t="n">
        <x:v>81860311</x:v>
      </x:c>
      <x:c r="AI817" s="11" t="n">
        <x:v>131185301</x:v>
      </x:c>
      <x:c r="AJ817" s="11" t="n">
        <x:v>17686944</x:v>
      </x:c>
      <x:c r="AK817" s="11" t="n">
        <x:v>511723715</x:v>
      </x:c>
      <x:c r="AL817" s="11" t="n">
        <x:v>8757183</x:v>
      </x:c>
      <x:c r="AM817" s="12" t="n">
        <x:v>0.9828868923927045</x:v>
      </x:c>
      <x:c r="AN817" s="12" t="n">
        <x:v>0.03456346360652838</x:v>
      </x:c>
      <x:c r="AO817" s="11" t="n">
        <x:v>21773249</x:v>
      </x:c>
      <x:c r="AP817" s="11" t="n">
        <x:v>21224591</x:v>
      </x:c>
      <x:c r="AQ817" s="12" t="n">
        <x:v>0.9748012802315354</x:v>
      </x:c>
      <x:c r="AR817" s="11" t="n">
        <x:v>3906.4440315838365</x:v>
      </x:c>
      <x:c r="AS817" s="11" t="n">
        <x:v>2792.3393714197246</x:v>
      </x:c>
      <x:c r="AT817" s="11" t="n">
        <x:v>1357.3302368787738</x:v>
      </x:c>
      <x:c r="AU817" s="11" t="n">
        <x:v>863.2678433193993</x:v>
      </x:c>
      <x:c r="AV817" s="11" t="n">
        <x:v>1207.1939928781544</x:v>
      </x:c>
      <x:c r="AW817" s="11" t="n">
        <x:v>1.2826628456733222</x:v>
      </x:c>
      <x:c r="AX817" s="12" t="n">
        <x:v>0.806586575499061</x:v>
      </x:c>
      <x:c r="AY817" s="11"/>
      <x:c r="AZ817" s="11"/>
      <x:c r="BA817" s="11"/>
      <x:c r="BB817" s="11"/>
      <x:c r="BC817" s="11"/>
      <x:c r="BD817" s="11"/>
      <x:c r="BE817" s="11"/>
      <x:c r="BF817" s="11"/>
      <x:c r="BG817" s="11"/>
      <x:c r="BH817" s="11"/>
      <x:c r="BI817" s="11"/>
      <x:c r="BJ817" s="11"/>
      <x:c r="BK817" s="12"/>
      <x:c r="BL817" s="12"/>
      <x:c r="BM817" s="12"/>
      <x:c r="BN817" s="12"/>
      <x:c r="BO817" s="12"/>
      <x:c r="BP817" s="12"/>
      <x:c r="BQ817" s="12"/>
      <x:c r="BR817" s="12"/>
      <x:c r="BS817" s="12"/>
      <x:c r="BT817" s="12"/>
      <x:c r="BU817" s="11" t="n">
        <x:v>0</x:v>
      </x:c>
      <x:c r="BV817" s="11" t="n">
        <x:v>4080997</x:v>
      </x:c>
      <x:c r="BW817" s="11" t="n">
        <x:v>924431</x:v>
      </x:c>
      <x:c r="BX817" s="11" t="n">
        <x:v>1357005</x:v>
      </x:c>
      <x:c r="BY817" s="11" t="n">
        <x:v>0</x:v>
      </x:c>
      <x:c r="BZ817" s="11" t="n">
        <x:v>6551121</x:v>
      </x:c>
      <x:c r="CA817" s="11" t="n">
        <x:v>110768</x:v>
      </x:c>
      <x:c r="CB817" s="11" t="n">
        <x:v>0</x:v>
      </x:c>
      <x:c r="CC817" s="11" t="n">
        <x:v>2151792</x:v>
      </x:c>
      <x:c r="CD817" s="11" t="n">
        <x:v>2891208</x:v>
      </x:c>
      <x:c r="CE817" s="11" t="n">
        <x:v>1413288</x:v>
      </x:c>
      <x:c r="CF817" s="11" t="n">
        <x:v>128643</x:v>
      </x:c>
      <x:c r="CG817" s="11" t="n">
        <x:v>854163</x:v>
      </x:c>
      <x:c r="CH817" s="11" t="n">
        <x:v>2577289</x:v>
      </x:c>
      <x:c r="CI817" s="11" t="n">
        <x:v>2962262</x:v>
      </x:c>
      <x:c r="CJ817" s="11" t="n">
        <x:v>4635430</x:v>
      </x:c>
      <x:c r="CK817" s="11" t="n">
        <x:v>1884391</x:v>
      </x:c>
      <x:c r="CL817" s="11" t="n">
        <x:v>12184814</x:v>
      </x:c>
      <x:c r="CM817" s="11"/>
      <x:c r="CN817" s="11" t="n">
        <x:v>0</x:v>
      </x:c>
      <x:c r="CO817" s="11" t="n">
        <x:v>0</x:v>
      </x:c>
      <x:c r="CP817" s="8"/>
      <x:c r="CQ817" s="8"/>
    </x:row>
    <x:row r="818">
      <x:c r="A818" s="8" t="str">
        <x:v>Summerland|2023</x:v>
      </x:c>
      <x:c r="B818" s="8" t="str">
        <x:v>summerland-d</x:v>
      </x:c>
      <x:c r="C818" s="8" t="str">
        <x:v>Summerland</x:v>
      </x:c>
      <x:c r="D818" s="8" t="str">
        <x:v>Summerland</x:v>
      </x:c>
      <x:c r="E818" s="8" t="str">
        <x:v>D</x:v>
      </x:c>
      <x:c r="F818" s="8" t="str">
        <x:v>OKS</x:v>
      </x:c>
      <x:c r="G818" s="9" t="n">
        <x:v>2023</x:v>
      </x:c>
      <x:c r="H818" s="10" t="n">
        <x:v>13310</x:v>
      </x:c>
      <x:c r="I818" s="8" t="str">
        <x:v>5,000 to 19,999</x:v>
      </x:c>
      <x:c r="J818" s="11" t="n">
        <x:v>58275655</x:v>
      </x:c>
      <x:c r="K818" s="11" t="n">
        <x:v>39220347</x:v>
      </x:c>
      <x:c r="L818" s="11" t="n">
        <x:v>19055308</x:v>
      </x:c>
      <x:c r="M818" s="12" t="n">
        <x:v>0.3269857370114502</x:v>
      </x:c>
      <x:c r="N818" s="11" t="n">
        <x:v>13437298</x:v>
      </x:c>
      <x:c r="O818" s="11" t="n">
        <x:v>27052727</x:v>
      </x:c>
      <x:c r="P818" s="11" t="n">
        <x:v>11489924</x:v>
      </x:c>
      <x:c r="Q818" s="11" t="n">
        <x:v>6295706</x:v>
      </x:c>
      <x:c r="R818" s="11" t="n">
        <x:v>33647625</x:v>
      </x:c>
      <x:c r="S818" s="11" t="n">
        <x:v>4567821</x:v>
      </x:c>
      <x:c r="T818" s="11" t="n">
        <x:v>44218404</x:v>
      </x:c>
      <x:c r="U818" s="11" t="n">
        <x:v>44828799</x:v>
      </x:c>
      <x:c r="V818" s="11" t="n">
        <x:v>8274459</x:v>
      </x:c>
      <x:c r="W818" s="11" t="n">
        <x:v>9884199</x:v>
      </x:c>
      <x:c r="X818" s="11" t="n">
        <x:v>15594532</x:v>
      </x:c>
      <x:c r="Y818" s="11" t="n">
        <x:v>0</x:v>
      </x:c>
      <x:c r="Z818" s="11" t="n">
        <x:v>1334337</x:v>
      </x:c>
      <x:c r="AA818" s="11" t="n">
        <x:v>13209446</x:v>
      </x:c>
      <x:c r="AB818" s="11" t="n">
        <x:v>1004901</x:v>
      </x:c>
      <x:c r="AC818" s="11" t="n">
        <x:v>2339238</x:v>
      </x:c>
      <x:c r="AD818" s="11" t="n">
        <x:v>10545575</x:v>
      </x:c>
      <x:c r="AE818" s="11" t="n">
        <x:v>8206337</x:v>
      </x:c>
      <x:c r="AF818" s="11" t="n">
        <x:v>42182300</x:v>
      </x:c>
      <x:c r="AG818" s="11" t="n">
        <x:v>238429253</x:v>
      </x:c>
      <x:c r="AH818" s="11" t="n">
        <x:v>87652491</x:v>
      </x:c>
      <x:c r="AI818" s="11" t="n">
        <x:v>150776762</x:v>
      </x:c>
      <x:c r="AJ818" s="11" t="n">
        <x:v>22427895</x:v>
      </x:c>
      <x:c r="AK818" s="11" t="n">
        <x:v>535773847</x:v>
      </x:c>
      <x:c r="AL818" s="11" t="n">
        <x:v>9228286</x:v>
      </x:c>
      <x:c r="AM818" s="12" t="n">
        <x:v>0.9827757811403587</x:v>
      </x:c>
      <x:c r="AN818" s="12" t="n">
        <x:v>0.04186074987717719</x:v>
      </x:c>
      <x:c r="AO818" s="11" t="n">
        <x:v>23210577</x:v>
      </x:c>
      <x:c r="AP818" s="11" t="n">
        <x:v>22793177</x:v>
      </x:c>
      <x:c r="AQ818" s="12" t="n">
        <x:v>0.982016819314746</x:v>
      </x:c>
      <x:c r="AR818" s="11" t="n">
        <x:v>4378.336213373404</x:v>
      </x:c>
      <x:c r="AS818" s="11" t="n">
        <x:v>2946.6827197595794</x:v>
      </x:c>
      <x:c r="AT818" s="11" t="n">
        <x:v>621.6723516153269</x:v>
      </x:c>
      <x:c r="AU818" s="11" t="n">
        <x:v>742.6145003756574</x:v>
      </x:c>
      <x:c r="AV818" s="11" t="n">
        <x:v>992.4452291510142</x:v>
      </x:c>
      <x:c r="AW818" s="11" t="n">
        <x:v>0.9863838645331542</x:v>
      </x:c>
      <x:c r="AX818" s="12" t="n">
        <x:v>0.7781782406364754</x:v>
      </x:c>
      <x:c r="AY818" s="11"/>
      <x:c r="AZ818" s="11"/>
      <x:c r="BA818" s="11"/>
      <x:c r="BB818" s="11"/>
      <x:c r="BC818" s="11"/>
      <x:c r="BD818" s="11"/>
      <x:c r="BE818" s="11"/>
      <x:c r="BF818" s="11"/>
      <x:c r="BG818" s="11"/>
      <x:c r="BH818" s="11"/>
      <x:c r="BI818" s="11"/>
      <x:c r="BJ818" s="11"/>
      <x:c r="BK818" s="12"/>
      <x:c r="BL818" s="12"/>
      <x:c r="BM818" s="12"/>
      <x:c r="BN818" s="12"/>
      <x:c r="BO818" s="12"/>
      <x:c r="BP818" s="12"/>
      <x:c r="BQ818" s="12"/>
      <x:c r="BR818" s="12"/>
      <x:c r="BS818" s="12"/>
      <x:c r="BT818" s="12"/>
      <x:c r="BU818" s="11" t="n">
        <x:v>0</x:v>
      </x:c>
      <x:c r="BV818" s="11" t="n">
        <x:v>10594925</x:v>
      </x:c>
      <x:c r="BW818" s="11" t="n">
        <x:v>894999</x:v>
      </x:c>
      <x:c r="BX818" s="11" t="n">
        <x:v>2348024</x:v>
      </x:c>
      <x:c r="BY818" s="11" t="n">
        <x:v>0</x:v>
      </x:c>
      <x:c r="BZ818" s="11" t="n">
        <x:v>3821015</x:v>
      </x:c>
      <x:c r="CA818" s="11" t="n">
        <x:v>126667</x:v>
      </x:c>
      <x:c r="CB818" s="11" t="n">
        <x:v>0</x:v>
      </x:c>
      <x:c r="CC818" s="11" t="n">
        <x:v>2182745</x:v>
      </x:c>
      <x:c r="CD818" s="11" t="n">
        <x:v>4024164</x:v>
      </x:c>
      <x:c r="CE818" s="11" t="n">
        <x:v>1955310</x:v>
      </x:c>
      <x:c r="CF818" s="11" t="n">
        <x:v>178441</x:v>
      </x:c>
      <x:c r="CG818" s="11" t="n">
        <x:v>849711</x:v>
      </x:c>
      <x:c r="CH818" s="11" t="n">
        <x:v>2454997</x:v>
      </x:c>
      <x:c r="CI818" s="11" t="n">
        <x:v>3245820</x:v>
      </x:c>
      <x:c r="CJ818" s="11" t="n">
        <x:v>4761291</x:v>
      </x:c>
      <x:c r="CK818" s="11" t="n">
        <x:v>1981418</x:v>
      </x:c>
      <x:c r="CL818" s="11" t="n">
        <x:v>12717043</x:v>
      </x:c>
      <x:c r="CM818" s="11" t="n">
        <x:v>301586</x:v>
      </x:c>
      <x:c r="CN818" s="11" t="n">
        <x:v>0</x:v>
      </x:c>
      <x:c r="CO818" s="11" t="n">
        <x:v>0</x:v>
      </x:c>
      <x:c r="CP818" s="8"/>
      <x:c r="CQ818" s="8"/>
    </x:row>
    <x:row r="819">
      <x:c r="A819" s="8" t="str">
        <x:v>Summerland|2024</x:v>
      </x:c>
      <x:c r="B819" s="8" t="str">
        <x:v>summerland-d</x:v>
      </x:c>
      <x:c r="C819" s="8" t="str">
        <x:v>Summerland</x:v>
      </x:c>
      <x:c r="D819" s="8" t="str">
        <x:v>Summerland</x:v>
      </x:c>
      <x:c r="E819" s="8" t="str">
        <x:v>D</x:v>
      </x:c>
      <x:c r="F819" s="8" t="str">
        <x:v>OKS</x:v>
      </x:c>
      <x:c r="G819" s="9" t="n">
        <x:v>2024</x:v>
      </x:c>
      <x:c r="H819" s="10" t="n">
        <x:v>13310</x:v>
      </x:c>
      <x:c r="I819" s="8" t="str">
        <x:v>5,000 to 19,999</x:v>
      </x:c>
      <x:c r="J819" s="11" t="n">
        <x:v>50817635</x:v>
      </x:c>
      <x:c r="K819" s="11" t="n">
        <x:v>39945113</x:v>
      </x:c>
      <x:c r="L819" s="11" t="n">
        <x:v>10872522</x:v>
      </x:c>
      <x:c r="M819" s="12" t="n">
        <x:v>0.2139517511981815</x:v>
      </x:c>
      <x:c r="N819" s="11" t="n">
        <x:v>14170211</x:v>
      </x:c>
      <x:c r="O819" s="11" t="n">
        <x:v>27470064</x:v>
      </x:c>
      <x:c r="P819" s="11" t="n">
        <x:v>5131601</x:v>
      </x:c>
      <x:c r="Q819" s="11" t="n">
        <x:v>4045759</x:v>
      </x:c>
      <x:c r="R819" s="11" t="n">
        <x:v>34252284</x:v>
      </x:c>
      <x:c r="S819" s="11" t="n">
        <x:v>4926427</x:v>
      </x:c>
      <x:c r="T819" s="11" t="n">
        <x:v>45167676</x:v>
      </x:c>
      <x:c r="U819" s="11" t="n">
        <x:v>46081028</x:v>
      </x:c>
      <x:c r="V819" s="11" t="n">
        <x:v>7933311</x:v>
      </x:c>
      <x:c r="W819" s="11" t="n">
        <x:v>11305451</x:v>
      </x:c>
      <x:c r="X819" s="11" t="n">
        <x:v>13209446</x:v>
      </x:c>
      <x:c r="Y819" s="11" t="n">
        <x:v>3732000</x:v>
      </x:c>
      <x:c r="Z819" s="11" t="n">
        <x:v>1145763</x:v>
      </x:c>
      <x:c r="AA819" s="11" t="n">
        <x:v>15102043</x:v>
      </x:c>
      <x:c r="AB819" s="11" t="n">
        <x:v>766402</x:v>
      </x:c>
      <x:c r="AC819" s="11" t="n">
        <x:v>1912165</x:v>
      </x:c>
      <x:c r="AD819" s="11" t="n">
        <x:v>11070948</x:v>
      </x:c>
      <x:c r="AE819" s="11" t="n">
        <x:v>9158783</x:v>
      </x:c>
      <x:c r="AF819" s="11" t="n">
        <x:v>44283792</x:v>
      </x:c>
      <x:c r="AG819" s="11" t="n">
        <x:v>252193591</x:v>
      </x:c>
      <x:c r="AH819" s="11" t="n">
        <x:v>92055305</x:v>
      </x:c>
      <x:c r="AI819" s="11" t="n">
        <x:v>160138286</x:v>
      </x:c>
      <x:c r="AJ819" s="11" t="n">
        <x:v>14287951</x:v>
      </x:c>
      <x:c r="AK819" s="11" t="n">
        <x:v>567013731</x:v>
      </x:c>
      <x:c r="AL819" s="11" t="n">
        <x:v>9996990</x:v>
      </x:c>
      <x:c r="AM819" s="12" t="n">
        <x:v>0.9823690513060962</x:v>
      </x:c>
      <x:c r="AN819" s="12" t="n">
        <x:v>0.025198597880163154</x:v>
      </x:c>
      <x:c r="AO819" s="11" t="n">
        <x:v>24479423</x:v>
      </x:c>
      <x:c r="AP819" s="11" t="n">
        <x:v>23973814</x:v>
      </x:c>
      <x:c r="AQ819" s="12" t="n">
        <x:v>0.9793455507509307</x:v>
      </x:c>
      <x:c r="AR819" s="11" t="n">
        <x:v>3818.004132231405</x:v>
      </x:c>
      <x:c r="AS819" s="11" t="n">
        <x:v>3001.1354620586026</x:v>
      </x:c>
      <x:c r="AT819" s="11" t="n">
        <x:v>596.0413974455297</x:v>
      </x:c>
      <x:c r="AU819" s="11" t="n">
        <x:v>849.3952667167543</x:v>
      </x:c>
      <x:c r="AV819" s="11" t="n">
        <x:v>1134.6388429752067</x:v>
      </x:c>
      <x:c r="AW819" s="11" t="n">
        <x:v>0.9801794352330855</x:v>
      </x:c>
      <x:c r="AX819" s="12" t="n">
        <x:v>0.8272808254541526</x:v>
      </x:c>
      <x:c r="AY819" s="11" t="n">
        <x:v>2567.538946805667</x:v>
      </x:c>
      <x:c r="AZ819" s="11" t="n">
        <x:v>3546.5079302077975</x:v>
      </x:c>
      <x:c r="BA819" s="11" t="n">
        <x:v>2045.0195609464422</x:v>
      </x:c>
      <x:c r="BB819" s="11" t="n">
        <x:v>2783.665107049771</x:v>
      </x:c>
      <x:c r="BC819" s="11" t="n">
        <x:v>2217.25520024837</x:v>
      </x:c>
      <x:c r="BD819" s="11" t="n">
        <x:v>2437.8724475115623</x:v>
      </x:c>
      <x:c r="BE819" s="11" t="n">
        <x:v>799.2304887641933</x:v>
      </x:c>
      <x:c r="BF819" s="11" t="n">
        <x:v>1604.3462673977224</x:v>
      </x:c>
      <x:c r="BG819" s="11" t="n">
        <x:v>386.9249167164944</x:v>
      </x:c>
      <x:c r="BH819" s="11" t="n">
        <x:v>518.5374381567245</x:v>
      </x:c>
      <x:c r="BI819" s="11" t="n">
        <x:v>1.5629948984418691</x:v>
      </x:c>
      <x:c r="BJ819" s="11" t="n">
        <x:v>1.7099330852451193</x:v>
      </x:c>
      <x:c r="BK819" s="12" t="n">
        <x:v>0.04472396775938227</x:v>
      </x:c>
      <x:c r="BL819" s="12" t="n">
        <x:v>0.02529861000232605</x:v>
      </x:c>
      <x:c r="BM819" s="12" t="n">
        <x:v>0.9792813777328785</x:v>
      </x:c>
      <x:c r="BN819" s="12" t="n">
        <x:v>0.9815511712696461</x:v>
      </x:c>
      <x:c r="BO819" s="12" t="n">
        <x:v>0.8510570773833829</x:v>
      </x:c>
      <x:c r="BP819" s="12" t="n">
        <x:v>0.8619101997275483</x:v>
      </x:c>
      <x:c r="BQ819" s="12" t="n">
        <x:v>0.9732053424599786</x:v>
      </x:c>
      <x:c r="BR819" s="12" t="n">
        <x:v>0.9623635142836453</x:v>
      </x:c>
      <x:c r="BS819" s="12" t="n">
        <x:v>0.170495619408603</x:v>
      </x:c>
      <x:c r="BT819" s="12" t="n">
        <x:v>0.19976549769108282</x:v>
      </x:c>
      <x:c r="BU819" s="11" t="n">
        <x:v>611730</x:v>
      </x:c>
      <x:c r="BV819" s="11" t="n">
        <x:v>4489474</x:v>
      </x:c>
      <x:c r="BW819" s="11" t="n">
        <x:v>30397</x:v>
      </x:c>
      <x:c r="BX819" s="11" t="n">
        <x:v>2409662</x:v>
      </x:c>
      <x:c r="BY819" s="11" t="n">
        <x:v>0</x:v>
      </x:c>
      <x:c r="BZ819" s="11" t="n">
        <x:v>1061952</x:v>
      </x:c>
      <x:c r="CA819" s="11" t="n">
        <x:v>56050</x:v>
      </x:c>
      <x:c r="CB819" s="11" t="n">
        <x:v>518095</x:v>
      </x:c>
      <x:c r="CC819" s="11" t="n">
        <x:v>2435980</x:v>
      </x:c>
      <x:c r="CD819" s="11" t="n">
        <x:v>3473264</x:v>
      </x:c>
      <x:c r="CE819" s="11" t="n">
        <x:v>2044797</x:v>
      </x:c>
      <x:c r="CF819" s="11" t="n">
        <x:v>214937</x:v>
      </x:c>
      <x:c r="CG819" s="11" t="n">
        <x:v>1122232</x:v>
      </x:c>
      <x:c r="CH819" s="11" t="n">
        <x:v>2740530</x:v>
      </x:c>
      <x:c r="CI819" s="11" t="n">
        <x:v>3386504</x:v>
      </x:c>
      <x:c r="CJ819" s="11" t="n">
        <x:v>4479952</x:v>
      </x:c>
      <x:c r="CK819" s="11" t="n">
        <x:v>1900599</x:v>
      </x:c>
      <x:c r="CL819" s="11" t="n">
        <x:v>12910221</x:v>
      </x:c>
      <x:c r="CM819" s="11" t="n">
        <x:v>309670</x:v>
      </x:c>
      <x:c r="CN819" s="11" t="n">
        <x:v>0</x:v>
      </x:c>
      <x:c r="CO819" s="11" t="n">
        <x:v>0</x:v>
      </x:c>
      <x:c r="CP819" s="8"/>
      <x:c r="CQ819" s="8"/>
    </x:row>
    <x:row r="820">
      <x:c r="A820" s="8" t="str">
        <x:v>Sun Peaks|2019</x:v>
      </x:c>
      <x:c r="B820" s="8" t="str">
        <x:v>sun-peaks-v</x:v>
      </x:c>
      <x:c r="C820" s="8" t="str">
        <x:v>Sun Peaks</x:v>
      </x:c>
      <x:c r="D820" s="8" t="str">
        <x:v>Sun Peaks</x:v>
      </x:c>
      <x:c r="E820" s="8" t="str">
        <x:v>V</x:v>
      </x:c>
      <x:c r="F820" s="8" t="str">
        <x:v>TNR</x:v>
      </x:c>
      <x:c r="G820" s="9" t="n">
        <x:v>2019</x:v>
      </x:c>
      <x:c r="H820" s="10" t="n">
        <x:v>937</x:v>
      </x:c>
      <x:c r="I820" s="8" t="str">
        <x:v>Under 5,000</x:v>
      </x:c>
      <x:c r="J820" s="11" t="n">
        <x:v>11797705</x:v>
      </x:c>
      <x:c r="K820" s="11" t="n">
        <x:v>6443910</x:v>
      </x:c>
      <x:c r="L820" s="11" t="n">
        <x:v>5353795</x:v>
      </x:c>
      <x:c r="M820" s="12" t="n">
        <x:v>0.45379970087402594</x:v>
      </x:c>
      <x:c r="N820" s="11" t="n">
        <x:v>2140123</x:v>
      </x:c>
      <x:c r="O820" s="11" t="n">
        <x:v>2967980</x:v>
      </x:c>
      <x:c r="P820" s="11" t="n">
        <x:v>6689602</x:v>
      </x:c>
      <x:c r="Q820" s="11" t="n">
        <x:v>0</x:v>
      </x:c>
      <x:c r="R820" s="11" t="n">
        <x:v>4616528</x:v>
      </x:c>
      <x:c r="S820" s="11" t="n">
        <x:v>1803671</x:v>
      </x:c>
      <x:c r="T820" s="11" t="n">
        <x:v>1894080</x:v>
      </x:c>
      <x:c r="U820" s="11" t="n">
        <x:v>7640923</x:v>
      </x:c>
      <x:c r="V820" s="11" t="n">
        <x:v>-2361561</x:v>
      </x:c>
      <x:c r="W820" s="11" t="n">
        <x:v>0</x:v>
      </x:c>
      <x:c r="X820" s="11" t="n">
        <x:v>1438420</x:v>
      </x:c>
      <x:c r="Y820" s="11" t="n">
        <x:v>3505000</x:v>
      </x:c>
      <x:c r="Z820" s="11" t="n">
        <x:v>191696</x:v>
      </x:c>
      <x:c r="AA820" s="11" t="n">
        <x:v>4751724</x:v>
      </x:c>
      <x:c r="AB820" s="11" t="n">
        <x:v>23711</x:v>
      </x:c>
      <x:c r="AC820" s="11" t="n">
        <x:v>215407</x:v>
      </x:c>
      <x:c r="AD820" s="11" t="n">
        <x:v>1338878</x:v>
      </x:c>
      <x:c r="AE820" s="11" t="n">
        <x:v>1123471</x:v>
      </x:c>
      <x:c r="AF820" s="11" t="n">
        <x:v>5355510</x:v>
      </x:c>
      <x:c r="AG820" s="11" t="n">
        <x:v>55587676</x:v>
      </x:c>
      <x:c r="AH820" s="11" t="n">
        <x:v>5366346</x:v>
      </x:c>
      <x:c r="AI820" s="11" t="n">
        <x:v>50221330</x:v>
      </x:c>
      <x:c r="AJ820" s="11" t="n">
        <x:v>7881145</x:v>
      </x:c>
      <x:c r="AK820" s="11" t="n">
        <x:v>79881628</x:v>
      </x:c>
      <x:c r="AL820" s="11" t="n">
        <x:v>1750000</x:v>
      </x:c>
      <x:c r="AM820" s="12" t="n">
        <x:v>0.9780925846929409</x:v>
      </x:c>
      <x:c r="AN820" s="12" t="n">
        <x:v>0.09866029520580126</x:v>
      </x:c>
      <x:c r="AO820" s="11" t="n">
        <x:v>5238347</x:v>
      </x:c>
      <x:c r="AP820" s="11" t="n">
        <x:v>5238347</x:v>
      </x:c>
      <x:c r="AQ820" s="12" t="n">
        <x:v>1</x:v>
      </x:c>
      <x:c r="AR820" s="11" t="n">
        <x:v>12590.933831376735</x:v>
      </x:c>
      <x:c r="AS820" s="11" t="n">
        <x:v>6877.171824973319</x:v>
      </x:c>
      <x:c r="AT820" s="11" t="n">
        <x:v>-2520.342582710779</x:v>
      </x:c>
      <x:c r="AU820" s="11" t="n">
        <x:v>0</x:v>
      </x:c>
      <x:c r="AV820" s="11" t="n">
        <x:v>5071.210245464247</x:v>
      </x:c>
      <x:c r="AW820" s="11" t="n">
        <x:v>0.2478862828482894</x:v>
      </x:c>
      <x:c r="AX820" s="12" t="n">
        <x:v>0.8391137952823184</x:v>
      </x:c>
      <x:c r="AY820" s="11"/>
      <x:c r="AZ820" s="11"/>
      <x:c r="BA820" s="11"/>
      <x:c r="BB820" s="11"/>
      <x:c r="BC820" s="11"/>
      <x:c r="BD820" s="11"/>
      <x:c r="BE820" s="11"/>
      <x:c r="BF820" s="11"/>
      <x:c r="BG820" s="11"/>
      <x:c r="BH820" s="11"/>
      <x:c r="BI820" s="11"/>
      <x:c r="BJ820" s="11"/>
      <x:c r="BK820" s="12"/>
      <x:c r="BL820" s="12"/>
      <x:c r="BM820" s="12"/>
      <x:c r="BN820" s="12"/>
      <x:c r="BO820" s="12"/>
      <x:c r="BP820" s="12"/>
      <x:c r="BQ820" s="12"/>
      <x:c r="BR820" s="12"/>
      <x:c r="BS820" s="12"/>
      <x:c r="BT820" s="12"/>
      <x:c r="BU820" s="11" t="n">
        <x:v>5376709</x:v>
      </x:c>
      <x:c r="BV820" s="11" t="n">
        <x:v>1012893</x:v>
      </x:c>
      <x:c r="BW820" s="11" t="n">
        <x:v>300000</x:v>
      </x:c>
      <x:c r="BX820" s="11" t="n">
        <x:v>0</x:v>
      </x:c>
      <x:c r="BY820" s="11" t="n">
        <x:v>0</x:v>
      </x:c>
      <x:c r="BZ820" s="11" t="n">
        <x:v>0</x:v>
      </x:c>
      <x:c r="CA820" s="11" t="n">
        <x:v>0</x:v>
      </x:c>
      <x:c r="CB820" s="11" t="n">
        <x:v>0</x:v>
      </x:c>
      <x:c r="CC820" s="11" t="n">
        <x:v>862085</x:v>
      </x:c>
      <x:c r="CD820" s="11" t="n">
        <x:v>854292</x:v>
      </x:c>
      <x:c r="CE820" s="11" t="n">
        <x:v>0</x:v>
      </x:c>
      <x:c r="CF820" s="11" t="n">
        <x:v>644313</x:v>
      </x:c>
      <x:c r="CG820" s="11" t="n">
        <x:v>51818</x:v>
      </x:c>
      <x:c r="CH820" s="11" t="n">
        <x:v>440184</x:v>
      </x:c>
      <x:c r="CI820" s="11" t="n">
        <x:v>132533</x:v>
      </x:c>
      <x:c r="CJ820" s="11" t="n">
        <x:v>801920</x:v>
      </x:c>
      <x:c r="CK820" s="11" t="n">
        <x:v>846594</x:v>
      </x:c>
      <x:c r="CL820" s="11" t="n">
        <x:v>0</x:v>
      </x:c>
      <x:c r="CM820" s="11"/>
      <x:c r="CN820" s="11" t="n">
        <x:v>6500</x:v>
      </x:c>
      <x:c r="CO820" s="11" t="n">
        <x:v>0</x:v>
      </x:c>
      <x:c r="CP820" s="8"/>
      <x:c r="CQ820" s="8"/>
    </x:row>
    <x:row r="821">
      <x:c r="A821" s="8" t="str">
        <x:v>Sun Peaks|2020</x:v>
      </x:c>
      <x:c r="B821" s="8" t="str">
        <x:v>sun-peaks-v</x:v>
      </x:c>
      <x:c r="C821" s="8" t="str">
        <x:v>Sun Peaks</x:v>
      </x:c>
      <x:c r="D821" s="8" t="str">
        <x:v>Sun Peaks</x:v>
      </x:c>
      <x:c r="E821" s="8" t="str">
        <x:v>V</x:v>
      </x:c>
      <x:c r="F821" s="8" t="str">
        <x:v>TNR</x:v>
      </x:c>
      <x:c r="G821" s="9" t="n">
        <x:v>2020</x:v>
      </x:c>
      <x:c r="H821" s="10" t="n">
        <x:v>948</x:v>
      </x:c>
      <x:c r="I821" s="8" t="str">
        <x:v>Under 5,000</x:v>
      </x:c>
      <x:c r="J821" s="11" t="n">
        <x:v>6903031</x:v>
      </x:c>
      <x:c r="K821" s="11" t="n">
        <x:v>7137925</x:v>
      </x:c>
      <x:c r="L821" s="11" t="n">
        <x:v>-234894</x:v>
      </x:c>
      <x:c r="M821" s="12" t="n">
        <x:v>-0.03402766118245739</x:v>
      </x:c>
      <x:c r="N821" s="11" t="n">
        <x:v>2245874</x:v>
      </x:c>
      <x:c r="O821" s="11" t="n">
        <x:v>2845025</x:v>
      </x:c>
      <x:c r="P821" s="11" t="n">
        <x:v>1804986</x:v>
      </x:c>
      <x:c r="Q821" s="11" t="n">
        <x:v>7146</x:v>
      </x:c>
      <x:c r="R821" s="11" t="n">
        <x:v>5038580</x:v>
      </x:c>
      <x:c r="S821" s="11" t="n">
        <x:v>1964443</x:v>
      </x:c>
      <x:c r="T821" s="11" t="n">
        <x:v>6461437</x:v>
      </x:c>
      <x:c r="U821" s="11" t="n">
        <x:v>17238053</x:v>
      </x:c>
      <x:c r="V821" s="11" t="n">
        <x:v>-8279246</x:v>
      </x:c>
      <x:c r="W821" s="11" t="n">
        <x:v>0</x:v>
      </x:c>
      <x:c r="X821" s="11" t="n">
        <x:v>4751724</x:v>
      </x:c>
      <x:c r="Y821" s="11" t="n">
        <x:v>8060000</x:v>
      </x:c>
      <x:c r="Z821" s="11" t="n">
        <x:v>314390</x:v>
      </x:c>
      <x:c r="AA821" s="11" t="n">
        <x:v>12496273</x:v>
      </x:c>
      <x:c r="AB821" s="11" t="n">
        <x:v>134902</x:v>
      </x:c>
      <x:c r="AC821" s="11" t="n">
        <x:v>449292</x:v>
      </x:c>
      <x:c r="AD821" s="11" t="n">
        <x:v>1335046</x:v>
      </x:c>
      <x:c r="AE821" s="11" t="n">
        <x:v>885754</x:v>
      </x:c>
      <x:c r="AF821" s="11" t="n">
        <x:v>5340185</x:v>
      </x:c>
      <x:c r="AG821" s="11" t="n">
        <x:v>63195912</x:v>
      </x:c>
      <x:c r="AH821" s="11" t="n">
        <x:v>7300096</x:v>
      </x:c>
      <x:c r="AI821" s="11" t="n">
        <x:v>55895816</x:v>
      </x:c>
      <x:c r="AJ821" s="11" t="n">
        <x:v>7889799</x:v>
      </x:c>
      <x:c r="AK821" s="11" t="n">
        <x:v>94066853</x:v>
      </x:c>
      <x:c r="AL821" s="11" t="n">
        <x:v>1980000</x:v>
      </x:c>
      <x:c r="AM821" s="12" t="n">
        <x:v>0.9789511402066358</x:v>
      </x:c>
      <x:c r="AN821" s="12" t="n">
        <x:v>0.08387438027718436</x:v>
      </x:c>
      <x:c r="AO821" s="11" t="n">
        <x:v>5500937</x:v>
      </x:c>
      <x:c r="AP821" s="11" t="n">
        <x:v>5397286</x:v>
      </x:c>
      <x:c r="AQ821" s="12" t="n">
        <x:v>0.981157573700626</x:v>
      </x:c>
      <x:c r="AR821" s="11" t="n">
        <x:v>7281.6782700421945</x:v>
      </x:c>
      <x:c r="AS821" s="11" t="n">
        <x:v>7529.456751054852</x:v>
      </x:c>
      <x:c r="AT821" s="11" t="n">
        <x:v>-8733.381856540085</x:v>
      </x:c>
      <x:c r="AU821" s="11" t="n">
        <x:v>0</x:v>
      </x:c>
      <x:c r="AV821" s="11" t="n">
        <x:v>13181.722573839663</x:v>
      </x:c>
      <x:c r="AW821" s="11" t="n">
        <x:v>0.3748356615448392</x:v>
      </x:c>
      <x:c r="AX821" s="12" t="n">
        <x:v>0.6634632814150224</x:v>
      </x:c>
      <x:c r="AY821" s="11"/>
      <x:c r="AZ821" s="11"/>
      <x:c r="BA821" s="11"/>
      <x:c r="BB821" s="11"/>
      <x:c r="BC821" s="11"/>
      <x:c r="BD821" s="11"/>
      <x:c r="BE821" s="11"/>
      <x:c r="BF821" s="11"/>
      <x:c r="BG821" s="11"/>
      <x:c r="BH821" s="11"/>
      <x:c r="BI821" s="11"/>
      <x:c r="BJ821" s="11"/>
      <x:c r="BK821" s="12"/>
      <x:c r="BL821" s="12"/>
      <x:c r="BM821" s="12"/>
      <x:c r="BN821" s="12"/>
      <x:c r="BO821" s="12"/>
      <x:c r="BP821" s="12"/>
      <x:c r="BQ821" s="12"/>
      <x:c r="BR821" s="12"/>
      <x:c r="BS821" s="12"/>
      <x:c r="BT821" s="12"/>
      <x:c r="BU821" s="11" t="n">
        <x:v>541426</x:v>
      </x:c>
      <x:c r="BV821" s="11" t="n">
        <x:v>1263560</x:v>
      </x:c>
      <x:c r="BW821" s="11" t="n">
        <x:v>0</x:v>
      </x:c>
      <x:c r="BX821" s="11" t="n">
        <x:v>0</x:v>
      </x:c>
      <x:c r="BY821" s="11" t="n">
        <x:v>0</x:v>
      </x:c>
      <x:c r="BZ821" s="11" t="n">
        <x:v>0</x:v>
      </x:c>
      <x:c r="CA821" s="11" t="n">
        <x:v>7146</x:v>
      </x:c>
      <x:c r="CB821" s="11" t="n">
        <x:v>0</x:v>
      </x:c>
      <x:c r="CC821" s="11" t="n">
        <x:v>785830</x:v>
      </x:c>
      <x:c r="CD821" s="11" t="n">
        <x:v>863096</x:v>
      </x:c>
      <x:c r="CE821" s="11" t="n">
        <x:v>0</x:v>
      </x:c>
      <x:c r="CF821" s="11" t="n">
        <x:v>699129</x:v>
      </x:c>
      <x:c r="CG821" s="11" t="n">
        <x:v>121585</x:v>
      </x:c>
      <x:c r="CH821" s="11" t="n">
        <x:v>580170</x:v>
      </x:c>
      <x:c r="CI821" s="11" t="n">
        <x:v>233615</x:v>
      </x:c>
      <x:c r="CJ821" s="11" t="n">
        <x:v>747407</x:v>
      </x:c>
      <x:c r="CK821" s="11" t="n">
        <x:v>907491</x:v>
      </x:c>
      <x:c r="CL821" s="11" t="n">
        <x:v>0</x:v>
      </x:c>
      <x:c r="CM821" s="11"/>
      <x:c r="CN821" s="11" t="n">
        <x:v>235159</x:v>
      </x:c>
      <x:c r="CO821" s="11" t="n">
        <x:v>0</x:v>
      </x:c>
      <x:c r="CP821" s="8"/>
      <x:c r="CQ821" s="8"/>
    </x:row>
    <x:row r="822">
      <x:c r="A822" s="8" t="str">
        <x:v>Sun Peaks|2021</x:v>
      </x:c>
      <x:c r="B822" s="8" t="str">
        <x:v>sun-peaks-v</x:v>
      </x:c>
      <x:c r="C822" s="8" t="str">
        <x:v>Sun Peaks</x:v>
      </x:c>
      <x:c r="D822" s="8" t="str">
        <x:v>Sun Peaks</x:v>
      </x:c>
      <x:c r="E822" s="8" t="str">
        <x:v>V</x:v>
      </x:c>
      <x:c r="F822" s="8" t="str">
        <x:v>TNR</x:v>
      </x:c>
      <x:c r="G822" s="9" t="n">
        <x:v>2021</x:v>
      </x:c>
      <x:c r="H822" s="10" t="n">
        <x:v>964</x:v>
      </x:c>
      <x:c r="I822" s="8" t="str">
        <x:v>Under 5,000</x:v>
      </x:c>
      <x:c r="J822" s="11" t="n">
        <x:v>7517184</x:v>
      </x:c>
      <x:c r="K822" s="11" t="n">
        <x:v>7497154</x:v>
      </x:c>
      <x:c r="L822" s="11" t="n">
        <x:v>20030</x:v>
      </x:c>
      <x:c r="M822" s="12" t="n">
        <x:v>0.0026645616230758754</x:v>
      </x:c>
      <x:c r="N822" s="11" t="n">
        <x:v>2359190</x:v>
      </x:c>
      <x:c r="O822" s="11" t="n">
        <x:v>3168641</x:v>
      </x:c>
      <x:c r="P822" s="11" t="n">
        <x:v>1685195</x:v>
      </x:c>
      <x:c r="Q822" s="11" t="n">
        <x:v>304158</x:v>
      </x:c>
      <x:c r="R822" s="11" t="n">
        <x:v>5204390</x:v>
      </x:c>
      <x:c r="S822" s="11" t="n">
        <x:v>2100016</x:v>
      </x:c>
      <x:c r="T822" s="11" t="n">
        <x:v>4556150</x:v>
      </x:c>
      <x:c r="U822" s="11" t="n">
        <x:v>15926825</x:v>
      </x:c>
      <x:c r="V822" s="11" t="n">
        <x:v>-9519285</x:v>
      </x:c>
      <x:c r="W822" s="11" t="n">
        <x:v>0</x:v>
      </x:c>
      <x:c r="X822" s="11" t="n">
        <x:v>12496273</x:v>
      </x:c>
      <x:c r="Y822" s="11" t="n">
        <x:v>0</x:v>
      </x:c>
      <x:c r="Z822" s="11" t="n">
        <x:v>659154</x:v>
      </x:c>
      <x:c r="AA822" s="11" t="n">
        <x:v>11831148</x:v>
      </x:c>
      <x:c r="AB822" s="11" t="n">
        <x:v>192748</x:v>
      </x:c>
      <x:c r="AC822" s="11" t="n">
        <x:v>851902</x:v>
      </x:c>
      <x:c r="AD822" s="11" t="n">
        <x:v>1448861</x:v>
      </x:c>
      <x:c r="AE822" s="11" t="n">
        <x:v>596959</x:v>
      </x:c>
      <x:c r="AF822" s="11" t="n">
        <x:v>5795444</x:v>
      </x:c>
      <x:c r="AG822" s="11" t="n">
        <x:v>66497203</x:v>
      </x:c>
      <x:c r="AH822" s="11" t="n">
        <x:v>9399428</x:v>
      </x:c>
      <x:c r="AI822" s="11" t="n">
        <x:v>57097775</x:v>
      </x:c>
      <x:c r="AJ822" s="11" t="n">
        <x:v>3308138</x:v>
      </x:c>
      <x:c r="AK822" s="11" t="n">
        <x:v>14140912</x:v>
      </x:c>
      <x:c r="AL822" s="11" t="n">
        <x:v>0</x:v>
      </x:c>
      <x:c r="AM822" s="12" t="n">
        <x:v>1</x:v>
      </x:c>
      <x:c r="AN822" s="12" t="n">
        <x:v>0.23394092262224672</x:v>
      </x:c>
      <x:c r="AO822" s="11" t="n">
        <x:v>5884540</x:v>
      </x:c>
      <x:c r="AP822" s="11" t="n">
        <x:v>5787447</x:v>
      </x:c>
      <x:c r="AQ822" s="12" t="n">
        <x:v>0.9835003245793215</x:v>
      </x:c>
      <x:c r="AR822" s="11" t="n">
        <x:v>7797.908713692946</x:v>
      </x:c>
      <x:c r="AS822" s="11" t="n">
        <x:v>7777.130705394191</x:v>
      </x:c>
      <x:c r="AT822" s="11" t="n">
        <x:v>-9874.776970954357</x:v>
      </x:c>
      <x:c r="AU822" s="11" t="n">
        <x:v>0</x:v>
      </x:c>
      <x:c r="AV822" s="11" t="n">
        <x:v>12272.97510373444</x:v>
      </x:c>
      <x:c r="AW822" s="11" t="n">
        <x:v>0.2860676876904217</x:v>
      </x:c>
      <x:c r="AX822" s="12" t="n">
        <x:v>0.41201951049824653</x:v>
      </x:c>
      <x:c r="AY822" s="11"/>
      <x:c r="AZ822" s="11"/>
      <x:c r="BA822" s="11"/>
      <x:c r="BB822" s="11"/>
      <x:c r="BC822" s="11"/>
      <x:c r="BD822" s="11"/>
      <x:c r="BE822" s="11"/>
      <x:c r="BF822" s="11"/>
      <x:c r="BG822" s="11"/>
      <x:c r="BH822" s="11"/>
      <x:c r="BI822" s="11"/>
      <x:c r="BJ822" s="11"/>
      <x:c r="BK822" s="12"/>
      <x:c r="BL822" s="12"/>
      <x:c r="BM822" s="12"/>
      <x:c r="BN822" s="12"/>
      <x:c r="BO822" s="12"/>
      <x:c r="BP822" s="12"/>
      <x:c r="BQ822" s="12"/>
      <x:c r="BR822" s="12"/>
      <x:c r="BS822" s="12"/>
      <x:c r="BT822" s="12"/>
      <x:c r="BU822" s="11" t="n">
        <x:v>131991</x:v>
      </x:c>
      <x:c r="BV822" s="11" t="n">
        <x:v>1553204</x:v>
      </x:c>
      <x:c r="BW822" s="11" t="n">
        <x:v>0</x:v>
      </x:c>
      <x:c r="BX822" s="11" t="n">
        <x:v>5971</x:v>
      </x:c>
      <x:c r="BY822" s="11" t="n">
        <x:v>0</x:v>
      </x:c>
      <x:c r="BZ822" s="11" t="n">
        <x:v>298187</x:v>
      </x:c>
      <x:c r="CA822" s="11" t="n">
        <x:v>0</x:v>
      </x:c>
      <x:c r="CB822" s="11" t="n">
        <x:v>0</x:v>
      </x:c>
      <x:c r="CC822" s="11" t="n">
        <x:v>754363</x:v>
      </x:c>
      <x:c r="CD822" s="11" t="n">
        <x:v>872875</x:v>
      </x:c>
      <x:c r="CE822" s="11" t="n">
        <x:v>0</x:v>
      </x:c>
      <x:c r="CF822" s="11" t="n">
        <x:v>935653</x:v>
      </x:c>
      <x:c r="CG822" s="11" t="n">
        <x:v>128105</x:v>
      </x:c>
      <x:c r="CH822" s="11" t="n">
        <x:v>558934</x:v>
      </x:c>
      <x:c r="CI822" s="11" t="n">
        <x:v>335049</x:v>
      </x:c>
      <x:c r="CJ822" s="11" t="n">
        <x:v>938336</x:v>
      </x:c>
      <x:c r="CK822" s="11" t="n">
        <x:v>867660</x:v>
      </x:c>
      <x:c r="CL822" s="11" t="n">
        <x:v>0</x:v>
      </x:c>
      <x:c r="CM822" s="11"/>
      <x:c r="CN822" s="11" t="n">
        <x:v>6163</x:v>
      </x:c>
      <x:c r="CO822" s="11" t="n">
        <x:v>0</x:v>
      </x:c>
      <x:c r="CP822" s="8"/>
      <x:c r="CQ822" s="8"/>
    </x:row>
    <x:row r="823">
      <x:c r="A823" s="8" t="str">
        <x:v>Sun Peaks|2022</x:v>
      </x:c>
      <x:c r="B823" s="8" t="str">
        <x:v>sun-peaks-v</x:v>
      </x:c>
      <x:c r="C823" s="8" t="str">
        <x:v>Sun Peaks</x:v>
      </x:c>
      <x:c r="D823" s="8" t="str">
        <x:v>Sun Peaks</x:v>
      </x:c>
      <x:c r="E823" s="8" t="str">
        <x:v>V</x:v>
      </x:c>
      <x:c r="F823" s="8" t="str">
        <x:v>TNR</x:v>
      </x:c>
      <x:c r="G823" s="9" t="n">
        <x:v>2022</x:v>
      </x:c>
      <x:c r="H823" s="10" t="n">
        <x:v>984</x:v>
      </x:c>
      <x:c r="I823" s="8" t="str">
        <x:v>Under 5,000</x:v>
      </x:c>
      <x:c r="J823" s="11" t="n">
        <x:v>10132618</x:v>
      </x:c>
      <x:c r="K823" s="11" t="n">
        <x:v>8322025</x:v>
      </x:c>
      <x:c r="L823" s="11" t="n">
        <x:v>1810593</x:v>
      </x:c>
      <x:c r="M823" s="12" t="n">
        <x:v>0.1786895548613399</x:v>
      </x:c>
      <x:c r="N823" s="11" t="n">
        <x:v>2456472</x:v>
      </x:c>
      <x:c r="O823" s="11" t="n">
        <x:v>3339706</x:v>
      </x:c>
      <x:c r="P823" s="11" t="n">
        <x:v>2749244</x:v>
      </x:c>
      <x:c r="Q823" s="11" t="n">
        <x:v>1587196</x:v>
      </x:c>
      <x:c r="R823" s="11" t="n">
        <x:v>5870764</x:v>
      </x:c>
      <x:c r="S823" s="11" t="n">
        <x:v>2233747</x:v>
      </x:c>
      <x:c r="T823" s="11" t="n">
        <x:v>5601635</x:v>
      </x:c>
      <x:c r="U823" s="11" t="n">
        <x:v>20786901</x:v>
      </x:c>
      <x:c r="V823" s="11" t="n">
        <x:v>-11996505</x:v>
      </x:c>
      <x:c r="W823" s="11" t="n">
        <x:v>0</x:v>
      </x:c>
      <x:c r="X823" s="11" t="n">
        <x:v>11831148</x:v>
      </x:c>
      <x:c r="Y823" s="11" t="n">
        <x:v>3300000</x:v>
      </x:c>
      <x:c r="Z823" s="11" t="n">
        <x:v>587862</x:v>
      </x:c>
      <x:c r="AA823" s="11" t="n">
        <x:v>14526305</x:v>
      </x:c>
      <x:c r="AB823" s="11" t="n">
        <x:v>217514</x:v>
      </x:c>
      <x:c r="AC823" s="11" t="n">
        <x:v>805376</x:v>
      </x:c>
      <x:c r="AD823" s="11" t="n">
        <x:v>1561009</x:v>
      </x:c>
      <x:c r="AE823" s="11" t="n">
        <x:v>606168</x:v>
      </x:c>
      <x:c r="AF823" s="11" t="n">
        <x:v>6244034</x:v>
      </x:c>
      <x:c r="AG823" s="11" t="n">
        <x:v>72542539</x:v>
      </x:c>
      <x:c r="AH823" s="11" t="n">
        <x:v>11633176</x:v>
      </x:c>
      <x:c r="AI823" s="11" t="n">
        <x:v>60909363</x:v>
      </x:c>
      <x:c r="AJ823" s="11" t="n">
        <x:v>6045335</x:v>
      </x:c>
      <x:c r="AK823" s="11" t="n">
        <x:v>10461845</x:v>
      </x:c>
      <x:c r="AL823" s="11" t="n">
        <x:v>0</x:v>
      </x:c>
      <x:c r="AM823" s="12" t="n">
        <x:v>1</x:v>
      </x:c>
      <x:c r="AN823" s="12" t="n">
        <x:v>0.5778459726749918</x:v>
      </x:c>
      <x:c r="AO823" s="11" t="n">
        <x:v>6183661</x:v>
      </x:c>
      <x:c r="AP823" s="11" t="n">
        <x:v>6074750</x:v>
      </x:c>
      <x:c r="AQ823" s="12" t="n">
        <x:v>0.9823872945169536</x:v>
      </x:c>
      <x:c r="AR823" s="11" t="n">
        <x:v>10297.376016260163</x:v>
      </x:c>
      <x:c r="AS823" s="11" t="n">
        <x:v>8457.342479674797</x:v>
      </x:c>
      <x:c r="AT823" s="11" t="n">
        <x:v>-12191.57012195122</x:v>
      </x:c>
      <x:c r="AU823" s="11" t="n">
        <x:v>0</x:v>
      </x:c>
      <x:c r="AV823" s="11" t="n">
        <x:v>14762.505081300813</x:v>
      </x:c>
      <x:c r="AW823" s="11" t="n">
        <x:v>0.26947908204306165</x:v>
      </x:c>
      <x:c r="AX823" s="12" t="n">
        <x:v>0.38831806863381313</x:v>
      </x:c>
      <x:c r="AY823" s="11"/>
      <x:c r="AZ823" s="11"/>
      <x:c r="BA823" s="11"/>
      <x:c r="BB823" s="11"/>
      <x:c r="BC823" s="11"/>
      <x:c r="BD823" s="11"/>
      <x:c r="BE823" s="11"/>
      <x:c r="BF823" s="11"/>
      <x:c r="BG823" s="11"/>
      <x:c r="BH823" s="11"/>
      <x:c r="BI823" s="11"/>
      <x:c r="BJ823" s="11"/>
      <x:c r="BK823" s="12"/>
      <x:c r="BL823" s="12"/>
      <x:c r="BM823" s="12"/>
      <x:c r="BN823" s="12"/>
      <x:c r="BO823" s="12"/>
      <x:c r="BP823" s="12"/>
      <x:c r="BQ823" s="12"/>
      <x:c r="BR823" s="12"/>
      <x:c r="BS823" s="12"/>
      <x:c r="BT823" s="12"/>
      <x:c r="BU823" s="11" t="n">
        <x:v>0</x:v>
      </x:c>
      <x:c r="BV823" s="11" t="n">
        <x:v>2313290</x:v>
      </x:c>
      <x:c r="BW823" s="11" t="n">
        <x:v>435954</x:v>
      </x:c>
      <x:c r="BX823" s="11" t="n">
        <x:v>124837</x:v>
      </x:c>
      <x:c r="BY823" s="11" t="n">
        <x:v>0</x:v>
      </x:c>
      <x:c r="BZ823" s="11" t="n">
        <x:v>1462359</x:v>
      </x:c>
      <x:c r="CA823" s="11" t="n">
        <x:v>0</x:v>
      </x:c>
      <x:c r="CB823" s="11" t="n">
        <x:v>0</x:v>
      </x:c>
      <x:c r="CC823" s="11" t="n">
        <x:v>897221</x:v>
      </x:c>
      <x:c r="CD823" s="11" t="n">
        <x:v>845449</x:v>
      </x:c>
      <x:c r="CE823" s="11" t="n">
        <x:v>0</x:v>
      </x:c>
      <x:c r="CF823" s="11" t="n">
        <x:v>1109965</x:v>
      </x:c>
      <x:c r="CG823" s="11" t="n">
        <x:v>288425</x:v>
      </x:c>
      <x:c r="CH823" s="11" t="n">
        <x:v>604117</x:v>
      </x:c>
      <x:c r="CI823" s="11" t="n">
        <x:v>369739</x:v>
      </x:c>
      <x:c r="CJ823" s="11" t="n">
        <x:v>996740</x:v>
      </x:c>
      <x:c r="CK823" s="11" t="n">
        <x:v>976622</x:v>
      </x:c>
      <x:c r="CL823" s="11" t="n">
        <x:v>0</x:v>
      </x:c>
      <x:c r="CM823" s="11"/>
      <x:c r="CN823" s="11" t="n">
        <x:v>0</x:v>
      </x:c>
      <x:c r="CO823" s="11" t="n">
        <x:v>0</x:v>
      </x:c>
      <x:c r="CP823" s="8"/>
      <x:c r="CQ823" s="8"/>
    </x:row>
    <x:row r="824">
      <x:c r="A824" s="8" t="str">
        <x:v>Sun Peaks|2023</x:v>
      </x:c>
      <x:c r="B824" s="8" t="str">
        <x:v>sun-peaks-v</x:v>
      </x:c>
      <x:c r="C824" s="8" t="str">
        <x:v>Sun Peaks</x:v>
      </x:c>
      <x:c r="D824" s="8" t="str">
        <x:v>Sun Peaks</x:v>
      </x:c>
      <x:c r="E824" s="8" t="str">
        <x:v>V</x:v>
      </x:c>
      <x:c r="F824" s="8" t="str">
        <x:v>TNR</x:v>
      </x:c>
      <x:c r="G824" s="9" t="n">
        <x:v>2023</x:v>
      </x:c>
      <x:c r="H824" s="10" t="n">
        <x:v>1024</x:v>
      </x:c>
      <x:c r="I824" s="8" t="str">
        <x:v>Under 5,000</x:v>
      </x:c>
      <x:c r="J824" s="11" t="n">
        <x:v>12922832</x:v>
      </x:c>
      <x:c r="K824" s="11" t="n">
        <x:v>9131230</x:v>
      </x:c>
      <x:c r="L824" s="11" t="n">
        <x:v>3791602</x:v>
      </x:c>
      <x:c r="M824" s="12" t="n">
        <x:v>0.29340333450129197</x:v>
      </x:c>
      <x:c r="N824" s="11" t="n">
        <x:v>2686315</x:v>
      </x:c>
      <x:c r="O824" s="11" t="n">
        <x:v>3946021</x:v>
      </x:c>
      <x:c r="P824" s="11" t="n">
        <x:v>5056700</x:v>
      </x:c>
      <x:c r="Q824" s="11" t="n">
        <x:v>1233796</x:v>
      </x:c>
      <x:c r="R824" s="11" t="n">
        <x:v>6296608</x:v>
      </x:c>
      <x:c r="S824" s="11" t="n">
        <x:v>2519260</x:v>
      </x:c>
      <x:c r="T824" s="11" t="n">
        <x:v>7378322</x:v>
      </x:c>
      <x:c r="U824" s="11" t="n">
        <x:v>20192559</x:v>
      </x:c>
      <x:c r="V824" s="11" t="n">
        <x:v>-9441220</x:v>
      </x:c>
      <x:c r="W824" s="11" t="n">
        <x:v>1133320</x:v>
      </x:c>
      <x:c r="X824" s="11" t="n">
        <x:v>14526305</x:v>
      </x:c>
      <x:c r="Y824" s="11" t="n">
        <x:v>0</x:v>
      </x:c>
      <x:c r="Z824" s="11" t="n">
        <x:v>636662</x:v>
      </x:c>
      <x:c r="AA824" s="11" t="n">
        <x:v>13861397</x:v>
      </x:c>
      <x:c r="AB824" s="11" t="n">
        <x:v>315362</x:v>
      </x:c>
      <x:c r="AC824" s="11" t="n">
        <x:v>952024</x:v>
      </x:c>
      <x:c r="AD824" s="11" t="n">
        <x:v>1849808</x:v>
      </x:c>
      <x:c r="AE824" s="11" t="n">
        <x:v>744311</x:v>
      </x:c>
      <x:c r="AF824" s="11" t="n">
        <x:v>7399231</x:v>
      </x:c>
      <x:c r="AG824" s="11" t="n">
        <x:v>76719546</x:v>
      </x:c>
      <x:c r="AH824" s="11" t="n">
        <x:v>14000229</x:v>
      </x:c>
      <x:c r="AI824" s="11" t="n">
        <x:v>62719317</x:v>
      </x:c>
      <x:c r="AJ824" s="11" t="n">
        <x:v>4358229</x:v>
      </x:c>
      <x:c r="AK824" s="11" t="n">
        <x:v>6753429</x:v>
      </x:c>
      <x:c r="AL824" s="11" t="n">
        <x:v>0</x:v>
      </x:c>
      <x:c r="AM824" s="12" t="n">
        <x:v>1</x:v>
      </x:c>
      <x:c r="AN824" s="12" t="n">
        <x:v>0.6453357250072519</x:v>
      </x:c>
      <x:c r="AO824" s="11" t="n">
        <x:v>7071014</x:v>
      </x:c>
      <x:c r="AP824" s="11" t="n">
        <x:v>6942506</x:v>
      </x:c>
      <x:c r="AQ824" s="12" t="n">
        <x:v>0.9818260860464991</x:v>
      </x:c>
      <x:c r="AR824" s="11" t="n">
        <x:v>12619.953125</x:v>
      </x:c>
      <x:c r="AS824" s="11" t="n">
        <x:v>8917.216796875</x:v>
      </x:c>
      <x:c r="AT824" s="11" t="n">
        <x:v>-9219.94140625</x:v>
      </x:c>
      <x:c r="AU824" s="11" t="n">
        <x:v>1106.7578125</x:v>
      </x:c>
      <x:c r="AV824" s="11" t="n">
        <x:v>13536.5205078125</x:v>
      </x:c>
      <x:c r="AW824" s="11" t="n">
        <x:v>0.36539806569340716</x:v>
      </x:c>
      <x:c r="AX824" s="12" t="n">
        <x:v>0.4023720299620285</x:v>
      </x:c>
      <x:c r="AY824" s="11"/>
      <x:c r="AZ824" s="11"/>
      <x:c r="BA824" s="11"/>
      <x:c r="BB824" s="11"/>
      <x:c r="BC824" s="11"/>
      <x:c r="BD824" s="11"/>
      <x:c r="BE824" s="11"/>
      <x:c r="BF824" s="11"/>
      <x:c r="BG824" s="11"/>
      <x:c r="BH824" s="11"/>
      <x:c r="BI824" s="11"/>
      <x:c r="BJ824" s="11"/>
      <x:c r="BK824" s="12"/>
      <x:c r="BL824" s="12"/>
      <x:c r="BM824" s="12"/>
      <x:c r="BN824" s="12"/>
      <x:c r="BO824" s="12"/>
      <x:c r="BP824" s="12"/>
      <x:c r="BQ824" s="12"/>
      <x:c r="BR824" s="12"/>
      <x:c r="BS824" s="12"/>
      <x:c r="BT824" s="12"/>
      <x:c r="BU824" s="11" t="n">
        <x:v>0</x:v>
      </x:c>
      <x:c r="BV824" s="11" t="n">
        <x:v>4967552</x:v>
      </x:c>
      <x:c r="BW824" s="11" t="n">
        <x:v>89148</x:v>
      </x:c>
      <x:c r="BX824" s="11" t="n">
        <x:v>310963</x:v>
      </x:c>
      <x:c r="BY824" s="11" t="n">
        <x:v>0</x:v>
      </x:c>
      <x:c r="BZ824" s="11" t="n">
        <x:v>706655</x:v>
      </x:c>
      <x:c r="CA824" s="11" t="n">
        <x:v>0</x:v>
      </x:c>
      <x:c r="CB824" s="11" t="n">
        <x:v>216178</x:v>
      </x:c>
      <x:c r="CC824" s="11" t="n">
        <x:v>1346398</x:v>
      </x:c>
      <x:c r="CD824" s="11" t="n">
        <x:v>944380</x:v>
      </x:c>
      <x:c r="CE824" s="11" t="n">
        <x:v>0</x:v>
      </x:c>
      <x:c r="CF824" s="11" t="n">
        <x:v>639422</x:v>
      </x:c>
      <x:c r="CG824" s="11" t="n">
        <x:v>193903</x:v>
      </x:c>
      <x:c r="CH824" s="11" t="n">
        <x:v>805803</x:v>
      </x:c>
      <x:c r="CI824" s="11" t="n">
        <x:v>405536</x:v>
      </x:c>
      <x:c r="CJ824" s="11" t="n">
        <x:v>1019570</x:v>
      </x:c>
      <x:c r="CK824" s="11" t="n">
        <x:v>1128466</x:v>
      </x:c>
      <x:c r="CL824" s="11" t="n">
        <x:v>99477</x:v>
      </x:c>
      <x:c r="CM824" s="11" t="n">
        <x:v>0</x:v>
      </x:c>
      <x:c r="CN824" s="11" t="n">
        <x:v>29015</x:v>
      </x:c>
      <x:c r="CO824" s="11" t="n">
        <x:v>0</x:v>
      </x:c>
      <x:c r="CP824" s="8"/>
      <x:c r="CQ824" s="8"/>
    </x:row>
    <x:row r="825">
      <x:c r="A825" s="8" t="str">
        <x:v>Sun Peaks|2024</x:v>
      </x:c>
      <x:c r="B825" s="8" t="str">
        <x:v>sun-peaks-v</x:v>
      </x:c>
      <x:c r="C825" s="8" t="str">
        <x:v>Sun Peaks</x:v>
      </x:c>
      <x:c r="D825" s="8" t="str">
        <x:v>Sun Peaks</x:v>
      </x:c>
      <x:c r="E825" s="8" t="str">
        <x:v>V</x:v>
      </x:c>
      <x:c r="F825" s="8" t="str">
        <x:v>TNR</x:v>
      </x:c>
      <x:c r="G825" s="9" t="n">
        <x:v>2024</x:v>
      </x:c>
      <x:c r="H825" s="10" t="n">
        <x:v>1024</x:v>
      </x:c>
      <x:c r="I825" s="8" t="str">
        <x:v>Under 5,000</x:v>
      </x:c>
      <x:c r="J825" s="11" t="n">
        <x:v>9931372</x:v>
      </x:c>
      <x:c r="K825" s="11" t="n">
        <x:v>9397487</x:v>
      </x:c>
      <x:c r="L825" s="11" t="n">
        <x:v>533885</x:v>
      </x:c>
      <x:c r="M825" s="12" t="n">
        <x:v>0.053757426466353286</x:v>
      </x:c>
      <x:c r="N825" s="11" t="n">
        <x:v>2998057</x:v>
      </x:c>
      <x:c r="O825" s="11" t="n">
        <x:v>4125813</x:v>
      </x:c>
      <x:c r="P825" s="11" t="n">
        <x:v>1453008</x:v>
      </x:c>
      <x:c r="Q825" s="11" t="n">
        <x:v>1354494</x:v>
      </x:c>
      <x:c r="R825" s="11" t="n">
        <x:v>6381688</x:v>
      </x:c>
      <x:c r="S825" s="11" t="n">
        <x:v>2700870</x:v>
      </x:c>
      <x:c r="T825" s="11" t="n">
        <x:v>9163141</x:v>
      </x:c>
      <x:c r="U825" s="11" t="n">
        <x:v>21099272</x:v>
      </x:c>
      <x:c r="V825" s="11" t="n">
        <x:v>-9601775</x:v>
      </x:c>
      <x:c r="W825" s="11" t="n">
        <x:v>752657</x:v>
      </x:c>
      <x:c r="X825" s="11" t="n">
        <x:v>13861397</x:v>
      </x:c>
      <x:c r="Y825" s="11" t="n">
        <x:v>0</x:v>
      </x:c>
      <x:c r="Z825" s="11" t="n">
        <x:v>625801</x:v>
      </x:c>
      <x:c r="AA825" s="11" t="n">
        <x:v>13191738</x:v>
      </x:c>
      <x:c r="AB825" s="11" t="n">
        <x:v>314929</x:v>
      </x:c>
      <x:c r="AC825" s="11" t="n">
        <x:v>940730</x:v>
      </x:c>
      <x:c r="AD825" s="11" t="n">
        <x:v>1955110</x:v>
      </x:c>
      <x:c r="AE825" s="11" t="n">
        <x:v>862243</x:v>
      </x:c>
      <x:c r="AF825" s="11" t="n">
        <x:v>7820440</x:v>
      </x:c>
      <x:c r="AG825" s="11" t="n">
        <x:v>80090864</x:v>
      </x:c>
      <x:c r="AH825" s="11" t="n">
        <x:v>16696015</x:v>
      </x:c>
      <x:c r="AI825" s="11" t="n">
        <x:v>63394849</x:v>
      </x:c>
      <x:c r="AJ825" s="11" t="n">
        <x:v>3376402</x:v>
      </x:c>
      <x:c r="AK825" s="11" t="n">
        <x:v>95098625</x:v>
      </x:c>
      <x:c r="AL825" s="11" t="n">
        <x:v>99197873</x:v>
      </x:c>
      <x:c r="AM825" s="12" t="n">
        <x:v>-0.043105228913667304</x:v>
      </x:c>
      <x:c r="AN825" s="12" t="n">
        <x:v>0.03550421470341974</x:v>
      </x:c>
      <x:c r="AO825" s="11" t="n">
        <x:v>7582776</x:v>
      </x:c>
      <x:c r="AP825" s="11" t="n">
        <x:v>7466888</x:v>
      </x:c>
      <x:c r="AQ825" s="12" t="n">
        <x:v>0.9847169427133282</x:v>
      </x:c>
      <x:c r="AR825" s="11" t="n">
        <x:v>9698.60546875</x:v>
      </x:c>
      <x:c r="AS825" s="11" t="n">
        <x:v>9177.2333984375</x:v>
      </x:c>
      <x:c r="AT825" s="11" t="n">
        <x:v>-9376.7333984375</x:v>
      </x:c>
      <x:c r="AU825" s="11" t="n">
        <x:v>735.0166015625</x:v>
      </x:c>
      <x:c r="AV825" s="11" t="n">
        <x:v>12882.556640625</x:v>
      </x:c>
      <x:c r="AW825" s="11" t="n">
        <x:v>0.434287069241062</x:v>
      </x:c>
      <x:c r="AX825" s="12" t="n">
        <x:v>0.4410201983520109</x:v>
      </x:c>
      <x:c r="AY825" s="11" t="n">
        <x:v>4648.097865362712</x:v>
      </x:c>
      <x:c r="AZ825" s="11" t="n">
        <x:v>3546.5079302077975</x:v>
      </x:c>
      <x:c r="BA825" s="11" t="n">
        <x:v>3428.422456291105</x:v>
      </x:c>
      <x:c r="BB825" s="11" t="n">
        <x:v>2783.665107049771</x:v>
      </x:c>
      <x:c r="BC825" s="11" t="n">
        <x:v>5030.364110900993</x:v>
      </x:c>
      <x:c r="BD825" s="11" t="n">
        <x:v>2437.8724475115623</x:v>
      </x:c>
      <x:c r="BE825" s="11" t="n">
        <x:v>2420.45</x:v>
      </x:c>
      <x:c r="BF825" s="11" t="n">
        <x:v>1604.3462673977224</x:v>
      </x:c>
      <x:c r="BG825" s="11" t="n">
        <x:v>224.31236112962716</x:v>
      </x:c>
      <x:c r="BH825" s="11" t="n">
        <x:v>518.5374381567245</x:v>
      </x:c>
      <x:c r="BI825" s="11" t="n">
        <x:v>2.204313821553219</x:v>
      </x:c>
      <x:c r="BJ825" s="11" t="n">
        <x:v>1.7099330852451193</x:v>
      </x:c>
      <x:c r="BK825" s="12" t="n">
        <x:v>0.030042455998363887</x:v>
      </x:c>
      <x:c r="BL825" s="12" t="n">
        <x:v>0.02529861000232605</x:v>
      </x:c>
      <x:c r="BM825" s="12" t="n">
        <x:v>0.9786113537119745</x:v>
      </x:c>
      <x:c r="BN825" s="12" t="n">
        <x:v>0.9815511712696461</x:v>
      </x:c>
      <x:c r="BO825" s="12" t="n">
        <x:v>0.9039920521842442</x:v>
      </x:c>
      <x:c r="BP825" s="12" t="n">
        <x:v>0.8619101997275483</x:v>
      </x:c>
      <x:c r="BQ825" s="12" t="n">
        <x:v>0.9333160528846489</x:v>
      </x:c>
      <x:c r="BR825" s="12" t="n">
        <x:v>0.9623635142836453</x:v>
      </x:c>
      <x:c r="BS825" s="12" t="n">
        <x:v>0.20869205825466772</x:v>
      </x:c>
      <x:c r="BT825" s="12" t="n">
        <x:v>0.19976549769108282</x:v>
      </x:c>
      <x:c r="BU825" s="11" t="n">
        <x:v>0</x:v>
      </x:c>
      <x:c r="BV825" s="11" t="n">
        <x:v>1325667</x:v>
      </x:c>
      <x:c r="BW825" s="11" t="n">
        <x:v>127341</x:v>
      </x:c>
      <x:c r="BX825" s="11" t="n">
        <x:v>335011</x:v>
      </x:c>
      <x:c r="BY825" s="11" t="n">
        <x:v>0</x:v>
      </x:c>
      <x:c r="BZ825" s="11" t="n">
        <x:v>910366</x:v>
      </x:c>
      <x:c r="CA825" s="11" t="n">
        <x:v>0</x:v>
      </x:c>
      <x:c r="CB825" s="11" t="n">
        <x:v>109117</x:v>
      </x:c>
      <x:c r="CC825" s="11" t="n">
        <x:v>1127274</x:v>
      </x:c>
      <x:c r="CD825" s="11" t="n">
        <x:v>1111238</x:v>
      </x:c>
      <x:c r="CE825" s="11" t="n">
        <x:v>0</x:v>
      </x:c>
      <x:c r="CF825" s="11" t="n">
        <x:v>0</x:v>
      </x:c>
      <x:c r="CG825" s="11" t="n">
        <x:v>168972</x:v>
      </x:c>
      <x:c r="CH825" s="11" t="n">
        <x:v>907297</x:v>
      </x:c>
      <x:c r="CI825" s="11" t="n">
        <x:v>484968</x:v>
      </x:c>
      <x:c r="CJ825" s="11" t="n">
        <x:v>1110793</x:v>
      </x:c>
      <x:c r="CK825" s="11" t="n">
        <x:v>1117126</x:v>
      </x:c>
      <x:c r="CL825" s="11" t="n">
        <x:v>668949</x:v>
      </x:c>
      <x:c r="CM825" s="11" t="n">
        <x:v>0</x:v>
      </x:c>
      <x:c r="CN825" s="11" t="n">
        <x:v>0</x:v>
      </x:c>
      <x:c r="CO825" s="11" t="n">
        <x:v>0</x:v>
      </x:c>
      <x:c r="CP825" s="8"/>
      <x:c r="CQ825" s="8"/>
    </x:row>
    <x:row r="826">
      <x:c r="A826" s="8" t="str">
        <x:v>Surrey|2019</x:v>
      </x:c>
      <x:c r="B826" s="8" t="str">
        <x:v>surrey-c</x:v>
      </x:c>
      <x:c r="C826" s="8" t="str">
        <x:v>Surrey</x:v>
      </x:c>
      <x:c r="D826" s="8" t="str">
        <x:v>Surrey</x:v>
      </x:c>
      <x:c r="E826" s="8" t="str">
        <x:v>C</x:v>
      </x:c>
      <x:c r="F826" s="8" t="str">
        <x:v>GVR</x:v>
      </x:c>
      <x:c r="G826" s="9" t="n">
        <x:v>2019</x:v>
      </x:c>
      <x:c r="H826" s="10" t="n">
        <x:v>584526</x:v>
      </x:c>
      <x:c r="I826" s="8" t="str">
        <x:v>100,000 and over</x:v>
      </x:c>
      <x:c r="J826" s="11" t="n">
        <x:v>1131945000</x:v>
      </x:c>
      <x:c r="K826" s="11" t="n">
        <x:v>842425000</x:v>
      </x:c>
      <x:c r="L826" s="11" t="n">
        <x:v>289520000</x:v>
      </x:c>
      <x:c r="M826" s="12" t="n">
        <x:v>0.2557721444063095</x:v>
      </x:c>
      <x:c r="N826" s="11" t="n">
        <x:v>443667000</x:v>
      </x:c>
      <x:c r="O826" s="11" t="n">
        <x:v>323654000</x:v>
      </x:c>
      <x:c r="P826" s="11" t="n">
        <x:v>28926000</x:v>
      </x:c>
      <x:c r="Q826" s="11" t="n">
        <x:v>335698000</x:v>
      </x:c>
      <x:c r="R826" s="11" t="n">
        <x:v>697973000</x:v>
      </x:c>
      <x:c r="S826" s="11" t="n">
        <x:v>134016000</x:v>
      </x:c>
      <x:c r="T826" s="11" t="n">
        <x:v>986585000</x:v>
      </x:c>
      <x:c r="U826" s="11" t="n">
        <x:v>1124523000</x:v>
      </x:c>
      <x:c r="V826" s="11" t="n">
        <x:v>38757000</x:v>
      </x:c>
      <x:c r="W826" s="11" t="n">
        <x:v>57512000</x:v>
      </x:c>
      <x:c r="X826" s="11" t="n">
        <x:v>229024000</x:v>
      </x:c>
      <x:c r="Y826" s="11" t="n">
        <x:v>0</x:v>
      </x:c>
      <x:c r="Z826" s="11" t="n">
        <x:v>5941587</x:v>
      </x:c>
      <x:c r="AA826" s="11" t="n">
        <x:v>221777000</x:v>
      </x:c>
      <x:c r="AB826" s="11" t="n">
        <x:v>10436000</x:v>
      </x:c>
      <x:c r="AC826" s="11" t="n">
        <x:v>16377587</x:v>
      </x:c>
      <x:c r="AD826" s="11" t="n">
        <x:v>201526594</x:v>
      </x:c>
      <x:c r="AE826" s="11" t="n">
        <x:v>185149007</x:v>
      </x:c>
      <x:c r="AF826" s="11" t="n">
        <x:v>806106374</x:v>
      </x:c>
      <x:c r="AG826" s="11" t="n">
        <x:v>11458237000</x:v>
      </x:c>
      <x:c r="AH826" s="11" t="n">
        <x:v>2162569000</x:v>
      </x:c>
      <x:c r="AI826" s="11" t="n">
        <x:v>9295668000</x:v>
      </x:c>
      <x:c r="AJ826" s="11" t="n">
        <x:v>451276000</x:v>
      </x:c>
      <x:c r="AK826" s="11" t="n">
        <x:v>21989917000</x:v>
      </x:c>
      <x:c r="AL826" s="11" t="n">
        <x:v>156746000</x:v>
      </x:c>
      <x:c r="AM826" s="12" t="n">
        <x:v>0.9928719148871731</x:v>
      </x:c>
      <x:c r="AN826" s="12" t="n">
        <x:v>0.020521951037832477</x:v>
      </x:c>
      <x:c r="AO826" s="11" t="n">
        <x:v>793324000</x:v>
      </x:c>
      <x:c r="AP826" s="11" t="n">
        <x:v>769734000</x:v>
      </x:c>
      <x:c r="AQ826" s="12" t="n">
        <x:v>0.9702643560512476</x:v>
      </x:c>
      <x:c r="AR826" s="11" t="n">
        <x:v>1936.5177939048049</x:v>
      </x:c>
      <x:c r="AS826" s="11" t="n">
        <x:v>1441.2104850767973</x:v>
      </x:c>
      <x:c r="AT826" s="11" t="n">
        <x:v>66.30500610751275</x:v>
      </x:c>
      <x:c r="AU826" s="11" t="n">
        <x:v>98.3908329141903</x:v>
      </x:c>
      <x:c r="AV826" s="11" t="n">
        <x:v>379.4134050495615</x:v>
      </x:c>
      <x:c r="AW826" s="11" t="n">
        <x:v>0.8773364350929238</x:v>
      </x:c>
      <x:c r="AX826" s="12" t="n">
        <x:v>0.918732378318268</x:v>
      </x:c>
      <x:c r="AY826" s="11"/>
      <x:c r="AZ826" s="11"/>
      <x:c r="BA826" s="11"/>
      <x:c r="BB826" s="11"/>
      <x:c r="BC826" s="11"/>
      <x:c r="BD826" s="11"/>
      <x:c r="BE826" s="11"/>
      <x:c r="BF826" s="11"/>
      <x:c r="BG826" s="11"/>
      <x:c r="BH826" s="11"/>
      <x:c r="BI826" s="11"/>
      <x:c r="BJ826" s="11"/>
      <x:c r="BK826" s="12"/>
      <x:c r="BL826" s="12"/>
      <x:c r="BM826" s="12"/>
      <x:c r="BN826" s="12"/>
      <x:c r="BO826" s="12"/>
      <x:c r="BP826" s="12"/>
      <x:c r="BQ826" s="12"/>
      <x:c r="BR826" s="12"/>
      <x:c r="BS826" s="12"/>
      <x:c r="BT826" s="12"/>
      <x:c r="BU826" s="11" t="n">
        <x:v>1669000</x:v>
      </x:c>
      <x:c r="BV826" s="11" t="n">
        <x:v>15796000</x:v>
      </x:c>
      <x:c r="BW826" s="11" t="n">
        <x:v>11461000</x:v>
      </x:c>
      <x:c r="BX826" s="11" t="n">
        <x:v>28643000</x:v>
      </x:c>
      <x:c r="BY826" s="11" t="n">
        <x:v>0</x:v>
      </x:c>
      <x:c r="BZ826" s="11" t="n">
        <x:v>294910000</x:v>
      </x:c>
      <x:c r="CA826" s="11" t="n">
        <x:v>12145000</x:v>
      </x:c>
      <x:c r="CB826" s="11" t="n">
        <x:v>0</x:v>
      </x:c>
      <x:c r="CC826" s="11" t="n">
        <x:v>101915000</x:v>
      </x:c>
      <x:c r="CD826" s="11" t="n">
        <x:v>242480000</x:v>
      </x:c>
      <x:c r="CE826" s="11" t="n">
        <x:v>35788000</x:v>
      </x:c>
      <x:c r="CF826" s="11" t="n">
        <x:v>0</x:v>
      </x:c>
      <x:c r="CG826" s="11" t="n">
        <x:v>30366000</x:v>
      </x:c>
      <x:c r="CH826" s="11" t="n">
        <x:v>31924000</x:v>
      </x:c>
      <x:c r="CI826" s="11" t="n">
        <x:v>122650000</x:v>
      </x:c>
      <x:c r="CJ826" s="11" t="n">
        <x:v>66425000</x:v>
      </x:c>
      <x:c r="CK826" s="11" t="n">
        <x:v>75007000</x:v>
      </x:c>
      <x:c r="CL826" s="11" t="n">
        <x:v>1854000</x:v>
      </x:c>
      <x:c r="CM826" s="11"/>
      <x:c r="CN826" s="11" t="n">
        <x:v>0</x:v>
      </x:c>
      <x:c r="CO826" s="11" t="n">
        <x:v>0</x:v>
      </x:c>
      <x:c r="CP826" s="8"/>
      <x:c r="CQ826" s="8"/>
    </x:row>
    <x:row r="827">
      <x:c r="A827" s="8" t="str">
        <x:v>Surrey|2020</x:v>
      </x:c>
      <x:c r="B827" s="8" t="str">
        <x:v>surrey-c</x:v>
      </x:c>
      <x:c r="C827" s="8" t="str">
        <x:v>Surrey</x:v>
      </x:c>
      <x:c r="D827" s="8" t="str">
        <x:v>Surrey</x:v>
      </x:c>
      <x:c r="E827" s="8" t="str">
        <x:v>C</x:v>
      </x:c>
      <x:c r="F827" s="8" t="str">
        <x:v>GVR</x:v>
      </x:c>
      <x:c r="G827" s="9" t="n">
        <x:v>2020</x:v>
      </x:c>
      <x:c r="H827" s="10" t="n">
        <x:v>598530</x:v>
      </x:c>
      <x:c r="I827" s="8" t="str">
        <x:v>100,000 and over</x:v>
      </x:c>
      <x:c r="J827" s="11" t="n">
        <x:v>1052315000</x:v>
      </x:c>
      <x:c r="K827" s="11" t="n">
        <x:v>779829000</x:v>
      </x:c>
      <x:c r="L827" s="11" t="n">
        <x:v>272486000</x:v>
      </x:c>
      <x:c r="M827" s="12" t="n">
        <x:v>0.2589395760775053</x:v>
      </x:c>
      <x:c r="N827" s="11" t="n">
        <x:v>466975000</x:v>
      </x:c>
      <x:c r="O827" s="11" t="n">
        <x:v>311271000</x:v>
      </x:c>
      <x:c r="P827" s="11" t="n">
        <x:v>42287000</x:v>
      </x:c>
      <x:c r="Q827" s="11" t="n">
        <x:v>231782000</x:v>
      </x:c>
      <x:c r="R827" s="11" t="n">
        <x:v>633099000</x:v>
      </x:c>
      <x:c r="S827" s="11" t="n">
        <x:v>136354000</x:v>
      </x:c>
      <x:c r="T827" s="11" t="n">
        <x:v>1286652000</x:v>
      </x:c>
      <x:c r="U827" s="11" t="n">
        <x:v>1315616000</x:v>
      </x:c>
      <x:c r="V827" s="11" t="n">
        <x:v>131689000</x:v>
      </x:c>
      <x:c r="W827" s="11" t="n">
        <x:v>58771000</x:v>
      </x:c>
      <x:c r="X827" s="11" t="n">
        <x:v>221777000</x:v>
      </x:c>
      <x:c r="Y827" s="11" t="n">
        <x:v>0</x:v>
      </x:c>
      <x:c r="Z827" s="11" t="n">
        <x:v>6002078</x:v>
      </x:c>
      <x:c r="AA827" s="11" t="n">
        <x:v>214230000</x:v>
      </x:c>
      <x:c r="AB827" s="11" t="n">
        <x:v>10376000</x:v>
      </x:c>
      <x:c r="AC827" s="11" t="n">
        <x:v>16378078</x:v>
      </x:c>
      <x:c r="AD827" s="11" t="n">
        <x:v>201307520</x:v>
      </x:c>
      <x:c r="AE827" s="11" t="n">
        <x:v>184929442</x:v>
      </x:c>
      <x:c r="AF827" s="11" t="n">
        <x:v>805230078</x:v>
      </x:c>
      <x:c r="AG827" s="11" t="n">
        <x:v>11746846000</x:v>
      </x:c>
      <x:c r="AH827" s="11" t="n">
        <x:v>2272538000</x:v>
      </x:c>
      <x:c r="AI827" s="11" t="n">
        <x:v>9474308000</x:v>
      </x:c>
      <x:c r="AJ827" s="11" t="n">
        <x:v>317219000</x:v>
      </x:c>
      <x:c r="AK827" s="11" t="n">
        <x:v>16099269778</x:v>
      </x:c>
      <x:c r="AL827" s="11" t="n">
        <x:v>124763445</x:v>
      </x:c>
      <x:c r="AM827" s="12" t="n">
        <x:v>0.9922503662140942</x:v>
      </x:c>
      <x:c r="AN827" s="12" t="n">
        <x:v>0.019703937158285688</x:v>
      </x:c>
      <x:c r="AO827" s="11" t="n">
        <x:v>776296000</x:v>
      </x:c>
      <x:c r="AP827" s="11" t="n">
        <x:v>753263000</x:v>
      </x:c>
      <x:c r="AQ827" s="12" t="n">
        <x:v>0.9703296165380216</x:v>
      </x:c>
      <x:c r="AR827" s="11" t="n">
        <x:v>1758.1658396404525</x:v>
      </x:c>
      <x:c r="AS827" s="11" t="n">
        <x:v>1302.9071224500026</x:v>
      </x:c>
      <x:c r="AT827" s="11" t="n">
        <x:v>220.02071742435635</x:v>
      </x:c>
      <x:c r="AU827" s="11" t="n">
        <x:v>98.19223764890648</x:v>
      </x:c>
      <x:c r="AV827" s="11" t="n">
        <x:v>357.92692095634305</x:v>
      </x:c>
      <x:c r="AW827" s="11" t="n">
        <x:v>0.9779844574708729</x:v>
      </x:c>
      <x:c r="AX827" s="12" t="n">
        <x:v>0.9186414993339543</x:v>
      </x:c>
      <x:c r="AY827" s="11"/>
      <x:c r="AZ827" s="11"/>
      <x:c r="BA827" s="11"/>
      <x:c r="BB827" s="11"/>
      <x:c r="BC827" s="11"/>
      <x:c r="BD827" s="11"/>
      <x:c r="BE827" s="11"/>
      <x:c r="BF827" s="11"/>
      <x:c r="BG827" s="11"/>
      <x:c r="BH827" s="11"/>
      <x:c r="BI827" s="11"/>
      <x:c r="BJ827" s="11"/>
      <x:c r="BK827" s="12"/>
      <x:c r="BL827" s="12"/>
      <x:c r="BM827" s="12"/>
      <x:c r="BN827" s="12"/>
      <x:c r="BO827" s="12"/>
      <x:c r="BP827" s="12"/>
      <x:c r="BQ827" s="12"/>
      <x:c r="BR827" s="12"/>
      <x:c r="BS827" s="12"/>
      <x:c r="BT827" s="12"/>
      <x:c r="BU827" s="11" t="n">
        <x:v>2262000</x:v>
      </x:c>
      <x:c r="BV827" s="11" t="n">
        <x:v>26687000</x:v>
      </x:c>
      <x:c r="BW827" s="11" t="n">
        <x:v>13338000</x:v>
      </x:c>
      <x:c r="BX827" s="11" t="n">
        <x:v>19407000</x:v>
      </x:c>
      <x:c r="BY827" s="11" t="n">
        <x:v>0</x:v>
      </x:c>
      <x:c r="BZ827" s="11" t="n">
        <x:v>212189000</x:v>
      </x:c>
      <x:c r="CA827" s="11" t="n">
        <x:v>186000</x:v>
      </x:c>
      <x:c r="CB827" s="11" t="n">
        <x:v>0</x:v>
      </x:c>
      <x:c r="CC827" s="11" t="n">
        <x:v>64697000</x:v>
      </x:c>
      <x:c r="CD827" s="11" t="n">
        <x:v>242273000</x:v>
      </x:c>
      <x:c r="CE827" s="11" t="n">
        <x:v>37564000</x:v>
      </x:c>
      <x:c r="CF827" s="11" t="n">
        <x:v>0</x:v>
      </x:c>
      <x:c r="CG827" s="11" t="n">
        <x:v>30334000</x:v>
      </x:c>
      <x:c r="CH827" s="11" t="n">
        <x:v>31702000</x:v>
      </x:c>
      <x:c r="CI827" s="11" t="n">
        <x:v>91176000</x:v>
      </x:c>
      <x:c r="CJ827" s="11" t="n">
        <x:v>69493000</x:v>
      </x:c>
      <x:c r="CK827" s="11" t="n">
        <x:v>73381000</x:v>
      </x:c>
      <x:c r="CL827" s="11" t="n">
        <x:v>2169000</x:v>
      </x:c>
      <x:c r="CM827" s="11"/>
      <x:c r="CN827" s="11" t="n">
        <x:v>686000</x:v>
      </x:c>
      <x:c r="CO827" s="11" t="n">
        <x:v>0</x:v>
      </x:c>
      <x:c r="CP827" s="8"/>
      <x:c r="CQ827" s="8"/>
    </x:row>
    <x:row r="828">
      <x:c r="A828" s="8" t="str">
        <x:v>Surrey|2021</x:v>
      </x:c>
      <x:c r="B828" s="8" t="str">
        <x:v>surrey-c</x:v>
      </x:c>
      <x:c r="C828" s="8" t="str">
        <x:v>Surrey</x:v>
      </x:c>
      <x:c r="D828" s="8" t="str">
        <x:v>Surrey</x:v>
      </x:c>
      <x:c r="E828" s="8" t="str">
        <x:v>C</x:v>
      </x:c>
      <x:c r="F828" s="8" t="str">
        <x:v>MVRD</x:v>
      </x:c>
      <x:c r="G828" s="9" t="n">
        <x:v>2021</x:v>
      </x:c>
      <x:c r="H828" s="10" t="n">
        <x:v>614646</x:v>
      </x:c>
      <x:c r="I828" s="8" t="str">
        <x:v>100,000 and over</x:v>
      </x:c>
      <x:c r="J828" s="11" t="n">
        <x:v>1183121000</x:v>
      </x:c>
      <x:c r="K828" s="11" t="n">
        <x:v>877605000</x:v>
      </x:c>
      <x:c r="L828" s="11" t="n">
        <x:v>305516000</x:v>
      </x:c>
      <x:c r="M828" s="12" t="n">
        <x:v>0.25822887092698044</x:v>
      </x:c>
      <x:c r="N828" s="11" t="n">
        <x:v>523731000</x:v>
      </x:c>
      <x:c r="O828" s="11" t="n">
        <x:v>334854000</x:v>
      </x:c>
      <x:c r="P828" s="11" t="n">
        <x:v>49839000</x:v>
      </x:c>
      <x:c r="Q828" s="11" t="n">
        <x:v>274697000</x:v>
      </x:c>
      <x:c r="R828" s="11" t="n">
        <x:v>725589000</x:v>
      </x:c>
      <x:c r="S828" s="11" t="n">
        <x:v>142707000</x:v>
      </x:c>
      <x:c r="T828" s="11" t="n">
        <x:v>1607869000</x:v>
      </x:c>
      <x:c r="U828" s="11" t="n">
        <x:v>1490846000</x:v>
      </x:c>
      <x:c r="V828" s="11" t="n">
        <x:v>277997000</x:v>
      </x:c>
      <x:c r="W828" s="11" t="n">
        <x:v>149042000</x:v>
      </x:c>
      <x:c r="X828" s="11" t="n">
        <x:v>214230000</x:v>
      </x:c>
      <x:c r="Y828" s="11" t="n">
        <x:v>150600000</x:v>
      </x:c>
      <x:c r="Z828" s="11" t="n">
        <x:v>6065988</x:v>
      </x:c>
      <x:c r="AA828" s="11" t="n">
        <x:v>356970000</x:v>
      </x:c>
      <x:c r="AB828" s="11" t="n">
        <x:v>9309000</x:v>
      </x:c>
      <x:c r="AC828" s="11" t="n">
        <x:v>15374988</x:v>
      </x:c>
      <x:c r="AD828" s="11" t="n">
        <x:v>221237003</x:v>
      </x:c>
      <x:c r="AE828" s="11" t="n">
        <x:v>205862015</x:v>
      </x:c>
      <x:c r="AF828" s="11" t="n">
        <x:v>884948013</x:v>
      </x:c>
      <x:c r="AG828" s="11" t="n">
        <x:v>12029241000</x:v>
      </x:c>
      <x:c r="AH828" s="11" t="n">
        <x:v>2397356000</x:v>
      </x:c>
      <x:c r="AI828" s="11" t="n">
        <x:v>9631885000</x:v>
      </x:c>
      <x:c r="AJ828" s="11" t="n">
        <x:v>303857000</x:v>
      </x:c>
      <x:c r="AK828" s="11" t="n">
        <x:v>15846965417</x:v>
      </x:c>
      <x:c r="AL828" s="11" t="n">
        <x:v>121678709</x:v>
      </x:c>
      <x:c r="AM828" s="12" t="n">
        <x:v>0.9923216397715194</x:v>
      </x:c>
      <x:c r="AN828" s="12" t="n">
        <x:v>0.019174459715425023</x:v>
      </x:c>
      <x:c r="AO828" s="11" t="n">
        <x:v>923029000</x:v>
      </x:c>
      <x:c r="AP828" s="11" t="n">
        <x:v>902065000</x:v>
      </x:c>
      <x:c r="AQ828" s="12" t="n">
        <x:v>0.9772878208593663</x:v>
      </x:c>
      <x:c r="AR828" s="11" t="n">
        <x:v>1924.8819645779847</x:v>
      </x:c>
      <x:c r="AS828" s="11" t="n">
        <x:v>1427.8218681973037</x:v>
      </x:c>
      <x:c r="AT828" s="11" t="n">
        <x:v>452.2879836523788</x:v>
      </x:c>
      <x:c r="AU828" s="11" t="n">
        <x:v>242.48429177119837</x:v>
      </x:c>
      <x:c r="AV828" s="11" t="n">
        <x:v>580.7733231811482</x:v>
      </x:c>
      <x:c r="AW828" s="11" t="n">
        <x:v>1.078494358236867</x:v>
      </x:c>
      <x:c r="AX828" s="12" t="n">
        <x:v>0.9305044464013101</x:v>
      </x:c>
      <x:c r="AY828" s="11"/>
      <x:c r="AZ828" s="11"/>
      <x:c r="BA828" s="11"/>
      <x:c r="BB828" s="11"/>
      <x:c r="BC828" s="11"/>
      <x:c r="BD828" s="11"/>
      <x:c r="BE828" s="11"/>
      <x:c r="BF828" s="11"/>
      <x:c r="BG828" s="11"/>
      <x:c r="BH828" s="11"/>
      <x:c r="BI828" s="11"/>
      <x:c r="BJ828" s="11"/>
      <x:c r="BK828" s="12"/>
      <x:c r="BL828" s="12"/>
      <x:c r="BM828" s="12"/>
      <x:c r="BN828" s="12"/>
      <x:c r="BO828" s="12"/>
      <x:c r="BP828" s="12"/>
      <x:c r="BQ828" s="12"/>
      <x:c r="BR828" s="12"/>
      <x:c r="BS828" s="12"/>
      <x:c r="BT828" s="12"/>
      <x:c r="BU828" s="11" t="n">
        <x:v>13934000</x:v>
      </x:c>
      <x:c r="BV828" s="11" t="n">
        <x:v>16120000</x:v>
      </x:c>
      <x:c r="BW828" s="11" t="n">
        <x:v>19785000</x:v>
      </x:c>
      <x:c r="BX828" s="11" t="n">
        <x:v>18015000</x:v>
      </x:c>
      <x:c r="BY828" s="11" t="n">
        <x:v>0</x:v>
      </x:c>
      <x:c r="BZ828" s="11" t="n">
        <x:v>253211000</x:v>
      </x:c>
      <x:c r="CA828" s="11" t="n">
        <x:v>3471000</x:v>
      </x:c>
      <x:c r="CB828" s="11" t="n">
        <x:v>0</x:v>
      </x:c>
      <x:c r="CC828" s="11" t="n">
        <x:v>73016000</x:v>
      </x:c>
      <x:c r="CD828" s="11" t="n">
        <x:v>305321000</x:v>
      </x:c>
      <x:c r="CE828" s="11" t="n">
        <x:v>39199000</x:v>
      </x:c>
      <x:c r="CF828" s="11" t="n">
        <x:v>0</x:v>
      </x:c>
      <x:c r="CG828" s="11" t="n">
        <x:v>31046000</x:v>
      </x:c>
      <x:c r="CH828" s="11" t="n">
        <x:v>34535000</x:v>
      </x:c>
      <x:c r="CI828" s="11" t="n">
        <x:v>101240000</x:v>
      </x:c>
      <x:c r="CJ828" s="11" t="n">
        <x:v>70013000</x:v>
      </x:c>
      <x:c r="CK828" s="11" t="n">
        <x:v>77702000</x:v>
      </x:c>
      <x:c r="CL828" s="11" t="n">
        <x:v>2826000</x:v>
      </x:c>
      <x:c r="CM828" s="11"/>
      <x:c r="CN828" s="11" t="n">
        <x:v>0</x:v>
      </x:c>
      <x:c r="CO828" s="11" t="n">
        <x:v>0</x:v>
      </x:c>
      <x:c r="CP828" s="8"/>
      <x:c r="CQ828" s="8"/>
    </x:row>
    <x:row r="829">
      <x:c r="A829" s="8" t="str">
        <x:v>Surrey|2022</x:v>
      </x:c>
      <x:c r="B829" s="8" t="str">
        <x:v>surrey-c</x:v>
      </x:c>
      <x:c r="C829" s="8" t="str">
        <x:v>Surrey</x:v>
      </x:c>
      <x:c r="D829" s="8" t="str">
        <x:v>Surrey</x:v>
      </x:c>
      <x:c r="E829" s="8" t="str">
        <x:v>C</x:v>
      </x:c>
      <x:c r="F829" s="8" t="str">
        <x:v>MVRD</x:v>
      </x:c>
      <x:c r="G829" s="9" t="n">
        <x:v>2022</x:v>
      </x:c>
      <x:c r="H829" s="10" t="n">
        <x:v>633234</x:v>
      </x:c>
      <x:c r="I829" s="8" t="str">
        <x:v>100,000 and over</x:v>
      </x:c>
      <x:c r="J829" s="11" t="n">
        <x:v>1424543000</x:v>
      </x:c>
      <x:c r="K829" s="11" t="n">
        <x:v>945197000</x:v>
      </x:c>
      <x:c r="L829" s="11" t="n">
        <x:v>479346000</x:v>
      </x:c>
      <x:c r="M829" s="12" t="n">
        <x:v>0.33649107117159677</x:v>
      </x:c>
      <x:c r="N829" s="11" t="n">
        <x:v>538875000</x:v>
      </x:c>
      <x:c r="O829" s="11" t="n">
        <x:v>373706000</x:v>
      </x:c>
      <x:c r="P829" s="11" t="n">
        <x:v>69391000</x:v>
      </x:c>
      <x:c r="Q829" s="11" t="n">
        <x:v>442571000</x:v>
      </x:c>
      <x:c r="R829" s="11" t="n">
        <x:v>791404000</x:v>
      </x:c>
      <x:c r="S829" s="11" t="n">
        <x:v>142440000</x:v>
      </x:c>
      <x:c r="T829" s="11" t="n">
        <x:v>1700752000</x:v>
      </x:c>
      <x:c r="U829" s="11" t="n">
        <x:v>1456805000</x:v>
      </x:c>
      <x:c r="V829" s="11" t="n">
        <x:v>453407000</x:v>
      </x:c>
      <x:c r="W829" s="11" t="n">
        <x:v>263411000</x:v>
      </x:c>
      <x:c r="X829" s="11" t="n">
        <x:v>356970000</x:v>
      </x:c>
      <x:c r="Y829" s="11" t="n">
        <x:v>0</x:v>
      </x:c>
      <x:c r="Z829" s="11" t="n">
        <x:v>21590080</x:v>
      </x:c>
      <x:c r="AA829" s="11" t="n">
        <x:v>333471000</x:v>
      </x:c>
      <x:c r="AB829" s="11" t="n">
        <x:v>11353000</x:v>
      </x:c>
      <x:c r="AC829" s="11" t="n">
        <x:v>32943080</x:v>
      </x:c>
      <x:c r="AD829" s="11" t="n">
        <x:v>240089020</x:v>
      </x:c>
      <x:c r="AE829" s="11" t="n">
        <x:v>207145940</x:v>
      </x:c>
      <x:c r="AF829" s="11" t="n">
        <x:v>960356080</x:v>
      </x:c>
      <x:c r="AG829" s="11" t="n">
        <x:v>12562360000</x:v>
      </x:c>
      <x:c r="AH829" s="11" t="n">
        <x:v>2627949000</x:v>
      </x:c>
      <x:c r="AI829" s="11" t="n">
        <x:v>9934411000</x:v>
      </x:c>
      <x:c r="AJ829" s="11" t="n">
        <x:v>449537000</x:v>
      </x:c>
      <x:c r="AK829" s="11" t="n">
        <x:v>11529846593</x:v>
      </x:c>
      <x:c r="AL829" s="11" t="n">
        <x:v>85601768</x:v>
      </x:c>
      <x:c r="AM829" s="12" t="n">
        <x:v>0.9925756368647636</x:v>
      </x:c>
      <x:c r="AN829" s="12" t="n">
        <x:v>0.03898898362385176</x:v>
      </x:c>
      <x:c r="AO829" s="11" t="n">
        <x:v>1008583000</x:v>
      </x:c>
      <x:c r="AP829" s="11" t="n">
        <x:v>982084000</x:v>
      </x:c>
      <x:c r="AQ829" s="12" t="n">
        <x:v>0.9737265054041164</x:v>
      </x:c>
      <x:c r="AR829" s="11" t="n">
        <x:v>2249.631257955195</x:v>
      </x:c>
      <x:c r="AS829" s="11" t="n">
        <x:v>1492.6504262247447</x:v>
      </x:c>
      <x:c r="AT829" s="11" t="n">
        <x:v>716.0180912585237</x:v>
      </x:c>
      <x:c r="AU829" s="11" t="n">
        <x:v>415.9773480261641</x:v>
      </x:c>
      <x:c r="AV829" s="11" t="n">
        <x:v>526.6157534181677</x:v>
      </x:c>
      <x:c r="AW829" s="11" t="n">
        <x:v>1.1674534340560336</x:v>
      </x:c>
      <x:c r="AX829" s="12" t="n">
        <x:v>0.8627880608617587</x:v>
      </x:c>
      <x:c r="AY829" s="11"/>
      <x:c r="AZ829" s="11"/>
      <x:c r="BA829" s="11"/>
      <x:c r="BB829" s="11"/>
      <x:c r="BC829" s="11"/>
      <x:c r="BD829" s="11"/>
      <x:c r="BE829" s="11"/>
      <x:c r="BF829" s="11"/>
      <x:c r="BG829" s="11"/>
      <x:c r="BH829" s="11"/>
      <x:c r="BI829" s="11"/>
      <x:c r="BJ829" s="11"/>
      <x:c r="BK829" s="12"/>
      <x:c r="BL829" s="12"/>
      <x:c r="BM829" s="12"/>
      <x:c r="BN829" s="12"/>
      <x:c r="BO829" s="12"/>
      <x:c r="BP829" s="12"/>
      <x:c r="BQ829" s="12"/>
      <x:c r="BR829" s="12"/>
      <x:c r="BS829" s="12"/>
      <x:c r="BT829" s="12"/>
      <x:c r="BU829" s="11" t="n">
        <x:v>12478000</x:v>
      </x:c>
      <x:c r="BV829" s="11" t="n">
        <x:v>26708000</x:v>
      </x:c>
      <x:c r="BW829" s="11" t="n">
        <x:v>30205000</x:v>
      </x:c>
      <x:c r="BX829" s="11" t="n">
        <x:v>40003000</x:v>
      </x:c>
      <x:c r="BY829" s="11" t="n">
        <x:v>0</x:v>
      </x:c>
      <x:c r="BZ829" s="11" t="n">
        <x:v>374126000</x:v>
      </x:c>
      <x:c r="CA829" s="11" t="n">
        <x:v>28442000</x:v>
      </x:c>
      <x:c r="CB829" s="11" t="n">
        <x:v>0</x:v>
      </x:c>
      <x:c r="CC829" s="11" t="n">
        <x:v>78918000</x:v>
      </x:c>
      <x:c r="CD829" s="11" t="n">
        <x:v>315169000</x:v>
      </x:c>
      <x:c r="CE829" s="11" t="n">
        <x:v>37438000</x:v>
      </x:c>
      <x:c r="CF829" s="11" t="n">
        <x:v>0</x:v>
      </x:c>
      <x:c r="CG829" s="11" t="n">
        <x:v>34127000</x:v>
      </x:c>
      <x:c r="CH829" s="11" t="n">
        <x:v>56322000</x:v>
      </x:c>
      <x:c r="CI829" s="11" t="n">
        <x:v>126834000</x:v>
      </x:c>
      <x:c r="CJ829" s="11" t="n">
        <x:v>82248000</x:v>
      </x:c>
      <x:c r="CK829" s="11" t="n">
        <x:v>68051000</x:v>
      </x:c>
      <x:c r="CL829" s="11" t="n">
        <x:v>3650000</x:v>
      </x:c>
      <x:c r="CM829" s="11"/>
      <x:c r="CN829" s="11" t="n">
        <x:v>0</x:v>
      </x:c>
      <x:c r="CO829" s="11" t="n">
        <x:v>0</x:v>
      </x:c>
      <x:c r="CP829" s="8"/>
      <x:c r="CQ829" s="8"/>
    </x:row>
    <x:row r="830">
      <x:c r="A830" s="8" t="str">
        <x:v>Surrey|2023</x:v>
      </x:c>
      <x:c r="B830" s="8" t="str">
        <x:v>surrey-c</x:v>
      </x:c>
      <x:c r="C830" s="8" t="str">
        <x:v>Surrey</x:v>
      </x:c>
      <x:c r="D830" s="8" t="str">
        <x:v>Surrey</x:v>
      </x:c>
      <x:c r="E830" s="8" t="str">
        <x:v>C</x:v>
      </x:c>
      <x:c r="F830" s="8" t="str">
        <x:v>MVRD</x:v>
      </x:c>
      <x:c r="G830" s="9" t="n">
        <x:v>2023</x:v>
      </x:c>
      <x:c r="H830" s="10" t="n">
        <x:v>662561</x:v>
      </x:c>
      <x:c r="I830" s="8" t="str">
        <x:v>100,000 and over</x:v>
      </x:c>
      <x:c r="J830" s="11" t="n">
        <x:v>1650550000</x:v>
      </x:c>
      <x:c r="K830" s="11" t="n">
        <x:v>1026368000</x:v>
      </x:c>
      <x:c r="L830" s="11" t="n">
        <x:v>624182000</x:v>
      </x:c>
      <x:c r="M830" s="12" t="n">
        <x:v>0.3781660658568356</x:v>
      </x:c>
      <x:c r="N830" s="11" t="n">
        <x:v>608067000</x:v>
      </x:c>
      <x:c r="O830" s="11" t="n">
        <x:v>413096000</x:v>
      </x:c>
      <x:c r="P830" s="11" t="n">
        <x:v>200104000</x:v>
      </x:c>
      <x:c r="Q830" s="11" t="n">
        <x:v>429283000</x:v>
      </x:c>
      <x:c r="R830" s="11" t="n">
        <x:v>868041000</x:v>
      </x:c>
      <x:c r="S830" s="11" t="n">
        <x:v>147244000</x:v>
      </x:c>
      <x:c r="T830" s="11" t="n">
        <x:v>2020510000</x:v>
      </x:c>
      <x:c r="U830" s="11" t="n">
        <x:v>1509517000</x:v>
      </x:c>
      <x:c r="V830" s="11" t="n">
        <x:v>762288000</x:v>
      </x:c>
      <x:c r="W830" s="11" t="n">
        <x:v>398041000</x:v>
      </x:c>
      <x:c r="X830" s="11" t="n">
        <x:v>333471000</x:v>
      </x:c>
      <x:c r="Y830" s="11" t="n">
        <x:v>0</x:v>
      </x:c>
      <x:c r="Z830" s="11" t="n">
        <x:v>22753153</x:v>
      </x:c>
      <x:c r="AA830" s="11" t="n">
        <x:v>308515000</x:v>
      </x:c>
      <x:c r="AB830" s="11" t="n">
        <x:v>11083000</x:v>
      </x:c>
      <x:c r="AC830" s="11" t="n">
        <x:v>33836153</x:v>
      </x:c>
      <x:c r="AD830" s="11" t="n">
        <x:v>278521538</x:v>
      </x:c>
      <x:c r="AE830" s="11" t="n">
        <x:v>244685385</x:v>
      </x:c>
      <x:c r="AF830" s="11" t="n">
        <x:v>1114086153</x:v>
      </x:c>
      <x:c r="AG830" s="11" t="n">
        <x:v>12995030000</x:v>
      </x:c>
      <x:c r="AH830" s="11" t="n">
        <x:v>2745347000</x:v>
      </x:c>
      <x:c r="AI830" s="11" t="n">
        <x:v>10249683000</x:v>
      </x:c>
      <x:c r="AJ830" s="11" t="n">
        <x:v>462376000</x:v>
      </x:c>
      <x:c r="AK830" s="11" t="n">
        <x:v>21123331335</x:v>
      </x:c>
      <x:c r="AL830" s="11" t="n">
        <x:v>154949011</x:v>
      </x:c>
      <x:c r="AM830" s="12" t="n">
        <x:v>0.9926645561468205</x:v>
      </x:c>
      <x:c r="AN830" s="12" t="n">
        <x:v>0.02188935034285396</x:v>
      </x:c>
      <x:c r="AO830" s="11" t="n">
        <x:v>1149936000</x:v>
      </x:c>
      <x:c r="AP830" s="11" t="n">
        <x:v>1109088000</x:v>
      </x:c>
      <x:c r="AQ830" s="12" t="n">
        <x:v>0.9644780231247652</x:v>
      </x:c>
      <x:c r="AR830" s="11" t="n">
        <x:v>2491.166851052205</x:v>
      </x:c>
      <x:c r="AS830" s="11" t="n">
        <x:v>1549.0920835968311</x:v>
      </x:c>
      <x:c r="AT830" s="11" t="n">
        <x:v>1150.517461788424</x:v>
      </x:c>
      <x:c r="AU830" s="11" t="n">
        <x:v>600.7612883945781</x:v>
      </x:c>
      <x:c r="AV830" s="11" t="n">
        <x:v>465.64014483194757</x:v>
      </x:c>
      <x:c r="AW830" s="11" t="n">
        <x:v>1.3385142399853729</x:v>
      </x:c>
      <x:c r="AX830" s="12" t="n">
        <x:v>0.8785151294116436</x:v>
      </x:c>
      <x:c r="AY830" s="11"/>
      <x:c r="AZ830" s="11"/>
      <x:c r="BA830" s="11"/>
      <x:c r="BB830" s="11"/>
      <x:c r="BC830" s="11"/>
      <x:c r="BD830" s="11"/>
      <x:c r="BE830" s="11"/>
      <x:c r="BF830" s="11"/>
      <x:c r="BG830" s="11"/>
      <x:c r="BH830" s="11"/>
      <x:c r="BI830" s="11"/>
      <x:c r="BJ830" s="11"/>
      <x:c r="BK830" s="12"/>
      <x:c r="BL830" s="12"/>
      <x:c r="BM830" s="12"/>
      <x:c r="BN830" s="12"/>
      <x:c r="BO830" s="12"/>
      <x:c r="BP830" s="12"/>
      <x:c r="BQ830" s="12"/>
      <x:c r="BR830" s="12"/>
      <x:c r="BS830" s="12"/>
      <x:c r="BT830" s="12"/>
      <x:c r="BU830" s="11" t="n">
        <x:v>41558000</x:v>
      </x:c>
      <x:c r="BV830" s="11" t="n">
        <x:v>130431000</x:v>
      </x:c>
      <x:c r="BW830" s="11" t="n">
        <x:v>28115000</x:v>
      </x:c>
      <x:c r="BX830" s="11" t="n">
        <x:v>85179000</x:v>
      </x:c>
      <x:c r="BY830" s="11" t="n">
        <x:v>0</x:v>
      </x:c>
      <x:c r="BZ830" s="11" t="n">
        <x:v>335948000</x:v>
      </x:c>
      <x:c r="CA830" s="11" t="n">
        <x:v>8156000</x:v>
      </x:c>
      <x:c r="CB830" s="11" t="n">
        <x:v>0</x:v>
      </x:c>
      <x:c r="CC830" s="11" t="n">
        <x:v>114032000</x:v>
      </x:c>
      <x:c r="CD830" s="11" t="n">
        <x:v>339528000</x:v>
      </x:c>
      <x:c r="CE830" s="11" t="n">
        <x:v>42868000</x:v>
      </x:c>
      <x:c r="CF830" s="11" t="n">
        <x:v>0</x:v>
      </x:c>
      <x:c r="CG830" s="11" t="n">
        <x:v>35700000</x:v>
      </x:c>
      <x:c r="CH830" s="11" t="n">
        <x:v>47495000</x:v>
      </x:c>
      <x:c r="CI830" s="11" t="n">
        <x:v>142890000</x:v>
      </x:c>
      <x:c r="CJ830" s="11" t="n">
        <x:v>78431000</x:v>
      </x:c>
      <x:c r="CK830" s="11" t="n">
        <x:v>73534000</x:v>
      </x:c>
      <x:c r="CL830" s="11" t="n">
        <x:v>4462000</x:v>
      </x:c>
      <x:c r="CM830" s="11" t="n">
        <x:v>184000</x:v>
      </x:c>
      <x:c r="CN830" s="11" t="n">
        <x:v>0</x:v>
      </x:c>
      <x:c r="CO830" s="11" t="n">
        <x:v>0</x:v>
      </x:c>
      <x:c r="CP830" s="8"/>
      <x:c r="CQ830" s="8"/>
    </x:row>
    <x:row r="831">
      <x:c r="A831" s="8" t="str">
        <x:v>Surrey|2024</x:v>
      </x:c>
      <x:c r="B831" s="8" t="str">
        <x:v>surrey-c</x:v>
      </x:c>
      <x:c r="C831" s="8" t="str">
        <x:v>Surrey</x:v>
      </x:c>
      <x:c r="D831" s="8" t="str">
        <x:v>Surrey</x:v>
      </x:c>
      <x:c r="E831" s="8" t="str">
        <x:v>C</x:v>
      </x:c>
      <x:c r="F831" s="8" t="str">
        <x:v>MVRD</x:v>
      </x:c>
      <x:c r="G831" s="9" t="n">
        <x:v>2024</x:v>
      </x:c>
      <x:c r="H831" s="10" t="n">
        <x:v>662561</x:v>
      </x:c>
      <x:c r="I831" s="8" t="str">
        <x:v>100,000 and over</x:v>
      </x:c>
      <x:c r="J831" s="11" t="n">
        <x:v>1736615000</x:v>
      </x:c>
      <x:c r="K831" s="11" t="n">
        <x:v>1136335000</x:v>
      </x:c>
      <x:c r="L831" s="11" t="n">
        <x:v>600280000</x:v>
      </x:c>
      <x:c r="M831" s="12" t="n">
        <x:v>0.34566095536431507</x:v>
      </x:c>
      <x:c r="N831" s="11" t="n">
        <x:v>659548000</x:v>
      </x:c>
      <x:c r="O831" s="11" t="n">
        <x:v>446290000</x:v>
      </x:c>
      <x:c r="P831" s="11" t="n">
        <x:v>141487000</x:v>
      </x:c>
      <x:c r="Q831" s="11" t="n">
        <x:v>489290000</x:v>
      </x:c>
      <x:c r="R831" s="11" t="n">
        <x:v>972482000</x:v>
      </x:c>
      <x:c r="S831" s="11" t="n">
        <x:v>153003000</x:v>
      </x:c>
      <x:c r="T831" s="11" t="n">
        <x:v>2235554000</x:v>
      </x:c>
      <x:c r="U831" s="11" t="n">
        <x:v>1528847000</x:v>
      </x:c>
      <x:c r="V831" s="11" t="n">
        <x:v>1019806000</x:v>
      </x:c>
      <x:c r="W831" s="11" t="n">
        <x:v>475763000</x:v>
      </x:c>
      <x:c r="X831" s="11" t="n">
        <x:v>308515000</x:v>
      </x:c>
      <x:c r="Y831" s="11" t="n">
        <x:v>0</x:v>
      </x:c>
      <x:c r="Z831" s="11" t="n">
        <x:v>10527052</x:v>
      </x:c>
      <x:c r="AA831" s="11" t="n">
        <x:v>295608000</x:v>
      </x:c>
      <x:c r="AB831" s="11" t="n">
        <x:v>10850000</x:v>
      </x:c>
      <x:c r="AC831" s="11" t="n">
        <x:v>21377052</x:v>
      </x:c>
      <x:c r="AD831" s="11" t="n">
        <x:v>306465013</x:v>
      </x:c>
      <x:c r="AE831" s="11" t="n">
        <x:v>285087961</x:v>
      </x:c>
      <x:c r="AF831" s="11" t="n">
        <x:v>1225860052</x:v>
      </x:c>
      <x:c r="AG831" s="11" t="n">
        <x:v>13462607000</x:v>
      </x:c>
      <x:c r="AH831" s="11" t="n">
        <x:v>2872058000</x:v>
      </x:c>
      <x:c r="AI831" s="11" t="n">
        <x:v>10590549000</x:v>
      </x:c>
      <x:c r="AJ831" s="11" t="n">
        <x:v>496033000</x:v>
      </x:c>
      <x:c r="AK831" s="11" t="n">
        <x:v>22803613635</x:v>
      </x:c>
      <x:c r="AL831" s="11" t="n">
        <x:v>177755715</x:v>
      </x:c>
      <x:c r="AM831" s="12" t="n">
        <x:v>0.9922049321723653</x:v>
      </x:c>
      <x:c r="AN831" s="12" t="n">
        <x:v>0.0217523857376125</x:v>
      </x:c>
      <x:c r="AO831" s="11" t="n">
        <x:v>1305228000</x:v>
      </x:c>
      <x:c r="AP831" s="11" t="n">
        <x:v>1249313000</x:v>
      </x:c>
      <x:c r="AQ831" s="12" t="n">
        <x:v>0.9571607412651276</x:v>
      </x:c>
      <x:c r="AR831" s="11" t="n">
        <x:v>2621.064324643316</x:v>
      </x:c>
      <x:c r="AS831" s="11" t="n">
        <x:v>1715.064726115784</x:v>
      </x:c>
      <x:c r="AT831" s="11" t="n">
        <x:v>1539.1880898513496</x:v>
      </x:c>
      <x:c r="AU831" s="11" t="n">
        <x:v>718.0667138572901</x:v>
      </x:c>
      <x:c r="AV831" s="11" t="n">
        <x:v>446.1596743545123</x:v>
      </x:c>
      <x:c r="AW831" s="11" t="n">
        <x:v>1.4622483479380213</x:v>
      </x:c>
      <x:c r="AX831" s="12" t="n">
        <x:v>0.9302463540919759</x:v>
      </x:c>
      <x:c r="AY831" s="11" t="n">
        <x:v>3003.390678329474</x:v>
      </x:c>
      <x:c r="AZ831" s="11" t="n">
        <x:v>3546.5079302077975</x:v>
      </x:c>
      <x:c r="BA831" s="11" t="n">
        <x:v>2379.369597210911</x:v>
      </x:c>
      <x:c r="BB831" s="11" t="n">
        <x:v>2783.665107049771</x:v>
      </x:c>
      <x:c r="BC831" s="11" t="n">
        <x:v>2052.765446183268</x:v>
      </x:c>
      <x:c r="BD831" s="11" t="n">
        <x:v>2437.8724475115623</x:v>
      </x:c>
      <x:c r="BE831" s="11" t="n">
        <x:v>1093.3312652075697</x:v>
      </x:c>
      <x:c r="BF831" s="11" t="n">
        <x:v>1604.3462673977224</x:v>
      </x:c>
      <x:c r="BG831" s="11" t="n">
        <x:v>312.26099706744867</x:v>
      </x:c>
      <x:c r="BH831" s="11" t="n">
        <x:v>518.5374381567245</x:v>
      </x:c>
      <x:c r="BI831" s="11" t="n">
        <x:v>1.6357691597817738</x:v>
      </x:c>
      <x:c r="BJ831" s="11" t="n">
        <x:v>1.7099330852451193</x:v>
      </x:c>
      <x:c r="BK831" s="12" t="n">
        <x:v>0.025378934003535983</x:v>
      </x:c>
      <x:c r="BL831" s="12" t="n">
        <x:v>0.02529861000232605</x:v>
      </x:c>
      <x:c r="BM831" s="12" t="n">
        <x:v>0.9802497344746216</x:v>
      </x:c>
      <x:c r="BN831" s="12" t="n">
        <x:v>0.9815511712696461</x:v>
      </x:c>
      <x:c r="BO831" s="12" t="n">
        <x:v>0.9023585311053542</x:v>
      </x:c>
      <x:c r="BP831" s="12" t="n">
        <x:v>0.8619101997275483</x:v>
      </x:c>
      <x:c r="BQ831" s="12" t="n">
        <x:v>0.9669710895067201</x:v>
      </x:c>
      <x:c r="BR831" s="12" t="n">
        <x:v>0.9623635142836453</x:v>
      </x:c>
      <x:c r="BS831" s="12" t="n">
        <x:v>0.27009754429306687</x:v>
      </x:c>
      <x:c r="BT831" s="12" t="n">
        <x:v>0.19976549769108282</x:v>
      </x:c>
      <x:c r="BU831" s="11" t="n">
        <x:v>54541000</x:v>
      </x:c>
      <x:c r="BV831" s="11" t="n">
        <x:v>57702000</x:v>
      </x:c>
      <x:c r="BW831" s="11" t="n">
        <x:v>29244000</x:v>
      </x:c>
      <x:c r="BX831" s="11" t="n">
        <x:v>111917000</x:v>
      </x:c>
      <x:c r="BY831" s="11" t="n">
        <x:v>0</x:v>
      </x:c>
      <x:c r="BZ831" s="11" t="n">
        <x:v>373248000</x:v>
      </x:c>
      <x:c r="CA831" s="11" t="n">
        <x:v>4125000</x:v>
      </x:c>
      <x:c r="CB831" s="11" t="n">
        <x:v>0</x:v>
      </x:c>
      <x:c r="CC831" s="11" t="n">
        <x:v>145548000</x:v>
      </x:c>
      <x:c r="CD831" s="11" t="n">
        <x:v>375258000</x:v>
      </x:c>
      <x:c r="CE831" s="11" t="n">
        <x:v>46271000</x:v>
      </x:c>
      <x:c r="CF831" s="11" t="n">
        <x:v>473000</x:v>
      </x:c>
      <x:c r="CG831" s="11" t="n">
        <x:v>31413000</x:v>
      </x:c>
      <x:c r="CH831" s="11" t="n">
        <x:v>61309000</x:v>
      </x:c>
      <x:c r="CI831" s="11" t="n">
        <x:v>150474000</x:v>
      </x:c>
      <x:c r="CJ831" s="11" t="n">
        <x:v>82162000</x:v>
      </x:c>
      <x:c r="CK831" s="11" t="n">
        <x:v>84011000</x:v>
      </x:c>
      <x:c r="CL831" s="11" t="n">
        <x:v>5957000</x:v>
      </x:c>
      <x:c r="CM831" s="11" t="n">
        <x:v>456000</x:v>
      </x:c>
      <x:c r="CN831" s="11" t="n">
        <x:v>0</x:v>
      </x:c>
      <x:c r="CO831" s="11" t="n">
        <x:v>0</x:v>
      </x:c>
      <x:c r="CP831" s="8"/>
      <x:c r="CQ831" s="8"/>
    </x:row>
    <x:row r="832">
      <x:c r="A832" s="8" t="str">
        <x:v>Tahsis|2019</x:v>
      </x:c>
      <x:c r="B832" s="8" t="str">
        <x:v>tahsis-v</x:v>
      </x:c>
      <x:c r="C832" s="8" t="str">
        <x:v>Tahsis</x:v>
      </x:c>
      <x:c r="D832" s="8" t="str">
        <x:v>Tahsis</x:v>
      </x:c>
      <x:c r="E832" s="8" t="str">
        <x:v>V</x:v>
      </x:c>
      <x:c r="F832" s="8" t="str">
        <x:v>STR</x:v>
      </x:c>
      <x:c r="G832" s="9" t="n">
        <x:v>2019</x:v>
      </x:c>
      <x:c r="H832" s="10" t="n">
        <x:v>303</x:v>
      </x:c>
      <x:c r="I832" s="8" t="str">
        <x:v>Under 5,000</x:v>
      </x:c>
      <x:c r="J832" s="11" t="n">
        <x:v>5604102</x:v>
      </x:c>
      <x:c r="K832" s="11" t="n">
        <x:v>2481118</x:v>
      </x:c>
      <x:c r="L832" s="11" t="n">
        <x:v>3122984</x:v>
      </x:c>
      <x:c r="M832" s="12" t="n">
        <x:v>0.5572675158303685</x:v>
      </x:c>
      <x:c r="N832" s="11" t="n">
        <x:v>779540</x:v>
      </x:c>
      <x:c r="O832" s="11" t="n">
        <x:v>439078</x:v>
      </x:c>
      <x:c r="P832" s="11" t="n">
        <x:v>4133994</x:v>
      </x:c>
      <x:c r="Q832" s="11" t="n">
        <x:v>251490</x:v>
      </x:c>
      <x:c r="R832" s="11" t="n">
        <x:v>2115726</x:v>
      </x:c>
      <x:c r="S832" s="11" t="n">
        <x:v>365392</x:v>
      </x:c>
      <x:c r="T832" s="11" t="n">
        <x:v>3029962</x:v>
      </x:c>
      <x:c r="U832" s="11" t="n">
        <x:v>1667842</x:v>
      </x:c>
      <x:c r="V832" s="11" t="n">
        <x:v>2230601</x:v>
      </x:c>
      <x:c r="W832" s="11" t="n">
        <x:v>802887</x:v>
      </x:c>
      <x:c r="X832" s="11" t="n">
        <x:v>0</x:v>
      </x:c>
      <x:c r="Y832" s="11" t="n">
        <x:v>0</x:v>
      </x:c>
      <x:c r="Z832" s="11" t="n">
        <x:v>0</x:v>
      </x:c>
      <x:c r="AA832" s="11" t="n">
        <x:v>0</x:v>
      </x:c>
      <x:c r="AB832" s="11" t="n">
        <x:v>0</x:v>
      </x:c>
      <x:c r="AC832" s="11" t="n">
        <x:v>0</x:v>
      </x:c>
      <x:c r="AD832" s="11" t="n">
        <x:v>424278</x:v>
      </x:c>
      <x:c r="AE832" s="11" t="n">
        <x:v>424278</x:v>
      </x:c>
      <x:c r="AF832" s="11" t="n">
        <x:v>1697111</x:v>
      </x:c>
      <x:c r="AG832" s="11" t="n">
        <x:v>22407879</x:v>
      </x:c>
      <x:c r="AH832" s="11" t="n">
        <x:v>13294990</x:v>
      </x:c>
      <x:c r="AI832" s="11" t="n">
        <x:v>9112889</x:v>
      </x:c>
      <x:c r="AJ832" s="11" t="n">
        <x:v>3756973</x:v>
      </x:c>
      <x:c r="AK832" s="11" t="n">
        <x:v>1127284</x:v>
      </x:c>
      <x:c r="AL832" s="11" t="n">
        <x:v>0</x:v>
      </x:c>
      <x:c r="AM832" s="12" t="n">
        <x:v>1</x:v>
      </x:c>
      <x:c r="AN832" s="12" t="n">
        <x:v>3.3327653013792444</x:v>
      </x:c>
      <x:c r="AO832" s="11" t="n">
        <x:v>1209146</x:v>
      </x:c>
      <x:c r="AP832" s="11" t="n">
        <x:v>1042459</x:v>
      </x:c>
      <x:c r="AQ832" s="12" t="n">
        <x:v>0.8621448526480673</x:v>
      </x:c>
      <x:c r="AR832" s="11" t="n">
        <x:v>18495.38613861386</x:v>
      </x:c>
      <x:c r="AS832" s="11" t="n">
        <x:v>8188.5082508250825</x:v>
      </x:c>
      <x:c r="AT832" s="11" t="n">
        <x:v>7361.7194719471945</x:v>
      </x:c>
      <x:c r="AU832" s="11" t="n">
        <x:v>2649.792079207921</x:v>
      </x:c>
      <x:c r="AV832" s="11" t="n">
        <x:v>0</x:v>
      </x:c>
      <x:c r="AW832" s="11" t="n">
        <x:v>1.8166960659343032</x:v>
      </x:c>
      <x:c r="AX832" s="12" t="n">
        <x:v>1</x:v>
      </x:c>
      <x:c r="AY832" s="11"/>
      <x:c r="AZ832" s="11"/>
      <x:c r="BA832" s="11"/>
      <x:c r="BB832" s="11"/>
      <x:c r="BC832" s="11"/>
      <x:c r="BD832" s="11"/>
      <x:c r="BE832" s="11"/>
      <x:c r="BF832" s="11"/>
      <x:c r="BG832" s="11"/>
      <x:c r="BH832" s="11"/>
      <x:c r="BI832" s="11"/>
      <x:c r="BJ832" s="11"/>
      <x:c r="BK832" s="12"/>
      <x:c r="BL832" s="12"/>
      <x:c r="BM832" s="12"/>
      <x:c r="BN832" s="12"/>
      <x:c r="BO832" s="12"/>
      <x:c r="BP832" s="12"/>
      <x:c r="BQ832" s="12"/>
      <x:c r="BR832" s="12"/>
      <x:c r="BS832" s="12"/>
      <x:c r="BT832" s="12"/>
      <x:c r="BU832" s="11" t="n">
        <x:v>4512</x:v>
      </x:c>
      <x:c r="BV832" s="11" t="n">
        <x:v>4127082</x:v>
      </x:c>
      <x:c r="BW832" s="11" t="n">
        <x:v>2400</x:v>
      </x:c>
      <x:c r="BX832" s="11" t="n">
        <x:v>69603</x:v>
      </x:c>
      <x:c r="BY832" s="11" t="n">
        <x:v>0</x:v>
      </x:c>
      <x:c r="BZ832" s="11" t="n">
        <x:v>0</x:v>
      </x:c>
      <x:c r="CA832" s="11" t="n">
        <x:v>128765</x:v>
      </x:c>
      <x:c r="CB832" s="11" t="n">
        <x:v>53122</x:v>
      </x:c>
      <x:c r="CC832" s="11" t="n">
        <x:v>818786</x:v>
      </x:c>
      <x:c r="CD832" s="11" t="n">
        <x:v>132238</x:v>
      </x:c>
      <x:c r="CE832" s="11" t="n">
        <x:v>117335</x:v>
      </x:c>
      <x:c r="CF832" s="11" t="n">
        <x:v>0</x:v>
      </x:c>
      <x:c r="CG832" s="11" t="n">
        <x:v>189897</x:v>
      </x:c>
      <x:c r="CH832" s="11" t="n">
        <x:v>199129</x:v>
      </x:c>
      <x:c r="CI832" s="11" t="n">
        <x:v>394091</x:v>
      </x:c>
      <x:c r="CJ832" s="11" t="n">
        <x:v>120754</x:v>
      </x:c>
      <x:c r="CK832" s="11" t="n">
        <x:v>143496</x:v>
      </x:c>
      <x:c r="CL832" s="11" t="n">
        <x:v>0</x:v>
      </x:c>
      <x:c r="CM832" s="11"/>
      <x:c r="CN832" s="11" t="n">
        <x:v>0</x:v>
      </x:c>
      <x:c r="CO832" s="11" t="n">
        <x:v>0</x:v>
      </x:c>
      <x:c r="CP832" s="8"/>
      <x:c r="CQ832" s="8"/>
    </x:row>
    <x:row r="833">
      <x:c r="A833" s="8" t="str">
        <x:v>Tahsis|2020</x:v>
      </x:c>
      <x:c r="B833" s="8" t="str">
        <x:v>tahsis-v</x:v>
      </x:c>
      <x:c r="C833" s="8" t="str">
        <x:v>Tahsis</x:v>
      </x:c>
      <x:c r="D833" s="8" t="str">
        <x:v>Tahsis</x:v>
      </x:c>
      <x:c r="E833" s="8" t="str">
        <x:v>V</x:v>
      </x:c>
      <x:c r="F833" s="8" t="str">
        <x:v>STR</x:v>
      </x:c>
      <x:c r="G833" s="9" t="n">
        <x:v>2020</x:v>
      </x:c>
      <x:c r="H833" s="10" t="n">
        <x:v>348</x:v>
      </x:c>
      <x:c r="I833" s="8" t="str">
        <x:v>Under 5,000</x:v>
      </x:c>
      <x:c r="J833" s="11" t="n">
        <x:v>2278425</x:v>
      </x:c>
      <x:c r="K833" s="11" t="n">
        <x:v>2640851</x:v>
      </x:c>
      <x:c r="L833" s="11" t="n">
        <x:v>-362426</x:v>
      </x:c>
      <x:c r="M833" s="12" t="n">
        <x:v>-0.1590686548822103</x:v>
      </x:c>
      <x:c r="N833" s="11" t="n">
        <x:v>782180</x:v>
      </x:c>
      <x:c r="O833" s="11" t="n">
        <x:v>417828</x:v>
      </x:c>
      <x:c r="P833" s="11" t="n">
        <x:v>962746</x:v>
      </x:c>
      <x:c r="Q833" s="11" t="n">
        <x:v>115671</x:v>
      </x:c>
      <x:c r="R833" s="11" t="n">
        <x:v>2231285</x:v>
      </x:c>
      <x:c r="S833" s="11" t="n">
        <x:v>409566</x:v>
      </x:c>
      <x:c r="T833" s="11" t="n">
        <x:v>2699636</x:v>
      </x:c>
      <x:c r="U833" s="11" t="n">
        <x:v>875998</x:v>
      </x:c>
      <x:c r="V833" s="11" t="n">
        <x:v>2204350</x:v>
      </x:c>
      <x:c r="W833" s="11" t="n">
        <x:v>803065</x:v>
      </x:c>
      <x:c r="X833" s="11" t="n">
        <x:v>0</x:v>
      </x:c>
      <x:c r="Y833" s="11" t="n">
        <x:v>0</x:v>
      </x:c>
      <x:c r="Z833" s="11" t="n">
        <x:v>0</x:v>
      </x:c>
      <x:c r="AA833" s="11" t="n">
        <x:v>0</x:v>
      </x:c>
      <x:c r="AB833" s="11" t="n">
        <x:v>0</x:v>
      </x:c>
      <x:c r="AC833" s="11" t="n">
        <x:v>0</x:v>
      </x:c>
      <x:c r="AD833" s="11" t="n">
        <x:v>418329</x:v>
      </x:c>
      <x:c r="AE833" s="11" t="n">
        <x:v>418329</x:v>
      </x:c>
      <x:c r="AF833" s="11" t="n">
        <x:v>1673317</x:v>
      </x:c>
      <x:c r="AG833" s="11" t="n">
        <x:v>22181712</x:v>
      </x:c>
      <x:c r="AH833" s="11" t="n">
        <x:v>13401557</x:v>
      </x:c>
      <x:c r="AI833" s="11" t="n">
        <x:v>8780155</x:v>
      </x:c>
      <x:c r="AJ833" s="11" t="n">
        <x:v>379830</x:v>
      </x:c>
      <x:c r="AK833" s="11" t="n">
        <x:v>1127284</x:v>
      </x:c>
      <x:c r="AL833" s="11" t="n">
        <x:v>0</x:v>
      </x:c>
      <x:c r="AM833" s="12" t="n">
        <x:v>1</x:v>
      </x:c>
      <x:c r="AN833" s="12" t="n">
        <x:v>0.3369425983159523</x:v>
      </x:c>
      <x:c r="AO833" s="11" t="n">
        <x:v>1199182</x:v>
      </x:c>
      <x:c r="AP833" s="11" t="n">
        <x:v>1030605</x:v>
      </x:c>
      <x:c r="AQ833" s="12" t="n">
        <x:v>0.8594233402435993</x:v>
      </x:c>
      <x:c r="AR833" s="11" t="n">
        <x:v>6547.198275862069</x:v>
      </x:c>
      <x:c r="AS833" s="11" t="n">
        <x:v>7588.652298850575</x:v>
      </x:c>
      <x:c r="AT833" s="11" t="n">
        <x:v>6334.33908045977</x:v>
      </x:c>
      <x:c r="AU833" s="11" t="n">
        <x:v>2307.6580459770116</x:v>
      </x:c>
      <x:c r="AV833" s="11" t="n">
        <x:v>0</x:v>
      </x:c>
      <x:c r="AW833" s="11" t="n">
        <x:v>3.081783291742675</x:v>
      </x:c>
      <x:c r="AX833" s="12" t="n">
        <x:v>1</x:v>
      </x:c>
      <x:c r="AY833" s="11"/>
      <x:c r="AZ833" s="11"/>
      <x:c r="BA833" s="11"/>
      <x:c r="BB833" s="11"/>
      <x:c r="BC833" s="11"/>
      <x:c r="BD833" s="11"/>
      <x:c r="BE833" s="11"/>
      <x:c r="BF833" s="11"/>
      <x:c r="BG833" s="11"/>
      <x:c r="BH833" s="11"/>
      <x:c r="BI833" s="11"/>
      <x:c r="BJ833" s="11"/>
      <x:c r="BK833" s="12"/>
      <x:c r="BL833" s="12"/>
      <x:c r="BM833" s="12"/>
      <x:c r="BN833" s="12"/>
      <x:c r="BO833" s="12"/>
      <x:c r="BP833" s="12"/>
      <x:c r="BQ833" s="12"/>
      <x:c r="BR833" s="12"/>
      <x:c r="BS833" s="12"/>
      <x:c r="BT833" s="12"/>
      <x:c r="BU833" s="11" t="n">
        <x:v>5000</x:v>
      </x:c>
      <x:c r="BV833" s="11" t="n">
        <x:v>955246</x:v>
      </x:c>
      <x:c r="BW833" s="11" t="n">
        <x:v>2500</x:v>
      </x:c>
      <x:c r="BX833" s="11" t="n">
        <x:v>61147</x:v>
      </x:c>
      <x:c r="BY833" s="11" t="n">
        <x:v>0</x:v>
      </x:c>
      <x:c r="BZ833" s="11" t="n">
        <x:v>0</x:v>
      </x:c>
      <x:c r="CA833" s="11" t="n">
        <x:v>0</x:v>
      </x:c>
      <x:c r="CB833" s="11" t="n">
        <x:v>54524</x:v>
      </x:c>
      <x:c r="CC833" s="11" t="n">
        <x:v>860888</x:v>
      </x:c>
      <x:c r="CD833" s="11" t="n">
        <x:v>118940</x:v>
      </x:c>
      <x:c r="CE833" s="11" t="n">
        <x:v>92553</x:v>
      </x:c>
      <x:c r="CF833" s="11" t="n">
        <x:v>0</x:v>
      </x:c>
      <x:c r="CG833" s="11" t="n">
        <x:v>69238</x:v>
      </x:c>
      <x:c r="CH833" s="11" t="n">
        <x:v>224152</x:v>
      </x:c>
      <x:c r="CI833" s="11" t="n">
        <x:v>282239</x:v>
      </x:c>
      <x:c r="CJ833" s="11" t="n">
        <x:v>177095</x:v>
      </x:c>
      <x:c r="CK833" s="11" t="n">
        <x:v>103182</x:v>
      </x:c>
      <x:c r="CL833" s="11" t="n">
        <x:v>0</x:v>
      </x:c>
      <x:c r="CM833" s="11"/>
      <x:c r="CN833" s="11" t="n">
        <x:v>302998</x:v>
      </x:c>
      <x:c r="CO833" s="11" t="n">
        <x:v>0</x:v>
      </x:c>
      <x:c r="CP833" s="8"/>
      <x:c r="CQ833" s="8"/>
    </x:row>
    <x:row r="834">
      <x:c r="A834" s="8" t="str">
        <x:v>Tahsis|2021</x:v>
      </x:c>
      <x:c r="B834" s="8" t="str">
        <x:v>tahsis-v</x:v>
      </x:c>
      <x:c r="C834" s="8" t="str">
        <x:v>Tahsis</x:v>
      </x:c>
      <x:c r="D834" s="8" t="str">
        <x:v>Tahsis</x:v>
      </x:c>
      <x:c r="E834" s="8" t="str">
        <x:v>V</x:v>
      </x:c>
      <x:c r="F834" s="8" t="str">
        <x:v>STR</x:v>
      </x:c>
      <x:c r="G834" s="9" t="n">
        <x:v>2021</x:v>
      </x:c>
      <x:c r="H834" s="10" t="n">
        <x:v>296</x:v>
      </x:c>
      <x:c r="I834" s="8" t="str">
        <x:v>Under 5,000</x:v>
      </x:c>
      <x:c r="J834" s="11" t="n">
        <x:v>2481192</x:v>
      </x:c>
      <x:c r="K834" s="11" t="n">
        <x:v>2445826</x:v>
      </x:c>
      <x:c r="L834" s="11" t="n">
        <x:v>35366</x:v>
      </x:c>
      <x:c r="M834" s="12" t="n">
        <x:v>0.01425363293126852</x:v>
      </x:c>
      <x:c r="N834" s="11" t="n">
        <x:v>874331</x:v>
      </x:c>
      <x:c r="O834" s="11" t="n">
        <x:v>546156</x:v>
      </x:c>
      <x:c r="P834" s="11" t="n">
        <x:v>951086</x:v>
      </x:c>
      <x:c r="Q834" s="11" t="n">
        <x:v>109619</x:v>
      </x:c>
      <x:c r="R834" s="11" t="n">
        <x:v>2030442</x:v>
      </x:c>
      <x:c r="S834" s="11" t="n">
        <x:v>415384</x:v>
      </x:c>
      <x:c r="T834" s="11" t="n">
        <x:v>2698400</x:v>
      </x:c>
      <x:c r="U834" s="11" t="n">
        <x:v>1247872</x:v>
      </x:c>
      <x:c r="V834" s="11" t="n">
        <x:v>1668193</x:v>
      </x:c>
      <x:c r="W834" s="11" t="n">
        <x:v>821728</x:v>
      </x:c>
      <x:c r="X834" s="11" t="n">
        <x:v>0</x:v>
      </x:c>
      <x:c r="Y834" s="11" t="n">
        <x:v>160000</x:v>
      </x:c>
      <x:c r="Z834" s="11" t="n">
        <x:v>0</x:v>
      </x:c>
      <x:c r="AA834" s="11" t="n">
        <x:v>160000</x:v>
      </x:c>
      <x:c r="AB834" s="11" t="n">
        <x:v>0</x:v>
      </x:c>
      <x:c r="AC834" s="11" t="n">
        <x:v>0</x:v>
      </x:c>
      <x:c r="AD834" s="11" t="n">
        <x:v>481962</x:v>
      </x:c>
      <x:c r="AE834" s="11" t="n">
        <x:v>481962</x:v>
      </x:c>
      <x:c r="AF834" s="11" t="n">
        <x:v>1927848</x:v>
      </x:c>
      <x:c r="AG834" s="11" t="n">
        <x:v>23170059</x:v>
      </x:c>
      <x:c r="AH834" s="11" t="n">
        <x:v>13816941</x:v>
      </x:c>
      <x:c r="AI834" s="11" t="n">
        <x:v>9353118</x:v>
      </x:c>
      <x:c r="AJ834" s="11" t="n">
        <x:v>999509</x:v>
      </x:c>
      <x:c r="AK834" s="11" t="n">
        <x:v>1216122</x:v>
      </x:c>
      <x:c r="AL834" s="11" t="n">
        <x:v>0</x:v>
      </x:c>
      <x:c r="AM834" s="12" t="n">
        <x:v>1</x:v>
      </x:c>
      <x:c r="AN834" s="12" t="n">
        <x:v>0.8218821795839563</x:v>
      </x:c>
      <x:c r="AO834" s="11" t="n">
        <x:v>1288490</x:v>
      </x:c>
      <x:c r="AP834" s="11" t="n">
        <x:v>1144615</x:v>
      </x:c>
      <x:c r="AQ834" s="12" t="n">
        <x:v>0.8883382874527548</x:v>
      </x:c>
      <x:c r="AR834" s="11" t="n">
        <x:v>8382.405405405405</x:v>
      </x:c>
      <x:c r="AS834" s="11" t="n">
        <x:v>8262.925675675675</x:v>
      </x:c>
      <x:c r="AT834" s="11" t="n">
        <x:v>5635.7871621621625</x:v>
      </x:c>
      <x:c r="AU834" s="11" t="n">
        <x:v>2776.108108108108</x:v>
      </x:c>
      <x:c r="AV834" s="11" t="n">
        <x:v>540.5405405405405</x:v>
      </x:c>
      <x:c r="AW834" s="11" t="n">
        <x:v>2.162401271925326</x:v>
      </x:c>
      <x:c r="AX834" s="12" t="n">
        <x:v>1</x:v>
      </x:c>
      <x:c r="AY834" s="11"/>
      <x:c r="AZ834" s="11"/>
      <x:c r="BA834" s="11"/>
      <x:c r="BB834" s="11"/>
      <x:c r="BC834" s="11"/>
      <x:c r="BD834" s="11"/>
      <x:c r="BE834" s="11"/>
      <x:c r="BF834" s="11"/>
      <x:c r="BG834" s="11"/>
      <x:c r="BH834" s="11"/>
      <x:c r="BI834" s="11"/>
      <x:c r="BJ834" s="11"/>
      <x:c r="BK834" s="12"/>
      <x:c r="BL834" s="12"/>
      <x:c r="BM834" s="12"/>
      <x:c r="BN834" s="12"/>
      <x:c r="BO834" s="12"/>
      <x:c r="BP834" s="12"/>
      <x:c r="BQ834" s="12"/>
      <x:c r="BR834" s="12"/>
      <x:c r="BS834" s="12"/>
      <x:c r="BT834" s="12"/>
      <x:c r="BU834" s="11" t="n">
        <x:v>40000</x:v>
      </x:c>
      <x:c r="BV834" s="11" t="n">
        <x:v>872570</x:v>
      </x:c>
      <x:c r="BW834" s="11" t="n">
        <x:v>38516</x:v>
      </x:c>
      <x:c r="BX834" s="11" t="n">
        <x:v>-2602</x:v>
      </x:c>
      <x:c r="BY834" s="11" t="n">
        <x:v>0</x:v>
      </x:c>
      <x:c r="BZ834" s="11" t="n">
        <x:v>0</x:v>
      </x:c>
      <x:c r="CA834" s="11" t="n">
        <x:v>2588</x:v>
      </x:c>
      <x:c r="CB834" s="11" t="n">
        <x:v>109633</x:v>
      </x:c>
      <x:c r="CC834" s="11" t="n">
        <x:v>852351</x:v>
      </x:c>
      <x:c r="CD834" s="11" t="n">
        <x:v>157443</x:v>
      </x:c>
      <x:c r="CE834" s="11" t="n">
        <x:v>25138</x:v>
      </x:c>
      <x:c r="CF834" s="11" t="n">
        <x:v>0</x:v>
      </x:c>
      <x:c r="CG834" s="11" t="n">
        <x:v>36164</x:v>
      </x:c>
      <x:c r="CH834" s="11" t="n">
        <x:v>272323</x:v>
      </x:c>
      <x:c r="CI834" s="11" t="n">
        <x:v>326234</x:v>
      </x:c>
      <x:c r="CJ834" s="11" t="n">
        <x:v>198219</x:v>
      </x:c>
      <x:c r="CK834" s="11" t="n">
        <x:v>162570</x:v>
      </x:c>
      <x:c r="CL834" s="11" t="n">
        <x:v>0</x:v>
      </x:c>
      <x:c r="CM834" s="11"/>
      <x:c r="CN834" s="11" t="n">
        <x:v>0</x:v>
      </x:c>
      <x:c r="CO834" s="11" t="n">
        <x:v>0</x:v>
      </x:c>
      <x:c r="CP834" s="8"/>
      <x:c r="CQ834" s="8"/>
    </x:row>
    <x:row r="835">
      <x:c r="A835" s="8" t="str">
        <x:v>Tahsis|2022</x:v>
      </x:c>
      <x:c r="B835" s="8" t="str">
        <x:v>tahsis-v</x:v>
      </x:c>
      <x:c r="C835" s="8" t="str">
        <x:v>Tahsis</x:v>
      </x:c>
      <x:c r="D835" s="8" t="str">
        <x:v>Tahsis</x:v>
      </x:c>
      <x:c r="E835" s="8" t="str">
        <x:v>V</x:v>
      </x:c>
      <x:c r="F835" s="8" t="str">
        <x:v>STR</x:v>
      </x:c>
      <x:c r="G835" s="9" t="n">
        <x:v>2022</x:v>
      </x:c>
      <x:c r="H835" s="10" t="n">
        <x:v>292</x:v>
      </x:c>
      <x:c r="I835" s="8" t="str">
        <x:v>Under 5,000</x:v>
      </x:c>
      <x:c r="J835" s="11" t="n">
        <x:v>2839808</x:v>
      </x:c>
      <x:c r="K835" s="11" t="n">
        <x:v>2357964</x:v>
      </x:c>
      <x:c r="L835" s="11" t="n">
        <x:v>481844</x:v>
      </x:c>
      <x:c r="M835" s="12" t="n">
        <x:v>0.1696748512575498</x:v>
      </x:c>
      <x:c r="N835" s="11" t="n">
        <x:v>924067</x:v>
      </x:c>
      <x:c r="O835" s="11" t="n">
        <x:v>659101</x:v>
      </x:c>
      <x:c r="P835" s="11" t="n">
        <x:v>1235938</x:v>
      </x:c>
      <x:c r="Q835" s="11" t="n">
        <x:v>20702</x:v>
      </x:c>
      <x:c r="R835" s="11" t="n">
        <x:v>1947098</x:v>
      </x:c>
      <x:c r="S835" s="11" t="n">
        <x:v>410866</x:v>
      </x:c>
      <x:c r="T835" s="11" t="n">
        <x:v>2352098</x:v>
      </x:c>
      <x:c r="U835" s="11" t="n">
        <x:v>1032751</x:v>
      </x:c>
      <x:c r="V835" s="11" t="n">
        <x:v>1860283</x:v>
      </x:c>
      <x:c r="W835" s="11" t="n">
        <x:v>842496</x:v>
      </x:c>
      <x:c r="X835" s="11" t="n">
        <x:v>0</x:v>
      </x:c>
      <x:c r="Y835" s="11" t="n">
        <x:v>0</x:v>
      </x:c>
      <x:c r="Z835" s="11" t="n">
        <x:v>0</x:v>
      </x:c>
      <x:c r="AA835" s="11" t="n">
        <x:v>0</x:v>
      </x:c>
      <x:c r="AB835" s="11" t="n">
        <x:v>0</x:v>
      </x:c>
      <x:c r="AC835" s="11" t="n">
        <x:v>0</x:v>
      </x:c>
      <x:c r="AD835" s="11" t="n">
        <x:v>511830</x:v>
      </x:c>
      <x:c r="AE835" s="11" t="n">
        <x:v>511830</x:v>
      </x:c>
      <x:c r="AF835" s="11" t="n">
        <x:v>2047319</x:v>
      </x:c>
      <x:c r="AG835" s="11" t="n">
        <x:v>23858345</x:v>
      </x:c>
      <x:c r="AH835" s="11" t="n">
        <x:v>14216684</x:v>
      </x:c>
      <x:c r="AI835" s="11" t="n">
        <x:v>9641661</x:v>
      </x:c>
      <x:c r="AJ835" s="11" t="n">
        <x:v>699409</x:v>
      </x:c>
      <x:c r="AK835" s="11" t="n">
        <x:v>1876055</x:v>
      </x:c>
      <x:c r="AL835" s="11" t="n">
        <x:v>0</x:v>
      </x:c>
      <x:c r="AM835" s="12" t="n">
        <x:v>1</x:v>
      </x:c>
      <x:c r="AN835" s="12" t="n">
        <x:v>0.3728083664924536</x:v>
      </x:c>
      <x:c r="AO835" s="11" t="n">
        <x:v>1298523</x:v>
      </x:c>
      <x:c r="AP835" s="11" t="n">
        <x:v>1167469</x:v>
      </x:c>
      <x:c r="AQ835" s="12" t="n">
        <x:v>0.8990745639468842</x:v>
      </x:c>
      <x:c r="AR835" s="11" t="n">
        <x:v>9725.369863013699</x:v>
      </x:c>
      <x:c r="AS835" s="11" t="n">
        <x:v>8075.219178082192</x:v>
      </x:c>
      <x:c r="AT835" s="11" t="n">
        <x:v>6370.832191780822</x:v>
      </x:c>
      <x:c r="AU835" s="11" t="n">
        <x:v>2885.2602739726026</x:v>
      </x:c>
      <x:c r="AV835" s="11" t="n">
        <x:v>0</x:v>
      </x:c>
      <x:c r="AW835" s="11" t="n">
        <x:v>2.277507356565135</x:v>
      </x:c>
      <x:c r="AX835" s="12" t="n">
        <x:v>1</x:v>
      </x:c>
      <x:c r="AY835" s="11"/>
      <x:c r="AZ835" s="11"/>
      <x:c r="BA835" s="11"/>
      <x:c r="BB835" s="11"/>
      <x:c r="BC835" s="11"/>
      <x:c r="BD835" s="11"/>
      <x:c r="BE835" s="11"/>
      <x:c r="BF835" s="11"/>
      <x:c r="BG835" s="11"/>
      <x:c r="BH835" s="11"/>
      <x:c r="BI835" s="11"/>
      <x:c r="BJ835" s="11"/>
      <x:c r="BK835" s="12"/>
      <x:c r="BL835" s="12"/>
      <x:c r="BM835" s="12"/>
      <x:c r="BN835" s="12"/>
      <x:c r="BO835" s="12"/>
      <x:c r="BP835" s="12"/>
      <x:c r="BQ835" s="12"/>
      <x:c r="BR835" s="12"/>
      <x:c r="BS835" s="12"/>
      <x:c r="BT835" s="12"/>
      <x:c r="BU835" s="11" t="n">
        <x:v>5725</x:v>
      </x:c>
      <x:c r="BV835" s="11" t="n">
        <x:v>1227678</x:v>
      </x:c>
      <x:c r="BW835" s="11" t="n">
        <x:v>2535</x:v>
      </x:c>
      <x:c r="BX835" s="11" t="n">
        <x:v>13151</x:v>
      </x:c>
      <x:c r="BY835" s="11" t="n">
        <x:v>0</x:v>
      </x:c>
      <x:c r="BZ835" s="11" t="n">
        <x:v>0</x:v>
      </x:c>
      <x:c r="CA835" s="11" t="n">
        <x:v>7551</x:v>
      </x:c>
      <x:c r="CB835" s="11" t="n">
        <x:v>0</x:v>
      </x:c>
      <x:c r="CC835" s="11" t="n">
        <x:v>834352</x:v>
      </x:c>
      <x:c r="CD835" s="11" t="n">
        <x:v>142290</x:v>
      </x:c>
      <x:c r="CE835" s="11" t="n">
        <x:v>34027</x:v>
      </x:c>
      <x:c r="CF835" s="11" t="n">
        <x:v>0</x:v>
      </x:c>
      <x:c r="CG835" s="11" t="n">
        <x:v>57966</x:v>
      </x:c>
      <x:c r="CH835" s="11" t="n">
        <x:v>295183</x:v>
      </x:c>
      <x:c r="CI835" s="11" t="n">
        <x:v>332243</x:v>
      </x:c>
      <x:c r="CJ835" s="11" t="n">
        <x:v>146882</x:v>
      </x:c>
      <x:c r="CK835" s="11" t="n">
        <x:v>104155</x:v>
      </x:c>
      <x:c r="CL835" s="11" t="n">
        <x:v>0</x:v>
      </x:c>
      <x:c r="CM835" s="11"/>
      <x:c r="CN835" s="11" t="n">
        <x:v>0</x:v>
      </x:c>
      <x:c r="CO835" s="11" t="n">
        <x:v>0</x:v>
      </x:c>
      <x:c r="CP835" s="8"/>
      <x:c r="CQ835" s="8"/>
    </x:row>
    <x:row r="836">
      <x:c r="A836" s="8" t="str">
        <x:v>Tahsis|2023</x:v>
      </x:c>
      <x:c r="B836" s="8" t="str">
        <x:v>tahsis-v</x:v>
      </x:c>
      <x:c r="C836" s="8" t="str">
        <x:v>Tahsis</x:v>
      </x:c>
      <x:c r="D836" s="8" t="str">
        <x:v>Tahsis</x:v>
      </x:c>
      <x:c r="E836" s="8" t="str">
        <x:v>V</x:v>
      </x:c>
      <x:c r="F836" s="8" t="str">
        <x:v>STR</x:v>
      </x:c>
      <x:c r="G836" s="9" t="n">
        <x:v>2023</x:v>
      </x:c>
      <x:c r="H836" s="10" t="n">
        <x:v>277</x:v>
      </x:c>
      <x:c r="I836" s="8" t="str">
        <x:v>Under 5,000</x:v>
      </x:c>
      <x:c r="J836" s="11" t="n">
        <x:v>4850089</x:v>
      </x:c>
      <x:c r="K836" s="11" t="n">
        <x:v>3006770</x:v>
      </x:c>
      <x:c r="L836" s="11" t="n">
        <x:v>1843319</x:v>
      </x:c>
      <x:c r="M836" s="12" t="n">
        <x:v>0.38005879892100947</x:v>
      </x:c>
      <x:c r="N836" s="11" t="n">
        <x:v>979403</x:v>
      </x:c>
      <x:c r="O836" s="11" t="n">
        <x:v>668493</x:v>
      </x:c>
      <x:c r="P836" s="11" t="n">
        <x:v>2912994</x:v>
      </x:c>
      <x:c r="Q836" s="11" t="n">
        <x:v>289199</x:v>
      </x:c>
      <x:c r="R836" s="11" t="n">
        <x:v>2392336</x:v>
      </x:c>
      <x:c r="S836" s="11" t="n">
        <x:v>614434</x:v>
      </x:c>
      <x:c r="T836" s="11" t="n">
        <x:v>3163784</x:v>
      </x:c>
      <x:c r="U836" s="11" t="n">
        <x:v>3298975</x:v>
      </x:c>
      <x:c r="V836" s="11" t="n">
        <x:v>950463</x:v>
      </x:c>
      <x:c r="W836" s="11" t="n">
        <x:v>1628801</x:v>
      </x:c>
      <x:c r="X836" s="11" t="n">
        <x:v>0</x:v>
      </x:c>
      <x:c r="Y836" s="11" t="n">
        <x:v>0</x:v>
      </x:c>
      <x:c r="Z836" s="11" t="n">
        <x:v>0</x:v>
      </x:c>
      <x:c r="AA836" s="11" t="n">
        <x:v>0</x:v>
      </x:c>
      <x:c r="AB836" s="11" t="n">
        <x:v>0</x:v>
      </x:c>
      <x:c r="AC836" s="11" t="n">
        <x:v>0</x:v>
      </x:c>
      <x:c r="AD836" s="11" t="n">
        <x:v>606911</x:v>
      </x:c>
      <x:c r="AE836" s="11" t="n">
        <x:v>561880</x:v>
      </x:c>
      <x:c r="AF836" s="11" t="n">
        <x:v>2427642</x:v>
      </x:c>
      <x:c r="AG836" s="11" t="n">
        <x:v>27217889</x:v>
      </x:c>
      <x:c r="AH836" s="11" t="n">
        <x:v>14831118</x:v>
      </x:c>
      <x:c r="AI836" s="11" t="n">
        <x:v>12386771</x:v>
      </x:c>
      <x:c r="AJ836" s="11" t="n">
        <x:v>2114216</x:v>
      </x:c>
      <x:c r="AK836" s="11" t="n">
        <x:v>80869882</x:v>
      </x:c>
      <x:c r="AL836" s="11" t="n">
        <x:v>1646727</x:v>
      </x:c>
      <x:c r="AM836" s="12" t="n">
        <x:v>0.9796373265389456</x:v>
      </x:c>
      <x:c r="AN836" s="12" t="n">
        <x:v>0.026143428773644062</x:v>
      </x:c>
      <x:c r="AO836" s="11" t="n">
        <x:v>1386481</x:v>
      </x:c>
      <x:c r="AP836" s="11" t="n">
        <x:v>1166219</x:v>
      </x:c>
      <x:c r="AQ836" s="12" t="n">
        <x:v>0.8411359405574256</x:v>
      </x:c>
      <x:c r="AR836" s="11" t="n">
        <x:v>17509.346570397112</x:v>
      </x:c>
      <x:c r="AS836" s="11" t="n">
        <x:v>10854.765342960289</x:v>
      </x:c>
      <x:c r="AT836" s="11" t="n">
        <x:v>3431.274368231047</x:v>
      </x:c>
      <x:c r="AU836" s="11" t="n">
        <x:v>5880.148014440433</x:v>
      </x:c>
      <x:c r="AV836" s="11" t="n">
        <x:v>0</x:v>
      </x:c>
      <x:c r="AW836" s="11" t="n">
        <x:v>0.9590203017603953</x:v>
      </x:c>
      <x:c r="AX836" s="12" t="n">
        <x:v>0.9258029595772691</x:v>
      </x:c>
      <x:c r="AY836" s="11"/>
      <x:c r="AZ836" s="11"/>
      <x:c r="BA836" s="11"/>
      <x:c r="BB836" s="11"/>
      <x:c r="BC836" s="11"/>
      <x:c r="BD836" s="11"/>
      <x:c r="BE836" s="11"/>
      <x:c r="BF836" s="11"/>
      <x:c r="BG836" s="11"/>
      <x:c r="BH836" s="11"/>
      <x:c r="BI836" s="11"/>
      <x:c r="BJ836" s="11"/>
      <x:c r="BK836" s="12"/>
      <x:c r="BL836" s="12"/>
      <x:c r="BM836" s="12"/>
      <x:c r="BN836" s="12"/>
      <x:c r="BO836" s="12"/>
      <x:c r="BP836" s="12"/>
      <x:c r="BQ836" s="12"/>
      <x:c r="BR836" s="12"/>
      <x:c r="BS836" s="12"/>
      <x:c r="BT836" s="12"/>
      <x:c r="BU836" s="11" t="n">
        <x:v>238612</x:v>
      </x:c>
      <x:c r="BV836" s="11" t="n">
        <x:v>2674382</x:v>
      </x:c>
      <x:c r="BW836" s="11" t="n">
        <x:v>0</x:v>
      </x:c>
      <x:c r="BX836" s="11" t="n">
        <x:v>160839</x:v>
      </x:c>
      <x:c r="BY836" s="11" t="n">
        <x:v>0</x:v>
      </x:c>
      <x:c r="BZ836" s="11" t="n">
        <x:v>0</x:v>
      </x:c>
      <x:c r="CA836" s="11" t="n">
        <x:v>0</x:v>
      </x:c>
      <x:c r="CB836" s="11" t="n">
        <x:v>128360</x:v>
      </x:c>
      <x:c r="CC836" s="11" t="n">
        <x:v>1200824</x:v>
      </x:c>
      <x:c r="CD836" s="11" t="n">
        <x:v>149275</x:v>
      </x:c>
      <x:c r="CE836" s="11" t="n">
        <x:v>38892</x:v>
      </x:c>
      <x:c r="CF836" s="11" t="n">
        <x:v>0</x:v>
      </x:c>
      <x:c r="CG836" s="11" t="n">
        <x:v>14735</x:v>
      </x:c>
      <x:c r="CH836" s="11" t="n">
        <x:v>279402</x:v>
      </x:c>
      <x:c r="CI836" s="11" t="n">
        <x:v>401293</x:v>
      </x:c>
      <x:c r="CJ836" s="11" t="n">
        <x:v>143333</x:v>
      </x:c>
      <x:c r="CK836" s="11" t="n">
        <x:v>108863</x:v>
      </x:c>
      <x:c r="CL836" s="11" t="n">
        <x:v>0</x:v>
      </x:c>
      <x:c r="CM836" s="11" t="n">
        <x:v>55719</x:v>
      </x:c>
      <x:c r="CN836" s="11" t="n">
        <x:v>0</x:v>
      </x:c>
      <x:c r="CO836" s="11" t="n">
        <x:v>0</x:v>
      </x:c>
      <x:c r="CP836" s="8"/>
      <x:c r="CQ836" s="8"/>
    </x:row>
    <x:row r="837">
      <x:c r="A837" s="8" t="str">
        <x:v>Tahsis|2024</x:v>
      </x:c>
      <x:c r="B837" s="8" t="str">
        <x:v>tahsis-v</x:v>
      </x:c>
      <x:c r="C837" s="8" t="str">
        <x:v>Tahsis</x:v>
      </x:c>
      <x:c r="D837" s="8" t="str">
        <x:v>Tahsis</x:v>
      </x:c>
      <x:c r="E837" s="8" t="str">
        <x:v>V</x:v>
      </x:c>
      <x:c r="F837" s="8" t="str">
        <x:v>STR</x:v>
      </x:c>
      <x:c r="G837" s="9" t="n">
        <x:v>2024</x:v>
      </x:c>
      <x:c r="H837" s="10" t="n">
        <x:v>277</x:v>
      </x:c>
      <x:c r="I837" s="8" t="str">
        <x:v>Under 5,000</x:v>
      </x:c>
      <x:c r="J837" s="11" t="n">
        <x:v>5203972</x:v>
      </x:c>
      <x:c r="K837" s="11" t="n">
        <x:v>3409460</x:v>
      </x:c>
      <x:c r="L837" s="11" t="n">
        <x:v>1794512</x:v>
      </x:c>
      <x:c r="M837" s="12" t="n">
        <x:v>0.3448350606037081</x:v>
      </x:c>
      <x:c r="N837" s="11" t="n">
        <x:v>1067387</x:v>
      </x:c>
      <x:c r="O837" s="11" t="n">
        <x:v>713787</x:v>
      </x:c>
      <x:c r="P837" s="11" t="n">
        <x:v>3090457</x:v>
      </x:c>
      <x:c r="Q837" s="11" t="n">
        <x:v>332341</x:v>
      </x:c>
      <x:c r="R837" s="11" t="n">
        <x:v>2774622</x:v>
      </x:c>
      <x:c r="S837" s="11" t="n">
        <x:v>634838</x:v>
      </x:c>
      <x:c r="T837" s="11" t="n">
        <x:v>3188481</x:v>
      </x:c>
      <x:c r="U837" s="11" t="n">
        <x:v>3414362</x:v>
      </x:c>
      <x:c r="V837" s="11" t="n">
        <x:v>948587</x:v>
      </x:c>
      <x:c r="W837" s="11" t="n">
        <x:v>2156243</x:v>
      </x:c>
      <x:c r="X837" s="11" t="n">
        <x:v>0</x:v>
      </x:c>
      <x:c r="Y837" s="11" t="n">
        <x:v>0</x:v>
      </x:c>
      <x:c r="Z837" s="11" t="n">
        <x:v>0</x:v>
      </x:c>
      <x:c r="AA837" s="11" t="n">
        <x:v>0</x:v>
      </x:c>
      <x:c r="AB837" s="11" t="n">
        <x:v>0</x:v>
      </x:c>
      <x:c r="AC837" s="11" t="n">
        <x:v>0</x:v>
      </x:c>
      <x:c r="AD837" s="11" t="n">
        <x:v>618479</x:v>
      </x:c>
      <x:c r="AE837" s="11" t="n">
        <x:v>573840</x:v>
      </x:c>
      <x:c r="AF837" s="11" t="n">
        <x:v>2473915</x:v>
      </x:c>
      <x:c r="AG837" s="11" t="n">
        <x:v>30196516</x:v>
      </x:c>
      <x:c r="AH837" s="11" t="n">
        <x:v>15465956</x:v>
      </x:c>
      <x:c r="AI837" s="11" t="n">
        <x:v>14730560</x:v>
      </x:c>
      <x:c r="AJ837" s="11" t="n">
        <x:v>3263207</x:v>
      </x:c>
      <x:c r="AK837" s="11" t="n">
        <x:v>112803385</x:v>
      </x:c>
      <x:c r="AL837" s="11" t="n">
        <x:v>2477616</x:v>
      </x:c>
      <x:c r="AM837" s="12" t="n">
        <x:v>0.9780359782643048</x:v>
      </x:c>
      <x:c r="AN837" s="12" t="n">
        <x:v>0.028928271966306686</x:v>
      </x:c>
      <x:c r="AO837" s="11" t="n">
        <x:v>1547690</x:v>
      </x:c>
      <x:c r="AP837" s="11" t="n">
        <x:v>1278090</x:v>
      </x:c>
      <x:c r="AQ837" s="12" t="n">
        <x:v>0.8258049092518528</x:v>
      </x:c>
      <x:c r="AR837" s="11" t="n">
        <x:v>18786.902527075814</x:v>
      </x:c>
      <x:c r="AS837" s="11" t="n">
        <x:v>12308.519855595669</x:v>
      </x:c>
      <x:c r="AT837" s="11" t="n">
        <x:v>3424.5018050541516</x:v>
      </x:c>
      <x:c r="AU837" s="11" t="n">
        <x:v>7784.270758122743</x:v>
      </x:c>
      <x:c r="AV837" s="11" t="n">
        <x:v>0</x:v>
      </x:c>
      <x:c r="AW837" s="11" t="n">
        <x:v>0.9338438630701724</x:v>
      </x:c>
      <x:c r="AX837" s="12" t="n">
        <x:v>0.9278245502272511</x:v>
      </x:c>
      <x:c r="AY837" s="11" t="n">
        <x:v>4648.097865362712</x:v>
      </x:c>
      <x:c r="AZ837" s="11" t="n">
        <x:v>3546.5079302077975</x:v>
      </x:c>
      <x:c r="BA837" s="11" t="n">
        <x:v>3428.422456291105</x:v>
      </x:c>
      <x:c r="BB837" s="11" t="n">
        <x:v>2783.665107049771</x:v>
      </x:c>
      <x:c r="BC837" s="11" t="n">
        <x:v>5030.364110900993</x:v>
      </x:c>
      <x:c r="BD837" s="11" t="n">
        <x:v>2437.8724475115623</x:v>
      </x:c>
      <x:c r="BE837" s="11" t="n">
        <x:v>2420.45</x:v>
      </x:c>
      <x:c r="BF837" s="11" t="n">
        <x:v>1604.3462673977224</x:v>
      </x:c>
      <x:c r="BG837" s="11" t="n">
        <x:v>224.31236112962716</x:v>
      </x:c>
      <x:c r="BH837" s="11" t="n">
        <x:v>518.5374381567245</x:v>
      </x:c>
      <x:c r="BI837" s="11" t="n">
        <x:v>2.204313821553219</x:v>
      </x:c>
      <x:c r="BJ837" s="11" t="n">
        <x:v>1.7099330852451193</x:v>
      </x:c>
      <x:c r="BK837" s="12" t="n">
        <x:v>0.030042455998363887</x:v>
      </x:c>
      <x:c r="BL837" s="12" t="n">
        <x:v>0.02529861000232605</x:v>
      </x:c>
      <x:c r="BM837" s="12" t="n">
        <x:v>0.9786113537119745</x:v>
      </x:c>
      <x:c r="BN837" s="12" t="n">
        <x:v>0.9815511712696461</x:v>
      </x:c>
      <x:c r="BO837" s="12" t="n">
        <x:v>0.9039920521842442</x:v>
      </x:c>
      <x:c r="BP837" s="12" t="n">
        <x:v>0.8619101997275483</x:v>
      </x:c>
      <x:c r="BQ837" s="12" t="n">
        <x:v>0.9333160528846489</x:v>
      </x:c>
      <x:c r="BR837" s="12" t="n">
        <x:v>0.9623635142836453</x:v>
      </x:c>
      <x:c r="BS837" s="12" t="n">
        <x:v>0.20869205825466772</x:v>
      </x:c>
      <x:c r="BT837" s="12" t="n">
        <x:v>0.19976549769108282</x:v>
      </x:c>
      <x:c r="BU837" s="11" t="n">
        <x:v>6336</x:v>
      </x:c>
      <x:c r="BV837" s="11" t="n">
        <x:v>3084121</x:v>
      </x:c>
      <x:c r="BW837" s="11" t="n">
        <x:v>0</x:v>
      </x:c>
      <x:c r="BX837" s="11" t="n">
        <x:v>160629</x:v>
      </x:c>
      <x:c r="BY837" s="11" t="n">
        <x:v>0</x:v>
      </x:c>
      <x:c r="BZ837" s="11" t="n">
        <x:v>0</x:v>
      </x:c>
      <x:c r="CA837" s="11" t="n">
        <x:v>0</x:v>
      </x:c>
      <x:c r="CB837" s="11" t="n">
        <x:v>171712</x:v>
      </x:c>
      <x:c r="CC837" s="11" t="n">
        <x:v>1294423</x:v>
      </x:c>
      <x:c r="CD837" s="11" t="n">
        <x:v>205630</x:v>
      </x:c>
      <x:c r="CE837" s="11" t="n">
        <x:v>42589</x:v>
      </x:c>
      <x:c r="CF837" s="11" t="n">
        <x:v>0</x:v>
      </x:c>
      <x:c r="CG837" s="11" t="n">
        <x:v>34833</x:v>
      </x:c>
      <x:c r="CH837" s="11" t="n">
        <x:v>383145</x:v>
      </x:c>
      <x:c r="CI837" s="11" t="n">
        <x:v>412959</x:v>
      </x:c>
      <x:c r="CJ837" s="11" t="n">
        <x:v>127612</x:v>
      </x:c>
      <x:c r="CK837" s="11" t="n">
        <x:v>184883</x:v>
      </x:c>
      <x:c r="CL837" s="11" t="n">
        <x:v>0</x:v>
      </x:c>
      <x:c r="CM837" s="11" t="n">
        <x:v>60908</x:v>
      </x:c>
      <x:c r="CN837" s="11" t="n">
        <x:v>27640</x:v>
      </x:c>
      <x:c r="CO837" s="11" t="n">
        <x:v>0</x:v>
      </x:c>
      <x:c r="CP837" s="8"/>
      <x:c r="CQ837" s="8"/>
    </x:row>
    <x:row r="838">
      <x:c r="A838" s="8" t="str">
        <x:v>Taylor|2019</x:v>
      </x:c>
      <x:c r="B838" s="8" t="str">
        <x:v>taylor-d</x:v>
      </x:c>
      <x:c r="C838" s="8" t="str">
        <x:v>Taylor</x:v>
      </x:c>
      <x:c r="D838" s="8" t="str">
        <x:v>Taylor</x:v>
      </x:c>
      <x:c r="E838" s="8" t="str">
        <x:v>D</x:v>
      </x:c>
      <x:c r="F838" s="8" t="str">
        <x:v>PEA</x:v>
      </x:c>
      <x:c r="G838" s="9" t="n">
        <x:v>2019</x:v>
      </x:c>
      <x:c r="H838" s="10" t="n">
        <x:v>1550</x:v>
      </x:c>
      <x:c r="I838" s="8" t="str">
        <x:v>Under 5,000</x:v>
      </x:c>
      <x:c r="J838" s="11" t="n">
        <x:v>9144337</x:v>
      </x:c>
      <x:c r="K838" s="11" t="n">
        <x:v>8097550</x:v>
      </x:c>
      <x:c r="L838" s="11" t="n">
        <x:v>1046787</x:v>
      </x:c>
      <x:c r="M838" s="12" t="n">
        <x:v>0.11447379946736434</x:v>
      </x:c>
      <x:c r="N838" s="11" t="n">
        <x:v>3812418</x:v>
      </x:c>
      <x:c r="O838" s="11" t="n">
        <x:v>2633147</x:v>
      </x:c>
      <x:c r="P838" s="11" t="n">
        <x:v>2488533</x:v>
      </x:c>
      <x:c r="Q838" s="11" t="n">
        <x:v>210239</x:v>
      </x:c>
      <x:c r="R838" s="11" t="n">
        <x:v>6782776</x:v>
      </x:c>
      <x:c r="S838" s="11" t="n">
        <x:v>1314774</x:v>
      </x:c>
      <x:c r="T838" s="11" t="n">
        <x:v>11100636</x:v>
      </x:c>
      <x:c r="U838" s="11" t="n">
        <x:v>4272526</x:v>
      </x:c>
      <x:c r="V838" s="11" t="n">
        <x:v>7787110</x:v>
      </x:c>
      <x:c r="W838" s="11" t="n">
        <x:v>7383840</x:v>
      </x:c>
      <x:c r="X838" s="11" t="n">
        <x:v>0</x:v>
      </x:c>
      <x:c r="Y838" s="11" t="n">
        <x:v>3234261</x:v>
      </x:c>
      <x:c r="Z838" s="11" t="n">
        <x:v>0</x:v>
      </x:c>
      <x:c r="AA838" s="11" t="n">
        <x:v>3234261</x:v>
      </x:c>
      <x:c r="AB838" s="11" t="n">
        <x:v>0</x:v>
      </x:c>
      <x:c r="AC838" s="11" t="n">
        <x:v>0</x:v>
      </x:c>
      <x:c r="AD838" s="11" t="n">
        <x:v>2061979</x:v>
      </x:c>
      <x:c r="AE838" s="11" t="n">
        <x:v>1674556</x:v>
      </x:c>
      <x:c r="AF838" s="11" t="n">
        <x:v>8247916</x:v>
      </x:c>
      <x:c r="AG838" s="11" t="n">
        <x:v>61042967</x:v>
      </x:c>
      <x:c r="AH838" s="11" t="n">
        <x:v>23686888</x:v>
      </x:c>
      <x:c r="AI838" s="11" t="n">
        <x:v>37356079</x:v>
      </x:c>
      <x:c r="AJ838" s="11" t="n">
        <x:v>5601688</x:v>
      </x:c>
      <x:c r="AK838" s="11" t="n">
        <x:v>150941282</x:v>
      </x:c>
      <x:c r="AL838" s="11" t="n">
        <x:v>3907000</x:v>
      </x:c>
      <x:c r="AM838" s="12" t="n">
        <x:v>0.9741157624459557</x:v>
      </x:c>
      <x:c r="AN838" s="12" t="n">
        <x:v>0.037111702814343395</x:v>
      </x:c>
      <x:c r="AO838" s="11" t="n">
        <x:v>5290268</x:v>
      </x:c>
      <x:c r="AP838" s="11" t="n">
        <x:v>5158029</x:v>
      </x:c>
      <x:c r="AQ838" s="12" t="n">
        <x:v>0.9750033457662258</x:v>
      </x:c>
      <x:c r="AR838" s="11" t="n">
        <x:v>5899.572258064516</x:v>
      </x:c>
      <x:c r="AS838" s="11" t="n">
        <x:v>5224.225806451613</x:v>
      </x:c>
      <x:c r="AT838" s="11" t="n">
        <x:v>5023.941935483871</x:v>
      </x:c>
      <x:c r="AU838" s="11" t="n">
        <x:v>4763.767741935484</x:v>
      </x:c>
      <x:c r="AV838" s="11" t="n">
        <x:v>2086.62</x:v>
      </x:c>
      <x:c r="AW838" s="11" t="n">
        <x:v>2.598143580635905</x:v>
      </x:c>
      <x:c r="AX838" s="12" t="n">
        <x:v>0.812111083575536</x:v>
      </x:c>
      <x:c r="AY838" s="11"/>
      <x:c r="AZ838" s="11"/>
      <x:c r="BA838" s="11"/>
      <x:c r="BB838" s="11"/>
      <x:c r="BC838" s="11"/>
      <x:c r="BD838" s="11"/>
      <x:c r="BE838" s="11"/>
      <x:c r="BF838" s="11"/>
      <x:c r="BG838" s="11"/>
      <x:c r="BH838" s="11"/>
      <x:c r="BI838" s="11"/>
      <x:c r="BJ838" s="11"/>
      <x:c r="BK838" s="12"/>
      <x:c r="BL838" s="12"/>
      <x:c r="BM838" s="12"/>
      <x:c r="BN838" s="12"/>
      <x:c r="BO838" s="12"/>
      <x:c r="BP838" s="12"/>
      <x:c r="BQ838" s="12"/>
      <x:c r="BR838" s="12"/>
      <x:c r="BS838" s="12"/>
      <x:c r="BT838" s="12"/>
      <x:c r="BU838" s="11" t="n">
        <x:v>0</x:v>
      </x:c>
      <x:c r="BV838" s="11" t="n">
        <x:v>2259873</x:v>
      </x:c>
      <x:c r="BW838" s="11" t="n">
        <x:v>228660</x:v>
      </x:c>
      <x:c r="BX838" s="11" t="n">
        <x:v>210239</x:v>
      </x:c>
      <x:c r="BY838" s="11" t="n">
        <x:v>0</x:v>
      </x:c>
      <x:c r="BZ838" s="11" t="n">
        <x:v>0</x:v>
      </x:c>
      <x:c r="CA838" s="11" t="n">
        <x:v>0</x:v>
      </x:c>
      <x:c r="CB838" s="11" t="n">
        <x:v>0</x:v>
      </x:c>
      <x:c r="CC838" s="11" t="n">
        <x:v>1250763</x:v>
      </x:c>
      <x:c r="CD838" s="11" t="n">
        <x:v>510785</x:v>
      </x:c>
      <x:c r="CE838" s="11" t="n">
        <x:v>38522</x:v>
      </x:c>
      <x:c r="CF838" s="11" t="n">
        <x:v>95366</x:v>
      </x:c>
      <x:c r="CG838" s="11" t="n">
        <x:v>78875</x:v>
      </x:c>
      <x:c r="CH838" s="11" t="n">
        <x:v>779505</x:v>
      </x:c>
      <x:c r="CI838" s="11" t="n">
        <x:v>3508281</x:v>
      </x:c>
      <x:c r="CJ838" s="11" t="n">
        <x:v>308286</x:v>
      </x:c>
      <x:c r="CK838" s="11" t="n">
        <x:v>165526</x:v>
      </x:c>
      <x:c r="CL838" s="11" t="n">
        <x:v>0</x:v>
      </x:c>
      <x:c r="CM838" s="11"/>
      <x:c r="CN838" s="11" t="n">
        <x:v>46867</x:v>
      </x:c>
      <x:c r="CO838" s="11" t="n">
        <x:v>0</x:v>
      </x:c>
      <x:c r="CP838" s="8"/>
      <x:c r="CQ838" s="8"/>
    </x:row>
    <x:row r="839">
      <x:c r="A839" s="8" t="str">
        <x:v>Taylor|2020</x:v>
      </x:c>
      <x:c r="B839" s="8" t="str">
        <x:v>taylor-d</x:v>
      </x:c>
      <x:c r="C839" s="8" t="str">
        <x:v>Taylor</x:v>
      </x:c>
      <x:c r="D839" s="8" t="str">
        <x:v>Taylor</x:v>
      </x:c>
      <x:c r="E839" s="8" t="str">
        <x:v>D</x:v>
      </x:c>
      <x:c r="F839" s="8" t="str">
        <x:v>PEA</x:v>
      </x:c>
      <x:c r="G839" s="9" t="n">
        <x:v>2020</x:v>
      </x:c>
      <x:c r="H839" s="10" t="n">
        <x:v>1559</x:v>
      </x:c>
      <x:c r="I839" s="8" t="str">
        <x:v>Under 5,000</x:v>
      </x:c>
      <x:c r="J839" s="11" t="n">
        <x:v>8099467</x:v>
      </x:c>
      <x:c r="K839" s="11" t="n">
        <x:v>7166404</x:v>
      </x:c>
      <x:c r="L839" s="11" t="n">
        <x:v>933063</x:v>
      </x:c>
      <x:c r="M839" s="12" t="n">
        <x:v>0.11520054344316731</x:v>
      </x:c>
      <x:c r="N839" s="11" t="n">
        <x:v>2871157</x:v>
      </x:c>
      <x:c r="O839" s="11" t="n">
        <x:v>2144511</x:v>
      </x:c>
      <x:c r="P839" s="11" t="n">
        <x:v>2973407</x:v>
      </x:c>
      <x:c r="Q839" s="11" t="n">
        <x:v>110392</x:v>
      </x:c>
      <x:c r="R839" s="11" t="n">
        <x:v>5513820</x:v>
      </x:c>
      <x:c r="S839" s="11" t="n">
        <x:v>1581348</x:v>
      </x:c>
      <x:c r="T839" s="11" t="n">
        <x:v>13352040</x:v>
      </x:c>
      <x:c r="U839" s="11" t="n">
        <x:v>5379249</x:v>
      </x:c>
      <x:c r="V839" s="11" t="n">
        <x:v>8824831</x:v>
      </x:c>
      <x:c r="W839" s="11" t="n">
        <x:v>7464189</x:v>
      </x:c>
      <x:c r="X839" s="11" t="n">
        <x:v>3234261</x:v>
      </x:c>
      <x:c r="Y839" s="11" t="n">
        <x:v>990024</x:v>
      </x:c>
      <x:c r="Z839" s="11" t="n">
        <x:v>0</x:v>
      </x:c>
      <x:c r="AA839" s="11" t="n">
        <x:v>4224285</x:v>
      </x:c>
      <x:c r="AB839" s="11" t="n">
        <x:v>71236</x:v>
      </x:c>
      <x:c r="AC839" s="11" t="n">
        <x:v>71236</x:v>
      </x:c>
      <x:c r="AD839" s="11" t="n">
        <x:v>1738297</x:v>
      </x:c>
      <x:c r="AE839" s="11" t="n">
        <x:v>1667061</x:v>
      </x:c>
      <x:c r="AF839" s="11" t="n">
        <x:v>6953188</x:v>
      </x:c>
      <x:c r="AG839" s="11" t="n">
        <x:v>62539670</x:v>
      </x:c>
      <x:c r="AH839" s="11" t="n">
        <x:v>25268236</x:v>
      </x:c>
      <x:c r="AI839" s="11" t="n">
        <x:v>37271434</x:v>
      </x:c>
      <x:c r="AJ839" s="11" t="n">
        <x:v>1546703</x:v>
      </x:c>
      <x:c r="AK839" s="11" t="n">
        <x:v>2130987</x:v>
      </x:c>
      <x:c r="AL839" s="11" t="n">
        <x:v>0</x:v>
      </x:c>
      <x:c r="AM839" s="12" t="n">
        <x:v>1</x:v>
      </x:c>
      <x:c r="AN839" s="12" t="n">
        <x:v>0.7258153146875134</x:v>
      </x:c>
      <x:c r="AO839" s="11" t="n">
        <x:v>4279833</x:v>
      </x:c>
      <x:c r="AP839" s="11" t="n">
        <x:v>4135809</x:v>
      </x:c>
      <x:c r="AQ839" s="12" t="n">
        <x:v>0.9663482196618419</x:v>
      </x:c>
      <x:c r="AR839" s="11" t="n">
        <x:v>5195.296343810135</x:v>
      </x:c>
      <x:c r="AS839" s="11" t="n">
        <x:v>4596.795381654907</x:v>
      </x:c>
      <x:c r="AT839" s="11" t="n">
        <x:v>5660.57152020526</x:v>
      </x:c>
      <x:c r="AU839" s="11" t="n">
        <x:v>4787.805644644002</x:v>
      </x:c>
      <x:c r="AV839" s="11" t="n">
        <x:v>2709.6119307248237</x:v>
      </x:c>
      <x:c r="AW839" s="11" t="n">
        <x:v>2.4821383059233733</x:v>
      </x:c>
      <x:c r="AX839" s="12" t="n">
        <x:v>0.9590196611971372</x:v>
      </x:c>
      <x:c r="AY839" s="11"/>
      <x:c r="AZ839" s="11"/>
      <x:c r="BA839" s="11"/>
      <x:c r="BB839" s="11"/>
      <x:c r="BC839" s="11"/>
      <x:c r="BD839" s="11"/>
      <x:c r="BE839" s="11"/>
      <x:c r="BF839" s="11"/>
      <x:c r="BG839" s="11"/>
      <x:c r="BH839" s="11"/>
      <x:c r="BI839" s="11"/>
      <x:c r="BJ839" s="11"/>
      <x:c r="BK839" s="12"/>
      <x:c r="BL839" s="12"/>
      <x:c r="BM839" s="12"/>
      <x:c r="BN839" s="12"/>
      <x:c r="BO839" s="12"/>
      <x:c r="BP839" s="12"/>
      <x:c r="BQ839" s="12"/>
      <x:c r="BR839" s="12"/>
      <x:c r="BS839" s="12"/>
      <x:c r="BT839" s="12"/>
      <x:c r="BU839" s="11" t="n">
        <x:v>0</x:v>
      </x:c>
      <x:c r="BV839" s="11" t="n">
        <x:v>2741371</x:v>
      </x:c>
      <x:c r="BW839" s="11" t="n">
        <x:v>232036</x:v>
      </x:c>
      <x:c r="BX839" s="11" t="n">
        <x:v>110392</x:v>
      </x:c>
      <x:c r="BY839" s="11" t="n">
        <x:v>0</x:v>
      </x:c>
      <x:c r="BZ839" s="11" t="n">
        <x:v>0</x:v>
      </x:c>
      <x:c r="CA839" s="11" t="n">
        <x:v>0</x:v>
      </x:c>
      <x:c r="CB839" s="11" t="n">
        <x:v>0</x:v>
      </x:c>
      <x:c r="CC839" s="11" t="n">
        <x:v>1240832</x:v>
      </x:c>
      <x:c r="CD839" s="11" t="n">
        <x:v>507372</x:v>
      </x:c>
      <x:c r="CE839" s="11" t="n">
        <x:v>46342</x:v>
      </x:c>
      <x:c r="CF839" s="11" t="n">
        <x:v>100780</x:v>
      </x:c>
      <x:c r="CG839" s="11" t="n">
        <x:v>71235</x:v>
      </x:c>
      <x:c r="CH839" s="11" t="n">
        <x:v>601338</x:v>
      </x:c>
      <x:c r="CI839" s="11" t="n">
        <x:v>2526225</x:v>
      </x:c>
      <x:c r="CJ839" s="11" t="n">
        <x:v>309658</x:v>
      </x:c>
      <x:c r="CK839" s="11" t="n">
        <x:v>181274</x:v>
      </x:c>
      <x:c r="CL839" s="11" t="n">
        <x:v>0</x:v>
      </x:c>
      <x:c r="CM839" s="11"/>
      <x:c r="CN839" s="11" t="n">
        <x:v>0</x:v>
      </x:c>
      <x:c r="CO839" s="11" t="n">
        <x:v>0</x:v>
      </x:c>
      <x:c r="CP839" s="8"/>
      <x:c r="CQ839" s="8"/>
    </x:row>
    <x:row r="840">
      <x:c r="A840" s="8" t="str">
        <x:v>Taylor|2021</x:v>
      </x:c>
      <x:c r="B840" s="8" t="str">
        <x:v>taylor-d</x:v>
      </x:c>
      <x:c r="C840" s="8" t="str">
        <x:v>Taylor</x:v>
      </x:c>
      <x:c r="D840" s="8" t="str">
        <x:v>Taylor</x:v>
      </x:c>
      <x:c r="E840" s="8" t="str">
        <x:v>D</x:v>
      </x:c>
      <x:c r="F840" s="8" t="str">
        <x:v>PEA</x:v>
      </x:c>
      <x:c r="G840" s="9" t="n">
        <x:v>2021</x:v>
      </x:c>
      <x:c r="H840" s="10" t="n">
        <x:v>1566</x:v>
      </x:c>
      <x:c r="I840" s="8" t="str">
        <x:v>Under 5,000</x:v>
      </x:c>
      <x:c r="J840" s="11" t="n">
        <x:v>9050928</x:v>
      </x:c>
      <x:c r="K840" s="11" t="n">
        <x:v>7774977</x:v>
      </x:c>
      <x:c r="L840" s="11" t="n">
        <x:v>1275951</x:v>
      </x:c>
      <x:c r="M840" s="12" t="n">
        <x:v>0.14097460503497541</x:v>
      </x:c>
      <x:c r="N840" s="11" t="n">
        <x:v>4114696</x:v>
      </x:c>
      <x:c r="O840" s="11" t="n">
        <x:v>2398604</x:v>
      </x:c>
      <x:c r="P840" s="11" t="n">
        <x:v>2504802</x:v>
      </x:c>
      <x:c r="Q840" s="11" t="n">
        <x:v>32826</x:v>
      </x:c>
      <x:c r="R840" s="11" t="n">
        <x:v>6052673</x:v>
      </x:c>
      <x:c r="S840" s="11" t="n">
        <x:v>1663560</x:v>
      </x:c>
      <x:c r="T840" s="11" t="n">
        <x:v>14137381</x:v>
      </x:c>
      <x:c r="U840" s="11" t="n">
        <x:v>5263002</x:v>
      </x:c>
      <x:c r="V840" s="11" t="n">
        <x:v>9672863</x:v>
      </x:c>
      <x:c r="W840" s="11" t="n">
        <x:v>7188106</x:v>
      </x:c>
      <x:c r="X840" s="11" t="n">
        <x:v>4224285</x:v>
      </x:c>
      <x:c r="Y840" s="11" t="n">
        <x:v>0</x:v>
      </x:c>
      <x:c r="Z840" s="11" t="n">
        <x:v>166462</x:v>
      </x:c>
      <x:c r="AA840" s="11" t="n">
        <x:v>4057823</x:v>
      </x:c>
      <x:c r="AB840" s="11" t="n">
        <x:v>58744</x:v>
      </x:c>
      <x:c r="AC840" s="11" t="n">
        <x:v>225206</x:v>
      </x:c>
      <x:c r="AD840" s="11" t="n">
        <x:v>1948218</x:v>
      </x:c>
      <x:c r="AE840" s="11" t="n">
        <x:v>1708663</x:v>
      </x:c>
      <x:c r="AF840" s="11" t="n">
        <x:v>7792872</x:v>
      </x:c>
      <x:c r="AG840" s="11" t="n">
        <x:v>64552518</x:v>
      </x:c>
      <x:c r="AH840" s="11" t="n">
        <x:v>26878567</x:v>
      </x:c>
      <x:c r="AI840" s="11" t="n">
        <x:v>37673951</x:v>
      </x:c>
      <x:c r="AJ840" s="11" t="n">
        <x:v>2068077</x:v>
      </x:c>
      <x:c r="AK840" s="11" t="n">
        <x:v>3429483</x:v>
      </x:c>
      <x:c r="AL840" s="11" t="n">
        <x:v>0</x:v>
      </x:c>
      <x:c r="AM840" s="12" t="n">
        <x:v>1</x:v>
      </x:c>
      <x:c r="AN840" s="12" t="n">
        <x:v>0.603028794719204</x:v>
      </x:c>
      <x:c r="AO840" s="11" t="n">
        <x:v>5700734</x:v>
      </x:c>
      <x:c r="AP840" s="11" t="n">
        <x:v>5552580</x:v>
      </x:c>
      <x:c r="AQ840" s="12" t="n">
        <x:v>0.9740114167754538</x:v>
      </x:c>
      <x:c r="AR840" s="11" t="n">
        <x:v>5779.6475095785445</x:v>
      </x:c>
      <x:c r="AS840" s="11" t="n">
        <x:v>4964.86398467433</x:v>
      </x:c>
      <x:c r="AT840" s="11" t="n">
        <x:v>6176.7962962962965</x:v>
      </x:c>
      <x:c r="AU840" s="11" t="n">
        <x:v>4590.106002554278</x:v>
      </x:c>
      <x:c r="AV840" s="11" t="n">
        <x:v>2591.2024265644955</x:v>
      </x:c>
      <x:c r="AW840" s="11" t="n">
        <x:v>2.6861819547094985</x:v>
      </x:c>
      <x:c r="AX840" s="12" t="n">
        <x:v>0.8770389145362583</x:v>
      </x:c>
      <x:c r="AY840" s="11"/>
      <x:c r="AZ840" s="11"/>
      <x:c r="BA840" s="11"/>
      <x:c r="BB840" s="11"/>
      <x:c r="BC840" s="11"/>
      <x:c r="BD840" s="11"/>
      <x:c r="BE840" s="11"/>
      <x:c r="BF840" s="11"/>
      <x:c r="BG840" s="11"/>
      <x:c r="BH840" s="11"/>
      <x:c r="BI840" s="11"/>
      <x:c r="BJ840" s="11"/>
      <x:c r="BK840" s="12"/>
      <x:c r="BL840" s="12"/>
      <x:c r="BM840" s="12"/>
      <x:c r="BN840" s="12"/>
      <x:c r="BO840" s="12"/>
      <x:c r="BP840" s="12"/>
      <x:c r="BQ840" s="12"/>
      <x:c r="BR840" s="12"/>
      <x:c r="BS840" s="12"/>
      <x:c r="BT840" s="12"/>
      <x:c r="BU840" s="11" t="n">
        <x:v>0</x:v>
      </x:c>
      <x:c r="BV840" s="11" t="n">
        <x:v>2033245</x:v>
      </x:c>
      <x:c r="BW840" s="11" t="n">
        <x:v>471557</x:v>
      </x:c>
      <x:c r="BX840" s="11" t="n">
        <x:v>32526</x:v>
      </x:c>
      <x:c r="BY840" s="11" t="n">
        <x:v>0</x:v>
      </x:c>
      <x:c r="BZ840" s="11" t="n">
        <x:v>0</x:v>
      </x:c>
      <x:c r="CA840" s="11" t="n">
        <x:v>300</x:v>
      </x:c>
      <x:c r="CB840" s="11" t="n">
        <x:v>0</x:v>
      </x:c>
      <x:c r="CC840" s="11" t="n">
        <x:v>1338308</x:v>
      </x:c>
      <x:c r="CD840" s="11" t="n">
        <x:v>602555</x:v>
      </x:c>
      <x:c r="CE840" s="11" t="n">
        <x:v>46369</x:v>
      </x:c>
      <x:c r="CF840" s="11" t="n">
        <x:v>95941</x:v>
      </x:c>
      <x:c r="CG840" s="11" t="n">
        <x:v>69519</x:v>
      </x:c>
      <x:c r="CH840" s="11" t="n">
        <x:v>607571</x:v>
      </x:c>
      <x:c r="CI840" s="11" t="n">
        <x:v>2938953</x:v>
      </x:c>
      <x:c r="CJ840" s="11" t="n">
        <x:v>247863</x:v>
      </x:c>
      <x:c r="CK840" s="11" t="n">
        <x:v>164338</x:v>
      </x:c>
      <x:c r="CL840" s="11" t="n">
        <x:v>0</x:v>
      </x:c>
      <x:c r="CM840" s="11"/>
      <x:c r="CN840" s="11" t="n">
        <x:v>0</x:v>
      </x:c>
      <x:c r="CO840" s="11" t="n">
        <x:v>0</x:v>
      </x:c>
      <x:c r="CP840" s="8"/>
      <x:c r="CQ840" s="8"/>
    </x:row>
    <x:row r="841">
      <x:c r="A841" s="8" t="str">
        <x:v>Taylor|2022</x:v>
      </x:c>
      <x:c r="B841" s="8" t="str">
        <x:v>taylor-d</x:v>
      </x:c>
      <x:c r="C841" s="8" t="str">
        <x:v>Taylor</x:v>
      </x:c>
      <x:c r="D841" s="8" t="str">
        <x:v>Taylor</x:v>
      </x:c>
      <x:c r="E841" s="8" t="str">
        <x:v>D</x:v>
      </x:c>
      <x:c r="F841" s="8" t="str">
        <x:v>PEA</x:v>
      </x:c>
      <x:c r="G841" s="9" t="n">
        <x:v>2022</x:v>
      </x:c>
      <x:c r="H841" s="10" t="n">
        <x:v>1553</x:v>
      </x:c>
      <x:c r="I841" s="8" t="str">
        <x:v>Under 5,000</x:v>
      </x:c>
      <x:c r="J841" s="11" t="n">
        <x:v>8973858</x:v>
      </x:c>
      <x:c r="K841" s="11" t="n">
        <x:v>8694674</x:v>
      </x:c>
      <x:c r="L841" s="11" t="n">
        <x:v>279184</x:v>
      </x:c>
      <x:c r="M841" s="12" t="n">
        <x:v>0.031110810980071225</x:v>
      </x:c>
      <x:c r="N841" s="11" t="n">
        <x:v>4175071</x:v>
      </x:c>
      <x:c r="O841" s="11" t="n">
        <x:v>2497023</x:v>
      </x:c>
      <x:c r="P841" s="11" t="n">
        <x:v>2252145</x:v>
      </x:c>
      <x:c r="Q841" s="11" t="n">
        <x:v>49619</x:v>
      </x:c>
      <x:c r="R841" s="11" t="n">
        <x:v>6773078</x:v>
      </x:c>
      <x:c r="S841" s="11" t="n">
        <x:v>1822806</x:v>
      </x:c>
      <x:c r="T841" s="11" t="n">
        <x:v>11948053</x:v>
      </x:c>
      <x:c r="U841" s="11" t="n">
        <x:v>4459395</x:v>
      </x:c>
      <x:c r="V841" s="11" t="n">
        <x:v>8192966</x:v>
      </x:c>
      <x:c r="W841" s="11" t="n">
        <x:v>6518153</x:v>
      </x:c>
      <x:c r="X841" s="11" t="n">
        <x:v>4057823</x:v>
      </x:c>
      <x:c r="Y841" s="11" t="n">
        <x:v>0</x:v>
      </x:c>
      <x:c r="Z841" s="11" t="n">
        <x:v>166462</x:v>
      </x:c>
      <x:c r="AA841" s="11" t="n">
        <x:v>3891361</x:v>
      </x:c>
      <x:c r="AB841" s="11" t="n">
        <x:v>98790</x:v>
      </x:c>
      <x:c r="AC841" s="11" t="n">
        <x:v>265252</x:v>
      </x:c>
      <x:c r="AD841" s="11" t="n">
        <x:v>2005245</x:v>
      </x:c>
      <x:c r="AE841" s="11" t="n">
        <x:v>1710196</x:v>
      </x:c>
      <x:c r="AF841" s="11" t="n">
        <x:v>8020979</x:v>
      </x:c>
      <x:c r="AG841" s="11" t="n">
        <x:v>68115385</x:v>
      </x:c>
      <x:c r="AH841" s="11" t="n">
        <x:v>28701373</x:v>
      </x:c>
      <x:c r="AI841" s="11" t="n">
        <x:v>39414012</x:v>
      </x:c>
      <x:c r="AJ841" s="11" t="n">
        <x:v>3567766</x:v>
      </x:c>
      <x:c r="AK841" s="11" t="n">
        <x:v>4972375</x:v>
      </x:c>
      <x:c r="AL841" s="11" t="n">
        <x:v>0</x:v>
      </x:c>
      <x:c r="AM841" s="12" t="n">
        <x:v>1</x:v>
      </x:c>
      <x:c r="AN841" s="12" t="n">
        <x:v>0.7175174840996505</x:v>
      </x:c>
      <x:c r="AO841" s="11" t="n">
        <x:v>5684643</x:v>
      </x:c>
      <x:c r="AP841" s="11" t="n">
        <x:v>5565626</x:v>
      </x:c>
      <x:c r="AQ841" s="12" t="n">
        <x:v>0.9790634169990974</x:v>
      </x:c>
      <x:c r="AR841" s="11" t="n">
        <x:v>5778.401802962009</x:v>
      </x:c>
      <x:c r="AS841" s="11" t="n">
        <x:v>5598.631036703156</x:v>
      </x:c>
      <x:c r="AT841" s="11" t="n">
        <x:v>5275.573728267868</x:v>
      </x:c>
      <x:c r="AU841" s="11" t="n">
        <x:v>4197.136509980683</x:v>
      </x:c>
      <x:c r="AV841" s="11" t="n">
        <x:v>2505.7057308435287</x:v>
      </x:c>
      <x:c r="AW841" s="11" t="n">
        <x:v>2.6792990977475646</x:v>
      </x:c>
      <x:c r="AX841" s="12" t="n">
        <x:v>0.8528613710544098</x:v>
      </x:c>
      <x:c r="AY841" s="11"/>
      <x:c r="AZ841" s="11"/>
      <x:c r="BA841" s="11"/>
      <x:c r="BB841" s="11"/>
      <x:c r="BC841" s="11"/>
      <x:c r="BD841" s="11"/>
      <x:c r="BE841" s="11"/>
      <x:c r="BF841" s="11"/>
      <x:c r="BG841" s="11"/>
      <x:c r="BH841" s="11"/>
      <x:c r="BI841" s="11"/>
      <x:c r="BJ841" s="11"/>
      <x:c r="BK841" s="12"/>
      <x:c r="BL841" s="12"/>
      <x:c r="BM841" s="12"/>
      <x:c r="BN841" s="12"/>
      <x:c r="BO841" s="12"/>
      <x:c r="BP841" s="12"/>
      <x:c r="BQ841" s="12"/>
      <x:c r="BR841" s="12"/>
      <x:c r="BS841" s="12"/>
      <x:c r="BT841" s="12"/>
      <x:c r="BU841" s="11" t="n">
        <x:v>18735</x:v>
      </x:c>
      <x:c r="BV841" s="11" t="n">
        <x:v>1962196</x:v>
      </x:c>
      <x:c r="BW841" s="11" t="n">
        <x:v>271214</x:v>
      </x:c>
      <x:c r="BX841" s="11" t="n">
        <x:v>44519</x:v>
      </x:c>
      <x:c r="BY841" s="11" t="n">
        <x:v>0</x:v>
      </x:c>
      <x:c r="BZ841" s="11" t="n">
        <x:v>5100</x:v>
      </x:c>
      <x:c r="CA841" s="11" t="n">
        <x:v>0</x:v>
      </x:c>
      <x:c r="CB841" s="11" t="n">
        <x:v>0</x:v>
      </x:c>
      <x:c r="CC841" s="11" t="n">
        <x:v>1562704</x:v>
      </x:c>
      <x:c r="CD841" s="11" t="n">
        <x:v>626926</x:v>
      </x:c>
      <x:c r="CE841" s="11" t="n">
        <x:v>49276</x:v>
      </x:c>
      <x:c r="CF841" s="11" t="n">
        <x:v>70015</x:v>
      </x:c>
      <x:c r="CG841" s="11" t="n">
        <x:v>74488</x:v>
      </x:c>
      <x:c r="CH841" s="11" t="n">
        <x:v>780326</x:v>
      </x:c>
      <x:c r="CI841" s="11" t="n">
        <x:v>3222298</x:v>
      </x:c>
      <x:c r="CJ841" s="11" t="n">
        <x:v>263190</x:v>
      </x:c>
      <x:c r="CK841" s="11" t="n">
        <x:v>214376</x:v>
      </x:c>
      <x:c r="CL841" s="11" t="n">
        <x:v>3370</x:v>
      </x:c>
      <x:c r="CM841" s="11"/>
      <x:c r="CN841" s="11" t="n">
        <x:v>4899</x:v>
      </x:c>
      <x:c r="CO841" s="11" t="n">
        <x:v>0</x:v>
      </x:c>
      <x:c r="CP841" s="8"/>
      <x:c r="CQ841" s="8"/>
    </x:row>
    <x:row r="842">
      <x:c r="A842" s="8" t="str">
        <x:v>Taylor|2023</x:v>
      </x:c>
      <x:c r="B842" s="8" t="str">
        <x:v>taylor-d</x:v>
      </x:c>
      <x:c r="C842" s="8" t="str">
        <x:v>Taylor</x:v>
      </x:c>
      <x:c r="D842" s="8" t="str">
        <x:v>Taylor</x:v>
      </x:c>
      <x:c r="E842" s="8" t="str">
        <x:v>D</x:v>
      </x:c>
      <x:c r="F842" s="8" t="str">
        <x:v>PEA</x:v>
      </x:c>
      <x:c r="G842" s="9" t="n">
        <x:v>2023</x:v>
      </x:c>
      <x:c r="H842" s="10" t="n">
        <x:v>1606</x:v>
      </x:c>
      <x:c r="I842" s="8" t="str">
        <x:v>Under 5,000</x:v>
      </x:c>
      <x:c r="J842" s="11" t="n">
        <x:v>11665831</x:v>
      </x:c>
      <x:c r="K842" s="11" t="n">
        <x:v>10157503</x:v>
      </x:c>
      <x:c r="L842" s="11" t="n">
        <x:v>1508328</x:v>
      </x:c>
      <x:c r="M842" s="12" t="n">
        <x:v>0.12929451832449826</x:v>
      </x:c>
      <x:c r="N842" s="11" t="n">
        <x:v>4332077</x:v>
      </x:c>
      <x:c r="O842" s="11" t="n">
        <x:v>3185767</x:v>
      </x:c>
      <x:c r="P842" s="11" t="n">
        <x:v>3917232</x:v>
      </x:c>
      <x:c r="Q842" s="11" t="n">
        <x:v>230755</x:v>
      </x:c>
      <x:c r="R842" s="11" t="n">
        <x:v>7964886</x:v>
      </x:c>
      <x:c r="S842" s="11" t="n">
        <x:v>1987575</x:v>
      </x:c>
      <x:c r="T842" s="11" t="n">
        <x:v>12936216</x:v>
      </x:c>
      <x:c r="U842" s="11" t="n">
        <x:v>5209297</x:v>
      </x:c>
      <x:c r="V842" s="11" t="n">
        <x:v>8886543</x:v>
      </x:c>
      <x:c r="W842" s="11" t="n">
        <x:v>7992498</x:v>
      </x:c>
      <x:c r="X842" s="11" t="n">
        <x:v>3891361</x:v>
      </x:c>
      <x:c r="Y842" s="11" t="n">
        <x:v>0</x:v>
      </x:c>
      <x:c r="Z842" s="11" t="n">
        <x:v>166462</x:v>
      </x:c>
      <x:c r="AA842" s="11" t="n">
        <x:v>3724899</x:v>
      </x:c>
      <x:c r="AB842" s="11" t="n">
        <x:v>205042</x:v>
      </x:c>
      <x:c r="AC842" s="11" t="n">
        <x:v>371504</x:v>
      </x:c>
      <x:c r="AD842" s="11" t="n">
        <x:v>2210238</x:v>
      </x:c>
      <x:c r="AE842" s="11" t="n">
        <x:v>1838734</x:v>
      </x:c>
      <x:c r="AF842" s="11" t="n">
        <x:v>8840952</x:v>
      </x:c>
      <x:c r="AG842" s="11" t="n">
        <x:v>70871916</x:v>
      </x:c>
      <x:c r="AH842" s="11" t="n">
        <x:v>30633763</x:v>
      </x:c>
      <x:c r="AI842" s="11" t="n">
        <x:v>40238153</x:v>
      </x:c>
      <x:c r="AJ842" s="11" t="n">
        <x:v>2307882</x:v>
      </x:c>
      <x:c r="AK842" s="11" t="n">
        <x:v>2543923</x:v>
      </x:c>
      <x:c r="AL842" s="11" t="n">
        <x:v>0</x:v>
      </x:c>
      <x:c r="AM842" s="12" t="n">
        <x:v>1</x:v>
      </x:c>
      <x:c r="AN842" s="12" t="n">
        <x:v>0.9072137796623562</x:v>
      </x:c>
      <x:c r="AO842" s="11" t="n">
        <x:v>5993937</x:v>
      </x:c>
      <x:c r="AP842" s="11" t="n">
        <x:v>5852192</x:v>
      </x:c>
      <x:c r="AQ842" s="12" t="n">
        <x:v>0.9763519369656372</x:v>
      </x:c>
      <x:c r="AR842" s="11" t="n">
        <x:v>7263.904732254047</x:v>
      </x:c>
      <x:c r="AS842" s="11" t="n">
        <x:v>6324.721668742217</x:v>
      </x:c>
      <x:c r="AT842" s="11" t="n">
        <x:v>5533.339352428394</x:v>
      </x:c>
      <x:c r="AU842" s="11" t="n">
        <x:v>4976.648816936488</x:v>
      </x:c>
      <x:c r="AV842" s="11" t="n">
        <x:v>2319.3642590286427</x:v>
      </x:c>
      <x:c r="AW842" s="11" t="n">
        <x:v>2.483294003010387</x:v>
      </x:c>
      <x:c r="AX842" s="12" t="n">
        <x:v>0.8319167438076804</x:v>
      </x:c>
      <x:c r="AY842" s="11"/>
      <x:c r="AZ842" s="11"/>
      <x:c r="BA842" s="11"/>
      <x:c r="BB842" s="11"/>
      <x:c r="BC842" s="11"/>
      <x:c r="BD842" s="11"/>
      <x:c r="BE842" s="11"/>
      <x:c r="BF842" s="11"/>
      <x:c r="BG842" s="11"/>
      <x:c r="BH842" s="11"/>
      <x:c r="BI842" s="11"/>
      <x:c r="BJ842" s="11"/>
      <x:c r="BK842" s="12"/>
      <x:c r="BL842" s="12"/>
      <x:c r="BM842" s="12"/>
      <x:c r="BN842" s="12"/>
      <x:c r="BO842" s="12"/>
      <x:c r="BP842" s="12"/>
      <x:c r="BQ842" s="12"/>
      <x:c r="BR842" s="12"/>
      <x:c r="BS842" s="12"/>
      <x:c r="BT842" s="12"/>
      <x:c r="BU842" s="11" t="n">
        <x:v>2347</x:v>
      </x:c>
      <x:c r="BV842" s="11" t="n">
        <x:v>3685879</x:v>
      </x:c>
      <x:c r="BW842" s="11" t="n">
        <x:v>229006</x:v>
      </x:c>
      <x:c r="BX842" s="11" t="n">
        <x:v>203369</x:v>
      </x:c>
      <x:c r="BY842" s="11" t="n">
        <x:v>0</x:v>
      </x:c>
      <x:c r="BZ842" s="11" t="n">
        <x:v>27386</x:v>
      </x:c>
      <x:c r="CA842" s="11" t="n">
        <x:v>0</x:v>
      </x:c>
      <x:c r="CB842" s="11" t="n">
        <x:v>0</x:v>
      </x:c>
      <x:c r="CC842" s="11" t="n">
        <x:v>2093104</x:v>
      </x:c>
      <x:c r="CD842" s="11" t="n">
        <x:v>689005</x:v>
      </x:c>
      <x:c r="CE842" s="11" t="n">
        <x:v>54402</x:v>
      </x:c>
      <x:c r="CF842" s="11" t="n">
        <x:v>0</x:v>
      </x:c>
      <x:c r="CG842" s="11" t="n">
        <x:v>68529</x:v>
      </x:c>
      <x:c r="CH842" s="11" t="n">
        <x:v>1026537</x:v>
      </x:c>
      <x:c r="CI842" s="11" t="n">
        <x:v>3583416</x:v>
      </x:c>
      <x:c r="CJ842" s="11" t="n">
        <x:v>382869</x:v>
      </x:c>
      <x:c r="CK842" s="11" t="n">
        <x:v>218479</x:v>
      </x:c>
      <x:c r="CL842" s="11" t="n">
        <x:v>896</x:v>
      </x:c>
      <x:c r="CM842" s="11" t="n">
        <x:v>0</x:v>
      </x:c>
      <x:c r="CN842" s="11" t="n">
        <x:v>52691</x:v>
      </x:c>
      <x:c r="CO842" s="11" t="n">
        <x:v>0</x:v>
      </x:c>
      <x:c r="CP842" s="8"/>
      <x:c r="CQ842" s="8"/>
    </x:row>
    <x:row r="843">
      <x:c r="A843" s="8" t="str">
        <x:v>Taylor|2024</x:v>
      </x:c>
      <x:c r="B843" s="8" t="str">
        <x:v>taylor-d</x:v>
      </x:c>
      <x:c r="C843" s="8" t="str">
        <x:v>Taylor</x:v>
      </x:c>
      <x:c r="D843" s="8" t="str">
        <x:v>Taylor</x:v>
      </x:c>
      <x:c r="E843" s="8" t="str">
        <x:v>D</x:v>
      </x:c>
      <x:c r="F843" s="8" t="str">
        <x:v>PEA</x:v>
      </x:c>
      <x:c r="G843" s="9" t="n">
        <x:v>2024</x:v>
      </x:c>
      <x:c r="H843" s="10" t="n">
        <x:v>1606</x:v>
      </x:c>
      <x:c r="I843" s="8" t="str">
        <x:v>Under 5,000</x:v>
      </x:c>
      <x:c r="J843" s="11" t="n">
        <x:v>12143119</x:v>
      </x:c>
      <x:c r="K843" s="11" t="n">
        <x:v>10228406</x:v>
      </x:c>
      <x:c r="L843" s="11" t="n">
        <x:v>1914713</x:v>
      </x:c>
      <x:c r="M843" s="12" t="n">
        <x:v>0.15767884676086927</x:v>
      </x:c>
      <x:c r="N843" s="11" t="n">
        <x:v>4641439</x:v>
      </x:c>
      <x:c r="O843" s="11" t="n">
        <x:v>3343398</x:v>
      </x:c>
      <x:c r="P843" s="11" t="n">
        <x:v>3105486</x:v>
      </x:c>
      <x:c r="Q843" s="11" t="n">
        <x:v>1052796</x:v>
      </x:c>
      <x:c r="R843" s="11" t="n">
        <x:v>8019078</x:v>
      </x:c>
      <x:c r="S843" s="11" t="n">
        <x:v>2012629</x:v>
      </x:c>
      <x:c r="T843" s="11" t="n">
        <x:v>15621314</x:v>
      </x:c>
      <x:c r="U843" s="11" t="n">
        <x:v>5512177</x:v>
      </x:c>
      <x:c r="V843" s="11" t="n">
        <x:v>11222494</x:v>
      </x:c>
      <x:c r="W843" s="11" t="n">
        <x:v>9454305</x:v>
      </x:c>
      <x:c r="X843" s="11" t="n">
        <x:v>3724899</x:v>
      </x:c>
      <x:c r="Y843" s="11" t="n">
        <x:v>0</x:v>
      </x:c>
      <x:c r="Z843" s="11" t="n">
        <x:v>180580</x:v>
      </x:c>
      <x:c r="AA843" s="11" t="n">
        <x:v>3544319</x:v>
      </x:c>
      <x:c r="AB843" s="11" t="n">
        <x:v>196699</x:v>
      </x:c>
      <x:c r="AC843" s="11" t="n">
        <x:v>377279</x:v>
      </x:c>
      <x:c r="AD843" s="11" t="n">
        <x:v>2389269</x:v>
      </x:c>
      <x:c r="AE843" s="11" t="n">
        <x:v>2011990</x:v>
      </x:c>
      <x:c r="AF843" s="11" t="n">
        <x:v>9557075</x:v>
      </x:c>
      <x:c r="AG843" s="11" t="n">
        <x:v>72124354</x:v>
      </x:c>
      <x:c r="AH843" s="11" t="n">
        <x:v>32320441</x:v>
      </x:c>
      <x:c r="AI843" s="11" t="n">
        <x:v>39803913</x:v>
      </x:c>
      <x:c r="AJ843" s="11" t="n">
        <x:v>1780620</x:v>
      </x:c>
      <x:c r="AK843" s="11" t="n">
        <x:v>198287339</x:v>
      </x:c>
      <x:c r="AL843" s="11" t="n">
        <x:v>3911000</x:v>
      </x:c>
      <x:c r="AM843" s="12" t="n">
        <x:v>0.9802760982132097</x:v>
      </x:c>
      <x:c r="AN843" s="12" t="n">
        <x:v>0.00897999846576185</x:v>
      </x:c>
      <x:c r="AO843" s="11" t="n">
        <x:v>6319994</x:v>
      </x:c>
      <x:c r="AP843" s="11" t="n">
        <x:v>6209543</x:v>
      </x:c>
      <x:c r="AQ843" s="12" t="n">
        <x:v>0.9825235593578096</x:v>
      </x:c>
      <x:c r="AR843" s="11" t="n">
        <x:v>7561.095267745953</x:v>
      </x:c>
      <x:c r="AS843" s="11" t="n">
        <x:v>6368.870485678704</x:v>
      </x:c>
      <x:c r="AT843" s="11" t="n">
        <x:v>6987.854296388543</x:v>
      </x:c>
      <x:c r="AU843" s="11" t="n">
        <x:v>5886.864881693648</x:v>
      </x:c>
      <x:c r="AV843" s="11" t="n">
        <x:v>2206.923412204234</x:v>
      </x:c>
      <x:c r="AW843" s="11" t="n">
        <x:v>2.833964511662089</x:v>
      </x:c>
      <x:c r="AX843" s="12" t="n">
        <x:v>0.8420943811684661</x:v>
      </x:c>
      <x:c r="AY843" s="11" t="n">
        <x:v>4486.511144130758</x:v>
      </x:c>
      <x:c r="AZ843" s="11" t="n">
        <x:v>3546.5079302077975</x:v>
      </x:c>
      <x:c r="BA843" s="11" t="n">
        <x:v>3557.844717668488</x:v>
      </x:c>
      <x:c r="BB843" s="11" t="n">
        <x:v>2783.665107049771</x:v>
      </x:c>
      <x:c r="BC843" s="11" t="n">
        <x:v>5496.677373974208</x:v>
      </x:c>
      <x:c r="BD843" s="11" t="n">
        <x:v>2437.8724475115623</x:v>
      </x:c>
      <x:c r="BE843" s="11" t="n">
        <x:v>3386.4506393861893</x:v>
      </x:c>
      <x:c r="BF843" s="11" t="n">
        <x:v>1604.3462673977224</x:v>
      </x:c>
      <x:c r="BG843" s="11" t="n">
        <x:v>624.7436119532265</x:v>
      </x:c>
      <x:c r="BH843" s="11" t="n">
        <x:v>518.5374381567245</x:v>
      </x:c>
      <x:c r="BI843" s="11" t="n">
        <x:v>3.324657351485151</x:v>
      </x:c>
      <x:c r="BJ843" s="11" t="n">
        <x:v>1.7099330852451193</x:v>
      </x:c>
      <x:c r="BK843" s="12" t="n">
        <x:v>0.02521828600111612</x:v>
      </x:c>
      <x:c r="BL843" s="12" t="n">
        <x:v>0.02529861000232605</x:v>
      </x:c>
      <x:c r="BM843" s="12" t="n">
        <x:v>0.9816336034641139</x:v>
      </x:c>
      <x:c r="BN843" s="12" t="n">
        <x:v>0.9815511712696461</x:v>
      </x:c>
      <x:c r="BO843" s="12" t="n">
        <x:v>0.8531878894527055</x:v>
      </x:c>
      <x:c r="BP843" s="12" t="n">
        <x:v>0.8619101997275483</x:v>
      </x:c>
      <x:c r="BQ843" s="12" t="n">
        <x:v>0.9614729661922712</x:v>
      </x:c>
      <x:c r="BR843" s="12" t="n">
        <x:v>0.9623635142836453</x:v>
      </x:c>
      <x:c r="BS843" s="12" t="n">
        <x:v>0.23352896680225554</x:v>
      </x:c>
      <x:c r="BT843" s="12" t="n">
        <x:v>0.19976549769108282</x:v>
      </x:c>
      <x:c r="BU843" s="11" t="n">
        <x:v>125816</x:v>
      </x:c>
      <x:c r="BV843" s="11" t="n">
        <x:v>2798960</x:v>
      </x:c>
      <x:c r="BW843" s="11" t="n">
        <x:v>180710</x:v>
      </x:c>
      <x:c r="BX843" s="11" t="n">
        <x:v>554377</x:v>
      </x:c>
      <x:c r="BY843" s="11" t="n">
        <x:v>0</x:v>
      </x:c>
      <x:c r="BZ843" s="11" t="n">
        <x:v>13824</x:v>
      </x:c>
      <x:c r="CA843" s="11" t="n">
        <x:v>484595</x:v>
      </x:c>
      <x:c r="CB843" s="11" t="n">
        <x:v>0</x:v>
      </x:c>
      <x:c r="CC843" s="11" t="n">
        <x:v>2197486</x:v>
      </x:c>
      <x:c r="CD843" s="11" t="n">
        <x:v>628115</x:v>
      </x:c>
      <x:c r="CE843" s="11" t="n">
        <x:v>68293</x:v>
      </x:c>
      <x:c r="CF843" s="11" t="n">
        <x:v>0</x:v>
      </x:c>
      <x:c r="CG843" s="11" t="n">
        <x:v>85898</x:v>
      </x:c>
      <x:c r="CH843" s="11" t="n">
        <x:v>977458</x:v>
      </x:c>
      <x:c r="CI843" s="11" t="n">
        <x:v>3746225</x:v>
      </x:c>
      <x:c r="CJ843" s="11" t="n">
        <x:v>282238</x:v>
      </x:c>
      <x:c r="CK843" s="11" t="n">
        <x:v>228599</x:v>
      </x:c>
      <x:c r="CL843" s="11" t="n">
        <x:v>1465</x:v>
      </x:c>
      <x:c r="CM843" s="11" t="n">
        <x:v>0</x:v>
      </x:c>
      <x:c r="CN843" s="11" t="n">
        <x:v>0</x:v>
      </x:c>
      <x:c r="CO843" s="11" t="n">
        <x:v>0</x:v>
      </x:c>
      <x:c r="CP843" s="8"/>
      <x:c r="CQ843" s="8"/>
    </x:row>
    <x:row r="844">
      <x:c r="A844" s="8" t="str">
        <x:v>Telkwa|2019</x:v>
      </x:c>
      <x:c r="B844" s="8" t="str">
        <x:v>telkwa-v</x:v>
      </x:c>
      <x:c r="C844" s="8" t="str">
        <x:v>Telkwa</x:v>
      </x:c>
      <x:c r="D844" s="8" t="str">
        <x:v>Telkwa</x:v>
      </x:c>
      <x:c r="E844" s="8" t="str">
        <x:v>V</x:v>
      </x:c>
      <x:c r="F844" s="8" t="str">
        <x:v>BUL</x:v>
      </x:c>
      <x:c r="G844" s="9" t="n">
        <x:v>2019</x:v>
      </x:c>
      <x:c r="H844" s="10" t="n">
        <x:v>1402</x:v>
      </x:c>
      <x:c r="I844" s="8" t="str">
        <x:v>Under 5,000</x:v>
      </x:c>
      <x:c r="J844" s="11" t="n">
        <x:v>9630118</x:v>
      </x:c>
      <x:c r="K844" s="11" t="n">
        <x:v>2618965</x:v>
      </x:c>
      <x:c r="L844" s="11" t="n">
        <x:v>7011153</x:v>
      </x:c>
      <x:c r="M844" s="12" t="n">
        <x:v>0.7280443500276944</x:v>
      </x:c>
      <x:c r="N844" s="11" t="n">
        <x:v>928721</x:v>
      </x:c>
      <x:c r="O844" s="11" t="n">
        <x:v>719461</x:v>
      </x:c>
      <x:c r="P844" s="11" t="n">
        <x:v>7876944</x:v>
      </x:c>
      <x:c r="Q844" s="11" t="n">
        <x:v>104992</x:v>
      </x:c>
      <x:c r="R844" s="11" t="n">
        <x:v>2070712</x:v>
      </x:c>
      <x:c r="S844" s="11" t="n">
        <x:v>547219</x:v>
      </x:c>
      <x:c r="T844" s="11" t="n">
        <x:v>6346873</x:v>
      </x:c>
      <x:c r="U844" s="11" t="n">
        <x:v>1451735</x:v>
      </x:c>
      <x:c r="V844" s="11" t="n">
        <x:v>5985176</x:v>
      </x:c>
      <x:c r="W844" s="11" t="n">
        <x:v>4392445</x:v>
      </x:c>
      <x:c r="X844" s="11" t="n">
        <x:v>105187</x:v>
      </x:c>
      <x:c r="Y844" s="11" t="n">
        <x:v>0</x:v>
      </x:c>
      <x:c r="Z844" s="11" t="n">
        <x:v>66425</x:v>
      </x:c>
      <x:c r="AA844" s="11" t="n">
        <x:v>38762</x:v>
      </x:c>
      <x:c r="AB844" s="11" t="n">
        <x:v>1034</x:v>
      </x:c>
      <x:c r="AC844" s="11" t="n">
        <x:v>67459</x:v>
      </x:c>
      <x:c r="AD844" s="11" t="n">
        <x:v>541491</x:v>
      </x:c>
      <x:c r="AE844" s="11" t="n">
        <x:v>474032</x:v>
      </x:c>
      <x:c r="AF844" s="11" t="n">
        <x:v>2165964</x:v>
      </x:c>
      <x:c r="AG844" s="11" t="n">
        <x:v>25509861</x:v>
      </x:c>
      <x:c r="AH844" s="11" t="n">
        <x:v>10784200</x:v>
      </x:c>
      <x:c r="AI844" s="11" t="n">
        <x:v>14725661</x:v>
      </x:c>
      <x:c r="AJ844" s="11" t="n">
        <x:v>3471461</x:v>
      </x:c>
      <x:c r="AK844" s="11" t="n">
        <x:v>266078</x:v>
      </x:c>
      <x:c r="AL844" s="11" t="n">
        <x:v>0</x:v>
      </x:c>
      <x:c r="AM844" s="12" t="n">
        <x:v>1</x:v>
      </x:c>
      <x:c r="AN844" s="12" t="n">
        <x:v>13.046779515781086</x:v>
      </x:c>
      <x:c r="AO844" s="11" t="n">
        <x:v>1703344</x:v>
      </x:c>
      <x:c r="AP844" s="11" t="n">
        <x:v>1642948</x:v>
      </x:c>
      <x:c r="AQ844" s="12" t="n">
        <x:v>0.9645426877953015</x:v>
      </x:c>
      <x:c r="AR844" s="11" t="n">
        <x:v>6868.8430813124105</x:v>
      </x:c>
      <x:c r="AS844" s="11" t="n">
        <x:v>1868.0206847360912</x:v>
      </x:c>
      <x:c r="AT844" s="11" t="n">
        <x:v>4269.027104136947</x:v>
      </x:c>
      <x:c r="AU844" s="11" t="n">
        <x:v>3132.985021398003</x:v>
      </x:c>
      <x:c r="AV844" s="11" t="n">
        <x:v>27.647646219686163</x:v>
      </x:c>
      <x:c r="AW844" s="11" t="n">
        <x:v>4.3719225616245385</x:v>
      </x:c>
      <x:c r="AX844" s="12" t="n">
        <x:v>0.8754199054093235</x:v>
      </x:c>
      <x:c r="AY844" s="11"/>
      <x:c r="AZ844" s="11"/>
      <x:c r="BA844" s="11"/>
      <x:c r="BB844" s="11"/>
      <x:c r="BC844" s="11"/>
      <x:c r="BD844" s="11"/>
      <x:c r="BE844" s="11"/>
      <x:c r="BF844" s="11"/>
      <x:c r="BG844" s="11"/>
      <x:c r="BH844" s="11"/>
      <x:c r="BI844" s="11"/>
      <x:c r="BJ844" s="11"/>
      <x:c r="BK844" s="12"/>
      <x:c r="BL844" s="12"/>
      <x:c r="BM844" s="12"/>
      <x:c r="BN844" s="12"/>
      <x:c r="BO844" s="12"/>
      <x:c r="BP844" s="12"/>
      <x:c r="BQ844" s="12"/>
      <x:c r="BR844" s="12"/>
      <x:c r="BS844" s="12"/>
      <x:c r="BT844" s="12"/>
      <x:c r="BU844" s="11" t="n">
        <x:v>0</x:v>
      </x:c>
      <x:c r="BV844" s="11" t="n">
        <x:v>4158584</x:v>
      </x:c>
      <x:c r="BW844" s="11" t="n">
        <x:v>3718360</x:v>
      </x:c>
      <x:c r="BX844" s="11" t="n">
        <x:v>59992</x:v>
      </x:c>
      <x:c r="BY844" s="11" t="n">
        <x:v>40000</x:v>
      </x:c>
      <x:c r="BZ844" s="11" t="n">
        <x:v>0</x:v>
      </x:c>
      <x:c r="CA844" s="11" t="n">
        <x:v>0</x:v>
      </x:c>
      <x:c r="CB844" s="11" t="n">
        <x:v>5000</x:v>
      </x:c>
      <x:c r="CC844" s="11" t="n">
        <x:v>729025</x:v>
      </x:c>
      <x:c r="CD844" s="11" t="n">
        <x:v>298982</x:v>
      </x:c>
      <x:c r="CE844" s="11" t="n">
        <x:v>50544</x:v>
      </x:c>
      <x:c r="CF844" s="11" t="n">
        <x:v>0</x:v>
      </x:c>
      <x:c r="CG844" s="11" t="n">
        <x:v>94841</x:v>
      </x:c>
      <x:c r="CH844" s="11" t="n">
        <x:v>437208</x:v>
      </x:c>
      <x:c r="CI844" s="11" t="n">
        <x:v>102915</x:v>
      </x:c>
      <x:c r="CJ844" s="11" t="n">
        <x:v>269216</x:v>
      </x:c>
      <x:c r="CK844" s="11" t="n">
        <x:v>89015</x:v>
      </x:c>
      <x:c r="CL844" s="11" t="n">
        <x:v>0</x:v>
      </x:c>
      <x:c r="CM844" s="11"/>
      <x:c r="CN844" s="11" t="n">
        <x:v>0</x:v>
      </x:c>
      <x:c r="CO844" s="11" t="n">
        <x:v>0</x:v>
      </x:c>
      <x:c r="CP844" s="8"/>
      <x:c r="CQ844" s="8"/>
    </x:row>
    <x:row r="845">
      <x:c r="A845" s="8" t="str">
        <x:v>Telkwa|2020</x:v>
      </x:c>
      <x:c r="B845" s="8" t="str">
        <x:v>telkwa-v</x:v>
      </x:c>
      <x:c r="C845" s="8" t="str">
        <x:v>Telkwa</x:v>
      </x:c>
      <x:c r="D845" s="8" t="str">
        <x:v>Telkwa</x:v>
      </x:c>
      <x:c r="E845" s="8" t="str">
        <x:v>V</x:v>
      </x:c>
      <x:c r="F845" s="8" t="str">
        <x:v>BUL</x:v>
      </x:c>
      <x:c r="G845" s="9" t="n">
        <x:v>2020</x:v>
      </x:c>
      <x:c r="H845" s="10" t="n">
        <x:v>1432</x:v>
      </x:c>
      <x:c r="I845" s="8" t="str">
        <x:v>Under 5,000</x:v>
      </x:c>
      <x:c r="J845" s="11" t="n">
        <x:v>4778726</x:v>
      </x:c>
      <x:c r="K845" s="11" t="n">
        <x:v>2696971</x:v>
      </x:c>
      <x:c r="L845" s="11" t="n">
        <x:v>2081755</x:v>
      </x:c>
      <x:c r="M845" s="12" t="n">
        <x:v>0.43562970549054286</x:v>
      </x:c>
      <x:c r="N845" s="11" t="n">
        <x:v>926540</x:v>
      </x:c>
      <x:c r="O845" s="11" t="n">
        <x:v>753396</x:v>
      </x:c>
      <x:c r="P845" s="11" t="n">
        <x:v>2960937</x:v>
      </x:c>
      <x:c r="Q845" s="11" t="n">
        <x:v>137853</x:v>
      </x:c>
      <x:c r="R845" s="11" t="n">
        <x:v>2090301</x:v>
      </x:c>
      <x:c r="S845" s="11" t="n">
        <x:v>603948</x:v>
      </x:c>
      <x:c r="T845" s="11" t="n">
        <x:v>7514673</x:v>
      </x:c>
      <x:c r="U845" s="11" t="n">
        <x:v>1751194</x:v>
      </x:c>
      <x:c r="V845" s="11" t="n">
        <x:v>6454469</x:v>
      </x:c>
      <x:c r="W845" s="11" t="n">
        <x:v>4572902</x:v>
      </x:c>
      <x:c r="X845" s="11" t="n">
        <x:v>38762</x:v>
      </x:c>
      <x:c r="Y845" s="11" t="n">
        <x:v>0</x:v>
      </x:c>
      <x:c r="Z845" s="11" t="n">
        <x:v>38762</x:v>
      </x:c>
      <x:c r="AA845" s="11" t="n">
        <x:v>0</x:v>
      </x:c>
      <x:c r="AB845" s="11" t="n">
        <x:v>2722</x:v>
      </x:c>
      <x:c r="AC845" s="11" t="n">
        <x:v>41484</x:v>
      </x:c>
      <x:c r="AD845" s="11" t="n">
        <x:v>561980</x:v>
      </x:c>
      <x:c r="AE845" s="11" t="n">
        <x:v>520496</x:v>
      </x:c>
      <x:c r="AF845" s="11" t="n">
        <x:v>2247919</x:v>
      </x:c>
      <x:c r="AG845" s="11" t="n">
        <x:v>27709507</x:v>
      </x:c>
      <x:c r="AH845" s="11" t="n">
        <x:v>11372136</x:v>
      </x:c>
      <x:c r="AI845" s="11" t="n">
        <x:v>16337371</x:v>
      </x:c>
      <x:c r="AJ845" s="11" t="n">
        <x:v>2215658</x:v>
      </x:c>
      <x:c r="AK845" s="11" t="n">
        <x:v>299561</x:v>
      </x:c>
      <x:c r="AL845" s="11" t="n">
        <x:v>0</x:v>
      </x:c>
      <x:c r="AM845" s="12" t="n">
        <x:v>1</x:v>
      </x:c>
      <x:c r="AN845" s="12" t="n">
        <x:v>7.396349992155187</x:v>
      </x:c>
      <x:c r="AO845" s="11" t="n">
        <x:v>1816262</x:v>
      </x:c>
      <x:c r="AP845" s="11" t="n">
        <x:v>1779436</x:v>
      </x:c>
      <x:c r="AQ845" s="12" t="n">
        <x:v>0.9797242908787389</x:v>
      </x:c>
      <x:c r="AR845" s="11" t="n">
        <x:v>3337.099162011173</x:v>
      </x:c>
      <x:c r="AS845" s="11" t="n">
        <x:v>1883.3596368715084</x:v>
      </x:c>
      <x:c r="AT845" s="11" t="n">
        <x:v>4507.310754189944</x:v>
      </x:c>
      <x:c r="AU845" s="11" t="n">
        <x:v>3193.367318435754</x:v>
      </x:c>
      <x:c r="AV845" s="11" t="n">
        <x:v>0</x:v>
      </x:c>
      <x:c r="AW845" s="11" t="n">
        <x:v>4.291171052436224</x:v>
      </x:c>
      <x:c r="AX845" s="12" t="n">
        <x:v>0.9261824264208691</x:v>
      </x:c>
      <x:c r="AY845" s="11"/>
      <x:c r="AZ845" s="11"/>
      <x:c r="BA845" s="11"/>
      <x:c r="BB845" s="11"/>
      <x:c r="BC845" s="11"/>
      <x:c r="BD845" s="11"/>
      <x:c r="BE845" s="11"/>
      <x:c r="BF845" s="11"/>
      <x:c r="BG845" s="11"/>
      <x:c r="BH845" s="11"/>
      <x:c r="BI845" s="11"/>
      <x:c r="BJ845" s="11"/>
      <x:c r="BK845" s="12"/>
      <x:c r="BL845" s="12"/>
      <x:c r="BM845" s="12"/>
      <x:c r="BN845" s="12"/>
      <x:c r="BO845" s="12"/>
      <x:c r="BP845" s="12"/>
      <x:c r="BQ845" s="12"/>
      <x:c r="BR845" s="12"/>
      <x:c r="BS845" s="12"/>
      <x:c r="BT845" s="12"/>
      <x:c r="BU845" s="11" t="n">
        <x:v>0</x:v>
      </x:c>
      <x:c r="BV845" s="11" t="n">
        <x:v>2511222</x:v>
      </x:c>
      <x:c r="BW845" s="11" t="n">
        <x:v>449715</x:v>
      </x:c>
      <x:c r="BX845" s="11" t="n">
        <x:v>92853</x:v>
      </x:c>
      <x:c r="BY845" s="11" t="n">
        <x:v>40000</x:v>
      </x:c>
      <x:c r="BZ845" s="11" t="n">
        <x:v>0</x:v>
      </x:c>
      <x:c r="CA845" s="11" t="n">
        <x:v>0</x:v>
      </x:c>
      <x:c r="CB845" s="11" t="n">
        <x:v>5000</x:v>
      </x:c>
      <x:c r="CC845" s="11" t="n">
        <x:v>677879</x:v>
      </x:c>
      <x:c r="CD845" s="11" t="n">
        <x:v>270684</x:v>
      </x:c>
      <x:c r="CE845" s="11" t="n">
        <x:v>32358</x:v>
      </x:c>
      <x:c r="CF845" s="11" t="n">
        <x:v>0</x:v>
      </x:c>
      <x:c r="CG845" s="11" t="n">
        <x:v>138459</x:v>
      </x:c>
      <x:c r="CH845" s="11" t="n">
        <x:v>481093</x:v>
      </x:c>
      <x:c r="CI845" s="11" t="n">
        <x:v>127983</x:v>
      </x:c>
      <x:c r="CJ845" s="11" t="n">
        <x:v>246007</x:v>
      </x:c>
      <x:c r="CK845" s="11" t="n">
        <x:v>118560</x:v>
      </x:c>
      <x:c r="CL845" s="11" t="n">
        <x:v>0</x:v>
      </x:c>
      <x:c r="CM845" s="11"/>
      <x:c r="CN845" s="11" t="n">
        <x:v>0</x:v>
      </x:c>
      <x:c r="CO845" s="11" t="n">
        <x:v>0</x:v>
      </x:c>
      <x:c r="CP845" s="8"/>
      <x:c r="CQ845" s="8"/>
    </x:row>
    <x:row r="846">
      <x:c r="A846" s="8" t="str">
        <x:v>Telkwa|2021</x:v>
      </x:c>
      <x:c r="B846" s="8" t="str">
        <x:v>telkwa-v</x:v>
      </x:c>
      <x:c r="C846" s="8" t="str">
        <x:v>Telkwa</x:v>
      </x:c>
      <x:c r="D846" s="8" t="str">
        <x:v>Telkwa</x:v>
      </x:c>
      <x:c r="E846" s="8" t="str">
        <x:v>V</x:v>
      </x:c>
      <x:c r="F846" s="8" t="str">
        <x:v>BUL</x:v>
      </x:c>
      <x:c r="G846" s="9" t="n">
        <x:v>2021</x:v>
      </x:c>
      <x:c r="H846" s="10" t="n">
        <x:v>1502</x:v>
      </x:c>
      <x:c r="I846" s="8" t="str">
        <x:v>Under 5,000</x:v>
      </x:c>
      <x:c r="J846" s="11" t="n">
        <x:v>4387925</x:v>
      </x:c>
      <x:c r="K846" s="11" t="n">
        <x:v>2862295</x:v>
      </x:c>
      <x:c r="L846" s="11" t="n">
        <x:v>1525630</x:v>
      </x:c>
      <x:c r="M846" s="12" t="n">
        <x:v>0.3476882581174473</x:v>
      </x:c>
      <x:c r="N846" s="11" t="n">
        <x:v>925904</x:v>
      </x:c>
      <x:c r="O846" s="11" t="n">
        <x:v>752713</x:v>
      </x:c>
      <x:c r="P846" s="11" t="n">
        <x:v>2617485</x:v>
      </x:c>
      <x:c r="Q846" s="11" t="n">
        <x:v>91823</x:v>
      </x:c>
      <x:c r="R846" s="11" t="n">
        <x:v>2239796</x:v>
      </x:c>
      <x:c r="S846" s="11" t="n">
        <x:v>622155</x:v>
      </x:c>
      <x:c r="T846" s="11" t="n">
        <x:v>6367771</x:v>
      </x:c>
      <x:c r="U846" s="11" t="n">
        <x:v>1386527</x:v>
      </x:c>
      <x:c r="V846" s="11" t="n">
        <x:v>5668946</x:v>
      </x:c>
      <x:c r="W846" s="11" t="n">
        <x:v>3788817</x:v>
      </x:c>
      <x:c r="X846" s="11" t="n">
        <x:v>7500</x:v>
      </x:c>
      <x:c r="Y846" s="11" t="n">
        <x:v>58170</x:v>
      </x:c>
      <x:c r="Z846" s="11" t="n">
        <x:v>7500</x:v>
      </x:c>
      <x:c r="AA846" s="11" t="n">
        <x:v>58170</x:v>
      </x:c>
      <x:c r="AB846" s="11" t="n">
        <x:v>344</x:v>
      </x:c>
      <x:c r="AC846" s="11" t="n">
        <x:v>7844</x:v>
      </x:c>
      <x:c r="AD846" s="11" t="n">
        <x:v>548557</x:v>
      </x:c>
      <x:c r="AE846" s="11" t="n">
        <x:v>540713</x:v>
      </x:c>
      <x:c r="AF846" s="11" t="n">
        <x:v>2194227</x:v>
      </x:c>
      <x:c r="AG846" s="11" t="n">
        <x:v>30451789</x:v>
      </x:c>
      <x:c r="AH846" s="11" t="n">
        <x:v>11971637</x:v>
      </x:c>
      <x:c r="AI846" s="11" t="n">
        <x:v>18480152</x:v>
      </x:c>
      <x:c r="AJ846" s="11" t="n">
        <x:v>2764936</x:v>
      </x:c>
      <x:c r="AK846" s="11" t="n">
        <x:v>2399000</x:v>
      </x:c>
      <x:c r="AL846" s="11" t="n">
        <x:v>0</x:v>
      </x:c>
      <x:c r="AM846" s="12" t="n">
        <x:v>1</x:v>
      </x:c>
      <x:c r="AN846" s="12" t="n">
        <x:v>1.1525368903709878</x:v>
      </x:c>
      <x:c r="AO846" s="11" t="n">
        <x:v>1820955</x:v>
      </x:c>
      <x:c r="AP846" s="11" t="n">
        <x:v>1716413</x:v>
      </x:c>
      <x:c r="AQ846" s="12" t="n">
        <x:v>0.9425894654178714</x:v>
      </x:c>
      <x:c r="AR846" s="11" t="n">
        <x:v>2921.3881491344873</x:v>
      </x:c>
      <x:c r="AS846" s="11" t="n">
        <x:v>1905.6557922769641</x:v>
      </x:c>
      <x:c r="AT846" s="11" t="n">
        <x:v>3774.2649800266313</x:v>
      </x:c>
      <x:c r="AU846" s="11" t="n">
        <x:v>2522.5146471371504</x:v>
      </x:c>
      <x:c r="AV846" s="11" t="n">
        <x:v>38.728362183754996</x:v>
      </x:c>
      <x:c r="AW846" s="11" t="n">
        <x:v>4.592605120563826</x:v>
      </x:c>
      <x:c r="AX846" s="12" t="n">
        <x:v>0.9857006655643807</x:v>
      </x:c>
      <x:c r="AY846" s="11"/>
      <x:c r="AZ846" s="11"/>
      <x:c r="BA846" s="11"/>
      <x:c r="BB846" s="11"/>
      <x:c r="BC846" s="11"/>
      <x:c r="BD846" s="11"/>
      <x:c r="BE846" s="11"/>
      <x:c r="BF846" s="11"/>
      <x:c r="BG846" s="11"/>
      <x:c r="BH846" s="11"/>
      <x:c r="BI846" s="11"/>
      <x:c r="BJ846" s="11"/>
      <x:c r="BK846" s="12"/>
      <x:c r="BL846" s="12"/>
      <x:c r="BM846" s="12"/>
      <x:c r="BN846" s="12"/>
      <x:c r="BO846" s="12"/>
      <x:c r="BP846" s="12"/>
      <x:c r="BQ846" s="12"/>
      <x:c r="BR846" s="12"/>
      <x:c r="BS846" s="12"/>
      <x:c r="BT846" s="12"/>
      <x:c r="BU846" s="11" t="n">
        <x:v>0</x:v>
      </x:c>
      <x:c r="BV846" s="11" t="n">
        <x:v>2240530</x:v>
      </x:c>
      <x:c r="BW846" s="11" t="n">
        <x:v>376955</x:v>
      </x:c>
      <x:c r="BX846" s="11" t="n">
        <x:v>36823</x:v>
      </x:c>
      <x:c r="BY846" s="11" t="n">
        <x:v>50000</x:v>
      </x:c>
      <x:c r="BZ846" s="11" t="n">
        <x:v>0</x:v>
      </x:c>
      <x:c r="CA846" s="11" t="n">
        <x:v>0</x:v>
      </x:c>
      <x:c r="CB846" s="11" t="n">
        <x:v>5000</x:v>
      </x:c>
      <x:c r="CC846" s="11" t="n">
        <x:v>827616</x:v>
      </x:c>
      <x:c r="CD846" s="11" t="n">
        <x:v>244983</x:v>
      </x:c>
      <x:c r="CE846" s="11" t="n">
        <x:v>31763</x:v>
      </x:c>
      <x:c r="CF846" s="11" t="n">
        <x:v>0</x:v>
      </x:c>
      <x:c r="CG846" s="11" t="n">
        <x:v>140532</x:v>
      </x:c>
      <x:c r="CH846" s="11" t="n">
        <x:v>525044</x:v>
      </x:c>
      <x:c r="CI846" s="11" t="n">
        <x:v>122820</x:v>
      </x:c>
      <x:c r="CJ846" s="11" t="n">
        <x:v>235626</x:v>
      </x:c>
      <x:c r="CK846" s="11" t="n">
        <x:v>111756</x:v>
      </x:c>
      <x:c r="CL846" s="11" t="n">
        <x:v>0</x:v>
      </x:c>
      <x:c r="CM846" s="11"/>
      <x:c r="CN846" s="11" t="n">
        <x:v>0</x:v>
      </x:c>
      <x:c r="CO846" s="11" t="n">
        <x:v>0</x:v>
      </x:c>
      <x:c r="CP846" s="8"/>
      <x:c r="CQ846" s="8"/>
    </x:row>
    <x:row r="847">
      <x:c r="A847" s="8" t="str">
        <x:v>Telkwa|2022</x:v>
      </x:c>
      <x:c r="B847" s="8" t="str">
        <x:v>telkwa-v</x:v>
      </x:c>
      <x:c r="C847" s="8" t="str">
        <x:v>Telkwa</x:v>
      </x:c>
      <x:c r="D847" s="8" t="str">
        <x:v>Telkwa</x:v>
      </x:c>
      <x:c r="E847" s="8" t="str">
        <x:v>V</x:v>
      </x:c>
      <x:c r="F847" s="8" t="str">
        <x:v>BUL</x:v>
      </x:c>
      <x:c r="G847" s="9" t="n">
        <x:v>2022</x:v>
      </x:c>
      <x:c r="H847" s="10" t="n">
        <x:v>1460</x:v>
      </x:c>
      <x:c r="I847" s="8" t="str">
        <x:v>Under 5,000</x:v>
      </x:c>
      <x:c r="J847" s="11" t="n">
        <x:v>4244474</x:v>
      </x:c>
      <x:c r="K847" s="11" t="n">
        <x:v>3010415</x:v>
      </x:c>
      <x:c r="L847" s="11" t="n">
        <x:v>1234059</x:v>
      </x:c>
      <x:c r="M847" s="12" t="n">
        <x:v>0.29074486025830293</x:v>
      </x:c>
      <x:c r="N847" s="11" t="n">
        <x:v>994425</x:v>
      </x:c>
      <x:c r="O847" s="11" t="n">
        <x:v>915759</x:v>
      </x:c>
      <x:c r="P847" s="11" t="n">
        <x:v>2145919</x:v>
      </x:c>
      <x:c r="Q847" s="11" t="n">
        <x:v>188371</x:v>
      </x:c>
      <x:c r="R847" s="11" t="n">
        <x:v>2311896</x:v>
      </x:c>
      <x:c r="S847" s="11" t="n">
        <x:v>693601</x:v>
      </x:c>
      <x:c r="T847" s="11" t="n">
        <x:v>6350265</x:v>
      </x:c>
      <x:c r="U847" s="11" t="n">
        <x:v>1340762</x:v>
      </x:c>
      <x:c r="V847" s="11" t="n">
        <x:v>5767947</x:v>
      </x:c>
      <x:c r="W847" s="11" t="n">
        <x:v>2544625</x:v>
      </x:c>
      <x:c r="X847" s="11" t="n">
        <x:v>58170</x:v>
      </x:c>
      <x:c r="Y847" s="11" t="n">
        <x:v>202000</x:v>
      </x:c>
      <x:c r="Z847" s="11" t="n">
        <x:v>32892</x:v>
      </x:c>
      <x:c r="AA847" s="11" t="n">
        <x:v>227278</x:v>
      </x:c>
      <x:c r="AB847" s="11" t="n">
        <x:v>4918</x:v>
      </x:c>
      <x:c r="AC847" s="11" t="n">
        <x:v>37810</x:v>
      </x:c>
      <x:c r="AD847" s="11" t="n">
        <x:v>657889</x:v>
      </x:c>
      <x:c r="AE847" s="11" t="n">
        <x:v>620079</x:v>
      </x:c>
      <x:c r="AF847" s="11" t="n">
        <x:v>2631555</x:v>
      </x:c>
      <x:c r="AG847" s="11" t="n">
        <x:v>32442684</x:v>
      </x:c>
      <x:c r="AH847" s="11" t="n">
        <x:v>12665238</x:v>
      </x:c>
      <x:c r="AI847" s="11" t="n">
        <x:v>19777446</x:v>
      </x:c>
      <x:c r="AJ847" s="11" t="n">
        <x:v>1990895</x:v>
      </x:c>
      <x:c r="AK847" s="11" t="n">
        <x:v>836918</x:v>
      </x:c>
      <x:c r="AL847" s="11" t="n">
        <x:v>0</x:v>
      </x:c>
      <x:c r="AM847" s="12" t="n">
        <x:v>1</x:v>
      </x:c>
      <x:c r="AN847" s="12" t="n">
        <x:v>2.3788411767939035</x:v>
      </x:c>
      <x:c r="AO847" s="11" t="n">
        <x:v>2030744</x:v>
      </x:c>
      <x:c r="AP847" s="11" t="n">
        <x:v>1924906</x:v>
      </x:c>
      <x:c r="AQ847" s="12" t="n">
        <x:v>0.9478821555055684</x:v>
      </x:c>
      <x:c r="AR847" s="11" t="n">
        <x:v>2907.17397260274</x:v>
      </x:c>
      <x:c r="AS847" s="11" t="n">
        <x:v>2061.928082191781</x:v>
      </x:c>
      <x:c r="AT847" s="11" t="n">
        <x:v>3950.6486301369864</x:v>
      </x:c>
      <x:c r="AU847" s="11" t="n">
        <x:v>1742.8938356164383</x:v>
      </x:c>
      <x:c r="AV847" s="11" t="n">
        <x:v>155.66986301369863</x:v>
      </x:c>
      <x:c r="AW847" s="11" t="n">
        <x:v>4.7363103966252025</x:v>
      </x:c>
      <x:c r="AX847" s="12" t="n">
        <x:v>0.9425282988467659</x:v>
      </x:c>
      <x:c r="AY847" s="11"/>
      <x:c r="AZ847" s="11"/>
      <x:c r="BA847" s="11"/>
      <x:c r="BB847" s="11"/>
      <x:c r="BC847" s="11"/>
      <x:c r="BD847" s="11"/>
      <x:c r="BE847" s="11"/>
      <x:c r="BF847" s="11"/>
      <x:c r="BG847" s="11"/>
      <x:c r="BH847" s="11"/>
      <x:c r="BI847" s="11"/>
      <x:c r="BJ847" s="11"/>
      <x:c r="BK847" s="12"/>
      <x:c r="BL847" s="12"/>
      <x:c r="BM847" s="12"/>
      <x:c r="BN847" s="12"/>
      <x:c r="BO847" s="12"/>
      <x:c r="BP847" s="12"/>
      <x:c r="BQ847" s="12"/>
      <x:c r="BR847" s="12"/>
      <x:c r="BS847" s="12"/>
      <x:c r="BT847" s="12"/>
      <x:c r="BU847" s="11" t="n">
        <x:v>178193</x:v>
      </x:c>
      <x:c r="BV847" s="11" t="n">
        <x:v>1807137</x:v>
      </x:c>
      <x:c r="BW847" s="11" t="n">
        <x:v>160589</x:v>
      </x:c>
      <x:c r="BX847" s="11" t="n">
        <x:v>138371</x:v>
      </x:c>
      <x:c r="BY847" s="11" t="n">
        <x:v>0</x:v>
      </x:c>
      <x:c r="BZ847" s="11" t="n">
        <x:v>50000</x:v>
      </x:c>
      <x:c r="CA847" s="11" t="n">
        <x:v>0</x:v>
      </x:c>
      <x:c r="CB847" s="11" t="n">
        <x:v>0</x:v>
      </x:c>
      <x:c r="CC847" s="11" t="n">
        <x:v>830197</x:v>
      </x:c>
      <x:c r="CD847" s="11" t="n">
        <x:v>220321</x:v>
      </x:c>
      <x:c r="CE847" s="11" t="n">
        <x:v>197176</x:v>
      </x:c>
      <x:c r="CF847" s="11" t="n">
        <x:v>0</x:v>
      </x:c>
      <x:c r="CG847" s="11" t="n">
        <x:v>112410</x:v>
      </x:c>
      <x:c r="CH847" s="11" t="n">
        <x:v>429936</x:v>
      </x:c>
      <x:c r="CI847" s="11" t="n">
        <x:v>151633</x:v>
      </x:c>
      <x:c r="CJ847" s="11" t="n">
        <x:v>264804</x:v>
      </x:c>
      <x:c r="CK847" s="11" t="n">
        <x:v>110337</x:v>
      </x:c>
      <x:c r="CL847" s="11" t="n">
        <x:v>0</x:v>
      </x:c>
      <x:c r="CM847" s="11"/>
      <x:c r="CN847" s="11" t="n">
        <x:v>0</x:v>
      </x:c>
      <x:c r="CO847" s="11" t="n">
        <x:v>0</x:v>
      </x:c>
      <x:c r="CP847" s="8"/>
      <x:c r="CQ847" s="8"/>
    </x:row>
    <x:row r="848">
      <x:c r="A848" s="8" t="str">
        <x:v>Telkwa|2023</x:v>
      </x:c>
      <x:c r="B848" s="8" t="str">
        <x:v>telkwa-v</x:v>
      </x:c>
      <x:c r="C848" s="8" t="str">
        <x:v>Telkwa</x:v>
      </x:c>
      <x:c r="D848" s="8" t="str">
        <x:v>Telkwa</x:v>
      </x:c>
      <x:c r="E848" s="8" t="str">
        <x:v>V</x:v>
      </x:c>
      <x:c r="F848" s="8" t="str">
        <x:v>BUL</x:v>
      </x:c>
      <x:c r="G848" s="9" t="n">
        <x:v>2023</x:v>
      </x:c>
      <x:c r="H848" s="10" t="n">
        <x:v>1500</x:v>
      </x:c>
      <x:c r="I848" s="8" t="str">
        <x:v>Under 5,000</x:v>
      </x:c>
      <x:c r="J848" s="11" t="n">
        <x:v>5959460</x:v>
      </x:c>
      <x:c r="K848" s="11" t="n">
        <x:v>3487639</x:v>
      </x:c>
      <x:c r="L848" s="11" t="n">
        <x:v>2471821</x:v>
      </x:c>
      <x:c r="M848" s="12" t="n">
        <x:v>0.4147726471861545</x:v>
      </x:c>
      <x:c r="N848" s="11" t="n">
        <x:v>1108402</x:v>
      </x:c>
      <x:c r="O848" s="11" t="n">
        <x:v>1185134</x:v>
      </x:c>
      <x:c r="P848" s="11" t="n">
        <x:v>3228880</x:v>
      </x:c>
      <x:c r="Q848" s="11" t="n">
        <x:v>437044</x:v>
      </x:c>
      <x:c r="R848" s="11" t="n">
        <x:v>2759140</x:v>
      </x:c>
      <x:c r="S848" s="11" t="n">
        <x:v>717655</x:v>
      </x:c>
      <x:c r="T848" s="11" t="n">
        <x:v>7029445</x:v>
      </x:c>
      <x:c r="U848" s="11" t="n">
        <x:v>1103858</x:v>
      </x:c>
      <x:c r="V848" s="11" t="n">
        <x:v>6410400</x:v>
      </x:c>
      <x:c r="W848" s="11" t="n">
        <x:v>2932356</x:v>
      </x:c>
      <x:c r="X848" s="11" t="n">
        <x:v>227278</x:v>
      </x:c>
      <x:c r="Y848" s="11" t="n">
        <x:v>0</x:v>
      </x:c>
      <x:c r="Z848" s="11" t="n">
        <x:v>44091</x:v>
      </x:c>
      <x:c r="AA848" s="11" t="n">
        <x:v>183187</x:v>
      </x:c>
      <x:c r="AB848" s="11" t="n">
        <x:v>10844</x:v>
      </x:c>
      <x:c r="AC848" s="11" t="n">
        <x:v>54935</x:v>
      </x:c>
      <x:c r="AD848" s="11" t="n">
        <x:v>778645</x:v>
      </x:c>
      <x:c r="AE848" s="11" t="n">
        <x:v>723710</x:v>
      </x:c>
      <x:c r="AF848" s="11" t="n">
        <x:v>3114580</x:v>
      </x:c>
      <x:c r="AG848" s="11" t="n">
        <x:v>34876673</x:v>
      </x:c>
      <x:c r="AH848" s="11" t="n">
        <x:v>13249006</x:v>
      </x:c>
      <x:c r="AI848" s="11" t="n">
        <x:v>21627667</x:v>
      </x:c>
      <x:c r="AJ848" s="11" t="n">
        <x:v>2780132</x:v>
      </x:c>
      <x:c r="AK848" s="11" t="n">
        <x:v>2746193</x:v>
      </x:c>
      <x:c r="AL848" s="11" t="n">
        <x:v>0</x:v>
      </x:c>
      <x:c r="AM848" s="12" t="n">
        <x:v>1</x:v>
      </x:c>
      <x:c r="AN848" s="12" t="n">
        <x:v>1.0123585632910723</x:v>
      </x:c>
      <x:c r="AO848" s="11" t="n">
        <x:v>2166799</x:v>
      </x:c>
      <x:c r="AP848" s="11" t="n">
        <x:v>2067848</x:v>
      </x:c>
      <x:c r="AQ848" s="12" t="n">
        <x:v>0.9543330968862364</x:v>
      </x:c>
      <x:c r="AR848" s="11" t="n">
        <x:v>3972.9733333333334</x:v>
      </x:c>
      <x:c r="AS848" s="11" t="n">
        <x:v>2325.0926666666664</x:v>
      </x:c>
      <x:c r="AT848" s="11" t="n">
        <x:v>4273.6</x:v>
      </x:c>
      <x:c r="AU848" s="11" t="n">
        <x:v>1954.904</x:v>
      </x:c>
      <x:c r="AV848" s="11" t="n">
        <x:v>122.12466666666667</x:v>
      </x:c>
      <x:c r="AW848" s="11" t="n">
        <x:v>6.368069987262855</x:v>
      </x:c>
      <x:c r="AX848" s="12" t="n">
        <x:v>0.9294479512486434</x:v>
      </x:c>
      <x:c r="AY848" s="11"/>
      <x:c r="AZ848" s="11"/>
      <x:c r="BA848" s="11"/>
      <x:c r="BB848" s="11"/>
      <x:c r="BC848" s="11"/>
      <x:c r="BD848" s="11"/>
      <x:c r="BE848" s="11"/>
      <x:c r="BF848" s="11"/>
      <x:c r="BG848" s="11"/>
      <x:c r="BH848" s="11"/>
      <x:c r="BI848" s="11"/>
      <x:c r="BJ848" s="11"/>
      <x:c r="BK848" s="12"/>
      <x:c r="BL848" s="12"/>
      <x:c r="BM848" s="12"/>
      <x:c r="BN848" s="12"/>
      <x:c r="BO848" s="12"/>
      <x:c r="BP848" s="12"/>
      <x:c r="BQ848" s="12"/>
      <x:c r="BR848" s="12"/>
      <x:c r="BS848" s="12"/>
      <x:c r="BT848" s="12"/>
      <x:c r="BU848" s="11" t="n">
        <x:v>49154</x:v>
      </x:c>
      <x:c r="BV848" s="11" t="n">
        <x:v>2425576</x:v>
      </x:c>
      <x:c r="BW848" s="11" t="n">
        <x:v>754150</x:v>
      </x:c>
      <x:c r="BX848" s="11" t="n">
        <x:v>377044</x:v>
      </x:c>
      <x:c r="BY848" s="11" t="n">
        <x:v>0</x:v>
      </x:c>
      <x:c r="BZ848" s="11" t="n">
        <x:v>60000</x:v>
      </x:c>
      <x:c r="CA848" s="11" t="n">
        <x:v>0</x:v>
      </x:c>
      <x:c r="CB848" s="11" t="n">
        <x:v>0</x:v>
      </x:c>
      <x:c r="CC848" s="11" t="n">
        <x:v>949753</x:v>
      </x:c>
      <x:c r="CD848" s="11" t="n">
        <x:v>272203</x:v>
      </x:c>
      <x:c r="CE848" s="11" t="n">
        <x:v>211542</x:v>
      </x:c>
      <x:c r="CF848" s="11" t="n">
        <x:v>0</x:v>
      </x:c>
      <x:c r="CG848" s="11" t="n">
        <x:v>98998</x:v>
      </x:c>
      <x:c r="CH848" s="11" t="n">
        <x:v>441647</x:v>
      </x:c>
      <x:c r="CI848" s="11" t="n">
        <x:v>133806</x:v>
      </x:c>
      <x:c r="CJ848" s="11" t="n">
        <x:v>358237</x:v>
      </x:c>
      <x:c r="CK848" s="11" t="n">
        <x:v>91145</x:v>
      </x:c>
      <x:c r="CL848" s="11" t="n">
        <x:v>0</x:v>
      </x:c>
      <x:c r="CM848" s="11" t="n">
        <x:v>0</x:v>
      </x:c>
      <x:c r="CN848" s="11" t="n">
        <x:v>212653</x:v>
      </x:c>
      <x:c r="CO848" s="11" t="n">
        <x:v>0</x:v>
      </x:c>
      <x:c r="CP848" s="8"/>
      <x:c r="CQ848" s="8"/>
    </x:row>
    <x:row r="849">
      <x:c r="A849" s="8" t="str">
        <x:v>Telkwa|2024</x:v>
      </x:c>
      <x:c r="B849" s="8" t="str">
        <x:v>telkwa-v</x:v>
      </x:c>
      <x:c r="C849" s="8" t="str">
        <x:v>Telkwa</x:v>
      </x:c>
      <x:c r="D849" s="8" t="str">
        <x:v>Telkwa</x:v>
      </x:c>
      <x:c r="E849" s="8" t="str">
        <x:v>V</x:v>
      </x:c>
      <x:c r="F849" s="8" t="str">
        <x:v>BUL</x:v>
      </x:c>
      <x:c r="G849" s="9" t="n">
        <x:v>2024</x:v>
      </x:c>
      <x:c r="H849" s="10" t="n">
        <x:v>1500</x:v>
      </x:c>
      <x:c r="I849" s="8" t="str">
        <x:v>Under 5,000</x:v>
      </x:c>
      <x:c r="J849" s="11" t="n">
        <x:v>5451978</x:v>
      </x:c>
      <x:c r="K849" s="11" t="n">
        <x:v>3386609</x:v>
      </x:c>
      <x:c r="L849" s="11" t="n">
        <x:v>2065369</x:v>
      </x:c>
      <x:c r="M849" s="12" t="n">
        <x:v>0.3788292982840356</x:v>
      </x:c>
      <x:c r="N849" s="11" t="n">
        <x:v>1205226</x:v>
      </x:c>
      <x:c r="O849" s="11" t="n">
        <x:v>947302</x:v>
      </x:c>
      <x:c r="P849" s="11" t="n">
        <x:v>2975476</x:v>
      </x:c>
      <x:c r="Q849" s="11" t="n">
        <x:v>323974</x:v>
      </x:c>
      <x:c r="R849" s="11" t="n">
        <x:v>2587687</x:v>
      </x:c>
      <x:c r="S849" s="11" t="n">
        <x:v>789789</x:v>
      </x:c>
      <x:c r="T849" s="11" t="n">
        <x:v>9683959</x:v>
      </x:c>
      <x:c r="U849" s="11" t="n">
        <x:v>1457056</x:v>
      </x:c>
      <x:c r="V849" s="11" t="n">
        <x:v>8786990</x:v>
      </x:c>
      <x:c r="W849" s="11" t="n">
        <x:v>4805829</x:v>
      </x:c>
      <x:c r="X849" s="11" t="n">
        <x:v>183187</x:v>
      </x:c>
      <x:c r="Y849" s="11" t="n">
        <x:v>0</x:v>
      </x:c>
      <x:c r="Z849" s="11" t="n">
        <x:v>45802</x:v>
      </x:c>
      <x:c r="AA849" s="11" t="n">
        <x:v>137385</x:v>
      </x:c>
      <x:c r="AB849" s="11" t="n">
        <x:v>9133</x:v>
      </x:c>
      <x:c r="AC849" s="11" t="n">
        <x:v>54935</x:v>
      </x:c>
      <x:c r="AD849" s="11" t="n">
        <x:v>741301</x:v>
      </x:c>
      <x:c r="AE849" s="11" t="n">
        <x:v>686366</x:v>
      </x:c>
      <x:c r="AF849" s="11" t="n">
        <x:v>2965202</x:v>
      </x:c>
      <x:c r="AG849" s="11" t="n">
        <x:v>35329896</x:v>
      </x:c>
      <x:c r="AH849" s="11" t="n">
        <x:v>14038795</x:v>
      </x:c>
      <x:c r="AI849" s="11" t="n">
        <x:v>21291101</x:v>
      </x:c>
      <x:c r="AJ849" s="11" t="n">
        <x:v>453223</x:v>
      </x:c>
      <x:c r="AK849" s="11" t="n">
        <x:v>91864950</x:v>
      </x:c>
      <x:c r="AL849" s="11" t="n">
        <x:v>1788245</x:v>
      </x:c>
      <x:c r="AM849" s="12" t="n">
        <x:v>0.980533979499254</x:v>
      </x:c>
      <x:c r="AN849" s="12" t="n">
        <x:v>0.0049335791289278445</x:v>
      </x:c>
      <x:c r="AO849" s="11" t="n">
        <x:v>2258533</x:v>
      </x:c>
      <x:c r="AP849" s="11" t="n">
        <x:v>2094509</x:v>
      </x:c>
      <x:c r="AQ849" s="12" t="n">
        <x:v>0.9273758674325325</x:v>
      </x:c>
      <x:c r="AR849" s="11" t="n">
        <x:v>3634.652</x:v>
      </x:c>
      <x:c r="AS849" s="11" t="n">
        <x:v>2257.7393333333334</x:v>
      </x:c>
      <x:c r="AT849" s="11" t="n">
        <x:v>5857.993333333333</x:v>
      </x:c>
      <x:c r="AU849" s="11" t="n">
        <x:v>3203.886</x:v>
      </x:c>
      <x:c r="AV849" s="11" t="n">
        <x:v>91.59</x:v>
      </x:c>
      <x:c r="AW849" s="11" t="n">
        <x:v>6.646250384336635</x:v>
      </x:c>
      <x:c r="AX849" s="12" t="n">
        <x:v>0.9258938002242004</x:v>
      </x:c>
      <x:c r="AY849" s="11" t="n">
        <x:v>4648.097865362712</x:v>
      </x:c>
      <x:c r="AZ849" s="11" t="n">
        <x:v>3546.5079302077975</x:v>
      </x:c>
      <x:c r="BA849" s="11" t="n">
        <x:v>3428.422456291105</x:v>
      </x:c>
      <x:c r="BB849" s="11" t="n">
        <x:v>2783.665107049771</x:v>
      </x:c>
      <x:c r="BC849" s="11" t="n">
        <x:v>5030.364110900993</x:v>
      </x:c>
      <x:c r="BD849" s="11" t="n">
        <x:v>2437.8724475115623</x:v>
      </x:c>
      <x:c r="BE849" s="11" t="n">
        <x:v>2420.45</x:v>
      </x:c>
      <x:c r="BF849" s="11" t="n">
        <x:v>1604.3462673977224</x:v>
      </x:c>
      <x:c r="BG849" s="11" t="n">
        <x:v>224.31236112962716</x:v>
      </x:c>
      <x:c r="BH849" s="11" t="n">
        <x:v>518.5374381567245</x:v>
      </x:c>
      <x:c r="BI849" s="11" t="n">
        <x:v>2.204313821553219</x:v>
      </x:c>
      <x:c r="BJ849" s="11" t="n">
        <x:v>1.7099330852451193</x:v>
      </x:c>
      <x:c r="BK849" s="12" t="n">
        <x:v>0.030042455998363887</x:v>
      </x:c>
      <x:c r="BL849" s="12" t="n">
        <x:v>0.02529861000232605</x:v>
      </x:c>
      <x:c r="BM849" s="12" t="n">
        <x:v>0.9786113537119745</x:v>
      </x:c>
      <x:c r="BN849" s="12" t="n">
        <x:v>0.9815511712696461</x:v>
      </x:c>
      <x:c r="BO849" s="12" t="n">
        <x:v>0.9039920521842442</x:v>
      </x:c>
      <x:c r="BP849" s="12" t="n">
        <x:v>0.8619101997275483</x:v>
      </x:c>
      <x:c r="BQ849" s="12" t="n">
        <x:v>0.9333160528846489</x:v>
      </x:c>
      <x:c r="BR849" s="12" t="n">
        <x:v>0.9623635142836453</x:v>
      </x:c>
      <x:c r="BS849" s="12" t="n">
        <x:v>0.20869205825466772</x:v>
      </x:c>
      <x:c r="BT849" s="12" t="n">
        <x:v>0.19976549769108282</x:v>
      </x:c>
      <x:c r="BU849" s="11" t="n">
        <x:v>50000</x:v>
      </x:c>
      <x:c r="BV849" s="11" t="n">
        <x:v>2583029</x:v>
      </x:c>
      <x:c r="BW849" s="11" t="n">
        <x:v>342447</x:v>
      </x:c>
      <x:c r="BX849" s="11" t="n">
        <x:v>323974</x:v>
      </x:c>
      <x:c r="BY849" s="11" t="n">
        <x:v>0</x:v>
      </x:c>
      <x:c r="BZ849" s="11" t="n">
        <x:v>0</x:v>
      </x:c>
      <x:c r="CA849" s="11" t="n">
        <x:v>0</x:v>
      </x:c>
      <x:c r="CB849" s="11" t="n">
        <x:v>0</x:v>
      </x:c>
      <x:c r="CC849" s="11" t="n">
        <x:v>919691</x:v>
      </x:c>
      <x:c r="CD849" s="11" t="n">
        <x:v>417518</x:v>
      </x:c>
      <x:c r="CE849" s="11" t="n">
        <x:v>105158</x:v>
      </x:c>
      <x:c r="CF849" s="11" t="n">
        <x:v>0</x:v>
      </x:c>
      <x:c r="CG849" s="11" t="n">
        <x:v>114582</x:v>
      </x:c>
      <x:c r="CH849" s="11" t="n">
        <x:v>472051</x:v>
      </x:c>
      <x:c r="CI849" s="11" t="n">
        <x:v>161793</x:v>
      </x:c>
      <x:c r="CJ849" s="11" t="n">
        <x:v>299101</x:v>
      </x:c>
      <x:c r="CK849" s="11" t="n">
        <x:v>106926</x:v>
      </x:c>
      <x:c r="CL849" s="11" t="n">
        <x:v>0</x:v>
      </x:c>
      <x:c r="CM849" s="11" t="n">
        <x:v>0</x:v>
      </x:c>
      <x:c r="CN849" s="11" t="n">
        <x:v>0</x:v>
      </x:c>
      <x:c r="CO849" s="11" t="n">
        <x:v>0</x:v>
      </x:c>
      <x:c r="CP849" s="8"/>
      <x:c r="CQ849" s="8"/>
    </x:row>
    <x:row r="850">
      <x:c r="A850" s="8" t="str">
        <x:v>Terrace|2019</x:v>
      </x:c>
      <x:c r="B850" s="8" t="str">
        <x:v>terrace-c</x:v>
      </x:c>
      <x:c r="C850" s="8" t="str">
        <x:v>Terrace</x:v>
      </x:c>
      <x:c r="D850" s="8" t="str">
        <x:v>Terrace</x:v>
      </x:c>
      <x:c r="E850" s="8" t="str">
        <x:v>C</x:v>
      </x:c>
      <x:c r="F850" s="8" t="str">
        <x:v>KIT</x:v>
      </x:c>
      <x:c r="G850" s="9" t="n">
        <x:v>2019</x:v>
      </x:c>
      <x:c r="H850" s="10" t="n">
        <x:v>12594</x:v>
      </x:c>
      <x:c r="I850" s="8" t="str">
        <x:v>5,000 to 19,999</x:v>
      </x:c>
      <x:c r="J850" s="11" t="n">
        <x:v>35982879</x:v>
      </x:c>
      <x:c r="K850" s="11" t="n">
        <x:v>26466737</x:v>
      </x:c>
      <x:c r="L850" s="11" t="n">
        <x:v>9516142</x:v>
      </x:c>
      <x:c r="M850" s="12" t="n">
        <x:v>0.2644630519975903</x:v>
      </x:c>
      <x:c r="N850" s="11" t="n">
        <x:v>15948092</x:v>
      </x:c>
      <x:c r="O850" s="11" t="n">
        <x:v>4997220</x:v>
      </x:c>
      <x:c r="P850" s="11" t="n">
        <x:v>12350213</x:v>
      </x:c>
      <x:c r="Q850" s="11" t="n">
        <x:v>2687354</x:v>
      </x:c>
      <x:c r="R850" s="11" t="n">
        <x:v>21824552</x:v>
      </x:c>
      <x:c r="S850" s="11" t="n">
        <x:v>4071193</x:v>
      </x:c>
      <x:c r="T850" s="11" t="n">
        <x:v>32745188</x:v>
      </x:c>
      <x:c r="U850" s="11" t="n">
        <x:v>19935774</x:v>
      </x:c>
      <x:c r="V850" s="11" t="n">
        <x:v>19191663</x:v>
      </x:c>
      <x:c r="W850" s="11" t="n">
        <x:v>18551407</x:v>
      </x:c>
      <x:c r="X850" s="11" t="n">
        <x:v>4343493</x:v>
      </x:c>
      <x:c r="Y850" s="11" t="n">
        <x:v>1233700</x:v>
      </x:c>
      <x:c r="Z850" s="11" t="n">
        <x:v>237616</x:v>
      </x:c>
      <x:c r="AA850" s="11" t="n">
        <x:v>5294167</x:v>
      </x:c>
      <x:c r="AB850" s="11" t="n">
        <x:v>570992</x:v>
      </x:c>
      <x:c r="AC850" s="11" t="n">
        <x:v>808608</x:v>
      </x:c>
      <x:c r="AD850" s="11" t="n">
        <x:v>6285430</x:v>
      </x:c>
      <x:c r="AE850" s="11" t="n">
        <x:v>5476822</x:v>
      </x:c>
      <x:c r="AF850" s="11" t="n">
        <x:v>25141718</x:v>
      </x:c>
      <x:c r="AG850" s="11" t="n">
        <x:v>165434893</x:v>
      </x:c>
      <x:c r="AH850" s="11" t="n">
        <x:v>75915935</x:v>
      </x:c>
      <x:c r="AI850" s="11" t="n">
        <x:v>89518958</x:v>
      </x:c>
      <x:c r="AJ850" s="11" t="n">
        <x:v>5119625</x:v>
      </x:c>
      <x:c r="AK850" s="11" t="n">
        <x:v>221943206</x:v>
      </x:c>
      <x:c r="AL850" s="11" t="n">
        <x:v>5870696</x:v>
      </x:c>
      <x:c r="AM850" s="12" t="n">
        <x:v>0.9735486564071711</x:v>
      </x:c>
      <x:c r="AN850" s="12" t="n">
        <x:v>0.023067275147859223</x:v>
      </x:c>
      <x:c r="AO850" s="11" t="n">
        <x:v>23551226</x:v>
      </x:c>
      <x:c r="AP850" s="11" t="n">
        <x:v>22302071</x:v>
      </x:c>
      <x:c r="AQ850" s="12" t="n">
        <x:v>0.9469600860694046</x:v>
      </x:c>
      <x:c r="AR850" s="11" t="n">
        <x:v>2857.1445926631727</x:v>
      </x:c>
      <x:c r="AS850" s="11" t="n">
        <x:v>2101.5354136890583</x:v>
      </x:c>
      <x:c r="AT850" s="11" t="n">
        <x:v>1523.8735111958076</x:v>
      </x:c>
      <x:c r="AU850" s="11" t="n">
        <x:v>1473.035334286168</x:v>
      </x:c>
      <x:c r="AV850" s="11" t="n">
        <x:v>420.372161346673</x:v>
      </x:c>
      <x:c r="AW850" s="11" t="n">
        <x:v>1.6425340696578923</x:v>
      </x:c>
      <x:c r="AX850" s="12" t="n">
        <x:v>0.8713519997836265</x:v>
      </x:c>
      <x:c r="AY850" s="11"/>
      <x:c r="AZ850" s="11"/>
      <x:c r="BA850" s="11"/>
      <x:c r="BB850" s="11"/>
      <x:c r="BC850" s="11"/>
      <x:c r="BD850" s="11"/>
      <x:c r="BE850" s="11"/>
      <x:c r="BF850" s="11"/>
      <x:c r="BG850" s="11"/>
      <x:c r="BH850" s="11"/>
      <x:c r="BI850" s="11"/>
      <x:c r="BJ850" s="11"/>
      <x:c r="BK850" s="12"/>
      <x:c r="BL850" s="12"/>
      <x:c r="BM850" s="12"/>
      <x:c r="BN850" s="12"/>
      <x:c r="BO850" s="12"/>
      <x:c r="BP850" s="12"/>
      <x:c r="BQ850" s="12"/>
      <x:c r="BR850" s="12"/>
      <x:c r="BS850" s="12"/>
      <x:c r="BT850" s="12"/>
      <x:c r="BU850" s="11" t="n">
        <x:v>0</x:v>
      </x:c>
      <x:c r="BV850" s="11" t="n">
        <x:v>9685653</x:v>
      </x:c>
      <x:c r="BW850" s="11" t="n">
        <x:v>2664560</x:v>
      </x:c>
      <x:c r="BX850" s="11" t="n">
        <x:v>701211</x:v>
      </x:c>
      <x:c r="BY850" s="11" t="n">
        <x:v>-543171</x:v>
      </x:c>
      <x:c r="BZ850" s="11" t="n">
        <x:v>997144</x:v>
      </x:c>
      <x:c r="CA850" s="11" t="n">
        <x:v>0</x:v>
      </x:c>
      <x:c r="CB850" s="11" t="n">
        <x:v>1532170</x:v>
      </x:c>
      <x:c r="CC850" s="11" t="n">
        <x:v>2487419</x:v>
      </x:c>
      <x:c r="CD850" s="11" t="n">
        <x:v>6455834</x:v>
      </x:c>
      <x:c r="CE850" s="11" t="n">
        <x:v>455505</x:v>
      </x:c>
      <x:c r="CF850" s="11" t="n">
        <x:v>0</x:v>
      </x:c>
      <x:c r="CG850" s="11" t="n">
        <x:v>2242551</x:v>
      </x:c>
      <x:c r="CH850" s="11" t="n">
        <x:v>4084706</x:v>
      </x:c>
      <x:c r="CI850" s="11" t="n">
        <x:v>4826948</x:v>
      </x:c>
      <x:c r="CJ850" s="11" t="n">
        <x:v>1024456</x:v>
      </x:c>
      <x:c r="CK850" s="11" t="n">
        <x:v>608566</x:v>
      </x:c>
      <x:c r="CL850" s="11" t="n">
        <x:v>154529</x:v>
      </x:c>
      <x:c r="CM850" s="11"/>
      <x:c r="CN850" s="11" t="n">
        <x:v>55030</x:v>
      </x:c>
      <x:c r="CO850" s="11" t="n">
        <x:v>0</x:v>
      </x:c>
      <x:c r="CP850" s="8"/>
      <x:c r="CQ850" s="8"/>
    </x:row>
    <x:row r="851">
      <x:c r="A851" s="8" t="str">
        <x:v>Terrace|2020</x:v>
      </x:c>
      <x:c r="B851" s="8" t="str">
        <x:v>terrace-c</x:v>
      </x:c>
      <x:c r="C851" s="8" t="str">
        <x:v>Terrace</x:v>
      </x:c>
      <x:c r="D851" s="8" t="str">
        <x:v>Terrace</x:v>
      </x:c>
      <x:c r="E851" s="8" t="str">
        <x:v>C</x:v>
      </x:c>
      <x:c r="F851" s="8" t="str">
        <x:v>KIT</x:v>
      </x:c>
      <x:c r="G851" s="9" t="n">
        <x:v>2020</x:v>
      </x:c>
      <x:c r="H851" s="10" t="n">
        <x:v>12817</x:v>
      </x:c>
      <x:c r="I851" s="8" t="str">
        <x:v>5,000 to 19,999</x:v>
      </x:c>
      <x:c r="J851" s="11" t="n">
        <x:v>35258702</x:v>
      </x:c>
      <x:c r="K851" s="11" t="n">
        <x:v>27303770</x:v>
      </x:c>
      <x:c r="L851" s="11" t="n">
        <x:v>7954932</x:v>
      </x:c>
      <x:c r="M851" s="12" t="n">
        <x:v>0.22561613300455588</x:v>
      </x:c>
      <x:c r="N851" s="11" t="n">
        <x:v>16639245</x:v>
      </x:c>
      <x:c r="O851" s="11" t="n">
        <x:v>4239541</x:v>
      </x:c>
      <x:c r="P851" s="11" t="n">
        <x:v>13159061</x:v>
      </x:c>
      <x:c r="Q851" s="11" t="n">
        <x:v>1220855</x:v>
      </x:c>
      <x:c r="R851" s="11" t="n">
        <x:v>22722247</x:v>
      </x:c>
      <x:c r="S851" s="11" t="n">
        <x:v>4135942</x:v>
      </x:c>
      <x:c r="T851" s="11" t="n">
        <x:v>45579769</x:v>
      </x:c>
      <x:c r="U851" s="11" t="n">
        <x:v>23002955</x:v>
      </x:c>
      <x:c r="V851" s="11" t="n">
        <x:v>27410373</x:v>
      </x:c>
      <x:c r="W851" s="11" t="n">
        <x:v>27673681</x:v>
      </x:c>
      <x:c r="X851" s="11" t="n">
        <x:v>5294167</x:v>
      </x:c>
      <x:c r="Y851" s="11" t="n">
        <x:v>0</x:v>
      </x:c>
      <x:c r="Z851" s="11" t="n">
        <x:v>303948</x:v>
      </x:c>
      <x:c r="AA851" s="11" t="n">
        <x:v>4934832</x:v>
      </x:c>
      <x:c r="AB851" s="11" t="n">
        <x:v>445581</x:v>
      </x:c>
      <x:c r="AC851" s="11" t="n">
        <x:v>749529</x:v>
      </x:c>
      <x:c r="AD851" s="11" t="n">
        <x:v>6179641</x:v>
      </x:c>
      <x:c r="AE851" s="11" t="n">
        <x:v>5430112</x:v>
      </x:c>
      <x:c r="AF851" s="11" t="n">
        <x:v>24718565</x:v>
      </x:c>
      <x:c r="AG851" s="11" t="n">
        <x:v>168194402</x:v>
      </x:c>
      <x:c r="AH851" s="11" t="n">
        <x:v>79011114</x:v>
      </x:c>
      <x:c r="AI851" s="11" t="n">
        <x:v>89183288</x:v>
      </x:c>
      <x:c r="AJ851" s="11" t="n">
        <x:v>3865205</x:v>
      </x:c>
      <x:c r="AK851" s="11" t="n">
        <x:v>223059092</x:v>
      </x:c>
      <x:c r="AL851" s="11" t="n">
        <x:v>5828861</x:v>
      </x:c>
      <x:c r="AM851" s="12" t="n">
        <x:v>0.9738685343523231</x:v>
      </x:c>
      <x:c r="AN851" s="12" t="n">
        <x:v>0.017328166116627068</x:v>
      </x:c>
      <x:c r="AO851" s="11" t="n">
        <x:v>24171961</x:v>
      </x:c>
      <x:c r="AP851" s="11" t="n">
        <x:v>22246088</x:v>
      </x:c>
      <x:c r="AQ851" s="12" t="n">
        <x:v>0.9203261580638824</x:v>
      </x:c>
      <x:c r="AR851" s="11" t="n">
        <x:v>2750.9325115081533</x:v>
      </x:c>
      <x:c r="AS851" s="11" t="n">
        <x:v>2130.277756105173</x:v>
      </x:c>
      <x:c r="AT851" s="11" t="n">
        <x:v>2138.5950690489194</x:v>
      </x:c>
      <x:c r="AU851" s="11" t="n">
        <x:v>2159.138722009831</x:v>
      </x:c>
      <x:c r="AV851" s="11" t="n">
        <x:v>385.0223921354451</x:v>
      </x:c>
      <x:c r="AW851" s="11" t="n">
        <x:v>1.981474510557448</x:v>
      </x:c>
      <x:c r="AX851" s="12" t="n">
        <x:v>0.8787099444773572</x:v>
      </x:c>
      <x:c r="AY851" s="11"/>
      <x:c r="AZ851" s="11"/>
      <x:c r="BA851" s="11"/>
      <x:c r="BB851" s="11"/>
      <x:c r="BC851" s="11"/>
      <x:c r="BD851" s="11"/>
      <x:c r="BE851" s="11"/>
      <x:c r="BF851" s="11"/>
      <x:c r="BG851" s="11"/>
      <x:c r="BH851" s="11"/>
      <x:c r="BI851" s="11"/>
      <x:c r="BJ851" s="11"/>
      <x:c r="BK851" s="12"/>
      <x:c r="BL851" s="12"/>
      <x:c r="BM851" s="12"/>
      <x:c r="BN851" s="12"/>
      <x:c r="BO851" s="12"/>
      <x:c r="BP851" s="12"/>
      <x:c r="BQ851" s="12"/>
      <x:c r="BR851" s="12"/>
      <x:c r="BS851" s="12"/>
      <x:c r="BT851" s="12"/>
      <x:c r="BU851" s="11" t="n">
        <x:v>0</x:v>
      </x:c>
      <x:c r="BV851" s="11" t="n">
        <x:v>10488821</x:v>
      </x:c>
      <x:c r="BW851" s="11" t="n">
        <x:v>2670240</x:v>
      </x:c>
      <x:c r="BX851" s="11" t="n">
        <x:v>1305721</x:v>
      </x:c>
      <x:c r="BY851" s="11" t="n">
        <x:v>-642890</x:v>
      </x:c>
      <x:c r="BZ851" s="11" t="n">
        <x:v>30000</x:v>
      </x:c>
      <x:c r="CA851" s="11" t="n">
        <x:v>0</x:v>
      </x:c>
      <x:c r="CB851" s="11" t="n">
        <x:v>528024</x:v>
      </x:c>
      <x:c r="CC851" s="11" t="n">
        <x:v>2401080</x:v>
      </x:c>
      <x:c r="CD851" s="11" t="n">
        <x:v>7193175</x:v>
      </x:c>
      <x:c r="CE851" s="11" t="n">
        <x:v>1359769</x:v>
      </x:c>
      <x:c r="CF851" s="11" t="n">
        <x:v>0</x:v>
      </x:c>
      <x:c r="CG851" s="11" t="n">
        <x:v>2279195</x:v>
      </x:c>
      <x:c r="CH851" s="11" t="n">
        <x:v>4329488</x:v>
      </x:c>
      <x:c r="CI851" s="11" t="n">
        <x:v>3951225</x:v>
      </x:c>
      <x:c r="CJ851" s="11" t="n">
        <x:v>875491</x:v>
      </x:c>
      <x:c r="CK851" s="11" t="n">
        <x:v>684986</x:v>
      </x:c>
      <x:c r="CL851" s="11" t="n">
        <x:v>79310</x:v>
      </x:c>
      <x:c r="CM851" s="11"/>
      <x:c r="CN851" s="11" t="n">
        <x:v>14109</x:v>
      </x:c>
      <x:c r="CO851" s="11" t="n">
        <x:v>0</x:v>
      </x:c>
      <x:c r="CP851" s="8"/>
      <x:c r="CQ851" s="8"/>
    </x:row>
    <x:row r="852">
      <x:c r="A852" s="8" t="str">
        <x:v>Terrace|2021</x:v>
      </x:c>
      <x:c r="B852" s="8" t="str">
        <x:v>terrace-c</x:v>
      </x:c>
      <x:c r="C852" s="8" t="str">
        <x:v>Terrace</x:v>
      </x:c>
      <x:c r="D852" s="8" t="str">
        <x:v>Terrace</x:v>
      </x:c>
      <x:c r="E852" s="8" t="str">
        <x:v>C</x:v>
      </x:c>
      <x:c r="F852" s="8" t="str">
        <x:v>KIT</x:v>
      </x:c>
      <x:c r="G852" s="9" t="n">
        <x:v>2021</x:v>
      </x:c>
      <x:c r="H852" s="10" t="n">
        <x:v>13125</x:v>
      </x:c>
      <x:c r="I852" s="8" t="str">
        <x:v>5,000 to 19,999</x:v>
      </x:c>
      <x:c r="J852" s="11" t="n">
        <x:v>31723922</x:v>
      </x:c>
      <x:c r="K852" s="11" t="n">
        <x:v>31575233</x:v>
      </x:c>
      <x:c r="L852" s="11" t="n">
        <x:v>148689</x:v>
      </x:c>
      <x:c r="M852" s="12" t="n">
        <x:v>0.004686967771513245</x:v>
      </x:c>
      <x:c r="N852" s="11" t="n">
        <x:v>17698982</x:v>
      </x:c>
      <x:c r="O852" s="11" t="n">
        <x:v>7864681</x:v>
      </x:c>
      <x:c r="P852" s="11" t="n">
        <x:v>4094558</x:v>
      </x:c>
      <x:c r="Q852" s="11" t="n">
        <x:v>2065701</x:v>
      </x:c>
      <x:c r="R852" s="11" t="n">
        <x:v>27161839</x:v>
      </x:c>
      <x:c r="S852" s="11" t="n">
        <x:v>4233754</x:v>
      </x:c>
      <x:c r="T852" s="11" t="n">
        <x:v>49192264</x:v>
      </x:c>
      <x:c r="U852" s="11" t="n">
        <x:v>27043373</x:v>
      </x:c>
      <x:c r="V852" s="11" t="n">
        <x:v>28959435</x:v>
      </x:c>
      <x:c r="W852" s="11" t="n">
        <x:v>26636575</x:v>
      </x:c>
      <x:c r="X852" s="11" t="n">
        <x:v>4934832</x:v>
      </x:c>
      <x:c r="Y852" s="11" t="n">
        <x:v>0</x:v>
      </x:c>
      <x:c r="Z852" s="11" t="n">
        <x:v>303948</x:v>
      </x:c>
      <x:c r="AA852" s="11" t="n">
        <x:v>4563172</x:v>
      </x:c>
      <x:c r="AB852" s="11" t="n">
        <x:v>179640</x:v>
      </x:c>
      <x:c r="AC852" s="11" t="n">
        <x:v>483588</x:v>
      </x:c>
      <x:c r="AD852" s="11" t="n">
        <x:v>6928545</x:v>
      </x:c>
      <x:c r="AE852" s="11" t="n">
        <x:v>6418554</x:v>
      </x:c>
      <x:c r="AF852" s="11" t="n">
        <x:v>27714181</x:v>
      </x:c>
      <x:c r="AG852" s="11" t="n">
        <x:v>169812930</x:v>
      </x:c>
      <x:c r="AH852" s="11" t="n">
        <x:v>82058736</x:v>
      </x:c>
      <x:c r="AI852" s="11" t="n">
        <x:v>87754194</x:v>
      </x:c>
      <x:c r="AJ852" s="11" t="n">
        <x:v>2899378</x:v>
      </x:c>
      <x:c r="AK852" s="11" t="n">
        <x:v>227560434</x:v>
      </x:c>
      <x:c r="AL852" s="11" t="n">
        <x:v>6052144</x:v>
      </x:c>
      <x:c r="AM852" s="12" t="n">
        <x:v>0.9734042342352011</x:v>
      </x:c>
      <x:c r="AN852" s="12" t="n">
        <x:v>0.01274113407605823</x:v>
      </x:c>
      <x:c r="AO852" s="11" t="n">
        <x:v>25828121</x:v>
      </x:c>
      <x:c r="AP852" s="11" t="n">
        <x:v>24106311</x:v>
      </x:c>
      <x:c r="AQ852" s="12" t="n">
        <x:v>0.9333358396454778</x:v>
      </x:c>
      <x:c r="AR852" s="11" t="n">
        <x:v>2417.060723809524</x:v>
      </x:c>
      <x:c r="AS852" s="11" t="n">
        <x:v>2405.7320380952383</x:v>
      </x:c>
      <x:c r="AT852" s="11" t="n">
        <x:v>2206.4331428571427</x:v>
      </x:c>
      <x:c r="AU852" s="11" t="n">
        <x:v>2029.4533333333334</x:v>
      </x:c>
      <x:c r="AV852" s="11" t="n">
        <x:v>347.67024761904764</x:v>
      </x:c>
      <x:c r="AW852" s="11" t="n">
        <x:v>1.8190136267395343</x:v>
      </x:c>
      <x:c r="AX852" s="12" t="n">
        <x:v>0.9263927707765484</x:v>
      </x:c>
      <x:c r="AY852" s="11"/>
      <x:c r="AZ852" s="11"/>
      <x:c r="BA852" s="11"/>
      <x:c r="BB852" s="11"/>
      <x:c r="BC852" s="11"/>
      <x:c r="BD852" s="11"/>
      <x:c r="BE852" s="11"/>
      <x:c r="BF852" s="11"/>
      <x:c r="BG852" s="11"/>
      <x:c r="BH852" s="11"/>
      <x:c r="BI852" s="11"/>
      <x:c r="BJ852" s="11"/>
      <x:c r="BK852" s="12"/>
      <x:c r="BL852" s="12"/>
      <x:c r="BM852" s="12"/>
      <x:c r="BN852" s="12"/>
      <x:c r="BO852" s="12"/>
      <x:c r="BP852" s="12"/>
      <x:c r="BQ852" s="12"/>
      <x:c r="BR852" s="12"/>
      <x:c r="BS852" s="12"/>
      <x:c r="BT852" s="12"/>
      <x:c r="BU852" s="11" t="n">
        <x:v>0</x:v>
      </x:c>
      <x:c r="BV852" s="11" t="n">
        <x:v>1120984</x:v>
      </x:c>
      <x:c r="BW852" s="11" t="n">
        <x:v>2973574</x:v>
      </x:c>
      <x:c r="BX852" s="11" t="n">
        <x:v>-106370</x:v>
      </x:c>
      <x:c r="BY852" s="11" t="n">
        <x:v>1658784</x:v>
      </x:c>
      <x:c r="BZ852" s="11" t="n">
        <x:v>106000</x:v>
      </x:c>
      <x:c r="CA852" s="11" t="n">
        <x:v>0</x:v>
      </x:c>
      <x:c r="CB852" s="11" t="n">
        <x:v>407287</x:v>
      </x:c>
      <x:c r="CC852" s="11" t="n">
        <x:v>2327242</x:v>
      </x:c>
      <x:c r="CD852" s="11" t="n">
        <x:v>7270770</x:v>
      </x:c>
      <x:c r="CE852" s="11" t="n">
        <x:v>4008349</x:v>
      </x:c>
      <x:c r="CF852" s="11" t="n">
        <x:v>0</x:v>
      </x:c>
      <x:c r="CG852" s="11" t="n">
        <x:v>2197718</x:v>
      </x:c>
      <x:c r="CH852" s="11" t="n">
        <x:v>5282543</x:v>
      </x:c>
      <x:c r="CI852" s="11" t="n">
        <x:v>4360827</x:v>
      </x:c>
      <x:c r="CJ852" s="11" t="n">
        <x:v>915410</x:v>
      </x:c>
      <x:c r="CK852" s="11" t="n">
        <x:v>818971</x:v>
      </x:c>
      <x:c r="CL852" s="11" t="n">
        <x:v>92413</x:v>
      </x:c>
      <x:c r="CM852" s="11"/>
      <x:c r="CN852" s="11" t="n">
        <x:v>67236</x:v>
      </x:c>
      <x:c r="CO852" s="11" t="n">
        <x:v>0</x:v>
      </x:c>
      <x:c r="CP852" s="8"/>
      <x:c r="CQ852" s="8"/>
    </x:row>
    <x:row r="853">
      <x:c r="A853" s="8" t="str">
        <x:v>Terrace|2022</x:v>
      </x:c>
      <x:c r="B853" s="8" t="str">
        <x:v>terrace-c</x:v>
      </x:c>
      <x:c r="C853" s="8" t="str">
        <x:v>Terrace</x:v>
      </x:c>
      <x:c r="D853" s="8" t="str">
        <x:v>Terrace</x:v>
      </x:c>
      <x:c r="E853" s="8" t="str">
        <x:v>C</x:v>
      </x:c>
      <x:c r="F853" s="8" t="str">
        <x:v>KIT</x:v>
      </x:c>
      <x:c r="G853" s="9" t="n">
        <x:v>2022</x:v>
      </x:c>
      <x:c r="H853" s="10" t="n">
        <x:v>13384</x:v>
      </x:c>
      <x:c r="I853" s="8" t="str">
        <x:v>5,000 to 19,999</x:v>
      </x:c>
      <x:c r="J853" s="11" t="n">
        <x:v>34147203</x:v>
      </x:c>
      <x:c r="K853" s="11" t="n">
        <x:v>32871376</x:v>
      </x:c>
      <x:c r="L853" s="11" t="n">
        <x:v>1275827</x:v>
      </x:c>
      <x:c r="M853" s="12" t="n">
        <x:v>0.037362562315865225</x:v>
      </x:c>
      <x:c r="N853" s="11" t="n">
        <x:v>18830612</x:v>
      </x:c>
      <x:c r="O853" s="11" t="n">
        <x:v>8059532</x:v>
      </x:c>
      <x:c r="P853" s="11" t="n">
        <x:v>4226845</x:v>
      </x:c>
      <x:c r="Q853" s="11" t="n">
        <x:v>3030214</x:v>
      </x:c>
      <x:c r="R853" s="11" t="n">
        <x:v>28389588</x:v>
      </x:c>
      <x:c r="S853" s="11" t="n">
        <x:v>4303766</x:v>
      </x:c>
      <x:c r="T853" s="11" t="n">
        <x:v>49274158</x:v>
      </x:c>
      <x:c r="U853" s="11" t="n">
        <x:v>28793691</x:v>
      </x:c>
      <x:c r="V853" s="11" t="n">
        <x:v>29566364</x:v>
      </x:c>
      <x:c r="W853" s="11" t="n">
        <x:v>24529944</x:v>
      </x:c>
      <x:c r="X853" s="11" t="n">
        <x:v>4563172</x:v>
      </x:c>
      <x:c r="Y853" s="11" t="n">
        <x:v>0</x:v>
      </x:c>
      <x:c r="Z853" s="11" t="n">
        <x:v>298639</x:v>
      </x:c>
      <x:c r="AA853" s="11" t="n">
        <x:v>4186613</x:v>
      </x:c>
      <x:c r="AB853" s="11" t="n">
        <x:v>178022</x:v>
      </x:c>
      <x:c r="AC853" s="11" t="n">
        <x:v>476661</x:v>
      </x:c>
      <x:c r="AD853" s="11" t="n">
        <x:v>6949521</x:v>
      </x:c>
      <x:c r="AE853" s="11" t="n">
        <x:v>6472860</x:v>
      </x:c>
      <x:c r="AF853" s="11" t="n">
        <x:v>27798082</x:v>
      </x:c>
      <x:c r="AG853" s="11" t="n">
        <x:v>173303648</x:v>
      </x:c>
      <x:c r="AH853" s="11" t="n">
        <x:v>85257624</x:v>
      </x:c>
      <x:c r="AI853" s="11" t="n">
        <x:v>88046024</x:v>
      </x:c>
      <x:c r="AJ853" s="11" t="n">
        <x:v>4720507</x:v>
      </x:c>
      <x:c r="AK853" s="11" t="n">
        <x:v>340823660</x:v>
      </x:c>
      <x:c r="AL853" s="11" t="n">
        <x:v>7035560</x:v>
      </x:c>
      <x:c r="AM853" s="12" t="n">
        <x:v>0.9793571842987661</x:v>
      </x:c>
      <x:c r="AN853" s="12" t="n">
        <x:v>0.013850291379418905</x:v>
      </x:c>
      <x:c r="AO853" s="11" t="n">
        <x:v>28478757</x:v>
      </x:c>
      <x:c r="AP853" s="11" t="n">
        <x:v>26738212</x:v>
      </x:c>
      <x:c r="AQ853" s="12" t="n">
        <x:v>0.9388826907017044</x:v>
      </x:c>
      <x:c r="AR853" s="11" t="n">
        <x:v>2551.34511356844</x:v>
      </x:c>
      <x:c r="AS853" s="11" t="n">
        <x:v>2456.020322773461</x:v>
      </x:c>
      <x:c r="AT853" s="11" t="n">
        <x:v>2209.0827854154213</x:v>
      </x:c>
      <x:c r="AU853" s="11" t="n">
        <x:v>1832.7812313209802</x:v>
      </x:c>
      <x:c r="AV853" s="11" t="n">
        <x:v>312.80730723251645</x:v>
      </x:c>
      <x:c r="AW853" s="11" t="n">
        <x:v>1.7112831418521508</x:v>
      </x:c>
      <x:c r="AX853" s="12" t="n">
        <x:v>0.9314109562371277</x:v>
      </x:c>
      <x:c r="AY853" s="11"/>
      <x:c r="AZ853" s="11"/>
      <x:c r="BA853" s="11"/>
      <x:c r="BB853" s="11"/>
      <x:c r="BC853" s="11"/>
      <x:c r="BD853" s="11"/>
      <x:c r="BE853" s="11"/>
      <x:c r="BF853" s="11"/>
      <x:c r="BG853" s="11"/>
      <x:c r="BH853" s="11"/>
      <x:c r="BI853" s="11"/>
      <x:c r="BJ853" s="11"/>
      <x:c r="BK853" s="12"/>
      <x:c r="BL853" s="12"/>
      <x:c r="BM853" s="12"/>
      <x:c r="BN853" s="12"/>
      <x:c r="BO853" s="12"/>
      <x:c r="BP853" s="12"/>
      <x:c r="BQ853" s="12"/>
      <x:c r="BR853" s="12"/>
      <x:c r="BS853" s="12"/>
      <x:c r="BT853" s="12"/>
      <x:c r="BU853" s="11" t="n">
        <x:v>20972</x:v>
      </x:c>
      <x:c r="BV853" s="11" t="n">
        <x:v>3007370</x:v>
      </x:c>
      <x:c r="BW853" s="11" t="n">
        <x:v>1198503</x:v>
      </x:c>
      <x:c r="BX853" s="11" t="n">
        <x:v>-273312</x:v>
      </x:c>
      <x:c r="BY853" s="11" t="n">
        <x:v>2215123</x:v>
      </x:c>
      <x:c r="BZ853" s="11" t="n">
        <x:v>1088403</x:v>
      </x:c>
      <x:c r="CA853" s="11" t="n">
        <x:v>0</x:v>
      </x:c>
      <x:c r="CB853" s="11" t="n">
        <x:v>0</x:v>
      </x:c>
      <x:c r="CC853" s="11" t="n">
        <x:v>2394611</x:v>
      </x:c>
      <x:c r="CD853" s="11" t="n">
        <x:v>7647158</x:v>
      </x:c>
      <x:c r="CE853" s="11" t="n">
        <x:v>2949695</x:v>
      </x:c>
      <x:c r="CF853" s="11" t="n">
        <x:v>0</x:v>
      </x:c>
      <x:c r="CG853" s="11" t="n">
        <x:v>2828145</x:v>
      </x:c>
      <x:c r="CH853" s="11" t="n">
        <x:v>5117193</x:v>
      </x:c>
      <x:c r="CI853" s="11" t="n">
        <x:v>5203561</x:v>
      </x:c>
      <x:c r="CJ853" s="11" t="n">
        <x:v>965457</x:v>
      </x:c>
      <x:c r="CK853" s="11" t="n">
        <x:v>1270676</x:v>
      </x:c>
      <x:c r="CL853" s="11" t="n">
        <x:v>99216</x:v>
      </x:c>
      <x:c r="CM853" s="11"/>
      <x:c r="CN853" s="11" t="n">
        <x:v>91898</x:v>
      </x:c>
      <x:c r="CO853" s="11" t="n">
        <x:v>0</x:v>
      </x:c>
      <x:c r="CP853" s="8"/>
      <x:c r="CQ853" s="8"/>
    </x:row>
    <x:row r="854">
      <x:c r="A854" s="8" t="str">
        <x:v>Terrace|2023</x:v>
      </x:c>
      <x:c r="B854" s="8" t="str">
        <x:v>terrace-c</x:v>
      </x:c>
      <x:c r="C854" s="8" t="str">
        <x:v>Terrace</x:v>
      </x:c>
      <x:c r="D854" s="8" t="str">
        <x:v>Terrace</x:v>
      </x:c>
      <x:c r="E854" s="8" t="str">
        <x:v>C</x:v>
      </x:c>
      <x:c r="F854" s="8" t="str">
        <x:v>KIT</x:v>
      </x:c>
      <x:c r="G854" s="9" t="n">
        <x:v>2023</x:v>
      </x:c>
      <x:c r="H854" s="10" t="n">
        <x:v>13926</x:v>
      </x:c>
      <x:c r="I854" s="8" t="str">
        <x:v>5,000 to 19,999</x:v>
      </x:c>
      <x:c r="J854" s="11" t="n">
        <x:v>53848446</x:v>
      </x:c>
      <x:c r="K854" s="11" t="n">
        <x:v>40564239</x:v>
      </x:c>
      <x:c r="L854" s="11" t="n">
        <x:v>13284207</x:v>
      </x:c>
      <x:c r="M854" s="12" t="n">
        <x:v>0.24669619992376382</x:v>
      </x:c>
      <x:c r="N854" s="11" t="n">
        <x:v>20843013</x:v>
      </x:c>
      <x:c r="O854" s="11" t="n">
        <x:v>9030139</x:v>
      </x:c>
      <x:c r="P854" s="11" t="n">
        <x:v>16646584</x:v>
      </x:c>
      <x:c r="Q854" s="11" t="n">
        <x:v>7328710</x:v>
      </x:c>
      <x:c r="R854" s="11" t="n">
        <x:v>35817982</x:v>
      </x:c>
      <x:c r="S854" s="11" t="n">
        <x:v>4558809</x:v>
      </x:c>
      <x:c r="T854" s="11" t="n">
        <x:v>49517050</x:v>
      </x:c>
      <x:c r="U854" s="11" t="n">
        <x:v>26943577</x:v>
      </x:c>
      <x:c r="V854" s="11" t="n">
        <x:v>32469528</x:v>
      </x:c>
      <x:c r="W854" s="11" t="n">
        <x:v>27897593</x:v>
      </x:c>
      <x:c r="X854" s="11" t="n">
        <x:v>4186613</x:v>
      </x:c>
      <x:c r="Y854" s="11" t="n">
        <x:v>0</x:v>
      </x:c>
      <x:c r="Z854" s="11" t="n">
        <x:v>298639</x:v>
      </x:c>
      <x:c r="AA854" s="11" t="n">
        <x:v>3797164</x:v>
      </x:c>
      <x:c r="AB854" s="11" t="n">
        <x:v>187448</x:v>
      </x:c>
      <x:c r="AC854" s="11" t="n">
        <x:v>486087</x:v>
      </x:c>
      <x:c r="AD854" s="11" t="n">
        <x:v>8401031</x:v>
      </x:c>
      <x:c r="AE854" s="11" t="n">
        <x:v>7914944</x:v>
      </x:c>
      <x:c r="AF854" s="11" t="n">
        <x:v>33604124</x:v>
      </x:c>
      <x:c r="AG854" s="11" t="n">
        <x:v>187066669</x:v>
      </x:c>
      <x:c r="AH854" s="11" t="n">
        <x:v>88498589</x:v>
      </x:c>
      <x:c r="AI854" s="11" t="n">
        <x:v>98568080</x:v>
      </x:c>
      <x:c r="AJ854" s="11" t="n">
        <x:v>12203556</x:v>
      </x:c>
      <x:c r="AK854" s="11" t="n">
        <x:v>366513293</x:v>
      </x:c>
      <x:c r="AL854" s="11" t="n">
        <x:v>7581681</x:v>
      </x:c>
      <x:c r="AM854" s="12" t="n">
        <x:v>0.9793140354120798</x:v>
      </x:c>
      <x:c r="AN854" s="12" t="n">
        <x:v>0.03329635304660014</x:v>
      </x:c>
      <x:c r="AO854" s="11" t="n">
        <x:v>30744514</x:v>
      </x:c>
      <x:c r="AP854" s="11" t="n">
        <x:v>27929755</x:v>
      </x:c>
      <x:c r="AQ854" s="12" t="n">
        <x:v>0.9084467882627776</x:v>
      </x:c>
      <x:c r="AR854" s="11" t="n">
        <x:v>3866.756139595002</x:v>
      </x:c>
      <x:c r="AS854" s="11" t="n">
        <x:v>2912.8420939250323</x:v>
      </x:c>
      <x:c r="AT854" s="11" t="n">
        <x:v>2331.5760448082724</x:v>
      </x:c>
      <x:c r="AU854" s="11" t="n">
        <x:v>2003.2739480109149</x:v>
      </x:c>
      <x:c r="AV854" s="11" t="n">
        <x:v>272.66724113169613</x:v>
      </x:c>
      <x:c r="AW854" s="11" t="n">
        <x:v>1.8378053515314614</x:v>
      </x:c>
      <x:c r="AX854" s="12" t="n">
        <x:v>0.9421396016750802</x:v>
      </x:c>
      <x:c r="AY854" s="11"/>
      <x:c r="AZ854" s="11"/>
      <x:c r="BA854" s="11"/>
      <x:c r="BB854" s="11"/>
      <x:c r="BC854" s="11"/>
      <x:c r="BD854" s="11"/>
      <x:c r="BE854" s="11"/>
      <x:c r="BF854" s="11"/>
      <x:c r="BG854" s="11"/>
      <x:c r="BH854" s="11"/>
      <x:c r="BI854" s="11"/>
      <x:c r="BJ854" s="11"/>
      <x:c r="BK854" s="12"/>
      <x:c r="BL854" s="12"/>
      <x:c r="BM854" s="12"/>
      <x:c r="BN854" s="12"/>
      <x:c r="BO854" s="12"/>
      <x:c r="BP854" s="12"/>
      <x:c r="BQ854" s="12"/>
      <x:c r="BR854" s="12"/>
      <x:c r="BS854" s="12"/>
      <x:c r="BT854" s="12"/>
      <x:c r="BU854" s="11" t="n">
        <x:v>5227</x:v>
      </x:c>
      <x:c r="BV854" s="11" t="n">
        <x:v>15347073</x:v>
      </x:c>
      <x:c r="BW854" s="11" t="n">
        <x:v>1294284</x:v>
      </x:c>
      <x:c r="BX854" s="11" t="n">
        <x:v>2661549</x:v>
      </x:c>
      <x:c r="BY854" s="11" t="n">
        <x:v>647571</x:v>
      </x:c>
      <x:c r="BZ854" s="11" t="n">
        <x:v>3935043</x:v>
      </x:c>
      <x:c r="CA854" s="11" t="n">
        <x:v>84547</x:v>
      </x:c>
      <x:c r="CB854" s="11" t="n">
        <x:v>0</x:v>
      </x:c>
      <x:c r="CC854" s="11" t="n">
        <x:v>3721926</x:v>
      </x:c>
      <x:c r="CD854" s="11" t="n">
        <x:v>7664496</x:v>
      </x:c>
      <x:c r="CE854" s="11" t="n">
        <x:v>5120127</x:v>
      </x:c>
      <x:c r="CF854" s="11" t="n">
        <x:v>127429</x:v>
      </x:c>
      <x:c r="CG854" s="11" t="n">
        <x:v>6616827</x:v>
      </x:c>
      <x:c r="CH854" s="11" t="n">
        <x:v>5176267</x:v>
      </x:c>
      <x:c r="CI854" s="11" t="n">
        <x:v>5678043</x:v>
      </x:c>
      <x:c r="CJ854" s="11" t="n">
        <x:v>1106401</x:v>
      </x:c>
      <x:c r="CK854" s="11" t="n">
        <x:v>699219</x:v>
      </x:c>
      <x:c r="CL854" s="11" t="n">
        <x:v>94695</x:v>
      </x:c>
      <x:c r="CM854" s="11" t="n">
        <x:v>0</x:v>
      </x:c>
      <x:c r="CN854" s="11" t="n">
        <x:v>0</x:v>
      </x:c>
      <x:c r="CO854" s="11" t="n">
        <x:v>0</x:v>
      </x:c>
      <x:c r="CP854" s="8"/>
      <x:c r="CQ854" s="8"/>
    </x:row>
    <x:row r="855">
      <x:c r="A855" s="8" t="str">
        <x:v>Terrace|2024</x:v>
      </x:c>
      <x:c r="B855" s="8" t="str">
        <x:v>terrace-c</x:v>
      </x:c>
      <x:c r="C855" s="8" t="str">
        <x:v>Terrace</x:v>
      </x:c>
      <x:c r="D855" s="8" t="str">
        <x:v>Terrace</x:v>
      </x:c>
      <x:c r="E855" s="8" t="str">
        <x:v>C</x:v>
      </x:c>
      <x:c r="F855" s="8" t="str">
        <x:v>KIT</x:v>
      </x:c>
      <x:c r="G855" s="9" t="n">
        <x:v>2024</x:v>
      </x:c>
      <x:c r="H855" s="10" t="n">
        <x:v>13926</x:v>
      </x:c>
      <x:c r="I855" s="8" t="str">
        <x:v>5,000 to 19,999</x:v>
      </x:c>
      <x:c r="J855" s="11" t="n">
        <x:v>46601780</x:v>
      </x:c>
      <x:c r="K855" s="11" t="n">
        <x:v>34488332</x:v>
      </x:c>
      <x:c r="L855" s="11" t="n">
        <x:v>12113448</x:v>
      </x:c>
      <x:c r="M855" s="12" t="n">
        <x:v>0.2599353071921287</x:v>
      </x:c>
      <x:c r="N855" s="11" t="n">
        <x:v>22448978</x:v>
      </x:c>
      <x:c r="O855" s="11" t="n">
        <x:v>8209694</x:v>
      </x:c>
      <x:c r="P855" s="11" t="n">
        <x:v>11031868</x:v>
      </x:c>
      <x:c r="Q855" s="11" t="n">
        <x:v>4911240</x:v>
      </x:c>
      <x:c r="R855" s="11" t="n">
        <x:v>29495142</x:v>
      </x:c>
      <x:c r="S855" s="11" t="n">
        <x:v>4793687</x:v>
      </x:c>
      <x:c r="T855" s="11" t="n">
        <x:v>63066698</x:v>
      </x:c>
      <x:c r="U855" s="11" t="n">
        <x:v>26864103</x:v>
      </x:c>
      <x:c r="V855" s="11" t="n">
        <x:v>44140718</x:v>
      </x:c>
      <x:c r="W855" s="11" t="n">
        <x:v>36217725</x:v>
      </x:c>
      <x:c r="X855" s="11" t="n">
        <x:v>3797164</x:v>
      </x:c>
      <x:c r="Y855" s="11" t="n">
        <x:v>0</x:v>
      </x:c>
      <x:c r="Z855" s="11" t="n">
        <x:v>298639</x:v>
      </x:c>
      <x:c r="AA855" s="11" t="n">
        <x:v>3394375</x:v>
      </x:c>
      <x:c r="AB855" s="11" t="n">
        <x:v>199503</x:v>
      </x:c>
      <x:c r="AC855" s="11" t="n">
        <x:v>498142</x:v>
      </x:c>
      <x:c r="AD855" s="11" t="n">
        <x:v>8664705</x:v>
      </x:c>
      <x:c r="AE855" s="11" t="n">
        <x:v>8166563</x:v>
      </x:c>
      <x:c r="AF855" s="11" t="n">
        <x:v>34658819</x:v>
      </x:c>
      <x:c r="AG855" s="11" t="n">
        <x:v>191169583</x:v>
      </x:c>
      <x:c r="AH855" s="11" t="n">
        <x:v>92553265</x:v>
      </x:c>
      <x:c r="AI855" s="11" t="n">
        <x:v>98616318</x:v>
      </x:c>
      <x:c r="AJ855" s="11" t="n">
        <x:v>5367476</x:v>
      </x:c>
      <x:c r="AK855" s="11" t="n">
        <x:v>376315320</x:v>
      </x:c>
      <x:c r="AL855" s="11" t="n">
        <x:v>7899761</x:v>
      </x:c>
      <x:c r="AM855" s="12" t="n">
        <x:v>0.9790076019227705</x:v>
      </x:c>
      <x:c r="AN855" s="12" t="n">
        <x:v>0.014263240731203821</x:v>
      </x:c>
      <x:c r="AO855" s="11" t="n">
        <x:v>32884475</x:v>
      </x:c>
      <x:c r="AP855" s="11" t="n">
        <x:v>32117236</x:v>
      </x:c>
      <x:c r="AQ855" s="12" t="n">
        <x:v>0.9766686559539114</x:v>
      </x:c>
      <x:c r="AR855" s="11" t="n">
        <x:v>3346.386614964814</x:v>
      </x:c>
      <x:c r="AS855" s="11" t="n">
        <x:v>2476.5425822203074</x:v>
      </x:c>
      <x:c r="AT855" s="11" t="n">
        <x:v>3169.662358178946</x:v>
      </x:c>
      <x:c r="AU855" s="11" t="n">
        <x:v>2600.727057302887</x:v>
      </x:c>
      <x:c r="AV855" s="11" t="n">
        <x:v>243.7437167887405</x:v>
      </x:c>
      <x:c r="AW855" s="11" t="n">
        <x:v>2.34761972138061</x:v>
      </x:c>
      <x:c r="AX855" s="12" t="n">
        <x:v>0.9425090640708483</x:v>
      </x:c>
      <x:c r="AY855" s="11" t="n">
        <x:v>3601.3561989291247</x:v>
      </x:c>
      <x:c r="AZ855" s="11" t="n">
        <x:v>3546.5079302077975</x:v>
      </x:c>
      <x:c r="BA855" s="11" t="n">
        <x:v>2957.8976990295423</x:v>
      </x:c>
      <x:c r="BB855" s="11" t="n">
        <x:v>2783.665107049771</x:v>
      </x:c>
      <x:c r="BC855" s="11" t="n">
        <x:v>1917.0647247750476</x:v>
      </x:c>
      <x:c r="BD855" s="11" t="n">
        <x:v>2437.8724475115623</x:v>
      </x:c>
      <x:c r="BE855" s="11" t="n">
        <x:v>987.5598464714869</x:v>
      </x:c>
      <x:c r="BF855" s="11" t="n">
        <x:v>1604.3462673977224</x:v>
      </x:c>
      <x:c r="BG855" s="11" t="n">
        <x:v>936.3446522221191</x:v>
      </x:c>
      <x:c r="BH855" s="11" t="n">
        <x:v>518.5374381567245</x:v>
      </x:c>
      <x:c r="BI855" s="11" t="n">
        <x:v>1.3967465323081123</x:v>
      </x:c>
      <x:c r="BJ855" s="11" t="n">
        <x:v>1.7099330852451193</x:v>
      </x:c>
      <x:c r="BK855" s="12" t="n">
        <x:v>0.018327243000235003</x:v>
      </x:c>
      <x:c r="BL855" s="12" t="n">
        <x:v>0.02529861000232605</x:v>
      </x:c>
      <x:c r="BM855" s="12" t="n">
        <x:v>0.982034678745671</x:v>
      </x:c>
      <x:c r="BN855" s="12" t="n">
        <x:v>0.9815511712696461</x:v>
      </x:c>
      <x:c r="BO855" s="12" t="n">
        <x:v>0.7988058564062199</x:v>
      </x:c>
      <x:c r="BP855" s="12" t="n">
        <x:v>0.8619101997275483</x:v>
      </x:c>
      <x:c r="BQ855" s="12" t="n">
        <x:v>0.970292410805516</x:v>
      </x:c>
      <x:c r="BR855" s="12" t="n">
        <x:v>0.9623635142836453</x:v>
      </x:c>
      <x:c r="BS855" s="12" t="n">
        <x:v>0.19624174475580758</x:v>
      </x:c>
      <x:c r="BT855" s="12" t="n">
        <x:v>0.19976549769108282</x:v>
      </x:c>
      <x:c r="BU855" s="11" t="n">
        <x:v>24234</x:v>
      </x:c>
      <x:c r="BV855" s="11" t="n">
        <x:v>9297370</x:v>
      </x:c>
      <x:c r="BW855" s="11" t="n">
        <x:v>1710264</x:v>
      </x:c>
      <x:c r="BX855" s="11" t="n">
        <x:v>2899271</x:v>
      </x:c>
      <x:c r="BY855" s="11" t="n">
        <x:v>1529869</x:v>
      </x:c>
      <x:c r="BZ855" s="11" t="n">
        <x:v>132250</x:v>
      </x:c>
      <x:c r="CA855" s="11" t="n">
        <x:v>349850</x:v>
      </x:c>
      <x:c r="CB855" s="11" t="n">
        <x:v>0</x:v>
      </x:c>
      <x:c r="CC855" s="11" t="n">
        <x:v>3833408</x:v>
      </x:c>
      <x:c r="CD855" s="11" t="n">
        <x:v>10241945</x:v>
      </x:c>
      <x:c r="CE855" s="11" t="n">
        <x:v>-1003712</x:v>
      </x:c>
      <x:c r="CF855" s="11" t="n">
        <x:v>79026</x:v>
      </x:c>
      <x:c r="CG855" s="11" t="n">
        <x:v>2710604</x:v>
      </x:c>
      <x:c r="CH855" s="11" t="n">
        <x:v>5873354</x:v>
      </x:c>
      <x:c r="CI855" s="11" t="n">
        <x:v>5946701</x:v>
      </x:c>
      <x:c r="CJ855" s="11" t="n">
        <x:v>976639</x:v>
      </x:c>
      <x:c r="CK855" s="11" t="n">
        <x:v>856411</x:v>
      </x:c>
      <x:c r="CL855" s="11" t="n">
        <x:v>87803</x:v>
      </x:c>
      <x:c r="CM855" s="11" t="n">
        <x:v>0</x:v>
      </x:c>
      <x:c r="CN855" s="11" t="n">
        <x:v>89222</x:v>
      </x:c>
      <x:c r="CO855" s="11" t="n">
        <x:v>3244</x:v>
      </x:c>
      <x:c r="CP855" s="8"/>
      <x:c r="CQ855" s="8"/>
    </x:row>
    <x:row r="856">
      <x:c r="A856" s="8" t="str">
        <x:v>Tofino|2019</x:v>
      </x:c>
      <x:c r="B856" s="8" t="str">
        <x:v>tofino-d</x:v>
      </x:c>
      <x:c r="C856" s="8" t="str">
        <x:v>Tofino</x:v>
      </x:c>
      <x:c r="D856" s="8" t="str">
        <x:v>Tofino</x:v>
      </x:c>
      <x:c r="E856" s="8" t="str">
        <x:v>D</x:v>
      </x:c>
      <x:c r="F856" s="8" t="str">
        <x:v>ALB</x:v>
      </x:c>
      <x:c r="G856" s="9" t="n">
        <x:v>2019</x:v>
      </x:c>
      <x:c r="H856" s="10" t="n">
        <x:v>2434</x:v>
      </x:c>
      <x:c r="I856" s="8" t="str">
        <x:v>Under 5,000</x:v>
      </x:c>
      <x:c r="J856" s="11" t="n">
        <x:v>13055873</x:v>
      </x:c>
      <x:c r="K856" s="11" t="n">
        <x:v>9806918</x:v>
      </x:c>
      <x:c r="L856" s="11" t="n">
        <x:v>3248955</x:v>
      </x:c>
      <x:c r="M856" s="12" t="n">
        <x:v>0.24885007689642816</x:v>
      </x:c>
      <x:c r="N856" s="11" t="n">
        <x:v>6701264</x:v>
      </x:c>
      <x:c r="O856" s="11" t="n">
        <x:v>2276875</x:v>
      </x:c>
      <x:c r="P856" s="11" t="n">
        <x:v>3312646</x:v>
      </x:c>
      <x:c r="Q856" s="11" t="n">
        <x:v>765088</x:v>
      </x:c>
      <x:c r="R856" s="11" t="n">
        <x:v>8671573</x:v>
      </x:c>
      <x:c r="S856" s="11" t="n">
        <x:v>1106468</x:v>
      </x:c>
      <x:c r="T856" s="11" t="n">
        <x:v>18929688</x:v>
      </x:c>
      <x:c r="U856" s="11" t="n">
        <x:v>9087355</x:v>
      </x:c>
      <x:c r="V856" s="11" t="n">
        <x:v>11746663</x:v>
      </x:c>
      <x:c r="W856" s="11" t="n">
        <x:v>3947509</x:v>
      </x:c>
      <x:c r="X856" s="11" t="n">
        <x:v>1134043</x:v>
      </x:c>
      <x:c r="Y856" s="11" t="n">
        <x:v>0</x:v>
      </x:c>
      <x:c r="Z856" s="11" t="n">
        <x:v>146610</x:v>
      </x:c>
      <x:c r="AA856" s="11" t="n">
        <x:v>969393</x:v>
      </x:c>
      <x:c r="AB856" s="11" t="n">
        <x:v>28877</x:v>
      </x:c>
      <x:c r="AC856" s="11" t="n">
        <x:v>175487</x:v>
      </x:c>
      <x:c r="AD856" s="11" t="n">
        <x:v>1990026</x:v>
      </x:c>
      <x:c r="AE856" s="11" t="n">
        <x:v>599305</x:v>
      </x:c>
      <x:c r="AF856" s="11" t="n">
        <x:v>7960103</x:v>
      </x:c>
      <x:c r="AG856" s="11" t="n">
        <x:v>47691998</x:v>
      </x:c>
      <x:c r="AH856" s="11" t="n">
        <x:v>13944933</x:v>
      </x:c>
      <x:c r="AI856" s="11" t="n">
        <x:v>33747065</x:v>
      </x:c>
      <x:c r="AJ856" s="11" t="n">
        <x:v>2645054</x:v>
      </x:c>
      <x:c r="AK856" s="11" t="n">
        <x:v>7693096</x:v>
      </x:c>
      <x:c r="AL856" s="11" t="n">
        <x:v>0</x:v>
      </x:c>
      <x:c r="AM856" s="12" t="n">
        <x:v>1</x:v>
      </x:c>
      <x:c r="AN856" s="12" t="n">
        <x:v>0.3438217851434585</x:v>
      </x:c>
      <x:c r="AO856" s="11" t="n">
        <x:v>8570079</x:v>
      </x:c>
      <x:c r="AP856" s="11" t="n">
        <x:v>8466602</x:v>
      </x:c>
      <x:c r="AQ856" s="12" t="n">
        <x:v>0.9879257822477483</x:v>
      </x:c>
      <x:c r="AR856" s="11" t="n">
        <x:v>5363.957682826623</x:v>
      </x:c>
      <x:c r="AS856" s="11" t="n">
        <x:v>4029.1364009860313</x:v>
      </x:c>
      <x:c r="AT856" s="11" t="n">
        <x:v>4826.073541495481</x:v>
      </x:c>
      <x:c r="AU856" s="11" t="n">
        <x:v>1621.8196384552177</x:v>
      </x:c>
      <x:c r="AV856" s="11" t="n">
        <x:v>398.271569433032</x:v>
      </x:c>
      <x:c r="AW856" s="11" t="n">
        <x:v>2.0830800601495154</x:v>
      </x:c>
      <x:c r="AX856" s="12" t="n">
        <x:v>0.3011543567772481</x:v>
      </x:c>
      <x:c r="AY856" s="11"/>
      <x:c r="AZ856" s="11"/>
      <x:c r="BA856" s="11"/>
      <x:c r="BB856" s="11"/>
      <x:c r="BC856" s="11"/>
      <x:c r="BD856" s="11"/>
      <x:c r="BE856" s="11"/>
      <x:c r="BF856" s="11"/>
      <x:c r="BG856" s="11"/>
      <x:c r="BH856" s="11"/>
      <x:c r="BI856" s="11"/>
      <x:c r="BJ856" s="11"/>
      <x:c r="BK856" s="12"/>
      <x:c r="BL856" s="12"/>
      <x:c r="BM856" s="12"/>
      <x:c r="BN856" s="12"/>
      <x:c r="BO856" s="12"/>
      <x:c r="BP856" s="12"/>
      <x:c r="BQ856" s="12"/>
      <x:c r="BR856" s="12"/>
      <x:c r="BS856" s="12"/>
      <x:c r="BT856" s="12"/>
      <x:c r="BU856" s="11" t="n">
        <x:v>1184516</x:v>
      </x:c>
      <x:c r="BV856" s="11" t="n">
        <x:v>2005397</x:v>
      </x:c>
      <x:c r="BW856" s="11" t="n">
        <x:v>122733</x:v>
      </x:c>
      <x:c r="BX856" s="11" t="n">
        <x:v>57782</x:v>
      </x:c>
      <x:c r="BY856" s="11" t="n">
        <x:v>-214361</x:v>
      </x:c>
      <x:c r="BZ856" s="11" t="n">
        <x:v>334241</x:v>
      </x:c>
      <x:c r="CA856" s="11" t="n">
        <x:v>0</x:v>
      </x:c>
      <x:c r="CB856" s="11" t="n">
        <x:v>587426</x:v>
      </x:c>
      <x:c r="CC856" s="11" t="n">
        <x:v>1801748</x:v>
      </x:c>
      <x:c r="CD856" s="11" t="n">
        <x:v>898379</x:v>
      </x:c>
      <x:c r="CE856" s="11" t="n">
        <x:v>0</x:v>
      </x:c>
      <x:c r="CF856" s="11" t="n">
        <x:v>0</x:v>
      </x:c>
      <x:c r="CG856" s="11" t="n">
        <x:v>623794</x:v>
      </x:c>
      <x:c r="CH856" s="11" t="n">
        <x:v>952436</x:v>
      </x:c>
      <x:c r="CI856" s="11" t="n">
        <x:v>1272867</x:v>
      </x:c>
      <x:c r="CJ856" s="11" t="n">
        <x:v>678142</x:v>
      </x:c>
      <x:c r="CK856" s="11" t="n">
        <x:v>468806</x:v>
      </x:c>
      <x:c r="CL856" s="11" t="n">
        <x:v>1964950</x:v>
      </x:c>
      <x:c r="CM856" s="11"/>
      <x:c r="CN856" s="11" t="n">
        <x:v>39328</x:v>
      </x:c>
      <x:c r="CO856" s="11" t="n">
        <x:v>0</x:v>
      </x:c>
      <x:c r="CP856" s="8"/>
      <x:c r="CQ856" s="8"/>
    </x:row>
    <x:row r="857">
      <x:c r="A857" s="8" t="str">
        <x:v>Tofino|2020</x:v>
      </x:c>
      <x:c r="B857" s="8" t="str">
        <x:v>tofino-d</x:v>
      </x:c>
      <x:c r="C857" s="8" t="str">
        <x:v>Tofino</x:v>
      </x:c>
      <x:c r="D857" s="8" t="str">
        <x:v>Tofino</x:v>
      </x:c>
      <x:c r="E857" s="8" t="str">
        <x:v>D</x:v>
      </x:c>
      <x:c r="F857" s="8" t="str">
        <x:v>ALB</x:v>
      </x:c>
      <x:c r="G857" s="9" t="n">
        <x:v>2020</x:v>
      </x:c>
      <x:c r="H857" s="10" t="n">
        <x:v>2522</x:v>
      </x:c>
      <x:c r="I857" s="8" t="str">
        <x:v>Under 5,000</x:v>
      </x:c>
      <x:c r="J857" s="11" t="n">
        <x:v>13182569</x:v>
      </x:c>
      <x:c r="K857" s="11" t="n">
        <x:v>8605441</x:v>
      </x:c>
      <x:c r="L857" s="11" t="n">
        <x:v>4577128</x:v>
      </x:c>
      <x:c r="M857" s="12" t="n">
        <x:v>0.3472106233618045</x:v>
      </x:c>
      <x:c r="N857" s="11" t="n">
        <x:v>5357971</x:v>
      </x:c>
      <x:c r="O857" s="11" t="n">
        <x:v>2122323</x:v>
      </x:c>
      <x:c r="P857" s="11" t="n">
        <x:v>5138053</x:v>
      </x:c>
      <x:c r="Q857" s="11" t="n">
        <x:v>564222</x:v>
      </x:c>
      <x:c r="R857" s="11" t="n">
        <x:v>7449792</x:v>
      </x:c>
      <x:c r="S857" s="11" t="n">
        <x:v>1127299</x:v>
      </x:c>
      <x:c r="T857" s="11" t="n">
        <x:v>37631414</x:v>
      </x:c>
      <x:c r="U857" s="11" t="n">
        <x:v>27131976</x:v>
      </x:c>
      <x:c r="V857" s="11" t="n">
        <x:v>13797426</x:v>
      </x:c>
      <x:c r="W857" s="11" t="n">
        <x:v>3856640</x:v>
      </x:c>
      <x:c r="X857" s="11" t="n">
        <x:v>969393</x:v>
      </x:c>
      <x:c r="Y857" s="11" t="n">
        <x:v>0</x:v>
      </x:c>
      <x:c r="Z857" s="11" t="n">
        <x:v>138273</x:v>
      </x:c>
      <x:c r="AA857" s="11" t="n">
        <x:v>811846</x:v>
      </x:c>
      <x:c r="AB857" s="11" t="n">
        <x:v>28350</x:v>
      </x:c>
      <x:c r="AC857" s="11" t="n">
        <x:v>166623</x:v>
      </x:c>
      <x:c r="AD857" s="11" t="n">
        <x:v>1624900</x:v>
      </x:c>
      <x:c r="AE857" s="11" t="n">
        <x:v>192519</x:v>
      </x:c>
      <x:c r="AF857" s="11" t="n">
        <x:v>6499601</x:v>
      </x:c>
      <x:c r="AG857" s="11" t="n">
        <x:v>51018214</x:v>
      </x:c>
      <x:c r="AH857" s="11" t="n">
        <x:v>14741604</x:v>
      </x:c>
      <x:c r="AI857" s="11" t="n">
        <x:v>36276610</x:v>
      </x:c>
      <x:c r="AJ857" s="11" t="n">
        <x:v>3846410</x:v>
      </x:c>
      <x:c r="AK857" s="11" t="n">
        <x:v>11170883</x:v>
      </x:c>
      <x:c r="AL857" s="11" t="n">
        <x:v>0</x:v>
      </x:c>
      <x:c r="AM857" s="12" t="n">
        <x:v>1</x:v>
      </x:c>
      <x:c r="AN857" s="12" t="n">
        <x:v>0.3443246160576563</x:v>
      </x:c>
      <x:c r="AO857" s="11" t="n">
        <x:v>7323803</x:v>
      </x:c>
      <x:c r="AP857" s="11" t="n">
        <x:v>7318193</x:v>
      </x:c>
      <x:c r="AQ857" s="12" t="n">
        <x:v>0.9992340045192368</x:v>
      </x:c>
      <x:c r="AR857" s="11" t="n">
        <x:v>5227.029738302934</x:v>
      </x:c>
      <x:c r="AS857" s="11" t="n">
        <x:v>3412.1494845360826</x:v>
      </x:c>
      <x:c r="AT857" s="11" t="n">
        <x:v>5470.827121332276</x:v>
      </x:c>
      <x:c r="AU857" s="11" t="n">
        <x:v>1529.1990483743061</x:v>
      </x:c>
      <x:c r="AV857" s="11" t="n">
        <x:v>321.9056304520222</x:v>
      </x:c>
      <x:c r="AW857" s="11" t="n">
        <x:v>1.3869765327818364</x:v>
      </x:c>
      <x:c r="AX857" s="12" t="n">
        <x:v>0.11848052187826943</x:v>
      </x:c>
      <x:c r="AY857" s="11"/>
      <x:c r="AZ857" s="11"/>
      <x:c r="BA857" s="11"/>
      <x:c r="BB857" s="11"/>
      <x:c r="BC857" s="11"/>
      <x:c r="BD857" s="11"/>
      <x:c r="BE857" s="11"/>
      <x:c r="BF857" s="11"/>
      <x:c r="BG857" s="11"/>
      <x:c r="BH857" s="11"/>
      <x:c r="BI857" s="11"/>
      <x:c r="BJ857" s="11"/>
      <x:c r="BK857" s="12"/>
      <x:c r="BL857" s="12"/>
      <x:c r="BM857" s="12"/>
      <x:c r="BN857" s="12"/>
      <x:c r="BO857" s="12"/>
      <x:c r="BP857" s="12"/>
      <x:c r="BQ857" s="12"/>
      <x:c r="BR857" s="12"/>
      <x:c r="BS857" s="12"/>
      <x:c r="BT857" s="12"/>
      <x:c r="BU857" s="11" t="n">
        <x:v>1787574</x:v>
      </x:c>
      <x:c r="BV857" s="11" t="n">
        <x:v>3065872</x:v>
      </x:c>
      <x:c r="BW857" s="11" t="n">
        <x:v>284607</x:v>
      </x:c>
      <x:c r="BX857" s="11" t="n">
        <x:v>38600</x:v>
      </x:c>
      <x:c r="BY857" s="11" t="n">
        <x:v>123285</x:v>
      </x:c>
      <x:c r="BZ857" s="11" t="n">
        <x:v>180467</x:v>
      </x:c>
      <x:c r="CA857" s="11" t="n">
        <x:v>16434</x:v>
      </x:c>
      <x:c r="CB857" s="11" t="n">
        <x:v>205436</x:v>
      </x:c>
      <x:c r="CC857" s="11" t="n">
        <x:v>1783377</x:v>
      </x:c>
      <x:c r="CD857" s="11" t="n">
        <x:v>883692</x:v>
      </x:c>
      <x:c r="CE857" s="11" t="n">
        <x:v>0</x:v>
      </x:c>
      <x:c r="CF857" s="11" t="n">
        <x:v>0</x:v>
      </x:c>
      <x:c r="CG857" s="11" t="n">
        <x:v>469870</x:v>
      </x:c>
      <x:c r="CH857" s="11" t="n">
        <x:v>849919</x:v>
      </x:c>
      <x:c r="CI857" s="11" t="n">
        <x:v>815557</x:v>
      </x:c>
      <x:c r="CJ857" s="11" t="n">
        <x:v>678226</x:v>
      </x:c>
      <x:c r="CK857" s="11" t="n">
        <x:v>443909</x:v>
      </x:c>
      <x:c r="CL857" s="11" t="n">
        <x:v>1553592</x:v>
      </x:c>
      <x:c r="CM857" s="11"/>
      <x:c r="CN857" s="11" t="n">
        <x:v>0</x:v>
      </x:c>
      <x:c r="CO857" s="11" t="n">
        <x:v>0</x:v>
      </x:c>
      <x:c r="CP857" s="8"/>
      <x:c r="CQ857" s="8"/>
    </x:row>
    <x:row r="858">
      <x:c r="A858" s="8" t="str">
        <x:v>Tofino|2021</x:v>
      </x:c>
      <x:c r="B858" s="8" t="str">
        <x:v>tofino-d</x:v>
      </x:c>
      <x:c r="C858" s="8" t="str">
        <x:v>Tofino</x:v>
      </x:c>
      <x:c r="D858" s="8" t="str">
        <x:v>Tofino</x:v>
      </x:c>
      <x:c r="E858" s="8" t="str">
        <x:v>D</x:v>
      </x:c>
      <x:c r="F858" s="8" t="str">
        <x:v>ALB</x:v>
      </x:c>
      <x:c r="G858" s="9" t="n">
        <x:v>2021</x:v>
      </x:c>
      <x:c r="H858" s="10" t="n">
        <x:v>2618</x:v>
      </x:c>
      <x:c r="I858" s="8" t="str">
        <x:v>Under 5,000</x:v>
      </x:c>
      <x:c r="J858" s="11" t="n">
        <x:v>12790528</x:v>
      </x:c>
      <x:c r="K858" s="11" t="n">
        <x:v>10540581</x:v>
      </x:c>
      <x:c r="L858" s="11" t="n">
        <x:v>2249947</x:v>
      </x:c>
      <x:c r="M858" s="12" t="n">
        <x:v>0.17590728076276443</x:v>
      </x:c>
      <x:c r="N858" s="11" t="n">
        <x:v>6913075</x:v>
      </x:c>
      <x:c r="O858" s="11" t="n">
        <x:v>2743273</x:v>
      </x:c>
      <x:c r="P858" s="11" t="n">
        <x:v>2256383</x:v>
      </x:c>
      <x:c r="Q858" s="11" t="n">
        <x:v>877797</x:v>
      </x:c>
      <x:c r="R858" s="11" t="n">
        <x:v>9305949</x:v>
      </x:c>
      <x:c r="S858" s="11" t="n">
        <x:v>1210115</x:v>
      </x:c>
      <x:c r="T858" s="11" t="n">
        <x:v>43657775</x:v>
      </x:c>
      <x:c r="U858" s="11" t="n">
        <x:v>29242821</x:v>
      </x:c>
      <x:c r="V858" s="11" t="n">
        <x:v>15506863</x:v>
      </x:c>
      <x:c r="W858" s="11" t="n">
        <x:v>4182632</x:v>
      </x:c>
      <x:c r="X858" s="11" t="n">
        <x:v>811846</x:v>
      </x:c>
      <x:c r="Y858" s="11" t="n">
        <x:v>18768</x:v>
      </x:c>
      <x:c r="Z858" s="11" t="n">
        <x:v>119459</x:v>
      </x:c>
      <x:c r="AA858" s="11" t="n">
        <x:v>752859</x:v>
      </x:c>
      <x:c r="AB858" s="11" t="n">
        <x:v>24517</x:v>
      </x:c>
      <x:c r="AC858" s="11" t="n">
        <x:v>80311</x:v>
      </x:c>
      <x:c r="AD858" s="11" t="n">
        <x:v>2206468</x:v>
      </x:c>
      <x:c r="AE858" s="11" t="n">
        <x:v>716289</x:v>
      </x:c>
      <x:c r="AF858" s="11" t="n">
        <x:v>8825871</x:v>
      </x:c>
      <x:c r="AG858" s="11" t="n">
        <x:v>37750295</x:v>
      </x:c>
      <x:c r="AH858" s="11" t="n">
        <x:v>1883587</x:v>
      </x:c>
      <x:c r="AI858" s="11" t="n">
        <x:v>35866708</x:v>
      </x:c>
      <x:c r="AJ858" s="11" t="n">
        <x:v>1734723</x:v>
      </x:c>
      <x:c r="AK858" s="11" t="n">
        <x:v>7940821</x:v>
      </x:c>
      <x:c r="AL858" s="11" t="n">
        <x:v>0</x:v>
      </x:c>
      <x:c r="AM858" s="12" t="n">
        <x:v>1</x:v>
      </x:c>
      <x:c r="AN858" s="12" t="n">
        <x:v>0.21845637875479124</x:v>
      </x:c>
      <x:c r="AO858" s="11" t="n">
        <x:v>9141613</x:v>
      </x:c>
      <x:c r="AP858" s="11" t="n">
        <x:v>9122689</x:v>
      </x:c>
      <x:c r="AQ858" s="12" t="n">
        <x:v>0.9979299058054635</x:v>
      </x:c>
      <x:c r="AR858" s="11" t="n">
        <x:v>4885.61038961039</x:v>
      </x:c>
      <x:c r="AS858" s="11" t="n">
        <x:v>4026.1959511077157</x:v>
      </x:c>
      <x:c r="AT858" s="11" t="n">
        <x:v>5923.171504965622</x:v>
      </x:c>
      <x:c r="AU858" s="11" t="n">
        <x:v>1597.6440030557678</x:v>
      </x:c>
      <x:c r="AV858" s="11" t="n">
        <x:v>287.57028265851795</x:v>
      </x:c>
      <x:c r="AW858" s="11" t="n">
        <x:v>1.492939925323894</x:v>
      </x:c>
      <x:c r="AX858" s="12" t="n">
        <x:v>0.3246314925029504</x:v>
      </x:c>
      <x:c r="AY858" s="11"/>
      <x:c r="AZ858" s="11"/>
      <x:c r="BA858" s="11"/>
      <x:c r="BB858" s="11"/>
      <x:c r="BC858" s="11"/>
      <x:c r="BD858" s="11"/>
      <x:c r="BE858" s="11"/>
      <x:c r="BF858" s="11"/>
      <x:c r="BG858" s="11"/>
      <x:c r="BH858" s="11"/>
      <x:c r="BI858" s="11"/>
      <x:c r="BJ858" s="11"/>
      <x:c r="BK858" s="12"/>
      <x:c r="BL858" s="12"/>
      <x:c r="BM858" s="12"/>
      <x:c r="BN858" s="12"/>
      <x:c r="BO858" s="12"/>
      <x:c r="BP858" s="12"/>
      <x:c r="BQ858" s="12"/>
      <x:c r="BR858" s="12"/>
      <x:c r="BS858" s="12"/>
      <x:c r="BT858" s="12"/>
      <x:c r="BU858" s="11" t="n">
        <x:v>474331</x:v>
      </x:c>
      <x:c r="BV858" s="11" t="n">
        <x:v>1455002</x:v>
      </x:c>
      <x:c r="BW858" s="11" t="n">
        <x:v>327050</x:v>
      </x:c>
      <x:c r="BX858" s="11" t="n">
        <x:v>29065</x:v>
      </x:c>
      <x:c r="BY858" s="11" t="n">
        <x:v>0</x:v>
      </x:c>
      <x:c r="BZ858" s="11" t="n">
        <x:v>107018</x:v>
      </x:c>
      <x:c r="CA858" s="11" t="n">
        <x:v>0</x:v>
      </x:c>
      <x:c r="CB858" s="11" t="n">
        <x:v>741714</x:v>
      </x:c>
      <x:c r="CC858" s="11" t="n">
        <x:v>1649736</x:v>
      </x:c>
      <x:c r="CD858" s="11" t="n">
        <x:v>1137811</x:v>
      </x:c>
      <x:c r="CE858" s="11" t="n">
        <x:v>0</x:v>
      </x:c>
      <x:c r="CF858" s="11" t="n">
        <x:v>245789</x:v>
      </x:c>
      <x:c r="CG858" s="11" t="n">
        <x:v>548283</x:v>
      </x:c>
      <x:c r="CH858" s="11" t="n">
        <x:v>1415193</x:v>
      </x:c>
      <x:c r="CI858" s="11" t="n">
        <x:v>976544</x:v>
      </x:c>
      <x:c r="CJ858" s="11" t="n">
        <x:v>808413</x:v>
      </x:c>
      <x:c r="CK858" s="11" t="n">
        <x:v>639736</x:v>
      </x:c>
      <x:c r="CL858" s="11" t="n">
        <x:v>1849733</x:v>
      </x:c>
      <x:c r="CM858" s="11"/>
      <x:c r="CN858" s="11" t="n">
        <x:v>59228</x:v>
      </x:c>
      <x:c r="CO858" s="11" t="n">
        <x:v>0</x:v>
      </x:c>
      <x:c r="CP858" s="8"/>
      <x:c r="CQ858" s="8"/>
    </x:row>
    <x:row r="859">
      <x:c r="A859" s="8" t="str">
        <x:v>Tofino|2022</x:v>
      </x:c>
      <x:c r="B859" s="8" t="str">
        <x:v>tofino-d</x:v>
      </x:c>
      <x:c r="C859" s="8" t="str">
        <x:v>Tofino</x:v>
      </x:c>
      <x:c r="D859" s="8" t="str">
        <x:v>Tofino</x:v>
      </x:c>
      <x:c r="E859" s="8" t="str">
        <x:v>D</x:v>
      </x:c>
      <x:c r="F859" s="8" t="str">
        <x:v>ALB</x:v>
      </x:c>
      <x:c r="G859" s="9" t="n">
        <x:v>2022</x:v>
      </x:c>
      <x:c r="H859" s="10" t="n">
        <x:v>2522</x:v>
      </x:c>
      <x:c r="I859" s="8" t="str">
        <x:v>Under 5,000</x:v>
      </x:c>
      <x:c r="J859" s="11" t="n">
        <x:v>29375621</x:v>
      </x:c>
      <x:c r="K859" s="11" t="n">
        <x:v>12575561</x:v>
      </x:c>
      <x:c r="L859" s="11" t="n">
        <x:v>16800060</x:v>
      </x:c>
      <x:c r="M859" s="12" t="n">
        <x:v>0.5719048458584075</x:v>
      </x:c>
      <x:c r="N859" s="11" t="n">
        <x:v>8613155</x:v>
      </x:c>
      <x:c r="O859" s="11" t="n">
        <x:v>3952589</x:v>
      </x:c>
      <x:c r="P859" s="11" t="n">
        <x:v>16155226</x:v>
      </x:c>
      <x:c r="Q859" s="11" t="n">
        <x:v>654651</x:v>
      </x:c>
      <x:c r="R859" s="11" t="n">
        <x:v>11306550</x:v>
      </x:c>
      <x:c r="S859" s="11" t="n">
        <x:v>1244704</x:v>
      </x:c>
      <x:c r="T859" s="11" t="n">
        <x:v>34243052</x:v>
      </x:c>
      <x:c r="U859" s="11" t="n">
        <x:v>28078063</x:v>
      </x:c>
      <x:c r="V859" s="11" t="n">
        <x:v>12919712</x:v>
      </x:c>
      <x:c r="W859" s="11" t="n">
        <x:v>8225561</x:v>
      </x:c>
      <x:c r="X859" s="11" t="n">
        <x:v>752859</x:v>
      </x:c>
      <x:c r="Y859" s="11" t="n">
        <x:v>434725</x:v>
      </x:c>
      <x:c r="Z859" s="11" t="n">
        <x:v>439236</x:v>
      </x:c>
      <x:c r="AA859" s="11" t="n">
        <x:v>724308</x:v>
      </x:c>
      <x:c r="AB859" s="11" t="n">
        <x:v>24307</x:v>
      </x:c>
      <x:c r="AC859" s="11" t="n">
        <x:v>463543</x:v>
      </x:c>
      <x:c r="AD859" s="11" t="n">
        <x:v>2854229</x:v>
      </x:c>
      <x:c r="AE859" s="11" t="n">
        <x:v>904223</x:v>
      </x:c>
      <x:c r="AF859" s="11" t="n">
        <x:v>11416914</x:v>
      </x:c>
      <x:c r="AG859" s="11" t="n">
        <x:v>72146284</x:v>
      </x:c>
      <x:c r="AH859" s="11" t="n">
        <x:v>16951110</x:v>
      </x:c>
      <x:c r="AI859" s="11" t="n">
        <x:v>55195174</x:v>
      </x:c>
      <x:c r="AJ859" s="11" t="n">
        <x:v>20587779</x:v>
      </x:c>
      <x:c r="AK859" s="11" t="n">
        <x:v>26901306</x:v>
      </x:c>
      <x:c r="AL859" s="11" t="n">
        <x:v>0</x:v>
      </x:c>
      <x:c r="AM859" s="12" t="n">
        <x:v>1</x:v>
      </x:c>
      <x:c r="AN859" s="12" t="n">
        <x:v>0.7653077884025408</x:v>
      </x:c>
      <x:c r="AO859" s="11" t="n">
        <x:v>10223073</x:v>
      </x:c>
      <x:c r="AP859" s="11" t="n">
        <x:v>10115837</x:v>
      </x:c>
      <x:c r="AQ859" s="12" t="n">
        <x:v>0.9895103947707309</x:v>
      </x:c>
      <x:c r="AR859" s="11" t="n">
        <x:v>11647.748215701824</x:v>
      </x:c>
      <x:c r="AS859" s="11" t="n">
        <x:v>4986.34456780333</x:v>
      </x:c>
      <x:c r="AT859" s="11" t="n">
        <x:v>5122.80412371134</x:v>
      </x:c>
      <x:c r="AU859" s="11" t="n">
        <x:v>3261.5229976209357</x:v>
      </x:c>
      <x:c r="AV859" s="11" t="n">
        <x:v>287.1958762886598</x:v>
      </x:c>
      <x:c r="AW859" s="11" t="n">
        <x:v>1.2195660363038576</x:v>
      </x:c>
      <x:c r="AX859" s="12" t="n">
        <x:v>0.31680113964226414</x:v>
      </x:c>
      <x:c r="AY859" s="11"/>
      <x:c r="AZ859" s="11"/>
      <x:c r="BA859" s="11"/>
      <x:c r="BB859" s="11"/>
      <x:c r="BC859" s="11"/>
      <x:c r="BD859" s="11"/>
      <x:c r="BE859" s="11"/>
      <x:c r="BF859" s="11"/>
      <x:c r="BG859" s="11"/>
      <x:c r="BH859" s="11"/>
      <x:c r="BI859" s="11"/>
      <x:c r="BJ859" s="11"/>
      <x:c r="BK859" s="12"/>
      <x:c r="BL859" s="12"/>
      <x:c r="BM859" s="12"/>
      <x:c r="BN859" s="12"/>
      <x:c r="BO859" s="12"/>
      <x:c r="BP859" s="12"/>
      <x:c r="BQ859" s="12"/>
      <x:c r="BR859" s="12"/>
      <x:c r="BS859" s="12"/>
      <x:c r="BT859" s="12"/>
      <x:c r="BU859" s="11" t="n">
        <x:v>334823</x:v>
      </x:c>
      <x:c r="BV859" s="11" t="n">
        <x:v>15470296</x:v>
      </x:c>
      <x:c r="BW859" s="11" t="n">
        <x:v>350107</x:v>
      </x:c>
      <x:c r="BX859" s="11" t="n">
        <x:v>341321</x:v>
      </x:c>
      <x:c r="BY859" s="11" t="n">
        <x:v>0</x:v>
      </x:c>
      <x:c r="BZ859" s="11" t="n">
        <x:v>307419</x:v>
      </x:c>
      <x:c r="CA859" s="11" t="n">
        <x:v>5911</x:v>
      </x:c>
      <x:c r="CB859" s="11" t="n">
        <x:v>0</x:v>
      </x:c>
      <x:c r="CC859" s="11" t="n">
        <x:v>1889407</x:v>
      </x:c>
      <x:c r="CD859" s="11" t="n">
        <x:v>1476126</x:v>
      </x:c>
      <x:c r="CE859" s="11" t="n">
        <x:v>0</x:v>
      </x:c>
      <x:c r="CF859" s="11" t="n">
        <x:v>438402</x:v>
      </x:c>
      <x:c r="CG859" s="11" t="n">
        <x:v>3243226</x:v>
      </x:c>
      <x:c r="CH859" s="11" t="n">
        <x:v>1564073</x:v>
      </x:c>
      <x:c r="CI859" s="11" t="n">
        <x:v>1091869</x:v>
      </x:c>
      <x:c r="CJ859" s="11" t="n">
        <x:v>845910</x:v>
      </x:c>
      <x:c r="CK859" s="11" t="n">
        <x:v>780265</x:v>
      </x:c>
      <x:c r="CL859" s="11" t="n">
        <x:v>1579</x:v>
      </x:c>
      <x:c r="CM859" s="11"/>
      <x:c r="CN859" s="11" t="n">
        <x:v>0</x:v>
      </x:c>
      <x:c r="CO859" s="11" t="n">
        <x:v>0</x:v>
      </x:c>
      <x:c r="CP859" s="8"/>
      <x:c r="CQ859" s="8"/>
    </x:row>
    <x:row r="860">
      <x:c r="A860" s="8" t="str">
        <x:v>Tofino|2023</x:v>
      </x:c>
      <x:c r="B860" s="8" t="str">
        <x:v>tofino-d</x:v>
      </x:c>
      <x:c r="C860" s="8" t="str">
        <x:v>Tofino</x:v>
      </x:c>
      <x:c r="D860" s="8" t="str">
        <x:v>Tofino</x:v>
      </x:c>
      <x:c r="E860" s="8" t="str">
        <x:v>D</x:v>
      </x:c>
      <x:c r="F860" s="8" t="str">
        <x:v>ALB</x:v>
      </x:c>
      <x:c r="G860" s="9" t="n">
        <x:v>2023</x:v>
      </x:c>
      <x:c r="H860" s="10" t="n">
        <x:v>2653</x:v>
      </x:c>
      <x:c r="I860" s="8" t="str">
        <x:v>Under 5,000</x:v>
      </x:c>
      <x:c r="J860" s="11" t="n">
        <x:v>50615335</x:v>
      </x:c>
      <x:c r="K860" s="11" t="n">
        <x:v>13232892</x:v>
      </x:c>
      <x:c r="L860" s="11" t="n">
        <x:v>37382443</x:v>
      </x:c>
      <x:c r="M860" s="12" t="n">
        <x:v>0.7385596282233438</x:v>
      </x:c>
      <x:c r="N860" s="11" t="n">
        <x:v>9093844</x:v>
      </x:c>
      <x:c r="O860" s="11" t="n">
        <x:v>3868121</x:v>
      </x:c>
      <x:c r="P860" s="11" t="n">
        <x:v>36363833</x:v>
      </x:c>
      <x:c r="Q860" s="11" t="n">
        <x:v>1289537</x:v>
      </x:c>
      <x:c r="R860" s="11" t="n">
        <x:v>11900570</x:v>
      </x:c>
      <x:c r="S860" s="11" t="n">
        <x:v>1305409</x:v>
      </x:c>
      <x:c r="T860" s="11" t="n">
        <x:v>39400403</x:v>
      </x:c>
      <x:c r="U860" s="11" t="n">
        <x:v>41914695</x:v>
      </x:c>
      <x:c r="V860" s="11" t="n">
        <x:v>7257515</x:v>
      </x:c>
      <x:c r="W860" s="11" t="n">
        <x:v>4417425</x:v>
      </x:c>
      <x:c r="X860" s="11" t="n">
        <x:v>724308</x:v>
      </x:c>
      <x:c r="Y860" s="11" t="n">
        <x:v>14378798</x:v>
      </x:c>
      <x:c r="Z860" s="11" t="n">
        <x:v>161508</x:v>
      </x:c>
      <x:c r="AA860" s="11" t="n">
        <x:v>14915396</x:v>
      </x:c>
      <x:c r="AB860" s="11" t="n">
        <x:v>26913</x:v>
      </x:c>
      <x:c r="AC860" s="11" t="n">
        <x:v>188421</x:v>
      </x:c>
      <x:c r="AD860" s="11" t="n">
        <x:v>3279343</x:v>
      </x:c>
      <x:c r="AE860" s="11" t="n">
        <x:v>1587826</x:v>
      </x:c>
      <x:c r="AF860" s="11" t="n">
        <x:v>13117373</x:v>
      </x:c>
      <x:c r="AG860" s="11" t="n">
        <x:v>115426083</x:v>
      </x:c>
      <x:c r="AH860" s="11" t="n">
        <x:v>17927721</x:v>
      </x:c>
      <x:c r="AI860" s="11" t="n">
        <x:v>97498362</x:v>
      </x:c>
      <x:c r="AJ860" s="11" t="n">
        <x:v>44469571</x:v>
      </x:c>
      <x:c r="AK860" s="11" t="n">
        <x:v>69004818</x:v>
      </x:c>
      <x:c r="AL860" s="11" t="n">
        <x:v>0</x:v>
      </x:c>
      <x:c r="AM860" s="12" t="n">
        <x:v>1</x:v>
      </x:c>
      <x:c r="AN860" s="12" t="n">
        <x:v>0.6444415374010551</x:v>
      </x:c>
      <x:c r="AO860" s="11" t="n">
        <x:v>11417656</x:v>
      </x:c>
      <x:c r="AP860" s="11" t="n">
        <x:v>11296250</x:v>
      </x:c>
      <x:c r="AQ860" s="12" t="n">
        <x:v>0.9893668192490648</x:v>
      </x:c>
      <x:c r="AR860" s="11" t="n">
        <x:v>19078.528081417262</x:v>
      </x:c>
      <x:c r="AS860" s="11" t="n">
        <x:v>4987.897474557105</x:v>
      </x:c>
      <x:c r="AT860" s="11" t="n">
        <x:v>2735.588013569544</x:v>
      </x:c>
      <x:c r="AU860" s="11" t="n">
        <x:v>1665.0678477195627</x:v>
      </x:c>
      <x:c r="AV860" s="11" t="n">
        <x:v>5622.08669430833</x:v>
      </x:c>
      <x:c r="AW860" s="11" t="n">
        <x:v>0.9400140690514389</x:v>
      </x:c>
      <x:c r="AX860" s="12" t="n">
        <x:v>0.48419027835758566</x:v>
      </x:c>
      <x:c r="AY860" s="11"/>
      <x:c r="AZ860" s="11"/>
      <x:c r="BA860" s="11"/>
      <x:c r="BB860" s="11"/>
      <x:c r="BC860" s="11"/>
      <x:c r="BD860" s="11"/>
      <x:c r="BE860" s="11"/>
      <x:c r="BF860" s="11"/>
      <x:c r="BG860" s="11"/>
      <x:c r="BH860" s="11"/>
      <x:c r="BI860" s="11"/>
      <x:c r="BJ860" s="11"/>
      <x:c r="BK860" s="12"/>
      <x:c r="BL860" s="12"/>
      <x:c r="BM860" s="12"/>
      <x:c r="BN860" s="12"/>
      <x:c r="BO860" s="12"/>
      <x:c r="BP860" s="12"/>
      <x:c r="BQ860" s="12"/>
      <x:c r="BR860" s="12"/>
      <x:c r="BS860" s="12"/>
      <x:c r="BT860" s="12"/>
      <x:c r="BU860" s="11" t="n">
        <x:v>149550</x:v>
      </x:c>
      <x:c r="BV860" s="11" t="n">
        <x:v>36052904</x:v>
      </x:c>
      <x:c r="BW860" s="11" t="n">
        <x:v>161379</x:v>
      </x:c>
      <x:c r="BX860" s="11" t="n">
        <x:v>926402</x:v>
      </x:c>
      <x:c r="BY860" s="11" t="n">
        <x:v>0</x:v>
      </x:c>
      <x:c r="BZ860" s="11" t="n">
        <x:v>60473</x:v>
      </x:c>
      <x:c r="CA860" s="11" t="n">
        <x:v>302662</x:v>
      </x:c>
      <x:c r="CB860" s="11" t="n">
        <x:v>0</x:v>
      </x:c>
      <x:c r="CC860" s="11" t="n">
        <x:v>2386968</x:v>
      </x:c>
      <x:c r="CD860" s="11" t="n">
        <x:v>1234362</x:v>
      </x:c>
      <x:c r="CE860" s="11" t="n">
        <x:v>0</x:v>
      </x:c>
      <x:c r="CF860" s="11" t="n">
        <x:v>115651</x:v>
      </x:c>
      <x:c r="CG860" s="11" t="n">
        <x:v>2592467</x:v>
      </x:c>
      <x:c r="CH860" s="11" t="n">
        <x:v>2213542</x:v>
      </x:c>
      <x:c r="CI860" s="11" t="n">
        <x:v>1070859</x:v>
      </x:c>
      <x:c r="CJ860" s="11" t="n">
        <x:v>1367713</x:v>
      </x:c>
      <x:c r="CK860" s="11" t="n">
        <x:v>933377</x:v>
      </x:c>
      <x:c r="CL860" s="11" t="n">
        <x:v>12544</x:v>
      </x:c>
      <x:c r="CM860" s="11" t="n">
        <x:v>0</x:v>
      </x:c>
      <x:c r="CN860" s="11" t="n">
        <x:v>0</x:v>
      </x:c>
      <x:c r="CO860" s="11" t="n">
        <x:v>0</x:v>
      </x:c>
      <x:c r="CP860" s="8"/>
      <x:c r="CQ860" s="8"/>
    </x:row>
    <x:row r="861">
      <x:c r="A861" s="8" t="str">
        <x:v>Tofino|2024</x:v>
      </x:c>
      <x:c r="B861" s="8" t="str">
        <x:v>tofino-d</x:v>
      </x:c>
      <x:c r="C861" s="8" t="str">
        <x:v>Tofino</x:v>
      </x:c>
      <x:c r="D861" s="8" t="str">
        <x:v>Tofino</x:v>
      </x:c>
      <x:c r="E861" s="8" t="str">
        <x:v>D</x:v>
      </x:c>
      <x:c r="F861" s="8" t="str">
        <x:v>ALB</x:v>
      </x:c>
      <x:c r="G861" s="9" t="n">
        <x:v>2024</x:v>
      </x:c>
      <x:c r="H861" s="10" t="n">
        <x:v>2653</x:v>
      </x:c>
      <x:c r="I861" s="8" t="str">
        <x:v>Under 5,000</x:v>
      </x:c>
      <x:c r="J861" s="11" t="n">
        <x:v>35542785</x:v>
      </x:c>
      <x:c r="K861" s="11" t="n">
        <x:v>17460968</x:v>
      </x:c>
      <x:c r="L861" s="11" t="n">
        <x:v>18081817</x:v>
      </x:c>
      <x:c r="M861" s="12" t="n">
        <x:v>0.5087338260071629</x:v>
      </x:c>
      <x:c r="N861" s="11" t="n">
        <x:v>9945896</x:v>
      </x:c>
      <x:c r="O861" s="11" t="n">
        <x:v>5049936</x:v>
      </x:c>
      <x:c r="P861" s="11" t="n">
        <x:v>18198396</x:v>
      </x:c>
      <x:c r="Q861" s="11" t="n">
        <x:v>2348557</x:v>
      </x:c>
      <x:c r="R861" s="11" t="n">
        <x:v>14470030</x:v>
      </x:c>
      <x:c r="S861" s="11" t="n">
        <x:v>2335022</x:v>
      </x:c>
      <x:c r="T861" s="11" t="n">
        <x:v>24482226</x:v>
      </x:c>
      <x:c r="U861" s="11" t="n">
        <x:v>32879415</x:v>
      </x:c>
      <x:c r="V861" s="11" t="n">
        <x:v>3119779</x:v>
      </x:c>
      <x:c r="W861" s="11" t="n">
        <x:v>2996135</x:v>
      </x:c>
      <x:c r="X861" s="11" t="n">
        <x:v>14915396</x:v>
      </x:c>
      <x:c r="Y861" s="11" t="n">
        <x:v>2511127</x:v>
      </x:c>
      <x:c r="Z861" s="11" t="n">
        <x:v>85339</x:v>
      </x:c>
      <x:c r="AA861" s="11" t="n">
        <x:v>17312733</x:v>
      </x:c>
      <x:c r="AB861" s="11" t="n">
        <x:v>655916</x:v>
      </x:c>
      <x:c r="AC861" s="11" t="n">
        <x:v>741255</x:v>
      </x:c>
      <x:c r="AD861" s="11" t="n">
        <x:v>4075430</x:v>
      </x:c>
      <x:c r="AE861" s="11" t="n">
        <x:v>2787393</x:v>
      </x:c>
      <x:c r="AF861" s="11" t="n">
        <x:v>16301720</x:v>
      </x:c>
      <x:c r="AG861" s="11" t="n">
        <x:v>139294733</x:v>
      </x:c>
      <x:c r="AH861" s="11" t="n">
        <x:v>19679084</x:v>
      </x:c>
      <x:c r="AI861" s="11" t="n">
        <x:v>119615649</x:v>
      </x:c>
      <x:c r="AJ861" s="11" t="n">
        <x:v>24701065</x:v>
      </x:c>
      <x:c r="AK861" s="11" t="n">
        <x:v>139294733</x:v>
      </x:c>
      <x:c r="AL861" s="11" t="n">
        <x:v>19679084</x:v>
      </x:c>
      <x:c r="AM861" s="12" t="n">
        <x:v>0.858723416340516</x:v>
      </x:c>
      <x:c r="AN861" s="12" t="n">
        <x:v>0.17732949744768886</x:v>
      </x:c>
      <x:c r="AO861" s="11" t="n">
        <x:v>12578098</x:v>
      </x:c>
      <x:c r="AP861" s="11" t="n">
        <x:v>12660156</x:v>
      </x:c>
      <x:c r="AQ861" s="12" t="n">
        <x:v>1.0065238798425644</x:v>
      </x:c>
      <x:c r="AR861" s="11" t="n">
        <x:v>13397.20505088579</x:v>
      </x:c>
      <x:c r="AS861" s="11" t="n">
        <x:v>6581.593667546174</x:v>
      </x:c>
      <x:c r="AT861" s="11" t="n">
        <x:v>1175.943837165473</x:v>
      </x:c>
      <x:c r="AU861" s="11" t="n">
        <x:v>1129.3384847342631</x:v>
      </x:c>
      <x:c r="AV861" s="11" t="n">
        <x:v>6525.719185827365</x:v>
      </x:c>
      <x:c r="AW861" s="11" t="n">
        <x:v>0.7446064961922224</x:v>
      </x:c>
      <x:c r="AX861" s="12" t="n">
        <x:v>0.6839506506061938</x:v>
      </x:c>
      <x:c r="AY861" s="11" t="n">
        <x:v>4486.511144130758</x:v>
      </x:c>
      <x:c r="AZ861" s="11" t="n">
        <x:v>3546.5079302077975</x:v>
      </x:c>
      <x:c r="BA861" s="11" t="n">
        <x:v>3557.844717668488</x:v>
      </x:c>
      <x:c r="BB861" s="11" t="n">
        <x:v>2783.665107049771</x:v>
      </x:c>
      <x:c r="BC861" s="11" t="n">
        <x:v>5496.677373974208</x:v>
      </x:c>
      <x:c r="BD861" s="11" t="n">
        <x:v>2437.8724475115623</x:v>
      </x:c>
      <x:c r="BE861" s="11" t="n">
        <x:v>3386.4506393861893</x:v>
      </x:c>
      <x:c r="BF861" s="11" t="n">
        <x:v>1604.3462673977224</x:v>
      </x:c>
      <x:c r="BG861" s="11" t="n">
        <x:v>624.7436119532265</x:v>
      </x:c>
      <x:c r="BH861" s="11" t="n">
        <x:v>518.5374381567245</x:v>
      </x:c>
      <x:c r="BI861" s="11" t="n">
        <x:v>3.324657351485151</x:v>
      </x:c>
      <x:c r="BJ861" s="11" t="n">
        <x:v>1.7099330852451193</x:v>
      </x:c>
      <x:c r="BK861" s="12" t="n">
        <x:v>0.02521828600111612</x:v>
      </x:c>
      <x:c r="BL861" s="12" t="n">
        <x:v>0.02529861000232605</x:v>
      </x:c>
      <x:c r="BM861" s="12" t="n">
        <x:v>0.9816336034641139</x:v>
      </x:c>
      <x:c r="BN861" s="12" t="n">
        <x:v>0.9815511712696461</x:v>
      </x:c>
      <x:c r="BO861" s="12" t="n">
        <x:v>0.8531878894527055</x:v>
      </x:c>
      <x:c r="BP861" s="12" t="n">
        <x:v>0.8619101997275483</x:v>
      </x:c>
      <x:c r="BQ861" s="12" t="n">
        <x:v>0.9614729661922712</x:v>
      </x:c>
      <x:c r="BR861" s="12" t="n">
        <x:v>0.9623635142836453</x:v>
      </x:c>
      <x:c r="BS861" s="12" t="n">
        <x:v>0.23352896680225554</x:v>
      </x:c>
      <x:c r="BT861" s="12" t="n">
        <x:v>0.19976549769108282</x:v>
      </x:c>
      <x:c r="BU861" s="11" t="n">
        <x:v>177975</x:v>
      </x:c>
      <x:c r="BV861" s="11" t="n">
        <x:v>17979855</x:v>
      </x:c>
      <x:c r="BW861" s="11" t="n">
        <x:v>40566</x:v>
      </x:c>
      <x:c r="BX861" s="11" t="n">
        <x:v>1723842</x:v>
      </x:c>
      <x:c r="BY861" s="11" t="n">
        <x:v>0</x:v>
      </x:c>
      <x:c r="BZ861" s="11" t="n">
        <x:v>624715</x:v>
      </x:c>
      <x:c r="CA861" s="11" t="n">
        <x:v>0</x:v>
      </x:c>
      <x:c r="CB861" s="11" t="n">
        <x:v>0</x:v>
      </x:c>
      <x:c r="CC861" s="11" t="n">
        <x:v>2827224</x:v>
      </x:c>
      <x:c r="CD861" s="11" t="n">
        <x:v>1163886</x:v>
      </x:c>
      <x:c r="CE861" s="11" t="n">
        <x:v>0</x:v>
      </x:c>
      <x:c r="CF861" s="11" t="n">
        <x:v>167713</x:v>
      </x:c>
      <x:c r="CG861" s="11" t="n">
        <x:v>2956983</x:v>
      </x:c>
      <x:c r="CH861" s="11" t="n">
        <x:v>2355330</x:v>
      </x:c>
      <x:c r="CI861" s="11" t="n">
        <x:v>2535065</x:v>
      </x:c>
      <x:c r="CJ861" s="11" t="n">
        <x:v>1370251</x:v>
      </x:c>
      <x:c r="CK861" s="11" t="n">
        <x:v>1491904</x:v>
      </x:c>
      <x:c r="CL861" s="11" t="n">
        <x:v>8833</x:v>
      </x:c>
      <x:c r="CM861" s="11" t="n">
        <x:v>0</x:v>
      </x:c>
      <x:c r="CN861" s="11" t="n">
        <x:v>248757</x:v>
      </x:c>
      <x:c r="CO861" s="11" t="n">
        <x:v>0</x:v>
      </x:c>
      <x:c r="CP861" s="8"/>
      <x:c r="CQ861" s="8"/>
    </x:row>
    <x:row r="862">
      <x:c r="A862" s="8" t="str">
        <x:v>Trail|2019</x:v>
      </x:c>
      <x:c r="B862" s="8" t="str">
        <x:v>trail-c</x:v>
      </x:c>
      <x:c r="C862" s="8" t="str">
        <x:v>Trail</x:v>
      </x:c>
      <x:c r="D862" s="8" t="str">
        <x:v>Trail</x:v>
      </x:c>
      <x:c r="E862" s="8" t="str">
        <x:v>C</x:v>
      </x:c>
      <x:c r="F862" s="8" t="str">
        <x:v>KOO</x:v>
      </x:c>
      <x:c r="G862" s="9" t="n">
        <x:v>2019</x:v>
      </x:c>
      <x:c r="H862" s="10" t="n">
        <x:v>8171</x:v>
      </x:c>
      <x:c r="I862" s="8" t="str">
        <x:v>5,000 to 19,999</x:v>
      </x:c>
      <x:c r="J862" s="11" t="n">
        <x:v>24912654</x:v>
      </x:c>
      <x:c r="K862" s="11" t="n">
        <x:v>22718100</x:v>
      </x:c>
      <x:c r="L862" s="11" t="n">
        <x:v>2194554</x:v>
      </x:c>
      <x:c r="M862" s="12" t="n">
        <x:v>0.08808993212846773</x:v>
      </x:c>
      <x:c r="N862" s="11" t="n">
        <x:v>16558293</x:v>
      </x:c>
      <x:c r="O862" s="11" t="n">
        <x:v>5007813</x:v>
      </x:c>
      <x:c r="P862" s="11" t="n">
        <x:v>2817778</x:v>
      </x:c>
      <x:c r="Q862" s="11" t="n">
        <x:v>528770</x:v>
      </x:c>
      <x:c r="R862" s="11" t="n">
        <x:v>17963283</x:v>
      </x:c>
      <x:c r="S862" s="11" t="n">
        <x:v>3953694</x:v>
      </x:c>
      <x:c r="T862" s="11" t="n">
        <x:v>14554197</x:v>
      </x:c>
      <x:c r="U862" s="11" t="n">
        <x:v>22960655</x:v>
      </x:c>
      <x:c r="V862" s="11" t="n">
        <x:v>-5638831</x:v>
      </x:c>
      <x:c r="W862" s="11" t="n">
        <x:v>1690209</x:v>
      </x:c>
      <x:c r="X862" s="11" t="n">
        <x:v>18468223</x:v>
      </x:c>
      <x:c r="Y862" s="11" t="n">
        <x:v>0</x:v>
      </x:c>
      <x:c r="Z862" s="11" t="n">
        <x:v>735956</x:v>
      </x:c>
      <x:c r="AA862" s="11" t="n">
        <x:v>17540348</x:v>
      </x:c>
      <x:c r="AB862" s="11" t="n">
        <x:v>801123</x:v>
      </x:c>
      <x:c r="AC862" s="11" t="n">
        <x:v>1537079</x:v>
      </x:c>
      <x:c r="AD862" s="11" t="n">
        <x:v>5106499</x:v>
      </x:c>
      <x:c r="AE862" s="11" t="n">
        <x:v>3532270</x:v>
      </x:c>
      <x:c r="AF862" s="11" t="n">
        <x:v>20425997</x:v>
      </x:c>
      <x:c r="AG862" s="11" t="n">
        <x:v>188671314</x:v>
      </x:c>
      <x:c r="AH862" s="11" t="n">
        <x:v>83089635</x:v>
      </x:c>
      <x:c r="AI862" s="11" t="n">
        <x:v>105581679</x:v>
      </x:c>
      <x:c r="AJ862" s="11" t="n">
        <x:v>4469354</x:v>
      </x:c>
      <x:c r="AK862" s="11" t="n">
        <x:v>11672021</x:v>
      </x:c>
      <x:c r="AL862" s="11" t="n">
        <x:v>0</x:v>
      </x:c>
      <x:c r="AM862" s="12" t="n">
        <x:v>1</x:v>
      </x:c>
      <x:c r="AN862" s="12" t="n">
        <x:v>0.38291175110120174</x:v>
      </x:c>
      <x:c r="AO862" s="11" t="n">
        <x:v>25025737</x:v>
      </x:c>
      <x:c r="AP862" s="11" t="n">
        <x:v>24406247</x:v>
      </x:c>
      <x:c r="AQ862" s="12" t="n">
        <x:v>0.9752458838674761</x:v>
      </x:c>
      <x:c r="AR862" s="11" t="n">
        <x:v>3048.911271570187</x:v>
      </x:c>
      <x:c r="AS862" s="11" t="n">
        <x:v>2780.332884591849</x:v>
      </x:c>
      <x:c r="AT862" s="11" t="n">
        <x:v>-690.1029249785828</x:v>
      </x:c>
      <x:c r="AU862" s="11" t="n">
        <x:v>206.8546077591482</x:v>
      </x:c>
      <x:c r="AV862" s="11" t="n">
        <x:v>2146.6586709093135</x:v>
      </x:c>
      <x:c r="AW862" s="11" t="n">
        <x:v>0.6338755144398102</x:v>
      </x:c>
      <x:c r="AX862" s="12" t="n">
        <x:v>0.6917204918673243</x:v>
      </x:c>
      <x:c r="AY862" s="11"/>
      <x:c r="AZ862" s="11"/>
      <x:c r="BA862" s="11"/>
      <x:c r="BB862" s="11"/>
      <x:c r="BC862" s="11"/>
      <x:c r="BD862" s="11"/>
      <x:c r="BE862" s="11"/>
      <x:c r="BF862" s="11"/>
      <x:c r="BG862" s="11"/>
      <x:c r="BH862" s="11"/>
      <x:c r="BI862" s="11"/>
      <x:c r="BJ862" s="11"/>
      <x:c r="BK862" s="12"/>
      <x:c r="BL862" s="12"/>
      <x:c r="BM862" s="12"/>
      <x:c r="BN862" s="12"/>
      <x:c r="BO862" s="12"/>
      <x:c r="BP862" s="12"/>
      <x:c r="BQ862" s="12"/>
      <x:c r="BR862" s="12"/>
      <x:c r="BS862" s="12"/>
      <x:c r="BT862" s="12"/>
      <x:c r="BU862" s="11" t="n">
        <x:v>92642</x:v>
      </x:c>
      <x:c r="BV862" s="11" t="n">
        <x:v>2004013</x:v>
      </x:c>
      <x:c r="BW862" s="11" t="n">
        <x:v>721123</x:v>
      </x:c>
      <x:c r="BX862" s="11" t="n">
        <x:v>513770</x:v>
      </x:c>
      <x:c r="BY862" s="11" t="n">
        <x:v>0</x:v>
      </x:c>
      <x:c r="BZ862" s="11" t="n">
        <x:v>0</x:v>
      </x:c>
      <x:c r="CA862" s="11" t="n">
        <x:v>0</x:v>
      </x:c>
      <x:c r="CB862" s="11" t="n">
        <x:v>15000</x:v>
      </x:c>
      <x:c r="CC862" s="11" t="n">
        <x:v>2744638</x:v>
      </x:c>
      <x:c r="CD862" s="11" t="n">
        <x:v>2449785</x:v>
      </x:c>
      <x:c r="CE862" s="11" t="n">
        <x:v>374233</x:v>
      </x:c>
      <x:c r="CF862" s="11" t="n">
        <x:v>372419</x:v>
      </x:c>
      <x:c r="CG862" s="11" t="n">
        <x:v>197719</x:v>
      </x:c>
      <x:c r="CH862" s="11" t="n">
        <x:v>3987904</x:v>
      </x:c>
      <x:c r="CI862" s="11" t="n">
        <x:v>5475881</x:v>
      </x:c>
      <x:c r="CJ862" s="11" t="n">
        <x:v>1675382</x:v>
      </x:c>
      <x:c r="CK862" s="11" t="n">
        <x:v>620378</x:v>
      </x:c>
      <x:c r="CL862" s="11" t="n">
        <x:v>577267</x:v>
      </x:c>
      <x:c r="CM862" s="11"/>
      <x:c r="CN862" s="11" t="n">
        <x:v>288800</x:v>
      </x:c>
      <x:c r="CO862" s="11" t="n">
        <x:v>0</x:v>
      </x:c>
      <x:c r="CP862" s="8"/>
      <x:c r="CQ862" s="8"/>
    </x:row>
    <x:row r="863">
      <x:c r="A863" s="8" t="str">
        <x:v>Trail|2020</x:v>
      </x:c>
      <x:c r="B863" s="8" t="str">
        <x:v>trail-c</x:v>
      </x:c>
      <x:c r="C863" s="8" t="str">
        <x:v>Trail</x:v>
      </x:c>
      <x:c r="D863" s="8" t="str">
        <x:v>Trail</x:v>
      </x:c>
      <x:c r="E863" s="8" t="str">
        <x:v>C</x:v>
      </x:c>
      <x:c r="F863" s="8" t="str">
        <x:v>KOO</x:v>
      </x:c>
      <x:c r="G863" s="9" t="n">
        <x:v>2020</x:v>
      </x:c>
      <x:c r="H863" s="10" t="n">
        <x:v>8250</x:v>
      </x:c>
      <x:c r="I863" s="8" t="str">
        <x:v>5,000 to 19,999</x:v>
      </x:c>
      <x:c r="J863" s="11" t="n">
        <x:v>25268405</x:v>
      </x:c>
      <x:c r="K863" s="11" t="n">
        <x:v>21636231</x:v>
      </x:c>
      <x:c r="L863" s="11" t="n">
        <x:v>3632174</x:v>
      </x:c>
      <x:c r="M863" s="12" t="n">
        <x:v>0.1437436988998712</x:v>
      </x:c>
      <x:c r="N863" s="11" t="n">
        <x:v>16589447</x:v>
      </x:c>
      <x:c r="O863" s="11" t="n">
        <x:v>4244401</x:v>
      </x:c>
      <x:c r="P863" s="11" t="n">
        <x:v>3940254</x:v>
      </x:c>
      <x:c r="Q863" s="11" t="n">
        <x:v>494303</x:v>
      </x:c>
      <x:c r="R863" s="11" t="n">
        <x:v>16813029</x:v>
      </x:c>
      <x:c r="S863" s="11" t="n">
        <x:v>4064875</x:v>
      </x:c>
      <x:c r="T863" s="11" t="n">
        <x:v>18762826</x:v>
      </x:c>
      <x:c r="U863" s="11" t="n">
        <x:v>22350251</x:v>
      </x:c>
      <x:c r="V863" s="11" t="n">
        <x:v>-1386161</x:v>
      </x:c>
      <x:c r="W863" s="11" t="n">
        <x:v>1911788</x:v>
      </x:c>
      <x:c r="X863" s="11" t="n">
        <x:v>17540348</x:v>
      </x:c>
      <x:c r="Y863" s="11" t="n">
        <x:v>0</x:v>
      </x:c>
      <x:c r="Z863" s="11" t="n">
        <x:v>735954</x:v>
      </x:c>
      <x:c r="AA863" s="11" t="n">
        <x:v>16579808</x:v>
      </x:c>
      <x:c r="AB863" s="11" t="n">
        <x:v>758327</x:v>
      </x:c>
      <x:c r="AC863" s="11" t="n">
        <x:v>1494281</x:v>
      </x:c>
      <x:c r="AD863" s="11" t="n">
        <x:v>4844097</x:v>
      </x:c>
      <x:c r="AE863" s="11" t="n">
        <x:v>3310266</x:v>
      </x:c>
      <x:c r="AF863" s="11" t="n">
        <x:v>19376389</x:v>
      </x:c>
      <x:c r="AG863" s="11" t="n">
        <x:v>191682575</x:v>
      </x:c>
      <x:c r="AH863" s="11" t="n">
        <x:v>86710384</x:v>
      </x:c>
      <x:c r="AI863" s="11" t="n">
        <x:v>104972191</x:v>
      </x:c>
      <x:c r="AJ863" s="11" t="n">
        <x:v>4159860</x:v>
      </x:c>
      <x:c r="AK863" s="11" t="n">
        <x:v>11143963</x:v>
      </x:c>
      <x:c r="AL863" s="11" t="n">
        <x:v>0</x:v>
      </x:c>
      <x:c r="AM863" s="12" t="n">
        <x:v>1</x:v>
      </x:c>
      <x:c r="AN863" s="12" t="n">
        <x:v>0.3732837232140846</x:v>
      </x:c>
      <x:c r="AO863" s="11" t="n">
        <x:v>24739715</x:v>
      </x:c>
      <x:c r="AP863" s="11" t="n">
        <x:v>24312187</x:v>
      </x:c>
      <x:c r="AQ863" s="12" t="n">
        <x:v>0.9827189601820393</x:v>
      </x:c>
      <x:c r="AR863" s="11" t="n">
        <x:v>3062.83696969697</x:v>
      </x:c>
      <x:c r="AS863" s="11" t="n">
        <x:v>2622.5734545454548</x:v>
      </x:c>
      <x:c r="AT863" s="11" t="n">
        <x:v>-168.01951515151515</x:v>
      </x:c>
      <x:c r="AU863" s="11" t="n">
        <x:v>231.7318787878788</x:v>
      </x:c>
      <x:c r="AV863" s="11" t="n">
        <x:v>2009.673696969697</x:v>
      </x:c>
      <x:c r="AW863" s="11" t="n">
        <x:v>0.839490616906271</x:v>
      </x:c>
      <x:c r="AX863" s="12" t="n">
        <x:v>0.6833607997527713</x:v>
      </x:c>
      <x:c r="AY863" s="11"/>
      <x:c r="AZ863" s="11"/>
      <x:c r="BA863" s="11"/>
      <x:c r="BB863" s="11"/>
      <x:c r="BC863" s="11"/>
      <x:c r="BD863" s="11"/>
      <x:c r="BE863" s="11"/>
      <x:c r="BF863" s="11"/>
      <x:c r="BG863" s="11"/>
      <x:c r="BH863" s="11"/>
      <x:c r="BI863" s="11"/>
      <x:c r="BJ863" s="11"/>
      <x:c r="BK863" s="12"/>
      <x:c r="BL863" s="12"/>
      <x:c r="BM863" s="12"/>
      <x:c r="BN863" s="12"/>
      <x:c r="BO863" s="12"/>
      <x:c r="BP863" s="12"/>
      <x:c r="BQ863" s="12"/>
      <x:c r="BR863" s="12"/>
      <x:c r="BS863" s="12"/>
      <x:c r="BT863" s="12"/>
      <x:c r="BU863" s="11" t="n">
        <x:v>352356</x:v>
      </x:c>
      <x:c r="BV863" s="11" t="n">
        <x:v>2800298</x:v>
      </x:c>
      <x:c r="BW863" s="11" t="n">
        <x:v>787600</x:v>
      </x:c>
      <x:c r="BX863" s="11" t="n">
        <x:v>373626</x:v>
      </x:c>
      <x:c r="BY863" s="11" t="n">
        <x:v>0</x:v>
      </x:c>
      <x:c r="BZ863" s="11" t="n">
        <x:v>0</x:v>
      </x:c>
      <x:c r="CA863" s="11" t="n">
        <x:v>120677</x:v>
      </x:c>
      <x:c r="CB863" s="11" t="n">
        <x:v>0</x:v>
      </x:c>
      <x:c r="CC863" s="11" t="n">
        <x:v>2854864</x:v>
      </x:c>
      <x:c r="CD863" s="11" t="n">
        <x:v>2354251</x:v>
      </x:c>
      <x:c r="CE863" s="11" t="n">
        <x:v>366551</x:v>
      </x:c>
      <x:c r="CF863" s="11" t="n">
        <x:v>333389</x:v>
      </x:c>
      <x:c r="CG863" s="11" t="n">
        <x:v>171350</x:v>
      </x:c>
      <x:c r="CH863" s="11" t="n">
        <x:v>3997356</x:v>
      </x:c>
      <x:c r="CI863" s="11" t="n">
        <x:v>4734020</x:v>
      </x:c>
      <x:c r="CJ863" s="11" t="n">
        <x:v>1577884</x:v>
      </x:c>
      <x:c r="CK863" s="11" t="n">
        <x:v>608361</x:v>
      </x:c>
      <x:c r="CL863" s="11" t="n">
        <x:v>486001</x:v>
      </x:c>
      <x:c r="CM863" s="11"/>
      <x:c r="CN863" s="11" t="n">
        <x:v>87329</x:v>
      </x:c>
      <x:c r="CO863" s="11" t="n">
        <x:v>0</x:v>
      </x:c>
      <x:c r="CP863" s="8"/>
      <x:c r="CQ863" s="8"/>
    </x:row>
    <x:row r="864">
      <x:c r="A864" s="8" t="str">
        <x:v>Trail|2021</x:v>
      </x:c>
      <x:c r="B864" s="8" t="str">
        <x:v>trail-c</x:v>
      </x:c>
      <x:c r="C864" s="8" t="str">
        <x:v>Trail</x:v>
      </x:c>
      <x:c r="D864" s="8" t="str">
        <x:v>Trail</x:v>
      </x:c>
      <x:c r="E864" s="8" t="str">
        <x:v>C</x:v>
      </x:c>
      <x:c r="F864" s="8" t="str">
        <x:v>KOO</x:v>
      </x:c>
      <x:c r="G864" s="9" t="n">
        <x:v>2021</x:v>
      </x:c>
      <x:c r="H864" s="10" t="n">
        <x:v>8168</x:v>
      </x:c>
      <x:c r="I864" s="8" t="str">
        <x:v>5,000 to 19,999</x:v>
      </x:c>
      <x:c r="J864" s="11" t="n">
        <x:v>27265442</x:v>
      </x:c>
      <x:c r="K864" s="11" t="n">
        <x:v>23470098</x:v>
      </x:c>
      <x:c r="L864" s="11" t="n">
        <x:v>3795344</x:v>
      </x:c>
      <x:c r="M864" s="12" t="n">
        <x:v>0.13919979731118975</x:v>
      </x:c>
      <x:c r="N864" s="11" t="n">
        <x:v>15977550</x:v>
      </x:c>
      <x:c r="O864" s="11" t="n">
        <x:v>5730948</x:v>
      </x:c>
      <x:c r="P864" s="11" t="n">
        <x:v>5163627</x:v>
      </x:c>
      <x:c r="Q864" s="11" t="n">
        <x:v>393317</x:v>
      </x:c>
      <x:c r="R864" s="11" t="n">
        <x:v>18862736</x:v>
      </x:c>
      <x:c r="S864" s="11" t="n">
        <x:v>3940071</x:v>
      </x:c>
      <x:c r="T864" s="11" t="n">
        <x:v>22401569</x:v>
      </x:c>
      <x:c r="U864" s="11" t="n">
        <x:v>23251080</x:v>
      </x:c>
      <x:c r="V864" s="11" t="n">
        <x:v>1842279</x:v>
      </x:c>
      <x:c r="W864" s="11" t="n">
        <x:v>4393316</x:v>
      </x:c>
      <x:c r="X864" s="11" t="n">
        <x:v>16579808</x:v>
      </x:c>
      <x:c r="Y864" s="11" t="n">
        <x:v>0</x:v>
      </x:c>
      <x:c r="Z864" s="11" t="n">
        <x:v>744518</x:v>
      </x:c>
      <x:c r="AA864" s="11" t="n">
        <x:v>15584041</x:v>
      </x:c>
      <x:c r="AB864" s="11" t="n">
        <x:v>667291</x:v>
      </x:c>
      <x:c r="AC864" s="11" t="n">
        <x:v>1411809</x:v>
      </x:c>
      <x:c r="AD864" s="11" t="n">
        <x:v>5012428</x:v>
      </x:c>
      <x:c r="AE864" s="11" t="n">
        <x:v>3557519</x:v>
      </x:c>
      <x:c r="AF864" s="11" t="n">
        <x:v>20049710</x:v>
      </x:c>
      <x:c r="AG864" s="11" t="n">
        <x:v>195959262</x:v>
      </x:c>
      <x:c r="AH864" s="11" t="n">
        <x:v>89995062</x:v>
      </x:c>
      <x:c r="AI864" s="11" t="n">
        <x:v>105964200</x:v>
      </x:c>
      <x:c r="AJ864" s="11" t="n">
        <x:v>6137709</x:v>
      </x:c>
      <x:c r="AK864" s="11" t="n">
        <x:v>12597140</x:v>
      </x:c>
      <x:c r="AL864" s="11" t="n">
        <x:v>0</x:v>
      </x:c>
      <x:c r="AM864" s="12" t="n">
        <x:v>1</x:v>
      </x:c>
      <x:c r="AN864" s="12" t="n">
        <x:v>0.4872303554616365</x:v>
      </x:c>
      <x:c r="AO864" s="11" t="n">
        <x:v>24765544</x:v>
      </x:c>
      <x:c r="AP864" s="11" t="n">
        <x:v>24362063</x:v>
      </x:c>
      <x:c r="AQ864" s="12" t="n">
        <x:v>0.983707969427201</x:v>
      </x:c>
      <x:c r="AR864" s="11" t="n">
        <x:v>3338.0805582762</x:v>
      </x:c>
      <x:c r="AS864" s="11" t="n">
        <x:v>2873.42042115573</x:v>
      </x:c>
      <x:c r="AT864" s="11" t="n">
        <x:v>225.5483594515181</x:v>
      </x:c>
      <x:c r="AU864" s="11" t="n">
        <x:v>537.8692458374143</x:v>
      </x:c>
      <x:c r="AV864" s="11" t="n">
        <x:v>1907.938418217434</x:v>
      </x:c>
      <x:c r="AW864" s="11" t="n">
        <x:v>0.9634635896483088</x:v>
      </x:c>
      <x:c r="AX864" s="12" t="n">
        <x:v>0.7097396710735795</x:v>
      </x:c>
      <x:c r="AY864" s="11"/>
      <x:c r="AZ864" s="11"/>
      <x:c r="BA864" s="11"/>
      <x:c r="BB864" s="11"/>
      <x:c r="BC864" s="11"/>
      <x:c r="BD864" s="11"/>
      <x:c r="BE864" s="11"/>
      <x:c r="BF864" s="11"/>
      <x:c r="BG864" s="11"/>
      <x:c r="BH864" s="11"/>
      <x:c r="BI864" s="11"/>
      <x:c r="BJ864" s="11"/>
      <x:c r="BK864" s="12"/>
      <x:c r="BL864" s="12"/>
      <x:c r="BM864" s="12"/>
      <x:c r="BN864" s="12"/>
      <x:c r="BO864" s="12"/>
      <x:c r="BP864" s="12"/>
      <x:c r="BQ864" s="12"/>
      <x:c r="BR864" s="12"/>
      <x:c r="BS864" s="12"/>
      <x:c r="BT864" s="12"/>
      <x:c r="BU864" s="11" t="n">
        <x:v>46805</x:v>
      </x:c>
      <x:c r="BV864" s="11" t="n">
        <x:v>2351267</x:v>
      </x:c>
      <x:c r="BW864" s="11" t="n">
        <x:v>2765555</x:v>
      </x:c>
      <x:c r="BX864" s="11" t="n">
        <x:v>393317</x:v>
      </x:c>
      <x:c r="BY864" s="11" t="n">
        <x:v>0</x:v>
      </x:c>
      <x:c r="BZ864" s="11" t="n">
        <x:v>0</x:v>
      </x:c>
      <x:c r="CA864" s="11" t="n">
        <x:v>0</x:v>
      </x:c>
      <x:c r="CB864" s="11" t="n">
        <x:v>0</x:v>
      </x:c>
      <x:c r="CC864" s="11" t="n">
        <x:v>2603884</x:v>
      </x:c>
      <x:c r="CD864" s="11" t="n">
        <x:v>2262759</x:v>
      </x:c>
      <x:c r="CE864" s="11" t="n">
        <x:v>376593</x:v>
      </x:c>
      <x:c r="CF864" s="11" t="n">
        <x:v>284462</x:v>
      </x:c>
      <x:c r="CG864" s="11" t="n">
        <x:v>164618</x:v>
      </x:c>
      <x:c r="CH864" s="11" t="n">
        <x:v>3746560</x:v>
      </x:c>
      <x:c r="CI864" s="11" t="n">
        <x:v>6044448</x:v>
      </x:c>
      <x:c r="CJ864" s="11" t="n">
        <x:v>1919826</x:v>
      </x:c>
      <x:c r="CK864" s="11" t="n">
        <x:v>951593</x:v>
      </x:c>
      <x:c r="CL864" s="11" t="n">
        <x:v>578654</x:v>
      </x:c>
      <x:c r="CM864" s="11"/>
      <x:c r="CN864" s="11" t="n">
        <x:v>596630</x:v>
      </x:c>
      <x:c r="CO864" s="11" t="n">
        <x:v>0</x:v>
      </x:c>
      <x:c r="CP864" s="8"/>
      <x:c r="CQ864" s="8"/>
    </x:row>
    <x:row r="865">
      <x:c r="A865" s="8" t="str">
        <x:v>Trail|2022</x:v>
      </x:c>
      <x:c r="B865" s="8" t="str">
        <x:v>trail-c</x:v>
      </x:c>
      <x:c r="C865" s="8" t="str">
        <x:v>Trail</x:v>
      </x:c>
      <x:c r="D865" s="8" t="str">
        <x:v>Trail</x:v>
      </x:c>
      <x:c r="E865" s="8" t="str">
        <x:v>C</x:v>
      </x:c>
      <x:c r="F865" s="8" t="str">
        <x:v>KOO</x:v>
      </x:c>
      <x:c r="G865" s="9" t="n">
        <x:v>2022</x:v>
      </x:c>
      <x:c r="H865" s="10" t="n">
        <x:v>8207</x:v>
      </x:c>
      <x:c r="I865" s="8" t="str">
        <x:v>5,000 to 19,999</x:v>
      </x:c>
      <x:c r="J865" s="11" t="n">
        <x:v>26839744</x:v>
      </x:c>
      <x:c r="K865" s="11" t="n">
        <x:v>23869498</x:v>
      </x:c>
      <x:c r="L865" s="11" t="n">
        <x:v>2970246</x:v>
      </x:c>
      <x:c r="M865" s="12" t="n">
        <x:v>0.11066595866190079</x:v>
      </x:c>
      <x:c r="N865" s="11" t="n">
        <x:v>16692871</x:v>
      </x:c>
      <x:c r="O865" s="11" t="n">
        <x:v>6193935</x:v>
      </x:c>
      <x:c r="P865" s="11" t="n">
        <x:v>3150035</x:v>
      </x:c>
      <x:c r="Q865" s="11" t="n">
        <x:v>802903</x:v>
      </x:c>
      <x:c r="R865" s="11" t="n">
        <x:v>19425900</x:v>
      </x:c>
      <x:c r="S865" s="11" t="n">
        <x:v>3887398</x:v>
      </x:c>
      <x:c r="T865" s="11" t="n">
        <x:v>22921437</x:v>
      </x:c>
      <x:c r="U865" s="11" t="n">
        <x:v>21074436</x:v>
      </x:c>
      <x:c r="V865" s="11" t="n">
        <x:v>5846758</x:v>
      </x:c>
      <x:c r="W865" s="11" t="n">
        <x:v>7402037</x:v>
      </x:c>
      <x:c r="X865" s="11" t="n">
        <x:v>15584041</x:v>
      </x:c>
      <x:c r="Y865" s="11" t="n">
        <x:v>403500</x:v>
      </x:c>
      <x:c r="Z865" s="11" t="n">
        <x:v>793185</x:v>
      </x:c>
      <x:c r="AA865" s="11" t="n">
        <x:v>14908479</x:v>
      </x:c>
      <x:c r="AB865" s="11" t="n">
        <x:v>556200</x:v>
      </x:c>
      <x:c r="AC865" s="11" t="n">
        <x:v>1349385</x:v>
      </x:c>
      <x:c r="AD865" s="11" t="n">
        <x:v>5267836</x:v>
      </x:c>
      <x:c r="AE865" s="11" t="n">
        <x:v>3918451</x:v>
      </x:c>
      <x:c r="AF865" s="11" t="n">
        <x:v>21071342</x:v>
      </x:c>
      <x:c r="AG865" s="11" t="n">
        <x:v>198232844</x:v>
      </x:c>
      <x:c r="AH865" s="11" t="n">
        <x:v>93403352</x:v>
      </x:c>
      <x:c r="AI865" s="11" t="n">
        <x:v>104829492</x:v>
      </x:c>
      <x:c r="AJ865" s="11" t="n">
        <x:v>2752691</x:v>
      </x:c>
      <x:c r="AK865" s="11" t="n">
        <x:v>11922133</x:v>
      </x:c>
      <x:c r="AL865" s="11" t="n">
        <x:v>0</x:v>
      </x:c>
      <x:c r="AM865" s="12" t="n">
        <x:v>1</x:v>
      </x:c>
      <x:c r="AN865" s="12" t="n">
        <x:v>0.2308891370361327</x:v>
      </x:c>
      <x:c r="AO865" s="11" t="n">
        <x:v>25654840</x:v>
      </x:c>
      <x:c r="AP865" s="11" t="n">
        <x:v>25305209</x:v>
      </x:c>
      <x:c r="AQ865" s="12" t="n">
        <x:v>0.9863717333649323</x:v>
      </x:c>
      <x:c r="AR865" s="11" t="n">
        <x:v>3270.3477519190933</x:v>
      </x:c>
      <x:c r="AS865" s="11" t="n">
        <x:v>2908.431582795175</x:v>
      </x:c>
      <x:c r="AT865" s="11" t="n">
        <x:v>712.4111124649689</x:v>
      </x:c>
      <x:c r="AU865" s="11" t="n">
        <x:v>901.9175094431582</x:v>
      </x:c>
      <x:c r="AV865" s="11" t="n">
        <x:v>1816.5564761788717</x:v>
      </x:c>
      <x:c r="AW865" s="11" t="n">
        <x:v>1.0876417760361416</x:v>
      </x:c>
      <x:c r="AX865" s="12" t="n">
        <x:v>0.7438445312268643</x:v>
      </x:c>
      <x:c r="AY865" s="11"/>
      <x:c r="AZ865" s="11"/>
      <x:c r="BA865" s="11"/>
      <x:c r="BB865" s="11"/>
      <x:c r="BC865" s="11"/>
      <x:c r="BD865" s="11"/>
      <x:c r="BE865" s="11"/>
      <x:c r="BF865" s="11"/>
      <x:c r="BG865" s="11"/>
      <x:c r="BH865" s="11"/>
      <x:c r="BI865" s="11"/>
      <x:c r="BJ865" s="11"/>
      <x:c r="BK865" s="12"/>
      <x:c r="BL865" s="12"/>
      <x:c r="BM865" s="12"/>
      <x:c r="BN865" s="12"/>
      <x:c r="BO865" s="12"/>
      <x:c r="BP865" s="12"/>
      <x:c r="BQ865" s="12"/>
      <x:c r="BR865" s="12"/>
      <x:c r="BS865" s="12"/>
      <x:c r="BT865" s="12"/>
      <x:c r="BU865" s="11" t="n">
        <x:v>21280</x:v>
      </x:c>
      <x:c r="BV865" s="11" t="n">
        <x:v>1818519</x:v>
      </x:c>
      <x:c r="BW865" s="11" t="n">
        <x:v>1310236</x:v>
      </x:c>
      <x:c r="BX865" s="11" t="n">
        <x:v>802903</x:v>
      </x:c>
      <x:c r="BY865" s="11" t="n">
        <x:v>0</x:v>
      </x:c>
      <x:c r="BZ865" s="11" t="n">
        <x:v>0</x:v>
      </x:c>
      <x:c r="CA865" s="11" t="n">
        <x:v>0</x:v>
      </x:c>
      <x:c r="CB865" s="11" t="n">
        <x:v>0</x:v>
      </x:c>
      <x:c r="CC865" s="11" t="n">
        <x:v>2602369</x:v>
      </x:c>
      <x:c r="CD865" s="11" t="n">
        <x:v>2179665</x:v>
      </x:c>
      <x:c r="CE865" s="11" t="n">
        <x:v>369657</x:v>
      </x:c>
      <x:c r="CF865" s="11" t="n">
        <x:v>338522</x:v>
      </x:c>
      <x:c r="CG865" s="11" t="n">
        <x:v>124981</x:v>
      </x:c>
      <x:c r="CH865" s="11" t="n">
        <x:v>4066378</x:v>
      </x:c>
      <x:c r="CI865" s="11" t="n">
        <x:v>6862523</x:v>
      </x:c>
      <x:c r="CJ865" s="11" t="n">
        <x:v>2004941</x:v>
      </x:c>
      <x:c r="CK865" s="11" t="n">
        <x:v>774230</x:v>
      </x:c>
      <x:c r="CL865" s="11" t="n">
        <x:v>658834</x:v>
      </x:c>
      <x:c r="CM865" s="11"/>
      <x:c r="CN865" s="11" t="n">
        <x:v>0</x:v>
      </x:c>
      <x:c r="CO865" s="11" t="n">
        <x:v>0</x:v>
      </x:c>
      <x:c r="CP865" s="8"/>
      <x:c r="CQ865" s="8"/>
    </x:row>
    <x:row r="866">
      <x:c r="A866" s="8" t="str">
        <x:v>Trail|2023</x:v>
      </x:c>
      <x:c r="B866" s="8" t="str">
        <x:v>trail-c</x:v>
      </x:c>
      <x:c r="C866" s="8" t="str">
        <x:v>Trail</x:v>
      </x:c>
      <x:c r="D866" s="8" t="str">
        <x:v>Trail</x:v>
      </x:c>
      <x:c r="E866" s="8" t="str">
        <x:v>C</x:v>
      </x:c>
      <x:c r="F866" s="8" t="str">
        <x:v>KOO</x:v>
      </x:c>
      <x:c r="G866" s="9" t="n">
        <x:v>2023</x:v>
      </x:c>
      <x:c r="H866" s="10" t="n">
        <x:v>8480</x:v>
      </x:c>
      <x:c r="I866" s="8" t="str">
        <x:v>5,000 to 19,999</x:v>
      </x:c>
      <x:c r="J866" s="11" t="n">
        <x:v>32222886</x:v>
      </x:c>
      <x:c r="K866" s="11" t="n">
        <x:v>24865864</x:v>
      </x:c>
      <x:c r="L866" s="11" t="n">
        <x:v>7357022</x:v>
      </x:c>
      <x:c r="M866" s="12" t="n">
        <x:v>0.22831666909040985</x:v>
      </x:c>
      <x:c r="N866" s="11" t="n">
        <x:v>17526072</x:v>
      </x:c>
      <x:c r="O866" s="11" t="n">
        <x:v>7040720</x:v>
      </x:c>
      <x:c r="P866" s="11" t="n">
        <x:v>4925959</x:v>
      </x:c>
      <x:c r="Q866" s="11" t="n">
        <x:v>2730135</x:v>
      </x:c>
      <x:c r="R866" s="11" t="n">
        <x:v>19838910</x:v>
      </x:c>
      <x:c r="S866" s="11" t="n">
        <x:v>4453530</x:v>
      </x:c>
      <x:c r="T866" s="11" t="n">
        <x:v>30424486</x:v>
      </x:c>
      <x:c r="U866" s="11" t="n">
        <x:v>22589427</x:v>
      </x:c>
      <x:c r="V866" s="11" t="n">
        <x:v>10699633</x:v>
      </x:c>
      <x:c r="W866" s="11" t="n">
        <x:v>15482903</x:v>
      </x:c>
      <x:c r="X866" s="11" t="n">
        <x:v>14908479</x:v>
      </x:c>
      <x:c r="Y866" s="11" t="n">
        <x:v>0</x:v>
      </x:c>
      <x:c r="Z866" s="11" t="n">
        <x:v>810386</x:v>
      </x:c>
      <x:c r="AA866" s="11" t="n">
        <x:v>13776270</x:v>
      </x:c>
      <x:c r="AB866" s="11" t="n">
        <x:v>573424</x:v>
      </x:c>
      <x:c r="AC866" s="11" t="n">
        <x:v>1383810</x:v>
      </x:c>
      <x:c r="AD866" s="11" t="n">
        <x:v>5707900</x:v>
      </x:c>
      <x:c r="AE866" s="11" t="n">
        <x:v>4324090</x:v>
      </x:c>
      <x:c r="AF866" s="11" t="n">
        <x:v>22831599</x:v>
      </x:c>
      <x:c r="AG866" s="11" t="n">
        <x:v>204884633</x:v>
      </x:c>
      <x:c r="AH866" s="11" t="n">
        <x:v>97604056</x:v>
      </x:c>
      <x:c r="AI866" s="11" t="n">
        <x:v>107280577</x:v>
      </x:c>
      <x:c r="AJ866" s="11" t="n">
        <x:v>5082669</x:v>
      </x:c>
      <x:c r="AK866" s="11" t="n">
        <x:v>12177852</x:v>
      </x:c>
      <x:c r="AL866" s="11" t="n">
        <x:v>0</x:v>
      </x:c>
      <x:c r="AM866" s="12" t="n">
        <x:v>1</x:v>
      </x:c>
      <x:c r="AN866" s="12" t="n">
        <x:v>0.41736991055565464</x:v>
      </x:c>
      <x:c r="AO866" s="11" t="n">
        <x:v>27122883</x:v>
      </x:c>
      <x:c r="AP866" s="11" t="n">
        <x:v>26674206</x:v>
      </x:c>
      <x:c r="AQ866" s="12" t="n">
        <x:v>0.983457621374542</x:v>
      </x:c>
      <x:c r="AR866" s="11" t="n">
        <x:v>3799.868632075472</x:v>
      </x:c>
      <x:c r="AS866" s="11" t="n">
        <x:v>2932.295283018868</x:v>
      </x:c>
      <x:c r="AT866" s="11" t="n">
        <x:v>1261.7491745283019</x:v>
      </x:c>
      <x:c r="AU866" s="11" t="n">
        <x:v>1825.814033018868</x:v>
      </x:c>
      <x:c r="AV866" s="11" t="n">
        <x:v>1624.560141509434</x:v>
      </x:c>
      <x:c r="AW866" s="11" t="n">
        <x:v>1.3468462922941782</x:v>
      </x:c>
      <x:c r="AX866" s="12" t="n">
        <x:v>0.7575623258991924</x:v>
      </x:c>
      <x:c r="AY866" s="11"/>
      <x:c r="AZ866" s="11"/>
      <x:c r="BA866" s="11"/>
      <x:c r="BB866" s="11"/>
      <x:c r="BC866" s="11"/>
      <x:c r="BD866" s="11"/>
      <x:c r="BE866" s="11"/>
      <x:c r="BF866" s="11"/>
      <x:c r="BG866" s="11"/>
      <x:c r="BH866" s="11"/>
      <x:c r="BI866" s="11"/>
      <x:c r="BJ866" s="11"/>
      <x:c r="BK866" s="12"/>
      <x:c r="BL866" s="12"/>
      <x:c r="BM866" s="12"/>
      <x:c r="BN866" s="12"/>
      <x:c r="BO866" s="12"/>
      <x:c r="BP866" s="12"/>
      <x:c r="BQ866" s="12"/>
      <x:c r="BR866" s="12"/>
      <x:c r="BS866" s="12"/>
      <x:c r="BT866" s="12"/>
      <x:c r="BU866" s="11" t="n">
        <x:v>0</x:v>
      </x:c>
      <x:c r="BV866" s="11" t="n">
        <x:v>4068251</x:v>
      </x:c>
      <x:c r="BW866" s="11" t="n">
        <x:v>857708</x:v>
      </x:c>
      <x:c r="BX866" s="11" t="n">
        <x:v>1619110</x:v>
      </x:c>
      <x:c r="BY866" s="11" t="n">
        <x:v>0</x:v>
      </x:c>
      <x:c r="BZ866" s="11" t="n">
        <x:v>1065525</x:v>
      </x:c>
      <x:c r="CA866" s="11" t="n">
        <x:v>45500</x:v>
      </x:c>
      <x:c r="CB866" s="11" t="n">
        <x:v>0</x:v>
      </x:c>
      <x:c r="CC866" s="11" t="n">
        <x:v>2701207</x:v>
      </x:c>
      <x:c r="CD866" s="11" t="n">
        <x:v>2324126</x:v>
      </x:c>
      <x:c r="CE866" s="11" t="n">
        <x:v>305039</x:v>
      </x:c>
      <x:c r="CF866" s="11" t="n">
        <x:v>0</x:v>
      </x:c>
      <x:c r="CG866" s="11" t="n">
        <x:v>110346</x:v>
      </x:c>
      <x:c r="CH866" s="11" t="n">
        <x:v>3207152</x:v>
      </x:c>
      <x:c r="CI866" s="11" t="n">
        <x:v>7886901</x:v>
      </x:c>
      <x:c r="CJ866" s="11" t="n">
        <x:v>1996127</x:v>
      </x:c>
      <x:c r="CK866" s="11" t="n">
        <x:v>783911</x:v>
      </x:c>
      <x:c r="CL866" s="11" t="n">
        <x:v>1011347</x:v>
      </x:c>
      <x:c r="CM866" s="11" t="n">
        <x:v>86178</x:v>
      </x:c>
      <x:c r="CN866" s="11" t="n">
        <x:v>0</x:v>
      </x:c>
      <x:c r="CO866" s="11" t="n">
        <x:v>0</x:v>
      </x:c>
      <x:c r="CP866" s="8"/>
      <x:c r="CQ866" s="8"/>
    </x:row>
    <x:row r="867">
      <x:c r="A867" s="8" t="str">
        <x:v>Trail|2024</x:v>
      </x:c>
      <x:c r="B867" s="8" t="str">
        <x:v>trail-c</x:v>
      </x:c>
      <x:c r="C867" s="8" t="str">
        <x:v>Trail</x:v>
      </x:c>
      <x:c r="D867" s="8" t="str">
        <x:v>Trail</x:v>
      </x:c>
      <x:c r="E867" s="8" t="str">
        <x:v>C</x:v>
      </x:c>
      <x:c r="F867" s="8" t="str">
        <x:v>KOO</x:v>
      </x:c>
      <x:c r="G867" s="9" t="n">
        <x:v>2024</x:v>
      </x:c>
      <x:c r="H867" s="10" t="n">
        <x:v>8480</x:v>
      </x:c>
      <x:c r="I867" s="8" t="str">
        <x:v>5,000 to 19,999</x:v>
      </x:c>
      <x:c r="J867" s="11" t="n">
        <x:v>30701787</x:v>
      </x:c>
      <x:c r="K867" s="11" t="n">
        <x:v>25600826</x:v>
      </x:c>
      <x:c r="L867" s="11" t="n">
        <x:v>5100961</x:v>
      </x:c>
      <x:c r="M867" s="12" t="n">
        <x:v>0.16614541036324693</x:v>
      </x:c>
      <x:c r="N867" s="11" t="n">
        <x:v>18057765</x:v>
      </x:c>
      <x:c r="O867" s="11" t="n">
        <x:v>6594432</x:v>
      </x:c>
      <x:c r="P867" s="11" t="n">
        <x:v>3562067</x:v>
      </x:c>
      <x:c r="Q867" s="11" t="n">
        <x:v>2487523</x:v>
      </x:c>
      <x:c r="R867" s="11" t="n">
        <x:v>21087404</x:v>
      </x:c>
      <x:c r="S867" s="11" t="n">
        <x:v>3915643</x:v>
      </x:c>
      <x:c r="T867" s="11" t="n">
        <x:v>32591798</x:v>
      </x:c>
      <x:c r="U867" s="11" t="n">
        <x:v>23054539</x:v>
      </x:c>
      <x:c r="V867" s="11" t="n">
        <x:v>12204788</x:v>
      </x:c>
      <x:c r="W867" s="11" t="n">
        <x:v>816849</x:v>
      </x:c>
      <x:c r="X867" s="11" t="n">
        <x:v>13776270</x:v>
      </x:c>
      <x:c r="Y867" s="11" t="n">
        <x:v>0</x:v>
      </x:c>
      <x:c r="Z867" s="11" t="n">
        <x:v>1041381</x:v>
      </x:c>
      <x:c r="AA867" s="11" t="n">
        <x:v>12380751</x:v>
      </x:c>
      <x:c r="AB867" s="11" t="n">
        <x:v>597779</x:v>
      </x:c>
      <x:c r="AC867" s="11" t="n">
        <x:v>1639160</x:v>
      </x:c>
      <x:c r="AD867" s="11" t="n">
        <x:v>5782163</x:v>
      </x:c>
      <x:c r="AE867" s="11" t="n">
        <x:v>4143003</x:v>
      </x:c>
      <x:c r="AF867" s="11" t="n">
        <x:v>23128652</x:v>
      </x:c>
      <x:c r="AG867" s="11" t="n">
        <x:v>212979630</x:v>
      </x:c>
      <x:c r="AH867" s="11" t="n">
        <x:v>102048360</x:v>
      </x:c>
      <x:c r="AI867" s="11" t="n">
        <x:v>110931270</x:v>
      </x:c>
      <x:c r="AJ867" s="11" t="n">
        <x:v>8075737</x:v>
      </x:c>
      <x:c r="AK867" s="11" t="n">
        <x:v>533299839</x:v>
      </x:c>
      <x:c r="AL867" s="11" t="n">
        <x:v>8659134</x:v>
      </x:c>
      <x:c r="AM867" s="12" t="n">
        <x:v>0.9837631040424897</x:v>
      </x:c>
      <x:c r="AN867" s="12" t="n">
        <x:v>0.015142957881147981</x:v>
      </x:c>
      <x:c r="AO867" s="11" t="n">
        <x:v>28049238</x:v>
      </x:c>
      <x:c r="AP867" s="11" t="n">
        <x:v>27409076</x:v>
      </x:c>
      <x:c r="AQ867" s="12" t="n">
        <x:v>0.9771772053130284</x:v>
      </x:c>
      <x:c r="AR867" s="11" t="n">
        <x:v>3620.49375</x:v>
      </x:c>
      <x:c r="AS867" s="11" t="n">
        <x:v>3018.965330188679</x:v>
      </x:c>
      <x:c r="AT867" s="11" t="n">
        <x:v>1439.2438679245283</x:v>
      </x:c>
      <x:c r="AU867" s="11" t="n">
        <x:v>96.32653301886792</x:v>
      </x:c>
      <x:c r="AV867" s="11" t="n">
        <x:v>1459.9942216981133</x:v>
      </x:c>
      <x:c r="AW867" s="11" t="n">
        <x:v>1.413682485691863</x:v>
      </x:c>
      <x:c r="AX867" s="12" t="n">
        <x:v>0.7165143908948952</x:v>
      </x:c>
      <x:c r="AY867" s="11" t="n">
        <x:v>3601.3561989291247</x:v>
      </x:c>
      <x:c r="AZ867" s="11" t="n">
        <x:v>3546.5079302077975</x:v>
      </x:c>
      <x:c r="BA867" s="11" t="n">
        <x:v>2957.8976990295423</x:v>
      </x:c>
      <x:c r="BB867" s="11" t="n">
        <x:v>2783.665107049771</x:v>
      </x:c>
      <x:c r="BC867" s="11" t="n">
        <x:v>1917.0647247750476</x:v>
      </x:c>
      <x:c r="BD867" s="11" t="n">
        <x:v>2437.8724475115623</x:v>
      </x:c>
      <x:c r="BE867" s="11" t="n">
        <x:v>987.5598464714869</x:v>
      </x:c>
      <x:c r="BF867" s="11" t="n">
        <x:v>1604.3462673977224</x:v>
      </x:c>
      <x:c r="BG867" s="11" t="n">
        <x:v>936.3446522221191</x:v>
      </x:c>
      <x:c r="BH867" s="11" t="n">
        <x:v>518.5374381567245</x:v>
      </x:c>
      <x:c r="BI867" s="11" t="n">
        <x:v>1.3967465323081123</x:v>
      </x:c>
      <x:c r="BJ867" s="11" t="n">
        <x:v>1.7099330852451193</x:v>
      </x:c>
      <x:c r="BK867" s="12" t="n">
        <x:v>0.018327243000235003</x:v>
      </x:c>
      <x:c r="BL867" s="12" t="n">
        <x:v>0.02529861000232605</x:v>
      </x:c>
      <x:c r="BM867" s="12" t="n">
        <x:v>0.982034678745671</x:v>
      </x:c>
      <x:c r="BN867" s="12" t="n">
        <x:v>0.9815511712696461</x:v>
      </x:c>
      <x:c r="BO867" s="12" t="n">
        <x:v>0.7988058564062199</x:v>
      </x:c>
      <x:c r="BP867" s="12" t="n">
        <x:v>0.8619101997275483</x:v>
      </x:c>
      <x:c r="BQ867" s="12" t="n">
        <x:v>0.970292410805516</x:v>
      </x:c>
      <x:c r="BR867" s="12" t="n">
        <x:v>0.9623635142836453</x:v>
      </x:c>
      <x:c r="BS867" s="12" t="n">
        <x:v>0.19624174475580758</x:v>
      </x:c>
      <x:c r="BT867" s="12" t="n">
        <x:v>0.19976549769108282</x:v>
      </x:c>
      <x:c r="BU867" s="11" t="n">
        <x:v>431008</x:v>
      </x:c>
      <x:c r="BV867" s="11" t="n">
        <x:v>2167644</x:v>
      </x:c>
      <x:c r="BW867" s="11" t="n">
        <x:v>963415</x:v>
      </x:c>
      <x:c r="BX867" s="11" t="n">
        <x:v>1818101</x:v>
      </x:c>
      <x:c r="BY867" s="11" t="n">
        <x:v>0</x:v>
      </x:c>
      <x:c r="BZ867" s="11" t="n">
        <x:v>669422</x:v>
      </x:c>
      <x:c r="CA867" s="11" t="n">
        <x:v>0</x:v>
      </x:c>
      <x:c r="CB867" s="11" t="n">
        <x:v>0</x:v>
      </x:c>
      <x:c r="CC867" s="11" t="n">
        <x:v>3247527</x:v>
      </x:c>
      <x:c r="CD867" s="11" t="n">
        <x:v>3019664</x:v>
      </x:c>
      <x:c r="CE867" s="11" t="n">
        <x:v>0</x:v>
      </x:c>
      <x:c r="CF867" s="11" t="n">
        <x:v>358731</x:v>
      </x:c>
      <x:c r="CG867" s="11" t="n">
        <x:v>250687</x:v>
      </x:c>
      <x:c r="CH867" s="11" t="n">
        <x:v>3488409</x:v>
      </x:c>
      <x:c r="CI867" s="11" t="n">
        <x:v>7792765</x:v>
      </x:c>
      <x:c r="CJ867" s="11" t="n">
        <x:v>2051768</x:v>
      </x:c>
      <x:c r="CK867" s="11" t="n">
        <x:v>761364</x:v>
      </x:c>
      <x:c r="CL867" s="11" t="n">
        <x:v>672684</x:v>
      </x:c>
      <x:c r="CM867" s="11" t="n">
        <x:v>41584</x:v>
      </x:c>
      <x:c r="CN867" s="11" t="n">
        <x:v>0</x:v>
      </x:c>
      <x:c r="CO867" s="11" t="n">
        <x:v>0</x:v>
      </x:c>
      <x:c r="CP867" s="8"/>
      <x:c r="CQ867" s="8"/>
    </x:row>
    <x:row r="868">
      <x:c r="A868" s="8" t="str">
        <x:v>Tumbler Ridge|2019</x:v>
      </x:c>
      <x:c r="B868" s="8" t="str">
        <x:v>tumbler-ridge-d</x:v>
      </x:c>
      <x:c r="C868" s="8" t="str">
        <x:v>Tumbler Ridge</x:v>
      </x:c>
      <x:c r="D868" s="8" t="str">
        <x:v>Tumbler Ridge</x:v>
      </x:c>
      <x:c r="E868" s="8" t="str">
        <x:v>D</x:v>
      </x:c>
      <x:c r="F868" s="8" t="str">
        <x:v>PEA</x:v>
      </x:c>
      <x:c r="G868" s="9" t="n">
        <x:v>2019</x:v>
      </x:c>
      <x:c r="H868" s="10" t="n">
        <x:v>2215</x:v>
      </x:c>
      <x:c r="I868" s="8" t="str">
        <x:v>Under 5,000</x:v>
      </x:c>
      <x:c r="J868" s="11" t="n">
        <x:v>13784918</x:v>
      </x:c>
      <x:c r="K868" s="11" t="n">
        <x:v>13841080</x:v>
      </x:c>
      <x:c r="L868" s="11" t="n">
        <x:v>-56162</x:v>
      </x:c>
      <x:c r="M868" s="12" t="n">
        <x:v>-0.004074162791537824</x:v>
      </x:c>
      <x:c r="N868" s="11" t="n">
        <x:v>9520383</x:v>
      </x:c>
      <x:c r="O868" s="11" t="n">
        <x:v>1507506</x:v>
      </x:c>
      <x:c r="P868" s="11" t="n">
        <x:v>2587287</x:v>
      </x:c>
      <x:c r="Q868" s="11" t="n">
        <x:v>169742</x:v>
      </x:c>
      <x:c r="R868" s="11" t="n">
        <x:v>10573006</x:v>
      </x:c>
      <x:c r="S868" s="11" t="n">
        <x:v>3186321</x:v>
      </x:c>
      <x:c r="T868" s="11" t="n">
        <x:v>30271596</x:v>
      </x:c>
      <x:c r="U868" s="11" t="n">
        <x:v>3262486</x:v>
      </x:c>
      <x:c r="V868" s="11" t="n">
        <x:v>29981605</x:v>
      </x:c>
      <x:c r="W868" s="11" t="n">
        <x:v>10912678</x:v>
      </x:c>
      <x:c r="X868" s="11" t="n">
        <x:v>1080938</x:v>
      </x:c>
      <x:c r="Y868" s="11" t="n">
        <x:v>0</x:v>
      </x:c>
      <x:c r="Z868" s="11" t="n">
        <x:v>121884</x:v>
      </x:c>
      <x:c r="AA868" s="11" t="n">
        <x:v>910709</x:v>
      </x:c>
      <x:c r="AB868" s="11" t="n">
        <x:v>81753</x:v>
      </x:c>
      <x:c r="AC868" s="11" t="n">
        <x:v>203637</x:v>
      </x:c>
      <x:c r="AD868" s="11" t="n">
        <x:v>2851796</x:v>
      </x:c>
      <x:c r="AE868" s="11" t="n">
        <x:v>2648159</x:v>
      </x:c>
      <x:c r="AF868" s="11" t="n">
        <x:v>11407184</x:v>
      </x:c>
      <x:c r="AG868" s="11" t="n">
        <x:v>108125214</x:v>
      </x:c>
      <x:c r="AH868" s="11" t="n">
        <x:v>52501414</x:v>
      </x:c>
      <x:c r="AI868" s="11" t="n">
        <x:v>55623800</x:v>
      </x:c>
      <x:c r="AJ868" s="11" t="n">
        <x:v>1303833</x:v>
      </x:c>
      <x:c r="AK868" s="11" t="n">
        <x:v>167953691</x:v>
      </x:c>
      <x:c r="AL868" s="11" t="n">
        <x:v>3924869</x:v>
      </x:c>
      <x:c r="AM868" s="12" t="n">
        <x:v>0.9766312429537497</x:v>
      </x:c>
      <x:c r="AN868" s="12" t="n">
        <x:v>0.007763050589939104</x:v>
      </x:c>
      <x:c r="AO868" s="11" t="n">
        <x:v>12302628</x:v>
      </x:c>
      <x:c r="AP868" s="11" t="n">
        <x:v>11676756</x:v>
      </x:c>
      <x:c r="AQ868" s="12" t="n">
        <x:v>0.949126967018754</x:v>
      </x:c>
      <x:c r="AR868" s="11" t="n">
        <x:v>6223.43927765237</x:v>
      </x:c>
      <x:c r="AS868" s="11" t="n">
        <x:v>6248.794582392777</x:v>
      </x:c>
      <x:c r="AT868" s="11" t="n">
        <x:v>13535.713318284425</x:v>
      </x:c>
      <x:c r="AU868" s="11" t="n">
        <x:v>4926.716930022573</x:v>
      </x:c>
      <x:c r="AV868" s="11" t="n">
        <x:v>411.15530474040634</x:v>
      </x:c>
      <x:c r="AW868" s="11" t="n">
        <x:v>9.278689931543001</x:v>
      </x:c>
      <x:c r="AX868" s="12" t="n">
        <x:v>0.9285934197256747</x:v>
      </x:c>
      <x:c r="AY868" s="11"/>
      <x:c r="AZ868" s="11"/>
      <x:c r="BA868" s="11"/>
      <x:c r="BB868" s="11"/>
      <x:c r="BC868" s="11"/>
      <x:c r="BD868" s="11"/>
      <x:c r="BE868" s="11"/>
      <x:c r="BF868" s="11"/>
      <x:c r="BG868" s="11"/>
      <x:c r="BH868" s="11"/>
      <x:c r="BI868" s="11"/>
      <x:c r="BJ868" s="11"/>
      <x:c r="BK868" s="12"/>
      <x:c r="BL868" s="12"/>
      <x:c r="BM868" s="12"/>
      <x:c r="BN868" s="12"/>
      <x:c r="BO868" s="12"/>
      <x:c r="BP868" s="12"/>
      <x:c r="BQ868" s="12"/>
      <x:c r="BR868" s="12"/>
      <x:c r="BS868" s="12"/>
      <x:c r="BT868" s="12"/>
      <x:c r="BU868" s="11" t="n">
        <x:v>389727</x:v>
      </x:c>
      <x:c r="BV868" s="11" t="n">
        <x:v>2038038</x:v>
      </x:c>
      <x:c r="BW868" s="11" t="n">
        <x:v>159522</x:v>
      </x:c>
      <x:c r="BX868" s="11" t="n">
        <x:v>591775</x:v>
      </x:c>
      <x:c r="BY868" s="11" t="n">
        <x:v>-600034</x:v>
      </x:c>
      <x:c r="BZ868" s="11" t="n">
        <x:v>0</x:v>
      </x:c>
      <x:c r="CA868" s="11" t="n">
        <x:v>5958</x:v>
      </x:c>
      <x:c r="CB868" s="11" t="n">
        <x:v>172043</x:v>
      </x:c>
      <x:c r="CC868" s="11" t="n">
        <x:v>2524866</x:v>
      </x:c>
      <x:c r="CD868" s="11" t="n">
        <x:v>575081</x:v>
      </x:c>
      <x:c r="CE868" s="11" t="n">
        <x:v>507864</x:v>
      </x:c>
      <x:c r="CF868" s="11" t="n">
        <x:v>0</x:v>
      </x:c>
      <x:c r="CG868" s="11" t="n">
        <x:v>474160</x:v>
      </x:c>
      <x:c r="CH868" s="11" t="n">
        <x:v>1642722</x:v>
      </x:c>
      <x:c r="CI868" s="11" t="n">
        <x:v>3327363</x:v>
      </x:c>
      <x:c r="CJ868" s="11" t="n">
        <x:v>429636</x:v>
      </x:c>
      <x:c r="CK868" s="11" t="n">
        <x:v>483897</x:v>
      </x:c>
      <x:c r="CL868" s="11" t="n">
        <x:v>689170</x:v>
      </x:c>
      <x:c r="CM868" s="11"/>
      <x:c r="CN868" s="11" t="n">
        <x:v>0</x:v>
      </x:c>
      <x:c r="CO868" s="11" t="n">
        <x:v>0</x:v>
      </x:c>
      <x:c r="CP868" s="8"/>
      <x:c r="CQ868" s="8"/>
    </x:row>
    <x:row r="869">
      <x:c r="A869" s="8" t="str">
        <x:v>Tumbler Ridge|2020</x:v>
      </x:c>
      <x:c r="B869" s="8" t="str">
        <x:v>tumbler-ridge-d</x:v>
      </x:c>
      <x:c r="C869" s="8" t="str">
        <x:v>Tumbler Ridge</x:v>
      </x:c>
      <x:c r="D869" s="8" t="str">
        <x:v>Tumbler Ridge</x:v>
      </x:c>
      <x:c r="E869" s="8" t="str">
        <x:v>D</x:v>
      </x:c>
      <x:c r="F869" s="8" t="str">
        <x:v>PEA</x:v>
      </x:c>
      <x:c r="G869" s="9" t="n">
        <x:v>2020</x:v>
      </x:c>
      <x:c r="H869" s="10" t="n">
        <x:v>2208</x:v>
      </x:c>
      <x:c r="I869" s="8" t="str">
        <x:v>Under 5,000</x:v>
      </x:c>
      <x:c r="J869" s="11" t="n">
        <x:v>15341735</x:v>
      </x:c>
      <x:c r="K869" s="11" t="n">
        <x:v>14745738</x:v>
      </x:c>
      <x:c r="L869" s="11" t="n">
        <x:v>595997</x:v>
      </x:c>
      <x:c r="M869" s="12" t="n">
        <x:v>0.03884808334911273</x:v>
      </x:c>
      <x:c r="N869" s="11" t="n">
        <x:v>9354173</x:v>
      </x:c>
      <x:c r="O869" s="11" t="n">
        <x:v>1398124</x:v>
      </x:c>
      <x:c r="P869" s="11" t="n">
        <x:v>3592308</x:v>
      </x:c>
      <x:c r="Q869" s="11" t="n">
        <x:v>997130</x:v>
      </x:c>
      <x:c r="R869" s="11" t="n">
        <x:v>11436068</x:v>
      </x:c>
      <x:c r="S869" s="11" t="n">
        <x:v>3241540</x:v>
      </x:c>
      <x:c r="T869" s="11" t="n">
        <x:v>31414246</x:v>
      </x:c>
      <x:c r="U869" s="11" t="n">
        <x:v>1900877</x:v>
      </x:c>
      <x:c r="V869" s="11" t="n">
        <x:v>32786829</x:v>
      </x:c>
      <x:c r="W869" s="11" t="n">
        <x:v>13304784</x:v>
      </x:c>
      <x:c r="X869" s="11" t="n">
        <x:v>910709</x:v>
      </x:c>
      <x:c r="Y869" s="11" t="n">
        <x:v>0</x:v>
      </x:c>
      <x:c r="Z869" s="11" t="n">
        <x:v>114205</x:v>
      </x:c>
      <x:c r="AA869" s="11" t="n">
        <x:v>746588</x:v>
      </x:c>
      <x:c r="AB869" s="11" t="n">
        <x:v>68130</x:v>
      </x:c>
      <x:c r="AC869" s="11" t="n">
        <x:v>182335</x:v>
      </x:c>
      <x:c r="AD869" s="11" t="n">
        <x:v>2733444</x:v>
      </x:c>
      <x:c r="AE869" s="11" t="n">
        <x:v>2551109</x:v>
      </x:c>
      <x:c r="AF869" s="11" t="n">
        <x:v>10933777</x:v>
      </x:c>
      <x:c r="AG869" s="11" t="n">
        <x:v>109078308</x:v>
      </x:c>
      <x:c r="AH869" s="11" t="n">
        <x:v>54017518</x:v>
      </x:c>
      <x:c r="AI869" s="11" t="n">
        <x:v>55060790</x:v>
      </x:c>
      <x:c r="AJ869" s="11" t="n">
        <x:v>2738332</x:v>
      </x:c>
      <x:c r="AK869" s="11" t="n">
        <x:v>177687478</x:v>
      </x:c>
      <x:c r="AL869" s="11" t="n">
        <x:v>5227582</x:v>
      </x:c>
      <x:c r="AM869" s="12" t="n">
        <x:v>0.970579907718652</x:v>
      </x:c>
      <x:c r="AN869" s="12" t="n">
        <x:v>0.015410945277753337</x:v>
      </x:c>
      <x:c r="AO869" s="11" t="n">
        <x:v>11742402</x:v>
      </x:c>
      <x:c r="AP869" s="11" t="n">
        <x:v>11307764</x:v>
      </x:c>
      <x:c r="AQ869" s="12" t="n">
        <x:v>0.9629855969843308</x:v>
      </x:c>
      <x:c r="AR869" s="11" t="n">
        <x:v>6948.249547101449</x:v>
      </x:c>
      <x:c r="AS869" s="11" t="n">
        <x:v>6678.323369565217</x:v>
      </x:c>
      <x:c r="AT869" s="11" t="n">
        <x:v>14849.107336956522</x:v>
      </x:c>
      <x:c r="AU869" s="11" t="n">
        <x:v>6025.717391304348</x:v>
      </x:c>
      <x:c r="AV869" s="11" t="n">
        <x:v>338.1286231884058</x:v>
      </x:c>
      <x:c r="AW869" s="11" t="n">
        <x:v>16.526185544882704</x:v>
      </x:c>
      <x:c r="AX869" s="12" t="n">
        <x:v>0.9332947739189096</x:v>
      </x:c>
      <x:c r="AY869" s="11"/>
      <x:c r="AZ869" s="11"/>
      <x:c r="BA869" s="11"/>
      <x:c r="BB869" s="11"/>
      <x:c r="BC869" s="11"/>
      <x:c r="BD869" s="11"/>
      <x:c r="BE869" s="11"/>
      <x:c r="BF869" s="11"/>
      <x:c r="BG869" s="11"/>
      <x:c r="BH869" s="11"/>
      <x:c r="BI869" s="11"/>
      <x:c r="BJ869" s="11"/>
      <x:c r="BK869" s="12"/>
      <x:c r="BL869" s="12"/>
      <x:c r="BM869" s="12"/>
      <x:c r="BN869" s="12"/>
      <x:c r="BO869" s="12"/>
      <x:c r="BP869" s="12"/>
      <x:c r="BQ869" s="12"/>
      <x:c r="BR869" s="12"/>
      <x:c r="BS869" s="12"/>
      <x:c r="BT869" s="12"/>
      <x:c r="BU869" s="11" t="n">
        <x:v>559796</x:v>
      </x:c>
      <x:c r="BV869" s="11" t="n">
        <x:v>2923009</x:v>
      </x:c>
      <x:c r="BW869" s="11" t="n">
        <x:v>109503</x:v>
      </x:c>
      <x:c r="BX869" s="11" t="n">
        <x:v>530760</x:v>
      </x:c>
      <x:c r="BY869" s="11" t="n">
        <x:v>425251</x:v>
      </x:c>
      <x:c r="BZ869" s="11" t="n">
        <x:v>0</x:v>
      </x:c>
      <x:c r="CA869" s="11" t="n">
        <x:v>7373</x:v>
      </x:c>
      <x:c r="CB869" s="11" t="n">
        <x:v>33746</x:v>
      </x:c>
      <x:c r="CC869" s="11" t="n">
        <x:v>2922989</x:v>
      </x:c>
      <x:c r="CD869" s="11" t="n">
        <x:v>600706</x:v>
      </x:c>
      <x:c r="CE869" s="11" t="n">
        <x:v>588667</x:v>
      </x:c>
      <x:c r="CF869" s="11" t="n">
        <x:v>0</x:v>
      </x:c>
      <x:c r="CG869" s="11" t="n">
        <x:v>289892</x:v>
      </x:c>
      <x:c r="CH869" s="11" t="n">
        <x:v>1678265</x:v>
      </x:c>
      <x:c r="CI869" s="11" t="n">
        <x:v>2992301</x:v>
      </x:c>
      <x:c r="CJ869" s="11" t="n">
        <x:v>434769</x:v>
      </x:c>
      <x:c r="CK869" s="11" t="n">
        <x:v>211372</x:v>
      </x:c>
      <x:c r="CL869" s="11" t="n">
        <x:v>0</x:v>
      </x:c>
      <x:c r="CM869" s="11"/>
      <x:c r="CN869" s="11" t="n">
        <x:v>1785237</x:v>
      </x:c>
      <x:c r="CO869" s="11" t="n">
        <x:v>0</x:v>
      </x:c>
      <x:c r="CP869" s="8"/>
      <x:c r="CQ869" s="8"/>
    </x:row>
    <x:row r="870">
      <x:c r="A870" s="8" t="str">
        <x:v>Tumbler Ridge|2021</x:v>
      </x:c>
      <x:c r="B870" s="8" t="str">
        <x:v>tumbler-ridge-d</x:v>
      </x:c>
      <x:c r="C870" s="8" t="str">
        <x:v>Tumbler Ridge</x:v>
      </x:c>
      <x:c r="D870" s="8" t="str">
        <x:v>Tumbler Ridge</x:v>
      </x:c>
      <x:c r="E870" s="8" t="str">
        <x:v>D</x:v>
      </x:c>
      <x:c r="F870" s="8" t="str">
        <x:v>PEA</x:v>
      </x:c>
      <x:c r="G870" s="9" t="n">
        <x:v>2021</x:v>
      </x:c>
      <x:c r="H870" s="10" t="n">
        <x:v>2273</x:v>
      </x:c>
      <x:c r="I870" s="8" t="str">
        <x:v>Under 5,000</x:v>
      </x:c>
      <x:c r="J870" s="11" t="n">
        <x:v>14896828</x:v>
      </x:c>
      <x:c r="K870" s="11" t="n">
        <x:v>13826873</x:v>
      </x:c>
      <x:c r="L870" s="11" t="n">
        <x:v>1069955</x:v>
      </x:c>
      <x:c r="M870" s="12" t="n">
        <x:v>0.07182435079467925</x:v>
      </x:c>
      <x:c r="N870" s="11" t="n">
        <x:v>9701122</x:v>
      </x:c>
      <x:c r="O870" s="11" t="n">
        <x:v>1803644</x:v>
      </x:c>
      <x:c r="P870" s="11" t="n">
        <x:v>2911515</x:v>
      </x:c>
      <x:c r="Q870" s="11" t="n">
        <x:v>480547</x:v>
      </x:c>
      <x:c r="R870" s="11" t="n">
        <x:v>10549841</x:v>
      </x:c>
      <x:c r="S870" s="11" t="n">
        <x:v>3225579</x:v>
      </x:c>
      <x:c r="T870" s="11" t="n">
        <x:v>34747867</x:v>
      </x:c>
      <x:c r="U870" s="11" t="n">
        <x:v>2974634</x:v>
      </x:c>
      <x:c r="V870" s="11" t="n">
        <x:v>35031792</x:v>
      </x:c>
      <x:c r="W870" s="11" t="n">
        <x:v>15509657</x:v>
      </x:c>
      <x:c r="X870" s="11" t="n">
        <x:v>746588</x:v>
      </x:c>
      <x:c r="Y870" s="11" t="n">
        <x:v>0</x:v>
      </x:c>
      <x:c r="Z870" s="11" t="n">
        <x:v>114205</x:v>
      </x:c>
      <x:c r="AA870" s="11" t="n">
        <x:v>570774</x:v>
      </x:c>
      <x:c r="AB870" s="11" t="n">
        <x:v>51453</x:v>
      </x:c>
      <x:c r="AC870" s="11" t="n">
        <x:v>165658</x:v>
      </x:c>
      <x:c r="AD870" s="11" t="n">
        <x:v>2917191</x:v>
      </x:c>
      <x:c r="AE870" s="11" t="n">
        <x:v>2751533</x:v>
      </x:c>
      <x:c r="AF870" s="11" t="n">
        <x:v>11668763</x:v>
      </x:c>
      <x:c r="AG870" s="11" t="n">
        <x:v>110459498</x:v>
      </x:c>
      <x:c r="AH870" s="11" t="n">
        <x:v>56660851</x:v>
      </x:c>
      <x:c r="AI870" s="11" t="n">
        <x:v>53798647</x:v>
      </x:c>
      <x:c r="AJ870" s="11" t="n">
        <x:v>2112118</x:v>
      </x:c>
      <x:c r="AK870" s="11" t="n">
        <x:v>180812661</x:v>
      </x:c>
      <x:c r="AL870" s="11" t="n">
        <x:v>5552352</x:v>
      </x:c>
      <x:c r="AM870" s="12" t="n">
        <x:v>0.9692922388880721</x:v>
      </x:c>
      <x:c r="AN870" s="12" t="n">
        <x:v>0.011681250573487218</x:v>
      </x:c>
      <x:c r="AO870" s="11" t="n">
        <x:v>12299658</x:v>
      </x:c>
      <x:c r="AP870" s="11" t="n">
        <x:v>12005333</x:v>
      </x:c>
      <x:c r="AQ870" s="12" t="n">
        <x:v>0.976070472853798</x:v>
      </x:c>
      <x:c r="AR870" s="11" t="n">
        <x:v>6553.817861856577</x:v>
      </x:c>
      <x:c r="AS870" s="11" t="n">
        <x:v>6083.0941487021555</x:v>
      </x:c>
      <x:c r="AT870" s="11" t="n">
        <x:v>15412.139023317202</x:v>
      </x:c>
      <x:c r="AU870" s="11" t="n">
        <x:v>6823.430268367796</x:v>
      </x:c>
      <x:c r="AV870" s="11" t="n">
        <x:v>251.11042674879013</x:v>
      </x:c>
      <x:c r="AW870" s="11" t="n">
        <x:v>11.681392399871715</x:v>
      </x:c>
      <x:c r="AX870" s="12" t="n">
        <x:v>0.9432131800763132</x:v>
      </x:c>
      <x:c r="AY870" s="11"/>
      <x:c r="AZ870" s="11"/>
      <x:c r="BA870" s="11"/>
      <x:c r="BB870" s="11"/>
      <x:c r="BC870" s="11"/>
      <x:c r="BD870" s="11"/>
      <x:c r="BE870" s="11"/>
      <x:c r="BF870" s="11"/>
      <x:c r="BG870" s="11"/>
      <x:c r="BH870" s="11"/>
      <x:c r="BI870" s="11"/>
      <x:c r="BJ870" s="11"/>
      <x:c r="BK870" s="12"/>
      <x:c r="BL870" s="12"/>
      <x:c r="BM870" s="12"/>
      <x:c r="BN870" s="12"/>
      <x:c r="BO870" s="12"/>
      <x:c r="BP870" s="12"/>
      <x:c r="BQ870" s="12"/>
      <x:c r="BR870" s="12"/>
      <x:c r="BS870" s="12"/>
      <x:c r="BT870" s="12"/>
      <x:c r="BU870" s="11" t="n">
        <x:v>65911</x:v>
      </x:c>
      <x:c r="BV870" s="11" t="n">
        <x:v>2561471</x:v>
      </x:c>
      <x:c r="BW870" s="11" t="n">
        <x:v>284133</x:v>
      </x:c>
      <x:c r="BX870" s="11" t="n">
        <x:v>435265</x:v>
      </x:c>
      <x:c r="BY870" s="11" t="n">
        <x:v>45282</x:v>
      </x:c>
      <x:c r="BZ870" s="11" t="n">
        <x:v>0</x:v>
      </x:c>
      <x:c r="CA870" s="11" t="n">
        <x:v>0</x:v>
      </x:c>
      <x:c r="CB870" s="11" t="n">
        <x:v>0</x:v>
      </x:c>
      <x:c r="CC870" s="11" t="n">
        <x:v>2974260</x:v>
      </x:c>
      <x:c r="CD870" s="11" t="n">
        <x:v>668887</x:v>
      </x:c>
      <x:c r="CE870" s="11" t="n">
        <x:v>585034</x:v>
      </x:c>
      <x:c r="CF870" s="11" t="n">
        <x:v>0</x:v>
      </x:c>
      <x:c r="CG870" s="11" t="n">
        <x:v>338679</x:v>
      </x:c>
      <x:c r="CH870" s="11" t="n">
        <x:v>1764436</x:v>
      </x:c>
      <x:c r="CI870" s="11" t="n">
        <x:v>3251047</x:v>
      </x:c>
      <x:c r="CJ870" s="11" t="n">
        <x:v>580056</x:v>
      </x:c>
      <x:c r="CK870" s="11" t="n">
        <x:v>351699</x:v>
      </x:c>
      <x:c r="CL870" s="11" t="n">
        <x:v>0</x:v>
      </x:c>
      <x:c r="CM870" s="11"/>
      <x:c r="CN870" s="11" t="n">
        <x:v>87196</x:v>
      </x:c>
      <x:c r="CO870" s="11" t="n">
        <x:v>0</x:v>
      </x:c>
      <x:c r="CP870" s="8"/>
      <x:c r="CQ870" s="8"/>
    </x:row>
    <x:row r="871">
      <x:c r="A871" s="8" t="str">
        <x:v>Tumbler Ridge|2022</x:v>
      </x:c>
      <x:c r="B871" s="8" t="str">
        <x:v>tumbler-ridge-d</x:v>
      </x:c>
      <x:c r="C871" s="8" t="str">
        <x:v>Tumbler Ridge</x:v>
      </x:c>
      <x:c r="D871" s="8" t="str">
        <x:v>Tumbler Ridge</x:v>
      </x:c>
      <x:c r="E871" s="8" t="str">
        <x:v>D</x:v>
      </x:c>
      <x:c r="F871" s="8" t="str">
        <x:v>PEA</x:v>
      </x:c>
      <x:c r="G871" s="9" t="n">
        <x:v>2022</x:v>
      </x:c>
      <x:c r="H871" s="10" t="n">
        <x:v>2240</x:v>
      </x:c>
      <x:c r="I871" s="8" t="str">
        <x:v>Under 5,000</x:v>
      </x:c>
      <x:c r="J871" s="11" t="n">
        <x:v>16058366</x:v>
      </x:c>
      <x:c r="K871" s="11" t="n">
        <x:v>14415531</x:v>
      </x:c>
      <x:c r="L871" s="11" t="n">
        <x:v>1642835</x:v>
      </x:c>
      <x:c r="M871" s="12" t="n">
        <x:v>0.10230399531309724</x:v>
      </x:c>
      <x:c r="N871" s="11" t="n">
        <x:v>9848031</x:v>
      </x:c>
      <x:c r="O871" s="11" t="n">
        <x:v>1775529</x:v>
      </x:c>
      <x:c r="P871" s="11" t="n">
        <x:v>3996944</x:v>
      </x:c>
      <x:c r="Q871" s="11" t="n">
        <x:v>437862</x:v>
      </x:c>
      <x:c r="R871" s="11" t="n">
        <x:v>11056009</x:v>
      </x:c>
      <x:c r="S871" s="11" t="n">
        <x:v>3307979</x:v>
      </x:c>
      <x:c r="T871" s="11" t="n">
        <x:v>36197671</x:v>
      </x:c>
      <x:c r="U871" s="11" t="n">
        <x:v>2127562</x:v>
      </x:c>
      <x:c r="V871" s="11" t="n">
        <x:v>37015499</x:v>
      </x:c>
      <x:c r="W871" s="11" t="n">
        <x:v>13681968</x:v>
      </x:c>
      <x:c r="X871" s="11" t="n">
        <x:v>570774</x:v>
      </x:c>
      <x:c r="Y871" s="11" t="n">
        <x:v>0</x:v>
      </x:c>
      <x:c r="Z871" s="11" t="n">
        <x:v>114205</x:v>
      </x:c>
      <x:c r="AA871" s="11" t="n">
        <x:v>387928</x:v>
      </x:c>
      <x:c r="AB871" s="11" t="n">
        <x:v>51543</x:v>
      </x:c>
      <x:c r="AC871" s="11" t="n">
        <x:v>165748</x:v>
      </x:c>
      <x:c r="AD871" s="11" t="n">
        <x:v>2980441</x:v>
      </x:c>
      <x:c r="AE871" s="11" t="n">
        <x:v>2814693</x:v>
      </x:c>
      <x:c r="AF871" s="11" t="n">
        <x:v>11921762</x:v>
      </x:c>
      <x:c r="AG871" s="11" t="n">
        <x:v>112945132</x:v>
      </x:c>
      <x:c r="AH871" s="11" t="n">
        <x:v>59651032</x:v>
      </x:c>
      <x:c r="AI871" s="11" t="n">
        <x:v>53294100</x:v>
      </x:c>
      <x:c r="AJ871" s="11" t="n">
        <x:v>2803434</x:v>
      </x:c>
      <x:c r="AK871" s="11" t="n">
        <x:v>211339341</x:v>
      </x:c>
      <x:c r="AL871" s="11" t="n">
        <x:v>6913663</x:v>
      </x:c>
      <x:c r="AM871" s="12" t="n">
        <x:v>0.9672864362721751</x:v>
      </x:c>
      <x:c r="AN871" s="12" t="n">
        <x:v>0.013265083475395147</x:v>
      </x:c>
      <x:c r="AO871" s="11" t="n">
        <x:v>12402857</x:v>
      </x:c>
      <x:c r="AP871" s="11" t="n">
        <x:v>12188587</x:v>
      </x:c>
      <x:c r="AQ871" s="12" t="n">
        <x:v>0.9827241417038026</x:v>
      </x:c>
      <x:c r="AR871" s="11" t="n">
        <x:v>7168.913392857143</x:v>
      </x:c>
      <x:c r="AS871" s="11" t="n">
        <x:v>6435.504910714286</x:v>
      </x:c>
      <x:c r="AT871" s="11" t="n">
        <x:v>16524.776339285716</x:v>
      </x:c>
      <x:c r="AU871" s="11" t="n">
        <x:v>6108.021428571428</x:v>
      </x:c>
      <x:c r="AV871" s="11" t="n">
        <x:v>173.18214285714285</x:v>
      </x:c>
      <x:c r="AW871" s="11" t="n">
        <x:v>17.013685617622425</x:v>
      </x:c>
      <x:c r="AX871" s="12" t="n">
        <x:v>0.9443880955871966</x:v>
      </x:c>
      <x:c r="AY871" s="11"/>
      <x:c r="AZ871" s="11"/>
      <x:c r="BA871" s="11"/>
      <x:c r="BB871" s="11"/>
      <x:c r="BC871" s="11"/>
      <x:c r="BD871" s="11"/>
      <x:c r="BE871" s="11"/>
      <x:c r="BF871" s="11"/>
      <x:c r="BG871" s="11"/>
      <x:c r="BH871" s="11"/>
      <x:c r="BI871" s="11"/>
      <x:c r="BJ871" s="11"/>
      <x:c r="BK871" s="12"/>
      <x:c r="BL871" s="12"/>
      <x:c r="BM871" s="12"/>
      <x:c r="BN871" s="12"/>
      <x:c r="BO871" s="12"/>
      <x:c r="BP871" s="12"/>
      <x:c r="BQ871" s="12"/>
      <x:c r="BR871" s="12"/>
      <x:c r="BS871" s="12"/>
      <x:c r="BT871" s="12"/>
      <x:c r="BU871" s="11" t="n">
        <x:v>56559</x:v>
      </x:c>
      <x:c r="BV871" s="11" t="n">
        <x:v>3795053</x:v>
      </x:c>
      <x:c r="BW871" s="11" t="n">
        <x:v>145332</x:v>
      </x:c>
      <x:c r="BX871" s="11" t="n">
        <x:v>600378</x:v>
      </x:c>
      <x:c r="BY871" s="11" t="n">
        <x:v>-255159</x:v>
      </x:c>
      <x:c r="BZ871" s="11" t="n">
        <x:v>0</x:v>
      </x:c>
      <x:c r="CA871" s="11" t="n">
        <x:v>92643</x:v>
      </x:c>
      <x:c r="CB871" s="11" t="n">
        <x:v>0</x:v>
      </x:c>
      <x:c r="CC871" s="11" t="n">
        <x:v>3305441</x:v>
      </x:c>
      <x:c r="CD871" s="11" t="n">
        <x:v>605482</x:v>
      </x:c>
      <x:c r="CE871" s="11" t="n">
        <x:v>700776</x:v>
      </x:c>
      <x:c r="CF871" s="11" t="n">
        <x:v>0</x:v>
      </x:c>
      <x:c r="CG871" s="11" t="n">
        <x:v>340894</x:v>
      </x:c>
      <x:c r="CH871" s="11" t="n">
        <x:v>1727566</x:v>
      </x:c>
      <x:c r="CI871" s="11" t="n">
        <x:v>3512905</x:v>
      </x:c>
      <x:c r="CJ871" s="11" t="n">
        <x:v>650704</x:v>
      </x:c>
      <x:c r="CK871" s="11" t="n">
        <x:v>263784</x:v>
      </x:c>
      <x:c r="CL871" s="11" t="n">
        <x:v>0</x:v>
      </x:c>
      <x:c r="CM871" s="11"/>
      <x:c r="CN871" s="11" t="n">
        <x:v>0</x:v>
      </x:c>
      <x:c r="CO871" s="11" t="n">
        <x:v>0</x:v>
      </x:c>
      <x:c r="CP871" s="8"/>
      <x:c r="CQ871" s="8"/>
    </x:row>
    <x:row r="872">
      <x:c r="A872" s="8" t="str">
        <x:v>Tumbler Ridge|2023</x:v>
      </x:c>
      <x:c r="B872" s="8" t="str">
        <x:v>tumbler-ridge-d</x:v>
      </x:c>
      <x:c r="C872" s="8" t="str">
        <x:v>Tumbler Ridge</x:v>
      </x:c>
      <x:c r="D872" s="8" t="str">
        <x:v>Tumbler Ridge</x:v>
      </x:c>
      <x:c r="E872" s="8" t="str">
        <x:v>D</x:v>
      </x:c>
      <x:c r="F872" s="8" t="str">
        <x:v>PEA</x:v>
      </x:c>
      <x:c r="G872" s="9" t="n">
        <x:v>2023</x:v>
      </x:c>
      <x:c r="H872" s="10" t="n">
        <x:v>2301</x:v>
      </x:c>
      <x:c r="I872" s="8" t="str">
        <x:v>Under 5,000</x:v>
      </x:c>
      <x:c r="J872" s="11" t="n">
        <x:v>18232141</x:v>
      </x:c>
      <x:c r="K872" s="11" t="n">
        <x:v>15240425</x:v>
      </x:c>
      <x:c r="L872" s="11" t="n">
        <x:v>2991716</x:v>
      </x:c>
      <x:c r="M872" s="12" t="n">
        <x:v>0.1640902184773582</x:v>
      </x:c>
      <x:c r="N872" s="11" t="n">
        <x:v>10340931</x:v>
      </x:c>
      <x:c r="O872" s="11" t="n">
        <x:v>1872189</x:v>
      </x:c>
      <x:c r="P872" s="11" t="n">
        <x:v>4421810</x:v>
      </x:c>
      <x:c r="Q872" s="11" t="n">
        <x:v>1597211</x:v>
      </x:c>
      <x:c r="R872" s="11" t="n">
        <x:v>11999986</x:v>
      </x:c>
      <x:c r="S872" s="11" t="n">
        <x:v>3173667</x:v>
      </x:c>
      <x:c r="T872" s="11" t="n">
        <x:v>40273569</x:v>
      </x:c>
      <x:c r="U872" s="11" t="n">
        <x:v>3213181</x:v>
      </x:c>
      <x:c r="V872" s="11" t="n">
        <x:v>40261015</x:v>
      </x:c>
      <x:c r="W872" s="11" t="n">
        <x:v>19427365</x:v>
      </x:c>
      <x:c r="X872" s="11" t="n">
        <x:v>387928</x:v>
      </x:c>
      <x:c r="Y872" s="11" t="n">
        <x:v>0</x:v>
      </x:c>
      <x:c r="Z872" s="11" t="n">
        <x:v>114206</x:v>
      </x:c>
      <x:c r="AA872" s="11" t="n">
        <x:v>197767</x:v>
      </x:c>
      <x:c r="AB872" s="11" t="n">
        <x:v>66772</x:v>
      </x:c>
      <x:c r="AC872" s="11" t="n">
        <x:v>180978</x:v>
      </x:c>
      <x:c r="AD872" s="11" t="n">
        <x:v>3255202</x:v>
      </x:c>
      <x:c r="AE872" s="11" t="n">
        <x:v>3074224</x:v>
      </x:c>
      <x:c r="AF872" s="11" t="n">
        <x:v>13020808</x:v>
      </x:c>
      <x:c r="AG872" s="11" t="n">
        <x:v>115057796</x:v>
      </x:c>
      <x:c r="AH872" s="11" t="n">
        <x:v>63320589</x:v>
      </x:c>
      <x:c r="AI872" s="11" t="n">
        <x:v>51737207</x:v>
      </x:c>
      <x:c r="AJ872" s="11" t="n">
        <x:v>1608437</x:v>
      </x:c>
      <x:c r="AK872" s="11" t="n">
        <x:v>8197985</x:v>
      </x:c>
      <x:c r="AL872" s="11" t="n">
        <x:v>0</x:v>
      </x:c>
      <x:c r="AM872" s="12" t="n">
        <x:v>1</x:v>
      </x:c>
      <x:c r="AN872" s="12" t="n">
        <x:v>0.1961990659899963</x:v>
      </x:c>
      <x:c r="AO872" s="11" t="n">
        <x:v>12923119</x:v>
      </x:c>
      <x:c r="AP872" s="11" t="n">
        <x:v>12618232</x:v>
      </x:c>
      <x:c r="AQ872" s="12" t="n">
        <x:v>0.9764076303870606</x:v>
      </x:c>
      <x:c r="AR872" s="11" t="n">
        <x:v>7923.572794437201</x:v>
      </x:c>
      <x:c r="AS872" s="11" t="n">
        <x:v>6623.392003476749</x:v>
      </x:c>
      <x:c r="AT872" s="11" t="n">
        <x:v>17497.181660147762</x:v>
      </x:c>
      <x:c r="AU872" s="11" t="n">
        <x:v>8443.00956106041</x:v>
      </x:c>
      <x:c r="AV872" s="11" t="n">
        <x:v>85.94828335506301</x:v>
      </x:c>
      <x:c r="AW872" s="11" t="n">
        <x:v>12.533862549293053</x:v>
      </x:c>
      <x:c r="AX872" s="12" t="n">
        <x:v>0.9444034502313527</x:v>
      </x:c>
      <x:c r="AY872" s="11"/>
      <x:c r="AZ872" s="11"/>
      <x:c r="BA872" s="11"/>
      <x:c r="BB872" s="11"/>
      <x:c r="BC872" s="11"/>
      <x:c r="BD872" s="11"/>
      <x:c r="BE872" s="11"/>
      <x:c r="BF872" s="11"/>
      <x:c r="BG872" s="11"/>
      <x:c r="BH872" s="11"/>
      <x:c r="BI872" s="11"/>
      <x:c r="BJ872" s="11"/>
      <x:c r="BK872" s="12"/>
      <x:c r="BL872" s="12"/>
      <x:c r="BM872" s="12"/>
      <x:c r="BN872" s="12"/>
      <x:c r="BO872" s="12"/>
      <x:c r="BP872" s="12"/>
      <x:c r="BQ872" s="12"/>
      <x:c r="BR872" s="12"/>
      <x:c r="BS872" s="12"/>
      <x:c r="BT872" s="12"/>
      <x:c r="BU872" s="11" t="n">
        <x:v>0</x:v>
      </x:c>
      <x:c r="BV872" s="11" t="n">
        <x:v>4269735</x:v>
      </x:c>
      <x:c r="BW872" s="11" t="n">
        <x:v>152075</x:v>
      </x:c>
      <x:c r="BX872" s="11" t="n">
        <x:v>1303620</x:v>
      </x:c>
      <x:c r="BY872" s="11" t="n">
        <x:v>179735</x:v>
      </x:c>
      <x:c r="BZ872" s="11" t="n">
        <x:v>0</x:v>
      </x:c>
      <x:c r="CA872" s="11" t="n">
        <x:v>113856</x:v>
      </x:c>
      <x:c r="CB872" s="11" t="n">
        <x:v>0</x:v>
      </x:c>
      <x:c r="CC872" s="11" t="n">
        <x:v>3252406</x:v>
      </x:c>
      <x:c r="CD872" s="11" t="n">
        <x:v>834298</x:v>
      </x:c>
      <x:c r="CE872" s="11" t="n">
        <x:v>654035</x:v>
      </x:c>
      <x:c r="CF872" s="11" t="n">
        <x:v>0</x:v>
      </x:c>
      <x:c r="CG872" s="11" t="n">
        <x:v>335197</x:v>
      </x:c>
      <x:c r="CH872" s="11" t="n">
        <x:v>2196459</x:v>
      </x:c>
      <x:c r="CI872" s="11" t="n">
        <x:v>3853644</x:v>
      </x:c>
      <x:c r="CJ872" s="11" t="n">
        <x:v>575772</x:v>
      </x:c>
      <x:c r="CK872" s="11" t="n">
        <x:v>323956</x:v>
      </x:c>
      <x:c r="CL872" s="11" t="n">
        <x:v>0</x:v>
      </x:c>
      <x:c r="CM872" s="11" t="n">
        <x:v>38044</x:v>
      </x:c>
      <x:c r="CN872" s="11" t="n">
        <x:v>2947</x:v>
      </x:c>
      <x:c r="CO872" s="11" t="n">
        <x:v>0</x:v>
      </x:c>
      <x:c r="CP872" s="8"/>
      <x:c r="CQ872" s="8"/>
    </x:row>
    <x:row r="873">
      <x:c r="A873" s="8" t="str">
        <x:v>Tumbler Ridge|2024</x:v>
      </x:c>
      <x:c r="B873" s="8" t="str">
        <x:v>tumbler-ridge-d</x:v>
      </x:c>
      <x:c r="C873" s="8" t="str">
        <x:v>Tumbler Ridge</x:v>
      </x:c>
      <x:c r="D873" s="8" t="str">
        <x:v>Tumbler Ridge</x:v>
      </x:c>
      <x:c r="E873" s="8" t="str">
        <x:v>D</x:v>
      </x:c>
      <x:c r="F873" s="8" t="str">
        <x:v>PEA</x:v>
      </x:c>
      <x:c r="G873" s="9" t="n">
        <x:v>2024</x:v>
      </x:c>
      <x:c r="H873" s="10" t="n">
        <x:v>2301</x:v>
      </x:c>
      <x:c r="I873" s="8" t="str">
        <x:v>Under 5,000</x:v>
      </x:c>
      <x:c r="J873" s="11" t="n">
        <x:v>20129068</x:v>
      </x:c>
      <x:c r="K873" s="11" t="n">
        <x:v>16499457</x:v>
      </x:c>
      <x:c r="L873" s="11" t="n">
        <x:v>3629611</x:v>
      </x:c>
      <x:c r="M873" s="12" t="n">
        <x:v>0.1803168929629529</x:v>
      </x:c>
      <x:c r="N873" s="11" t="n">
        <x:v>10900661</x:v>
      </x:c>
      <x:c r="O873" s="11" t="n">
        <x:v>2705397</x:v>
      </x:c>
      <x:c r="P873" s="11" t="n">
        <x:v>3234386</x:v>
      </x:c>
      <x:c r="Q873" s="11" t="n">
        <x:v>3288624</x:v>
      </x:c>
      <x:c r="R873" s="11" t="n">
        <x:v>13133176</x:v>
      </x:c>
      <x:c r="S873" s="11" t="n">
        <x:v>3340554</x:v>
      </x:c>
      <x:c r="T873" s="11" t="n">
        <x:v>44248714</x:v>
      </x:c>
      <x:c r="U873" s="11" t="n">
        <x:v>3039009</x:v>
      </x:c>
      <x:c r="V873" s="11" t="n">
        <x:v>45817128</x:v>
      </x:c>
      <x:c r="W873" s="11" t="n">
        <x:v>22703665</x:v>
      </x:c>
      <x:c r="X873" s="11" t="n">
        <x:v>197767</x:v>
      </x:c>
      <x:c r="Y873" s="11" t="n">
        <x:v>0</x:v>
      </x:c>
      <x:c r="Z873" s="11" t="n">
        <x:v>114206</x:v>
      </x:c>
      <x:c r="AA873" s="11" t="n">
        <x:v>0</x:v>
      </x:c>
      <x:c r="AB873" s="11" t="n">
        <x:v>25727</x:v>
      </x:c>
      <x:c r="AC873" s="11" t="n">
        <x:v>139933</x:v>
      </x:c>
      <x:c r="AD873" s="11" t="n">
        <x:v>3599361</x:v>
      </x:c>
      <x:c r="AE873" s="11" t="n">
        <x:v>3459428</x:v>
      </x:c>
      <x:c r="AF873" s="11" t="n">
        <x:v>14397445</x:v>
      </x:c>
      <x:c r="AG873" s="11" t="n">
        <x:v>115363885</x:v>
      </x:c>
      <x:c r="AH873" s="11" t="n">
        <x:v>65670095</x:v>
      </x:c>
      <x:c r="AI873" s="11" t="n">
        <x:v>49693790</x:v>
      </x:c>
      <x:c r="AJ873" s="11" t="n">
        <x:v>1522096</x:v>
      </x:c>
      <x:c r="AK873" s="11" t="n">
        <x:v>716361537</x:v>
      </x:c>
      <x:c r="AL873" s="11" t="n">
        <x:v>329014850</x:v>
      </x:c>
      <x:c r="AM873" s="12" t="n">
        <x:v>0.5407139649375117</x:v>
      </x:c>
      <x:c r="AN873" s="12" t="n">
        <x:v>0.0021247595262781395</x:v>
      </x:c>
      <x:c r="AO873" s="11" t="n">
        <x:v>13834468</x:v>
      </x:c>
      <x:c r="AP873" s="11" t="n">
        <x:v>13521139</x:v>
      </x:c>
      <x:c r="AQ873" s="12" t="n">
        <x:v>0.9773515685604969</x:v>
      </x:c>
      <x:c r="AR873" s="11" t="n">
        <x:v>8747.965232507606</x:v>
      </x:c>
      <x:c r="AS873" s="11" t="n">
        <x:v>7170.559322033899</x:v>
      </x:c>
      <x:c r="AT873" s="11" t="n">
        <x:v>19911.833116036505</x:v>
      </x:c>
      <x:c r="AU873" s="11" t="n">
        <x:v>9866.868752716211</x:v>
      </x:c>
      <x:c r="AV873" s="11" t="n">
        <x:v>0</x:v>
      </x:c>
      <x:c r="AW873" s="11" t="n">
        <x:v>14.56024447443229</x:v>
      </x:c>
      <x:c r="AX873" s="12" t="n">
        <x:v>0.9611228215230425</x:v>
      </x:c>
      <x:c r="AY873" s="11" t="n">
        <x:v>4486.511144130758</x:v>
      </x:c>
      <x:c r="AZ873" s="11" t="n">
        <x:v>3546.5079302077975</x:v>
      </x:c>
      <x:c r="BA873" s="11" t="n">
        <x:v>3557.844717668488</x:v>
      </x:c>
      <x:c r="BB873" s="11" t="n">
        <x:v>2783.665107049771</x:v>
      </x:c>
      <x:c r="BC873" s="11" t="n">
        <x:v>5496.677373974208</x:v>
      </x:c>
      <x:c r="BD873" s="11" t="n">
        <x:v>2437.8724475115623</x:v>
      </x:c>
      <x:c r="BE873" s="11" t="n">
        <x:v>3386.4506393861893</x:v>
      </x:c>
      <x:c r="BF873" s="11" t="n">
        <x:v>1604.3462673977224</x:v>
      </x:c>
      <x:c r="BG873" s="11" t="n">
        <x:v>624.7436119532265</x:v>
      </x:c>
      <x:c r="BH873" s="11" t="n">
        <x:v>518.5374381567245</x:v>
      </x:c>
      <x:c r="BI873" s="11" t="n">
        <x:v>3.324657351485151</x:v>
      </x:c>
      <x:c r="BJ873" s="11" t="n">
        <x:v>1.7099330852451193</x:v>
      </x:c>
      <x:c r="BK873" s="12" t="n">
        <x:v>0.02521828600111612</x:v>
      </x:c>
      <x:c r="BL873" s="12" t="n">
        <x:v>0.02529861000232605</x:v>
      </x:c>
      <x:c r="BM873" s="12" t="n">
        <x:v>0.9816336034641139</x:v>
      </x:c>
      <x:c r="BN873" s="12" t="n">
        <x:v>0.9815511712696461</x:v>
      </x:c>
      <x:c r="BO873" s="12" t="n">
        <x:v>0.8531878894527055</x:v>
      </x:c>
      <x:c r="BP873" s="12" t="n">
        <x:v>0.8619101997275483</x:v>
      </x:c>
      <x:c r="BQ873" s="12" t="n">
        <x:v>0.9614729661922712</x:v>
      </x:c>
      <x:c r="BR873" s="12" t="n">
        <x:v>0.9623635142836453</x:v>
      </x:c>
      <x:c r="BS873" s="12" t="n">
        <x:v>0.23352896680225554</x:v>
      </x:c>
      <x:c r="BT873" s="12" t="n">
        <x:v>0.19976549769108282</x:v>
      </x:c>
      <x:c r="BU873" s="11" t="n">
        <x:v>174567</x:v>
      </x:c>
      <x:c r="BV873" s="11" t="n">
        <x:v>3059819</x:v>
      </x:c>
      <x:c r="BW873" s="11" t="n">
        <x:v>0</x:v>
      </x:c>
      <x:c r="BX873" s="11" t="n">
        <x:v>1793520</x:v>
      </x:c>
      <x:c r="BY873" s="11" t="n">
        <x:v>1455145</x:v>
      </x:c>
      <x:c r="BZ873" s="11" t="n">
        <x:v>0</x:v>
      </x:c>
      <x:c r="CA873" s="11" t="n">
        <x:v>39959</x:v>
      </x:c>
      <x:c r="CB873" s="11" t="n">
        <x:v>0</x:v>
      </x:c>
      <x:c r="CC873" s="11" t="n">
        <x:v>3312500</x:v>
      </x:c>
      <x:c r="CD873" s="11" t="n">
        <x:v>951906</x:v>
      </x:c>
      <x:c r="CE873" s="11" t="n">
        <x:v>648494</x:v>
      </x:c>
      <x:c r="CF873" s="11" t="n">
        <x:v>0</x:v>
      </x:c>
      <x:c r="CG873" s="11" t="n">
        <x:v>473628</x:v>
      </x:c>
      <x:c r="CH873" s="11" t="n">
        <x:v>2581062</x:v>
      </x:c>
      <x:c r="CI873" s="11" t="n">
        <x:v>3920607</x:v>
      </x:c>
      <x:c r="CJ873" s="11" t="n">
        <x:v>756891</x:v>
      </x:c>
      <x:c r="CK873" s="11" t="n">
        <x:v>288101</x:v>
      </x:c>
      <x:c r="CL873" s="11" t="n">
        <x:v>0</x:v>
      </x:c>
      <x:c r="CM873" s="11" t="n">
        <x:v>39095</x:v>
      </x:c>
      <x:c r="CN873" s="11" t="n">
        <x:v>186619</x:v>
      </x:c>
      <x:c r="CO873" s="11" t="n">
        <x:v>0</x:v>
      </x:c>
      <x:c r="CP873" s="8"/>
      <x:c r="CQ873" s="8"/>
    </x:row>
    <x:row r="874">
      <x:c r="A874" s="8" t="str">
        <x:v>Ucluelet|2019</x:v>
      </x:c>
      <x:c r="B874" s="8" t="str">
        <x:v>ucluelet-d</x:v>
      </x:c>
      <x:c r="C874" s="8" t="str">
        <x:v>Ucluelet</x:v>
      </x:c>
      <x:c r="D874" s="8" t="str">
        <x:v>Ucluelet</x:v>
      </x:c>
      <x:c r="E874" s="8" t="str">
        <x:v>D</x:v>
      </x:c>
      <x:c r="F874" s="8" t="str">
        <x:v>ALB</x:v>
      </x:c>
      <x:c r="G874" s="9" t="n">
        <x:v>2019</x:v>
      </x:c>
      <x:c r="H874" s="10" t="n">
        <x:v>1842</x:v>
      </x:c>
      <x:c r="I874" s="8" t="str">
        <x:v>Under 5,000</x:v>
      </x:c>
      <x:c r="J874" s="11" t="n">
        <x:v>8493967</x:v>
      </x:c>
      <x:c r="K874" s="11" t="n">
        <x:v>7236179</x:v>
      </x:c>
      <x:c r="L874" s="11" t="n">
        <x:v>1257788</x:v>
      </x:c>
      <x:c r="M874" s="12" t="n">
        <x:v>0.14808016089537432</x:v>
      </x:c>
      <x:c r="N874" s="11" t="n">
        <x:v>3177950</x:v>
      </x:c>
      <x:c r="O874" s="11" t="n">
        <x:v>2177509</x:v>
      </x:c>
      <x:c r="P874" s="11" t="n">
        <x:v>1796668</x:v>
      </x:c>
      <x:c r="Q874" s="11" t="n">
        <x:v>1341840</x:v>
      </x:c>
      <x:c r="R874" s="11" t="n">
        <x:v>5830443</x:v>
      </x:c>
      <x:c r="S874" s="11" t="n">
        <x:v>1329126</x:v>
      </x:c>
      <x:c r="T874" s="11" t="n">
        <x:v>11066622</x:v>
      </x:c>
      <x:c r="U874" s="11" t="n">
        <x:v>4361999</x:v>
      </x:c>
      <x:c r="V874" s="11" t="n">
        <x:v>8146553</x:v>
      </x:c>
      <x:c r="W874" s="11" t="n">
        <x:v>5543115</x:v>
      </x:c>
      <x:c r="X874" s="11" t="n">
        <x:v>2028015</x:v>
      </x:c>
      <x:c r="Y874" s="11" t="n">
        <x:v>0</x:v>
      </x:c>
      <x:c r="Z874" s="11" t="n">
        <x:v>72314</x:v>
      </x:c>
      <x:c r="AA874" s="11" t="n">
        <x:v>1940157</x:v>
      </x:c>
      <x:c r="AB874" s="11" t="n">
        <x:v>76610</x:v>
      </x:c>
      <x:c r="AC874" s="11" t="n">
        <x:v>148924</x:v>
      </x:c>
      <x:c r="AD874" s="11" t="n">
        <x:v>1596399</x:v>
      </x:c>
      <x:c r="AE874" s="11" t="n">
        <x:v>1447475</x:v>
      </x:c>
      <x:c r="AF874" s="11" t="n">
        <x:v>6385595</x:v>
      </x:c>
      <x:c r="AG874" s="11" t="n">
        <x:v>60121099</x:v>
      </x:c>
      <x:c r="AH874" s="11" t="n">
        <x:v>19275275</x:v>
      </x:c>
      <x:c r="AI874" s="11" t="n">
        <x:v>40845824</x:v>
      </x:c>
      <x:c r="AJ874" s="11" t="n">
        <x:v>1614672</x:v>
      </x:c>
      <x:c r="AK874" s="11" t="n">
        <x:v>17674456</x:v>
      </x:c>
      <x:c r="AL874" s="11" t="n">
        <x:v>0</x:v>
      </x:c>
      <x:c r="AM874" s="12" t="n">
        <x:v>1</x:v>
      </x:c>
      <x:c r="AN874" s="12" t="n">
        <x:v>0.09135624881467357</x:v>
      </x:c>
      <x:c r="AO874" s="11" t="n">
        <x:v>5321498</x:v>
      </x:c>
      <x:c r="AP874" s="11" t="n">
        <x:v>5167222</x:v>
      </x:c>
      <x:c r="AQ874" s="12" t="n">
        <x:v>0.9710089151588519</x:v>
      </x:c>
      <x:c r="AR874" s="11" t="n">
        <x:v>4611.274158523344</x:v>
      </x:c>
      <x:c r="AS874" s="11" t="n">
        <x:v>3928.4359391965254</x:v>
      </x:c>
      <x:c r="AT874" s="11" t="n">
        <x:v>4422.667209554832</x:v>
      </x:c>
      <x:c r="AU874" s="11" t="n">
        <x:v>3009.2915309446253</x:v>
      </x:c>
      <x:c r="AV874" s="11" t="n">
        <x:v>1053.2882736156353</x:v>
      </x:c>
      <x:c r="AW874" s="11" t="n">
        <x:v>2.537052851227155</x:v>
      </x:c>
      <x:c r="AX874" s="12" t="n">
        <x:v>0.9067125449214137</x:v>
      </x:c>
      <x:c r="AY874" s="11"/>
      <x:c r="AZ874" s="11"/>
      <x:c r="BA874" s="11"/>
      <x:c r="BB874" s="11"/>
      <x:c r="BC874" s="11"/>
      <x:c r="BD874" s="11"/>
      <x:c r="BE874" s="11"/>
      <x:c r="BF874" s="11"/>
      <x:c r="BG874" s="11"/>
      <x:c r="BH874" s="11"/>
      <x:c r="BI874" s="11"/>
      <x:c r="BJ874" s="11"/>
      <x:c r="BK874" s="12"/>
      <x:c r="BL874" s="12"/>
      <x:c r="BM874" s="12"/>
      <x:c r="BN874" s="12"/>
      <x:c r="BO874" s="12"/>
      <x:c r="BP874" s="12"/>
      <x:c r="BQ874" s="12"/>
      <x:c r="BR874" s="12"/>
      <x:c r="BS874" s="12"/>
      <x:c r="BT874" s="12"/>
      <x:c r="BU874" s="11" t="n">
        <x:v>365248</x:v>
      </x:c>
      <x:c r="BV874" s="11" t="n">
        <x:v>1408510</x:v>
      </x:c>
      <x:c r="BW874" s="11" t="n">
        <x:v>22910</x:v>
      </x:c>
      <x:c r="BX874" s="11" t="n">
        <x:v>152333</x:v>
      </x:c>
      <x:c r="BY874" s="11" t="n">
        <x:v>1189507</x:v>
      </x:c>
      <x:c r="BZ874" s="11" t="n">
        <x:v>0</x:v>
      </x:c>
      <x:c r="CA874" s="11" t="n">
        <x:v>0</x:v>
      </x:c>
      <x:c r="CB874" s="11" t="n">
        <x:v>0</x:v>
      </x:c>
      <x:c r="CC874" s="11" t="n">
        <x:v>2048520</x:v>
      </x:c>
      <x:c r="CD874" s="11" t="n">
        <x:v>393369</x:v>
      </x:c>
      <x:c r="CE874" s="11" t="n">
        <x:v>0</x:v>
      </x:c>
      <x:c r="CF874" s="11" t="n">
        <x:v>0</x:v>
      </x:c>
      <x:c r="CG874" s="11" t="n">
        <x:v>380832</x:v>
      </x:c>
      <x:c r="CH874" s="11" t="n">
        <x:v>950578</x:v>
      </x:c>
      <x:c r="CI874" s="11" t="n">
        <x:v>1364108</x:v>
      </x:c>
      <x:c r="CJ874" s="11" t="n">
        <x:v>344065</x:v>
      </x:c>
      <x:c r="CK874" s="11" t="n">
        <x:v>425581</x:v>
      </x:c>
      <x:c r="CL874" s="11" t="n">
        <x:v>0</x:v>
      </x:c>
      <x:c r="CM874" s="11"/>
      <x:c r="CN874" s="11" t="n">
        <x:v>0</x:v>
      </x:c>
      <x:c r="CO874" s="11" t="n">
        <x:v>0</x:v>
      </x:c>
      <x:c r="CP874" s="8"/>
      <x:c r="CQ874" s="8"/>
    </x:row>
    <x:row r="875">
      <x:c r="A875" s="8" t="str">
        <x:v>Ucluelet|2020</x:v>
      </x:c>
      <x:c r="B875" s="8" t="str">
        <x:v>ucluelet-d</x:v>
      </x:c>
      <x:c r="C875" s="8" t="str">
        <x:v>Ucluelet</x:v>
      </x:c>
      <x:c r="D875" s="8" t="str">
        <x:v>Ucluelet</x:v>
      </x:c>
      <x:c r="E875" s="8" t="str">
        <x:v>D</x:v>
      </x:c>
      <x:c r="F875" s="8" t="str">
        <x:v>ALB</x:v>
      </x:c>
      <x:c r="G875" s="9" t="n">
        <x:v>2020</x:v>
      </x:c>
      <x:c r="H875" s="10" t="n">
        <x:v>1941</x:v>
      </x:c>
      <x:c r="I875" s="8" t="str">
        <x:v>Under 5,000</x:v>
      </x:c>
      <x:c r="J875" s="11" t="n">
        <x:v>7848780</x:v>
      </x:c>
      <x:c r="K875" s="11" t="n">
        <x:v>6678225</x:v>
      </x:c>
      <x:c r="L875" s="11" t="n">
        <x:v>1170555</x:v>
      </x:c>
      <x:c r="M875" s="12" t="n">
        <x:v>0.149138464831477</x:v>
      </x:c>
      <x:c r="N875" s="11" t="n">
        <x:v>3701832</x:v>
      </x:c>
      <x:c r="O875" s="11" t="n">
        <x:v>2109407</x:v>
      </x:c>
      <x:c r="P875" s="11" t="n">
        <x:v>1506311</x:v>
      </x:c>
      <x:c r="Q875" s="11" t="n">
        <x:v>531230</x:v>
      </x:c>
      <x:c r="R875" s="11" t="n">
        <x:v>5416272</x:v>
      </x:c>
      <x:c r="S875" s="11" t="n">
        <x:v>1184015</x:v>
      </x:c>
      <x:c r="T875" s="11" t="n">
        <x:v>13245717</x:v>
      </x:c>
      <x:c r="U875" s="11" t="n">
        <x:v>5789195</x:v>
      </x:c>
      <x:c r="V875" s="11" t="n">
        <x:v>8911462</x:v>
      </x:c>
      <x:c r="W875" s="11" t="n">
        <x:v>6460368</x:v>
      </x:c>
      <x:c r="X875" s="11" t="n">
        <x:v>1940157</x:v>
      </x:c>
      <x:c r="Y875" s="11" t="n">
        <x:v>200000</x:v>
      </x:c>
      <x:c r="Z875" s="11" t="n">
        <x:v>91779</x:v>
      </x:c>
      <x:c r="AA875" s="11" t="n">
        <x:v>2029583</x:v>
      </x:c>
      <x:c r="AB875" s="11" t="n">
        <x:v>77938</x:v>
      </x:c>
      <x:c r="AC875" s="11" t="n">
        <x:v>169717</x:v>
      </x:c>
      <x:c r="AD875" s="11" t="n">
        <x:v>1461613</x:v>
      </x:c>
      <x:c r="AE875" s="11" t="n">
        <x:v>1291896</x:v>
      </x:c>
      <x:c r="AF875" s="11" t="n">
        <x:v>5846450</x:v>
      </x:c>
      <x:c r="AG875" s="11" t="n">
        <x:v>61724981</x:v>
      </x:c>
      <x:c r="AH875" s="11" t="n">
        <x:v>20459290</x:v>
      </x:c>
      <x:c r="AI875" s="11" t="n">
        <x:v>41265691</x:v>
      </x:c>
      <x:c r="AJ875" s="11" t="n">
        <x:v>1619534</x:v>
      </x:c>
      <x:c r="AK875" s="11" t="n">
        <x:v>18539993</x:v>
      </x:c>
      <x:c r="AL875" s="11" t="n">
        <x:v>0</x:v>
      </x:c>
      <x:c r="AM875" s="12" t="n">
        <x:v>1</x:v>
      </x:c>
      <x:c r="AN875" s="12" t="n">
        <x:v>0.08735353891449689</x:v>
      </x:c>
      <x:c r="AO875" s="11" t="n">
        <x:v>5435300</x:v>
      </x:c>
      <x:c r="AP875" s="11" t="n">
        <x:v>5285392</x:v>
      </x:c>
      <x:c r="AQ875" s="12" t="n">
        <x:v>0.9724195536584918</x:v>
      </x:c>
      <x:c r="AR875" s="11" t="n">
        <x:v>4043.678516228748</x:v>
      </x:c>
      <x:c r="AS875" s="11" t="n">
        <x:v>3440.610510046368</x:v>
      </x:c>
      <x:c r="AT875" s="11" t="n">
        <x:v>4591.170530654302</x:v>
      </x:c>
      <x:c r="AU875" s="11" t="n">
        <x:v>3328.370942812983</x:v>
      </x:c>
      <x:c r="AV875" s="11" t="n">
        <x:v>1045.6378155589903</x:v>
      </x:c>
      <x:c r="AW875" s="11" t="n">
        <x:v>2.288006709050222</x:v>
      </x:c>
      <x:c r="AX875" s="12" t="n">
        <x:v>0.8838837640332975</x:v>
      </x:c>
      <x:c r="AY875" s="11"/>
      <x:c r="AZ875" s="11"/>
      <x:c r="BA875" s="11"/>
      <x:c r="BB875" s="11"/>
      <x:c r="BC875" s="11"/>
      <x:c r="BD875" s="11"/>
      <x:c r="BE875" s="11"/>
      <x:c r="BF875" s="11"/>
      <x:c r="BG875" s="11"/>
      <x:c r="BH875" s="11"/>
      <x:c r="BI875" s="11"/>
      <x:c r="BJ875" s="11"/>
      <x:c r="BK875" s="12"/>
      <x:c r="BL875" s="12"/>
      <x:c r="BM875" s="12"/>
      <x:c r="BN875" s="12"/>
      <x:c r="BO875" s="12"/>
      <x:c r="BP875" s="12"/>
      <x:c r="BQ875" s="12"/>
      <x:c r="BR875" s="12"/>
      <x:c r="BS875" s="12"/>
      <x:c r="BT875" s="12"/>
      <x:c r="BU875" s="11" t="n">
        <x:v>127431</x:v>
      </x:c>
      <x:c r="BV875" s="11" t="n">
        <x:v>1349528</x:v>
      </x:c>
      <x:c r="BW875" s="11" t="n">
        <x:v>29352</x:v>
      </x:c>
      <x:c r="BX875" s="11" t="n">
        <x:v>65090</x:v>
      </x:c>
      <x:c r="BY875" s="11" t="n">
        <x:v>466140</x:v>
      </x:c>
      <x:c r="BZ875" s="11" t="n">
        <x:v>0</x:v>
      </x:c>
      <x:c r="CA875" s="11" t="n">
        <x:v>0</x:v>
      </x:c>
      <x:c r="CB875" s="11" t="n">
        <x:v>0</x:v>
      </x:c>
      <x:c r="CC875" s="11" t="n">
        <x:v>1545038</x:v>
      </x:c>
      <x:c r="CD875" s="11" t="n">
        <x:v>415997</x:v>
      </x:c>
      <x:c r="CE875" s="11" t="n">
        <x:v>0</x:v>
      </x:c>
      <x:c r="CF875" s="11" t="n">
        <x:v>0</x:v>
      </x:c>
      <x:c r="CG875" s="11" t="n">
        <x:v>608526</x:v>
      </x:c>
      <x:c r="CH875" s="11" t="n">
        <x:v>834824</x:v>
      </x:c>
      <x:c r="CI875" s="11" t="n">
        <x:v>1276399</x:v>
      </x:c>
      <x:c r="CJ875" s="11" t="n">
        <x:v>438077</x:v>
      </x:c>
      <x:c r="CK875" s="11" t="n">
        <x:v>375349</x:v>
      </x:c>
      <x:c r="CL875" s="11" t="n">
        <x:v>0</x:v>
      </x:c>
      <x:c r="CM875" s="11"/>
      <x:c r="CN875" s="11" t="n">
        <x:v>0</x:v>
      </x:c>
      <x:c r="CO875" s="11" t="n">
        <x:v>0</x:v>
      </x:c>
      <x:c r="CP875" s="8"/>
      <x:c r="CQ875" s="8"/>
    </x:row>
    <x:row r="876">
      <x:c r="A876" s="8" t="str">
        <x:v>Ucluelet|2021</x:v>
      </x:c>
      <x:c r="B876" s="8" t="str">
        <x:v>ucluelet-d</x:v>
      </x:c>
      <x:c r="C876" s="8" t="str">
        <x:v>Ucluelet</x:v>
      </x:c>
      <x:c r="D876" s="8" t="str">
        <x:v>Ucluelet</x:v>
      </x:c>
      <x:c r="E876" s="8" t="str">
        <x:v>D</x:v>
      </x:c>
      <x:c r="F876" s="8" t="str">
        <x:v>ALB</x:v>
      </x:c>
      <x:c r="G876" s="9" t="n">
        <x:v>2021</x:v>
      </x:c>
      <x:c r="H876" s="10" t="n">
        <x:v>2055</x:v>
      </x:c>
      <x:c r="I876" s="8" t="str">
        <x:v>Under 5,000</x:v>
      </x:c>
      <x:c r="J876" s="11" t="n">
        <x:v>8279043</x:v>
      </x:c>
      <x:c r="K876" s="11" t="n">
        <x:v>7464927</x:v>
      </x:c>
      <x:c r="L876" s="11" t="n">
        <x:v>814116</x:v>
      </x:c>
      <x:c r="M876" s="12" t="n">
        <x:v>0.09833455388503236</x:v>
      </x:c>
      <x:c r="N876" s="11" t="n">
        <x:v>3972520</x:v>
      </x:c>
      <x:c r="O876" s="11" t="n">
        <x:v>2211444</x:v>
      </x:c>
      <x:c r="P876" s="11" t="n">
        <x:v>1061451</x:v>
      </x:c>
      <x:c r="Q876" s="11" t="n">
        <x:v>1033628</x:v>
      </x:c>
      <x:c r="R876" s="11" t="n">
        <x:v>6086019</x:v>
      </x:c>
      <x:c r="S876" s="11" t="n">
        <x:v>1300714</x:v>
      </x:c>
      <x:c r="T876" s="11" t="n">
        <x:v>13944134</x:v>
      </x:c>
      <x:c r="U876" s="11" t="n">
        <x:v>6197091</x:v>
      </x:c>
      <x:c r="V876" s="11" t="n">
        <x:v>9990853</x:v>
      </x:c>
      <x:c r="W876" s="11" t="n">
        <x:v>6258399</x:v>
      </x:c>
      <x:c r="X876" s="11" t="n">
        <x:v>2032859</x:v>
      </x:c>
      <x:c r="Y876" s="11" t="n">
        <x:v>0</x:v>
      </x:c>
      <x:c r="Z876" s="11" t="n">
        <x:v>112300</x:v>
      </x:c>
      <x:c r="AA876" s="11" t="n">
        <x:v>1898390</x:v>
      </x:c>
      <x:c r="AB876" s="11" t="n">
        <x:v>78194</x:v>
      </x:c>
      <x:c r="AC876" s="11" t="n">
        <x:v>190494</x:v>
      </x:c>
      <x:c r="AD876" s="11" t="n">
        <x:v>1504686</x:v>
      </x:c>
      <x:c r="AE876" s="11" t="n">
        <x:v>1314192</x:v>
      </x:c>
      <x:c r="AF876" s="11" t="n">
        <x:v>6018743</x:v>
      </x:c>
      <x:c r="AG876" s="11" t="n">
        <x:v>62720989</x:v>
      </x:c>
      <x:c r="AH876" s="11" t="n">
        <x:v>21741829</x:v>
      </x:c>
      <x:c r="AI876" s="11" t="n">
        <x:v>40979160</x:v>
      </x:c>
      <x:c r="AJ876" s="11" t="n">
        <x:v>1014296</x:v>
      </x:c>
      <x:c r="AK876" s="11" t="n">
        <x:v>15591511</x:v>
      </x:c>
      <x:c r="AL876" s="11" t="n">
        <x:v>0</x:v>
      </x:c>
      <x:c r="AM876" s="12" t="n">
        <x:v>1</x:v>
      </x:c>
      <x:c r="AN876" s="12" t="n">
        <x:v>0.06505437478125116</x:v>
      </x:c>
      <x:c r="AO876" s="11" t="n">
        <x:v>5884790</x:v>
      </x:c>
      <x:c r="AP876" s="11" t="n">
        <x:v>5736995</x:v>
      </x:c>
      <x:c r="AQ876" s="12" t="n">
        <x:v>0.9748852550388374</x:v>
      </x:c>
      <x:c r="AR876" s="11" t="n">
        <x:v>4028.7313868613137</x:v>
      </x:c>
      <x:c r="AS876" s="11" t="n">
        <x:v>3632.5678832116787</x:v>
      </x:c>
      <x:c r="AT876" s="11" t="n">
        <x:v>4861.7289537712895</x:v>
      </x:c>
      <x:c r="AU876" s="11" t="n">
        <x:v>3045.449635036496</x:v>
      </x:c>
      <x:c r="AV876" s="11" t="n">
        <x:v>923.7907542579076</x:v>
      </x:c>
      <x:c r="AW876" s="11" t="n">
        <x:v>2.2501096078789224</x:v>
      </x:c>
      <x:c r="AX876" s="12" t="n">
        <x:v>0.8733994999621183</x:v>
      </x:c>
      <x:c r="AY876" s="11"/>
      <x:c r="AZ876" s="11"/>
      <x:c r="BA876" s="11"/>
      <x:c r="BB876" s="11"/>
      <x:c r="BC876" s="11"/>
      <x:c r="BD876" s="11"/>
      <x:c r="BE876" s="11"/>
      <x:c r="BF876" s="11"/>
      <x:c r="BG876" s="11"/>
      <x:c r="BH876" s="11"/>
      <x:c r="BI876" s="11"/>
      <x:c r="BJ876" s="11"/>
      <x:c r="BK876" s="12"/>
      <x:c r="BL876" s="12"/>
      <x:c r="BM876" s="12"/>
      <x:c r="BN876" s="12"/>
      <x:c r="BO876" s="12"/>
      <x:c r="BP876" s="12"/>
      <x:c r="BQ876" s="12"/>
      <x:c r="BR876" s="12"/>
      <x:c r="BS876" s="12"/>
      <x:c r="BT876" s="12"/>
      <x:c r="BU876" s="11" t="n">
        <x:v>260879</x:v>
      </x:c>
      <x:c r="BV876" s="11" t="n">
        <x:v>768272</x:v>
      </x:c>
      <x:c r="BW876" s="11" t="n">
        <x:v>32300</x:v>
      </x:c>
      <x:c r="BX876" s="11" t="n">
        <x:v>48562</x:v>
      </x:c>
      <x:c r="BY876" s="11" t="n">
        <x:v>985066</x:v>
      </x:c>
      <x:c r="BZ876" s="11" t="n">
        <x:v>0</x:v>
      </x:c>
      <x:c r="CA876" s="11" t="n">
        <x:v>0</x:v>
      </x:c>
      <x:c r="CB876" s="11" t="n">
        <x:v>0</x:v>
      </x:c>
      <x:c r="CC876" s="11" t="n">
        <x:v>1673539</x:v>
      </x:c>
      <x:c r="CD876" s="11" t="n">
        <x:v>560744</x:v>
      </x:c>
      <x:c r="CE876" s="11" t="n">
        <x:v>0</x:v>
      </x:c>
      <x:c r="CF876" s="11" t="n">
        <x:v>0</x:v>
      </x:c>
      <x:c r="CG876" s="11" t="n">
        <x:v>455057</x:v>
      </x:c>
      <x:c r="CH876" s="11" t="n">
        <x:v>1029880</x:v>
      </x:c>
      <x:c r="CI876" s="11" t="n">
        <x:v>1523046</x:v>
      </x:c>
      <x:c r="CJ876" s="11" t="n">
        <x:v>494542</x:v>
      </x:c>
      <x:c r="CK876" s="11" t="n">
        <x:v>427405</x:v>
      </x:c>
      <x:c r="CL876" s="11" t="n">
        <x:v>0</x:v>
      </x:c>
      <x:c r="CM876" s="11"/>
      <x:c r="CN876" s="11" t="n">
        <x:v>0</x:v>
      </x:c>
      <x:c r="CO876" s="11" t="n">
        <x:v>0</x:v>
      </x:c>
      <x:c r="CP876" s="8"/>
      <x:c r="CQ876" s="8"/>
    </x:row>
    <x:row r="877">
      <x:c r="A877" s="8" t="str">
        <x:v>Ucluelet|2022</x:v>
      </x:c>
      <x:c r="B877" s="8" t="str">
        <x:v>ucluelet-d</x:v>
      </x:c>
      <x:c r="C877" s="8" t="str">
        <x:v>Ucluelet</x:v>
      </x:c>
      <x:c r="D877" s="8" t="str">
        <x:v>Ucluelet</x:v>
      </x:c>
      <x:c r="E877" s="8" t="str">
        <x:v>D</x:v>
      </x:c>
      <x:c r="F877" s="8" t="str">
        <x:v>ALB</x:v>
      </x:c>
      <x:c r="G877" s="9" t="n">
        <x:v>2022</x:v>
      </x:c>
      <x:c r="H877" s="10" t="n">
        <x:v>2204</x:v>
      </x:c>
      <x:c r="I877" s="8" t="str">
        <x:v>Under 5,000</x:v>
      </x:c>
      <x:c r="J877" s="11" t="n">
        <x:v>10489439</x:v>
      </x:c>
      <x:c r="K877" s="11" t="n">
        <x:v>8403695</x:v>
      </x:c>
      <x:c r="L877" s="11" t="n">
        <x:v>2085744</x:v>
      </x:c>
      <x:c r="M877" s="12" t="n">
        <x:v>0.19884228317644062</x:v>
      </x:c>
      <x:c r="N877" s="11" t="n">
        <x:v>4693327</x:v>
      </x:c>
      <x:c r="O877" s="11" t="n">
        <x:v>2561220</x:v>
      </x:c>
      <x:c r="P877" s="11" t="n">
        <x:v>1532055</x:v>
      </x:c>
      <x:c r="Q877" s="11" t="n">
        <x:v>1702837</x:v>
      </x:c>
      <x:c r="R877" s="11" t="n">
        <x:v>7071369</x:v>
      </x:c>
      <x:c r="S877" s="11" t="n">
        <x:v>1290391</x:v>
      </x:c>
      <x:c r="T877" s="11" t="n">
        <x:v>13707028</x:v>
      </x:c>
      <x:c r="U877" s="11" t="n">
        <x:v>6327715</x:v>
      </x:c>
      <x:c r="V877" s="11" t="n">
        <x:v>11868335</x:v>
      </x:c>
      <x:c r="W877" s="11" t="n">
        <x:v>6898234</x:v>
      </x:c>
      <x:c r="X877" s="11" t="n">
        <x:v>1898390</x:v>
      </x:c>
      <x:c r="Y877" s="11" t="n">
        <x:v>350000</x:v>
      </x:c>
      <x:c r="Z877" s="11" t="n">
        <x:v>137516</x:v>
      </x:c>
      <x:c r="AA877" s="11" t="n">
        <x:v>2088013</x:v>
      </x:c>
      <x:c r="AB877" s="11" t="n">
        <x:v>41935</x:v>
      </x:c>
      <x:c r="AC877" s="11" t="n">
        <x:v>179451</x:v>
      </x:c>
      <x:c r="AD877" s="11" t="n">
        <x:v>1774479</x:v>
      </x:c>
      <x:c r="AE877" s="11" t="n">
        <x:v>1595028</x:v>
      </x:c>
      <x:c r="AF877" s="11" t="n">
        <x:v>7097914</x:v>
      </x:c>
      <x:c r="AG877" s="11" t="n">
        <x:v>64188987</x:v>
      </x:c>
      <x:c r="AH877" s="11" t="n">
        <x:v>23032220</x:v>
      </x:c>
      <x:c r="AI877" s="11" t="n">
        <x:v>41156767</x:v>
      </x:c>
      <x:c r="AJ877" s="11" t="n">
        <x:v>1467998</x:v>
      </x:c>
      <x:c r="AK877" s="11" t="n">
        <x:v>16022691</x:v>
      </x:c>
      <x:c r="AL877" s="11" t="n">
        <x:v>0</x:v>
      </x:c>
      <x:c r="AM877" s="12" t="n">
        <x:v>1</x:v>
      </x:c>
      <x:c r="AN877" s="12" t="n">
        <x:v>0.0916199407452843</x:v>
      </x:c>
      <x:c r="AO877" s="11" t="n">
        <x:v>6735656</x:v>
      </x:c>
      <x:c r="AP877" s="11" t="n">
        <x:v>6392758</x:v>
      </x:c>
      <x:c r="AQ877" s="12" t="n">
        <x:v>0.9490921151555246</x:v>
      </x:c>
      <x:c r="AR877" s="11" t="n">
        <x:v>4759.273593466424</x:v>
      </x:c>
      <x:c r="AS877" s="11" t="n">
        <x:v>3812.9287658802177</x:v>
      </x:c>
      <x:c r="AT877" s="11" t="n">
        <x:v>5384.906987295826</x:v>
      </x:c>
      <x:c r="AU877" s="11" t="n">
        <x:v>3129.8702359346644</x:v>
      </x:c>
      <x:c r="AV877" s="11" t="n">
        <x:v>947.3743194192377</x:v>
      </x:c>
      <x:c r="AW877" s="11" t="n">
        <x:v>2.16618921680259</x:v>
      </x:c>
      <x:c r="AX877" s="12" t="n">
        <x:v>0.8988711616198332</x:v>
      </x:c>
      <x:c r="AY877" s="11"/>
      <x:c r="AZ877" s="11"/>
      <x:c r="BA877" s="11"/>
      <x:c r="BB877" s="11"/>
      <x:c r="BC877" s="11"/>
      <x:c r="BD877" s="11"/>
      <x:c r="BE877" s="11"/>
      <x:c r="BF877" s="11"/>
      <x:c r="BG877" s="11"/>
      <x:c r="BH877" s="11"/>
      <x:c r="BI877" s="11"/>
      <x:c r="BJ877" s="11"/>
      <x:c r="BK877" s="12"/>
      <x:c r="BL877" s="12"/>
      <x:c r="BM877" s="12"/>
      <x:c r="BN877" s="12"/>
      <x:c r="BO877" s="12"/>
      <x:c r="BP877" s="12"/>
      <x:c r="BQ877" s="12"/>
      <x:c r="BR877" s="12"/>
      <x:c r="BS877" s="12"/>
      <x:c r="BT877" s="12"/>
      <x:c r="BU877" s="11" t="n">
        <x:v>133449</x:v>
      </x:c>
      <x:c r="BV877" s="11" t="n">
        <x:v>1363616</x:v>
      </x:c>
      <x:c r="BW877" s="11" t="n">
        <x:v>34990</x:v>
      </x:c>
      <x:c r="BX877" s="11" t="n">
        <x:v>162587</x:v>
      </x:c>
      <x:c r="BY877" s="11" t="n">
        <x:v>1160481</x:v>
      </x:c>
      <x:c r="BZ877" s="11" t="n">
        <x:v>379769</x:v>
      </x:c>
      <x:c r="CA877" s="11" t="n">
        <x:v>0</x:v>
      </x:c>
      <x:c r="CB877" s="11" t="n">
        <x:v>0</x:v>
      </x:c>
      <x:c r="CC877" s="11" t="n">
        <x:v>1538222</x:v>
      </x:c>
      <x:c r="CD877" s="11" t="n">
        <x:v>614474</x:v>
      </x:c>
      <x:c r="CE877" s="11" t="n">
        <x:v>0</x:v>
      </x:c>
      <x:c r="CF877" s="11" t="n">
        <x:v>0</x:v>
      </x:c>
      <x:c r="CG877" s="11" t="n">
        <x:v>513241</x:v>
      </x:c>
      <x:c r="CH877" s="11" t="n">
        <x:v>1167800</x:v>
      </x:c>
      <x:c r="CI877" s="11" t="n">
        <x:v>2231260</x:v>
      </x:c>
      <x:c r="CJ877" s="11" t="n">
        <x:v>651352</x:v>
      </x:c>
      <x:c r="CK877" s="11" t="n">
        <x:v>396955</x:v>
      </x:c>
      <x:c r="CL877" s="11" t="n">
        <x:v>0</x:v>
      </x:c>
      <x:c r="CM877" s="11"/>
      <x:c r="CN877" s="11" t="n">
        <x:v>0</x:v>
      </x:c>
      <x:c r="CO877" s="11" t="n">
        <x:v>0</x:v>
      </x:c>
      <x:c r="CP877" s="8"/>
      <x:c r="CQ877" s="8"/>
    </x:row>
    <x:row r="878">
      <x:c r="A878" s="8" t="str">
        <x:v>Ucluelet|2023</x:v>
      </x:c>
      <x:c r="B878" s="8" t="str">
        <x:v>ucluelet-d</x:v>
      </x:c>
      <x:c r="C878" s="8" t="str">
        <x:v>Ucluelet</x:v>
      </x:c>
      <x:c r="D878" s="8" t="str">
        <x:v>Ucluelet</x:v>
      </x:c>
      <x:c r="E878" s="8" t="str">
        <x:v>D</x:v>
      </x:c>
      <x:c r="F878" s="8" t="str">
        <x:v>ALB</x:v>
      </x:c>
      <x:c r="G878" s="9" t="n">
        <x:v>2023</x:v>
      </x:c>
      <x:c r="H878" s="10" t="n">
        <x:v>2309</x:v>
      </x:c>
      <x:c r="I878" s="8" t="str">
        <x:v>Under 5,000</x:v>
      </x:c>
      <x:c r="J878" s="11" t="n">
        <x:v>12337557</x:v>
      </x:c>
      <x:c r="K878" s="11" t="n">
        <x:v>8164647</x:v>
      </x:c>
      <x:c r="L878" s="11" t="n">
        <x:v>4172910</x:v>
      </x:c>
      <x:c r="M878" s="12" t="n">
        <x:v>0.3382282245990839</x:v>
      </x:c>
      <x:c r="N878" s="11" t="n">
        <x:v>4696400</x:v>
      </x:c>
      <x:c r="O878" s="11" t="n">
        <x:v>2562625</x:v>
      </x:c>
      <x:c r="P878" s="11" t="n">
        <x:v>4476607</x:v>
      </x:c>
      <x:c r="Q878" s="11" t="n">
        <x:v>601925</x:v>
      </x:c>
      <x:c r="R878" s="11" t="n">
        <x:v>6761423</x:v>
      </x:c>
      <x:c r="S878" s="11" t="n">
        <x:v>1361289</x:v>
      </x:c>
      <x:c r="T878" s="11" t="n">
        <x:v>17504790</x:v>
      </x:c>
      <x:c r="U878" s="11" t="n">
        <x:v>5997991</x:v>
      </x:c>
      <x:c r="V878" s="11" t="n">
        <x:v>14670632</x:v>
      </x:c>
      <x:c r="W878" s="11" t="n">
        <x:v>10194944</x:v>
      </x:c>
      <x:c r="X878" s="11" t="n">
        <x:v>2088013</x:v>
      </x:c>
      <x:c r="Y878" s="11" t="n">
        <x:v>0</x:v>
      </x:c>
      <x:c r="Z878" s="11" t="n">
        <x:v>173065</x:v>
      </x:c>
      <x:c r="AA878" s="11" t="n">
        <x:v>1888710</x:v>
      </x:c>
      <x:c r="AB878" s="11" t="n">
        <x:v>41935</x:v>
      </x:c>
      <x:c r="AC878" s="11" t="n">
        <x:v>215000</x:v>
      </x:c>
      <x:c r="AD878" s="11" t="n">
        <x:v>1939996</x:v>
      </x:c>
      <x:c r="AE878" s="11" t="n">
        <x:v>530296</x:v>
      </x:c>
      <x:c r="AF878" s="11" t="n">
        <x:v>7759984</x:v>
      </x:c>
      <x:c r="AG878" s="11" t="n">
        <x:v>66840369</x:v>
      </x:c>
      <x:c r="AH878" s="11" t="n">
        <x:v>24351840</x:v>
      </x:c>
      <x:c r="AI878" s="11" t="n">
        <x:v>42488529</x:v>
      </x:c>
      <x:c r="AJ878" s="11" t="n">
        <x:v>2693048</x:v>
      </x:c>
      <x:c r="AK878" s="11" t="n">
        <x:v>16895257</x:v>
      </x:c>
      <x:c r="AL878" s="11" t="n">
        <x:v>0</x:v>
      </x:c>
      <x:c r="AM878" s="12" t="n">
        <x:v>1</x:v>
      </x:c>
      <x:c r="AN878" s="12" t="n">
        <x:v>0.15939668748454078</x:v>
      </x:c>
      <x:c r="AO878" s="11" t="n">
        <x:v>7755379</x:v>
      </x:c>
      <x:c r="AP878" s="11" t="n">
        <x:v>7384778</x:v>
      </x:c>
      <x:c r="AQ878" s="12" t="n">
        <x:v>0.9522136829160767</x:v>
      </x:c>
      <x:c r="AR878" s="11" t="n">
        <x:v>5343.246860112603</x:v>
      </x:c>
      <x:c r="AS878" s="11" t="n">
        <x:v>3536.0099610220873</x:v>
      </x:c>
      <x:c r="AT878" s="11" t="n">
        <x:v>6353.673451710697</x:v>
      </x:c>
      <x:c r="AU878" s="11" t="n">
        <x:v>4415.307059333045</x:v>
      </x:c>
      <x:c r="AV878" s="11" t="n">
        <x:v>817.9774794283239</x:v>
      </x:c>
      <x:c r="AW878" s="11" t="n">
        <x:v>2.9184421917271965</x:v>
      </x:c>
      <x:c r="AX878" s="12" t="n">
        <x:v>0.27334901721446847</x:v>
      </x:c>
      <x:c r="AY878" s="11"/>
      <x:c r="AZ878" s="11"/>
      <x:c r="BA878" s="11"/>
      <x:c r="BB878" s="11"/>
      <x:c r="BC878" s="11"/>
      <x:c r="BD878" s="11"/>
      <x:c r="BE878" s="11"/>
      <x:c r="BF878" s="11"/>
      <x:c r="BG878" s="11"/>
      <x:c r="BH878" s="11"/>
      <x:c r="BI878" s="11"/>
      <x:c r="BJ878" s="11"/>
      <x:c r="BK878" s="12"/>
      <x:c r="BL878" s="12"/>
      <x:c r="BM878" s="12"/>
      <x:c r="BN878" s="12"/>
      <x:c r="BO878" s="12"/>
      <x:c r="BP878" s="12"/>
      <x:c r="BQ878" s="12"/>
      <x:c r="BR878" s="12"/>
      <x:c r="BS878" s="12"/>
      <x:c r="BT878" s="12"/>
      <x:c r="BU878" s="11" t="n">
        <x:v>139682</x:v>
      </x:c>
      <x:c r="BV878" s="11" t="n">
        <x:v>4301935</x:v>
      </x:c>
      <x:c r="BW878" s="11" t="n">
        <x:v>34990</x:v>
      </x:c>
      <x:c r="BX878" s="11" t="n">
        <x:v>488047</x:v>
      </x:c>
      <x:c r="BY878" s="11" t="n">
        <x:v>113878</x:v>
      </x:c>
      <x:c r="BZ878" s="11" t="n">
        <x:v>0</x:v>
      </x:c>
      <x:c r="CA878" s="11" t="n">
        <x:v>0</x:v>
      </x:c>
      <x:c r="CB878" s="11" t="n">
        <x:v>0</x:v>
      </x:c>
      <x:c r="CC878" s="11" t="n">
        <x:v>1835766</x:v>
      </x:c>
      <x:c r="CD878" s="11" t="n">
        <x:v>697483</x:v>
      </x:c>
      <x:c r="CE878" s="11" t="n">
        <x:v>0</x:v>
      </x:c>
      <x:c r="CF878" s="11" t="n">
        <x:v>0</x:v>
      </x:c>
      <x:c r="CG878" s="11" t="n">
        <x:v>390662</x:v>
      </x:c>
      <x:c r="CH878" s="11" t="n">
        <x:v>1199009</x:v>
      </x:c>
      <x:c r="CI878" s="11" t="n">
        <x:v>1895559</x:v>
      </x:c>
      <x:c r="CJ878" s="11" t="n">
        <x:v>392997</x:v>
      </x:c>
      <x:c r="CK878" s="11" t="n">
        <x:v>391882</x:v>
      </x:c>
      <x:c r="CL878" s="11" t="n">
        <x:v>0</x:v>
      </x:c>
      <x:c r="CM878" s="11" t="n">
        <x:v>0</x:v>
      </x:c>
      <x:c r="CN878" s="11" t="n">
        <x:v>0</x:v>
      </x:c>
      <x:c r="CO878" s="11" t="n">
        <x:v>0</x:v>
      </x:c>
      <x:c r="CP878" s="8"/>
      <x:c r="CQ878" s="8"/>
    </x:row>
    <x:row r="879">
      <x:c r="A879" s="8" t="str">
        <x:v>Ucluelet|2024</x:v>
      </x:c>
      <x:c r="B879" s="8" t="str">
        <x:v>ucluelet-d</x:v>
      </x:c>
      <x:c r="C879" s="8" t="str">
        <x:v>Ucluelet</x:v>
      </x:c>
      <x:c r="D879" s="8" t="str">
        <x:v>Ucluelet</x:v>
      </x:c>
      <x:c r="E879" s="8" t="str">
        <x:v>D</x:v>
      </x:c>
      <x:c r="F879" s="8" t="str">
        <x:v>ALB</x:v>
      </x:c>
      <x:c r="G879" s="9" t="n">
        <x:v>2024</x:v>
      </x:c>
      <x:c r="H879" s="10" t="n">
        <x:v>2309</x:v>
      </x:c>
      <x:c r="I879" s="8" t="str">
        <x:v>Under 5,000</x:v>
      </x:c>
      <x:c r="J879" s="11" t="n">
        <x:v>14820820</x:v>
      </x:c>
      <x:c r="K879" s="11" t="n">
        <x:v>8940281</x:v>
      </x:c>
      <x:c r="L879" s="11" t="n">
        <x:v>5880539</x:v>
      </x:c>
      <x:c r="M879" s="12" t="n">
        <x:v>0.3967755495309976</x:v>
      </x:c>
      <x:c r="N879" s="11" t="n">
        <x:v>5876836</x:v>
      </x:c>
      <x:c r="O879" s="11" t="n">
        <x:v>2917528</x:v>
      </x:c>
      <x:c r="P879" s="11" t="n">
        <x:v>5401404</x:v>
      </x:c>
      <x:c r="Q879" s="11" t="n">
        <x:v>625052</x:v>
      </x:c>
      <x:c r="R879" s="11" t="n">
        <x:v>7506722</x:v>
      </x:c>
      <x:c r="S879" s="11" t="n">
        <x:v>1379250</x:v>
      </x:c>
      <x:c r="T879" s="11" t="n">
        <x:v>15168773</x:v>
      </x:c>
      <x:c r="U879" s="11" t="n">
        <x:v>6625989</x:v>
      </x:c>
      <x:c r="V879" s="11" t="n">
        <x:v>13651440</x:v>
      </x:c>
      <x:c r="W879" s="11" t="n">
        <x:v>9054626</x:v>
      </x:c>
      <x:c r="X879" s="11" t="n">
        <x:v>1888710</x:v>
      </x:c>
      <x:c r="Y879" s="11" t="n">
        <x:v>0</x:v>
      </x:c>
      <x:c r="Z879" s="11" t="n">
        <x:v>416448</x:v>
      </x:c>
      <x:c r="AA879" s="11" t="n">
        <x:v>1442533</x:v>
      </x:c>
      <x:c r="AB879" s="11" t="n">
        <x:v>54309</x:v>
      </x:c>
      <x:c r="AC879" s="11" t="n">
        <x:v>470757</x:v>
      </x:c>
      <x:c r="AD879" s="11" t="n">
        <x:v>2449766</x:v>
      </x:c>
      <x:c r="AE879" s="11" t="n">
        <x:v>794709</x:v>
      </x:c>
      <x:c r="AF879" s="11" t="n">
        <x:v>9799065</x:v>
      </x:c>
      <x:c r="AG879" s="11" t="n">
        <x:v>75144750</x:v>
      </x:c>
      <x:c r="AH879" s="11" t="n">
        <x:v>25719714</x:v>
      </x:c>
      <x:c r="AI879" s="11" t="n">
        <x:v>49425036</x:v>
      </x:c>
      <x:c r="AJ879" s="11" t="n">
        <x:v>8315922</x:v>
      </x:c>
      <x:c r="AK879" s="11" t="n">
        <x:v>106852579</x:v>
      </x:c>
      <x:c r="AL879" s="11" t="n">
        <x:v>1130531</x:v>
      </x:c>
      <x:c r="AM879" s="12" t="n">
        <x:v>0.9894197125555575</x:v>
      </x:c>
      <x:c r="AN879" s="12" t="n">
        <x:v>0.07782612341064786</x:v>
      </x:c>
      <x:c r="AO879" s="11" t="n">
        <x:v>9960245</x:v>
      </x:c>
      <x:c r="AP879" s="11" t="n">
        <x:v>9584314</x:v>
      </x:c>
      <x:c r="AQ879" s="12" t="n">
        <x:v>0.9622568521155855</x:v>
      </x:c>
      <x:c r="AR879" s="11" t="n">
        <x:v>6418.718059766133</x:v>
      </x:c>
      <x:c r="AS879" s="11" t="n">
        <x:v>3871.9276743178866</x:v>
      </x:c>
      <x:c r="AT879" s="11" t="n">
        <x:v>5912.273711563447</x:v>
      </x:c>
      <x:c r="AU879" s="11" t="n">
        <x:v>3921.4491121697706</x:v>
      </x:c>
      <x:c r="AV879" s="11" t="n">
        <x:v>624.7436119532265</x:v>
      </x:c>
      <x:c r="AW879" s="11" t="n">
        <x:v>2.2892843619269514</x:v>
      </x:c>
      <x:c r="AX879" s="12" t="n">
        <x:v>0.32440200410978026</x:v>
      </x:c>
      <x:c r="AY879" s="11" t="n">
        <x:v>4486.511144130758</x:v>
      </x:c>
      <x:c r="AZ879" s="11" t="n">
        <x:v>3546.5079302077975</x:v>
      </x:c>
      <x:c r="BA879" s="11" t="n">
        <x:v>3557.844717668488</x:v>
      </x:c>
      <x:c r="BB879" s="11" t="n">
        <x:v>2783.665107049771</x:v>
      </x:c>
      <x:c r="BC879" s="11" t="n">
        <x:v>5496.677373974208</x:v>
      </x:c>
      <x:c r="BD879" s="11" t="n">
        <x:v>2437.8724475115623</x:v>
      </x:c>
      <x:c r="BE879" s="11" t="n">
        <x:v>3386.4506393861893</x:v>
      </x:c>
      <x:c r="BF879" s="11" t="n">
        <x:v>1604.3462673977224</x:v>
      </x:c>
      <x:c r="BG879" s="11" t="n">
        <x:v>624.7436119532265</x:v>
      </x:c>
      <x:c r="BH879" s="11" t="n">
        <x:v>518.5374381567245</x:v>
      </x:c>
      <x:c r="BI879" s="11" t="n">
        <x:v>3.324657351485151</x:v>
      </x:c>
      <x:c r="BJ879" s="11" t="n">
        <x:v>1.7099330852451193</x:v>
      </x:c>
      <x:c r="BK879" s="12" t="n">
        <x:v>0.02521828600111612</x:v>
      </x:c>
      <x:c r="BL879" s="12" t="n">
        <x:v>0.02529861000232605</x:v>
      </x:c>
      <x:c r="BM879" s="12" t="n">
        <x:v>0.9816336034641139</x:v>
      </x:c>
      <x:c r="BN879" s="12" t="n">
        <x:v>0.9815511712696461</x:v>
      </x:c>
      <x:c r="BO879" s="12" t="n">
        <x:v>0.8531878894527055</x:v>
      </x:c>
      <x:c r="BP879" s="12" t="n">
        <x:v>0.8619101997275483</x:v>
      </x:c>
      <x:c r="BQ879" s="12" t="n">
        <x:v>0.9614729661922712</x:v>
      </x:c>
      <x:c r="BR879" s="12" t="n">
        <x:v>0.9623635142836453</x:v>
      </x:c>
      <x:c r="BS879" s="12" t="n">
        <x:v>0.23352896680225554</x:v>
      </x:c>
      <x:c r="BT879" s="12" t="n">
        <x:v>0.19976549769108282</x:v>
      </x:c>
      <x:c r="BU879" s="11" t="n">
        <x:v>0</x:v>
      </x:c>
      <x:c r="BV879" s="11" t="n">
        <x:v>5335591</x:v>
      </x:c>
      <x:c r="BW879" s="11" t="n">
        <x:v>65813</x:v>
      </x:c>
      <x:c r="BX879" s="11" t="n">
        <x:v>641930</x:v>
      </x:c>
      <x:c r="BY879" s="11" t="n">
        <x:v>-16878</x:v>
      </x:c>
      <x:c r="BZ879" s="11" t="n">
        <x:v>0</x:v>
      </x:c>
      <x:c r="CA879" s="11" t="n">
        <x:v>0</x:v>
      </x:c>
      <x:c r="CB879" s="11" t="n">
        <x:v>0</x:v>
      </x:c>
      <x:c r="CC879" s="11" t="n">
        <x:v>1829624</x:v>
      </x:c>
      <x:c r="CD879" s="11" t="n">
        <x:v>710919</x:v>
      </x:c>
      <x:c r="CE879" s="11" t="n">
        <x:v>0</x:v>
      </x:c>
      <x:c r="CF879" s="11" t="n">
        <x:v>0</x:v>
      </x:c>
      <x:c r="CG879" s="11" t="n">
        <x:v>595807</x:v>
      </x:c>
      <x:c r="CH879" s="11" t="n">
        <x:v>799354</x:v>
      </x:c>
      <x:c r="CI879" s="11" t="n">
        <x:v>2170974</x:v>
      </x:c>
      <x:c r="CJ879" s="11" t="n">
        <x:v>658380</x:v>
      </x:c>
      <x:c r="CK879" s="11" t="n">
        <x:v>422701</x:v>
      </x:c>
      <x:c r="CL879" s="11" t="n">
        <x:v>373107</x:v>
      </x:c>
      <x:c r="CM879" s="11" t="n">
        <x:v>0</x:v>
      </x:c>
      <x:c r="CN879" s="11" t="n">
        <x:v>165</x:v>
      </x:c>
      <x:c r="CO879" s="11" t="n">
        <x:v>0</x:v>
      </x:c>
      <x:c r="CP879" s="8"/>
      <x:c r="CQ879" s="8"/>
    </x:row>
    <x:row r="880">
      <x:c r="A880" s="8" t="str">
        <x:v>Valemount|2019</x:v>
      </x:c>
      <x:c r="B880" s="8" t="str">
        <x:v>valemount-v</x:v>
      </x:c>
      <x:c r="C880" s="8" t="str">
        <x:v>Valemount</x:v>
      </x:c>
      <x:c r="D880" s="8" t="str">
        <x:v>Valemount</x:v>
      </x:c>
      <x:c r="E880" s="8" t="str">
        <x:v>V</x:v>
      </x:c>
      <x:c r="F880" s="8" t="str">
        <x:v>FFG</x:v>
      </x:c>
      <x:c r="G880" s="9" t="n">
        <x:v>2019</x:v>
      </x:c>
      <x:c r="H880" s="10" t="n">
        <x:v>1128</x:v>
      </x:c>
      <x:c r="I880" s="8" t="str">
        <x:v>Under 5,000</x:v>
      </x:c>
      <x:c r="J880" s="11" t="n">
        <x:v>7377971</x:v>
      </x:c>
      <x:c r="K880" s="11" t="n">
        <x:v>3804520</x:v>
      </x:c>
      <x:c r="L880" s="11" t="n">
        <x:v>3573451</x:v>
      </x:c>
      <x:c r="M880" s="12" t="n">
        <x:v>0.48434061342881396</x:v>
      </x:c>
      <x:c r="N880" s="11" t="n">
        <x:v>1451024</x:v>
      </x:c>
      <x:c r="O880" s="11" t="n">
        <x:v>1096009</x:v>
      </x:c>
      <x:c r="P880" s="11" t="n">
        <x:v>4592502</x:v>
      </x:c>
      <x:c r="Q880" s="11" t="n">
        <x:v>238436</x:v>
      </x:c>
      <x:c r="R880" s="11" t="n">
        <x:v>3199958</x:v>
      </x:c>
      <x:c r="S880" s="11" t="n">
        <x:v>570845</x:v>
      </x:c>
      <x:c r="T880" s="11" t="n">
        <x:v>7999101</x:v>
      </x:c>
      <x:c r="U880" s="11" t="n">
        <x:v>2312449</x:v>
      </x:c>
      <x:c r="V880" s="11" t="n">
        <x:v>13166921</x:v>
      </x:c>
      <x:c r="W880" s="11" t="n">
        <x:v>741607</x:v>
      </x:c>
      <x:c r="X880" s="11" t="n">
        <x:v>672797</x:v>
      </x:c>
      <x:c r="Y880" s="11" t="n">
        <x:v>0</x:v>
      </x:c>
      <x:c r="Z880" s="11" t="n">
        <x:v>37852</x:v>
      </x:c>
      <x:c r="AA880" s="11" t="n">
        <x:v>616770</x:v>
      </x:c>
      <x:c r="AB880" s="11" t="n">
        <x:v>33717</x:v>
      </x:c>
      <x:c r="AC880" s="11" t="n">
        <x:v>71569</x:v>
      </x:c>
      <x:c r="AD880" s="11" t="n">
        <x:v>638272</x:v>
      </x:c>
      <x:c r="AE880" s="11" t="n">
        <x:v>566703</x:v>
      </x:c>
      <x:c r="AF880" s="11" t="n">
        <x:v>2553086</x:v>
      </x:c>
      <x:c r="AG880" s="11" t="n">
        <x:v>22646100</x:v>
      </x:c>
      <x:c r="AH880" s="11" t="n">
        <x:v>9220123</x:v>
      </x:c>
      <x:c r="AI880" s="11" t="n">
        <x:v>13425977</x:v>
      </x:c>
      <x:c r="AJ880" s="11" t="n">
        <x:v>506783</x:v>
      </x:c>
      <x:c r="AK880" s="11" t="n">
        <x:v>23646100</x:v>
      </x:c>
      <x:c r="AL880" s="11" t="n">
        <x:v>600000</x:v>
      </x:c>
      <x:c r="AM880" s="12" t="n">
        <x:v>0.9746258368187566</x:v>
      </x:c>
      <x:c r="AN880" s="12" t="n">
        <x:v>0.021431990899133474</x:v>
      </x:c>
      <x:c r="AO880" s="11" t="n">
        <x:v>2800167</x:v>
      </x:c>
      <x:c r="AP880" s="11" t="n">
        <x:v>2358233</x:v>
      </x:c>
      <x:c r="AQ880" s="12" t="n">
        <x:v>0.8421758416551585</x:v>
      </x:c>
      <x:c r="AR880" s="11" t="n">
        <x:v>6540.754432624113</x:v>
      </x:c>
      <x:c r="AS880" s="11" t="n">
        <x:v>3372.801418439716</x:v>
      </x:c>
      <x:c r="AT880" s="11" t="n">
        <x:v>11672.80230496454</x:v>
      </x:c>
      <x:c r="AU880" s="11" t="n">
        <x:v>657.4530141843971</x:v>
      </x:c>
      <x:c r="AV880" s="11" t="n">
        <x:v>546.781914893617</x:v>
      </x:c>
      <x:c r="AW880" s="11" t="n">
        <x:v>3.4591469909174215</x:v>
      </x:c>
      <x:c r="AX880" s="12" t="n">
        <x:v>0.8878706883585681</x:v>
      </x:c>
      <x:c r="AY880" s="11"/>
      <x:c r="AZ880" s="11"/>
      <x:c r="BA880" s="11"/>
      <x:c r="BB880" s="11"/>
      <x:c r="BC880" s="11"/>
      <x:c r="BD880" s="11"/>
      <x:c r="BE880" s="11"/>
      <x:c r="BF880" s="11"/>
      <x:c r="BG880" s="11"/>
      <x:c r="BH880" s="11"/>
      <x:c r="BI880" s="11"/>
      <x:c r="BJ880" s="11"/>
      <x:c r="BK880" s="12"/>
      <x:c r="BL880" s="12"/>
      <x:c r="BM880" s="12"/>
      <x:c r="BN880" s="12"/>
      <x:c r="BO880" s="12"/>
      <x:c r="BP880" s="12"/>
      <x:c r="BQ880" s="12"/>
      <x:c r="BR880" s="12"/>
      <x:c r="BS880" s="12"/>
      <x:c r="BT880" s="12"/>
      <x:c r="BU880" s="11" t="n">
        <x:v>1900</x:v>
      </x:c>
      <x:c r="BV880" s="11" t="n">
        <x:v>3935822</x:v>
      </x:c>
      <x:c r="BW880" s="11" t="n">
        <x:v>654780</x:v>
      </x:c>
      <x:c r="BX880" s="11" t="n">
        <x:v>117249</x:v>
      </x:c>
      <x:c r="BY880" s="11" t="n">
        <x:v>121187</x:v>
      </x:c>
      <x:c r="BZ880" s="11" t="n">
        <x:v>0</x:v>
      </x:c>
      <x:c r="CA880" s="11" t="n">
        <x:v>0</x:v>
      </x:c>
      <x:c r="CB880" s="11" t="n">
        <x:v>0</x:v>
      </x:c>
      <x:c r="CC880" s="11" t="n">
        <x:v>1020037</x:v>
      </x:c>
      <x:c r="CD880" s="11" t="n">
        <x:v>110856</x:v>
      </x:c>
      <x:c r="CE880" s="11" t="n">
        <x:v>92856</x:v>
      </x:c>
      <x:c r="CF880" s="11" t="n">
        <x:v>0</x:v>
      </x:c>
      <x:c r="CG880" s="11" t="n">
        <x:v>0</x:v>
      </x:c>
      <x:c r="CH880" s="11" t="n">
        <x:v>347992</x:v>
      </x:c>
      <x:c r="CI880" s="11" t="n">
        <x:v>890610</x:v>
      </x:c>
      <x:c r="CJ880" s="11" t="n">
        <x:v>310423</x:v>
      </x:c>
      <x:c r="CK880" s="11" t="n">
        <x:v>351088</x:v>
      </x:c>
      <x:c r="CL880" s="11" t="n">
        <x:v>109813</x:v>
      </x:c>
      <x:c r="CM880" s="11"/>
      <x:c r="CN880" s="11" t="n">
        <x:v>0</x:v>
      </x:c>
      <x:c r="CO880" s="11" t="n">
        <x:v>0</x:v>
      </x:c>
      <x:c r="CP880" s="8"/>
      <x:c r="CQ880" s="8"/>
    </x:row>
    <x:row r="881">
      <x:c r="A881" s="8" t="str">
        <x:v>Valemount|2020</x:v>
      </x:c>
      <x:c r="B881" s="8" t="str">
        <x:v>valemount-v</x:v>
      </x:c>
      <x:c r="C881" s="8" t="str">
        <x:v>Valemount</x:v>
      </x:c>
      <x:c r="D881" s="8" t="str">
        <x:v>Valemount</x:v>
      </x:c>
      <x:c r="E881" s="8" t="str">
        <x:v>V</x:v>
      </x:c>
      <x:c r="F881" s="8" t="str">
        <x:v>FFG</x:v>
      </x:c>
      <x:c r="G881" s="9" t="n">
        <x:v>2020</x:v>
      </x:c>
      <x:c r="H881" s="10" t="n">
        <x:v>1054</x:v>
      </x:c>
      <x:c r="I881" s="8" t="str">
        <x:v>Under 5,000</x:v>
      </x:c>
      <x:c r="J881" s="11" t="n">
        <x:v>8511938</x:v>
      </x:c>
      <x:c r="K881" s="11" t="n">
        <x:v>3875605</x:v>
      </x:c>
      <x:c r="L881" s="11" t="n">
        <x:v>4636333</x:v>
      </x:c>
      <x:c r="M881" s="12" t="n">
        <x:v>0.5446859457857893</x:v>
      </x:c>
      <x:c r="N881" s="11" t="n">
        <x:v>1456173</x:v>
      </x:c>
      <x:c r="O881" s="11" t="n">
        <x:v>1506901</x:v>
      </x:c>
      <x:c r="P881" s="11" t="n">
        <x:v>3858675</x:v>
      </x:c>
      <x:c r="Q881" s="11" t="n">
        <x:v>1690189</x:v>
      </x:c>
      <x:c r="R881" s="11" t="n">
        <x:v>3263578</x:v>
      </x:c>
      <x:c r="S881" s="11" t="n">
        <x:v>576362</x:v>
      </x:c>
      <x:c r="T881" s="11" t="n">
        <x:v>10144593</x:v>
      </x:c>
      <x:c r="U881" s="11" t="n">
        <x:v>2813470</x:v>
      </x:c>
      <x:c r="V881" s="11" t="n">
        <x:v>17028204</x:v>
      </x:c>
      <x:c r="W881" s="11" t="n">
        <x:v>748013</x:v>
      </x:c>
      <x:c r="X881" s="11" t="n">
        <x:v>616770</x:v>
      </x:c>
      <x:c r="Y881" s="11" t="n">
        <x:v>0</x:v>
      </x:c>
      <x:c r="Z881" s="11" t="n">
        <x:v>37852</x:v>
      </x:c>
      <x:c r="AA881" s="11" t="n">
        <x:v>558502</x:v>
      </x:c>
      <x:c r="AB881" s="11" t="n">
        <x:v>35665</x:v>
      </x:c>
      <x:c r="AC881" s="11" t="n">
        <x:v>73517</x:v>
      </x:c>
      <x:c r="AD881" s="11" t="n">
        <x:v>763066</x:v>
      </x:c>
      <x:c r="AE881" s="11" t="n">
        <x:v>689549</x:v>
      </x:c>
      <x:c r="AF881" s="11" t="n">
        <x:v>3052264</x:v>
      </x:c>
      <x:c r="AG881" s="11" t="n">
        <x:v>24980321</x:v>
      </x:c>
      <x:c r="AH881" s="11" t="n">
        <x:v>10780453</x:v>
      </x:c>
      <x:c r="AI881" s="11" t="n">
        <x:v>14199868</x:v>
      </x:c>
      <x:c r="AJ881" s="11" t="n">
        <x:v>1350253</x:v>
      </x:c>
      <x:c r="AK881" s="11" t="n">
        <x:v>1153267</x:v>
      </x:c>
      <x:c r="AL881" s="11" t="n">
        <x:v>0</x:v>
      </x:c>
      <x:c r="AM881" s="12" t="n">
        <x:v>1</x:v>
      </x:c>
      <x:c r="AN881" s="12" t="n">
        <x:v>1.1708069336935853</x:v>
      </x:c>
      <x:c r="AO881" s="11" t="n">
        <x:v>2737775</x:v>
      </x:c>
      <x:c r="AP881" s="11" t="n">
        <x:v>2192346</x:v>
      </x:c>
      <x:c r="AQ881" s="12" t="n">
        <x:v>0.8007765429956808</x:v>
      </x:c>
      <x:c r="AR881" s="11" t="n">
        <x:v>8075.842504743833</x:v>
      </x:c>
      <x:c r="AS881" s="11" t="n">
        <x:v>3677.0445920303605</x:v>
      </x:c>
      <x:c r="AT881" s="11" t="n">
        <x:v>16155.791271347249</x:v>
      </x:c>
      <x:c r="AU881" s="11" t="n">
        <x:v>709.6897533206832</x:v>
      </x:c>
      <x:c r="AV881" s="11" t="n">
        <x:v>529.888045540797</x:v>
      </x:c>
      <x:c r="AW881" s="11" t="n">
        <x:v>3.6057228262608096</x:v>
      </x:c>
      <x:c r="AX881" s="12" t="n">
        <x:v>0.9036557781371467</x:v>
      </x:c>
      <x:c r="AY881" s="11"/>
      <x:c r="AZ881" s="11"/>
      <x:c r="BA881" s="11"/>
      <x:c r="BB881" s="11"/>
      <x:c r="BC881" s="11"/>
      <x:c r="BD881" s="11"/>
      <x:c r="BE881" s="11"/>
      <x:c r="BF881" s="11"/>
      <x:c r="BG881" s="11"/>
      <x:c r="BH881" s="11"/>
      <x:c r="BI881" s="11"/>
      <x:c r="BJ881" s="11"/>
      <x:c r="BK881" s="12"/>
      <x:c r="BL881" s="12"/>
      <x:c r="BM881" s="12"/>
      <x:c r="BN881" s="12"/>
      <x:c r="BO881" s="12"/>
      <x:c r="BP881" s="12"/>
      <x:c r="BQ881" s="12"/>
      <x:c r="BR881" s="12"/>
      <x:c r="BS881" s="12"/>
      <x:c r="BT881" s="12"/>
      <x:c r="BU881" s="11" t="n">
        <x:v>98121</x:v>
      </x:c>
      <x:c r="BV881" s="11" t="n">
        <x:v>2297372</x:v>
      </x:c>
      <x:c r="BW881" s="11" t="n">
        <x:v>1463182</x:v>
      </x:c>
      <x:c r="BX881" s="11" t="n">
        <x:v>117155</x:v>
      </x:c>
      <x:c r="BY881" s="11" t="n">
        <x:v>1558499</x:v>
      </x:c>
      <x:c r="BZ881" s="11" t="n">
        <x:v>0</x:v>
      </x:c>
      <x:c r="CA881" s="11" t="n">
        <x:v>0</x:v>
      </x:c>
      <x:c r="CB881" s="11" t="n">
        <x:v>14535</x:v>
      </x:c>
      <x:c r="CC881" s="11" t="n">
        <x:v>1093777</x:v>
      </x:c>
      <x:c r="CD881" s="11" t="n">
        <x:v>94269</x:v>
      </x:c>
      <x:c r="CE881" s="11" t="n">
        <x:v>91818</x:v>
      </x:c>
      <x:c r="CF881" s="11" t="n">
        <x:v>0</x:v>
      </x:c>
      <x:c r="CG881" s="11" t="n">
        <x:v>0</x:v>
      </x:c>
      <x:c r="CH881" s="11" t="n">
        <x:v>383715</x:v>
      </x:c>
      <x:c r="CI881" s="11" t="n">
        <x:v>819255</x:v>
      </x:c>
      <x:c r="CJ881" s="11" t="n">
        <x:v>368754</x:v>
      </x:c>
      <x:c r="CK881" s="11" t="n">
        <x:v>369945</x:v>
      </x:c>
      <x:c r="CL881" s="11" t="n">
        <x:v>77710</x:v>
      </x:c>
      <x:c r="CM881" s="11"/>
      <x:c r="CN881" s="11" t="n">
        <x:v>0</x:v>
      </x:c>
      <x:c r="CO881" s="11" t="n">
        <x:v>0</x:v>
      </x:c>
      <x:c r="CP881" s="8"/>
      <x:c r="CQ881" s="8"/>
    </x:row>
    <x:row r="882">
      <x:c r="A882" s="8" t="str">
        <x:v>Valemount|2021</x:v>
      </x:c>
      <x:c r="B882" s="8" t="str">
        <x:v>valemount-v</x:v>
      </x:c>
      <x:c r="C882" s="8" t="str">
        <x:v>Valemount</x:v>
      </x:c>
      <x:c r="D882" s="8" t="str">
        <x:v>Valemount</x:v>
      </x:c>
      <x:c r="E882" s="8" t="str">
        <x:v>V</x:v>
      </x:c>
      <x:c r="F882" s="8" t="str">
        <x:v>FFG</x:v>
      </x:c>
      <x:c r="G882" s="9" t="n">
        <x:v>2021</x:v>
      </x:c>
      <x:c r="H882" s="10" t="n">
        <x:v>1111</x:v>
      </x:c>
      <x:c r="I882" s="8" t="str">
        <x:v>Under 5,000</x:v>
      </x:c>
      <x:c r="J882" s="11" t="n">
        <x:v>9137188</x:v>
      </x:c>
      <x:c r="K882" s="11" t="n">
        <x:v>4648523</x:v>
      </x:c>
      <x:c r="L882" s="11" t="n">
        <x:v>4488665</x:v>
      </x:c>
      <x:c r="M882" s="12" t="n">
        <x:v>0.49125234153001995</x:v>
      </x:c>
      <x:c r="N882" s="11" t="n">
        <x:v>1451226</x:v>
      </x:c>
      <x:c r="O882" s="11" t="n">
        <x:v>1890209</x:v>
      </x:c>
      <x:c r="P882" s="11" t="n">
        <x:v>4371492</x:v>
      </x:c>
      <x:c r="Q882" s="11" t="n">
        <x:v>1424261</x:v>
      </x:c>
      <x:c r="R882" s="11" t="n">
        <x:v>3996832</x:v>
      </x:c>
      <x:c r="S882" s="11" t="n">
        <x:v>613610</x:v>
      </x:c>
      <x:c r="T882" s="11" t="n">
        <x:v>10918103</x:v>
      </x:c>
      <x:c r="U882" s="11" t="n">
        <x:v>3224050</x:v>
      </x:c>
      <x:c r="V882" s="11" t="n">
        <x:v>19326050</x:v>
      </x:c>
      <x:c r="W882" s="11" t="n">
        <x:v>749044</x:v>
      </x:c>
      <x:c r="X882" s="11" t="n">
        <x:v>558502</x:v>
      </x:c>
      <x:c r="Y882" s="11" t="n">
        <x:v>0</x:v>
      </x:c>
      <x:c r="Z882" s="11" t="n">
        <x:v>37852</x:v>
      </x:c>
      <x:c r="AA882" s="11" t="n">
        <x:v>497904</x:v>
      </x:c>
      <x:c r="AB882" s="11" t="n">
        <x:v>38081</x:v>
      </x:c>
      <x:c r="AC882" s="11" t="n">
        <x:v>75933</x:v>
      </x:c>
      <x:c r="AD882" s="11" t="n">
        <x:v>848072</x:v>
      </x:c>
      <x:c r="AE882" s="11" t="n">
        <x:v>772139</x:v>
      </x:c>
      <x:c r="AF882" s="11" t="n">
        <x:v>3392286</x:v>
      </x:c>
      <x:c r="AG882" s="11" t="n">
        <x:v>27798465</x:v>
      </x:c>
      <x:c r="AH882" s="11" t="n">
        <x:v>11394063</x:v>
      </x:c>
      <x:c r="AI882" s="11" t="n">
        <x:v>16404402</x:v>
      </x:c>
      <x:c r="AJ882" s="11" t="n">
        <x:v>2818144</x:v>
      </x:c>
      <x:c r="AK882" s="11" t="n">
        <x:v>1153267</x:v>
      </x:c>
      <x:c r="AL882" s="11" t="n">
        <x:v>0</x:v>
      </x:c>
      <x:c r="AM882" s="12" t="n">
        <x:v>1</x:v>
      </x:c>
      <x:c r="AN882" s="12" t="n">
        <x:v>2.4436179999947973</x:v>
      </x:c>
      <x:c r="AO882" s="11" t="n">
        <x:v>2732913</x:v>
      </x:c>
      <x:c r="AP882" s="11" t="n">
        <x:v>2216239</x:v>
      </x:c>
      <x:c r="AQ882" s="12" t="n">
        <x:v>0.8109438536828651</x:v>
      </x:c>
      <x:c r="AR882" s="11" t="n">
        <x:v>8224.291629162917</x:v>
      </x:c>
      <x:c r="AS882" s="11" t="n">
        <x:v>4184.089108910891</x:v>
      </x:c>
      <x:c r="AT882" s="11" t="n">
        <x:v>17395.184518451846</x:v>
      </x:c>
      <x:c r="AU882" s="11" t="n">
        <x:v>674.2070207020702</x:v>
      </x:c>
      <x:c r="AV882" s="11" t="n">
        <x:v>448.15841584158414</x:v>
      </x:c>
      <x:c r="AW882" s="11" t="n">
        <x:v>3.3864558552131636</x:v>
      </x:c>
      <x:c r="AX882" s="12" t="n">
        <x:v>0.9104639700402796</x:v>
      </x:c>
      <x:c r="AY882" s="11"/>
      <x:c r="AZ882" s="11"/>
      <x:c r="BA882" s="11"/>
      <x:c r="BB882" s="11"/>
      <x:c r="BC882" s="11"/>
      <x:c r="BD882" s="11"/>
      <x:c r="BE882" s="11"/>
      <x:c r="BF882" s="11"/>
      <x:c r="BG882" s="11"/>
      <x:c r="BH882" s="11"/>
      <x:c r="BI882" s="11"/>
      <x:c r="BJ882" s="11"/>
      <x:c r="BK882" s="12"/>
      <x:c r="BL882" s="12"/>
      <x:c r="BM882" s="12"/>
      <x:c r="BN882" s="12"/>
      <x:c r="BO882" s="12"/>
      <x:c r="BP882" s="12"/>
      <x:c r="BQ882" s="12"/>
      <x:c r="BR882" s="12"/>
      <x:c r="BS882" s="12"/>
      <x:c r="BT882" s="12"/>
      <x:c r="BU882" s="11" t="n">
        <x:v>0</x:v>
      </x:c>
      <x:c r="BV882" s="11" t="n">
        <x:v>1723405</x:v>
      </x:c>
      <x:c r="BW882" s="11" t="n">
        <x:v>2648087</x:v>
      </x:c>
      <x:c r="BX882" s="11" t="n">
        <x:v>62341</x:v>
      </x:c>
      <x:c r="BY882" s="11" t="n">
        <x:v>1339173</x:v>
      </x:c>
      <x:c r="BZ882" s="11" t="n">
        <x:v>0</x:v>
      </x:c>
      <x:c r="CA882" s="11" t="n">
        <x:v>0</x:v>
      </x:c>
      <x:c r="CB882" s="11" t="n">
        <x:v>22747</x:v>
      </x:c>
      <x:c r="CC882" s="11" t="n">
        <x:v>1319182</x:v>
      </x:c>
      <x:c r="CD882" s="11" t="n">
        <x:v>82589</x:v>
      </x:c>
      <x:c r="CE882" s="11" t="n">
        <x:v>125649</x:v>
      </x:c>
      <x:c r="CF882" s="11" t="n">
        <x:v>0</x:v>
      </x:c>
      <x:c r="CG882" s="11" t="n">
        <x:v>0</x:v>
      </x:c>
      <x:c r="CH882" s="11" t="n">
        <x:v>491682</x:v>
      </x:c>
      <x:c r="CI882" s="11" t="n">
        <x:v>983102</x:v>
      </x:c>
      <x:c r="CJ882" s="11" t="n">
        <x:v>568991</x:v>
      </x:c>
      <x:c r="CK882" s="11" t="n">
        <x:v>394758</x:v>
      </x:c>
      <x:c r="CL882" s="11" t="n">
        <x:v>68960</x:v>
      </x:c>
      <x:c r="CM882" s="11"/>
      <x:c r="CN882" s="11" t="n">
        <x:v>0</x:v>
      </x:c>
      <x:c r="CO882" s="11" t="n">
        <x:v>0</x:v>
      </x:c>
      <x:c r="CP882" s="8"/>
      <x:c r="CQ882" s="8"/>
    </x:row>
    <x:row r="883">
      <x:c r="A883" s="8" t="str">
        <x:v>Valemount|2022</x:v>
      </x:c>
      <x:c r="B883" s="8" t="str">
        <x:v>valemount-v</x:v>
      </x:c>
      <x:c r="C883" s="8" t="str">
        <x:v>Valemount</x:v>
      </x:c>
      <x:c r="D883" s="8" t="str">
        <x:v>Valemount</x:v>
      </x:c>
      <x:c r="E883" s="8" t="str">
        <x:v>V</x:v>
      </x:c>
      <x:c r="F883" s="8" t="str">
        <x:v>FFG</x:v>
      </x:c>
      <x:c r="G883" s="9" t="n">
        <x:v>2022</x:v>
      </x:c>
      <x:c r="H883" s="10" t="n">
        <x:v>1011</x:v>
      </x:c>
      <x:c r="I883" s="8" t="str">
        <x:v>Under 5,000</x:v>
      </x:c>
      <x:c r="J883" s="11" t="n">
        <x:v>9720226</x:v>
      </x:c>
      <x:c r="K883" s="11" t="n">
        <x:v>4987294</x:v>
      </x:c>
      <x:c r="L883" s="11" t="n">
        <x:v>4732932</x:v>
      </x:c>
      <x:c r="M883" s="12" t="n">
        <x:v>0.48691583919962356</x:v>
      </x:c>
      <x:c r="N883" s="11" t="n">
        <x:v>1733411</x:v>
      </x:c>
      <x:c r="O883" s="11" t="n">
        <x:v>3111001</x:v>
      </x:c>
      <x:c r="P883" s="11" t="n">
        <x:v>3238016</x:v>
      </x:c>
      <x:c r="Q883" s="11" t="n">
        <x:v>1637798</x:v>
      </x:c>
      <x:c r="R883" s="11" t="n">
        <x:v>4262922</x:v>
      </x:c>
      <x:c r="S883" s="11" t="n">
        <x:v>701606</x:v>
      </x:c>
      <x:c r="T883" s="11" t="n">
        <x:v>13804940</x:v>
      </x:c>
      <x:c r="U883" s="11" t="n">
        <x:v>3068881</x:v>
      </x:c>
      <x:c r="V883" s="11" t="n">
        <x:v>22641996</x:v>
      </x:c>
      <x:c r="W883" s="11" t="n">
        <x:v>763545</x:v>
      </x:c>
      <x:c r="X883" s="11" t="n">
        <x:v>497904</x:v>
      </x:c>
      <x:c r="Y883" s="11" t="n">
        <x:v>0</x:v>
      </x:c>
      <x:c r="Z883" s="11" t="n">
        <x:v>37852</x:v>
      </x:c>
      <x:c r="AA883" s="11" t="n">
        <x:v>434881</x:v>
      </x:c>
      <x:c r="AB883" s="11" t="n">
        <x:v>22766</x:v>
      </x:c>
      <x:c r="AC883" s="11" t="n">
        <x:v>60618</x:v>
      </x:c>
      <x:c r="AD883" s="11" t="n">
        <x:v>1188360</x:v>
      </x:c>
      <x:c r="AE883" s="11" t="n">
        <x:v>1127742</x:v>
      </x:c>
      <x:c r="AF883" s="11" t="n">
        <x:v>4753440</x:v>
      </x:c>
      <x:c r="AG883" s="11" t="n">
        <x:v>29920814</x:v>
      </x:c>
      <x:c r="AH883" s="11" t="n">
        <x:v>12095669</x:v>
      </x:c>
      <x:c r="AI883" s="11" t="n">
        <x:v>17825145</x:v>
      </x:c>
      <x:c r="AJ883" s="11" t="n">
        <x:v>2122349</x:v>
      </x:c>
      <x:c r="AK883" s="11" t="n">
        <x:v>17825145</x:v>
      </x:c>
      <x:c r="AL883" s="11" t="n">
        <x:v>500000</x:v>
      </x:c>
      <x:c r="AM883" s="12" t="n">
        <x:v>0.9719497372952647</x:v>
      </x:c>
      <x:c r="AN883" s="12" t="n">
        <x:v>0.11906489400226478</x:v>
      </x:c>
      <x:c r="AO883" s="11" t="n">
        <x:v>3155649</x:v>
      </x:c>
      <x:c r="AP883" s="11" t="n">
        <x:v>2766962</x:v>
      </x:c>
      <x:c r="AQ883" s="12" t="n">
        <x:v>0.8768281897004389</x:v>
      </x:c>
      <x:c r="AR883" s="11" t="n">
        <x:v>9614.466864490603</x:v>
      </x:c>
      <x:c r="AS883" s="11" t="n">
        <x:v>4933.030662710188</x:v>
      </x:c>
      <x:c r="AT883" s="11" t="n">
        <x:v>22395.643916913945</x:v>
      </x:c>
      <x:c r="AU883" s="11" t="n">
        <x:v>755.2373887240356</x:v>
      </x:c>
      <x:c r="AV883" s="11" t="n">
        <x:v>430.14935707220576</x:v>
      </x:c>
      <x:c r="AW883" s="11" t="n">
        <x:v>4.498362758282253</x:v>
      </x:c>
      <x:c r="AX883" s="12" t="n">
        <x:v>0.9489902049883874</x:v>
      </x:c>
      <x:c r="AY883" s="11"/>
      <x:c r="AZ883" s="11"/>
      <x:c r="BA883" s="11"/>
      <x:c r="BB883" s="11"/>
      <x:c r="BC883" s="11"/>
      <x:c r="BD883" s="11"/>
      <x:c r="BE883" s="11"/>
      <x:c r="BF883" s="11"/>
      <x:c r="BG883" s="11"/>
      <x:c r="BH883" s="11"/>
      <x:c r="BI883" s="11"/>
      <x:c r="BJ883" s="11"/>
      <x:c r="BK883" s="12"/>
      <x:c r="BL883" s="12"/>
      <x:c r="BM883" s="12"/>
      <x:c r="BN883" s="12"/>
      <x:c r="BO883" s="12"/>
      <x:c r="BP883" s="12"/>
      <x:c r="BQ883" s="12"/>
      <x:c r="BR883" s="12"/>
      <x:c r="BS883" s="12"/>
      <x:c r="BT883" s="12"/>
      <x:c r="BU883" s="11" t="n">
        <x:v>35306</x:v>
      </x:c>
      <x:c r="BV883" s="11" t="n">
        <x:v>2977111</x:v>
      </x:c>
      <x:c r="BW883" s="11" t="n">
        <x:v>225599</x:v>
      </x:c>
      <x:c r="BX883" s="11" t="n">
        <x:v>80698</x:v>
      </x:c>
      <x:c r="BY883" s="11" t="n">
        <x:v>1208645</x:v>
      </x:c>
      <x:c r="BZ883" s="11" t="n">
        <x:v>348455</x:v>
      </x:c>
      <x:c r="CA883" s="11" t="n">
        <x:v>0</x:v>
      </x:c>
      <x:c r="CB883" s="11" t="n">
        <x:v>0</x:v>
      </x:c>
      <x:c r="CC883" s="11" t="n">
        <x:v>1277002</x:v>
      </x:c>
      <x:c r="CD883" s="11" t="n">
        <x:v>101558</x:v>
      </x:c>
      <x:c r="CE883" s="11" t="n">
        <x:v>126092</x:v>
      </x:c>
      <x:c r="CF883" s="11" t="n">
        <x:v>0</x:v>
      </x:c>
      <x:c r="CG883" s="11" t="n">
        <x:v>95606</x:v>
      </x:c>
      <x:c r="CH883" s="11" t="n">
        <x:v>606029</x:v>
      </x:c>
      <x:c r="CI883" s="11" t="n">
        <x:v>1368191</x:v>
      </x:c>
      <x:c r="CJ883" s="11" t="n">
        <x:v>359739</x:v>
      </x:c>
      <x:c r="CK883" s="11" t="n">
        <x:v>351471</x:v>
      </x:c>
      <x:c r="CL883" s="11" t="n">
        <x:v>0</x:v>
      </x:c>
      <x:c r="CM883" s="11"/>
      <x:c r="CN883" s="11" t="n">
        <x:v>0</x:v>
      </x:c>
      <x:c r="CO883" s="11" t="n">
        <x:v>0</x:v>
      </x:c>
      <x:c r="CP883" s="8"/>
      <x:c r="CQ883" s="8"/>
    </x:row>
    <x:row r="884">
      <x:c r="A884" s="8" t="str">
        <x:v>Valemount|2023</x:v>
      </x:c>
      <x:c r="B884" s="8" t="str">
        <x:v>valemount-v</x:v>
      </x:c>
      <x:c r="C884" s="8" t="str">
        <x:v>Valemount</x:v>
      </x:c>
      <x:c r="D884" s="8" t="str">
        <x:v>Valemount</x:v>
      </x:c>
      <x:c r="E884" s="8" t="str">
        <x:v>V</x:v>
      </x:c>
      <x:c r="F884" s="8" t="str">
        <x:v>FFG</x:v>
      </x:c>
      <x:c r="G884" s="9" t="n">
        <x:v>2023</x:v>
      </x:c>
      <x:c r="H884" s="10" t="n">
        <x:v>1018</x:v>
      </x:c>
      <x:c r="I884" s="8" t="str">
        <x:v>Under 5,000</x:v>
      </x:c>
      <x:c r="J884" s="11" t="n">
        <x:v>9685884</x:v>
      </x:c>
      <x:c r="K884" s="11" t="n">
        <x:v>5539558</x:v>
      </x:c>
      <x:c r="L884" s="11" t="n">
        <x:v>4146326</x:v>
      </x:c>
      <x:c r="M884" s="12" t="n">
        <x:v>0.4280792543045116</x:v>
      </x:c>
      <x:c r="N884" s="11" t="n">
        <x:v>1871264</x:v>
      </x:c>
      <x:c r="O884" s="11" t="n">
        <x:v>2808324</x:v>
      </x:c>
      <x:c r="P884" s="11" t="n">
        <x:v>5680353</x:v>
      </x:c>
      <x:c r="Q884" s="11" t="n">
        <x:v>-674057</x:v>
      </x:c>
      <x:c r="R884" s="11" t="n">
        <x:v>4826345</x:v>
      </x:c>
      <x:c r="S884" s="11" t="n">
        <x:v>690448</x:v>
      </x:c>
      <x:c r="T884" s="11" t="n">
        <x:v>15391397</x:v>
      </x:c>
      <x:c r="U884" s="11" t="n">
        <x:v>3329666</x:v>
      </x:c>
      <x:c r="V884" s="11" t="n">
        <x:v>22006022</x:v>
      </x:c>
      <x:c r="W884" s="11" t="n">
        <x:v>3415575</x:v>
      </x:c>
      <x:c r="X884" s="11" t="n">
        <x:v>434881</x:v>
      </x:c>
      <x:c r="Y884" s="11" t="n">
        <x:v>0</x:v>
      </x:c>
      <x:c r="Z884" s="11" t="n">
        <x:v>37852</x:v>
      </x:c>
      <x:c r="AA884" s="11" t="n">
        <x:v>369336</x:v>
      </x:c>
      <x:c r="AB884" s="11" t="n">
        <x:v>22765</x:v>
      </x:c>
      <x:c r="AC884" s="11" t="n">
        <x:v>60617</x:v>
      </x:c>
      <x:c r="AD884" s="11" t="n">
        <x:v>1245909</x:v>
      </x:c>
      <x:c r="AE884" s="11" t="n">
        <x:v>1185292</x:v>
      </x:c>
      <x:c r="AF884" s="11" t="n">
        <x:v>4983634</x:v>
      </x:c>
      <x:c r="AG884" s="11" t="n">
        <x:v>35367015</x:v>
      </x:c>
      <x:c r="AH884" s="11" t="n">
        <x:v>13453220</x:v>
      </x:c>
      <x:c r="AI884" s="11" t="n">
        <x:v>21913795</x:v>
      </x:c>
      <x:c r="AJ884" s="11" t="n">
        <x:v>4769256</x:v>
      </x:c>
      <x:c r="AK884" s="11" t="n">
        <x:v>35367015</x:v>
      </x:c>
      <x:c r="AL884" s="11" t="n">
        <x:v>500000</x:v>
      </x:c>
      <x:c r="AM884" s="12" t="n">
        <x:v>0.9858625332106766</x:v>
      </x:c>
      <x:c r="AN884" s="12" t="n">
        <x:v>0.13485039661956205</x:v>
      </x:c>
      <x:c r="AO884" s="11" t="n">
        <x:v>3277525</x:v>
      </x:c>
      <x:c r="AP884" s="11" t="n">
        <x:v>3013803</x:v>
      </x:c>
      <x:c r="AQ884" s="12" t="n">
        <x:v>0.9195362354215452</x:v>
      </x:c>
      <x:c r="AR884" s="11" t="n">
        <x:v>9514.620825147347</x:v>
      </x:c>
      <x:c r="AS884" s="11" t="n">
        <x:v>5441.609037328094</x:v>
      </x:c>
      <x:c r="AT884" s="11" t="n">
        <x:v>21616.917485265225</x:v>
      </x:c>
      <x:c r="AU884" s="11" t="n">
        <x:v>3355.181728880157</x:v>
      </x:c>
      <x:c r="AV884" s="11" t="n">
        <x:v>362.8055009823183</x:v>
      </x:c>
      <x:c r="AW884" s="11" t="n">
        <x:v>4.622504779758691</x:v>
      </x:c>
      <x:c r="AX884" s="12" t="n">
        <x:v>0.9513471690147515</x:v>
      </x:c>
      <x:c r="AY884" s="11"/>
      <x:c r="AZ884" s="11"/>
      <x:c r="BA884" s="11"/>
      <x:c r="BB884" s="11"/>
      <x:c r="BC884" s="11"/>
      <x:c r="BD884" s="11"/>
      <x:c r="BE884" s="11"/>
      <x:c r="BF884" s="11"/>
      <x:c r="BG884" s="11"/>
      <x:c r="BH884" s="11"/>
      <x:c r="BI884" s="11"/>
      <x:c r="BJ884" s="11"/>
      <x:c r="BK884" s="12"/>
      <x:c r="BL884" s="12"/>
      <x:c r="BM884" s="12"/>
      <x:c r="BN884" s="12"/>
      <x:c r="BO884" s="12"/>
      <x:c r="BP884" s="12"/>
      <x:c r="BQ884" s="12"/>
      <x:c r="BR884" s="12"/>
      <x:c r="BS884" s="12"/>
      <x:c r="BT884" s="12"/>
      <x:c r="BU884" s="11" t="n">
        <x:v>0</x:v>
      </x:c>
      <x:c r="BV884" s="11" t="n">
        <x:v>4899350</x:v>
      </x:c>
      <x:c r="BW884" s="11" t="n">
        <x:v>781003</x:v>
      </x:c>
      <x:c r="BX884" s="11" t="n">
        <x:v>618094</x:v>
      </x:c>
      <x:c r="BY884" s="11" t="n">
        <x:v>-1325245</x:v>
      </x:c>
      <x:c r="BZ884" s="11" t="n">
        <x:v>0</x:v>
      </x:c>
      <x:c r="CA884" s="11" t="n">
        <x:v>0</x:v>
      </x:c>
      <x:c r="CB884" s="11" t="n">
        <x:v>33094</x:v>
      </x:c>
      <x:c r="CC884" s="11" t="n">
        <x:v>1248794</x:v>
      </x:c>
      <x:c r="CD884" s="11" t="n">
        <x:v>143327</x:v>
      </x:c>
      <x:c r="CE884" s="11" t="n">
        <x:v>139252</x:v>
      </x:c>
      <x:c r="CF884" s="11" t="n">
        <x:v>0</x:v>
      </x:c>
      <x:c r="CG884" s="11" t="n">
        <x:v>62853</x:v>
      </x:c>
      <x:c r="CH884" s="11" t="n">
        <x:v>578244</x:v>
      </x:c>
      <x:c r="CI884" s="11" t="n">
        <x:v>1089029</x:v>
      </x:c>
      <x:c r="CJ884" s="11" t="n">
        <x:v>423647</x:v>
      </x:c>
      <x:c r="CK884" s="11" t="n">
        <x:v>1019515</x:v>
      </x:c>
      <x:c r="CL884" s="11" t="n">
        <x:v>144449</x:v>
      </x:c>
      <x:c r="CM884" s="11" t="n">
        <x:v>0</x:v>
      </x:c>
      <x:c r="CN884" s="11" t="n">
        <x:v>0</x:v>
      </x:c>
      <x:c r="CO884" s="11" t="n">
        <x:v>0</x:v>
      </x:c>
      <x:c r="CP884" s="8"/>
      <x:c r="CQ884" s="8"/>
    </x:row>
    <x:row r="885">
      <x:c r="A885" s="8" t="str">
        <x:v>Valemount|2024</x:v>
      </x:c>
      <x:c r="B885" s="8" t="str">
        <x:v>valemount-v</x:v>
      </x:c>
      <x:c r="C885" s="8" t="str">
        <x:v>Valemount</x:v>
      </x:c>
      <x:c r="D885" s="8" t="str">
        <x:v>Valemount</x:v>
      </x:c>
      <x:c r="E885" s="8" t="str">
        <x:v>V</x:v>
      </x:c>
      <x:c r="F885" s="8" t="str">
        <x:v>FFG</x:v>
      </x:c>
      <x:c r="G885" s="9" t="n">
        <x:v>2024</x:v>
      </x:c>
      <x:c r="H885" s="10" t="n">
        <x:v>1018</x:v>
      </x:c>
      <x:c r="I885" s="8" t="str">
        <x:v>Under 5,000</x:v>
      </x:c>
      <x:c r="J885" s="11" t="n">
        <x:v>6462654</x:v>
      </x:c>
      <x:c r="K885" s="11" t="n">
        <x:v>5160215</x:v>
      </x:c>
      <x:c r="L885" s="11" t="n">
        <x:v>1302439</x:v>
      </x:c>
      <x:c r="M885" s="12" t="n">
        <x:v>0.2015331472178458</x:v>
      </x:c>
      <x:c r="N885" s="11" t="n">
        <x:v>1738845</x:v>
      </x:c>
      <x:c r="O885" s="11" t="n">
        <x:v>1550202</x:v>
      </x:c>
      <x:c r="P885" s="11" t="n">
        <x:v>3206240</x:v>
      </x:c>
      <x:c r="Q885" s="11" t="n">
        <x:v>-32633</x:v>
      </x:c>
      <x:c r="R885" s="11" t="n">
        <x:v>4344876</x:v>
      </x:c>
      <x:c r="S885" s="11" t="n">
        <x:v>785482</x:v>
      </x:c>
      <x:c r="T885" s="11" t="n">
        <x:v>13749978</x:v>
      </x:c>
      <x:c r="U885" s="11" t="n">
        <x:v>3921763</x:v>
      </x:c>
      <x:c r="V885" s="11" t="n">
        <x:v>20184514</x:v>
      </x:c>
      <x:c r="W885" s="11" t="n">
        <x:v>2609112</x:v>
      </x:c>
      <x:c r="X885" s="11" t="n">
        <x:v>369336</x:v>
      </x:c>
      <x:c r="Y885" s="11" t="n">
        <x:v>0</x:v>
      </x:c>
      <x:c r="Z885" s="11" t="n">
        <x:v>37852</x:v>
      </x:c>
      <x:c r="AA885" s="11" t="n">
        <x:v>301171</x:v>
      </x:c>
      <x:c r="AB885" s="11" t="n">
        <x:v>29857</x:v>
      </x:c>
      <x:c r="AC885" s="11" t="n">
        <x:v>67709</x:v>
      </x:c>
      <x:c r="AD885" s="11" t="n">
        <x:v>914945</x:v>
      </x:c>
      <x:c r="AE885" s="11" t="n">
        <x:v>847236</x:v>
      </x:c>
      <x:c r="AF885" s="11" t="n">
        <x:v>3659780</x:v>
      </x:c>
      <x:c r="AG885" s="11" t="n">
        <x:v>39261783</x:v>
      </x:c>
      <x:c r="AH885" s="11" t="n">
        <x:v>14238702</x:v>
      </x:c>
      <x:c r="AI885" s="11" t="n">
        <x:v>25023081</x:v>
      </x:c>
      <x:c r="AJ885" s="11" t="n">
        <x:v>3894768</x:v>
      </x:c>
      <x:c r="AK885" s="11" t="n">
        <x:v>39938728</x:v>
      </x:c>
      <x:c r="AL885" s="11" t="n">
        <x:v>1252103</x:v>
      </x:c>
      <x:c r="AM885" s="12" t="n">
        <x:v>0.9686494021542198</x:v>
      </x:c>
      <x:c r="AN885" s="12" t="n">
        <x:v>0.09751857895924979</x:v>
      </x:c>
      <x:c r="AO885" s="11" t="n">
        <x:v>3393424</x:v>
      </x:c>
      <x:c r="AP885" s="11" t="n">
        <x:v>2879052</x:v>
      </x:c>
      <x:c r="AQ885" s="12" t="n">
        <x:v>0.8484209459236453</x:v>
      </x:c>
      <x:c r="AR885" s="11" t="n">
        <x:v>6348.383104125737</x:v>
      </x:c>
      <x:c r="AS885" s="11" t="n">
        <x:v>5068.97347740668</x:v>
      </x:c>
      <x:c r="AT885" s="11" t="n">
        <x:v>19827.616895874264</x:v>
      </x:c>
      <x:c r="AU885" s="11" t="n">
        <x:v>2562.9783889980354</x:v>
      </x:c>
      <x:c r="AV885" s="11" t="n">
        <x:v>295.8457760314342</x:v>
      </x:c>
      <x:c r="AW885" s="11" t="n">
        <x:v>3.5060706116101357</x:v>
      </x:c>
      <x:c r="AX885" s="12" t="n">
        <x:v>0.9259966446070529</x:v>
      </x:c>
      <x:c r="AY885" s="11" t="n">
        <x:v>4648.097865362712</x:v>
      </x:c>
      <x:c r="AZ885" s="11" t="n">
        <x:v>3546.5079302077975</x:v>
      </x:c>
      <x:c r="BA885" s="11" t="n">
        <x:v>3428.422456291105</x:v>
      </x:c>
      <x:c r="BB885" s="11" t="n">
        <x:v>2783.665107049771</x:v>
      </x:c>
      <x:c r="BC885" s="11" t="n">
        <x:v>5030.364110900993</x:v>
      </x:c>
      <x:c r="BD885" s="11" t="n">
        <x:v>2437.8724475115623</x:v>
      </x:c>
      <x:c r="BE885" s="11" t="n">
        <x:v>2420.45</x:v>
      </x:c>
      <x:c r="BF885" s="11" t="n">
        <x:v>1604.3462673977224</x:v>
      </x:c>
      <x:c r="BG885" s="11" t="n">
        <x:v>224.31236112962716</x:v>
      </x:c>
      <x:c r="BH885" s="11" t="n">
        <x:v>518.5374381567245</x:v>
      </x:c>
      <x:c r="BI885" s="11" t="n">
        <x:v>2.204313821553219</x:v>
      </x:c>
      <x:c r="BJ885" s="11" t="n">
        <x:v>1.7099330852451193</x:v>
      </x:c>
      <x:c r="BK885" s="12" t="n">
        <x:v>0.030042455998363887</x:v>
      </x:c>
      <x:c r="BL885" s="12" t="n">
        <x:v>0.02529861000232605</x:v>
      </x:c>
      <x:c r="BM885" s="12" t="n">
        <x:v>0.9786113537119745</x:v>
      </x:c>
      <x:c r="BN885" s="12" t="n">
        <x:v>0.9815511712696461</x:v>
      </x:c>
      <x:c r="BO885" s="12" t="n">
        <x:v>0.9039920521842442</x:v>
      </x:c>
      <x:c r="BP885" s="12" t="n">
        <x:v>0.8619101997275483</x:v>
      </x:c>
      <x:c r="BQ885" s="12" t="n">
        <x:v>0.9333160528846489</x:v>
      </x:c>
      <x:c r="BR885" s="12" t="n">
        <x:v>0.9623635142836453</x:v>
      </x:c>
      <x:c r="BS885" s="12" t="n">
        <x:v>0.20869205825466772</x:v>
      </x:c>
      <x:c r="BT885" s="12" t="n">
        <x:v>0.19976549769108282</x:v>
      </x:c>
      <x:c r="BU885" s="11" t="n">
        <x:v>1775760</x:v>
      </x:c>
      <x:c r="BV885" s="11" t="n">
        <x:v>1406480</x:v>
      </x:c>
      <x:c r="BW885" s="11" t="n">
        <x:v>24000</x:v>
      </x:c>
      <x:c r="BX885" s="11" t="n">
        <x:v>520116</x:v>
      </x:c>
      <x:c r="BY885" s="11" t="n">
        <x:v>-846139</x:v>
      </x:c>
      <x:c r="BZ885" s="11" t="n">
        <x:v>293390</x:v>
      </x:c>
      <x:c r="CA885" s="11" t="n">
        <x:v>0</x:v>
      </x:c>
      <x:c r="CB885" s="11" t="n">
        <x:v>0</x:v>
      </x:c>
      <x:c r="CC885" s="11" t="n">
        <x:v>1355028</x:v>
      </x:c>
      <x:c r="CD885" s="11" t="n">
        <x:v>111657</x:v>
      </x:c>
      <x:c r="CE885" s="11" t="n">
        <x:v>153371</x:v>
      </x:c>
      <x:c r="CF885" s="11" t="n">
        <x:v>0</x:v>
      </x:c>
      <x:c r="CG885" s="11" t="n">
        <x:v>120303</x:v>
      </x:c>
      <x:c r="CH885" s="11" t="n">
        <x:v>556650</x:v>
      </x:c>
      <x:c r="CI885" s="11" t="n">
        <x:v>858087</x:v>
      </x:c>
      <x:c r="CJ885" s="11" t="n">
        <x:v>339684</x:v>
      </x:c>
      <x:c r="CK885" s="11" t="n">
        <x:v>863596</x:v>
      </x:c>
      <x:c r="CL885" s="11" t="n">
        <x:v>16357</x:v>
      </x:c>
      <x:c r="CM885" s="11" t="n">
        <x:v>0</x:v>
      </x:c>
      <x:c r="CN885" s="11" t="n">
        <x:v>0</x:v>
      </x:c>
      <x:c r="CO885" s="11" t="n">
        <x:v>0</x:v>
      </x:c>
      <x:c r="CP885" s="8"/>
      <x:c r="CQ885" s="8"/>
    </x:row>
    <x:row r="886">
      <x:c r="A886" s="8" t="str">
        <x:v>Vancouver|2019</x:v>
      </x:c>
      <x:c r="B886" s="8" t="str">
        <x:v>vancouver-c</x:v>
      </x:c>
      <x:c r="C886" s="8" t="str">
        <x:v>Vancouver</x:v>
      </x:c>
      <x:c r="D886" s="8" t="str">
        <x:v>Vancouver</x:v>
      </x:c>
      <x:c r="E886" s="8" t="str">
        <x:v>C</x:v>
      </x:c>
      <x:c r="F886" s="8" t="str">
        <x:v>GVR</x:v>
      </x:c>
      <x:c r="G886" s="9" t="n">
        <x:v>2019</x:v>
      </x:c>
      <x:c r="H886" s="10" t="n">
        <x:v>685885</x:v>
      </x:c>
      <x:c r="I886" s="8" t="str">
        <x:v>100,000 and over</x:v>
      </x:c>
      <x:c r="J886" s="11" t="n">
        <x:v>1973893000</x:v>
      </x:c>
      <x:c r="K886" s="11" t="n">
        <x:v>1673170000</x:v>
      </x:c>
      <x:c r="L886" s="11" t="n">
        <x:v>300723000</x:v>
      </x:c>
      <x:c r="M886" s="12" t="n">
        <x:v>0.15235020337981847</x:v>
      </x:c>
      <x:c r="N886" s="11" t="n">
        <x:v>873498000</x:v>
      </x:c>
      <x:c r="O886" s="11" t="n">
        <x:v>814063000</x:v>
      </x:c>
      <x:c r="P886" s="11" t="n">
        <x:v>104567000</x:v>
      </x:c>
      <x:c r="Q886" s="11" t="n">
        <x:v>181765000</x:v>
      </x:c>
      <x:c r="R886" s="11" t="n">
        <x:v>1439922000</x:v>
      </x:c>
      <x:c r="S886" s="11" t="n">
        <x:v>193176000</x:v>
      </x:c>
      <x:c r="T886" s="11" t="n">
        <x:v>2647735000</x:v>
      </x:c>
      <x:c r="U886" s="11" t="n">
        <x:v>2265540000</x:v>
      </x:c>
      <x:c r="V886" s="11" t="n">
        <x:v>649767000</x:v>
      </x:c>
      <x:c r="W886" s="11" t="n">
        <x:v>0</x:v>
      </x:c>
      <x:c r="X886" s="11" t="n">
        <x:v>1104827000</x:v>
      </x:c>
      <x:c r="Y886" s="11" t="n">
        <x:v>123644000</x:v>
      </x:c>
      <x:c r="Z886" s="11" t="n">
        <x:v>132139000</x:v>
      </x:c>
      <x:c r="AA886" s="11" t="n">
        <x:v>1096332000</x:v>
      </x:c>
      <x:c r="AB886" s="11" t="n">
        <x:v>40072000</x:v>
      </x:c>
      <x:c r="AC886" s="11" t="n">
        <x:v>172211000</x:v>
      </x:c>
      <x:c r="AD886" s="11" t="n">
        <x:v>439701746</x:v>
      </x:c>
      <x:c r="AE886" s="11" t="n">
        <x:v>240562225</x:v>
      </x:c>
      <x:c r="AF886" s="11" t="n">
        <x:v>1758806982</x:v>
      </x:c>
      <x:c r="AG886" s="11" t="n">
        <x:v>11056179000</x:v>
      </x:c>
      <x:c r="AH886" s="11" t="n">
        <x:v>3821380000</x:v>
      </x:c>
      <x:c r="AI886" s="11" t="n">
        <x:v>7234799000</x:v>
      </x:c>
      <x:c r="AJ886" s="11" t="n">
        <x:v>348376000</x:v>
      </x:c>
      <x:c r="AK886" s="11" t="n">
        <x:v>28653626000</x:v>
      </x:c>
      <x:c r="AL886" s="11" t="n">
        <x:v>10570000000</x:v>
      </x:c>
      <x:c r="AM886" s="12" t="n">
        <x:v>0.6311112597058397</x:v>
      </x:c>
      <x:c r="AN886" s="12" t="n">
        <x:v>0.01215818200460912</x:v>
      </x:c>
      <x:c r="AO886" s="11" t="n">
        <x:v>1807122000</x:v>
      </x:c>
      <x:c r="AP886" s="11" t="n">
        <x:v>1751930000</x:v>
      </x:c>
      <x:c r="AQ886" s="12" t="n">
        <x:v>0.9694586198386164</x:v>
      </x:c>
      <x:c r="AR886" s="11" t="n">
        <x:v>2877.8774867506945</x:v>
      </x:c>
      <x:c r="AS886" s="11" t="n">
        <x:v>2439.4322663420253</x:v>
      </x:c>
      <x:c r="AT886" s="11" t="n">
        <x:v>947.34102655693</x:v>
      </x:c>
      <x:c r="AU886" s="11" t="n">
        <x:v>0</x:v>
      </x:c>
      <x:c r="AV886" s="11" t="n">
        <x:v>1598.4195601303425</x:v>
      </x:c>
      <x:c r="AW886" s="11" t="n">
        <x:v>1.1686992946493993</x:v>
      </x:c>
      <x:c r="AX886" s="12" t="n">
        <x:v>0.5471031834383482</x:v>
      </x:c>
      <x:c r="AY886" s="11"/>
      <x:c r="AZ886" s="11"/>
      <x:c r="BA886" s="11"/>
      <x:c r="BB886" s="11"/>
      <x:c r="BC886" s="11"/>
      <x:c r="BD886" s="11"/>
      <x:c r="BE886" s="11"/>
      <x:c r="BF886" s="11"/>
      <x:c r="BG886" s="11"/>
      <x:c r="BH886" s="11"/>
      <x:c r="BI886" s="11"/>
      <x:c r="BJ886" s="11"/>
      <x:c r="BK886" s="12"/>
      <x:c r="BL886" s="12"/>
      <x:c r="BM886" s="12"/>
      <x:c r="BN886" s="12"/>
      <x:c r="BO886" s="12"/>
      <x:c r="BP886" s="12"/>
      <x:c r="BQ886" s="12"/>
      <x:c r="BR886" s="12"/>
      <x:c r="BS886" s="12"/>
      <x:c r="BT886" s="12"/>
      <x:c r="BU886" s="11" t="n">
        <x:v>3409000</x:v>
      </x:c>
      <x:c r="BV886" s="11" t="n">
        <x:v>44845000</x:v>
      </x:c>
      <x:c r="BW886" s="11" t="n">
        <x:v>56313000</x:v>
      </x:c>
      <x:c r="BX886" s="11" t="n">
        <x:v>49070000</x:v>
      </x:c>
      <x:c r="BY886" s="11" t="n">
        <x:v>0</x:v>
      </x:c>
      <x:c r="BZ886" s="11" t="n">
        <x:v>132695000</x:v>
      </x:c>
      <x:c r="CA886" s="11" t="n">
        <x:v>0</x:v>
      </x:c>
      <x:c r="CB886" s="11" t="n">
        <x:v>0</x:v>
      </x:c>
      <x:c r="CC886" s="11" t="n">
        <x:v>154065000</x:v>
      </x:c>
      <x:c r="CD886" s="11" t="n">
        <x:v>464232000</x:v>
      </x:c>
      <x:c r="CE886" s="11" t="n">
        <x:v>56752000</x:v>
      </x:c>
      <x:c r="CF886" s="11" t="n">
        <x:v>61274000</x:v>
      </x:c>
      <x:c r="CG886" s="11" t="n">
        <x:v>67612000</x:v>
      </x:c>
      <x:c r="CH886" s="11" t="n">
        <x:v>145259000</x:v>
      </x:c>
      <x:c r="CI886" s="11" t="n">
        <x:v>289327000</x:v>
      </x:c>
      <x:c r="CJ886" s="11" t="n">
        <x:v>102611000</x:v>
      </x:c>
      <x:c r="CK886" s="11" t="n">
        <x:v>123040000</x:v>
      </x:c>
      <x:c r="CL886" s="11" t="n">
        <x:v>8765000</x:v>
      </x:c>
      <x:c r="CM886" s="11"/>
      <x:c r="CN886" s="11" t="n">
        <x:v>7057000</x:v>
      </x:c>
      <x:c r="CO886" s="11" t="n">
        <x:v>0</x:v>
      </x:c>
      <x:c r="CP886" s="8"/>
      <x:c r="CQ886" s="8"/>
    </x:row>
    <x:row r="887">
      <x:c r="A887" s="8" t="str">
        <x:v>Vancouver|2020</x:v>
      </x:c>
      <x:c r="B887" s="8" t="str">
        <x:v>vancouver-c</x:v>
      </x:c>
      <x:c r="C887" s="8" t="str">
        <x:v>Vancouver</x:v>
      </x:c>
      <x:c r="D887" s="8" t="str">
        <x:v>Vancouver</x:v>
      </x:c>
      <x:c r="E887" s="8" t="str">
        <x:v>C</x:v>
      </x:c>
      <x:c r="F887" s="8" t="str">
        <x:v>GVR</x:v>
      </x:c>
      <x:c r="G887" s="9" t="n">
        <x:v>2020</x:v>
      </x:c>
      <x:c r="H887" s="10" t="n">
        <x:v>697266</x:v>
      </x:c>
      <x:c r="I887" s="8" t="str">
        <x:v>100,000 and over</x:v>
      </x:c>
      <x:c r="J887" s="11" t="n">
        <x:v>1858187000</x:v>
      </x:c>
      <x:c r="K887" s="11" t="n">
        <x:v>1629210000</x:v>
      </x:c>
      <x:c r="L887" s="11" t="n">
        <x:v>228977000</x:v>
      </x:c>
      <x:c r="M887" s="12" t="n">
        <x:v>0.12322602622879182</x:v>
      </x:c>
      <x:c r="N887" s="11" t="n">
        <x:v>935538000</x:v>
      </x:c>
      <x:c r="O887" s="11" t="n">
        <x:v>672825000</x:v>
      </x:c>
      <x:c r="P887" s="11" t="n">
        <x:v>70567000</x:v>
      </x:c>
      <x:c r="Q887" s="11" t="n">
        <x:v>179257000</x:v>
      </x:c>
      <x:c r="R887" s="11" t="n">
        <x:v>1397698000</x:v>
      </x:c>
      <x:c r="S887" s="11" t="n">
        <x:v>197786000</x:v>
      </x:c>
      <x:c r="T887" s="11" t="n">
        <x:v>3207930000</x:v>
      </x:c>
      <x:c r="U887" s="11" t="n">
        <x:v>2739329000</x:v>
      </x:c>
      <x:c r="V887" s="11" t="n">
        <x:v>737955000</x:v>
      </x:c>
      <x:c r="W887" s="11" t="n">
        <x:v>0</x:v>
      </x:c>
      <x:c r="X887" s="11" t="n">
        <x:v>1096332000</x:v>
      </x:c>
      <x:c r="Y887" s="11" t="n">
        <x:v>107959000</x:v>
      </x:c>
      <x:c r="Z887" s="11" t="n">
        <x:v>132731000</x:v>
      </x:c>
      <x:c r="AA887" s="11" t="n">
        <x:v>1070839000</x:v>
      </x:c>
      <x:c r="AB887" s="11" t="n">
        <x:v>33726000</x:v>
      </x:c>
      <x:c r="AC887" s="11" t="n">
        <x:v>166457000</x:v>
      </x:c>
      <x:c r="AD887" s="11" t="n">
        <x:v>416376750</x:v>
      </x:c>
      <x:c r="AE887" s="11" t="n">
        <x:v>211800258</x:v>
      </x:c>
      <x:c r="AF887" s="11" t="n">
        <x:v>1665507000</x:v>
      </x:c>
      <x:c r="AG887" s="11" t="n">
        <x:v>11383856000</x:v>
      </x:c>
      <x:c r="AH887" s="11" t="n">
        <x:v>4009338000</x:v>
      </x:c>
      <x:c r="AI887" s="11" t="n">
        <x:v>7374518000</x:v>
      </x:c>
      <x:c r="AJ887" s="11" t="n">
        <x:v>354977000</x:v>
      </x:c>
      <x:c r="AK887" s="11" t="n">
        <x:v>29770749000</x:v>
      </x:c>
      <x:c r="AL887" s="11" t="n">
        <x:v>11120000000</x:v>
      </x:c>
      <x:c r="AM887" s="12" t="n">
        <x:v>0.626478997891521</x:v>
      </x:c>
      <x:c r="AN887" s="12" t="n">
        <x:v>0.011923683881786112</x:v>
      </x:c>
      <x:c r="AO887" s="11" t="n">
        <x:v>1624569000</x:v>
      </x:c>
      <x:c r="AP887" s="11" t="n">
        <x:v>1532725000</x:v>
      </x:c>
      <x:c r="AQ887" s="12" t="n">
        <x:v>0.943465620727713</x:v>
      </x:c>
      <x:c r="AR887" s="11" t="n">
        <x:v>2664.9614350907686</x:v>
      </x:c>
      <x:c r="AS887" s="11" t="n">
        <x:v>2336.568827391555</x:v>
      </x:c>
      <x:c r="AT887" s="11" t="n">
        <x:v>1058.3550610527402</x:v>
      </x:c>
      <x:c r="AU887" s="11" t="n">
        <x:v>0</x:v>
      </x:c>
      <x:c r="AV887" s="11" t="n">
        <x:v>1535.7682720798089</x:v>
      </x:c>
      <x:c r="AW887" s="11" t="n">
        <x:v>1.1710641547619873</x:v>
      </x:c>
      <x:c r="AX887" s="12" t="n">
        <x:v>0.508674554955338</x:v>
      </x:c>
      <x:c r="AY887" s="11"/>
      <x:c r="AZ887" s="11"/>
      <x:c r="BA887" s="11"/>
      <x:c r="BB887" s="11"/>
      <x:c r="BC887" s="11"/>
      <x:c r="BD887" s="11"/>
      <x:c r="BE887" s="11"/>
      <x:c r="BF887" s="11"/>
      <x:c r="BG887" s="11"/>
      <x:c r="BH887" s="11"/>
      <x:c r="BI887" s="11"/>
      <x:c r="BJ887" s="11"/>
      <x:c r="BK887" s="12"/>
      <x:c r="BL887" s="12"/>
      <x:c r="BM887" s="12"/>
      <x:c r="BN887" s="12"/>
      <x:c r="BO887" s="12"/>
      <x:c r="BP887" s="12"/>
      <x:c r="BQ887" s="12"/>
      <x:c r="BR887" s="12"/>
      <x:c r="BS887" s="12"/>
      <x:c r="BT887" s="12"/>
      <x:c r="BU887" s="11" t="n">
        <x:v>5027000</x:v>
      </x:c>
      <x:c r="BV887" s="11" t="n">
        <x:v>51026000</x:v>
      </x:c>
      <x:c r="BW887" s="11" t="n">
        <x:v>14514000</x:v>
      </x:c>
      <x:c r="BX887" s="11" t="n">
        <x:v>40471000</x:v>
      </x:c>
      <x:c r="BY887" s="11" t="n">
        <x:v>0</x:v>
      </x:c>
      <x:c r="BZ887" s="11" t="n">
        <x:v>125829000</x:v>
      </x:c>
      <x:c r="CA887" s="11" t="n">
        <x:v>12957000</x:v>
      </x:c>
      <x:c r="CB887" s="11" t="n">
        <x:v>0</x:v>
      </x:c>
      <x:c r="CC887" s="11" t="n">
        <x:v>157375000</x:v>
      </x:c>
      <x:c r="CD887" s="11" t="n">
        <x:v>478747000</x:v>
      </x:c>
      <x:c r="CE887" s="11" t="n">
        <x:v>71064000</x:v>
      </x:c>
      <x:c r="CF887" s="11" t="n">
        <x:v>65722000</x:v>
      </x:c>
      <x:c r="CG887" s="11" t="n">
        <x:v>97749000</x:v>
      </x:c>
      <x:c r="CH887" s="11" t="n">
        <x:v>131093000</x:v>
      </x:c>
      <x:c r="CI887" s="11" t="n">
        <x:v>215307000</x:v>
      </x:c>
      <x:c r="CJ887" s="11" t="n">
        <x:v>101747000</x:v>
      </x:c>
      <x:c r="CK887" s="11" t="n">
        <x:v>103912000</x:v>
      </x:c>
      <x:c r="CL887" s="11" t="n">
        <x:v>8708000</x:v>
      </x:c>
      <x:c r="CM887" s="11"/>
      <x:c r="CN887" s="11" t="n">
        <x:v>0</x:v>
      </x:c>
      <x:c r="CO887" s="11" t="n">
        <x:v>0</x:v>
      </x:c>
      <x:c r="CP887" s="8"/>
      <x:c r="CQ887" s="8"/>
    </x:row>
    <x:row r="888">
      <x:c r="A888" s="8" t="str">
        <x:v>Vancouver|2021</x:v>
      </x:c>
      <x:c r="B888" s="8" t="str">
        <x:v>vancouver-c</x:v>
      </x:c>
      <x:c r="C888" s="8" t="str">
        <x:v>Vancouver</x:v>
      </x:c>
      <x:c r="D888" s="8" t="str">
        <x:v>Vancouver</x:v>
      </x:c>
      <x:c r="E888" s="8" t="str">
        <x:v>C</x:v>
      </x:c>
      <x:c r="F888" s="8" t="str">
        <x:v>MVRD</x:v>
      </x:c>
      <x:c r="G888" s="9" t="n">
        <x:v>2021</x:v>
      </x:c>
      <x:c r="H888" s="10" t="n">
        <x:v>693235</x:v>
      </x:c>
      <x:c r="I888" s="8" t="str">
        <x:v>100,000 and over</x:v>
      </x:c>
      <x:c r="J888" s="11" t="n">
        <x:v>2350223000</x:v>
      </x:c>
      <x:c r="K888" s="11" t="n">
        <x:v>1766815000</x:v>
      </x:c>
      <x:c r="L888" s="11" t="n">
        <x:v>583408000</x:v>
      </x:c>
      <x:c r="M888" s="12" t="n">
        <x:v>0.24823516747134208</x:v>
      </x:c>
      <x:c r="N888" s="11" t="n">
        <x:v>982108000</x:v>
      </x:c>
      <x:c r="O888" s="11" t="n">
        <x:v>822841000</x:v>
      </x:c>
      <x:c r="P888" s="11" t="n">
        <x:v>126633000</x:v>
      </x:c>
      <x:c r="Q888" s="11" t="n">
        <x:v>418641000</x:v>
      </x:c>
      <x:c r="R888" s="11" t="n">
        <x:v>1529302000</x:v>
      </x:c>
      <x:c r="S888" s="11" t="n">
        <x:v>205326000</x:v>
      </x:c>
      <x:c r="T888" s="11" t="n">
        <x:v>3046784000</x:v>
      </x:c>
      <x:c r="U888" s="11" t="n">
        <x:v>2346572000</x:v>
      </x:c>
      <x:c r="V888" s="11" t="n">
        <x:v>940011000</x:v>
      </x:c>
      <x:c r="W888" s="11" t="n">
        <x:v>0</x:v>
      </x:c>
      <x:c r="X888" s="11" t="n">
        <x:v>1070839000</x:v>
      </x:c>
      <x:c r="Y888" s="11" t="n">
        <x:v>100000000</x:v>
      </x:c>
      <x:c r="Z888" s="11" t="n">
        <x:v>149154000</x:v>
      </x:c>
      <x:c r="AA888" s="11" t="n">
        <x:v>1020964000</x:v>
      </x:c>
      <x:c r="AB888" s="11" t="n">
        <x:v>32187000</x:v>
      </x:c>
      <x:c r="AC888" s="11" t="n">
        <x:v>181341000</x:v>
      </x:c>
      <x:c r="AD888" s="11" t="n">
        <x:v>463670780</x:v>
      </x:c>
      <x:c r="AE888" s="11" t="n">
        <x:v>238898444</x:v>
      </x:c>
      <x:c r="AF888" s="11" t="n">
        <x:v>1854683118</x:v>
      </x:c>
      <x:c r="AG888" s="11" t="n">
        <x:v>11961793000</x:v>
      </x:c>
      <x:c r="AH888" s="11" t="n">
        <x:v>4209569000</x:v>
      </x:c>
      <x:c r="AI888" s="11" t="n">
        <x:v>7752224000</x:v>
      </x:c>
      <x:c r="AJ888" s="11" t="n">
        <x:v>585399000</x:v>
      </x:c>
      <x:c r="AK888" s="11" t="n">
        <x:v>30586478000</x:v>
      </x:c>
      <x:c r="AL888" s="11" t="n">
        <x:v>11470000000</x:v>
      </x:c>
      <x:c r="AM888" s="12" t="n">
        <x:v>0.6249976868863424</x:v>
      </x:c>
      <x:c r="AN888" s="12" t="n">
        <x:v>0.01913914377457908</x:v>
      </x:c>
      <x:c r="AO888" s="11" t="n">
        <x:v>1925279000</x:v>
      </x:c>
      <x:c r="AP888" s="11" t="n">
        <x:v>1852855000</x:v>
      </x:c>
      <x:c r="AQ888" s="12" t="n">
        <x:v>0.9623825949381882</x:v>
      </x:c>
      <x:c r="AR888" s="11" t="n">
        <x:v>3390.225536794882</x:v>
      </x:c>
      <x:c r="AS888" s="11" t="n">
        <x:v>2548.6523329029837</x:v>
      </x:c>
      <x:c r="AT888" s="11" t="n">
        <x:v>1355.9774102577048</x:v>
      </x:c>
      <x:c r="AU888" s="11" t="n">
        <x:v>0</x:v>
      </x:c>
      <x:c r="AV888" s="11" t="n">
        <x:v>1472.7531068108217</x:v>
      </x:c>
      <x:c r="AW888" s="11" t="n">
        <x:v>1.2983978330944033</x:v>
      </x:c>
      <x:c r="AX888" s="12" t="n">
        <x:v>0.5152329072796004</x:v>
      </x:c>
      <x:c r="AY888" s="11"/>
      <x:c r="AZ888" s="11"/>
      <x:c r="BA888" s="11"/>
      <x:c r="BB888" s="11"/>
      <x:c r="BC888" s="11"/>
      <x:c r="BD888" s="11"/>
      <x:c r="BE888" s="11"/>
      <x:c r="BF888" s="11"/>
      <x:c r="BG888" s="11"/>
      <x:c r="BH888" s="11"/>
      <x:c r="BI888" s="11"/>
      <x:c r="BJ888" s="11"/>
      <x:c r="BK888" s="12"/>
      <x:c r="BL888" s="12"/>
      <x:c r="BM888" s="12"/>
      <x:c r="BN888" s="12"/>
      <x:c r="BO888" s="12"/>
      <x:c r="BP888" s="12"/>
      <x:c r="BQ888" s="12"/>
      <x:c r="BR888" s="12"/>
      <x:c r="BS888" s="12"/>
      <x:c r="BT888" s="12"/>
      <x:c r="BU888" s="11" t="n">
        <x:v>56536000</x:v>
      </x:c>
      <x:c r="BV888" s="11" t="n">
        <x:v>46383000</x:v>
      </x:c>
      <x:c r="BW888" s="11" t="n">
        <x:v>23714000</x:v>
      </x:c>
      <x:c r="BX888" s="11" t="n">
        <x:v>31454000</x:v>
      </x:c>
      <x:c r="BY888" s="11" t="n">
        <x:v>0</x:v>
      </x:c>
      <x:c r="BZ888" s="11" t="n">
        <x:v>384948000</x:v>
      </x:c>
      <x:c r="CA888" s="11" t="n">
        <x:v>2239000</x:v>
      </x:c>
      <x:c r="CB888" s="11" t="n">
        <x:v>0</x:v>
      </x:c>
      <x:c r="CC888" s="11" t="n">
        <x:v>180185000</x:v>
      </x:c>
      <x:c r="CD888" s="11" t="n">
        <x:v>516372000</x:v>
      </x:c>
      <x:c r="CE888" s="11" t="n">
        <x:v>70855000</x:v>
      </x:c>
      <x:c r="CF888" s="11" t="n">
        <x:v>83047000</x:v>
      </x:c>
      <x:c r="CG888" s="11" t="n">
        <x:v>68509000</x:v>
      </x:c>
      <x:c r="CH888" s="11" t="n">
        <x:v>140727000</x:v>
      </x:c>
      <x:c r="CI888" s="11" t="n">
        <x:v>276869000</x:v>
      </x:c>
      <x:c r="CJ888" s="11" t="n">
        <x:v>105737000</x:v>
      </x:c>
      <x:c r="CK888" s="11" t="n">
        <x:v>110563000</x:v>
      </x:c>
      <x:c r="CL888" s="11" t="n">
        <x:v>8625000</x:v>
      </x:c>
      <x:c r="CM888" s="11"/>
      <x:c r="CN888" s="11" t="n">
        <x:v>0</x:v>
      </x:c>
      <x:c r="CO888" s="11" t="n">
        <x:v>0</x:v>
      </x:c>
      <x:c r="CP888" s="8"/>
      <x:c r="CQ888" s="8"/>
    </x:row>
    <x:row r="889">
      <x:c r="A889" s="8" t="str">
        <x:v>Vancouver|2022</x:v>
      </x:c>
      <x:c r="B889" s="8" t="str">
        <x:v>vancouver-c</x:v>
      </x:c>
      <x:c r="C889" s="8" t="str">
        <x:v>Vancouver</x:v>
      </x:c>
      <x:c r="D889" s="8" t="str">
        <x:v>Vancouver</x:v>
      </x:c>
      <x:c r="E889" s="8" t="str">
        <x:v>C</x:v>
      </x:c>
      <x:c r="F889" s="8" t="str">
        <x:v>MVRD</x:v>
      </x:c>
      <x:c r="G889" s="9" t="n">
        <x:v>2022</x:v>
      </x:c>
      <x:c r="H889" s="10" t="n">
        <x:v>706012</x:v>
      </x:c>
      <x:c r="I889" s="8" t="str">
        <x:v>100,000 and over</x:v>
      </x:c>
      <x:c r="J889" s="11" t="n">
        <x:v>2452279000</x:v>
      </x:c>
      <x:c r="K889" s="11" t="n">
        <x:v>1899831000</x:v>
      </x:c>
      <x:c r="L889" s="11" t="n">
        <x:v>552448000</x:v>
      </x:c>
      <x:c r="M889" s="12" t="n">
        <x:v>0.22527942375235444</x:v>
      </x:c>
      <x:c r="N889" s="11" t="n">
        <x:v>1082144000</x:v>
      </x:c>
      <x:c r="O889" s="11" t="n">
        <x:v>899926000</x:v>
      </x:c>
      <x:c r="P889" s="11" t="n">
        <x:v>94463000</x:v>
      </x:c>
      <x:c r="Q889" s="11" t="n">
        <x:v>375746000</x:v>
      </x:c>
      <x:c r="R889" s="11" t="n">
        <x:v>1663822000</x:v>
      </x:c>
      <x:c r="S889" s="11" t="n">
        <x:v>206929000</x:v>
      </x:c>
      <x:c r="T889" s="11" t="n">
        <x:v>3532165000</x:v>
      </x:c>
      <x:c r="U889" s="11" t="n">
        <x:v>2529944000</x:v>
      </x:c>
      <x:c r="V889" s="11" t="n">
        <x:v>1247630000</x:v>
      </x:c>
      <x:c r="W889" s="11" t="n">
        <x:v>949274000</x:v>
      </x:c>
      <x:c r="X889" s="11" t="n">
        <x:v>1020964000</x:v>
      </x:c>
      <x:c r="Y889" s="11" t="n">
        <x:v>2000000</x:v>
      </x:c>
      <x:c r="Z889" s="11" t="n">
        <x:v>2645000</x:v>
      </x:c>
      <x:c r="AA889" s="11" t="n">
        <x:v>1019598000</x:v>
      </x:c>
      <x:c r="AB889" s="11" t="n">
        <x:v>29080000</x:v>
      </x:c>
      <x:c r="AC889" s="11" t="n">
        <x:v>31725000</x:v>
      </x:c>
      <x:c r="AD889" s="11" t="n">
        <x:v>514693865</x:v>
      </x:c>
      <x:c r="AE889" s="11" t="n">
        <x:v>441242142</x:v>
      </x:c>
      <x:c r="AF889" s="11" t="n">
        <x:v>2058775459</x:v>
      </x:c>
      <x:c r="AG889" s="11" t="n">
        <x:v>12401672000</x:v>
      </x:c>
      <x:c r="AH889" s="11" t="n">
        <x:v>4406792000</x:v>
      </x:c>
      <x:c r="AI889" s="11" t="n">
        <x:v>7994880000</x:v>
      </x:c>
      <x:c r="AJ889" s="11" t="n">
        <x:v>455042000</x:v>
      </x:c>
      <x:c r="AK889" s="11" t="n">
        <x:v>31851211000</x:v>
      </x:c>
      <x:c r="AL889" s="11" t="n">
        <x:v>11970000000</x:v>
      </x:c>
      <x:c r="AM889" s="12" t="n">
        <x:v>0.6241901132110801</x:v>
      </x:c>
      <x:c r="AN889" s="12" t="n">
        <x:v>0.014286489766433057</x:v>
      </x:c>
      <x:c r="AO889" s="11" t="n">
        <x:v>2048971000</x:v>
      </x:c>
      <x:c r="AP889" s="11" t="n">
        <x:v>1957471000</x:v>
      </x:c>
      <x:c r="AQ889" s="12" t="n">
        <x:v>0.9553434382429034</x:v>
      </x:c>
      <x:c r="AR889" s="11" t="n">
        <x:v>3473.4239644651934</x:v>
      </x:c>
      <x:c r="AS889" s="11" t="n">
        <x:v>2690.933015302856</x:v>
      </x:c>
      <x:c r="AT889" s="11" t="n">
        <x:v>1767.1512665507103</x:v>
      </x:c>
      <x:c r="AU889" s="11" t="n">
        <x:v>1344.5578828688465</x:v>
      </x:c>
      <x:c r="AV889" s="11" t="n">
        <x:v>1444.1652549815017</x:v>
      </x:c>
      <x:c r="AW889" s="11" t="n">
        <x:v>1.3961435510035005</x:v>
      </x:c>
      <x:c r="AX889" s="12" t="n">
        <x:v>0.8572904633320236</x:v>
      </x:c>
      <x:c r="AY889" s="11"/>
      <x:c r="AZ889" s="11"/>
      <x:c r="BA889" s="11"/>
      <x:c r="BB889" s="11"/>
      <x:c r="BC889" s="11"/>
      <x:c r="BD889" s="11"/>
      <x:c r="BE889" s="11"/>
      <x:c r="BF889" s="11"/>
      <x:c r="BG889" s="11"/>
      <x:c r="BH889" s="11"/>
      <x:c r="BI889" s="11"/>
      <x:c r="BJ889" s="11"/>
      <x:c r="BK889" s="12"/>
      <x:c r="BL889" s="12"/>
      <x:c r="BM889" s="12"/>
      <x:c r="BN889" s="12"/>
      <x:c r="BO889" s="12"/>
      <x:c r="BP889" s="12"/>
      <x:c r="BQ889" s="12"/>
      <x:c r="BR889" s="12"/>
      <x:c r="BS889" s="12"/>
      <x:c r="BT889" s="12"/>
      <x:c r="BU889" s="11" t="n">
        <x:v>21098000</x:v>
      </x:c>
      <x:c r="BV889" s="11" t="n">
        <x:v>56431000</x:v>
      </x:c>
      <x:c r="BW889" s="11" t="n">
        <x:v>16934000</x:v>
      </x:c>
      <x:c r="BX889" s="11" t="n">
        <x:v>58676000</x:v>
      </x:c>
      <x:c r="BY889" s="11" t="n">
        <x:v>0</x:v>
      </x:c>
      <x:c r="BZ889" s="11" t="n">
        <x:v>315960000</x:v>
      </x:c>
      <x:c r="CA889" s="11" t="n">
        <x:v>1110000</x:v>
      </x:c>
      <x:c r="CB889" s="11" t="n">
        <x:v>0</x:v>
      </x:c>
      <x:c r="CC889" s="11" t="n">
        <x:v>168671000</x:v>
      </x:c>
      <x:c r="CD889" s="11" t="n">
        <x:v>522741000</x:v>
      </x:c>
      <x:c r="CE889" s="11" t="n">
        <x:v>84768000</x:v>
      </x:c>
      <x:c r="CF889" s="11" t="n">
        <x:v>99756000</x:v>
      </x:c>
      <x:c r="CG889" s="11" t="n">
        <x:v>117434000</x:v>
      </x:c>
      <x:c r="CH889" s="11" t="n">
        <x:v>152277000</x:v>
      </x:c>
      <x:c r="CI889" s="11" t="n">
        <x:v>305252000</x:v>
      </x:c>
      <x:c r="CJ889" s="11" t="n">
        <x:v>109179000</x:v>
      </x:c>
      <x:c r="CK889" s="11" t="n">
        <x:v>117907000</x:v>
      </x:c>
      <x:c r="CL889" s="11" t="n">
        <x:v>9460000</x:v>
      </x:c>
      <x:c r="CM889" s="11"/>
      <x:c r="CN889" s="11" t="n">
        <x:v>5457000</x:v>
      </x:c>
      <x:c r="CO889" s="11" t="n">
        <x:v>0</x:v>
      </x:c>
      <x:c r="CP889" s="8"/>
      <x:c r="CQ889" s="8"/>
    </x:row>
    <x:row r="890">
      <x:c r="A890" s="8" t="str">
        <x:v>Vancouver|2023</x:v>
      </x:c>
      <x:c r="B890" s="8" t="str">
        <x:v>vancouver-c</x:v>
      </x:c>
      <x:c r="C890" s="8" t="str">
        <x:v>Vancouver</x:v>
      </x:c>
      <x:c r="D890" s="8" t="str">
        <x:v>Vancouver</x:v>
      </x:c>
      <x:c r="E890" s="8" t="str">
        <x:v>C</x:v>
      </x:c>
      <x:c r="F890" s="8" t="str">
        <x:v>MVRD</x:v>
      </x:c>
      <x:c r="G890" s="9" t="n">
        <x:v>2023</x:v>
      </x:c>
      <x:c r="H890" s="10" t="n">
        <x:v>725778</x:v>
      </x:c>
      <x:c r="I890" s="8" t="str">
        <x:v>100,000 and over</x:v>
      </x:c>
      <x:c r="J890" s="11" t="n">
        <x:v>2618136000</x:v>
      </x:c>
      <x:c r="K890" s="11" t="n">
        <x:v>2084128000</x:v>
      </x:c>
      <x:c r="L890" s="11" t="n">
        <x:v>534008000</x:v>
      </x:c>
      <x:c r="M890" s="12" t="n">
        <x:v>0.20396495827565872</x:v>
      </x:c>
      <x:c r="N890" s="11" t="n">
        <x:v>1183722000</x:v>
      </x:c>
      <x:c r="O890" s="11" t="n">
        <x:v>952569000</x:v>
      </x:c>
      <x:c r="P890" s="11" t="n">
        <x:v>185552000</x:v>
      </x:c>
      <x:c r="Q890" s="11" t="n">
        <x:v>296293000</x:v>
      </x:c>
      <x:c r="R890" s="11" t="n">
        <x:v>1837054000</x:v>
      </x:c>
      <x:c r="S890" s="11" t="n">
        <x:v>218661000</x:v>
      </x:c>
      <x:c r="T890" s="11" t="n">
        <x:v>3913424000</x:v>
      </x:c>
      <x:c r="U890" s="11" t="n">
        <x:v>2845938000</x:v>
      </x:c>
      <x:c r="V890" s="11" t="n">
        <x:v>1413521000</x:v>
      </x:c>
      <x:c r="W890" s="11" t="n">
        <x:v>1380443000</x:v>
      </x:c>
      <x:c r="X890" s="11" t="n">
        <x:v>1019598000</x:v>
      </x:c>
      <x:c r="Y890" s="11" t="n">
        <x:v>104069000</x:v>
      </x:c>
      <x:c r="Z890" s="11" t="n">
        <x:v>112373000</x:v>
      </x:c>
      <x:c r="AA890" s="11" t="n">
        <x:v>1006953000</x:v>
      </x:c>
      <x:c r="AB890" s="11" t="n">
        <x:v>28413000</x:v>
      </x:c>
      <x:c r="AC890" s="11" t="n">
        <x:v>140786000</x:v>
      </x:c>
      <x:c r="AD890" s="11" t="n">
        <x:v>573851699</x:v>
      </x:c>
      <x:c r="AE890" s="11" t="n">
        <x:v>400714010</x:v>
      </x:c>
      <x:c r="AF890" s="11" t="n">
        <x:v>2295406794</x:v>
      </x:c>
      <x:c r="AG890" s="11" t="n">
        <x:v>12954272000</x:v>
      </x:c>
      <x:c r="AH890" s="11" t="n">
        <x:v>4671287000</x:v>
      </x:c>
      <x:c r="AI890" s="11" t="n">
        <x:v>8282985000</x:v>
      </x:c>
      <x:c r="AJ890" s="11" t="n">
        <x:v>476622000</x:v>
      </x:c>
      <x:c r="AK890" s="11" t="n">
        <x:v>33385807000</x:v>
      </x:c>
      <x:c r="AL890" s="11" t="n">
        <x:v>12700000000</x:v>
      </x:c>
      <x:c r="AM890" s="12" t="n">
        <x:v>0.6195988313237418</x:v>
      </x:c>
      <x:c r="AN890" s="12" t="n">
        <x:v>0.014276186284788623</x:v>
      </x:c>
      <x:c r="AO890" s="11" t="n">
        <x:v>2173929000</x:v>
      </x:c>
      <x:c r="AP890" s="11" t="n">
        <x:v>2111552611</x:v>
      </x:c>
      <x:c r="AQ890" s="12" t="n">
        <x:v>0.971307071666094</x:v>
      </x:c>
      <x:c r="AR890" s="11" t="n">
        <x:v>3607.35100815952</x:v>
      </x:c>
      <x:c r="AS890" s="11" t="n">
        <x:v>2871.577810294608</x:v>
      </x:c>
      <x:c r="AT890" s="11" t="n">
        <x:v>1947.5941679136045</x:v>
      </x:c>
      <x:c r="AU890" s="11" t="n">
        <x:v>1902.0182480042106</x:v>
      </x:c>
      <x:c r="AV890" s="11" t="n">
        <x:v>1387.4118532113125</x:v>
      </x:c>
      <x:c r="AW890" s="11" t="n">
        <x:v>1.3750910947462665</x:v>
      </x:c>
      <x:c r="AX890" s="12" t="n">
        <x:v>0.698288444032297</x:v>
      </x:c>
      <x:c r="AY890" s="11"/>
      <x:c r="AZ890" s="11"/>
      <x:c r="BA890" s="11"/>
      <x:c r="BB890" s="11"/>
      <x:c r="BC890" s="11"/>
      <x:c r="BD890" s="11"/>
      <x:c r="BE890" s="11"/>
      <x:c r="BF890" s="11"/>
      <x:c r="BG890" s="11"/>
      <x:c r="BH890" s="11"/>
      <x:c r="BI890" s="11"/>
      <x:c r="BJ890" s="11"/>
      <x:c r="BK890" s="12"/>
      <x:c r="BL890" s="12"/>
      <x:c r="BM890" s="12"/>
      <x:c r="BN890" s="12"/>
      <x:c r="BO890" s="12"/>
      <x:c r="BP890" s="12"/>
      <x:c r="BQ890" s="12"/>
      <x:c r="BR890" s="12"/>
      <x:c r="BS890" s="12"/>
      <x:c r="BT890" s="12"/>
      <x:c r="BU890" s="11" t="n">
        <x:v>45346000</x:v>
      </x:c>
      <x:c r="BV890" s="11" t="n">
        <x:v>105754000</x:v>
      </x:c>
      <x:c r="BW890" s="11" t="n">
        <x:v>34452000</x:v>
      </x:c>
      <x:c r="BX890" s="11" t="n">
        <x:v>145301000</x:v>
      </x:c>
      <x:c r="BY890" s="11" t="n">
        <x:v>0</x:v>
      </x:c>
      <x:c r="BZ890" s="11" t="n">
        <x:v>150510000</x:v>
      </x:c>
      <x:c r="CA890" s="11" t="n">
        <x:v>482000</x:v>
      </x:c>
      <x:c r="CB890" s="11" t="n">
        <x:v>0</x:v>
      </x:c>
      <x:c r="CC890" s="11" t="n">
        <x:v>217895000</x:v>
      </x:c>
      <x:c r="CD890" s="11" t="n">
        <x:v>633435000</x:v>
      </x:c>
      <x:c r="CE890" s="11" t="n">
        <x:v>71646000</x:v>
      </x:c>
      <x:c r="CF890" s="11" t="n">
        <x:v>135888000</x:v>
      </x:c>
      <x:c r="CG890" s="11" t="n">
        <x:v>84251000</x:v>
      </x:c>
      <x:c r="CH890" s="11" t="n">
        <x:v>125534000</x:v>
      </x:c>
      <x:c r="CI890" s="11" t="n">
        <x:v>344105000</x:v>
      </x:c>
      <x:c r="CJ890" s="11" t="n">
        <x:v>111297000</x:v>
      </x:c>
      <x:c r="CK890" s="11" t="n">
        <x:v>123297000</x:v>
      </x:c>
      <x:c r="CL890" s="11" t="n">
        <x:v>10016000</x:v>
      </x:c>
      <x:c r="CM890" s="11" t="n">
        <x:v>2661000</x:v>
      </x:c>
      <x:c r="CN890" s="11" t="n">
        <x:v>5442000</x:v>
      </x:c>
      <x:c r="CO890" s="11" t="n">
        <x:v>0</x:v>
      </x:c>
      <x:c r="CP890" s="8"/>
      <x:c r="CQ890" s="8"/>
    </x:row>
    <x:row r="891">
      <x:c r="A891" s="8" t="str">
        <x:v>Vancouver|2024</x:v>
      </x:c>
      <x:c r="B891" s="8" t="str">
        <x:v>vancouver-c</x:v>
      </x:c>
      <x:c r="C891" s="8" t="str">
        <x:v>Vancouver</x:v>
      </x:c>
      <x:c r="D891" s="8" t="str">
        <x:v>Vancouver</x:v>
      </x:c>
      <x:c r="E891" s="8" t="str">
        <x:v>C</x:v>
      </x:c>
      <x:c r="F891" s="8" t="str">
        <x:v>MVRD</x:v>
      </x:c>
      <x:c r="G891" s="9" t="n">
        <x:v>2024</x:v>
      </x:c>
      <x:c r="H891" s="10" t="n">
        <x:v>725778</x:v>
      </x:c>
      <x:c r="I891" s="8" t="str">
        <x:v>100,000 and over</x:v>
      </x:c>
      <x:c r="J891" s="11" t="n">
        <x:v>3164278000</x:v>
      </x:c>
      <x:c r="K891" s="11" t="n">
        <x:v>2303644000</x:v>
      </x:c>
      <x:c r="L891" s="11" t="n">
        <x:v>860634000</x:v>
      </x:c>
      <x:c r="M891" s="12" t="n">
        <x:v>0.27198431996177325</x:v>
      </x:c>
      <x:c r="N891" s="11" t="n">
        <x:v>1271706000</x:v>
      </x:c>
      <x:c r="O891" s="11" t="n">
        <x:v>1082556000</x:v>
      </x:c>
      <x:c r="P891" s="11" t="n">
        <x:v>143862000</x:v>
      </x:c>
      <x:c r="Q891" s="11" t="n">
        <x:v>666154000</x:v>
      </x:c>
      <x:c r="R891" s="11" t="n">
        <x:v>2042043000</x:v>
      </x:c>
      <x:c r="S891" s="11" t="n">
        <x:v>227348000</x:v>
      </x:c>
      <x:c r="T891" s="11" t="n">
        <x:v>4119433000</x:v>
      </x:c>
      <x:c r="U891" s="11" t="n">
        <x:v>3108889000</x:v>
      </x:c>
      <x:c r="V891" s="11" t="n">
        <x:v>1489852000</x:v>
      </x:c>
      <x:c r="W891" s="11" t="n">
        <x:v>1484687000</x:v>
      </x:c>
      <x:c r="X891" s="11" t="n">
        <x:v>1006953000</x:v>
      </x:c>
      <x:c r="Y891" s="11" t="n">
        <x:v>132364000</x:v>
      </x:c>
      <x:c r="Z891" s="11" t="n">
        <x:v>111311000</x:v>
      </x:c>
      <x:c r="AA891" s="11" t="n">
        <x:v>1027970000</x:v>
      </x:c>
      <x:c r="AB891" s="11" t="n">
        <x:v>34253000</x:v>
      </x:c>
      <x:c r="AC891" s="11" t="n">
        <x:v>145564000</x:v>
      </x:c>
      <x:c r="AD891" s="11" t="n">
        <x:v>636181645</x:v>
      </x:c>
      <x:c r="AE891" s="11" t="n">
        <x:v>459647582</x:v>
      </x:c>
      <x:c r="AF891" s="11" t="n">
        <x:v>2544726581</x:v>
      </x:c>
      <x:c r="AG891" s="11" t="n">
        <x:v>13808630000</x:v>
      </x:c>
      <x:c r="AH891" s="11" t="n">
        <x:v>4883593000</x:v>
      </x:c>
      <x:c r="AI891" s="11" t="n">
        <x:v>8925037000</x:v>
      </x:c>
      <x:c r="AJ891" s="11" t="n">
        <x:v>879123000</x:v>
      </x:c>
      <x:c r="AK891" s="11" t="n">
        <x:v>34639871000</x:v>
      </x:c>
      <x:c r="AL891" s="11" t="n">
        <x:v>12950000000</x:v>
      </x:c>
      <x:c r="AM891" s="12" t="n">
        <x:v>0.6261533421992247</x:v>
      </x:c>
      <x:c r="AN891" s="12" t="n">
        <x:v>0.025378934003535983</x:v>
      </x:c>
      <x:c r="AO891" s="11" t="n">
        <x:v>2322280121</x:v>
      </x:c>
      <x:c r="AP891" s="11" t="n">
        <x:v>2133669862</x:v>
      </x:c>
      <x:c r="AQ891" s="12" t="n">
        <x:v>0.9187822962034475</x:v>
      </x:c>
      <x:c r="AR891" s="11" t="n">
        <x:v>4359.8428169495355</x:v>
      </x:c>
      <x:c r="AS891" s="11" t="n">
        <x:v>3174.033933241294</x:v>
      </x:c>
      <x:c r="AT891" s="11" t="n">
        <x:v>2052.765446183268</x:v>
      </x:c>
      <x:c r="AU891" s="11" t="n">
        <x:v>2045.6489449941994</x:v>
      </x:c>
      <x:c r="AV891" s="11" t="n">
        <x:v>1416.3697439161838</x:v>
      </x:c>
      <x:c r="AW891" s="11" t="n">
        <x:v>1.325049881163335</x:v>
      </x:c>
      <x:c r="AX891" s="12" t="n">
        <x:v>0.7225099711891247</x:v>
      </x:c>
      <x:c r="AY891" s="11" t="n">
        <x:v>3003.390678329474</x:v>
      </x:c>
      <x:c r="AZ891" s="11" t="n">
        <x:v>3546.5079302077975</x:v>
      </x:c>
      <x:c r="BA891" s="11" t="n">
        <x:v>2379.369597210911</x:v>
      </x:c>
      <x:c r="BB891" s="11" t="n">
        <x:v>2783.665107049771</x:v>
      </x:c>
      <x:c r="BC891" s="11" t="n">
        <x:v>2052.765446183268</x:v>
      </x:c>
      <x:c r="BD891" s="11" t="n">
        <x:v>2437.8724475115623</x:v>
      </x:c>
      <x:c r="BE891" s="11" t="n">
        <x:v>1093.3312652075697</x:v>
      </x:c>
      <x:c r="BF891" s="11" t="n">
        <x:v>1604.3462673977224</x:v>
      </x:c>
      <x:c r="BG891" s="11" t="n">
        <x:v>312.26099706744867</x:v>
      </x:c>
      <x:c r="BH891" s="11" t="n">
        <x:v>518.5374381567245</x:v>
      </x:c>
      <x:c r="BI891" s="11" t="n">
        <x:v>1.6357691597817738</x:v>
      </x:c>
      <x:c r="BJ891" s="11" t="n">
        <x:v>1.7099330852451193</x:v>
      </x:c>
      <x:c r="BK891" s="12" t="n">
        <x:v>0.025378934003535983</x:v>
      </x:c>
      <x:c r="BL891" s="12" t="n">
        <x:v>0.02529861000232605</x:v>
      </x:c>
      <x:c r="BM891" s="12" t="n">
        <x:v>0.9802497344746216</x:v>
      </x:c>
      <x:c r="BN891" s="12" t="n">
        <x:v>0.9815511712696461</x:v>
      </x:c>
      <x:c r="BO891" s="12" t="n">
        <x:v>0.9023585311053542</x:v>
      </x:c>
      <x:c r="BP891" s="12" t="n">
        <x:v>0.8619101997275483</x:v>
      </x:c>
      <x:c r="BQ891" s="12" t="n">
        <x:v>0.9669710895067201</x:v>
      </x:c>
      <x:c r="BR891" s="12" t="n">
        <x:v>0.9623635142836453</x:v>
      </x:c>
      <x:c r="BS891" s="12" t="n">
        <x:v>0.27009754429306687</x:v>
      </x:c>
      <x:c r="BT891" s="12" t="n">
        <x:v>0.19976549769108282</x:v>
      </x:c>
      <x:c r="BU891" s="11" t="n">
        <x:v>49125000</x:v>
      </x:c>
      <x:c r="BV891" s="11" t="n">
        <x:v>62479000</x:v>
      </x:c>
      <x:c r="BW891" s="11" t="n">
        <x:v>32258000</x:v>
      </x:c>
      <x:c r="BX891" s="11" t="n">
        <x:v>172468000</x:v>
      </x:c>
      <x:c r="BY891" s="11" t="n">
        <x:v>0</x:v>
      </x:c>
      <x:c r="BZ891" s="11" t="n">
        <x:v>480272000</x:v>
      </x:c>
      <x:c r="CA891" s="11" t="n">
        <x:v>13414000</x:v>
      </x:c>
      <x:c r="CB891" s="11" t="n">
        <x:v>0</x:v>
      </x:c>
      <x:c r="CC891" s="11" t="n">
        <x:v>277417000</x:v>
      </x:c>
      <x:c r="CD891" s="11" t="n">
        <x:v>660491000</x:v>
      </x:c>
      <x:c r="CE891" s="11" t="n">
        <x:v>86438000</x:v>
      </x:c>
      <x:c r="CF891" s="11" t="n">
        <x:v>124506000</x:v>
      </x:c>
      <x:c r="CG891" s="11" t="n">
        <x:v>107048000</x:v>
      </x:c>
      <x:c r="CH891" s="11" t="n">
        <x:v>163023000</x:v>
      </x:c>
      <x:c r="CI891" s="11" t="n">
        <x:v>370590000</x:v>
      </x:c>
      <x:c r="CJ891" s="11" t="n">
        <x:v>117538000</x:v>
      </x:c>
      <x:c r="CK891" s="11" t="n">
        <x:v>152373000</x:v>
      </x:c>
      <x:c r="CL891" s="11" t="n">
        <x:v>10244000</x:v>
      </x:c>
      <x:c r="CM891" s="11" t="n">
        <x:v>2170000</x:v>
      </x:c>
      <x:c r="CN891" s="11" t="n">
        <x:v>4458000</x:v>
      </x:c>
      <x:c r="CO891" s="11" t="n">
        <x:v>0</x:v>
      </x:c>
      <x:c r="CP891" s="8"/>
      <x:c r="CQ891" s="8"/>
    </x:row>
    <x:row r="892">
      <x:c r="A892" s="8" t="str">
        <x:v>Vanderhoof|2019</x:v>
      </x:c>
      <x:c r="B892" s="8" t="str">
        <x:v>vanderhoof-d</x:v>
      </x:c>
      <x:c r="C892" s="8" t="str">
        <x:v>Vanderhoof</x:v>
      </x:c>
      <x:c r="D892" s="8" t="str">
        <x:v>Vanderhoof</x:v>
      </x:c>
      <x:c r="E892" s="8" t="str">
        <x:v>D</x:v>
      </x:c>
      <x:c r="F892" s="8" t="str">
        <x:v>BUL</x:v>
      </x:c>
      <x:c r="G892" s="9" t="n">
        <x:v>2019</x:v>
      </x:c>
      <x:c r="H892" s="10" t="n">
        <x:v>4668</x:v>
      </x:c>
      <x:c r="I892" s="8" t="str">
        <x:v>Under 5,000</x:v>
      </x:c>
      <x:c r="J892" s="11" t="n">
        <x:v>11330118</x:v>
      </x:c>
      <x:c r="K892" s="11" t="n">
        <x:v>9096889</x:v>
      </x:c>
      <x:c r="L892" s="11" t="n">
        <x:v>2233229</x:v>
      </x:c>
      <x:c r="M892" s="12" t="n">
        <x:v>0.19710553764753377</x:v>
      </x:c>
      <x:c r="N892" s="11" t="n">
        <x:v>5804785</x:v>
      </x:c>
      <x:c r="O892" s="11" t="n">
        <x:v>3097222</x:v>
      </x:c>
      <x:c r="P892" s="11" t="n">
        <x:v>1622620</x:v>
      </x:c>
      <x:c r="Q892" s="11" t="n">
        <x:v>805491</x:v>
      </x:c>
      <x:c r="R892" s="11" t="n">
        <x:v>6055178</x:v>
      </x:c>
      <x:c r="S892" s="11" t="n">
        <x:v>2920997</x:v>
      </x:c>
      <x:c r="T892" s="11" t="n">
        <x:v>15647230</x:v>
      </x:c>
      <x:c r="U892" s="11" t="n">
        <x:v>12042599</x:v>
      </x:c>
      <x:c r="V892" s="11" t="n">
        <x:v>4593100</x:v>
      </x:c>
      <x:c r="W892" s="11" t="n">
        <x:v>444303</x:v>
      </x:c>
      <x:c r="X892" s="11" t="n">
        <x:v>3589861</x:v>
      </x:c>
      <x:c r="Y892" s="11" t="n">
        <x:v>275535</x:v>
      </x:c>
      <x:c r="Z892" s="11" t="n">
        <x:v>349142</x:v>
      </x:c>
      <x:c r="AA892" s="11" t="n">
        <x:v>3514021</x:v>
      </x:c>
      <x:c r="AB892" s="11" t="n">
        <x:v>120714</x:v>
      </x:c>
      <x:c r="AC892" s="11" t="n">
        <x:v>469856</x:v>
      </x:c>
      <x:c r="AD892" s="11" t="n">
        <x:v>2337593</x:v>
      </x:c>
      <x:c r="AE892" s="11" t="n">
        <x:v>1867737</x:v>
      </x:c>
      <x:c r="AF892" s="11" t="n">
        <x:v>9350371</x:v>
      </x:c>
      <x:c r="AG892" s="11" t="n">
        <x:v>102947065</x:v>
      </x:c>
      <x:c r="AH892" s="11" t="n">
        <x:v>46352824</x:v>
      </x:c>
      <x:c r="AI892" s="11" t="n">
        <x:v>56594241</x:v>
      </x:c>
      <x:c r="AJ892" s="11" t="n">
        <x:v>4364509</x:v>
      </x:c>
      <x:c r="AK892" s="11" t="n">
        <x:v>1099760</x:v>
      </x:c>
      <x:c r="AL892" s="11" t="n">
        <x:v>0</x:v>
      </x:c>
      <x:c r="AM892" s="12" t="n">
        <x:v>1</x:v>
      </x:c>
      <x:c r="AN892" s="12" t="n">
        <x:v>3.9686013311995345</x:v>
      </x:c>
      <x:c r="AO892" s="11" t="n">
        <x:v>9732020</x:v>
      </x:c>
      <x:c r="AP892" s="11" t="n">
        <x:v>9457103</x:v>
      </x:c>
      <x:c r="AQ892" s="12" t="n">
        <x:v>0.9717512910988675</x:v>
      </x:c>
      <x:c r="AR892" s="11" t="n">
        <x:v>2427.1889460154243</x:v>
      </x:c>
      <x:c r="AS892" s="11" t="n">
        <x:v>1948.7765638389033</x:v>
      </x:c>
      <x:c r="AT892" s="11" t="n">
        <x:v>983.9545844044559</x:v>
      </x:c>
      <x:c r="AU892" s="11" t="n">
        <x:v>95.1805912596401</x:v>
      </x:c>
      <x:c r="AV892" s="11" t="n">
        <x:v>752.7894173093401</x:v>
      </x:c>
      <x:c r="AW892" s="11" t="n">
        <x:v>1.2993233437400016</x:v>
      </x:c>
      <x:c r="AX892" s="12" t="n">
        <x:v>0.79900008256356</x:v>
      </x:c>
      <x:c r="AY892" s="11"/>
      <x:c r="AZ892" s="11"/>
      <x:c r="BA892" s="11"/>
      <x:c r="BB892" s="11"/>
      <x:c r="BC892" s="11"/>
      <x:c r="BD892" s="11"/>
      <x:c r="BE892" s="11"/>
      <x:c r="BF892" s="11"/>
      <x:c r="BG892" s="11"/>
      <x:c r="BH892" s="11"/>
      <x:c r="BI892" s="11"/>
      <x:c r="BJ892" s="11"/>
      <x:c r="BK892" s="12"/>
      <x:c r="BL892" s="12"/>
      <x:c r="BM892" s="12"/>
      <x:c r="BN892" s="12"/>
      <x:c r="BO892" s="12"/>
      <x:c r="BP892" s="12"/>
      <x:c r="BQ892" s="12"/>
      <x:c r="BR892" s="12"/>
      <x:c r="BS892" s="12"/>
      <x:c r="BT892" s="12"/>
      <x:c r="BU892" s="11" t="n">
        <x:v>30092</x:v>
      </x:c>
      <x:c r="BV892" s="11" t="n">
        <x:v>995216</x:v>
      </x:c>
      <x:c r="BW892" s="11" t="n">
        <x:v>597312</x:v>
      </x:c>
      <x:c r="BX892" s="11" t="n">
        <x:v>296778</x:v>
      </x:c>
      <x:c r="BY892" s="11" t="n">
        <x:v>0</x:v>
      </x:c>
      <x:c r="BZ892" s="11" t="n">
        <x:v>487530</x:v>
      </x:c>
      <x:c r="CA892" s="11" t="n">
        <x:v>21183</x:v>
      </x:c>
      <x:c r="CB892" s="11" t="n">
        <x:v>0</x:v>
      </x:c>
      <x:c r="CC892" s="11" t="n">
        <x:v>1266768</x:v>
      </x:c>
      <x:c r="CD892" s="11" t="n">
        <x:v>570834</x:v>
      </x:c>
      <x:c r="CE892" s="11" t="n">
        <x:v>87045</x:v>
      </x:c>
      <x:c r="CF892" s="11" t="n">
        <x:v>0</x:v>
      </x:c>
      <x:c r="CG892" s="11" t="n">
        <x:v>0</x:v>
      </x:c>
      <x:c r="CH892" s="11" t="n">
        <x:v>1415390</x:v>
      </x:c>
      <x:c r="CI892" s="11" t="n">
        <x:v>2067538</x:v>
      </x:c>
      <x:c r="CJ892" s="11" t="n">
        <x:v>366360</x:v>
      </x:c>
      <x:c r="CK892" s="11" t="n">
        <x:v>351924</x:v>
      </x:c>
      <x:c r="CL892" s="11" t="n">
        <x:v>50033</x:v>
      </x:c>
      <x:c r="CM892" s="11"/>
      <x:c r="CN892" s="11" t="n">
        <x:v>0</x:v>
      </x:c>
      <x:c r="CO892" s="11" t="n">
        <x:v>0</x:v>
      </x:c>
      <x:c r="CP892" s="8"/>
      <x:c r="CQ892" s="8"/>
    </x:row>
    <x:row r="893">
      <x:c r="A893" s="8" t="str">
        <x:v>Vanderhoof|2020</x:v>
      </x:c>
      <x:c r="B893" s="8" t="str">
        <x:v>vanderhoof-d</x:v>
      </x:c>
      <x:c r="C893" s="8" t="str">
        <x:v>Vanderhoof</x:v>
      </x:c>
      <x:c r="D893" s="8" t="str">
        <x:v>Vanderhoof</x:v>
      </x:c>
      <x:c r="E893" s="8" t="str">
        <x:v>D</x:v>
      </x:c>
      <x:c r="F893" s="8" t="str">
        <x:v>BUL</x:v>
      </x:c>
      <x:c r="G893" s="9" t="n">
        <x:v>2020</x:v>
      </x:c>
      <x:c r="H893" s="10" t="n">
        <x:v>4665</x:v>
      </x:c>
      <x:c r="I893" s="8" t="str">
        <x:v>Under 5,000</x:v>
      </x:c>
      <x:c r="J893" s="11" t="n">
        <x:v>15616103</x:v>
      </x:c>
      <x:c r="K893" s="11" t="n">
        <x:v>8749652</x:v>
      </x:c>
      <x:c r="L893" s="11" t="n">
        <x:v>6866451</x:v>
      </x:c>
      <x:c r="M893" s="12" t="n">
        <x:v>0.4397032345393726</x:v>
      </x:c>
      <x:c r="N893" s="11" t="n">
        <x:v>5951935</x:v>
      </x:c>
      <x:c r="O893" s="11" t="n">
        <x:v>5207925</x:v>
      </x:c>
      <x:c r="P893" s="11" t="n">
        <x:v>4267832</x:v>
      </x:c>
      <x:c r="Q893" s="11" t="n">
        <x:v>188411</x:v>
      </x:c>
      <x:c r="R893" s="11" t="n">
        <x:v>5678632</x:v>
      </x:c>
      <x:c r="S893" s="11" t="n">
        <x:v>2956317</x:v>
      </x:c>
      <x:c r="T893" s="11" t="n">
        <x:v>23782327</x:v>
      </x:c>
      <x:c r="U893" s="11" t="n">
        <x:v>14497233</x:v>
      </x:c>
      <x:c r="V893" s="11" t="n">
        <x:v>10175082</x:v>
      </x:c>
      <x:c r="W893" s="11" t="n">
        <x:v>450302</x:v>
      </x:c>
      <x:c r="X893" s="11" t="n">
        <x:v>3514021</x:v>
      </x:c>
      <x:c r="Y893" s="11" t="n">
        <x:v>547809</x:v>
      </x:c>
      <x:c r="Z893" s="11" t="n">
        <x:v>385472</x:v>
      </x:c>
      <x:c r="AA893" s="11" t="n">
        <x:v>3670709</x:v>
      </x:c>
      <x:c r="AB893" s="11" t="n">
        <x:v>114703</x:v>
      </x:c>
      <x:c r="AC893" s="11" t="n">
        <x:v>500175</x:v>
      </x:c>
      <x:c r="AD893" s="11" t="n">
        <x:v>2871888</x:v>
      </x:c>
      <x:c r="AE893" s="11" t="n">
        <x:v>2371713</x:v>
      </x:c>
      <x:c r="AF893" s="11" t="n">
        <x:v>11487550</x:v>
      </x:c>
      <x:c r="AG893" s="11" t="n">
        <x:v>107007770</x:v>
      </x:c>
      <x:c r="AH893" s="11" t="n">
        <x:v>49155703</x:v>
      </x:c>
      <x:c r="AI893" s="11" t="n">
        <x:v>57852067</x:v>
      </x:c>
      <x:c r="AJ893" s="11" t="n">
        <x:v>4254459</x:v>
      </x:c>
      <x:c r="AK893" s="11" t="n">
        <x:v>1392880</x:v>
      </x:c>
      <x:c r="AL893" s="11" t="n">
        <x:v>0</x:v>
      </x:c>
      <x:c r="AM893" s="12" t="n">
        <x:v>1</x:v>
      </x:c>
      <x:c r="AN893" s="12" t="n">
        <x:v>3.0544332605823903</x:v>
      </x:c>
      <x:c r="AO893" s="11" t="n">
        <x:v>9819345</x:v>
      </x:c>
      <x:c r="AP893" s="11" t="n">
        <x:v>9532554</x:v>
      </x:c>
      <x:c r="AQ893" s="12" t="n">
        <x:v>0.9707932657422669</x:v>
      </x:c>
      <x:c r="AR893" s="11" t="n">
        <x:v>3347.5033226152195</x:v>
      </x:c>
      <x:c r="AS893" s="11" t="n">
        <x:v>1875.5952840300108</x:v>
      </x:c>
      <x:c r="AT893" s="11" t="n">
        <x:v>2181.153697749196</x:v>
      </x:c>
      <x:c r="AU893" s="11" t="n">
        <x:v>96.52775991425509</x:v>
      </x:c>
      <x:c r="AV893" s="11" t="n">
        <x:v>786.8615219721329</x:v>
      </x:c>
      <x:c r="AW893" s="11" t="n">
        <x:v>1.640473530362656</x:v>
      </x:c>
      <x:c r="AX893" s="12" t="n">
        <x:v>0.8258375674817402</x:v>
      </x:c>
      <x:c r="AY893" s="11"/>
      <x:c r="AZ893" s="11"/>
      <x:c r="BA893" s="11"/>
      <x:c r="BB893" s="11"/>
      <x:c r="BC893" s="11"/>
      <x:c r="BD893" s="11"/>
      <x:c r="BE893" s="11"/>
      <x:c r="BF893" s="11"/>
      <x:c r="BG893" s="11"/>
      <x:c r="BH893" s="11"/>
      <x:c r="BI893" s="11"/>
      <x:c r="BJ893" s="11"/>
      <x:c r="BK893" s="12"/>
      <x:c r="BL893" s="12"/>
      <x:c r="BM893" s="12"/>
      <x:c r="BN893" s="12"/>
      <x:c r="BO893" s="12"/>
      <x:c r="BP893" s="12"/>
      <x:c r="BQ893" s="12"/>
      <x:c r="BR893" s="12"/>
      <x:c r="BS893" s="12"/>
      <x:c r="BT893" s="12"/>
      <x:c r="BU893" s="11" t="n">
        <x:v>44947</x:v>
      </x:c>
      <x:c r="BV893" s="11" t="n">
        <x:v>3615065</x:v>
      </x:c>
      <x:c r="BW893" s="11" t="n">
        <x:v>607820</x:v>
      </x:c>
      <x:c r="BX893" s="11" t="n">
        <x:v>188411</x:v>
      </x:c>
      <x:c r="BY893" s="11" t="n">
        <x:v>0</x:v>
      </x:c>
      <x:c r="BZ893" s="11" t="n">
        <x:v>0</x:v>
      </x:c>
      <x:c r="CA893" s="11" t="n">
        <x:v>0</x:v>
      </x:c>
      <x:c r="CB893" s="11" t="n">
        <x:v>0</x:v>
      </x:c>
      <x:c r="CC893" s="11" t="n">
        <x:v>1075501</x:v>
      </x:c>
      <x:c r="CD893" s="11" t="n">
        <x:v>521293</x:v>
      </x:c>
      <x:c r="CE893" s="11" t="n">
        <x:v>88396</x:v>
      </x:c>
      <x:c r="CF893" s="11" t="n">
        <x:v>0</x:v>
      </x:c>
      <x:c r="CG893" s="11" t="n">
        <x:v>0</x:v>
      </x:c>
      <x:c r="CH893" s="11" t="n">
        <x:v>1364311</x:v>
      </x:c>
      <x:c r="CI893" s="11" t="n">
        <x:v>1868051</x:v>
      </x:c>
      <x:c r="CJ893" s="11" t="n">
        <x:v>415351</x:v>
      </x:c>
      <x:c r="CK893" s="11" t="n">
        <x:v>380586</x:v>
      </x:c>
      <x:c r="CL893" s="11" t="n">
        <x:v>54100</x:v>
      </x:c>
      <x:c r="CM893" s="11"/>
      <x:c r="CN893" s="11" t="n">
        <x:v>25746</x:v>
      </x:c>
      <x:c r="CO893" s="11" t="n">
        <x:v>0</x:v>
      </x:c>
      <x:c r="CP893" s="8"/>
      <x:c r="CQ893" s="8"/>
    </x:row>
    <x:row r="894">
      <x:c r="A894" s="8" t="str">
        <x:v>Vanderhoof|2021</x:v>
      </x:c>
      <x:c r="B894" s="8" t="str">
        <x:v>vanderhoof-d</x:v>
      </x:c>
      <x:c r="C894" s="8" t="str">
        <x:v>Vanderhoof</x:v>
      </x:c>
      <x:c r="D894" s="8" t="str">
        <x:v>Vanderhoof</x:v>
      </x:c>
      <x:c r="E894" s="8" t="str">
        <x:v>D</x:v>
      </x:c>
      <x:c r="F894" s="8" t="str">
        <x:v>BUL</x:v>
      </x:c>
      <x:c r="G894" s="9" t="n">
        <x:v>2021</x:v>
      </x:c>
      <x:c r="H894" s="10" t="n">
        <x:v>4703</x:v>
      </x:c>
      <x:c r="I894" s="8" t="str">
        <x:v>Under 5,000</x:v>
      </x:c>
      <x:c r="J894" s="11" t="n">
        <x:v>14243234</x:v>
      </x:c>
      <x:c r="K894" s="11" t="n">
        <x:v>9284708</x:v>
      </x:c>
      <x:c r="L894" s="11" t="n">
        <x:v>4958526</x:v>
      </x:c>
      <x:c r="M894" s="12" t="n">
        <x:v>0.3481320323741083</x:v>
      </x:c>
      <x:c r="N894" s="11" t="n">
        <x:v>6189614</x:v>
      </x:c>
      <x:c r="O894" s="11" t="n">
        <x:v>2696809</x:v>
      </x:c>
      <x:c r="P894" s="11" t="n">
        <x:v>5151156</x:v>
      </x:c>
      <x:c r="Q894" s="11" t="n">
        <x:v>205655</x:v>
      </x:c>
      <x:c r="R894" s="11" t="n">
        <x:v>6089510</x:v>
      </x:c>
      <x:c r="S894" s="11" t="n">
        <x:v>3087216</x:v>
      </x:c>
      <x:c r="T894" s="11" t="n">
        <x:v>24865780</x:v>
      </x:c>
      <x:c r="U894" s="11" t="n">
        <x:v>13037508</x:v>
      </x:c>
      <x:c r="V894" s="11" t="n">
        <x:v>13649816</x:v>
      </x:c>
      <x:c r="W894" s="11" t="n">
        <x:v>453528</x:v>
      </x:c>
      <x:c r="X894" s="11" t="n">
        <x:v>3670709</x:v>
      </x:c>
      <x:c r="Y894" s="11" t="n">
        <x:v>0</x:v>
      </x:c>
      <x:c r="Z894" s="11" t="n">
        <x:v>440162</x:v>
      </x:c>
      <x:c r="AA894" s="11" t="n">
        <x:v>3221379</x:v>
      </x:c>
      <x:c r="AB894" s="11" t="n">
        <x:v>107982</x:v>
      </x:c>
      <x:c r="AC894" s="11" t="n">
        <x:v>548144</x:v>
      </x:c>
      <x:c r="AD894" s="11" t="n">
        <x:v>2317044</x:v>
      </x:c>
      <x:c r="AE894" s="11" t="n">
        <x:v>1768900</x:v>
      </x:c>
      <x:c r="AF894" s="11" t="n">
        <x:v>9268176</x:v>
      </x:c>
      <x:c r="AG894" s="11" t="n">
        <x:v>111584933</x:v>
      </x:c>
      <x:c r="AH894" s="11" t="n">
        <x:v>52242919</x:v>
      </x:c>
      <x:c r="AI894" s="11" t="n">
        <x:v>59342014</x:v>
      </x:c>
      <x:c r="AJ894" s="11" t="n">
        <x:v>4577163</x:v>
      </x:c>
      <x:c r="AK894" s="11" t="n">
        <x:v>3126203</x:v>
      </x:c>
      <x:c r="AL894" s="11" t="n">
        <x:v>0</x:v>
      </x:c>
      <x:c r="AM894" s="12" t="n">
        <x:v>1</x:v>
      </x:c>
      <x:c r="AN894" s="12" t="n">
        <x:v>1.4641285290814448</x:v>
      </x:c>
      <x:c r="AO894" s="11" t="n">
        <x:v>10315423</x:v>
      </x:c>
      <x:c r="AP894" s="11" t="n">
        <x:v>10067302</x:v>
      </x:c>
      <x:c r="AQ894" s="12" t="n">
        <x:v>0.9759465995723103</x:v>
      </x:c>
      <x:c r="AR894" s="11" t="n">
        <x:v>3028.5422071018497</x:v>
      </x:c>
      <x:c r="AS894" s="11" t="n">
        <x:v>1974.2096534127154</x:v>
      </x:c>
      <x:c r="AT894" s="11" t="n">
        <x:v>2902.3635977035933</x:v>
      </x:c>
      <x:c r="AU894" s="11" t="n">
        <x:v>96.43376568147991</x:v>
      </x:c>
      <x:c r="AV894" s="11" t="n">
        <x:v>684.9625770784605</x:v>
      </x:c>
      <x:c r="AW894" s="11" t="n">
        <x:v>1.9072494528862418</x:v>
      </x:c>
      <x:c r="AX894" s="12" t="n">
        <x:v>0.7634296111769997</x:v>
      </x:c>
      <x:c r="AY894" s="11"/>
      <x:c r="AZ894" s="11"/>
      <x:c r="BA894" s="11"/>
      <x:c r="BB894" s="11"/>
      <x:c r="BC894" s="11"/>
      <x:c r="BD894" s="11"/>
      <x:c r="BE894" s="11"/>
      <x:c r="BF894" s="11"/>
      <x:c r="BG894" s="11"/>
      <x:c r="BH894" s="11"/>
      <x:c r="BI894" s="11"/>
      <x:c r="BJ894" s="11"/>
      <x:c r="BK894" s="12"/>
      <x:c r="BL894" s="12"/>
      <x:c r="BM894" s="12"/>
      <x:c r="BN894" s="12"/>
      <x:c r="BO894" s="12"/>
      <x:c r="BP894" s="12"/>
      <x:c r="BQ894" s="12"/>
      <x:c r="BR894" s="12"/>
      <x:c r="BS894" s="12"/>
      <x:c r="BT894" s="12"/>
      <x:c r="BU894" s="11" t="n">
        <x:v>40089</x:v>
      </x:c>
      <x:c r="BV894" s="11" t="n">
        <x:v>4494328</x:v>
      </x:c>
      <x:c r="BW894" s="11" t="n">
        <x:v>616739</x:v>
      </x:c>
      <x:c r="BX894" s="11" t="n">
        <x:v>205655</x:v>
      </x:c>
      <x:c r="BY894" s="11" t="n">
        <x:v>0</x:v>
      </x:c>
      <x:c r="BZ894" s="11" t="n">
        <x:v>0</x:v>
      </x:c>
      <x:c r="CA894" s="11" t="n">
        <x:v>0</x:v>
      </x:c>
      <x:c r="CB894" s="11" t="n">
        <x:v>0</x:v>
      </x:c>
      <x:c r="CC894" s="11" t="n">
        <x:v>1232154</x:v>
      </x:c>
      <x:c r="CD894" s="11" t="n">
        <x:v>505170</x:v>
      </x:c>
      <x:c r="CE894" s="11" t="n">
        <x:v>86254</x:v>
      </x:c>
      <x:c r="CF894" s="11" t="n">
        <x:v>0</x:v>
      </x:c>
      <x:c r="CG894" s="11" t="n">
        <x:v>0</x:v>
      </x:c>
      <x:c r="CH894" s="11" t="n">
        <x:v>1479269</x:v>
      </x:c>
      <x:c r="CI894" s="11" t="n">
        <x:v>2115384</x:v>
      </x:c>
      <x:c r="CJ894" s="11" t="n">
        <x:v>363417</x:v>
      </x:c>
      <x:c r="CK894" s="11" t="n">
        <x:v>370930</x:v>
      </x:c>
      <x:c r="CL894" s="11" t="n">
        <x:v>44914</x:v>
      </x:c>
      <x:c r="CM894" s="11"/>
      <x:c r="CN894" s="11" t="n">
        <x:v>0</x:v>
      </x:c>
      <x:c r="CO894" s="11" t="n">
        <x:v>0</x:v>
      </x:c>
      <x:c r="CP894" s="8"/>
      <x:c r="CQ894" s="8"/>
    </x:row>
    <x:row r="895">
      <x:c r="A895" s="8" t="str">
        <x:v>Vanderhoof|2022</x:v>
      </x:c>
      <x:c r="B895" s="8" t="str">
        <x:v>vanderhoof-d</x:v>
      </x:c>
      <x:c r="C895" s="8" t="str">
        <x:v>Vanderhoof</x:v>
      </x:c>
      <x:c r="D895" s="8" t="str">
        <x:v>Vanderhoof</x:v>
      </x:c>
      <x:c r="E895" s="8" t="str">
        <x:v>D</x:v>
      </x:c>
      <x:c r="F895" s="8" t="str">
        <x:v>BUL</x:v>
      </x:c>
      <x:c r="G895" s="9" t="n">
        <x:v>2022</x:v>
      </x:c>
      <x:c r="H895" s="10" t="n">
        <x:v>4719</x:v>
      </x:c>
      <x:c r="I895" s="8" t="str">
        <x:v>Under 5,000</x:v>
      </x:c>
      <x:c r="J895" s="11" t="n">
        <x:v>17572027</x:v>
      </x:c>
      <x:c r="K895" s="11" t="n">
        <x:v>10241538</x:v>
      </x:c>
      <x:c r="L895" s="11" t="n">
        <x:v>7330489</x:v>
      </x:c>
      <x:c r="M895" s="12" t="n">
        <x:v>0.4171680933565604</x:v>
      </x:c>
      <x:c r="N895" s="11" t="n">
        <x:v>6376792</x:v>
      </x:c>
      <x:c r="O895" s="11" t="n">
        <x:v>2222253</x:v>
      </x:c>
      <x:c r="P895" s="11" t="n">
        <x:v>5225126</x:v>
      </x:c>
      <x:c r="Q895" s="11" t="n">
        <x:v>3747856</x:v>
      </x:c>
      <x:c r="R895" s="11" t="n">
        <x:v>7091696</x:v>
      </x:c>
      <x:c r="S895" s="11" t="n">
        <x:v>3044957</x:v>
      </x:c>
      <x:c r="T895" s="11" t="n">
        <x:v>25039476</x:v>
      </x:c>
      <x:c r="U895" s="11" t="n">
        <x:v>9772278</x:v>
      </x:c>
      <x:c r="V895" s="11" t="n">
        <x:v>16532830</x:v>
      </x:c>
      <x:c r="W895" s="11" t="n">
        <x:v>400436</x:v>
      </x:c>
      <x:c r="X895" s="11" t="n">
        <x:v>3221379</x:v>
      </x:c>
      <x:c r="Y895" s="11" t="n">
        <x:v>0</x:v>
      </x:c>
      <x:c r="Z895" s="11" t="n">
        <x:v>414064</x:v>
      </x:c>
      <x:c r="AA895" s="11" t="n">
        <x:v>2794522</x:v>
      </x:c>
      <x:c r="AB895" s="11" t="n">
        <x:v>104885</x:v>
      </x:c>
      <x:c r="AC895" s="11" t="n">
        <x:v>518949</x:v>
      </x:c>
      <x:c r="AD895" s="11" t="n">
        <x:v>2307477</x:v>
      </x:c>
      <x:c r="AE895" s="11" t="n">
        <x:v>1788528</x:v>
      </x:c>
      <x:c r="AF895" s="11" t="n">
        <x:v>9229907</x:v>
      </x:c>
      <x:c r="AG895" s="11" t="n">
        <x:v>117992577</x:v>
      </x:c>
      <x:c r="AH895" s="11" t="n">
        <x:v>55175053</x:v>
      </x:c>
      <x:c r="AI895" s="11" t="n">
        <x:v>62817524</x:v>
      </x:c>
      <x:c r="AJ895" s="11" t="n">
        <x:v>6578039</x:v>
      </x:c>
      <x:c r="AK895" s="11" t="n">
        <x:v>2977710</x:v>
      </x:c>
      <x:c r="AL895" s="11" t="n">
        <x:v>0</x:v>
      </x:c>
      <x:c r="AM895" s="12" t="n">
        <x:v>1</x:v>
      </x:c>
      <x:c r="AN895" s="12" t="n">
        <x:v>2.2090932293608176</x:v>
      </x:c>
      <x:c r="AO895" s="11" t="n">
        <x:v>10532876</x:v>
      </x:c>
      <x:c r="AP895" s="11" t="n">
        <x:v>10224977</x:v>
      </x:c>
      <x:c r="AQ895" s="12" t="n">
        <x:v>0.9707678130835301</x:v>
      </x:c>
      <x:c r="AR895" s="11" t="n">
        <x:v>3723.6759906759908</x:v>
      </x:c>
      <x:c r="AS895" s="11" t="n">
        <x:v>2170.2771773680865</x:v>
      </x:c>
      <x:c r="AT895" s="11" t="n">
        <x:v>3503.4604789150244</x:v>
      </x:c>
      <x:c r="AU895" s="11" t="n">
        <x:v>84.85611358338632</x:v>
      </x:c>
      <x:c r="AV895" s="11" t="n">
        <x:v>592.1852087306632</x:v>
      </x:c>
      <x:c r="AW895" s="11" t="n">
        <x:v>2.5622967336786777</x:v>
      </x:c>
      <x:c r="AX895" s="12" t="n">
        <x:v>0.7751011169342099</x:v>
      </x:c>
      <x:c r="AY895" s="11"/>
      <x:c r="AZ895" s="11"/>
      <x:c r="BA895" s="11"/>
      <x:c r="BB895" s="11"/>
      <x:c r="BC895" s="11"/>
      <x:c r="BD895" s="11"/>
      <x:c r="BE895" s="11"/>
      <x:c r="BF895" s="11"/>
      <x:c r="BG895" s="11"/>
      <x:c r="BH895" s="11"/>
      <x:c r="BI895" s="11"/>
      <x:c r="BJ895" s="11"/>
      <x:c r="BK895" s="12"/>
      <x:c r="BL895" s="12"/>
      <x:c r="BM895" s="12"/>
      <x:c r="BN895" s="12"/>
      <x:c r="BO895" s="12"/>
      <x:c r="BP895" s="12"/>
      <x:c r="BQ895" s="12"/>
      <x:c r="BR895" s="12"/>
      <x:c r="BS895" s="12"/>
      <x:c r="BT895" s="12"/>
      <x:c r="BU895" s="11" t="n">
        <x:v>89863</x:v>
      </x:c>
      <x:c r="BV895" s="11" t="n">
        <x:v>3595271</x:v>
      </x:c>
      <x:c r="BW895" s="11" t="n">
        <x:v>1539992</x:v>
      </x:c>
      <x:c r="BX895" s="11" t="n">
        <x:v>333674</x:v>
      </x:c>
      <x:c r="BY895" s="11" t="n">
        <x:v>0</x:v>
      </x:c>
      <x:c r="BZ895" s="11" t="n">
        <x:v>29000</x:v>
      </x:c>
      <x:c r="CA895" s="11" t="n">
        <x:v>3385182</x:v>
      </x:c>
      <x:c r="CB895" s="11" t="n">
        <x:v>0</x:v>
      </x:c>
      <x:c r="CC895" s="11" t="n">
        <x:v>1432430</x:v>
      </x:c>
      <x:c r="CD895" s="11" t="n">
        <x:v>524489</x:v>
      </x:c>
      <x:c r="CE895" s="11" t="n">
        <x:v>92061</x:v>
      </x:c>
      <x:c r="CF895" s="11" t="n">
        <x:v>0</x:v>
      </x:c>
      <x:c r="CG895" s="11" t="n">
        <x:v>78892</x:v>
      </x:c>
      <x:c r="CH895" s="11" t="n">
        <x:v>1689871</x:v>
      </x:c>
      <x:c r="CI895" s="11" t="n">
        <x:v>2400398</x:v>
      </x:c>
      <x:c r="CJ895" s="11" t="n">
        <x:v>417515</x:v>
      </x:c>
      <x:c r="CK895" s="11" t="n">
        <x:v>454143</x:v>
      </x:c>
      <x:c r="CL895" s="11" t="n">
        <x:v>57218</x:v>
      </x:c>
      <x:c r="CM895" s="11"/>
      <x:c r="CN895" s="11" t="n">
        <x:v>49564</x:v>
      </x:c>
      <x:c r="CO895" s="11" t="n">
        <x:v>0</x:v>
      </x:c>
      <x:c r="CP895" s="8"/>
      <x:c r="CQ895" s="8"/>
    </x:row>
    <x:row r="896">
      <x:c r="A896" s="8" t="str">
        <x:v>Vanderhoof|2023</x:v>
      </x:c>
      <x:c r="B896" s="8" t="str">
        <x:v>vanderhoof-d</x:v>
      </x:c>
      <x:c r="C896" s="8" t="str">
        <x:v>Vanderhoof</x:v>
      </x:c>
      <x:c r="D896" s="8" t="str">
        <x:v>Vanderhoof</x:v>
      </x:c>
      <x:c r="E896" s="8" t="str">
        <x:v>D</x:v>
      </x:c>
      <x:c r="F896" s="8" t="str">
        <x:v>BUL</x:v>
      </x:c>
      <x:c r="G896" s="9" t="n">
        <x:v>2023</x:v>
      </x:c>
      <x:c r="H896" s="10" t="n">
        <x:v>4839</x:v>
      </x:c>
      <x:c r="I896" s="8" t="str">
        <x:v>Under 5,000</x:v>
      </x:c>
      <x:c r="J896" s="11" t="n">
        <x:v>13684436</x:v>
      </x:c>
      <x:c r="K896" s="11" t="n">
        <x:v>10769548</x:v>
      </x:c>
      <x:c r="L896" s="11" t="n">
        <x:v>2914888</x:v>
      </x:c>
      <x:c r="M896" s="12" t="n">
        <x:v>0.21300753644505335</x:v>
      </x:c>
      <x:c r="N896" s="11" t="n">
        <x:v>6741667</x:v>
      </x:c>
      <x:c r="O896" s="11" t="n">
        <x:v>2245477</x:v>
      </x:c>
      <x:c r="P896" s="11" t="n">
        <x:v>3663427</x:v>
      </x:c>
      <x:c r="Q896" s="11" t="n">
        <x:v>1033865</x:v>
      </x:c>
      <x:c r="R896" s="11" t="n">
        <x:v>7506956</x:v>
      </x:c>
      <x:c r="S896" s="11" t="n">
        <x:v>3143367</x:v>
      </x:c>
      <x:c r="T896" s="11" t="n">
        <x:v>25009450</x:v>
      </x:c>
      <x:c r="U896" s="11" t="n">
        <x:v>10790266</x:v>
      </x:c>
      <x:c r="V896" s="11" t="n">
        <x:v>15576731</x:v>
      </x:c>
      <x:c r="W896" s="11" t="n">
        <x:v>405874</x:v>
      </x:c>
      <x:c r="X896" s="11" t="n">
        <x:v>2794522</x:v>
      </x:c>
      <x:c r="Y896" s="11" t="n">
        <x:v>306926</x:v>
      </x:c>
      <x:c r="Z896" s="11" t="n">
        <x:v>305681</x:v>
      </x:c>
      <x:c r="AA896" s="11" t="n">
        <x:v>2779241</x:v>
      </x:c>
      <x:c r="AB896" s="11" t="n">
        <x:v>119225</x:v>
      </x:c>
      <x:c r="AC896" s="11" t="n">
        <x:v>424906</x:v>
      </x:c>
      <x:c r="AD896" s="11" t="n">
        <x:v>2488419</x:v>
      </x:c>
      <x:c r="AE896" s="11" t="n">
        <x:v>2063513</x:v>
      </x:c>
      <x:c r="AF896" s="11" t="n">
        <x:v>9953676</x:v>
      </x:c>
      <x:c r="AG896" s="11" t="n">
        <x:v>125118332</x:v>
      </x:c>
      <x:c r="AH896" s="11" t="n">
        <x:v>58318418</x:v>
      </x:c>
      <x:c r="AI896" s="11" t="n">
        <x:v>66799914</x:v>
      </x:c>
      <x:c r="AJ896" s="11" t="n">
        <x:v>6833071</x:v>
      </x:c>
      <x:c r="AK896" s="11" t="n">
        <x:v>7036651</x:v>
      </x:c>
      <x:c r="AL896" s="11" t="n">
        <x:v>0</x:v>
      </x:c>
      <x:c r="AM896" s="12" t="n">
        <x:v>1</x:v>
      </x:c>
      <x:c r="AN896" s="12" t="n">
        <x:v>0.9710686234119044</x:v>
      </x:c>
      <x:c r="AO896" s="11" t="n">
        <x:v>11053845</x:v>
      </x:c>
      <x:c r="AP896" s="11" t="n">
        <x:v>10796073</x:v>
      </x:c>
      <x:c r="AQ896" s="12" t="n">
        <x:v>0.9766803315950242</x:v>
      </x:c>
      <x:c r="AR896" s="11" t="n">
        <x:v>2827.947096507543</x:v>
      </x:c>
      <x:c r="AS896" s="11" t="n">
        <x:v>2225.5730522835297</x:v>
      </x:c>
      <x:c r="AT896" s="11" t="n">
        <x:v>3218.997933457326</x:v>
      </x:c>
      <x:c r="AU896" s="11" t="n">
        <x:v>83.8755941310188</x:v>
      </x:c>
      <x:c r="AV896" s="11" t="n">
        <x:v>574.3420128125646</x:v>
      </x:c>
      <x:c r="AW896" s="11" t="n">
        <x:v>2.3177788202811684</x:v>
      </x:c>
      <x:c r="AX896" s="12" t="n">
        <x:v>0.8292466019589144</x:v>
      </x:c>
      <x:c r="AY896" s="11"/>
      <x:c r="AZ896" s="11"/>
      <x:c r="BA896" s="11"/>
      <x:c r="BB896" s="11"/>
      <x:c r="BC896" s="11"/>
      <x:c r="BD896" s="11"/>
      <x:c r="BE896" s="11"/>
      <x:c r="BF896" s="11"/>
      <x:c r="BG896" s="11"/>
      <x:c r="BH896" s="11"/>
      <x:c r="BI896" s="11"/>
      <x:c r="BJ896" s="11"/>
      <x:c r="BK896" s="12"/>
      <x:c r="BL896" s="12"/>
      <x:c r="BM896" s="12"/>
      <x:c r="BN896" s="12"/>
      <x:c r="BO896" s="12"/>
      <x:c r="BP896" s="12"/>
      <x:c r="BQ896" s="12"/>
      <x:c r="BR896" s="12"/>
      <x:c r="BS896" s="12"/>
      <x:c r="BT896" s="12"/>
      <x:c r="BU896" s="11" t="n">
        <x:v>33614</x:v>
      </x:c>
      <x:c r="BV896" s="11" t="n">
        <x:v>3211323</x:v>
      </x:c>
      <x:c r="BW896" s="11" t="n">
        <x:v>418490</x:v>
      </x:c>
      <x:c r="BX896" s="11" t="n">
        <x:v>936685</x:v>
      </x:c>
      <x:c r="BY896" s="11" t="n">
        <x:v>0</x:v>
      </x:c>
      <x:c r="BZ896" s="11" t="n">
        <x:v>26000</x:v>
      </x:c>
      <x:c r="CA896" s="11" t="n">
        <x:v>71180</x:v>
      </x:c>
      <x:c r="CB896" s="11" t="n">
        <x:v>0</x:v>
      </x:c>
      <x:c r="CC896" s="11" t="n">
        <x:v>1451607</x:v>
      </x:c>
      <x:c r="CD896" s="11" t="n">
        <x:v>705144</x:v>
      </x:c>
      <x:c r="CE896" s="11" t="n">
        <x:v>105313</x:v>
      </x:c>
      <x:c r="CF896" s="11" t="n">
        <x:v>0</x:v>
      </x:c>
      <x:c r="CG896" s="11" t="n">
        <x:v>192467</x:v>
      </x:c>
      <x:c r="CH896" s="11" t="n">
        <x:v>1637356</x:v>
      </x:c>
      <x:c r="CI896" s="11" t="n">
        <x:v>2606297</x:v>
      </x:c>
      <x:c r="CJ896" s="11" t="n">
        <x:v>409077</x:v>
      </x:c>
      <x:c r="CK896" s="11" t="n">
        <x:v>462977</x:v>
      </x:c>
      <x:c r="CL896" s="11" t="n">
        <x:v>47163</x:v>
      </x:c>
      <x:c r="CM896" s="11" t="n">
        <x:v>8780</x:v>
      </x:c>
      <x:c r="CN896" s="11" t="n">
        <x:v>0</x:v>
      </x:c>
      <x:c r="CO896" s="11" t="n">
        <x:v>0</x:v>
      </x:c>
      <x:c r="CP896" s="8"/>
      <x:c r="CQ896" s="8"/>
    </x:row>
    <x:row r="897">
      <x:c r="A897" s="8" t="str">
        <x:v>Vanderhoof|2024</x:v>
      </x:c>
      <x:c r="B897" s="8" t="str">
        <x:v>vanderhoof-d</x:v>
      </x:c>
      <x:c r="C897" s="8" t="str">
        <x:v>Vanderhoof</x:v>
      </x:c>
      <x:c r="D897" s="8" t="str">
        <x:v>Vanderhoof</x:v>
      </x:c>
      <x:c r="E897" s="8" t="str">
        <x:v>D</x:v>
      </x:c>
      <x:c r="F897" s="8" t="str">
        <x:v>BUL</x:v>
      </x:c>
      <x:c r="G897" s="9" t="n">
        <x:v>2024</x:v>
      </x:c>
      <x:c r="H897" s="10" t="n">
        <x:v>4839</x:v>
      </x:c>
      <x:c r="I897" s="8" t="str">
        <x:v>Under 5,000</x:v>
      </x:c>
      <x:c r="J897" s="11" t="n">
        <x:v>14244643</x:v>
      </x:c>
      <x:c r="K897" s="11" t="n">
        <x:v>11919211</x:v>
      </x:c>
      <x:c r="L897" s="11" t="n">
        <x:v>2325432</x:v>
      </x:c>
      <x:c r="M897" s="12" t="n">
        <x:v>0.163249580912628</x:v>
      </x:c>
      <x:c r="N897" s="11" t="n">
        <x:v>6987407</x:v>
      </x:c>
      <x:c r="O897" s="11" t="n">
        <x:v>2932728</x:v>
      </x:c>
      <x:c r="P897" s="11" t="n">
        <x:v>3377248</x:v>
      </x:c>
      <x:c r="Q897" s="11" t="n">
        <x:v>947260</x:v>
      </x:c>
      <x:c r="R897" s="11" t="n">
        <x:v>8492926</x:v>
      </x:c>
      <x:c r="S897" s="11" t="n">
        <x:v>3305122</x:v>
      </x:c>
      <x:c r="T897" s="11" t="n">
        <x:v>30401516</x:v>
      </x:c>
      <x:c r="U897" s="11" t="n">
        <x:v>15174201</x:v>
      </x:c>
      <x:c r="V897" s="11" t="n">
        <x:v>16477612</x:v>
      </x:c>
      <x:c r="W897" s="11" t="n">
        <x:v>322627</x:v>
      </x:c>
      <x:c r="X897" s="11" t="n">
        <x:v>2779241</x:v>
      </x:c>
      <x:c r="Y897" s="11" t="n">
        <x:v>0</x:v>
      </x:c>
      <x:c r="Z897" s="11" t="n">
        <x:v>317330</x:v>
      </x:c>
      <x:c r="AA897" s="11" t="n">
        <x:v>2461911</x:v>
      </x:c>
      <x:c r="AB897" s="11" t="n">
        <x:v>121163</x:v>
      </x:c>
      <x:c r="AC897" s="11" t="n">
        <x:v>438493</x:v>
      </x:c>
      <x:c r="AD897" s="11" t="n">
        <x:v>2728316</x:v>
      </x:c>
      <x:c r="AE897" s="11" t="n">
        <x:v>2289823</x:v>
      </x:c>
      <x:c r="AF897" s="11" t="n">
        <x:v>10913262</x:v>
      </x:c>
      <x:c r="AG897" s="11" t="n">
        <x:v>129836865</x:v>
      </x:c>
      <x:c r="AH897" s="11" t="n">
        <x:v>61623540</x:v>
      </x:c>
      <x:c r="AI897" s="11" t="n">
        <x:v>68213325</x:v>
      </x:c>
      <x:c r="AJ897" s="11" t="n">
        <x:v>4718533</x:v>
      </x:c>
      <x:c r="AK897" s="11" t="n">
        <x:v>165589780</x:v>
      </x:c>
      <x:c r="AL897" s="11" t="n">
        <x:v>4680000</x:v>
      </x:c>
      <x:c r="AM897" s="12" t="n">
        <x:v>0.9717373862082551</x:v>
      </x:c>
      <x:c r="AN897" s="12" t="n">
        <x:v>0.028495315350983617</x:v>
      </x:c>
      <x:c r="AO897" s="11" t="n">
        <x:v>11356356</x:v>
      </x:c>
      <x:c r="AP897" s="11" t="n">
        <x:v>10975049</x:v>
      </x:c>
      <x:c r="AQ897" s="12" t="n">
        <x:v>0.9664234724589472</x:v>
      </x:c>
      <x:c r="AR897" s="11" t="n">
        <x:v>2943.716263690845</x:v>
      </x:c>
      <x:c r="AS897" s="11" t="n">
        <x:v>2463.1558173176277</x:v>
      </x:c>
      <x:c r="AT897" s="11" t="n">
        <x:v>3405.1688365364744</x:v>
      </x:c>
      <x:c r="AU897" s="11" t="n">
        <x:v>66.67224633188675</x:v>
      </x:c>
      <x:c r="AV897" s="11" t="n">
        <x:v>508.76441413515187</x:v>
      </x:c>
      <x:c r="AW897" s="11" t="n">
        <x:v>2.0035002831450566</x:v>
      </x:c>
      <x:c r="AX897" s="12" t="n">
        <x:v>0.8392807138176076</x:v>
      </x:c>
      <x:c r="AY897" s="11" t="n">
        <x:v>4486.511144130758</x:v>
      </x:c>
      <x:c r="AZ897" s="11" t="n">
        <x:v>3546.5079302077975</x:v>
      </x:c>
      <x:c r="BA897" s="11" t="n">
        <x:v>3557.844717668488</x:v>
      </x:c>
      <x:c r="BB897" s="11" t="n">
        <x:v>2783.665107049771</x:v>
      </x:c>
      <x:c r="BC897" s="11" t="n">
        <x:v>5496.677373974208</x:v>
      </x:c>
      <x:c r="BD897" s="11" t="n">
        <x:v>2437.8724475115623</x:v>
      </x:c>
      <x:c r="BE897" s="11" t="n">
        <x:v>3386.4506393861893</x:v>
      </x:c>
      <x:c r="BF897" s="11" t="n">
        <x:v>1604.3462673977224</x:v>
      </x:c>
      <x:c r="BG897" s="11" t="n">
        <x:v>624.7436119532265</x:v>
      </x:c>
      <x:c r="BH897" s="11" t="n">
        <x:v>518.5374381567245</x:v>
      </x:c>
      <x:c r="BI897" s="11" t="n">
        <x:v>3.324657351485151</x:v>
      </x:c>
      <x:c r="BJ897" s="11" t="n">
        <x:v>1.7099330852451193</x:v>
      </x:c>
      <x:c r="BK897" s="12" t="n">
        <x:v>0.02521828600111612</x:v>
      </x:c>
      <x:c r="BL897" s="12" t="n">
        <x:v>0.02529861000232605</x:v>
      </x:c>
      <x:c r="BM897" s="12" t="n">
        <x:v>0.9816336034641139</x:v>
      </x:c>
      <x:c r="BN897" s="12" t="n">
        <x:v>0.9815511712696461</x:v>
      </x:c>
      <x:c r="BO897" s="12" t="n">
        <x:v>0.8531878894527055</x:v>
      </x:c>
      <x:c r="BP897" s="12" t="n">
        <x:v>0.8619101997275483</x:v>
      </x:c>
      <x:c r="BQ897" s="12" t="n">
        <x:v>0.9614729661922712</x:v>
      </x:c>
      <x:c r="BR897" s="12" t="n">
        <x:v>0.9623635142836453</x:v>
      </x:c>
      <x:c r="BS897" s="12" t="n">
        <x:v>0.23352896680225554</x:v>
      </x:c>
      <x:c r="BT897" s="12" t="n">
        <x:v>0.19976549769108282</x:v>
      </x:c>
      <x:c r="BU897" s="11" t="n">
        <x:v>21562</x:v>
      </x:c>
      <x:c r="BV897" s="11" t="n">
        <x:v>2414971</x:v>
      </x:c>
      <x:c r="BW897" s="11" t="n">
        <x:v>940715</x:v>
      </x:c>
      <x:c r="BX897" s="11" t="n">
        <x:v>910160</x:v>
      </x:c>
      <x:c r="BY897" s="11" t="n">
        <x:v>0</x:v>
      </x:c>
      <x:c r="BZ897" s="11" t="n">
        <x:v>37100</x:v>
      </x:c>
      <x:c r="CA897" s="11" t="n">
        <x:v>0</x:v>
      </x:c>
      <x:c r="CB897" s="11" t="n">
        <x:v>0</x:v>
      </x:c>
      <x:c r="CC897" s="11" t="n">
        <x:v>1878192</x:v>
      </x:c>
      <x:c r="CD897" s="11" t="n">
        <x:v>861202</x:v>
      </x:c>
      <x:c r="CE897" s="11" t="n">
        <x:v>165341</x:v>
      </x:c>
      <x:c r="CF897" s="11" t="n">
        <x:v>0</x:v>
      </x:c>
      <x:c r="CG897" s="11" t="n">
        <x:v>232457</x:v>
      </x:c>
      <x:c r="CH897" s="11" t="n">
        <x:v>1522197</x:v>
      </x:c>
      <x:c r="CI897" s="11" t="n">
        <x:v>2680671</x:v>
      </x:c>
      <x:c r="CJ897" s="11" t="n">
        <x:v>558115</x:v>
      </x:c>
      <x:c r="CK897" s="11" t="n">
        <x:v>663149</x:v>
      </x:c>
      <x:c r="CL897" s="11" t="n">
        <x:v>43721</x:v>
      </x:c>
      <x:c r="CM897" s="11" t="n">
        <x:v>9044</x:v>
      </x:c>
      <x:c r="CN897" s="11" t="n">
        <x:v>0</x:v>
      </x:c>
      <x:c r="CO897" s="11" t="n">
        <x:v>0</x:v>
      </x:c>
      <x:c r="CP897" s="8"/>
      <x:c r="CQ897" s="8"/>
    </x:row>
    <x:row r="898">
      <x:c r="A898" s="8" t="str">
        <x:v>Vernon|2019</x:v>
      </x:c>
      <x:c r="B898" s="8" t="str">
        <x:v>vernon-c</x:v>
      </x:c>
      <x:c r="C898" s="8" t="str">
        <x:v>Vernon</x:v>
      </x:c>
      <x:c r="D898" s="8" t="str">
        <x:v>Vernon</x:v>
      </x:c>
      <x:c r="E898" s="8" t="str">
        <x:v>C</x:v>
      </x:c>
      <x:c r="F898" s="8" t="str">
        <x:v>NOK</x:v>
      </x:c>
      <x:c r="G898" s="9" t="n">
        <x:v>2019</x:v>
      </x:c>
      <x:c r="H898" s="10" t="n">
        <x:v>43315</x:v>
      </x:c>
      <x:c r="I898" s="8" t="str">
        <x:v>20,000 to 99,999</x:v>
      </x:c>
      <x:c r="J898" s="11" t="n">
        <x:v>89148000</x:v>
      </x:c>
      <x:c r="K898" s="11" t="n">
        <x:v>81360000</x:v>
      </x:c>
      <x:c r="L898" s="11" t="n">
        <x:v>7788000</x:v>
      </x:c>
      <x:c r="M898" s="12" t="n">
        <x:v>0.08736034459550411</x:v>
      </x:c>
      <x:c r="N898" s="11" t="n">
        <x:v>43811000</x:v>
      </x:c>
      <x:c r="O898" s="11" t="n">
        <x:v>23472000</x:v>
      </x:c>
      <x:c r="P898" s="11" t="n">
        <x:v>11281000</x:v>
      </x:c>
      <x:c r="Q898" s="11" t="n">
        <x:v>10584000</x:v>
      </x:c>
      <x:c r="R898" s="11" t="n">
        <x:v>68973000</x:v>
      </x:c>
      <x:c r="S898" s="11" t="n">
        <x:v>11421000</x:v>
      </x:c>
      <x:c r="T898" s="11" t="n">
        <x:v>105912000</x:v>
      </x:c>
      <x:c r="U898" s="11" t="n">
        <x:v>58606000</x:v>
      </x:c>
      <x:c r="V898" s="11" t="n">
        <x:v>69228000</x:v>
      </x:c>
      <x:c r="W898" s="11" t="n">
        <x:v>3519000</x:v>
      </x:c>
      <x:c r="X898" s="11" t="n">
        <x:v>15375000</x:v>
      </x:c>
      <x:c r="Y898" s="11" t="n">
        <x:v>0</x:v>
      </x:c>
      <x:c r="Z898" s="11" t="n">
        <x:v>1800000</x:v>
      </x:c>
      <x:c r="AA898" s="11" t="n">
        <x:v>10859000</x:v>
      </x:c>
      <x:c r="AB898" s="11" t="n">
        <x:v>966000</x:v>
      </x:c>
      <x:c r="AC898" s="11" t="n">
        <x:v>3825000</x:v>
      </x:c>
      <x:c r="AD898" s="11" t="n">
        <x:v>18515515</x:v>
      </x:c>
      <x:c r="AE898" s="11" t="n">
        <x:v>14467615</x:v>
      </x:c>
      <x:c r="AF898" s="11" t="n">
        <x:v>74062060</x:v>
      </x:c>
      <x:c r="AG898" s="11" t="n">
        <x:v>780835000</x:v>
      </x:c>
      <x:c r="AH898" s="11" t="n">
        <x:v>217990000</x:v>
      </x:c>
      <x:c r="AI898" s="11" t="n">
        <x:v>562845000</x:v>
      </x:c>
      <x:c r="AJ898" s="11" t="n">
        <x:v>12505000</x:v>
      </x:c>
      <x:c r="AK898" s="11" t="n">
        <x:v>1176069000</x:v>
      </x:c>
      <x:c r="AL898" s="11" t="n">
        <x:v>14191000</x:v>
      </x:c>
      <x:c r="AM898" s="12" t="n">
        <x:v>0.9879335311108447</x:v>
      </x:c>
      <x:c r="AN898" s="12" t="n">
        <x:v>0.010632879533428737</x:v>
      </x:c>
      <x:c r="AO898" s="11" t="n">
        <x:v>76140000</x:v>
      </x:c>
      <x:c r="AP898" s="11" t="n">
        <x:v>74249000</x:v>
      </x:c>
      <x:c r="AQ898" s="12" t="n">
        <x:v>0.975164171263462</x:v>
      </x:c>
      <x:c r="AR898" s="11" t="n">
        <x:v>2058.132286736696</x:v>
      </x:c>
      <x:c r="AS898" s="11" t="n">
        <x:v>1878.3331409442455</x:v>
      </x:c>
      <x:c r="AT898" s="11" t="n">
        <x:v>1598.2454115202586</x:v>
      </x:c>
      <x:c r="AU898" s="11" t="n">
        <x:v>81.24206395013275</x:v>
      </x:c>
      <x:c r="AV898" s="11" t="n">
        <x:v>250.69837238831815</x:v>
      </x:c>
      <x:c r="AW898" s="11" t="n">
        <x:v>1.8071869774425826</x:v>
      </x:c>
      <x:c r="AX898" s="12" t="n">
        <x:v>0.7813779416883624</x:v>
      </x:c>
      <x:c r="AY898" s="11"/>
      <x:c r="AZ898" s="11"/>
      <x:c r="BA898" s="11"/>
      <x:c r="BB898" s="11"/>
      <x:c r="BC898" s="11"/>
      <x:c r="BD898" s="11"/>
      <x:c r="BE898" s="11"/>
      <x:c r="BF898" s="11"/>
      <x:c r="BG898" s="11"/>
      <x:c r="BH898" s="11"/>
      <x:c r="BI898" s="11"/>
      <x:c r="BJ898" s="11"/>
      <x:c r="BK898" s="12"/>
      <x:c r="BL898" s="12"/>
      <x:c r="BM898" s="12"/>
      <x:c r="BN898" s="12"/>
      <x:c r="BO898" s="12"/>
      <x:c r="BP898" s="12"/>
      <x:c r="BQ898" s="12"/>
      <x:c r="BR898" s="12"/>
      <x:c r="BS898" s="12"/>
      <x:c r="BT898" s="12"/>
      <x:c r="BU898" s="11" t="n">
        <x:v>4316000</x:v>
      </x:c>
      <x:c r="BV898" s="11" t="n">
        <x:v>6440000</x:v>
      </x:c>
      <x:c r="BW898" s="11" t="n">
        <x:v>525000</x:v>
      </x:c>
      <x:c r="BX898" s="11" t="n">
        <x:v>2096000</x:v>
      </x:c>
      <x:c r="BY898" s="11" t="n">
        <x:v>0</x:v>
      </x:c>
      <x:c r="BZ898" s="11" t="n">
        <x:v>3551000</x:v>
      </x:c>
      <x:c r="CA898" s="11" t="n">
        <x:v>0</x:v>
      </x:c>
      <x:c r="CB898" s="11" t="n">
        <x:v>4937000</x:v>
      </x:c>
      <x:c r="CC898" s="11" t="n">
        <x:v>10132000</x:v>
      </x:c>
      <x:c r="CD898" s="11" t="n">
        <x:v>20349000</x:v>
      </x:c>
      <x:c r="CE898" s="11" t="n">
        <x:v>1961000</x:v>
      </x:c>
      <x:c r="CF898" s="11" t="n">
        <x:v>0</x:v>
      </x:c>
      <x:c r="CG898" s="11" t="n">
        <x:v>6087000</x:v>
      </x:c>
      <x:c r="CH898" s="11" t="n">
        <x:v>11898000</x:v>
      </x:c>
      <x:c r="CI898" s="11" t="n">
        <x:v>9419000</x:v>
      </x:c>
      <x:c r="CJ898" s="11" t="n">
        <x:v>0</x:v>
      </x:c>
      <x:c r="CK898" s="11" t="n">
        <x:v>8054000</x:v>
      </x:c>
      <x:c r="CL898" s="11" t="n">
        <x:v>2016000</x:v>
      </x:c>
      <x:c r="CM898" s="11"/>
      <x:c r="CN898" s="11" t="n">
        <x:v>23000</x:v>
      </x:c>
      <x:c r="CO898" s="11" t="n">
        <x:v>0</x:v>
      </x:c>
      <x:c r="CP898" s="8"/>
      <x:c r="CQ898" s="8"/>
    </x:row>
    <x:row r="899">
      <x:c r="A899" s="8" t="str">
        <x:v>Vernon|2020</x:v>
      </x:c>
      <x:c r="B899" s="8" t="str">
        <x:v>vernon-c</x:v>
      </x:c>
      <x:c r="C899" s="8" t="str">
        <x:v>Vernon</x:v>
      </x:c>
      <x:c r="D899" s="8" t="str">
        <x:v>Vernon</x:v>
      </x:c>
      <x:c r="E899" s="8" t="str">
        <x:v>C</x:v>
      </x:c>
      <x:c r="F899" s="8" t="str">
        <x:v>NOK</x:v>
      </x:c>
      <x:c r="G899" s="9" t="n">
        <x:v>2020</x:v>
      </x:c>
      <x:c r="H899" s="10" t="n">
        <x:v>44171</x:v>
      </x:c>
      <x:c r="I899" s="8" t="str">
        <x:v>20,000 to 99,999</x:v>
      </x:c>
      <x:c r="J899" s="11" t="n">
        <x:v>91823000</x:v>
      </x:c>
      <x:c r="K899" s="11" t="n">
        <x:v>81514000</x:v>
      </x:c>
      <x:c r="L899" s="11" t="n">
        <x:v>10309000</x:v>
      </x:c>
      <x:c r="M899" s="12" t="n">
        <x:v>0.11227034620955534</x:v>
      </x:c>
      <x:c r="N899" s="11" t="n">
        <x:v>45723000</x:v>
      </x:c>
      <x:c r="O899" s="11" t="n">
        <x:v>23777000</x:v>
      </x:c>
      <x:c r="P899" s="11" t="n">
        <x:v>16147000</x:v>
      </x:c>
      <x:c r="Q899" s="11" t="n">
        <x:v>6176000</x:v>
      </x:c>
      <x:c r="R899" s="11" t="n">
        <x:v>69563000</x:v>
      </x:c>
      <x:c r="S899" s="11" t="n">
        <x:v>11513000</x:v>
      </x:c>
      <x:c r="T899" s="11" t="n">
        <x:v>108810000</x:v>
      </x:c>
      <x:c r="U899" s="11" t="n">
        <x:v>58878000</x:v>
      </x:c>
      <x:c r="V899" s="11" t="n">
        <x:v>71907000</x:v>
      </x:c>
      <x:c r="W899" s="11" t="n">
        <x:v>3818000</x:v>
      </x:c>
      <x:c r="X899" s="11" t="n">
        <x:v>10859000</x:v>
      </x:c>
      <x:c r="Y899" s="11" t="n">
        <x:v>0</x:v>
      </x:c>
      <x:c r="Z899" s="11" t="n">
        <x:v>831000</x:v>
      </x:c>
      <x:c r="AA899" s="11" t="n">
        <x:v>9440000</x:v>
      </x:c>
      <x:c r="AB899" s="11" t="n">
        <x:v>438000</x:v>
      </x:c>
      <x:c r="AC899" s="11" t="n">
        <x:v>1269000</x:v>
      </x:c>
      <x:c r="AD899" s="11" t="n">
        <x:v>17808963</x:v>
      </x:c>
      <x:c r="AE899" s="11" t="n">
        <x:v>16302663</x:v>
      </x:c>
      <x:c r="AF899" s="11" t="n">
        <x:v>71235852</x:v>
      </x:c>
      <x:c r="AG899" s="11" t="n">
        <x:v>831915000</x:v>
      </x:c>
      <x:c r="AH899" s="11" t="n">
        <x:v>227968000</x:v>
      </x:c>
      <x:c r="AI899" s="11" t="n">
        <x:v>603947000</x:v>
      </x:c>
      <x:c r="AJ899" s="11" t="n">
        <x:v>19446000</x:v>
      </x:c>
      <x:c r="AK899" s="11" t="n">
        <x:v>1505979000</x:v>
      </x:c>
      <x:c r="AL899" s="11" t="n">
        <x:v>17748000</x:v>
      </x:c>
      <x:c r="AM899" s="12" t="n">
        <x:v>0.9882149751092146</x:v>
      </x:c>
      <x:c r="AN899" s="12" t="n">
        <x:v>0.012912530652817868</x:v>
      </x:c>
      <x:c r="AO899" s="11" t="n">
        <x:v>77434000</x:v>
      </x:c>
      <x:c r="AP899" s="11" t="n">
        <x:v>75595000</x:v>
      </x:c>
      <x:c r="AQ899" s="12" t="n">
        <x:v>0.9762507425678643</x:v>
      </x:c>
      <x:c r="AR899" s="11" t="n">
        <x:v>2078.8073622965294</x:v>
      </x:c>
      <x:c r="AS899" s="11" t="n">
        <x:v>1845.4189400285254</x:v>
      </x:c>
      <x:c r="AT899" s="11" t="n">
        <x:v>1627.923298091508</x:v>
      </x:c>
      <x:c r="AU899" s="11" t="n">
        <x:v>86.43680242693169</x:v>
      </x:c>
      <x:c r="AV899" s="11" t="n">
        <x:v>213.71488080414753</x:v>
      </x:c>
      <x:c r="AW899" s="11" t="n">
        <x:v>1.8480586976459799</x:v>
      </x:c>
      <x:c r="AX899" s="12" t="n">
        <x:v>0.9154189943569426</x:v>
      </x:c>
      <x:c r="AY899" s="11"/>
      <x:c r="AZ899" s="11"/>
      <x:c r="BA899" s="11"/>
      <x:c r="BB899" s="11"/>
      <x:c r="BC899" s="11"/>
      <x:c r="BD899" s="11"/>
      <x:c r="BE899" s="11"/>
      <x:c r="BF899" s="11"/>
      <x:c r="BG899" s="11"/>
      <x:c r="BH899" s="11"/>
      <x:c r="BI899" s="11"/>
      <x:c r="BJ899" s="11"/>
      <x:c r="BK899" s="12"/>
      <x:c r="BL899" s="12"/>
      <x:c r="BM899" s="12"/>
      <x:c r="BN899" s="12"/>
      <x:c r="BO899" s="12"/>
      <x:c r="BP899" s="12"/>
      <x:c r="BQ899" s="12"/>
      <x:c r="BR899" s="12"/>
      <x:c r="BS899" s="12"/>
      <x:c r="BT899" s="12"/>
      <x:c r="BU899" s="11" t="n">
        <x:v>6188000</x:v>
      </x:c>
      <x:c r="BV899" s="11" t="n">
        <x:v>9565000</x:v>
      </x:c>
      <x:c r="BW899" s="11" t="n">
        <x:v>394000</x:v>
      </x:c>
      <x:c r="BX899" s="11" t="n">
        <x:v>1400000</x:v>
      </x:c>
      <x:c r="BY899" s="11" t="n">
        <x:v>0</x:v>
      </x:c>
      <x:c r="BZ899" s="11" t="n">
        <x:v>4100000</x:v>
      </x:c>
      <x:c r="CA899" s="11" t="n">
        <x:v>0</x:v>
      </x:c>
      <x:c r="CB899" s="11" t="n">
        <x:v>676000</x:v>
      </x:c>
      <x:c r="CC899" s="11" t="n">
        <x:v>8793000</x:v>
      </x:c>
      <x:c r="CD899" s="11" t="n">
        <x:v>20997000</x:v>
      </x:c>
      <x:c r="CE899" s="11" t="n">
        <x:v>2068000</x:v>
      </x:c>
      <x:c r="CF899" s="11" t="n">
        <x:v>0</x:v>
      </x:c>
      <x:c r="CG899" s="11" t="n">
        <x:v>7123000</x:v>
      </x:c>
      <x:c r="CH899" s="11" t="n">
        <x:v>11317000</x:v>
      </x:c>
      <x:c r="CI899" s="11" t="n">
        <x:v>8808000</x:v>
      </x:c>
      <x:c r="CJ899" s="11" t="n">
        <x:v>0</x:v>
      </x:c>
      <x:c r="CK899" s="11" t="n">
        <x:v>8744000</x:v>
      </x:c>
      <x:c r="CL899" s="11" t="n">
        <x:v>2147000</x:v>
      </x:c>
      <x:c r="CM899" s="11"/>
      <x:c r="CN899" s="11" t="n">
        <x:v>4000</x:v>
      </x:c>
      <x:c r="CO899" s="11" t="n">
        <x:v>0</x:v>
      </x:c>
      <x:c r="CP899" s="8"/>
      <x:c r="CQ899" s="8"/>
    </x:row>
    <x:row r="900">
      <x:c r="A900" s="8" t="str">
        <x:v>Vernon|2021</x:v>
      </x:c>
      <x:c r="B900" s="8" t="str">
        <x:v>vernon-c</x:v>
      </x:c>
      <x:c r="C900" s="8" t="str">
        <x:v>Vernon</x:v>
      </x:c>
      <x:c r="D900" s="8" t="str">
        <x:v>Vernon</x:v>
      </x:c>
      <x:c r="E900" s="8" t="str">
        <x:v>C</x:v>
      </x:c>
      <x:c r="F900" s="8" t="str">
        <x:v>NOK</x:v>
      </x:c>
      <x:c r="G900" s="9" t="n">
        <x:v>2021</x:v>
      </x:c>
      <x:c r="H900" s="10" t="n">
        <x:v>44916</x:v>
      </x:c>
      <x:c r="I900" s="8" t="str">
        <x:v>20,000 to 99,999</x:v>
      </x:c>
      <x:c r="J900" s="11" t="n">
        <x:v>95198000</x:v>
      </x:c>
      <x:c r="K900" s="11" t="n">
        <x:v>83393000</x:v>
      </x:c>
      <x:c r="L900" s="11" t="n">
        <x:v>11805000</x:v>
      </x:c>
      <x:c r="M900" s="12" t="n">
        <x:v>0.1240047059812181</x:v>
      </x:c>
      <x:c r="N900" s="11" t="n">
        <x:v>47471000</x:v>
      </x:c>
      <x:c r="O900" s="11" t="n">
        <x:v>26520000</x:v>
      </x:c>
      <x:c r="P900" s="11" t="n">
        <x:v>15439000</x:v>
      </x:c>
      <x:c r="Q900" s="11" t="n">
        <x:v>5768000</x:v>
      </x:c>
      <x:c r="R900" s="11" t="n">
        <x:v>71131000</x:v>
      </x:c>
      <x:c r="S900" s="11" t="n">
        <x:v>11860000</x:v>
      </x:c>
      <x:c r="T900" s="11" t="n">
        <x:v>113893000</x:v>
      </x:c>
      <x:c r="U900" s="11" t="n">
        <x:v>62754000</x:v>
      </x:c>
      <x:c r="V900" s="11" t="n">
        <x:v>70923000</x:v>
      </x:c>
      <x:c r="W900" s="11" t="n">
        <x:v>4079000</x:v>
      </x:c>
      <x:c r="X900" s="11" t="n">
        <x:v>9440000</x:v>
      </x:c>
      <x:c r="Y900" s="11" t="n">
        <x:v>0</x:v>
      </x:c>
      <x:c r="Z900" s="11" t="n">
        <x:v>527000</x:v>
      </x:c>
      <x:c r="AA900" s="11" t="n">
        <x:v>8527000</x:v>
      </x:c>
      <x:c r="AB900" s="11" t="n">
        <x:v>402000</x:v>
      </x:c>
      <x:c r="AC900" s="11" t="n">
        <x:v>929000</x:v>
      </x:c>
      <x:c r="AD900" s="11" t="n">
        <x:v>19233274</x:v>
      </x:c>
      <x:c r="AE900" s="11" t="n">
        <x:v>18045674</x:v>
      </x:c>
      <x:c r="AF900" s="11" t="n">
        <x:v>76933096</x:v>
      </x:c>
      <x:c r="AG900" s="11" t="n">
        <x:v>855342000</x:v>
      </x:c>
      <x:c r="AH900" s="11" t="n">
        <x:v>238668000</x:v>
      </x:c>
      <x:c r="AI900" s="11" t="n">
        <x:v>616674000</x:v>
      </x:c>
      <x:c r="AJ900" s="11" t="n">
        <x:v>21906000</x:v>
      </x:c>
      <x:c r="AK900" s="11" t="n">
        <x:v>1587563000</x:v>
      </x:c>
      <x:c r="AL900" s="11" t="n">
        <x:v>22818000</x:v>
      </x:c>
      <x:c r="AM900" s="12" t="n">
        <x:v>0.9856270270849093</x:v>
      </x:c>
      <x:c r="AN900" s="12" t="n">
        <x:v>0.013798507523795906</x:v>
      </x:c>
      <x:c r="AO900" s="11" t="n">
        <x:v>82892000</x:v>
      </x:c>
      <x:c r="AP900" s="11" t="n">
        <x:v>81891000</x:v>
      </x:c>
      <x:c r="AQ900" s="12" t="n">
        <x:v>0.9879240457462722</x:v>
      </x:c>
      <x:c r="AR900" s="11" t="n">
        <x:v>2119.4674503517676</x:v>
      </x:c>
      <x:c r="AS900" s="11" t="n">
        <x:v>1856.6435123341348</x:v>
      </x:c>
      <x:c r="AT900" s="11" t="n">
        <x:v>1579.0141597648944</x:v>
      </x:c>
      <x:c r="AU900" s="11" t="n">
        <x:v>90.8139638436192</x:v>
      </x:c>
      <x:c r="AV900" s="11" t="n">
        <x:v>189.8432629797845</x:v>
      </x:c>
      <x:c r="AW900" s="11" t="n">
        <x:v>1.8149121968320745</x:v>
      </x:c>
      <x:c r="AX900" s="12" t="n">
        <x:v>0.9382528424437774</x:v>
      </x:c>
      <x:c r="AY900" s="11"/>
      <x:c r="AZ900" s="11"/>
      <x:c r="BA900" s="11"/>
      <x:c r="BB900" s="11"/>
      <x:c r="BC900" s="11"/>
      <x:c r="BD900" s="11"/>
      <x:c r="BE900" s="11"/>
      <x:c r="BF900" s="11"/>
      <x:c r="BG900" s="11"/>
      <x:c r="BH900" s="11"/>
      <x:c r="BI900" s="11"/>
      <x:c r="BJ900" s="11"/>
      <x:c r="BK900" s="12"/>
      <x:c r="BL900" s="12"/>
      <x:c r="BM900" s="12"/>
      <x:c r="BN900" s="12"/>
      <x:c r="BO900" s="12"/>
      <x:c r="BP900" s="12"/>
      <x:c r="BQ900" s="12"/>
      <x:c r="BR900" s="12"/>
      <x:c r="BS900" s="12"/>
      <x:c r="BT900" s="12"/>
      <x:c r="BU900" s="11" t="n">
        <x:v>3971000</x:v>
      </x:c>
      <x:c r="BV900" s="11" t="n">
        <x:v>7806000</x:v>
      </x:c>
      <x:c r="BW900" s="11" t="n">
        <x:v>3662000</x:v>
      </x:c>
      <x:c r="BX900" s="11" t="n">
        <x:v>1148000</x:v>
      </x:c>
      <x:c r="BY900" s="11" t="n">
        <x:v>0</x:v>
      </x:c>
      <x:c r="BZ900" s="11" t="n">
        <x:v>2897000</x:v>
      </x:c>
      <x:c r="CA900" s="11" t="n">
        <x:v>32000</x:v>
      </x:c>
      <x:c r="CB900" s="11" t="n">
        <x:v>1691000</x:v>
      </x:c>
      <x:c r="CC900" s="11" t="n">
        <x:v>9567000</x:v>
      </x:c>
      <x:c r="CD900" s="11" t="n">
        <x:v>21640000</x:v>
      </x:c>
      <x:c r="CE900" s="11" t="n">
        <x:v>2621000</x:v>
      </x:c>
      <x:c r="CF900" s="11" t="n">
        <x:v>0</x:v>
      </x:c>
      <x:c r="CG900" s="11" t="n">
        <x:v>7046000</x:v>
      </x:c>
      <x:c r="CH900" s="11" t="n">
        <x:v>11623000</x:v>
      </x:c>
      <x:c r="CI900" s="11" t="n">
        <x:v>6521000</x:v>
      </x:c>
      <x:c r="CJ900" s="11" t="n">
        <x:v>0</x:v>
      </x:c>
      <x:c r="CK900" s="11" t="n">
        <x:v>7886000</x:v>
      </x:c>
      <x:c r="CL900" s="11" t="n">
        <x:v>4629000</x:v>
      </x:c>
      <x:c r="CM900" s="11"/>
      <x:c r="CN900" s="11" t="n">
        <x:v>0</x:v>
      </x:c>
      <x:c r="CO900" s="11" t="n">
        <x:v>0</x:v>
      </x:c>
      <x:c r="CP900" s="8"/>
      <x:c r="CQ900" s="8"/>
    </x:row>
    <x:row r="901">
      <x:c r="A901" s="8" t="str">
        <x:v>Vernon|2022</x:v>
      </x:c>
      <x:c r="B901" s="8" t="str">
        <x:v>vernon-c</x:v>
      </x:c>
      <x:c r="C901" s="8" t="str">
        <x:v>Vernon</x:v>
      </x:c>
      <x:c r="D901" s="8" t="str">
        <x:v>Vernon</x:v>
      </x:c>
      <x:c r="E901" s="8" t="str">
        <x:v>C</x:v>
      </x:c>
      <x:c r="F901" s="8" t="str">
        <x:v>NOK</x:v>
      </x:c>
      <x:c r="G901" s="9" t="n">
        <x:v>2022</x:v>
      </x:c>
      <x:c r="H901" s="10" t="n">
        <x:v>45549</x:v>
      </x:c>
      <x:c r="I901" s="8" t="str">
        <x:v>20,000 to 99,999</x:v>
      </x:c>
      <x:c r="J901" s="11" t="n">
        <x:v>108904000</x:v>
      </x:c>
      <x:c r="K901" s="11" t="n">
        <x:v>88024000</x:v>
      </x:c>
      <x:c r="L901" s="11" t="n">
        <x:v>20880000</x:v>
      </x:c>
      <x:c r="M901" s="12" t="n">
        <x:v>0.19172849482112686</x:v>
      </x:c>
      <x:c r="N901" s="11" t="n">
        <x:v>52017000</x:v>
      </x:c>
      <x:c r="O901" s="11" t="n">
        <x:v>29629000</x:v>
      </x:c>
      <x:c r="P901" s="11" t="n">
        <x:v>17356000</x:v>
      </x:c>
      <x:c r="Q901" s="11" t="n">
        <x:v>9902000</x:v>
      </x:c>
      <x:c r="R901" s="11" t="n">
        <x:v>75695000</x:v>
      </x:c>
      <x:c r="S901" s="11" t="n">
        <x:v>12083000</x:v>
      </x:c>
      <x:c r="T901" s="11" t="n">
        <x:v>112044000</x:v>
      </x:c>
      <x:c r="U901" s="11" t="n">
        <x:v>65283000</x:v>
      </x:c>
      <x:c r="V901" s="11" t="n">
        <x:v>69812000</x:v>
      </x:c>
      <x:c r="W901" s="11" t="n">
        <x:v>4102000</x:v>
      </x:c>
      <x:c r="X901" s="11" t="n">
        <x:v>8527000</x:v>
      </x:c>
      <x:c r="Y901" s="11" t="n">
        <x:v>0</x:v>
      </x:c>
      <x:c r="Z901" s="11" t="n">
        <x:v>527000</x:v>
      </x:c>
      <x:c r="AA901" s="11" t="n">
        <x:v>7580000</x:v>
      </x:c>
      <x:c r="AB901" s="11" t="n">
        <x:v>246000</x:v>
      </x:c>
      <x:c r="AC901" s="11" t="n">
        <x:v>773000</x:v>
      </x:c>
      <x:c r="AD901" s="11" t="n">
        <x:v>21417250</x:v>
      </x:c>
      <x:c r="AE901" s="11" t="n">
        <x:v>9814750</x:v>
      </x:c>
      <x:c r="AF901" s="11" t="n">
        <x:v>85669000</x:v>
      </x:c>
      <x:c r="AG901" s="11" t="n">
        <x:v>886472000</x:v>
      </x:c>
      <x:c r="AH901" s="11" t="n">
        <x:v>248443000</x:v>
      </x:c>
      <x:c r="AI901" s="11" t="n">
        <x:v>638029000</x:v>
      </x:c>
      <x:c r="AJ901" s="11" t="n">
        <x:v>35128000</x:v>
      </x:c>
      <x:c r="AK901" s="11" t="n">
        <x:v>1678207000</x:v>
      </x:c>
      <x:c r="AL901" s="11" t="n">
        <x:v>24668000</x:v>
      </x:c>
      <x:c r="AM901" s="12" t="n">
        <x:v>0.985300978961475</x:v>
      </x:c>
      <x:c r="AN901" s="12" t="n">
        <x:v>0.02093186359012923</x:v>
      </x:c>
      <x:c r="AO901" s="11" t="n">
        <x:v>87683000</x:v>
      </x:c>
      <x:c r="AP901" s="11" t="n">
        <x:v>86561000</x:v>
      </x:c>
      <x:c r="AQ901" s="12" t="n">
        <x:v>0.9872039049758791</x:v>
      </x:c>
      <x:c r="AR901" s="11" t="n">
        <x:v>2390.919668927968</x:v>
      </x:c>
      <x:c r="AS901" s="11" t="n">
        <x:v>1932.5122395661815</x:v>
      </x:c>
      <x:c r="AT901" s="11" t="n">
        <x:v>1532.679092845068</x:v>
      </x:c>
      <x:c r="AU901" s="11" t="n">
        <x:v>90.0568618410942</x:v>
      </x:c>
      <x:c r="AV901" s="11" t="n">
        <x:v>166.41419131045686</x:v>
      </x:c>
      <x:c r="AW901" s="11" t="n">
        <x:v>1.716281420890584</x:v>
      </x:c>
      <x:c r="AX901" s="12" t="n">
        <x:v>0.45826378269852575</x:v>
      </x:c>
      <x:c r="AY901" s="11"/>
      <x:c r="AZ901" s="11"/>
      <x:c r="BA901" s="11"/>
      <x:c r="BB901" s="11"/>
      <x:c r="BC901" s="11"/>
      <x:c r="BD901" s="11"/>
      <x:c r="BE901" s="11"/>
      <x:c r="BF901" s="11"/>
      <x:c r="BG901" s="11"/>
      <x:c r="BH901" s="11"/>
      <x:c r="BI901" s="11"/>
      <x:c r="BJ901" s="11"/>
      <x:c r="BK901" s="12"/>
      <x:c r="BL901" s="12"/>
      <x:c r="BM901" s="12"/>
      <x:c r="BN901" s="12"/>
      <x:c r="BO901" s="12"/>
      <x:c r="BP901" s="12"/>
      <x:c r="BQ901" s="12"/>
      <x:c r="BR901" s="12"/>
      <x:c r="BS901" s="12"/>
      <x:c r="BT901" s="12"/>
      <x:c r="BU901" s="11" t="n">
        <x:v>832000</x:v>
      </x:c>
      <x:c r="BV901" s="11" t="n">
        <x:v>11706000</x:v>
      </x:c>
      <x:c r="BW901" s="11" t="n">
        <x:v>4818000</x:v>
      </x:c>
      <x:c r="BX901" s="11" t="n">
        <x:v>3466000</x:v>
      </x:c>
      <x:c r="BY901" s="11" t="n">
        <x:v>0</x:v>
      </x:c>
      <x:c r="BZ901" s="11" t="n">
        <x:v>6436000</x:v>
      </x:c>
      <x:c r="CA901" s="11" t="n">
        <x:v>0</x:v>
      </x:c>
      <x:c r="CB901" s="11" t="n">
        <x:v>0</x:v>
      </x:c>
      <x:c r="CC901" s="11" t="n">
        <x:v>10018000</x:v>
      </x:c>
      <x:c r="CD901" s="11" t="n">
        <x:v>24237000</x:v>
      </x:c>
      <x:c r="CE901" s="11" t="n">
        <x:v>2938000</x:v>
      </x:c>
      <x:c r="CF901" s="11" t="n">
        <x:v>0</x:v>
      </x:c>
      <x:c r="CG901" s="11" t="n">
        <x:v>6832000</x:v>
      </x:c>
      <x:c r="CH901" s="11" t="n">
        <x:v>13058000</x:v>
      </x:c>
      <x:c r="CI901" s="11" t="n">
        <x:v>8773000</x:v>
      </x:c>
      <x:c r="CJ901" s="11" t="n">
        <x:v>0</x:v>
      </x:c>
      <x:c r="CK901" s="11" t="n">
        <x:v>7931000</x:v>
      </x:c>
      <x:c r="CL901" s="11" t="n">
        <x:v>1854000</x:v>
      </x:c>
      <x:c r="CM901" s="11"/>
      <x:c r="CN901" s="11" t="n">
        <x:v>300000</x:v>
      </x:c>
      <x:c r="CO901" s="11" t="n">
        <x:v>0</x:v>
      </x:c>
      <x:c r="CP901" s="8"/>
      <x:c r="CQ901" s="8"/>
    </x:row>
    <x:row r="902">
      <x:c r="A902" s="8" t="str">
        <x:v>Vernon|2023</x:v>
      </x:c>
      <x:c r="B902" s="8" t="str">
        <x:v>vernon-c</x:v>
      </x:c>
      <x:c r="C902" s="8" t="str">
        <x:v>Vernon</x:v>
      </x:c>
      <x:c r="D902" s="8" t="str">
        <x:v>Vernon</x:v>
      </x:c>
      <x:c r="E902" s="8" t="str">
        <x:v>C</x:v>
      </x:c>
      <x:c r="F902" s="8" t="str">
        <x:v>NOK</x:v>
      </x:c>
      <x:c r="G902" s="9" t="n">
        <x:v>2023</x:v>
      </x:c>
      <x:c r="H902" s="10" t="n">
        <x:v>47265</x:v>
      </x:c>
      <x:c r="I902" s="8" t="str">
        <x:v>20,000 to 99,999</x:v>
      </x:c>
      <x:c r="J902" s="11" t="n">
        <x:v>123653000</x:v>
      </x:c>
      <x:c r="K902" s="11" t="n">
        <x:v>103323000</x:v>
      </x:c>
      <x:c r="L902" s="11" t="n">
        <x:v>20330000</x:v>
      </x:c>
      <x:c r="M902" s="12" t="n">
        <x:v>0.1644117004844201</x:v>
      </x:c>
      <x:c r="N902" s="11" t="n">
        <x:v>55256000</x:v>
      </x:c>
      <x:c r="O902" s="11" t="n">
        <x:v>32755000</x:v>
      </x:c>
      <x:c r="P902" s="11" t="n">
        <x:v>21619000</x:v>
      </x:c>
      <x:c r="Q902" s="11" t="n">
        <x:v>14023000</x:v>
      </x:c>
      <x:c r="R902" s="11" t="n">
        <x:v>90132000</x:v>
      </x:c>
      <x:c r="S902" s="11" t="n">
        <x:v>12932000</x:v>
      </x:c>
      <x:c r="T902" s="11" t="n">
        <x:v>113878000</x:v>
      </x:c>
      <x:c r="U902" s="11" t="n">
        <x:v>67550000</x:v>
      </x:c>
      <x:c r="V902" s="11" t="n">
        <x:v>70535000</x:v>
      </x:c>
      <x:c r="W902" s="11" t="n">
        <x:v>13822000</x:v>
      </x:c>
      <x:c r="X902" s="11" t="n">
        <x:v>7580000</x:v>
      </x:c>
      <x:c r="Y902" s="11" t="n">
        <x:v>1500000</x:v>
      </x:c>
      <x:c r="Z902" s="11" t="n">
        <x:v>527000</x:v>
      </x:c>
      <x:c r="AA902" s="11" t="n">
        <x:v>8097000</x:v>
      </x:c>
      <x:c r="AB902" s="11" t="n">
        <x:v>259000</x:v>
      </x:c>
      <x:c r="AC902" s="11" t="n">
        <x:v>786000</x:v>
      </x:c>
      <x:c r="AD902" s="11" t="n">
        <x:v>23693250</x:v>
      </x:c>
      <x:c r="AE902" s="11" t="n">
        <x:v>11787350</x:v>
      </x:c>
      <x:c r="AF902" s="11" t="n">
        <x:v>94773000</x:v>
      </x:c>
      <x:c r="AG902" s="11" t="n">
        <x:v>918272000</x:v>
      </x:c>
      <x:c r="AH902" s="11" t="n">
        <x:v>260639000</x:v>
      </x:c>
      <x:c r="AI902" s="11" t="n">
        <x:v>657633000</x:v>
      </x:c>
      <x:c r="AJ902" s="11" t="n">
        <x:v>27582000</x:v>
      </x:c>
      <x:c r="AK902" s="11" t="n">
        <x:v>2101368000</x:v>
      </x:c>
      <x:c r="AL902" s="11" t="n">
        <x:v>26527000</x:v>
      </x:c>
      <x:c r="AM902" s="12" t="n">
        <x:v>0.9873763186647936</x:v>
      </x:c>
      <x:c r="AN902" s="12" t="n">
        <x:v>0.013125735235332413</x:v>
      </x:c>
      <x:c r="AO902" s="11" t="n">
        <x:v>94289000</x:v>
      </x:c>
      <x:c r="AP902" s="11" t="n">
        <x:v>93130000</x:v>
      </x:c>
      <x:c r="AQ902" s="12" t="n">
        <x:v>0.9877080041150081</x:v>
      </x:c>
      <x:c r="AR902" s="11" t="n">
        <x:v>2616.164180683381</x:v>
      </x:c>
      <x:c r="AS902" s="11" t="n">
        <x:v>2186.0361789907965</x:v>
      </x:c>
      <x:c r="AT902" s="11" t="n">
        <x:v>1492.330477097218</x:v>
      </x:c>
      <x:c r="AU902" s="11" t="n">
        <x:v>292.4362636200148</x:v>
      </x:c>
      <x:c r="AV902" s="11" t="n">
        <x:v>171.31069501745478</x:v>
      </x:c>
      <x:c r="AW902" s="11" t="n">
        <x:v>1.6858327165062916</x:v>
      </x:c>
      <x:c r="AX902" s="12" t="n">
        <x:v>0.49749823261899484</x:v>
      </x:c>
      <x:c r="AY902" s="11"/>
      <x:c r="AZ902" s="11"/>
      <x:c r="BA902" s="11"/>
      <x:c r="BB902" s="11"/>
      <x:c r="BC902" s="11"/>
      <x:c r="BD902" s="11"/>
      <x:c r="BE902" s="11"/>
      <x:c r="BF902" s="11"/>
      <x:c r="BG902" s="11"/>
      <x:c r="BH902" s="11"/>
      <x:c r="BI902" s="11"/>
      <x:c r="BJ902" s="11"/>
      <x:c r="BK902" s="12"/>
      <x:c r="BL902" s="12"/>
      <x:c r="BM902" s="12"/>
      <x:c r="BN902" s="12"/>
      <x:c r="BO902" s="12"/>
      <x:c r="BP902" s="12"/>
      <x:c r="BQ902" s="12"/>
      <x:c r="BR902" s="12"/>
      <x:c r="BS902" s="12"/>
      <x:c r="BT902" s="12"/>
      <x:c r="BU902" s="11" t="n">
        <x:v>1420000</x:v>
      </x:c>
      <x:c r="BV902" s="11" t="n">
        <x:v>17430000</x:v>
      </x:c>
      <x:c r="BW902" s="11" t="n">
        <x:v>2769000</x:v>
      </x:c>
      <x:c r="BX902" s="11" t="n">
        <x:v>6216000</x:v>
      </x:c>
      <x:c r="BY902" s="11" t="n">
        <x:v>0</x:v>
      </x:c>
      <x:c r="BZ902" s="11" t="n">
        <x:v>7807000</x:v>
      </x:c>
      <x:c r="CA902" s="11" t="n">
        <x:v>0</x:v>
      </x:c>
      <x:c r="CB902" s="11" t="n">
        <x:v>0</x:v>
      </x:c>
      <x:c r="CC902" s="11" t="n">
        <x:v>14756000</x:v>
      </x:c>
      <x:c r="CD902" s="11" t="n">
        <x:v>26182000</x:v>
      </x:c>
      <x:c r="CE902" s="11" t="n">
        <x:v>3077000</x:v>
      </x:c>
      <x:c r="CF902" s="11" t="n">
        <x:v>0</x:v>
      </x:c>
      <x:c r="CG902" s="11" t="n">
        <x:v>3126000</x:v>
      </x:c>
      <x:c r="CH902" s="11" t="n">
        <x:v>19910000</x:v>
      </x:c>
      <x:c r="CI902" s="11" t="n">
        <x:v>10271000</x:v>
      </x:c>
      <x:c r="CJ902" s="11" t="n">
        <x:v>0</x:v>
      </x:c>
      <x:c r="CK902" s="11" t="n">
        <x:v>9369000</x:v>
      </x:c>
      <x:c r="CL902" s="11" t="n">
        <x:v>2977000</x:v>
      </x:c>
      <x:c r="CM902" s="11" t="n">
        <x:v>0</x:v>
      </x:c>
      <x:c r="CN902" s="11" t="n">
        <x:v>723000</x:v>
      </x:c>
      <x:c r="CO902" s="11" t="n">
        <x:v>0</x:v>
      </x:c>
      <x:c r="CP902" s="8"/>
      <x:c r="CQ902" s="8"/>
    </x:row>
    <x:row r="903">
      <x:c r="A903" s="8" t="str">
        <x:v>Vernon|2024</x:v>
      </x:c>
      <x:c r="B903" s="8" t="str">
        <x:v>vernon-c</x:v>
      </x:c>
      <x:c r="C903" s="8" t="str">
        <x:v>Vernon</x:v>
      </x:c>
      <x:c r="D903" s="8" t="str">
        <x:v>Vernon</x:v>
      </x:c>
      <x:c r="E903" s="8" t="str">
        <x:v>C</x:v>
      </x:c>
      <x:c r="F903" s="8" t="str">
        <x:v>NOK</x:v>
      </x:c>
      <x:c r="G903" s="9" t="n">
        <x:v>2024</x:v>
      </x:c>
      <x:c r="H903" s="10" t="n">
        <x:v>47265</x:v>
      </x:c>
      <x:c r="I903" s="8" t="str">
        <x:v>20,000 to 99,999</x:v>
      </x:c>
      <x:c r="J903" s="11" t="n">
        <x:v>117955000</x:v>
      </x:c>
      <x:c r="K903" s="11" t="n">
        <x:v>107028000</x:v>
      </x:c>
      <x:c r="L903" s="11" t="n">
        <x:v>10927000</x:v>
      </x:c>
      <x:c r="M903" s="12" t="n">
        <x:v>0.09263702259336187</x:v>
      </x:c>
      <x:c r="N903" s="11" t="n">
        <x:v>58830940</x:v>
      </x:c>
      <x:c r="O903" s="11" t="n">
        <x:v>31055060</x:v>
      </x:c>
      <x:c r="P903" s="11" t="n">
        <x:v>14295000</x:v>
      </x:c>
      <x:c r="Q903" s="11" t="n">
        <x:v>13774000</x:v>
      </x:c>
      <x:c r="R903" s="11" t="n">
        <x:v>93432000</x:v>
      </x:c>
      <x:c r="S903" s="11" t="n">
        <x:v>13405000</x:v>
      </x:c>
      <x:c r="T903" s="11" t="n">
        <x:v>121907000</x:v>
      </x:c>
      <x:c r="U903" s="11" t="n">
        <x:v>109113000</x:v>
      </x:c>
      <x:c r="V903" s="11" t="n">
        <x:v>37813000</x:v>
      </x:c>
      <x:c r="W903" s="11" t="n">
        <x:v>10732000</x:v>
      </x:c>
      <x:c r="X903" s="11" t="n">
        <x:v>8097000</x:v>
      </x:c>
      <x:c r="Y903" s="11" t="n">
        <x:v>30000000</x:v>
      </x:c>
      <x:c r="Z903" s="11" t="n">
        <x:v>544000</x:v>
      </x:c>
      <x:c r="AA903" s="11" t="n">
        <x:v>37075000</x:v>
      </x:c>
      <x:c r="AB903" s="11" t="n">
        <x:v>191000</x:v>
      </x:c>
      <x:c r="AC903" s="11" t="n">
        <x:v>735000</x:v>
      </x:c>
      <x:c r="AD903" s="11" t="n">
        <x:v>23793500</x:v>
      </x:c>
      <x:c r="AE903" s="11" t="n">
        <x:v>14905050</x:v>
      </x:c>
      <x:c r="AF903" s="11" t="n">
        <x:v>95174000</x:v>
      </x:c>
      <x:c r="AG903" s="11" t="n">
        <x:v>972127000</x:v>
      </x:c>
      <x:c r="AH903" s="11" t="n">
        <x:v>272902000</x:v>
      </x:c>
      <x:c r="AI903" s="11" t="n">
        <x:v>699225000</x:v>
      </x:c>
      <x:c r="AJ903" s="11" t="n">
        <x:v>55433000</x:v>
      </x:c>
      <x:c r="AK903" s="11" t="n">
        <x:v>3172068000</x:v>
      </x:c>
      <x:c r="AL903" s="11" t="n">
        <x:v>33156000</x:v>
      </x:c>
      <x:c r="AM903" s="12" t="n">
        <x:v>0.989547512852814</x:v>
      </x:c>
      <x:c r="AN903" s="12" t="n">
        <x:v>0.01747535046537464</x:v>
      </x:c>
      <x:c r="AO903" s="11" t="n">
        <x:v>100252528</x:v>
      </x:c>
      <x:c r="AP903" s="11" t="n">
        <x:v>98751528</x:v>
      </x:c>
      <x:c r="AQ903" s="12" t="n">
        <x:v>0.9850278089745528</x:v>
      </x:c>
      <x:c r="AR903" s="11" t="n">
        <x:v>2495.6098593039246</x:v>
      </x:c>
      <x:c r="AS903" s="11" t="n">
        <x:v>2264.42399238337</x:v>
      </x:c>
      <x:c r="AT903" s="11" t="n">
        <x:v>800.0211573045594</x:v>
      </x:c>
      <x:c r="AU903" s="11" t="n">
        <x:v>227.0601925314715</x:v>
      </x:c>
      <x:c r="AV903" s="11" t="n">
        <x:v>784.4070665397228</x:v>
      </x:c>
      <x:c r="AW903" s="11" t="n">
        <x:v>1.1172545892790042</x:v>
      </x:c>
      <x:c r="AX903" s="12" t="n">
        <x:v>0.6264336898732847</x:v>
      </x:c>
      <x:c r="AY903" s="11" t="n">
        <x:v>2823.8160359162957</x:v>
      </x:c>
      <x:c r="AZ903" s="11" t="n">
        <x:v>3546.5079302077975</x:v>
      </x:c>
      <x:c r="BA903" s="11" t="n">
        <x:v>2313.177731087988</x:v>
      </x:c>
      <x:c r="BB903" s="11" t="n">
        <x:v>2783.665107049771</x:v>
      </x:c>
      <x:c r="BC903" s="11" t="n">
        <x:v>1634.933826557682</x:v>
      </x:c>
      <x:c r="BD903" s="11" t="n">
        <x:v>2437.8724475115623</x:v>
      </x:c>
      <x:c r="BE903" s="11" t="n">
        <x:v>1015.8871081440785</x:v>
      </x:c>
      <x:c r="BF903" s="11" t="n">
        <x:v>1604.3462673977224</x:v>
      </x:c>
      <x:c r="BG903" s="11" t="n">
        <x:v>757.3716446138835</x:v>
      </x:c>
      <x:c r="BH903" s="11" t="n">
        <x:v>518.5374381567245</x:v>
      </x:c>
      <x:c r="BI903" s="11" t="n">
        <x:v>1.4428133381403412</x:v>
      </x:c>
      <x:c r="BJ903" s="11" t="n">
        <x:v>1.7099330852451193</x:v>
      </x:c>
      <x:c r="BK903" s="12" t="n">
        <x:v>0.021350493990494074</x:v>
      </x:c>
      <x:c r="BL903" s="12" t="n">
        <x:v>0.02529861000232605</x:v>
      </x:c>
      <x:c r="BM903" s="12" t="n">
        <x:v>0.9847118933607182</x:v>
      </x:c>
      <x:c r="BN903" s="12" t="n">
        <x:v>0.9815511712696461</x:v>
      </x:c>
      <x:c r="BO903" s="12" t="n">
        <x:v>0.8457939120832807</x:v>
      </x:c>
      <x:c r="BP903" s="12" t="n">
        <x:v>0.8619101997275483</x:v>
      </x:c>
      <x:c r="BQ903" s="12" t="n">
        <x:v>0.9744645665293163</x:v>
      </x:c>
      <x:c r="BR903" s="12" t="n">
        <x:v>0.9623635142836453</x:v>
      </x:c>
      <x:c r="BS903" s="12" t="n">
        <x:v>0.16542076645989975</x:v>
      </x:c>
      <x:c r="BT903" s="12" t="n">
        <x:v>0.19976549769108282</x:v>
      </x:c>
      <x:c r="BU903" s="11" t="n">
        <x:v>2091000</x:v>
      </x:c>
      <x:c r="BV903" s="11" t="n">
        <x:v>10680000</x:v>
      </x:c>
      <x:c r="BW903" s="11" t="n">
        <x:v>1524000</x:v>
      </x:c>
      <x:c r="BX903" s="11" t="n">
        <x:v>6713000</x:v>
      </x:c>
      <x:c r="BY903" s="11" t="n">
        <x:v>0</x:v>
      </x:c>
      <x:c r="BZ903" s="11" t="n">
        <x:v>7061000</x:v>
      </x:c>
      <x:c r="CA903" s="11" t="n">
        <x:v>0</x:v>
      </x:c>
      <x:c r="CB903" s="11" t="n">
        <x:v>0</x:v>
      </x:c>
      <x:c r="CC903" s="11" t="n">
        <x:v>11179000</x:v>
      </x:c>
      <x:c r="CD903" s="11" t="n">
        <x:v>26274000</x:v>
      </x:c>
      <x:c r="CE903" s="11" t="n">
        <x:v>2774000</x:v>
      </x:c>
      <x:c r="CF903" s="11" t="n">
        <x:v>0</x:v>
      </x:c>
      <x:c r="CG903" s="11" t="n">
        <x:v>6777176</x:v>
      </x:c>
      <x:c r="CH903" s="11" t="n">
        <x:v>16875000</x:v>
      </x:c>
      <x:c r="CI903" s="11" t="n">
        <x:v>12472000</x:v>
      </x:c>
      <x:c r="CJ903" s="11" t="n">
        <x:v>0</x:v>
      </x:c>
      <x:c r="CK903" s="11" t="n">
        <x:v>9762000</x:v>
      </x:c>
      <x:c r="CL903" s="11" t="n">
        <x:v>7080824</x:v>
      </x:c>
      <x:c r="CM903" s="11" t="n">
        <x:v>0</x:v>
      </x:c>
      <x:c r="CN903" s="11" t="n">
        <x:v>429000</x:v>
      </x:c>
      <x:c r="CO903" s="11" t="n">
        <x:v>0</x:v>
      </x:c>
      <x:c r="CP903" s="8"/>
      <x:c r="CQ903" s="8"/>
    </x:row>
    <x:row r="904">
      <x:c r="A904" s="8" t="str">
        <x:v>Victoria|2019</x:v>
      </x:c>
      <x:c r="B904" s="8" t="str">
        <x:v>victoria-c</x:v>
      </x:c>
      <x:c r="C904" s="8" t="str">
        <x:v>Victoria</x:v>
      </x:c>
      <x:c r="D904" s="8" t="str">
        <x:v>Victoria</x:v>
      </x:c>
      <x:c r="E904" s="8" t="str">
        <x:v>C</x:v>
      </x:c>
      <x:c r="F904" s="8" t="str">
        <x:v>CAP</x:v>
      </x:c>
      <x:c r="G904" s="9" t="n">
        <x:v>2019</x:v>
      </x:c>
      <x:c r="H904" s="10" t="n">
        <x:v>94005</x:v>
      </x:c>
      <x:c r="I904" s="8" t="str">
        <x:v>20,000 to 99,999</x:v>
      </x:c>
      <x:c r="J904" s="11" t="n">
        <x:v>271868765</x:v>
      </x:c>
      <x:c r="K904" s="11" t="n">
        <x:v>208502338</x:v>
      </x:c>
      <x:c r="L904" s="11" t="n">
        <x:v>63366427</x:v>
      </x:c>
      <x:c r="M904" s="12" t="n">
        <x:v>0.23307726064080955</x:v>
      </x:c>
      <x:c r="N904" s="11" t="n">
        <x:v>149890562</x:v>
      </x:c>
      <x:c r="O904" s="11" t="n">
        <x:v>90316823</x:v>
      </x:c>
      <x:c r="P904" s="11" t="n">
        <x:v>12440618</x:v>
      </x:c>
      <x:c r="Q904" s="11" t="n">
        <x:v>19220762</x:v>
      </x:c>
      <x:c r="R904" s="11" t="n">
        <x:v>191078020</x:v>
      </x:c>
      <x:c r="S904" s="11" t="n">
        <x:v>14676748</x:v>
      </x:c>
      <x:c r="T904" s="11" t="n">
        <x:v>317975587</x:v>
      </x:c>
      <x:c r="U904" s="11" t="n">
        <x:v>167825904</x:v>
      </x:c>
      <x:c r="V904" s="11" t="n">
        <x:v>185475468</x:v>
      </x:c>
      <x:c r="W904" s="11" t="n">
        <x:v>248703063</x:v>
      </x:c>
      <x:c r="X904" s="11" t="n">
        <x:v>69716343</x:v>
      </x:c>
      <x:c r="Y904" s="11" t="n">
        <x:v>0</x:v>
      </x:c>
      <x:c r="Z904" s="11" t="n">
        <x:v>3081616</x:v>
      </x:c>
      <x:c r="AA904" s="11" t="n">
        <x:v>65635785</x:v>
      </x:c>
      <x:c r="AB904" s="11" t="n">
        <x:v>2747570</x:v>
      </x:c>
      <x:c r="AC904" s="11" t="n">
        <x:v>5829186</x:v>
      </x:c>
      <x:c r="AD904" s="11" t="n">
        <x:v>64465215</x:v>
      </x:c>
      <x:c r="AE904" s="11" t="n">
        <x:v>58520358</x:v>
      </x:c>
      <x:c r="AF904" s="11" t="n">
        <x:v>257860860</x:v>
      </x:c>
      <x:c r="AG904" s="11" t="n">
        <x:v>750346301</x:v>
      </x:c>
      <x:c r="AH904" s="11" t="n">
        <x:v>197842396</x:v>
      </x:c>
      <x:c r="AI904" s="11" t="n">
        <x:v>552503905</x:v>
      </x:c>
      <x:c r="AJ904" s="11" t="n">
        <x:v>42192705</x:v>
      </x:c>
      <x:c r="AK904" s="11" t="n">
        <x:v>151600615</x:v>
      </x:c>
      <x:c r="AL904" s="11" t="n">
        <x:v>0</x:v>
      </x:c>
      <x:c r="AM904" s="12" t="n">
        <x:v>1</x:v>
      </x:c>
      <x:c r="AN904" s="12" t="n">
        <x:v>0.27831486699443797</x:v>
      </x:c>
      <x:c r="AO904" s="11" t="n">
        <x:v>251639777</x:v>
      </x:c>
      <x:c r="AP904" s="11" t="n">
        <x:v>249636684</x:v>
      </x:c>
      <x:c r="AQ904" s="12" t="n">
        <x:v>0.9920398395520753</x:v>
      </x:c>
      <x:c r="AR904" s="11" t="n">
        <x:v>2892.067070900484</x:v>
      </x:c>
      <x:c r="AS904" s="11" t="n">
        <x:v>2217.992000425509</x:v>
      </x:c>
      <x:c r="AT904" s="11" t="n">
        <x:v>1973.0383277485241</x:v>
      </x:c>
      <x:c r="AU904" s="11" t="n">
        <x:v>2645.636540609542</x:v>
      </x:c>
      <x:c r="AV904" s="11" t="n">
        <x:v>698.2158927716611</x:v>
      </x:c>
      <x:c r="AW904" s="11" t="n">
        <x:v>1.894675252278099</x:v>
      </x:c>
      <x:c r="AX904" s="12" t="n">
        <x:v>0.907781941004928</x:v>
      </x:c>
      <x:c r="AY904" s="11"/>
      <x:c r="AZ904" s="11"/>
      <x:c r="BA904" s="11"/>
      <x:c r="BB904" s="11"/>
      <x:c r="BC904" s="11"/>
      <x:c r="BD904" s="11"/>
      <x:c r="BE904" s="11"/>
      <x:c r="BF904" s="11"/>
      <x:c r="BG904" s="11"/>
      <x:c r="BH904" s="11"/>
      <x:c r="BI904" s="11"/>
      <x:c r="BJ904" s="11"/>
      <x:c r="BK904" s="12"/>
      <x:c r="BL904" s="12"/>
      <x:c r="BM904" s="12"/>
      <x:c r="BN904" s="12"/>
      <x:c r="BO904" s="12"/>
      <x:c r="BP904" s="12"/>
      <x:c r="BQ904" s="12"/>
      <x:c r="BR904" s="12"/>
      <x:c r="BS904" s="12"/>
      <x:c r="BT904" s="12"/>
      <x:c r="BU904" s="11" t="n">
        <x:v>512596</x:v>
      </x:c>
      <x:c r="BV904" s="11" t="n">
        <x:v>4670903</x:v>
      </x:c>
      <x:c r="BW904" s="11" t="n">
        <x:v>7257119</x:v>
      </x:c>
      <x:c r="BX904" s="11" t="n">
        <x:v>7419999</x:v>
      </x:c>
      <x:c r="BY904" s="11" t="n">
        <x:v>0</x:v>
      </x:c>
      <x:c r="BZ904" s="11" t="n">
        <x:v>2464041</x:v>
      </x:c>
      <x:c r="CA904" s="11" t="n">
        <x:v>106015</x:v>
      </x:c>
      <x:c r="CB904" s="11" t="n">
        <x:v>9230707</x:v>
      </x:c>
      <x:c r="CC904" s="11" t="n">
        <x:v>17343653</x:v>
      </x:c>
      <x:c r="CD904" s="11" t="n">
        <x:v>78570985</x:v>
      </x:c>
      <x:c r="CE904" s="11" t="n">
        <x:v>6226813</x:v>
      </x:c>
      <x:c r="CF904" s="11" t="n">
        <x:v>1067375</x:v>
      </x:c>
      <x:c r="CG904" s="11" t="n">
        <x:v>15942111</x:v>
      </x:c>
      <x:c r="CH904" s="11" t="n">
        <x:v>25213443</x:v>
      </x:c>
      <x:c r="CI904" s="11" t="n">
        <x:v>28188271</x:v>
      </x:c>
      <x:c r="CJ904" s="11" t="n">
        <x:v>15287374</x:v>
      </x:c>
      <x:c r="CK904" s="11" t="n">
        <x:v>4033641</x:v>
      </x:c>
      <x:c r="CL904" s="11" t="n">
        <x:v>1951924</x:v>
      </x:c>
      <x:c r="CM904" s="11"/>
      <x:c r="CN904" s="11" t="n">
        <x:v>0</x:v>
      </x:c>
      <x:c r="CO904" s="11" t="n">
        <x:v>0</x:v>
      </x:c>
      <x:c r="CP904" s="8"/>
      <x:c r="CQ904" s="8"/>
    </x:row>
    <x:row r="905">
      <x:c r="A905" s="8" t="str">
        <x:v>Victoria|2020</x:v>
      </x:c>
      <x:c r="B905" s="8" t="str">
        <x:v>victoria-c</x:v>
      </x:c>
      <x:c r="C905" s="8" t="str">
        <x:v>Victoria</x:v>
      </x:c>
      <x:c r="D905" s="8" t="str">
        <x:v>Victoria</x:v>
      </x:c>
      <x:c r="E905" s="8" t="str">
        <x:v>C</x:v>
      </x:c>
      <x:c r="F905" s="8" t="str">
        <x:v>CAP</x:v>
      </x:c>
      <x:c r="G905" s="9" t="n">
        <x:v>2020</x:v>
      </x:c>
      <x:c r="H905" s="10" t="n">
        <x:v>94415</x:v>
      </x:c>
      <x:c r="I905" s="8" t="str">
        <x:v>20,000 to 99,999</x:v>
      </x:c>
      <x:c r="J905" s="11" t="n">
        <x:v>258715385</x:v>
      </x:c>
      <x:c r="K905" s="11" t="n">
        <x:v>210976407</x:v>
      </x:c>
      <x:c r="L905" s="11" t="n">
        <x:v>47738978</x:v>
      </x:c>
      <x:c r="M905" s="12" t="n">
        <x:v>0.18452315079754533</x:v>
      </x:c>
      <x:c r="N905" s="11" t="n">
        <x:v>153368111</x:v>
      </x:c>
      <x:c r="O905" s="11" t="n">
        <x:v>73585193</x:v>
      </x:c>
      <x:c r="P905" s="11" t="n">
        <x:v>14058334</x:v>
      </x:c>
      <x:c r="Q905" s="11" t="n">
        <x:v>17703747</x:v>
      </x:c>
      <x:c r="R905" s="11" t="n">
        <x:v>192783875</x:v>
      </x:c>
      <x:c r="S905" s="11" t="n">
        <x:v>15550162</x:v>
      </x:c>
      <x:c r="T905" s="11" t="n">
        <x:v>290464722</x:v>
      </x:c>
      <x:c r="U905" s="11" t="n">
        <x:v>161276300</x:v>
      </x:c>
      <x:c r="V905" s="11" t="n">
        <x:v>198409932</x:v>
      </x:c>
      <x:c r="W905" s="11" t="n">
        <x:v>255185616</x:v>
      </x:c>
      <x:c r="X905" s="11" t="n">
        <x:v>65134748</x:v>
      </x:c>
      <x:c r="Y905" s="11" t="n">
        <x:v>1860000</x:v>
      </x:c>
      <x:c r="Z905" s="11" t="n">
        <x:v>3331780</x:v>
      </x:c>
      <x:c r="AA905" s="11" t="n">
        <x:v>62515519</x:v>
      </x:c>
      <x:c r="AB905" s="11" t="n">
        <x:v>2642370</x:v>
      </x:c>
      <x:c r="AC905" s="11" t="n">
        <x:v>5974150</x:v>
      </x:c>
      <x:c r="AD905" s="11" t="n">
        <x:v>61120784</x:v>
      </x:c>
      <x:c r="AE905" s="11" t="n">
        <x:v>54964132</x:v>
      </x:c>
      <x:c r="AF905" s="11" t="n">
        <x:v>244483134</x:v>
      </x:c>
      <x:c r="AG905" s="11" t="n">
        <x:v>797513260</x:v>
      </x:c>
      <x:c r="AH905" s="11" t="n">
        <x:v>212456040</x:v>
      </x:c>
      <x:c r="AI905" s="11" t="n">
        <x:v>585057220</x:v>
      </x:c>
      <x:c r="AJ905" s="11" t="n">
        <x:v>48167900</x:v>
      </x:c>
      <x:c r="AK905" s="11" t="n">
        <x:v>163031656</x:v>
      </x:c>
      <x:c r="AL905" s="11" t="n">
        <x:v>0</x:v>
      </x:c>
      <x:c r="AM905" s="12" t="n">
        <x:v>1</x:v>
      </x:c>
      <x:c r="AN905" s="12" t="n">
        <x:v>0.29545120979449535</x:v>
      </x:c>
      <x:c r="AO905" s="11" t="n">
        <x:v>247612045</x:v>
      </x:c>
      <x:c r="AP905" s="11" t="n">
        <x:v>244732653</x:v>
      </x:c>
      <x:c r="AQ905" s="12" t="n">
        <x:v>0.9883713572980668</x:v>
      </x:c>
      <x:c r="AR905" s="11" t="n">
        <x:v>2740.1936662606577</x:v>
      </x:c>
      <x:c r="AS905" s="11" t="n">
        <x:v>2234.564497166764</x:v>
      </x:c>
      <x:c r="AT905" s="11" t="n">
        <x:v>2101.4662077000476</x:v>
      </x:c>
      <x:c r="AU905" s="11" t="n">
        <x:v>2702.8079860191706</x:v>
      </x:c>
      <x:c r="AV905" s="11" t="n">
        <x:v>662.1354551713181</x:v>
      </x:c>
      <x:c r="AW905" s="11" t="n">
        <x:v>1.8010378586314295</x:v>
      </x:c>
      <x:c r="AX905" s="12" t="n">
        <x:v>0.899270729249808</x:v>
      </x:c>
      <x:c r="AY905" s="11"/>
      <x:c r="AZ905" s="11"/>
      <x:c r="BA905" s="11"/>
      <x:c r="BB905" s="11"/>
      <x:c r="BC905" s="11"/>
      <x:c r="BD905" s="11"/>
      <x:c r="BE905" s="11"/>
      <x:c r="BF905" s="11"/>
      <x:c r="BG905" s="11"/>
      <x:c r="BH905" s="11"/>
      <x:c r="BI905" s="11"/>
      <x:c r="BJ905" s="11"/>
      <x:c r="BK905" s="12"/>
      <x:c r="BL905" s="12"/>
      <x:c r="BM905" s="12"/>
      <x:c r="BN905" s="12"/>
      <x:c r="BO905" s="12"/>
      <x:c r="BP905" s="12"/>
      <x:c r="BQ905" s="12"/>
      <x:c r="BR905" s="12"/>
      <x:c r="BS905" s="12"/>
      <x:c r="BT905" s="12"/>
      <x:c r="BU905" s="11" t="n">
        <x:v>261517</x:v>
      </x:c>
      <x:c r="BV905" s="11" t="n">
        <x:v>10096118</x:v>
      </x:c>
      <x:c r="BW905" s="11" t="n">
        <x:v>3700699</x:v>
      </x:c>
      <x:c r="BX905" s="11" t="n">
        <x:v>6058640</x:v>
      </x:c>
      <x:c r="BY905" s="11" t="n">
        <x:v>0</x:v>
      </x:c>
      <x:c r="BZ905" s="11" t="n">
        <x:v>1259880</x:v>
      </x:c>
      <x:c r="CA905" s="11" t="n">
        <x:v>82503</x:v>
      </x:c>
      <x:c r="CB905" s="11" t="n">
        <x:v>10302724</x:v>
      </x:c>
      <x:c r="CC905" s="11" t="n">
        <x:v>16512169</x:v>
      </x:c>
      <x:c r="CD905" s="11" t="n">
        <x:v>81905293</x:v>
      </x:c>
      <x:c r="CE905" s="11" t="n">
        <x:v>6413880</x:v>
      </x:c>
      <x:c r="CF905" s="11" t="n">
        <x:v>1815665</x:v>
      </x:c>
      <x:c r="CG905" s="11" t="n">
        <x:v>11796142</x:v>
      </x:c>
      <x:c r="CH905" s="11" t="n">
        <x:v>24697850</x:v>
      </x:c>
      <x:c r="CI905" s="11" t="n">
        <x:v>29815349</x:v>
      </x:c>
      <x:c r="CJ905" s="11" t="n">
        <x:v>15823854</x:v>
      </x:c>
      <x:c r="CK905" s="11" t="n">
        <x:v>4532749</x:v>
      </x:c>
      <x:c r="CL905" s="11" t="n">
        <x:v>2113294</x:v>
      </x:c>
      <x:c r="CM905" s="11"/>
      <x:c r="CN905" s="11" t="n">
        <x:v>0</x:v>
      </x:c>
      <x:c r="CO905" s="11" t="n">
        <x:v>0</x:v>
      </x:c>
      <x:c r="CP905" s="8"/>
      <x:c r="CQ905" s="8"/>
    </x:row>
    <x:row r="906">
      <x:c r="A906" s="8" t="str">
        <x:v>Victoria|2021</x:v>
      </x:c>
      <x:c r="B906" s="8" t="str">
        <x:v>victoria-c</x:v>
      </x:c>
      <x:c r="C906" s="8" t="str">
        <x:v>Victoria</x:v>
      </x:c>
      <x:c r="D906" s="8" t="str">
        <x:v>Victoria</x:v>
      </x:c>
      <x:c r="E906" s="8" t="str">
        <x:v>C</x:v>
      </x:c>
      <x:c r="F906" s="8" t="str">
        <x:v>CAP</x:v>
      </x:c>
      <x:c r="G906" s="9" t="n">
        <x:v>2021</x:v>
      </x:c>
      <x:c r="H906" s="10" t="n">
        <x:v>94890</x:v>
      </x:c>
      <x:c r="I906" s="8" t="str">
        <x:v>20,000 to 99,999</x:v>
      </x:c>
      <x:c r="J906" s="11" t="n">
        <x:v>273681544</x:v>
      </x:c>
      <x:c r="K906" s="11" t="n">
        <x:v>216692761</x:v>
      </x:c>
      <x:c r="L906" s="11" t="n">
        <x:v>56988783</x:v>
      </x:c>
      <x:c r="M906" s="12" t="n">
        <x:v>0.2082302743805041</x:v>
      </x:c>
      <x:c r="N906" s="11" t="n">
        <x:v>158234857</x:v>
      </x:c>
      <x:c r="O906" s="11" t="n">
        <x:v>81662899</x:v>
      </x:c>
      <x:c r="P906" s="11" t="n">
        <x:v>15933625</x:v>
      </x:c>
      <x:c r="Q906" s="11" t="n">
        <x:v>17850163</x:v>
      </x:c>
      <x:c r="R906" s="11" t="n">
        <x:v>197496380</x:v>
      </x:c>
      <x:c r="S906" s="11" t="n">
        <x:v>16658985</x:v>
      </x:c>
      <x:c r="T906" s="11" t="n">
        <x:v>288557283</x:v>
      </x:c>
      <x:c r="U906" s="11" t="n">
        <x:v>164366159</x:v>
      </x:c>
      <x:c r="V906" s="11" t="n">
        <x:v>223285114</x:v>
      </x:c>
      <x:c r="W906" s="11" t="n">
        <x:v>273510829</x:v>
      </x:c>
      <x:c r="X906" s="11" t="n">
        <x:v>62515519</x:v>
      </x:c>
      <x:c r="Y906" s="11" t="n">
        <x:v>2140000</x:v>
      </x:c>
      <x:c r="Z906" s="11" t="n">
        <x:v>3823847</x:v>
      </x:c>
      <x:c r="AA906" s="11" t="n">
        <x:v>59482154</x:v>
      </x:c>
      <x:c r="AB906" s="11" t="n">
        <x:v>2537396</x:v>
      </x:c>
      <x:c r="AC906" s="11" t="n">
        <x:v>6361243</x:v>
      </x:c>
      <x:c r="AD906" s="11" t="n">
        <x:v>63755199</x:v>
      </x:c>
      <x:c r="AE906" s="11" t="n">
        <x:v>57264378</x:v>
      </x:c>
      <x:c r="AF906" s="11" t="n">
        <x:v>255020797</x:v>
      </x:c>
      <x:c r="AG906" s="11" t="n">
        <x:v>848162232</x:v>
      </x:c>
      <x:c r="AH906" s="11" t="n">
        <x:v>228613480</x:v>
      </x:c>
      <x:c r="AI906" s="11" t="n">
        <x:v>619548752</x:v>
      </x:c>
      <x:c r="AJ906" s="11" t="n">
        <x:v>47790883</x:v>
      </x:c>
      <x:c r="AK906" s="11" t="n">
        <x:v>176997204</x:v>
      </x:c>
      <x:c r="AL906" s="11" t="n">
        <x:v>0</x:v>
      </x:c>
      <x:c r="AM906" s="12" t="n">
        <x:v>1</x:v>
      </x:c>
      <x:c r="AN906" s="12" t="n">
        <x:v>0.2700092539314915</x:v>
      </x:c>
      <x:c r="AO906" s="11" t="n">
        <x:v>270845138</x:v>
      </x:c>
      <x:c r="AP906" s="11" t="n">
        <x:v>268678447</x:v>
      </x:c>
      <x:c r="AQ906" s="12" t="n">
        <x:v>0.9920002588342568</x:v>
      </x:c>
      <x:c r="AR906" s="11" t="n">
        <x:v>2884.197955527453</x:v>
      </x:c>
      <x:c r="AS906" s="11" t="n">
        <x:v>2283.6206238802824</x:v>
      </x:c>
      <x:c r="AT906" s="11" t="n">
        <x:v>2353.094256507535</x:v>
      </x:c>
      <x:c r="AU906" s="11" t="n">
        <x:v>2882.3988723785437</x:v>
      </x:c>
      <x:c r="AV906" s="11" t="n">
        <x:v>626.8537675202866</x:v>
      </x:c>
      <x:c r="AW906" s="11" t="n">
        <x:v>1.7555759942045004</x:v>
      </x:c>
      <x:c r="AX906" s="12" t="n">
        <x:v>0.8981915027823848</x:v>
      </x:c>
      <x:c r="AY906" s="11"/>
      <x:c r="AZ906" s="11"/>
      <x:c r="BA906" s="11"/>
      <x:c r="BB906" s="11"/>
      <x:c r="BC906" s="11"/>
      <x:c r="BD906" s="11"/>
      <x:c r="BE906" s="11"/>
      <x:c r="BF906" s="11"/>
      <x:c r="BG906" s="11"/>
      <x:c r="BH906" s="11"/>
      <x:c r="BI906" s="11"/>
      <x:c r="BJ906" s="11"/>
      <x:c r="BK906" s="12"/>
      <x:c r="BL906" s="12"/>
      <x:c r="BM906" s="12"/>
      <x:c r="BN906" s="12"/>
      <x:c r="BO906" s="12"/>
      <x:c r="BP906" s="12"/>
      <x:c r="BQ906" s="12"/>
      <x:c r="BR906" s="12"/>
      <x:c r="BS906" s="12"/>
      <x:c r="BT906" s="12"/>
      <x:c r="BU906" s="11" t="n">
        <x:v>2056955</x:v>
      </x:c>
      <x:c r="BV906" s="11" t="n">
        <x:v>2633440</x:v>
      </x:c>
      <x:c r="BW906" s="11" t="n">
        <x:v>11243230</x:v>
      </x:c>
      <x:c r="BX906" s="11" t="n">
        <x:v>4166979</x:v>
      </x:c>
      <x:c r="BY906" s="11" t="n">
        <x:v>0</x:v>
      </x:c>
      <x:c r="BZ906" s="11" t="n">
        <x:v>3674631</x:v>
      </x:c>
      <x:c r="CA906" s="11" t="n">
        <x:v>50138</x:v>
      </x:c>
      <x:c r="CB906" s="11" t="n">
        <x:v>9958415</x:v>
      </x:c>
      <x:c r="CC906" s="11" t="n">
        <x:v>19086827</x:v>
      </x:c>
      <x:c r="CD906" s="11" t="n">
        <x:v>82617602</x:v>
      </x:c>
      <x:c r="CE906" s="11" t="n">
        <x:v>6176396</x:v>
      </x:c>
      <x:c r="CF906" s="11" t="n">
        <x:v>1882801</x:v>
      </x:c>
      <x:c r="CG906" s="11" t="n">
        <x:v>10249836</x:v>
      </x:c>
      <x:c r="CH906" s="11" t="n">
        <x:v>24513192</x:v>
      </x:c>
      <x:c r="CI906" s="11" t="n">
        <x:v>32322256</x:v>
      </x:c>
      <x:c r="CJ906" s="11" t="n">
        <x:v>16738634</x:v>
      </x:c>
      <x:c r="CK906" s="11" t="n">
        <x:v>4280732</x:v>
      </x:c>
      <x:c r="CL906" s="11" t="n">
        <x:v>2165500</x:v>
      </x:c>
      <x:c r="CM906" s="11"/>
      <x:c r="CN906" s="11" t="n">
        <x:v>0</x:v>
      </x:c>
      <x:c r="CO906" s="11" t="n">
        <x:v>0</x:v>
      </x:c>
      <x:c r="CP906" s="8"/>
      <x:c r="CQ906" s="8"/>
    </x:row>
    <x:row r="907">
      <x:c r="A907" s="8" t="str">
        <x:v>Victoria|2022</x:v>
      </x:c>
      <x:c r="B907" s="8" t="str">
        <x:v>victoria-c</x:v>
      </x:c>
      <x:c r="C907" s="8" t="str">
        <x:v>Victoria</x:v>
      </x:c>
      <x:c r="D907" s="8" t="str">
        <x:v>Victoria</x:v>
      </x:c>
      <x:c r="E907" s="8" t="str">
        <x:v>C</x:v>
      </x:c>
      <x:c r="F907" s="8" t="str">
        <x:v>CAP</x:v>
      </x:c>
      <x:c r="G907" s="9" t="n">
        <x:v>2022</x:v>
      </x:c>
      <x:c r="H907" s="10" t="n">
        <x:v>96390</x:v>
      </x:c>
      <x:c r="I907" s="8" t="str">
        <x:v>20,000 to 99,999</x:v>
      </x:c>
      <x:c r="J907" s="11" t="n">
        <x:v>303716088</x:v>
      </x:c>
      <x:c r="K907" s="11" t="n">
        <x:v>244205262</x:v>
      </x:c>
      <x:c r="L907" s="11" t="n">
        <x:v>59510826</x:v>
      </x:c>
      <x:c r="M907" s="12" t="n">
        <x:v>0.19594229068300129</x:v>
      </x:c>
      <x:c r="N907" s="11" t="n">
        <x:v>166009112</x:v>
      </x:c>
      <x:c r="O907" s="11" t="n">
        <x:v>102845267</x:v>
      </x:c>
      <x:c r="P907" s="11" t="n">
        <x:v>14869969</x:v>
      </x:c>
      <x:c r="Q907" s="11" t="n">
        <x:v>19991740</x:v>
      </x:c>
      <x:c r="R907" s="11" t="n">
        <x:v>223878957</x:v>
      </x:c>
      <x:c r="S907" s="11" t="n">
        <x:v>17809743</x:v>
      </x:c>
      <x:c r="T907" s="11" t="n">
        <x:v>376287389</x:v>
      </x:c>
      <x:c r="U907" s="11" t="n">
        <x:v>161890992</x:v>
      </x:c>
      <x:c r="V907" s="11" t="n">
        <x:v>257763134</x:v>
      </x:c>
      <x:c r="W907" s="11" t="n">
        <x:v>303906173</x:v>
      </x:c>
      <x:c r="X907" s="11" t="n">
        <x:v>59482154</x:v>
      </x:c>
      <x:c r="Y907" s="11" t="n">
        <x:v>0</x:v>
      </x:c>
      <x:c r="Z907" s="11" t="n">
        <x:v>3918957</x:v>
      </x:c>
      <x:c r="AA907" s="11" t="n">
        <x:v>54066384</x:v>
      </x:c>
      <x:c r="AB907" s="11" t="n">
        <x:v>2516562</x:v>
      </x:c>
      <x:c r="AC907" s="11" t="n">
        <x:v>6435519</x:v>
      </x:c>
      <x:c r="AD907" s="11" t="n">
        <x:v>69550746</x:v>
      </x:c>
      <x:c r="AE907" s="11" t="n">
        <x:v>62981615</x:v>
      </x:c>
      <x:c r="AF907" s="11" t="n">
        <x:v>278202984</x:v>
      </x:c>
      <x:c r="AG907" s="11" t="n">
        <x:v>887759994</x:v>
      </x:c>
      <x:c r="AH907" s="11" t="n">
        <x:v>246050351</x:v>
      </x:c>
      <x:c r="AI907" s="11" t="n">
        <x:v>641709643</x:v>
      </x:c>
      <x:c r="AJ907" s="11" t="n">
        <x:v>44201751</x:v>
      </x:c>
      <x:c r="AK907" s="11" t="n">
        <x:v>159947532</x:v>
      </x:c>
      <x:c r="AL907" s="11" t="n">
        <x:v>0</x:v>
      </x:c>
      <x:c r="AM907" s="12" t="n">
        <x:v>1</x:v>
      </x:c>
      <x:c r="AN907" s="12" t="n">
        <x:v>0.27635156633739116</x:v>
      </x:c>
      <x:c r="AO907" s="11" t="n">
        <x:v>278501897</x:v>
      </x:c>
      <x:c r="AP907" s="11" t="n">
        <x:v>275448532</x:v>
      </x:c>
      <x:c r="AQ907" s="12" t="n">
        <x:v>0.989036466060409</x:v>
      </x:c>
      <x:c r="AR907" s="11" t="n">
        <x:v>3150.9086834733894</x:v>
      </x:c>
      <x:c r="AS907" s="11" t="n">
        <x:v>2533.5124183006537</x:v>
      </x:c>
      <x:c r="AT907" s="11" t="n">
        <x:v>2674.168834941384</x:v>
      </x:c>
      <x:c r="AU907" s="11" t="n">
        <x:v>3152.8807241415084</x:v>
      </x:c>
      <x:c r="AV907" s="11" t="n">
        <x:v>560.91279178338</x:v>
      </x:c>
      <x:c r="AW907" s="11" t="n">
        <x:v>2.324325673413626</x:v>
      </x:c>
      <x:c r="AX907" s="12" t="n">
        <x:v>0.905549093607134</x:v>
      </x:c>
      <x:c r="AY907" s="11"/>
      <x:c r="AZ907" s="11"/>
      <x:c r="BA907" s="11"/>
      <x:c r="BB907" s="11"/>
      <x:c r="BC907" s="11"/>
      <x:c r="BD907" s="11"/>
      <x:c r="BE907" s="11"/>
      <x:c r="BF907" s="11"/>
      <x:c r="BG907" s="11"/>
      <x:c r="BH907" s="11"/>
      <x:c r="BI907" s="11"/>
      <x:c r="BJ907" s="11"/>
      <x:c r="BK907" s="12"/>
      <x:c r="BL907" s="12"/>
      <x:c r="BM907" s="12"/>
      <x:c r="BN907" s="12"/>
      <x:c r="BO907" s="12"/>
      <x:c r="BP907" s="12"/>
      <x:c r="BQ907" s="12"/>
      <x:c r="BR907" s="12"/>
      <x:c r="BS907" s="12"/>
      <x:c r="BT907" s="12"/>
      <x:c r="BU907" s="11" t="n">
        <x:v>4584835</x:v>
      </x:c>
      <x:c r="BV907" s="11" t="n">
        <x:v>6274333</x:v>
      </x:c>
      <x:c r="BW907" s="11" t="n">
        <x:v>4010801</x:v>
      </x:c>
      <x:c r="BX907" s="11" t="n">
        <x:v>8841705</x:v>
      </x:c>
      <x:c r="BY907" s="11" t="n">
        <x:v>0</x:v>
      </x:c>
      <x:c r="BZ907" s="11" t="n">
        <x:v>5317159</x:v>
      </x:c>
      <x:c r="CA907" s="11" t="n">
        <x:v>5832876</x:v>
      </x:c>
      <x:c r="CB907" s="11" t="n">
        <x:v>0</x:v>
      </x:c>
      <x:c r="CC907" s="11" t="n">
        <x:v>29927669</x:v>
      </x:c>
      <x:c r="CD907" s="11" t="n">
        <x:v>86110823</x:v>
      </x:c>
      <x:c r="CE907" s="11" t="n">
        <x:v>6610842</x:v>
      </x:c>
      <x:c r="CF907" s="11" t="n">
        <x:v>4013771</x:v>
      </x:c>
      <x:c r="CG907" s="11" t="n">
        <x:v>20206578</x:v>
      </x:c>
      <x:c r="CH907" s="11" t="n">
        <x:v>25952209</x:v>
      </x:c>
      <x:c r="CI907" s="11" t="n">
        <x:v>29086435</x:v>
      </x:c>
      <x:c r="CJ907" s="11" t="n">
        <x:v>16870385</x:v>
      </x:c>
      <x:c r="CK907" s="11" t="n">
        <x:v>5142895</x:v>
      </x:c>
      <x:c r="CL907" s="11" t="n">
        <x:v>2473912</x:v>
      </x:c>
      <x:c r="CM907" s="11"/>
      <x:c r="CN907" s="11" t="n">
        <x:v>0</x:v>
      </x:c>
      <x:c r="CO907" s="11" t="n">
        <x:v>0</x:v>
      </x:c>
      <x:c r="CP907" s="8"/>
      <x:c r="CQ907" s="8"/>
    </x:row>
    <x:row r="908">
      <x:c r="A908" s="8" t="str">
        <x:v>Victoria|2023</x:v>
      </x:c>
      <x:c r="B908" s="8" t="str">
        <x:v>victoria-c</x:v>
      </x:c>
      <x:c r="C908" s="8" t="str">
        <x:v>Victoria</x:v>
      </x:c>
      <x:c r="D908" s="8" t="str">
        <x:v>Victoria</x:v>
      </x:c>
      <x:c r="E908" s="8" t="str">
        <x:v>C</x:v>
      </x:c>
      <x:c r="F908" s="8" t="str">
        <x:v>CAP</x:v>
      </x:c>
      <x:c r="G908" s="9" t="n">
        <x:v>2023</x:v>
      </x:c>
      <x:c r="H908" s="10" t="n">
        <x:v>99792</x:v>
      </x:c>
      <x:c r="I908" s="8" t="str">
        <x:v>20,000 to 99,999</x:v>
      </x:c>
      <x:c r="J908" s="11" t="n">
        <x:v>346308072</x:v>
      </x:c>
      <x:c r="K908" s="11" t="n">
        <x:v>275501452</x:v>
      </x:c>
      <x:c r="L908" s="11" t="n">
        <x:v>70806620</x:v>
      </x:c>
      <x:c r="M908" s="12" t="n">
        <x:v>0.2044613617900307</x:v>
      </x:c>
      <x:c r="N908" s="11" t="n">
        <x:v>177734449</x:v>
      </x:c>
      <x:c r="O908" s="11" t="n">
        <x:v>116564127</x:v>
      </x:c>
      <x:c r="P908" s="11" t="n">
        <x:v>27997318</x:v>
      </x:c>
      <x:c r="Q908" s="11" t="n">
        <x:v>24012178</x:v>
      </x:c>
      <x:c r="R908" s="11" t="n">
        <x:v>252048354</x:v>
      </x:c>
      <x:c r="S908" s="11" t="n">
        <x:v>20906966</x:v>
      </x:c>
      <x:c r="T908" s="11" t="n">
        <x:v>370243443</x:v>
      </x:c>
      <x:c r="U908" s="11" t="n">
        <x:v>167937183</x:v>
      </x:c>
      <x:c r="V908" s="11" t="n">
        <x:v>248610637</x:v>
      </x:c>
      <x:c r="W908" s="11" t="n">
        <x:v>289498685</x:v>
      </x:c>
      <x:c r="X908" s="11" t="n">
        <x:v>54066383</x:v>
      </x:c>
      <x:c r="Y908" s="11" t="n">
        <x:v>0</x:v>
      </x:c>
      <x:c r="Z908" s="11" t="n">
        <x:v>3668453</x:v>
      </x:c>
      <x:c r="AA908" s="11" t="n">
        <x:v>48962799</x:v>
      </x:c>
      <x:c r="AB908" s="11" t="n">
        <x:v>2546132</x:v>
      </x:c>
      <x:c r="AC908" s="11" t="n">
        <x:v>6214585</x:v>
      </x:c>
      <x:c r="AD908" s="11" t="n">
        <x:v>78166330</x:v>
      </x:c>
      <x:c r="AE908" s="11" t="n">
        <x:v>71833609</x:v>
      </x:c>
      <x:c r="AF908" s="11" t="n">
        <x:v>312665321</x:v>
      </x:c>
      <x:c r="AG908" s="11" t="n">
        <x:v>989204921</x:v>
      </x:c>
      <x:c r="AH908" s="11" t="n">
        <x:v>266744959</x:v>
      </x:c>
      <x:c r="AI908" s="11" t="n">
        <x:v>722459962</x:v>
      </x:c>
      <x:c r="AJ908" s="11" t="n">
        <x:v>103542059</x:v>
      </x:c>
      <x:c r="AK908" s="11" t="n">
        <x:v>178187438</x:v>
      </x:c>
      <x:c r="AL908" s="11" t="n">
        <x:v>0</x:v>
      </x:c>
      <x:c r="AM908" s="12" t="n">
        <x:v>1</x:v>
      </x:c>
      <x:c r="AN908" s="12" t="n">
        <x:v>0.5810850650425762</x:v>
      </x:c>
      <x:c r="AO908" s="11" t="n">
        <x:v>284604565</x:v>
      </x:c>
      <x:c r="AP908" s="11" t="n">
        <x:v>280414829</x:v>
      </x:c>
      <x:c r="AQ908" s="12" t="n">
        <x:v>0.9852787463194767</x:v>
      </x:c>
      <x:c r="AR908" s="11" t="n">
        <x:v>3470.298941798942</x:v>
      </x:c>
      <x:c r="AS908" s="11" t="n">
        <x:v>2760.7568943402275</x:v>
      </x:c>
      <x:c r="AT908" s="11" t="n">
        <x:v>2491.288249559083</x:v>
      </x:c>
      <x:c r="AU908" s="11" t="n">
        <x:v>2901.0209736251404</x:v>
      </x:c>
      <x:c r="AV908" s="11" t="n">
        <x:v>490.648538961039</x:v>
      </x:c>
      <x:c r="AW908" s="11" t="n">
        <x:v>2.204654361744296</x:v>
      </x:c>
      <x:c r="AX908" s="12" t="n">
        <x:v>0.9189840305922</x:v>
      </x:c>
      <x:c r="AY908" s="11"/>
      <x:c r="AZ908" s="11"/>
      <x:c r="BA908" s="11"/>
      <x:c r="BB908" s="11"/>
      <x:c r="BC908" s="11"/>
      <x:c r="BD908" s="11"/>
      <x:c r="BE908" s="11"/>
      <x:c r="BF908" s="11"/>
      <x:c r="BG908" s="11"/>
      <x:c r="BH908" s="11"/>
      <x:c r="BI908" s="11"/>
      <x:c r="BJ908" s="11"/>
      <x:c r="BK908" s="12"/>
      <x:c r="BL908" s="12"/>
      <x:c r="BM908" s="12"/>
      <x:c r="BN908" s="12"/>
      <x:c r="BO908" s="12"/>
      <x:c r="BP908" s="12"/>
      <x:c r="BQ908" s="12"/>
      <x:c r="BR908" s="12"/>
      <x:c r="BS908" s="12"/>
      <x:c r="BT908" s="12"/>
      <x:c r="BU908" s="11" t="n">
        <x:v>6366738</x:v>
      </x:c>
      <x:c r="BV908" s="11" t="n">
        <x:v>17391891</x:v>
      </x:c>
      <x:c r="BW908" s="11" t="n">
        <x:v>4238689</x:v>
      </x:c>
      <x:c r="BX908" s="11" t="n">
        <x:v>17813876</x:v>
      </x:c>
      <x:c r="BY908" s="11" t="n">
        <x:v>0</x:v>
      </x:c>
      <x:c r="BZ908" s="11" t="n">
        <x:v>6153835</x:v>
      </x:c>
      <x:c r="CA908" s="11" t="n">
        <x:v>44467</x:v>
      </x:c>
      <x:c r="CB908" s="11" t="n">
        <x:v>0</x:v>
      </x:c>
      <x:c r="CC908" s="11" t="n">
        <x:v>20675758</x:v>
      </x:c>
      <x:c r="CD908" s="11" t="n">
        <x:v>95196491</x:v>
      </x:c>
      <x:c r="CE908" s="11" t="n">
        <x:v>6954253</x:v>
      </x:c>
      <x:c r="CF908" s="11" t="n">
        <x:v>3272815</x:v>
      </x:c>
      <x:c r="CG908" s="11" t="n">
        <x:v>22271489</x:v>
      </x:c>
      <x:c r="CH908" s="11" t="n">
        <x:v>31040463</x:v>
      </x:c>
      <x:c r="CI908" s="11" t="n">
        <x:v>45064550</x:v>
      </x:c>
      <x:c r="CJ908" s="11" t="n">
        <x:v>18434642</x:v>
      </x:c>
      <x:c r="CK908" s="11" t="n">
        <x:v>5352165</x:v>
      </x:c>
      <x:c r="CL908" s="11" t="n">
        <x:v>2771230</x:v>
      </x:c>
      <x:c r="CM908" s="11" t="n">
        <x:v>13904</x:v>
      </x:c>
      <x:c r="CN908" s="11" t="n">
        <x:v>3546726</x:v>
      </x:c>
      <x:c r="CO908" s="11" t="n">
        <x:v>0</x:v>
      </x:c>
      <x:c r="CP908" s="8"/>
      <x:c r="CQ908" s="8"/>
    </x:row>
    <x:row r="909">
      <x:c r="A909" s="8" t="str">
        <x:v>Victoria|2024</x:v>
      </x:c>
      <x:c r="B909" s="8" t="str">
        <x:v>victoria-c</x:v>
      </x:c>
      <x:c r="C909" s="8" t="str">
        <x:v>Victoria</x:v>
      </x:c>
      <x:c r="D909" s="8" t="str">
        <x:v>Victoria</x:v>
      </x:c>
      <x:c r="E909" s="8" t="str">
        <x:v>C</x:v>
      </x:c>
      <x:c r="F909" s="8" t="str">
        <x:v>CAP</x:v>
      </x:c>
      <x:c r="G909" s="9" t="n">
        <x:v>2024</x:v>
      </x:c>
      <x:c r="H909" s="10" t="n">
        <x:v>99792</x:v>
      </x:c>
      <x:c r="I909" s="8" t="str">
        <x:v>20,000 to 99,999</x:v>
      </x:c>
      <x:c r="J909" s="11" t="n">
        <x:v>356508636</x:v>
      </x:c>
      <x:c r="K909" s="11" t="n">
        <x:v>309296843</x:v>
      </x:c>
      <x:c r="L909" s="11" t="n">
        <x:v>47211793</x:v>
      </x:c>
      <x:c r="M909" s="12" t="n">
        <x:v>0.13242818892050626</x:v>
      </x:c>
      <x:c r="N909" s="11" t="n">
        <x:v>192742992</x:v>
      </x:c>
      <x:c r="O909" s="11" t="n">
        <x:v>121653719</x:v>
      </x:c>
      <x:c r="P909" s="11" t="n">
        <x:v>16116788</x:v>
      </x:c>
      <x:c r="Q909" s="11" t="n">
        <x:v>25995137</x:v>
      </x:c>
      <x:c r="R909" s="11" t="n">
        <x:v>284421576</x:v>
      </x:c>
      <x:c r="S909" s="11" t="n">
        <x:v>21701362</x:v>
      </x:c>
      <x:c r="T909" s="11" t="n">
        <x:v>365211904</x:v>
      </x:c>
      <x:c r="U909" s="11" t="n">
        <x:v>159818463</x:v>
      </x:c>
      <x:c r="V909" s="11" t="n">
        <x:v>245044293</x:v>
      </x:c>
      <x:c r="W909" s="11" t="n">
        <x:v>281759188</x:v>
      </x:c>
      <x:c r="X909" s="11" t="n">
        <x:v>48962799</x:v>
      </x:c>
      <x:c r="Y909" s="11" t="n">
        <x:v>791244</x:v>
      </x:c>
      <x:c r="Z909" s="11" t="n">
        <x:v>3705114</x:v>
      </x:c>
      <x:c r="AA909" s="11" t="n">
        <x:v>44676341</x:v>
      </x:c>
      <x:c r="AB909" s="11" t="n">
        <x:v>3173905</x:v>
      </x:c>
      <x:c r="AC909" s="11" t="n">
        <x:v>6879019</x:v>
      </x:c>
      <x:c r="AD909" s="11" t="n">
        <x:v>83083500</x:v>
      </x:c>
      <x:c r="AE909" s="11" t="n">
        <x:v>71313282</x:v>
      </x:c>
      <x:c r="AF909" s="11" t="n">
        <x:v>332334000</x:v>
      </x:c>
      <x:c r="AG909" s="11" t="n">
        <x:v>1060888037</x:v>
      </x:c>
      <x:c r="AH909" s="11" t="n">
        <x:v>287402432</x:v>
      </x:c>
      <x:c r="AI909" s="11" t="n">
        <x:v>773485605</x:v>
      </x:c>
      <x:c r="AJ909" s="11" t="n">
        <x:v>77224466</x:v>
      </x:c>
      <x:c r="AK909" s="11" t="n">
        <x:v>3775807901</x:v>
      </x:c>
      <x:c r="AL909" s="11" t="n">
        <x:v>48451394</x:v>
      </x:c>
      <x:c r="AM909" s="12" t="n">
        <x:v>0.9871679398766108</x:v>
      </x:c>
      <x:c r="AN909" s="12" t="n">
        <x:v>0.020452435088010586</x:v>
      </x:c>
      <x:c r="AO909" s="11" t="n">
        <x:v>310712182</x:v>
      </x:c>
      <x:c r="AP909" s="11" t="n">
        <x:v>306351359</x:v>
      </x:c>
      <x:c r="AQ909" s="12" t="n">
        <x:v>0.9859650723317954</x:v>
      </x:c>
      <x:c r="AR909" s="11" t="n">
        <x:v>3572.517195767196</x:v>
      </x:c>
      <x:c r="AS909" s="11" t="n">
        <x:v>3099.4152136443804</x:v>
      </x:c>
      <x:c r="AT909" s="11" t="n">
        <x:v>2455.550474987975</x:v>
      </x:c>
      <x:c r="AU909" s="11" t="n">
        <x:v>2823.46468654802</x:v>
      </x:c>
      <x:c r="AV909" s="11" t="n">
        <x:v>447.69461479878146</x:v>
      </x:c>
      <x:c r="AW909" s="11" t="n">
        <x:v>2.2851671649476444</x:v>
      </x:c>
      <x:c r="AX909" s="12" t="n">
        <x:v>0.8583326653306613</x:v>
      </x:c>
      <x:c r="AY909" s="11" t="n">
        <x:v>2823.8160359162957</x:v>
      </x:c>
      <x:c r="AZ909" s="11" t="n">
        <x:v>3546.5079302077975</x:v>
      </x:c>
      <x:c r="BA909" s="11" t="n">
        <x:v>2313.177731087988</x:v>
      </x:c>
      <x:c r="BB909" s="11" t="n">
        <x:v>2783.665107049771</x:v>
      </x:c>
      <x:c r="BC909" s="11" t="n">
        <x:v>1634.933826557682</x:v>
      </x:c>
      <x:c r="BD909" s="11" t="n">
        <x:v>2437.8724475115623</x:v>
      </x:c>
      <x:c r="BE909" s="11" t="n">
        <x:v>1015.8871081440785</x:v>
      </x:c>
      <x:c r="BF909" s="11" t="n">
        <x:v>1604.3462673977224</x:v>
      </x:c>
      <x:c r="BG909" s="11" t="n">
        <x:v>757.3716446138835</x:v>
      </x:c>
      <x:c r="BH909" s="11" t="n">
        <x:v>518.5374381567245</x:v>
      </x:c>
      <x:c r="BI909" s="11" t="n">
        <x:v>1.4428133381403412</x:v>
      </x:c>
      <x:c r="BJ909" s="11" t="n">
        <x:v>1.7099330852451193</x:v>
      </x:c>
      <x:c r="BK909" s="12" t="n">
        <x:v>0.021350493990494074</x:v>
      </x:c>
      <x:c r="BL909" s="12" t="n">
        <x:v>0.02529861000232605</x:v>
      </x:c>
      <x:c r="BM909" s="12" t="n">
        <x:v>0.9847118933607182</x:v>
      </x:c>
      <x:c r="BN909" s="12" t="n">
        <x:v>0.9815511712696461</x:v>
      </x:c>
      <x:c r="BO909" s="12" t="n">
        <x:v>0.8457939120832807</x:v>
      </x:c>
      <x:c r="BP909" s="12" t="n">
        <x:v>0.8619101997275483</x:v>
      </x:c>
      <x:c r="BQ909" s="12" t="n">
        <x:v>0.9744645665293163</x:v>
      </x:c>
      <x:c r="BR909" s="12" t="n">
        <x:v>0.9623635142836453</x:v>
      </x:c>
      <x:c r="BS909" s="12" t="n">
        <x:v>0.16542076645989975</x:v>
      </x:c>
      <x:c r="BT909" s="12" t="n">
        <x:v>0.19976549769108282</x:v>
      </x:c>
      <x:c r="BU909" s="11" t="n">
        <x:v>10078238</x:v>
      </x:c>
      <x:c r="BV909" s="11" t="n">
        <x:v>5644478</x:v>
      </x:c>
      <x:c r="BW909" s="11" t="n">
        <x:v>394072</x:v>
      </x:c>
      <x:c r="BX909" s="11" t="n">
        <x:v>17432877</x:v>
      </x:c>
      <x:c r="BY909" s="11" t="n">
        <x:v>0</x:v>
      </x:c>
      <x:c r="BZ909" s="11" t="n">
        <x:v>8562260</x:v>
      </x:c>
      <x:c r="CA909" s="11" t="n">
        <x:v>0</x:v>
      </x:c>
      <x:c r="CB909" s="11" t="n">
        <x:v>0</x:v>
      </x:c>
      <x:c r="CC909" s="11" t="n">
        <x:v>27124156</x:v>
      </x:c>
      <x:c r="CD909" s="11" t="n">
        <x:v>105062218</x:v>
      </x:c>
      <x:c r="CE909" s="11" t="n">
        <x:v>6262088</x:v>
      </x:c>
      <x:c r="CF909" s="11" t="n">
        <x:v>4113094</x:v>
      </x:c>
      <x:c r="CG909" s="11" t="n">
        <x:v>25908061</x:v>
      </x:c>
      <x:c r="CH909" s="11" t="n">
        <x:v>35507521</x:v>
      </x:c>
      <x:c r="CI909" s="11" t="n">
        <x:v>49196125</x:v>
      </x:c>
      <x:c r="CJ909" s="11" t="n">
        <x:v>18810555</x:v>
      </x:c>
      <x:c r="CK909" s="11" t="n">
        <x:v>6974589</x:v>
      </x:c>
      <x:c r="CL909" s="11" t="n">
        <x:v>4412884</x:v>
      </x:c>
      <x:c r="CM909" s="11" t="n">
        <x:v>14095</x:v>
      </x:c>
      <x:c r="CN909" s="11" t="n">
        <x:v>4210095</x:v>
      </x:c>
      <x:c r="CO909" s="11" t="n">
        <x:v>0</x:v>
      </x:c>
      <x:c r="CP909" s="8"/>
      <x:c r="CQ909" s="8"/>
    </x:row>
    <x:row r="910">
      <x:c r="A910" s="8" t="str">
        <x:v>View Royal|2019</x:v>
      </x:c>
      <x:c r="B910" s="8" t="str">
        <x:v>view-royal-t</x:v>
      </x:c>
      <x:c r="C910" s="8" t="str">
        <x:v>View Royal</x:v>
      </x:c>
      <x:c r="D910" s="8" t="str">
        <x:v>View Royal</x:v>
      </x:c>
      <x:c r="E910" s="8" t="str">
        <x:v>T</x:v>
      </x:c>
      <x:c r="F910" s="8" t="str">
        <x:v>CAP</x:v>
      </x:c>
      <x:c r="G910" s="9" t="n">
        <x:v>2019</x:v>
      </x:c>
      <x:c r="H910" s="10" t="n">
        <x:v>11567</x:v>
      </x:c>
      <x:c r="I910" s="8" t="str">
        <x:v>5,000 to 19,999</x:v>
      </x:c>
      <x:c r="J910" s="11" t="n">
        <x:v>17121701</x:v>
      </x:c>
      <x:c r="K910" s="11" t="n">
        <x:v>15921809</x:v>
      </x:c>
      <x:c r="L910" s="11" t="n">
        <x:v>1199892</x:v>
      </x:c>
      <x:c r="M910" s="12" t="n">
        <x:v>0.0700801865422133</x:v>
      </x:c>
      <x:c r="N910" s="11" t="n">
        <x:v>8973886</x:v>
      </x:c>
      <x:c r="O910" s="11" t="n">
        <x:v>3154937</x:v>
      </x:c>
      <x:c r="P910" s="11" t="n">
        <x:v>3718856</x:v>
      </x:c>
      <x:c r="Q910" s="11" t="n">
        <x:v>1274022</x:v>
      </x:c>
      <x:c r="R910" s="11" t="n">
        <x:v>12577478</x:v>
      </x:c>
      <x:c r="S910" s="11" t="n">
        <x:v>3083698</x:v>
      </x:c>
      <x:c r="T910" s="11" t="n">
        <x:v>25678695</x:v>
      </x:c>
      <x:c r="U910" s="11" t="n">
        <x:v>17571406</x:v>
      </x:c>
      <x:c r="V910" s="11" t="n">
        <x:v>10340502</x:v>
      </x:c>
      <x:c r="W910" s="11" t="n">
        <x:v>6791650</x:v>
      </x:c>
      <x:c r="X910" s="11" t="n">
        <x:v>6187677</x:v>
      </x:c>
      <x:c r="Y910" s="11" t="n">
        <x:v>0</x:v>
      </x:c>
      <x:c r="Z910" s="11" t="n">
        <x:v>306470</x:v>
      </x:c>
      <x:c r="AA910" s="11" t="n">
        <x:v>5811314</x:v>
      </x:c>
      <x:c r="AB910" s="11" t="n">
        <x:v>260633</x:v>
      </x:c>
      <x:c r="AC910" s="11" t="n">
        <x:v>567103</x:v>
      </x:c>
      <x:c r="AD910" s="11" t="n">
        <x:v>3902578</x:v>
      </x:c>
      <x:c r="AE910" s="11" t="n">
        <x:v>3335475</x:v>
      </x:c>
      <x:c r="AF910" s="11" t="n">
        <x:v>15610313</x:v>
      </x:c>
      <x:c r="AG910" s="11" t="n">
        <x:v>179331002</x:v>
      </x:c>
      <x:c r="AH910" s="11" t="n">
        <x:v>47059241</x:v>
      </x:c>
      <x:c r="AI910" s="11" t="n">
        <x:v>132271761</x:v>
      </x:c>
      <x:c r="AJ910" s="11" t="n">
        <x:v>2635331</x:v>
      </x:c>
      <x:c r="AK910" s="11" t="n">
        <x:v>190842192</x:v>
      </x:c>
      <x:c r="AL910" s="11" t="n">
        <x:v>3107330</x:v>
      </x:c>
      <x:c r="AM910" s="12" t="n">
        <x:v>0.9837178038701211</x:v>
      </x:c>
      <x:c r="AN910" s="12" t="n">
        <x:v>0.013808953734926709</x:v>
      </x:c>
      <x:c r="AO910" s="11" t="n">
        <x:v>49371255</x:v>
      </x:c>
      <x:c r="AP910" s="11" t="n">
        <x:v>49253742</x:v>
      </x:c>
      <x:c r="AQ910" s="12" t="n">
        <x:v>0.9976198093404756</x:v>
      </x:c>
      <x:c r="AR910" s="11" t="n">
        <x:v>1480.2196766663785</x:v>
      </x:c>
      <x:c r="AS910" s="11" t="n">
        <x:v>1376.485605602144</x:v>
      </x:c>
      <x:c r="AT910" s="11" t="n">
        <x:v>893.9657646753695</x:v>
      </x:c>
      <x:c r="AU910" s="11" t="n">
        <x:v>587.157430621596</x:v>
      </x:c>
      <x:c r="AV910" s="11" t="n">
        <x:v>502.4045992910867</x:v>
      </x:c>
      <x:c r="AW910" s="11" t="n">
        <x:v>1.4613910235754612</x:v>
      </x:c>
      <x:c r="AX910" s="12" t="n">
        <x:v>0.8546850312793236</x:v>
      </x:c>
      <x:c r="AY910" s="11"/>
      <x:c r="AZ910" s="11"/>
      <x:c r="BA910" s="11"/>
      <x:c r="BB910" s="11"/>
      <x:c r="BC910" s="11"/>
      <x:c r="BD910" s="11"/>
      <x:c r="BE910" s="11"/>
      <x:c r="BF910" s="11"/>
      <x:c r="BG910" s="11"/>
      <x:c r="BH910" s="11"/>
      <x:c r="BI910" s="11"/>
      <x:c r="BJ910" s="11"/>
      <x:c r="BK910" s="12"/>
      <x:c r="BL910" s="12"/>
      <x:c r="BM910" s="12"/>
      <x:c r="BN910" s="12"/>
      <x:c r="BO910" s="12"/>
      <x:c r="BP910" s="12"/>
      <x:c r="BQ910" s="12"/>
      <x:c r="BR910" s="12"/>
      <x:c r="BS910" s="12"/>
      <x:c r="BT910" s="12"/>
      <x:c r="BU910" s="11" t="n">
        <x:v>11434</x:v>
      </x:c>
      <x:c r="BV910" s="11" t="n">
        <x:v>2589972</x:v>
      </x:c>
      <x:c r="BW910" s="11" t="n">
        <x:v>1117450</x:v>
      </x:c>
      <x:c r="BX910" s="11" t="n">
        <x:v>583371</x:v>
      </x:c>
      <x:c r="BY910" s="11" t="n">
        <x:v>0</x:v>
      </x:c>
      <x:c r="BZ910" s="11" t="n">
        <x:v>387108</x:v>
      </x:c>
      <x:c r="CA910" s="11" t="n">
        <x:v>0</x:v>
      </x:c>
      <x:c r="CB910" s="11" t="n">
        <x:v>303543</x:v>
      </x:c>
      <x:c r="CC910" s="11" t="n">
        <x:v>2166535</x:v>
      </x:c>
      <x:c r="CD910" s="11" t="n">
        <x:v>3920762</x:v>
      </x:c>
      <x:c r="CE910" s="11" t="n">
        <x:v>442961</x:v>
      </x:c>
      <x:c r="CF910" s="11" t="n">
        <x:v>0</x:v>
      </x:c>
      <x:c r="CG910" s="11" t="n">
        <x:v>479181</x:v>
      </x:c>
      <x:c r="CH910" s="11" t="n">
        <x:v>2682726</x:v>
      </x:c>
      <x:c r="CI910" s="11" t="n">
        <x:v>2844281</x:v>
      </x:c>
      <x:c r="CJ910" s="11" t="n">
        <x:v>0</x:v>
      </x:c>
      <x:c r="CK910" s="11" t="n">
        <x:v>284337</x:v>
      </x:c>
      <x:c r="CL910" s="11" t="n">
        <x:v>0</x:v>
      </x:c>
      <x:c r="CM910" s="11"/>
      <x:c r="CN910" s="11" t="n">
        <x:v>17328</x:v>
      </x:c>
      <x:c r="CO910" s="11" t="n">
        <x:v>0</x:v>
      </x:c>
      <x:c r="CP910" s="8"/>
      <x:c r="CQ910" s="8"/>
    </x:row>
    <x:row r="911">
      <x:c r="A911" s="8" t="str">
        <x:v>View Royal|2020</x:v>
      </x:c>
      <x:c r="B911" s="8" t="str">
        <x:v>view-royal-t</x:v>
      </x:c>
      <x:c r="C911" s="8" t="str">
        <x:v>View Royal</x:v>
      </x:c>
      <x:c r="D911" s="8" t="str">
        <x:v>View Royal</x:v>
      </x:c>
      <x:c r="E911" s="8" t="str">
        <x:v>T</x:v>
      </x:c>
      <x:c r="F911" s="8" t="str">
        <x:v>CAP</x:v>
      </x:c>
      <x:c r="G911" s="9" t="n">
        <x:v>2020</x:v>
      </x:c>
      <x:c r="H911" s="10" t="n">
        <x:v>11829</x:v>
      </x:c>
      <x:c r="I911" s="8" t="str">
        <x:v>5,000 to 19,999</x:v>
      </x:c>
      <x:c r="J911" s="11" t="n">
        <x:v>19535260</x:v>
      </x:c>
      <x:c r="K911" s="11" t="n">
        <x:v>17007642</x:v>
      </x:c>
      <x:c r="L911" s="11" t="n">
        <x:v>2527618</x:v>
      </x:c>
      <x:c r="M911" s="12" t="n">
        <x:v>0.12938747679836357</x:v>
      </x:c>
      <x:c r="N911" s="11" t="n">
        <x:v>9266730</x:v>
      </x:c>
      <x:c r="O911" s="11" t="n">
        <x:v>4101255</x:v>
      </x:c>
      <x:c r="P911" s="11" t="n">
        <x:v>4295221</x:v>
      </x:c>
      <x:c r="Q911" s="11" t="n">
        <x:v>1872054</x:v>
      </x:c>
      <x:c r="R911" s="11" t="n">
        <x:v>13613916</x:v>
      </x:c>
      <x:c r="S911" s="11" t="n">
        <x:v>3133093</x:v>
      </x:c>
      <x:c r="T911" s="11" t="n">
        <x:v>30160007</x:v>
      </x:c>
      <x:c r="U911" s="11" t="n">
        <x:v>17884645</x:v>
      </x:c>
      <x:c r="V911" s="11" t="n">
        <x:v>13757067</x:v>
      </x:c>
      <x:c r="W911" s="11" t="n">
        <x:v>7657367</x:v>
      </x:c>
      <x:c r="X911" s="11" t="n">
        <x:v>5811314</x:v>
      </x:c>
      <x:c r="Y911" s="11" t="n">
        <x:v>0</x:v>
      </x:c>
      <x:c r="Z911" s="11" t="n">
        <x:v>306470</x:v>
      </x:c>
      <x:c r="AA911" s="11" t="n">
        <x:v>5419897</x:v>
      </x:c>
      <x:c r="AB911" s="11" t="n">
        <x:v>260633</x:v>
      </x:c>
      <x:c r="AC911" s="11" t="n">
        <x:v>567103</x:v>
      </x:c>
      <x:c r="AD911" s="11" t="n">
        <x:v>3832461</x:v>
      </x:c>
      <x:c r="AE911" s="11" t="n">
        <x:v>3265358</x:v>
      </x:c>
      <x:c r="AF911" s="11" t="n">
        <x:v>15329844</x:v>
      </x:c>
      <x:c r="AG911" s="11" t="n">
        <x:v>181658194</x:v>
      </x:c>
      <x:c r="AH911" s="11" t="n">
        <x:v>50080725</x:v>
      </x:c>
      <x:c r="AI911" s="11" t="n">
        <x:v>131577469</x:v>
      </x:c>
      <x:c r="AJ911" s="11" t="n">
        <x:v>2383073</x:v>
      </x:c>
      <x:c r="AK911" s="11" t="n">
        <x:v>196084918</x:v>
      </x:c>
      <x:c r="AL911" s="11" t="n">
        <x:v>3186357</x:v>
      </x:c>
      <x:c r="AM911" s="12" t="n">
        <x:v>0.9837501168753835</x:v>
      </x:c>
      <x:c r="AN911" s="12" t="n">
        <x:v>0.012153270247944312</x:v>
      </x:c>
      <x:c r="AO911" s="11" t="n">
        <x:v>16232038</x:v>
      </x:c>
      <x:c r="AP911" s="11" t="n">
        <x:v>16064133</x:v>
      </x:c>
      <x:c r="AQ911" s="12" t="n">
        <x:v>0.9896559507807954</x:v>
      </x:c>
      <x:c r="AR911" s="11" t="n">
        <x:v>1651.4718065770564</x:v>
      </x:c>
      <x:c r="AS911" s="11" t="n">
        <x:v>1437.7920365204159</x:v>
      </x:c>
      <x:c r="AT911" s="11" t="n">
        <x:v>1162.99492772001</x:v>
      </x:c>
      <x:c r="AU911" s="11" t="n">
        <x:v>647.3384901513231</x:v>
      </x:c>
      <x:c r="AV911" s="11" t="n">
        <x:v>458.1872516696255</x:v>
      </x:c>
      <x:c r="AW911" s="11" t="n">
        <x:v>1.6863631903233192</x:v>
      </x:c>
      <x:c r="AX911" s="12" t="n">
        <x:v>0.8520264133150997</x:v>
      </x:c>
      <x:c r="AY911" s="11"/>
      <x:c r="AZ911" s="11"/>
      <x:c r="BA911" s="11"/>
      <x:c r="BB911" s="11"/>
      <x:c r="BC911" s="11"/>
      <x:c r="BD911" s="11"/>
      <x:c r="BE911" s="11"/>
      <x:c r="BF911" s="11"/>
      <x:c r="BG911" s="11"/>
      <x:c r="BH911" s="11"/>
      <x:c r="BI911" s="11"/>
      <x:c r="BJ911" s="11"/>
      <x:c r="BK911" s="12"/>
      <x:c r="BL911" s="12"/>
      <x:c r="BM911" s="12"/>
      <x:c r="BN911" s="12"/>
      <x:c r="BO911" s="12"/>
      <x:c r="BP911" s="12"/>
      <x:c r="BQ911" s="12"/>
      <x:c r="BR911" s="12"/>
      <x:c r="BS911" s="12"/>
      <x:c r="BT911" s="12"/>
      <x:c r="BU911" s="11" t="n">
        <x:v>0</x:v>
      </x:c>
      <x:c r="BV911" s="11" t="n">
        <x:v>3543755</x:v>
      </x:c>
      <x:c r="BW911" s="11" t="n">
        <x:v>751466</x:v>
      </x:c>
      <x:c r="BX911" s="11" t="n">
        <x:v>707891</x:v>
      </x:c>
      <x:c r="BY911" s="11" t="n">
        <x:v>0</x:v>
      </x:c>
      <x:c r="BZ911" s="11" t="n">
        <x:v>843524</x:v>
      </x:c>
      <x:c r="CA911" s="11" t="n">
        <x:v>82152</x:v>
      </x:c>
      <x:c r="CB911" s="11" t="n">
        <x:v>238487</x:v>
      </x:c>
      <x:c r="CC911" s="11" t="n">
        <x:v>2079186</x:v>
      </x:c>
      <x:c r="CD911" s="11" t="n">
        <x:v>4030840</x:v>
      </x:c>
      <x:c r="CE911" s="11" t="n">
        <x:v>464494</x:v>
      </x:c>
      <x:c r="CF911" s="11" t="n">
        <x:v>0</x:v>
      </x:c>
      <x:c r="CG911" s="11" t="n">
        <x:v>540979</x:v>
      </x:c>
      <x:c r="CH911" s="11" t="n">
        <x:v>2624440</x:v>
      </x:c>
      <x:c r="CI911" s="11" t="n">
        <x:v>2449447</x:v>
      </x:c>
      <x:c r="CJ911" s="11" t="n">
        <x:v>0</x:v>
      </x:c>
      <x:c r="CK911" s="11" t="n">
        <x:v>1685163</x:v>
      </x:c>
      <x:c r="CL911" s="11" t="n">
        <x:v>0</x:v>
      </x:c>
      <x:c r="CM911" s="11"/>
      <x:c r="CN911" s="11" t="n">
        <x:v>0</x:v>
      </x:c>
      <x:c r="CO911" s="11" t="n">
        <x:v>0</x:v>
      </x:c>
      <x:c r="CP911" s="8"/>
      <x:c r="CQ911" s="8"/>
    </x:row>
    <x:row r="912">
      <x:c r="A912" s="8" t="str">
        <x:v>View Royal|2021</x:v>
      </x:c>
      <x:c r="B912" s="8" t="str">
        <x:v>view-royal-t</x:v>
      </x:c>
      <x:c r="C912" s="8" t="str">
        <x:v>View Royal</x:v>
      </x:c>
      <x:c r="D912" s="8" t="str">
        <x:v>View Royal</x:v>
      </x:c>
      <x:c r="E912" s="8" t="str">
        <x:v>T</x:v>
      </x:c>
      <x:c r="F912" s="8" t="str">
        <x:v>CAP</x:v>
      </x:c>
      <x:c r="G912" s="9" t="n">
        <x:v>2021</x:v>
      </x:c>
      <x:c r="H912" s="10" t="n">
        <x:v>12034</x:v>
      </x:c>
      <x:c r="I912" s="8" t="str">
        <x:v>5,000 to 19,999</x:v>
      </x:c>
      <x:c r="J912" s="11" t="n">
        <x:v>19443813</x:v>
      </x:c>
      <x:c r="K912" s="11" t="n">
        <x:v>18810722</x:v>
      </x:c>
      <x:c r="L912" s="11" t="n">
        <x:v>633091</x:v>
      </x:c>
      <x:c r="M912" s="12" t="n">
        <x:v>0.03256002307777801</x:v>
      </x:c>
      <x:c r="N912" s="11" t="n">
        <x:v>9707019</x:v>
      </x:c>
      <x:c r="O912" s="11" t="n">
        <x:v>4527670</x:v>
      </x:c>
      <x:c r="P912" s="11" t="n">
        <x:v>3245148</x:v>
      </x:c>
      <x:c r="Q912" s="11" t="n">
        <x:v>1963976</x:v>
      </x:c>
      <x:c r="R912" s="11" t="n">
        <x:v>15534003</x:v>
      </x:c>
      <x:c r="S912" s="11" t="n">
        <x:v>3025625</x:v>
      </x:c>
      <x:c r="T912" s="11" t="n">
        <x:v>30682611</x:v>
      </x:c>
      <x:c r="U912" s="11" t="n">
        <x:v>18247719</x:v>
      </x:c>
      <x:c r="V912" s="11" t="n">
        <x:v>15557367</x:v>
      </x:c>
      <x:c r="W912" s="11" t="n">
        <x:v>8765578</x:v>
      </x:c>
      <x:c r="X912" s="11" t="n">
        <x:v>5419897</x:v>
      </x:c>
      <x:c r="Y912" s="11" t="n">
        <x:v>0</x:v>
      </x:c>
      <x:c r="Z912" s="11" t="n">
        <x:v>306470</x:v>
      </x:c>
      <x:c r="AA912" s="11" t="n">
        <x:v>5012823</x:v>
      </x:c>
      <x:c r="AB912" s="11" t="n">
        <x:v>251094</x:v>
      </x:c>
      <x:c r="AC912" s="11" t="n">
        <x:v>557564</x:v>
      </x:c>
      <x:c r="AD912" s="11" t="n">
        <x:v>4274312</x:v>
      </x:c>
      <x:c r="AE912" s="11" t="n">
        <x:v>3716748</x:v>
      </x:c>
      <x:c r="AF912" s="11" t="n">
        <x:v>17097249</x:v>
      </x:c>
      <x:c r="AG912" s="11" t="n">
        <x:v>183367269</x:v>
      </x:c>
      <x:c r="AH912" s="11" t="n">
        <x:v>52938068</x:v>
      </x:c>
      <x:c r="AI912" s="11" t="n">
        <x:v>130429201</x:v>
      </x:c>
      <x:c r="AJ912" s="11" t="n">
        <x:v>2175108</x:v>
      </x:c>
      <x:c r="AK912" s="11" t="n">
        <x:v>218554302</x:v>
      </x:c>
      <x:c r="AL912" s="11" t="n">
        <x:v>3608856</x:v>
      </x:c>
      <x:c r="AM912" s="12" t="n">
        <x:v>0.9834876002578069</x:v>
      </x:c>
      <x:c r="AN912" s="12" t="n">
        <x:v>0.009952254337231028</x:v>
      </x:c>
      <x:c r="AO912" s="11" t="n">
        <x:v>17376546</x:v>
      </x:c>
      <x:c r="AP912" s="11" t="n">
        <x:v>17276158</x:v>
      </x:c>
      <x:c r="AQ912" s="12" t="n">
        <x:v>0.9942227874285258</x:v>
      </x:c>
      <x:c r="AR912" s="11" t="n">
        <x:v>1615.739820508559</x:v>
      </x:c>
      <x:c r="AS912" s="11" t="n">
        <x:v>1563.1312946651155</x:v>
      </x:c>
      <x:c r="AT912" s="11" t="n">
        <x:v>1292.7843609772312</x:v>
      </x:c>
      <x:c r="AU912" s="11" t="n">
        <x:v>728.4010304138275</x:v>
      </x:c>
      <x:c r="AV912" s="11" t="n">
        <x:v>416.55501080272563</x:v>
      </x:c>
      <x:c r="AW912" s="11" t="n">
        <x:v>1.6814491170101864</x:v>
      </x:c>
      <x:c r="AX912" s="12" t="n">
        <x:v>0.869554679209192</x:v>
      </x:c>
      <x:c r="AY912" s="11"/>
      <x:c r="AZ912" s="11"/>
      <x:c r="BA912" s="11"/>
      <x:c r="BB912" s="11"/>
      <x:c r="BC912" s="11"/>
      <x:c r="BD912" s="11"/>
      <x:c r="BE912" s="11"/>
      <x:c r="BF912" s="11"/>
      <x:c r="BG912" s="11"/>
      <x:c r="BH912" s="11"/>
      <x:c r="BI912" s="11"/>
      <x:c r="BJ912" s="11"/>
      <x:c r="BK912" s="12"/>
      <x:c r="BL912" s="12"/>
      <x:c r="BM912" s="12"/>
      <x:c r="BN912" s="12"/>
      <x:c r="BO912" s="12"/>
      <x:c r="BP912" s="12"/>
      <x:c r="BQ912" s="12"/>
      <x:c r="BR912" s="12"/>
      <x:c r="BS912" s="12"/>
      <x:c r="BT912" s="12"/>
      <x:c r="BU912" s="11" t="n">
        <x:v>6275</x:v>
      </x:c>
      <x:c r="BV912" s="11" t="n">
        <x:v>1535730</x:v>
      </x:c>
      <x:c r="BW912" s="11" t="n">
        <x:v>1703143</x:v>
      </x:c>
      <x:c r="BX912" s="11" t="n">
        <x:v>122652</x:v>
      </x:c>
      <x:c r="BY912" s="11" t="n">
        <x:v>0</x:v>
      </x:c>
      <x:c r="BZ912" s="11" t="n">
        <x:v>739235</x:v>
      </x:c>
      <x:c r="CA912" s="11" t="n">
        <x:v>454588</x:v>
      </x:c>
      <x:c r="CB912" s="11" t="n">
        <x:v>647501</x:v>
      </x:c>
      <x:c r="CC912" s="11" t="n">
        <x:v>2544390</x:v>
      </x:c>
      <x:c r="CD912" s="11" t="n">
        <x:v>4941431</x:v>
      </x:c>
      <x:c r="CE912" s="11" t="n">
        <x:v>479463</x:v>
      </x:c>
      <x:c r="CF912" s="11" t="n">
        <x:v>0</x:v>
      </x:c>
      <x:c r="CG912" s="11" t="n">
        <x:v>609189</x:v>
      </x:c>
      <x:c r="CH912" s="11" t="n">
        <x:v>2643911</x:v>
      </x:c>
      <x:c r="CI912" s="11" t="n">
        <x:v>2858390</x:v>
      </x:c>
      <x:c r="CJ912" s="11" t="n">
        <x:v>0</x:v>
      </x:c>
      <x:c r="CK912" s="11" t="n">
        <x:v>1708323</x:v>
      </x:c>
      <x:c r="CL912" s="11" t="n">
        <x:v>0</x:v>
      </x:c>
      <x:c r="CM912" s="11"/>
      <x:c r="CN912" s="11" t="n">
        <x:v>0</x:v>
      </x:c>
      <x:c r="CO912" s="11" t="n">
        <x:v>0</x:v>
      </x:c>
      <x:c r="CP912" s="8"/>
      <x:c r="CQ912" s="8"/>
    </x:row>
    <x:row r="913">
      <x:c r="A913" s="8" t="str">
        <x:v>View Royal|2022</x:v>
      </x:c>
      <x:c r="B913" s="8" t="str">
        <x:v>view-royal-t</x:v>
      </x:c>
      <x:c r="C913" s="8" t="str">
        <x:v>View Royal</x:v>
      </x:c>
      <x:c r="D913" s="8" t="str">
        <x:v>View Royal</x:v>
      </x:c>
      <x:c r="E913" s="8" t="str">
        <x:v>T</x:v>
      </x:c>
      <x:c r="F913" s="8" t="str">
        <x:v>CAP</x:v>
      </x:c>
      <x:c r="G913" s="9" t="n">
        <x:v>2022</x:v>
      </x:c>
      <x:c r="H913" s="10" t="n">
        <x:v>12606</x:v>
      </x:c>
      <x:c r="I913" s="8" t="str">
        <x:v>5,000 to 19,999</x:v>
      </x:c>
      <x:c r="J913" s="11" t="n">
        <x:v>20741495</x:v>
      </x:c>
      <x:c r="K913" s="11" t="n">
        <x:v>24712095</x:v>
      </x:c>
      <x:c r="L913" s="11" t="n">
        <x:v>-3970600</x:v>
      </x:c>
      <x:c r="M913" s="12" t="n">
        <x:v>-0.19143268120258447</x:v>
      </x:c>
      <x:c r="N913" s="11" t="n">
        <x:v>10294778</x:v>
      </x:c>
      <x:c r="O913" s="11" t="n">
        <x:v>5368410</x:v>
      </x:c>
      <x:c r="P913" s="11" t="n">
        <x:v>3309007</x:v>
      </x:c>
      <x:c r="Q913" s="11" t="n">
        <x:v>1769300</x:v>
      </x:c>
      <x:c r="R913" s="11" t="n">
        <x:v>21343938</x:v>
      </x:c>
      <x:c r="S913" s="11" t="n">
        <x:v>3151045</x:v>
      </x:c>
      <x:c r="T913" s="11" t="n">
        <x:v>37253511</x:v>
      </x:c>
      <x:c r="U913" s="11" t="n">
        <x:v>19751696</x:v>
      </x:c>
      <x:c r="V913" s="11" t="n">
        <x:v>19883182</x:v>
      </x:c>
      <x:c r="W913" s="11" t="n">
        <x:v>11447370</x:v>
      </x:c>
      <x:c r="X913" s="11" t="n">
        <x:v>5012823</x:v>
      </x:c>
      <x:c r="Y913" s="11" t="n">
        <x:v>0</x:v>
      </x:c>
      <x:c r="Z913" s="11" t="n">
        <x:v>315615</x:v>
      </x:c>
      <x:c r="AA913" s="11" t="n">
        <x:v>4587651</x:v>
      </x:c>
      <x:c r="AB913" s="11" t="n">
        <x:v>217112</x:v>
      </x:c>
      <x:c r="AC913" s="11" t="n">
        <x:v>532727</x:v>
      </x:c>
      <x:c r="AD913" s="11" t="n">
        <x:v>4654529</x:v>
      </x:c>
      <x:c r="AE913" s="11" t="n">
        <x:v>4121802</x:v>
      </x:c>
      <x:c r="AF913" s="11" t="n">
        <x:v>18618116</x:v>
      </x:c>
      <x:c r="AG913" s="11" t="n">
        <x:v>178617275</x:v>
      </x:c>
      <x:c r="AH913" s="11" t="n">
        <x:v>55785698</x:v>
      </x:c>
      <x:c r="AI913" s="11" t="n">
        <x:v>122831577</x:v>
      </x:c>
      <x:c r="AJ913" s="11" t="n">
        <x:v>1611577</x:v>
      </x:c>
      <x:c r="AK913" s="11" t="n">
        <x:v>212743391</x:v>
      </x:c>
      <x:c r="AL913" s="11" t="n">
        <x:v>3608856</x:v>
      </x:c>
      <x:c r="AM913" s="12" t="n">
        <x:v>0.9830365776204065</x:v>
      </x:c>
      <x:c r="AN913" s="12" t="n">
        <x:v>0.0075752153447624605</x:v>
      </x:c>
      <x:c r="AO913" s="11" t="n">
        <x:v>18248162</x:v>
      </x:c>
      <x:c r="AP913" s="11" t="n">
        <x:v>18104878</x:v>
      </x:c>
      <x:c r="AQ913" s="12" t="n">
        <x:v>0.9921480311277376</x:v>
      </x:c>
      <x:c r="AR913" s="11" t="n">
        <x:v>1645.366888783119</x:v>
      </x:c>
      <x:c r="AS913" s="11" t="n">
        <x:v>1960.3438838648262</x:v>
      </x:c>
      <x:c r="AT913" s="11" t="n">
        <x:v>1577.2792321116929</x:v>
      </x:c>
      <x:c r="AU913" s="11" t="n">
        <x:v>908.0890052356021</x:v>
      </x:c>
      <x:c r="AV913" s="11" t="n">
        <x:v>363.9259876249405</x:v>
      </x:c>
      <x:c r="AW913" s="11" t="n">
        <x:v>1.8860917563737312</x:v>
      </x:c>
      <x:c r="AX913" s="12" t="n">
        <x:v>0.8855465289828466</x:v>
      </x:c>
      <x:c r="AY913" s="11"/>
      <x:c r="AZ913" s="11"/>
      <x:c r="BA913" s="11"/>
      <x:c r="BB913" s="11"/>
      <x:c r="BC913" s="11"/>
      <x:c r="BD913" s="11"/>
      <x:c r="BE913" s="11"/>
      <x:c r="BF913" s="11"/>
      <x:c r="BG913" s="11"/>
      <x:c r="BH913" s="11"/>
      <x:c r="BI913" s="11"/>
      <x:c r="BJ913" s="11"/>
      <x:c r="BK913" s="12"/>
      <x:c r="BL913" s="12"/>
      <x:c r="BM913" s="12"/>
      <x:c r="BN913" s="12"/>
      <x:c r="BO913" s="12"/>
      <x:c r="BP913" s="12"/>
      <x:c r="BQ913" s="12"/>
      <x:c r="BR913" s="12"/>
      <x:c r="BS913" s="12"/>
      <x:c r="BT913" s="12"/>
      <x:c r="BU913" s="11" t="n">
        <x:v>6467</x:v>
      </x:c>
      <x:c r="BV913" s="11" t="n">
        <x:v>2692245</x:v>
      </x:c>
      <x:c r="BW913" s="11" t="n">
        <x:v>610295</x:v>
      </x:c>
      <x:c r="BX913" s="11" t="n">
        <x:v>480050</x:v>
      </x:c>
      <x:c r="BY913" s="11" t="n">
        <x:v>0</x:v>
      </x:c>
      <x:c r="BZ913" s="11" t="n">
        <x:v>1216646</x:v>
      </x:c>
      <x:c r="CA913" s="11" t="n">
        <x:v>245</x:v>
      </x:c>
      <x:c r="CB913" s="11" t="n">
        <x:v>72359</x:v>
      </x:c>
      <x:c r="CC913" s="11" t="n">
        <x:v>2757391</x:v>
      </x:c>
      <x:c r="CD913" s="11" t="n">
        <x:v>4655735</x:v>
      </x:c>
      <x:c r="CE913" s="11" t="n">
        <x:v>552950</x:v>
      </x:c>
      <x:c r="CF913" s="11" t="n">
        <x:v>0</x:v>
      </x:c>
      <x:c r="CG913" s="11" t="n">
        <x:v>561941</x:v>
      </x:c>
      <x:c r="CH913" s="11" t="n">
        <x:v>2494126</x:v>
      </x:c>
      <x:c r="CI913" s="11" t="n">
        <x:v>3356816</x:v>
      </x:c>
      <x:c r="CJ913" s="11" t="n">
        <x:v>0</x:v>
      </x:c>
      <x:c r="CK913" s="11" t="n">
        <x:v>1707863</x:v>
      </x:c>
      <x:c r="CL913" s="11" t="n">
        <x:v>0</x:v>
      </x:c>
      <x:c r="CM913" s="11"/>
      <x:c r="CN913" s="11" t="n">
        <x:v>5474228</x:v>
      </x:c>
      <x:c r="CO913" s="11" t="n">
        <x:v>0</x:v>
      </x:c>
      <x:c r="CP913" s="8"/>
      <x:c r="CQ913" s="8"/>
    </x:row>
    <x:row r="914">
      <x:c r="A914" s="8" t="str">
        <x:v>View Royal|2023</x:v>
      </x:c>
      <x:c r="B914" s="8" t="str">
        <x:v>view-royal-t</x:v>
      </x:c>
      <x:c r="C914" s="8" t="str">
        <x:v>View Royal</x:v>
      </x:c>
      <x:c r="D914" s="8" t="str">
        <x:v>View Royal</x:v>
      </x:c>
      <x:c r="E914" s="8" t="str">
        <x:v>T</x:v>
      </x:c>
      <x:c r="F914" s="8" t="str">
        <x:v>CAP</x:v>
      </x:c>
      <x:c r="G914" s="9" t="n">
        <x:v>2023</x:v>
      </x:c>
      <x:c r="H914" s="10" t="n">
        <x:v>13219</x:v>
      </x:c>
      <x:c r="I914" s="8" t="str">
        <x:v>5,000 to 19,999</x:v>
      </x:c>
      <x:c r="J914" s="11" t="n">
        <x:v>28035677</x:v>
      </x:c>
      <x:c r="K914" s="11" t="n">
        <x:v>20679147</x:v>
      </x:c>
      <x:c r="L914" s="11" t="n">
        <x:v>7356530</x:v>
      </x:c>
      <x:c r="M914" s="12" t="n">
        <x:v>0.26239887126677913</x:v>
      </x:c>
      <x:c r="N914" s="11" t="n">
        <x:v>11383295</x:v>
      </x:c>
      <x:c r="O914" s="11" t="n">
        <x:v>5420897</x:v>
      </x:c>
      <x:c r="P914" s="11" t="n">
        <x:v>7943027</x:v>
      </x:c>
      <x:c r="Q914" s="11" t="n">
        <x:v>3288458</x:v>
      </x:c>
      <x:c r="R914" s="11" t="n">
        <x:v>17297601</x:v>
      </x:c>
      <x:c r="S914" s="11" t="n">
        <x:v>3164434</x:v>
      </x:c>
      <x:c r="T914" s="11" t="n">
        <x:v>49147681</x:v>
      </x:c>
      <x:c r="U914" s="11" t="n">
        <x:v>23694223</x:v>
      </x:c>
      <x:c r="V914" s="11" t="n">
        <x:v>27872132</x:v>
      </x:c>
      <x:c r="W914" s="11" t="n">
        <x:v>17343762</x:v>
      </x:c>
      <x:c r="X914" s="11" t="n">
        <x:v>4587651</x:v>
      </x:c>
      <x:c r="Y914" s="11" t="n">
        <x:v>0</x:v>
      </x:c>
      <x:c r="Z914" s="11" t="n">
        <x:v>315615</x:v>
      </x:c>
      <x:c r="AA914" s="11" t="n">
        <x:v>4146384</x:v>
      </x:c>
      <x:c r="AB914" s="11" t="n">
        <x:v>217112</x:v>
      </x:c>
      <x:c r="AC914" s="11" t="n">
        <x:v>532727</x:v>
      </x:c>
      <x:c r="AD914" s="11" t="n">
        <x:v>5302012</x:v>
      </x:c>
      <x:c r="AE914" s="11" t="n">
        <x:v>4769285</x:v>
      </x:c>
      <x:c r="AF914" s="11" t="n">
        <x:v>21208048</x:v>
      </x:c>
      <x:c r="AG914" s="11" t="n">
        <x:v>180853525</x:v>
      </x:c>
      <x:c r="AH914" s="11" t="n">
        <x:v>58669876</x:v>
      </x:c>
      <x:c r="AI914" s="11" t="n">
        <x:v>122183649</x:v>
      </x:c>
      <x:c r="AJ914" s="11" t="n">
        <x:v>2780314</x:v>
      </x:c>
      <x:c r="AK914" s="11" t="n">
        <x:v>350404023</x:v>
      </x:c>
      <x:c r="AL914" s="11" t="n">
        <x:v>5227000</x:v>
      </x:c>
      <x:c r="AM914" s="12" t="n">
        <x:v>0.9850829338223666</x:v>
      </x:c>
      <x:c r="AN914" s="12" t="n">
        <x:v>0.00793459497467014</x:v>
      </x:c>
      <x:c r="AO914" s="11" t="n">
        <x:v>20137898</x:v>
      </x:c>
      <x:c r="AP914" s="11" t="n">
        <x:v>20015017</x:v>
      </x:c>
      <x:c r="AQ914" s="12" t="n">
        <x:v>0.9938980225244959</x:v>
      </x:c>
      <x:c r="AR914" s="11" t="n">
        <x:v>2120.8621680913834</x:v>
      </x:c>
      <x:c r="AS914" s="11" t="n">
        <x:v>1564.3503290717906</x:v>
      </x:c>
      <x:c r="AT914" s="11" t="n">
        <x:v>2108.490203494969</x:v>
      </x:c>
      <x:c r="AU914" s="11" t="n">
        <x:v>1312.032831530373</x:v>
      </x:c>
      <x:c r="AV914" s="11" t="n">
        <x:v>313.6685074513957</x:v>
      </x:c>
      <x:c r="AW914" s="11" t="n">
        <x:v>2.074247423095495</x:v>
      </x:c>
      <x:c r="AX914" s="12" t="n">
        <x:v>0.8995236148088688</x:v>
      </x:c>
      <x:c r="AY914" s="11"/>
      <x:c r="AZ914" s="11"/>
      <x:c r="BA914" s="11"/>
      <x:c r="BB914" s="11"/>
      <x:c r="BC914" s="11"/>
      <x:c r="BD914" s="11"/>
      <x:c r="BE914" s="11"/>
      <x:c r="BF914" s="11"/>
      <x:c r="BG914" s="11"/>
      <x:c r="BH914" s="11"/>
      <x:c r="BI914" s="11"/>
      <x:c r="BJ914" s="11"/>
      <x:c r="BK914" s="12"/>
      <x:c r="BL914" s="12"/>
      <x:c r="BM914" s="12"/>
      <x:c r="BN914" s="12"/>
      <x:c r="BO914" s="12"/>
      <x:c r="BP914" s="12"/>
      <x:c r="BQ914" s="12"/>
      <x:c r="BR914" s="12"/>
      <x:c r="BS914" s="12"/>
      <x:c r="BT914" s="12"/>
      <x:c r="BU914" s="11" t="n">
        <x:v>7040</x:v>
      </x:c>
      <x:c r="BV914" s="11" t="n">
        <x:v>7190286</x:v>
      </x:c>
      <x:c r="BW914" s="11" t="n">
        <x:v>745701</x:v>
      </x:c>
      <x:c r="BX914" s="11" t="n">
        <x:v>2028004</x:v>
      </x:c>
      <x:c r="BY914" s="11" t="n">
        <x:v>0</x:v>
      </x:c>
      <x:c r="BZ914" s="11" t="n">
        <x:v>1138436</x:v>
      </x:c>
      <x:c r="CA914" s="11" t="n">
        <x:v>5834</x:v>
      </x:c>
      <x:c r="CB914" s="11" t="n">
        <x:v>116184</x:v>
      </x:c>
      <x:c r="CC914" s="11" t="n">
        <x:v>2813575</x:v>
      </x:c>
      <x:c r="CD914" s="11" t="n">
        <x:v>5536345</x:v>
      </x:c>
      <x:c r="CE914" s="11" t="n">
        <x:v>638625</x:v>
      </x:c>
      <x:c r="CF914" s="11" t="n">
        <x:v>0</x:v>
      </x:c>
      <x:c r="CG914" s="11" t="n">
        <x:v>527180</x:v>
      </x:c>
      <x:c r="CH914" s="11" t="n">
        <x:v>2845357</x:v>
      </x:c>
      <x:c r="CI914" s="11" t="n">
        <x:v>3368307</x:v>
      </x:c>
      <x:c r="CJ914" s="11" t="n">
        <x:v>0</x:v>
      </x:c>
      <x:c r="CK914" s="11" t="n">
        <x:v>1750102</x:v>
      </x:c>
      <x:c r="CL914" s="11" t="n">
        <x:v>0</x:v>
      </x:c>
      <x:c r="CM914" s="11" t="n">
        <x:v>0</x:v>
      </x:c>
      <x:c r="CN914" s="11" t="n">
        <x:v>35222</x:v>
      </x:c>
      <x:c r="CO914" s="11" t="n">
        <x:v>0</x:v>
      </x:c>
      <x:c r="CP914" s="8"/>
      <x:c r="CQ914" s="8"/>
    </x:row>
    <x:row r="915">
      <x:c r="A915" s="8" t="str">
        <x:v>View Royal|2024</x:v>
      </x:c>
      <x:c r="B915" s="8" t="str">
        <x:v>view-royal-t</x:v>
      </x:c>
      <x:c r="C915" s="8" t="str">
        <x:v>View Royal</x:v>
      </x:c>
      <x:c r="D915" s="8" t="str">
        <x:v>View Royal</x:v>
      </x:c>
      <x:c r="E915" s="8" t="str">
        <x:v>T</x:v>
      </x:c>
      <x:c r="F915" s="8" t="str">
        <x:v>CAP</x:v>
      </x:c>
      <x:c r="G915" s="9" t="n">
        <x:v>2024</x:v>
      </x:c>
      <x:c r="H915" s="10" t="n">
        <x:v>13219</x:v>
      </x:c>
      <x:c r="I915" s="8" t="str">
        <x:v>5,000 to 19,999</x:v>
      </x:c>
      <x:c r="J915" s="11" t="n">
        <x:v>26178259</x:v>
      </x:c>
      <x:c r="K915" s="11" t="n">
        <x:v>21510379</x:v>
      </x:c>
      <x:c r="L915" s="11" t="n">
        <x:v>4667880</x:v>
      </x:c>
      <x:c r="M915" s="12" t="n">
        <x:v>0.1783113231479603</x:v>
      </x:c>
      <x:c r="N915" s="11" t="n">
        <x:v>12323694</x:v>
      </x:c>
      <x:c r="O915" s="11" t="n">
        <x:v>6369542</x:v>
      </x:c>
      <x:c r="P915" s="11" t="n">
        <x:v>3883450</x:v>
      </x:c>
      <x:c r="Q915" s="11" t="n">
        <x:v>3601573</x:v>
      </x:c>
      <x:c r="R915" s="11" t="n">
        <x:v>17930115</x:v>
      </x:c>
      <x:c r="S915" s="11" t="n">
        <x:v>3314066</x:v>
      </x:c>
      <x:c r="T915" s="11" t="n">
        <x:v>53150526</x:v>
      </x:c>
      <x:c r="U915" s="11" t="n">
        <x:v>24307667</x:v>
      </x:c>
      <x:c r="V915" s="11" t="n">
        <x:v>31425140</x:v>
      </x:c>
      <x:c r="W915" s="11" t="n">
        <x:v>19073220</x:v>
      </x:c>
      <x:c r="X915" s="11" t="n">
        <x:v>4146384</x:v>
      </x:c>
      <x:c r="Y915" s="11" t="n">
        <x:v>0</x:v>
      </x:c>
      <x:c r="Z915" s="11" t="n">
        <x:v>315615</x:v>
      </x:c>
      <x:c r="AA915" s="11" t="n">
        <x:v>3688412</x:v>
      </x:c>
      <x:c r="AB915" s="11" t="n">
        <x:v>266198</x:v>
      </x:c>
      <x:c r="AC915" s="11" t="n">
        <x:v>581813</x:v>
      </x:c>
      <x:c r="AD915" s="11" t="n">
        <x:v>5765867</x:v>
      </x:c>
      <x:c r="AE915" s="11" t="n">
        <x:v>5184054</x:v>
      </x:c>
      <x:c r="AF915" s="11" t="n">
        <x:v>23063468</x:v>
      </x:c>
      <x:c r="AG915" s="11" t="n">
        <x:v>184957023</x:v>
      </x:c>
      <x:c r="AH915" s="11" t="n">
        <x:v>61678592</x:v>
      </x:c>
      <x:c r="AI915" s="11" t="n">
        <x:v>123278431</x:v>
      </x:c>
      <x:c r="AJ915" s="11" t="n">
        <x:v>4753869</x:v>
      </x:c>
      <x:c r="AK915" s="11" t="n">
        <x:v>349648298</x:v>
      </x:c>
      <x:c r="AL915" s="11" t="n">
        <x:v>5227000</x:v>
      </x:c>
      <x:c r="AM915" s="12" t="n">
        <x:v>0.9850506922816481</x:v>
      </x:c>
      <x:c r="AN915" s="12" t="n">
        <x:v>0.013596145118372633</x:v>
      </x:c>
      <x:c r="AO915" s="11" t="n">
        <x:v>22069738</x:v>
      </x:c>
      <x:c r="AP915" s="11" t="n">
        <x:v>21785890</x:v>
      </x:c>
      <x:c r="AQ915" s="12" t="n">
        <x:v>0.9871385876896228</x:v>
      </x:c>
      <x:c r="AR915" s="11" t="n">
        <x:v>1980.3509342612906</x:v>
      </x:c>
      <x:c r="AS915" s="11" t="n">
        <x:v>1627.2319388758606</x:v>
      </x:c>
      <x:c r="AT915" s="11" t="n">
        <x:v>2377.2705953551704</x:v>
      </x:c>
      <x:c r="AU915" s="11" t="n">
        <x:v>1442.864059308571</x:v>
      </x:c>
      <x:c r="AV915" s="11" t="n">
        <x:v>279.02352674181105</x:v>
      </x:c>
      <x:c r="AW915" s="11" t="n">
        <x:v>2.1865745486804635</x:v>
      </x:c>
      <x:c r="AX915" s="12" t="n">
        <x:v>0.899093579508511</x:v>
      </x:c>
      <x:c r="AY915" s="11" t="n">
        <x:v>2866.2208483821423</x:v>
      </x:c>
      <x:c r="AZ915" s="11" t="n">
        <x:v>3546.5079302077975</x:v>
      </x:c>
      <x:c r="BA915" s="11" t="n">
        <x:v>2297.657175284081</x:v>
      </x:c>
      <x:c r="BB915" s="11" t="n">
        <x:v>2783.665107049771</x:v>
      </x:c>
      <x:c r="BC915" s="11" t="n">
        <x:v>1859.732534766857</x:v>
      </x:c>
      <x:c r="BD915" s="11" t="n">
        <x:v>2437.8724475115623</x:v>
      </x:c>
      <x:c r="BE915" s="11" t="n">
        <x:v>918.4907099893891</x:v>
      </x:c>
      <x:c r="BF915" s="11" t="n">
        <x:v>1604.3462673977224</x:v>
      </x:c>
      <x:c r="BG915" s="11" t="n">
        <x:v>814.8464198087386</x:v>
      </x:c>
      <x:c r="BH915" s="11" t="n">
        <x:v>518.5374381567245</x:v>
      </x:c>
      <x:c r="BI915" s="11" t="n">
        <x:v>1.5120151567026447</x:v>
      </x:c>
      <x:c r="BJ915" s="11" t="n">
        <x:v>1.7099330852451193</x:v>
      </x:c>
      <x:c r="BK915" s="12" t="n">
        <x:v>0.024769834473671436</x:v>
      </x:c>
      <x:c r="BL915" s="12" t="n">
        <x:v>0.02529861000232605</x:v>
      </x:c>
      <x:c r="BM915" s="12" t="n">
        <x:v>0.9804574834797263</x:v>
      </x:c>
      <x:c r="BN915" s="12" t="n">
        <x:v>0.9815511712696461</x:v>
      </x:c>
      <x:c r="BO915" s="12" t="n">
        <x:v>0.8566659461626738</x:v>
      </x:c>
      <x:c r="BP915" s="12" t="n">
        <x:v>0.8619101997275483</x:v>
      </x:c>
      <x:c r="BQ915" s="12" t="n">
        <x:v>0.9770312225566793</x:v>
      </x:c>
      <x:c r="BR915" s="12" t="n">
        <x:v>0.9623635142836453</x:v>
      </x:c>
      <x:c r="BS915" s="12" t="n">
        <x:v>0.17479552285244132</x:v>
      </x:c>
      <x:c r="BT915" s="12" t="n">
        <x:v>0.19976549769108282</x:v>
      </x:c>
      <x:c r="BU915" s="11" t="n">
        <x:v>734754</x:v>
      </x:c>
      <x:c r="BV915" s="11" t="n">
        <x:v>3057311</x:v>
      </x:c>
      <x:c r="BW915" s="11" t="n">
        <x:v>91385</x:v>
      </x:c>
      <x:c r="BX915" s="11" t="n">
        <x:v>2203075</x:v>
      </x:c>
      <x:c r="BY915" s="11" t="n">
        <x:v>0</x:v>
      </x:c>
      <x:c r="BZ915" s="11" t="n">
        <x:v>1398498</x:v>
      </x:c>
      <x:c r="CA915" s="11" t="n">
        <x:v>0</x:v>
      </x:c>
      <x:c r="CB915" s="11" t="n">
        <x:v>0</x:v>
      </x:c>
      <x:c r="CC915" s="11" t="n">
        <x:v>2794298</x:v>
      </x:c>
      <x:c r="CD915" s="11" t="n">
        <x:v>5712872</x:v>
      </x:c>
      <x:c r="CE915" s="11" t="n">
        <x:v>684366</x:v>
      </x:c>
      <x:c r="CF915" s="11" t="n">
        <x:v>0</x:v>
      </x:c>
      <x:c r="CG915" s="11" t="n">
        <x:v>709841</x:v>
      </x:c>
      <x:c r="CH915" s="11" t="n">
        <x:v>2834995</x:v>
      </x:c>
      <x:c r="CI915" s="11" t="n">
        <x:v>3530297</x:v>
      </x:c>
      <x:c r="CJ915" s="11" t="n">
        <x:v>0</x:v>
      </x:c>
      <x:c r="CK915" s="11" t="n">
        <x:v>1866078</x:v>
      </x:c>
      <x:c r="CL915" s="11" t="n">
        <x:v>0</x:v>
      </x:c>
      <x:c r="CM915" s="11" t="n">
        <x:v>0</x:v>
      </x:c>
      <x:c r="CN915" s="11" t="n">
        <x:v>63566</x:v>
      </x:c>
      <x:c r="CO915" s="11" t="n">
        <x:v>0</x:v>
      </x:c>
      <x:c r="CP915" s="8"/>
      <x:c r="CQ915" s="8"/>
    </x:row>
    <x:row r="916">
      <x:c r="A916" s="8" t="str">
        <x:v>Warfield|2019</x:v>
      </x:c>
      <x:c r="B916" s="8" t="str">
        <x:v>warfield-v</x:v>
      </x:c>
      <x:c r="C916" s="8" t="str">
        <x:v>Warfield</x:v>
      </x:c>
      <x:c r="D916" s="8" t="str">
        <x:v>Warfield</x:v>
      </x:c>
      <x:c r="E916" s="8" t="str">
        <x:v>V</x:v>
      </x:c>
      <x:c r="F916" s="8" t="str">
        <x:v>KOO</x:v>
      </x:c>
      <x:c r="G916" s="9" t="n">
        <x:v>2019</x:v>
      </x:c>
      <x:c r="H916" s="10" t="n">
        <x:v>1739</x:v>
      </x:c>
      <x:c r="I916" s="8" t="str">
        <x:v>Under 5,000</x:v>
      </x:c>
      <x:c r="J916" s="11" t="n">
        <x:v>2769435</x:v>
      </x:c>
      <x:c r="K916" s="11" t="n">
        <x:v>2562204</x:v>
      </x:c>
      <x:c r="L916" s="11" t="n">
        <x:v>207231</x:v>
      </x:c>
      <x:c r="M916" s="12" t="n">
        <x:v>0.07482789810918111</x:v>
      </x:c>
      <x:c r="N916" s="11" t="n">
        <x:v>1402456</x:v>
      </x:c>
      <x:c r="O916" s="11" t="n">
        <x:v>625399</x:v>
      </x:c>
      <x:c r="P916" s="11" t="n">
        <x:v>569491</x:v>
      </x:c>
      <x:c r="Q916" s="11" t="n">
        <x:v>172089</x:v>
      </x:c>
      <x:c r="R916" s="11" t="n">
        <x:v>2172318</x:v>
      </x:c>
      <x:c r="S916" s="11" t="n">
        <x:v>331867</x:v>
      </x:c>
      <x:c r="T916" s="11" t="n">
        <x:v>2338512</x:v>
      </x:c>
      <x:c r="U916" s="11" t="n">
        <x:v>2357714</x:v>
      </x:c>
      <x:c r="V916" s="11" t="n">
        <x:v>318279</x:v>
      </x:c>
      <x:c r="W916" s="11" t="n">
        <x:v>251753</x:v>
      </x:c>
      <x:c r="X916" s="11" t="n">
        <x:v>854064</x:v>
      </x:c>
      <x:c r="Y916" s="11" t="n">
        <x:v>0</x:v>
      </x:c>
      <x:c r="Z916" s="11" t="n">
        <x:v>120248</x:v>
      </x:c>
      <x:c r="AA916" s="11" t="n">
        <x:v>989799</x:v>
      </x:c>
      <x:c r="AB916" s="11" t="n">
        <x:v>58019</x:v>
      </x:c>
      <x:c r="AC916" s="11" t="n">
        <x:v>-105326</x:v>
      </x:c>
      <x:c r="AD916" s="11" t="n">
        <x:v>649613</x:v>
      </x:c>
      <x:c r="AE916" s="11" t="n">
        <x:v>754939</x:v>
      </x:c>
      <x:c r="AF916" s="11" t="n">
        <x:v>2598453</x:v>
      </x:c>
      <x:c r="AG916" s="11" t="n">
        <x:v>13698994</x:v>
      </x:c>
      <x:c r="AH916" s="11" t="n">
        <x:v>6374226</x:v>
      </x:c>
      <x:c r="AI916" s="11" t="n">
        <x:v>7324768</x:v>
      </x:c>
      <x:c r="AJ916" s="11" t="n">
        <x:v>442808</x:v>
      </x:c>
      <x:c r="AK916" s="11" t="n">
        <x:v>77240</x:v>
      </x:c>
      <x:c r="AL916" s="11" t="n">
        <x:v>0</x:v>
      </x:c>
      <x:c r="AM916" s="12" t="n">
        <x:v>1</x:v>
      </x:c>
      <x:c r="AN916" s="12" t="n">
        <x:v>5.732884515794925</x:v>
      </x:c>
      <x:c r="AO916" s="11" t="n">
        <x:v>2423419</x:v>
      </x:c>
      <x:c r="AP916" s="11" t="n">
        <x:v>2281133</x:v>
      </x:c>
      <x:c r="AQ916" s="12" t="n">
        <x:v>0.9412870824236337</x:v>
      </x:c>
      <x:c r="AR916" s="11" t="n">
        <x:v>1592.5445658424383</x:v>
      </x:c>
      <x:c r="AS916" s="11" t="n">
        <x:v>1473.37780333525</x:v>
      </x:c>
      <x:c r="AT916" s="11" t="n">
        <x:v>183.02415181138585</x:v>
      </x:c>
      <x:c r="AU916" s="11" t="n">
        <x:v>144.76883266244968</x:v>
      </x:c>
      <x:c r="AV916" s="11" t="n">
        <x:v>569.1771132834963</x:v>
      </x:c>
      <x:c r="AW916" s="11" t="n">
        <x:v>0.9918556703654472</x:v>
      </x:c>
      <x:c r="AX916" s="12" t="n">
        <x:v>1.1621365335976959</x:v>
      </x:c>
      <x:c r="AY916" s="11"/>
      <x:c r="AZ916" s="11"/>
      <x:c r="BA916" s="11"/>
      <x:c r="BB916" s="11"/>
      <x:c r="BC916" s="11"/>
      <x:c r="BD916" s="11"/>
      <x:c r="BE916" s="11"/>
      <x:c r="BF916" s="11"/>
      <x:c r="BG916" s="11"/>
      <x:c r="BH916" s="11"/>
      <x:c r="BI916" s="11"/>
      <x:c r="BJ916" s="11"/>
      <x:c r="BK916" s="12"/>
      <x:c r="BL916" s="12"/>
      <x:c r="BM916" s="12"/>
      <x:c r="BN916" s="12"/>
      <x:c r="BO916" s="12"/>
      <x:c r="BP916" s="12"/>
      <x:c r="BQ916" s="12"/>
      <x:c r="BR916" s="12"/>
      <x:c r="BS916" s="12"/>
      <x:c r="BT916" s="12"/>
      <x:c r="BU916" s="11" t="n">
        <x:v>59806</x:v>
      </x:c>
      <x:c r="BV916" s="11" t="n">
        <x:v>509685</x:v>
      </x:c>
      <x:c r="BW916" s="11" t="n">
        <x:v>0</x:v>
      </x:c>
      <x:c r="BX916" s="11" t="n">
        <x:v>57251</x:v>
      </x:c>
      <x:c r="BY916" s="11" t="n">
        <x:v>0</x:v>
      </x:c>
      <x:c r="BZ916" s="11" t="n">
        <x:v>0</x:v>
      </x:c>
      <x:c r="CA916" s="11" t="n">
        <x:v>50000</x:v>
      </x:c>
      <x:c r="CB916" s="11" t="n">
        <x:v>64838</x:v>
      </x:c>
      <x:c r="CC916" s="11" t="n">
        <x:v>542064</x:v>
      </x:c>
      <x:c r="CD916" s="11" t="n">
        <x:v>90425</x:v>
      </x:c>
      <x:c r="CE916" s="11" t="n">
        <x:v>143120</x:v>
      </x:c>
      <x:c r="CF916" s="11" t="n">
        <x:v>0</x:v>
      </x:c>
      <x:c r="CG916" s="11" t="n">
        <x:v>8538</x:v>
      </x:c>
      <x:c r="CH916" s="11" t="n">
        <x:v>474872</x:v>
      </x:c>
      <x:c r="CI916" s="11" t="n">
        <x:v>421592</x:v>
      </x:c>
      <x:c r="CJ916" s="11" t="n">
        <x:v>338302</x:v>
      </x:c>
      <x:c r="CK916" s="11" t="n">
        <x:v>211424</x:v>
      </x:c>
      <x:c r="CL916" s="11" t="n">
        <x:v>0</x:v>
      </x:c>
      <x:c r="CM916" s="11"/>
      <x:c r="CN916" s="11" t="n">
        <x:v>0</x:v>
      </x:c>
      <x:c r="CO916" s="11" t="n">
        <x:v>0</x:v>
      </x:c>
      <x:c r="CP916" s="8"/>
      <x:c r="CQ916" s="8"/>
    </x:row>
    <x:row r="917">
      <x:c r="A917" s="8" t="str">
        <x:v>Warfield|2020</x:v>
      </x:c>
      <x:c r="B917" s="8" t="str">
        <x:v>warfield-v</x:v>
      </x:c>
      <x:c r="C917" s="8" t="str">
        <x:v>Warfield</x:v>
      </x:c>
      <x:c r="D917" s="8" t="str">
        <x:v>Warfield</x:v>
      </x:c>
      <x:c r="E917" s="8" t="str">
        <x:v>V</x:v>
      </x:c>
      <x:c r="F917" s="8" t="str">
        <x:v>KOO</x:v>
      </x:c>
      <x:c r="G917" s="9" t="n">
        <x:v>2020</x:v>
      </x:c>
      <x:c r="H917" s="10" t="n">
        <x:v>1709</x:v>
      </x:c>
      <x:c r="I917" s="8" t="str">
        <x:v>Under 5,000</x:v>
      </x:c>
      <x:c r="J917" s="11" t="n">
        <x:v>3363400</x:v>
      </x:c>
      <x:c r="K917" s="11" t="n">
        <x:v>2534735</x:v>
      </x:c>
      <x:c r="L917" s="11" t="n">
        <x:v>828665</x:v>
      </x:c>
      <x:c r="M917" s="12" t="n">
        <x:v>0.2463771778557412</x:v>
      </x:c>
      <x:c r="N917" s="11" t="n">
        <x:v>1420777</x:v>
      </x:c>
      <x:c r="O917" s="11" t="n">
        <x:v>524052</x:v>
      </x:c>
      <x:c r="P917" s="11" t="n">
        <x:v>1278910</x:v>
      </x:c>
      <x:c r="Q917" s="11" t="n">
        <x:v>139661</x:v>
      </x:c>
      <x:c r="R917" s="11" t="n">
        <x:v>2075637</x:v>
      </x:c>
      <x:c r="S917" s="11" t="n">
        <x:v>400116</x:v>
      </x:c>
      <x:c r="T917" s="11" t="n">
        <x:v>3643974</x:v>
      </x:c>
      <x:c r="U917" s="11" t="n">
        <x:v>2345540</x:v>
      </x:c>
      <x:c r="V917" s="11" t="n">
        <x:v>1547060</x:v>
      </x:c>
      <x:c r="W917" s="11" t="n">
        <x:v>333103</x:v>
      </x:c>
      <x:c r="X917" s="11" t="n">
        <x:v>989799</x:v>
      </x:c>
      <x:c r="Y917" s="11" t="n">
        <x:v>0</x:v>
      </x:c>
      <x:c r="Z917" s="11" t="n">
        <x:v>149418</x:v>
      </x:c>
      <x:c r="AA917" s="11" t="n">
        <x:v>808670</x:v>
      </x:c>
      <x:c r="AB917" s="11" t="n">
        <x:v>58982</x:v>
      </x:c>
      <x:c r="AC917" s="11" t="n">
        <x:v>208400</x:v>
      </x:c>
      <x:c r="AD917" s="11" t="n">
        <x:v>636095</x:v>
      </x:c>
      <x:c r="AE917" s="11" t="n">
        <x:v>427695</x:v>
      </x:c>
      <x:c r="AF917" s="11" t="n">
        <x:v>2544380</x:v>
      </x:c>
      <x:c r="AG917" s="11" t="n">
        <x:v>13698994</x:v>
      </x:c>
      <x:c r="AH917" s="11" t="n">
        <x:v>6774342</x:v>
      </x:c>
      <x:c r="AI917" s="11" t="n">
        <x:v>6924652</x:v>
      </x:c>
      <x:c r="AJ917" s="11" t="n">
        <x:v>0</x:v>
      </x:c>
      <x:c r="AK917" s="11" t="n">
        <x:v>77240</x:v>
      </x:c>
      <x:c r="AL917" s="11" t="n">
        <x:v>0</x:v>
      </x:c>
      <x:c r="AM917" s="12" t="n">
        <x:v>1</x:v>
      </x:c>
      <x:c r="AN917" s="12" t="n">
        <x:v>0</x:v>
      </x:c>
      <x:c r="AO917" s="11" t="n">
        <x:v>2576660</x:v>
      </x:c>
      <x:c r="AP917" s="11" t="n">
        <x:v>2437511</x:v>
      </x:c>
      <x:c r="AQ917" s="12" t="n">
        <x:v>0.9459963673903425</x:v>
      </x:c>
      <x:c r="AR917" s="11" t="n">
        <x:v>1968.0514921006436</x:v>
      </x:c>
      <x:c r="AS917" s="11" t="n">
        <x:v>1483.1685196021065</x:v>
      </x:c>
      <x:c r="AT917" s="11" t="n">
        <x:v>905.2428320655354</x:v>
      </x:c>
      <x:c r="AU917" s="11" t="n">
        <x:v>194.91105909888824</x:v>
      </x:c>
      <x:c r="AV917" s="11" t="n">
        <x:v>473.18314803978933</x:v>
      </x:c>
      <x:c r="AW917" s="11" t="n">
        <x:v>1.5535757224349191</x:v>
      </x:c>
      <x:c r="AX917" s="12" t="n">
        <x:v>0.6723759815750792</x:v>
      </x:c>
      <x:c r="AY917" s="11"/>
      <x:c r="AZ917" s="11"/>
      <x:c r="BA917" s="11"/>
      <x:c r="BB917" s="11"/>
      <x:c r="BC917" s="11"/>
      <x:c r="BD917" s="11"/>
      <x:c r="BE917" s="11"/>
      <x:c r="BF917" s="11"/>
      <x:c r="BG917" s="11"/>
      <x:c r="BH917" s="11"/>
      <x:c r="BI917" s="11"/>
      <x:c r="BJ917" s="11"/>
      <x:c r="BK917" s="12"/>
      <x:c r="BL917" s="12"/>
      <x:c r="BM917" s="12"/>
      <x:c r="BN917" s="12"/>
      <x:c r="BO917" s="12"/>
      <x:c r="BP917" s="12"/>
      <x:c r="BQ917" s="12"/>
      <x:c r="BR917" s="12"/>
      <x:c r="BS917" s="12"/>
      <x:c r="BT917" s="12"/>
      <x:c r="BU917" s="11" t="n">
        <x:v>42127</x:v>
      </x:c>
      <x:c r="BV917" s="11" t="n">
        <x:v>1214783</x:v>
      </x:c>
      <x:c r="BW917" s="11" t="n">
        <x:v>22000</x:v>
      </x:c>
      <x:c r="BX917" s="11" t="n">
        <x:v>73295</x:v>
      </x:c>
      <x:c r="BY917" s="11" t="n">
        <x:v>0</x:v>
      </x:c>
      <x:c r="BZ917" s="11" t="n">
        <x:v>0</x:v>
      </x:c>
      <x:c r="CA917" s="11" t="n">
        <x:v>0</x:v>
      </x:c>
      <x:c r="CB917" s="11" t="n">
        <x:v>66366</x:v>
      </x:c>
      <x:c r="CC917" s="11" t="n">
        <x:v>605056</x:v>
      </x:c>
      <x:c r="CD917" s="11" t="n">
        <x:v>72194</x:v>
      </x:c>
      <x:c r="CE917" s="11" t="n">
        <x:v>156640</x:v>
      </x:c>
      <x:c r="CF917" s="11" t="n">
        <x:v>0</x:v>
      </x:c>
      <x:c r="CG917" s="11" t="n">
        <x:v>21471</x:v>
      </x:c>
      <x:c r="CH917" s="11" t="n">
        <x:v>427280</x:v>
      </x:c>
      <x:c r="CI917" s="11" t="n">
        <x:v>251446</x:v>
      </x:c>
      <x:c r="CJ917" s="11" t="n">
        <x:v>386499</x:v>
      </x:c>
      <x:c r="CK917" s="11" t="n">
        <x:v>214033</x:v>
      </x:c>
      <x:c r="CL917" s="11" t="n">
        <x:v>0</x:v>
      </x:c>
      <x:c r="CM917" s="11"/>
      <x:c r="CN917" s="11" t="n">
        <x:v>0</x:v>
      </x:c>
      <x:c r="CO917" s="11" t="n">
        <x:v>0</x:v>
      </x:c>
      <x:c r="CP917" s="8"/>
      <x:c r="CQ917" s="8"/>
    </x:row>
    <x:row r="918">
      <x:c r="A918" s="8" t="str">
        <x:v>Warfield|2021</x:v>
      </x:c>
      <x:c r="B918" s="8" t="str">
        <x:v>warfield-v</x:v>
      </x:c>
      <x:c r="C918" s="8" t="str">
        <x:v>Warfield</x:v>
      </x:c>
      <x:c r="D918" s="8" t="str">
        <x:v>Warfield</x:v>
      </x:c>
      <x:c r="E918" s="8" t="str">
        <x:v>V</x:v>
      </x:c>
      <x:c r="F918" s="8" t="str">
        <x:v>KOO</x:v>
      </x:c>
      <x:c r="G918" s="9" t="n">
        <x:v>2021</x:v>
      </x:c>
      <x:c r="H918" s="10" t="n">
        <x:v>1793</x:v>
      </x:c>
      <x:c r="I918" s="8" t="str">
        <x:v>Under 5,000</x:v>
      </x:c>
      <x:c r="J918" s="11" t="n">
        <x:v>2768597</x:v>
      </x:c>
      <x:c r="K918" s="11" t="n">
        <x:v>2809527</x:v>
      </x:c>
      <x:c r="L918" s="11" t="n">
        <x:v>-40930</x:v>
      </x:c>
      <x:c r="M918" s="12" t="n">
        <x:v>-0.014783661182902388</x:v>
      </x:c>
      <x:c r="N918" s="11" t="n">
        <x:v>1472669</x:v>
      </x:c>
      <x:c r="O918" s="11" t="n">
        <x:v>584845</x:v>
      </x:c>
      <x:c r="P918" s="11" t="n">
        <x:v>542237</x:v>
      </x:c>
      <x:c r="Q918" s="11" t="n">
        <x:v>168846</x:v>
      </x:c>
      <x:c r="R918" s="11" t="n">
        <x:v>2462219</x:v>
      </x:c>
      <x:c r="S918" s="11" t="n">
        <x:v>318155</x:v>
      </x:c>
      <x:c r="T918" s="11" t="n">
        <x:v>3958685</x:v>
      </x:c>
      <x:c r="U918" s="11" t="n">
        <x:v>2426005</x:v>
      </x:c>
      <x:c r="V918" s="11" t="n">
        <x:v>1759285</x:v>
      </x:c>
      <x:c r="W918" s="11" t="n">
        <x:v>415697</x:v>
      </x:c>
      <x:c r="X918" s="11" t="n">
        <x:v>808670</x:v>
      </x:c>
      <x:c r="Y918" s="11" t="n">
        <x:v>0</x:v>
      </x:c>
      <x:c r="Z918" s="11" t="n">
        <x:v>151515</x:v>
      </x:c>
      <x:c r="AA918" s="11" t="n">
        <x:v>625677</x:v>
      </x:c>
      <x:c r="AB918" s="11" t="n">
        <x:v>29153</x:v>
      </x:c>
      <x:c r="AC918" s="11" t="n">
        <x:v>180668</x:v>
      </x:c>
      <x:c r="AD918" s="11" t="n">
        <x:v>667813</x:v>
      </x:c>
      <x:c r="AE918" s="11" t="n">
        <x:v>487145</x:v>
      </x:c>
      <x:c r="AF918" s="11" t="n">
        <x:v>2671250</x:v>
      </x:c>
      <x:c r="AG918" s="11" t="n">
        <x:v>13697452</x:v>
      </x:c>
      <x:c r="AH918" s="11" t="n">
        <x:v>7025955</x:v>
      </x:c>
      <x:c r="AI918" s="11" t="n">
        <x:v>6671497</x:v>
      </x:c>
      <x:c r="AJ918" s="11" t="n">
        <x:v>65000</x:v>
      </x:c>
      <x:c r="AK918" s="11" t="n">
        <x:v>77240</x:v>
      </x:c>
      <x:c r="AL918" s="11" t="n">
        <x:v>0</x:v>
      </x:c>
      <x:c r="AM918" s="12" t="n">
        <x:v>1</x:v>
      </x:c>
      <x:c r="AN918" s="12" t="n">
        <x:v>0.8415328845157949</x:v>
      </x:c>
      <x:c r="AO918" s="11" t="n">
        <x:v>2639383</x:v>
      </x:c>
      <x:c r="AP918" s="11" t="n">
        <x:v>2529062</x:v>
      </x:c>
      <x:c r="AQ918" s="12" t="n">
        <x:v>0.9582019737188577</x:v>
      </x:c>
      <x:c r="AR918" s="11" t="n">
        <x:v>1544.1143335192414</x:v>
      </x:c>
      <x:c r="AS918" s="11" t="n">
        <x:v>1566.9419966536532</x:v>
      </x:c>
      <x:c r="AT918" s="11" t="n">
        <x:v>981.1963190184049</x:v>
      </x:c>
      <x:c r="AU918" s="11" t="n">
        <x:v>231.84439486893476</x:v>
      </x:c>
      <x:c r="AV918" s="11" t="n">
        <x:v>348.9553820412716</x:v>
      </x:c>
      <x:c r="AW918" s="11" t="n">
        <x:v>1.6317711628788893</x:v>
      </x:c>
      <x:c r="AX918" s="12" t="n">
        <x:v>0.7294631880481512</x:v>
      </x:c>
      <x:c r="AY918" s="11"/>
      <x:c r="AZ918" s="11"/>
      <x:c r="BA918" s="11"/>
      <x:c r="BB918" s="11"/>
      <x:c r="BC918" s="11"/>
      <x:c r="BD918" s="11"/>
      <x:c r="BE918" s="11"/>
      <x:c r="BF918" s="11"/>
      <x:c r="BG918" s="11"/>
      <x:c r="BH918" s="11"/>
      <x:c r="BI918" s="11"/>
      <x:c r="BJ918" s="11"/>
      <x:c r="BK918" s="12"/>
      <x:c r="BL918" s="12"/>
      <x:c r="BM918" s="12"/>
      <x:c r="BN918" s="12"/>
      <x:c r="BO918" s="12"/>
      <x:c r="BP918" s="12"/>
      <x:c r="BQ918" s="12"/>
      <x:c r="BR918" s="12"/>
      <x:c r="BS918" s="12"/>
      <x:c r="BT918" s="12"/>
      <x:c r="BU918" s="11" t="n">
        <x:v>0</x:v>
      </x:c>
      <x:c r="BV918" s="11" t="n">
        <x:v>491133</x:v>
      </x:c>
      <x:c r="BW918" s="11" t="n">
        <x:v>51104</x:v>
      </x:c>
      <x:c r="BX918" s="11" t="n">
        <x:v>81459</x:v>
      </x:c>
      <x:c r="BY918" s="11" t="n">
        <x:v>0</x:v>
      </x:c>
      <x:c r="BZ918" s="11" t="n">
        <x:v>0</x:v>
      </x:c>
      <x:c r="CA918" s="11" t="n">
        <x:v>5000</x:v>
      </x:c>
      <x:c r="CB918" s="11" t="n">
        <x:v>82387</x:v>
      </x:c>
      <x:c r="CC918" s="11" t="n">
        <x:v>718971</x:v>
      </x:c>
      <x:c r="CD918" s="11" t="n">
        <x:v>62884</x:v>
      </x:c>
      <x:c r="CE918" s="11" t="n">
        <x:v>167703</x:v>
      </x:c>
      <x:c r="CF918" s="11" t="n">
        <x:v>0</x:v>
      </x:c>
      <x:c r="CG918" s="11" t="n">
        <x:v>48500</x:v>
      </x:c>
      <x:c r="CH918" s="11" t="n">
        <x:v>471497</x:v>
      </x:c>
      <x:c r="CI918" s="11" t="n">
        <x:v>459653</x:v>
      </x:c>
      <x:c r="CJ918" s="11" t="n">
        <x:v>329090</x:v>
      </x:c>
      <x:c r="CK918" s="11" t="n">
        <x:v>233074</x:v>
      </x:c>
      <x:c r="CL918" s="11" t="n">
        <x:v>0</x:v>
      </x:c>
      <x:c r="CM918" s="11"/>
      <x:c r="CN918" s="11" t="n">
        <x:v>0</x:v>
      </x:c>
      <x:c r="CO918" s="11" t="n">
        <x:v>0</x:v>
      </x:c>
      <x:c r="CP918" s="8"/>
      <x:c r="CQ918" s="8"/>
    </x:row>
    <x:row r="919">
      <x:c r="A919" s="8" t="str">
        <x:v>Warfield|2022</x:v>
      </x:c>
      <x:c r="B919" s="8" t="str">
        <x:v>warfield-v</x:v>
      </x:c>
      <x:c r="C919" s="8" t="str">
        <x:v>Warfield</x:v>
      </x:c>
      <x:c r="D919" s="8" t="str">
        <x:v>Warfield</x:v>
      </x:c>
      <x:c r="E919" s="8" t="str">
        <x:v>V</x:v>
      </x:c>
      <x:c r="F919" s="8" t="str">
        <x:v>KOO</x:v>
      </x:c>
      <x:c r="G919" s="9" t="n">
        <x:v>2022</x:v>
      </x:c>
      <x:c r="H919" s="10" t="n">
        <x:v>1822</x:v>
      </x:c>
      <x:c r="I919" s="8" t="str">
        <x:v>Under 5,000</x:v>
      </x:c>
      <x:c r="J919" s="11" t="n">
        <x:v>3063619</x:v>
      </x:c>
      <x:c r="K919" s="11" t="n">
        <x:v>2966765</x:v>
      </x:c>
      <x:c r="L919" s="11" t="n">
        <x:v>96854</x:v>
      </x:c>
      <x:c r="M919" s="12" t="n">
        <x:v>0.03161424446055466</x:v>
      </x:c>
      <x:c r="N919" s="11" t="n">
        <x:v>1594514</x:v>
      </x:c>
      <x:c r="O919" s="11" t="n">
        <x:v>697245</x:v>
      </x:c>
      <x:c r="P919" s="11" t="n">
        <x:v>690646</x:v>
      </x:c>
      <x:c r="Q919" s="11" t="n">
        <x:v>81214</x:v>
      </x:c>
      <x:c r="R919" s="11" t="n">
        <x:v>2620813</x:v>
      </x:c>
      <x:c r="S919" s="11" t="n">
        <x:v>325768</x:v>
      </x:c>
      <x:c r="T919" s="11" t="n">
        <x:v>4067177</x:v>
      </x:c>
      <x:c r="U919" s="11" t="n">
        <x:v>2509989</x:v>
      </x:c>
      <x:c r="V919" s="11" t="n">
        <x:v>1836101</x:v>
      </x:c>
      <x:c r="W919" s="11" t="n">
        <x:v>495251</x:v>
      </x:c>
      <x:c r="X919" s="11" t="n">
        <x:v>625677</x:v>
      </x:c>
      <x:c r="Y919" s="11" t="n">
        <x:v>0</x:v>
      </x:c>
      <x:c r="Z919" s="11" t="n">
        <x:v>138536</x:v>
      </x:c>
      <x:c r="AA919" s="11" t="n">
        <x:v>451742</x:v>
      </x:c>
      <x:c r="AB919" s="11" t="n">
        <x:v>20184</x:v>
      </x:c>
      <x:c r="AC919" s="11" t="n">
        <x:v>158720</x:v>
      </x:c>
      <x:c r="AD919" s="11" t="n">
        <x:v>732394</x:v>
      </x:c>
      <x:c r="AE919" s="11" t="n">
        <x:v>573674</x:v>
      </x:c>
      <x:c r="AF919" s="11" t="n">
        <x:v>2929574</x:v>
      </x:c>
      <x:c r="AG919" s="11" t="n">
        <x:v>14043258</x:v>
      </x:c>
      <x:c r="AH919" s="11" t="n">
        <x:v>7351723</x:v>
      </x:c>
      <x:c r="AI919" s="11" t="n">
        <x:v>6691535</x:v>
      </x:c>
      <x:c r="AJ919" s="11" t="n">
        <x:v>345806</x:v>
      </x:c>
      <x:c r="AK919" s="11" t="n">
        <x:v>127304</x:v>
      </x:c>
      <x:c r="AL919" s="11" t="n">
        <x:v>0</x:v>
      </x:c>
      <x:c r="AM919" s="12" t="n">
        <x:v>1</x:v>
      </x:c>
      <x:c r="AN919" s="12" t="n">
        <x:v>2.716379689561993</x:v>
      </x:c>
      <x:c r="AO919" s="11" t="n">
        <x:v>2832312</x:v>
      </x:c>
      <x:c r="AP919" s="11" t="n">
        <x:v>2721338</x:v>
      </x:c>
      <x:c r="AQ919" s="12" t="n">
        <x:v>0.9608185821336067</x:v>
      </x:c>
      <x:c r="AR919" s="11" t="n">
        <x:v>1681.459385290889</x:v>
      </x:c>
      <x:c r="AS919" s="11" t="n">
        <x:v>1628.301317233809</x:v>
      </x:c>
      <x:c r="AT919" s="11" t="n">
        <x:v>1007.7392974753019</x:v>
      </x:c>
      <x:c r="AU919" s="11" t="n">
        <x:v>271.8172338090011</x:v>
      </x:c>
      <x:c r="AV919" s="11" t="n">
        <x:v>247.93743139407246</x:v>
      </x:c>
      <x:c r="AW919" s="11" t="n">
        <x:v>1.6203963443664493</x:v>
      </x:c>
      <x:c r="AX919" s="12" t="n">
        <x:v>0.7832860454891766</x:v>
      </x:c>
      <x:c r="AY919" s="11"/>
      <x:c r="AZ919" s="11"/>
      <x:c r="BA919" s="11"/>
      <x:c r="BB919" s="11"/>
      <x:c r="BC919" s="11"/>
      <x:c r="BD919" s="11"/>
      <x:c r="BE919" s="11"/>
      <x:c r="BF919" s="11"/>
      <x:c r="BG919" s="11"/>
      <x:c r="BH919" s="11"/>
      <x:c r="BI919" s="11"/>
      <x:c r="BJ919" s="11"/>
      <x:c r="BK919" s="12"/>
      <x:c r="BL919" s="12"/>
      <x:c r="BM919" s="12"/>
      <x:c r="BN919" s="12"/>
      <x:c r="BO919" s="12"/>
      <x:c r="BP919" s="12"/>
      <x:c r="BQ919" s="12"/>
      <x:c r="BR919" s="12"/>
      <x:c r="BS919" s="12"/>
      <x:c r="BT919" s="12"/>
      <x:c r="BU919" s="11" t="n">
        <x:v>0</x:v>
      </x:c>
      <x:c r="BV919" s="11" t="n">
        <x:v>658941</x:v>
      </x:c>
      <x:c r="BW919" s="11" t="n">
        <x:v>31705</x:v>
      </x:c>
      <x:c r="BX919" s="11" t="n">
        <x:v>81214</x:v>
      </x:c>
      <x:c r="BY919" s="11" t="n">
        <x:v>0</x:v>
      </x:c>
      <x:c r="BZ919" s="11" t="n">
        <x:v>0</x:v>
      </x:c>
      <x:c r="CA919" s="11" t="n">
        <x:v>0</x:v>
      </x:c>
      <x:c r="CB919" s="11" t="n">
        <x:v>0</x:v>
      </x:c>
      <x:c r="CC919" s="11" t="n">
        <x:v>728133</x:v>
      </x:c>
      <x:c r="CD919" s="11" t="n">
        <x:v>68147</x:v>
      </x:c>
      <x:c r="CE919" s="11" t="n">
        <x:v>184744</x:v>
      </x:c>
      <x:c r="CF919" s="11" t="n">
        <x:v>0</x:v>
      </x:c>
      <x:c r="CG919" s="11" t="n">
        <x:v>46674</x:v>
      </x:c>
      <x:c r="CH919" s="11" t="n">
        <x:v>461940</x:v>
      </x:c>
      <x:c r="CI919" s="11" t="n">
        <x:v>563098</x:v>
      </x:c>
      <x:c r="CJ919" s="11" t="n">
        <x:v>344423</x:v>
      </x:c>
      <x:c r="CK919" s="11" t="n">
        <x:v>243838</x:v>
      </x:c>
      <x:c r="CL919" s="11" t="n">
        <x:v>0</x:v>
      </x:c>
      <x:c r="CM919" s="11"/>
      <x:c r="CN919" s="11" t="n">
        <x:v>0</x:v>
      </x:c>
      <x:c r="CO919" s="11" t="n">
        <x:v>0</x:v>
      </x:c>
      <x:c r="CP919" s="8"/>
      <x:c r="CQ919" s="8"/>
    </x:row>
    <x:row r="920">
      <x:c r="A920" s="8" t="str">
        <x:v>Warfield|2023</x:v>
      </x:c>
      <x:c r="B920" s="8" t="str">
        <x:v>warfield-v</x:v>
      </x:c>
      <x:c r="C920" s="8" t="str">
        <x:v>Warfield</x:v>
      </x:c>
      <x:c r="D920" s="8" t="str">
        <x:v>Warfield</x:v>
      </x:c>
      <x:c r="E920" s="8" t="str">
        <x:v>V</x:v>
      </x:c>
      <x:c r="F920" s="8" t="str">
        <x:v>KOO</x:v>
      </x:c>
      <x:c r="G920" s="9" t="n">
        <x:v>2023</x:v>
      </x:c>
      <x:c r="H920" s="10" t="n">
        <x:v>1881</x:v>
      </x:c>
      <x:c r="I920" s="8" t="str">
        <x:v>Under 5,000</x:v>
      </x:c>
      <x:c r="J920" s="11" t="n">
        <x:v>4863366</x:v>
      </x:c>
      <x:c r="K920" s="11" t="n">
        <x:v>3394430</x:v>
      </x:c>
      <x:c r="L920" s="11" t="n">
        <x:v>1468936</x:v>
      </x:c>
      <x:c r="M920" s="12" t="n">
        <x:v>0.30204101439208975</x:v>
      </x:c>
      <x:c r="N920" s="11" t="n">
        <x:v>1810059</x:v>
      </x:c>
      <x:c r="O920" s="11" t="n">
        <x:v>741408</x:v>
      </x:c>
      <x:c r="P920" s="11" t="n">
        <x:v>2204340</x:v>
      </x:c>
      <x:c r="Q920" s="11" t="n">
        <x:v>107559</x:v>
      </x:c>
      <x:c r="R920" s="11" t="n">
        <x:v>2989166</x:v>
      </x:c>
      <x:c r="S920" s="11" t="n">
        <x:v>377041</x:v>
      </x:c>
      <x:c r="T920" s="11" t="n">
        <x:v>4736682</x:v>
      </x:c>
      <x:c r="U920" s="11" t="n">
        <x:v>3461226</x:v>
      </x:c>
      <x:c r="V920" s="11" t="n">
        <x:v>1834162</x:v>
      </x:c>
      <x:c r="W920" s="11" t="n">
        <x:v>1330413</x:v>
      </x:c>
      <x:c r="X920" s="11" t="n">
        <x:v>451742</x:v>
      </x:c>
      <x:c r="Y920" s="11" t="n">
        <x:v>237383</x:v>
      </x:c>
      <x:c r="Z920" s="11" t="n">
        <x:v>162420</x:v>
      </x:c>
      <x:c r="AA920" s="11" t="n">
        <x:v>487249</x:v>
      </x:c>
      <x:c r="AB920" s="11" t="n">
        <x:v>28223</x:v>
      </x:c>
      <x:c r="AC920" s="11" t="n">
        <x:v>190643</x:v>
      </x:c>
      <x:c r="AD920" s="11" t="n">
        <x:v>767893</x:v>
      </x:c>
      <x:c r="AE920" s="11" t="n">
        <x:v>577250</x:v>
      </x:c>
      <x:c r="AF920" s="11" t="n">
        <x:v>3071570</x:v>
      </x:c>
      <x:c r="AG920" s="11" t="n">
        <x:v>15891176</x:v>
      </x:c>
      <x:c r="AH920" s="11" t="n">
        <x:v>7728766</x:v>
      </x:c>
      <x:c r="AI920" s="11" t="n">
        <x:v>8162410</x:v>
      </x:c>
      <x:c r="AJ920" s="11" t="n">
        <x:v>1169094</x:v>
      </x:c>
      <x:c r="AK920" s="11" t="n">
        <x:v>392136</x:v>
      </x:c>
      <x:c r="AL920" s="11" t="n">
        <x:v>0</x:v>
      </x:c>
      <x:c r="AM920" s="12" t="n">
        <x:v>1</x:v>
      </x:c>
      <x:c r="AN920" s="12" t="n">
        <x:v>2.9813483077299714</x:v>
      </x:c>
      <x:c r="AO920" s="11" t="n">
        <x:v>3102370</x:v>
      </x:c>
      <x:c r="AP920" s="11" t="n">
        <x:v>2954008</x:v>
      </x:c>
      <x:c r="AQ920" s="12" t="n">
        <x:v>0.9521778511267193</x:v>
      </x:c>
      <x:c r="AR920" s="11" t="n">
        <x:v>2585.5215311004786</x:v>
      </x:c>
      <x:c r="AS920" s="11" t="n">
        <x:v>1804.5879851143009</x:v>
      </x:c>
      <x:c r="AT920" s="11" t="n">
        <x:v>975.0994152046784</x:v>
      </x:c>
      <x:c r="AU920" s="11" t="n">
        <x:v>707.2902711323763</x:v>
      </x:c>
      <x:c r="AV920" s="11" t="n">
        <x:v>259.03721424774056</x:v>
      </x:c>
      <x:c r="AW920" s="11" t="n">
        <x:v>1.3684983297825684</x:v>
      </x:c>
      <x:c r="AX920" s="12" t="n">
        <x:v>0.7517323377085089</x:v>
      </x:c>
      <x:c r="AY920" s="11"/>
      <x:c r="AZ920" s="11"/>
      <x:c r="BA920" s="11"/>
      <x:c r="BB920" s="11"/>
      <x:c r="BC920" s="11"/>
      <x:c r="BD920" s="11"/>
      <x:c r="BE920" s="11"/>
      <x:c r="BF920" s="11"/>
      <x:c r="BG920" s="11"/>
      <x:c r="BH920" s="11"/>
      <x:c r="BI920" s="11"/>
      <x:c r="BJ920" s="11"/>
      <x:c r="BK920" s="12"/>
      <x:c r="BL920" s="12"/>
      <x:c r="BM920" s="12"/>
      <x:c r="BN920" s="12"/>
      <x:c r="BO920" s="12"/>
      <x:c r="BP920" s="12"/>
      <x:c r="BQ920" s="12"/>
      <x:c r="BR920" s="12"/>
      <x:c r="BS920" s="12"/>
      <x:c r="BT920" s="12"/>
      <x:c r="BU920" s="11" t="n">
        <x:v>0</x:v>
      </x:c>
      <x:c r="BV920" s="11" t="n">
        <x:v>2032273</x:v>
      </x:c>
      <x:c r="BW920" s="11" t="n">
        <x:v>172067</x:v>
      </x:c>
      <x:c r="BX920" s="11" t="n">
        <x:v>107559</x:v>
      </x:c>
      <x:c r="BY920" s="11" t="n">
        <x:v>0</x:v>
      </x:c>
      <x:c r="BZ920" s="11" t="n">
        <x:v>0</x:v>
      </x:c>
      <x:c r="CA920" s="11" t="n">
        <x:v>0</x:v>
      </x:c>
      <x:c r="CB920" s="11" t="n">
        <x:v>0</x:v>
      </x:c>
      <x:c r="CC920" s="11" t="n">
        <x:v>748909</x:v>
      </x:c>
      <x:c r="CD920" s="11" t="n">
        <x:v>57227</x:v>
      </x:c>
      <x:c r="CE920" s="11" t="n">
        <x:v>179559</x:v>
      </x:c>
      <x:c r="CF920" s="11" t="n">
        <x:v>0</x:v>
      </x:c>
      <x:c r="CG920" s="11" t="n">
        <x:v>29869</x:v>
      </x:c>
      <x:c r="CH920" s="11" t="n">
        <x:v>813359</x:v>
      </x:c>
      <x:c r="CI920" s="11" t="n">
        <x:v>515499</x:v>
      </x:c>
      <x:c r="CJ920" s="11" t="n">
        <x:v>328303</x:v>
      </x:c>
      <x:c r="CK920" s="11" t="n">
        <x:v>313031</x:v>
      </x:c>
      <x:c r="CL920" s="11" t="n">
        <x:v>0</x:v>
      </x:c>
      <x:c r="CM920" s="11" t="n">
        <x:v>31633</x:v>
      </x:c>
      <x:c r="CN920" s="11" t="n">
        <x:v>0</x:v>
      </x:c>
      <x:c r="CO920" s="11" t="n">
        <x:v>0</x:v>
      </x:c>
      <x:c r="CP920" s="8"/>
      <x:c r="CQ920" s="8"/>
    </x:row>
    <x:row r="921">
      <x:c r="A921" s="8" t="str">
        <x:v>Warfield|2024</x:v>
      </x:c>
      <x:c r="B921" s="8" t="str">
        <x:v>warfield-v</x:v>
      </x:c>
      <x:c r="C921" s="8" t="str">
        <x:v>Warfield</x:v>
      </x:c>
      <x:c r="D921" s="8" t="str">
        <x:v>Warfield</x:v>
      </x:c>
      <x:c r="E921" s="8" t="str">
        <x:v>V</x:v>
      </x:c>
      <x:c r="F921" s="8" t="str">
        <x:v>KOO</x:v>
      </x:c>
      <x:c r="G921" s="9" t="n">
        <x:v>2024</x:v>
      </x:c>
      <x:c r="H921" s="10" t="n">
        <x:v>1881</x:v>
      </x:c>
      <x:c r="I921" s="8" t="str">
        <x:v>Under 5,000</x:v>
      </x:c>
      <x:c r="J921" s="11" t="n">
        <x:v>3451845</x:v>
      </x:c>
      <x:c r="K921" s="11" t="n">
        <x:v>3255894</x:v>
      </x:c>
      <x:c r="L921" s="11" t="n">
        <x:v>195951</x:v>
      </x:c>
      <x:c r="M921" s="12" t="n">
        <x:v>0.05676703328220126</x:v>
      </x:c>
      <x:c r="N921" s="11" t="n">
        <x:v>1936765</x:v>
      </x:c>
      <x:c r="O921" s="11" t="n">
        <x:v>674549</x:v>
      </x:c>
      <x:c r="P921" s="11" t="n">
        <x:v>703983</x:v>
      </x:c>
      <x:c r="Q921" s="11" t="n">
        <x:v>136548</x:v>
      </x:c>
      <x:c r="R921" s="11" t="n">
        <x:v>2810110</x:v>
      </x:c>
      <x:c r="S921" s="11" t="n">
        <x:v>407257</x:v>
      </x:c>
      <x:c r="T921" s="11" t="n">
        <x:v>5304075</x:v>
      </x:c>
      <x:c r="U921" s="11" t="n">
        <x:v>3807218</x:v>
      </x:c>
      <x:c r="V921" s="11" t="n">
        <x:v>1734528</x:v>
      </x:c>
      <x:c r="W921" s="11" t="n">
        <x:v>1064684</x:v>
      </x:c>
      <x:c r="X921" s="11" t="n">
        <x:v>487249</x:v>
      </x:c>
      <x:c r="Y921" s="11" t="n">
        <x:v>0</x:v>
      </x:c>
      <x:c r="Z921" s="11" t="n">
        <x:v>145775</x:v>
      </x:c>
      <x:c r="AA921" s="11" t="n">
        <x:v>297819</x:v>
      </x:c>
      <x:c r="AB921" s="11" t="n">
        <x:v>38527</x:v>
      </x:c>
      <x:c r="AC921" s="11" t="n">
        <x:v>184302</x:v>
      </x:c>
      <x:c r="AD921" s="11" t="n">
        <x:v>801277</x:v>
      </x:c>
      <x:c r="AE921" s="11" t="n">
        <x:v>616975</x:v>
      </x:c>
      <x:c r="AF921" s="11" t="n">
        <x:v>3205107</x:v>
      </x:c>
      <x:c r="AG921" s="11" t="n">
        <x:v>16518310</x:v>
      </x:c>
      <x:c r="AH921" s="11" t="n">
        <x:v>8136023</x:v>
      </x:c>
      <x:c r="AI921" s="11" t="n">
        <x:v>8382287</x:v>
      </x:c>
      <x:c r="AJ921" s="11" t="n">
        <x:v>597505</x:v>
      </x:c>
      <x:c r="AK921" s="11" t="n">
        <x:v>86735734</x:v>
      </x:c>
      <x:c r="AL921" s="11" t="n">
        <x:v>1047600</x:v>
      </x:c>
      <x:c r="AM921" s="12" t="n">
        <x:v>0.9879219330754727</x:v>
      </x:c>
      <x:c r="AN921" s="12" t="n">
        <x:v>0.006888798565998185</x:v>
      </x:c>
      <x:c r="AO921" s="11" t="n">
        <x:v>3368414</x:v>
      </x:c>
      <x:c r="AP921" s="11" t="n">
        <x:v>3234202</x:v>
      </x:c>
      <x:c r="AQ921" s="12" t="n">
        <x:v>0.9601557290760577</x:v>
      </x:c>
      <x:c r="AR921" s="11" t="n">
        <x:v>1835.1116427432216</x:v>
      </x:c>
      <x:c r="AS921" s="11" t="n">
        <x:v>1730.9377990430621</x:v>
      </x:c>
      <x:c r="AT921" s="11" t="n">
        <x:v>922.1307814992025</x:v>
      </x:c>
      <x:c r="AU921" s="11" t="n">
        <x:v>566.020202020202</x:v>
      </x:c>
      <x:c r="AV921" s="11" t="n">
        <x:v>158.33014354066987</x:v>
      </x:c>
      <x:c r="AW921" s="11" t="n">
        <x:v>1.393162934194995</x:v>
      </x:c>
      <x:c r="AX921" s="12" t="n">
        <x:v>0.7699896540147789</x:v>
      </x:c>
      <x:c r="AY921" s="11" t="n">
        <x:v>4648.097865362712</x:v>
      </x:c>
      <x:c r="AZ921" s="11" t="n">
        <x:v>3546.5079302077975</x:v>
      </x:c>
      <x:c r="BA921" s="11" t="n">
        <x:v>3428.422456291105</x:v>
      </x:c>
      <x:c r="BB921" s="11" t="n">
        <x:v>2783.665107049771</x:v>
      </x:c>
      <x:c r="BC921" s="11" t="n">
        <x:v>5030.364110900993</x:v>
      </x:c>
      <x:c r="BD921" s="11" t="n">
        <x:v>2437.8724475115623</x:v>
      </x:c>
      <x:c r="BE921" s="11" t="n">
        <x:v>2420.45</x:v>
      </x:c>
      <x:c r="BF921" s="11" t="n">
        <x:v>1604.3462673977224</x:v>
      </x:c>
      <x:c r="BG921" s="11" t="n">
        <x:v>224.31236112962716</x:v>
      </x:c>
      <x:c r="BH921" s="11" t="n">
        <x:v>518.5374381567245</x:v>
      </x:c>
      <x:c r="BI921" s="11" t="n">
        <x:v>2.204313821553219</x:v>
      </x:c>
      <x:c r="BJ921" s="11" t="n">
        <x:v>1.7099330852451193</x:v>
      </x:c>
      <x:c r="BK921" s="12" t="n">
        <x:v>0.030042455998363887</x:v>
      </x:c>
      <x:c r="BL921" s="12" t="n">
        <x:v>0.02529861000232605</x:v>
      </x:c>
      <x:c r="BM921" s="12" t="n">
        <x:v>0.9786113537119745</x:v>
      </x:c>
      <x:c r="BN921" s="12" t="n">
        <x:v>0.9815511712696461</x:v>
      </x:c>
      <x:c r="BO921" s="12" t="n">
        <x:v>0.9039920521842442</x:v>
      </x:c>
      <x:c r="BP921" s="12" t="n">
        <x:v>0.8619101997275483</x:v>
      </x:c>
      <x:c r="BQ921" s="12" t="n">
        <x:v>0.9333160528846489</x:v>
      </x:c>
      <x:c r="BR921" s="12" t="n">
        <x:v>0.9623635142836453</x:v>
      </x:c>
      <x:c r="BS921" s="12" t="n">
        <x:v>0.20869205825466772</x:v>
      </x:c>
      <x:c r="BT921" s="12" t="n">
        <x:v>0.19976549769108282</x:v>
      </x:c>
      <x:c r="BU921" s="11" t="n">
        <x:v>4110</x:v>
      </x:c>
      <x:c r="BV921" s="11" t="n">
        <x:v>607772</x:v>
      </x:c>
      <x:c r="BW921" s="11" t="n">
        <x:v>92101</x:v>
      </x:c>
      <x:c r="BX921" s="11" t="n">
        <x:v>136548</x:v>
      </x:c>
      <x:c r="BY921" s="11" t="n">
        <x:v>0</x:v>
      </x:c>
      <x:c r="BZ921" s="11" t="n">
        <x:v>0</x:v>
      </x:c>
      <x:c r="CA921" s="11" t="n">
        <x:v>0</x:v>
      </x:c>
      <x:c r="CB921" s="11" t="n">
        <x:v>0</x:v>
      </x:c>
      <x:c r="CC921" s="11" t="n">
        <x:v>732308</x:v>
      </x:c>
      <x:c r="CD921" s="11" t="n">
        <x:v>64933</x:v>
      </x:c>
      <x:c r="CE921" s="11" t="n">
        <x:v>87870</x:v>
      </x:c>
      <x:c r="CF921" s="11" t="n">
        <x:v>0</x:v>
      </x:c>
      <x:c r="CG921" s="11" t="n">
        <x:v>38804</x:v>
      </x:c>
      <x:c r="CH921" s="11" t="n">
        <x:v>612097</x:v>
      </x:c>
      <x:c r="CI921" s="11" t="n">
        <x:v>523596</x:v>
      </x:c>
      <x:c r="CJ921" s="11" t="n">
        <x:v>365463</x:v>
      </x:c>
      <x:c r="CK921" s="11" t="n">
        <x:v>390706</x:v>
      </x:c>
      <x:c r="CL921" s="11" t="n">
        <x:v>0</x:v>
      </x:c>
      <x:c r="CM921" s="11" t="n">
        <x:v>32860</x:v>
      </x:c>
      <x:c r="CN921" s="11" t="n">
        <x:v>0</x:v>
      </x:c>
      <x:c r="CO921" s="11" t="n">
        <x:v>0</x:v>
      </x:c>
      <x:c r="CP921" s="8"/>
      <x:c r="CQ921" s="8"/>
    </x:row>
    <x:row r="922">
      <x:c r="A922" s="8" t="str">
        <x:v>Wells|2019</x:v>
      </x:c>
      <x:c r="B922" s="8" t="str">
        <x:v>wells-d</x:v>
      </x:c>
      <x:c r="C922" s="8" t="str">
        <x:v>Wells</x:v>
      </x:c>
      <x:c r="D922" s="8" t="str">
        <x:v>Wells</x:v>
      </x:c>
      <x:c r="E922" s="8" t="str">
        <x:v>D</x:v>
      </x:c>
      <x:c r="F922" s="8" t="str">
        <x:v>CAR</x:v>
      </x:c>
      <x:c r="G922" s="9" t="n">
        <x:v>2019</x:v>
      </x:c>
      <x:c r="H922" s="10" t="n">
        <x:v>231</x:v>
      </x:c>
      <x:c r="I922" s="8" t="str">
        <x:v>Under 5,000</x:v>
      </x:c>
      <x:c r="J922" s="11" t="n">
        <x:v>1277772</x:v>
      </x:c>
      <x:c r="K922" s="11" t="n">
        <x:v>1420792</x:v>
      </x:c>
      <x:c r="L922" s="11" t="n">
        <x:v>-143020</x:v>
      </x:c>
      <x:c r="M922" s="12" t="n">
        <x:v>-0.11192920176682539</x:v>
      </x:c>
      <x:c r="N922" s="11" t="n">
        <x:v>207741</x:v>
      </x:c>
      <x:c r="O922" s="11" t="n">
        <x:v>191181</x:v>
      </x:c>
      <x:c r="P922" s="11" t="n">
        <x:v>915765</x:v>
      </x:c>
      <x:c r="Q922" s="11" t="n">
        <x:v>-36915</x:v>
      </x:c>
      <x:c r="R922" s="11" t="n">
        <x:v>1221420</x:v>
      </x:c>
      <x:c r="S922" s="11" t="n">
        <x:v>199372</x:v>
      </x:c>
      <x:c r="T922" s="11" t="n">
        <x:v>273243</x:v>
      </x:c>
      <x:c r="U922" s="11" t="n">
        <x:v>229043</x:v>
      </x:c>
      <x:c r="V922" s="11" t="n">
        <x:v>410170</x:v>
      </x:c>
      <x:c r="W922" s="11" t="n">
        <x:v>130210</x:v>
      </x:c>
      <x:c r="X922" s="11" t="n">
        <x:v>0</x:v>
      </x:c>
      <x:c r="Y922" s="11" t="n">
        <x:v>0</x:v>
      </x:c>
      <x:c r="Z922" s="11" t="n">
        <x:v>0</x:v>
      </x:c>
      <x:c r="AA922" s="11" t="n">
        <x:v>0</x:v>
      </x:c>
      <x:c r="AB922" s="11" t="n">
        <x:v>0</x:v>
      </x:c>
      <x:c r="AC922" s="11" t="n">
        <x:v>0</x:v>
      </x:c>
      <x:c r="AD922" s="11" t="n">
        <x:v>213165</x:v>
      </x:c>
      <x:c r="AE922" s="11" t="n">
        <x:v>213165</x:v>
      </x:c>
      <x:c r="AF922" s="11" t="n">
        <x:v>852661</x:v>
      </x:c>
      <x:c r="AG922" s="11" t="n">
        <x:v>9437347</x:v>
      </x:c>
      <x:c r="AH922" s="11" t="n">
        <x:v>3019314</x:v>
      </x:c>
      <x:c r="AI922" s="11" t="n">
        <x:v>6418033</x:v>
      </x:c>
      <x:c r="AJ922" s="11" t="n">
        <x:v>303568</x:v>
      </x:c>
      <x:c r="AK922" s="11" t="n">
        <x:v>257524</x:v>
      </x:c>
      <x:c r="AL922" s="11" t="n">
        <x:v>0</x:v>
      </x:c>
      <x:c r="AM922" s="12" t="n">
        <x:v>1</x:v>
      </x:c>
      <x:c r="AN922" s="12" t="n">
        <x:v>1.178794986098383</x:v>
      </x:c>
      <x:c r="AO922" s="11" t="n">
        <x:v>401138</x:v>
      </x:c>
      <x:c r="AP922" s="11" t="n">
        <x:v>307363</x:v>
      </x:c>
      <x:c r="AQ922" s="12" t="n">
        <x:v>0.7662275825277086</x:v>
      </x:c>
      <x:c r="AR922" s="11" t="n">
        <x:v>5531.480519480519</x:v>
      </x:c>
      <x:c r="AS922" s="11" t="n">
        <x:v>6150.614718614718</x:v>
      </x:c>
      <x:c r="AT922" s="11" t="n">
        <x:v>1775.6277056277056</x:v>
      </x:c>
      <x:c r="AU922" s="11" t="n">
        <x:v>563.6796536796537</x:v>
      </x:c>
      <x:c r="AV922" s="11" t="n">
        <x:v>0</x:v>
      </x:c>
      <x:c r="AW922" s="11" t="n">
        <x:v>1.1929768646062093</x:v>
      </x:c>
      <x:c r="AX922" s="12" t="n">
        <x:v>1</x:v>
      </x:c>
      <x:c r="AY922" s="11"/>
      <x:c r="AZ922" s="11"/>
      <x:c r="BA922" s="11"/>
      <x:c r="BB922" s="11"/>
      <x:c r="BC922" s="11"/>
      <x:c r="BD922" s="11"/>
      <x:c r="BE922" s="11"/>
      <x:c r="BF922" s="11"/>
      <x:c r="BG922" s="11"/>
      <x:c r="BH922" s="11"/>
      <x:c r="BI922" s="11"/>
      <x:c r="BJ922" s="11"/>
      <x:c r="BK922" s="12"/>
      <x:c r="BL922" s="12"/>
      <x:c r="BM922" s="12"/>
      <x:c r="BN922" s="12"/>
      <x:c r="BO922" s="12"/>
      <x:c r="BP922" s="12"/>
      <x:c r="BQ922" s="12"/>
      <x:c r="BR922" s="12"/>
      <x:c r="BS922" s="12"/>
      <x:c r="BT922" s="12"/>
      <x:c r="BU922" s="11" t="n">
        <x:v>68650</x:v>
      </x:c>
      <x:c r="BV922" s="11" t="n">
        <x:v>745634</x:v>
      </x:c>
      <x:c r="BW922" s="11" t="n">
        <x:v>101481</x:v>
      </x:c>
      <x:c r="BX922" s="11" t="n">
        <x:v>0</x:v>
      </x:c>
      <x:c r="BY922" s="11" t="n">
        <x:v>-36915</x:v>
      </x:c>
      <x:c r="BZ922" s="11" t="n">
        <x:v>0</x:v>
      </x:c>
      <x:c r="CA922" s="11" t="n">
        <x:v>0</x:v>
      </x:c>
      <x:c r="CB922" s="11" t="n">
        <x:v>0</x:v>
      </x:c>
      <x:c r="CC922" s="11" t="n">
        <x:v>759351</x:v>
      </x:c>
      <x:c r="CD922" s="11" t="n">
        <x:v>14730</x:v>
      </x:c>
      <x:c r="CE922" s="11" t="n">
        <x:v>15843</x:v>
      </x:c>
      <x:c r="CF922" s="11" t="n">
        <x:v>0</x:v>
      </x:c>
      <x:c r="CG922" s="11" t="n">
        <x:v>300959</x:v>
      </x:c>
      <x:c r="CH922" s="11" t="n">
        <x:v>0</x:v>
      </x:c>
      <x:c r="CI922" s="11" t="n">
        <x:v>0</x:v>
      </x:c>
      <x:c r="CJ922" s="11" t="n">
        <x:v>53195</x:v>
      </x:c>
      <x:c r="CK922" s="11" t="n">
        <x:v>36755</x:v>
      </x:c>
      <x:c r="CL922" s="11" t="n">
        <x:v>40587</x:v>
      </x:c>
      <x:c r="CM922" s="11"/>
      <x:c r="CN922" s="11" t="n">
        <x:v>0</x:v>
      </x:c>
      <x:c r="CO922" s="11" t="n">
        <x:v>0</x:v>
      </x:c>
      <x:c r="CP922" s="8"/>
      <x:c r="CQ922" s="8"/>
    </x:row>
    <x:row r="923">
      <x:c r="A923" s="8" t="str">
        <x:v>Wells|2020</x:v>
      </x:c>
      <x:c r="B923" s="8" t="str">
        <x:v>wells-d</x:v>
      </x:c>
      <x:c r="C923" s="8" t="str">
        <x:v>Wells</x:v>
      </x:c>
      <x:c r="D923" s="8" t="str">
        <x:v>Wells</x:v>
      </x:c>
      <x:c r="E923" s="8" t="str">
        <x:v>D</x:v>
      </x:c>
      <x:c r="F923" s="8" t="str">
        <x:v>CAR</x:v>
      </x:c>
      <x:c r="G923" s="9" t="n">
        <x:v>2020</x:v>
      </x:c>
      <x:c r="H923" s="10" t="n">
        <x:v>231</x:v>
      </x:c>
      <x:c r="I923" s="8" t="str">
        <x:v>Under 5,000</x:v>
      </x:c>
      <x:c r="J923" s="11" t="n">
        <x:v>1531360</x:v>
      </x:c>
      <x:c r="K923" s="11" t="n">
        <x:v>1021913</x:v>
      </x:c>
      <x:c r="L923" s="11" t="n">
        <x:v>509447</x:v>
      </x:c>
      <x:c r="M923" s="12" t="n">
        <x:v>0.3326761832619371</x:v>
      </x:c>
      <x:c r="N923" s="11" t="n">
        <x:v>206058</x:v>
      </x:c>
      <x:c r="O923" s="11" t="n">
        <x:v>100944</x:v>
      </x:c>
      <x:c r="P923" s="11" t="n">
        <x:v>1042053</x:v>
      </x:c>
      <x:c r="Q923" s="11" t="n">
        <x:v>182305</x:v>
      </x:c>
      <x:c r="R923" s="11" t="n">
        <x:v>867994</x:v>
      </x:c>
      <x:c r="S923" s="11" t="n">
        <x:v>153919</x:v>
      </x:c>
      <x:c r="T923" s="11" t="n">
        <x:v>623873</x:v>
      </x:c>
      <x:c r="U923" s="11" t="n">
        <x:v>143880</x:v>
      </x:c>
      <x:c r="V923" s="11" t="n">
        <x:v>1054563</x:v>
      </x:c>
      <x:c r="W923" s="11" t="n">
        <x:v>194473</x:v>
      </x:c>
      <x:c r="X923" s="11" t="n">
        <x:v>0</x:v>
      </x:c>
      <x:c r="Y923" s="11" t="n">
        <x:v>0</x:v>
      </x:c>
      <x:c r="Z923" s="11" t="n">
        <x:v>0</x:v>
      </x:c>
      <x:c r="AA923" s="11" t="n">
        <x:v>0</x:v>
      </x:c>
      <x:c r="AB923" s="11" t="n">
        <x:v>0</x:v>
      </x:c>
      <x:c r="AC923" s="11" t="n">
        <x:v>0</x:v>
      </x:c>
      <x:c r="AD923" s="11" t="n">
        <x:v>196200</x:v>
      </x:c>
      <x:c r="AE923" s="11" t="n">
        <x:v>196200</x:v>
      </x:c>
      <x:c r="AF923" s="11" t="n">
        <x:v>784800</x:v>
      </x:c>
      <x:c r="AG923" s="11" t="n">
        <x:v>9456189</x:v>
      </x:c>
      <x:c r="AH923" s="11" t="n">
        <x:v>3173233</x:v>
      </x:c>
      <x:c r="AI923" s="11" t="n">
        <x:v>6282956</x:v>
      </x:c>
      <x:c r="AJ923" s="11" t="n">
        <x:v>18842</x:v>
      </x:c>
      <x:c r="AK923" s="11" t="n">
        <x:v>3291383</x:v>
      </x:c>
      <x:c r="AL923" s="11" t="n">
        <x:v>139374</x:v>
      </x:c>
      <x:c r="AM923" s="12" t="n">
        <x:v>0.9576548824612633</x:v>
      </x:c>
      <x:c r="AN923" s="12" t="n">
        <x:v>0.005724645232718283</x:v>
      </x:c>
      <x:c r="AO923" s="11" t="n">
        <x:v>377061</x:v>
      </x:c>
      <x:c r="AP923" s="11" t="n">
        <x:v>251367</x:v>
      </x:c>
      <x:c r="AQ923" s="12" t="n">
        <x:v>0.6666481020312364</x:v>
      </x:c>
      <x:c r="AR923" s="11" t="n">
        <x:v>6629.264069264069</x:v>
      </x:c>
      <x:c r="AS923" s="11" t="n">
        <x:v>4423.865800865801</x:v>
      </x:c>
      <x:c r="AT923" s="11" t="n">
        <x:v>4565.207792207792</x:v>
      </x:c>
      <x:c r="AU923" s="11" t="n">
        <x:v>841.8744588744589</x:v>
      </x:c>
      <x:c r="AV923" s="11" t="n">
        <x:v>0</x:v>
      </x:c>
      <x:c r="AW923" s="11" t="n">
        <x:v>4.336064776202391</x:v>
      </x:c>
      <x:c r="AX923" s="12" t="n">
        <x:v>1</x:v>
      </x:c>
      <x:c r="AY923" s="11"/>
      <x:c r="AZ923" s="11"/>
      <x:c r="BA923" s="11"/>
      <x:c r="BB923" s="11"/>
      <x:c r="BC923" s="11"/>
      <x:c r="BD923" s="11"/>
      <x:c r="BE923" s="11"/>
      <x:c r="BF923" s="11"/>
      <x:c r="BG923" s="11"/>
      <x:c r="BH923" s="11"/>
      <x:c r="BI923" s="11"/>
      <x:c r="BJ923" s="11"/>
      <x:c r="BK923" s="12"/>
      <x:c r="BL923" s="12"/>
      <x:c r="BM923" s="12"/>
      <x:c r="BN923" s="12"/>
      <x:c r="BO923" s="12"/>
      <x:c r="BP923" s="12"/>
      <x:c r="BQ923" s="12"/>
      <x:c r="BR923" s="12"/>
      <x:c r="BS923" s="12"/>
      <x:c r="BT923" s="12"/>
      <x:c r="BU923" s="11" t="n">
        <x:v>67091</x:v>
      </x:c>
      <x:c r="BV923" s="11" t="n">
        <x:v>804743</x:v>
      </x:c>
      <x:c r="BW923" s="11" t="n">
        <x:v>170219</x:v>
      </x:c>
      <x:c r="BX923" s="11" t="n">
        <x:v>0</x:v>
      </x:c>
      <x:c r="BY923" s="11" t="n">
        <x:v>168962</x:v>
      </x:c>
      <x:c r="BZ923" s="11" t="n">
        <x:v>0</x:v>
      </x:c>
      <x:c r="CA923" s="11" t="n">
        <x:v>0</x:v>
      </x:c>
      <x:c r="CB923" s="11" t="n">
        <x:v>13343</x:v>
      </x:c>
      <x:c r="CC923" s="11" t="n">
        <x:v>598033</x:v>
      </x:c>
      <x:c r="CD923" s="11" t="n">
        <x:v>26055</x:v>
      </x:c>
      <x:c r="CE923" s="11" t="n">
        <x:v>13693</x:v>
      </x:c>
      <x:c r="CF923" s="11" t="n">
        <x:v>0</x:v>
      </x:c>
      <x:c r="CG923" s="11" t="n">
        <x:v>0</x:v>
      </x:c>
      <x:c r="CH923" s="11" t="n">
        <x:v>0</x:v>
      </x:c>
      <x:c r="CI923" s="11" t="n">
        <x:v>0</x:v>
      </x:c>
      <x:c r="CJ923" s="11" t="n">
        <x:v>68522</x:v>
      </x:c>
      <x:c r="CK923" s="11" t="n">
        <x:v>56732</x:v>
      </x:c>
      <x:c r="CL923" s="11" t="n">
        <x:v>104959</x:v>
      </x:c>
      <x:c r="CM923" s="11"/>
      <x:c r="CN923" s="11" t="n">
        <x:v>0</x:v>
      </x:c>
      <x:c r="CO923" s="11" t="n">
        <x:v>0</x:v>
      </x:c>
      <x:c r="CP923" s="8"/>
      <x:c r="CQ923" s="8"/>
    </x:row>
    <x:row r="924">
      <x:c r="A924" s="8" t="str">
        <x:v>Wells|2021</x:v>
      </x:c>
      <x:c r="B924" s="8" t="str">
        <x:v>wells-d</x:v>
      </x:c>
      <x:c r="C924" s="8" t="str">
        <x:v>Wells</x:v>
      </x:c>
      <x:c r="D924" s="8" t="str">
        <x:v>Wells</x:v>
      </x:c>
      <x:c r="E924" s="8" t="str">
        <x:v>D</x:v>
      </x:c>
      <x:c r="F924" s="8" t="str">
        <x:v>CAR</x:v>
      </x:c>
      <x:c r="G924" s="9" t="n">
        <x:v>2021</x:v>
      </x:c>
      <x:c r="H924" s="10" t="n">
        <x:v>231</x:v>
      </x:c>
      <x:c r="I924" s="8" t="str">
        <x:v>Under 5,000</x:v>
      </x:c>
      <x:c r="J924" s="11"/>
      <x:c r="K924" s="11"/>
      <x:c r="L924" s="11"/>
      <x:c r="M924" s="12"/>
      <x:c r="N924" s="11"/>
      <x:c r="O924" s="11"/>
      <x:c r="P924" s="11" t="n">
        <x:v>0</x:v>
      </x:c>
      <x:c r="Q924" s="11" t="n">
        <x:v>0</x:v>
      </x:c>
      <x:c r="R924" s="11"/>
      <x:c r="S924" s="11"/>
      <x:c r="T924" s="11"/>
      <x:c r="U924" s="11"/>
      <x:c r="V924" s="11"/>
      <x:c r="W924" s="11" t="n">
        <x:v>0</x:v>
      </x:c>
      <x:c r="X924" s="11"/>
      <x:c r="Y924" s="11"/>
      <x:c r="Z924" s="11"/>
      <x:c r="AA924" s="11"/>
      <x:c r="AB924" s="11"/>
      <x:c r="AC924" s="11"/>
      <x:c r="AD924" s="11"/>
      <x:c r="AE924" s="11"/>
      <x:c r="AF924" s="11"/>
      <x:c r="AG924" s="11"/>
      <x:c r="AH924" s="11"/>
      <x:c r="AI924" s="11"/>
      <x:c r="AJ924" s="11"/>
      <x:c r="AK924" s="11"/>
      <x:c r="AL924" s="11"/>
      <x:c r="AM924" s="12"/>
      <x:c r="AN924" s="12"/>
      <x:c r="AO924" s="11"/>
      <x:c r="AP924" s="11"/>
      <x:c r="AQ924" s="12"/>
      <x:c r="AR924" s="11"/>
      <x:c r="AS924" s="11"/>
      <x:c r="AT924" s="11"/>
      <x:c r="AU924" s="11" t="n">
        <x:v>0</x:v>
      </x:c>
      <x:c r="AV924" s="11"/>
      <x:c r="AW924" s="11"/>
      <x:c r="AX924" s="12"/>
      <x:c r="AY924" s="11"/>
      <x:c r="AZ924" s="11"/>
      <x:c r="BA924" s="11"/>
      <x:c r="BB924" s="11"/>
      <x:c r="BC924" s="11"/>
      <x:c r="BD924" s="11"/>
      <x:c r="BE924" s="11"/>
      <x:c r="BF924" s="11"/>
      <x:c r="BG924" s="11"/>
      <x:c r="BH924" s="11"/>
      <x:c r="BI924" s="11"/>
      <x:c r="BJ924" s="11"/>
      <x:c r="BK924" s="12"/>
      <x:c r="BL924" s="12"/>
      <x:c r="BM924" s="12"/>
      <x:c r="BN924" s="12"/>
      <x:c r="BO924" s="12"/>
      <x:c r="BP924" s="12"/>
      <x:c r="BQ924" s="12"/>
      <x:c r="BR924" s="12"/>
      <x:c r="BS924" s="12"/>
      <x:c r="BT924" s="12"/>
      <x:c r="BU924" s="11"/>
      <x:c r="BV924" s="11"/>
      <x:c r="BW924" s="11"/>
      <x:c r="BX924" s="11"/>
      <x:c r="BY924" s="11"/>
      <x:c r="BZ924" s="11"/>
      <x:c r="CA924" s="11"/>
      <x:c r="CB924" s="11"/>
      <x:c r="CC924" s="11"/>
      <x:c r="CD924" s="11"/>
      <x:c r="CE924" s="11"/>
      <x:c r="CF924" s="11"/>
      <x:c r="CG924" s="11"/>
      <x:c r="CH924" s="11"/>
      <x:c r="CI924" s="11"/>
      <x:c r="CJ924" s="11"/>
      <x:c r="CK924" s="11"/>
      <x:c r="CL924" s="11"/>
      <x:c r="CM924" s="11"/>
      <x:c r="CN924" s="11"/>
      <x:c r="CO924" s="11"/>
      <x:c r="CP924" s="8"/>
      <x:c r="CQ924" s="8"/>
    </x:row>
    <x:row r="925">
      <x:c r="A925" s="8" t="str">
        <x:v>Wells|2022</x:v>
      </x:c>
      <x:c r="B925" s="8" t="str">
        <x:v>wells-d</x:v>
      </x:c>
      <x:c r="C925" s="8" t="str">
        <x:v>Wells</x:v>
      </x:c>
      <x:c r="D925" s="8" t="str">
        <x:v>Wells</x:v>
      </x:c>
      <x:c r="E925" s="8" t="str">
        <x:v>D</x:v>
      </x:c>
      <x:c r="F925" s="8" t="str">
        <x:v>CAR</x:v>
      </x:c>
      <x:c r="G925" s="9" t="n">
        <x:v>2022</x:v>
      </x:c>
      <x:c r="H925" s="10" t="n">
        <x:v>232</x:v>
      </x:c>
      <x:c r="I925" s="8" t="str">
        <x:v>Under 5,000</x:v>
      </x:c>
      <x:c r="J925" s="11"/>
      <x:c r="K925" s="11"/>
      <x:c r="L925" s="11"/>
      <x:c r="M925" s="12"/>
      <x:c r="N925" s="11"/>
      <x:c r="O925" s="11"/>
      <x:c r="P925" s="11" t="n">
        <x:v>0</x:v>
      </x:c>
      <x:c r="Q925" s="11" t="n">
        <x:v>0</x:v>
      </x:c>
      <x:c r="R925" s="11"/>
      <x:c r="S925" s="11"/>
      <x:c r="T925" s="11"/>
      <x:c r="U925" s="11"/>
      <x:c r="V925" s="11"/>
      <x:c r="W925" s="11" t="n">
        <x:v>0</x:v>
      </x:c>
      <x:c r="X925" s="11"/>
      <x:c r="Y925" s="11"/>
      <x:c r="Z925" s="11"/>
      <x:c r="AA925" s="11"/>
      <x:c r="AB925" s="11"/>
      <x:c r="AC925" s="11"/>
      <x:c r="AD925" s="11"/>
      <x:c r="AE925" s="11"/>
      <x:c r="AF925" s="11"/>
      <x:c r="AG925" s="11"/>
      <x:c r="AH925" s="11"/>
      <x:c r="AI925" s="11"/>
      <x:c r="AJ925" s="11"/>
      <x:c r="AK925" s="11"/>
      <x:c r="AL925" s="11"/>
      <x:c r="AM925" s="12"/>
      <x:c r="AN925" s="12"/>
      <x:c r="AO925" s="11"/>
      <x:c r="AP925" s="11"/>
      <x:c r="AQ925" s="12"/>
      <x:c r="AR925" s="11"/>
      <x:c r="AS925" s="11"/>
      <x:c r="AT925" s="11"/>
      <x:c r="AU925" s="11" t="n">
        <x:v>0</x:v>
      </x:c>
      <x:c r="AV925" s="11"/>
      <x:c r="AW925" s="11"/>
      <x:c r="AX925" s="12"/>
      <x:c r="AY925" s="11"/>
      <x:c r="AZ925" s="11"/>
      <x:c r="BA925" s="11"/>
      <x:c r="BB925" s="11"/>
      <x:c r="BC925" s="11"/>
      <x:c r="BD925" s="11"/>
      <x:c r="BE925" s="11"/>
      <x:c r="BF925" s="11"/>
      <x:c r="BG925" s="11"/>
      <x:c r="BH925" s="11"/>
      <x:c r="BI925" s="11"/>
      <x:c r="BJ925" s="11"/>
      <x:c r="BK925" s="12"/>
      <x:c r="BL925" s="12"/>
      <x:c r="BM925" s="12"/>
      <x:c r="BN925" s="12"/>
      <x:c r="BO925" s="12"/>
      <x:c r="BP925" s="12"/>
      <x:c r="BQ925" s="12"/>
      <x:c r="BR925" s="12"/>
      <x:c r="BS925" s="12"/>
      <x:c r="BT925" s="12"/>
      <x:c r="BU925" s="11"/>
      <x:c r="BV925" s="11"/>
      <x:c r="BW925" s="11"/>
      <x:c r="BX925" s="11"/>
      <x:c r="BY925" s="11"/>
      <x:c r="BZ925" s="11"/>
      <x:c r="CA925" s="11"/>
      <x:c r="CB925" s="11"/>
      <x:c r="CC925" s="11"/>
      <x:c r="CD925" s="11"/>
      <x:c r="CE925" s="11"/>
      <x:c r="CF925" s="11"/>
      <x:c r="CG925" s="11"/>
      <x:c r="CH925" s="11"/>
      <x:c r="CI925" s="11"/>
      <x:c r="CJ925" s="11"/>
      <x:c r="CK925" s="11"/>
      <x:c r="CL925" s="11"/>
      <x:c r="CM925" s="11"/>
      <x:c r="CN925" s="11"/>
      <x:c r="CO925" s="11"/>
      <x:c r="CP925" s="8"/>
      <x:c r="CQ925" s="8"/>
    </x:row>
    <x:row r="926">
      <x:c r="A926" s="8" t="str">
        <x:v>Wells|2023</x:v>
      </x:c>
      <x:c r="B926" s="8" t="str">
        <x:v>wells-d</x:v>
      </x:c>
      <x:c r="C926" s="8" t="str">
        <x:v>Wells</x:v>
      </x:c>
      <x:c r="D926" s="8" t="str">
        <x:v>Wells</x:v>
      </x:c>
      <x:c r="E926" s="8" t="str">
        <x:v>D</x:v>
      </x:c>
      <x:c r="F926" s="8" t="str">
        <x:v>CAR</x:v>
      </x:c>
      <x:c r="G926" s="9" t="n">
        <x:v>2023</x:v>
      </x:c>
      <x:c r="H926" s="10" t="n">
        <x:v>227</x:v>
      </x:c>
      <x:c r="I926" s="8" t="str">
        <x:v>Under 5,000</x:v>
      </x:c>
      <x:c r="J926" s="11"/>
      <x:c r="K926" s="11"/>
      <x:c r="L926" s="11"/>
      <x:c r="M926" s="12"/>
      <x:c r="N926" s="11"/>
      <x:c r="O926" s="11"/>
      <x:c r="P926" s="11" t="n">
        <x:v>0</x:v>
      </x:c>
      <x:c r="Q926" s="11" t="n">
        <x:v>0</x:v>
      </x:c>
      <x:c r="R926" s="11"/>
      <x:c r="S926" s="11"/>
      <x:c r="T926" s="11"/>
      <x:c r="U926" s="11"/>
      <x:c r="V926" s="11"/>
      <x:c r="W926" s="11" t="n">
        <x:v>0</x:v>
      </x:c>
      <x:c r="X926" s="11"/>
      <x:c r="Y926" s="11"/>
      <x:c r="Z926" s="11"/>
      <x:c r="AA926" s="11"/>
      <x:c r="AB926" s="11"/>
      <x:c r="AC926" s="11"/>
      <x:c r="AD926" s="11"/>
      <x:c r="AE926" s="11"/>
      <x:c r="AF926" s="11"/>
      <x:c r="AG926" s="11"/>
      <x:c r="AH926" s="11"/>
      <x:c r="AI926" s="11"/>
      <x:c r="AJ926" s="11"/>
      <x:c r="AK926" s="11"/>
      <x:c r="AL926" s="11"/>
      <x:c r="AM926" s="12"/>
      <x:c r="AN926" s="12"/>
      <x:c r="AO926" s="11"/>
      <x:c r="AP926" s="11"/>
      <x:c r="AQ926" s="12"/>
      <x:c r="AR926" s="11"/>
      <x:c r="AS926" s="11"/>
      <x:c r="AT926" s="11"/>
      <x:c r="AU926" s="11" t="n">
        <x:v>0</x:v>
      </x:c>
      <x:c r="AV926" s="11"/>
      <x:c r="AW926" s="11"/>
      <x:c r="AX926" s="12"/>
      <x:c r="AY926" s="11"/>
      <x:c r="AZ926" s="11"/>
      <x:c r="BA926" s="11"/>
      <x:c r="BB926" s="11"/>
      <x:c r="BC926" s="11"/>
      <x:c r="BD926" s="11"/>
      <x:c r="BE926" s="11"/>
      <x:c r="BF926" s="11"/>
      <x:c r="BG926" s="11"/>
      <x:c r="BH926" s="11"/>
      <x:c r="BI926" s="11"/>
      <x:c r="BJ926" s="11"/>
      <x:c r="BK926" s="12"/>
      <x:c r="BL926" s="12"/>
      <x:c r="BM926" s="12"/>
      <x:c r="BN926" s="12"/>
      <x:c r="BO926" s="12"/>
      <x:c r="BP926" s="12"/>
      <x:c r="BQ926" s="12"/>
      <x:c r="BR926" s="12"/>
      <x:c r="BS926" s="12"/>
      <x:c r="BT926" s="12"/>
      <x:c r="BU926" s="11"/>
      <x:c r="BV926" s="11"/>
      <x:c r="BW926" s="11"/>
      <x:c r="BX926" s="11"/>
      <x:c r="BY926" s="11"/>
      <x:c r="BZ926" s="11"/>
      <x:c r="CA926" s="11"/>
      <x:c r="CB926" s="11"/>
      <x:c r="CC926" s="11"/>
      <x:c r="CD926" s="11"/>
      <x:c r="CE926" s="11"/>
      <x:c r="CF926" s="11"/>
      <x:c r="CG926" s="11"/>
      <x:c r="CH926" s="11"/>
      <x:c r="CI926" s="11"/>
      <x:c r="CJ926" s="11"/>
      <x:c r="CK926" s="11"/>
      <x:c r="CL926" s="11"/>
      <x:c r="CM926" s="11"/>
      <x:c r="CN926" s="11"/>
      <x:c r="CO926" s="11"/>
      <x:c r="CP926" s="8"/>
      <x:c r="CQ926" s="8"/>
    </x:row>
    <x:row r="927">
      <x:c r="A927" s="8" t="str">
        <x:v>Wells|2024</x:v>
      </x:c>
      <x:c r="B927" s="8" t="str">
        <x:v>wells-d</x:v>
      </x:c>
      <x:c r="C927" s="8" t="str">
        <x:v>Wells</x:v>
      </x:c>
      <x:c r="D927" s="8" t="str">
        <x:v>Wells</x:v>
      </x:c>
      <x:c r="E927" s="8" t="str">
        <x:v>D</x:v>
      </x:c>
      <x:c r="F927" s="8" t="str">
        <x:v>CAR</x:v>
      </x:c>
      <x:c r="G927" s="9" t="n">
        <x:v>2024</x:v>
      </x:c>
      <x:c r="H927" s="10" t="n">
        <x:v>227</x:v>
      </x:c>
      <x:c r="I927" s="8" t="str">
        <x:v>Under 5,000</x:v>
      </x:c>
      <x:c r="J927" s="11"/>
      <x:c r="K927" s="11"/>
      <x:c r="L927" s="11"/>
      <x:c r="M927" s="12"/>
      <x:c r="N927" s="11"/>
      <x:c r="O927" s="11"/>
      <x:c r="P927" s="11" t="n">
        <x:v>0</x:v>
      </x:c>
      <x:c r="Q927" s="11" t="n">
        <x:v>0</x:v>
      </x:c>
      <x:c r="R927" s="11"/>
      <x:c r="S927" s="11"/>
      <x:c r="T927" s="11"/>
      <x:c r="U927" s="11"/>
      <x:c r="V927" s="11"/>
      <x:c r="W927" s="11" t="n">
        <x:v>0</x:v>
      </x:c>
      <x:c r="X927" s="11"/>
      <x:c r="Y927" s="11"/>
      <x:c r="Z927" s="11"/>
      <x:c r="AA927" s="11"/>
      <x:c r="AB927" s="11"/>
      <x:c r="AC927" s="11"/>
      <x:c r="AD927" s="11"/>
      <x:c r="AE927" s="11"/>
      <x:c r="AF927" s="11"/>
      <x:c r="AG927" s="11"/>
      <x:c r="AH927" s="11"/>
      <x:c r="AI927" s="11"/>
      <x:c r="AJ927" s="11"/>
      <x:c r="AK927" s="11"/>
      <x:c r="AL927" s="11"/>
      <x:c r="AM927" s="12"/>
      <x:c r="AN927" s="12"/>
      <x:c r="AO927" s="11"/>
      <x:c r="AP927" s="11"/>
      <x:c r="AQ927" s="12"/>
      <x:c r="AR927" s="11"/>
      <x:c r="AS927" s="11"/>
      <x:c r="AT927" s="11"/>
      <x:c r="AU927" s="11" t="n">
        <x:v>0</x:v>
      </x:c>
      <x:c r="AV927" s="11"/>
      <x:c r="AW927" s="11"/>
      <x:c r="AX927" s="12"/>
      <x:c r="AY927" s="11" t="n">
        <x:v>4486.511144130758</x:v>
      </x:c>
      <x:c r="AZ927" s="11" t="n">
        <x:v>3546.5079302077975</x:v>
      </x:c>
      <x:c r="BA927" s="11" t="n">
        <x:v>3557.844717668488</x:v>
      </x:c>
      <x:c r="BB927" s="11" t="n">
        <x:v>2783.665107049771</x:v>
      </x:c>
      <x:c r="BC927" s="11" t="n">
        <x:v>5496.677373974208</x:v>
      </x:c>
      <x:c r="BD927" s="11" t="n">
        <x:v>2437.8724475115623</x:v>
      </x:c>
      <x:c r="BE927" s="11" t="n">
        <x:v>3386.4506393861893</x:v>
      </x:c>
      <x:c r="BF927" s="11" t="n">
        <x:v>1604.3462673977224</x:v>
      </x:c>
      <x:c r="BG927" s="11" t="n">
        <x:v>624.7436119532265</x:v>
      </x:c>
      <x:c r="BH927" s="11" t="n">
        <x:v>518.5374381567245</x:v>
      </x:c>
      <x:c r="BI927" s="11" t="n">
        <x:v>3.324657351485151</x:v>
      </x:c>
      <x:c r="BJ927" s="11" t="n">
        <x:v>1.7099330852451193</x:v>
      </x:c>
      <x:c r="BK927" s="12" t="n">
        <x:v>0.02521828600111612</x:v>
      </x:c>
      <x:c r="BL927" s="12" t="n">
        <x:v>0.02529861000232605</x:v>
      </x:c>
      <x:c r="BM927" s="12" t="n">
        <x:v>0.9816336034641139</x:v>
      </x:c>
      <x:c r="BN927" s="12" t="n">
        <x:v>0.9815511712696461</x:v>
      </x:c>
      <x:c r="BO927" s="12" t="n">
        <x:v>0.8531878894527055</x:v>
      </x:c>
      <x:c r="BP927" s="12" t="n">
        <x:v>0.8619101997275483</x:v>
      </x:c>
      <x:c r="BQ927" s="12" t="n">
        <x:v>0.9614729661922712</x:v>
      </x:c>
      <x:c r="BR927" s="12" t="n">
        <x:v>0.9623635142836453</x:v>
      </x:c>
      <x:c r="BS927" s="12" t="n">
        <x:v>0.23352896680225554</x:v>
      </x:c>
      <x:c r="BT927" s="12" t="n">
        <x:v>0.19976549769108282</x:v>
      </x:c>
      <x:c r="BU927" s="11"/>
      <x:c r="BV927" s="11"/>
      <x:c r="BW927" s="11"/>
      <x:c r="BX927" s="11"/>
      <x:c r="BY927" s="11"/>
      <x:c r="BZ927" s="11"/>
      <x:c r="CA927" s="11"/>
      <x:c r="CB927" s="11"/>
      <x:c r="CC927" s="11"/>
      <x:c r="CD927" s="11"/>
      <x:c r="CE927" s="11"/>
      <x:c r="CF927" s="11"/>
      <x:c r="CG927" s="11"/>
      <x:c r="CH927" s="11"/>
      <x:c r="CI927" s="11"/>
      <x:c r="CJ927" s="11"/>
      <x:c r="CK927" s="11"/>
      <x:c r="CL927" s="11"/>
      <x:c r="CM927" s="11"/>
      <x:c r="CN927" s="11"/>
      <x:c r="CO927" s="11"/>
      <x:c r="CP927" s="8"/>
      <x:c r="CQ927" s="8"/>
    </x:row>
    <x:row r="928">
      <x:c r="A928" s="8" t="str">
        <x:v>West Kelowna|2019</x:v>
      </x:c>
      <x:c r="B928" s="8" t="str">
        <x:v>west-kelowna-c</x:v>
      </x:c>
      <x:c r="C928" s="8" t="str">
        <x:v>West Kelowna</x:v>
      </x:c>
      <x:c r="D928" s="8" t="str">
        <x:v>West Kelowna</x:v>
      </x:c>
      <x:c r="E928" s="8" t="str">
        <x:v>C</x:v>
      </x:c>
      <x:c r="F928" s="8" t="str">
        <x:v>COK</x:v>
      </x:c>
      <x:c r="G928" s="9" t="n">
        <x:v>2019</x:v>
      </x:c>
      <x:c r="H928" s="10" t="n">
        <x:v>35818</x:v>
      </x:c>
      <x:c r="I928" s="8" t="str">
        <x:v>20,000 to 99,999</x:v>
      </x:c>
      <x:c r="J928" s="11" t="n">
        <x:v>69741073</x:v>
      </x:c>
      <x:c r="K928" s="11" t="n">
        <x:v>65633226</x:v>
      </x:c>
      <x:c r="L928" s="11" t="n">
        <x:v>4107847</x:v>
      </x:c>
      <x:c r="M928" s="12" t="n">
        <x:v>0.0589014023343174</x:v>
      </x:c>
      <x:c r="N928" s="11" t="n">
        <x:v>34603407</x:v>
      </x:c>
      <x:c r="O928" s="11" t="n">
        <x:v>23145843</x:v>
      </x:c>
      <x:c r="P928" s="11" t="n">
        <x:v>3134271</x:v>
      </x:c>
      <x:c r="Q928" s="11" t="n">
        <x:v>8857552</x:v>
      </x:c>
      <x:c r="R928" s="11" t="n">
        <x:v>52811533</x:v>
      </x:c>
      <x:c r="S928" s="11" t="n">
        <x:v>11856221</x:v>
      </x:c>
      <x:c r="T928" s="11" t="n">
        <x:v>55623923</x:v>
      </x:c>
      <x:c r="U928" s="11" t="n">
        <x:v>67526081</x:v>
      </x:c>
      <x:c r="V928" s="11" t="n">
        <x:v>6895326</x:v>
      </x:c>
      <x:c r="W928" s="11" t="n">
        <x:v>14816779</x:v>
      </x:c>
      <x:c r="X928" s="11" t="n">
        <x:v>18820360</x:v>
      </x:c>
      <x:c r="Y928" s="11" t="n">
        <x:v>0</x:v>
      </x:c>
      <x:c r="Z928" s="11" t="n">
        <x:v>1547830</x:v>
      </x:c>
      <x:c r="AA928" s="11" t="n">
        <x:v>16563331</x:v>
      </x:c>
      <x:c r="AB928" s="11" t="n">
        <x:v>965472</x:v>
      </x:c>
      <x:c r="AC928" s="11" t="n">
        <x:v>2513302</x:v>
      </x:c>
      <x:c r="AD928" s="11" t="n">
        <x:v>16043472</x:v>
      </x:c>
      <x:c r="AE928" s="11" t="n">
        <x:v>13530170</x:v>
      </x:c>
      <x:c r="AF928" s="11" t="n">
        <x:v>64173889</x:v>
      </x:c>
      <x:c r="AG928" s="11" t="n">
        <x:v>616461174</x:v>
      </x:c>
      <x:c r="AH928" s="11" t="n">
        <x:v>239116823</x:v>
      </x:c>
      <x:c r="AI928" s="11" t="n">
        <x:v>377344351</x:v>
      </x:c>
      <x:c r="AJ928" s="11" t="n">
        <x:v>15106946</x:v>
      </x:c>
      <x:c r="AK928" s="11" t="n">
        <x:v>114858948</x:v>
      </x:c>
      <x:c r="AL928" s="11" t="n">
        <x:v>0</x:v>
      </x:c>
      <x:c r="AM928" s="12" t="n">
        <x:v>1</x:v>
      </x:c>
      <x:c r="AN928" s="12" t="n">
        <x:v>0.13152606969724293</x:v>
      </x:c>
      <x:c r="AO928" s="11" t="n">
        <x:v>59642971</x:v>
      </x:c>
      <x:c r="AP928" s="11" t="n">
        <x:v>56716862</x:v>
      </x:c>
      <x:c r="AQ928" s="12" t="n">
        <x:v>0.9509395834758131</x:v>
      </x:c>
      <x:c r="AR928" s="11" t="n">
        <x:v>1947.0956781506504</x:v>
      </x:c>
      <x:c r="AS928" s="11" t="n">
        <x:v>1832.4090122284886</x:v>
      </x:c>
      <x:c r="AT928" s="11" t="n">
        <x:v>192.51007873136413</x:v>
      </x:c>
      <x:c r="AU928" s="11" t="n">
        <x:v>413.6685186219219</x:v>
      </x:c>
      <x:c r="AV928" s="11" t="n">
        <x:v>462.4303702049249</x:v>
      </x:c>
      <x:c r="AW928" s="11" t="n">
        <x:v>0.8237398376488042</x:v>
      </x:c>
      <x:c r="AX928" s="12" t="n">
        <x:v>0.84334425864925</x:v>
      </x:c>
      <x:c r="AY928" s="11"/>
      <x:c r="AZ928" s="11"/>
      <x:c r="BA928" s="11"/>
      <x:c r="BB928" s="11"/>
      <x:c r="BC928" s="11"/>
      <x:c r="BD928" s="11"/>
      <x:c r="BE928" s="11"/>
      <x:c r="BF928" s="11"/>
      <x:c r="BG928" s="11"/>
      <x:c r="BH928" s="11"/>
      <x:c r="BI928" s="11"/>
      <x:c r="BJ928" s="11"/>
      <x:c r="BK928" s="12"/>
      <x:c r="BL928" s="12"/>
      <x:c r="BM928" s="12"/>
      <x:c r="BN928" s="12"/>
      <x:c r="BO928" s="12"/>
      <x:c r="BP928" s="12"/>
      <x:c r="BQ928" s="12"/>
      <x:c r="BR928" s="12"/>
      <x:c r="BS928" s="12"/>
      <x:c r="BT928" s="12"/>
      <x:c r="BU928" s="11" t="n">
        <x:v>386011</x:v>
      </x:c>
      <x:c r="BV928" s="11" t="n">
        <x:v>281550</x:v>
      </x:c>
      <x:c r="BW928" s="11" t="n">
        <x:v>2466710</x:v>
      </x:c>
      <x:c r="BX928" s="11" t="n">
        <x:v>1679477</x:v>
      </x:c>
      <x:c r="BY928" s="11" t="n">
        <x:v>0</x:v>
      </x:c>
      <x:c r="BZ928" s="11" t="n">
        <x:v>1971558</x:v>
      </x:c>
      <x:c r="CA928" s="11" t="n">
        <x:v>0</x:v>
      </x:c>
      <x:c r="CB928" s="11" t="n">
        <x:v>5206517</x:v>
      </x:c>
      <x:c r="CC928" s="11" t="n">
        <x:v>7916640</x:v>
      </x:c>
      <x:c r="CD928" s="11" t="n">
        <x:v>15920513</x:v>
      </x:c>
      <x:c r="CE928" s="11" t="n">
        <x:v>2431843</x:v>
      </x:c>
      <x:c r="CF928" s="11" t="n">
        <x:v>90022</x:v>
      </x:c>
      <x:c r="CG928" s="11" t="n">
        <x:v>2636839</x:v>
      </x:c>
      <x:c r="CH928" s="11" t="n">
        <x:v>5723434</x:v>
      </x:c>
      <x:c r="CI928" s="11" t="n">
        <x:v>8067926</x:v>
      </x:c>
      <x:c r="CJ928" s="11" t="n">
        <x:v>5704016</x:v>
      </x:c>
      <x:c r="CK928" s="11" t="n">
        <x:v>4891789</x:v>
      </x:c>
      <x:c r="CL928" s="11" t="n">
        <x:v>381694</x:v>
      </x:c>
      <x:c r="CM928" s="11"/>
      <x:c r="CN928" s="11" t="n">
        <x:v>12289</x:v>
      </x:c>
      <x:c r="CO928" s="11" t="n">
        <x:v>0</x:v>
      </x:c>
      <x:c r="CP928" s="8"/>
      <x:c r="CQ928" s="8"/>
    </x:row>
    <x:row r="929">
      <x:c r="A929" s="8" t="str">
        <x:v>West Kelowna|2020</x:v>
      </x:c>
      <x:c r="B929" s="8" t="str">
        <x:v>west-kelowna-c</x:v>
      </x:c>
      <x:c r="C929" s="8" t="str">
        <x:v>West Kelowna</x:v>
      </x:c>
      <x:c r="D929" s="8" t="str">
        <x:v>West Kelowna</x:v>
      </x:c>
      <x:c r="E929" s="8" t="str">
        <x:v>C</x:v>
      </x:c>
      <x:c r="F929" s="8" t="str">
        <x:v>COK</x:v>
      </x:c>
      <x:c r="G929" s="9" t="n">
        <x:v>2020</x:v>
      </x:c>
      <x:c r="H929" s="10" t="n">
        <x:v>36496</x:v>
      </x:c>
      <x:c r="I929" s="8" t="str">
        <x:v>20,000 to 99,999</x:v>
      </x:c>
      <x:c r="J929" s="11" t="n">
        <x:v>78645401</x:v>
      </x:c>
      <x:c r="K929" s="11" t="n">
        <x:v>67528877</x:v>
      </x:c>
      <x:c r="L929" s="11" t="n">
        <x:v>11116524</x:v>
      </x:c>
      <x:c r="M929" s="12" t="n">
        <x:v>0.14134995636934955</x:v>
      </x:c>
      <x:c r="N929" s="11" t="n">
        <x:v>35860409</x:v>
      </x:c>
      <x:c r="O929" s="11" t="n">
        <x:v>24418233</x:v>
      </x:c>
      <x:c r="P929" s="11" t="n">
        <x:v>12473908</x:v>
      </x:c>
      <x:c r="Q929" s="11" t="n">
        <x:v>5892851</x:v>
      </x:c>
      <x:c r="R929" s="11" t="n">
        <x:v>54353304</x:v>
      </x:c>
      <x:c r="S929" s="11" t="n">
        <x:v>12384765</x:v>
      </x:c>
      <x:c r="T929" s="11" t="n">
        <x:v>65130882</x:v>
      </x:c>
      <x:c r="U929" s="11" t="n">
        <x:v>74224180</x:v>
      </x:c>
      <x:c r="V929" s="11" t="n">
        <x:v>10095134</x:v>
      </x:c>
      <x:c r="W929" s="11" t="n">
        <x:v>18150548</x:v>
      </x:c>
      <x:c r="X929" s="11" t="n">
        <x:v>16563331</x:v>
      </x:c>
      <x:c r="Y929" s="11" t="n">
        <x:v>500000</x:v>
      </x:c>
      <x:c r="Z929" s="11" t="n">
        <x:v>1545765</x:v>
      </x:c>
      <x:c r="AA929" s="11" t="n">
        <x:v>14816338</x:v>
      </x:c>
      <x:c r="AB929" s="11" t="n">
        <x:v>790808</x:v>
      </x:c>
      <x:c r="AC929" s="11" t="n">
        <x:v>2336573</x:v>
      </x:c>
      <x:c r="AD929" s="11" t="n">
        <x:v>16366065</x:v>
      </x:c>
      <x:c r="AE929" s="11" t="n">
        <x:v>14029492</x:v>
      </x:c>
      <x:c r="AF929" s="11" t="n">
        <x:v>65464260</x:v>
      </x:c>
      <x:c r="AG929" s="11" t="n">
        <x:v>635585085</x:v>
      </x:c>
      <x:c r="AH929" s="11" t="n">
        <x:v>250235644</x:v>
      </x:c>
      <x:c r="AI929" s="11" t="n">
        <x:v>385349441</x:v>
      </x:c>
      <x:c r="AJ929" s="11" t="n">
        <x:v>20595377</x:v>
      </x:c>
      <x:c r="AK929" s="11" t="n">
        <x:v>126671723</x:v>
      </x:c>
      <x:c r="AL929" s="11" t="n">
        <x:v>0</x:v>
      </x:c>
      <x:c r="AM929" s="12" t="n">
        <x:v>1</x:v>
      </x:c>
      <x:c r="AN929" s="12" t="n">
        <x:v>0.16258859129910153</x:v>
      </x:c>
      <x:c r="AO929" s="11" t="n">
        <x:v>60766439</x:v>
      </x:c>
      <x:c r="AP929" s="11" t="n">
        <x:v>57515115</x:v>
      </x:c>
      <x:c r="AQ929" s="12" t="n">
        <x:v>0.9464947419413535</x:v>
      </x:c>
      <x:c r="AR929" s="11" t="n">
        <x:v>2154.904674484875</x:v>
      </x:c>
      <x:c r="AS929" s="11" t="n">
        <x:v>1850.3089927663304</x:v>
      </x:c>
      <x:c r="AT929" s="11" t="n">
        <x:v>276.6093270495397</x:v>
      </x:c>
      <x:c r="AU929" s="11" t="n">
        <x:v>497.3297895659798</x:v>
      </x:c>
      <x:c r="AV929" s="11" t="n">
        <x:v>405.97155852696187</x:v>
      </x:c>
      <x:c r="AW929" s="11" t="n">
        <x:v>0.8774887374976726</x:v>
      </x:c>
      <x:c r="AX929" s="12" t="n">
        <x:v>0.8572306171336849</x:v>
      </x:c>
      <x:c r="AY929" s="11"/>
      <x:c r="AZ929" s="11"/>
      <x:c r="BA929" s="11"/>
      <x:c r="BB929" s="11"/>
      <x:c r="BC929" s="11"/>
      <x:c r="BD929" s="11"/>
      <x:c r="BE929" s="11"/>
      <x:c r="BF929" s="11"/>
      <x:c r="BG929" s="11"/>
      <x:c r="BH929" s="11"/>
      <x:c r="BI929" s="11"/>
      <x:c r="BJ929" s="11"/>
      <x:c r="BK929" s="12"/>
      <x:c r="BL929" s="12"/>
      <x:c r="BM929" s="12"/>
      <x:c r="BN929" s="12"/>
      <x:c r="BO929" s="12"/>
      <x:c r="BP929" s="12"/>
      <x:c r="BQ929" s="12"/>
      <x:c r="BR929" s="12"/>
      <x:c r="BS929" s="12"/>
      <x:c r="BT929" s="12"/>
      <x:c r="BU929" s="11" t="n">
        <x:v>5779699</x:v>
      </x:c>
      <x:c r="BV929" s="11" t="n">
        <x:v>5263917</x:v>
      </x:c>
      <x:c r="BW929" s="11" t="n">
        <x:v>1430292</x:v>
      </x:c>
      <x:c r="BX929" s="11" t="n">
        <x:v>1208722</x:v>
      </x:c>
      <x:c r="BY929" s="11" t="n">
        <x:v>0</x:v>
      </x:c>
      <x:c r="BZ929" s="11" t="n">
        <x:v>333147</x:v>
      </x:c>
      <x:c r="CA929" s="11" t="n">
        <x:v>0</x:v>
      </x:c>
      <x:c r="CB929" s="11" t="n">
        <x:v>4350982</x:v>
      </x:c>
      <x:c r="CC929" s="11" t="n">
        <x:v>7847637</x:v>
      </x:c>
      <x:c r="CD929" s="11" t="n">
        <x:v>16902740</x:v>
      </x:c>
      <x:c r="CE929" s="11" t="n">
        <x:v>1696720</x:v>
      </x:c>
      <x:c r="CF929" s="11" t="n">
        <x:v>66976</x:v>
      </x:c>
      <x:c r="CG929" s="11" t="n">
        <x:v>2762391</x:v>
      </x:c>
      <x:c r="CH929" s="11" t="n">
        <x:v>5808567</x:v>
      </x:c>
      <x:c r="CI929" s="11" t="n">
        <x:v>8109394</x:v>
      </x:c>
      <x:c r="CJ929" s="11" t="n">
        <x:v>6257643</x:v>
      </x:c>
      <x:c r="CK929" s="11" t="n">
        <x:v>5119630</x:v>
      </x:c>
      <x:c r="CL929" s="11" t="n">
        <x:v>366893</x:v>
      </x:c>
      <x:c r="CM929" s="11"/>
      <x:c r="CN929" s="11" t="n">
        <x:v>205521</x:v>
      </x:c>
      <x:c r="CO929" s="11" t="n">
        <x:v>0</x:v>
      </x:c>
      <x:c r="CP929" s="8"/>
      <x:c r="CQ929" s="8"/>
    </x:row>
    <x:row r="930">
      <x:c r="A930" s="8" t="str">
        <x:v>West Kelowna|2021</x:v>
      </x:c>
      <x:c r="B930" s="8" t="str">
        <x:v>west-kelowna-c</x:v>
      </x:c>
      <x:c r="C930" s="8" t="str">
        <x:v>West Kelowna</x:v>
      </x:c>
      <x:c r="D930" s="8" t="str">
        <x:v>West Kelowna</x:v>
      </x:c>
      <x:c r="E930" s="8" t="str">
        <x:v>C</x:v>
      </x:c>
      <x:c r="F930" s="8" t="str">
        <x:v>COK</x:v>
      </x:c>
      <x:c r="G930" s="9" t="n">
        <x:v>2021</x:v>
      </x:c>
      <x:c r="H930" s="10" t="n">
        <x:v>38311</x:v>
      </x:c>
      <x:c r="I930" s="8" t="str">
        <x:v>20,000 to 99,999</x:v>
      </x:c>
      <x:c r="J930" s="11" t="n">
        <x:v>83731408</x:v>
      </x:c>
      <x:c r="K930" s="11" t="n">
        <x:v>68771269</x:v>
      </x:c>
      <x:c r="L930" s="11" t="n">
        <x:v>14960139</x:v>
      </x:c>
      <x:c r="M930" s="12" t="n">
        <x:v>0.17866818864433762</x:v>
      </x:c>
      <x:c r="N930" s="11" t="n">
        <x:v>38685335</x:v>
      </x:c>
      <x:c r="O930" s="11" t="n">
        <x:v>27067226</x:v>
      </x:c>
      <x:c r="P930" s="11" t="n">
        <x:v>9520677</x:v>
      </x:c>
      <x:c r="Q930" s="11" t="n">
        <x:v>8458170</x:v>
      </x:c>
      <x:c r="R930" s="11" t="n">
        <x:v>55372227</x:v>
      </x:c>
      <x:c r="S930" s="11" t="n">
        <x:v>12695804</x:v>
      </x:c>
      <x:c r="T930" s="11" t="n">
        <x:v>63217545</x:v>
      </x:c>
      <x:c r="U930" s="11" t="n">
        <x:v>76240622</x:v>
      </x:c>
      <x:c r="V930" s="11" t="n">
        <x:v>8093678</x:v>
      </x:c>
      <x:c r="W930" s="11" t="n">
        <x:v>25276767</x:v>
      </x:c>
      <x:c r="X930" s="11" t="n">
        <x:v>14816338</x:v>
      </x:c>
      <x:c r="Y930" s="11" t="n">
        <x:v>3843410</x:v>
      </x:c>
      <x:c r="Z930" s="11" t="n">
        <x:v>1705851</x:v>
      </x:c>
      <x:c r="AA930" s="11" t="n">
        <x:v>16497266</x:v>
      </x:c>
      <x:c r="AB930" s="11" t="n">
        <x:v>703238</x:v>
      </x:c>
      <x:c r="AC930" s="11" t="n">
        <x:v>2409089</x:v>
      </x:c>
      <x:c r="AD930" s="11" t="n">
        <x:v>17706911</x:v>
      </x:c>
      <x:c r="AE930" s="11" t="n">
        <x:v>12323922</x:v>
      </x:c>
      <x:c r="AF930" s="11" t="n">
        <x:v>70827643</x:v>
      </x:c>
      <x:c r="AG930" s="11" t="n">
        <x:v>660126224</x:v>
      </x:c>
      <x:c r="AH930" s="11" t="n">
        <x:v>259304370</x:v>
      </x:c>
      <x:c r="AI930" s="11" t="n">
        <x:v>400821854</x:v>
      </x:c>
      <x:c r="AJ930" s="11" t="n">
        <x:v>28646380</x:v>
      </x:c>
      <x:c r="AK930" s="11" t="n">
        <x:v>142419284</x:v>
      </x:c>
      <x:c r="AL930" s="11" t="n">
        <x:v>0</x:v>
      </x:c>
      <x:c r="AM930" s="12" t="n">
        <x:v>1</x:v>
      </x:c>
      <x:c r="AN930" s="12" t="n">
        <x:v>0.20114116006930635</x:v>
      </x:c>
      <x:c r="AO930" s="11" t="n">
        <x:v>66659579</x:v>
      </x:c>
      <x:c r="AP930" s="11" t="n">
        <x:v>63747953</x:v>
      </x:c>
      <x:c r="AQ930" s="12" t="n">
        <x:v>0.9563209662635284</x:v>
      </x:c>
      <x:c r="AR930" s="11" t="n">
        <x:v>2185.570932630315</x:v>
      </x:c>
      <x:c r="AS930" s="11" t="n">
        <x:v>1795.078932943541</x:v>
      </x:c>
      <x:c r="AT930" s="11" t="n">
        <x:v>211.26250946203442</x:v>
      </x:c>
      <x:c r="AU930" s="11" t="n">
        <x:v>659.7783143222573</x:v>
      </x:c>
      <x:c r="AV930" s="11" t="n">
        <x:v>430.6143405288298</x:v>
      </x:c>
      <x:c r="AW930" s="11" t="n">
        <x:v>0.8291845389194228</x:v>
      </x:c>
      <x:c r="AX930" s="12" t="n">
        <x:v>0.6959950270264531</x:v>
      </x:c>
      <x:c r="AY930" s="11"/>
      <x:c r="AZ930" s="11"/>
      <x:c r="BA930" s="11"/>
      <x:c r="BB930" s="11"/>
      <x:c r="BC930" s="11"/>
      <x:c r="BD930" s="11"/>
      <x:c r="BE930" s="11"/>
      <x:c r="BF930" s="11"/>
      <x:c r="BG930" s="11"/>
      <x:c r="BH930" s="11"/>
      <x:c r="BI930" s="11"/>
      <x:c r="BJ930" s="11"/>
      <x:c r="BK930" s="12"/>
      <x:c r="BL930" s="12"/>
      <x:c r="BM930" s="12"/>
      <x:c r="BN930" s="12"/>
      <x:c r="BO930" s="12"/>
      <x:c r="BP930" s="12"/>
      <x:c r="BQ930" s="12"/>
      <x:c r="BR930" s="12"/>
      <x:c r="BS930" s="12"/>
      <x:c r="BT930" s="12"/>
      <x:c r="BU930" s="11" t="n">
        <x:v>5796921</x:v>
      </x:c>
      <x:c r="BV930" s="11" t="n">
        <x:v>798373</x:v>
      </x:c>
      <x:c r="BW930" s="11" t="n">
        <x:v>2925383</x:v>
      </x:c>
      <x:c r="BX930" s="11" t="n">
        <x:v>1126204</x:v>
      </x:c>
      <x:c r="BY930" s="11" t="n">
        <x:v>0</x:v>
      </x:c>
      <x:c r="BZ930" s="11" t="n">
        <x:v>3265952</x:v>
      </x:c>
      <x:c r="CA930" s="11" t="n">
        <x:v>0</x:v>
      </x:c>
      <x:c r="CB930" s="11" t="n">
        <x:v>4066014</x:v>
      </x:c>
      <x:c r="CC930" s="11" t="n">
        <x:v>8272536</x:v>
      </x:c>
      <x:c r="CD930" s="11" t="n">
        <x:v>16271812</x:v>
      </x:c>
      <x:c r="CE930" s="11" t="n">
        <x:v>1780086</x:v>
      </x:c>
      <x:c r="CF930" s="11" t="n">
        <x:v>65341</x:v>
      </x:c>
      <x:c r="CG930" s="11" t="n">
        <x:v>2831106</x:v>
      </x:c>
      <x:c r="CH930" s="11" t="n">
        <x:v>5722473</x:v>
      </x:c>
      <x:c r="CI930" s="11" t="n">
        <x:v>8563372</x:v>
      </x:c>
      <x:c r="CJ930" s="11" t="n">
        <x:v>6624787</x:v>
      </x:c>
      <x:c r="CK930" s="11" t="n">
        <x:v>5148320</x:v>
      </x:c>
      <x:c r="CL930" s="11" t="n">
        <x:v>317469</x:v>
      </x:c>
      <x:c r="CM930" s="11"/>
      <x:c r="CN930" s="11" t="n">
        <x:v>478163</x:v>
      </x:c>
      <x:c r="CO930" s="11" t="n">
        <x:v>0</x:v>
      </x:c>
      <x:c r="CP930" s="8"/>
      <x:c r="CQ930" s="8"/>
    </x:row>
    <x:row r="931">
      <x:c r="A931" s="8" t="str">
        <x:v>West Kelowna|2022</x:v>
      </x:c>
      <x:c r="B931" s="8" t="str">
        <x:v>west-kelowna-c</x:v>
      </x:c>
      <x:c r="C931" s="8" t="str">
        <x:v>West Kelowna</x:v>
      </x:c>
      <x:c r="D931" s="8" t="str">
        <x:v>West Kelowna</x:v>
      </x:c>
      <x:c r="E931" s="8" t="str">
        <x:v>C</x:v>
      </x:c>
      <x:c r="F931" s="8" t="str">
        <x:v>COK</x:v>
      </x:c>
      <x:c r="G931" s="9" t="n">
        <x:v>2022</x:v>
      </x:c>
      <x:c r="H931" s="10" t="n">
        <x:v>38745</x:v>
      </x:c>
      <x:c r="I931" s="8" t="str">
        <x:v>20,000 to 99,999</x:v>
      </x:c>
      <x:c r="J931" s="11" t="n">
        <x:v>107668761</x:v>
      </x:c>
      <x:c r="K931" s="11" t="n">
        <x:v>73512110</x:v>
      </x:c>
      <x:c r="L931" s="11" t="n">
        <x:v>34156651</x:v>
      </x:c>
      <x:c r="M931" s="12" t="n">
        <x:v>0.3172382656098364</x:v>
      </x:c>
      <x:c r="N931" s="11" t="n">
        <x:v>40716284</x:v>
      </x:c>
      <x:c r="O931" s="11" t="n">
        <x:v>32862532</x:v>
      </x:c>
      <x:c r="P931" s="11" t="n">
        <x:v>25810851</x:v>
      </x:c>
      <x:c r="Q931" s="11" t="n">
        <x:v>8279094</x:v>
      </x:c>
      <x:c r="R931" s="11" t="n">
        <x:v>60036310</x:v>
      </x:c>
      <x:c r="S931" s="11" t="n">
        <x:v>12562802</x:v>
      </x:c>
      <x:c r="T931" s="11" t="n">
        <x:v>59607916</x:v>
      </x:c>
      <x:c r="U931" s="11" t="n">
        <x:v>87161274</x:v>
      </x:c>
      <x:c r="V931" s="11" t="n">
        <x:v>-410226</x:v>
      </x:c>
      <x:c r="W931" s="11" t="n">
        <x:v>28227729</x:v>
      </x:c>
      <x:c r="X931" s="11" t="n">
        <x:v>16497266</x:v>
      </x:c>
      <x:c r="Y931" s="11" t="n">
        <x:v>18469192</x:v>
      </x:c>
      <x:c r="Z931" s="11" t="n">
        <x:v>1764058</x:v>
      </x:c>
      <x:c r="AA931" s="11" t="n">
        <x:v>32588625</x:v>
      </x:c>
      <x:c r="AB931" s="11" t="n">
        <x:v>912998</x:v>
      </x:c>
      <x:c r="AC931" s="11" t="n">
        <x:v>2677056</x:v>
      </x:c>
      <x:c r="AD931" s="11" t="n">
        <x:v>18787742</x:v>
      </x:c>
      <x:c r="AE931" s="11" t="n">
        <x:v>14777136</x:v>
      </x:c>
      <x:c r="AF931" s="11" t="n">
        <x:v>75150966</x:v>
      </x:c>
      <x:c r="AG931" s="11" t="n">
        <x:v>715569606</x:v>
      </x:c>
      <x:c r="AH931" s="11" t="n">
        <x:v>271271239</x:v>
      </x:c>
      <x:c r="AI931" s="11" t="n">
        <x:v>444298367</x:v>
      </x:c>
      <x:c r="AJ931" s="11" t="n">
        <x:v>56180024</x:v>
      </x:c>
      <x:c r="AK931" s="11" t="n">
        <x:v>178009502</x:v>
      </x:c>
      <x:c r="AL931" s="11" t="n">
        <x:v>0</x:v>
      </x:c>
      <x:c r="AM931" s="12" t="n">
        <x:v>1</x:v>
      </x:c>
      <x:c r="AN931" s="12" t="n">
        <x:v>0.31560126492573415</x:v>
      </x:c>
      <x:c r="AO931" s="11" t="n">
        <x:v>70536874</x:v>
      </x:c>
      <x:c r="AP931" s="11" t="n">
        <x:v>66896755</x:v>
      </x:c>
      <x:c r="AQ931" s="12" t="n">
        <x:v>0.9483940980996691</x:v>
      </x:c>
      <x:c r="AR931" s="11" t="n">
        <x:v>2778.907239643825</x:v>
      </x:c>
      <x:c r="AS931" s="11" t="n">
        <x:v>1897.3315266485997</x:v>
      </x:c>
      <x:c r="AT931" s="11" t="n">
        <x:v>-10.587843592721642</x:v>
      </x:c>
      <x:c r="AU931" s="11" t="n">
        <x:v>728.551529229578</x:v>
      </x:c>
      <x:c r="AV931" s="11" t="n">
        <x:v>841.105303910182</x:v>
      </x:c>
      <x:c r="AW931" s="11" t="n">
        <x:v>0.6838807335468732</x:v>
      </x:c>
      <x:c r="AX931" s="12" t="n">
        <x:v>0.7865307070961481</x:v>
      </x:c>
      <x:c r="AY931" s="11"/>
      <x:c r="AZ931" s="11"/>
      <x:c r="BA931" s="11"/>
      <x:c r="BB931" s="11"/>
      <x:c r="BC931" s="11"/>
      <x:c r="BD931" s="11"/>
      <x:c r="BE931" s="11"/>
      <x:c r="BF931" s="11"/>
      <x:c r="BG931" s="11"/>
      <x:c r="BH931" s="11"/>
      <x:c r="BI931" s="11"/>
      <x:c r="BJ931" s="11"/>
      <x:c r="BK931" s="12"/>
      <x:c r="BL931" s="12"/>
      <x:c r="BM931" s="12"/>
      <x:c r="BN931" s="12"/>
      <x:c r="BO931" s="12"/>
      <x:c r="BP931" s="12"/>
      <x:c r="BQ931" s="12"/>
      <x:c r="BR931" s="12"/>
      <x:c r="BS931" s="12"/>
      <x:c r="BT931" s="12"/>
      <x:c r="BU931" s="11" t="n">
        <x:v>666643</x:v>
      </x:c>
      <x:c r="BV931" s="11" t="n">
        <x:v>23649117</x:v>
      </x:c>
      <x:c r="BW931" s="11" t="n">
        <x:v>1495091</x:v>
      </x:c>
      <x:c r="BX931" s="11" t="n">
        <x:v>1913997</x:v>
      </x:c>
      <x:c r="BY931" s="11" t="n">
        <x:v>0</x:v>
      </x:c>
      <x:c r="BZ931" s="11" t="n">
        <x:v>6365097</x:v>
      </x:c>
      <x:c r="CA931" s="11" t="n">
        <x:v>0</x:v>
      </x:c>
      <x:c r="CB931" s="11" t="n">
        <x:v>0</x:v>
      </x:c>
      <x:c r="CC931" s="11" t="n">
        <x:v>9027826</x:v>
      </x:c>
      <x:c r="CD931" s="11" t="n">
        <x:v>17864462</x:v>
      </x:c>
      <x:c r="CE931" s="11" t="n">
        <x:v>1848972</x:v>
      </x:c>
      <x:c r="CF931" s="11" t="n">
        <x:v>76191</x:v>
      </x:c>
      <x:c r="CG931" s="11" t="n">
        <x:v>3187235</x:v>
      </x:c>
      <x:c r="CH931" s="11" t="n">
        <x:v>7102371</x:v>
      </x:c>
      <x:c r="CI931" s="11" t="n">
        <x:v>9278403</x:v>
      </x:c>
      <x:c r="CJ931" s="11" t="n">
        <x:v>7191189</x:v>
      </x:c>
      <x:c r="CK931" s="11" t="n">
        <x:v>5231950</x:v>
      </x:c>
      <x:c r="CL931" s="11" t="n">
        <x:v>0</x:v>
      </x:c>
      <x:c r="CM931" s="11"/>
      <x:c r="CN931" s="11" t="n">
        <x:v>140709</x:v>
      </x:c>
      <x:c r="CO931" s="11" t="n">
        <x:v>0</x:v>
      </x:c>
      <x:c r="CP931" s="8"/>
      <x:c r="CQ931" s="8"/>
    </x:row>
    <x:row r="932">
      <x:c r="A932" s="8" t="str">
        <x:v>West Kelowna|2023</x:v>
      </x:c>
      <x:c r="B932" s="8" t="str">
        <x:v>west-kelowna-c</x:v>
      </x:c>
      <x:c r="C932" s="8" t="str">
        <x:v>West Kelowna</x:v>
      </x:c>
      <x:c r="D932" s="8" t="str">
        <x:v>West Kelowna</x:v>
      </x:c>
      <x:c r="E932" s="8" t="str">
        <x:v>C</x:v>
      </x:c>
      <x:c r="F932" s="8" t="str">
        <x:v>COK</x:v>
      </x:c>
      <x:c r="G932" s="9" t="n">
        <x:v>2023</x:v>
      </x:c>
      <x:c r="H932" s="10" t="n">
        <x:v>46358</x:v>
      </x:c>
      <x:c r="I932" s="8" t="str">
        <x:v>20,000 to 99,999</x:v>
      </x:c>
      <x:c r="J932" s="11" t="n">
        <x:v>114225040</x:v>
      </x:c>
      <x:c r="K932" s="11" t="n">
        <x:v>84325008</x:v>
      </x:c>
      <x:c r="L932" s="11" t="n">
        <x:v>29900032</x:v>
      </x:c>
      <x:c r="M932" s="12" t="n">
        <x:v>0.2617642506406651</x:v>
      </x:c>
      <x:c r="N932" s="11" t="n">
        <x:v>42891227</x:v>
      </x:c>
      <x:c r="O932" s="11" t="n">
        <x:v>29884368</x:v>
      </x:c>
      <x:c r="P932" s="11" t="n">
        <x:v>22916178</x:v>
      </x:c>
      <x:c r="Q932" s="11" t="n">
        <x:v>18533267</x:v>
      </x:c>
      <x:c r="R932" s="11" t="n">
        <x:v>69287028</x:v>
      </x:c>
      <x:c r="S932" s="11" t="n">
        <x:v>12916993</x:v>
      </x:c>
      <x:c r="T932" s="11" t="n">
        <x:v>75721700</x:v>
      </x:c>
      <x:c r="U932" s="11" t="n">
        <x:v>110629273</x:v>
      </x:c>
      <x:c r="V932" s="11" t="n">
        <x:v>-9371213</x:v>
      </x:c>
      <x:c r="W932" s="11" t="n">
        <x:v>35968072</x:v>
      </x:c>
      <x:c r="X932" s="11" t="n">
        <x:v>32588625</x:v>
      </x:c>
      <x:c r="Y932" s="11" t="n">
        <x:v>12600000</x:v>
      </x:c>
      <x:c r="Z932" s="11" t="n">
        <x:v>2084611</x:v>
      </x:c>
      <x:c r="AA932" s="11" t="n">
        <x:v>42557486</x:v>
      </x:c>
      <x:c r="AB932" s="11" t="n">
        <x:v>2120987</x:v>
      </x:c>
      <x:c r="AC932" s="11" t="n">
        <x:v>4205598</x:v>
      </x:c>
      <x:c r="AD932" s="11" t="n">
        <x:v>20455411</x:v>
      </x:c>
      <x:c r="AE932" s="11" t="n">
        <x:v>16038443</x:v>
      </x:c>
      <x:c r="AF932" s="11" t="n">
        <x:v>81821645</x:v>
      </x:c>
      <x:c r="AG932" s="11" t="n">
        <x:v>765091507</x:v>
      </x:c>
      <x:c r="AH932" s="11" t="n">
        <x:v>282527365</x:v>
      </x:c>
      <x:c r="AI932" s="11" t="n">
        <x:v>482564142</x:v>
      </x:c>
      <x:c r="AJ932" s="11" t="n">
        <x:v>49695599</x:v>
      </x:c>
      <x:c r="AK932" s="11" t="n">
        <x:v>155211974</x:v>
      </x:c>
      <x:c r="AL932" s="11" t="n">
        <x:v>0</x:v>
      </x:c>
      <x:c r="AM932" s="12" t="n">
        <x:v>1</x:v>
      </x:c>
      <x:c r="AN932" s="12" t="n">
        <x:v>0.3201788993418768</x:v>
      </x:c>
      <x:c r="AO932" s="11" t="n">
        <x:v>76506818</x:v>
      </x:c>
      <x:c r="AP932" s="11" t="n">
        <x:v>72693728</x:v>
      </x:c>
      <x:c r="AQ932" s="12" t="n">
        <x:v>0.9501601282123641</x:v>
      </x:c>
      <x:c r="AR932" s="11" t="n">
        <x:v>2463.9768756201734</x:v>
      </x:c>
      <x:c r="AS932" s="11" t="n">
        <x:v>1818.9958151775313</x:v>
      </x:c>
      <x:c r="AT932" s="11" t="n">
        <x:v>-202.14877691013416</x:v>
      </x:c>
      <x:c r="AU932" s="11" t="n">
        <x:v>775.876267310928</x:v>
      </x:c>
      <x:c r="AV932" s="11" t="n">
        <x:v>918.0181629923637</x:v>
      </x:c>
      <x:c r="AW932" s="11" t="n">
        <x:v>0.6844635054231984</x:v>
      </x:c>
      <x:c r="AX932" s="12" t="n">
        <x:v>0.7840684794844748</x:v>
      </x:c>
      <x:c r="AY932" s="11"/>
      <x:c r="AZ932" s="11"/>
      <x:c r="BA932" s="11"/>
      <x:c r="BB932" s="11"/>
      <x:c r="BC932" s="11"/>
      <x:c r="BD932" s="11"/>
      <x:c r="BE932" s="11"/>
      <x:c r="BF932" s="11"/>
      <x:c r="BG932" s="11"/>
      <x:c r="BH932" s="11"/>
      <x:c r="BI932" s="11"/>
      <x:c r="BJ932" s="11"/>
      <x:c r="BK932" s="12"/>
      <x:c r="BL932" s="12"/>
      <x:c r="BM932" s="12"/>
      <x:c r="BN932" s="12"/>
      <x:c r="BO932" s="12"/>
      <x:c r="BP932" s="12"/>
      <x:c r="BQ932" s="12"/>
      <x:c r="BR932" s="12"/>
      <x:c r="BS932" s="12"/>
      <x:c r="BT932" s="12"/>
      <x:c r="BU932" s="11" t="n">
        <x:v>938879</x:v>
      </x:c>
      <x:c r="BV932" s="11" t="n">
        <x:v>20417617</x:v>
      </x:c>
      <x:c r="BW932" s="11" t="n">
        <x:v>1559682</x:v>
      </x:c>
      <x:c r="BX932" s="11" t="n">
        <x:v>3529612</x:v>
      </x:c>
      <x:c r="BY932" s="11" t="n">
        <x:v>0</x:v>
      </x:c>
      <x:c r="BZ932" s="11" t="n">
        <x:v>5697778</x:v>
      </x:c>
      <x:c r="CA932" s="11" t="n">
        <x:v>3470911</x:v>
      </x:c>
      <x:c r="CB932" s="11" t="n">
        <x:v>5834966</x:v>
      </x:c>
      <x:c r="CC932" s="11" t="n">
        <x:v>8620296</x:v>
      </x:c>
      <x:c r="CD932" s="11" t="n">
        <x:v>23862470</x:v>
      </x:c>
      <x:c r="CE932" s="11" t="n">
        <x:v>1926833</x:v>
      </x:c>
      <x:c r="CF932" s="11" t="n">
        <x:v>100521</x:v>
      </x:c>
      <x:c r="CG932" s="11" t="n">
        <x:v>1865384</x:v>
      </x:c>
      <x:c r="CH932" s="11" t="n">
        <x:v>9203098</x:v>
      </x:c>
      <x:c r="CI932" s="11" t="n">
        <x:v>9772530</x:v>
      </x:c>
      <x:c r="CJ932" s="11" t="n">
        <x:v>10221167</x:v>
      </x:c>
      <x:c r="CK932" s="11" t="n">
        <x:v>5536988</x:v>
      </x:c>
      <x:c r="CL932" s="11" t="n">
        <x:v>0</x:v>
      </x:c>
      <x:c r="CM932" s="11" t="n">
        <x:v>151294</x:v>
      </x:c>
      <x:c r="CN932" s="11" t="n">
        <x:v>147434</x:v>
      </x:c>
      <x:c r="CO932" s="11" t="n">
        <x:v>0</x:v>
      </x:c>
      <x:c r="CP932" s="8"/>
      <x:c r="CQ932" s="8"/>
    </x:row>
    <x:row r="933">
      <x:c r="A933" s="8" t="str">
        <x:v>West Kelowna|2024</x:v>
      </x:c>
      <x:c r="B933" s="8" t="str">
        <x:v>west-kelowna-c</x:v>
      </x:c>
      <x:c r="C933" s="8" t="str">
        <x:v>West Kelowna</x:v>
      </x:c>
      <x:c r="D933" s="8" t="str">
        <x:v>West Kelowna</x:v>
      </x:c>
      <x:c r="E933" s="8" t="str">
        <x:v>C</x:v>
      </x:c>
      <x:c r="F933" s="8" t="str">
        <x:v>COK</x:v>
      </x:c>
      <x:c r="G933" s="9" t="n">
        <x:v>2024</x:v>
      </x:c>
      <x:c r="H933" s="10" t="n">
        <x:v>46358</x:v>
      </x:c>
      <x:c r="I933" s="8" t="str">
        <x:v>20,000 to 99,999</x:v>
      </x:c>
      <x:c r="J933" s="11" t="n">
        <x:v>90298864</x:v>
      </x:c>
      <x:c r="K933" s="11" t="n">
        <x:v>90017934</x:v>
      </x:c>
      <x:c r="L933" s="11" t="n">
        <x:v>280930</x:v>
      </x:c>
      <x:c r="M933" s="12" t="n">
        <x:v>0.0031111133358222537</x:v>
      </x:c>
      <x:c r="N933" s="11" t="n">
        <x:v>46264222</x:v>
      </x:c>
      <x:c r="O933" s="11" t="n">
        <x:v>36998126</x:v>
      </x:c>
      <x:c r="P933" s="11" t="n">
        <x:v>3420789</x:v>
      </x:c>
      <x:c r="Q933" s="11" t="n">
        <x:v>3615727</x:v>
      </x:c>
      <x:c r="R933" s="11" t="n">
        <x:v>73654085</x:v>
      </x:c>
      <x:c r="S933" s="11" t="n">
        <x:v>13849006</x:v>
      </x:c>
      <x:c r="T933" s="11" t="n">
        <x:v>56781646</x:v>
      </x:c>
      <x:c r="U933" s="11" t="n">
        <x:v>112264200</x:v>
      </x:c>
      <x:c r="V933" s="11" t="n">
        <x:v>-30703342</x:v>
      </x:c>
      <x:c r="W933" s="11" t="n">
        <x:v>42722991</x:v>
      </x:c>
      <x:c r="X933" s="11" t="n">
        <x:v>42557486</x:v>
      </x:c>
      <x:c r="Y933" s="11" t="n">
        <x:v>8212993</x:v>
      </x:c>
      <x:c r="Z933" s="11" t="n">
        <x:v>2313359</x:v>
      </x:c>
      <x:c r="AA933" s="11" t="n">
        <x:v>47959261</x:v>
      </x:c>
      <x:c r="AB933" s="11" t="n">
        <x:v>2514843</x:v>
      </x:c>
      <x:c r="AC933" s="11" t="n">
        <x:v>4828202</x:v>
      </x:c>
      <x:c r="AD933" s="11" t="n">
        <x:v>21550858</x:v>
      </x:c>
      <x:c r="AE933" s="11" t="n">
        <x:v>13766461</x:v>
      </x:c>
      <x:c r="AF933" s="11" t="n">
        <x:v>86203430</x:v>
      </x:c>
      <x:c r="AG933" s="11" t="n">
        <x:v>800520672</x:v>
      </x:c>
      <x:c r="AH933" s="11" t="n">
        <x:v>295810966</x:v>
      </x:c>
      <x:c r="AI933" s="11" t="n">
        <x:v>504709706</x:v>
      </x:c>
      <x:c r="AJ933" s="11" t="n">
        <x:v>36022399</x:v>
      </x:c>
      <x:c r="AK933" s="11" t="n">
        <x:v>504709706</x:v>
      </x:c>
      <x:c r="AL933" s="11" t="n">
        <x:v>13849006</x:v>
      </x:c>
      <x:c r="AM933" s="12" t="n">
        <x:v>0.9725604524039012</x:v>
      </x:c>
      <x:c r="AN933" s="12" t="n">
        <x:v>0.07137251091422442</x:v>
      </x:c>
      <x:c r="AO933" s="11" t="n">
        <x:v>83236655</x:v>
      </x:c>
      <x:c r="AP933" s="11" t="n">
        <x:v>78086261</x:v>
      </x:c>
      <x:c r="AQ933" s="12" t="n">
        <x:v>0.938123486581723</x:v>
      </x:c>
      <x:c r="AR933" s="11" t="n">
        <x:v>1947.8593554510549</x:v>
      </x:c>
      <x:c r="AS933" s="11" t="n">
        <x:v>1941.7993442340048</x:v>
      </x:c>
      <x:c r="AT933" s="11" t="n">
        <x:v>-662.309461150179</x:v>
      </x:c>
      <x:c r="AU933" s="11" t="n">
        <x:v>921.5883126968376</x:v>
      </x:c>
      <x:c r="AV933" s="11" t="n">
        <x:v>1034.541201087191</x:v>
      </x:c>
      <x:c r="AW933" s="11" t="n">
        <x:v>0.505785869404494</x:v>
      </x:c>
      <x:c r="AX933" s="12" t="n">
        <x:v>0.6387894625819538</x:v>
      </x:c>
      <x:c r="AY933" s="11" t="n">
        <x:v>2823.8160359162957</x:v>
      </x:c>
      <x:c r="AZ933" s="11" t="n">
        <x:v>3546.5079302077975</x:v>
      </x:c>
      <x:c r="BA933" s="11" t="n">
        <x:v>2313.177731087988</x:v>
      </x:c>
      <x:c r="BB933" s="11" t="n">
        <x:v>2783.665107049771</x:v>
      </x:c>
      <x:c r="BC933" s="11" t="n">
        <x:v>1634.933826557682</x:v>
      </x:c>
      <x:c r="BD933" s="11" t="n">
        <x:v>2437.8724475115623</x:v>
      </x:c>
      <x:c r="BE933" s="11" t="n">
        <x:v>1015.8871081440785</x:v>
      </x:c>
      <x:c r="BF933" s="11" t="n">
        <x:v>1604.3462673977224</x:v>
      </x:c>
      <x:c r="BG933" s="11" t="n">
        <x:v>757.3716446138835</x:v>
      </x:c>
      <x:c r="BH933" s="11" t="n">
        <x:v>518.5374381567245</x:v>
      </x:c>
      <x:c r="BI933" s="11" t="n">
        <x:v>1.4428133381403412</x:v>
      </x:c>
      <x:c r="BJ933" s="11" t="n">
        <x:v>1.7099330852451193</x:v>
      </x:c>
      <x:c r="BK933" s="12" t="n">
        <x:v>0.021350493990494074</x:v>
      </x:c>
      <x:c r="BL933" s="12" t="n">
        <x:v>0.02529861000232605</x:v>
      </x:c>
      <x:c r="BM933" s="12" t="n">
        <x:v>0.9847118933607182</x:v>
      </x:c>
      <x:c r="BN933" s="12" t="n">
        <x:v>0.9815511712696461</x:v>
      </x:c>
      <x:c r="BO933" s="12" t="n">
        <x:v>0.8457939120832807</x:v>
      </x:c>
      <x:c r="BP933" s="12" t="n">
        <x:v>0.8619101997275483</x:v>
      </x:c>
      <x:c r="BQ933" s="12" t="n">
        <x:v>0.9744645665293163</x:v>
      </x:c>
      <x:c r="BR933" s="12" t="n">
        <x:v>0.9623635142836453</x:v>
      </x:c>
      <x:c r="BS933" s="12" t="n">
        <x:v>0.16542076645989975</x:v>
      </x:c>
      <x:c r="BT933" s="12" t="n">
        <x:v>0.19976549769108282</x:v>
      </x:c>
      <x:c r="BU933" s="11" t="n">
        <x:v>1706182</x:v>
      </x:c>
      <x:c r="BV933" s="11" t="n">
        <x:v>1714607</x:v>
      </x:c>
      <x:c r="BW933" s="11" t="n">
        <x:v>0</x:v>
      </x:c>
      <x:c r="BX933" s="11" t="n">
        <x:v>3081126</x:v>
      </x:c>
      <x:c r="BY933" s="11" t="n">
        <x:v>0</x:v>
      </x:c>
      <x:c r="BZ933" s="11" t="n">
        <x:v>367176</x:v>
      </x:c>
      <x:c r="CA933" s="11" t="n">
        <x:v>69610</x:v>
      </x:c>
      <x:c r="CB933" s="11" t="n">
        <x:v>97815</x:v>
      </x:c>
      <x:c r="CC933" s="11" t="n">
        <x:v>10247737</x:v>
      </x:c>
      <x:c r="CD933" s="11" t="n">
        <x:v>21400167</x:v>
      </x:c>
      <x:c r="CE933" s="11" t="n">
        <x:v>1981465</x:v>
      </x:c>
      <x:c r="CF933" s="11" t="n">
        <x:v>0</x:v>
      </x:c>
      <x:c r="CG933" s="11" t="n">
        <x:v>1964161</x:v>
      </x:c>
      <x:c r="CH933" s="11" t="n">
        <x:v>11125683</x:v>
      </x:c>
      <x:c r="CI933" s="11" t="n">
        <x:v>10339596</x:v>
      </x:c>
      <x:c r="CJ933" s="11" t="n">
        <x:v>12730334</x:v>
      </x:c>
      <x:c r="CK933" s="11" t="n">
        <x:v>6151030</x:v>
      </x:c>
      <x:c r="CL933" s="11" t="n">
        <x:v>121918</x:v>
      </x:c>
      <x:c r="CM933" s="11" t="n">
        <x:v>79008</x:v>
      </x:c>
      <x:c r="CN933" s="11" t="n">
        <x:v>27829</x:v>
      </x:c>
      <x:c r="CO933" s="11" t="n">
        <x:v>0</x:v>
      </x:c>
      <x:c r="CP933" s="8"/>
      <x:c r="CQ933" s="8"/>
    </x:row>
    <x:row r="934">
      <x:c r="A934" s="8" t="str">
        <x:v>West Vancouver|2019</x:v>
      </x:c>
      <x:c r="B934" s="8" t="str">
        <x:v>west-vancouver-d</x:v>
      </x:c>
      <x:c r="C934" s="8" t="str">
        <x:v>West Vancouver</x:v>
      </x:c>
      <x:c r="D934" s="8" t="str">
        <x:v>West Vancouver</x:v>
      </x:c>
      <x:c r="E934" s="8" t="str">
        <x:v>D</x:v>
      </x:c>
      <x:c r="F934" s="8" t="str">
        <x:v>GVR</x:v>
      </x:c>
      <x:c r="G934" s="9" t="n">
        <x:v>2019</x:v>
      </x:c>
      <x:c r="H934" s="10" t="n">
        <x:v>43945</x:v>
      </x:c>
      <x:c r="I934" s="8" t="str">
        <x:v>20,000 to 99,999</x:v>
      </x:c>
      <x:c r="J934" s="11" t="n">
        <x:v>178806892</x:v>
      </x:c>
      <x:c r="K934" s="11" t="n">
        <x:v>162681905</x:v>
      </x:c>
      <x:c r="L934" s="11" t="n">
        <x:v>16124987</x:v>
      </x:c>
      <x:c r="M934" s="12" t="n">
        <x:v>0.09018101494656033</x:v>
      </x:c>
      <x:c r="N934" s="11" t="n">
        <x:v>76070574</x:v>
      </x:c>
      <x:c r="O934" s="11" t="n">
        <x:v>73347331</x:v>
      </x:c>
      <x:c r="P934" s="11" t="n">
        <x:v>19740425</x:v>
      </x:c>
      <x:c r="Q934" s="11" t="n">
        <x:v>9648562</x:v>
      </x:c>
      <x:c r="R934" s="11" t="n">
        <x:v>146015198</x:v>
      </x:c>
      <x:c r="S934" s="11" t="n">
        <x:v>15427635</x:v>
      </x:c>
      <x:c r="T934" s="11" t="n">
        <x:v>162267505</x:v>
      </x:c>
      <x:c r="U934" s="11" t="n">
        <x:v>140627619</x:v>
      </x:c>
      <x:c r="V934" s="11" t="n">
        <x:v>54479052</x:v>
      </x:c>
      <x:c r="W934" s="11" t="n">
        <x:v>102846750</x:v>
      </x:c>
      <x:c r="X934" s="11" t="n">
        <x:v>33009980</x:v>
      </x:c>
      <x:c r="Y934" s="11" t="n">
        <x:v>0</x:v>
      </x:c>
      <x:c r="Z934" s="11" t="n">
        <x:v>1027097</x:v>
      </x:c>
      <x:c r="AA934" s="11" t="n">
        <x:v>31742812</x:v>
      </x:c>
      <x:c r="AB934" s="11" t="n">
        <x:v>1239072</x:v>
      </x:c>
      <x:c r="AC934" s="11" t="n">
        <x:v>2266169</x:v>
      </x:c>
      <x:c r="AD934" s="11" t="n">
        <x:v>38600874</x:v>
      </x:c>
      <x:c r="AE934" s="11" t="n">
        <x:v>36334705</x:v>
      </x:c>
      <x:c r="AF934" s="11" t="n">
        <x:v>154403495</x:v>
      </x:c>
      <x:c r="AG934" s="11" t="n">
        <x:v>837350503</x:v>
      </x:c>
      <x:c r="AH934" s="11" t="n">
        <x:v>325173380</x:v>
      </x:c>
      <x:c r="AI934" s="11" t="n">
        <x:v>512177123</x:v>
      </x:c>
      <x:c r="AJ934" s="11" t="n">
        <x:v>28155775</x:v>
      </x:c>
      <x:c r="AK934" s="11" t="n">
        <x:v>935975637</x:v>
      </x:c>
      <x:c r="AL934" s="11" t="n">
        <x:v>19354043</x:v>
      </x:c>
      <x:c r="AM934" s="12" t="n">
        <x:v>0.9793220654097003</x:v>
      </x:c>
      <x:c r="AN934" s="12" t="n">
        <x:v>0.0300817391895426</x:v>
      </x:c>
      <x:c r="AO934" s="11" t="n">
        <x:v>171173353</x:v>
      </x:c>
      <x:c r="AP934" s="11" t="n">
        <x:v>167284561</x:v>
      </x:c>
      <x:c r="AQ934" s="12" t="n">
        <x:v>0.9772815573695048</x:v>
      </x:c>
      <x:c r="AR934" s="11" t="n">
        <x:v>4068.879098873592</x:v>
      </x:c>
      <x:c r="AS934" s="11" t="n">
        <x:v>3701.9434520423256</x:v>
      </x:c>
      <x:c r="AT934" s="11" t="n">
        <x:v>1239.7099101149163</x:v>
      </x:c>
      <x:c r="AU934" s="11" t="n">
        <x:v>2340.3515758334283</x:v>
      </x:c>
      <x:c r="AV934" s="11" t="n">
        <x:v>722.3304585277051</x:v>
      </x:c>
      <x:c r="AW934" s="11" t="n">
        <x:v>1.1538807679023564</x:v>
      </x:c>
      <x:c r="AX934" s="12" t="n">
        <x:v>0.9412922878378349</x:v>
      </x:c>
      <x:c r="AY934" s="11"/>
      <x:c r="AZ934" s="11"/>
      <x:c r="BA934" s="11"/>
      <x:c r="BB934" s="11"/>
      <x:c r="BC934" s="11"/>
      <x:c r="BD934" s="11"/>
      <x:c r="BE934" s="11"/>
      <x:c r="BF934" s="11"/>
      <x:c r="BG934" s="11"/>
      <x:c r="BH934" s="11"/>
      <x:c r="BI934" s="11"/>
      <x:c r="BJ934" s="11"/>
      <x:c r="BK934" s="12"/>
      <x:c r="BL934" s="12"/>
      <x:c r="BM934" s="12"/>
      <x:c r="BN934" s="12"/>
      <x:c r="BO934" s="12"/>
      <x:c r="BP934" s="12"/>
      <x:c r="BQ934" s="12"/>
      <x:c r="BR934" s="12"/>
      <x:c r="BS934" s="12"/>
      <x:c r="BT934" s="12"/>
      <x:c r="BU934" s="11" t="n">
        <x:v>0</x:v>
      </x:c>
      <x:c r="BV934" s="11" t="n">
        <x:v>1407043</x:v>
      </x:c>
      <x:c r="BW934" s="11" t="n">
        <x:v>18333382</x:v>
      </x:c>
      <x:c r="BX934" s="11" t="n">
        <x:v>4416053</x:v>
      </x:c>
      <x:c r="BY934" s="11" t="n">
        <x:v>0</x:v>
      </x:c>
      <x:c r="BZ934" s="11" t="n">
        <x:v>5232509</x:v>
      </x:c>
      <x:c r="CA934" s="11" t="n">
        <x:v>0</x:v>
      </x:c>
      <x:c r="CB934" s="11" t="n">
        <x:v>0</x:v>
      </x:c>
      <x:c r="CC934" s="11" t="n">
        <x:v>22082454</x:v>
      </x:c>
      <x:c r="CD934" s="11" t="n">
        <x:v>35647458</x:v>
      </x:c>
      <x:c r="CE934" s="11" t="n">
        <x:v>6973431</x:v>
      </x:c>
      <x:c r="CF934" s="11" t="n">
        <x:v>0</x:v>
      </x:c>
      <x:c r="CG934" s="11" t="n">
        <x:v>5911689</x:v>
      </x:c>
      <x:c r="CH934" s="11" t="n">
        <x:v>27905880</x:v>
      </x:c>
      <x:c r="CI934" s="11" t="n">
        <x:v>28614244</x:v>
      </x:c>
      <x:c r="CJ934" s="11" t="n">
        <x:v>8181412</x:v>
      </x:c>
      <x:c r="CK934" s="11" t="n">
        <x:v>9901997</x:v>
      </x:c>
      <x:c r="CL934" s="11" t="n">
        <x:v>1259669</x:v>
      </x:c>
      <x:c r="CM934" s="11"/>
      <x:c r="CN934" s="11" t="n">
        <x:v>776036</x:v>
      </x:c>
      <x:c r="CO934" s="11" t="n">
        <x:v>0</x:v>
      </x:c>
      <x:c r="CP934" s="8"/>
      <x:c r="CQ934" s="8"/>
    </x:row>
    <x:row r="935">
      <x:c r="A935" s="8" t="str">
        <x:v>West Vancouver|2020</x:v>
      </x:c>
      <x:c r="B935" s="8" t="str">
        <x:v>west-vancouver-d</x:v>
      </x:c>
      <x:c r="C935" s="8" t="str">
        <x:v>West Vancouver</x:v>
      </x:c>
      <x:c r="D935" s="8" t="str">
        <x:v>West Vancouver</x:v>
      </x:c>
      <x:c r="E935" s="8" t="str">
        <x:v>D</x:v>
      </x:c>
      <x:c r="F935" s="8" t="str">
        <x:v>GVR</x:v>
      </x:c>
      <x:c r="G935" s="9" t="n">
        <x:v>2020</x:v>
      </x:c>
      <x:c r="H935" s="10" t="n">
        <x:v>43805</x:v>
      </x:c>
      <x:c r="I935" s="8" t="str">
        <x:v>20,000 to 99,999</x:v>
      </x:c>
      <x:c r="J935" s="11" t="n">
        <x:v>203073257</x:v>
      </x:c>
      <x:c r="K935" s="11" t="n">
        <x:v>153697696</x:v>
      </x:c>
      <x:c r="L935" s="11" t="n">
        <x:v>49375561</x:v>
      </x:c>
      <x:c r="M935" s="12" t="n">
        <x:v>0.24314162154793234</x:v>
      </x:c>
      <x:c r="N935" s="11" t="n">
        <x:v>78525219</x:v>
      </x:c>
      <x:c r="O935" s="11" t="n">
        <x:v>67934865</x:v>
      </x:c>
      <x:c r="P935" s="11" t="n">
        <x:v>24894324</x:v>
      </x:c>
      <x:c r="Q935" s="11" t="n">
        <x:v>31718849</x:v>
      </x:c>
      <x:c r="R935" s="11" t="n">
        <x:v>136335038</x:v>
      </x:c>
      <x:c r="S935" s="11" t="n">
        <x:v>16144005</x:v>
      </x:c>
      <x:c r="T935" s="11" t="n">
        <x:v>258163144</x:v>
      </x:c>
      <x:c r="U935" s="11" t="n">
        <x:v>196240093</x:v>
      </x:c>
      <x:c r="V935" s="11" t="n">
        <x:v>92810822</x:v>
      </x:c>
      <x:c r="W935" s="11" t="n">
        <x:v>134033148</x:v>
      </x:c>
      <x:c r="X935" s="11" t="n">
        <x:v>31742812</x:v>
      </x:c>
      <x:c r="Y935" s="11" t="n">
        <x:v>0</x:v>
      </x:c>
      <x:c r="Z935" s="11" t="n">
        <x:v>1027097</x:v>
      </x:c>
      <x:c r="AA935" s="11" t="n">
        <x:v>30429226</x:v>
      </x:c>
      <x:c r="AB935" s="11" t="n">
        <x:v>1218653</x:v>
      </x:c>
      <x:c r="AC935" s="11" t="n">
        <x:v>2245750</x:v>
      </x:c>
      <x:c r="AD935" s="11" t="n">
        <x:v>37763727</x:v>
      </x:c>
      <x:c r="AE935" s="11" t="n">
        <x:v>35517977</x:v>
      </x:c>
      <x:c r="AF935" s="11" t="n">
        <x:v>151054906</x:v>
      </x:c>
      <x:c r="AG935" s="11" t="n">
        <x:v>838793493</x:v>
      </x:c>
      <x:c r="AH935" s="11" t="n">
        <x:v>315353199</x:v>
      </x:c>
      <x:c r="AI935" s="11" t="n">
        <x:v>523440294</x:v>
      </x:c>
      <x:c r="AJ935" s="11" t="n">
        <x:v>24934627</x:v>
      </x:c>
      <x:c r="AK935" s="11" t="n">
        <x:v>941631572</x:v>
      </x:c>
      <x:c r="AL935" s="11" t="n">
        <x:v>20079032</x:v>
      </x:c>
      <x:c r="AM935" s="12" t="n">
        <x:v>0.9786763394547693</x:v>
      </x:c>
      <x:c r="AN935" s="12" t="n">
        <x:v>0.02648023679477901</x:v>
      </x:c>
      <x:c r="AO935" s="11" t="n">
        <x:v>157303258</x:v>
      </x:c>
      <x:c r="AP935" s="11" t="n">
        <x:v>152471349</x:v>
      </x:c>
      <x:c r="AQ935" s="12" t="n">
        <x:v>0.9692828421900835</x:v>
      </x:c>
      <x:c r="AR935" s="11" t="n">
        <x:v>4635.8465243693645</x:v>
      </x:c>
      <x:c r="AS935" s="11" t="n">
        <x:v>3508.6792831868506</x:v>
      </x:c>
      <x:c r="AT935" s="11" t="n">
        <x:v>2118.7266750370964</x:v>
      </x:c>
      <x:c r="AU935" s="11" t="n">
        <x:v>3059.76824563406</x:v>
      </x:c>
      <x:c r="AV935" s="11" t="n">
        <x:v>694.651889053761</x:v>
      </x:c>
      <x:c r="AW935" s="11" t="n">
        <x:v>1.3155473993787803</x:v>
      </x:c>
      <x:c r="AX935" s="12" t="n">
        <x:v>0.9405315582331162</x:v>
      </x:c>
      <x:c r="AY935" s="11"/>
      <x:c r="AZ935" s="11"/>
      <x:c r="BA935" s="11"/>
      <x:c r="BB935" s="11"/>
      <x:c r="BC935" s="11"/>
      <x:c r="BD935" s="11"/>
      <x:c r="BE935" s="11"/>
      <x:c r="BF935" s="11"/>
      <x:c r="BG935" s="11"/>
      <x:c r="BH935" s="11"/>
      <x:c r="BI935" s="11"/>
      <x:c r="BJ935" s="11"/>
      <x:c r="BK935" s="12"/>
      <x:c r="BL935" s="12"/>
      <x:c r="BM935" s="12"/>
      <x:c r="BN935" s="12"/>
      <x:c r="BO935" s="12"/>
      <x:c r="BP935" s="12"/>
      <x:c r="BQ935" s="12"/>
      <x:c r="BR935" s="12"/>
      <x:c r="BS935" s="12"/>
      <x:c r="BT935" s="12"/>
      <x:c r="BU935" s="11" t="n">
        <x:v>0</x:v>
      </x:c>
      <x:c r="BV935" s="11" t="n">
        <x:v>6395701</x:v>
      </x:c>
      <x:c r="BW935" s="11" t="n">
        <x:v>18498623</x:v>
      </x:c>
      <x:c r="BX935" s="11" t="n">
        <x:v>3952851</x:v>
      </x:c>
      <x:c r="BY935" s="11" t="n">
        <x:v>0</x:v>
      </x:c>
      <x:c r="BZ935" s="11" t="n">
        <x:v>22716285</x:v>
      </x:c>
      <x:c r="CA935" s="11" t="n">
        <x:v>5049713</x:v>
      </x:c>
      <x:c r="CB935" s="11" t="n">
        <x:v>0</x:v>
      </x:c>
      <x:c r="CC935" s="11" t="n">
        <x:v>20195957</x:v>
      </x:c>
      <x:c r="CD935" s="11" t="n">
        <x:v>35276293</x:v>
      </x:c>
      <x:c r="CE935" s="11" t="n">
        <x:v>5761602</x:v>
      </x:c>
      <x:c r="CF935" s="11" t="n">
        <x:v>0</x:v>
      </x:c>
      <x:c r="CG935" s="11" t="n">
        <x:v>6255241</x:v>
      </x:c>
      <x:c r="CH935" s="11" t="n">
        <x:v>27877795</x:v>
      </x:c>
      <x:c r="CI935" s="11" t="n">
        <x:v>22774257</x:v>
      </x:c>
      <x:c r="CJ935" s="11" t="n">
        <x:v>6985277</x:v>
      </x:c>
      <x:c r="CK935" s="11" t="n">
        <x:v>11341282</x:v>
      </x:c>
      <x:c r="CL935" s="11" t="n">
        <x:v>1085987</x:v>
      </x:c>
      <x:c r="CM935" s="11"/>
      <x:c r="CN935" s="11" t="n">
        <x:v>0</x:v>
      </x:c>
      <x:c r="CO935" s="11" t="n">
        <x:v>0</x:v>
      </x:c>
      <x:c r="CP935" s="8"/>
      <x:c r="CQ935" s="8"/>
    </x:row>
    <x:row r="936">
      <x:c r="A936" s="8" t="str">
        <x:v>West Vancouver|2021</x:v>
      </x:c>
      <x:c r="B936" s="8" t="str">
        <x:v>west-vancouver-d</x:v>
      </x:c>
      <x:c r="C936" s="8" t="str">
        <x:v>West Vancouver</x:v>
      </x:c>
      <x:c r="D936" s="8" t="str">
        <x:v>West Vancouver</x:v>
      </x:c>
      <x:c r="E936" s="8" t="str">
        <x:v>D</x:v>
      </x:c>
      <x:c r="F936" s="8" t="str">
        <x:v>MVRD</x:v>
      </x:c>
      <x:c r="G936" s="9" t="n">
        <x:v>2021</x:v>
      </x:c>
      <x:c r="H936" s="10" t="n">
        <x:v>45503</x:v>
      </x:c>
      <x:c r="I936" s="8" t="str">
        <x:v>20,000 to 99,999</x:v>
      </x:c>
      <x:c r="J936" s="11" t="n">
        <x:v>193057202</x:v>
      </x:c>
      <x:c r="K936" s="11" t="n">
        <x:v>162980496</x:v>
      </x:c>
      <x:c r="L936" s="11" t="n">
        <x:v>30076706</x:v>
      </x:c>
      <x:c r="M936" s="12" t="n">
        <x:v>0.15579168085115</x:v>
      </x:c>
      <x:c r="N936" s="11" t="n">
        <x:v>82224228</x:v>
      </x:c>
      <x:c r="O936" s="11" t="n">
        <x:v>76587742</x:v>
      </x:c>
      <x:c r="P936" s="11" t="n">
        <x:v>21330381</x:v>
      </x:c>
      <x:c r="Q936" s="11" t="n">
        <x:v>12914851</x:v>
      </x:c>
      <x:c r="R936" s="11" t="n">
        <x:v>145621591</x:v>
      </x:c>
      <x:c r="S936" s="11" t="n">
        <x:v>16161367</x:v>
      </x:c>
      <x:c r="T936" s="11" t="n">
        <x:v>229049432</x:v>
      </x:c>
      <x:c r="U936" s="11" t="n">
        <x:v>148200591</x:v>
      </x:c>
      <x:c r="V936" s="11" t="n">
        <x:v>109436518</x:v>
      </x:c>
      <x:c r="W936" s="11" t="n">
        <x:v>80709830</x:v>
      </x:c>
      <x:c r="X936" s="11" t="n">
        <x:v>30429226</x:v>
      </x:c>
      <x:c r="Y936" s="11" t="n">
        <x:v>0</x:v>
      </x:c>
      <x:c r="Z936" s="11" t="n">
        <x:v>1036267</x:v>
      </x:c>
      <x:c r="AA936" s="11" t="n">
        <x:v>29066114</x:v>
      </x:c>
      <x:c r="AB936" s="11" t="n">
        <x:v>1197538</x:v>
      </x:c>
      <x:c r="AC936" s="11" t="n">
        <x:v>2233805</x:v>
      </x:c>
      <x:c r="AD936" s="11" t="n">
        <x:v>40627867</x:v>
      </x:c>
      <x:c r="AE936" s="11" t="n">
        <x:v>38394062</x:v>
      </x:c>
      <x:c r="AF936" s="11" t="n">
        <x:v>162511468</x:v>
      </x:c>
      <x:c r="AG936" s="11" t="n">
        <x:v>844652565</x:v>
      </x:c>
      <x:c r="AH936" s="11" t="n">
        <x:v>307645164</x:v>
      </x:c>
      <x:c r="AI936" s="11" t="n">
        <x:v>537007401</x:v>
      </x:c>
      <x:c r="AJ936" s="11" t="n">
        <x:v>23277706</x:v>
      </x:c>
      <x:c r="AK936" s="11" t="n">
        <x:v>924241393</x:v>
      </x:c>
      <x:c r="AL936" s="11" t="n">
        <x:v>19516840</x:v>
      </x:c>
      <x:c r="AM936" s="12" t="n">
        <x:v>0.9788833954551092</x:v>
      </x:c>
      <x:c r="AN936" s="12" t="n">
        <x:v>0.02518574279003321</x:v>
      </x:c>
      <x:c r="AO936" s="11" t="n">
        <x:v>168972877</x:v>
      </x:c>
      <x:c r="AP936" s="11" t="n">
        <x:v>164901005</x:v>
      </x:c>
      <x:c r="AQ936" s="12" t="n">
        <x:v>0.9759022153596876</x:v>
      </x:c>
      <x:c r="AR936" s="11" t="n">
        <x:v>4242.735687756851</x:v>
      </x:c>
      <x:c r="AS936" s="11" t="n">
        <x:v>3581.7527635540514</x:v>
      </x:c>
      <x:c r="AT936" s="11" t="n">
        <x:v>2405.0396237610707</x:v>
      </x:c>
      <x:c r="AU936" s="11" t="n">
        <x:v>1773.7254686504186</x:v>
      </x:c>
      <x:c r="AV936" s="11" t="n">
        <x:v>638.773575368657</x:v>
      </x:c>
      <x:c r="AW936" s="11" t="n">
        <x:v>1.5455365626713324</x:v>
      </x:c>
      <x:c r="AX936" s="12" t="n">
        <x:v>0.9450179109821345</x:v>
      </x:c>
      <x:c r="AY936" s="11"/>
      <x:c r="AZ936" s="11"/>
      <x:c r="BA936" s="11"/>
      <x:c r="BB936" s="11"/>
      <x:c r="BC936" s="11"/>
      <x:c r="BD936" s="11"/>
      <x:c r="BE936" s="11"/>
      <x:c r="BF936" s="11"/>
      <x:c r="BG936" s="11"/>
      <x:c r="BH936" s="11"/>
      <x:c r="BI936" s="11"/>
      <x:c r="BJ936" s="11"/>
      <x:c r="BK936" s="12"/>
      <x:c r="BL936" s="12"/>
      <x:c r="BM936" s="12"/>
      <x:c r="BN936" s="12"/>
      <x:c r="BO936" s="12"/>
      <x:c r="BP936" s="12"/>
      <x:c r="BQ936" s="12"/>
      <x:c r="BR936" s="12"/>
      <x:c r="BS936" s="12"/>
      <x:c r="BT936" s="12"/>
      <x:c r="BU936" s="11" t="n">
        <x:v>0</x:v>
      </x:c>
      <x:c r="BV936" s="11" t="n">
        <x:v>1512658</x:v>
      </x:c>
      <x:c r="BW936" s="11" t="n">
        <x:v>19817723</x:v>
      </x:c>
      <x:c r="BX936" s="11" t="n">
        <x:v>3087443</x:v>
      </x:c>
      <x:c r="BY936" s="11" t="n">
        <x:v>0</x:v>
      </x:c>
      <x:c r="BZ936" s="11" t="n">
        <x:v>9827408</x:v>
      </x:c>
      <x:c r="CA936" s="11" t="n">
        <x:v>0</x:v>
      </x:c>
      <x:c r="CB936" s="11" t="n">
        <x:v>0</x:v>
      </x:c>
      <x:c r="CC936" s="11" t="n">
        <x:v>23621818</x:v>
      </x:c>
      <x:c r="CD936" s="11" t="n">
        <x:v>37012105</x:v>
      </x:c>
      <x:c r="CE936" s="11" t="n">
        <x:v>3979621</x:v>
      </x:c>
      <x:c r="CF936" s="11" t="n">
        <x:v>0</x:v>
      </x:c>
      <x:c r="CG936" s="11" t="n">
        <x:v>6814962</x:v>
      </x:c>
      <x:c r="CH936" s="11" t="n">
        <x:v>29463888</x:v>
      </x:c>
      <x:c r="CI936" s="11" t="n">
        <x:v>24985857</x:v>
      </x:c>
      <x:c r="CJ936" s="11" t="n">
        <x:v>6989083</x:v>
      </x:c>
      <x:c r="CK936" s="11" t="n">
        <x:v>12714693</x:v>
      </x:c>
      <x:c r="CL936" s="11" t="n">
        <x:v>1114565</x:v>
      </x:c>
      <x:c r="CM936" s="11"/>
      <x:c r="CN936" s="11" t="n">
        <x:v>122537</x:v>
      </x:c>
      <x:c r="CO936" s="11" t="n">
        <x:v>0</x:v>
      </x:c>
      <x:c r="CP936" s="8"/>
      <x:c r="CQ936" s="8"/>
    </x:row>
    <x:row r="937">
      <x:c r="A937" s="8" t="str">
        <x:v>West Vancouver|2022</x:v>
      </x:c>
      <x:c r="B937" s="8" t="str">
        <x:v>west-vancouver-d</x:v>
      </x:c>
      <x:c r="C937" s="8" t="str">
        <x:v>West Vancouver</x:v>
      </x:c>
      <x:c r="D937" s="8" t="str">
        <x:v>West Vancouver</x:v>
      </x:c>
      <x:c r="E937" s="8" t="str">
        <x:v>D</x:v>
      </x:c>
      <x:c r="F937" s="8" t="str">
        <x:v>MVRD</x:v>
      </x:c>
      <x:c r="G937" s="9" t="n">
        <x:v>2022</x:v>
      </x:c>
      <x:c r="H937" s="10" t="n">
        <x:v>45406</x:v>
      </x:c>
      <x:c r="I937" s="8" t="str">
        <x:v>20,000 to 99,999</x:v>
      </x:c>
      <x:c r="J937" s="11" t="n">
        <x:v>202979143</x:v>
      </x:c>
      <x:c r="K937" s="11" t="n">
        <x:v>176718534</x:v>
      </x:c>
      <x:c r="L937" s="11" t="n">
        <x:v>26260609</x:v>
      </x:c>
      <x:c r="M937" s="12" t="n">
        <x:v>0.1293758984882501</x:v>
      </x:c>
      <x:c r="N937" s="11" t="n">
        <x:v>86189799</x:v>
      </x:c>
      <x:c r="O937" s="11" t="n">
        <x:v>100673031</x:v>
      </x:c>
      <x:c r="P937" s="11" t="n">
        <x:v>2998481</x:v>
      </x:c>
      <x:c r="Q937" s="11" t="n">
        <x:v>13117832</x:v>
      </x:c>
      <x:c r="R937" s="11" t="n">
        <x:v>159787390</x:v>
      </x:c>
      <x:c r="S937" s="11" t="n">
        <x:v>15876667</x:v>
      </x:c>
      <x:c r="T937" s="11" t="n">
        <x:v>266089607</x:v>
      </x:c>
      <x:c r="U937" s="11" t="n">
        <x:v>197520341</x:v>
      </x:c>
      <x:c r="V937" s="11" t="n">
        <x:v>105199246</x:v>
      </x:c>
      <x:c r="W937" s="11" t="n">
        <x:v>127381201</x:v>
      </x:c>
      <x:c r="X937" s="11" t="n">
        <x:v>29066114</x:v>
      </x:c>
      <x:c r="Y937" s="11" t="n">
        <x:v>0</x:v>
      </x:c>
      <x:c r="Z937" s="11" t="n">
        <x:v>1036267</x:v>
      </x:c>
      <x:c r="AA937" s="11" t="n">
        <x:v>27653748</x:v>
      </x:c>
      <x:c r="AB937" s="11" t="n">
        <x:v>1054477</x:v>
      </x:c>
      <x:c r="AC937" s="11" t="n">
        <x:v>2090744</x:v>
      </x:c>
      <x:c r="AD937" s="11" t="n">
        <x:v>48115857</x:v>
      </x:c>
      <x:c r="AE937" s="11" t="n">
        <x:v>46025113</x:v>
      </x:c>
      <x:c r="AF937" s="11" t="n">
        <x:v>192463426</x:v>
      </x:c>
      <x:c r="AG937" s="11" t="n">
        <x:v>843810211</x:v>
      </x:c>
      <x:c r="AH937" s="11" t="n">
        <x:v>295891597</x:v>
      </x:c>
      <x:c r="AI937" s="11" t="n">
        <x:v>547918614</x:v>
      </x:c>
      <x:c r="AJ937" s="11" t="n">
        <x:v>32860415</x:v>
      </x:c>
      <x:c r="AK937" s="11" t="n">
        <x:v>1000924361</x:v>
      </x:c>
      <x:c r="AL937" s="11" t="n">
        <x:v>20367383</x:v>
      </x:c>
      <x:c r="AM937" s="12" t="n">
        <x:v>0.9796514264278158</x:v>
      </x:c>
      <x:c r="AN937" s="12" t="n">
        <x:v>0.0328300681653606</x:v>
      </x:c>
      <x:c r="AO937" s="11" t="n">
        <x:v>187910590</x:v>
      </x:c>
      <x:c r="AP937" s="11" t="n">
        <x:v>184428747</x:v>
      </x:c>
      <x:c r="AQ937" s="12" t="n">
        <x:v>0.9814707462735336</x:v>
      </x:c>
      <x:c r="AR937" s="11" t="n">
        <x:v>4470.31544289301</x:v>
      </x:c>
      <x:c r="AS937" s="11" t="n">
        <x:v>3891.964365942827</x:v>
      </x:c>
      <x:c r="AT937" s="11" t="n">
        <x:v>2316.8578161476457</x:v>
      </x:c>
      <x:c r="AU937" s="11" t="n">
        <x:v>2805.382570585385</x:v>
      </x:c>
      <x:c r="AV937" s="11" t="n">
        <x:v>609.0329031405541</x:v>
      </x:c>
      <x:c r="AW937" s="11" t="n">
        <x:v>1.3471504031070907</x:v>
      </x:c>
      <x:c r="AX937" s="12" t="n">
        <x:v>0.9565477135739263</x:v>
      </x:c>
      <x:c r="AY937" s="11"/>
      <x:c r="AZ937" s="11"/>
      <x:c r="BA937" s="11"/>
      <x:c r="BB937" s="11"/>
      <x:c r="BC937" s="11"/>
      <x:c r="BD937" s="11"/>
      <x:c r="BE937" s="11"/>
      <x:c r="BF937" s="11"/>
      <x:c r="BG937" s="11"/>
      <x:c r="BH937" s="11"/>
      <x:c r="BI937" s="11"/>
      <x:c r="BJ937" s="11"/>
      <x:c r="BK937" s="12"/>
      <x:c r="BL937" s="12"/>
      <x:c r="BM937" s="12"/>
      <x:c r="BN937" s="12"/>
      <x:c r="BO937" s="12"/>
      <x:c r="BP937" s="12"/>
      <x:c r="BQ937" s="12"/>
      <x:c r="BR937" s="12"/>
      <x:c r="BS937" s="12"/>
      <x:c r="BT937" s="12"/>
      <x:c r="BU937" s="11" t="n">
        <x:v>48163</x:v>
      </x:c>
      <x:c r="BV937" s="11" t="n">
        <x:v>1900125</x:v>
      </x:c>
      <x:c r="BW937" s="11" t="n">
        <x:v>1050193</x:v>
      </x:c>
      <x:c r="BX937" s="11" t="n">
        <x:v>5316632</x:v>
      </x:c>
      <x:c r="BY937" s="11" t="n">
        <x:v>0</x:v>
      </x:c>
      <x:c r="BZ937" s="11" t="n">
        <x:v>7801200</x:v>
      </x:c>
      <x:c r="CA937" s="11" t="n">
        <x:v>0</x:v>
      </x:c>
      <x:c r="CB937" s="11" t="n">
        <x:v>0</x:v>
      </x:c>
      <x:c r="CC937" s="11" t="n">
        <x:v>27414123</x:v>
      </x:c>
      <x:c r="CD937" s="11" t="n">
        <x:v>38779337</x:v>
      </x:c>
      <x:c r="CE937" s="11" t="n">
        <x:v>3990850</x:v>
      </x:c>
      <x:c r="CF937" s="11" t="n">
        <x:v>0</x:v>
      </x:c>
      <x:c r="CG937" s="11" t="n">
        <x:v>7596534</x:v>
      </x:c>
      <x:c r="CH937" s="11" t="n">
        <x:v>31257074</x:v>
      </x:c>
      <x:c r="CI937" s="11" t="n">
        <x:v>29011966</x:v>
      </x:c>
      <x:c r="CJ937" s="11" t="n">
        <x:v>7459077</x:v>
      </x:c>
      <x:c r="CK937" s="11" t="n">
        <x:v>12689641</x:v>
      </x:c>
      <x:c r="CL937" s="11" t="n">
        <x:v>1606213</x:v>
      </x:c>
      <x:c r="CM937" s="11"/>
      <x:c r="CN937" s="11" t="n">
        <x:v>1037052</x:v>
      </x:c>
      <x:c r="CO937" s="11" t="n">
        <x:v>0</x:v>
      </x:c>
      <x:c r="CP937" s="8"/>
      <x:c r="CQ937" s="8"/>
    </x:row>
    <x:row r="938">
      <x:c r="A938" s="8" t="str">
        <x:v>West Vancouver|2023</x:v>
      </x:c>
      <x:c r="B938" s="8" t="str">
        <x:v>west-vancouver-d</x:v>
      </x:c>
      <x:c r="C938" s="8" t="str">
        <x:v>West Vancouver</x:v>
      </x:c>
      <x:c r="D938" s="8" t="str">
        <x:v>West Vancouver</x:v>
      </x:c>
      <x:c r="E938" s="8" t="str">
        <x:v>D</x:v>
      </x:c>
      <x:c r="F938" s="8" t="str">
        <x:v>MVRD</x:v>
      </x:c>
      <x:c r="G938" s="9" t="n">
        <x:v>2023</x:v>
      </x:c>
      <x:c r="H938" s="10" t="n">
        <x:v>40715</x:v>
      </x:c>
      <x:c r="I938" s="8" t="str">
        <x:v>20,000 to 99,999</x:v>
      </x:c>
      <x:c r="J938" s="11" t="n">
        <x:v>243879444</x:v>
      </x:c>
      <x:c r="K938" s="11" t="n">
        <x:v>192266285</x:v>
      </x:c>
      <x:c r="L938" s="11" t="n">
        <x:v>51613159</x:v>
      </x:c>
      <x:c r="M938" s="12" t="n">
        <x:v>0.21163390465987778</x:v>
      </x:c>
      <x:c r="N938" s="11" t="n">
        <x:v>90849691</x:v>
      </x:c>
      <x:c r="O938" s="11" t="n">
        <x:v>113444251</x:v>
      </x:c>
      <x:c r="P938" s="11" t="n">
        <x:v>10147878</x:v>
      </x:c>
      <x:c r="Q938" s="11" t="n">
        <x:v>29437624</x:v>
      </x:c>
      <x:c r="R938" s="11" t="n">
        <x:v>172978071</x:v>
      </x:c>
      <x:c r="S938" s="11" t="n">
        <x:v>18233737</x:v>
      </x:c>
      <x:c r="T938" s="11" t="n">
        <x:v>304907933</x:v>
      </x:c>
      <x:c r="U938" s="11" t="n">
        <x:v>203150900</x:v>
      </x:c>
      <x:c r="V938" s="11" t="n">
        <x:v>142637979</x:v>
      </x:c>
      <x:c r="W938" s="11" t="n">
        <x:v>166984774</x:v>
      </x:c>
      <x:c r="X938" s="11" t="n">
        <x:v>27653748</x:v>
      </x:c>
      <x:c r="Y938" s="11" t="n">
        <x:v>0</x:v>
      </x:c>
      <x:c r="Z938" s="11" t="n">
        <x:v>1036267</x:v>
      </x:c>
      <x:c r="AA938" s="11" t="n">
        <x:v>25916536</x:v>
      </x:c>
      <x:c r="AB938" s="11" t="n">
        <x:v>1054477</x:v>
      </x:c>
      <x:c r="AC938" s="11" t="n">
        <x:v>2090744</x:v>
      </x:c>
      <x:c r="AD938" s="11" t="n">
        <x:v>54778538</x:v>
      </x:c>
      <x:c r="AE938" s="11" t="n">
        <x:v>52687794</x:v>
      </x:c>
      <x:c r="AF938" s="11" t="n">
        <x:v>219114152</x:v>
      </x:c>
      <x:c r="AG938" s="11" t="n">
        <x:v>874220325</x:v>
      </x:c>
      <x:c r="AH938" s="11" t="n">
        <x:v>312604895</x:v>
      </x:c>
      <x:c r="AI938" s="11" t="n">
        <x:v>561615430</x:v>
      </x:c>
      <x:c r="AJ938" s="11" t="n">
        <x:v>32955796</x:v>
      </x:c>
      <x:c r="AK938" s="11" t="n">
        <x:v>1034124465</x:v>
      </x:c>
      <x:c r="AL938" s="11" t="n">
        <x:v>23256915</x:v>
      </x:c>
      <x:c r="AM938" s="12" t="n">
        <x:v>0.9775105262595253</x:v>
      </x:c>
      <x:c r="AN938" s="12" t="n">
        <x:v>0.031868307070754776</x:v>
      </x:c>
      <x:c r="AO938" s="11" t="n">
        <x:v>201264558</x:v>
      </x:c>
      <x:c r="AP938" s="11" t="n">
        <x:v>196425326</x:v>
      </x:c>
      <x:c r="AQ938" s="12" t="n">
        <x:v>0.975955866009951</x:v>
      </x:c>
      <x:c r="AR938" s="11" t="n">
        <x:v>5989.916345327275</x:v>
      </x:c>
      <x:c r="AS938" s="11" t="n">
        <x:v>4722.246960579639</x:v>
      </x:c>
      <x:c r="AT938" s="11" t="n">
        <x:v>3503.327496008842</x:v>
      </x:c>
      <x:c r="AU938" s="11" t="n">
        <x:v>4101.308461255066</x:v>
      </x:c>
      <x:c r="AV938" s="11" t="n">
        <x:v>636.535330959106</x:v>
      </x:c>
      <x:c r="AW938" s="11" t="n">
        <x:v>1.5008938331063264</x:v>
      </x:c>
      <x:c r="AX938" s="12" t="n">
        <x:v>0.9618327893307411</x:v>
      </x:c>
      <x:c r="AY938" s="11"/>
      <x:c r="AZ938" s="11"/>
      <x:c r="BA938" s="11"/>
      <x:c r="BB938" s="11"/>
      <x:c r="BC938" s="11"/>
      <x:c r="BD938" s="11"/>
      <x:c r="BE938" s="11"/>
      <x:c r="BF938" s="11"/>
      <x:c r="BG938" s="11"/>
      <x:c r="BH938" s="11"/>
      <x:c r="BI938" s="11"/>
      <x:c r="BJ938" s="11"/>
      <x:c r="BK938" s="12"/>
      <x:c r="BL938" s="12"/>
      <x:c r="BM938" s="12"/>
      <x:c r="BN938" s="12"/>
      <x:c r="BO938" s="12"/>
      <x:c r="BP938" s="12"/>
      <x:c r="BQ938" s="12"/>
      <x:c r="BR938" s="12"/>
      <x:c r="BS938" s="12"/>
      <x:c r="BT938" s="12"/>
      <x:c r="BU938" s="11" t="n">
        <x:v>49907</x:v>
      </x:c>
      <x:c r="BV938" s="11" t="n">
        <x:v>9247271</x:v>
      </x:c>
      <x:c r="BW938" s="11" t="n">
        <x:v>850700</x:v>
      </x:c>
      <x:c r="BX938" s="11" t="n">
        <x:v>14853155</x:v>
      </x:c>
      <x:c r="BY938" s="11" t="n">
        <x:v>0</x:v>
      </x:c>
      <x:c r="BZ938" s="11" t="n">
        <x:v>14584469</x:v>
      </x:c>
      <x:c r="CA938" s="11" t="n">
        <x:v>0</x:v>
      </x:c>
      <x:c r="CB938" s="11" t="n">
        <x:v>0</x:v>
      </x:c>
      <x:c r="CC938" s="11" t="n">
        <x:v>27512758</x:v>
      </x:c>
      <x:c r="CD938" s="11" t="n">
        <x:v>42253353</x:v>
      </x:c>
      <x:c r="CE938" s="11" t="n">
        <x:v>4471022</x:v>
      </x:c>
      <x:c r="CF938" s="11" t="n">
        <x:v>0</x:v>
      </x:c>
      <x:c r="CG938" s="11" t="n">
        <x:v>7818108</x:v>
      </x:c>
      <x:c r="CH938" s="11" t="n">
        <x:v>34918113</x:v>
      </x:c>
      <x:c r="CI938" s="11" t="n">
        <x:v>31468650</x:v>
      </x:c>
      <x:c r="CJ938" s="11" t="n">
        <x:v>6527800</x:v>
      </x:c>
      <x:c r="CK938" s="11" t="n">
        <x:v>14922903</x:v>
      </x:c>
      <x:c r="CL938" s="11" t="n">
        <x:v>1772914</x:v>
      </x:c>
      <x:c r="CM938" s="11" t="n">
        <x:v>113535</x:v>
      </x:c>
      <x:c r="CN938" s="11" t="n">
        <x:v>2253392</x:v>
      </x:c>
      <x:c r="CO938" s="11" t="n">
        <x:v>0</x:v>
      </x:c>
      <x:c r="CP938" s="8"/>
      <x:c r="CQ938" s="8"/>
    </x:row>
    <x:row r="939">
      <x:c r="A939" s="8" t="str">
        <x:v>West Vancouver|2024</x:v>
      </x:c>
      <x:c r="B939" s="8" t="str">
        <x:v>west-vancouver-d</x:v>
      </x:c>
      <x:c r="C939" s="8" t="str">
        <x:v>West Vancouver</x:v>
      </x:c>
      <x:c r="D939" s="8" t="str">
        <x:v>West Vancouver</x:v>
      </x:c>
      <x:c r="E939" s="8" t="str">
        <x:v>D</x:v>
      </x:c>
      <x:c r="F939" s="8" t="str">
        <x:v>MVRD</x:v>
      </x:c>
      <x:c r="G939" s="9" t="n">
        <x:v>2024</x:v>
      </x:c>
      <x:c r="H939" s="10" t="n">
        <x:v>40715</x:v>
      </x:c>
      <x:c r="I939" s="8" t="str">
        <x:v>20,000 to 99,999</x:v>
      </x:c>
      <x:c r="J939" s="11" t="n">
        <x:v>238371678</x:v>
      </x:c>
      <x:c r="K939" s="11" t="n">
        <x:v>213681565</x:v>
      </x:c>
      <x:c r="L939" s="11" t="n">
        <x:v>24690113</x:v>
      </x:c>
      <x:c r="M939" s="12" t="n">
        <x:v>0.10357821536164208</x:v>
      </x:c>
      <x:c r="N939" s="11" t="n">
        <x:v>98399640</x:v>
      </x:c>
      <x:c r="O939" s="11" t="n">
        <x:v>113881124</x:v>
      </x:c>
      <x:c r="P939" s="11" t="n">
        <x:v>2184673</x:v>
      </x:c>
      <x:c r="Q939" s="11" t="n">
        <x:v>23906241</x:v>
      </x:c>
      <x:c r="R939" s="11" t="n">
        <x:v>192942546</x:v>
      </x:c>
      <x:c r="S939" s="11" t="n">
        <x:v>19737859</x:v>
      </x:c>
      <x:c r="T939" s="11" t="n">
        <x:v>315832426</x:v>
      </x:c>
      <x:c r="U939" s="11" t="n">
        <x:v>201266396</x:v>
      </x:c>
      <x:c r="V939" s="11" t="n">
        <x:v>157754468</x:v>
      </x:c>
      <x:c r="W939" s="11" t="n">
        <x:v>154037440</x:v>
      </x:c>
      <x:c r="X939" s="11" t="n">
        <x:v>25916536</x:v>
      </x:c>
      <x:c r="Y939" s="11" t="n">
        <x:v>0</x:v>
      </x:c>
      <x:c r="Z939" s="11" t="n">
        <x:v>1036267</x:v>
      </x:c>
      <x:c r="AA939" s="11" t="n">
        <x:v>24505023</x:v>
      </x:c>
      <x:c r="AB939" s="11" t="n">
        <x:v>1001160</x:v>
      </x:c>
      <x:c r="AC939" s="11" t="n">
        <x:v>2037427</x:v>
      </x:c>
      <x:c r="AD939" s="11" t="n">
        <x:v>57536831</x:v>
      </x:c>
      <x:c r="AE939" s="11" t="n">
        <x:v>55499404</x:v>
      </x:c>
      <x:c r="AF939" s="11" t="n">
        <x:v>230147322</x:v>
      </x:c>
      <x:c r="AG939" s="11" t="n">
        <x:v>901231343</x:v>
      </x:c>
      <x:c r="AH939" s="11" t="n">
        <x:v>330295105</x:v>
      </x:c>
      <x:c r="AI939" s="11" t="n">
        <x:v>570936238</x:v>
      </x:c>
      <x:c r="AJ939" s="11" t="n">
        <x:v>31746492</x:v>
      </x:c>
      <x:c r="AK939" s="11" t="n">
        <x:v>1103760707</x:v>
      </x:c>
      <x:c r="AL939" s="11" t="n">
        <x:v>25126227</x:v>
      </x:c>
      <x:c r="AM939" s="12" t="n">
        <x:v>0.977235802252562</x:v>
      </x:c>
      <x:c r="AN939" s="12" t="n">
        <x:v>0.02876211464918546</x:v>
      </x:c>
      <x:c r="AO939" s="11" t="n">
        <x:v>215289785</x:v>
      </x:c>
      <x:c r="AP939" s="11" t="n">
        <x:v>210286003</x:v>
      </x:c>
      <x:c r="AQ939" s="12" t="n">
        <x:v>0.9767579218865401</x:v>
      </x:c>
      <x:c r="AR939" s="11" t="n">
        <x:v>5854.640255434115</x:v>
      </x:c>
      <x:c r="AS939" s="11" t="n">
        <x:v>5248.227066191821</x:v>
      </x:c>
      <x:c r="AT939" s="11" t="n">
        <x:v>3874.6031683654674</x:v>
      </x:c>
      <x:c r="AU939" s="11" t="n">
        <x:v>3783.30934545008</x:v>
      </x:c>
      <x:c r="AV939" s="11" t="n">
        <x:v>601.8671988210733</x:v>
      </x:c>
      <x:c r="AW939" s="11" t="n">
        <x:v>1.5692258234703025</x:v>
      </x:c>
      <x:c r="AX939" s="12" t="n">
        <x:v>0.9645891689794316</x:v>
      </x:c>
      <x:c r="AY939" s="11" t="n">
        <x:v>4511.346779173996</x:v>
      </x:c>
      <x:c r="AZ939" s="11" t="n">
        <x:v>3546.5079302077975</x:v>
      </x:c>
      <x:c r="BA939" s="11" t="n">
        <x:v>2919.303585494507</x:v>
      </x:c>
      <x:c r="BB939" s="11" t="n">
        <x:v>2783.665107049771</x:v>
      </x:c>
      <x:c r="BC939" s="11" t="n">
        <x:v>1671.5377681570433</x:v>
      </x:c>
      <x:c r="BD939" s="11" t="n">
        <x:v>2437.8724475115623</x:v>
      </x:c>
      <x:c r="BE939" s="11" t="n">
        <x:v>2013.8680402698296</x:v>
      </x:c>
      <x:c r="BF939" s="11" t="n">
        <x:v>1604.3462673977224</x:v>
      </x:c>
      <x:c r="BG939" s="11" t="n">
        <x:v>758.072703793099</x:v>
      </x:c>
      <x:c r="BH939" s="11" t="n">
        <x:v>518.5374381567245</x:v>
      </x:c>
      <x:c r="BI939" s="11" t="n">
        <x:v>1.4106251913295584</x:v>
      </x:c>
      <x:c r="BJ939" s="11" t="n">
        <x:v>1.7099330852451193</x:v>
      </x:c>
      <x:c r="BK939" s="12" t="n">
        <x:v>0.02395434950880719</x:v>
      </x:c>
      <x:c r="BL939" s="12" t="n">
        <x:v>0.02529861000232605</x:v>
      </x:c>
      <x:c r="BM939" s="12" t="n">
        <x:v>0.982881188126185</x:v>
      </x:c>
      <x:c r="BN939" s="12" t="n">
        <x:v>0.9815511712696461</x:v>
      </x:c>
      <x:c r="BO939" s="12" t="n">
        <x:v>0.7663674777332005</x:v>
      </x:c>
      <x:c r="BP939" s="12" t="n">
        <x:v>0.8619101997275483</x:v>
      </x:c>
      <x:c r="BQ939" s="12" t="n">
        <x:v>0.9710385348590358</x:v>
      </x:c>
      <x:c r="BR939" s="12" t="n">
        <x:v>0.9623635142836453</x:v>
      </x:c>
      <x:c r="BS939" s="12" t="n">
        <x:v>0.1541512928248161</x:v>
      </x:c>
      <x:c r="BT939" s="12" t="n">
        <x:v>0.19976549769108282</x:v>
      </x:c>
      <x:c r="BU939" s="11" t="n">
        <x:v>426443</x:v>
      </x:c>
      <x:c r="BV939" s="11" t="n">
        <x:v>1758230</x:v>
      </x:c>
      <x:c r="BW939" s="11" t="n">
        <x:v>0</x:v>
      </x:c>
      <x:c r="BX939" s="11" t="n">
        <x:v>17589804</x:v>
      </x:c>
      <x:c r="BY939" s="11" t="n">
        <x:v>0</x:v>
      </x:c>
      <x:c r="BZ939" s="11" t="n">
        <x:v>6287280</x:v>
      </x:c>
      <x:c r="CA939" s="11" t="n">
        <x:v>29157</x:v>
      </x:c>
      <x:c r="CB939" s="11" t="n">
        <x:v>0</x:v>
      </x:c>
      <x:c r="CC939" s="11" t="n">
        <x:v>38730434</x:v>
      </x:c>
      <x:c r="CD939" s="11" t="n">
        <x:v>45055104</x:v>
      </x:c>
      <x:c r="CE939" s="11" t="n">
        <x:v>4724093</x:v>
      </x:c>
      <x:c r="CF939" s="11" t="n">
        <x:v>0</x:v>
      </x:c>
      <x:c r="CG939" s="11" t="n">
        <x:v>8784335</x:v>
      </x:c>
      <x:c r="CH939" s="11" t="n">
        <x:v>37831835</x:v>
      </x:c>
      <x:c r="CI939" s="11" t="n">
        <x:v>32131369</x:v>
      </x:c>
      <x:c r="CJ939" s="11" t="n">
        <x:v>9040810</x:v>
      </x:c>
      <x:c r="CK939" s="11" t="n">
        <x:v>14297406</x:v>
      </x:c>
      <x:c r="CL939" s="11" t="n">
        <x:v>792124</x:v>
      </x:c>
      <x:c r="CM939" s="11" t="n">
        <x:v>116575</x:v>
      </x:c>
      <x:c r="CN939" s="11" t="n">
        <x:v>2439621</x:v>
      </x:c>
      <x:c r="CO939" s="11" t="n">
        <x:v>0</x:v>
      </x:c>
      <x:c r="CP939" s="8"/>
      <x:c r="CQ939" s="8"/>
    </x:row>
    <x:row r="940">
      <x:c r="A940" s="8" t="str">
        <x:v>Whistler|2019</x:v>
      </x:c>
      <x:c r="B940" s="8" t="str">
        <x:v>whistler-d</x:v>
      </x:c>
      <x:c r="C940" s="8" t="str">
        <x:v>Whistler</x:v>
      </x:c>
      <x:c r="D940" s="8" t="str">
        <x:v>Whistler</x:v>
      </x:c>
      <x:c r="E940" s="8" t="str">
        <x:v>D</x:v>
      </x:c>
      <x:c r="F940" s="8" t="str">
        <x:v>SQL</x:v>
      </x:c>
      <x:c r="G940" s="9" t="n">
        <x:v>2019</x:v>
      </x:c>
      <x:c r="H940" s="10" t="n">
        <x:v>13763</x:v>
      </x:c>
      <x:c r="I940" s="8" t="str">
        <x:v>5,000 to 19,999</x:v>
      </x:c>
      <x:c r="J940" s="11" t="n">
        <x:v>109306484</x:v>
      </x:c>
      <x:c r="K940" s="11" t="n">
        <x:v>97373656</x:v>
      </x:c>
      <x:c r="L940" s="11" t="n">
        <x:v>11932828</x:v>
      </x:c>
      <x:c r="M940" s="12" t="n">
        <x:v>0.109168528373852</x:v>
      </x:c>
      <x:c r="N940" s="11" t="n">
        <x:v>58621789</x:v>
      </x:c>
      <x:c r="O940" s="11" t="n">
        <x:v>31187565</x:v>
      </x:c>
      <x:c r="P940" s="11" t="n">
        <x:v>12838962</x:v>
      </x:c>
      <x:c r="Q940" s="11" t="n">
        <x:v>6658168</x:v>
      </x:c>
      <x:c r="R940" s="11" t="n">
        <x:v>82182966</x:v>
      </x:c>
      <x:c r="S940" s="11" t="n">
        <x:v>13891162</x:v>
      </x:c>
      <x:c r="T940" s="11" t="n">
        <x:v>100704166</x:v>
      </x:c>
      <x:c r="U940" s="11" t="n">
        <x:v>77158567</x:v>
      </x:c>
      <x:c r="V940" s="11" t="n">
        <x:v>35757400</x:v>
      </x:c>
      <x:c r="W940" s="11" t="n">
        <x:v>75739261</x:v>
      </x:c>
      <x:c r="X940" s="11" t="n">
        <x:v>31880447</x:v>
      </x:c>
      <x:c r="Y940" s="11" t="n">
        <x:v>10353826</x:v>
      </x:c>
      <x:c r="Z940" s="11" t="n">
        <x:v>1813741</x:v>
      </x:c>
      <x:c r="AA940" s="11" t="n">
        <x:v>39999800</x:v>
      </x:c>
      <x:c r="AB940" s="11" t="n">
        <x:v>1299528</x:v>
      </x:c>
      <x:c r="AC940" s="11" t="n">
        <x:v>3113269</x:v>
      </x:c>
      <x:c r="AD940" s="11" t="n">
        <x:v>23888780</x:v>
      </x:c>
      <x:c r="AE940" s="11" t="n">
        <x:v>20775511</x:v>
      </x:c>
      <x:c r="AF940" s="11" t="n">
        <x:v>95555118</x:v>
      </x:c>
      <x:c r="AG940" s="11" t="n">
        <x:v>686996632</x:v>
      </x:c>
      <x:c r="AH940" s="11" t="n">
        <x:v>189859826</x:v>
      </x:c>
      <x:c r="AI940" s="11" t="n">
        <x:v>497136806</x:v>
      </x:c>
      <x:c r="AJ940" s="11" t="n">
        <x:v>29399764</x:v>
      </x:c>
      <x:c r="AK940" s="11" t="n">
        <x:v>1080953641</x:v>
      </x:c>
      <x:c r="AL940" s="11" t="n">
        <x:v>26182553</x:v>
      </x:c>
      <x:c r="AM940" s="12" t="n">
        <x:v>0.9757782831687599</x:v>
      </x:c>
      <x:c r="AN940" s="12" t="n">
        <x:v>0.0271979878552442</x:v>
      </x:c>
      <x:c r="AO940" s="11" t="n">
        <x:v>82035083</x:v>
      </x:c>
      <x:c r="AP940" s="11" t="n">
        <x:v>80351117</x:v>
      </x:c>
      <x:c r="AQ940" s="12" t="n">
        <x:v>0.9794726117361275</x:v>
      </x:c>
      <x:c r="AR940" s="11" t="n">
        <x:v>7942.053622030081</x:v>
      </x:c>
      <x:c r="AS940" s="11" t="n">
        <x:v>7075.031315846836</x:v>
      </x:c>
      <x:c r="AT940" s="11" t="n">
        <x:v>2598.0818135580907</x:v>
      </x:c>
      <x:c r="AU940" s="11" t="n">
        <x:v>5503.106953425852</x:v>
      </x:c>
      <x:c r="AV940" s="11" t="n">
        <x:v>2906.328562086754</x:v>
      </x:c>
      <x:c r="AW940" s="11" t="n">
        <x:v>1.305158583362493</x:v>
      </x:c>
      <x:c r="AX940" s="12" t="n">
        <x:v>0.8696765175952895</x:v>
      </x:c>
      <x:c r="AY940" s="11"/>
      <x:c r="AZ940" s="11"/>
      <x:c r="BA940" s="11"/>
      <x:c r="BB940" s="11"/>
      <x:c r="BC940" s="11"/>
      <x:c r="BD940" s="11"/>
      <x:c r="BE940" s="11"/>
      <x:c r="BF940" s="11"/>
      <x:c r="BG940" s="11"/>
      <x:c r="BH940" s="11"/>
      <x:c r="BI940" s="11"/>
      <x:c r="BJ940" s="11"/>
      <x:c r="BK940" s="12"/>
      <x:c r="BL940" s="12"/>
      <x:c r="BM940" s="12"/>
      <x:c r="BN940" s="12"/>
      <x:c r="BO940" s="12"/>
      <x:c r="BP940" s="12"/>
      <x:c r="BQ940" s="12"/>
      <x:c r="BR940" s="12"/>
      <x:c r="BS940" s="12"/>
      <x:c r="BT940" s="12"/>
      <x:c r="BU940" s="11" t="n">
        <x:v>1535867</x:v>
      </x:c>
      <x:c r="BV940" s="11" t="n">
        <x:v>11303095</x:v>
      </x:c>
      <x:c r="BW940" s="11" t="n">
        <x:v>0</x:v>
      </x:c>
      <x:c r="BX940" s="11" t="n">
        <x:v>3809235</x:v>
      </x:c>
      <x:c r="BY940" s="11" t="n">
        <x:v>33755</x:v>
      </x:c>
      <x:c r="BZ940" s="11" t="n">
        <x:v>558793</x:v>
      </x:c>
      <x:c r="CA940" s="11" t="n">
        <x:v>0</x:v>
      </x:c>
      <x:c r="CB940" s="11" t="n">
        <x:v>2256385</x:v>
      </x:c>
      <x:c r="CC940" s="11" t="n">
        <x:v>21112466</x:v>
      </x:c>
      <x:c r="CD940" s="11" t="n">
        <x:v>12424824</x:v>
      </x:c>
      <x:c r="CE940" s="11" t="n">
        <x:v>6095551</x:v>
      </x:c>
      <x:c r="CF940" s="11" t="n">
        <x:v>2468090</x:v>
      </x:c>
      <x:c r="CG940" s="11" t="n">
        <x:v>3018124</x:v>
      </x:c>
      <x:c r="CH940" s="11" t="n">
        <x:v>10485885</x:v>
      </x:c>
      <x:c r="CI940" s="11" t="n">
        <x:v>19558872</x:v>
      </x:c>
      <x:c r="CJ940" s="11" t="n">
        <x:v>3225672</x:v>
      </x:c>
      <x:c r="CK940" s="11" t="n">
        <x:v>5079646</x:v>
      </x:c>
      <x:c r="CL940" s="11" t="n">
        <x:v>0</x:v>
      </x:c>
      <x:c r="CM940" s="11"/>
      <x:c r="CN940" s="11" t="n">
        <x:v>13364</x:v>
      </x:c>
      <x:c r="CO940" s="11" t="n">
        <x:v>0</x:v>
      </x:c>
      <x:c r="CP940" s="8"/>
      <x:c r="CQ940" s="8"/>
    </x:row>
    <x:row r="941">
      <x:c r="A941" s="8" t="str">
        <x:v>Whistler|2020</x:v>
      </x:c>
      <x:c r="B941" s="8" t="str">
        <x:v>whistler-d</x:v>
      </x:c>
      <x:c r="C941" s="8" t="str">
        <x:v>Whistler</x:v>
      </x:c>
      <x:c r="D941" s="8" t="str">
        <x:v>Whistler</x:v>
      </x:c>
      <x:c r="E941" s="8" t="str">
        <x:v>D</x:v>
      </x:c>
      <x:c r="F941" s="8" t="str">
        <x:v>SQL</x:v>
      </x:c>
      <x:c r="G941" s="9" t="n">
        <x:v>2020</x:v>
      </x:c>
      <x:c r="H941" s="10" t="n">
        <x:v>13948</x:v>
      </x:c>
      <x:c r="I941" s="8" t="str">
        <x:v>5,000 to 19,999</x:v>
      </x:c>
      <x:c r="J941" s="11" t="n">
        <x:v>103686565</x:v>
      </x:c>
      <x:c r="K941" s="11" t="n">
        <x:v>89011829</x:v>
      </x:c>
      <x:c r="L941" s="11" t="n">
        <x:v>14674736</x:v>
      </x:c>
      <x:c r="M941" s="12" t="n">
        <x:v>0.14152977292670463</x:v>
      </x:c>
      <x:c r="N941" s="11" t="n">
        <x:v>54615856</x:v>
      </x:c>
      <x:c r="O941" s="11" t="n">
        <x:v>26386222</x:v>
      </x:c>
      <x:c r="P941" s="11" t="n">
        <x:v>13408444</x:v>
      </x:c>
      <x:c r="Q941" s="11" t="n">
        <x:v>9276043</x:v>
      </x:c>
      <x:c r="R941" s="11" t="n">
        <x:v>73136897</x:v>
      </x:c>
      <x:c r="S941" s="11" t="n">
        <x:v>14506529</x:v>
      </x:c>
      <x:c r="T941" s="11" t="n">
        <x:v>129926127</x:v>
      </x:c>
      <x:c r="U941" s="11" t="n">
        <x:v>104145575</x:v>
      </x:c>
      <x:c r="V941" s="11" t="n">
        <x:v>34359715</x:v>
      </x:c>
      <x:c r="W941" s="11" t="n">
        <x:v>76660716</x:v>
      </x:c>
      <x:c r="X941" s="11" t="n">
        <x:v>39999800</x:v>
      </x:c>
      <x:c r="Y941" s="11" t="n">
        <x:v>18506532</x:v>
      </x:c>
      <x:c r="Z941" s="11" t="n">
        <x:v>15443151</x:v>
      </x:c>
      <x:c r="AA941" s="11" t="n">
        <x:v>42593415</x:v>
      </x:c>
      <x:c r="AB941" s="11" t="n">
        <x:v>1368403</x:v>
      </x:c>
      <x:c r="AC941" s="11" t="n">
        <x:v>16811554</x:v>
      </x:c>
      <x:c r="AD941" s="11" t="n">
        <x:v>22380296</x:v>
      </x:c>
      <x:c r="AE941" s="11" t="n">
        <x:v>5568742</x:v>
      </x:c>
      <x:c r="AF941" s="11" t="n">
        <x:v>89521184</x:v>
      </x:c>
      <x:c r="AG941" s="11" t="n">
        <x:v>717049490</x:v>
      </x:c>
      <x:c r="AH941" s="11" t="n">
        <x:v>204030423</x:v>
      </x:c>
      <x:c r="AI941" s="11" t="n">
        <x:v>513019067</x:v>
      </x:c>
      <x:c r="AJ941" s="11" t="n">
        <x:v>29907949</x:v>
      </x:c>
      <x:c r="AK941" s="11" t="n">
        <x:v>1076450358</x:v>
      </x:c>
      <x:c r="AL941" s="11" t="n">
        <x:v>30465893</x:v>
      </x:c>
      <x:c r="AM941" s="12" t="n">
        <x:v>0.9716978188788897</x:v>
      </x:c>
      <x:c r="AN941" s="12" t="n">
        <x:v>0.027783862746413802</x:v>
      </x:c>
      <x:c r="AO941" s="11" t="n">
        <x:v>81574616</x:v>
      </x:c>
      <x:c r="AP941" s="11" t="n">
        <x:v>79177755</x:v>
      </x:c>
      <x:c r="AQ941" s="12" t="n">
        <x:v>0.9706175631890195</x:v>
      </x:c>
      <x:c r="AR941" s="11" t="n">
        <x:v>7433.794450817321</x:v>
      </x:c>
      <x:c r="AS941" s="11" t="n">
        <x:v>6381.691210209349</x:v>
      </x:c>
      <x:c r="AT941" s="11" t="n">
        <x:v>2463.415184972756</x:v>
      </x:c>
      <x:c r="AU941" s="11" t="n">
        <x:v>5496.179810725552</x:v>
      </x:c>
      <x:c r="AV941" s="11" t="n">
        <x:v>3053.729208488672</x:v>
      </x:c>
      <x:c r="AW941" s="11" t="n">
        <x:v>1.2475434217920445</x:v>
      </x:c>
      <x:c r="AX941" s="12" t="n">
        <x:v>0.24882342932372298</x:v>
      </x:c>
      <x:c r="AY941" s="11"/>
      <x:c r="AZ941" s="11"/>
      <x:c r="BA941" s="11"/>
      <x:c r="BB941" s="11"/>
      <x:c r="BC941" s="11"/>
      <x:c r="BD941" s="11"/>
      <x:c r="BE941" s="11"/>
      <x:c r="BF941" s="11"/>
      <x:c r="BG941" s="11"/>
      <x:c r="BH941" s="11"/>
      <x:c r="BI941" s="11"/>
      <x:c r="BJ941" s="11"/>
      <x:c r="BK941" s="12"/>
      <x:c r="BL941" s="12"/>
      <x:c r="BM941" s="12"/>
      <x:c r="BN941" s="12"/>
      <x:c r="BO941" s="12"/>
      <x:c r="BP941" s="12"/>
      <x:c r="BQ941" s="12"/>
      <x:c r="BR941" s="12"/>
      <x:c r="BS941" s="12"/>
      <x:c r="BT941" s="12"/>
      <x:c r="BU941" s="11" t="n">
        <x:v>1085446</x:v>
      </x:c>
      <x:c r="BV941" s="11" t="n">
        <x:v>12322998</x:v>
      </x:c>
      <x:c r="BW941" s="11" t="n">
        <x:v>0</x:v>
      </x:c>
      <x:c r="BX941" s="11" t="n">
        <x:v>3567838</x:v>
      </x:c>
      <x:c r="BY941" s="11" t="n">
        <x:v>187049</x:v>
      </x:c>
      <x:c r="BZ941" s="11" t="n">
        <x:v>372187</x:v>
      </x:c>
      <x:c r="CA941" s="11" t="n">
        <x:v>3519000</x:v>
      </x:c>
      <x:c r="CB941" s="11" t="n">
        <x:v>1629969</x:v>
      </x:c>
      <x:c r="CC941" s="11" t="n">
        <x:v>17900678</x:v>
      </x:c>
      <x:c r="CD941" s="11" t="n">
        <x:v>12140521</x:v>
      </x:c>
      <x:c r="CE941" s="11" t="n">
        <x:v>5852580</x:v>
      </x:c>
      <x:c r="CF941" s="11" t="n">
        <x:v>2750075</x:v>
      </x:c>
      <x:c r="CG941" s="11" t="n">
        <x:v>2693231</x:v>
      </x:c>
      <x:c r="CH941" s="11" t="n">
        <x:v>9214592</x:v>
      </x:c>
      <x:c r="CI941" s="11" t="n">
        <x:v>15734420</x:v>
      </x:c>
      <x:c r="CJ941" s="11" t="n">
        <x:v>2639834</x:v>
      </x:c>
      <x:c r="CK941" s="11" t="n">
        <x:v>5319897</x:v>
      </x:c>
      <x:c r="CL941" s="11" t="n">
        <x:v>0</x:v>
      </x:c>
      <x:c r="CM941" s="11"/>
      <x:c r="CN941" s="11" t="n">
        <x:v>259472</x:v>
      </x:c>
      <x:c r="CO941" s="11" t="n">
        <x:v>0</x:v>
      </x:c>
      <x:c r="CP941" s="8"/>
      <x:c r="CQ941" s="8"/>
    </x:row>
    <x:row r="942">
      <x:c r="A942" s="8" t="str">
        <x:v>Whistler|2021</x:v>
      </x:c>
      <x:c r="B942" s="8" t="str">
        <x:v>whistler-d</x:v>
      </x:c>
      <x:c r="C942" s="8" t="str">
        <x:v>Whistler</x:v>
      </x:c>
      <x:c r="D942" s="8" t="str">
        <x:v>Whistler</x:v>
      </x:c>
      <x:c r="E942" s="8" t="str">
        <x:v>D</x:v>
      </x:c>
      <x:c r="F942" s="8" t="str">
        <x:v>SQL</x:v>
      </x:c>
      <x:c r="G942" s="9" t="n">
        <x:v>2021</x:v>
      </x:c>
      <x:c r="H942" s="10" t="n">
        <x:v>13918</x:v>
      </x:c>
      <x:c r="I942" s="8" t="str">
        <x:v>5,000 to 19,999</x:v>
      </x:c>
      <x:c r="J942" s="11" t="n">
        <x:v>99511709</x:v>
      </x:c>
      <x:c r="K942" s="11" t="n">
        <x:v>97469339</x:v>
      </x:c>
      <x:c r="L942" s="11" t="n">
        <x:v>2042370</x:v>
      </x:c>
      <x:c r="M942" s="12" t="n">
        <x:v>0.020523916436808457</x:v>
      </x:c>
      <x:c r="N942" s="11" t="n">
        <x:v>56124228</x:v>
      </x:c>
      <x:c r="O942" s="11" t="n">
        <x:v>29161209</x:v>
      </x:c>
      <x:c r="P942" s="11" t="n">
        <x:v>9493258</x:v>
      </x:c>
      <x:c r="Q942" s="11" t="n">
        <x:v>4733014</x:v>
      </x:c>
      <x:c r="R942" s="11" t="n">
        <x:v>80731007</x:v>
      </x:c>
      <x:c r="S942" s="11" t="n">
        <x:v>15477381</x:v>
      </x:c>
      <x:c r="T942" s="11" t="n">
        <x:v>105297181</x:v>
      </x:c>
      <x:c r="U942" s="11" t="n">
        <x:v>103870137</x:v>
      </x:c>
      <x:c r="V942" s="11" t="n">
        <x:v>12740436</x:v>
      </x:c>
      <x:c r="W942" s="11" t="n">
        <x:v>60218773</x:v>
      </x:c>
      <x:c r="X942" s="11" t="n">
        <x:v>42593415</x:v>
      </x:c>
      <x:c r="Y942" s="11" t="n">
        <x:v>23666304</x:v>
      </x:c>
      <x:c r="Z942" s="11" t="n">
        <x:v>11760780</x:v>
      </x:c>
      <x:c r="AA942" s="11" t="n">
        <x:v>53978105</x:v>
      </x:c>
      <x:c r="AB942" s="11" t="n">
        <x:v>1260951</x:v>
      </x:c>
      <x:c r="AC942" s="11" t="n">
        <x:v>13021731</x:v>
      </x:c>
      <x:c r="AD942" s="11" t="n">
        <x:v>22196133</x:v>
      </x:c>
      <x:c r="AE942" s="11" t="n">
        <x:v>9174402</x:v>
      </x:c>
      <x:c r="AF942" s="11" t="n">
        <x:v>88784530</x:v>
      </x:c>
      <x:c r="AG942" s="11" t="n">
        <x:v>755278688</x:v>
      </x:c>
      <x:c r="AH942" s="11" t="n">
        <x:v>218445570</x:v>
      </x:c>
      <x:c r="AI942" s="11" t="n">
        <x:v>536833118</x:v>
      </x:c>
      <x:c r="AJ942" s="11" t="n">
        <x:v>19026138</x:v>
      </x:c>
      <x:c r="AK942" s="11" t="n">
        <x:v>1156222860</x:v>
      </x:c>
      <x:c r="AL942" s="11" t="n">
        <x:v>30152314</x:v>
      </x:c>
      <x:c r="AM942" s="12" t="n">
        <x:v>0.9739217109061483</x:v>
      </x:c>
      <x:c r="AN942" s="12" t="n">
        <x:v>0.016455424519110442</x:v>
      </x:c>
      <x:c r="AO942" s="11" t="n">
        <x:v>88707127</x:v>
      </x:c>
      <x:c r="AP942" s="11" t="n">
        <x:v>86119227</x:v>
      </x:c>
      <x:c r="AQ942" s="12" t="n">
        <x:v>0.9708264703466273</x:v>
      </x:c>
      <x:c r="AR942" s="11" t="n">
        <x:v>7149.856947837333</x:v>
      </x:c>
      <x:c r="AS942" s="11" t="n">
        <x:v>7003.1138813047855</x:v>
      </x:c>
      <x:c r="AT942" s="11" t="n">
        <x:v>915.3927288403506</x:v>
      </x:c>
      <x:c r="AU942" s="11" t="n">
        <x:v>4326.682928581693</x:v>
      </x:c>
      <x:c r="AV942" s="11" t="n">
        <x:v>3878.2946544043684</x:v>
      </x:c>
      <x:c r="AW942" s="11" t="n">
        <x:v>1.0137387322402396</x:v>
      </x:c>
      <x:c r="AX942" s="12" t="n">
        <x:v>0.4133333495523747</x:v>
      </x:c>
      <x:c r="AY942" s="11"/>
      <x:c r="AZ942" s="11"/>
      <x:c r="BA942" s="11"/>
      <x:c r="BB942" s="11"/>
      <x:c r="BC942" s="11"/>
      <x:c r="BD942" s="11"/>
      <x:c r="BE942" s="11"/>
      <x:c r="BF942" s="11"/>
      <x:c r="BG942" s="11"/>
      <x:c r="BH942" s="11"/>
      <x:c r="BI942" s="11"/>
      <x:c r="BJ942" s="11"/>
      <x:c r="BK942" s="12"/>
      <x:c r="BL942" s="12"/>
      <x:c r="BM942" s="12"/>
      <x:c r="BN942" s="12"/>
      <x:c r="BO942" s="12"/>
      <x:c r="BP942" s="12"/>
      <x:c r="BQ942" s="12"/>
      <x:c r="BR942" s="12"/>
      <x:c r="BS942" s="12"/>
      <x:c r="BT942" s="12"/>
      <x:c r="BU942" s="11" t="n">
        <x:v>2141158</x:v>
      </x:c>
      <x:c r="BV942" s="11" t="n">
        <x:v>7352100</x:v>
      </x:c>
      <x:c r="BW942" s="11" t="n">
        <x:v>0</x:v>
      </x:c>
      <x:c r="BX942" s="11" t="n">
        <x:v>2093291</x:v>
      </x:c>
      <x:c r="BY942" s="11" t="n">
        <x:v>53450</x:v>
      </x:c>
      <x:c r="BZ942" s="11" t="n">
        <x:v>824590</x:v>
      </x:c>
      <x:c r="CA942" s="11" t="n">
        <x:v>0</x:v>
      </x:c>
      <x:c r="CB942" s="11" t="n">
        <x:v>1761683</x:v>
      </x:c>
      <x:c r="CC942" s="11" t="n">
        <x:v>20126717</x:v>
      </x:c>
      <x:c r="CD942" s="11" t="n">
        <x:v>13225646</x:v>
      </x:c>
      <x:c r="CE942" s="11" t="n">
        <x:v>5801772</x:v>
      </x:c>
      <x:c r="CF942" s="11" t="n">
        <x:v>3667315</x:v>
      </x:c>
      <x:c r="CG942" s="11" t="n">
        <x:v>3259860</x:v>
      </x:c>
      <x:c r="CH942" s="11" t="n">
        <x:v>8047083</x:v>
      </x:c>
      <x:c r="CI942" s="11" t="n">
        <x:v>18174096</x:v>
      </x:c>
      <x:c r="CJ942" s="11" t="n">
        <x:v>3352700</x:v>
      </x:c>
      <x:c r="CK942" s="11" t="n">
        <x:v>6014803</x:v>
      </x:c>
      <x:c r="CL942" s="11" t="n">
        <x:v>0</x:v>
      </x:c>
      <x:c r="CM942" s="11"/>
      <x:c r="CN942" s="11" t="n">
        <x:v>321966</x:v>
      </x:c>
      <x:c r="CO942" s="11" t="n">
        <x:v>0</x:v>
      </x:c>
      <x:c r="CP942" s="8"/>
      <x:c r="CQ942" s="8"/>
    </x:row>
    <x:row r="943">
      <x:c r="A943" s="8" t="str">
        <x:v>Whistler|2022</x:v>
      </x:c>
      <x:c r="B943" s="8" t="str">
        <x:v>whistler-d</x:v>
      </x:c>
      <x:c r="C943" s="8" t="str">
        <x:v>Whistler</x:v>
      </x:c>
      <x:c r="D943" s="8" t="str">
        <x:v>Whistler</x:v>
      </x:c>
      <x:c r="E943" s="8" t="str">
        <x:v>D</x:v>
      </x:c>
      <x:c r="F943" s="8" t="str">
        <x:v>SQL</x:v>
      </x:c>
      <x:c r="G943" s="9" t="n">
        <x:v>2022</x:v>
      </x:c>
      <x:c r="H943" s="10" t="n">
        <x:v>13537</x:v>
      </x:c>
      <x:c r="I943" s="8" t="str">
        <x:v>5,000 to 19,999</x:v>
      </x:c>
      <x:c r="J943" s="11" t="n">
        <x:v>141768269</x:v>
      </x:c>
      <x:c r="K943" s="11" t="n">
        <x:v>108956689</x:v>
      </x:c>
      <x:c r="L943" s="11" t="n">
        <x:v>32811580</x:v>
      </x:c>
      <x:c r="M943" s="12" t="n">
        <x:v>0.23144516210464558</x:v>
      </x:c>
      <x:c r="N943" s="11" t="n">
        <x:v>66692111</x:v>
      </x:c>
      <x:c r="O943" s="11" t="n">
        <x:v>33446674</x:v>
      </x:c>
      <x:c r="P943" s="11" t="n">
        <x:v>8636675</x:v>
      </x:c>
      <x:c r="Q943" s="11" t="n">
        <x:v>32992809</x:v>
      </x:c>
      <x:c r="R943" s="11" t="n">
        <x:v>91744956</x:v>
      </x:c>
      <x:c r="S943" s="11" t="n">
        <x:v>15932770</x:v>
      </x:c>
      <x:c r="T943" s="11" t="n">
        <x:v>108463027</x:v>
      </x:c>
      <x:c r="U943" s="11" t="n">
        <x:v>91385409</x:v>
      </x:c>
      <x:c r="V943" s="11" t="n">
        <x:v>35551086</x:v>
      </x:c>
      <x:c r="W943" s="11" t="n">
        <x:v>59896056</x:v>
      </x:c>
      <x:c r="X943" s="11" t="n">
        <x:v>53978105</x:v>
      </x:c>
      <x:c r="Y943" s="11" t="n">
        <x:v>0</x:v>
      </x:c>
      <x:c r="Z943" s="11" t="n">
        <x:v>15477047</x:v>
      </x:c>
      <x:c r="AA943" s="11" t="n">
        <x:v>38032037</x:v>
      </x:c>
      <x:c r="AB943" s="11" t="n">
        <x:v>1278963</x:v>
      </x:c>
      <x:c r="AC943" s="11" t="n">
        <x:v>16756010</x:v>
      </x:c>
      <x:c r="AD943" s="11" t="n">
        <x:v>22611556</x:v>
      </x:c>
      <x:c r="AE943" s="11" t="n">
        <x:v>5855546</x:v>
      </x:c>
      <x:c r="AF943" s="11" t="n">
        <x:v>90446222</x:v>
      </x:c>
      <x:c r="AG943" s="11" t="n">
        <x:v>776543136</x:v>
      </x:c>
      <x:c r="AH943" s="11" t="n">
        <x:v>233623986</x:v>
      </x:c>
      <x:c r="AI943" s="11" t="n">
        <x:v>542919150</x:v>
      </x:c>
      <x:c r="AJ943" s="11" t="n">
        <x:v>40875980</x:v>
      </x:c>
      <x:c r="AK943" s="11" t="n">
        <x:v>1086060694</x:v>
      </x:c>
      <x:c r="AL943" s="11" t="n">
        <x:v>29680795</x:v>
      </x:c>
      <x:c r="AM943" s="12" t="n">
        <x:v>0.972671145209496</x:v>
      </x:c>
      <x:c r="AN943" s="12" t="n">
        <x:v>0.037636920501608724</x:v>
      </x:c>
      <x:c r="AO943" s="11" t="n">
        <x:v>99296531</x:v>
      </x:c>
      <x:c r="AP943" s="11" t="n">
        <x:v>96965776</x:v>
      </x:c>
      <x:c r="AQ943" s="12" t="n">
        <x:v>0.9765273270221293</x:v>
      </x:c>
      <x:c r="AR943" s="11" t="n">
        <x:v>10472.650439536086</x:v>
      </x:c>
      <x:c r="AS943" s="11" t="n">
        <x:v>8048.806160892369</x:v>
      </x:c>
      <x:c r="AT943" s="11" t="n">
        <x:v>2626.2160005909727</x:v>
      </x:c>
      <x:c r="AU943" s="11" t="n">
        <x:v>4424.618157642019</x:v>
      </x:c>
      <x:c r="AV943" s="11" t="n">
        <x:v>2809.4878481199676</x:v>
      </x:c>
      <x:c r="AW943" s="11" t="n">
        <x:v>1.186874668361992</x:v>
      </x:c>
      <x:c r="AX943" s="12" t="n">
        <x:v>0.2589625411006655</x:v>
      </x:c>
      <x:c r="AY943" s="11"/>
      <x:c r="AZ943" s="11"/>
      <x:c r="BA943" s="11"/>
      <x:c r="BB943" s="11"/>
      <x:c r="BC943" s="11"/>
      <x:c r="BD943" s="11"/>
      <x:c r="BE943" s="11"/>
      <x:c r="BF943" s="11"/>
      <x:c r="BG943" s="11"/>
      <x:c r="BH943" s="11"/>
      <x:c r="BI943" s="11"/>
      <x:c r="BJ943" s="11"/>
      <x:c r="BK943" s="12"/>
      <x:c r="BL943" s="12"/>
      <x:c r="BM943" s="12"/>
      <x:c r="BN943" s="12"/>
      <x:c r="BO943" s="12"/>
      <x:c r="BP943" s="12"/>
      <x:c r="BQ943" s="12"/>
      <x:c r="BR943" s="12"/>
      <x:c r="BS943" s="12"/>
      <x:c r="BT943" s="12"/>
      <x:c r="BU943" s="11" t="n">
        <x:v>141249</x:v>
      </x:c>
      <x:c r="BV943" s="11" t="n">
        <x:v>7873522</x:v>
      </x:c>
      <x:c r="BW943" s="11" t="n">
        <x:v>621904</x:v>
      </x:c>
      <x:c r="BX943" s="11" t="n">
        <x:v>3063896</x:v>
      </x:c>
      <x:c r="BY943" s="11" t="n">
        <x:v>53510</x:v>
      </x:c>
      <x:c r="BZ943" s="11" t="n">
        <x:v>4148239</x:v>
      </x:c>
      <x:c r="CA943" s="11" t="n">
        <x:v>25727164</x:v>
      </x:c>
      <x:c r="CB943" s="11" t="n">
        <x:v>0</x:v>
      </x:c>
      <x:c r="CC943" s="11" t="n">
        <x:v>25159312</x:v>
      </x:c>
      <x:c r="CD943" s="11" t="n">
        <x:v>14725684</x:v>
      </x:c>
      <x:c r="CE943" s="11" t="n">
        <x:v>6511643</x:v>
      </x:c>
      <x:c r="CF943" s="11" t="n">
        <x:v>6342593</x:v>
      </x:c>
      <x:c r="CG943" s="11" t="n">
        <x:v>3556299</x:v>
      </x:c>
      <x:c r="CH943" s="11" t="n">
        <x:v>8037979</x:v>
      </x:c>
      <x:c r="CI943" s="11" t="n">
        <x:v>19917584</x:v>
      </x:c>
      <x:c r="CJ943" s="11" t="n">
        <x:v>3244953</x:v>
      </x:c>
      <x:c r="CK943" s="11" t="n">
        <x:v>5527872</x:v>
      </x:c>
      <x:c r="CL943" s="11" t="n">
        <x:v>0</x:v>
      </x:c>
      <x:c r="CM943" s="11"/>
      <x:c r="CN943" s="11" t="n">
        <x:v>0</x:v>
      </x:c>
      <x:c r="CO943" s="11" t="n">
        <x:v>0</x:v>
      </x:c>
      <x:c r="CP943" s="8"/>
      <x:c r="CQ943" s="8"/>
    </x:row>
    <x:row r="944">
      <x:c r="A944" s="8" t="str">
        <x:v>Whistler|2023</x:v>
      </x:c>
      <x:c r="B944" s="8" t="str">
        <x:v>whistler-d</x:v>
      </x:c>
      <x:c r="C944" s="8" t="str">
        <x:v>Whistler</x:v>
      </x:c>
      <x:c r="D944" s="8" t="str">
        <x:v>Whistler</x:v>
      </x:c>
      <x:c r="E944" s="8" t="str">
        <x:v>D</x:v>
      </x:c>
      <x:c r="F944" s="8" t="str">
        <x:v>SQL</x:v>
      </x:c>
      <x:c r="G944" s="9" t="n">
        <x:v>2023</x:v>
      </x:c>
      <x:c r="H944" s="10" t="n">
        <x:v>14025</x:v>
      </x:c>
      <x:c r="I944" s="8" t="str">
        <x:v>5,000 to 19,999</x:v>
      </x:c>
      <x:c r="J944" s="11" t="n">
        <x:v>145875583</x:v>
      </x:c>
      <x:c r="K944" s="11" t="n">
        <x:v>114429987</x:v>
      </x:c>
      <x:c r="L944" s="11" t="n">
        <x:v>31445596</x:v>
      </x:c>
      <x:c r="M944" s="12" t="n">
        <x:v>0.21556449237978367</x:v>
      </x:c>
      <x:c r="N944" s="11" t="n">
        <x:v>73406749</x:v>
      </x:c>
      <x:c r="O944" s="11" t="n">
        <x:v>39539474</x:v>
      </x:c>
      <x:c r="P944" s="11" t="n">
        <x:v>17220237</x:v>
      </x:c>
      <x:c r="Q944" s="11" t="n">
        <x:v>15709123</x:v>
      </x:c>
      <x:c r="R944" s="11" t="n">
        <x:v>96857956</x:v>
      </x:c>
      <x:c r="S944" s="11" t="n">
        <x:v>16259989</x:v>
      </x:c>
      <x:c r="T944" s="11" t="n">
        <x:v>136064600</x:v>
      </x:c>
      <x:c r="U944" s="11" t="n">
        <x:v>97543209</x:v>
      </x:c>
      <x:c r="V944" s="11" t="n">
        <x:v>54270434</x:v>
      </x:c>
      <x:c r="W944" s="11" t="n">
        <x:v>88982523</x:v>
      </x:c>
      <x:c r="X944" s="11" t="n">
        <x:v>38032037</x:v>
      </x:c>
      <x:c r="Y944" s="11" t="n">
        <x:v>10131903</x:v>
      </x:c>
      <x:c r="Z944" s="11" t="n">
        <x:v>2177557</x:v>
      </x:c>
      <x:c r="AA944" s="11" t="n">
        <x:v>45470393</x:v>
      </x:c>
      <x:c r="AB944" s="11" t="n">
        <x:v>1312042</x:v>
      </x:c>
      <x:c r="AC944" s="11" t="n">
        <x:v>3489599</x:v>
      </x:c>
      <x:c r="AD944" s="11" t="n">
        <x:v>25539105</x:v>
      </x:c>
      <x:c r="AE944" s="11" t="n">
        <x:v>22049506</x:v>
      </x:c>
      <x:c r="AF944" s="11" t="n">
        <x:v>102156420</x:v>
      </x:c>
      <x:c r="AG944" s="11" t="n">
        <x:v>800513780</x:v>
      </x:c>
      <x:c r="AH944" s="11" t="n">
        <x:v>249678987</x:v>
      </x:c>
      <x:c r="AI944" s="11" t="n">
        <x:v>550834793</x:v>
      </x:c>
      <x:c r="AJ944" s="11" t="n">
        <x:v>44644564</x:v>
      </x:c>
      <x:c r="AK944" s="11" t="n">
        <x:v>1130422654</x:v>
      </x:c>
      <x:c r="AL944" s="11" t="n">
        <x:v>25233000</x:v>
      </x:c>
      <x:c r="AM944" s="12" t="n">
        <x:v>0.9776782605066229</x:v>
      </x:c>
      <x:c r="AN944" s="12" t="n">
        <x:v>0.03949369188774237</x:v>
      </x:c>
      <x:c r="AO944" s="11" t="n">
        <x:v>110046740</x:v>
      </x:c>
      <x:c r="AP944" s="11" t="n">
        <x:v>107546394</x:v>
      </x:c>
      <x:c r="AQ944" s="12" t="n">
        <x:v>0.9772792360773249</x:v>
      </x:c>
      <x:c r="AR944" s="11" t="n">
        <x:v>10401.111087344028</x:v>
      </x:c>
      <x:c r="AS944" s="11" t="n">
        <x:v>8159.000855614973</x:v>
      </x:c>
      <x:c r="AT944" s="11" t="n">
        <x:v>3869.549661319073</x:v>
      </x:c>
      <x:c r="AU944" s="11" t="n">
        <x:v>6344.564919786097</x:v>
      </x:c>
      <x:c r="AV944" s="11" t="n">
        <x:v>3242.0957575757575</x:v>
      </x:c>
      <x:c r="AW944" s="11" t="n">
        <x:v>1.3949161750460763</x:v>
      </x:c>
      <x:c r="AX944" s="12" t="n">
        <x:v>0.8633625179895693</x:v>
      </x:c>
      <x:c r="AY944" s="11"/>
      <x:c r="AZ944" s="11"/>
      <x:c r="BA944" s="11"/>
      <x:c r="BB944" s="11"/>
      <x:c r="BC944" s="11"/>
      <x:c r="BD944" s="11"/>
      <x:c r="BE944" s="11"/>
      <x:c r="BF944" s="11"/>
      <x:c r="BG944" s="11"/>
      <x:c r="BH944" s="11"/>
      <x:c r="BI944" s="11"/>
      <x:c r="BJ944" s="11"/>
      <x:c r="BK944" s="12"/>
      <x:c r="BL944" s="12"/>
      <x:c r="BM944" s="12"/>
      <x:c r="BN944" s="12"/>
      <x:c r="BO944" s="12"/>
      <x:c r="BP944" s="12"/>
      <x:c r="BQ944" s="12"/>
      <x:c r="BR944" s="12"/>
      <x:c r="BS944" s="12"/>
      <x:c r="BT944" s="12"/>
      <x:c r="BU944" s="11" t="n">
        <x:v>1169</x:v>
      </x:c>
      <x:c r="BV944" s="11" t="n">
        <x:v>16614115</x:v>
      </x:c>
      <x:c r="BW944" s="11" t="n">
        <x:v>604953</x:v>
      </x:c>
      <x:c r="BX944" s="11" t="n">
        <x:v>5071017</x:v>
      </x:c>
      <x:c r="BY944" s="11" t="n">
        <x:v>246432</x:v>
      </x:c>
      <x:c r="BZ944" s="11" t="n">
        <x:v>2147665</x:v>
      </x:c>
      <x:c r="CA944" s="11" t="n">
        <x:v>8244009</x:v>
      </x:c>
      <x:c r="CB944" s="11" t="n">
        <x:v>0</x:v>
      </x:c>
      <x:c r="CC944" s="11" t="n">
        <x:v>28632070</x:v>
      </x:c>
      <x:c r="CD944" s="11" t="n">
        <x:v>15745184</x:v>
      </x:c>
      <x:c r="CE944" s="11" t="n">
        <x:v>6796368</x:v>
      </x:c>
      <x:c r="CF944" s="11" t="n">
        <x:v>4129233</x:v>
      </x:c>
      <x:c r="CG944" s="11" t="n">
        <x:v>4146636</x:v>
      </x:c>
      <x:c r="CH944" s="11" t="n">
        <x:v>9759715</x:v>
      </x:c>
      <x:c r="CI944" s="11" t="n">
        <x:v>22131665</x:v>
      </x:c>
      <x:c r="CJ944" s="11" t="n">
        <x:v>1029068</x:v>
      </x:c>
      <x:c r="CK944" s="11" t="n">
        <x:v>5714179</x:v>
      </x:c>
      <x:c r="CL944" s="11" t="n">
        <x:v>0</x:v>
      </x:c>
      <x:c r="CM944" s="11" t="n">
        <x:v>28436</x:v>
      </x:c>
      <x:c r="CN944" s="11" t="n">
        <x:v>57444</x:v>
      </x:c>
      <x:c r="CO944" s="11" t="n">
        <x:v>0</x:v>
      </x:c>
      <x:c r="CP944" s="8"/>
      <x:c r="CQ944" s="8"/>
    </x:row>
    <x:row r="945">
      <x:c r="A945" s="8" t="str">
        <x:v>Whistler|2024</x:v>
      </x:c>
      <x:c r="B945" s="8" t="str">
        <x:v>whistler-d</x:v>
      </x:c>
      <x:c r="C945" s="8" t="str">
        <x:v>Whistler</x:v>
      </x:c>
      <x:c r="D945" s="8" t="str">
        <x:v>Whistler</x:v>
      </x:c>
      <x:c r="E945" s="8" t="str">
        <x:v>D</x:v>
      </x:c>
      <x:c r="F945" s="8" t="str">
        <x:v>SQL</x:v>
      </x:c>
      <x:c r="G945" s="9" t="n">
        <x:v>2024</x:v>
      </x:c>
      <x:c r="H945" s="10" t="n">
        <x:v>14025</x:v>
      </x:c>
      <x:c r="I945" s="8" t="str">
        <x:v>5,000 to 19,999</x:v>
      </x:c>
      <x:c r="J945" s="11" t="n">
        <x:v>146940459</x:v>
      </x:c>
      <x:c r="K945" s="11" t="n">
        <x:v>128733558</x:v>
      </x:c>
      <x:c r="L945" s="11" t="n">
        <x:v>18206901</x:v>
      </x:c>
      <x:c r="M945" s="12" t="n">
        <x:v>0.12390665664110931</x:v>
      </x:c>
      <x:c r="N945" s="11" t="n">
        <x:v>76791867</x:v>
      </x:c>
      <x:c r="O945" s="11" t="n">
        <x:v>41084149</x:v>
      </x:c>
      <x:c r="P945" s="11" t="n">
        <x:v>17914936</x:v>
      </x:c>
      <x:c r="Q945" s="11" t="n">
        <x:v>11149507</x:v>
      </x:c>
      <x:c r="R945" s="11" t="n">
        <x:v>109417027</x:v>
      </x:c>
      <x:c r="S945" s="11" t="n">
        <x:v>17504876</x:v>
      </x:c>
      <x:c r="T945" s="11" t="n">
        <x:v>133646292</x:v>
      </x:c>
      <x:c r="U945" s="11" t="n">
        <x:v>112258542</x:v>
      </x:c>
      <x:c r="V945" s="11" t="n">
        <x:v>44002732</x:v>
      </x:c>
      <x:c r="W945" s="11" t="n">
        <x:v>92942193</x:v>
      </x:c>
      <x:c r="X945" s="11" t="n">
        <x:v>45470393</x:v>
      </x:c>
      <x:c r="Y945" s="11" t="n">
        <x:v>19293927</x:v>
      </x:c>
      <x:c r="Z945" s="11" t="n">
        <x:v>2288273</x:v>
      </x:c>
      <x:c r="AA945" s="11" t="n">
        <x:v>61911208</x:v>
      </x:c>
      <x:c r="AB945" s="11" t="n">
        <x:v>1811655</x:v>
      </x:c>
      <x:c r="AC945" s="11" t="n">
        <x:v>4099928</x:v>
      </x:c>
      <x:c r="AD945" s="11" t="n">
        <x:v>27526840</x:v>
      </x:c>
      <x:c r="AE945" s="11" t="n">
        <x:v>23426912</x:v>
      </x:c>
      <x:c r="AF945" s="11" t="n">
        <x:v>110107359</x:v>
      </x:c>
      <x:c r="AG945" s="11" t="n">
        <x:v>845348838</x:v>
      </x:c>
      <x:c r="AH945" s="11" t="n">
        <x:v>266295089</x:v>
      </x:c>
      <x:c r="AI945" s="11" t="n">
        <x:v>579053749</x:v>
      </x:c>
      <x:c r="AJ945" s="11" t="n">
        <x:v>45874488</x:v>
      </x:c>
      <x:c r="AK945" s="11" t="n">
        <x:v>1214092442</x:v>
      </x:c>
      <x:c r="AL945" s="11" t="n">
        <x:v>27346000</x:v>
      </x:c>
      <x:c r="AM945" s="12" t="n">
        <x:v>0.9774761796927486</x:v>
      </x:c>
      <x:c r="AN945" s="12" t="n">
        <x:v>0.03778500418339644</x:v>
      </x:c>
      <x:c r="AO945" s="11" t="n">
        <x:v>116088236</x:v>
      </x:c>
      <x:c r="AP945" s="11" t="n">
        <x:v>113079909</x:v>
      </x:c>
      <x:c r="AQ945" s="12" t="n">
        <x:v>0.9740858582776639</x:v>
      </x:c>
      <x:c r="AR945" s="11" t="n">
        <x:v>10477.03807486631</x:v>
      </x:c>
      <x:c r="AS945" s="11" t="n">
        <x:v>9178.86331550802</x:v>
      </x:c>
      <x:c r="AT945" s="11" t="n">
        <x:v>3137.449696969697</x:v>
      </x:c>
      <x:c r="AU945" s="11" t="n">
        <x:v>6626.894331550802</x:v>
      </x:c>
      <x:c r="AV945" s="11" t="n">
        <x:v>4414.346381461675</x:v>
      </x:c>
      <x:c r="AW945" s="11" t="n">
        <x:v>1.190522249968292</x:v>
      </x:c>
      <x:c r="AX945" s="12" t="n">
        <x:v>0.8510570773833829</x:v>
      </x:c>
      <x:c r="AY945" s="11" t="n">
        <x:v>2567.538946805667</x:v>
      </x:c>
      <x:c r="AZ945" s="11" t="n">
        <x:v>3546.5079302077975</x:v>
      </x:c>
      <x:c r="BA945" s="11" t="n">
        <x:v>2045.0195609464422</x:v>
      </x:c>
      <x:c r="BB945" s="11" t="n">
        <x:v>2783.665107049771</x:v>
      </x:c>
      <x:c r="BC945" s="11" t="n">
        <x:v>2217.25520024837</x:v>
      </x:c>
      <x:c r="BD945" s="11" t="n">
        <x:v>2437.8724475115623</x:v>
      </x:c>
      <x:c r="BE945" s="11" t="n">
        <x:v>799.2304887641933</x:v>
      </x:c>
      <x:c r="BF945" s="11" t="n">
        <x:v>1604.3462673977224</x:v>
      </x:c>
      <x:c r="BG945" s="11" t="n">
        <x:v>386.9249167164944</x:v>
      </x:c>
      <x:c r="BH945" s="11" t="n">
        <x:v>518.5374381567245</x:v>
      </x:c>
      <x:c r="BI945" s="11" t="n">
        <x:v>1.5629948984418691</x:v>
      </x:c>
      <x:c r="BJ945" s="11" t="n">
        <x:v>1.7099330852451193</x:v>
      </x:c>
      <x:c r="BK945" s="12" t="n">
        <x:v>0.04472396775938227</x:v>
      </x:c>
      <x:c r="BL945" s="12" t="n">
        <x:v>0.02529861000232605</x:v>
      </x:c>
      <x:c r="BM945" s="12" t="n">
        <x:v>0.9792813777328785</x:v>
      </x:c>
      <x:c r="BN945" s="12" t="n">
        <x:v>0.9815511712696461</x:v>
      </x:c>
      <x:c r="BO945" s="12" t="n">
        <x:v>0.8510570773833829</x:v>
      </x:c>
      <x:c r="BP945" s="12" t="n">
        <x:v>0.8619101997275483</x:v>
      </x:c>
      <x:c r="BQ945" s="12" t="n">
        <x:v>0.9732053424599786</x:v>
      </x:c>
      <x:c r="BR945" s="12" t="n">
        <x:v>0.9623635142836453</x:v>
      </x:c>
      <x:c r="BS945" s="12" t="n">
        <x:v>0.170495619408603</x:v>
      </x:c>
      <x:c r="BT945" s="12" t="n">
        <x:v>0.19976549769108282</x:v>
      </x:c>
      <x:c r="BU945" s="11" t="n">
        <x:v>746727</x:v>
      </x:c>
      <x:c r="BV945" s="11" t="n">
        <x:v>17168209</x:v>
      </x:c>
      <x:c r="BW945" s="11" t="n">
        <x:v>0</x:v>
      </x:c>
      <x:c r="BX945" s="11" t="n">
        <x:v>6819480</x:v>
      </x:c>
      <x:c r="BY945" s="11" t="n">
        <x:v>-1662</x:v>
      </x:c>
      <x:c r="BZ945" s="11" t="n">
        <x:v>4331689</x:v>
      </x:c>
      <x:c r="CA945" s="11" t="n">
        <x:v>0</x:v>
      </x:c>
      <x:c r="CB945" s="11" t="n">
        <x:v>0</x:v>
      </x:c>
      <x:c r="CC945" s="11" t="n">
        <x:v>29227920</x:v>
      </x:c>
      <x:c r="CD945" s="11" t="n">
        <x:v>19280645</x:v>
      </x:c>
      <x:c r="CE945" s="11" t="n">
        <x:v>6780658</x:v>
      </x:c>
      <x:c r="CF945" s="11" t="n">
        <x:v>6538382</x:v>
      </x:c>
      <x:c r="CG945" s="11" t="n">
        <x:v>4136603</x:v>
      </x:c>
      <x:c r="CH945" s="11" t="n">
        <x:v>11264547</x:v>
      </x:c>
      <x:c r="CI945" s="11" t="n">
        <x:v>22689180</x:v>
      </x:c>
      <x:c r="CJ945" s="11" t="n">
        <x:v>4974746</x:v>
      </x:c>
      <x:c r="CK945" s="11" t="n">
        <x:v>6249170</x:v>
      </x:c>
      <x:c r="CL945" s="11" t="n">
        <x:v>0</x:v>
      </x:c>
      <x:c r="CM945" s="11" t="n">
        <x:v>29652</x:v>
      </x:c>
      <x:c r="CN945" s="11" t="n">
        <x:v>57179</x:v>
      </x:c>
      <x:c r="CO945" s="11" t="n">
        <x:v>0</x:v>
      </x:c>
      <x:c r="CP945" s="8"/>
      <x:c r="CQ945" s="8"/>
    </x:row>
    <x:row r="946">
      <x:c r="A946" s="8" t="str">
        <x:v>White Rock|2019</x:v>
      </x:c>
      <x:c r="B946" s="8" t="str">
        <x:v>white-rock-c</x:v>
      </x:c>
      <x:c r="C946" s="8" t="str">
        <x:v>White Rock</x:v>
      </x:c>
      <x:c r="D946" s="8" t="str">
        <x:v>White Rock</x:v>
      </x:c>
      <x:c r="E946" s="8" t="str">
        <x:v>C</x:v>
      </x:c>
      <x:c r="F946" s="8" t="str">
        <x:v>GVR</x:v>
      </x:c>
      <x:c r="G946" s="9" t="n">
        <x:v>2019</x:v>
      </x:c>
      <x:c r="H946" s="10" t="n">
        <x:v>21027</x:v>
      </x:c>
      <x:c r="I946" s="8" t="str">
        <x:v>20,000 to 99,999</x:v>
      </x:c>
      <x:c r="J946" s="11" t="n">
        <x:v>65967099</x:v>
      </x:c>
      <x:c r="K946" s="11" t="n">
        <x:v>43723290</x:v>
      </x:c>
      <x:c r="L946" s="11" t="n">
        <x:v>22243809</x:v>
      </x:c>
      <x:c r="M946" s="12" t="n">
        <x:v>0.33719550104818163</x:v>
      </x:c>
      <x:c r="N946" s="11" t="n">
        <x:v>24284258</x:v>
      </x:c>
      <x:c r="O946" s="11" t="n">
        <x:v>21303862</x:v>
      </x:c>
      <x:c r="P946" s="11" t="n">
        <x:v>4571934</x:v>
      </x:c>
      <x:c r="Q946" s="11" t="n">
        <x:v>15807045</x:v>
      </x:c>
      <x:c r="R946" s="11" t="n">
        <x:v>36277437</x:v>
      </x:c>
      <x:c r="S946" s="11" t="n">
        <x:v>6751247</x:v>
      </x:c>
      <x:c r="T946" s="11" t="n">
        <x:v>111400431</x:v>
      </x:c>
      <x:c r="U946" s="11" t="n">
        <x:v>75704504</x:v>
      </x:c>
      <x:c r="V946" s="11" t="n">
        <x:v>47879729</x:v>
      </x:c>
      <x:c r="W946" s="11" t="n">
        <x:v>20804694</x:v>
      </x:c>
      <x:c r="X946" s="11" t="n">
        <x:v>24013368</x:v>
      </x:c>
      <x:c r="Y946" s="11" t="n">
        <x:v>0</x:v>
      </x:c>
      <x:c r="Z946" s="11" t="n">
        <x:v>648364</x:v>
      </x:c>
      <x:c r="AA946" s="11" t="n">
        <x:v>23328618</x:v>
      </x:c>
      <x:c r="AB946" s="11" t="n">
        <x:v>694606</x:v>
      </x:c>
      <x:c r="AC946" s="11" t="n">
        <x:v>1342970</x:v>
      </x:c>
      <x:c r="AD946" s="11" t="n">
        <x:v>12040508</x:v>
      </x:c>
      <x:c r="AE946" s="11" t="n">
        <x:v>10461413</x:v>
      </x:c>
      <x:c r="AF946" s="11" t="n">
        <x:v>48162032</x:v>
      </x:c>
      <x:c r="AG946" s="11" t="n">
        <x:v>226874387</x:v>
      </x:c>
      <x:c r="AH946" s="11" t="n">
        <x:v>70433510</x:v>
      </x:c>
      <x:c r="AI946" s="11" t="n">
        <x:v>156440877</x:v>
      </x:c>
      <x:c r="AJ946" s="11" t="n">
        <x:v>19781445</x:v>
      </x:c>
      <x:c r="AK946" s="11" t="n">
        <x:v>19881170</x:v>
      </x:c>
      <x:c r="AL946" s="11" t="n">
        <x:v>0</x:v>
      </x:c>
      <x:c r="AM946" s="12" t="n">
        <x:v>1</x:v>
      </x:c>
      <x:c r="AN946" s="12" t="n">
        <x:v>0.9949839471218244</x:v>
      </x:c>
      <x:c r="AO946" s="11" t="n">
        <x:v>42464829</x:v>
      </x:c>
      <x:c r="AP946" s="11" t="n">
        <x:v>40695997</x:v>
      </x:c>
      <x:c r="AQ946" s="12" t="n">
        <x:v>0.958345952599974</x:v>
      </x:c>
      <x:c r="AR946" s="11" t="n">
        <x:v>3137.256812669425</x:v>
      </x:c>
      <x:c r="AS946" s="11" t="n">
        <x:v>2079.387929804537</x:v>
      </x:c>
      <x:c r="AT946" s="11" t="n">
        <x:v>2277.0594473771816</x:v>
      </x:c>
      <x:c r="AU946" s="11" t="n">
        <x:v>989.4275930945927</x:v>
      </x:c>
      <x:c r="AV946" s="11" t="n">
        <x:v>1109.4601226993866</x:v>
      </x:c>
      <x:c r="AW946" s="11" t="n">
        <x:v>1.4715165560030616</x:v>
      </x:c>
      <x:c r="AX946" s="12" t="n">
        <x:v>0.8688514637422274</x:v>
      </x:c>
      <x:c r="AY946" s="11"/>
      <x:c r="AZ946" s="11"/>
      <x:c r="BA946" s="11"/>
      <x:c r="BB946" s="11"/>
      <x:c r="BC946" s="11"/>
      <x:c r="BD946" s="11"/>
      <x:c r="BE946" s="11"/>
      <x:c r="BF946" s="11"/>
      <x:c r="BG946" s="11"/>
      <x:c r="BH946" s="11"/>
      <x:c r="BI946" s="11"/>
      <x:c r="BJ946" s="11"/>
      <x:c r="BK946" s="12"/>
      <x:c r="BL946" s="12"/>
      <x:c r="BM946" s="12"/>
      <x:c r="BN946" s="12"/>
      <x:c r="BO946" s="12"/>
      <x:c r="BP946" s="12"/>
      <x:c r="BQ946" s="12"/>
      <x:c r="BR946" s="12"/>
      <x:c r="BS946" s="12"/>
      <x:c r="BT946" s="12"/>
      <x:c r="BU946" s="11" t="n">
        <x:v>2223003</x:v>
      </x:c>
      <x:c r="BV946" s="11" t="n">
        <x:v>2118250</x:v>
      </x:c>
      <x:c r="BW946" s="11" t="n">
        <x:v>230681</x:v>
      </x:c>
      <x:c r="BX946" s="11" t="n">
        <x:v>2239494</x:v>
      </x:c>
      <x:c r="BY946" s="11" t="n">
        <x:v>0</x:v>
      </x:c>
      <x:c r="BZ946" s="11" t="n">
        <x:v>13538595</x:v>
      </x:c>
      <x:c r="CA946" s="11" t="n">
        <x:v>28956</x:v>
      </x:c>
      <x:c r="CB946" s="11" t="n">
        <x:v>0</x:v>
      </x:c>
      <x:c r="CC946" s="11" t="n">
        <x:v>5923222</x:v>
      </x:c>
      <x:c r="CD946" s="11" t="n">
        <x:v>10762811</x:v>
      </x:c>
      <x:c r="CE946" s="11" t="n">
        <x:v>777843</x:v>
      </x:c>
      <x:c r="CF946" s="11" t="n">
        <x:v>0</x:v>
      </x:c>
      <x:c r="CG946" s="11" t="n">
        <x:v>1132070</x:v>
      </x:c>
      <x:c r="CH946" s="11" t="n">
        <x:v>5185726</x:v>
      </x:c>
      <x:c r="CI946" s="11" t="n">
        <x:v>7979926</x:v>
      </x:c>
      <x:c r="CJ946" s="11" t="n">
        <x:v>2897412</x:v>
      </x:c>
      <x:c r="CK946" s="11" t="n">
        <x:v>2180255</x:v>
      </x:c>
      <x:c r="CL946" s="11" t="n">
        <x:v>79972</x:v>
      </x:c>
      <x:c r="CM946" s="11"/>
      <x:c r="CN946" s="11" t="n">
        <x:v>52806</x:v>
      </x:c>
      <x:c r="CO946" s="11" t="n">
        <x:v>0</x:v>
      </x:c>
      <x:c r="CP946" s="8"/>
      <x:c r="CQ946" s="8"/>
    </x:row>
    <x:row r="947">
      <x:c r="A947" s="8" t="str">
        <x:v>White Rock|2020</x:v>
      </x:c>
      <x:c r="B947" s="8" t="str">
        <x:v>white-rock-c</x:v>
      </x:c>
      <x:c r="C947" s="8" t="str">
        <x:v>White Rock</x:v>
      </x:c>
      <x:c r="D947" s="8" t="str">
        <x:v>White Rock</x:v>
      </x:c>
      <x:c r="E947" s="8" t="str">
        <x:v>C</x:v>
      </x:c>
      <x:c r="F947" s="8" t="str">
        <x:v>GVR</x:v>
      </x:c>
      <x:c r="G947" s="9" t="n">
        <x:v>2020</x:v>
      </x:c>
      <x:c r="H947" s="10" t="n">
        <x:v>20922</x:v>
      </x:c>
      <x:c r="I947" s="8" t="str">
        <x:v>20,000 to 99,999</x:v>
      </x:c>
      <x:c r="J947" s="11" t="n">
        <x:v>57789994</x:v>
      </x:c>
      <x:c r="K947" s="11" t="n">
        <x:v>44589843</x:v>
      </x:c>
      <x:c r="L947" s="11" t="n">
        <x:v>13200151</x:v>
      </x:c>
      <x:c r="M947" s="12" t="n">
        <x:v>0.22841585690422464</x:v>
      </x:c>
      <x:c r="N947" s="11" t="n">
        <x:v>25199768</x:v>
      </x:c>
      <x:c r="O947" s="11" t="n">
        <x:v>20935172</x:v>
      </x:c>
      <x:c r="P947" s="11" t="n">
        <x:v>5459271</x:v>
      </x:c>
      <x:c r="Q947" s="11" t="n">
        <x:v>6195783</x:v>
      </x:c>
      <x:c r="R947" s="11" t="n">
        <x:v>37474276</x:v>
      </x:c>
      <x:c r="S947" s="11" t="n">
        <x:v>6404914</x:v>
      </x:c>
      <x:c r="T947" s="11" t="n">
        <x:v>127772639</x:v>
      </x:c>
      <x:c r="U947" s="11" t="n">
        <x:v>75717698</x:v>
      </x:c>
      <x:c r="V947" s="11" t="n">
        <x:v>61001175</x:v>
      </x:c>
      <x:c r="W947" s="11" t="n">
        <x:v>26632385</x:v>
      </x:c>
      <x:c r="X947" s="11" t="n">
        <x:v>23328618</x:v>
      </x:c>
      <x:c r="Y947" s="11" t="n">
        <x:v>248299</x:v>
      </x:c>
      <x:c r="Z947" s="11" t="n">
        <x:v>727467</x:v>
      </x:c>
      <x:c r="AA947" s="11" t="n">
        <x:v>22790895</x:v>
      </x:c>
      <x:c r="AB947" s="11" t="n">
        <x:v>710653</x:v>
      </x:c>
      <x:c r="AC947" s="11" t="n">
        <x:v>1438120</x:v>
      </x:c>
      <x:c r="AD947" s="11" t="n">
        <x:v>11928147</x:v>
      </x:c>
      <x:c r="AE947" s="11" t="n">
        <x:v>10490027</x:v>
      </x:c>
      <x:c r="AF947" s="11" t="n">
        <x:v>47712589</x:v>
      </x:c>
      <x:c r="AG947" s="11" t="n">
        <x:v>232011464</x:v>
      </x:c>
      <x:c r="AH947" s="11" t="n">
        <x:v>75585497</x:v>
      </x:c>
      <x:c r="AI947" s="11" t="n">
        <x:v>156425967</x:v>
      </x:c>
      <x:c r="AJ947" s="11" t="n">
        <x:v>6517491</x:v>
      </x:c>
      <x:c r="AK947" s="11" t="n">
        <x:v>21490166</x:v>
      </x:c>
      <x:c r="AL947" s="11" t="n">
        <x:v>0</x:v>
      </x:c>
      <x:c r="AM947" s="12" t="n">
        <x:v>1</x:v>
      </x:c>
      <x:c r="AN947" s="12" t="n">
        <x:v>0.3032778341498153</x:v>
      </x:c>
      <x:c r="AO947" s="11" t="n">
        <x:v>42193473</x:v>
      </x:c>
      <x:c r="AP947" s="11" t="n">
        <x:v>40435848</x:v>
      </x:c>
      <x:c r="AQ947" s="12" t="n">
        <x:v>0.9583436755727598</x:v>
      </x:c>
      <x:c r="AR947" s="11" t="n">
        <x:v>2762.163942261734</x:v>
      </x:c>
      <x:c r="AS947" s="11" t="n">
        <x:v>2131.241898480069</x:v>
      </x:c>
      <x:c r="AT947" s="11" t="n">
        <x:v>2915.6474046458275</x:v>
      </x:c>
      <x:c r="AU947" s="11" t="n">
        <x:v>1272.9368607207723</x:v>
      </x:c>
      <x:c r="AV947" s="11" t="n">
        <x:v>1089.3267852021795</x:v>
      </x:c>
      <x:c r="AW947" s="11" t="n">
        <x:v>1.6874871050622802</x:v>
      </x:c>
      <x:c r="AX947" s="12" t="n">
        <x:v>0.8794347521035748</x:v>
      </x:c>
      <x:c r="AY947" s="11"/>
      <x:c r="AZ947" s="11"/>
      <x:c r="BA947" s="11"/>
      <x:c r="BB947" s="11"/>
      <x:c r="BC947" s="11"/>
      <x:c r="BD947" s="11"/>
      <x:c r="BE947" s="11"/>
      <x:c r="BF947" s="11"/>
      <x:c r="BG947" s="11"/>
      <x:c r="BH947" s="11"/>
      <x:c r="BI947" s="11"/>
      <x:c r="BJ947" s="11"/>
      <x:c r="BK947" s="12"/>
      <x:c r="BL947" s="12"/>
      <x:c r="BM947" s="12"/>
      <x:c r="BN947" s="12"/>
      <x:c r="BO947" s="12"/>
      <x:c r="BP947" s="12"/>
      <x:c r="BQ947" s="12"/>
      <x:c r="BR947" s="12"/>
      <x:c r="BS947" s="12"/>
      <x:c r="BT947" s="12"/>
      <x:c r="BU947" s="11" t="n">
        <x:v>42232</x:v>
      </x:c>
      <x:c r="BV947" s="11" t="n">
        <x:v>5302210</x:v>
      </x:c>
      <x:c r="BW947" s="11" t="n">
        <x:v>114829</x:v>
      </x:c>
      <x:c r="BX947" s="11" t="n">
        <x:v>1238752</x:v>
      </x:c>
      <x:c r="BY947" s="11" t="n">
        <x:v>0</x:v>
      </x:c>
      <x:c r="BZ947" s="11" t="n">
        <x:v>4604723</x:v>
      </x:c>
      <x:c r="CA947" s="11" t="n">
        <x:v>352308</x:v>
      </x:c>
      <x:c r="CB947" s="11" t="n">
        <x:v>0</x:v>
      </x:c>
      <x:c r="CC947" s="11" t="n">
        <x:v>5816252</x:v>
      </x:c>
      <x:c r="CD947" s="11" t="n">
        <x:v>11992616</x:v>
      </x:c>
      <x:c r="CE947" s="11" t="n">
        <x:v>988486</x:v>
      </x:c>
      <x:c r="CF947" s="11" t="n">
        <x:v>0</x:v>
      </x:c>
      <x:c r="CG947" s="11" t="n">
        <x:v>1161691</x:v>
      </x:c>
      <x:c r="CH947" s="11" t="n">
        <x:v>5843040</x:v>
      </x:c>
      <x:c r="CI947" s="11" t="n">
        <x:v>7015150</x:v>
      </x:c>
      <x:c r="CJ947" s="11" t="n">
        <x:v>2834040</x:v>
      </x:c>
      <x:c r="CK947" s="11" t="n">
        <x:v>2310767</x:v>
      </x:c>
      <x:c r="CL947" s="11" t="n">
        <x:v>110159</x:v>
      </x:c>
      <x:c r="CM947" s="11"/>
      <x:c r="CN947" s="11" t="n">
        <x:v>112728</x:v>
      </x:c>
      <x:c r="CO947" s="11" t="n">
        <x:v>0</x:v>
      </x:c>
      <x:c r="CP947" s="8"/>
      <x:c r="CQ947" s="8"/>
    </x:row>
    <x:row r="948">
      <x:c r="A948" s="8" t="str">
        <x:v>White Rock|2021</x:v>
      </x:c>
      <x:c r="B948" s="8" t="str">
        <x:v>white-rock-c</x:v>
      </x:c>
      <x:c r="C948" s="8" t="str">
        <x:v>White Rock</x:v>
      </x:c>
      <x:c r="D948" s="8" t="str">
        <x:v>White Rock</x:v>
      </x:c>
      <x:c r="E948" s="8" t="str">
        <x:v>C</x:v>
      </x:c>
      <x:c r="F948" s="8" t="str">
        <x:v>MVRD</x:v>
      </x:c>
      <x:c r="G948" s="9" t="n">
        <x:v>2021</x:v>
      </x:c>
      <x:c r="H948" s="10" t="n">
        <x:v>21522</x:v>
      </x:c>
      <x:c r="I948" s="8" t="str">
        <x:v>20,000 to 99,999</x:v>
      </x:c>
      <x:c r="J948" s="11" t="n">
        <x:v>56075624</x:v>
      </x:c>
      <x:c r="K948" s="11" t="n">
        <x:v>44908856</x:v>
      </x:c>
      <x:c r="L948" s="11" t="n">
        <x:v>11166768</x:v>
      </x:c>
      <x:c r="M948" s="12" t="n">
        <x:v>0.19913765025601854</x:v>
      </x:c>
      <x:c r="N948" s="11" t="n">
        <x:v>26633233</x:v>
      </x:c>
      <x:c r="O948" s="11" t="n">
        <x:v>23059879</x:v>
      </x:c>
      <x:c r="P948" s="11" t="n">
        <x:v>570728</x:v>
      </x:c>
      <x:c r="Q948" s="11" t="n">
        <x:v>5811784</x:v>
      </x:c>
      <x:c r="R948" s="11" t="n">
        <x:v>37839481</x:v>
      </x:c>
      <x:c r="S948" s="11" t="n">
        <x:v>6370411</x:v>
      </x:c>
      <x:c r="T948" s="11" t="n">
        <x:v>145498168</x:v>
      </x:c>
      <x:c r="U948" s="11" t="n">
        <x:v>80116027</x:v>
      </x:c>
      <x:c r="V948" s="11" t="n">
        <x:v>71361326</x:v>
      </x:c>
      <x:c r="W948" s="11" t="n">
        <x:v>31428393</x:v>
      </x:c>
      <x:c r="X948" s="11" t="n">
        <x:v>22790895</x:v>
      </x:c>
      <x:c r="Y948" s="11" t="n">
        <x:v>0</x:v>
      </x:c>
      <x:c r="Z948" s="11" t="n">
        <x:v>676423</x:v>
      </x:c>
      <x:c r="AA948" s="11" t="n">
        <x:v>22033017</x:v>
      </x:c>
      <x:c r="AB948" s="11" t="n">
        <x:v>698964</x:v>
      </x:c>
      <x:c r="AC948" s="11" t="n">
        <x:v>1375387</x:v>
      </x:c>
      <x:c r="AD948" s="11" t="n">
        <x:v>12686901</x:v>
      </x:c>
      <x:c r="AE948" s="11" t="n">
        <x:v>11311514</x:v>
      </x:c>
      <x:c r="AF948" s="11" t="n">
        <x:v>50747603</x:v>
      </x:c>
      <x:c r="AG948" s="11" t="n">
        <x:v>237759264</x:v>
      </x:c>
      <x:c r="AH948" s="11" t="n">
        <x:v>80637119</x:v>
      </x:c>
      <x:c r="AI948" s="11" t="n">
        <x:v>157122145</x:v>
      </x:c>
      <x:c r="AJ948" s="11" t="n">
        <x:v>7270223</x:v>
      </x:c>
      <x:c r="AK948" s="11" t="n">
        <x:v>21601832</x:v>
      </x:c>
      <x:c r="AL948" s="11" t="n">
        <x:v>0</x:v>
      </x:c>
      <x:c r="AM948" s="12" t="n">
        <x:v>1</x:v>
      </x:c>
      <x:c r="AN948" s="12" t="n">
        <x:v>0.33655585322578196</x:v>
      </x:c>
      <x:c r="AO948" s="11" t="n">
        <x:v>45493728</x:v>
      </x:c>
      <x:c r="AP948" s="11" t="n">
        <x:v>44206218</x:v>
      </x:c>
      <x:c r="AQ948" s="12" t="n">
        <x:v>0.9716991757633052</x:v>
      </x:c>
      <x:c r="AR948" s="11" t="n">
        <x:v>2605.502462596413</x:v>
      </x:c>
      <x:c r="AS948" s="11" t="n">
        <x:v>2086.6488244586935</x:v>
      </x:c>
      <x:c r="AT948" s="11" t="n">
        <x:v>3315.7385930675587</x:v>
      </x:c>
      <x:c r="AU948" s="11" t="n">
        <x:v>1460.2914691943129</x:v>
      </x:c>
      <x:c r="AV948" s="11" t="n">
        <x:v>1023.743936437134</x:v>
      </x:c>
      <x:c r="AW948" s="11" t="n">
        <x:v>1.8160931519981638</x:v>
      </x:c>
      <x:c r="AX948" s="12" t="n">
        <x:v>0.8915899950665651</x:v>
      </x:c>
      <x:c r="AY948" s="11"/>
      <x:c r="AZ948" s="11"/>
      <x:c r="BA948" s="11"/>
      <x:c r="BB948" s="11"/>
      <x:c r="BC948" s="11"/>
      <x:c r="BD948" s="11"/>
      <x:c r="BE948" s="11"/>
      <x:c r="BF948" s="11"/>
      <x:c r="BG948" s="11"/>
      <x:c r="BH948" s="11"/>
      <x:c r="BI948" s="11"/>
      <x:c r="BJ948" s="11"/>
      <x:c r="BK948" s="12"/>
      <x:c r="BL948" s="12"/>
      <x:c r="BM948" s="12"/>
      <x:c r="BN948" s="12"/>
      <x:c r="BO948" s="12"/>
      <x:c r="BP948" s="12"/>
      <x:c r="BQ948" s="12"/>
      <x:c r="BR948" s="12"/>
      <x:c r="BS948" s="12"/>
      <x:c r="BT948" s="12"/>
      <x:c r="BU948" s="11" t="n">
        <x:v>19092</x:v>
      </x:c>
      <x:c r="BV948" s="11" t="n">
        <x:v>316512</x:v>
      </x:c>
      <x:c r="BW948" s="11" t="n">
        <x:v>235124</x:v>
      </x:c>
      <x:c r="BX948" s="11" t="n">
        <x:v>868962</x:v>
      </x:c>
      <x:c r="BY948" s="11" t="n">
        <x:v>0</x:v>
      </x:c>
      <x:c r="BZ948" s="11" t="n">
        <x:v>4782690</x:v>
      </x:c>
      <x:c r="CA948" s="11" t="n">
        <x:v>160132</x:v>
      </x:c>
      <x:c r="CB948" s="11" t="n">
        <x:v>0</x:v>
      </x:c>
      <x:c r="CC948" s="11" t="n">
        <x:v>5725223</x:v>
      </x:c>
      <x:c r="CD948" s="11" t="n">
        <x:v>12090603</x:v>
      </x:c>
      <x:c r="CE948" s="11" t="n">
        <x:v>979768</x:v>
      </x:c>
      <x:c r="CF948" s="11" t="n">
        <x:v>0</x:v>
      </x:c>
      <x:c r="CG948" s="11" t="n">
        <x:v>1190652</x:v>
      </x:c>
      <x:c r="CH948" s="11" t="n">
        <x:v>6059020</x:v>
      </x:c>
      <x:c r="CI948" s="11" t="n">
        <x:v>6906142</x:v>
      </x:c>
      <x:c r="CJ948" s="11" t="n">
        <x:v>2921109</x:v>
      </x:c>
      <x:c r="CK948" s="11" t="n">
        <x:v>2362479</x:v>
      </x:c>
      <x:c r="CL948" s="11" t="n">
        <x:v>111918</x:v>
      </x:c>
      <x:c r="CM948" s="11"/>
      <x:c r="CN948" s="11" t="n">
        <x:v>191531</x:v>
      </x:c>
      <x:c r="CO948" s="11" t="n">
        <x:v>0</x:v>
      </x:c>
      <x:c r="CP948" s="8"/>
      <x:c r="CQ948" s="8"/>
    </x:row>
    <x:row r="949">
      <x:c r="A949" s="8" t="str">
        <x:v>White Rock|2022</x:v>
      </x:c>
      <x:c r="B949" s="8" t="str">
        <x:v>white-rock-c</x:v>
      </x:c>
      <x:c r="C949" s="8" t="str">
        <x:v>White Rock</x:v>
      </x:c>
      <x:c r="D949" s="8" t="str">
        <x:v>White Rock</x:v>
      </x:c>
      <x:c r="E949" s="8" t="str">
        <x:v>C</x:v>
      </x:c>
      <x:c r="F949" s="8" t="str">
        <x:v>MVRD</x:v>
      </x:c>
      <x:c r="G949" s="9" t="n">
        <x:v>2022</x:v>
      </x:c>
      <x:c r="H949" s="10" t="n">
        <x:v>21807</x:v>
      </x:c>
      <x:c r="I949" s="8" t="str">
        <x:v>20,000 to 99,999</x:v>
      </x:c>
      <x:c r="J949" s="11" t="n">
        <x:v>66007620</x:v>
      </x:c>
      <x:c r="K949" s="11" t="n">
        <x:v>47317406</x:v>
      </x:c>
      <x:c r="L949" s="11" t="n">
        <x:v>18690214</x:v>
      </x:c>
      <x:c r="M949" s="12" t="n">
        <x:v>0.2831523693779597</x:v>
      </x:c>
      <x:c r="N949" s="11" t="n">
        <x:v>28497334</x:v>
      </x:c>
      <x:c r="O949" s="11" t="n">
        <x:v>23550060</x:v>
      </x:c>
      <x:c r="P949" s="11" t="n">
        <x:v>775316</x:v>
      </x:c>
      <x:c r="Q949" s="11" t="n">
        <x:v>13184910</x:v>
      </x:c>
      <x:c r="R949" s="11" t="n">
        <x:v>39963565</x:v>
      </x:c>
      <x:c r="S949" s="11" t="n">
        <x:v>6655816</x:v>
      </x:c>
      <x:c r="T949" s="11" t="n">
        <x:v>154866668</x:v>
      </x:c>
      <x:c r="U949" s="11" t="n">
        <x:v>82770805</x:v>
      </x:c>
      <x:c r="V949" s="11" t="n">
        <x:v>78001518</x:v>
      </x:c>
      <x:c r="W949" s="11" t="n">
        <x:v>28537275</x:v>
      </x:c>
      <x:c r="X949" s="11" t="n">
        <x:v>22033017</x:v>
      </x:c>
      <x:c r="Y949" s="11" t="n">
        <x:v>0</x:v>
      </x:c>
      <x:c r="Z949" s="11" t="n">
        <x:v>677364</x:v>
      </x:c>
      <x:c r="AA949" s="11" t="n">
        <x:v>21250543</x:v>
      </x:c>
      <x:c r="AB949" s="11" t="n">
        <x:v>698025</x:v>
      </x:c>
      <x:c r="AC949" s="11" t="n">
        <x:v>1375389</x:v>
      </x:c>
      <x:c r="AD949" s="11" t="n">
        <x:v>13812454</x:v>
      </x:c>
      <x:c r="AE949" s="11" t="n">
        <x:v>12437065</x:v>
      </x:c>
      <x:c r="AF949" s="11" t="n">
        <x:v>55249815</x:v>
      </x:c>
      <x:c r="AG949" s="11" t="n">
        <x:v>254949000</x:v>
      </x:c>
      <x:c r="AH949" s="11" t="n">
        <x:v>86003989</x:v>
      </x:c>
      <x:c r="AI949" s="11" t="n">
        <x:v>168945011</x:v>
      </x:c>
      <x:c r="AJ949" s="11" t="n">
        <x:v>18559333</x:v>
      </x:c>
      <x:c r="AK949" s="11" t="n">
        <x:v>31914402</x:v>
      </x:c>
      <x:c r="AL949" s="11" t="n">
        <x:v>0</x:v>
      </x:c>
      <x:c r="AM949" s="12" t="n">
        <x:v>1</x:v>
      </x:c>
      <x:c r="AN949" s="12" t="n">
        <x:v>0.5815347252942418</x:v>
      </x:c>
      <x:c r="AO949" s="11" t="n">
        <x:v>47998058</x:v>
      </x:c>
      <x:c r="AP949" s="11" t="n">
        <x:v>46478912</x:v>
      </x:c>
      <x:c r="AQ949" s="12" t="n">
        <x:v>0.9683498444874582</x:v>
      </x:c>
      <x:c r="AR949" s="11" t="n">
        <x:v>3026.900536524969</x:v>
      </x:c>
      <x:c r="AS949" s="11" t="n">
        <x:v>2169.8264777365066</x:v>
      </x:c>
      <x:c r="AT949" s="11" t="n">
        <x:v>3576.902737653047</x:v>
      </x:c>
      <x:c r="AU949" s="11" t="n">
        <x:v>1308.6291099188334</x:v>
      </x:c>
      <x:c r="AV949" s="11" t="n">
        <x:v>974.4826431879671</x:v>
      </x:c>
      <x:c r="AW949" s="11" t="n">
        <x:v>1.8710301053614256</x:v>
      </x:c>
      <x:c r="AX949" s="12" t="n">
        <x:v>0.9004239941722159</x:v>
      </x:c>
      <x:c r="AY949" s="11"/>
      <x:c r="AZ949" s="11"/>
      <x:c r="BA949" s="11"/>
      <x:c r="BB949" s="11"/>
      <x:c r="BC949" s="11"/>
      <x:c r="BD949" s="11"/>
      <x:c r="BE949" s="11"/>
      <x:c r="BF949" s="11"/>
      <x:c r="BG949" s="11"/>
      <x:c r="BH949" s="11"/>
      <x:c r="BI949" s="11"/>
      <x:c r="BJ949" s="11"/>
      <x:c r="BK949" s="12"/>
      <x:c r="BL949" s="12"/>
      <x:c r="BM949" s="12"/>
      <x:c r="BN949" s="12"/>
      <x:c r="BO949" s="12"/>
      <x:c r="BP949" s="12"/>
      <x:c r="BQ949" s="12"/>
      <x:c r="BR949" s="12"/>
      <x:c r="BS949" s="12"/>
      <x:c r="BT949" s="12"/>
      <x:c r="BU949" s="11" t="n">
        <x:v>33276</x:v>
      </x:c>
      <x:c r="BV949" s="11" t="n">
        <x:v>461745</x:v>
      </x:c>
      <x:c r="BW949" s="11" t="n">
        <x:v>280295</x:v>
      </x:c>
      <x:c r="BX949" s="11" t="n">
        <x:v>3095022</x:v>
      </x:c>
      <x:c r="BY949" s="11" t="n">
        <x:v>0</x:v>
      </x:c>
      <x:c r="BZ949" s="11" t="n">
        <x:v>9930826</x:v>
      </x:c>
      <x:c r="CA949" s="11" t="n">
        <x:v>159062</x:v>
      </x:c>
      <x:c r="CB949" s="11" t="n">
        <x:v>0</x:v>
      </x:c>
      <x:c r="CC949" s="11" t="n">
        <x:v>6125784</x:v>
      </x:c>
      <x:c r="CD949" s="11" t="n">
        <x:v>13379097</x:v>
      </x:c>
      <x:c r="CE949" s="11" t="n">
        <x:v>972637</x:v>
      </x:c>
      <x:c r="CF949" s="11" t="n">
        <x:v>0</x:v>
      </x:c>
      <x:c r="CG949" s="11" t="n">
        <x:v>1349278</x:v>
      </x:c>
      <x:c r="CH949" s="11" t="n">
        <x:v>5781859</x:v>
      </x:c>
      <x:c r="CI949" s="11" t="n">
        <x:v>7684358</x:v>
      </x:c>
      <x:c r="CJ949" s="11" t="n">
        <x:v>2850696</x:v>
      </x:c>
      <x:c r="CK949" s="11" t="n">
        <x:v>2312657</x:v>
      </x:c>
      <x:c r="CL949" s="11" t="n">
        <x:v>128712</x:v>
      </x:c>
      <x:c r="CM949" s="11"/>
      <x:c r="CN949" s="11" t="n">
        <x:v>76512</x:v>
      </x:c>
      <x:c r="CO949" s="11" t="n">
        <x:v>0</x:v>
      </x:c>
      <x:c r="CP949" s="8"/>
      <x:c r="CQ949" s="8"/>
    </x:row>
    <x:row r="950">
      <x:c r="A950" s="8" t="str">
        <x:v>White Rock|2023</x:v>
      </x:c>
      <x:c r="B950" s="8" t="str">
        <x:v>white-rock-c</x:v>
      </x:c>
      <x:c r="C950" s="8" t="str">
        <x:v>White Rock</x:v>
      </x:c>
      <x:c r="D950" s="8" t="str">
        <x:v>White Rock</x:v>
      </x:c>
      <x:c r="E950" s="8" t="str">
        <x:v>C</x:v>
      </x:c>
      <x:c r="F950" s="8" t="str">
        <x:v>MVRD</x:v>
      </x:c>
      <x:c r="G950" s="9" t="n">
        <x:v>2023</x:v>
      </x:c>
      <x:c r="H950" s="10" t="n">
        <x:v>22362</x:v>
      </x:c>
      <x:c r="I950" s="8" t="str">
        <x:v>20,000 to 99,999</x:v>
      </x:c>
      <x:c r="J950" s="11" t="n">
        <x:v>72711369</x:v>
      </x:c>
      <x:c r="K950" s="11" t="n">
        <x:v>49172500</x:v>
      </x:c>
      <x:c r="L950" s="11" t="n">
        <x:v>23538869</x:v>
      </x:c>
      <x:c r="M950" s="12" t="n">
        <x:v>0.32373024086508395</x:v>
      </x:c>
      <x:c r="N950" s="11" t="n">
        <x:v>31051989</x:v>
      </x:c>
      <x:c r="O950" s="11" t="n">
        <x:v>26036242</x:v>
      </x:c>
      <x:c r="P950" s="11" t="n">
        <x:v>6490179</x:v>
      </x:c>
      <x:c r="Q950" s="11" t="n">
        <x:v>9132959</x:v>
      </x:c>
      <x:c r="R950" s="11" t="n">
        <x:v>41614044</x:v>
      </x:c>
      <x:c r="S950" s="11" t="n">
        <x:v>6868884</x:v>
      </x:c>
      <x:c r="T950" s="11" t="n">
        <x:v>171329026</x:v>
      </x:c>
      <x:c r="U950" s="11" t="n">
        <x:v>75696837</x:v>
      </x:c>
      <x:c r="V950" s="11" t="n">
        <x:v>101599839</x:v>
      </x:c>
      <x:c r="W950" s="11" t="n">
        <x:v>33407822</x:v>
      </x:c>
      <x:c r="X950" s="11" t="n">
        <x:v>21250543</x:v>
      </x:c>
      <x:c r="Y950" s="11" t="n">
        <x:v>10966</x:v>
      </x:c>
      <x:c r="Z950" s="11" t="n">
        <x:v>681375</x:v>
      </x:c>
      <x:c r="AA950" s="11" t="n">
        <x:v>20450587</x:v>
      </x:c>
      <x:c r="AB950" s="11" t="n">
        <x:v>689572</x:v>
      </x:c>
      <x:c r="AC950" s="11" t="n">
        <x:v>1370947</x:v>
      </x:c>
      <x:c r="AD950" s="11" t="n">
        <x:v>16196821</x:v>
      </x:c>
      <x:c r="AE950" s="11" t="n">
        <x:v>14825874</x:v>
      </x:c>
      <x:c r="AF950" s="11" t="n">
        <x:v>64787282</x:v>
      </x:c>
      <x:c r="AG950" s="11" t="n">
        <x:v>260949362</x:v>
      </x:c>
      <x:c r="AH950" s="11" t="n">
        <x:v>92217119</x:v>
      </x:c>
      <x:c r="AI950" s="11" t="n">
        <x:v>168732243</x:v>
      </x:c>
      <x:c r="AJ950" s="11" t="n">
        <x:v>6212603</x:v>
      </x:c>
      <x:c r="AK950" s="11" t="n">
        <x:v>32232935</x:v>
      </x:c>
      <x:c r="AL950" s="11" t="n">
        <x:v>0</x:v>
      </x:c>
      <x:c r="AM950" s="12" t="n">
        <x:v>1</x:v>
      </x:c>
      <x:c r="AN950" s="12" t="n">
        <x:v>0.1927408410062565</x:v>
      </x:c>
      <x:c r="AO950" s="11" t="n">
        <x:v>52678738</x:v>
      </x:c>
      <x:c r="AP950" s="11" t="n">
        <x:v>50789424</x:v>
      </x:c>
      <x:c r="AQ950" s="12" t="n">
        <x:v>0.9641351696769956</x:v>
      </x:c>
      <x:c r="AR950" s="11" t="n">
        <x:v>3251.559297021733</x:v>
      </x:c>
      <x:c r="AS950" s="11" t="n">
        <x:v>2198.9312226097845</x:v>
      </x:c>
      <x:c r="AT950" s="11" t="n">
        <x:v>4543.41467668366</x:v>
      </x:c>
      <x:c r="AU950" s="11" t="n">
        <x:v>1493.9550129684285</x:v>
      </x:c>
      <x:c r="AV950" s="11" t="n">
        <x:v>914.5240586709597</x:v>
      </x:c>
      <x:c r="AW950" s="11" t="n">
        <x:v>2.263357793932658</x:v>
      </x:c>
      <x:c r="AX950" s="12" t="n">
        <x:v>0.9153570320990767</x:v>
      </x:c>
      <x:c r="AY950" s="11"/>
      <x:c r="AZ950" s="11"/>
      <x:c r="BA950" s="11"/>
      <x:c r="BB950" s="11"/>
      <x:c r="BC950" s="11"/>
      <x:c r="BD950" s="11"/>
      <x:c r="BE950" s="11"/>
      <x:c r="BF950" s="11"/>
      <x:c r="BG950" s="11"/>
      <x:c r="BH950" s="11"/>
      <x:c r="BI950" s="11"/>
      <x:c r="BJ950" s="11"/>
      <x:c r="BK950" s="12"/>
      <x:c r="BL950" s="12"/>
      <x:c r="BM950" s="12"/>
      <x:c r="BN950" s="12"/>
      <x:c r="BO950" s="12"/>
      <x:c r="BP950" s="12"/>
      <x:c r="BQ950" s="12"/>
      <x:c r="BR950" s="12"/>
      <x:c r="BS950" s="12"/>
      <x:c r="BT950" s="12"/>
      <x:c r="BU950" s="11" t="n">
        <x:v>21800</x:v>
      </x:c>
      <x:c r="BV950" s="11" t="n">
        <x:v>6142178</x:v>
      </x:c>
      <x:c r="BW950" s="11" t="n">
        <x:v>326201</x:v>
      </x:c>
      <x:c r="BX950" s="11" t="n">
        <x:v>7619598</x:v>
      </x:c>
      <x:c r="BY950" s="11" t="n">
        <x:v>0</x:v>
      </x:c>
      <x:c r="BZ950" s="11" t="n">
        <x:v>1463038</x:v>
      </x:c>
      <x:c r="CA950" s="11" t="n">
        <x:v>50323</x:v>
      </x:c>
      <x:c r="CB950" s="11" t="n">
        <x:v>0</x:v>
      </x:c>
      <x:c r="CC950" s="11" t="n">
        <x:v>6467676</x:v>
      </x:c>
      <x:c r="CD950" s="11" t="n">
        <x:v>13647062</x:v>
      </x:c>
      <x:c r="CE950" s="11" t="n">
        <x:v>859507</x:v>
      </x:c>
      <x:c r="CF950" s="11" t="n">
        <x:v>0</x:v>
      </x:c>
      <x:c r="CG950" s="11" t="n">
        <x:v>1494313</x:v>
      </x:c>
      <x:c r="CH950" s="11" t="n">
        <x:v>6235391</x:v>
      </x:c>
      <x:c r="CI950" s="11" t="n">
        <x:v>8261165</x:v>
      </x:c>
      <x:c r="CJ950" s="11" t="n">
        <x:v>2817597</x:v>
      </x:c>
      <x:c r="CK950" s="11" t="n">
        <x:v>2383897</x:v>
      </x:c>
      <x:c r="CL950" s="11" t="n">
        <x:v>106721</x:v>
      </x:c>
      <x:c r="CM950" s="11" t="n">
        <x:v>0</x:v>
      </x:c>
      <x:c r="CN950" s="11" t="n">
        <x:v>30287</x:v>
      </x:c>
      <x:c r="CO950" s="11" t="n">
        <x:v>0</x:v>
      </x:c>
      <x:c r="CP950" s="8"/>
      <x:c r="CQ950" s="8"/>
    </x:row>
    <x:row r="951">
      <x:c r="A951" s="8" t="str">
        <x:v>White Rock|2024</x:v>
      </x:c>
      <x:c r="B951" s="8" t="str">
        <x:v>white-rock-c</x:v>
      </x:c>
      <x:c r="C951" s="8" t="str">
        <x:v>White Rock</x:v>
      </x:c>
      <x:c r="D951" s="8" t="str">
        <x:v>White Rock</x:v>
      </x:c>
      <x:c r="E951" s="8" t="str">
        <x:v>C</x:v>
      </x:c>
      <x:c r="F951" s="8" t="str">
        <x:v>MVRD</x:v>
      </x:c>
      <x:c r="G951" s="9" t="n">
        <x:v>2024</x:v>
      </x:c>
      <x:c r="H951" s="10" t="n">
        <x:v>22362</x:v>
      </x:c>
      <x:c r="I951" s="8" t="str">
        <x:v>20,000 to 99,999</x:v>
      </x:c>
      <x:c r="J951" s="11" t="n">
        <x:v>73593637</x:v>
      </x:c>
      <x:c r="K951" s="11" t="n">
        <x:v>55667154</x:v>
      </x:c>
      <x:c r="L951" s="11" t="n">
        <x:v>17926483</x:v>
      </x:c>
      <x:c r="M951" s="12" t="n">
        <x:v>0.24358740416647706</x:v>
      </x:c>
      <x:c r="N951" s="11" t="n">
        <x:v>33087049</x:v>
      </x:c>
      <x:c r="O951" s="11" t="n">
        <x:v>27949515</x:v>
      </x:c>
      <x:c r="P951" s="11" t="n">
        <x:v>1502728</x:v>
      </x:c>
      <x:c r="Q951" s="11" t="n">
        <x:v>11054345</x:v>
      </x:c>
      <x:c r="R951" s="11" t="n">
        <x:v>48015281</x:v>
      </x:c>
      <x:c r="S951" s="11" t="n">
        <x:v>6969020</x:v>
      </x:c>
      <x:c r="T951" s="11" t="n">
        <x:v>185092894</x:v>
      </x:c>
      <x:c r="U951" s="11" t="n">
        <x:v>77144824</x:v>
      </x:c>
      <x:c r="V951" s="11" t="n">
        <x:v>116115312</x:v>
      </x:c>
      <x:c r="W951" s="11" t="n">
        <x:v>36136269</x:v>
      </x:c>
      <x:c r="X951" s="11" t="n">
        <x:v>20450587</x:v>
      </x:c>
      <x:c r="Y951" s="11" t="n">
        <x:v>0</x:v>
      </x:c>
      <x:c r="Z951" s="11" t="n">
        <x:v>675647</x:v>
      </x:c>
      <x:c r="AA951" s="11" t="n">
        <x:v>19631379</x:v>
      </x:c>
      <x:c r="AB951" s="11" t="n">
        <x:v>682853</x:v>
      </x:c>
      <x:c r="AC951" s="11" t="n">
        <x:v>1358500</x:v>
      </x:c>
      <x:c r="AD951" s="11" t="n">
        <x:v>17301835</x:v>
      </x:c>
      <x:c r="AE951" s="11" t="n">
        <x:v>15943335</x:v>
      </x:c>
      <x:c r="AF951" s="11" t="n">
        <x:v>69207338</x:v>
      </x:c>
      <x:c r="AG951" s="11" t="n">
        <x:v>270706483</x:v>
      </x:c>
      <x:c r="AH951" s="11" t="n">
        <x:v>98545285</x:v>
      </x:c>
      <x:c r="AI951" s="11" t="n">
        <x:v>172161198</x:v>
      </x:c>
      <x:c r="AJ951" s="11" t="n">
        <x:v>10520559</x:v>
      </x:c>
      <x:c r="AK951" s="11" t="n">
        <x:v>32000450</x:v>
      </x:c>
      <x:c r="AL951" s="11" t="n">
        <x:v>0</x:v>
      </x:c>
      <x:c r="AM951" s="12" t="n">
        <x:v>1</x:v>
      </x:c>
      <x:c r="AN951" s="12" t="n">
        <x:v>0.32876284552248486</x:v>
      </x:c>
      <x:c r="AO951" s="11" t="n">
        <x:v>56841917</x:v>
      </x:c>
      <x:c r="AP951" s="11" t="n">
        <x:v>53302214</x:v>
      </x:c>
      <x:c r="AQ951" s="12" t="n">
        <x:v>0.9377272409725379</x:v>
      </x:c>
      <x:c r="AR951" s="11" t="n">
        <x:v>3291.0131920221806</x:v>
      </x:c>
      <x:c r="AS951" s="11" t="n">
        <x:v>2489.3638314998657</x:v>
      </x:c>
      <x:c r="AT951" s="11" t="n">
        <x:v>5192.528038636973</x:v>
      </x:c>
      <x:c r="AU951" s="11" t="n">
        <x:v>1615.967668365978</x:v>
      </x:c>
      <x:c r="AV951" s="11" t="n">
        <x:v>877.8901261067883</x:v>
      </x:c>
      <x:c r="AW951" s="11" t="n">
        <x:v>2.3992911565914</x:v>
      </x:c>
      <x:c r="AX951" s="12" t="n">
        <x:v>0.9214823167600431</x:v>
      </x:c>
      <x:c r="AY951" s="11" t="n">
        <x:v>2823.8160359162957</x:v>
      </x:c>
      <x:c r="AZ951" s="11" t="n">
        <x:v>3546.5079302077975</x:v>
      </x:c>
      <x:c r="BA951" s="11" t="n">
        <x:v>2313.177731087988</x:v>
      </x:c>
      <x:c r="BB951" s="11" t="n">
        <x:v>2783.665107049771</x:v>
      </x:c>
      <x:c r="BC951" s="11" t="n">
        <x:v>1634.933826557682</x:v>
      </x:c>
      <x:c r="BD951" s="11" t="n">
        <x:v>2437.8724475115623</x:v>
      </x:c>
      <x:c r="BE951" s="11" t="n">
        <x:v>1015.8871081440785</x:v>
      </x:c>
      <x:c r="BF951" s="11" t="n">
        <x:v>1604.3462673977224</x:v>
      </x:c>
      <x:c r="BG951" s="11" t="n">
        <x:v>757.3716446138835</x:v>
      </x:c>
      <x:c r="BH951" s="11" t="n">
        <x:v>518.5374381567245</x:v>
      </x:c>
      <x:c r="BI951" s="11" t="n">
        <x:v>1.4428133381403412</x:v>
      </x:c>
      <x:c r="BJ951" s="11" t="n">
        <x:v>1.7099330852451193</x:v>
      </x:c>
      <x:c r="BK951" s="12" t="n">
        <x:v>0.021350493990494074</x:v>
      </x:c>
      <x:c r="BL951" s="12" t="n">
        <x:v>0.02529861000232605</x:v>
      </x:c>
      <x:c r="BM951" s="12" t="n">
        <x:v>0.9847118933607182</x:v>
      </x:c>
      <x:c r="BN951" s="12" t="n">
        <x:v>0.9815511712696461</x:v>
      </x:c>
      <x:c r="BO951" s="12" t="n">
        <x:v>0.8457939120832807</x:v>
      </x:c>
      <x:c r="BP951" s="12" t="n">
        <x:v>0.8619101997275483</x:v>
      </x:c>
      <x:c r="BQ951" s="12" t="n">
        <x:v>0.9744645665293163</x:v>
      </x:c>
      <x:c r="BR951" s="12" t="n">
        <x:v>0.9623635142836453</x:v>
      </x:c>
      <x:c r="BS951" s="12" t="n">
        <x:v>0.16542076645989975</x:v>
      </x:c>
      <x:c r="BT951" s="12" t="n">
        <x:v>0.19976549769108282</x:v>
      </x:c>
      <x:c r="BU951" s="11" t="n">
        <x:v>9900</x:v>
      </x:c>
      <x:c r="BV951" s="11" t="n">
        <x:v>1341181</x:v>
      </x:c>
      <x:c r="BW951" s="11" t="n">
        <x:v>151647</x:v>
      </x:c>
      <x:c r="BX951" s="11" t="n">
        <x:v>8077335</x:v>
      </x:c>
      <x:c r="BY951" s="11" t="n">
        <x:v>0</x:v>
      </x:c>
      <x:c r="BZ951" s="11" t="n">
        <x:v>2945060</x:v>
      </x:c>
      <x:c r="CA951" s="11" t="n">
        <x:v>31950</x:v>
      </x:c>
      <x:c r="CB951" s="11" t="n">
        <x:v>0</x:v>
      </x:c>
      <x:c r="CC951" s="11" t="n">
        <x:v>6647718</x:v>
      </x:c>
      <x:c r="CD951" s="11" t="n">
        <x:v>14354795</x:v>
      </x:c>
      <x:c r="CE951" s="11" t="n">
        <x:v>1529457</x:v>
      </x:c>
      <x:c r="CF951" s="11" t="n">
        <x:v>0</x:v>
      </x:c>
      <x:c r="CG951" s="11" t="n">
        <x:v>1811851</x:v>
      </x:c>
      <x:c r="CH951" s="11" t="n">
        <x:v>6187167</x:v>
      </x:c>
      <x:c r="CI951" s="11" t="n">
        <x:v>9624327</x:v>
      </x:c>
      <x:c r="CJ951" s="11" t="n">
        <x:v>4685143</x:v>
      </x:c>
      <x:c r="CK951" s="11" t="n">
        <x:v>3629412</x:v>
      </x:c>
      <x:c r="CL951" s="11" t="n">
        <x:v>105680</x:v>
      </x:c>
      <x:c r="CM951" s="11" t="n">
        <x:v>0</x:v>
      </x:c>
      <x:c r="CN951" s="11" t="n">
        <x:v>122584</x:v>
      </x:c>
      <x:c r="CO951" s="11" t="n">
        <x:v>0</x:v>
      </x:c>
      <x:c r="CP951" s="8"/>
      <x:c r="CQ951" s="8"/>
    </x:row>
    <x:row r="952">
      <x:c r="A952" s="8" t="str">
        <x:v>Williams Lake|2019</x:v>
      </x:c>
      <x:c r="B952" s="8" t="str">
        <x:v>williams-lake-c</x:v>
      </x:c>
      <x:c r="C952" s="8" t="str">
        <x:v>Williams Lake</x:v>
      </x:c>
      <x:c r="D952" s="8" t="str">
        <x:v>Williams Lake</x:v>
      </x:c>
      <x:c r="E952" s="8" t="str">
        <x:v>C</x:v>
      </x:c>
      <x:c r="F952" s="8" t="str">
        <x:v>CAR</x:v>
      </x:c>
      <x:c r="G952" s="9" t="n">
        <x:v>2019</x:v>
      </x:c>
      <x:c r="H952" s="10" t="n">
        <x:v>11359</x:v>
      </x:c>
      <x:c r="I952" s="8" t="str">
        <x:v>5,000 to 19,999</x:v>
      </x:c>
      <x:c r="J952" s="11" t="n">
        <x:v>33165096</x:v>
      </x:c>
      <x:c r="K952" s="11" t="n">
        <x:v>28592892</x:v>
      </x:c>
      <x:c r="L952" s="11" t="n">
        <x:v>4572204</x:v>
      </x:c>
      <x:c r="M952" s="12" t="n">
        <x:v>0.1378619256823499</x:v>
      </x:c>
      <x:c r="N952" s="11" t="n">
        <x:v>14865257</x:v>
      </x:c>
      <x:c r="O952" s="11" t="n">
        <x:v>8045800</x:v>
      </x:c>
      <x:c r="P952" s="11" t="n">
        <x:v>7912807</x:v>
      </x:c>
      <x:c r="Q952" s="11" t="n">
        <x:v>2341232</x:v>
      </x:c>
      <x:c r="R952" s="11" t="n">
        <x:v>23708310</x:v>
      </x:c>
      <x:c r="S952" s="11" t="n">
        <x:v>4280082</x:v>
      </x:c>
      <x:c r="T952" s="11" t="n">
        <x:v>19770402</x:v>
      </x:c>
      <x:c r="U952" s="11" t="n">
        <x:v>18096782</x:v>
      </x:c>
      <x:c r="V952" s="11" t="n">
        <x:v>8083033</x:v>
      </x:c>
      <x:c r="W952" s="11" t="n">
        <x:v>0</x:v>
      </x:c>
      <x:c r="X952" s="11" t="n">
        <x:v>10268173</x:v>
      </x:c>
      <x:c r="Y952" s="11" t="n">
        <x:v>296176</x:v>
      </x:c>
      <x:c r="Z952" s="11" t="n">
        <x:v>695323</x:v>
      </x:c>
      <x:c r="AA952" s="11" t="n">
        <x:v>9543378</x:v>
      </x:c>
      <x:c r="AB952" s="11" t="n">
        <x:v>604500</x:v>
      </x:c>
      <x:c r="AC952" s="11" t="n">
        <x:v>1299823</x:v>
      </x:c>
      <x:c r="AD952" s="11" t="n">
        <x:v>5508055</x:v>
      </x:c>
      <x:c r="AE952" s="11" t="n">
        <x:v>4208232</x:v>
      </x:c>
      <x:c r="AF952" s="11" t="n">
        <x:v>22032220</x:v>
      </x:c>
      <x:c r="AG952" s="11" t="n">
        <x:v>200655639</x:v>
      </x:c>
      <x:c r="AH952" s="11" t="n">
        <x:v>93507114</x:v>
      </x:c>
      <x:c r="AI952" s="11" t="n">
        <x:v>107148525</x:v>
      </x:c>
      <x:c r="AJ952" s="11" t="n">
        <x:v>4786301</x:v>
      </x:c>
      <x:c r="AK952" s="11" t="n">
        <x:v>31915248</x:v>
      </x:c>
      <x:c r="AL952" s="11" t="n">
        <x:v>0</x:v>
      </x:c>
      <x:c r="AM952" s="12" t="n">
        <x:v>1</x:v>
      </x:c>
      <x:c r="AN952" s="12" t="n">
        <x:v>0.1499690994097868</x:v>
      </x:c>
      <x:c r="AO952" s="11" t="n">
        <x:v>23379365</x:v>
      </x:c>
      <x:c r="AP952" s="11" t="n">
        <x:v>22449115</x:v>
      </x:c>
      <x:c r="AQ952" s="12" t="n">
        <x:v>0.960210638740616</x:v>
      </x:c>
      <x:c r="AR952" s="11" t="n">
        <x:v>2919.7196936350033</x:v>
      </x:c>
      <x:c r="AS952" s="11" t="n">
        <x:v>2517.2015142178006</x:v>
      </x:c>
      <x:c r="AT952" s="11" t="n">
        <x:v>711.5972356721543</x:v>
      </x:c>
      <x:c r="AU952" s="11" t="n">
        <x:v>0</x:v>
      </x:c>
      <x:c r="AV952" s="11" t="n">
        <x:v>840.1600493001145</x:v>
      </x:c>
      <x:c r="AW952" s="11" t="n">
        <x:v>1.0924816356852838</x:v>
      </x:c>
      <x:c r="AX952" s="12" t="n">
        <x:v>0.7640141574475927</x:v>
      </x:c>
      <x:c r="AY952" s="11"/>
      <x:c r="AZ952" s="11"/>
      <x:c r="BA952" s="11"/>
      <x:c r="BB952" s="11"/>
      <x:c r="BC952" s="11"/>
      <x:c r="BD952" s="11"/>
      <x:c r="BE952" s="11"/>
      <x:c r="BF952" s="11"/>
      <x:c r="BG952" s="11"/>
      <x:c r="BH952" s="11"/>
      <x:c r="BI952" s="11"/>
      <x:c r="BJ952" s="11"/>
      <x:c r="BK952" s="12"/>
      <x:c r="BL952" s="12"/>
      <x:c r="BM952" s="12"/>
      <x:c r="BN952" s="12"/>
      <x:c r="BO952" s="12"/>
      <x:c r="BP952" s="12"/>
      <x:c r="BQ952" s="12"/>
      <x:c r="BR952" s="12"/>
      <x:c r="BS952" s="12"/>
      <x:c r="BT952" s="12"/>
      <x:c r="BU952" s="11" t="n">
        <x:v>594783</x:v>
      </x:c>
      <x:c r="BV952" s="11" t="n">
        <x:v>3913013</x:v>
      </x:c>
      <x:c r="BW952" s="11" t="n">
        <x:v>3405011</x:v>
      </x:c>
      <x:c r="BX952" s="11" t="n">
        <x:v>335950</x:v>
      </x:c>
      <x:c r="BY952" s="11" t="n">
        <x:v>1683938</x:v>
      </x:c>
      <x:c r="BZ952" s="11" t="n">
        <x:v>321344</x:v>
      </x:c>
      <x:c r="CA952" s="11" t="n">
        <x:v>0</x:v>
      </x:c>
      <x:c r="CB952" s="11" t="n">
        <x:v>0</x:v>
      </x:c>
      <x:c r="CC952" s="11" t="n">
        <x:v>1920112</x:v>
      </x:c>
      <x:c r="CD952" s="11" t="n">
        <x:v>6971025</x:v>
      </x:c>
      <x:c r="CE952" s="11" t="n">
        <x:v>1340863</x:v>
      </x:c>
      <x:c r="CF952" s="11" t="n">
        <x:v>0</x:v>
      </x:c>
      <x:c r="CG952" s="11" t="n">
        <x:v>926522</x:v>
      </x:c>
      <x:c r="CH952" s="11" t="n">
        <x:v>3751120</x:v>
      </x:c>
      <x:c r="CI952" s="11" t="n">
        <x:v>5388693</x:v>
      </x:c>
      <x:c r="CJ952" s="11" t="n">
        <x:v>1654708</x:v>
      </x:c>
      <x:c r="CK952" s="11" t="n">
        <x:v>930289</x:v>
      </x:c>
      <x:c r="CL952" s="11" t="n">
        <x:v>1416391</x:v>
      </x:c>
      <x:c r="CM952" s="11"/>
      <x:c r="CN952" s="11" t="n">
        <x:v>13087</x:v>
      </x:c>
      <x:c r="CO952" s="11" t="n">
        <x:v>0</x:v>
      </x:c>
      <x:c r="CP952" s="8"/>
      <x:c r="CQ952" s="8"/>
    </x:row>
    <x:row r="953">
      <x:c r="A953" s="8" t="str">
        <x:v>Williams Lake|2020</x:v>
      </x:c>
      <x:c r="B953" s="8" t="str">
        <x:v>williams-lake-c</x:v>
      </x:c>
      <x:c r="C953" s="8" t="str">
        <x:v>Williams Lake</x:v>
      </x:c>
      <x:c r="D953" s="8" t="str">
        <x:v>Williams Lake</x:v>
      </x:c>
      <x:c r="E953" s="8" t="str">
        <x:v>C</x:v>
      </x:c>
      <x:c r="F953" s="8" t="str">
        <x:v>CAR</x:v>
      </x:c>
      <x:c r="G953" s="9" t="n">
        <x:v>2020</x:v>
      </x:c>
      <x:c r="H953" s="10" t="n">
        <x:v>11559</x:v>
      </x:c>
      <x:c r="I953" s="8" t="str">
        <x:v>5,000 to 19,999</x:v>
      </x:c>
      <x:c r="J953" s="11" t="n">
        <x:v>39075579</x:v>
      </x:c>
      <x:c r="K953" s="11" t="n">
        <x:v>38420674</x:v>
      </x:c>
      <x:c r="L953" s="11" t="n">
        <x:v>654905</x:v>
      </x:c>
      <x:c r="M953" s="12" t="n">
        <x:v>0.01675995639117721</x:v>
      </x:c>
      <x:c r="N953" s="11" t="n">
        <x:v>15086959</x:v>
      </x:c>
      <x:c r="O953" s="11" t="n">
        <x:v>6560707</x:v>
      </x:c>
      <x:c r="P953" s="11" t="n">
        <x:v>16758846</x:v>
      </x:c>
      <x:c r="Q953" s="11" t="n">
        <x:v>669067</x:v>
      </x:c>
      <x:c r="R953" s="11" t="n">
        <x:v>33371875</x:v>
      </x:c>
      <x:c r="S953" s="11" t="n">
        <x:v>4598282</x:v>
      </x:c>
      <x:c r="T953" s="11" t="n">
        <x:v>19915974</x:v>
      </x:c>
      <x:c r="U953" s="11" t="n">
        <x:v>21181297</x:v>
      </x:c>
      <x:c r="V953" s="11" t="n">
        <x:v>7174775</x:v>
      </x:c>
      <x:c r="W953" s="11" t="n">
        <x:v>0</x:v>
      </x:c>
      <x:c r="X953" s="11" t="n">
        <x:v>9543378</x:v>
      </x:c>
      <x:c r="Y953" s="11" t="n">
        <x:v>0</x:v>
      </x:c>
      <x:c r="Z953" s="11" t="n">
        <x:v>865642</x:v>
      </x:c>
      <x:c r="AA953" s="11" t="n">
        <x:v>8324241</x:v>
      </x:c>
      <x:c r="AB953" s="11" t="n">
        <x:v>450517</x:v>
      </x:c>
      <x:c r="AC953" s="11" t="n">
        <x:v>1316159</x:v>
      </x:c>
      <x:c r="AD953" s="11" t="n">
        <x:v>5202135</x:v>
      </x:c>
      <x:c r="AE953" s="11" t="n">
        <x:v>3885976</x:v>
      </x:c>
      <x:c r="AF953" s="11" t="n">
        <x:v>20808538</x:v>
      </x:c>
      <x:c r="AG953" s="11" t="n">
        <x:v>206586420</x:v>
      </x:c>
      <x:c r="AH953" s="11" t="n">
        <x:v>97859321</x:v>
      </x:c>
      <x:c r="AI953" s="11" t="n">
        <x:v>108727099</x:v>
      </x:c>
      <x:c r="AJ953" s="11" t="n">
        <x:v>6191654</x:v>
      </x:c>
      <x:c r="AK953" s="11" t="n">
        <x:v>29683786</x:v>
      </x:c>
      <x:c r="AL953" s="11" t="n">
        <x:v>0</x:v>
      </x:c>
      <x:c r="AM953" s="12" t="n">
        <x:v>1</x:v>
      </x:c>
      <x:c r="AN953" s="12" t="n">
        <x:v>0.20858707174347638</x:v>
      </x:c>
      <x:c r="AO953" s="11" t="n">
        <x:v>23444918</x:v>
      </x:c>
      <x:c r="AP953" s="11" t="n">
        <x:v>22632319</x:v>
      </x:c>
      <x:c r="AQ953" s="12" t="n">
        <x:v>0.9653400792444657</x:v>
      </x:c>
      <x:c r="AR953" s="11" t="n">
        <x:v>3380.5328315598235</x:v>
      </x:c>
      <x:c r="AS953" s="11" t="n">
        <x:v>3323.875248723938</x:v>
      </x:c>
      <x:c r="AT953" s="11" t="n">
        <x:v>620.7089713643048</x:v>
      </x:c>
      <x:c r="AU953" s="11" t="n">
        <x:v>0</x:v>
      </x:c>
      <x:c r="AV953" s="11" t="n">
        <x:v>720.152348819102</x:v>
      </x:c>
      <x:c r="AW953" s="11" t="n">
        <x:v>0.9402622511737596</x:v>
      </x:c>
      <x:c r="AX953" s="12" t="n">
        <x:v>0.7469963774488744</x:v>
      </x:c>
      <x:c r="AY953" s="11"/>
      <x:c r="AZ953" s="11"/>
      <x:c r="BA953" s="11"/>
      <x:c r="BB953" s="11"/>
      <x:c r="BC953" s="11"/>
      <x:c r="BD953" s="11"/>
      <x:c r="BE953" s="11"/>
      <x:c r="BF953" s="11"/>
      <x:c r="BG953" s="11"/>
      <x:c r="BH953" s="11"/>
      <x:c r="BI953" s="11"/>
      <x:c r="BJ953" s="11"/>
      <x:c r="BK953" s="12"/>
      <x:c r="BL953" s="12"/>
      <x:c r="BM953" s="12"/>
      <x:c r="BN953" s="12"/>
      <x:c r="BO953" s="12"/>
      <x:c r="BP953" s="12"/>
      <x:c r="BQ953" s="12"/>
      <x:c r="BR953" s="12"/>
      <x:c r="BS953" s="12"/>
      <x:c r="BT953" s="12"/>
      <x:c r="BU953" s="11" t="n">
        <x:v>877775</x:v>
      </x:c>
      <x:c r="BV953" s="11" t="n">
        <x:v>13428374</x:v>
      </x:c>
      <x:c r="BW953" s="11" t="n">
        <x:v>2452697</x:v>
      </x:c>
      <x:c r="BX953" s="11" t="n">
        <x:v>307384</x:v>
      </x:c>
      <x:c r="BY953" s="11" t="n">
        <x:v>27789</x:v>
      </x:c>
      <x:c r="BZ953" s="11" t="n">
        <x:v>299000</x:v>
      </x:c>
      <x:c r="CA953" s="11" t="n">
        <x:v>10048</x:v>
      </x:c>
      <x:c r="CB953" s="11" t="n">
        <x:v>24846</x:v>
      </x:c>
      <x:c r="CC953" s="11" t="n">
        <x:v>1763451</x:v>
      </x:c>
      <x:c r="CD953" s="11" t="n">
        <x:v>17982281</x:v>
      </x:c>
      <x:c r="CE953" s="11" t="n">
        <x:v>1286418</x:v>
      </x:c>
      <x:c r="CF953" s="11" t="n">
        <x:v>0</x:v>
      </x:c>
      <x:c r="CG953" s="11" t="n">
        <x:v>1033604</x:v>
      </x:c>
      <x:c r="CH953" s="11" t="n">
        <x:v>3632821</x:v>
      </x:c>
      <x:c r="CI953" s="11" t="n">
        <x:v>4222857</x:v>
      </x:c>
      <x:c r="CJ953" s="11" t="n">
        <x:v>1745649</x:v>
      </x:c>
      <x:c r="CK953" s="11" t="n">
        <x:v>908861</x:v>
      </x:c>
      <x:c r="CL953" s="11" t="n">
        <x:v>1246450</x:v>
      </x:c>
      <x:c r="CM953" s="11"/>
      <x:c r="CN953" s="11" t="n">
        <x:v>0</x:v>
      </x:c>
      <x:c r="CO953" s="11" t="n">
        <x:v>0</x:v>
      </x:c>
      <x:c r="CP953" s="8"/>
      <x:c r="CQ953" s="8"/>
    </x:row>
    <x:row r="954">
      <x:c r="A954" s="8" t="str">
        <x:v>Williams Lake|2021</x:v>
      </x:c>
      <x:c r="B954" s="8" t="str">
        <x:v>williams-lake-c</x:v>
      </x:c>
      <x:c r="C954" s="8" t="str">
        <x:v>Williams Lake</x:v>
      </x:c>
      <x:c r="D954" s="8" t="str">
        <x:v>Williams Lake</x:v>
      </x:c>
      <x:c r="E954" s="8" t="str">
        <x:v>C</x:v>
      </x:c>
      <x:c r="F954" s="8" t="str">
        <x:v>CAR</x:v>
      </x:c>
      <x:c r="G954" s="9" t="n">
        <x:v>2021</x:v>
      </x:c>
      <x:c r="H954" s="10" t="n">
        <x:v>11505</x:v>
      </x:c>
      <x:c r="I954" s="8" t="str">
        <x:v>5,000 to 19,999</x:v>
      </x:c>
      <x:c r="J954" s="11" t="n">
        <x:v>37024607</x:v>
      </x:c>
      <x:c r="K954" s="11" t="n">
        <x:v>29045513</x:v>
      </x:c>
      <x:c r="L954" s="11" t="n">
        <x:v>7979094</x:v>
      </x:c>
      <x:c r="M954" s="12" t="n">
        <x:v>0.21550786481001674</x:v>
      </x:c>
      <x:c r="N954" s="11" t="n">
        <x:v>15628362</x:v>
      </x:c>
      <x:c r="O954" s="11" t="n">
        <x:v>8351130</x:v>
      </x:c>
      <x:c r="P954" s="11" t="n">
        <x:v>11871029</x:v>
      </x:c>
      <x:c r="Q954" s="11" t="n">
        <x:v>1174086</x:v>
      </x:c>
      <x:c r="R954" s="11" t="n">
        <x:v>24038357</x:v>
      </x:c>
      <x:c r="S954" s="11" t="n">
        <x:v>4689937</x:v>
      </x:c>
      <x:c r="T954" s="11" t="n">
        <x:v>25459908</x:v>
      </x:c>
      <x:c r="U954" s="11" t="n">
        <x:v>17148332</x:v>
      </x:c>
      <x:c r="V954" s="11" t="n">
        <x:v>14938113</x:v>
      </x:c>
      <x:c r="W954" s="11" t="n">
        <x:v>0</x:v>
      </x:c>
      <x:c r="X954" s="11" t="n">
        <x:v>8324241</x:v>
      </x:c>
      <x:c r="Y954" s="11" t="n">
        <x:v>0</x:v>
      </x:c>
      <x:c r="Z954" s="11" t="n">
        <x:v>614894</x:v>
      </x:c>
      <x:c r="AA954" s="11" t="n">
        <x:v>7377125</x:v>
      </x:c>
      <x:c r="AB954" s="11" t="n">
        <x:v>317219</x:v>
      </x:c>
      <x:c r="AC954" s="11" t="n">
        <x:v>932113</x:v>
      </x:c>
      <x:c r="AD954" s="11" t="n">
        <x:v>5744403</x:v>
      </x:c>
      <x:c r="AE954" s="11" t="n">
        <x:v>4812290</x:v>
      </x:c>
      <x:c r="AF954" s="11" t="n">
        <x:v>22977612</x:v>
      </x:c>
      <x:c r="AG954" s="11" t="n">
        <x:v>211205460</x:v>
      </x:c>
      <x:c r="AH954" s="11" t="n">
        <x:v>102205833</x:v>
      </x:c>
      <x:c r="AI954" s="11" t="n">
        <x:v>108999627</x:v>
      </x:c>
      <x:c r="AJ954" s="11" t="n">
        <x:v>5062267</x:v>
      </x:c>
      <x:c r="AK954" s="11" t="n">
        <x:v>31547966</x:v>
      </x:c>
      <x:c r="AL954" s="11" t="n">
        <x:v>0</x:v>
      </x:c>
      <x:c r="AM954" s="12" t="n">
        <x:v>1</x:v>
      </x:c>
      <x:c r="AN954" s="12" t="n">
        <x:v>0.1604625477281166</x:v>
      </x:c>
      <x:c r="AO954" s="11" t="n">
        <x:v>24866637</x:v>
      </x:c>
      <x:c r="AP954" s="11" t="n">
        <x:v>24073984</x:v>
      </x:c>
      <x:c r="AQ954" s="12" t="n">
        <x:v>0.9681238359654343</x:v>
      </x:c>
      <x:c r="AR954" s="11" t="n">
        <x:v>3218.1318557149066</x:v>
      </x:c>
      <x:c r="AS954" s="11" t="n">
        <x:v>2524.59913081269</x:v>
      </x:c>
      <x:c r="AT954" s="11" t="n">
        <x:v>1298.4018252933506</x:v>
      </x:c>
      <x:c r="AU954" s="11" t="n">
        <x:v>0</x:v>
      </x:c>
      <x:c r="AV954" s="11" t="n">
        <x:v>641.2103433289874</x:v>
      </x:c>
      <x:c r="AW954" s="11" t="n">
        <x:v>1.4846871404169222</x:v>
      </x:c>
      <x:c r="AX954" s="12" t="n">
        <x:v>0.8377354443969199</x:v>
      </x:c>
      <x:c r="AY954" s="11"/>
      <x:c r="AZ954" s="11"/>
      <x:c r="BA954" s="11"/>
      <x:c r="BB954" s="11"/>
      <x:c r="BC954" s="11"/>
      <x:c r="BD954" s="11"/>
      <x:c r="BE954" s="11"/>
      <x:c r="BF954" s="11"/>
      <x:c r="BG954" s="11"/>
      <x:c r="BH954" s="11"/>
      <x:c r="BI954" s="11"/>
      <x:c r="BJ954" s="11"/>
      <x:c r="BK954" s="12"/>
      <x:c r="BL954" s="12"/>
      <x:c r="BM954" s="12"/>
      <x:c r="BN954" s="12"/>
      <x:c r="BO954" s="12"/>
      <x:c r="BP954" s="12"/>
      <x:c r="BQ954" s="12"/>
      <x:c r="BR954" s="12"/>
      <x:c r="BS954" s="12"/>
      <x:c r="BT954" s="12"/>
      <x:c r="BU954" s="11" t="n">
        <x:v>977</x:v>
      </x:c>
      <x:c r="BV954" s="11" t="n">
        <x:v>8482421</x:v>
      </x:c>
      <x:c r="BW954" s="11" t="n">
        <x:v>3387631</x:v>
      </x:c>
      <x:c r="BX954" s="11" t="n">
        <x:v>289230</x:v>
      </x:c>
      <x:c r="BY954" s="11" t="n">
        <x:v>651858</x:v>
      </x:c>
      <x:c r="BZ954" s="11" t="n">
        <x:v>112500</x:v>
      </x:c>
      <x:c r="CA954" s="11" t="n">
        <x:v>4186</x:v>
      </x:c>
      <x:c r="CB954" s="11" t="n">
        <x:v>116312</x:v>
      </x:c>
      <x:c r="CC954" s="11" t="n">
        <x:v>1776851</x:v>
      </x:c>
      <x:c r="CD954" s="11" t="n">
        <x:v>6532841</x:v>
      </x:c>
      <x:c r="CE954" s="11" t="n">
        <x:v>1213331</x:v>
      </x:c>
      <x:c r="CF954" s="11" t="n">
        <x:v>0</x:v>
      </x:c>
      <x:c r="CG954" s="11" t="n">
        <x:v>956597</x:v>
      </x:c>
      <x:c r="CH954" s="11" t="n">
        <x:v>3808908</x:v>
      </x:c>
      <x:c r="CI954" s="11" t="n">
        <x:v>5206230</x:v>
      </x:c>
      <x:c r="CJ954" s="11" t="n">
        <x:v>1771569</x:v>
      </x:c>
      <x:c r="CK954" s="11" t="n">
        <x:v>1234562</x:v>
      </x:c>
      <x:c r="CL954" s="11" t="n">
        <x:v>1816968</x:v>
      </x:c>
      <x:c r="CM954" s="11"/>
      <x:c r="CN954" s="11" t="n">
        <x:v>37719</x:v>
      </x:c>
      <x:c r="CO954" s="11" t="n">
        <x:v>0</x:v>
      </x:c>
      <x:c r="CP954" s="8"/>
      <x:c r="CQ954" s="8"/>
    </x:row>
    <x:row r="955">
      <x:c r="A955" s="8" t="str">
        <x:v>Williams Lake|2022</x:v>
      </x:c>
      <x:c r="B955" s="8" t="str">
        <x:v>williams-lake-c</x:v>
      </x:c>
      <x:c r="C955" s="8" t="str">
        <x:v>Williams Lake</x:v>
      </x:c>
      <x:c r="D955" s="8" t="str">
        <x:v>Williams Lake</x:v>
      </x:c>
      <x:c r="E955" s="8" t="str">
        <x:v>C</x:v>
      </x:c>
      <x:c r="F955" s="8" t="str">
        <x:v>CAR</x:v>
      </x:c>
      <x:c r="G955" s="9" t="n">
        <x:v>2022</x:v>
      </x:c>
      <x:c r="H955" s="10" t="n">
        <x:v>11385</x:v>
      </x:c>
      <x:c r="I955" s="8" t="str">
        <x:v>5,000 to 19,999</x:v>
      </x:c>
      <x:c r="J955" s="11" t="n">
        <x:v>35169568</x:v>
      </x:c>
      <x:c r="K955" s="11" t="n">
        <x:v>30231717</x:v>
      </x:c>
      <x:c r="L955" s="11" t="n">
        <x:v>4937851</x:v>
      </x:c>
      <x:c r="M955" s="12" t="n">
        <x:v>0.1404012412094456</x:v>
      </x:c>
      <x:c r="N955" s="11" t="n">
        <x:v>16700364</x:v>
      </x:c>
      <x:c r="O955" s="11" t="n">
        <x:v>11353101</x:v>
      </x:c>
      <x:c r="P955" s="11" t="n">
        <x:v>5787191</x:v>
      </x:c>
      <x:c r="Q955" s="11" t="n">
        <x:v>1328912</x:v>
      </x:c>
      <x:c r="R955" s="11" t="n">
        <x:v>25225769</x:v>
      </x:c>
      <x:c r="S955" s="11" t="n">
        <x:v>4739192</x:v>
      </x:c>
      <x:c r="T955" s="11" t="n">
        <x:v>26992480</x:v>
      </x:c>
      <x:c r="U955" s="11" t="n">
        <x:v>16865563</x:v>
      </x:c>
      <x:c r="V955" s="11" t="n">
        <x:v>15785095</x:v>
      </x:c>
      <x:c r="W955" s="11" t="n">
        <x:v>0</x:v>
      </x:c>
      <x:c r="X955" s="11" t="n">
        <x:v>7377125</x:v>
      </x:c>
      <x:c r="Y955" s="11" t="n">
        <x:v>0</x:v>
      </x:c>
      <x:c r="Z955" s="11" t="n">
        <x:v>565802</x:v>
      </x:c>
      <x:c r="AA955" s="11" t="n">
        <x:v>6549107</x:v>
      </x:c>
      <x:c r="AB955" s="11" t="n">
        <x:v>266756</x:v>
      </x:c>
      <x:c r="AC955" s="11" t="n">
        <x:v>832558</x:v>
      </x:c>
      <x:c r="AD955" s="11" t="n">
        <x:v>6942671</x:v>
      </x:c>
      <x:c r="AE955" s="11" t="n">
        <x:v>6110113</x:v>
      </x:c>
      <x:c r="AF955" s="11" t="n">
        <x:v>27770685</x:v>
      </x:c>
      <x:c r="AG955" s="11" t="n">
        <x:v>219391135</x:v>
      </x:c>
      <x:c r="AH955" s="11" t="n">
        <x:v>106869161</x:v>
      </x:c>
      <x:c r="AI955" s="11" t="n">
        <x:v>112521974</x:v>
      </x:c>
      <x:c r="AJ955" s="11" t="n">
        <x:v>8261540</x:v>
      </x:c>
      <x:c r="AK955" s="11" t="n">
        <x:v>35370703</x:v>
      </x:c>
      <x:c r="AL955" s="11" t="n">
        <x:v>0</x:v>
      </x:c>
      <x:c r="AM955" s="12" t="n">
        <x:v>1</x:v>
      </x:c>
      <x:c r="AN955" s="12" t="n">
        <x:v>0.2335701385409275</x:v>
      </x:c>
      <x:c r="AO955" s="11" t="n">
        <x:v>26123578</x:v>
      </x:c>
      <x:c r="AP955" s="11" t="n">
        <x:v>25354208</x:v>
      </x:c>
      <x:c r="AQ955" s="12" t="n">
        <x:v>0.9705488275763756</x:v>
      </x:c>
      <x:c r="AR955" s="11" t="n">
        <x:v>3089.114448836188</x:v>
      </x:c>
      <x:c r="AS955" s="11" t="n">
        <x:v>2655.398945981555</x:v>
      </x:c>
      <x:c r="AT955" s="11" t="n">
        <x:v>1386.481774264383</x:v>
      </x:c>
      <x:c r="AU955" s="11" t="n">
        <x:v>0</x:v>
      </x:c>
      <x:c r="AV955" s="11" t="n">
        <x:v>575.2399648660519</x:v>
      </x:c>
      <x:c r="AW955" s="11" t="n">
        <x:v>1.6004493890894718</x:v>
      </x:c>
      <x:c r="AX955" s="12" t="n">
        <x:v>0.8800810235714756</x:v>
      </x:c>
      <x:c r="AY955" s="11"/>
      <x:c r="AZ955" s="11"/>
      <x:c r="BA955" s="11"/>
      <x:c r="BB955" s="11"/>
      <x:c r="BC955" s="11"/>
      <x:c r="BD955" s="11"/>
      <x:c r="BE955" s="11"/>
      <x:c r="BF955" s="11"/>
      <x:c r="BG955" s="11"/>
      <x:c r="BH955" s="11"/>
      <x:c r="BI955" s="11"/>
      <x:c r="BJ955" s="11"/>
      <x:c r="BK955" s="12"/>
      <x:c r="BL955" s="12"/>
      <x:c r="BM955" s="12"/>
      <x:c r="BN955" s="12"/>
      <x:c r="BO955" s="12"/>
      <x:c r="BP955" s="12"/>
      <x:c r="BQ955" s="12"/>
      <x:c r="BR955" s="12"/>
      <x:c r="BS955" s="12"/>
      <x:c r="BT955" s="12"/>
      <x:c r="BU955" s="11" t="n">
        <x:v>124662</x:v>
      </x:c>
      <x:c r="BV955" s="11" t="n">
        <x:v>4242723</x:v>
      </x:c>
      <x:c r="BW955" s="11" t="n">
        <x:v>1419806</x:v>
      </x:c>
      <x:c r="BX955" s="11" t="n">
        <x:v>747370</x:v>
      </x:c>
      <x:c r="BY955" s="11" t="n">
        <x:v>558755</x:v>
      </x:c>
      <x:c r="BZ955" s="11" t="n">
        <x:v>4040</x:v>
      </x:c>
      <x:c r="CA955" s="11" t="n">
        <x:v>18747</x:v>
      </x:c>
      <x:c r="CB955" s="11" t="n">
        <x:v>0</x:v>
      </x:c>
      <x:c r="CC955" s="11" t="n">
        <x:v>2047993</x:v>
      </x:c>
      <x:c r="CD955" s="11" t="n">
        <x:v>7213409</x:v>
      </x:c>
      <x:c r="CE955" s="11" t="n">
        <x:v>1242526</x:v>
      </x:c>
      <x:c r="CF955" s="11" t="n">
        <x:v>0</x:v>
      </x:c>
      <x:c r="CG955" s="11" t="n">
        <x:v>1056979</x:v>
      </x:c>
      <x:c r="CH955" s="11" t="n">
        <x:v>4271255</x:v>
      </x:c>
      <x:c r="CI955" s="11" t="n">
        <x:v>4947831</x:v>
      </x:c>
      <x:c r="CJ955" s="11" t="n">
        <x:v>1561988</x:v>
      </x:c>
      <x:c r="CK955" s="11" t="n">
        <x:v>995087</x:v>
      </x:c>
      <x:c r="CL955" s="11" t="n">
        <x:v>2155457</x:v>
      </x:c>
      <x:c r="CM955" s="11"/>
      <x:c r="CN955" s="11" t="n">
        <x:v>0</x:v>
      </x:c>
      <x:c r="CO955" s="11" t="n">
        <x:v>0</x:v>
      </x:c>
      <x:c r="CP955" s="8"/>
      <x:c r="CQ955" s="8"/>
    </x:row>
    <x:row r="956">
      <x:c r="A956" s="8" t="str">
        <x:v>Williams Lake|2023</x:v>
      </x:c>
      <x:c r="B956" s="8" t="str">
        <x:v>williams-lake-c</x:v>
      </x:c>
      <x:c r="C956" s="8" t="str">
        <x:v>Williams Lake</x:v>
      </x:c>
      <x:c r="D956" s="8" t="str">
        <x:v>Williams Lake</x:v>
      </x:c>
      <x:c r="E956" s="8" t="str">
        <x:v>C</x:v>
      </x:c>
      <x:c r="F956" s="8" t="str">
        <x:v>CAR</x:v>
      </x:c>
      <x:c r="G956" s="9" t="n">
        <x:v>2023</x:v>
      </x:c>
      <x:c r="H956" s="10" t="n">
        <x:v>11626</x:v>
      </x:c>
      <x:c r="I956" s="8" t="str">
        <x:v>5,000 to 19,999</x:v>
      </x:c>
      <x:c r="J956" s="11" t="n">
        <x:v>45107925</x:v>
      </x:c>
      <x:c r="K956" s="11" t="n">
        <x:v>33191260</x:v>
      </x:c>
      <x:c r="L956" s="11" t="n">
        <x:v>11916665</x:v>
      </x:c>
      <x:c r="M956" s="12" t="n">
        <x:v>0.2641811832399739</x:v>
      </x:c>
      <x:c r="N956" s="11" t="n">
        <x:v>18096521</x:v>
      </x:c>
      <x:c r="O956" s="11" t="n">
        <x:v>13890102</x:v>
      </x:c>
      <x:c r="P956" s="11" t="n">
        <x:v>10439961</x:v>
      </x:c>
      <x:c r="Q956" s="11" t="n">
        <x:v>2681341</x:v>
      </x:c>
      <x:c r="R956" s="11" t="n">
        <x:v>28689332</x:v>
      </x:c>
      <x:c r="S956" s="11" t="n">
        <x:v>4207957</x:v>
      </x:c>
      <x:c r="T956" s="11" t="n">
        <x:v>32941437</x:v>
      </x:c>
      <x:c r="U956" s="11" t="n">
        <x:v>14618787</x:v>
      </x:c>
      <x:c r="V956" s="11" t="n">
        <x:v>26701020</x:v>
      </x:c>
      <x:c r="W956" s="11" t="n">
        <x:v>0</x:v>
      </x:c>
      <x:c r="X956" s="11" t="n">
        <x:v>6549107</x:v>
      </x:c>
      <x:c r="Y956" s="11" t="n">
        <x:v>0</x:v>
      </x:c>
      <x:c r="Z956" s="11" t="n">
        <x:v>588011</x:v>
      </x:c>
      <x:c r="AA956" s="11" t="n">
        <x:v>5688041</x:v>
      </x:c>
      <x:c r="AB956" s="11" t="n">
        <x:v>293971</x:v>
      </x:c>
      <x:c r="AC956" s="11" t="n">
        <x:v>881982</x:v>
      </x:c>
      <x:c r="AD956" s="11" t="n">
        <x:v>8085547</x:v>
      </x:c>
      <x:c r="AE956" s="11" t="n">
        <x:v>7203565</x:v>
      </x:c>
      <x:c r="AF956" s="11" t="n">
        <x:v>32342189</x:v>
      </x:c>
      <x:c r="AG956" s="11" t="n">
        <x:v>223720169</x:v>
      </x:c>
      <x:c r="AH956" s="11" t="n">
        <x:v>110181896</x:v>
      </x:c>
      <x:c r="AI956" s="11" t="n">
        <x:v>113538273</x:v>
      </x:c>
      <x:c r="AJ956" s="11" t="n">
        <x:v>5256931</x:v>
      </x:c>
      <x:c r="AK956" s="11" t="n">
        <x:v>36856284</x:v>
      </x:c>
      <x:c r="AL956" s="11" t="n">
        <x:v>0</x:v>
      </x:c>
      <x:c r="AM956" s="12" t="n">
        <x:v>1</x:v>
      </x:c>
      <x:c r="AN956" s="12" t="n">
        <x:v>0.14263323453878313</x:v>
      </x:c>
      <x:c r="AO956" s="11" t="n">
        <x:v>28107247</x:v>
      </x:c>
      <x:c r="AP956" s="11" t="n">
        <x:v>27287364</x:v>
      </x:c>
      <x:c r="AQ956" s="12" t="n">
        <x:v>0.9708301919430246</x:v>
      </x:c>
      <x:c r="AR956" s="11" t="n">
        <x:v>3879.9178565284706</x:v>
      </x:c>
      <x:c r="AS956" s="11" t="n">
        <x:v>2854.916566316876</x:v>
      </x:c>
      <x:c r="AT956" s="11" t="n">
        <x:v>2296.664372957165</x:v>
      </x:c>
      <x:c r="AU956" s="11" t="n">
        <x:v>0</x:v>
      </x:c>
      <x:c r="AV956" s="11" t="n">
        <x:v>489.25176328917945</x:v>
      </x:c>
      <x:c r="AW956" s="11" t="n">
        <x:v>2.2533632236381855</x:v>
      </x:c>
      <x:c r="AX956" s="12" t="n">
        <x:v>0.8909186972755214</x:v>
      </x:c>
      <x:c r="AY956" s="11"/>
      <x:c r="AZ956" s="11"/>
      <x:c r="BA956" s="11"/>
      <x:c r="BB956" s="11"/>
      <x:c r="BC956" s="11"/>
      <x:c r="BD956" s="11"/>
      <x:c r="BE956" s="11"/>
      <x:c r="BF956" s="11"/>
      <x:c r="BG956" s="11"/>
      <x:c r="BH956" s="11"/>
      <x:c r="BI956" s="11"/>
      <x:c r="BJ956" s="11"/>
      <x:c r="BK956" s="12"/>
      <x:c r="BL956" s="12"/>
      <x:c r="BM956" s="12"/>
      <x:c r="BN956" s="12"/>
      <x:c r="BO956" s="12"/>
      <x:c r="BP956" s="12"/>
      <x:c r="BQ956" s="12"/>
      <x:c r="BR956" s="12"/>
      <x:c r="BS956" s="12"/>
      <x:c r="BT956" s="12"/>
      <x:c r="BU956" s="11" t="n">
        <x:v>239285</x:v>
      </x:c>
      <x:c r="BV956" s="11" t="n">
        <x:v>9096922</x:v>
      </x:c>
      <x:c r="BW956" s="11" t="n">
        <x:v>1103754</x:v>
      </x:c>
      <x:c r="BX956" s="11" t="n">
        <x:v>1560080</x:v>
      </x:c>
      <x:c r="BY956" s="11" t="n">
        <x:v>898903</x:v>
      </x:c>
      <x:c r="BZ956" s="11" t="n">
        <x:v>200877</x:v>
      </x:c>
      <x:c r="CA956" s="11" t="n">
        <x:v>21481</x:v>
      </x:c>
      <x:c r="CB956" s="11" t="n">
        <x:v>0</x:v>
      </x:c>
      <x:c r="CC956" s="11" t="n">
        <x:v>2063438</x:v>
      </x:c>
      <x:c r="CD956" s="11" t="n">
        <x:v>7378279</x:v>
      </x:c>
      <x:c r="CE956" s="11" t="n">
        <x:v>1098177</x:v>
      </x:c>
      <x:c r="CF956" s="11" t="n">
        <x:v>0</x:v>
      </x:c>
      <x:c r="CG956" s="11" t="n">
        <x:v>1538567</x:v>
      </x:c>
      <x:c r="CH956" s="11" t="n">
        <x:v>4061583</x:v>
      </x:c>
      <x:c r="CI956" s="11" t="n">
        <x:v>5749323</x:v>
      </x:c>
      <x:c r="CJ956" s="11" t="n">
        <x:v>1508231</x:v>
      </x:c>
      <x:c r="CK956" s="11" t="n">
        <x:v>2522533</x:v>
      </x:c>
      <x:c r="CL956" s="11" t="n">
        <x:v>3063172</x:v>
      </x:c>
      <x:c r="CM956" s="11" t="n">
        <x:v>0</x:v>
      </x:c>
      <x:c r="CN956" s="11" t="n">
        <x:v>0</x:v>
      </x:c>
      <x:c r="CO956" s="11" t="n">
        <x:v>0</x:v>
      </x:c>
      <x:c r="CP956" s="8"/>
      <x:c r="CQ956" s="8"/>
    </x:row>
    <x:row r="957">
      <x:c r="A957" s="8" t="str">
        <x:v>Williams Lake|2024</x:v>
      </x:c>
      <x:c r="B957" s="8" t="str">
        <x:v>williams-lake-c</x:v>
      </x:c>
      <x:c r="C957" s="8" t="str">
        <x:v>Williams Lake</x:v>
      </x:c>
      <x:c r="D957" s="8" t="str">
        <x:v>Williams Lake</x:v>
      </x:c>
      <x:c r="E957" s="8" t="str">
        <x:v>C</x:v>
      </x:c>
      <x:c r="F957" s="8" t="str">
        <x:v>CAR</x:v>
      </x:c>
      <x:c r="G957" s="9" t="n">
        <x:v>2024</x:v>
      </x:c>
      <x:c r="H957" s="10" t="n">
        <x:v>11626</x:v>
      </x:c>
      <x:c r="I957" s="8" t="str">
        <x:v>5,000 to 19,999</x:v>
      </x:c>
      <x:c r="J957" s="11" t="n">
        <x:v>41646874</x:v>
      </x:c>
      <x:c r="K957" s="11" t="n">
        <x:v>33547155</x:v>
      </x:c>
      <x:c r="L957" s="11" t="n">
        <x:v>8099719</x:v>
      </x:c>
      <x:c r="M957" s="12" t="n">
        <x:v>0.19448564134729535</x:v>
      </x:c>
      <x:c r="N957" s="11" t="n">
        <x:v>19437286</x:v>
      </x:c>
      <x:c r="O957" s="11" t="n">
        <x:v>12757948</x:v>
      </x:c>
      <x:c r="P957" s="11" t="n">
        <x:v>4631641</x:v>
      </x:c>
      <x:c r="Q957" s="11" t="n">
        <x:v>4819999</x:v>
      </x:c>
      <x:c r="R957" s="11" t="n">
        <x:v>28826978</x:v>
      </x:c>
      <x:c r="S957" s="11" t="n">
        <x:v>4437773</x:v>
      </x:c>
      <x:c r="T957" s="11" t="n">
        <x:v>41167866</x:v>
      </x:c>
      <x:c r="U957" s="11" t="n">
        <x:v>16777945</x:v>
      </x:c>
      <x:c r="V957" s="11" t="n">
        <x:v>31108305</x:v>
      </x:c>
      <x:c r="W957" s="11" t="n">
        <x:v>0</x:v>
      </x:c>
      <x:c r="X957" s="11" t="n">
        <x:v>5688041</x:v>
      </x:c>
      <x:c r="Y957" s="11" t="n">
        <x:v>0</x:v>
      </x:c>
      <x:c r="Z957" s="11" t="n">
        <x:v>589605</x:v>
      </x:c>
      <x:c r="AA957" s="11" t="n">
        <x:v>4797484</x:v>
      </x:c>
      <x:c r="AB957" s="11" t="n">
        <x:v>282404</x:v>
      </x:c>
      <x:c r="AC957" s="11" t="n">
        <x:v>872009</x:v>
      </x:c>
      <x:c r="AD957" s="11" t="n">
        <x:v>8215664</x:v>
      </x:c>
      <x:c r="AE957" s="11" t="n">
        <x:v>7343655</x:v>
      </x:c>
      <x:c r="AF957" s="11" t="n">
        <x:v>32862654</x:v>
      </x:c>
      <x:c r="AG957" s="11" t="n">
        <x:v>231245513</x:v>
      </x:c>
      <x:c r="AH957" s="11" t="n">
        <x:v>114087223</x:v>
      </x:c>
      <x:c r="AI957" s="11" t="n">
        <x:v>117158290</x:v>
      </x:c>
      <x:c r="AJ957" s="11" t="n">
        <x:v>5964911</x:v>
      </x:c>
      <x:c r="AK957" s="11" t="n">
        <x:v>1323090904</x:v>
      </x:c>
      <x:c r="AL957" s="11" t="n">
        <x:v>21854721</x:v>
      </x:c>
      <x:c r="AM957" s="12" t="n">
        <x:v>0.9834820714631713</x:v>
      </x:c>
      <x:c r="AN957" s="12" t="n">
        <x:v>0.004508315325853075</x:v>
      </x:c>
      <x:c r="AO957" s="11" t="n">
        <x:v>30022382</x:v>
      </x:c>
      <x:c r="AP957" s="11" t="n">
        <x:v>28840454</x:v>
      </x:c>
      <x:c r="AQ957" s="12" t="n">
        <x:v>0.9606317713231415</x:v>
      </x:c>
      <x:c r="AR957" s="11" t="n">
        <x:v>3582.218647858249</x:v>
      </x:c>
      <x:c r="AS957" s="11" t="n">
        <x:v>2885.528556683296</x:v>
      </x:c>
      <x:c r="AT957" s="11" t="n">
        <x:v>2675.753053500774</x:v>
      </x:c>
      <x:c r="AU957" s="11" t="n">
        <x:v>0</x:v>
      </x:c>
      <x:c r="AV957" s="11" t="n">
        <x:v>412.6512988130053</x:v>
      </x:c>
      <x:c r="AW957" s="11" t="n">
        <x:v>2.4536894119035435</x:v>
      </x:c>
      <x:c r="AX957" s="12" t="n">
        <x:v>0.8938601919455323</x:v>
      </x:c>
      <x:c r="AY957" s="11" t="n">
        <x:v>3601.3561989291247</x:v>
      </x:c>
      <x:c r="AZ957" s="11" t="n">
        <x:v>3546.5079302077975</x:v>
      </x:c>
      <x:c r="BA957" s="11" t="n">
        <x:v>2957.8976990295423</x:v>
      </x:c>
      <x:c r="BB957" s="11" t="n">
        <x:v>2783.665107049771</x:v>
      </x:c>
      <x:c r="BC957" s="11" t="n">
        <x:v>1917.0647247750476</x:v>
      </x:c>
      <x:c r="BD957" s="11" t="n">
        <x:v>2437.8724475115623</x:v>
      </x:c>
      <x:c r="BE957" s="11" t="n">
        <x:v>987.5598464714869</x:v>
      </x:c>
      <x:c r="BF957" s="11" t="n">
        <x:v>1604.3462673977224</x:v>
      </x:c>
      <x:c r="BG957" s="11" t="n">
        <x:v>936.3446522221191</x:v>
      </x:c>
      <x:c r="BH957" s="11" t="n">
        <x:v>518.5374381567245</x:v>
      </x:c>
      <x:c r="BI957" s="11" t="n">
        <x:v>1.3967465323081123</x:v>
      </x:c>
      <x:c r="BJ957" s="11" t="n">
        <x:v>1.7099330852451193</x:v>
      </x:c>
      <x:c r="BK957" s="12" t="n">
        <x:v>0.018327243000235003</x:v>
      </x:c>
      <x:c r="BL957" s="12" t="n">
        <x:v>0.02529861000232605</x:v>
      </x:c>
      <x:c r="BM957" s="12" t="n">
        <x:v>0.982034678745671</x:v>
      </x:c>
      <x:c r="BN957" s="12" t="n">
        <x:v>0.9815511712696461</x:v>
      </x:c>
      <x:c r="BO957" s="12" t="n">
        <x:v>0.7988058564062199</x:v>
      </x:c>
      <x:c r="BP957" s="12" t="n">
        <x:v>0.8619101997275483</x:v>
      </x:c>
      <x:c r="BQ957" s="12" t="n">
        <x:v>0.970292410805516</x:v>
      </x:c>
      <x:c r="BR957" s="12" t="n">
        <x:v>0.9623635142836453</x:v>
      </x:c>
      <x:c r="BS957" s="12" t="n">
        <x:v>0.19624174475580758</x:v>
      </x:c>
      <x:c r="BT957" s="12" t="n">
        <x:v>0.19976549769108282</x:v>
      </x:c>
      <x:c r="BU957" s="11" t="n">
        <x:v>1042250</x:v>
      </x:c>
      <x:c r="BV957" s="11" t="n">
        <x:v>3250197</x:v>
      </x:c>
      <x:c r="BW957" s="11" t="n">
        <x:v>339194</x:v>
      </x:c>
      <x:c r="BX957" s="11" t="n">
        <x:v>2182863</x:v>
      </x:c>
      <x:c r="BY957" s="11" t="n">
        <x:v>1453165</x:v>
      </x:c>
      <x:c r="BZ957" s="11" t="n">
        <x:v>9409</x:v>
      </x:c>
      <x:c r="CA957" s="11" t="n">
        <x:v>1174562</x:v>
      </x:c>
      <x:c r="CB957" s="11" t="n">
        <x:v>0</x:v>
      </x:c>
      <x:c r="CC957" s="11" t="n">
        <x:v>2201736</x:v>
      </x:c>
      <x:c r="CD957" s="11" t="n">
        <x:v>8311854</x:v>
      </x:c>
      <x:c r="CE957" s="11" t="n">
        <x:v>1203942</x:v>
      </x:c>
      <x:c r="CF957" s="11" t="n">
        <x:v>0</x:v>
      </x:c>
      <x:c r="CG957" s="11" t="n">
        <x:v>1243773</x:v>
      </x:c>
      <x:c r="CH957" s="11" t="n">
        <x:v>4450999</x:v>
      </x:c>
      <x:c r="CI957" s="11" t="n">
        <x:v>5970657</x:v>
      </x:c>
      <x:c r="CJ957" s="11" t="n">
        <x:v>1781445</x:v>
      </x:c>
      <x:c r="CK957" s="11" t="n">
        <x:v>1183052</x:v>
      </x:c>
      <x:c r="CL957" s="11" t="n">
        <x:v>2761924</x:v>
      </x:c>
      <x:c r="CM957" s="11" t="n">
        <x:v>0</x:v>
      </x:c>
      <x:c r="CN957" s="11" t="n">
        <x:v>0</x:v>
      </x:c>
      <x:c r="CO957" s="11" t="n">
        <x:v>0</x:v>
      </x:c>
      <x:c r="CP957" s="8"/>
      <x:c r="CQ957" s="8"/>
    </x:row>
    <x:row r="958">
      <x:c r="A958" s="8" t="str">
        <x:v>Zeballos|2019</x:v>
      </x:c>
      <x:c r="B958" s="8" t="str">
        <x:v>zeballos-v</x:v>
      </x:c>
      <x:c r="C958" s="8" t="str">
        <x:v>Zeballos</x:v>
      </x:c>
      <x:c r="D958" s="8" t="str">
        <x:v>Zeballos</x:v>
      </x:c>
      <x:c r="E958" s="8" t="str">
        <x:v>V</x:v>
      </x:c>
      <x:c r="F958" s="8" t="str">
        <x:v>STR</x:v>
      </x:c>
      <x:c r="G958" s="9" t="n">
        <x:v>2019</x:v>
      </x:c>
      <x:c r="H958" s="10" t="n">
        <x:v>117</x:v>
      </x:c>
      <x:c r="I958" s="8" t="str">
        <x:v>Under 5,000</x:v>
      </x:c>
      <x:c r="J958" s="11" t="n">
        <x:v>1164653</x:v>
      </x:c>
      <x:c r="K958" s="11" t="n">
        <x:v>928294</x:v>
      </x:c>
      <x:c r="L958" s="11" t="n">
        <x:v>236359</x:v>
      </x:c>
      <x:c r="M958" s="12" t="n">
        <x:v>0.20294370941387693</x:v>
      </x:c>
      <x:c r="N958" s="11" t="n">
        <x:v>190805</x:v>
      </x:c>
      <x:c r="O958" s="11" t="n">
        <x:v>183246</x:v>
      </x:c>
      <x:c r="P958" s="11" t="n">
        <x:v>763813</x:v>
      </x:c>
      <x:c r="Q958" s="11" t="n">
        <x:v>26789</x:v>
      </x:c>
      <x:c r="R958" s="11" t="n">
        <x:v>698292</x:v>
      </x:c>
      <x:c r="S958" s="11" t="n">
        <x:v>230002</x:v>
      </x:c>
      <x:c r="T958" s="11" t="n">
        <x:v>1007425</x:v>
      </x:c>
      <x:c r="U958" s="11" t="n">
        <x:v>217407</x:v>
      </x:c>
      <x:c r="V958" s="11" t="n">
        <x:v>1100548</x:v>
      </x:c>
      <x:c r="W958" s="11" t="n">
        <x:v>41854</x:v>
      </x:c>
      <x:c r="X958" s="11" t="n">
        <x:v>0</x:v>
      </x:c>
      <x:c r="Y958" s="11" t="n">
        <x:v>0</x:v>
      </x:c>
      <x:c r="Z958" s="11" t="n">
        <x:v>0</x:v>
      </x:c>
      <x:c r="AA958" s="11" t="n">
        <x:v>0</x:v>
      </x:c>
      <x:c r="AB958" s="11" t="n">
        <x:v>0</x:v>
      </x:c>
      <x:c r="AC958" s="11" t="n">
        <x:v>0</x:v>
      </x:c>
      <x:c r="AD958" s="11" t="n">
        <x:v>176706</x:v>
      </x:c>
      <x:c r="AE958" s="11" t="n">
        <x:v>176706</x:v>
      </x:c>
      <x:c r="AF958" s="11" t="n">
        <x:v>706823</x:v>
      </x:c>
      <x:c r="AG958" s="11" t="n">
        <x:v>9310824</x:v>
      </x:c>
      <x:c r="AH958" s="11" t="n">
        <x:v>3270367</x:v>
      </x:c>
      <x:c r="AI958" s="11" t="n">
        <x:v>6040457</x:v>
      </x:c>
      <x:c r="AJ958" s="11" t="n">
        <x:v>170279</x:v>
      </x:c>
      <x:c r="AK958" s="11" t="n">
        <x:v>6040457</x:v>
      </x:c>
      <x:c r="AL958" s="11" t="n">
        <x:v>230002</x:v>
      </x:c>
      <x:c r="AM958" s="12" t="n">
        <x:v>0.9619230796610256</x:v>
      </x:c>
      <x:c r="AN958" s="12" t="n">
        <x:v>0.028189754516918172</x:v>
      </x:c>
      <x:c r="AO958" s="11" t="n">
        <x:v>291540</x:v>
      </x:c>
      <x:c r="AP958" s="11" t="n">
        <x:v>253131</x:v>
      </x:c>
      <x:c r="AQ958" s="12" t="n">
        <x:v>0.8682547849351718</x:v>
      </x:c>
      <x:c r="AR958" s="11" t="n">
        <x:v>9954.299145299145</x:v>
      </x:c>
      <x:c r="AS958" s="11" t="n">
        <x:v>7934.136752136752</x:v>
      </x:c>
      <x:c r="AT958" s="11" t="n">
        <x:v>9406.393162393162</x:v>
      </x:c>
      <x:c r="AU958" s="11" t="n">
        <x:v>357.7264957264957</x:v>
      </x:c>
      <x:c r="AV958" s="11" t="n">
        <x:v>0</x:v>
      </x:c>
      <x:c r="AW958" s="11" t="n">
        <x:v>4.633820438164364</x:v>
      </x:c>
      <x:c r="AX958" s="12" t="n">
        <x:v>1</x:v>
      </x:c>
      <x:c r="AY958" s="11"/>
      <x:c r="AZ958" s="11"/>
      <x:c r="BA958" s="11"/>
      <x:c r="BB958" s="11"/>
      <x:c r="BC958" s="11"/>
      <x:c r="BD958" s="11"/>
      <x:c r="BE958" s="11"/>
      <x:c r="BF958" s="11"/>
      <x:c r="BG958" s="11"/>
      <x:c r="BH958" s="11"/>
      <x:c r="BI958" s="11"/>
      <x:c r="BJ958" s="11"/>
      <x:c r="BK958" s="12"/>
      <x:c r="BL958" s="12"/>
      <x:c r="BM958" s="12"/>
      <x:c r="BN958" s="12"/>
      <x:c r="BO958" s="12"/>
      <x:c r="BP958" s="12"/>
      <x:c r="BQ958" s="12"/>
      <x:c r="BR958" s="12"/>
      <x:c r="BS958" s="12"/>
      <x:c r="BT958" s="12"/>
      <x:c r="BU958" s="11" t="n">
        <x:v>0</x:v>
      </x:c>
      <x:c r="BV958" s="11" t="n">
        <x:v>485390</x:v>
      </x:c>
      <x:c r="BW958" s="11" t="n">
        <x:v>278423</x:v>
      </x:c>
      <x:c r="BX958" s="11" t="n">
        <x:v>0</x:v>
      </x:c>
      <x:c r="BY958" s="11" t="n">
        <x:v>0</x:v>
      </x:c>
      <x:c r="BZ958" s="11" t="n">
        <x:v>26789</x:v>
      </x:c>
      <x:c r="CA958" s="11" t="n">
        <x:v>0</x:v>
      </x:c>
      <x:c r="CB958" s="11" t="n">
        <x:v>0</x:v>
      </x:c>
      <x:c r="CC958" s="11" t="n">
        <x:v>302415</x:v>
      </x:c>
      <x:c r="CD958" s="11" t="n">
        <x:v>154565</x:v>
      </x:c>
      <x:c r="CE958" s="11" t="n">
        <x:v>26510</x:v>
      </x:c>
      <x:c r="CF958" s="11" t="n">
        <x:v>0</x:v>
      </x:c>
      <x:c r="CG958" s="11" t="n">
        <x:v>0</x:v>
      </x:c>
      <x:c r="CH958" s="11" t="n">
        <x:v>126547</x:v>
      </x:c>
      <x:c r="CI958" s="11" t="n">
        <x:v>47546</x:v>
      </x:c>
      <x:c r="CJ958" s="11" t="n">
        <x:v>15620</x:v>
      </x:c>
      <x:c r="CK958" s="11" t="n">
        <x:v>25089</x:v>
      </x:c>
      <x:c r="CL958" s="11" t="n">
        <x:v>0</x:v>
      </x:c>
      <x:c r="CM958" s="11"/>
      <x:c r="CN958" s="11" t="n">
        <x:v>0</x:v>
      </x:c>
      <x:c r="CO958" s="11" t="n">
        <x:v>0</x:v>
      </x:c>
      <x:c r="CP958" s="8"/>
      <x:c r="CQ958" s="8"/>
    </x:row>
    <x:row r="959">
      <x:c r="A959" s="8" t="str">
        <x:v>Zeballos|2020</x:v>
      </x:c>
      <x:c r="B959" s="8" t="str">
        <x:v>zeballos-v</x:v>
      </x:c>
      <x:c r="C959" s="8" t="str">
        <x:v>Zeballos</x:v>
      </x:c>
      <x:c r="D959" s="8" t="str">
        <x:v>Zeballos</x:v>
      </x:c>
      <x:c r="E959" s="8" t="str">
        <x:v>V</x:v>
      </x:c>
      <x:c r="F959" s="8" t="str">
        <x:v>STR</x:v>
      </x:c>
      <x:c r="G959" s="9" t="n">
        <x:v>2020</x:v>
      </x:c>
      <x:c r="H959" s="10" t="n">
        <x:v>118</x:v>
      </x:c>
      <x:c r="I959" s="8" t="str">
        <x:v>Under 5,000</x:v>
      </x:c>
      <x:c r="J959" s="11" t="n">
        <x:v>1199225</x:v>
      </x:c>
      <x:c r="K959" s="11" t="n">
        <x:v>837813</x:v>
      </x:c>
      <x:c r="L959" s="11" t="n">
        <x:v>361412</x:v>
      </x:c>
      <x:c r="M959" s="12" t="n">
        <x:v>0.3013713022994017</x:v>
      </x:c>
      <x:c r="N959" s="11" t="n">
        <x:v>187587</x:v>
      </x:c>
      <x:c r="O959" s="11" t="n">
        <x:v>136587</x:v>
      </x:c>
      <x:c r="P959" s="11" t="n">
        <x:v>828866</x:v>
      </x:c>
      <x:c r="Q959" s="11" t="n">
        <x:v>46185</x:v>
      </x:c>
      <x:c r="R959" s="11" t="n">
        <x:v>596774</x:v>
      </x:c>
      <x:c r="S959" s="11" t="n">
        <x:v>241039</x:v>
      </x:c>
      <x:c r="T959" s="11" t="n">
        <x:v>1423330</x:v>
      </x:c>
      <x:c r="U959" s="11" t="n">
        <x:v>213245</x:v>
      </x:c>
      <x:c r="V959" s="11" t="n">
        <x:v>1558670</x:v>
      </x:c>
      <x:c r="W959" s="11" t="n">
        <x:v>42274</x:v>
      </x:c>
      <x:c r="X959" s="11" t="n">
        <x:v>0</x:v>
      </x:c>
      <x:c r="Y959" s="11" t="n">
        <x:v>0</x:v>
      </x:c>
      <x:c r="Z959" s="11" t="n">
        <x:v>0</x:v>
      </x:c>
      <x:c r="AA959" s="11" t="n">
        <x:v>0</x:v>
      </x:c>
      <x:c r="AB959" s="11" t="n">
        <x:v>0</x:v>
      </x:c>
      <x:c r="AC959" s="11" t="n">
        <x:v>0</x:v>
      </x:c>
      <x:c r="AD959" s="11" t="n">
        <x:v>173858</x:v>
      </x:c>
      <x:c r="AE959" s="11" t="n">
        <x:v>173858</x:v>
      </x:c>
      <x:c r="AF959" s="11" t="n">
        <x:v>695430</x:v>
      </x:c>
      <x:c r="AG959" s="11" t="n">
        <x:v>9473987</x:v>
      </x:c>
      <x:c r="AH959" s="11" t="n">
        <x:v>3511406</x:v>
      </x:c>
      <x:c r="AI959" s="11" t="n">
        <x:v>5962581</x:v>
      </x:c>
      <x:c r="AJ959" s="11" t="n">
        <x:v>163165</x:v>
      </x:c>
      <x:c r="AK959" s="11" t="n">
        <x:v>5962582</x:v>
      </x:c>
      <x:c r="AL959" s="11" t="n">
        <x:v>241039</x:v>
      </x:c>
      <x:c r="AM959" s="12" t="n">
        <x:v>0.959574727861185</x:v>
      </x:c>
      <x:c r="AN959" s="12" t="n">
        <x:v>0.027364822823401004</x:v>
      </x:c>
      <x:c r="AO959" s="11" t="n">
        <x:v>288586</x:v>
      </x:c>
      <x:c r="AP959" s="11" t="n">
        <x:v>240707</x:v>
      </x:c>
      <x:c r="AQ959" s="12" t="n">
        <x:v>0.8340910508479275</x:v>
      </x:c>
      <x:c r="AR959" s="11" t="n">
        <x:v>10162.92372881356</x:v>
      </x:c>
      <x:c r="AS959" s="11" t="n">
        <x:v>7100.110169491525</x:v>
      </x:c>
      <x:c r="AT959" s="11" t="n">
        <x:v>13209.06779661017</x:v>
      </x:c>
      <x:c r="AU959" s="11" t="n">
        <x:v>358.2542372881356</x:v>
      </x:c>
      <x:c r="AV959" s="11" t="n">
        <x:v>0</x:v>
      </x:c>
      <x:c r="AW959" s="11" t="n">
        <x:v>6.674623086121597</x:v>
      </x:c>
      <x:c r="AX959" s="12" t="n">
        <x:v>1</x:v>
      </x:c>
      <x:c r="AY959" s="11"/>
      <x:c r="AZ959" s="11"/>
      <x:c r="BA959" s="11"/>
      <x:c r="BB959" s="11"/>
      <x:c r="BC959" s="11"/>
      <x:c r="BD959" s="11"/>
      <x:c r="BE959" s="11"/>
      <x:c r="BF959" s="11"/>
      <x:c r="BG959" s="11"/>
      <x:c r="BH959" s="11"/>
      <x:c r="BI959" s="11"/>
      <x:c r="BJ959" s="11"/>
      <x:c r="BK959" s="12"/>
      <x:c r="BL959" s="12"/>
      <x:c r="BM959" s="12"/>
      <x:c r="BN959" s="12"/>
      <x:c r="BO959" s="12"/>
      <x:c r="BP959" s="12"/>
      <x:c r="BQ959" s="12"/>
      <x:c r="BR959" s="12"/>
      <x:c r="BS959" s="12"/>
      <x:c r="BT959" s="12"/>
      <x:c r="BU959" s="11" t="n">
        <x:v>0</x:v>
      </x:c>
      <x:c r="BV959" s="11" t="n">
        <x:v>764147</x:v>
      </x:c>
      <x:c r="BW959" s="11" t="n">
        <x:v>64719</x:v>
      </x:c>
      <x:c r="BX959" s="11" t="n">
        <x:v>6888</x:v>
      </x:c>
      <x:c r="BY959" s="11" t="n">
        <x:v>0</x:v>
      </x:c>
      <x:c r="BZ959" s="11" t="n">
        <x:v>26789</x:v>
      </x:c>
      <x:c r="CA959" s="11" t="n">
        <x:v>0</x:v>
      </x:c>
      <x:c r="CB959" s="11" t="n">
        <x:v>12508</x:v>
      </x:c>
      <x:c r="CC959" s="11" t="n">
        <x:v>305059</x:v>
      </x:c>
      <x:c r="CD959" s="11" t="n">
        <x:v>26086</x:v>
      </x:c>
      <x:c r="CE959" s="11" t="n">
        <x:v>30188</x:v>
      </x:c>
      <x:c r="CF959" s="11" t="n">
        <x:v>0</x:v>
      </x:c>
      <x:c r="CG959" s="11" t="n">
        <x:v>0</x:v>
      </x:c>
      <x:c r="CH959" s="11" t="n">
        <x:v>142247</x:v>
      </x:c>
      <x:c r="CI959" s="11" t="n">
        <x:v>44615</x:v>
      </x:c>
      <x:c r="CJ959" s="11" t="n">
        <x:v>17850</x:v>
      </x:c>
      <x:c r="CK959" s="11" t="n">
        <x:v>30729</x:v>
      </x:c>
      <x:c r="CL959" s="11" t="n">
        <x:v>0</x:v>
      </x:c>
      <x:c r="CM959" s="11"/>
      <x:c r="CN959" s="11" t="n">
        <x:v>0</x:v>
      </x:c>
      <x:c r="CO959" s="11" t="n">
        <x:v>0</x:v>
      </x:c>
      <x:c r="CP959" s="8"/>
      <x:c r="CQ959" s="8"/>
    </x:row>
    <x:row r="960">
      <x:c r="A960" s="8" t="str">
        <x:v>Zeballos|2021</x:v>
      </x:c>
      <x:c r="B960" s="8" t="str">
        <x:v>zeballos-v</x:v>
      </x:c>
      <x:c r="C960" s="8" t="str">
        <x:v>Zeballos</x:v>
      </x:c>
      <x:c r="D960" s="8" t="str">
        <x:v>Zeballos</x:v>
      </x:c>
      <x:c r="E960" s="8" t="str">
        <x:v>V</x:v>
      </x:c>
      <x:c r="F960" s="8" t="str">
        <x:v>STR</x:v>
      </x:c>
      <x:c r="G960" s="9" t="n">
        <x:v>2021</x:v>
      </x:c>
      <x:c r="H960" s="10" t="n">
        <x:v>120</x:v>
      </x:c>
      <x:c r="I960" s="8" t="str">
        <x:v>Under 5,000</x:v>
      </x:c>
      <x:c r="J960" s="11" t="n">
        <x:v>1100657</x:v>
      </x:c>
      <x:c r="K960" s="11" t="n">
        <x:v>862124</x:v>
      </x:c>
      <x:c r="L960" s="11" t="n">
        <x:v>238533</x:v>
      </x:c>
      <x:c r="M960" s="12" t="n">
        <x:v>0.21671874162432075</x:v>
      </x:c>
      <x:c r="N960" s="11" t="n">
        <x:v>207366</x:v>
      </x:c>
      <x:c r="O960" s="11" t="n">
        <x:v>199657</x:v>
      </x:c>
      <x:c r="P960" s="11" t="n">
        <x:v>666845</x:v>
      </x:c>
      <x:c r="Q960" s="11" t="n">
        <x:v>26789</x:v>
      </x:c>
      <x:c r="R960" s="11" t="n">
        <x:v>614114</x:v>
      </x:c>
      <x:c r="S960" s="11" t="n">
        <x:v>248010</x:v>
      </x:c>
      <x:c r="T960" s="11" t="n">
        <x:v>2284318</x:v>
      </x:c>
      <x:c r="U960" s="11" t="n">
        <x:v>519231</x:v>
      </x:c>
      <x:c r="V960" s="11" t="n">
        <x:v>1875963</x:v>
      </x:c>
      <x:c r="W960" s="11" t="n">
        <x:v>42373</x:v>
      </x:c>
      <x:c r="X960" s="11" t="n">
        <x:v>0</x:v>
      </x:c>
      <x:c r="Y960" s="11" t="n">
        <x:v>0</x:v>
      </x:c>
      <x:c r="Z960" s="11" t="n">
        <x:v>0</x:v>
      </x:c>
      <x:c r="AA960" s="11" t="n">
        <x:v>0</x:v>
      </x:c>
      <x:c r="AB960" s="11" t="n">
        <x:v>0</x:v>
      </x:c>
      <x:c r="AC960" s="11" t="n">
        <x:v>0</x:v>
      </x:c>
      <x:c r="AD960" s="11" t="n">
        <x:v>197940</x:v>
      </x:c>
      <x:c r="AE960" s="11" t="n">
        <x:v>197940</x:v>
      </x:c>
      <x:c r="AF960" s="11" t="n">
        <x:v>791758</x:v>
      </x:c>
      <x:c r="AG960" s="11" t="n">
        <x:v>9632700</x:v>
      </x:c>
      <x:c r="AH960" s="11" t="n">
        <x:v>3750255</x:v>
      </x:c>
      <x:c r="AI960" s="11" t="n">
        <x:v>5882445</x:v>
      </x:c>
      <x:c r="AJ960" s="11" t="n">
        <x:v>168798</x:v>
      </x:c>
      <x:c r="AK960" s="11" t="n">
        <x:v>5882443</x:v>
      </x:c>
      <x:c r="AL960" s="11" t="n">
        <x:v>248010</x:v>
      </x:c>
      <x:c r="AM960" s="12" t="n">
        <x:v>0.9578389454857447</x:v>
      </x:c>
      <x:c r="AN960" s="12" t="n">
        <x:v>0.02869522067617145</x:v>
      </x:c>
      <x:c r="AO960" s="11" t="n">
        <x:v>317478</x:v>
      </x:c>
      <x:c r="AP960" s="11" t="n">
        <x:v>287465</x:v>
      </x:c>
      <x:c r="AQ960" s="12" t="n">
        <x:v>0.905464315637619</x:v>
      </x:c>
      <x:c r="AR960" s="11" t="n">
        <x:v>9172.141666666666</x:v>
      </x:c>
      <x:c r="AS960" s="11" t="n">
        <x:v>7184.366666666667</x:v>
      </x:c>
      <x:c r="AT960" s="11" t="n">
        <x:v>15633.025</x:v>
      </x:c>
      <x:c r="AU960" s="11" t="n">
        <x:v>353.10833333333335</x:v>
      </x:c>
      <x:c r="AV960" s="11" t="n">
        <x:v>0</x:v>
      </x:c>
      <x:c r="AW960" s="11" t="n">
        <x:v>4.3994253039591245</x:v>
      </x:c>
      <x:c r="AX960" s="12" t="n">
        <x:v>1</x:v>
      </x:c>
      <x:c r="AY960" s="11"/>
      <x:c r="AZ960" s="11"/>
      <x:c r="BA960" s="11"/>
      <x:c r="BB960" s="11"/>
      <x:c r="BC960" s="11"/>
      <x:c r="BD960" s="11"/>
      <x:c r="BE960" s="11"/>
      <x:c r="BF960" s="11"/>
      <x:c r="BG960" s="11"/>
      <x:c r="BH960" s="11"/>
      <x:c r="BI960" s="11"/>
      <x:c r="BJ960" s="11"/>
      <x:c r="BK960" s="12"/>
      <x:c r="BL960" s="12"/>
      <x:c r="BM960" s="12"/>
      <x:c r="BN960" s="12"/>
      <x:c r="BO960" s="12"/>
      <x:c r="BP960" s="12"/>
      <x:c r="BQ960" s="12"/>
      <x:c r="BR960" s="12"/>
      <x:c r="BS960" s="12"/>
      <x:c r="BT960" s="12"/>
      <x:c r="BU960" s="11" t="n">
        <x:v>91619</x:v>
      </x:c>
      <x:c r="BV960" s="11" t="n">
        <x:v>447053</x:v>
      </x:c>
      <x:c r="BW960" s="11" t="n">
        <x:v>128173</x:v>
      </x:c>
      <x:c r="BX960" s="11" t="n">
        <x:v>0</x:v>
      </x:c>
      <x:c r="BY960" s="11" t="n">
        <x:v>0</x:v>
      </x:c>
      <x:c r="BZ960" s="11" t="n">
        <x:v>26789</x:v>
      </x:c>
      <x:c r="CA960" s="11" t="n">
        <x:v>0</x:v>
      </x:c>
      <x:c r="CB960" s="11" t="n">
        <x:v>0</x:v>
      </x:c>
      <x:c r="CC960" s="11" t="n">
        <x:v>306669</x:v>
      </x:c>
      <x:c r="CD960" s="11" t="n">
        <x:v>14027</x:v>
      </x:c>
      <x:c r="CE960" s="11" t="n">
        <x:v>29235</x:v>
      </x:c>
      <x:c r="CF960" s="11" t="n">
        <x:v>0</x:v>
      </x:c>
      <x:c r="CG960" s="11" t="n">
        <x:v>0</x:v>
      </x:c>
      <x:c r="CH960" s="11" t="n">
        <x:v>162671</x:v>
      </x:c>
      <x:c r="CI960" s="11" t="n">
        <x:v>61453</x:v>
      </x:c>
      <x:c r="CJ960" s="11" t="n">
        <x:v>27445</x:v>
      </x:c>
      <x:c r="CK960" s="11" t="n">
        <x:v>12614</x:v>
      </x:c>
      <x:c r="CL960" s="11" t="n">
        <x:v>0</x:v>
      </x:c>
      <x:c r="CM960" s="11"/>
      <x:c r="CN960" s="11" t="n">
        <x:v>0</x:v>
      </x:c>
      <x:c r="CO960" s="11" t="n">
        <x:v>0</x:v>
      </x:c>
      <x:c r="CP960" s="8"/>
      <x:c r="CQ960" s="8"/>
    </x:row>
    <x:row r="961">
      <x:c r="A961" s="8" t="str">
        <x:v>Zeballos|2022</x:v>
      </x:c>
      <x:c r="B961" s="8" t="str">
        <x:v>zeballos-v</x:v>
      </x:c>
      <x:c r="C961" s="8" t="str">
        <x:v>Zeballos</x:v>
      </x:c>
      <x:c r="D961" s="8" t="str">
        <x:v>Zeballos</x:v>
      </x:c>
      <x:c r="E961" s="8" t="str">
        <x:v>V</x:v>
      </x:c>
      <x:c r="F961" s="8" t="str">
        <x:v>STR</x:v>
      </x:c>
      <x:c r="G961" s="9" t="n">
        <x:v>2022</x:v>
      </x:c>
      <x:c r="H961" s="10" t="n">
        <x:v>122</x:v>
      </x:c>
      <x:c r="I961" s="8" t="str">
        <x:v>Under 5,000</x:v>
      </x:c>
      <x:c r="J961" s="11" t="n">
        <x:v>1051315</x:v>
      </x:c>
      <x:c r="K961" s="11" t="n">
        <x:v>969173</x:v>
      </x:c>
      <x:c r="L961" s="11" t="n">
        <x:v>82142</x:v>
      </x:c>
      <x:c r="M961" s="12" t="n">
        <x:v>0.07813262437994321</x:v>
      </x:c>
      <x:c r="N961" s="11" t="n">
        <x:v>225588</x:v>
      </x:c>
      <x:c r="O961" s="11" t="n">
        <x:v>213464</x:v>
      </x:c>
      <x:c r="P961" s="11" t="n">
        <x:v>581842</x:v>
      </x:c>
      <x:c r="Q961" s="11" t="n">
        <x:v>30421</x:v>
      </x:c>
      <x:c r="R961" s="11" t="n">
        <x:v>735560</x:v>
      </x:c>
      <x:c r="S961" s="11" t="n">
        <x:v>233613</x:v>
      </x:c>
      <x:c r="T961" s="11" t="n">
        <x:v>2457601</x:v>
      </x:c>
      <x:c r="U961" s="11" t="n">
        <x:v>530319</x:v>
      </x:c>
      <x:c r="V961" s="11" t="n">
        <x:v>2101732</x:v>
      </x:c>
      <x:c r="W961" s="11" t="n">
        <x:v>43378</x:v>
      </x:c>
      <x:c r="X961" s="11" t="n">
        <x:v>0</x:v>
      </x:c>
      <x:c r="Y961" s="11" t="n">
        <x:v>0</x:v>
      </x:c>
      <x:c r="Z961" s="11" t="n">
        <x:v>0</x:v>
      </x:c>
      <x:c r="AA961" s="11" t="n">
        <x:v>0</x:v>
      </x:c>
      <x:c r="AB961" s="11" t="n">
        <x:v>0</x:v>
      </x:c>
      <x:c r="AC961" s="11" t="n">
        <x:v>0</x:v>
      </x:c>
      <x:c r="AD961" s="11" t="n">
        <x:v>237847</x:v>
      </x:c>
      <x:c r="AE961" s="11" t="n">
        <x:v>237847</x:v>
      </x:c>
      <x:c r="AF961" s="11" t="n">
        <x:v>951387</x:v>
      </x:c>
      <x:c r="AG961" s="11" t="n">
        <x:v>9702139</x:v>
      </x:c>
      <x:c r="AH961" s="11" t="n">
        <x:v>3966933</x:v>
      </x:c>
      <x:c r="AI961" s="11" t="n">
        <x:v>5735206</x:v>
      </x:c>
      <x:c r="AJ961" s="11" t="n">
        <x:v>119018</x:v>
      </x:c>
      <x:c r="AK961" s="11" t="n">
        <x:v>5641568</x:v>
      </x:c>
      <x:c r="AL961" s="11" t="n">
        <x:v>159414</x:v>
      </x:c>
      <x:c r="AM961" s="12" t="n">
        <x:v>0.971742962240285</x:v>
      </x:c>
      <x:c r="AN961" s="12" t="n">
        <x:v>0.021096617110703975</x:v>
      </x:c>
      <x:c r="AO961" s="11" t="n">
        <x:v>324005</x:v>
      </x:c>
      <x:c r="AP961" s="11" t="n">
        <x:v>273980</x:v>
      </x:c>
      <x:c r="AQ961" s="12" t="n">
        <x:v>0.845604234502554</x:v>
      </x:c>
      <x:c r="AR961" s="11" t="n">
        <x:v>8617.33606557377</x:v>
      </x:c>
      <x:c r="AS961" s="11" t="n">
        <x:v>7944.040983606557</x:v>
      </x:c>
      <x:c r="AT961" s="11" t="n">
        <x:v>17227.311475409835</x:v>
      </x:c>
      <x:c r="AU961" s="11" t="n">
        <x:v>355.55737704918033</x:v>
      </x:c>
      <x:c r="AV961" s="11" t="n">
        <x:v>0</x:v>
      </x:c>
      <x:c r="AW961" s="11" t="n">
        <x:v>4.634193758850805</x:v>
      </x:c>
      <x:c r="AX961" s="12" t="n">
        <x:v>1</x:v>
      </x:c>
      <x:c r="AY961" s="11"/>
      <x:c r="AZ961" s="11"/>
      <x:c r="BA961" s="11"/>
      <x:c r="BB961" s="11"/>
      <x:c r="BC961" s="11"/>
      <x:c r="BD961" s="11"/>
      <x:c r="BE961" s="11"/>
      <x:c r="BF961" s="11"/>
      <x:c r="BG961" s="11"/>
      <x:c r="BH961" s="11"/>
      <x:c r="BI961" s="11"/>
      <x:c r="BJ961" s="11"/>
      <x:c r="BK961" s="12"/>
      <x:c r="BL961" s="12"/>
      <x:c r="BM961" s="12"/>
      <x:c r="BN961" s="12"/>
      <x:c r="BO961" s="12"/>
      <x:c r="BP961" s="12"/>
      <x:c r="BQ961" s="12"/>
      <x:c r="BR961" s="12"/>
      <x:c r="BS961" s="12"/>
      <x:c r="BT961" s="12"/>
      <x:c r="BU961" s="11" t="n">
        <x:v>0</x:v>
      </x:c>
      <x:c r="BV961" s="11" t="n">
        <x:v>516953</x:v>
      </x:c>
      <x:c r="BW961" s="11" t="n">
        <x:v>64889</x:v>
      </x:c>
      <x:c r="BX961" s="11" t="n">
        <x:v>25335</x:v>
      </x:c>
      <x:c r="BY961" s="11" t="n">
        <x:v>0</x:v>
      </x:c>
      <x:c r="BZ961" s="11" t="n">
        <x:v>5086</x:v>
      </x:c>
      <x:c r="CA961" s="11" t="n">
        <x:v>0</x:v>
      </x:c>
      <x:c r="CB961" s="11" t="n">
        <x:v>0</x:v>
      </x:c>
      <x:c r="CC961" s="11" t="n">
        <x:v>364859</x:v>
      </x:c>
      <x:c r="CD961" s="11" t="n">
        <x:v>21493</x:v>
      </x:c>
      <x:c r="CE961" s="11" t="n">
        <x:v>28458</x:v>
      </x:c>
      <x:c r="CF961" s="11" t="n">
        <x:v>0</x:v>
      </x:c>
      <x:c r="CG961" s="11" t="n">
        <x:v>0</x:v>
      </x:c>
      <x:c r="CH961" s="11" t="n">
        <x:v>155683</x:v>
      </x:c>
      <x:c r="CI961" s="11" t="n">
        <x:v>86205</x:v>
      </x:c>
      <x:c r="CJ961" s="11" t="n">
        <x:v>18594</x:v>
      </x:c>
      <x:c r="CK961" s="11" t="n">
        <x:v>27622</x:v>
      </x:c>
      <x:c r="CL961" s="11" t="n">
        <x:v>0</x:v>
      </x:c>
      <x:c r="CM961" s="11"/>
      <x:c r="CN961" s="11" t="n">
        <x:v>32646</x:v>
      </x:c>
      <x:c r="CO961" s="11" t="n">
        <x:v>0</x:v>
      </x:c>
      <x:c r="CP961" s="8"/>
      <x:c r="CQ961" s="8"/>
    </x:row>
    <x:row r="962">
      <x:c r="A962" s="8" t="str">
        <x:v>Zeballos|2023</x:v>
      </x:c>
      <x:c r="B962" s="8" t="str">
        <x:v>zeballos-v</x:v>
      </x:c>
      <x:c r="C962" s="8" t="str">
        <x:v>Zeballos</x:v>
      </x:c>
      <x:c r="D962" s="8" t="str">
        <x:v>Zeballos</x:v>
      </x:c>
      <x:c r="E962" s="8" t="str">
        <x:v>V</x:v>
      </x:c>
      <x:c r="F962" s="8" t="str">
        <x:v>STR</x:v>
      </x:c>
      <x:c r="G962" s="9" t="n">
        <x:v>2023</x:v>
      </x:c>
      <x:c r="H962" s="10" t="n">
        <x:v>121</x:v>
      </x:c>
      <x:c r="I962" s="8" t="str">
        <x:v>Under 5,000</x:v>
      </x:c>
      <x:c r="J962" s="11" t="n">
        <x:v>1590084</x:v>
      </x:c>
      <x:c r="K962" s="11" t="n">
        <x:v>1029545</x:v>
      </x:c>
      <x:c r="L962" s="11" t="n">
        <x:v>560539</x:v>
      </x:c>
      <x:c r="M962" s="12" t="n">
        <x:v>0.3525216277882175</x:v>
      </x:c>
      <x:c r="N962" s="11" t="n">
        <x:v>231691</x:v>
      </x:c>
      <x:c r="O962" s="11" t="n">
        <x:v>192151</x:v>
      </x:c>
      <x:c r="P962" s="11" t="n">
        <x:v>1083211</x:v>
      </x:c>
      <x:c r="Q962" s="11" t="n">
        <x:v>83031</x:v>
      </x:c>
      <x:c r="R962" s="11" t="n">
        <x:v>748513</x:v>
      </x:c>
      <x:c r="S962" s="11" t="n">
        <x:v>276136</x:v>
      </x:c>
      <x:c r="T962" s="11" t="n">
        <x:v>3372795</x:v>
      </x:c>
      <x:c r="U962" s="11" t="n">
        <x:v>1605690</x:v>
      </x:c>
      <x:c r="V962" s="11" t="n">
        <x:v>1855574</x:v>
      </x:c>
      <x:c r="W962" s="11" t="n">
        <x:v>639511</x:v>
      </x:c>
      <x:c r="X962" s="11" t="n">
        <x:v>0</x:v>
      </x:c>
      <x:c r="Y962" s="11" t="n">
        <x:v>0</x:v>
      </x:c>
      <x:c r="Z962" s="11" t="n">
        <x:v>0</x:v>
      </x:c>
      <x:c r="AA962" s="11" t="n">
        <x:v>0</x:v>
      </x:c>
      <x:c r="AB962" s="11" t="n">
        <x:v>4896</x:v>
      </x:c>
      <x:c r="AC962" s="11" t="n">
        <x:v>4896</x:v>
      </x:c>
      <x:c r="AD962" s="11" t="n">
        <x:v>213954</x:v>
      </x:c>
      <x:c r="AE962" s="11" t="n">
        <x:v>209058</x:v>
      </x:c>
      <x:c r="AF962" s="11" t="n">
        <x:v>855814</x:v>
      </x:c>
      <x:c r="AG962" s="11" t="n">
        <x:v>10775678</x:v>
      </x:c>
      <x:c r="AH962" s="11" t="n">
        <x:v>4243069</x:v>
      </x:c>
      <x:c r="AI962" s="11" t="n">
        <x:v>6532609</x:v>
      </x:c>
      <x:c r="AJ962" s="11" t="n">
        <x:v>72911</x:v>
      </x:c>
      <x:c r="AK962" s="11" t="n">
        <x:v>10775678</x:v>
      </x:c>
      <x:c r="AL962" s="11" t="n">
        <x:v>276136</x:v>
      </x:c>
      <x:c r="AM962" s="12" t="n">
        <x:v>0.9743741414693349</x:v>
      </x:c>
      <x:c r="AN962" s="12" t="n">
        <x:v>0.006766256378484954</x:v>
      </x:c>
      <x:c r="AO962" s="11" t="n">
        <x:v>356084</x:v>
      </x:c>
      <x:c r="AP962" s="11" t="n">
        <x:v>312040</x:v>
      </x:c>
      <x:c r="AQ962" s="12" t="n">
        <x:v>0.8763100841374507</x:v>
      </x:c>
      <x:c r="AR962" s="11" t="n">
        <x:v>13141.190082644629</x:v>
      </x:c>
      <x:c r="AS962" s="11" t="n">
        <x:v>8508.636363636364</x:v>
      </x:c>
      <x:c r="AT962" s="11" t="n">
        <x:v>15335.322314049587</x:v>
      </x:c>
      <x:c r="AU962" s="11" t="n">
        <x:v>5285.214876033057</x:v>
      </x:c>
      <x:c r="AV962" s="11" t="n">
        <x:v>0</x:v>
      </x:c>
      <x:c r="AW962" s="11" t="n">
        <x:v>2.1005268762961715</x:v>
      </x:c>
      <x:c r="AX962" s="12" t="n">
        <x:v>0.9771165764603607</x:v>
      </x:c>
      <x:c r="AY962" s="11"/>
      <x:c r="AZ962" s="11"/>
      <x:c r="BA962" s="11"/>
      <x:c r="BB962" s="11"/>
      <x:c r="BC962" s="11"/>
      <x:c r="BD962" s="11"/>
      <x:c r="BE962" s="11"/>
      <x:c r="BF962" s="11"/>
      <x:c r="BG962" s="11"/>
      <x:c r="BH962" s="11"/>
      <x:c r="BI962" s="11"/>
      <x:c r="BJ962" s="11"/>
      <x:c r="BK962" s="12"/>
      <x:c r="BL962" s="12"/>
      <x:c r="BM962" s="12"/>
      <x:c r="BN962" s="12"/>
      <x:c r="BO962" s="12"/>
      <x:c r="BP962" s="12"/>
      <x:c r="BQ962" s="12"/>
      <x:c r="BR962" s="12"/>
      <x:c r="BS962" s="12"/>
      <x:c r="BT962" s="12"/>
      <x:c r="BU962" s="11" t="n">
        <x:v>0</x:v>
      </x:c>
      <x:c r="BV962" s="11" t="n">
        <x:v>1006625</x:v>
      </x:c>
      <x:c r="BW962" s="11" t="n">
        <x:v>76586</x:v>
      </x:c>
      <x:c r="BX962" s="11" t="n">
        <x:v>54972</x:v>
      </x:c>
      <x:c r="BY962" s="11" t="n">
        <x:v>0</x:v>
      </x:c>
      <x:c r="BZ962" s="11" t="n">
        <x:v>1270</x:v>
      </x:c>
      <x:c r="CA962" s="11" t="n">
        <x:v>26789</x:v>
      </x:c>
      <x:c r="CB962" s="11" t="n">
        <x:v>0</x:v>
      </x:c>
      <x:c r="CC962" s="11" t="n">
        <x:v>419386</x:v>
      </x:c>
      <x:c r="CD962" s="11" t="n">
        <x:v>26273</x:v>
      </x:c>
      <x:c r="CE962" s="11" t="n">
        <x:v>31296</x:v>
      </x:c>
      <x:c r="CF962" s="11" t="n">
        <x:v>0</x:v>
      </x:c>
      <x:c r="CG962" s="11" t="n">
        <x:v>0</x:v>
      </x:c>
      <x:c r="CH962" s="11" t="n">
        <x:v>168358</x:v>
      </x:c>
      <x:c r="CI962" s="11" t="n">
        <x:v>58686</x:v>
      </x:c>
      <x:c r="CJ962" s="11" t="n">
        <x:v>21105</x:v>
      </x:c>
      <x:c r="CK962" s="11" t="n">
        <x:v>28305</x:v>
      </x:c>
      <x:c r="CL962" s="11" t="n">
        <x:v>0</x:v>
      </x:c>
      <x:c r="CM962" s="11" t="n">
        <x:v>0</x:v>
      </x:c>
      <x:c r="CN962" s="11" t="n">
        <x:v>0</x:v>
      </x:c>
      <x:c r="CO962" s="11" t="n">
        <x:v>0</x:v>
      </x:c>
      <x:c r="CP962" s="8"/>
      <x:c r="CQ962" s="8"/>
    </x:row>
    <x:row r="963">
      <x:c r="A963" s="8" t="str">
        <x:v>Zeballos|2024</x:v>
      </x:c>
      <x:c r="B963" s="8" t="str">
        <x:v>zeballos-v</x:v>
      </x:c>
      <x:c r="C963" s="8" t="str">
        <x:v>Zeballos</x:v>
      </x:c>
      <x:c r="D963" s="8" t="str">
        <x:v>Zeballos</x:v>
      </x:c>
      <x:c r="E963" s="8" t="str">
        <x:v>V</x:v>
      </x:c>
      <x:c r="F963" s="8" t="str">
        <x:v>STR</x:v>
      </x:c>
      <x:c r="G963" s="9" t="n">
        <x:v>2024</x:v>
      </x:c>
      <x:c r="H963" s="10" t="n">
        <x:v>121</x:v>
      </x:c>
      <x:c r="I963" s="8" t="str">
        <x:v>Under 5,000</x:v>
      </x:c>
      <x:c r="J963" s="11" t="n">
        <x:v>1887751</x:v>
      </x:c>
      <x:c r="K963" s="11" t="n">
        <x:v>1519560</x:v>
      </x:c>
      <x:c r="L963" s="11" t="n">
        <x:v>368191</x:v>
      </x:c>
      <x:c r="M963" s="12" t="n">
        <x:v>0.1950421427402237</x:v>
      </x:c>
      <x:c r="N963" s="11" t="n">
        <x:v>237330</x:v>
      </x:c>
      <x:c r="O963" s="11" t="n">
        <x:v>188404</x:v>
      </x:c>
      <x:c r="P963" s="11" t="n">
        <x:v>1328408</x:v>
      </x:c>
      <x:c r="Q963" s="11" t="n">
        <x:v>133609</x:v>
      </x:c>
      <x:c r="R963" s="11" t="n">
        <x:v>1242480</x:v>
      </x:c>
      <x:c r="S963" s="11" t="n">
        <x:v>272045</x:v>
      </x:c>
      <x:c r="T963" s="11" t="n">
        <x:v>2806619</x:v>
      </x:c>
      <x:c r="U963" s="11" t="n">
        <x:v>1367226</x:v>
      </x:c>
      <x:c r="V963" s="11" t="n">
        <x:v>1597948</x:v>
      </x:c>
      <x:c r="W963" s="11" t="n">
        <x:v>197939</x:v>
      </x:c>
      <x:c r="X963" s="11" t="n">
        <x:v>0</x:v>
      </x:c>
      <x:c r="Y963" s="11" t="n">
        <x:v>0</x:v>
      </x:c>
      <x:c r="Z963" s="11" t="n">
        <x:v>0</x:v>
      </x:c>
      <x:c r="AA963" s="11" t="n">
        <x:v>0</x:v>
      </x:c>
      <x:c r="AB963" s="11" t="n">
        <x:v>5035</x:v>
      </x:c>
      <x:c r="AC963" s="11" t="n">
        <x:v>5035</x:v>
      </x:c>
      <x:c r="AD963" s="11" t="n">
        <x:v>234639</x:v>
      </x:c>
      <x:c r="AE963" s="11" t="n">
        <x:v>229604</x:v>
      </x:c>
      <x:c r="AF963" s="11" t="n">
        <x:v>938555</x:v>
      </x:c>
      <x:c r="AG963" s="11" t="n">
        <x:v>11669079</x:v>
      </x:c>
      <x:c r="AH963" s="11" t="n">
        <x:v>4515114</x:v>
      </x:c>
      <x:c r="AI963" s="11" t="n">
        <x:v>7153965</x:v>
      </x:c>
      <x:c r="AJ963" s="11" t="n">
        <x:v>869385</x:v>
      </x:c>
      <x:c r="AK963" s="11" t="n">
        <x:v>43657742</x:v>
      </x:c>
      <x:c r="AL963" s="11" t="n">
        <x:v>939839</x:v>
      </x:c>
      <x:c r="AM963" s="12" t="n">
        <x:v>0.9784725696532817</x:v>
      </x:c>
      <x:c r="AN963" s="12" t="n">
        <x:v>0.019913650137929718</x:v>
      </x:c>
      <x:c r="AO963" s="11" t="n">
        <x:v>348759</x:v>
      </x:c>
      <x:c r="AP963" s="11" t="n">
        <x:v>273191</x:v>
      </x:c>
      <x:c r="AQ963" s="12" t="n">
        <x:v>0.7833231543845464</x:v>
      </x:c>
      <x:c r="AR963" s="11" t="n">
        <x:v>15601.247933884297</x:v>
      </x:c>
      <x:c r="AS963" s="11" t="n">
        <x:v>12558.347107438016</x:v>
      </x:c>
      <x:c r="AT963" s="11" t="n">
        <x:v>13206.181818181818</x:v>
      </x:c>
      <x:c r="AU963" s="11" t="n">
        <x:v>1635.8595041322315</x:v>
      </x:c>
      <x:c r="AV963" s="11" t="n">
        <x:v>0</x:v>
      </x:c>
      <x:c r="AW963" s="11" t="n">
        <x:v>2.052783519330381</x:v>
      </x:c>
      <x:c r="AX963" s="12" t="n">
        <x:v>0.9785415041830215</x:v>
      </x:c>
      <x:c r="AY963" s="11" t="n">
        <x:v>4648.097865362712</x:v>
      </x:c>
      <x:c r="AZ963" s="11" t="n">
        <x:v>3546.5079302077975</x:v>
      </x:c>
      <x:c r="BA963" s="11" t="n">
        <x:v>3428.422456291105</x:v>
      </x:c>
      <x:c r="BB963" s="11" t="n">
        <x:v>2783.665107049771</x:v>
      </x:c>
      <x:c r="BC963" s="11" t="n">
        <x:v>5030.364110900993</x:v>
      </x:c>
      <x:c r="BD963" s="11" t="n">
        <x:v>2437.8724475115623</x:v>
      </x:c>
      <x:c r="BE963" s="11" t="n">
        <x:v>2420.45</x:v>
      </x:c>
      <x:c r="BF963" s="11" t="n">
        <x:v>1604.3462673977224</x:v>
      </x:c>
      <x:c r="BG963" s="11" t="n">
        <x:v>224.31236112962716</x:v>
      </x:c>
      <x:c r="BH963" s="11" t="n">
        <x:v>518.5374381567245</x:v>
      </x:c>
      <x:c r="BI963" s="11" t="n">
        <x:v>2.204313821553219</x:v>
      </x:c>
      <x:c r="BJ963" s="11" t="n">
        <x:v>1.7099330852451193</x:v>
      </x:c>
      <x:c r="BK963" s="12" t="n">
        <x:v>0.030042455998363887</x:v>
      </x:c>
      <x:c r="BL963" s="12" t="n">
        <x:v>0.02529861000232605</x:v>
      </x:c>
      <x:c r="BM963" s="12" t="n">
        <x:v>0.9786113537119745</x:v>
      </x:c>
      <x:c r="BN963" s="12" t="n">
        <x:v>0.9815511712696461</x:v>
      </x:c>
      <x:c r="BO963" s="12" t="n">
        <x:v>0.9039920521842442</x:v>
      </x:c>
      <x:c r="BP963" s="12" t="n">
        <x:v>0.8619101997275483</x:v>
      </x:c>
      <x:c r="BQ963" s="12" t="n">
        <x:v>0.9333160528846489</x:v>
      </x:c>
      <x:c r="BR963" s="12" t="n">
        <x:v>0.9623635142836453</x:v>
      </x:c>
      <x:c r="BS963" s="12" t="n">
        <x:v>0.20869205825466772</x:v>
      </x:c>
      <x:c r="BT963" s="12" t="n">
        <x:v>0.19976549769108282</x:v>
      </x:c>
      <x:c r="BU963" s="11" t="n">
        <x:v>69149</x:v>
      </x:c>
      <x:c r="BV963" s="11" t="n">
        <x:v>1256459</x:v>
      </x:c>
      <x:c r="BW963" s="11" t="n">
        <x:v>2800</x:v>
      </x:c>
      <x:c r="BX963" s="11" t="n">
        <x:v>93821</x:v>
      </x:c>
      <x:c r="BY963" s="11" t="n">
        <x:v>0</x:v>
      </x:c>
      <x:c r="BZ963" s="11" t="n">
        <x:v>12999</x:v>
      </x:c>
      <x:c r="CA963" s="11" t="n">
        <x:v>26789</x:v>
      </x:c>
      <x:c r="CB963" s="11" t="n">
        <x:v>0</x:v>
      </x:c>
      <x:c r="CC963" s="11" t="n">
        <x:v>722896</x:v>
      </x:c>
      <x:c r="CD963" s="11" t="n">
        <x:v>28629</x:v>
      </x:c>
      <x:c r="CE963" s="11" t="n">
        <x:v>66682</x:v>
      </x:c>
      <x:c r="CF963" s="11" t="n">
        <x:v>0</x:v>
      </x:c>
      <x:c r="CG963" s="11" t="n">
        <x:v>0</x:v>
      </x:c>
      <x:c r="CH963" s="11" t="n">
        <x:v>314558</x:v>
      </x:c>
      <x:c r="CI963" s="11" t="n">
        <x:v>73398</x:v>
      </x:c>
      <x:c r="CJ963" s="11" t="n">
        <x:v>28460</x:v>
      </x:c>
      <x:c r="CK963" s="11" t="n">
        <x:v>12892</x:v>
      </x:c>
      <x:c r="CL963" s="11" t="n">
        <x:v>0</x:v>
      </x:c>
      <x:c r="CM963" s="11" t="n">
        <x:v>0</x:v>
      </x:c>
      <x:c r="CN963" s="11" t="n">
        <x:v>0</x:v>
      </x:c>
      <x:c r="CO963" s="11" t="n">
        <x:v>0</x:v>
      </x:c>
      <x:c r="CP963" s="8"/>
      <x:c r="CQ963" s="8"/>
    </x:row>
    <x:row r="964">
      <x:c r="A964" s="8" t="str">
        <x:v>shíshálh Nation Government District|2019</x:v>
      </x:c>
      <x:c r="B964" s="8" t="str">
        <x:v>shishalh-nation-government-district-d</x:v>
      </x:c>
      <x:c r="C964" s="8" t="str">
        <x:v>shíshálh Nation Government District</x:v>
      </x:c>
      <x:c r="D964" s="8" t="str">
        <x:v>shíshálh Nation Government District</x:v>
      </x:c>
      <x:c r="E964" s="8" t="str">
        <x:v>D</x:v>
      </x:c>
      <x:c r="F964" s="8" t="str">
        <x:v>SUN</x:v>
      </x:c>
      <x:c r="G964" s="9" t="n">
        <x:v>2019</x:v>
      </x:c>
      <x:c r="H964" s="10" t="n">
        <x:v>750</x:v>
      </x:c>
      <x:c r="I964" s="8" t="str">
        <x:v>Under 5,000</x:v>
      </x:c>
      <x:c r="J964" s="11" t="n">
        <x:v>1635483</x:v>
      </x:c>
      <x:c r="K964" s="11" t="n">
        <x:v>1768213</x:v>
      </x:c>
      <x:c r="L964" s="11" t="n">
        <x:v>-132730</x:v>
      </x:c>
      <x:c r="M964" s="12" t="n">
        <x:v>-0.08115645347582336</x:v>
      </x:c>
      <x:c r="N964" s="11" t="n">
        <x:v>848697</x:v>
      </x:c>
      <x:c r="O964" s="11" t="n">
        <x:v>207237</x:v>
      </x:c>
      <x:c r="P964" s="11" t="n">
        <x:v>473230</x:v>
      </x:c>
      <x:c r="Q964" s="11" t="n">
        <x:v>106319</x:v>
      </x:c>
      <x:c r="R964" s="11" t="n">
        <x:v>1655927</x:v>
      </x:c>
      <x:c r="S964" s="11" t="n">
        <x:v>112286</x:v>
      </x:c>
      <x:c r="T964" s="11" t="n">
        <x:v>4540483</x:v>
      </x:c>
      <x:c r="U964" s="11" t="n">
        <x:v>677042</x:v>
      </x:c>
      <x:c r="V964" s="11" t="n">
        <x:v>3906901</x:v>
      </x:c>
      <x:c r="W964" s="11" t="n">
        <x:v>1353636</x:v>
      </x:c>
      <x:c r="X964" s="11" t="n">
        <x:v>0</x:v>
      </x:c>
      <x:c r="Y964" s="11" t="n">
        <x:v>0</x:v>
      </x:c>
      <x:c r="Z964" s="11" t="n">
        <x:v>0</x:v>
      </x:c>
      <x:c r="AA964" s="11" t="n">
        <x:v>0</x:v>
      </x:c>
      <x:c r="AB964" s="11" t="n">
        <x:v>0</x:v>
      </x:c>
      <x:c r="AC964" s="11" t="n">
        <x:v>0</x:v>
      </x:c>
      <x:c r="AD964" s="11" t="n">
        <x:v>364979</x:v>
      </x:c>
      <x:c r="AE964" s="11" t="n">
        <x:v>364979</x:v>
      </x:c>
      <x:c r="AF964" s="11" t="n">
        <x:v>1459916</x:v>
      </x:c>
      <x:c r="AG964" s="11" t="n">
        <x:v>5430823</x:v>
      </x:c>
      <x:c r="AH964" s="11" t="n">
        <x:v>3119183</x:v>
      </x:c>
      <x:c r="AI964" s="11" t="n">
        <x:v>2311640</x:v>
      </x:c>
      <x:c r="AJ964" s="11" t="n">
        <x:v>560690</x:v>
      </x:c>
      <x:c r="AK964" s="11" t="n">
        <x:v>24432154</x:v>
      </x:c>
      <x:c r="AL964" s="11" t="n">
        <x:v>0</x:v>
      </x:c>
      <x:c r="AM964" s="12" t="n">
        <x:v>1</x:v>
      </x:c>
      <x:c r="AN964" s="12" t="n">
        <x:v>0.022948856658320017</x:v>
      </x:c>
      <x:c r="AO964" s="11" t="n">
        <x:v>1909657</x:v>
      </x:c>
      <x:c r="AP964" s="11" t="n">
        <x:v>1894596</x:v>
      </x:c>
      <x:c r="AQ964" s="12" t="n">
        <x:v>0.9921132433730245</x:v>
      </x:c>
      <x:c r="AR964" s="11" t="n">
        <x:v>2180.644</x:v>
      </x:c>
      <x:c r="AS964" s="11" t="n">
        <x:v>2357.617333333333</x:v>
      </x:c>
      <x:c r="AT964" s="11" t="n">
        <x:v>5209.201333333333</x:v>
      </x:c>
      <x:c r="AU964" s="11" t="n">
        <x:v>1804.848</x:v>
      </x:c>
      <x:c r="AV964" s="11" t="n">
        <x:v>0</x:v>
      </x:c>
      <x:c r="AW964" s="11" t="n">
        <x:v>6.706353520165662</x:v>
      </x:c>
      <x:c r="AX964" s="12" t="n">
        <x:v>1</x:v>
      </x:c>
      <x:c r="AY964" s="11"/>
      <x:c r="AZ964" s="11"/>
      <x:c r="BA964" s="11"/>
      <x:c r="BB964" s="11"/>
      <x:c r="BC964" s="11"/>
      <x:c r="BD964" s="11"/>
      <x:c r="BE964" s="11"/>
      <x:c r="BF964" s="11"/>
      <x:c r="BG964" s="11"/>
      <x:c r="BH964" s="11"/>
      <x:c r="BI964" s="11"/>
      <x:c r="BJ964" s="11"/>
      <x:c r="BK964" s="12"/>
      <x:c r="BL964" s="12"/>
      <x:c r="BM964" s="12"/>
      <x:c r="BN964" s="12"/>
      <x:c r="BO964" s="12"/>
      <x:c r="BP964" s="12"/>
      <x:c r="BQ964" s="12"/>
      <x:c r="BR964" s="12"/>
      <x:c r="BS964" s="12"/>
      <x:c r="BT964" s="12"/>
      <x:c r="BU964" s="11" t="n">
        <x:v>0</x:v>
      </x:c>
      <x:c r="BV964" s="11" t="n">
        <x:v>297663</x:v>
      </x:c>
      <x:c r="BW964" s="11" t="n">
        <x:v>175567</x:v>
      </x:c>
      <x:c r="BX964" s="11" t="n">
        <x:v>106319</x:v>
      </x:c>
      <x:c r="BY964" s="11" t="n">
        <x:v>0</x:v>
      </x:c>
      <x:c r="BZ964" s="11" t="n">
        <x:v>0</x:v>
      </x:c>
      <x:c r="CA964" s="11" t="n">
        <x:v>0</x:v>
      </x:c>
      <x:c r="CB964" s="11" t="n">
        <x:v>0</x:v>
      </x:c>
      <x:c r="CC964" s="11" t="n">
        <x:v>414923</x:v>
      </x:c>
      <x:c r="CD964" s="11" t="n">
        <x:v>0</x:v>
      </x:c>
      <x:c r="CE964" s="11" t="n">
        <x:v>135943</x:v>
      </x:c>
      <x:c r="CF964" s="11" t="n">
        <x:v>0</x:v>
      </x:c>
      <x:c r="CG964" s="11" t="n">
        <x:v>0</x:v>
      </x:c>
      <x:c r="CH964" s="11" t="n">
        <x:v>146836</x:v>
      </x:c>
      <x:c r="CI964" s="11" t="n">
        <x:v>0</x:v>
      </x:c>
      <x:c r="CJ964" s="11" t="n">
        <x:v>0</x:v>
      </x:c>
      <x:c r="CK964" s="11" t="n">
        <x:v>228333</x:v>
      </x:c>
      <x:c r="CL964" s="11" t="n">
        <x:v>0</x:v>
      </x:c>
      <x:c r="CM964" s="11"/>
      <x:c r="CN964" s="11" t="n">
        <x:v>729892</x:v>
      </x:c>
      <x:c r="CO964" s="11" t="n">
        <x:v>0</x:v>
      </x:c>
      <x:c r="CP964" s="8"/>
      <x:c r="CQ964" s="8"/>
    </x:row>
    <x:row r="965">
      <x:c r="A965" s="8" t="str">
        <x:v>shíshálh Nation Government District|2020</x:v>
      </x:c>
      <x:c r="B965" s="8" t="str">
        <x:v>shishalh-nation-government-district-d</x:v>
      </x:c>
      <x:c r="C965" s="8" t="str">
        <x:v>shíshálh Nation Government District</x:v>
      </x:c>
      <x:c r="D965" s="8" t="str">
        <x:v>shíshálh Nation Government District</x:v>
      </x:c>
      <x:c r="E965" s="8" t="str">
        <x:v>D</x:v>
      </x:c>
      <x:c r="F965" s="8" t="str">
        <x:v>SUN</x:v>
      </x:c>
      <x:c r="G965" s="9" t="n">
        <x:v>2020</x:v>
      </x:c>
      <x:c r="H965" s="10" t="n">
        <x:v>731</x:v>
      </x:c>
      <x:c r="I965" s="8" t="str">
        <x:v>Under 5,000</x:v>
      </x:c>
      <x:c r="J965" s="11" t="n">
        <x:v>2725958</x:v>
      </x:c>
      <x:c r="K965" s="11" t="n">
        <x:v>1233478</x:v>
      </x:c>
      <x:c r="L965" s="11" t="n">
        <x:v>1492480</x:v>
      </x:c>
      <x:c r="M965" s="12" t="n">
        <x:v>0.5475066013489569</x:v>
      </x:c>
      <x:c r="N965" s="11" t="n">
        <x:v>856554</x:v>
      </x:c>
      <x:c r="O965" s="11" t="n">
        <x:v>812269</x:v>
      </x:c>
      <x:c r="P965" s="11" t="n">
        <x:v>1002914</x:v>
      </x:c>
      <x:c r="Q965" s="11" t="n">
        <x:v>54221</x:v>
      </x:c>
      <x:c r="R965" s="11" t="n">
        <x:v>1121923</x:v>
      </x:c>
      <x:c r="S965" s="11" t="n">
        <x:v>111555</x:v>
      </x:c>
      <x:c r="T965" s="11" t="n">
        <x:v>5028414</x:v>
      </x:c>
      <x:c r="U965" s="11" t="n">
        <x:v>853371</x:v>
      </x:c>
      <x:c r="V965" s="11" t="n">
        <x:v>4465973</x:v>
      </x:c>
      <x:c r="W965" s="11" t="n">
        <x:v>1450570</x:v>
      </x:c>
      <x:c r="X965" s="11" t="n">
        <x:v>0</x:v>
      </x:c>
      <x:c r="Y965" s="11" t="n">
        <x:v>0</x:v>
      </x:c>
      <x:c r="Z965" s="11" t="n">
        <x:v>0</x:v>
      </x:c>
      <x:c r="AA965" s="11" t="n">
        <x:v>0</x:v>
      </x:c>
      <x:c r="AB965" s="11" t="n">
        <x:v>0</x:v>
      </x:c>
      <x:c r="AC965" s="11" t="n">
        <x:v>0</x:v>
      </x:c>
      <x:c r="AD965" s="11" t="n">
        <x:v>505067</x:v>
      </x:c>
      <x:c r="AE965" s="11" t="n">
        <x:v>505067</x:v>
      </x:c>
      <x:c r="AF965" s="11" t="n">
        <x:v>2020268</x:v>
      </x:c>
      <x:c r="AG965" s="11" t="n">
        <x:v>6475787</x:v>
      </x:c>
      <x:c r="AH965" s="11" t="n">
        <x:v>3230739</x:v>
      </x:c>
      <x:c r="AI965" s="11" t="n">
        <x:v>3245048</x:v>
      </x:c>
      <x:c r="AJ965" s="11" t="n">
        <x:v>1125014</x:v>
      </x:c>
      <x:c r="AK965" s="11" t="n">
        <x:v>1190005</x:v>
      </x:c>
      <x:c r="AL965" s="11" t="n">
        <x:v>0</x:v>
      </x:c>
      <x:c r="AM965" s="12" t="n">
        <x:v>1</x:v>
      </x:c>
      <x:c r="AN965" s="12" t="n">
        <x:v>0.9453859437565388</x:v>
      </x:c>
      <x:c r="AO965" s="11" t="n">
        <x:v>1853363</x:v>
      </x:c>
      <x:c r="AP965" s="11" t="n">
        <x:v>1817293</x:v>
      </x:c>
      <x:c r="AQ965" s="12" t="n">
        <x:v>0.9805380813148854</x:v>
      </x:c>
      <x:c r="AR965" s="11" t="n">
        <x:v>3729.080711354309</x:v>
      </x:c>
      <x:c r="AS965" s="11" t="n">
        <x:v>1687.3844049247607</x:v>
      </x:c>
      <x:c r="AT965" s="11" t="n">
        <x:v>6109.40218878249</x:v>
      </x:c>
      <x:c r="AU965" s="11" t="n">
        <x:v>1984.3638850889192</x:v>
      </x:c>
      <x:c r="AV965" s="11" t="n">
        <x:v>0</x:v>
      </x:c>
      <x:c r="AW965" s="11" t="n">
        <x:v>5.892412561476778</x:v>
      </x:c>
      <x:c r="AX965" s="12" t="n">
        <x:v>1</x:v>
      </x:c>
      <x:c r="AY965" s="11"/>
      <x:c r="AZ965" s="11"/>
      <x:c r="BA965" s="11"/>
      <x:c r="BB965" s="11"/>
      <x:c r="BC965" s="11"/>
      <x:c r="BD965" s="11"/>
      <x:c r="BE965" s="11"/>
      <x:c r="BF965" s="11"/>
      <x:c r="BG965" s="11"/>
      <x:c r="BH965" s="11"/>
      <x:c r="BI965" s="11"/>
      <x:c r="BJ965" s="11"/>
      <x:c r="BK965" s="12"/>
      <x:c r="BL965" s="12"/>
      <x:c r="BM965" s="12"/>
      <x:c r="BN965" s="12"/>
      <x:c r="BO965" s="12"/>
      <x:c r="BP965" s="12"/>
      <x:c r="BQ965" s="12"/>
      <x:c r="BR965" s="12"/>
      <x:c r="BS965" s="12"/>
      <x:c r="BT965" s="12"/>
      <x:c r="BU965" s="11" t="n">
        <x:v>0</x:v>
      </x:c>
      <x:c r="BV965" s="11" t="n">
        <x:v>918647</x:v>
      </x:c>
      <x:c r="BW965" s="11" t="n">
        <x:v>84267</x:v>
      </x:c>
      <x:c r="BX965" s="11" t="n">
        <x:v>54221</x:v>
      </x:c>
      <x:c r="BY965" s="11" t="n">
        <x:v>0</x:v>
      </x:c>
      <x:c r="BZ965" s="11" t="n">
        <x:v>0</x:v>
      </x:c>
      <x:c r="CA965" s="11" t="n">
        <x:v>0</x:v>
      </x:c>
      <x:c r="CB965" s="11" t="n">
        <x:v>0</x:v>
      </x:c>
      <x:c r="CC965" s="11" t="n">
        <x:v>531510</x:v>
      </x:c>
      <x:c r="CD965" s="11" t="n">
        <x:v>0</x:v>
      </x:c>
      <x:c r="CE965" s="11" t="n">
        <x:v>138692</x:v>
      </x:c>
      <x:c r="CF965" s="11" t="n">
        <x:v>0</x:v>
      </x:c>
      <x:c r="CG965" s="11" t="n">
        <x:v>0</x:v>
      </x:c>
      <x:c r="CH965" s="11" t="n">
        <x:v>145653</x:v>
      </x:c>
      <x:c r="CI965" s="11" t="n">
        <x:v>0</x:v>
      </x:c>
      <x:c r="CJ965" s="11" t="n">
        <x:v>0</x:v>
      </x:c>
      <x:c r="CK965" s="11" t="n">
        <x:v>226017</x:v>
      </x:c>
      <x:c r="CL965" s="11" t="n">
        <x:v>0</x:v>
      </x:c>
      <x:c r="CM965" s="11"/>
      <x:c r="CN965" s="11" t="n">
        <x:v>80051</x:v>
      </x:c>
      <x:c r="CO965" s="11" t="n">
        <x:v>0</x:v>
      </x:c>
      <x:c r="CP965" s="8"/>
      <x:c r="CQ965" s="8"/>
    </x:row>
    <x:row r="966">
      <x:c r="A966" s="8" t="str">
        <x:v>shíshálh Nation Government District|2021</x:v>
      </x:c>
      <x:c r="B966" s="8" t="str">
        <x:v>shishalh-nation-government-district-d</x:v>
      </x:c>
      <x:c r="C966" s="8" t="str">
        <x:v>shíshálh Nation Government District</x:v>
      </x:c>
      <x:c r="D966" s="8" t="str">
        <x:v>shíshálh Nation Government District</x:v>
      </x:c>
      <x:c r="E966" s="8" t="str">
        <x:v>D</x:v>
      </x:c>
      <x:c r="F966" s="8" t="str">
        <x:v>SUN</x:v>
      </x:c>
      <x:c r="G966" s="9" t="n">
        <x:v>2021</x:v>
      </x:c>
      <x:c r="H966" s="10" t="n">
        <x:v>730</x:v>
      </x:c>
      <x:c r="I966" s="8" t="str">
        <x:v>Under 5,000</x:v>
      </x:c>
      <x:c r="J966" s="11" t="n">
        <x:v>2717284</x:v>
      </x:c>
      <x:c r="K966" s="11" t="n">
        <x:v>1457275</x:v>
      </x:c>
      <x:c r="L966" s="11" t="n">
        <x:v>1260009</x:v>
      </x:c>
      <x:c r="M966" s="12" t="n">
        <x:v>0.4637016226496752</x:v>
      </x:c>
      <x:c r="N966" s="11" t="n">
        <x:v>869039</x:v>
      </x:c>
      <x:c r="O966" s="11" t="n">
        <x:v>307748</x:v>
      </x:c>
      <x:c r="P966" s="11" t="n">
        <x:v>1507505</x:v>
      </x:c>
      <x:c r="Q966" s="11" t="n">
        <x:v>32992</x:v>
      </x:c>
      <x:c r="R966" s="11" t="n">
        <x:v>1329931</x:v>
      </x:c>
      <x:c r="S966" s="11" t="n">
        <x:v>127344</x:v>
      </x:c>
      <x:c r="T966" s="11" t="n">
        <x:v>4091274</x:v>
      </x:c>
      <x:c r="U966" s="11" t="n">
        <x:v>309723</x:v>
      </x:c>
      <x:c r="V966" s="11" t="n">
        <x:v>3953536</x:v>
      </x:c>
      <x:c r="W966" s="11" t="n">
        <x:v>1066468</x:v>
      </x:c>
      <x:c r="X966" s="11" t="n">
        <x:v>0</x:v>
      </x:c>
      <x:c r="Y966" s="11" t="n">
        <x:v>0</x:v>
      </x:c>
      <x:c r="Z966" s="11" t="n">
        <x:v>0</x:v>
      </x:c>
      <x:c r="AA966" s="11" t="n">
        <x:v>0</x:v>
      </x:c>
      <x:c r="AB966" s="11" t="n">
        <x:v>0</x:v>
      </x:c>
      <x:c r="AC966" s="11" t="n">
        <x:v>0</x:v>
      </x:c>
      <x:c r="AD966" s="11" t="n">
        <x:v>374564</x:v>
      </x:c>
      <x:c r="AE966" s="11" t="n">
        <x:v>374564</x:v>
      </x:c>
      <x:c r="AF966" s="11" t="n">
        <x:v>1498254</x:v>
      </x:c>
      <x:c r="AG966" s="11" t="n">
        <x:v>8375575</x:v>
      </x:c>
      <x:c r="AH966" s="11" t="n">
        <x:v>3358082</x:v>
      </x:c>
      <x:c r="AI966" s="11" t="n">
        <x:v>5017493</x:v>
      </x:c>
      <x:c r="AJ966" s="11" t="n">
        <x:v>1924568</x:v>
      </x:c>
      <x:c r="AK966" s="11" t="n">
        <x:v>2392749</x:v>
      </x:c>
      <x:c r="AL966" s="11" t="n">
        <x:v>0</x:v>
      </x:c>
      <x:c r="AM966" s="12" t="n">
        <x:v>1</x:v>
      </x:c>
      <x:c r="AN966" s="12" t="n">
        <x:v>0.8043334256957165</x:v>
      </x:c>
      <x:c r="AO966" s="11" t="n">
        <x:v>2143914</x:v>
      </x:c>
      <x:c r="AP966" s="11" t="n">
        <x:v>2029203</x:v>
      </x:c>
      <x:c r="AQ966" s="12" t="n">
        <x:v>0.9464945888687699</x:v>
      </x:c>
      <x:c r="AR966" s="11" t="n">
        <x:v>3722.3068493150686</x:v>
      </x:c>
      <x:c r="AS966" s="11" t="n">
        <x:v>1996.2671232876712</x:v>
      </x:c>
      <x:c r="AT966" s="11" t="n">
        <x:v>5415.8027397260275</x:v>
      </x:c>
      <x:c r="AU966" s="11" t="n">
        <x:v>1460.9150684931508</x:v>
      </x:c>
      <x:c r="AV966" s="11" t="n">
        <x:v>0</x:v>
      </x:c>
      <x:c r="AW966" s="11" t="n">
        <x:v>13.209461357406457</x:v>
      </x:c>
      <x:c r="AX966" s="12" t="n">
        <x:v>1</x:v>
      </x:c>
      <x:c r="AY966" s="11"/>
      <x:c r="AZ966" s="11"/>
      <x:c r="BA966" s="11"/>
      <x:c r="BB966" s="11"/>
      <x:c r="BC966" s="11"/>
      <x:c r="BD966" s="11"/>
      <x:c r="BE966" s="11"/>
      <x:c r="BF966" s="11"/>
      <x:c r="BG966" s="11"/>
      <x:c r="BH966" s="11"/>
      <x:c r="BI966" s="11"/>
      <x:c r="BJ966" s="11"/>
      <x:c r="BK966" s="12"/>
      <x:c r="BL966" s="12"/>
      <x:c r="BM966" s="12"/>
      <x:c r="BN966" s="12"/>
      <x:c r="BO966" s="12"/>
      <x:c r="BP966" s="12"/>
      <x:c r="BQ966" s="12"/>
      <x:c r="BR966" s="12"/>
      <x:c r="BS966" s="12"/>
      <x:c r="BT966" s="12"/>
      <x:c r="BU966" s="11" t="n">
        <x:v>0</x:v>
      </x:c>
      <x:c r="BV966" s="11" t="n">
        <x:v>1334902</x:v>
      </x:c>
      <x:c r="BW966" s="11" t="n">
        <x:v>172603</x:v>
      </x:c>
      <x:c r="BX966" s="11" t="n">
        <x:v>32992</x:v>
      </x:c>
      <x:c r="BY966" s="11" t="n">
        <x:v>0</x:v>
      </x:c>
      <x:c r="BZ966" s="11" t="n">
        <x:v>0</x:v>
      </x:c>
      <x:c r="CA966" s="11" t="n">
        <x:v>0</x:v>
      </x:c>
      <x:c r="CB966" s="11" t="n">
        <x:v>0</x:v>
      </x:c>
      <x:c r="CC966" s="11" t="n">
        <x:v>729645</x:v>
      </x:c>
      <x:c r="CD966" s="11" t="n">
        <x:v>0</x:v>
      </x:c>
      <x:c r="CE966" s="11" t="n">
        <x:v>153641</x:v>
      </x:c>
      <x:c r="CF966" s="11" t="n">
        <x:v>0</x:v>
      </x:c>
      <x:c r="CG966" s="11" t="n">
        <x:v>0</x:v>
      </x:c>
      <x:c r="CH966" s="11" t="n">
        <x:v>176813</x:v>
      </x:c>
      <x:c r="CI966" s="11" t="n">
        <x:v>0</x:v>
      </x:c>
      <x:c r="CJ966" s="11" t="n">
        <x:v>0</x:v>
      </x:c>
      <x:c r="CK966" s="11" t="n">
        <x:v>245054</x:v>
      </x:c>
      <x:c r="CL966" s="11" t="n">
        <x:v>0</x:v>
      </x:c>
      <x:c r="CM966" s="11"/>
      <x:c r="CN966" s="11" t="n">
        <x:v>24778</x:v>
      </x:c>
      <x:c r="CO966" s="11" t="n">
        <x:v>0</x:v>
      </x:c>
      <x:c r="CP966" s="8"/>
      <x:c r="CQ966" s="8"/>
    </x:row>
    <x:row r="967">
      <x:c r="A967" s="8" t="str">
        <x:v>shíshálh Nation Government District|2022</x:v>
      </x:c>
      <x:c r="B967" s="8" t="str">
        <x:v>shishalh-nation-government-district-d</x:v>
      </x:c>
      <x:c r="C967" s="8" t="str">
        <x:v>shíshálh Nation Government District</x:v>
      </x:c>
      <x:c r="D967" s="8" t="str">
        <x:v>shíshálh Nation Government District</x:v>
      </x:c>
      <x:c r="E967" s="8" t="str">
        <x:v>D</x:v>
      </x:c>
      <x:c r="F967" s="8" t="str">
        <x:v>SUN</x:v>
      </x:c>
      <x:c r="G967" s="9" t="n">
        <x:v>2022</x:v>
      </x:c>
      <x:c r="H967" s="10" t="n">
        <x:v>769</x:v>
      </x:c>
      <x:c r="I967" s="8" t="str">
        <x:v>Under 5,000</x:v>
      </x:c>
      <x:c r="J967" s="11" t="n">
        <x:v>2968895</x:v>
      </x:c>
      <x:c r="K967" s="11" t="n">
        <x:v>1595012</x:v>
      </x:c>
      <x:c r="L967" s="11" t="n">
        <x:v>1373883</x:v>
      </x:c>
      <x:c r="M967" s="12" t="n">
        <x:v>0.462759039979521</x:v>
      </x:c>
      <x:c r="N967" s="11" t="n">
        <x:v>917515</x:v>
      </x:c>
      <x:c r="O967" s="11" t="n">
        <x:v>425462</x:v>
      </x:c>
      <x:c r="P967" s="11" t="n">
        <x:v>598163</x:v>
      </x:c>
      <x:c r="Q967" s="11" t="n">
        <x:v>1027755</x:v>
      </x:c>
      <x:c r="R967" s="11" t="n">
        <x:v>1456245</x:v>
      </x:c>
      <x:c r="S967" s="11" t="n">
        <x:v>138767</x:v>
      </x:c>
      <x:c r="T967" s="11" t="n">
        <x:v>4317206</x:v>
      </x:c>
      <x:c r="U967" s="11" t="n">
        <x:v>1836072</x:v>
      </x:c>
      <x:c r="V967" s="11" t="n">
        <x:v>2856993</x:v>
      </x:c>
      <x:c r="W967" s="11" t="n">
        <x:v>2300099</x:v>
      </x:c>
      <x:c r="X967" s="11" t="n">
        <x:v>0</x:v>
      </x:c>
      <x:c r="Y967" s="11" t="n">
        <x:v>635872</x:v>
      </x:c>
      <x:c r="Z967" s="11" t="n">
        <x:v>0</x:v>
      </x:c>
      <x:c r="AA967" s="11" t="n">
        <x:v>635872</x:v>
      </x:c>
      <x:c r="AB967" s="11" t="n">
        <x:v>0</x:v>
      </x:c>
      <x:c r="AC967" s="11" t="n">
        <x:v>0</x:v>
      </x:c>
      <x:c r="AD967" s="11" t="n">
        <x:v>460620</x:v>
      </x:c>
      <x:c r="AE967" s="11" t="n">
        <x:v>460620</x:v>
      </x:c>
      <x:c r="AF967" s="11" t="n">
        <x:v>1842478</x:v>
      </x:c>
      <x:c r="AG967" s="11" t="n">
        <x:v>10885554</x:v>
      </x:c>
      <x:c r="AH967" s="11" t="n">
        <x:v>3414831</x:v>
      </x:c>
      <x:c r="AI967" s="11" t="n">
        <x:v>7470723</x:v>
      </x:c>
      <x:c r="AJ967" s="11" t="n">
        <x:v>2776963</x:v>
      </x:c>
      <x:c r="AK967" s="11" t="n">
        <x:v>5118908</x:v>
      </x:c>
      <x:c r="AL967" s="11" t="n">
        <x:v>0</x:v>
      </x:c>
      <x:c r="AM967" s="12" t="n">
        <x:v>1</x:v>
      </x:c>
      <x:c r="AN967" s="12" t="n">
        <x:v>0.5424912891577657</x:v>
      </x:c>
      <x:c r="AO967" s="11" t="n">
        <x:v>2224912</x:v>
      </x:c>
      <x:c r="AP967" s="11" t="n">
        <x:v>1964292</x:v>
      </x:c>
      <x:c r="AQ967" s="12" t="n">
        <x:v>0.8828627828875929</x:v>
      </x:c>
      <x:c r="AR967" s="11" t="n">
        <x:v>3860.7217165149546</x:v>
      </x:c>
      <x:c r="AS967" s="11" t="n">
        <x:v>2074.1378413524058</x:v>
      </x:c>
      <x:c r="AT967" s="11" t="n">
        <x:v>3715.2054616384917</x:v>
      </x:c>
      <x:c r="AU967" s="11" t="n">
        <x:v>2991.0260078023407</x:v>
      </x:c>
      <x:c r="AV967" s="11" t="n">
        <x:v>826.8816644993498</x:v>
      </x:c>
      <x:c r="AW967" s="11" t="n">
        <x:v>2.351327181069152</x:v>
      </x:c>
      <x:c r="AX967" s="12" t="n">
        <x:v>1</x:v>
      </x:c>
      <x:c r="AY967" s="11"/>
      <x:c r="AZ967" s="11"/>
      <x:c r="BA967" s="11"/>
      <x:c r="BB967" s="11"/>
      <x:c r="BC967" s="11"/>
      <x:c r="BD967" s="11"/>
      <x:c r="BE967" s="11"/>
      <x:c r="BF967" s="11"/>
      <x:c r="BG967" s="11"/>
      <x:c r="BH967" s="11"/>
      <x:c r="BI967" s="11"/>
      <x:c r="BJ967" s="11"/>
      <x:c r="BK967" s="12"/>
      <x:c r="BL967" s="12"/>
      <x:c r="BM967" s="12"/>
      <x:c r="BN967" s="12"/>
      <x:c r="BO967" s="12"/>
      <x:c r="BP967" s="12"/>
      <x:c r="BQ967" s="12"/>
      <x:c r="BR967" s="12"/>
      <x:c r="BS967" s="12"/>
      <x:c r="BT967" s="12"/>
      <x:c r="BU967" s="11" t="n">
        <x:v>0</x:v>
      </x:c>
      <x:c r="BV967" s="11" t="n">
        <x:v>509827</x:v>
      </x:c>
      <x:c r="BW967" s="11" t="n">
        <x:v>88336</x:v>
      </x:c>
      <x:c r="BX967" s="11" t="n">
        <x:v>111152</x:v>
      </x:c>
      <x:c r="BY967" s="11" t="n">
        <x:v>0</x:v>
      </x:c>
      <x:c r="BZ967" s="11" t="n">
        <x:v>916603</x:v>
      </x:c>
      <x:c r="CA967" s="11" t="n">
        <x:v>0</x:v>
      </x:c>
      <x:c r="CB967" s="11" t="n">
        <x:v>0</x:v>
      </x:c>
      <x:c r="CC967" s="11" t="n">
        <x:v>475632</x:v>
      </x:c>
      <x:c r="CD967" s="11" t="n">
        <x:v>0</x:v>
      </x:c>
      <x:c r="CE967" s="11" t="n">
        <x:v>212054</x:v>
      </x:c>
      <x:c r="CF967" s="11" t="n">
        <x:v>0</x:v>
      </x:c>
      <x:c r="CG967" s="11" t="n">
        <x:v>0</x:v>
      </x:c>
      <x:c r="CH967" s="11" t="n">
        <x:v>143394</x:v>
      </x:c>
      <x:c r="CI967" s="11" t="n">
        <x:v>0</x:v>
      </x:c>
      <x:c r="CJ967" s="11" t="n">
        <x:v>0</x:v>
      </x:c>
      <x:c r="CK967" s="11" t="n">
        <x:v>440198</x:v>
      </x:c>
      <x:c r="CL967" s="11" t="n">
        <x:v>0</x:v>
      </x:c>
      <x:c r="CM967" s="11"/>
      <x:c r="CN967" s="11" t="n">
        <x:v>184967</x:v>
      </x:c>
      <x:c r="CO967" s="11" t="n">
        <x:v>0</x:v>
      </x:c>
      <x:c r="CP967" s="8"/>
      <x:c r="CQ967" s="8"/>
    </x:row>
    <x:row r="968">
      <x:c r="A968" s="8" t="str">
        <x:v>shíshálh Nation Government District|2023</x:v>
      </x:c>
      <x:c r="B968" s="8" t="str">
        <x:v>shishalh-nation-government-district-d</x:v>
      </x:c>
      <x:c r="C968" s="8" t="str">
        <x:v>shíshálh Nation Government District</x:v>
      </x:c>
      <x:c r="D968" s="8" t="str">
        <x:v>shíshálh Nation Government District</x:v>
      </x:c>
      <x:c r="E968" s="8" t="str">
        <x:v>D</x:v>
      </x:c>
      <x:c r="F968" s="8" t="str">
        <x:v>SUN</x:v>
      </x:c>
      <x:c r="G968" s="9" t="n">
        <x:v>2023</x:v>
      </x:c>
      <x:c r="H968" s="10" t="n">
        <x:v>792</x:v>
      </x:c>
      <x:c r="I968" s="8" t="str">
        <x:v>Under 5,000</x:v>
      </x:c>
      <x:c r="J968" s="11" t="n">
        <x:v>3213183</x:v>
      </x:c>
      <x:c r="K968" s="11" t="n">
        <x:v>1639068</x:v>
      </x:c>
      <x:c r="L968" s="11" t="n">
        <x:v>1574115</x:v>
      </x:c>
      <x:c r="M968" s="12" t="n">
        <x:v>0.4898927325334411</x:v>
      </x:c>
      <x:c r="N968" s="11" t="n">
        <x:v>939299</x:v>
      </x:c>
      <x:c r="O968" s="11" t="n">
        <x:v>640460</x:v>
      </x:c>
      <x:c r="P968" s="11" t="n">
        <x:v>1308872</x:v>
      </x:c>
      <x:c r="Q968" s="11" t="n">
        <x:v>324552</x:v>
      </x:c>
      <x:c r="R968" s="11" t="n">
        <x:v>1450658</x:v>
      </x:c>
      <x:c r="S968" s="11" t="n">
        <x:v>188410</x:v>
      </x:c>
      <x:c r="T968" s="11" t="n">
        <x:v>2687876</x:v>
      </x:c>
      <x:c r="U968" s="11" t="n">
        <x:v>2078629</x:v>
      </x:c>
      <x:c r="V968" s="11" t="n">
        <x:v>1154648</x:v>
      </x:c>
      <x:c r="W968" s="11" t="n">
        <x:v>1017477</x:v>
      </x:c>
      <x:c r="X968" s="11" t="n">
        <x:v>635872</x:v>
      </x:c>
      <x:c r="Y968" s="11" t="n">
        <x:v>0</x:v>
      </x:c>
      <x:c r="Z968" s="11" t="n">
        <x:v>0</x:v>
      </x:c>
      <x:c r="AA968" s="11" t="n">
        <x:v>642254</x:v>
      </x:c>
      <x:c r="AB968" s="11" t="n">
        <x:v>0</x:v>
      </x:c>
      <x:c r="AC968" s="11" t="n">
        <x:v>-6382</x:v>
      </x:c>
      <x:c r="AD968" s="11" t="n">
        <x:v>506068</x:v>
      </x:c>
      <x:c r="AE968" s="11" t="n">
        <x:v>512450</x:v>
      </x:c>
      <x:c r="AF968" s="11" t="n">
        <x:v>2024273</x:v>
      </x:c>
      <x:c r="AG968" s="11" t="n">
        <x:v>14325050</x:v>
      </x:c>
      <x:c r="AH968" s="11" t="n">
        <x:v>3613215</x:v>
      </x:c>
      <x:c r="AI968" s="11" t="n">
        <x:v>10711835</x:v>
      </x:c>
      <x:c r="AJ968" s="11" t="n">
        <x:v>3490450</x:v>
      </x:c>
      <x:c r="AK968" s="11" t="n">
        <x:v>2448062</x:v>
      </x:c>
      <x:c r="AL968" s="11" t="n">
        <x:v>0</x:v>
      </x:c>
      <x:c r="AM968" s="12" t="n">
        <x:v>1</x:v>
      </x:c>
      <x:c r="AN968" s="12" t="n">
        <x:v>1.425801307319831</x:v>
      </x:c>
      <x:c r="AO968" s="11" t="n">
        <x:v>2542531</x:v>
      </x:c>
      <x:c r="AP968" s="11" t="n">
        <x:v>2223915</x:v>
      </x:c>
      <x:c r="AQ968" s="12" t="n">
        <x:v>0.8746855003931122</x:v>
      </x:c>
      <x:c r="AR968" s="11" t="n">
        <x:v>4057.0492424242425</x:v>
      </x:c>
      <x:c r="AS968" s="11" t="n">
        <x:v>2069.530303030303</x:v>
      </x:c>
      <x:c r="AT968" s="11" t="n">
        <x:v>1457.888888888889</x:v>
      </x:c>
      <x:c r="AU968" s="11" t="n">
        <x:v>1284.6931818181818</x:v>
      </x:c>
      <x:c r="AV968" s="11" t="n">
        <x:v>810.9267676767677</x:v>
      </x:c>
      <x:c r="AW968" s="11" t="n">
        <x:v>1.293100404160627</x:v>
      </x:c>
      <x:c r="AX968" s="12" t="n">
        <x:v>1.0126109534687038</x:v>
      </x:c>
      <x:c r="AY968" s="11"/>
      <x:c r="AZ968" s="11"/>
      <x:c r="BA968" s="11"/>
      <x:c r="BB968" s="11"/>
      <x:c r="BC968" s="11"/>
      <x:c r="BD968" s="11"/>
      <x:c r="BE968" s="11"/>
      <x:c r="BF968" s="11"/>
      <x:c r="BG968" s="11"/>
      <x:c r="BH968" s="11"/>
      <x:c r="BI968" s="11"/>
      <x:c r="BJ968" s="11"/>
      <x:c r="BK968" s="12"/>
      <x:c r="BL968" s="12"/>
      <x:c r="BM968" s="12"/>
      <x:c r="BN968" s="12"/>
      <x:c r="BO968" s="12"/>
      <x:c r="BP968" s="12"/>
      <x:c r="BQ968" s="12"/>
      <x:c r="BR968" s="12"/>
      <x:c r="BS968" s="12"/>
      <x:c r="BT968" s="12"/>
      <x:c r="BU968" s="11" t="n">
        <x:v>0</x:v>
      </x:c>
      <x:c r="BV968" s="11" t="n">
        <x:v>1114082</x:v>
      </x:c>
      <x:c r="BW968" s="11" t="n">
        <x:v>194790</x:v>
      </x:c>
      <x:c r="BX968" s="11" t="n">
        <x:v>158514</x:v>
      </x:c>
      <x:c r="BY968" s="11" t="n">
        <x:v>0</x:v>
      </x:c>
      <x:c r="BZ968" s="11" t="n">
        <x:v>166038</x:v>
      </x:c>
      <x:c r="CA968" s="11" t="n">
        <x:v>0</x:v>
      </x:c>
      <x:c r="CB968" s="11" t="n">
        <x:v>0</x:v>
      </x:c>
      <x:c r="CC968" s="11" t="n">
        <x:v>581657</x:v>
      </x:c>
      <x:c r="CD968" s="11" t="n">
        <x:v>0</x:v>
      </x:c>
      <x:c r="CE968" s="11" t="n">
        <x:v>196954</x:v>
      </x:c>
      <x:c r="CF968" s="11" t="n">
        <x:v>0</x:v>
      </x:c>
      <x:c r="CG968" s="11" t="n">
        <x:v>0</x:v>
      </x:c>
      <x:c r="CH968" s="11" t="n">
        <x:v>55018</x:v>
      </x:c>
      <x:c r="CI968" s="11" t="n">
        <x:v>0</x:v>
      </x:c>
      <x:c r="CJ968" s="11" t="n">
        <x:v>0</x:v>
      </x:c>
      <x:c r="CK968" s="11" t="n">
        <x:v>556101</x:v>
      </x:c>
      <x:c r="CL968" s="11" t="n">
        <x:v>0</x:v>
      </x:c>
      <x:c r="CM968" s="11" t="n">
        <x:v>0</x:v>
      </x:c>
      <x:c r="CN968" s="11" t="n">
        <x:v>60928</x:v>
      </x:c>
      <x:c r="CO968" s="11" t="n">
        <x:v>0</x:v>
      </x:c>
      <x:c r="CP968" s="8"/>
      <x:c r="CQ968" s="8"/>
    </x:row>
    <x:row r="969">
      <x:c r="A969" s="8" t="str">
        <x:v>shíshálh Nation Government District|2024</x:v>
      </x:c>
      <x:c r="B969" s="8" t="str">
        <x:v>shishalh-nation-government-district-d</x:v>
      </x:c>
      <x:c r="C969" s="8" t="str">
        <x:v>shíshálh Nation Government District</x:v>
      </x:c>
      <x:c r="D969" s="8" t="str">
        <x:v>shíshálh Nation Government District</x:v>
      </x:c>
      <x:c r="E969" s="8" t="str">
        <x:v>D</x:v>
      </x:c>
      <x:c r="F969" s="8" t="str">
        <x:v>SUN</x:v>
      </x:c>
      <x:c r="G969" s="9" t="n">
        <x:v>2024</x:v>
      </x:c>
      <x:c r="H969" s="10" t="n">
        <x:v>792</x:v>
      </x:c>
      <x:c r="I969" s="8" t="str">
        <x:v>Under 5,000</x:v>
      </x:c>
      <x:c r="J969" s="11" t="n">
        <x:v>2484432</x:v>
      </x:c>
      <x:c r="K969" s="11" t="n">
        <x:v>1748455</x:v>
      </x:c>
      <x:c r="L969" s="11" t="n">
        <x:v>735977</x:v>
      </x:c>
      <x:c r="M969" s="12" t="n">
        <x:v>0.2962355178165472</x:v>
      </x:c>
      <x:c r="N969" s="11" t="n">
        <x:v>1032979</x:v>
      </x:c>
      <x:c r="O969" s="11" t="n">
        <x:v>689871</x:v>
      </x:c>
      <x:c r="P969" s="11" t="n">
        <x:v>547638</x:v>
      </x:c>
      <x:c r="Q969" s="11" t="n">
        <x:v>213944</x:v>
      </x:c>
      <x:c r="R969" s="11" t="n">
        <x:v>1441470</x:v>
      </x:c>
      <x:c r="S969" s="11" t="n">
        <x:v>275539</x:v>
      </x:c>
      <x:c r="T969" s="11" t="n">
        <x:v>5406917</x:v>
      </x:c>
      <x:c r="U969" s="11" t="n">
        <x:v>4653291</x:v>
      </x:c>
      <x:c r="V969" s="11" t="n">
        <x:v>1338800</x:v>
      </x:c>
      <x:c r="W969" s="11" t="n">
        <x:v>5302114</x:v>
      </x:c>
      <x:c r="X969" s="11" t="n">
        <x:v>642254</x:v>
      </x:c>
      <x:c r="Y969" s="11" t="n">
        <x:v>3411871</x:v>
      </x:c>
      <x:c r="Z969" s="11" t="n">
        <x:v>0</x:v>
      </x:c>
      <x:c r="AA969" s="11" t="n">
        <x:v>4054125</x:v>
      </x:c>
      <x:c r="AB969" s="11" t="n">
        <x:v>31446</x:v>
      </x:c>
      <x:c r="AC969" s="11" t="n">
        <x:v>31446</x:v>
      </x:c>
      <x:c r="AD969" s="11" t="n">
        <x:v>563524</x:v>
      </x:c>
      <x:c r="AE969" s="11" t="n">
        <x:v>318369</x:v>
      </x:c>
      <x:c r="AF969" s="11" t="n">
        <x:v>2254094</x:v>
      </x:c>
      <x:c r="AG969" s="11" t="n">
        <x:v>15100241</x:v>
      </x:c>
      <x:c r="AH969" s="11" t="n">
        <x:v>3888752</x:v>
      </x:c>
      <x:c r="AI969" s="11" t="n">
        <x:v>11211489</x:v>
      </x:c>
      <x:c r="AJ969" s="11" t="n">
        <x:v>775194</x:v>
      </x:c>
      <x:c r="AK969" s="11" t="n">
        <x:v>10356944</x:v>
      </x:c>
      <x:c r="AL969" s="11" t="n">
        <x:v>174500</x:v>
      </x:c>
      <x:c r="AM969" s="12" t="n">
        <x:v>0.9831514006448234</x:v>
      </x:c>
      <x:c r="AN969" s="12" t="n">
        <x:v>0.07484775431826222</x:v>
      </x:c>
      <x:c r="AO969" s="11" t="n">
        <x:v>2943576</x:v>
      </x:c>
      <x:c r="AP969" s="11" t="n">
        <x:v>2614845</x:v>
      </x:c>
      <x:c r="AQ969" s="12" t="n">
        <x:v>0.8883225709137458</x:v>
      </x:c>
      <x:c r="AR969" s="11" t="n">
        <x:v>3136.909090909091</x:v>
      </x:c>
      <x:c r="AS969" s="11" t="n">
        <x:v>2207.645202020202</x:v>
      </x:c>
      <x:c r="AT969" s="11" t="n">
        <x:v>1690.4040404040404</x:v>
      </x:c>
      <x:c r="AU969" s="11" t="n">
        <x:v>6694.588383838384</x:v>
      </x:c>
      <x:c r="AV969" s="11" t="n">
        <x:v>5118.844696969697</x:v>
      </x:c>
      <x:c r="AW969" s="11" t="n">
        <x:v>1.1619554848385798</x:v>
      </x:c>
      <x:c r="AX969" s="12" t="n">
        <x:v>0.5649608534862757</x:v>
      </x:c>
      <x:c r="AY969" s="11" t="n">
        <x:v>4486.511144130758</x:v>
      </x:c>
      <x:c r="AZ969" s="11" t="n">
        <x:v>3546.5079302077975</x:v>
      </x:c>
      <x:c r="BA969" s="11" t="n">
        <x:v>3557.844717668488</x:v>
      </x:c>
      <x:c r="BB969" s="11" t="n">
        <x:v>2783.665107049771</x:v>
      </x:c>
      <x:c r="BC969" s="11" t="n">
        <x:v>5496.677373974208</x:v>
      </x:c>
      <x:c r="BD969" s="11" t="n">
        <x:v>2437.8724475115623</x:v>
      </x:c>
      <x:c r="BE969" s="11" t="n">
        <x:v>3386.4506393861893</x:v>
      </x:c>
      <x:c r="BF969" s="11" t="n">
        <x:v>1604.3462673977224</x:v>
      </x:c>
      <x:c r="BG969" s="11" t="n">
        <x:v>624.7436119532265</x:v>
      </x:c>
      <x:c r="BH969" s="11" t="n">
        <x:v>518.5374381567245</x:v>
      </x:c>
      <x:c r="BI969" s="11" t="n">
        <x:v>3.324657351485151</x:v>
      </x:c>
      <x:c r="BJ969" s="11" t="n">
        <x:v>1.7099330852451193</x:v>
      </x:c>
      <x:c r="BK969" s="12" t="n">
        <x:v>0.02521828600111612</x:v>
      </x:c>
      <x:c r="BL969" s="12" t="n">
        <x:v>0.02529861000232605</x:v>
      </x:c>
      <x:c r="BM969" s="12" t="n">
        <x:v>0.9816336034641139</x:v>
      </x:c>
      <x:c r="BN969" s="12" t="n">
        <x:v>0.9815511712696461</x:v>
      </x:c>
      <x:c r="BO969" s="12" t="n">
        <x:v>0.8531878894527055</x:v>
      </x:c>
      <x:c r="BP969" s="12" t="n">
        <x:v>0.8619101997275483</x:v>
      </x:c>
      <x:c r="BQ969" s="12" t="n">
        <x:v>0.9614729661922712</x:v>
      </x:c>
      <x:c r="BR969" s="12" t="n">
        <x:v>0.9623635142836453</x:v>
      </x:c>
      <x:c r="BS969" s="12" t="n">
        <x:v>0.23352896680225554</x:v>
      </x:c>
      <x:c r="BT969" s="12" t="n">
        <x:v>0.19976549769108282</x:v>
      </x:c>
      <x:c r="BU969" s="11" t="n">
        <x:v>98245</x:v>
      </x:c>
      <x:c r="BV969" s="11" t="n">
        <x:v>449393</x:v>
      </x:c>
      <x:c r="BW969" s="11" t="n">
        <x:v>0</x:v>
      </x:c>
      <x:c r="BX969" s="11" t="n">
        <x:v>213944</x:v>
      </x:c>
      <x:c r="BY969" s="11" t="n">
        <x:v>0</x:v>
      </x:c>
      <x:c r="BZ969" s="11" t="n">
        <x:v>0</x:v>
      </x:c>
      <x:c r="CA969" s="11" t="n">
        <x:v>0</x:v>
      </x:c>
      <x:c r="CB969" s="11" t="n">
        <x:v>0</x:v>
      </x:c>
      <x:c r="CC969" s="11" t="n">
        <x:v>336034</x:v>
      </x:c>
      <x:c r="CD969" s="11" t="n">
        <x:v>0</x:v>
      </x:c>
      <x:c r="CE969" s="11" t="n">
        <x:v>214842</x:v>
      </x:c>
      <x:c r="CF969" s="11" t="n">
        <x:v>0</x:v>
      </x:c>
      <x:c r="CG969" s="11" t="n">
        <x:v>0</x:v>
      </x:c>
      <x:c r="CH969" s="11" t="n">
        <x:v>222163</x:v>
      </x:c>
      <x:c r="CI969" s="11" t="n">
        <x:v>0</x:v>
      </x:c>
      <x:c r="CJ969" s="11" t="n">
        <x:v>0</x:v>
      </x:c>
      <x:c r="CK969" s="11" t="n">
        <x:v>699877</x:v>
      </x:c>
      <x:c r="CL969" s="11" t="n">
        <x:v>0</x:v>
      </x:c>
      <x:c r="CM969" s="11" t="n">
        <x:v>0</x:v>
      </x:c>
      <x:c r="CN969" s="11" t="n">
        <x:v>0</x:v>
      </x:c>
      <x:c r="CO969" s="11" t="n">
        <x:v>0</x:v>
      </x:c>
      <x:c r="CP969" s="8"/>
      <x:c r="CQ969" s="8"/>
    </x:row>
  </x:sheetData>
  <x:pageMargins left="0.7" right="0.7" top="0.75" bottom="0.75" header="0.3" footer="0.3"/>
  <x:tableParts count="1">
    <x:tablePart xmlns:r="http://schemas.openxmlformats.org/officeDocument/2006/relationships" r:id="R2f853221fbbb413d"/>
  </x:tableParts>
</x:worksheet>
</file>

<file path=xl/worksheets/sheet7.xml><?xml version="1.0" encoding="utf-8"?>
<x:worksheet xmlns:x="http://schemas.openxmlformats.org/spreadsheetml/2006/main">
  <x:sheetPr>
    <x:tabColor rgb="FF8798AA"/>
  </x:sheetPr>
  <x:sheetViews>
    <x:sheetView workbookViewId="0">
      <x:pane xSplit="3" ySplit="1" topLeftCell="D2" activePane="bottomRight" state="frozen"/>
    </x:sheetView>
  </x:sheetViews>
  <x:sheetFormatPr defaultRowHeight="15"/>
  <x:cols>
    <x:col min="1" max="1" width="42" hidden="0" customWidth="1"/>
    <x:col min="2" max="2" width="26" hidden="0" customWidth="1"/>
    <x:col min="3" max="3" width="26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7" t="str">
        <x:v>Selection asset key</x:v>
      </x:c>
      <x:c r="B1" s="7" t="str">
        <x:v>Municipality ID</x:v>
      </x:c>
      <x:c r="C1" s="7" t="str">
        <x:v>Municipality</x:v>
      </x:c>
      <x:c r="D1" s="7" t="str">
        <x:v>Asset category</x:v>
      </x:c>
      <x:c r="E1" s="7" t="str">
        <x:v>Historical cost</x:v>
      </x:c>
      <x:c r="F1" s="7" t="str">
        <x:v>Accumulated amortization</x:v>
      </x:c>
      <x:c r="G1" s="7" t="str">
        <x:v>Net book value</x:v>
      </x:c>
      <x:c r="H1" s="7" t="str">
        <x:v>2024 additions</x:v>
      </x:c>
      <x:c r="I1" s="7" t="str">
        <x:v>Current replacement value</x:v>
      </x:c>
      <x:c r="J1" s="7" t="str">
        <x:v>Replacement-value amortization</x:v>
      </x:c>
      <x:c r="K1" s="7" t="str">
        <x:v>Net book value ratio</x:v>
      </x:c>
      <x:c r="L1" s="7" t="str">
        <x:v>Asset condition ratio</x:v>
      </x:c>
      <x:c r="M1" s="7" t="str">
        <x:v>Asset management plan</x:v>
      </x:c>
    </x:row>
    <x:row r="2">
      <x:c r="A2" s="8" t="str">
        <x:v>100 Mile House|Land</x:v>
      </x:c>
      <x:c r="B2" s="8" t="str">
        <x:v>100-mile-house-d</x:v>
      </x:c>
      <x:c r="C2" s="8" t="str">
        <x:v>100 Mile House</x:v>
      </x:c>
      <x:c r="D2" s="8" t="str">
        <x:v>Land</x:v>
      </x:c>
      <x:c r="E2" s="11" t="n">
        <x:v>2172862</x:v>
      </x:c>
      <x:c r="F2" s="11"/>
      <x:c r="G2" s="11" t="n">
        <x:v>2172862</x:v>
      </x:c>
      <x:c r="H2" s="11" t="n">
        <x:v>58742</x:v>
      </x:c>
      <x:c r="I2" s="11" t="n">
        <x:v>2172862</x:v>
      </x:c>
      <x:c r="J2" s="11"/>
      <x:c r="K2" s="12" t="n">
        <x:v>1</x:v>
      </x:c>
      <x:c r="L2" s="12"/>
      <x:c r="M2" s="8" t="str">
        <x:v>N/A</x:v>
      </x:c>
    </x:row>
    <x:row r="3">
      <x:c r="A3" s="8" t="str">
        <x:v>100 Mile House|Buildings</x:v>
      </x:c>
      <x:c r="B3" s="8" t="str">
        <x:v>100-mile-house-d</x:v>
      </x:c>
      <x:c r="C3" s="8" t="str">
        <x:v>100 Mile House</x:v>
      </x:c>
      <x:c r="D3" s="8" t="str">
        <x:v>Buildings</x:v>
      </x:c>
      <x:c r="E3" s="11" t="n">
        <x:v>4137875</x:v>
      </x:c>
      <x:c r="F3" s="11" t="n">
        <x:v>2548710</x:v>
      </x:c>
      <x:c r="G3" s="11" t="n">
        <x:v>1589165</x:v>
      </x:c>
      <x:c r="H3" s="11" t="n">
        <x:v>24636</x:v>
      </x:c>
      <x:c r="I3" s="11" t="n">
        <x:v>9274849</x:v>
      </x:c>
      <x:c r="J3" s="11" t="n">
        <x:v>397893</x:v>
      </x:c>
      <x:c r="K3" s="12" t="n">
        <x:v>0.384053409056581</x:v>
      </x:c>
      <x:c r="L3" s="12" t="n">
        <x:v>0.9570997867458543</x:v>
      </x:c>
      <x:c r="M3" s="8" t="str">
        <x:v>In_Progress</x:v>
      </x:c>
    </x:row>
    <x:row r="4">
      <x:c r="A4" s="8" t="str">
        <x:v>100 Mile House|Fleet</x:v>
      </x:c>
      <x:c r="B4" s="8" t="str">
        <x:v>100-mile-house-d</x:v>
      </x:c>
      <x:c r="C4" s="8" t="str">
        <x:v>100 Mile House</x:v>
      </x:c>
      <x:c r="D4" s="8" t="str">
        <x:v>Fleet</x:v>
      </x:c>
      <x:c r="E4" s="11" t="n">
        <x:v>7049114</x:v>
      </x:c>
      <x:c r="F4" s="11" t="n">
        <x:v>3374748</x:v>
      </x:c>
      <x:c r="G4" s="11" t="n">
        <x:v>3674366</x:v>
      </x:c>
      <x:c r="H4" s="11" t="n">
        <x:v>1557210</x:v>
      </x:c>
      <x:c r="I4" s="11" t="n">
        <x:v>9151913</x:v>
      </x:c>
      <x:c r="J4" s="11" t="n">
        <x:v>762659</x:v>
      </x:c>
      <x:c r="K4" s="12" t="n">
        <x:v>0.5212521743867385</x:v>
      </x:c>
      <x:c r="L4" s="12" t="n">
        <x:v>0.9166667121944887</x:v>
      </x:c>
      <x:c r="M4" s="8" t="str">
        <x:v>In_Progress</x:v>
      </x:c>
    </x:row>
    <x:row r="5">
      <x:c r="A5" s="8" t="str">
        <x:v>100 Mile House|Parks and Recreation</x:v>
      </x:c>
      <x:c r="B5" s="8" t="str">
        <x:v>100-mile-house-d</x:v>
      </x:c>
      <x:c r="C5" s="8" t="str">
        <x:v>100 Mile House</x:v>
      </x:c>
      <x:c r="D5" s="8" t="str">
        <x:v>Parks and Recreation</x:v>
      </x:c>
      <x:c r="E5" s="11" t="n">
        <x:v>2328033</x:v>
      </x:c>
      <x:c r="F5" s="11" t="n">
        <x:v>1268257</x:v>
      </x:c>
      <x:c r="G5" s="11" t="n">
        <x:v>1059776</x:v>
      </x:c>
      <x:c r="H5" s="11" t="n">
        <x:v>26999</x:v>
      </x:c>
      <x:c r="I5" s="11" t="n">
        <x:v>3323177</x:v>
      </x:c>
      <x:c r="J5" s="11" t="n">
        <x:v>126254</x:v>
      </x:c>
      <x:c r="K5" s="12" t="n">
        <x:v>0.45522378763531274</x:v>
      </x:c>
      <x:c r="L5" s="12" t="n">
        <x:v>0.9620080423040963</x:v>
      </x:c>
      <x:c r="M5" s="8" t="str">
        <x:v>In_Progress</x:v>
      </x:c>
    </x:row>
    <x:row r="6">
      <x:c r="A6" s="8" t="str">
        <x:v>100 Mile House|Water System</x:v>
      </x:c>
      <x:c r="B6" s="8" t="str">
        <x:v>100-mile-house-d</x:v>
      </x:c>
      <x:c r="C6" s="8" t="str">
        <x:v>100 Mile House</x:v>
      </x:c>
      <x:c r="D6" s="8" t="str">
        <x:v>Water System</x:v>
      </x:c>
      <x:c r="E6" s="11" t="n">
        <x:v>17615349</x:v>
      </x:c>
      <x:c r="F6" s="11" t="n">
        <x:v>5994354</x:v>
      </x:c>
      <x:c r="G6" s="11" t="n">
        <x:v>11620995</x:v>
      </x:c>
      <x:c r="H6" s="11" t="n">
        <x:v>3661</x:v>
      </x:c>
      <x:c r="I6" s="11" t="n">
        <x:v>37399402</x:v>
      </x:c>
      <x:c r="J6" s="11" t="n">
        <x:v>760946</x:v>
      </x:c>
      <x:c r="K6" s="12" t="n">
        <x:v>0.6597084735590535</x:v>
      </x:c>
      <x:c r="L6" s="12" t="n">
        <x:v>0.9796535249413881</x:v>
      </x:c>
      <x:c r="M6" s="8" t="str">
        <x:v>In_Progress</x:v>
      </x:c>
    </x:row>
    <x:row r="7">
      <x:c r="A7" s="8" t="str">
        <x:v>100 Mile House|Sewer System</x:v>
      </x:c>
      <x:c r="B7" s="8" t="str">
        <x:v>100-mile-house-d</x:v>
      </x:c>
      <x:c r="C7" s="8" t="str">
        <x:v>100 Mile House</x:v>
      </x:c>
      <x:c r="D7" s="8" t="str">
        <x:v>Sewer System</x:v>
      </x:c>
      <x:c r="E7" s="11" t="n">
        <x:v>8325015</x:v>
      </x:c>
      <x:c r="F7" s="11" t="n">
        <x:v>4679216</x:v>
      </x:c>
      <x:c r="G7" s="11" t="n">
        <x:v>3645799</x:v>
      </x:c>
      <x:c r="H7" s="11" t="n">
        <x:v>0</x:v>
      </x:c>
      <x:c r="I7" s="11" t="n">
        <x:v>25626702</x:v>
      </x:c>
      <x:c r="J7" s="11" t="n">
        <x:v>401524</x:v>
      </x:c>
      <x:c r="K7" s="12" t="n">
        <x:v>0.43793302474530077</x:v>
      </x:c>
      <x:c r="L7" s="12" t="n">
        <x:v>0.9843318114051508</x:v>
      </x:c>
      <x:c r="M7" s="8" t="str">
        <x:v>In_Progress</x:v>
      </x:c>
    </x:row>
    <x:row r="8">
      <x:c r="A8" s="8" t="str">
        <x:v>100 Mile House|Drainage System</x:v>
      </x:c>
      <x:c r="B8" s="8" t="str">
        <x:v>100-mile-house-d</x:v>
      </x:c>
      <x:c r="C8" s="8" t="str">
        <x:v>100 Mile House</x:v>
      </x:c>
      <x:c r="D8" s="8" t="str">
        <x:v>Drainage System</x:v>
      </x:c>
      <x:c r="E8" s="11" t="n">
        <x:v>3791449</x:v>
      </x:c>
      <x:c r="F8" s="11" t="n">
        <x:v>1631622</x:v>
      </x:c>
      <x:c r="G8" s="11" t="n">
        <x:v>2159827</x:v>
      </x:c>
      <x:c r="H8" s="11" t="n">
        <x:v>0</x:v>
      </x:c>
      <x:c r="I8" s="11" t="n">
        <x:v>9327325</x:v>
      </x:c>
      <x:c r="J8" s="11" t="n">
        <x:v>186546</x:v>
      </x:c>
      <x:c r="K8" s="12" t="n">
        <x:v>0.5696574053877554</x:v>
      </x:c>
      <x:c r="L8" s="12" t="n">
        <x:v>0.9800000536059374</x:v>
      </x:c>
      <x:c r="M8" s="8" t="str">
        <x:v>In_Progress</x:v>
      </x:c>
    </x:row>
    <x:row r="9">
      <x:c r="A9" s="8" t="str">
        <x:v>100 Mile House|Transportation System</x:v>
      </x:c>
      <x:c r="B9" s="8" t="str">
        <x:v>100-mile-house-d</x:v>
      </x:c>
      <x:c r="C9" s="8" t="str">
        <x:v>100 Mile House</x:v>
      </x:c>
      <x:c r="D9" s="8" t="str">
        <x:v>Transportation System</x:v>
      </x:c>
      <x:c r="E9" s="11" t="n">
        <x:v>24678882</x:v>
      </x:c>
      <x:c r="F9" s="11" t="n">
        <x:v>11388286</x:v>
      </x:c>
      <x:c r="G9" s="11" t="n">
        <x:v>13290596</x:v>
      </x:c>
      <x:c r="H9" s="11" t="n">
        <x:v>327498</x:v>
      </x:c>
      <x:c r="I9" s="11" t="n">
        <x:v>76837134</x:v>
      </x:c>
      <x:c r="J9" s="11" t="n">
        <x:v>1835880</x:v>
      </x:c>
      <x:c r="K9" s="12" t="n">
        <x:v>0.5385412515850596</x:v>
      </x:c>
      <x:c r="L9" s="12" t="n">
        <x:v>0.9761068652040041</x:v>
      </x:c>
      <x:c r="M9" s="8" t="str">
        <x:v>In_Progress</x:v>
      </x:c>
    </x:row>
    <x:row r="10">
      <x:c r="A10" s="8" t="str">
        <x:v>100 Mile House|Other Engineering Systems</x:v>
      </x:c>
      <x:c r="B10" s="8" t="str">
        <x:v>100-mile-house-d</x:v>
      </x:c>
      <x:c r="C10" s="8" t="str">
        <x:v>100 Mile House</x:v>
      </x:c>
      <x:c r="D10" s="8" t="str">
        <x:v>Other Engineering Systems</x:v>
      </x:c>
      <x:c r="E10" s="11" t="n">
        <x:v>0</x:v>
      </x:c>
      <x:c r="F10" s="11" t="n">
        <x:v>0</x:v>
      </x:c>
      <x:c r="G10" s="11" t="n">
        <x:v>0</x:v>
      </x:c>
      <x:c r="H10" s="11" t="n">
        <x:v>0</x:v>
      </x:c>
      <x:c r="I10" s="11" t="n">
        <x:v>0</x:v>
      </x:c>
      <x:c r="J10" s="11" t="n">
        <x:v>0</x:v>
      </x:c>
      <x:c r="K10" s="12"/>
      <x:c r="L10" s="12"/>
      <x:c r="M10" s="8"/>
    </x:row>
    <x:row r="11">
      <x:c r="A11" s="8" t="str">
        <x:v>100 Mile House|Other Tangible Capital Assets</x:v>
      </x:c>
      <x:c r="B11" s="8" t="str">
        <x:v>100-mile-house-d</x:v>
      </x:c>
      <x:c r="C11" s="8" t="str">
        <x:v>100 Mile House</x:v>
      </x:c>
      <x:c r="D11" s="8" t="str">
        <x:v>Other Tangible Capital Assets</x:v>
      </x:c>
      <x:c r="E11" s="11" t="n">
        <x:v>0</x:v>
      </x:c>
      <x:c r="F11" s="11" t="n">
        <x:v>0</x:v>
      </x:c>
      <x:c r="G11" s="11" t="n">
        <x:v>0</x:v>
      </x:c>
      <x:c r="H11" s="11" t="n">
        <x:v>0</x:v>
      </x:c>
      <x:c r="I11" s="11" t="n">
        <x:v>0</x:v>
      </x:c>
      <x:c r="J11" s="11" t="n">
        <x:v>0</x:v>
      </x:c>
      <x:c r="K11" s="12"/>
      <x:c r="L11" s="12"/>
      <x:c r="M11" s="8" t="str">
        <x:v>N/A</x:v>
      </x:c>
    </x:row>
    <x:row r="12">
      <x:c r="A12" s="8" t="str">
        <x:v>100 Mile House|Work In Progress</x:v>
      </x:c>
      <x:c r="B12" s="8" t="str">
        <x:v>100-mile-house-d</x:v>
      </x:c>
      <x:c r="C12" s="8" t="str">
        <x:v>100 Mile House</x:v>
      </x:c>
      <x:c r="D12" s="8" t="str">
        <x:v>Work In Progress</x:v>
      </x:c>
      <x:c r="E12" s="11" t="n">
        <x:v>3204164</x:v>
      </x:c>
      <x:c r="F12" s="11"/>
      <x:c r="G12" s="11" t="n">
        <x:v>3204164</x:v>
      </x:c>
      <x:c r="H12" s="11" t="n">
        <x:v>1339794</x:v>
      </x:c>
      <x:c r="I12" s="11" t="n">
        <x:v>3204164</x:v>
      </x:c>
      <x:c r="J12" s="11"/>
      <x:c r="K12" s="12" t="n">
        <x:v>1</x:v>
      </x:c>
      <x:c r="L12" s="12"/>
      <x:c r="M12" s="8" t="str">
        <x:v>N/A</x:v>
      </x:c>
    </x:row>
    <x:row r="13">
      <x:c r="A13" s="8" t="str">
        <x:v>100 Mile House|Total TCA</x:v>
      </x:c>
      <x:c r="B13" s="8" t="str">
        <x:v>100-mile-house-d</x:v>
      </x:c>
      <x:c r="C13" s="8" t="str">
        <x:v>100 Mile House</x:v>
      </x:c>
      <x:c r="D13" s="8" t="str">
        <x:v>Total TCA</x:v>
      </x:c>
      <x:c r="E13" s="11" t="n">
        <x:v>73302743</x:v>
      </x:c>
      <x:c r="F13" s="11" t="n">
        <x:v>30885193</x:v>
      </x:c>
      <x:c r="G13" s="11" t="n">
        <x:v>42417550</x:v>
      </x:c>
      <x:c r="H13" s="11" t="n">
        <x:v>3338540</x:v>
      </x:c>
      <x:c r="I13" s="11" t="n">
        <x:v>176317528</x:v>
      </x:c>
      <x:c r="J13" s="11" t="n">
        <x:v>4471702</x:v>
      </x:c>
      <x:c r="K13" s="12" t="n">
        <x:v>0.5786625201733583</x:v>
      </x:c>
      <x:c r="L13" s="12" t="n">
        <x:v>0.974638358133061</x:v>
      </x:c>
      <x:c r="M13" s="8"/>
    </x:row>
    <x:row r="14">
      <x:c r="A14" s="8" t="str">
        <x:v>Abbotsford|Land</x:v>
      </x:c>
      <x:c r="B14" s="8" t="str">
        <x:v>abbotsford-c</x:v>
      </x:c>
      <x:c r="C14" s="8" t="str">
        <x:v>Abbotsford</x:v>
      </x:c>
      <x:c r="D14" s="8" t="str">
        <x:v>Land</x:v>
      </x:c>
      <x:c r="E14" s="11" t="n">
        <x:v>465964000</x:v>
      </x:c>
      <x:c r="F14" s="11"/>
      <x:c r="G14" s="11" t="n">
        <x:v>465964000</x:v>
      </x:c>
      <x:c r="H14" s="11" t="n">
        <x:v>10736000</x:v>
      </x:c>
      <x:c r="I14" s="11" t="n">
        <x:v>465964000</x:v>
      </x:c>
      <x:c r="J14" s="11"/>
      <x:c r="K14" s="12" t="n">
        <x:v>1</x:v>
      </x:c>
      <x:c r="L14" s="12"/>
      <x:c r="M14" s="8" t="str">
        <x:v>N/A</x:v>
      </x:c>
    </x:row>
    <x:row r="15">
      <x:c r="A15" s="8" t="str">
        <x:v>Abbotsford|Buildings</x:v>
      </x:c>
      <x:c r="B15" s="8" t="str">
        <x:v>abbotsford-c</x:v>
      </x:c>
      <x:c r="C15" s="8" t="str">
        <x:v>Abbotsford</x:v>
      </x:c>
      <x:c r="D15" s="8" t="str">
        <x:v>Buildings</x:v>
      </x:c>
      <x:c r="E15" s="11" t="n">
        <x:v>266804000</x:v>
      </x:c>
      <x:c r="F15" s="11" t="n">
        <x:v>145363000</x:v>
      </x:c>
      <x:c r="G15" s="11" t="n">
        <x:v>121441000</x:v>
      </x:c>
      <x:c r="H15" s="11" t="n">
        <x:v>1800000</x:v>
      </x:c>
      <x:c r="I15" s="11" t="n">
        <x:v>429945000</x:v>
      </x:c>
      <x:c r="J15" s="11" t="n">
        <x:v>3968000</x:v>
      </x:c>
      <x:c r="K15" s="12" t="n">
        <x:v>0.45516933779103763</x:v>
      </x:c>
      <x:c r="L15" s="12" t="n">
        <x:v>0.9907709125585831</x:v>
      </x:c>
      <x:c r="M15" s="8" t="str">
        <x:v>No</x:v>
      </x:c>
    </x:row>
    <x:row r="16">
      <x:c r="A16" s="8" t="str">
        <x:v>Abbotsford|Fleet</x:v>
      </x:c>
      <x:c r="B16" s="8" t="str">
        <x:v>abbotsford-c</x:v>
      </x:c>
      <x:c r="C16" s="8" t="str">
        <x:v>Abbotsford</x:v>
      </x:c>
      <x:c r="D16" s="8" t="str">
        <x:v>Fleet</x:v>
      </x:c>
      <x:c r="E16" s="11" t="n">
        <x:v>46246000</x:v>
      </x:c>
      <x:c r="F16" s="11" t="n">
        <x:v>25155000</x:v>
      </x:c>
      <x:c r="G16" s="11" t="n">
        <x:v>21091000</x:v>
      </x:c>
      <x:c r="H16" s="11" t="n">
        <x:v>4445000</x:v>
      </x:c>
      <x:c r="I16" s="11" t="n">
        <x:v>54523000</x:v>
      </x:c>
      <x:c r="J16" s="11" t="n">
        <x:v>2726000</x:v>
      </x:c>
      <x:c r="K16" s="12" t="n">
        <x:v>0.4560610647407343</x:v>
      </x:c>
      <x:c r="L16" s="12" t="n">
        <x:v>0.9500027511325496</x:v>
      </x:c>
      <x:c r="M16" s="8" t="str">
        <x:v>No</x:v>
      </x:c>
    </x:row>
    <x:row r="17">
      <x:c r="A17" s="8" t="str">
        <x:v>Abbotsford|Parks and Recreation</x:v>
      </x:c>
      <x:c r="B17" s="8" t="str">
        <x:v>abbotsford-c</x:v>
      </x:c>
      <x:c r="C17" s="8" t="str">
        <x:v>Abbotsford</x:v>
      </x:c>
      <x:c r="D17" s="8" t="str">
        <x:v>Parks and Recreation</x:v>
      </x:c>
      <x:c r="E17" s="11" t="n">
        <x:v>81792000</x:v>
      </x:c>
      <x:c r="F17" s="11" t="n">
        <x:v>63114000</x:v>
      </x:c>
      <x:c r="G17" s="11" t="n">
        <x:v>18678000</x:v>
      </x:c>
      <x:c r="H17" s="11" t="n">
        <x:v>90000</x:v>
      </x:c>
      <x:c r="I17" s="11" t="n">
        <x:v>134903000</x:v>
      </x:c>
      <x:c r="J17" s="11" t="n">
        <x:v>1916000</x:v>
      </x:c>
      <x:c r="K17" s="12" t="n">
        <x:v>0.22835974178403756</x:v>
      </x:c>
      <x:c r="L17" s="12" t="n">
        <x:v>0.9857972024343418</x:v>
      </x:c>
      <x:c r="M17" s="8" t="str">
        <x:v>No</x:v>
      </x:c>
    </x:row>
    <x:row r="18">
      <x:c r="A18" s="8" t="str">
        <x:v>Abbotsford|Water System</x:v>
      </x:c>
      <x:c r="B18" s="8" t="str">
        <x:v>abbotsford-c</x:v>
      </x:c>
      <x:c r="C18" s="8" t="str">
        <x:v>Abbotsford</x:v>
      </x:c>
      <x:c r="D18" s="8" t="str">
        <x:v>Water System</x:v>
      </x:c>
      <x:c r="E18" s="11" t="n">
        <x:v>378856000</x:v>
      </x:c>
      <x:c r="F18" s="11" t="n">
        <x:v>147876000</x:v>
      </x:c>
      <x:c r="G18" s="11" t="n">
        <x:v>230980000</x:v>
      </x:c>
      <x:c r="H18" s="11" t="n">
        <x:v>8513000</x:v>
      </x:c>
      <x:c r="I18" s="11" t="n">
        <x:v>634164000</x:v>
      </x:c>
      <x:c r="J18" s="11" t="n">
        <x:v>6250000</x:v>
      </x:c>
      <x:c r="K18" s="12" t="n">
        <x:v>0.609677555588403</x:v>
      </x:c>
      <x:c r="L18" s="12" t="n">
        <x:v>0.990144505206855</x:v>
      </x:c>
      <x:c r="M18" s="8" t="str">
        <x:v>No</x:v>
      </x:c>
    </x:row>
    <x:row r="19">
      <x:c r="A19" s="8" t="str">
        <x:v>Abbotsford|Sewer System</x:v>
      </x:c>
      <x:c r="B19" s="8" t="str">
        <x:v>abbotsford-c</x:v>
      </x:c>
      <x:c r="C19" s="8" t="str">
        <x:v>Abbotsford</x:v>
      </x:c>
      <x:c r="D19" s="8" t="str">
        <x:v>Sewer System</x:v>
      </x:c>
      <x:c r="E19" s="11" t="n">
        <x:v>286160000</x:v>
      </x:c>
      <x:c r="F19" s="11" t="n">
        <x:v>136140000</x:v>
      </x:c>
      <x:c r="G19" s="11" t="n">
        <x:v>150020000</x:v>
      </x:c>
      <x:c r="H19" s="11" t="n">
        <x:v>3242000</x:v>
      </x:c>
      <x:c r="I19" s="11" t="n">
        <x:v>505083000</x:v>
      </x:c>
      <x:c r="J19" s="11" t="n">
        <x:v>5324000</x:v>
      </x:c>
      <x:c r="K19" s="12" t="n">
        <x:v>0.5242521666200727</x:v>
      </x:c>
      <x:c r="L19" s="12" t="n">
        <x:v>0.9894591581977615</x:v>
      </x:c>
      <x:c r="M19" s="8" t="str">
        <x:v>No</x:v>
      </x:c>
    </x:row>
    <x:row r="20">
      <x:c r="A20" s="8" t="str">
        <x:v>Abbotsford|Drainage System</x:v>
      </x:c>
      <x:c r="B20" s="8" t="str">
        <x:v>abbotsford-c</x:v>
      </x:c>
      <x:c r="C20" s="8" t="str">
        <x:v>Abbotsford</x:v>
      </x:c>
      <x:c r="D20" s="8" t="str">
        <x:v>Drainage System</x:v>
      </x:c>
      <x:c r="E20" s="11" t="n">
        <x:v>303935000</x:v>
      </x:c>
      <x:c r="F20" s="11" t="n">
        <x:v>107994000</x:v>
      </x:c>
      <x:c r="G20" s="11" t="n">
        <x:v>195941000</x:v>
      </x:c>
      <x:c r="H20" s="11" t="n">
        <x:v>14124000</x:v>
      </x:c>
      <x:c r="I20" s="11" t="n">
        <x:v>541251000</x:v>
      </x:c>
      <x:c r="J20" s="11" t="n">
        <x:v>3932000</x:v>
      </x:c>
      <x:c r="K20" s="12" t="n">
        <x:v>0.6446806060506358</x:v>
      </x:c>
      <x:c r="L20" s="12" t="n">
        <x:v>0.9927353482949685</x:v>
      </x:c>
      <x:c r="M20" s="8" t="str">
        <x:v>No</x:v>
      </x:c>
    </x:row>
    <x:row r="21">
      <x:c r="A21" s="8" t="str">
        <x:v>Abbotsford|Transportation System</x:v>
      </x:c>
      <x:c r="B21" s="8" t="str">
        <x:v>abbotsford-c</x:v>
      </x:c>
      <x:c r="C21" s="8" t="str">
        <x:v>Abbotsford</x:v>
      </x:c>
      <x:c r="D21" s="8" t="str">
        <x:v>Transportation System</x:v>
      </x:c>
      <x:c r="E21" s="11" t="n">
        <x:v>638679000</x:v>
      </x:c>
      <x:c r="F21" s="11" t="n">
        <x:v>424435000</x:v>
      </x:c>
      <x:c r="G21" s="11" t="n">
        <x:v>214244000</x:v>
      </x:c>
      <x:c r="H21" s="11" t="n">
        <x:v>11299000</x:v>
      </x:c>
      <x:c r="I21" s="11" t="n">
        <x:v>1332195000</x:v>
      </x:c>
      <x:c r="J21" s="11" t="n">
        <x:v>2180000</x:v>
      </x:c>
      <x:c r="K21" s="12" t="n">
        <x:v>0.33544863695220917</x:v>
      </x:c>
      <x:c r="L21" s="12" t="n">
        <x:v>0.998363602925998</x:v>
      </x:c>
      <x:c r="M21" s="8" t="str">
        <x:v>No</x:v>
      </x:c>
    </x:row>
    <x:row r="22">
      <x:c r="A22" s="8" t="str">
        <x:v>Abbotsford|Other Engineering Systems</x:v>
      </x:c>
      <x:c r="B22" s="8" t="str">
        <x:v>abbotsford-c</x:v>
      </x:c>
      <x:c r="C22" s="8" t="str">
        <x:v>Abbotsford</x:v>
      </x:c>
      <x:c r="D22" s="8" t="str">
        <x:v>Other Engineering Systems</x:v>
      </x:c>
      <x:c r="E22" s="11" t="n">
        <x:v>51969000</x:v>
      </x:c>
      <x:c r="F22" s="11" t="n">
        <x:v>36338000</x:v>
      </x:c>
      <x:c r="G22" s="11" t="n">
        <x:v>15631000</x:v>
      </x:c>
      <x:c r="H22" s="11" t="n">
        <x:v>0</x:v>
      </x:c>
      <x:c r="I22" s="11" t="n">
        <x:v>140557000</x:v>
      </x:c>
      <x:c r="J22" s="11" t="n">
        <x:v>709000</x:v>
      </x:c>
      <x:c r="K22" s="12" t="n">
        <x:v>0.3007754622948296</x:v>
      </x:c>
      <x:c r="L22" s="12" t="n">
        <x:v>0.994955783063099</x:v>
      </x:c>
      <x:c r="M22" s="8" t="str">
        <x:v>No</x:v>
      </x:c>
    </x:row>
    <x:row r="23">
      <x:c r="A23" s="8" t="str">
        <x:v>Abbotsford|Other Tangible Capital Assets</x:v>
      </x:c>
      <x:c r="B23" s="8" t="str">
        <x:v>abbotsford-c</x:v>
      </x:c>
      <x:c r="C23" s="8" t="str">
        <x:v>Abbotsford</x:v>
      </x:c>
      <x:c r="D23" s="8" t="str">
        <x:v>Other Tangible Capital Assets</x:v>
      </x:c>
      <x:c r="E23" s="11" t="n">
        <x:v>85671000</x:v>
      </x:c>
      <x:c r="F23" s="11" t="n">
        <x:v>55083000</x:v>
      </x:c>
      <x:c r="G23" s="11" t="n">
        <x:v>30588000</x:v>
      </x:c>
      <x:c r="H23" s="11" t="n">
        <x:v>1632000</x:v>
      </x:c>
      <x:c r="I23" s="11" t="n">
        <x:v>123816000</x:v>
      </x:c>
      <x:c r="J23" s="11" t="n">
        <x:v>2594000</x:v>
      </x:c>
      <x:c r="K23" s="12" t="n">
        <x:v>0.3570403053542039</x:v>
      </x:c>
      <x:c r="L23" s="12" t="n">
        <x:v>0.9790495574077663</x:v>
      </x:c>
      <x:c r="M23" s="8" t="str">
        <x:v>N/A</x:v>
      </x:c>
    </x:row>
    <x:row r="24">
      <x:c r="A24" s="8" t="str">
        <x:v>Abbotsford|Work In Progress</x:v>
      </x:c>
      <x:c r="B24" s="8" t="str">
        <x:v>abbotsford-c</x:v>
      </x:c>
      <x:c r="C24" s="8" t="str">
        <x:v>Abbotsford</x:v>
      </x:c>
      <x:c r="D24" s="8" t="str">
        <x:v>Work In Progress</x:v>
      </x:c>
      <x:c r="E24" s="11" t="n">
        <x:v>152314000</x:v>
      </x:c>
      <x:c r="F24" s="11"/>
      <x:c r="G24" s="11" t="n">
        <x:v>152314000</x:v>
      </x:c>
      <x:c r="H24" s="11" t="n">
        <x:v>44788000</x:v>
      </x:c>
      <x:c r="I24" s="11" t="n">
        <x:v>152314000</x:v>
      </x:c>
      <x:c r="J24" s="11"/>
      <x:c r="K24" s="12" t="n">
        <x:v>1</x:v>
      </x:c>
      <x:c r="L24" s="12"/>
      <x:c r="M24" s="8" t="str">
        <x:v>N/A</x:v>
      </x:c>
    </x:row>
    <x:row r="25">
      <x:c r="A25" s="8" t="str">
        <x:v>Abbotsford|Total TCA</x:v>
      </x:c>
      <x:c r="B25" s="8" t="str">
        <x:v>abbotsford-c</x:v>
      </x:c>
      <x:c r="C25" s="8" t="str">
        <x:v>Abbotsford</x:v>
      </x:c>
      <x:c r="D25" s="8" t="str">
        <x:v>Total TCA</x:v>
      </x:c>
      <x:c r="E25" s="11" t="n">
        <x:v>2758390000</x:v>
      </x:c>
      <x:c r="F25" s="11" t="n">
        <x:v>1141498000</x:v>
      </x:c>
      <x:c r="G25" s="11" t="n">
        <x:v>1616892000</x:v>
      </x:c>
      <x:c r="H25" s="11" t="n">
        <x:v>100669000</x:v>
      </x:c>
      <x:c r="I25" s="11" t="n">
        <x:v>4514715000</x:v>
      </x:c>
      <x:c r="J25" s="11" t="n">
        <x:v>29599000</x:v>
      </x:c>
      <x:c r="K25" s="12" t="n">
        <x:v>0.5861723686643295</x:v>
      </x:c>
      <x:c r="L25" s="12" t="n">
        <x:v>0.9934438829472071</x:v>
      </x:c>
      <x:c r="M25" s="8"/>
    </x:row>
    <x:row r="26">
      <x:c r="A26" s="8" t="str">
        <x:v>Alert Bay|Land</x:v>
      </x:c>
      <x:c r="B26" s="8" t="str">
        <x:v>alert-bay-v</x:v>
      </x:c>
      <x:c r="C26" s="8" t="str">
        <x:v>Alert Bay</x:v>
      </x:c>
      <x:c r="D26" s="8" t="str">
        <x:v>Land</x:v>
      </x:c>
      <x:c r="E26" s="11" t="n">
        <x:v>166609</x:v>
      </x:c>
      <x:c r="F26" s="11"/>
      <x:c r="G26" s="11" t="n">
        <x:v>166609</x:v>
      </x:c>
      <x:c r="H26" s="11" t="n">
        <x:v>0</x:v>
      </x:c>
      <x:c r="I26" s="11" t="n">
        <x:v>166609</x:v>
      </x:c>
      <x:c r="J26" s="11"/>
      <x:c r="K26" s="12" t="n">
        <x:v>1</x:v>
      </x:c>
      <x:c r="L26" s="12"/>
      <x:c r="M26" s="8" t="str">
        <x:v>N/A</x:v>
      </x:c>
    </x:row>
    <x:row r="27">
      <x:c r="A27" s="8" t="str">
        <x:v>Alert Bay|Buildings</x:v>
      </x:c>
      <x:c r="B27" s="8" t="str">
        <x:v>alert-bay-v</x:v>
      </x:c>
      <x:c r="C27" s="8" t="str">
        <x:v>Alert Bay</x:v>
      </x:c>
      <x:c r="D27" s="8" t="str">
        <x:v>Buildings</x:v>
      </x:c>
      <x:c r="E27" s="11" t="n">
        <x:v>3214669</x:v>
      </x:c>
      <x:c r="F27" s="11" t="n">
        <x:v>1174837</x:v>
      </x:c>
      <x:c r="G27" s="11" t="n">
        <x:v>2039832</x:v>
      </x:c>
      <x:c r="H27" s="11" t="n">
        <x:v>38187</x:v>
      </x:c>
      <x:c r="I27" s="11" t="n">
        <x:v>8263723</x:v>
      </x:c>
      <x:c r="J27" s="11" t="n">
        <x:v>211000</x:v>
      </x:c>
      <x:c r="K27" s="12" t="n">
        <x:v>0.6345387347810926</x:v>
      </x:c>
      <x:c r="L27" s="12" t="n">
        <x:v>0.9744667143368673</x:v>
      </x:c>
      <x:c r="M27" s="8" t="str">
        <x:v>Yes</x:v>
      </x:c>
    </x:row>
    <x:row r="28">
      <x:c r="A28" s="8" t="str">
        <x:v>Alert Bay|Fleet</x:v>
      </x:c>
      <x:c r="B28" s="8" t="str">
        <x:v>alert-bay-v</x:v>
      </x:c>
      <x:c r="C28" s="8" t="str">
        <x:v>Alert Bay</x:v>
      </x:c>
      <x:c r="D28" s="8" t="str">
        <x:v>Fleet</x:v>
      </x:c>
      <x:c r="E28" s="11" t="n">
        <x:v>552381</x:v>
      </x:c>
      <x:c r="F28" s="11" t="n">
        <x:v>532150</x:v>
      </x:c>
      <x:c r="G28" s="11" t="n">
        <x:v>20231</x:v>
      </x:c>
      <x:c r="H28" s="11" t="n">
        <x:v>0</x:v>
      </x:c>
      <x:c r="I28" s="11" t="n">
        <x:v>1281546</x:v>
      </x:c>
      <x:c r="J28" s="11" t="n">
        <x:v>99000</x:v>
      </x:c>
      <x:c r="K28" s="12" t="n">
        <x:v>0.03662508304956181</x:v>
      </x:c>
      <x:c r="L28" s="12" t="n">
        <x:v>0.9227495540542439</x:v>
      </x:c>
      <x:c r="M28" s="8" t="str">
        <x:v>Yes</x:v>
      </x:c>
    </x:row>
    <x:row r="29">
      <x:c r="A29" s="8" t="str">
        <x:v>Alert Bay|Parks and Recreation</x:v>
      </x:c>
      <x:c r="B29" s="8" t="str">
        <x:v>alert-bay-v</x:v>
      </x:c>
      <x:c r="C29" s="8" t="str">
        <x:v>Alert Bay</x:v>
      </x:c>
      <x:c r="D29" s="8" t="str">
        <x:v>Parks and Recreation</x:v>
      </x:c>
      <x:c r="E29" s="11" t="n">
        <x:v>0</x:v>
      </x:c>
      <x:c r="F29" s="11" t="n">
        <x:v>0</x:v>
      </x:c>
      <x:c r="G29" s="11" t="n">
        <x:v>0</x:v>
      </x:c>
      <x:c r="H29" s="11" t="n">
        <x:v>0</x:v>
      </x:c>
      <x:c r="I29" s="11" t="n">
        <x:v>0</x:v>
      </x:c>
      <x:c r="J29" s="11" t="n">
        <x:v>0</x:v>
      </x:c>
      <x:c r="K29" s="12"/>
      <x:c r="L29" s="12"/>
      <x:c r="M29" s="8"/>
    </x:row>
    <x:row r="30">
      <x:c r="A30" s="8" t="str">
        <x:v>Alert Bay|Water System</x:v>
      </x:c>
      <x:c r="B30" s="8" t="str">
        <x:v>alert-bay-v</x:v>
      </x:c>
      <x:c r="C30" s="8" t="str">
        <x:v>Alert Bay</x:v>
      </x:c>
      <x:c r="D30" s="8" t="str">
        <x:v>Water System</x:v>
      </x:c>
      <x:c r="E30" s="11" t="n">
        <x:v>871641</x:v>
      </x:c>
      <x:c r="F30" s="11" t="n">
        <x:v>496866</x:v>
      </x:c>
      <x:c r="G30" s="11" t="n">
        <x:v>374775</x:v>
      </x:c>
      <x:c r="H30" s="11" t="n">
        <x:v>311346</x:v>
      </x:c>
      <x:c r="I30" s="11" t="n">
        <x:v>3076735</x:v>
      </x:c>
      <x:c r="J30" s="11" t="n">
        <x:v>57630</x:v>
      </x:c>
      <x:c r="K30" s="12" t="n">
        <x:v>0.4299648593859169</x:v>
      </x:c>
      <x:c r="L30" s="12" t="n">
        <x:v>0.9812691050740476</x:v>
      </x:c>
      <x:c r="M30" s="8" t="str">
        <x:v>Yes</x:v>
      </x:c>
    </x:row>
    <x:row r="31">
      <x:c r="A31" s="8" t="str">
        <x:v>Alert Bay|Sewer System</x:v>
      </x:c>
      <x:c r="B31" s="8" t="str">
        <x:v>alert-bay-v</x:v>
      </x:c>
      <x:c r="C31" s="8" t="str">
        <x:v>Alert Bay</x:v>
      </x:c>
      <x:c r="D31" s="8" t="str">
        <x:v>Sewer System</x:v>
      </x:c>
      <x:c r="E31" s="11" t="n">
        <x:v>4872767</x:v>
      </x:c>
      <x:c r="F31" s="11" t="n">
        <x:v>1609641</x:v>
      </x:c>
      <x:c r="G31" s="11" t="n">
        <x:v>3263126</x:v>
      </x:c>
      <x:c r="H31" s="11" t="n">
        <x:v>0</x:v>
      </x:c>
      <x:c r="I31" s="11" t="n">
        <x:v>7448168</x:v>
      </x:c>
      <x:c r="J31" s="11" t="n">
        <x:v>105687</x:v>
      </x:c>
      <x:c r="K31" s="12" t="n">
        <x:v>0.6696659208207575</x:v>
      </x:c>
      <x:c r="L31" s="12" t="n">
        <x:v>0.9858103361793128</x:v>
      </x:c>
      <x:c r="M31" s="8" t="str">
        <x:v>Yes</x:v>
      </x:c>
    </x:row>
    <x:row r="32">
      <x:c r="A32" s="8" t="str">
        <x:v>Alert Bay|Drainage System</x:v>
      </x:c>
      <x:c r="B32" s="8" t="str">
        <x:v>alert-bay-v</x:v>
      </x:c>
      <x:c r="C32" s="8" t="str">
        <x:v>Alert Bay</x:v>
      </x:c>
      <x:c r="D32" s="8" t="str">
        <x:v>Drainage System</x:v>
      </x:c>
      <x:c r="E32" s="11" t="n">
        <x:v>109020</x:v>
      </x:c>
      <x:c r="F32" s="11" t="n">
        <x:v>64986</x:v>
      </x:c>
      <x:c r="G32" s="11" t="n">
        <x:v>44034</x:v>
      </x:c>
      <x:c r="H32" s="11" t="n">
        <x:v>0</x:v>
      </x:c>
      <x:c r="I32" s="11" t="n">
        <x:v>187892</x:v>
      </x:c>
      <x:c r="J32" s="11" t="n">
        <x:v>5930</x:v>
      </x:c>
      <x:c r="K32" s="12" t="n">
        <x:v>0.4039075399009356</x:v>
      </x:c>
      <x:c r="L32" s="12" t="n">
        <x:v>0.9684393162029251</x:v>
      </x:c>
      <x:c r="M32" s="8" t="str">
        <x:v>Yes</x:v>
      </x:c>
    </x:row>
    <x:row r="33">
      <x:c r="A33" s="8" t="str">
        <x:v>Alert Bay|Transportation System</x:v>
      </x:c>
      <x:c r="B33" s="8" t="str">
        <x:v>alert-bay-v</x:v>
      </x:c>
      <x:c r="C33" s="8" t="str">
        <x:v>Alert Bay</x:v>
      </x:c>
      <x:c r="D33" s="8" t="str">
        <x:v>Transportation System</x:v>
      </x:c>
      <x:c r="E33" s="11" t="n">
        <x:v>0</x:v>
      </x:c>
      <x:c r="F33" s="11" t="n">
        <x:v>0</x:v>
      </x:c>
      <x:c r="G33" s="11" t="n">
        <x:v>0</x:v>
      </x:c>
      <x:c r="H33" s="11" t="n">
        <x:v>0</x:v>
      </x:c>
      <x:c r="I33" s="11" t="n">
        <x:v>0</x:v>
      </x:c>
      <x:c r="J33" s="11" t="n">
        <x:v>0</x:v>
      </x:c>
      <x:c r="K33" s="12"/>
      <x:c r="L33" s="12"/>
      <x:c r="M33" s="8"/>
    </x:row>
    <x:row r="34">
      <x:c r="A34" s="8" t="str">
        <x:v>Alert Bay|Other Engineering Systems</x:v>
      </x:c>
      <x:c r="B34" s="8" t="str">
        <x:v>alert-bay-v</x:v>
      </x:c>
      <x:c r="C34" s="8" t="str">
        <x:v>Alert Bay</x:v>
      </x:c>
      <x:c r="D34" s="8" t="str">
        <x:v>Other Engineering Systems</x:v>
      </x:c>
      <x:c r="E34" s="11" t="n">
        <x:v>5372659</x:v>
      </x:c>
      <x:c r="F34" s="11" t="n">
        <x:v>4187320</x:v>
      </x:c>
      <x:c r="G34" s="11" t="n">
        <x:v>1185339</x:v>
      </x:c>
      <x:c r="H34" s="11" t="n">
        <x:v>0</x:v>
      </x:c>
      <x:c r="I34" s="11" t="n">
        <x:v>9846730</x:v>
      </x:c>
      <x:c r="J34" s="11" t="n">
        <x:v>236070</x:v>
      </x:c>
      <x:c r="K34" s="12" t="n">
        <x:v>0.22062427561473752</x:v>
      </x:c>
      <x:c r="L34" s="12" t="n">
        <x:v>0.9760255435053058</x:v>
      </x:c>
      <x:c r="M34" s="8" t="str">
        <x:v>Yes</x:v>
      </x:c>
    </x:row>
    <x:row r="35">
      <x:c r="A35" s="8" t="str">
        <x:v>Alert Bay|Other Tangible Capital Assets</x:v>
      </x:c>
      <x:c r="B35" s="8" t="str">
        <x:v>alert-bay-v</x:v>
      </x:c>
      <x:c r="C35" s="8" t="str">
        <x:v>Alert Bay</x:v>
      </x:c>
      <x:c r="D35" s="8" t="str">
        <x:v>Other Tangible Capital Assets</x:v>
      </x:c>
      <x:c r="E35" s="11" t="n">
        <x:v>392976</x:v>
      </x:c>
      <x:c r="F35" s="11" t="n">
        <x:v>329836</x:v>
      </x:c>
      <x:c r="G35" s="11" t="n">
        <x:v>63140</x:v>
      </x:c>
      <x:c r="H35" s="11" t="n">
        <x:v>5340</x:v>
      </x:c>
      <x:c r="I35" s="11" t="n">
        <x:v>1168999</x:v>
      </x:c>
      <x:c r="J35" s="11" t="n">
        <x:v>29511</x:v>
      </x:c>
      <x:c r="K35" s="12" t="n">
        <x:v>0.1606713896014006</x:v>
      </x:c>
      <x:c r="L35" s="12" t="n">
        <x:v>0.9747553248548545</x:v>
      </x:c>
      <x:c r="M35" s="8" t="str">
        <x:v>N/A</x:v>
      </x:c>
    </x:row>
    <x:row r="36">
      <x:c r="A36" s="8" t="str">
        <x:v>Alert Bay|Work In Progress</x:v>
      </x:c>
      <x:c r="B36" s="8" t="str">
        <x:v>alert-bay-v</x:v>
      </x:c>
      <x:c r="C36" s="8" t="str">
        <x:v>Alert Bay</x:v>
      </x:c>
      <x:c r="D36" s="8" t="str">
        <x:v>Work In Progress</x:v>
      </x:c>
      <x:c r="E36" s="11" t="n">
        <x:v>262162</x:v>
      </x:c>
      <x:c r="F36" s="11"/>
      <x:c r="G36" s="11" t="n">
        <x:v>262162</x:v>
      </x:c>
      <x:c r="H36" s="11" t="n">
        <x:v>153417</x:v>
      </x:c>
      <x:c r="I36" s="11" t="n">
        <x:v>262162</x:v>
      </x:c>
      <x:c r="J36" s="11"/>
      <x:c r="K36" s="12" t="n">
        <x:v>1</x:v>
      </x:c>
      <x:c r="L36" s="12"/>
      <x:c r="M36" s="8" t="str">
        <x:v>N/A</x:v>
      </x:c>
    </x:row>
    <x:row r="37">
      <x:c r="A37" s="8" t="str">
        <x:v>Alert Bay|Total TCA</x:v>
      </x:c>
      <x:c r="B37" s="8" t="str">
        <x:v>alert-bay-v</x:v>
      </x:c>
      <x:c r="C37" s="8" t="str">
        <x:v>Alert Bay</x:v>
      </x:c>
      <x:c r="D37" s="8" t="str">
        <x:v>Total TCA</x:v>
      </x:c>
      <x:c r="E37" s="11" t="n">
        <x:v>15814884</x:v>
      </x:c>
      <x:c r="F37" s="11" t="n">
        <x:v>8395636</x:v>
      </x:c>
      <x:c r="G37" s="11" t="n">
        <x:v>7419248</x:v>
      </x:c>
      <x:c r="H37" s="11" t="n">
        <x:v>508290</x:v>
      </x:c>
      <x:c r="I37" s="11" t="n">
        <x:v>31702564</x:v>
      </x:c>
      <x:c r="J37" s="11" t="n">
        <x:v>744828</x:v>
      </x:c>
      <x:c r="K37" s="12" t="n">
        <x:v>0.46913072520797494</x:v>
      </x:c>
      <x:c r="L37" s="12" t="n">
        <x:v>0.9765057488725517</x:v>
      </x:c>
      <x:c r="M37" s="8"/>
    </x:row>
    <x:row r="38">
      <x:c r="A38" s="8" t="str">
        <x:v>Anmore|Land</x:v>
      </x:c>
      <x:c r="B38" s="8" t="str">
        <x:v>anmore-v</x:v>
      </x:c>
      <x:c r="C38" s="8" t="str">
        <x:v>Anmore</x:v>
      </x:c>
      <x:c r="D38" s="8" t="str">
        <x:v>Land</x:v>
      </x:c>
      <x:c r="E38" s="11" t="n">
        <x:v>37790548</x:v>
      </x:c>
      <x:c r="F38" s="11"/>
      <x:c r="G38" s="11" t="n">
        <x:v>37790548</x:v>
      </x:c>
      <x:c r="H38" s="11" t="n">
        <x:v>0</x:v>
      </x:c>
      <x:c r="I38" s="11" t="n">
        <x:v>37790548</x:v>
      </x:c>
      <x:c r="J38" s="11"/>
      <x:c r="K38" s="12" t="n">
        <x:v>1</x:v>
      </x:c>
      <x:c r="L38" s="12"/>
      <x:c r="M38" s="8" t="str">
        <x:v>N/A</x:v>
      </x:c>
    </x:row>
    <x:row r="39">
      <x:c r="A39" s="8" t="str">
        <x:v>Anmore|Buildings</x:v>
      </x:c>
      <x:c r="B39" s="8" t="str">
        <x:v>anmore-v</x:v>
      </x:c>
      <x:c r="C39" s="8" t="str">
        <x:v>Anmore</x:v>
      </x:c>
      <x:c r="D39" s="8" t="str">
        <x:v>Buildings</x:v>
      </x:c>
      <x:c r="E39" s="11" t="n">
        <x:v>11542399</x:v>
      </x:c>
      <x:c r="F39" s="11" t="n">
        <x:v>441274</x:v>
      </x:c>
      <x:c r="G39" s="11" t="n">
        <x:v>11101125</x:v>
      </x:c>
      <x:c r="H39" s="11" t="n">
        <x:v>360013</x:v>
      </x:c>
      <x:c r="I39" s="11" t="n">
        <x:v>10410000</x:v>
      </x:c>
      <x:c r="J39" s="11" t="n">
        <x:v>279000</x:v>
      </x:c>
      <x:c r="K39" s="12" t="n">
        <x:v>0.9617692994324664</x:v>
      </x:c>
      <x:c r="L39" s="12" t="n">
        <x:v>0.9731988472622478</x:v>
      </x:c>
      <x:c r="M39" s="8" t="str">
        <x:v>Yes</x:v>
      </x:c>
    </x:row>
    <x:row r="40">
      <x:c r="A40" s="8" t="str">
        <x:v>Anmore|Fleet</x:v>
      </x:c>
      <x:c r="B40" s="8" t="str">
        <x:v>anmore-v</x:v>
      </x:c>
      <x:c r="C40" s="8" t="str">
        <x:v>Anmore</x:v>
      </x:c>
      <x:c r="D40" s="8" t="str">
        <x:v>Fleet</x:v>
      </x:c>
      <x:c r="E40" s="11" t="n">
        <x:v>1221837</x:v>
      </x:c>
      <x:c r="F40" s="11" t="n">
        <x:v>763236</x:v>
      </x:c>
      <x:c r="G40" s="11" t="n">
        <x:v>458601</x:v>
      </x:c>
      <x:c r="H40" s="11" t="n">
        <x:v>215849</x:v>
      </x:c>
      <x:c r="I40" s="11" t="n">
        <x:v>3200000</x:v>
      </x:c>
      <x:c r="J40" s="11" t="n">
        <x:v>143520</x:v>
      </x:c>
      <x:c r="K40" s="12" t="n">
        <x:v>0.3753372994924855</x:v>
      </x:c>
      <x:c r="L40" s="12" t="n">
        <x:v>0.9551499999999999</x:v>
      </x:c>
      <x:c r="M40" s="8" t="str">
        <x:v>Yes</x:v>
      </x:c>
    </x:row>
    <x:row r="41">
      <x:c r="A41" s="8" t="str">
        <x:v>Anmore|Parks and Recreation</x:v>
      </x:c>
      <x:c r="B41" s="8" t="str">
        <x:v>anmore-v</x:v>
      </x:c>
      <x:c r="C41" s="8" t="str">
        <x:v>Anmore</x:v>
      </x:c>
      <x:c r="D41" s="8" t="str">
        <x:v>Parks and Recreation</x:v>
      </x:c>
      <x:c r="E41" s="11" t="n">
        <x:v>335335</x:v>
      </x:c>
      <x:c r="F41" s="11" t="n">
        <x:v>217124</x:v>
      </x:c>
      <x:c r="G41" s="11" t="n">
        <x:v>118211</x:v>
      </x:c>
      <x:c r="H41" s="11" t="n">
        <x:v>0</x:v>
      </x:c>
      <x:c r="I41" s="11" t="n">
        <x:v>0</x:v>
      </x:c>
      <x:c r="J41" s="11" t="n">
        <x:v>0</x:v>
      </x:c>
      <x:c r="K41" s="12" t="n">
        <x:v>0.3525161405758421</x:v>
      </x:c>
      <x:c r="L41" s="12"/>
      <x:c r="M41" s="8" t="str">
        <x:v>Yes</x:v>
      </x:c>
    </x:row>
    <x:row r="42">
      <x:c r="A42" s="8" t="str">
        <x:v>Anmore|Water System</x:v>
      </x:c>
      <x:c r="B42" s="8" t="str">
        <x:v>anmore-v</x:v>
      </x:c>
      <x:c r="C42" s="8" t="str">
        <x:v>Anmore</x:v>
      </x:c>
      <x:c r="D42" s="8" t="str">
        <x:v>Water System</x:v>
      </x:c>
      <x:c r="E42" s="11" t="n">
        <x:v>13624833</x:v>
      </x:c>
      <x:c r="F42" s="11" t="n">
        <x:v>5145397</x:v>
      </x:c>
      <x:c r="G42" s="11" t="n">
        <x:v>8479436</x:v>
      </x:c>
      <x:c r="H42" s="11" t="n">
        <x:v>683777</x:v>
      </x:c>
      <x:c r="I42" s="11" t="n">
        <x:v>25840000</x:v>
      </x:c>
      <x:c r="J42" s="11" t="n">
        <x:v>395000</x:v>
      </x:c>
      <x:c r="K42" s="12" t="n">
        <x:v>0.622351554694285</x:v>
      </x:c>
      <x:c r="L42" s="12" t="n">
        <x:v>0.9847136222910217</x:v>
      </x:c>
      <x:c r="M42" s="8" t="str">
        <x:v>Yes</x:v>
      </x:c>
    </x:row>
    <x:row r="43">
      <x:c r="A43" s="8" t="str">
        <x:v>Anmore|Sewer System</x:v>
      </x:c>
      <x:c r="B43" s="8" t="str">
        <x:v>anmore-v</x:v>
      </x:c>
      <x:c r="C43" s="8" t="str">
        <x:v>Anmore</x:v>
      </x:c>
      <x:c r="D43" s="8" t="str">
        <x:v>Sewer System</x:v>
      </x:c>
      <x:c r="E43" s="11" t="n">
        <x:v>0</x:v>
      </x:c>
      <x:c r="F43" s="11" t="n">
        <x:v>0</x:v>
      </x:c>
      <x:c r="G43" s="11" t="n">
        <x:v>0</x:v>
      </x:c>
      <x:c r="H43" s="11" t="n">
        <x:v>0</x:v>
      </x:c>
      <x:c r="I43" s="11" t="n">
        <x:v>0</x:v>
      </x:c>
      <x:c r="J43" s="11" t="n">
        <x:v>0</x:v>
      </x:c>
      <x:c r="K43" s="12"/>
      <x:c r="L43" s="12"/>
      <x:c r="M43" s="8"/>
    </x:row>
    <x:row r="44">
      <x:c r="A44" s="8" t="str">
        <x:v>Anmore|Drainage System</x:v>
      </x:c>
      <x:c r="B44" s="8" t="str">
        <x:v>anmore-v</x:v>
      </x:c>
      <x:c r="C44" s="8" t="str">
        <x:v>Anmore</x:v>
      </x:c>
      <x:c r="D44" s="8" t="str">
        <x:v>Drainage System</x:v>
      </x:c>
      <x:c r="E44" s="11" t="n">
        <x:v>7886591</x:v>
      </x:c>
      <x:c r="F44" s="11" t="n">
        <x:v>3980999</x:v>
      </x:c>
      <x:c r="G44" s="11" t="n">
        <x:v>3905592</x:v>
      </x:c>
      <x:c r="H44" s="11" t="n">
        <x:v>330362</x:v>
      </x:c>
      <x:c r="I44" s="11" t="n">
        <x:v>14700000</x:v>
      </x:c>
      <x:c r="J44" s="11" t="n">
        <x:v>384000</x:v>
      </x:c>
      <x:c r="K44" s="12" t="n">
        <x:v>0.4952192905654674</x:v>
      </x:c>
      <x:c r="L44" s="12" t="n">
        <x:v>0.9738775510204082</x:v>
      </x:c>
      <x:c r="M44" s="8" t="str">
        <x:v>Yes</x:v>
      </x:c>
    </x:row>
    <x:row r="45">
      <x:c r="A45" s="8" t="str">
        <x:v>Anmore|Transportation System</x:v>
      </x:c>
      <x:c r="B45" s="8" t="str">
        <x:v>anmore-v</x:v>
      </x:c>
      <x:c r="C45" s="8" t="str">
        <x:v>Anmore</x:v>
      </x:c>
      <x:c r="D45" s="8" t="str">
        <x:v>Transportation System</x:v>
      </x:c>
      <x:c r="E45" s="11" t="n">
        <x:v>16204420</x:v>
      </x:c>
      <x:c r="F45" s="11" t="n">
        <x:v>7796963</x:v>
      </x:c>
      <x:c r="G45" s="11" t="n">
        <x:v>8407457</x:v>
      </x:c>
      <x:c r="H45" s="11" t="n">
        <x:v>729107</x:v>
      </x:c>
      <x:c r="I45" s="11" t="n">
        <x:v>19670000</x:v>
      </x:c>
      <x:c r="J45" s="11" t="n">
        <x:v>664000</x:v>
      </x:c>
      <x:c r="K45" s="12" t="n">
        <x:v>0.5188372678565478</x:v>
      </x:c>
      <x:c r="L45" s="12" t="n">
        <x:v>0.9662430096593798</x:v>
      </x:c>
      <x:c r="M45" s="8" t="str">
        <x:v>Yes</x:v>
      </x:c>
    </x:row>
    <x:row r="46">
      <x:c r="A46" s="8" t="str">
        <x:v>Anmore|Other Engineering Systems</x:v>
      </x:c>
      <x:c r="B46" s="8" t="str">
        <x:v>anmore-v</x:v>
      </x:c>
      <x:c r="C46" s="8" t="str">
        <x:v>Anmore</x:v>
      </x:c>
      <x:c r="D46" s="8" t="str">
        <x:v>Other Engineering Systems</x:v>
      </x:c>
      <x:c r="E46" s="11" t="n">
        <x:v>0</x:v>
      </x:c>
      <x:c r="F46" s="11" t="n">
        <x:v>0</x:v>
      </x:c>
      <x:c r="G46" s="11" t="n">
        <x:v>0</x:v>
      </x:c>
      <x:c r="H46" s="11" t="n">
        <x:v>0</x:v>
      </x:c>
      <x:c r="I46" s="11" t="n">
        <x:v>0</x:v>
      </x:c>
      <x:c r="J46" s="11" t="n">
        <x:v>0</x:v>
      </x:c>
      <x:c r="K46" s="12"/>
      <x:c r="L46" s="12"/>
      <x:c r="M46" s="8"/>
    </x:row>
    <x:row r="47">
      <x:c r="A47" s="8" t="str">
        <x:v>Anmore|Other Tangible Capital Assets</x:v>
      </x:c>
      <x:c r="B47" s="8" t="str">
        <x:v>anmore-v</x:v>
      </x:c>
      <x:c r="C47" s="8" t="str">
        <x:v>Anmore</x:v>
      </x:c>
      <x:c r="D47" s="8" t="str">
        <x:v>Other Tangible Capital Assets</x:v>
      </x:c>
      <x:c r="E47" s="11" t="n">
        <x:v>834330</x:v>
      </x:c>
      <x:c r="F47" s="11" t="n">
        <x:v>264858</x:v>
      </x:c>
      <x:c r="G47" s="11" t="n">
        <x:v>569472</x:v>
      </x:c>
      <x:c r="H47" s="11" t="n">
        <x:v>-46347</x:v>
      </x:c>
      <x:c r="I47" s="11" t="n">
        <x:v>965189</x:v>
      </x:c>
      <x:c r="J47" s="11" t="n">
        <x:v>40480</x:v>
      </x:c>
      <x:c r="K47" s="12" t="n">
        <x:v>0.6825500701161411</x:v>
      </x:c>
      <x:c r="L47" s="12" t="n">
        <x:v>0.9580600276215332</x:v>
      </x:c>
      <x:c r="M47" s="8" t="str">
        <x:v>N/A</x:v>
      </x:c>
    </x:row>
    <x:row r="48">
      <x:c r="A48" s="8" t="str">
        <x:v>Anmore|Work In Progress</x:v>
      </x:c>
      <x:c r="B48" s="8" t="str">
        <x:v>anmore-v</x:v>
      </x:c>
      <x:c r="C48" s="8" t="str">
        <x:v>Anmore</x:v>
      </x:c>
      <x:c r="D48" s="8" t="str">
        <x:v>Work In Progress</x:v>
      </x:c>
      <x:c r="E48" s="11" t="n">
        <x:v>64811</x:v>
      </x:c>
      <x:c r="F48" s="11"/>
      <x:c r="G48" s="11" t="n">
        <x:v>64811</x:v>
      </x:c>
      <x:c r="H48" s="11" t="n">
        <x:v>45040</x:v>
      </x:c>
      <x:c r="I48" s="11" t="n">
        <x:v>64811</x:v>
      </x:c>
      <x:c r="J48" s="11"/>
      <x:c r="K48" s="12" t="n">
        <x:v>1</x:v>
      </x:c>
      <x:c r="L48" s="12"/>
      <x:c r="M48" s="8" t="str">
        <x:v>N/A</x:v>
      </x:c>
    </x:row>
    <x:row r="49">
      <x:c r="A49" s="8" t="str">
        <x:v>Anmore|Total TCA</x:v>
      </x:c>
      <x:c r="B49" s="8" t="str">
        <x:v>anmore-v</x:v>
      </x:c>
      <x:c r="C49" s="8" t="str">
        <x:v>Anmore</x:v>
      </x:c>
      <x:c r="D49" s="8" t="str">
        <x:v>Total TCA</x:v>
      </x:c>
      <x:c r="E49" s="11" t="n">
        <x:v>89505104</x:v>
      </x:c>
      <x:c r="F49" s="11" t="n">
        <x:v>18609851</x:v>
      </x:c>
      <x:c r="G49" s="11" t="n">
        <x:v>70895253</x:v>
      </x:c>
      <x:c r="H49" s="11" t="n">
        <x:v>2317801</x:v>
      </x:c>
      <x:c r="I49" s="11" t="n">
        <x:v>112640548</x:v>
      </x:c>
      <x:c r="J49" s="11" t="n">
        <x:v>1906000</x:v>
      </x:c>
      <x:c r="K49" s="12" t="n">
        <x:v>0.7920805611264359</x:v>
      </x:c>
      <x:c r="L49" s="12" t="n">
        <x:v>0.9830789175493003</x:v>
      </x:c>
      <x:c r="M49" s="8"/>
    </x:row>
    <x:row r="50">
      <x:c r="A50" s="8" t="str">
        <x:v>Armstrong|Land</x:v>
      </x:c>
      <x:c r="B50" s="8" t="str">
        <x:v>armstrong-c</x:v>
      </x:c>
      <x:c r="C50" s="8" t="str">
        <x:v>Armstrong</x:v>
      </x:c>
      <x:c r="D50" s="8" t="str">
        <x:v>Land</x:v>
      </x:c>
      <x:c r="E50" s="11" t="n">
        <x:v>1797593</x:v>
      </x:c>
      <x:c r="F50" s="11"/>
      <x:c r="G50" s="11" t="n">
        <x:v>1797593</x:v>
      </x:c>
      <x:c r="H50" s="11" t="n">
        <x:v>0</x:v>
      </x:c>
      <x:c r="I50" s="11" t="n">
        <x:v>1797593</x:v>
      </x:c>
      <x:c r="J50" s="11"/>
      <x:c r="K50" s="12" t="n">
        <x:v>1</x:v>
      </x:c>
      <x:c r="L50" s="12"/>
      <x:c r="M50" s="8" t="str">
        <x:v>N/A</x:v>
      </x:c>
    </x:row>
    <x:row r="51">
      <x:c r="A51" s="8" t="str">
        <x:v>Armstrong|Buildings</x:v>
      </x:c>
      <x:c r="B51" s="8" t="str">
        <x:v>armstrong-c</x:v>
      </x:c>
      <x:c r="C51" s="8" t="str">
        <x:v>Armstrong</x:v>
      </x:c>
      <x:c r="D51" s="8" t="str">
        <x:v>Buildings</x:v>
      </x:c>
      <x:c r="E51" s="11" t="n">
        <x:v>27794698</x:v>
      </x:c>
      <x:c r="F51" s="11" t="n">
        <x:v>4343748</x:v>
      </x:c>
      <x:c r="G51" s="11" t="n">
        <x:v>23450950</x:v>
      </x:c>
      <x:c r="H51" s="11" t="n">
        <x:v>323285</x:v>
      </x:c>
      <x:c r="I51" s="11" t="n">
        <x:v>44000000</x:v>
      </x:c>
      <x:c r="J51" s="11" t="n">
        <x:v>772000</x:v>
      </x:c>
      <x:c r="K51" s="12" t="n">
        <x:v>0.8437202663615917</x:v>
      </x:c>
      <x:c r="L51" s="12" t="n">
        <x:v>0.9824545454545455</x:v>
      </x:c>
      <x:c r="M51" s="8" t="str">
        <x:v>In_Progress</x:v>
      </x:c>
    </x:row>
    <x:row r="52">
      <x:c r="A52" s="8" t="str">
        <x:v>Armstrong|Fleet</x:v>
      </x:c>
      <x:c r="B52" s="8" t="str">
        <x:v>armstrong-c</x:v>
      </x:c>
      <x:c r="C52" s="8" t="str">
        <x:v>Armstrong</x:v>
      </x:c>
      <x:c r="D52" s="8" t="str">
        <x:v>Fleet</x:v>
      </x:c>
      <x:c r="E52" s="11" t="n">
        <x:v>6742754</x:v>
      </x:c>
      <x:c r="F52" s="11" t="n">
        <x:v>3520012</x:v>
      </x:c>
      <x:c r="G52" s="11" t="n">
        <x:v>3222742</x:v>
      </x:c>
      <x:c r="H52" s="11" t="n">
        <x:v>274187</x:v>
      </x:c>
      <x:c r="I52" s="11" t="n">
        <x:v>3600000</x:v>
      </x:c>
      <x:c r="J52" s="11" t="n">
        <x:v>257000</x:v>
      </x:c>
      <x:c r="K52" s="12" t="n">
        <x:v>0.47795633653548686</x:v>
      </x:c>
      <x:c r="L52" s="12" t="n">
        <x:v>0.928611111111111</x:v>
      </x:c>
      <x:c r="M52" s="8" t="str">
        <x:v>No</x:v>
      </x:c>
    </x:row>
    <x:row r="53">
      <x:c r="A53" s="8" t="str">
        <x:v>Armstrong|Parks and Recreation</x:v>
      </x:c>
      <x:c r="B53" s="8" t="str">
        <x:v>armstrong-c</x:v>
      </x:c>
      <x:c r="C53" s="8" t="str">
        <x:v>Armstrong</x:v>
      </x:c>
      <x:c r="D53" s="8" t="str">
        <x:v>Parks and Recreation</x:v>
      </x:c>
      <x:c r="E53" s="11" t="n">
        <x:v>0</x:v>
      </x:c>
      <x:c r="F53" s="11" t="n">
        <x:v>0</x:v>
      </x:c>
      <x:c r="G53" s="11" t="n">
        <x:v>0</x:v>
      </x:c>
      <x:c r="H53" s="11" t="n">
        <x:v>0</x:v>
      </x:c>
      <x:c r="I53" s="11" t="n">
        <x:v>0</x:v>
      </x:c>
      <x:c r="J53" s="11" t="n">
        <x:v>0</x:v>
      </x:c>
      <x:c r="K53" s="12"/>
      <x:c r="L53" s="12"/>
      <x:c r="M53" s="8"/>
    </x:row>
    <x:row r="54">
      <x:c r="A54" s="8" t="str">
        <x:v>Armstrong|Water System</x:v>
      </x:c>
      <x:c r="B54" s="8" t="str">
        <x:v>armstrong-c</x:v>
      </x:c>
      <x:c r="C54" s="8" t="str">
        <x:v>Armstrong</x:v>
      </x:c>
      <x:c r="D54" s="8" t="str">
        <x:v>Water System</x:v>
      </x:c>
      <x:c r="E54" s="11" t="n">
        <x:v>7315431</x:v>
      </x:c>
      <x:c r="F54" s="11" t="n">
        <x:v>3350826</x:v>
      </x:c>
      <x:c r="G54" s="11" t="n">
        <x:v>3964605</x:v>
      </x:c>
      <x:c r="H54" s="11" t="n">
        <x:v>0</x:v>
      </x:c>
      <x:c r="I54" s="11" t="n">
        <x:v>27000000</x:v>
      </x:c>
      <x:c r="J54" s="11" t="n">
        <x:v>360000</x:v>
      </x:c>
      <x:c r="K54" s="12" t="n">
        <x:v>0.5419509800584545</x:v>
      </x:c>
      <x:c r="L54" s="12" t="n">
        <x:v>0.9866666666666667</x:v>
      </x:c>
      <x:c r="M54" s="8" t="str">
        <x:v>In_Progress</x:v>
      </x:c>
    </x:row>
    <x:row r="55">
      <x:c r="A55" s="8" t="str">
        <x:v>Armstrong|Sewer System</x:v>
      </x:c>
      <x:c r="B55" s="8" t="str">
        <x:v>armstrong-c</x:v>
      </x:c>
      <x:c r="C55" s="8" t="str">
        <x:v>Armstrong</x:v>
      </x:c>
      <x:c r="D55" s="8" t="str">
        <x:v>Sewer System</x:v>
      </x:c>
      <x:c r="E55" s="11" t="n">
        <x:v>7827159</x:v>
      </x:c>
      <x:c r="F55" s="11" t="n">
        <x:v>5536755</x:v>
      </x:c>
      <x:c r="G55" s="11" t="n">
        <x:v>2290404</x:v>
      </x:c>
      <x:c r="H55" s="11" t="n">
        <x:v>1403198</x:v>
      </x:c>
      <x:c r="I55" s="11" t="n">
        <x:v>39400000</x:v>
      </x:c>
      <x:c r="J55" s="11" t="n">
        <x:v>525000</x:v>
      </x:c>
      <x:c r="K55" s="12" t="n">
        <x:v>0.29262264890747713</x:v>
      </x:c>
      <x:c r="L55" s="12" t="n">
        <x:v>0.9866751269035533</x:v>
      </x:c>
      <x:c r="M55" s="8" t="str">
        <x:v>In_Progress</x:v>
      </x:c>
    </x:row>
    <x:row r="56">
      <x:c r="A56" s="8" t="str">
        <x:v>Armstrong|Drainage System</x:v>
      </x:c>
      <x:c r="B56" s="8" t="str">
        <x:v>armstrong-c</x:v>
      </x:c>
      <x:c r="C56" s="8" t="str">
        <x:v>Armstrong</x:v>
      </x:c>
      <x:c r="D56" s="8" t="str">
        <x:v>Drainage System</x:v>
      </x:c>
      <x:c r="E56" s="11" t="n">
        <x:v>13366387</x:v>
      </x:c>
      <x:c r="F56" s="11" t="n">
        <x:v>2795970</x:v>
      </x:c>
      <x:c r="G56" s="11" t="n">
        <x:v>10570417</x:v>
      </x:c>
      <x:c r="H56" s="11" t="n">
        <x:v>0</x:v>
      </x:c>
      <x:c r="I56" s="11" t="n">
        <x:v>27500000</x:v>
      </x:c>
      <x:c r="J56" s="11" t="n">
        <x:v>367000</x:v>
      </x:c>
      <x:c r="K56" s="12" t="n">
        <x:v>0.790820810440398</x:v>
      </x:c>
      <x:c r="L56" s="12" t="n">
        <x:v>0.9866545454545455</x:v>
      </x:c>
      <x:c r="M56" s="8" t="str">
        <x:v>In_Progress</x:v>
      </x:c>
    </x:row>
    <x:row r="57">
      <x:c r="A57" s="8" t="str">
        <x:v>Armstrong|Transportation System</x:v>
      </x:c>
      <x:c r="B57" s="8" t="str">
        <x:v>armstrong-c</x:v>
      </x:c>
      <x:c r="C57" s="8" t="str">
        <x:v>Armstrong</x:v>
      </x:c>
      <x:c r="D57" s="8" t="str">
        <x:v>Transportation System</x:v>
      </x:c>
      <x:c r="E57" s="11" t="n">
        <x:v>24631396</x:v>
      </x:c>
      <x:c r="F57" s="11" t="n">
        <x:v>14712741</x:v>
      </x:c>
      <x:c r="G57" s="11" t="n">
        <x:v>9918655</x:v>
      </x:c>
      <x:c r="H57" s="11" t="n">
        <x:v>213400</x:v>
      </x:c>
      <x:c r="I57" s="11" t="n">
        <x:v>67800000</x:v>
      </x:c>
      <x:c r="J57" s="11" t="n">
        <x:v>1413000</x:v>
      </x:c>
      <x:c r="K57" s="12" t="n">
        <x:v>0.4026834289051258</x:v>
      </x:c>
      <x:c r="L57" s="12" t="n">
        <x:v>0.9791592920353982</x:v>
      </x:c>
      <x:c r="M57" s="8" t="str">
        <x:v>In_Progress</x:v>
      </x:c>
    </x:row>
    <x:row r="58">
      <x:c r="A58" s="8" t="str">
        <x:v>Armstrong|Other Engineering Systems</x:v>
      </x:c>
      <x:c r="B58" s="8" t="str">
        <x:v>armstrong-c</x:v>
      </x:c>
      <x:c r="C58" s="8" t="str">
        <x:v>Armstrong</x:v>
      </x:c>
      <x:c r="D58" s="8" t="str">
        <x:v>Other Engineering Systems</x:v>
      </x:c>
      <x:c r="E58" s="11" t="n">
        <x:v>0</x:v>
      </x:c>
      <x:c r="F58" s="11" t="n">
        <x:v>0</x:v>
      </x:c>
      <x:c r="G58" s="11" t="n">
        <x:v>0</x:v>
      </x:c>
      <x:c r="H58" s="11" t="n">
        <x:v>0</x:v>
      </x:c>
      <x:c r="I58" s="11" t="n">
        <x:v>0</x:v>
      </x:c>
      <x:c r="J58" s="11" t="n">
        <x:v>0</x:v>
      </x:c>
      <x:c r="K58" s="12"/>
      <x:c r="L58" s="12"/>
      <x:c r="M58" s="8"/>
    </x:row>
    <x:row r="59">
      <x:c r="A59" s="8" t="str">
        <x:v>Armstrong|Other Tangible Capital Assets</x:v>
      </x:c>
      <x:c r="B59" s="8" t="str">
        <x:v>armstrong-c</x:v>
      </x:c>
      <x:c r="C59" s="8" t="str">
        <x:v>Armstrong</x:v>
      </x:c>
      <x:c r="D59" s="8" t="str">
        <x:v>Other Tangible Capital Assets</x:v>
      </x:c>
      <x:c r="E59" s="11" t="n">
        <x:v>0</x:v>
      </x:c>
      <x:c r="F59" s="11" t="n">
        <x:v>0</x:v>
      </x:c>
      <x:c r="G59" s="11" t="n">
        <x:v>0</x:v>
      </x:c>
      <x:c r="H59" s="11" t="n">
        <x:v>0</x:v>
      </x:c>
      <x:c r="I59" s="11" t="n">
        <x:v>0</x:v>
      </x:c>
      <x:c r="J59" s="11" t="n">
        <x:v>0</x:v>
      </x:c>
      <x:c r="K59" s="12"/>
      <x:c r="L59" s="12"/>
      <x:c r="M59" s="8" t="str">
        <x:v>N/A</x:v>
      </x:c>
    </x:row>
    <x:row r="60">
      <x:c r="A60" s="8" t="str">
        <x:v>Armstrong|Work In Progress</x:v>
      </x:c>
      <x:c r="B60" s="8" t="str">
        <x:v>armstrong-c</x:v>
      </x:c>
      <x:c r="C60" s="8" t="str">
        <x:v>Armstrong</x:v>
      </x:c>
      <x:c r="D60" s="8" t="str">
        <x:v>Work In Progress</x:v>
      </x:c>
      <x:c r="E60" s="11" t="n">
        <x:v>579479</x:v>
      </x:c>
      <x:c r="F60" s="11"/>
      <x:c r="G60" s="11" t="n">
        <x:v>579479</x:v>
      </x:c>
      <x:c r="H60" s="11" t="n">
        <x:v>145537</x:v>
      </x:c>
      <x:c r="I60" s="11" t="n">
        <x:v>579479</x:v>
      </x:c>
      <x:c r="J60" s="11"/>
      <x:c r="K60" s="12" t="n">
        <x:v>1</x:v>
      </x:c>
      <x:c r="L60" s="12"/>
      <x:c r="M60" s="8" t="str">
        <x:v>N/A</x:v>
      </x:c>
    </x:row>
    <x:row r="61">
      <x:c r="A61" s="8" t="str">
        <x:v>Armstrong|Total TCA</x:v>
      </x:c>
      <x:c r="B61" s="8" t="str">
        <x:v>armstrong-c</x:v>
      </x:c>
      <x:c r="C61" s="8" t="str">
        <x:v>Armstrong</x:v>
      </x:c>
      <x:c r="D61" s="8" t="str">
        <x:v>Total TCA</x:v>
      </x:c>
      <x:c r="E61" s="11" t="n">
        <x:v>90054897</x:v>
      </x:c>
      <x:c r="F61" s="11" t="n">
        <x:v>34260052</x:v>
      </x:c>
      <x:c r="G61" s="11" t="n">
        <x:v>55794845</x:v>
      </x:c>
      <x:c r="H61" s="11" t="n">
        <x:v>2359607</x:v>
      </x:c>
      <x:c r="I61" s="11" t="n">
        <x:v>211677072</x:v>
      </x:c>
      <x:c r="J61" s="11" t="n">
        <x:v>3694000</x:v>
      </x:c>
      <x:c r="K61" s="12" t="n">
        <x:v>0.6195648083412943</x:v>
      </x:c>
      <x:c r="L61" s="12" t="n">
        <x:v>0.982548889376172</x:v>
      </x:c>
      <x:c r="M61" s="8"/>
    </x:row>
    <x:row r="62">
      <x:c r="A62" s="8" t="str">
        <x:v>Ashcroft|Land</x:v>
      </x:c>
      <x:c r="B62" s="8" t="str">
        <x:v>ashcroft-v</x:v>
      </x:c>
      <x:c r="C62" s="8" t="str">
        <x:v>Ashcroft</x:v>
      </x:c>
      <x:c r="D62" s="8" t="str">
        <x:v>Land</x:v>
      </x:c>
      <x:c r="E62" s="11" t="n">
        <x:v>656841</x:v>
      </x:c>
      <x:c r="F62" s="11"/>
      <x:c r="G62" s="11" t="n">
        <x:v>656841</x:v>
      </x:c>
      <x:c r="H62" s="11" t="n">
        <x:v>0</x:v>
      </x:c>
      <x:c r="I62" s="11" t="n">
        <x:v>656841</x:v>
      </x:c>
      <x:c r="J62" s="11"/>
      <x:c r="K62" s="12" t="n">
        <x:v>1</x:v>
      </x:c>
      <x:c r="L62" s="12"/>
      <x:c r="M62" s="8" t="str">
        <x:v>N/A</x:v>
      </x:c>
    </x:row>
    <x:row r="63">
      <x:c r="A63" s="8" t="str">
        <x:v>Ashcroft|Buildings</x:v>
      </x:c>
      <x:c r="B63" s="8" t="str">
        <x:v>ashcroft-v</x:v>
      </x:c>
      <x:c r="C63" s="8" t="str">
        <x:v>Ashcroft</x:v>
      </x:c>
      <x:c r="D63" s="8" t="str">
        <x:v>Buildings</x:v>
      </x:c>
      <x:c r="E63" s="11" t="n">
        <x:v>4307575</x:v>
      </x:c>
      <x:c r="F63" s="11" t="n">
        <x:v>2711108</x:v>
      </x:c>
      <x:c r="G63" s="11" t="n">
        <x:v>1596467</x:v>
      </x:c>
      <x:c r="H63" s="11" t="n">
        <x:v>54200</x:v>
      </x:c>
      <x:c r="I63" s="11" t="n">
        <x:v>13431512</x:v>
      </x:c>
      <x:c r="J63" s="11" t="n">
        <x:v>3071334</x:v>
      </x:c>
      <x:c r="K63" s="12" t="n">
        <x:v>0.37061850345031716</x:v>
      </x:c>
      <x:c r="L63" s="12" t="n">
        <x:v>0.7713337113498465</x:v>
      </x:c>
      <x:c r="M63" s="8" t="str">
        <x:v>Yes</x:v>
      </x:c>
    </x:row>
    <x:row r="64">
      <x:c r="A64" s="8" t="str">
        <x:v>Ashcroft|Fleet</x:v>
      </x:c>
      <x:c r="B64" s="8" t="str">
        <x:v>ashcroft-v</x:v>
      </x:c>
      <x:c r="C64" s="8" t="str">
        <x:v>Ashcroft</x:v>
      </x:c>
      <x:c r="D64" s="8" t="str">
        <x:v>Fleet</x:v>
      </x:c>
      <x:c r="E64" s="11" t="n">
        <x:v>2135360</x:v>
      </x:c>
      <x:c r="F64" s="11" t="n">
        <x:v>1302153</x:v>
      </x:c>
      <x:c r="G64" s="11" t="n">
        <x:v>833207</x:v>
      </x:c>
      <x:c r="H64" s="11" t="n">
        <x:v>0</x:v>
      </x:c>
      <x:c r="I64" s="11" t="n">
        <x:v>2683000</x:v>
      </x:c>
      <x:c r="J64" s="11" t="n">
        <x:v>137988</x:v>
      </x:c>
      <x:c r="K64" s="12" t="n">
        <x:v>0.39019509590888657</x:v>
      </x:c>
      <x:c r="L64" s="12" t="n">
        <x:v>0.9485695117405889</x:v>
      </x:c>
      <x:c r="M64" s="8" t="str">
        <x:v>Yes</x:v>
      </x:c>
    </x:row>
    <x:row r="65">
      <x:c r="A65" s="8" t="str">
        <x:v>Ashcroft|Parks and Recreation</x:v>
      </x:c>
      <x:c r="B65" s="8" t="str">
        <x:v>ashcroft-v</x:v>
      </x:c>
      <x:c r="C65" s="8" t="str">
        <x:v>Ashcroft</x:v>
      </x:c>
      <x:c r="D65" s="8" t="str">
        <x:v>Parks and Recreation</x:v>
      </x:c>
      <x:c r="E65" s="11" t="n">
        <x:v>1109844</x:v>
      </x:c>
      <x:c r="F65" s="11" t="n">
        <x:v>541496</x:v>
      </x:c>
      <x:c r="G65" s="11" t="n">
        <x:v>568348</x:v>
      </x:c>
      <x:c r="H65" s="11" t="n">
        <x:v>0</x:v>
      </x:c>
      <x:c r="I65" s="11" t="n">
        <x:v>1552311</x:v>
      </x:c>
      <x:c r="J65" s="11" t="n">
        <x:v>44665</x:v>
      </x:c>
      <x:c r="K65" s="12" t="n">
        <x:v>0.51209719564191</x:v>
      </x:c>
      <x:c r="L65" s="12" t="n">
        <x:v>0.9712267709241253</x:v>
      </x:c>
      <x:c r="M65" s="8" t="str">
        <x:v>Yes</x:v>
      </x:c>
    </x:row>
    <x:row r="66">
      <x:c r="A66" s="8" t="str">
        <x:v>Ashcroft|Water System</x:v>
      </x:c>
      <x:c r="B66" s="8" t="str">
        <x:v>ashcroft-v</x:v>
      </x:c>
      <x:c r="C66" s="8" t="str">
        <x:v>Ashcroft</x:v>
      </x:c>
      <x:c r="D66" s="8" t="str">
        <x:v>Water System</x:v>
      </x:c>
      <x:c r="E66" s="11" t="n">
        <x:v>12951848</x:v>
      </x:c>
      <x:c r="F66" s="11" t="n">
        <x:v>3386434</x:v>
      </x:c>
      <x:c r="G66" s="11" t="n">
        <x:v>9565414</x:v>
      </x:c>
      <x:c r="H66" s="11" t="n">
        <x:v>0</x:v>
      </x:c>
      <x:c r="I66" s="11" t="n">
        <x:v>26184282</x:v>
      </x:c>
      <x:c r="J66" s="11" t="n">
        <x:v>495060</x:v>
      </x:c>
      <x:c r="K66" s="12" t="n">
        <x:v>0.7385366165507811</x:v>
      </x:c>
      <x:c r="L66" s="12" t="n">
        <x:v>0.9810932375384591</x:v>
      </x:c>
      <x:c r="M66" s="8" t="str">
        <x:v>Yes</x:v>
      </x:c>
    </x:row>
    <x:row r="67">
      <x:c r="A67" s="8" t="str">
        <x:v>Ashcroft|Sewer System</x:v>
      </x:c>
      <x:c r="B67" s="8" t="str">
        <x:v>ashcroft-v</x:v>
      </x:c>
      <x:c r="C67" s="8" t="str">
        <x:v>Ashcroft</x:v>
      </x:c>
      <x:c r="D67" s="8" t="str">
        <x:v>Sewer System</x:v>
      </x:c>
      <x:c r="E67" s="11" t="n">
        <x:v>4750640</x:v>
      </x:c>
      <x:c r="F67" s="11" t="n">
        <x:v>1610484</x:v>
      </x:c>
      <x:c r="G67" s="11" t="n">
        <x:v>3140156</x:v>
      </x:c>
      <x:c r="H67" s="11" t="n">
        <x:v>115039</x:v>
      </x:c>
      <x:c r="I67" s="11" t="n">
        <x:v>11020947</x:v>
      </x:c>
      <x:c r="J67" s="11" t="n">
        <x:v>211527</x:v>
      </x:c>
      <x:c r="K67" s="12" t="n">
        <x:v>0.6609964131148646</x:v>
      </x:c>
      <x:c r="L67" s="12" t="n">
        <x:v>0.9808068217731198</x:v>
      </x:c>
      <x:c r="M67" s="8" t="str">
        <x:v>Yes</x:v>
      </x:c>
    </x:row>
    <x:row r="68">
      <x:c r="A68" s="8" t="str">
        <x:v>Ashcroft|Drainage System</x:v>
      </x:c>
      <x:c r="B68" s="8" t="str">
        <x:v>ashcroft-v</x:v>
      </x:c>
      <x:c r="C68" s="8" t="str">
        <x:v>Ashcroft</x:v>
      </x:c>
      <x:c r="D68" s="8" t="str">
        <x:v>Drainage System</x:v>
      </x:c>
      <x:c r="E68" s="11" t="n">
        <x:v>530323</x:v>
      </x:c>
      <x:c r="F68" s="11" t="n">
        <x:v>184008</x:v>
      </x:c>
      <x:c r="G68" s="11" t="n">
        <x:v>346315</x:v>
      </x:c>
      <x:c r="H68" s="11" t="n">
        <x:v>0</x:v>
      </x:c>
      <x:c r="I68" s="11" t="n">
        <x:v>965412</x:v>
      </x:c>
      <x:c r="J68" s="11" t="n">
        <x:v>13792</x:v>
      </x:c>
      <x:c r="K68" s="12" t="n">
        <x:v>0.6530265517429944</x:v>
      </x:c>
      <x:c r="L68" s="12" t="n">
        <x:v>0.9857138713834094</x:v>
      </x:c>
      <x:c r="M68" s="8" t="str">
        <x:v>Yes</x:v>
      </x:c>
    </x:row>
    <x:row r="69">
      <x:c r="A69" s="8" t="str">
        <x:v>Ashcroft|Transportation System</x:v>
      </x:c>
      <x:c r="B69" s="8" t="str">
        <x:v>ashcroft-v</x:v>
      </x:c>
      <x:c r="C69" s="8" t="str">
        <x:v>Ashcroft</x:v>
      </x:c>
      <x:c r="D69" s="8" t="str">
        <x:v>Transportation System</x:v>
      </x:c>
      <x:c r="E69" s="11" t="n">
        <x:v>7469756</x:v>
      </x:c>
      <x:c r="F69" s="11" t="n">
        <x:v>7016845</x:v>
      </x:c>
      <x:c r="G69" s="11" t="n">
        <x:v>452911</x:v>
      </x:c>
      <x:c r="H69" s="11" t="n">
        <x:v>29045</x:v>
      </x:c>
      <x:c r="I69" s="11" t="n">
        <x:v>10714587</x:v>
      </x:c>
      <x:c r="J69" s="11" t="n">
        <x:v>123242</x:v>
      </x:c>
      <x:c r="K69" s="12" t="n">
        <x:v>0.06063263646095</x:v>
      </x:c>
      <x:c r="L69" s="12" t="n">
        <x:v>0.9884977367769752</x:v>
      </x:c>
      <x:c r="M69" s="8" t="str">
        <x:v>Yes</x:v>
      </x:c>
    </x:row>
    <x:row r="70">
      <x:c r="A70" s="8" t="str">
        <x:v>Ashcroft|Other Engineering Systems</x:v>
      </x:c>
      <x:c r="B70" s="8" t="str">
        <x:v>ashcroft-v</x:v>
      </x:c>
      <x:c r="C70" s="8" t="str">
        <x:v>Ashcroft</x:v>
      </x:c>
      <x:c r="D70" s="8" t="str">
        <x:v>Other Engineering Systems</x:v>
      </x:c>
      <x:c r="E70" s="11" t="n">
        <x:v>0</x:v>
      </x:c>
      <x:c r="F70" s="11" t="n">
        <x:v>0</x:v>
      </x:c>
      <x:c r="G70" s="11" t="n">
        <x:v>0</x:v>
      </x:c>
      <x:c r="H70" s="11" t="n">
        <x:v>0</x:v>
      </x:c>
      <x:c r="I70" s="11" t="n">
        <x:v>0</x:v>
      </x:c>
      <x:c r="J70" s="11" t="n">
        <x:v>0</x:v>
      </x:c>
      <x:c r="K70" s="12"/>
      <x:c r="L70" s="12"/>
      <x:c r="M70" s="8"/>
    </x:row>
    <x:row r="71">
      <x:c r="A71" s="8" t="str">
        <x:v>Ashcroft|Other Tangible Capital Assets</x:v>
      </x:c>
      <x:c r="B71" s="8" t="str">
        <x:v>ashcroft-v</x:v>
      </x:c>
      <x:c r="C71" s="8" t="str">
        <x:v>Ashcroft</x:v>
      </x:c>
      <x:c r="D71" s="8" t="str">
        <x:v>Other Tangible Capital Assets</x:v>
      </x:c>
      <x:c r="E71" s="11" t="n">
        <x:v>1106455</x:v>
      </x:c>
      <x:c r="F71" s="11" t="n">
        <x:v>641907</x:v>
      </x:c>
      <x:c r="G71" s="11" t="n">
        <x:v>464548</x:v>
      </x:c>
      <x:c r="H71" s="11" t="n">
        <x:v>115093</x:v>
      </x:c>
      <x:c r="I71" s="11" t="n">
        <x:v>1201000</x:v>
      </x:c>
      <x:c r="J71" s="11" t="n">
        <x:v>72566</x:v>
      </x:c>
      <x:c r="K71" s="12" t="n">
        <x:v>0.4198525922879828</x:v>
      </x:c>
      <x:c r="L71" s="12" t="n">
        <x:v>0.939578684429642</x:v>
      </x:c>
      <x:c r="M71" s="8" t="str">
        <x:v>N/A</x:v>
      </x:c>
    </x:row>
    <x:row r="72">
      <x:c r="A72" s="8" t="str">
        <x:v>Ashcroft|Work In Progress</x:v>
      </x:c>
      <x:c r="B72" s="8" t="str">
        <x:v>ashcroft-v</x:v>
      </x:c>
      <x:c r="C72" s="8" t="str">
        <x:v>Ashcroft</x:v>
      </x:c>
      <x:c r="D72" s="8" t="str">
        <x:v>Work In Progress</x:v>
      </x:c>
      <x:c r="E72" s="11" t="n">
        <x:v>1322019</x:v>
      </x:c>
      <x:c r="F72" s="11"/>
      <x:c r="G72" s="11" t="n">
        <x:v>1322019</x:v>
      </x:c>
      <x:c r="H72" s="11" t="n">
        <x:v>2789</x:v>
      </x:c>
      <x:c r="I72" s="11" t="n">
        <x:v>1322019</x:v>
      </x:c>
      <x:c r="J72" s="11"/>
      <x:c r="K72" s="12" t="n">
        <x:v>1</x:v>
      </x:c>
      <x:c r="L72" s="12"/>
      <x:c r="M72" s="8" t="str">
        <x:v>N/A</x:v>
      </x:c>
    </x:row>
    <x:row r="73">
      <x:c r="A73" s="8" t="str">
        <x:v>Ashcroft|Total TCA</x:v>
      </x:c>
      <x:c r="B73" s="8" t="str">
        <x:v>ashcroft-v</x:v>
      </x:c>
      <x:c r="C73" s="8" t="str">
        <x:v>Ashcroft</x:v>
      </x:c>
      <x:c r="D73" s="8" t="str">
        <x:v>Total TCA</x:v>
      </x:c>
      <x:c r="E73" s="11" t="n">
        <x:v>36340661</x:v>
      </x:c>
      <x:c r="F73" s="11" t="n">
        <x:v>17394435</x:v>
      </x:c>
      <x:c r="G73" s="11" t="n">
        <x:v>18946226</x:v>
      </x:c>
      <x:c r="H73" s="11" t="n">
        <x:v>316166</x:v>
      </x:c>
      <x:c r="I73" s="11" t="n">
        <x:v>69731911</x:v>
      </x:c>
      <x:c r="J73" s="11" t="n">
        <x:v>4170174</x:v>
      </x:c>
      <x:c r="K73" s="12" t="n">
        <x:v>0.521350616049609</x:v>
      </x:c>
      <x:c r="L73" s="12" t="n">
        <x:v>0.9401970498126747</x:v>
      </x:c>
      <x:c r="M73" s="8"/>
    </x:row>
    <x:row r="74">
      <x:c r="A74" s="8" t="str">
        <x:v>Barriere|Land</x:v>
      </x:c>
      <x:c r="B74" s="8" t="str">
        <x:v>barriere-d</x:v>
      </x:c>
      <x:c r="C74" s="8" t="str">
        <x:v>Barriere</x:v>
      </x:c>
      <x:c r="D74" s="8" t="str">
        <x:v>Land</x:v>
      </x:c>
      <x:c r="E74" s="11"/>
      <x:c r="F74" s="11"/>
      <x:c r="G74" s="11"/>
      <x:c r="H74" s="11"/>
      <x:c r="I74" s="11"/>
      <x:c r="J74" s="11"/>
      <x:c r="K74" s="12"/>
      <x:c r="L74" s="12"/>
      <x:c r="M74" s="8"/>
    </x:row>
    <x:row r="75">
      <x:c r="A75" s="8" t="str">
        <x:v>Barriere|Buildings</x:v>
      </x:c>
      <x:c r="B75" s="8" t="str">
        <x:v>barriere-d</x:v>
      </x:c>
      <x:c r="C75" s="8" t="str">
        <x:v>Barriere</x:v>
      </x:c>
      <x:c r="D75" s="8" t="str">
        <x:v>Buildings</x:v>
      </x:c>
      <x:c r="E75" s="11"/>
      <x:c r="F75" s="11"/>
      <x:c r="G75" s="11"/>
      <x:c r="H75" s="11"/>
      <x:c r="I75" s="11"/>
      <x:c r="J75" s="11"/>
      <x:c r="K75" s="12"/>
      <x:c r="L75" s="12"/>
      <x:c r="M75" s="8"/>
    </x:row>
    <x:row r="76">
      <x:c r="A76" s="8" t="str">
        <x:v>Barriere|Fleet</x:v>
      </x:c>
      <x:c r="B76" s="8" t="str">
        <x:v>barriere-d</x:v>
      </x:c>
      <x:c r="C76" s="8" t="str">
        <x:v>Barriere</x:v>
      </x:c>
      <x:c r="D76" s="8" t="str">
        <x:v>Fleet</x:v>
      </x:c>
      <x:c r="E76" s="11"/>
      <x:c r="F76" s="11"/>
      <x:c r="G76" s="11"/>
      <x:c r="H76" s="11"/>
      <x:c r="I76" s="11"/>
      <x:c r="J76" s="11"/>
      <x:c r="K76" s="12"/>
      <x:c r="L76" s="12"/>
      <x:c r="M76" s="8"/>
    </x:row>
    <x:row r="77">
      <x:c r="A77" s="8" t="str">
        <x:v>Barriere|Parks and Recreation</x:v>
      </x:c>
      <x:c r="B77" s="8" t="str">
        <x:v>barriere-d</x:v>
      </x:c>
      <x:c r="C77" s="8" t="str">
        <x:v>Barriere</x:v>
      </x:c>
      <x:c r="D77" s="8" t="str">
        <x:v>Parks and Recreation</x:v>
      </x:c>
      <x:c r="E77" s="11"/>
      <x:c r="F77" s="11"/>
      <x:c r="G77" s="11"/>
      <x:c r="H77" s="11"/>
      <x:c r="I77" s="11"/>
      <x:c r="J77" s="11"/>
      <x:c r="K77" s="12"/>
      <x:c r="L77" s="12"/>
      <x:c r="M77" s="8"/>
    </x:row>
    <x:row r="78">
      <x:c r="A78" s="8" t="str">
        <x:v>Barriere|Water System</x:v>
      </x:c>
      <x:c r="B78" s="8" t="str">
        <x:v>barriere-d</x:v>
      </x:c>
      <x:c r="C78" s="8" t="str">
        <x:v>Barriere</x:v>
      </x:c>
      <x:c r="D78" s="8" t="str">
        <x:v>Water System</x:v>
      </x:c>
      <x:c r="E78" s="11"/>
      <x:c r="F78" s="11"/>
      <x:c r="G78" s="11"/>
      <x:c r="H78" s="11"/>
      <x:c r="I78" s="11"/>
      <x:c r="J78" s="11"/>
      <x:c r="K78" s="12"/>
      <x:c r="L78" s="12"/>
      <x:c r="M78" s="8"/>
    </x:row>
    <x:row r="79">
      <x:c r="A79" s="8" t="str">
        <x:v>Barriere|Sewer System</x:v>
      </x:c>
      <x:c r="B79" s="8" t="str">
        <x:v>barriere-d</x:v>
      </x:c>
      <x:c r="C79" s="8" t="str">
        <x:v>Barriere</x:v>
      </x:c>
      <x:c r="D79" s="8" t="str">
        <x:v>Sewer System</x:v>
      </x:c>
      <x:c r="E79" s="11"/>
      <x:c r="F79" s="11"/>
      <x:c r="G79" s="11"/>
      <x:c r="H79" s="11"/>
      <x:c r="I79" s="11"/>
      <x:c r="J79" s="11"/>
      <x:c r="K79" s="12"/>
      <x:c r="L79" s="12"/>
      <x:c r="M79" s="8"/>
    </x:row>
    <x:row r="80">
      <x:c r="A80" s="8" t="str">
        <x:v>Barriere|Drainage System</x:v>
      </x:c>
      <x:c r="B80" s="8" t="str">
        <x:v>barriere-d</x:v>
      </x:c>
      <x:c r="C80" s="8" t="str">
        <x:v>Barriere</x:v>
      </x:c>
      <x:c r="D80" s="8" t="str">
        <x:v>Drainage System</x:v>
      </x:c>
      <x:c r="E80" s="11"/>
      <x:c r="F80" s="11"/>
      <x:c r="G80" s="11"/>
      <x:c r="H80" s="11"/>
      <x:c r="I80" s="11"/>
      <x:c r="J80" s="11"/>
      <x:c r="K80" s="12"/>
      <x:c r="L80" s="12"/>
      <x:c r="M80" s="8"/>
    </x:row>
    <x:row r="81">
      <x:c r="A81" s="8" t="str">
        <x:v>Barriere|Transportation System</x:v>
      </x:c>
      <x:c r="B81" s="8" t="str">
        <x:v>barriere-d</x:v>
      </x:c>
      <x:c r="C81" s="8" t="str">
        <x:v>Barriere</x:v>
      </x:c>
      <x:c r="D81" s="8" t="str">
        <x:v>Transportation System</x:v>
      </x:c>
      <x:c r="E81" s="11"/>
      <x:c r="F81" s="11"/>
      <x:c r="G81" s="11"/>
      <x:c r="H81" s="11"/>
      <x:c r="I81" s="11"/>
      <x:c r="J81" s="11"/>
      <x:c r="K81" s="12"/>
      <x:c r="L81" s="12"/>
      <x:c r="M81" s="8"/>
    </x:row>
    <x:row r="82">
      <x:c r="A82" s="8" t="str">
        <x:v>Barriere|Other Engineering Systems</x:v>
      </x:c>
      <x:c r="B82" s="8" t="str">
        <x:v>barriere-d</x:v>
      </x:c>
      <x:c r="C82" s="8" t="str">
        <x:v>Barriere</x:v>
      </x:c>
      <x:c r="D82" s="8" t="str">
        <x:v>Other Engineering Systems</x:v>
      </x:c>
      <x:c r="E82" s="11"/>
      <x:c r="F82" s="11"/>
      <x:c r="G82" s="11"/>
      <x:c r="H82" s="11"/>
      <x:c r="I82" s="11"/>
      <x:c r="J82" s="11"/>
      <x:c r="K82" s="12"/>
      <x:c r="L82" s="12"/>
      <x:c r="M82" s="8"/>
    </x:row>
    <x:row r="83">
      <x:c r="A83" s="8" t="str">
        <x:v>Barriere|Other Tangible Capital Assets</x:v>
      </x:c>
      <x:c r="B83" s="8" t="str">
        <x:v>barriere-d</x:v>
      </x:c>
      <x:c r="C83" s="8" t="str">
        <x:v>Barriere</x:v>
      </x:c>
      <x:c r="D83" s="8" t="str">
        <x:v>Other Tangible Capital Assets</x:v>
      </x:c>
      <x:c r="E83" s="11"/>
      <x:c r="F83" s="11"/>
      <x:c r="G83" s="11"/>
      <x:c r="H83" s="11"/>
      <x:c r="I83" s="11"/>
      <x:c r="J83" s="11"/>
      <x:c r="K83" s="12"/>
      <x:c r="L83" s="12"/>
      <x:c r="M83" s="8"/>
    </x:row>
    <x:row r="84">
      <x:c r="A84" s="8" t="str">
        <x:v>Barriere|Work In Progress</x:v>
      </x:c>
      <x:c r="B84" s="8" t="str">
        <x:v>barriere-d</x:v>
      </x:c>
      <x:c r="C84" s="8" t="str">
        <x:v>Barriere</x:v>
      </x:c>
      <x:c r="D84" s="8" t="str">
        <x:v>Work In Progress</x:v>
      </x:c>
      <x:c r="E84" s="11"/>
      <x:c r="F84" s="11"/>
      <x:c r="G84" s="11"/>
      <x:c r="H84" s="11"/>
      <x:c r="I84" s="11"/>
      <x:c r="J84" s="11"/>
      <x:c r="K84" s="12"/>
      <x:c r="L84" s="12"/>
      <x:c r="M84" s="8"/>
    </x:row>
    <x:row r="85">
      <x:c r="A85" s="8" t="str">
        <x:v>Barriere|Total TCA</x:v>
      </x:c>
      <x:c r="B85" s="8" t="str">
        <x:v>barriere-d</x:v>
      </x:c>
      <x:c r="C85" s="8" t="str">
        <x:v>Barriere</x:v>
      </x:c>
      <x:c r="D85" s="8" t="str">
        <x:v>Total TCA</x:v>
      </x:c>
      <x:c r="E85" s="11"/>
      <x:c r="F85" s="11"/>
      <x:c r="G85" s="11"/>
      <x:c r="H85" s="11"/>
      <x:c r="I85" s="11"/>
      <x:c r="J85" s="11"/>
      <x:c r="K85" s="12"/>
      <x:c r="L85" s="12"/>
      <x:c r="M85" s="8"/>
    </x:row>
    <x:row r="86">
      <x:c r="A86" s="8" t="str">
        <x:v>Belcarra|Land</x:v>
      </x:c>
      <x:c r="B86" s="8" t="str">
        <x:v>belcarra-v</x:v>
      </x:c>
      <x:c r="C86" s="8" t="str">
        <x:v>Belcarra</x:v>
      </x:c>
      <x:c r="D86" s="8" t="str">
        <x:v>Land</x:v>
      </x:c>
      <x:c r="E86" s="11" t="n">
        <x:v>329318</x:v>
      </x:c>
      <x:c r="F86" s="11"/>
      <x:c r="G86" s="11" t="n">
        <x:v>329318</x:v>
      </x:c>
      <x:c r="H86" s="11" t="n">
        <x:v>0</x:v>
      </x:c>
      <x:c r="I86" s="11" t="n">
        <x:v>329318</x:v>
      </x:c>
      <x:c r="J86" s="11"/>
      <x:c r="K86" s="12" t="n">
        <x:v>1</x:v>
      </x:c>
      <x:c r="L86" s="12"/>
      <x:c r="M86" s="8" t="str">
        <x:v>N/A</x:v>
      </x:c>
    </x:row>
    <x:row r="87">
      <x:c r="A87" s="8" t="str">
        <x:v>Belcarra|Buildings</x:v>
      </x:c>
      <x:c r="B87" s="8" t="str">
        <x:v>belcarra-v</x:v>
      </x:c>
      <x:c r="C87" s="8" t="str">
        <x:v>Belcarra</x:v>
      </x:c>
      <x:c r="D87" s="8" t="str">
        <x:v>Buildings</x:v>
      </x:c>
      <x:c r="E87" s="11" t="n">
        <x:v>513671</x:v>
      </x:c>
      <x:c r="F87" s="11" t="n">
        <x:v>307451</x:v>
      </x:c>
      <x:c r="G87" s="11" t="n">
        <x:v>206220</x:v>
      </x:c>
      <x:c r="H87" s="11" t="n">
        <x:v>6378</x:v>
      </x:c>
      <x:c r="I87" s="11" t="n">
        <x:v>1405900</x:v>
      </x:c>
      <x:c r="J87" s="11" t="n">
        <x:v>31500</x:v>
      </x:c>
      <x:c r="K87" s="12" t="n">
        <x:v>0.40146319336696057</x:v>
      </x:c>
      <x:c r="L87" s="12" t="n">
        <x:v>0.9775944235009603</x:v>
      </x:c>
      <x:c r="M87" s="8" t="str">
        <x:v>Yes</x:v>
      </x:c>
    </x:row>
    <x:row r="88">
      <x:c r="A88" s="8" t="str">
        <x:v>Belcarra|Fleet</x:v>
      </x:c>
      <x:c r="B88" s="8" t="str">
        <x:v>belcarra-v</x:v>
      </x:c>
      <x:c r="C88" s="8" t="str">
        <x:v>Belcarra</x:v>
      </x:c>
      <x:c r="D88" s="8" t="str">
        <x:v>Fleet</x:v>
      </x:c>
      <x:c r="E88" s="11" t="n">
        <x:v>588139</x:v>
      </x:c>
      <x:c r="F88" s="11" t="n">
        <x:v>160333</x:v>
      </x:c>
      <x:c r="G88" s="11" t="n">
        <x:v>427806</x:v>
      </x:c>
      <x:c r="H88" s="11" t="n">
        <x:v>198322</x:v>
      </x:c>
      <x:c r="I88" s="11" t="n">
        <x:v>700000</x:v>
      </x:c>
      <x:c r="J88" s="11" t="n">
        <x:v>58333</x:v>
      </x:c>
      <x:c r="K88" s="12" t="n">
        <x:v>0.7273892736240922</x:v>
      </x:c>
      <x:c r="L88" s="12" t="n">
        <x:v>0.9166671428571429</x:v>
      </x:c>
      <x:c r="M88" s="8" t="str">
        <x:v>Yes</x:v>
      </x:c>
    </x:row>
    <x:row r="89">
      <x:c r="A89" s="8" t="str">
        <x:v>Belcarra|Parks and Recreation</x:v>
      </x:c>
      <x:c r="B89" s="8" t="str">
        <x:v>belcarra-v</x:v>
      </x:c>
      <x:c r="C89" s="8" t="str">
        <x:v>Belcarra</x:v>
      </x:c>
      <x:c r="D89" s="8" t="str">
        <x:v>Parks and Recreation</x:v>
      </x:c>
      <x:c r="E89" s="11" t="n">
        <x:v>0</x:v>
      </x:c>
      <x:c r="F89" s="11" t="n">
        <x:v>0</x:v>
      </x:c>
      <x:c r="G89" s="11" t="n">
        <x:v>0</x:v>
      </x:c>
      <x:c r="H89" s="11" t="n">
        <x:v>0</x:v>
      </x:c>
      <x:c r="I89" s="11" t="n">
        <x:v>0</x:v>
      </x:c>
      <x:c r="J89" s="11" t="n">
        <x:v>0</x:v>
      </x:c>
      <x:c r="K89" s="12"/>
      <x:c r="L89" s="12"/>
      <x:c r="M89" s="8"/>
    </x:row>
    <x:row r="90">
      <x:c r="A90" s="8" t="str">
        <x:v>Belcarra|Water System</x:v>
      </x:c>
      <x:c r="B90" s="8" t="str">
        <x:v>belcarra-v</x:v>
      </x:c>
      <x:c r="C90" s="8" t="str">
        <x:v>Belcarra</x:v>
      </x:c>
      <x:c r="D90" s="8" t="str">
        <x:v>Water System</x:v>
      </x:c>
      <x:c r="E90" s="11" t="n">
        <x:v>9741922</x:v>
      </x:c>
      <x:c r="F90" s="11" t="n">
        <x:v>2121649</x:v>
      </x:c>
      <x:c r="G90" s="11" t="n">
        <x:v>7620273</x:v>
      </x:c>
      <x:c r="H90" s="11" t="n">
        <x:v>0</x:v>
      </x:c>
      <x:c r="I90" s="11" t="n">
        <x:v>10502029</x:v>
      </x:c>
      <x:c r="J90" s="11" t="n">
        <x:v>189320</x:v>
      </x:c>
      <x:c r="K90" s="12" t="n">
        <x:v>0.782214536310186</x:v>
      </x:c>
      <x:c r="L90" s="12" t="n">
        <x:v>0.9819730073112538</x:v>
      </x:c>
      <x:c r="M90" s="8" t="str">
        <x:v>Yes</x:v>
      </x:c>
    </x:row>
    <x:row r="91">
      <x:c r="A91" s="8" t="str">
        <x:v>Belcarra|Sewer System</x:v>
      </x:c>
      <x:c r="B91" s="8" t="str">
        <x:v>belcarra-v</x:v>
      </x:c>
      <x:c r="C91" s="8" t="str">
        <x:v>Belcarra</x:v>
      </x:c>
      <x:c r="D91" s="8" t="str">
        <x:v>Sewer System</x:v>
      </x:c>
      <x:c r="E91" s="11" t="n">
        <x:v>0</x:v>
      </x:c>
      <x:c r="F91" s="11" t="n">
        <x:v>0</x:v>
      </x:c>
      <x:c r="G91" s="11" t="n">
        <x:v>0</x:v>
      </x:c>
      <x:c r="H91" s="11" t="n">
        <x:v>0</x:v>
      </x:c>
      <x:c r="I91" s="11" t="n">
        <x:v>0</x:v>
      </x:c>
      <x:c r="J91" s="11" t="n">
        <x:v>0</x:v>
      </x:c>
      <x:c r="K91" s="12"/>
      <x:c r="L91" s="12"/>
      <x:c r="M91" s="8"/>
    </x:row>
    <x:row r="92">
      <x:c r="A92" s="8" t="str">
        <x:v>Belcarra|Drainage System</x:v>
      </x:c>
      <x:c r="B92" s="8" t="str">
        <x:v>belcarra-v</x:v>
      </x:c>
      <x:c r="C92" s="8" t="str">
        <x:v>Belcarra</x:v>
      </x:c>
      <x:c r="D92" s="8" t="str">
        <x:v>Drainage System</x:v>
      </x:c>
      <x:c r="E92" s="11" t="n">
        <x:v>407526</x:v>
      </x:c>
      <x:c r="F92" s="11" t="n">
        <x:v>317920</x:v>
      </x:c>
      <x:c r="G92" s="11" t="n">
        <x:v>89606</x:v>
      </x:c>
      <x:c r="H92" s="11" t="n">
        <x:v>0</x:v>
      </x:c>
      <x:c r="I92" s="11" t="n">
        <x:v>4029252</x:v>
      </x:c>
      <x:c r="J92" s="11" t="n">
        <x:v>57576</x:v>
      </x:c>
      <x:c r="K92" s="12" t="n">
        <x:v>0.21987799551439663</x:v>
      </x:c>
      <x:c r="L92" s="12" t="n">
        <x:v>0.9857104991199359</x:v>
      </x:c>
      <x:c r="M92" s="8" t="str">
        <x:v>Yes</x:v>
      </x:c>
    </x:row>
    <x:row r="93">
      <x:c r="A93" s="8" t="str">
        <x:v>Belcarra|Transportation System</x:v>
      </x:c>
      <x:c r="B93" s="8" t="str">
        <x:v>belcarra-v</x:v>
      </x:c>
      <x:c r="C93" s="8" t="str">
        <x:v>Belcarra</x:v>
      </x:c>
      <x:c r="D93" s="8" t="str">
        <x:v>Transportation System</x:v>
      </x:c>
      <x:c r="E93" s="11" t="n">
        <x:v>2937464</x:v>
      </x:c>
      <x:c r="F93" s="11" t="n">
        <x:v>1334014</x:v>
      </x:c>
      <x:c r="G93" s="11" t="n">
        <x:v>1603450</x:v>
      </x:c>
      <x:c r="H93" s="11" t="n">
        <x:v>57742</x:v>
      </x:c>
      <x:c r="I93" s="11" t="n">
        <x:v>4577164</x:v>
      </x:c>
      <x:c r="J93" s="11" t="n">
        <x:v>210961</x:v>
      </x:c>
      <x:c r="K93" s="12" t="n">
        <x:v>0.545862008862066</x:v>
      </x:c>
      <x:c r="L93" s="12" t="n">
        <x:v>0.9539101067822783</x:v>
      </x:c>
      <x:c r="M93" s="8" t="str">
        <x:v>Yes</x:v>
      </x:c>
    </x:row>
    <x:row r="94">
      <x:c r="A94" s="8" t="str">
        <x:v>Belcarra|Other Engineering Systems</x:v>
      </x:c>
      <x:c r="B94" s="8" t="str">
        <x:v>belcarra-v</x:v>
      </x:c>
      <x:c r="C94" s="8" t="str">
        <x:v>Belcarra</x:v>
      </x:c>
      <x:c r="D94" s="8" t="str">
        <x:v>Other Engineering Systems</x:v>
      </x:c>
      <x:c r="E94" s="11" t="n">
        <x:v>158378</x:v>
      </x:c>
      <x:c r="F94" s="11" t="n">
        <x:v>112926</x:v>
      </x:c>
      <x:c r="G94" s="11" t="n">
        <x:v>45452</x:v>
      </x:c>
      <x:c r="H94" s="11" t="n">
        <x:v>0</x:v>
      </x:c>
      <x:c r="I94" s="11" t="n">
        <x:v>185000</x:v>
      </x:c>
      <x:c r="J94" s="11" t="n">
        <x:v>16083</x:v>
      </x:c>
      <x:c r="K94" s="12" t="n">
        <x:v>0.2869843033754688</x:v>
      </x:c>
      <x:c r="L94" s="12" t="n">
        <x:v>0.9130648648648648</x:v>
      </x:c>
      <x:c r="M94" s="8" t="str">
        <x:v>Yes</x:v>
      </x:c>
    </x:row>
    <x:row r="95">
      <x:c r="A95" s="8" t="str">
        <x:v>Belcarra|Other Tangible Capital Assets</x:v>
      </x:c>
      <x:c r="B95" s="8" t="str">
        <x:v>belcarra-v</x:v>
      </x:c>
      <x:c r="C95" s="8" t="str">
        <x:v>Belcarra</x:v>
      </x:c>
      <x:c r="D95" s="8" t="str">
        <x:v>Other Tangible Capital Assets</x:v>
      </x:c>
      <x:c r="E95" s="11" t="n">
        <x:v>281421</x:v>
      </x:c>
      <x:c r="F95" s="11" t="n">
        <x:v>229220</x:v>
      </x:c>
      <x:c r="G95" s="11" t="n">
        <x:v>52201</x:v>
      </x:c>
      <x:c r="H95" s="11" t="n">
        <x:v>18215</x:v>
      </x:c>
      <x:c r="I95" s="11" t="n">
        <x:v>395067</x:v>
      </x:c>
      <x:c r="J95" s="11" t="n">
        <x:v>38150</x:v>
      </x:c>
      <x:c r="K95" s="12" t="n">
        <x:v>0.18549077716304044</x:v>
      </x:c>
      <x:c r="L95" s="12" t="n">
        <x:v>0.9034341010512141</x:v>
      </x:c>
      <x:c r="M95" s="8" t="str">
        <x:v>N/A</x:v>
      </x:c>
    </x:row>
    <x:row r="96">
      <x:c r="A96" s="8" t="str">
        <x:v>Belcarra|Work In Progress</x:v>
      </x:c>
      <x:c r="B96" s="8" t="str">
        <x:v>belcarra-v</x:v>
      </x:c>
      <x:c r="C96" s="8" t="str">
        <x:v>Belcarra</x:v>
      </x:c>
      <x:c r="D96" s="8" t="str">
        <x:v>Work In Progress</x:v>
      </x:c>
      <x:c r="E96" s="11" t="n">
        <x:v>364222</x:v>
      </x:c>
      <x:c r="F96" s="11"/>
      <x:c r="G96" s="11" t="n">
        <x:v>364222</x:v>
      </x:c>
      <x:c r="H96" s="11" t="n">
        <x:v>331751</x:v>
      </x:c>
      <x:c r="I96" s="11" t="n">
        <x:v>364222</x:v>
      </x:c>
      <x:c r="J96" s="11"/>
      <x:c r="K96" s="12" t="n">
        <x:v>1</x:v>
      </x:c>
      <x:c r="L96" s="12"/>
      <x:c r="M96" s="8" t="str">
        <x:v>N/A</x:v>
      </x:c>
    </x:row>
    <x:row r="97">
      <x:c r="A97" s="8" t="str">
        <x:v>Belcarra|Total TCA</x:v>
      </x:c>
      <x:c r="B97" s="8" t="str">
        <x:v>belcarra-v</x:v>
      </x:c>
      <x:c r="C97" s="8" t="str">
        <x:v>Belcarra</x:v>
      </x:c>
      <x:c r="D97" s="8" t="str">
        <x:v>Total TCA</x:v>
      </x:c>
      <x:c r="E97" s="11" t="n">
        <x:v>15322061</x:v>
      </x:c>
      <x:c r="F97" s="11" t="n">
        <x:v>4583513</x:v>
      </x:c>
      <x:c r="G97" s="11" t="n">
        <x:v>10738548</x:v>
      </x:c>
      <x:c r="H97" s="11" t="n">
        <x:v>612408</x:v>
      </x:c>
      <x:c r="I97" s="11" t="n">
        <x:v>22487952</x:v>
      </x:c>
      <x:c r="J97" s="11" t="n">
        <x:v>601923</x:v>
      </x:c>
      <x:c r="K97" s="12" t="n">
        <x:v>0.7008553222702872</x:v>
      </x:c>
      <x:c r="L97" s="12" t="n">
        <x:v>0.9732335341164016</x:v>
      </x:c>
      <x:c r="M97" s="8"/>
    </x:row>
    <x:row r="98">
      <x:c r="A98" s="8" t="str">
        <x:v>Bowen Island|Land</x:v>
      </x:c>
      <x:c r="B98" s="8" t="str">
        <x:v>bowen-island-d</x:v>
      </x:c>
      <x:c r="C98" s="8" t="str">
        <x:v>Bowen Island</x:v>
      </x:c>
      <x:c r="D98" s="8" t="str">
        <x:v>Land</x:v>
      </x:c>
      <x:c r="E98" s="11" t="n">
        <x:v>32780637</x:v>
      </x:c>
      <x:c r="F98" s="11"/>
      <x:c r="G98" s="11" t="n">
        <x:v>32780637</x:v>
      </x:c>
      <x:c r="H98" s="11" t="n">
        <x:v>0</x:v>
      </x:c>
      <x:c r="I98" s="11" t="n">
        <x:v>32780637</x:v>
      </x:c>
      <x:c r="J98" s="11"/>
      <x:c r="K98" s="12" t="n">
        <x:v>1</x:v>
      </x:c>
      <x:c r="L98" s="12"/>
      <x:c r="M98" s="8" t="str">
        <x:v>N/A</x:v>
      </x:c>
    </x:row>
    <x:row r="99">
      <x:c r="A99" s="8" t="str">
        <x:v>Bowen Island|Buildings</x:v>
      </x:c>
      <x:c r="B99" s="8" t="str">
        <x:v>bowen-island-d</x:v>
      </x:c>
      <x:c r="C99" s="8" t="str">
        <x:v>Bowen Island</x:v>
      </x:c>
      <x:c r="D99" s="8" t="str">
        <x:v>Buildings</x:v>
      </x:c>
      <x:c r="E99" s="11" t="n">
        <x:v>7456221</x:v>
      </x:c>
      <x:c r="F99" s="11" t="n">
        <x:v>2079255</x:v>
      </x:c>
      <x:c r="G99" s="11" t="n">
        <x:v>5376966</x:v>
      </x:c>
      <x:c r="H99" s="11" t="n">
        <x:v>177449</x:v>
      </x:c>
      <x:c r="I99" s="11" t="n">
        <x:v>31150000</x:v>
      </x:c>
      <x:c r="J99" s="11" t="n">
        <x:v>618000</x:v>
      </x:c>
      <x:c r="K99" s="12" t="n">
        <x:v>0.7211382280648602</x:v>
      </x:c>
      <x:c r="L99" s="12" t="n">
        <x:v>0.9801605136436597</x:v>
      </x:c>
      <x:c r="M99" s="8" t="str">
        <x:v>In_Progress</x:v>
      </x:c>
    </x:row>
    <x:row r="100">
      <x:c r="A100" s="8" t="str">
        <x:v>Bowen Island|Fleet</x:v>
      </x:c>
      <x:c r="B100" s="8" t="str">
        <x:v>bowen-island-d</x:v>
      </x:c>
      <x:c r="C100" s="8" t="str">
        <x:v>Bowen Island</x:v>
      </x:c>
      <x:c r="D100" s="8" t="str">
        <x:v>Fleet</x:v>
      </x:c>
      <x:c r="E100" s="11" t="n">
        <x:v>8707592</x:v>
      </x:c>
      <x:c r="F100" s="11" t="n">
        <x:v>6074685</x:v>
      </x:c>
      <x:c r="G100" s="11" t="n">
        <x:v>2632907</x:v>
      </x:c>
      <x:c r="H100" s="11" t="n">
        <x:v>654114</x:v>
      </x:c>
      <x:c r="I100" s="11" t="n">
        <x:v>8595000</x:v>
      </x:c>
      <x:c r="J100" s="11" t="n">
        <x:v>674500</x:v>
      </x:c>
      <x:c r="K100" s="12" t="n">
        <x:v>0.30236912799772886</x:v>
      </x:c>
      <x:c r="L100" s="12" t="n">
        <x:v>0.9215241419429901</x:v>
      </x:c>
      <x:c r="M100" s="8" t="str">
        <x:v>In_Progress</x:v>
      </x:c>
    </x:row>
    <x:row r="101">
      <x:c r="A101" s="8" t="str">
        <x:v>Bowen Island|Parks and Recreation</x:v>
      </x:c>
      <x:c r="B101" s="8" t="str">
        <x:v>bowen-island-d</x:v>
      </x:c>
      <x:c r="C101" s="8" t="str">
        <x:v>Bowen Island</x:v>
      </x:c>
      <x:c r="D101" s="8" t="str">
        <x:v>Parks and Recreation</x:v>
      </x:c>
      <x:c r="E101" s="11" t="n">
        <x:v>1837104</x:v>
      </x:c>
      <x:c r="F101" s="11" t="n">
        <x:v>556437</x:v>
      </x:c>
      <x:c r="G101" s="11" t="n">
        <x:v>1280667</x:v>
      </x:c>
      <x:c r="H101" s="11" t="n">
        <x:v>46768</x:v>
      </x:c>
      <x:c r="I101" s="11" t="n">
        <x:v>2871250</x:v>
      </x:c>
      <x:c r="J101" s="11" t="n">
        <x:v>131000</x:v>
      </x:c>
      <x:c r="K101" s="12" t="n">
        <x:v>0.6971118673738667</x:v>
      </x:c>
      <x:c r="L101" s="12" t="n">
        <x:v>0.9543752720940357</x:v>
      </x:c>
      <x:c r="M101" s="8" t="str">
        <x:v>In_Progress</x:v>
      </x:c>
    </x:row>
    <x:row r="102">
      <x:c r="A102" s="8" t="str">
        <x:v>Bowen Island|Water System</x:v>
      </x:c>
      <x:c r="B102" s="8" t="str">
        <x:v>bowen-island-d</x:v>
      </x:c>
      <x:c r="C102" s="8" t="str">
        <x:v>Bowen Island</x:v>
      </x:c>
      <x:c r="D102" s="8" t="str">
        <x:v>Water System</x:v>
      </x:c>
      <x:c r="E102" s="11" t="n">
        <x:v>15239058</x:v>
      </x:c>
      <x:c r="F102" s="11" t="n">
        <x:v>6447380</x:v>
      </x:c>
      <x:c r="G102" s="11" t="n">
        <x:v>8791678</x:v>
      </x:c>
      <x:c r="H102" s="11" t="n">
        <x:v>0</x:v>
      </x:c>
      <x:c r="I102" s="11" t="n">
        <x:v>72000000</x:v>
      </x:c>
      <x:c r="J102" s="11" t="n">
        <x:v>1494000</x:v>
      </x:c>
      <x:c r="K102" s="12" t="n">
        <x:v>0.5769174183863596</x:v>
      </x:c>
      <x:c r="L102" s="12" t="n">
        <x:v>0.97925</x:v>
      </x:c>
      <x:c r="M102" s="8" t="str">
        <x:v>In_Progress</x:v>
      </x:c>
    </x:row>
    <x:row r="103">
      <x:c r="A103" s="8" t="str">
        <x:v>Bowen Island|Sewer System</x:v>
      </x:c>
      <x:c r="B103" s="8" t="str">
        <x:v>bowen-island-d</x:v>
      </x:c>
      <x:c r="C103" s="8" t="str">
        <x:v>Bowen Island</x:v>
      </x:c>
      <x:c r="D103" s="8" t="str">
        <x:v>Sewer System</x:v>
      </x:c>
      <x:c r="E103" s="11" t="n">
        <x:v>7692237</x:v>
      </x:c>
      <x:c r="F103" s="11" t="n">
        <x:v>2313928</x:v>
      </x:c>
      <x:c r="G103" s="11" t="n">
        <x:v>5378309</x:v>
      </x:c>
      <x:c r="H103" s="11" t="n">
        <x:v>0</x:v>
      </x:c>
      <x:c r="I103" s="11" t="n">
        <x:v>16100000</x:v>
      </x:c>
      <x:c r="J103" s="11" t="n">
        <x:v>321000</x:v>
      </x:c>
      <x:c r="K103" s="12" t="n">
        <x:v>0.6991865955248129</x:v>
      </x:c>
      <x:c r="L103" s="12" t="n">
        <x:v>0.9800621118012423</x:v>
      </x:c>
      <x:c r="M103" s="8" t="str">
        <x:v>In_Progress</x:v>
      </x:c>
    </x:row>
    <x:row r="104">
      <x:c r="A104" s="8" t="str">
        <x:v>Bowen Island|Drainage System</x:v>
      </x:c>
      <x:c r="B104" s="8" t="str">
        <x:v>bowen-island-d</x:v>
      </x:c>
      <x:c r="C104" s="8" t="str">
        <x:v>Bowen Island</x:v>
      </x:c>
      <x:c r="D104" s="8" t="str">
        <x:v>Drainage System</x:v>
      </x:c>
      <x:c r="E104" s="11" t="n">
        <x:v>0</x:v>
      </x:c>
      <x:c r="F104" s="11" t="n">
        <x:v>0</x:v>
      </x:c>
      <x:c r="G104" s="11" t="n">
        <x:v>0</x:v>
      </x:c>
      <x:c r="H104" s="11" t="n">
        <x:v>0</x:v>
      </x:c>
      <x:c r="I104" s="11" t="n">
        <x:v>0</x:v>
      </x:c>
      <x:c r="J104" s="11" t="n">
        <x:v>0</x:v>
      </x:c>
      <x:c r="K104" s="12"/>
      <x:c r="L104" s="12"/>
      <x:c r="M104" s="8"/>
    </x:row>
    <x:row r="105">
      <x:c r="A105" s="8" t="str">
        <x:v>Bowen Island|Transportation System</x:v>
      </x:c>
      <x:c r="B105" s="8" t="str">
        <x:v>bowen-island-d</x:v>
      </x:c>
      <x:c r="C105" s="8" t="str">
        <x:v>Bowen Island</x:v>
      </x:c>
      <x:c r="D105" s="8" t="str">
        <x:v>Transportation System</x:v>
      </x:c>
      <x:c r="E105" s="11" t="n">
        <x:v>31353561</x:v>
      </x:c>
      <x:c r="F105" s="11" t="n">
        <x:v>12839750</x:v>
      </x:c>
      <x:c r="G105" s="11" t="n">
        <x:v>18513811</x:v>
      </x:c>
      <x:c r="H105" s="11" t="n">
        <x:v>1356300</x:v>
      </x:c>
      <x:c r="I105" s="11" t="n">
        <x:v>70200000</x:v>
      </x:c>
      <x:c r="J105" s="11" t="n">
        <x:v>0</x:v>
      </x:c>
      <x:c r="K105" s="12" t="n">
        <x:v>0.5904851126798644</x:v>
      </x:c>
      <x:c r="L105" s="12" t="n">
        <x:v>1</x:v>
      </x:c>
      <x:c r="M105" s="8" t="str">
        <x:v>In_Progress</x:v>
      </x:c>
    </x:row>
    <x:row r="106">
      <x:c r="A106" s="8" t="str">
        <x:v>Bowen Island|Other Engineering Systems</x:v>
      </x:c>
      <x:c r="B106" s="8" t="str">
        <x:v>bowen-island-d</x:v>
      </x:c>
      <x:c r="C106" s="8" t="str">
        <x:v>Bowen Island</x:v>
      </x:c>
      <x:c r="D106" s="8" t="str">
        <x:v>Other Engineering Systems</x:v>
      </x:c>
      <x:c r="E106" s="11" t="n">
        <x:v>0</x:v>
      </x:c>
      <x:c r="F106" s="11" t="n">
        <x:v>0</x:v>
      </x:c>
      <x:c r="G106" s="11" t="n">
        <x:v>0</x:v>
      </x:c>
      <x:c r="H106" s="11" t="n">
        <x:v>0</x:v>
      </x:c>
      <x:c r="I106" s="11" t="n">
        <x:v>0</x:v>
      </x:c>
      <x:c r="J106" s="11" t="n">
        <x:v>0</x:v>
      </x:c>
      <x:c r="K106" s="12"/>
      <x:c r="L106" s="12"/>
      <x:c r="M106" s="8"/>
    </x:row>
    <x:row r="107">
      <x:c r="A107" s="8" t="str">
        <x:v>Bowen Island|Other Tangible Capital Assets</x:v>
      </x:c>
      <x:c r="B107" s="8" t="str">
        <x:v>bowen-island-d</x:v>
      </x:c>
      <x:c r="C107" s="8" t="str">
        <x:v>Bowen Island</x:v>
      </x:c>
      <x:c r="D107" s="8" t="str">
        <x:v>Other Tangible Capital Assets</x:v>
      </x:c>
      <x:c r="E107" s="11" t="n">
        <x:v>2089266</x:v>
      </x:c>
      <x:c r="F107" s="11" t="n">
        <x:v>1189393</x:v>
      </x:c>
      <x:c r="G107" s="11" t="n">
        <x:v>899873</x:v>
      </x:c>
      <x:c r="H107" s="11" t="n">
        <x:v>12750</x:v>
      </x:c>
      <x:c r="I107" s="11" t="n">
        <x:v>6000000</x:v>
      </x:c>
      <x:c r="J107" s="11" t="n">
        <x:v>148750</x:v>
      </x:c>
      <x:c r="K107" s="12" t="n">
        <x:v>0.43071250860349997</x:v>
      </x:c>
      <x:c r="L107" s="12" t="n">
        <x:v>0.9752083333333333</x:v>
      </x:c>
      <x:c r="M107" s="8" t="str">
        <x:v>N/A</x:v>
      </x:c>
    </x:row>
    <x:row r="108">
      <x:c r="A108" s="8" t="str">
        <x:v>Bowen Island|Work In Progress</x:v>
      </x:c>
      <x:c r="B108" s="8" t="str">
        <x:v>bowen-island-d</x:v>
      </x:c>
      <x:c r="C108" s="8" t="str">
        <x:v>Bowen Island</x:v>
      </x:c>
      <x:c r="D108" s="8" t="str">
        <x:v>Work In Progress</x:v>
      </x:c>
      <x:c r="E108" s="11" t="n">
        <x:v>29241729</x:v>
      </x:c>
      <x:c r="F108" s="11"/>
      <x:c r="G108" s="11" t="n">
        <x:v>29241729</x:v>
      </x:c>
      <x:c r="H108" s="11" t="n">
        <x:v>5127041</x:v>
      </x:c>
      <x:c r="I108" s="11" t="n">
        <x:v>29241729</x:v>
      </x:c>
      <x:c r="J108" s="11"/>
      <x:c r="K108" s="12" t="n">
        <x:v>1</x:v>
      </x:c>
      <x:c r="L108" s="12"/>
      <x:c r="M108" s="8" t="str">
        <x:v>N/A</x:v>
      </x:c>
    </x:row>
    <x:row r="109">
      <x:c r="A109" s="8" t="str">
        <x:v>Bowen Island|Total TCA</x:v>
      </x:c>
      <x:c r="B109" s="8" t="str">
        <x:v>bowen-island-d</x:v>
      </x:c>
      <x:c r="C109" s="8" t="str">
        <x:v>Bowen Island</x:v>
      </x:c>
      <x:c r="D109" s="8" t="str">
        <x:v>Total TCA</x:v>
      </x:c>
      <x:c r="E109" s="11" t="n">
        <x:v>136397405</x:v>
      </x:c>
      <x:c r="F109" s="11" t="n">
        <x:v>31500828</x:v>
      </x:c>
      <x:c r="G109" s="11" t="n">
        <x:v>104896577</x:v>
      </x:c>
      <x:c r="H109" s="11" t="n">
        <x:v>7374422</x:v>
      </x:c>
      <x:c r="I109" s="11" t="n">
        <x:v>268938616</x:v>
      </x:c>
      <x:c r="J109" s="11" t="n">
        <x:v>3387250</x:v>
      </x:c>
      <x:c r="K109" s="12" t="n">
        <x:v>0.7690511194109595</x:v>
      </x:c>
      <x:c r="L109" s="12" t="n">
        <x:v>0.9874051184973749</x:v>
      </x:c>
      <x:c r="M109" s="8"/>
    </x:row>
    <x:row r="110">
      <x:c r="A110" s="8" t="str">
        <x:v>Burnaby|Land</x:v>
      </x:c>
      <x:c r="B110" s="8" t="str">
        <x:v>burnaby-c</x:v>
      </x:c>
      <x:c r="C110" s="8" t="str">
        <x:v>Burnaby</x:v>
      </x:c>
      <x:c r="D110" s="8" t="str">
        <x:v>Land</x:v>
      </x:c>
      <x:c r="E110" s="11" t="n">
        <x:v>2067380777</x:v>
      </x:c>
      <x:c r="F110" s="11"/>
      <x:c r="G110" s="11" t="n">
        <x:v>2067380777</x:v>
      </x:c>
      <x:c r="H110" s="11" t="n">
        <x:v>141105837</x:v>
      </x:c>
      <x:c r="I110" s="11" t="n">
        <x:v>2067380777</x:v>
      </x:c>
      <x:c r="J110" s="11"/>
      <x:c r="K110" s="12" t="n">
        <x:v>1</x:v>
      </x:c>
      <x:c r="L110" s="12"/>
      <x:c r="M110" s="8" t="str">
        <x:v>N/A</x:v>
      </x:c>
    </x:row>
    <x:row r="111">
      <x:c r="A111" s="8" t="str">
        <x:v>Burnaby|Buildings</x:v>
      </x:c>
      <x:c r="B111" s="8" t="str">
        <x:v>burnaby-c</x:v>
      </x:c>
      <x:c r="C111" s="8" t="str">
        <x:v>Burnaby</x:v>
      </x:c>
      <x:c r="D111" s="8" t="str">
        <x:v>Buildings</x:v>
      </x:c>
      <x:c r="E111" s="11" t="n">
        <x:v>651794366</x:v>
      </x:c>
      <x:c r="F111" s="11" t="n">
        <x:v>203883348</x:v>
      </x:c>
      <x:c r="G111" s="11" t="n">
        <x:v>447911018</x:v>
      </x:c>
      <x:c r="H111" s="11" t="n">
        <x:v>170005758</x:v>
      </x:c>
      <x:c r="I111" s="11" t="n">
        <x:v>1214656151</x:v>
      </x:c>
      <x:c r="J111" s="11" t="n">
        <x:v>24186935</x:v>
      </x:c>
      <x:c r="K111" s="12" t="n">
        <x:v>0.6871968236681567</x:v>
      </x:c>
      <x:c r="L111" s="12" t="n">
        <x:v>0.9800874222881204</x:v>
      </x:c>
      <x:c r="M111" s="8" t="str">
        <x:v>Yes</x:v>
      </x:c>
    </x:row>
    <x:row r="112">
      <x:c r="A112" s="8" t="str">
        <x:v>Burnaby|Fleet</x:v>
      </x:c>
      <x:c r="B112" s="8" t="str">
        <x:v>burnaby-c</x:v>
      </x:c>
      <x:c r="C112" s="8" t="str">
        <x:v>Burnaby</x:v>
      </x:c>
      <x:c r="D112" s="8" t="str">
        <x:v>Fleet</x:v>
      </x:c>
      <x:c r="E112" s="11" t="n">
        <x:v>102263367</x:v>
      </x:c>
      <x:c r="F112" s="11" t="n">
        <x:v>61880299</x:v>
      </x:c>
      <x:c r="G112" s="11" t="n">
        <x:v>40383068</x:v>
      </x:c>
      <x:c r="H112" s="11" t="n">
        <x:v>11499156</x:v>
      </x:c>
      <x:c r="I112" s="11" t="n">
        <x:v>121860200</x:v>
      </x:c>
      <x:c r="J112" s="11" t="n">
        <x:v>11368266</x:v>
      </x:c>
      <x:c r="K112" s="12" t="n">
        <x:v>0.39489280653159015</x:v>
      </x:c>
      <x:c r="L112" s="12" t="n">
        <x:v>0.9067105913169353</x:v>
      </x:c>
      <x:c r="M112" s="8" t="str">
        <x:v>In_Progress</x:v>
      </x:c>
    </x:row>
    <x:row r="113">
      <x:c r="A113" s="8" t="str">
        <x:v>Burnaby|Parks and Recreation</x:v>
      </x:c>
      <x:c r="B113" s="8" t="str">
        <x:v>burnaby-c</x:v>
      </x:c>
      <x:c r="C113" s="8" t="str">
        <x:v>Burnaby</x:v>
      </x:c>
      <x:c r="D113" s="8" t="str">
        <x:v>Parks and Recreation</x:v>
      </x:c>
      <x:c r="E113" s="11" t="n">
        <x:v>218857316</x:v>
      </x:c>
      <x:c r="F113" s="11" t="n">
        <x:v>103096484</x:v>
      </x:c>
      <x:c r="G113" s="11" t="n">
        <x:v>115760832</x:v>
      </x:c>
      <x:c r="H113" s="11" t="n">
        <x:v>16228330</x:v>
      </x:c>
      <x:c r="I113" s="11" t="n">
        <x:v>358733790</x:v>
      </x:c>
      <x:c r="J113" s="11" t="n">
        <x:v>11468279</x:v>
      </x:c>
      <x:c r="K113" s="12" t="n">
        <x:v>0.5289328870322069</x:v>
      </x:c>
      <x:c r="L113" s="12" t="n">
        <x:v>0.96803122727859</x:v>
      </x:c>
      <x:c r="M113" s="8" t="str">
        <x:v>No</x:v>
      </x:c>
    </x:row>
    <x:row r="114">
      <x:c r="A114" s="8" t="str">
        <x:v>Burnaby|Water System</x:v>
      </x:c>
      <x:c r="B114" s="8" t="str">
        <x:v>burnaby-c</x:v>
      </x:c>
      <x:c r="C114" s="8" t="str">
        <x:v>Burnaby</x:v>
      </x:c>
      <x:c r="D114" s="8" t="str">
        <x:v>Water System</x:v>
      </x:c>
      <x:c r="E114" s="11" t="n">
        <x:v>333687114</x:v>
      </x:c>
      <x:c r="F114" s="11" t="n">
        <x:v>111999997</x:v>
      </x:c>
      <x:c r="G114" s="11" t="n">
        <x:v>221687117</x:v>
      </x:c>
      <x:c r="H114" s="11" t="n">
        <x:v>10431990</x:v>
      </x:c>
      <x:c r="I114" s="11" t="n">
        <x:v>799904218</x:v>
      </x:c>
      <x:c r="J114" s="11" t="n">
        <x:v>15859682</x:v>
      </x:c>
      <x:c r="K114" s="12" t="n">
        <x:v>0.6643562418175968</x:v>
      </x:c>
      <x:c r="L114" s="12" t="n">
        <x:v>0.9801730236656909</x:v>
      </x:c>
      <x:c r="M114" s="8" t="str">
        <x:v>Yes</x:v>
      </x:c>
    </x:row>
    <x:row r="115">
      <x:c r="A115" s="8" t="str">
        <x:v>Burnaby|Sewer System</x:v>
      </x:c>
      <x:c r="B115" s="8" t="str">
        <x:v>burnaby-c</x:v>
      </x:c>
      <x:c r="C115" s="8" t="str">
        <x:v>Burnaby</x:v>
      </x:c>
      <x:c r="D115" s="8" t="str">
        <x:v>Sewer System</x:v>
      </x:c>
      <x:c r="E115" s="11" t="n">
        <x:v>192951024</x:v>
      </x:c>
      <x:c r="F115" s="11" t="n">
        <x:v>84586280</x:v>
      </x:c>
      <x:c r="G115" s="11" t="n">
        <x:v>108364744</x:v>
      </x:c>
      <x:c r="H115" s="11" t="n">
        <x:v>3417786</x:v>
      </x:c>
      <x:c r="I115" s="11" t="n">
        <x:v>885801592</x:v>
      </x:c>
      <x:c r="J115" s="11" t="n">
        <x:v>16624179</x:v>
      </x:c>
      <x:c r="K115" s="12" t="n">
        <x:v>0.5616178745959908</x:v>
      </x:c>
      <x:c r="L115" s="12" t="n">
        <x:v>0.9812326155765139</x:v>
      </x:c>
      <x:c r="M115" s="8" t="str">
        <x:v>Yes</x:v>
      </x:c>
    </x:row>
    <x:row r="116">
      <x:c r="A116" s="8" t="str">
        <x:v>Burnaby|Drainage System</x:v>
      </x:c>
      <x:c r="B116" s="8" t="str">
        <x:v>burnaby-c</x:v>
      </x:c>
      <x:c r="C116" s="8" t="str">
        <x:v>Burnaby</x:v>
      </x:c>
      <x:c r="D116" s="8" t="str">
        <x:v>Drainage System</x:v>
      </x:c>
      <x:c r="E116" s="11" t="n">
        <x:v>321913353</x:v>
      </x:c>
      <x:c r="F116" s="11" t="n">
        <x:v>119097965</x:v>
      </x:c>
      <x:c r="G116" s="11" t="n">
        <x:v>202815388</x:v>
      </x:c>
      <x:c r="H116" s="11" t="n">
        <x:v>16170247</x:v>
      </x:c>
      <x:c r="I116" s="11" t="n">
        <x:v>1017158298</x:v>
      </x:c>
      <x:c r="J116" s="11" t="n">
        <x:v>18124772</x:v>
      </x:c>
      <x:c r="K116" s="12" t="n">
        <x:v>0.6300309884939753</x:v>
      </x:c>
      <x:c r="L116" s="12" t="n">
        <x:v>0.9821809721892472</x:v>
      </x:c>
      <x:c r="M116" s="8" t="str">
        <x:v>Yes</x:v>
      </x:c>
    </x:row>
    <x:row r="117">
      <x:c r="A117" s="8" t="str">
        <x:v>Burnaby|Transportation System</x:v>
      </x:c>
      <x:c r="B117" s="8" t="str">
        <x:v>burnaby-c</x:v>
      </x:c>
      <x:c r="C117" s="8" t="str">
        <x:v>Burnaby</x:v>
      </x:c>
      <x:c r="D117" s="8" t="str">
        <x:v>Transportation System</x:v>
      </x:c>
      <x:c r="E117" s="11" t="n">
        <x:v>1071395797</x:v>
      </x:c>
      <x:c r="F117" s="11" t="n">
        <x:v>643147882</x:v>
      </x:c>
      <x:c r="G117" s="11" t="n">
        <x:v>428247915</x:v>
      </x:c>
      <x:c r="H117" s="11" t="n">
        <x:v>76370406</x:v>
      </x:c>
      <x:c r="I117" s="11" t="n">
        <x:v>3412213505</x:v>
      </x:c>
      <x:c r="J117" s="11" t="n">
        <x:v>86508528</x:v>
      </x:c>
      <x:c r="K117" s="12" t="n">
        <x:v>0.39971028092431465</x:v>
      </x:c>
      <x:c r="L117" s="12" t="n">
        <x:v>0.9746473871364623</x:v>
      </x:c>
      <x:c r="M117" s="8" t="str">
        <x:v>Yes</x:v>
      </x:c>
    </x:row>
    <x:row r="118">
      <x:c r="A118" s="8" t="str">
        <x:v>Burnaby|Other Engineering Systems</x:v>
      </x:c>
      <x:c r="B118" s="8" t="str">
        <x:v>burnaby-c</x:v>
      </x:c>
      <x:c r="C118" s="8" t="str">
        <x:v>Burnaby</x:v>
      </x:c>
      <x:c r="D118" s="8" t="str">
        <x:v>Other Engineering Systems</x:v>
      </x:c>
      <x:c r="E118" s="11" t="n">
        <x:v>0</x:v>
      </x:c>
      <x:c r="F118" s="11" t="n">
        <x:v>0</x:v>
      </x:c>
      <x:c r="G118" s="11" t="n">
        <x:v>0</x:v>
      </x:c>
      <x:c r="H118" s="11" t="n">
        <x:v>0</x:v>
      </x:c>
      <x:c r="I118" s="11" t="n">
        <x:v>0</x:v>
      </x:c>
      <x:c r="J118" s="11" t="n">
        <x:v>0</x:v>
      </x:c>
      <x:c r="K118" s="12"/>
      <x:c r="L118" s="12"/>
      <x:c r="M118" s="8"/>
    </x:row>
    <x:row r="119">
      <x:c r="A119" s="8" t="str">
        <x:v>Burnaby|Other Tangible Capital Assets</x:v>
      </x:c>
      <x:c r="B119" s="8" t="str">
        <x:v>burnaby-c</x:v>
      </x:c>
      <x:c r="C119" s="8" t="str">
        <x:v>Burnaby</x:v>
      </x:c>
      <x:c r="D119" s="8" t="str">
        <x:v>Other Tangible Capital Assets</x:v>
      </x:c>
      <x:c r="E119" s="11" t="n">
        <x:v>193754153</x:v>
      </x:c>
      <x:c r="F119" s="11" t="n">
        <x:v>110106056</x:v>
      </x:c>
      <x:c r="G119" s="11" t="n">
        <x:v>83648097</x:v>
      </x:c>
      <x:c r="H119" s="11" t="n">
        <x:v>31257873</x:v>
      </x:c>
      <x:c r="I119" s="11" t="n">
        <x:v>229757517</x:v>
      </x:c>
      <x:c r="J119" s="11" t="n">
        <x:v>21866004</x:v>
      </x:c>
      <x:c r="K119" s="12" t="n">
        <x:v>0.43172285963852347</x:v>
      </x:c>
      <x:c r="L119" s="12" t="n">
        <x:v>0.9048300822296926</x:v>
      </x:c>
      <x:c r="M119" s="8" t="str">
        <x:v>N/A</x:v>
      </x:c>
    </x:row>
    <x:row r="120">
      <x:c r="A120" s="8" t="str">
        <x:v>Burnaby|Work In Progress</x:v>
      </x:c>
      <x:c r="B120" s="8" t="str">
        <x:v>burnaby-c</x:v>
      </x:c>
      <x:c r="C120" s="8" t="str">
        <x:v>Burnaby</x:v>
      </x:c>
      <x:c r="D120" s="8" t="str">
        <x:v>Work In Progress</x:v>
      </x:c>
      <x:c r="E120" s="11" t="n">
        <x:v>226090601</x:v>
      </x:c>
      <x:c r="F120" s="11"/>
      <x:c r="G120" s="11" t="n">
        <x:v>226090601</x:v>
      </x:c>
      <x:c r="H120" s="11" t="n">
        <x:v>-15447934</x:v>
      </x:c>
      <x:c r="I120" s="11" t="n">
        <x:v>226090601</x:v>
      </x:c>
      <x:c r="J120" s="11"/>
      <x:c r="K120" s="12" t="n">
        <x:v>1</x:v>
      </x:c>
      <x:c r="L120" s="12"/>
      <x:c r="M120" s="8" t="str">
        <x:v>N/A</x:v>
      </x:c>
    </x:row>
    <x:row r="121">
      <x:c r="A121" s="8" t="str">
        <x:v>Burnaby|Total TCA</x:v>
      </x:c>
      <x:c r="B121" s="8" t="str">
        <x:v>burnaby-c</x:v>
      </x:c>
      <x:c r="C121" s="8" t="str">
        <x:v>Burnaby</x:v>
      </x:c>
      <x:c r="D121" s="8" t="str">
        <x:v>Total TCA</x:v>
      </x:c>
      <x:c r="E121" s="11" t="n">
        <x:v>5380087868</x:v>
      </x:c>
      <x:c r="F121" s="11" t="n">
        <x:v>1437798311</x:v>
      </x:c>
      <x:c r="G121" s="11" t="n">
        <x:v>3942289557</x:v>
      </x:c>
      <x:c r="H121" s="11" t="n">
        <x:v>461039449</x:v>
      </x:c>
      <x:c r="I121" s="11" t="n">
        <x:v>10333556649</x:v>
      </x:c>
      <x:c r="J121" s="11" t="n">
        <x:v>206006645</x:v>
      </x:c>
      <x:c r="K121" s="12" t="n">
        <x:v>0.7327556080353593</x:v>
      </x:c>
      <x:c r="L121" s="12" t="n">
        <x:v>0.9800643038987031</x:v>
      </x:c>
      <x:c r="M121" s="8"/>
    </x:row>
    <x:row r="122">
      <x:c r="A122" s="8" t="str">
        <x:v>Burns Lake|Land</x:v>
      </x:c>
      <x:c r="B122" s="8" t="str">
        <x:v>burns-lake-v</x:v>
      </x:c>
      <x:c r="C122" s="8" t="str">
        <x:v>Burns Lake</x:v>
      </x:c>
      <x:c r="D122" s="8" t="str">
        <x:v>Land</x:v>
      </x:c>
      <x:c r="E122" s="11" t="n">
        <x:v>810330</x:v>
      </x:c>
      <x:c r="F122" s="11"/>
      <x:c r="G122" s="11" t="n">
        <x:v>810330</x:v>
      </x:c>
      <x:c r="H122" s="11" t="n">
        <x:v>100000</x:v>
      </x:c>
      <x:c r="I122" s="11" t="n">
        <x:v>810330</x:v>
      </x:c>
      <x:c r="J122" s="11"/>
      <x:c r="K122" s="12" t="n">
        <x:v>1</x:v>
      </x:c>
      <x:c r="L122" s="12"/>
      <x:c r="M122" s="8" t="str">
        <x:v>N/A</x:v>
      </x:c>
    </x:row>
    <x:row r="123">
      <x:c r="A123" s="8" t="str">
        <x:v>Burns Lake|Buildings</x:v>
      </x:c>
      <x:c r="B123" s="8" t="str">
        <x:v>burns-lake-v</x:v>
      </x:c>
      <x:c r="C123" s="8" t="str">
        <x:v>Burns Lake</x:v>
      </x:c>
      <x:c r="D123" s="8" t="str">
        <x:v>Buildings</x:v>
      </x:c>
      <x:c r="E123" s="11" t="n">
        <x:v>18138199</x:v>
      </x:c>
      <x:c r="F123" s="11" t="n">
        <x:v>4785544</x:v>
      </x:c>
      <x:c r="G123" s="11" t="n">
        <x:v>13352655</x:v>
      </x:c>
      <x:c r="H123" s="11" t="n">
        <x:v>2994662</x:v>
      </x:c>
      <x:c r="I123" s="11" t="n">
        <x:v>29266662</x:v>
      </x:c>
      <x:c r="J123" s="11" t="n">
        <x:v>646000</x:v>
      </x:c>
      <x:c r="K123" s="12" t="n">
        <x:v>0.7361621184109844</x:v>
      </x:c>
      <x:c r="L123" s="12" t="n">
        <x:v>0.9779271035419072</x:v>
      </x:c>
      <x:c r="M123" s="8" t="str">
        <x:v>No</x:v>
      </x:c>
    </x:row>
    <x:row r="124">
      <x:c r="A124" s="8" t="str">
        <x:v>Burns Lake|Fleet</x:v>
      </x:c>
      <x:c r="B124" s="8" t="str">
        <x:v>burns-lake-v</x:v>
      </x:c>
      <x:c r="C124" s="8" t="str">
        <x:v>Burns Lake</x:v>
      </x:c>
      <x:c r="D124" s="8" t="str">
        <x:v>Fleet</x:v>
      </x:c>
      <x:c r="E124" s="11" t="n">
        <x:v>2727717</x:v>
      </x:c>
      <x:c r="F124" s="11" t="n">
        <x:v>1787659</x:v>
      </x:c>
      <x:c r="G124" s="11" t="n">
        <x:v>940058</x:v>
      </x:c>
      <x:c r="H124" s="11" t="n">
        <x:v>101517</x:v>
      </x:c>
      <x:c r="I124" s="11" t="n">
        <x:v>4451000</x:v>
      </x:c>
      <x:c r="J124" s="11" t="n">
        <x:v>319000</x:v>
      </x:c>
      <x:c r="K124" s="12" t="n">
        <x:v>0.3446317928142839</x:v>
      </x:c>
      <x:c r="L124" s="12" t="n">
        <x:v>0.9283307121995057</x:v>
      </x:c>
      <x:c r="M124" s="8" t="str">
        <x:v>No</x:v>
      </x:c>
    </x:row>
    <x:row r="125">
      <x:c r="A125" s="8" t="str">
        <x:v>Burns Lake|Parks and Recreation</x:v>
      </x:c>
      <x:c r="B125" s="8" t="str">
        <x:v>burns-lake-v</x:v>
      </x:c>
      <x:c r="C125" s="8" t="str">
        <x:v>Burns Lake</x:v>
      </x:c>
      <x:c r="D125" s="8" t="str">
        <x:v>Parks and Recreation</x:v>
      </x:c>
      <x:c r="E125" s="11" t="n">
        <x:v>1517062</x:v>
      </x:c>
      <x:c r="F125" s="11" t="n">
        <x:v>513431</x:v>
      </x:c>
      <x:c r="G125" s="11" t="n">
        <x:v>1003631</x:v>
      </x:c>
      <x:c r="H125" s="11" t="n">
        <x:v>374414</x:v>
      </x:c>
      <x:c r="I125" s="11" t="n">
        <x:v>3153000</x:v>
      </x:c>
      <x:c r="J125" s="11" t="n">
        <x:v>986000</x:v>
      </x:c>
      <x:c r="K125" s="12" t="n">
        <x:v>0.6615622828862631</x:v>
      </x:c>
      <x:c r="L125" s="12" t="n">
        <x:v>0.6872819536948938</x:v>
      </x:c>
      <x:c r="M125" s="8" t="str">
        <x:v>No</x:v>
      </x:c>
    </x:row>
    <x:row r="126">
      <x:c r="A126" s="8" t="str">
        <x:v>Burns Lake|Water System</x:v>
      </x:c>
      <x:c r="B126" s="8" t="str">
        <x:v>burns-lake-v</x:v>
      </x:c>
      <x:c r="C126" s="8" t="str">
        <x:v>Burns Lake</x:v>
      </x:c>
      <x:c r="D126" s="8" t="str">
        <x:v>Water System</x:v>
      </x:c>
      <x:c r="E126" s="11" t="n">
        <x:v>11986202</x:v>
      </x:c>
      <x:c r="F126" s="11" t="n">
        <x:v>2824996</x:v>
      </x:c>
      <x:c r="G126" s="11" t="n">
        <x:v>9161206</x:v>
      </x:c>
      <x:c r="H126" s="11" t="n">
        <x:v>35403</x:v>
      </x:c>
      <x:c r="I126" s="11" t="n">
        <x:v>20675000</x:v>
      </x:c>
      <x:c r="J126" s="11" t="n">
        <x:v>347000</x:v>
      </x:c>
      <x:c r="K126" s="12" t="n">
        <x:v>0.7643126655132293</x:v>
      </x:c>
      <x:c r="L126" s="12" t="n">
        <x:v>0.9832164449818621</x:v>
      </x:c>
      <x:c r="M126" s="8" t="str">
        <x:v>No</x:v>
      </x:c>
    </x:row>
    <x:row r="127">
      <x:c r="A127" s="8" t="str">
        <x:v>Burns Lake|Sewer System</x:v>
      </x:c>
      <x:c r="B127" s="8" t="str">
        <x:v>burns-lake-v</x:v>
      </x:c>
      <x:c r="C127" s="8" t="str">
        <x:v>Burns Lake</x:v>
      </x:c>
      <x:c r="D127" s="8" t="str">
        <x:v>Sewer System</x:v>
      </x:c>
      <x:c r="E127" s="11" t="n">
        <x:v>3546462</x:v>
      </x:c>
      <x:c r="F127" s="11" t="n">
        <x:v>2066730</x:v>
      </x:c>
      <x:c r="G127" s="11" t="n">
        <x:v>1479732</x:v>
      </x:c>
      <x:c r="H127" s="11" t="n">
        <x:v>1073852</x:v>
      </x:c>
      <x:c r="I127" s="11" t="n">
        <x:v>21754852</x:v>
      </x:c>
      <x:c r="J127" s="11" t="n">
        <x:v>677000</x:v>
      </x:c>
      <x:c r="K127" s="12" t="n">
        <x:v>0.4172417468451657</x:v>
      </x:c>
      <x:c r="L127" s="12" t="n">
        <x:v>0.9688805053695608</x:v>
      </x:c>
      <x:c r="M127" s="8" t="str">
        <x:v>No</x:v>
      </x:c>
    </x:row>
    <x:row r="128">
      <x:c r="A128" s="8" t="str">
        <x:v>Burns Lake|Drainage System</x:v>
      </x:c>
      <x:c r="B128" s="8" t="str">
        <x:v>burns-lake-v</x:v>
      </x:c>
      <x:c r="C128" s="8" t="str">
        <x:v>Burns Lake</x:v>
      </x:c>
      <x:c r="D128" s="8" t="str">
        <x:v>Drainage System</x:v>
      </x:c>
      <x:c r="E128" s="11" t="n">
        <x:v>738328</x:v>
      </x:c>
      <x:c r="F128" s="11" t="n">
        <x:v>397656</x:v>
      </x:c>
      <x:c r="G128" s="11" t="n">
        <x:v>340672</x:v>
      </x:c>
      <x:c r="H128" s="11" t="n">
        <x:v>0</x:v>
      </x:c>
      <x:c r="I128" s="11" t="n">
        <x:v>23844000</x:v>
      </x:c>
      <x:c r="J128" s="11" t="n">
        <x:v>476000</x:v>
      </x:c>
      <x:c r="K128" s="12" t="n">
        <x:v>0.46141010499398644</x:v>
      </x:c>
      <x:c r="L128" s="12" t="n">
        <x:v>0.9800369065593021</x:v>
      </x:c>
      <x:c r="M128" s="8" t="str">
        <x:v>No</x:v>
      </x:c>
    </x:row>
    <x:row r="129">
      <x:c r="A129" s="8" t="str">
        <x:v>Burns Lake|Transportation System</x:v>
      </x:c>
      <x:c r="B129" s="8" t="str">
        <x:v>burns-lake-v</x:v>
      </x:c>
      <x:c r="C129" s="8" t="str">
        <x:v>Burns Lake</x:v>
      </x:c>
      <x:c r="D129" s="8" t="str">
        <x:v>Transportation System</x:v>
      </x:c>
      <x:c r="E129" s="11" t="n">
        <x:v>12549705</x:v>
      </x:c>
      <x:c r="F129" s="11" t="n">
        <x:v>4787388</x:v>
      </x:c>
      <x:c r="G129" s="11" t="n">
        <x:v>7762317</x:v>
      </x:c>
      <x:c r="H129" s="11" t="n">
        <x:v>4270202</x:v>
      </x:c>
      <x:c r="I129" s="11" t="n">
        <x:v>26834202</x:v>
      </x:c>
      <x:c r="J129" s="11" t="n">
        <x:v>1053000</x:v>
      </x:c>
      <x:c r="K129" s="12" t="n">
        <x:v>0.6185258537949697</x:v>
      </x:c>
      <x:c r="L129" s="12" t="n">
        <x:v>0.9607590343100197</x:v>
      </x:c>
      <x:c r="M129" s="8" t="str">
        <x:v>No</x:v>
      </x:c>
    </x:row>
    <x:row r="130">
      <x:c r="A130" s="8" t="str">
        <x:v>Burns Lake|Other Engineering Systems</x:v>
      </x:c>
      <x:c r="B130" s="8" t="str">
        <x:v>burns-lake-v</x:v>
      </x:c>
      <x:c r="C130" s="8" t="str">
        <x:v>Burns Lake</x:v>
      </x:c>
      <x:c r="D130" s="8" t="str">
        <x:v>Other Engineering Systems</x:v>
      </x:c>
      <x:c r="E130" s="11" t="n">
        <x:v>0</x:v>
      </x:c>
      <x:c r="F130" s="11" t="n">
        <x:v>0</x:v>
      </x:c>
      <x:c r="G130" s="11" t="n">
        <x:v>0</x:v>
      </x:c>
      <x:c r="H130" s="11" t="n">
        <x:v>0</x:v>
      </x:c>
      <x:c r="I130" s="11" t="n">
        <x:v>0</x:v>
      </x:c>
      <x:c r="J130" s="11" t="n">
        <x:v>0</x:v>
      </x:c>
      <x:c r="K130" s="12"/>
      <x:c r="L130" s="12"/>
      <x:c r="M130" s="8" t="str">
        <x:v>No</x:v>
      </x:c>
    </x:row>
    <x:row r="131">
      <x:c r="A131" s="8" t="str">
        <x:v>Burns Lake|Other Tangible Capital Assets</x:v>
      </x:c>
      <x:c r="B131" s="8" t="str">
        <x:v>burns-lake-v</x:v>
      </x:c>
      <x:c r="C131" s="8" t="str">
        <x:v>Burns Lake</x:v>
      </x:c>
      <x:c r="D131" s="8" t="str">
        <x:v>Other Tangible Capital Assets</x:v>
      </x:c>
      <x:c r="E131" s="11" t="n">
        <x:v>2574363</x:v>
      </x:c>
      <x:c r="F131" s="11" t="n">
        <x:v>2174598</x:v>
      </x:c>
      <x:c r="G131" s="11" t="n">
        <x:v>399765</x:v>
      </x:c>
      <x:c r="H131" s="11" t="n">
        <x:v>0</x:v>
      </x:c>
      <x:c r="I131" s="11" t="n">
        <x:v>4300000</x:v>
      </x:c>
      <x:c r="J131" s="11" t="n">
        <x:v>476000</x:v>
      </x:c>
      <x:c r="K131" s="12" t="n">
        <x:v>0.1552869583660113</x:v>
      </x:c>
      <x:c r="L131" s="12" t="n">
        <x:v>0.8893023255813953</x:v>
      </x:c>
      <x:c r="M131" s="8" t="str">
        <x:v>N/A</x:v>
      </x:c>
    </x:row>
    <x:row r="132">
      <x:c r="A132" s="8" t="str">
        <x:v>Burns Lake|Work In Progress</x:v>
      </x:c>
      <x:c r="B132" s="8" t="str">
        <x:v>burns-lake-v</x:v>
      </x:c>
      <x:c r="C132" s="8" t="str">
        <x:v>Burns Lake</x:v>
      </x:c>
      <x:c r="D132" s="8" t="str">
        <x:v>Work In Progress</x:v>
      </x:c>
      <x:c r="E132" s="11" t="n">
        <x:v>4863650</x:v>
      </x:c>
      <x:c r="F132" s="11"/>
      <x:c r="G132" s="11" t="n">
        <x:v>4863650</x:v>
      </x:c>
      <x:c r="H132" s="11" t="n">
        <x:v>0</x:v>
      </x:c>
      <x:c r="I132" s="11" t="n">
        <x:v>4863650</x:v>
      </x:c>
      <x:c r="J132" s="11"/>
      <x:c r="K132" s="12" t="n">
        <x:v>1</x:v>
      </x:c>
      <x:c r="L132" s="12"/>
      <x:c r="M132" s="8" t="str">
        <x:v>N/A</x:v>
      </x:c>
    </x:row>
    <x:row r="133">
      <x:c r="A133" s="8" t="str">
        <x:v>Burns Lake|Total TCA</x:v>
      </x:c>
      <x:c r="B133" s="8" t="str">
        <x:v>burns-lake-v</x:v>
      </x:c>
      <x:c r="C133" s="8" t="str">
        <x:v>Burns Lake</x:v>
      </x:c>
      <x:c r="D133" s="8" t="str">
        <x:v>Total TCA</x:v>
      </x:c>
      <x:c r="E133" s="11" t="n">
        <x:v>59452018</x:v>
      </x:c>
      <x:c r="F133" s="11" t="n">
        <x:v>19338002</x:v>
      </x:c>
      <x:c r="G133" s="11" t="n">
        <x:v>40114016</x:v>
      </x:c>
      <x:c r="H133" s="11" t="n">
        <x:v>8950050</x:v>
      </x:c>
      <x:c r="I133" s="11" t="n">
        <x:v>139952696</x:v>
      </x:c>
      <x:c r="J133" s="11" t="n">
        <x:v>4980000</x:v>
      </x:c>
      <x:c r="K133" s="12" t="n">
        <x:v>0.6747292581388911</x:v>
      </x:c>
      <x:c r="L133" s="12" t="n">
        <x:v>0.9644165482885731</x:v>
      </x:c>
      <x:c r="M133" s="8"/>
    </x:row>
    <x:row r="134">
      <x:c r="A134" s="8" t="str">
        <x:v>Cache Creek|Land</x:v>
      </x:c>
      <x:c r="B134" s="8" t="str">
        <x:v>cache-creek-v</x:v>
      </x:c>
      <x:c r="C134" s="8" t="str">
        <x:v>Cache Creek</x:v>
      </x:c>
      <x:c r="D134" s="8" t="str">
        <x:v>Land</x:v>
      </x:c>
      <x:c r="E134" s="11" t="n">
        <x:v>625708</x:v>
      </x:c>
      <x:c r="F134" s="11"/>
      <x:c r="G134" s="11" t="n">
        <x:v>625708</x:v>
      </x:c>
      <x:c r="H134" s="11" t="n">
        <x:v>0</x:v>
      </x:c>
      <x:c r="I134" s="11" t="n">
        <x:v>625708</x:v>
      </x:c>
      <x:c r="J134" s="11"/>
      <x:c r="K134" s="12" t="n">
        <x:v>1</x:v>
      </x:c>
      <x:c r="L134" s="12"/>
      <x:c r="M134" s="8" t="str">
        <x:v>N/A</x:v>
      </x:c>
    </x:row>
    <x:row r="135">
      <x:c r="A135" s="8" t="str">
        <x:v>Cache Creek|Buildings</x:v>
      </x:c>
      <x:c r="B135" s="8" t="str">
        <x:v>cache-creek-v</x:v>
      </x:c>
      <x:c r="C135" s="8" t="str">
        <x:v>Cache Creek</x:v>
      </x:c>
      <x:c r="D135" s="8" t="str">
        <x:v>Buildings</x:v>
      </x:c>
      <x:c r="E135" s="11" t="n">
        <x:v>3506105</x:v>
      </x:c>
      <x:c r="F135" s="11" t="n">
        <x:v>2054378</x:v>
      </x:c>
      <x:c r="G135" s="11" t="n">
        <x:v>1451727</x:v>
      </x:c>
      <x:c r="H135" s="11" t="n">
        <x:v>339868</x:v>
      </x:c>
      <x:c r="I135" s="11" t="n">
        <x:v>3506105</x:v>
      </x:c>
      <x:c r="J135" s="11" t="n">
        <x:v>2054378</x:v>
      </x:c>
      <x:c r="K135" s="12" t="n">
        <x:v>0.4140569093053403</x:v>
      </x:c>
      <x:c r="L135" s="12" t="n">
        <x:v>0.4140569093053402</x:v>
      </x:c>
      <x:c r="M135" s="8" t="str">
        <x:v>In_Progress</x:v>
      </x:c>
    </x:row>
    <x:row r="136">
      <x:c r="A136" s="8" t="str">
        <x:v>Cache Creek|Fleet</x:v>
      </x:c>
      <x:c r="B136" s="8" t="str">
        <x:v>cache-creek-v</x:v>
      </x:c>
      <x:c r="C136" s="8" t="str">
        <x:v>Cache Creek</x:v>
      </x:c>
      <x:c r="D136" s="8" t="str">
        <x:v>Fleet</x:v>
      </x:c>
      <x:c r="E136" s="11" t="n">
        <x:v>2507188</x:v>
      </x:c>
      <x:c r="F136" s="11" t="n">
        <x:v>1688109</x:v>
      </x:c>
      <x:c r="G136" s="11" t="n">
        <x:v>819079</x:v>
      </x:c>
      <x:c r="H136" s="11" t="n">
        <x:v>1411</x:v>
      </x:c>
      <x:c r="I136" s="11" t="n">
        <x:v>2507188</x:v>
      </x:c>
      <x:c r="J136" s="11" t="n">
        <x:v>1688109</x:v>
      </x:c>
      <x:c r="K136" s="12" t="n">
        <x:v>0.3266922943153844</x:v>
      </x:c>
      <x:c r="L136" s="12" t="n">
        <x:v>0.3266922943153844</x:v>
      </x:c>
      <x:c r="M136" s="8" t="str">
        <x:v>In_Progress</x:v>
      </x:c>
    </x:row>
    <x:row r="137">
      <x:c r="A137" s="8" t="str">
        <x:v>Cache Creek|Parks and Recreation</x:v>
      </x:c>
      <x:c r="B137" s="8" t="str">
        <x:v>cache-creek-v</x:v>
      </x:c>
      <x:c r="C137" s="8" t="str">
        <x:v>Cache Creek</x:v>
      </x:c>
      <x:c r="D137" s="8" t="str">
        <x:v>Parks and Recreation</x:v>
      </x:c>
      <x:c r="E137" s="11" t="n">
        <x:v>1358866</x:v>
      </x:c>
      <x:c r="F137" s="11" t="n">
        <x:v>861928</x:v>
      </x:c>
      <x:c r="G137" s="11" t="n">
        <x:v>496938</x:v>
      </x:c>
      <x:c r="H137" s="11" t="n">
        <x:v>18648</x:v>
      </x:c>
      <x:c r="I137" s="11" t="n">
        <x:v>1358866</x:v>
      </x:c>
      <x:c r="J137" s="11" t="n">
        <x:v>861928</x:v>
      </x:c>
      <x:c r="K137" s="12" t="n">
        <x:v>0.36570051793186376</x:v>
      </x:c>
      <x:c r="L137" s="12" t="n">
        <x:v>0.36570051793186376</x:v>
      </x:c>
      <x:c r="M137" s="8" t="str">
        <x:v>In_Progress</x:v>
      </x:c>
    </x:row>
    <x:row r="138">
      <x:c r="A138" s="8" t="str">
        <x:v>Cache Creek|Water System</x:v>
      </x:c>
      <x:c r="B138" s="8" t="str">
        <x:v>cache-creek-v</x:v>
      </x:c>
      <x:c r="C138" s="8" t="str">
        <x:v>Cache Creek</x:v>
      </x:c>
      <x:c r="D138" s="8" t="str">
        <x:v>Water System</x:v>
      </x:c>
      <x:c r="E138" s="11" t="n">
        <x:v>8478715</x:v>
      </x:c>
      <x:c r="F138" s="11" t="n">
        <x:v>3160806</x:v>
      </x:c>
      <x:c r="G138" s="11" t="n">
        <x:v>5317909</x:v>
      </x:c>
      <x:c r="H138" s="11" t="n">
        <x:v>170293</x:v>
      </x:c>
      <x:c r="I138" s="11" t="n">
        <x:v>8478715</x:v>
      </x:c>
      <x:c r="J138" s="11" t="n">
        <x:v>3160806</x:v>
      </x:c>
      <x:c r="K138" s="12" t="n">
        <x:v>0.6272069529403925</x:v>
      </x:c>
      <x:c r="L138" s="12" t="n">
        <x:v>0.6272069529403925</x:v>
      </x:c>
      <x:c r="M138" s="8" t="str">
        <x:v>In_Progress</x:v>
      </x:c>
    </x:row>
    <x:row r="139">
      <x:c r="A139" s="8" t="str">
        <x:v>Cache Creek|Sewer System</x:v>
      </x:c>
      <x:c r="B139" s="8" t="str">
        <x:v>cache-creek-v</x:v>
      </x:c>
      <x:c r="C139" s="8" t="str">
        <x:v>Cache Creek</x:v>
      </x:c>
      <x:c r="D139" s="8" t="str">
        <x:v>Sewer System</x:v>
      </x:c>
      <x:c r="E139" s="11" t="n">
        <x:v>5103130</x:v>
      </x:c>
      <x:c r="F139" s="11" t="n">
        <x:v>2149904</x:v>
      </x:c>
      <x:c r="G139" s="11" t="n">
        <x:v>2953226</x:v>
      </x:c>
      <x:c r="H139" s="11" t="n">
        <x:v>34471</x:v>
      </x:c>
      <x:c r="I139" s="11" t="n">
        <x:v>5103130</x:v>
      </x:c>
      <x:c r="J139" s="11" t="n">
        <x:v>2149904</x:v>
      </x:c>
      <x:c r="K139" s="12" t="n">
        <x:v>0.5787087532553551</x:v>
      </x:c>
      <x:c r="L139" s="12" t="n">
        <x:v>0.578708753255355</x:v>
      </x:c>
      <x:c r="M139" s="8" t="str">
        <x:v>In_Progress</x:v>
      </x:c>
    </x:row>
    <x:row r="140">
      <x:c r="A140" s="8" t="str">
        <x:v>Cache Creek|Drainage System</x:v>
      </x:c>
      <x:c r="B140" s="8" t="str">
        <x:v>cache-creek-v</x:v>
      </x:c>
      <x:c r="C140" s="8" t="str">
        <x:v>Cache Creek</x:v>
      </x:c>
      <x:c r="D140" s="8" t="str">
        <x:v>Drainage System</x:v>
      </x:c>
      <x:c r="E140" s="11" t="n">
        <x:v>0</x:v>
      </x:c>
      <x:c r="F140" s="11" t="n">
        <x:v>0</x:v>
      </x:c>
      <x:c r="G140" s="11" t="n">
        <x:v>0</x:v>
      </x:c>
      <x:c r="H140" s="11" t="n">
        <x:v>0</x:v>
      </x:c>
      <x:c r="I140" s="11" t="n">
        <x:v>0</x:v>
      </x:c>
      <x:c r="J140" s="11" t="n">
        <x:v>0</x:v>
      </x:c>
      <x:c r="K140" s="12"/>
      <x:c r="L140" s="12"/>
      <x:c r="M140" s="8"/>
    </x:row>
    <x:row r="141">
      <x:c r="A141" s="8" t="str">
        <x:v>Cache Creek|Transportation System</x:v>
      </x:c>
      <x:c r="B141" s="8" t="str">
        <x:v>cache-creek-v</x:v>
      </x:c>
      <x:c r="C141" s="8" t="str">
        <x:v>Cache Creek</x:v>
      </x:c>
      <x:c r="D141" s="8" t="str">
        <x:v>Transportation System</x:v>
      </x:c>
      <x:c r="E141" s="11" t="n">
        <x:v>6396559</x:v>
      </x:c>
      <x:c r="F141" s="11" t="n">
        <x:v>3151747</x:v>
      </x:c>
      <x:c r="G141" s="11" t="n">
        <x:v>3244812</x:v>
      </x:c>
      <x:c r="H141" s="11" t="n">
        <x:v>531477</x:v>
      </x:c>
      <x:c r="I141" s="11" t="n">
        <x:v>3244812</x:v>
      </x:c>
      <x:c r="J141" s="11" t="n">
        <x:v>0</x:v>
      </x:c>
      <x:c r="K141" s="12" t="n">
        <x:v>0.5072746143668807</x:v>
      </x:c>
      <x:c r="L141" s="12" t="n">
        <x:v>1</x:v>
      </x:c>
      <x:c r="M141" s="8" t="str">
        <x:v>In_Progress</x:v>
      </x:c>
    </x:row>
    <x:row r="142">
      <x:c r="A142" s="8" t="str">
        <x:v>Cache Creek|Other Engineering Systems</x:v>
      </x:c>
      <x:c r="B142" s="8" t="str">
        <x:v>cache-creek-v</x:v>
      </x:c>
      <x:c r="C142" s="8" t="str">
        <x:v>Cache Creek</x:v>
      </x:c>
      <x:c r="D142" s="8" t="str">
        <x:v>Other Engineering Systems</x:v>
      </x:c>
      <x:c r="E142" s="11" t="n">
        <x:v>0</x:v>
      </x:c>
      <x:c r="F142" s="11" t="n">
        <x:v>0</x:v>
      </x:c>
      <x:c r="G142" s="11" t="n">
        <x:v>0</x:v>
      </x:c>
      <x:c r="H142" s="11" t="n">
        <x:v>0</x:v>
      </x:c>
      <x:c r="I142" s="11" t="n">
        <x:v>0</x:v>
      </x:c>
      <x:c r="J142" s="11" t="n">
        <x:v>0</x:v>
      </x:c>
      <x:c r="K142" s="12"/>
      <x:c r="L142" s="12"/>
      <x:c r="M142" s="8"/>
    </x:row>
    <x:row r="143">
      <x:c r="A143" s="8" t="str">
        <x:v>Cache Creek|Other Tangible Capital Assets</x:v>
      </x:c>
      <x:c r="B143" s="8" t="str">
        <x:v>cache-creek-v</x:v>
      </x:c>
      <x:c r="C143" s="8" t="str">
        <x:v>Cache Creek</x:v>
      </x:c>
      <x:c r="D143" s="8" t="str">
        <x:v>Other Tangible Capital Assets</x:v>
      </x:c>
      <x:c r="E143" s="11" t="n">
        <x:v>0</x:v>
      </x:c>
      <x:c r="F143" s="11" t="n">
        <x:v>0</x:v>
      </x:c>
      <x:c r="G143" s="11" t="n">
        <x:v>0</x:v>
      </x:c>
      <x:c r="H143" s="11" t="n">
        <x:v>0</x:v>
      </x:c>
      <x:c r="I143" s="11" t="n">
        <x:v>0</x:v>
      </x:c>
      <x:c r="J143" s="11" t="n">
        <x:v>0</x:v>
      </x:c>
      <x:c r="K143" s="12"/>
      <x:c r="L143" s="12"/>
      <x:c r="M143" s="8" t="str">
        <x:v>N/A</x:v>
      </x:c>
    </x:row>
    <x:row r="144">
      <x:c r="A144" s="8" t="str">
        <x:v>Cache Creek|Work In Progress</x:v>
      </x:c>
      <x:c r="B144" s="8" t="str">
        <x:v>cache-creek-v</x:v>
      </x:c>
      <x:c r="C144" s="8" t="str">
        <x:v>Cache Creek</x:v>
      </x:c>
      <x:c r="D144" s="8" t="str">
        <x:v>Work In Progress</x:v>
      </x:c>
      <x:c r="E144" s="11" t="n">
        <x:v>1520542</x:v>
      </x:c>
      <x:c r="F144" s="11"/>
      <x:c r="G144" s="11" t="n">
        <x:v>1520542</x:v>
      </x:c>
      <x:c r="H144" s="11" t="n">
        <x:v>1039256</x:v>
      </x:c>
      <x:c r="I144" s="11" t="n">
        <x:v>1520542</x:v>
      </x:c>
      <x:c r="J144" s="11"/>
      <x:c r="K144" s="12" t="n">
        <x:v>1</x:v>
      </x:c>
      <x:c r="L144" s="12"/>
      <x:c r="M144" s="8" t="str">
        <x:v>N/A</x:v>
      </x:c>
    </x:row>
    <x:row r="145">
      <x:c r="A145" s="8" t="str">
        <x:v>Cache Creek|Total TCA</x:v>
      </x:c>
      <x:c r="B145" s="8" t="str">
        <x:v>cache-creek-v</x:v>
      </x:c>
      <x:c r="C145" s="8" t="str">
        <x:v>Cache Creek</x:v>
      </x:c>
      <x:c r="D145" s="8" t="str">
        <x:v>Total TCA</x:v>
      </x:c>
      <x:c r="E145" s="11" t="n">
        <x:v>29496813</x:v>
      </x:c>
      <x:c r="F145" s="11" t="n">
        <x:v>13066872</x:v>
      </x:c>
      <x:c r="G145" s="11" t="n">
        <x:v>16429941</x:v>
      </x:c>
      <x:c r="H145" s="11" t="n">
        <x:v>2135424</x:v>
      </x:c>
      <x:c r="I145" s="11" t="n">
        <x:v>26345066</x:v>
      </x:c>
      <x:c r="J145" s="11" t="n">
        <x:v>9915125</x:v>
      </x:c>
      <x:c r="K145" s="12" t="n">
        <x:v>0.5570073282154245</x:v>
      </x:c>
      <x:c r="L145" s="12" t="n">
        <x:v>0.6236439491174552</x:v>
      </x:c>
      <x:c r="M145" s="8"/>
    </x:row>
    <x:row r="146">
      <x:c r="A146" s="8" t="str">
        <x:v>Campbell River|Land</x:v>
      </x:c>
      <x:c r="B146" s="8" t="str">
        <x:v>campbell-river-c</x:v>
      </x:c>
      <x:c r="C146" s="8" t="str">
        <x:v>Campbell River</x:v>
      </x:c>
      <x:c r="D146" s="8" t="str">
        <x:v>Land</x:v>
      </x:c>
      <x:c r="E146" s="11" t="n">
        <x:v>45429392</x:v>
      </x:c>
      <x:c r="F146" s="11"/>
      <x:c r="G146" s="11" t="n">
        <x:v>45429392</x:v>
      </x:c>
      <x:c r="H146" s="11" t="n">
        <x:v>9902995</x:v>
      </x:c>
      <x:c r="I146" s="11" t="n">
        <x:v>45429392</x:v>
      </x:c>
      <x:c r="J146" s="11"/>
      <x:c r="K146" s="12" t="n">
        <x:v>1</x:v>
      </x:c>
      <x:c r="L146" s="12"/>
      <x:c r="M146" s="8" t="str">
        <x:v>N/A</x:v>
      </x:c>
    </x:row>
    <x:row r="147">
      <x:c r="A147" s="8" t="str">
        <x:v>Campbell River|Buildings</x:v>
      </x:c>
      <x:c r="B147" s="8" t="str">
        <x:v>campbell-river-c</x:v>
      </x:c>
      <x:c r="C147" s="8" t="str">
        <x:v>Campbell River</x:v>
      </x:c>
      <x:c r="D147" s="8" t="str">
        <x:v>Buildings</x:v>
      </x:c>
      <x:c r="E147" s="11" t="n">
        <x:v>46532866</x:v>
      </x:c>
      <x:c r="F147" s="11" t="n">
        <x:v>27579110</x:v>
      </x:c>
      <x:c r="G147" s="11" t="n">
        <x:v>18953756</x:v>
      </x:c>
      <x:c r="H147" s="11" t="n">
        <x:v>521815</x:v>
      </x:c>
      <x:c r="I147" s="11" t="n">
        <x:v>157325500</x:v>
      </x:c>
      <x:c r="J147" s="11" t="n">
        <x:v>3933138</x:v>
      </x:c>
      <x:c r="K147" s="12" t="n">
        <x:v>0.4073197640566562</x:v>
      </x:c>
      <x:c r="L147" s="12" t="n">
        <x:v>0.9749999968218757</x:v>
      </x:c>
      <x:c r="M147" s="8" t="str">
        <x:v>In_Progress</x:v>
      </x:c>
    </x:row>
    <x:row r="148">
      <x:c r="A148" s="8" t="str">
        <x:v>Campbell River|Fleet</x:v>
      </x:c>
      <x:c r="B148" s="8" t="str">
        <x:v>campbell-river-c</x:v>
      </x:c>
      <x:c r="C148" s="8" t="str">
        <x:v>Campbell River</x:v>
      </x:c>
      <x:c r="D148" s="8" t="str">
        <x:v>Fleet</x:v>
      </x:c>
      <x:c r="E148" s="11" t="n">
        <x:v>19770199</x:v>
      </x:c>
      <x:c r="F148" s="11" t="n">
        <x:v>6209166</x:v>
      </x:c>
      <x:c r="G148" s="11" t="n">
        <x:v>13561033</x:v>
      </x:c>
      <x:c r="H148" s="11" t="n">
        <x:v>2569173</x:v>
      </x:c>
      <x:c r="I148" s="11" t="n">
        <x:v>27000000</x:v>
      </x:c>
      <x:c r="J148" s="11" t="n">
        <x:v>1800000</x:v>
      </x:c>
      <x:c r="K148" s="12" t="n">
        <x:v>0.6859330550997489</x:v>
      </x:c>
      <x:c r="L148" s="12" t="n">
        <x:v>0.9333333333333333</x:v>
      </x:c>
      <x:c r="M148" s="8" t="str">
        <x:v>In_Progress</x:v>
      </x:c>
    </x:row>
    <x:row r="149">
      <x:c r="A149" s="8" t="str">
        <x:v>Campbell River|Parks and Recreation</x:v>
      </x:c>
      <x:c r="B149" s="8" t="str">
        <x:v>campbell-river-c</x:v>
      </x:c>
      <x:c r="C149" s="8" t="str">
        <x:v>Campbell River</x:v>
      </x:c>
      <x:c r="D149" s="8" t="str">
        <x:v>Parks and Recreation</x:v>
      </x:c>
      <x:c r="E149" s="11" t="n">
        <x:v>26621073</x:v>
      </x:c>
      <x:c r="F149" s="11" t="n">
        <x:v>14961458</x:v>
      </x:c>
      <x:c r="G149" s="11" t="n">
        <x:v>11659615</x:v>
      </x:c>
      <x:c r="H149" s="11" t="n">
        <x:v>1023888</x:v>
      </x:c>
      <x:c r="I149" s="11" t="n">
        <x:v>34607264</x:v>
      </x:c>
      <x:c r="J149" s="11" t="n">
        <x:v>865181</x:v>
      </x:c>
      <x:c r="K149" s="12" t="n">
        <x:v>0.43798441182291936</x:v>
      </x:c>
      <x:c r="L149" s="12" t="n">
        <x:v>0.9750000173374006</x:v>
      </x:c>
      <x:c r="M149" s="8" t="str">
        <x:v>In_Progress</x:v>
      </x:c>
    </x:row>
    <x:row r="150">
      <x:c r="A150" s="8" t="str">
        <x:v>Campbell River|Water System</x:v>
      </x:c>
      <x:c r="B150" s="8" t="str">
        <x:v>campbell-river-c</x:v>
      </x:c>
      <x:c r="C150" s="8" t="str">
        <x:v>Campbell River</x:v>
      </x:c>
      <x:c r="D150" s="8" t="str">
        <x:v>Water System</x:v>
      </x:c>
      <x:c r="E150" s="11" t="n">
        <x:v>90178852</x:v>
      </x:c>
      <x:c r="F150" s="11" t="n">
        <x:v>34900714</x:v>
      </x:c>
      <x:c r="G150" s="11" t="n">
        <x:v>55278138</x:v>
      </x:c>
      <x:c r="H150" s="11" t="n">
        <x:v>955852</x:v>
      </x:c>
      <x:c r="I150" s="11" t="n">
        <x:v>318000000</x:v>
      </x:c>
      <x:c r="J150" s="11" t="n">
        <x:v>4892308</x:v>
      </x:c>
      <x:c r="K150" s="12" t="n">
        <x:v>0.6129833855059499</x:v>
      </x:c>
      <x:c r="L150" s="12" t="n">
        <x:v>0.9846153836477988</x:v>
      </x:c>
      <x:c r="M150" s="8" t="str">
        <x:v>In_Progress</x:v>
      </x:c>
    </x:row>
    <x:row r="151">
      <x:c r="A151" s="8" t="str">
        <x:v>Campbell River|Sewer System</x:v>
      </x:c>
      <x:c r="B151" s="8" t="str">
        <x:v>campbell-river-c</x:v>
      </x:c>
      <x:c r="C151" s="8" t="str">
        <x:v>Campbell River</x:v>
      </x:c>
      <x:c r="D151" s="8" t="str">
        <x:v>Sewer System</x:v>
      </x:c>
      <x:c r="E151" s="11" t="n">
        <x:v>78063219</x:v>
      </x:c>
      <x:c r="F151" s="11" t="n">
        <x:v>28754108</x:v>
      </x:c>
      <x:c r="G151" s="11" t="n">
        <x:v>49309111</x:v>
      </x:c>
      <x:c r="H151" s="11" t="n">
        <x:v>2964312</x:v>
      </x:c>
      <x:c r="I151" s="11" t="n">
        <x:v>347000000</x:v>
      </x:c>
      <x:c r="J151" s="11" t="n">
        <x:v>4959143</x:v>
      </x:c>
      <x:c r="K151" s="12" t="n">
        <x:v>0.6316561324482405</x:v>
      </x:c>
      <x:c r="L151" s="12" t="n">
        <x:v>0.9857085216138328</x:v>
      </x:c>
      <x:c r="M151" s="8" t="str">
        <x:v>In_Progress</x:v>
      </x:c>
    </x:row>
    <x:row r="152">
      <x:c r="A152" s="8" t="str">
        <x:v>Campbell River|Drainage System</x:v>
      </x:c>
      <x:c r="B152" s="8" t="str">
        <x:v>campbell-river-c</x:v>
      </x:c>
      <x:c r="C152" s="8" t="str">
        <x:v>Campbell River</x:v>
      </x:c>
      <x:c r="D152" s="8" t="str">
        <x:v>Drainage System</x:v>
      </x:c>
      <x:c r="E152" s="11" t="n">
        <x:v>59774106</x:v>
      </x:c>
      <x:c r="F152" s="11" t="n">
        <x:v>29642740</x:v>
      </x:c>
      <x:c r="G152" s="11" t="n">
        <x:v>30131366</x:v>
      </x:c>
      <x:c r="H152" s="11" t="n">
        <x:v>2118266</x:v>
      </x:c>
      <x:c r="I152" s="11" t="n">
        <x:v>280000000</x:v>
      </x:c>
      <x:c r="J152" s="11" t="n">
        <x:v>4000000</x:v>
      </x:c>
      <x:c r="K152" s="12" t="n">
        <x:v>0.5040872715018105</x:v>
      </x:c>
      <x:c r="L152" s="12" t="n">
        <x:v>0.9857142857142858</x:v>
      </x:c>
      <x:c r="M152" s="8" t="str">
        <x:v>In_Progress</x:v>
      </x:c>
    </x:row>
    <x:row r="153">
      <x:c r="A153" s="8" t="str">
        <x:v>Campbell River|Transportation System</x:v>
      </x:c>
      <x:c r="B153" s="8" t="str">
        <x:v>campbell-river-c</x:v>
      </x:c>
      <x:c r="C153" s="8" t="str">
        <x:v>Campbell River</x:v>
      </x:c>
      <x:c r="D153" s="8" t="str">
        <x:v>Transportation System</x:v>
      </x:c>
      <x:c r="E153" s="11" t="n">
        <x:v>121214913</x:v>
      </x:c>
      <x:c r="F153" s="11" t="n">
        <x:v>74988659</x:v>
      </x:c>
      <x:c r="G153" s="11" t="n">
        <x:v>46226254</x:v>
      </x:c>
      <x:c r="H153" s="11" t="n">
        <x:v>3426398</x:v>
      </x:c>
      <x:c r="I153" s="11" t="n">
        <x:v>156999999</x:v>
      </x:c>
      <x:c r="J153" s="11" t="n">
        <x:v>2319065</x:v>
      </x:c>
      <x:c r="K153" s="12" t="n">
        <x:v>0.38135781197153523</x:v>
      </x:c>
      <x:c r="L153" s="12" t="n">
        <x:v>0.985228885256235</x:v>
      </x:c>
      <x:c r="M153" s="8" t="str">
        <x:v>In_Progress</x:v>
      </x:c>
    </x:row>
    <x:row r="154">
      <x:c r="A154" s="8" t="str">
        <x:v>Campbell River|Other Engineering Systems</x:v>
      </x:c>
      <x:c r="B154" s="8" t="str">
        <x:v>campbell-river-c</x:v>
      </x:c>
      <x:c r="C154" s="8" t="str">
        <x:v>Campbell River</x:v>
      </x:c>
      <x:c r="D154" s="8" t="str">
        <x:v>Other Engineering Systems</x:v>
      </x:c>
      <x:c r="E154" s="11" t="n">
        <x:v>27531001</x:v>
      </x:c>
      <x:c r="F154" s="11" t="n">
        <x:v>16730017</x:v>
      </x:c>
      <x:c r="G154" s="11" t="n">
        <x:v>10800984</x:v>
      </x:c>
      <x:c r="H154" s="11" t="n">
        <x:v>45218</x:v>
      </x:c>
      <x:c r="I154" s="11" t="n">
        <x:v>45000000</x:v>
      </x:c>
      <x:c r="J154" s="11" t="n">
        <x:v>1125000</x:v>
      </x:c>
      <x:c r="K154" s="12" t="n">
        <x:v>0.3923207877548659</x:v>
      </x:c>
      <x:c r="L154" s="12" t="n">
        <x:v>0.975</x:v>
      </x:c>
      <x:c r="M154" s="8" t="str">
        <x:v>In_Progress</x:v>
      </x:c>
    </x:row>
    <x:row r="155">
      <x:c r="A155" s="8" t="str">
        <x:v>Campbell River|Other Tangible Capital Assets</x:v>
      </x:c>
      <x:c r="B155" s="8" t="str">
        <x:v>campbell-river-c</x:v>
      </x:c>
      <x:c r="C155" s="8" t="str">
        <x:v>Campbell River</x:v>
      </x:c>
      <x:c r="D155" s="8" t="str">
        <x:v>Other Tangible Capital Assets</x:v>
      </x:c>
      <x:c r="E155" s="11" t="n">
        <x:v>63964624</x:v>
      </x:c>
      <x:c r="F155" s="11" t="n">
        <x:v>32447833</x:v>
      </x:c>
      <x:c r="G155" s="11" t="n">
        <x:v>31516791</x:v>
      </x:c>
      <x:c r="H155" s="11" t="n">
        <x:v>1664720</x:v>
      </x:c>
      <x:c r="I155" s="11" t="n">
        <x:v>50000000</x:v>
      </x:c>
      <x:c r="J155" s="11" t="n">
        <x:v>250000000</x:v>
      </x:c>
      <x:c r="K155" s="12" t="n">
        <x:v>0.49272221157744944</x:v>
      </x:c>
      <x:c r="L155" s="12" t="n">
        <x:v>-4</x:v>
      </x:c>
      <x:c r="M155" s="8" t="str">
        <x:v>N/A</x:v>
      </x:c>
    </x:row>
    <x:row r="156">
      <x:c r="A156" s="8" t="str">
        <x:v>Campbell River|Work In Progress</x:v>
      </x:c>
      <x:c r="B156" s="8" t="str">
        <x:v>campbell-river-c</x:v>
      </x:c>
      <x:c r="C156" s="8" t="str">
        <x:v>Campbell River</x:v>
      </x:c>
      <x:c r="D156" s="8" t="str">
        <x:v>Work In Progress</x:v>
      </x:c>
      <x:c r="E156" s="11" t="n">
        <x:v>9265511</x:v>
      </x:c>
      <x:c r="F156" s="11"/>
      <x:c r="G156" s="11" t="n">
        <x:v>9265511</x:v>
      </x:c>
      <x:c r="H156" s="11" t="n">
        <x:v>4102021</x:v>
      </x:c>
      <x:c r="I156" s="11" t="n">
        <x:v>9265511</x:v>
      </x:c>
      <x:c r="J156" s="11"/>
      <x:c r="K156" s="12" t="n">
        <x:v>1</x:v>
      </x:c>
      <x:c r="L156" s="12"/>
      <x:c r="M156" s="8" t="str">
        <x:v>N/A</x:v>
      </x:c>
    </x:row>
    <x:row r="157">
      <x:c r="A157" s="8" t="str">
        <x:v>Campbell River|Total TCA</x:v>
      </x:c>
      <x:c r="B157" s="8" t="str">
        <x:v>campbell-river-c</x:v>
      </x:c>
      <x:c r="C157" s="8" t="str">
        <x:v>Campbell River</x:v>
      </x:c>
      <x:c r="D157" s="8" t="str">
        <x:v>Total TCA</x:v>
      </x:c>
      <x:c r="E157" s="11" t="n">
        <x:v>588345756</x:v>
      </x:c>
      <x:c r="F157" s="11" t="n">
        <x:v>266213805</x:v>
      </x:c>
      <x:c r="G157" s="11" t="n">
        <x:v>322131951</x:v>
      </x:c>
      <x:c r="H157" s="11" t="n">
        <x:v>29294658</x:v>
      </x:c>
      <x:c r="I157" s="11" t="n">
        <x:v>1470627666</x:v>
      </x:c>
      <x:c r="J157" s="11" t="n">
        <x:v>273893835</x:v>
      </x:c>
      <x:c r="K157" s="12" t="n">
        <x:v>0.5475215002655683</x:v>
      </x:c>
      <x:c r="L157" s="12" t="n">
        <x:v>0.8137571859062251</x:v>
      </x:c>
      <x:c r="M157" s="8"/>
    </x:row>
    <x:row r="158">
      <x:c r="A158" s="8" t="str">
        <x:v>Canal Flats|Land</x:v>
      </x:c>
      <x:c r="B158" s="8" t="str">
        <x:v>canal-flats-v</x:v>
      </x:c>
      <x:c r="C158" s="8" t="str">
        <x:v>Canal Flats</x:v>
      </x:c>
      <x:c r="D158" s="8" t="str">
        <x:v>Land</x:v>
      </x:c>
      <x:c r="E158" s="11" t="n">
        <x:v>971917</x:v>
      </x:c>
      <x:c r="F158" s="11"/>
      <x:c r="G158" s="11" t="n">
        <x:v>971917</x:v>
      </x:c>
      <x:c r="H158" s="11" t="n">
        <x:v>0</x:v>
      </x:c>
      <x:c r="I158" s="11" t="n">
        <x:v>971917</x:v>
      </x:c>
      <x:c r="J158" s="11"/>
      <x:c r="K158" s="12" t="n">
        <x:v>1</x:v>
      </x:c>
      <x:c r="L158" s="12"/>
      <x:c r="M158" s="8" t="str">
        <x:v>N/A</x:v>
      </x:c>
    </x:row>
    <x:row r="159">
      <x:c r="A159" s="8" t="str">
        <x:v>Canal Flats|Buildings</x:v>
      </x:c>
      <x:c r="B159" s="8" t="str">
        <x:v>canal-flats-v</x:v>
      </x:c>
      <x:c r="C159" s="8" t="str">
        <x:v>Canal Flats</x:v>
      </x:c>
      <x:c r="D159" s="8" t="str">
        <x:v>Buildings</x:v>
      </x:c>
      <x:c r="E159" s="11" t="n">
        <x:v>6955980</x:v>
      </x:c>
      <x:c r="F159" s="11" t="n">
        <x:v>2825865</x:v>
      </x:c>
      <x:c r="G159" s="11" t="n">
        <x:v>4130115</x:v>
      </x:c>
      <x:c r="H159" s="11" t="n">
        <x:v>42831</x:v>
      </x:c>
      <x:c r="I159" s="11" t="n">
        <x:v>6955980</x:v>
      </x:c>
      <x:c r="J159" s="11" t="n">
        <x:v>2825865</x:v>
      </x:c>
      <x:c r="K159" s="12" t="n">
        <x:v>0.5937502695522414</x:v>
      </x:c>
      <x:c r="L159" s="12" t="n">
        <x:v>0.5937502695522414</x:v>
      </x:c>
      <x:c r="M159" s="8" t="str">
        <x:v>In_Progress</x:v>
      </x:c>
    </x:row>
    <x:row r="160">
      <x:c r="A160" s="8" t="str">
        <x:v>Canal Flats|Fleet</x:v>
      </x:c>
      <x:c r="B160" s="8" t="str">
        <x:v>canal-flats-v</x:v>
      </x:c>
      <x:c r="C160" s="8" t="str">
        <x:v>Canal Flats</x:v>
      </x:c>
      <x:c r="D160" s="8" t="str">
        <x:v>Fleet</x:v>
      </x:c>
      <x:c r="E160" s="11" t="n">
        <x:v>2415354</x:v>
      </x:c>
      <x:c r="F160" s="11" t="n">
        <x:v>1283304</x:v>
      </x:c>
      <x:c r="G160" s="11" t="n">
        <x:v>1132050</x:v>
      </x:c>
      <x:c r="H160" s="11" t="n">
        <x:v>121995</x:v>
      </x:c>
      <x:c r="I160" s="11" t="n">
        <x:v>2415354</x:v>
      </x:c>
      <x:c r="J160" s="11" t="n">
        <x:v>1283304</x:v>
      </x:c>
      <x:c r="K160" s="12" t="n">
        <x:v>0.46868906172759767</x:v>
      </x:c>
      <x:c r="L160" s="12" t="n">
        <x:v>0.4686890617275977</x:v>
      </x:c>
      <x:c r="M160" s="8" t="str">
        <x:v>In_Progress</x:v>
      </x:c>
    </x:row>
    <x:row r="161">
      <x:c r="A161" s="8" t="str">
        <x:v>Canal Flats|Parks and Recreation</x:v>
      </x:c>
      <x:c r="B161" s="8" t="str">
        <x:v>canal-flats-v</x:v>
      </x:c>
      <x:c r="C161" s="8" t="str">
        <x:v>Canal Flats</x:v>
      </x:c>
      <x:c r="D161" s="8" t="str">
        <x:v>Parks and Recreation</x:v>
      </x:c>
      <x:c r="E161" s="11" t="n">
        <x:v>0</x:v>
      </x:c>
      <x:c r="F161" s="11" t="n">
        <x:v>0</x:v>
      </x:c>
      <x:c r="G161" s="11" t="n">
        <x:v>0</x:v>
      </x:c>
      <x:c r="H161" s="11" t="n">
        <x:v>0</x:v>
      </x:c>
      <x:c r="I161" s="11" t="n">
        <x:v>0</x:v>
      </x:c>
      <x:c r="J161" s="11" t="n">
        <x:v>0</x:v>
      </x:c>
      <x:c r="K161" s="12"/>
      <x:c r="L161" s="12"/>
      <x:c r="M161" s="8"/>
    </x:row>
    <x:row r="162">
      <x:c r="A162" s="8" t="str">
        <x:v>Canal Flats|Water System</x:v>
      </x:c>
      <x:c r="B162" s="8" t="str">
        <x:v>canal-flats-v</x:v>
      </x:c>
      <x:c r="C162" s="8" t="str">
        <x:v>Canal Flats</x:v>
      </x:c>
      <x:c r="D162" s="8" t="str">
        <x:v>Water System</x:v>
      </x:c>
      <x:c r="E162" s="11" t="n">
        <x:v>8717248</x:v>
      </x:c>
      <x:c r="F162" s="11" t="n">
        <x:v>1521516</x:v>
      </x:c>
      <x:c r="G162" s="11" t="n">
        <x:v>7195732</x:v>
      </x:c>
      <x:c r="H162" s="11" t="n">
        <x:v>0</x:v>
      </x:c>
      <x:c r="I162" s="11" t="n">
        <x:v>8717248</x:v>
      </x:c>
      <x:c r="J162" s="11" t="n">
        <x:v>1521516</x:v>
      </x:c>
      <x:c r="K162" s="12" t="n">
        <x:v>0.8254591357272387</x:v>
      </x:c>
      <x:c r="L162" s="12" t="n">
        <x:v>0.8254591357272387</x:v>
      </x:c>
      <x:c r="M162" s="8" t="str">
        <x:v>In_Progress</x:v>
      </x:c>
    </x:row>
    <x:row r="163">
      <x:c r="A163" s="8" t="str">
        <x:v>Canal Flats|Sewer System</x:v>
      </x:c>
      <x:c r="B163" s="8" t="str">
        <x:v>canal-flats-v</x:v>
      </x:c>
      <x:c r="C163" s="8" t="str">
        <x:v>Canal Flats</x:v>
      </x:c>
      <x:c r="D163" s="8" t="str">
        <x:v>Sewer System</x:v>
      </x:c>
      <x:c r="E163" s="11" t="n">
        <x:v>7853631</x:v>
      </x:c>
      <x:c r="F163" s="11" t="n">
        <x:v>2125775</x:v>
      </x:c>
      <x:c r="G163" s="11" t="n">
        <x:v>5727856</x:v>
      </x:c>
      <x:c r="H163" s="11" t="n">
        <x:v>1242993</x:v>
      </x:c>
      <x:c r="I163" s="11" t="n">
        <x:v>7853631</x:v>
      </x:c>
      <x:c r="J163" s="11" t="n">
        <x:v>2125775</x:v>
      </x:c>
      <x:c r="K163" s="12" t="n">
        <x:v>0.7293258366735081</x:v>
      </x:c>
      <x:c r="L163" s="12" t="n">
        <x:v>0.729325836673508</x:v>
      </x:c>
      <x:c r="M163" s="8" t="str">
        <x:v>In_Progress</x:v>
      </x:c>
    </x:row>
    <x:row r="164">
      <x:c r="A164" s="8" t="str">
        <x:v>Canal Flats|Drainage System</x:v>
      </x:c>
      <x:c r="B164" s="8" t="str">
        <x:v>canal-flats-v</x:v>
      </x:c>
      <x:c r="C164" s="8" t="str">
        <x:v>Canal Flats</x:v>
      </x:c>
      <x:c r="D164" s="8" t="str">
        <x:v>Drainage System</x:v>
      </x:c>
      <x:c r="E164" s="11" t="n">
        <x:v>0</x:v>
      </x:c>
      <x:c r="F164" s="11" t="n">
        <x:v>0</x:v>
      </x:c>
      <x:c r="G164" s="11" t="n">
        <x:v>0</x:v>
      </x:c>
      <x:c r="H164" s="11" t="n">
        <x:v>0</x:v>
      </x:c>
      <x:c r="I164" s="11" t="n">
        <x:v>0</x:v>
      </x:c>
      <x:c r="J164" s="11" t="n">
        <x:v>0</x:v>
      </x:c>
      <x:c r="K164" s="12"/>
      <x:c r="L164" s="12"/>
      <x:c r="M164" s="8"/>
    </x:row>
    <x:row r="165">
      <x:c r="A165" s="8" t="str">
        <x:v>Canal Flats|Transportation System</x:v>
      </x:c>
      <x:c r="B165" s="8" t="str">
        <x:v>canal-flats-v</x:v>
      </x:c>
      <x:c r="C165" s="8" t="str">
        <x:v>Canal Flats</x:v>
      </x:c>
      <x:c r="D165" s="8" t="str">
        <x:v>Transportation System</x:v>
      </x:c>
      <x:c r="E165" s="11" t="n">
        <x:v>0</x:v>
      </x:c>
      <x:c r="F165" s="11" t="n">
        <x:v>0</x:v>
      </x:c>
      <x:c r="G165" s="11" t="n">
        <x:v>0</x:v>
      </x:c>
      <x:c r="H165" s="11" t="n">
        <x:v>0</x:v>
      </x:c>
      <x:c r="I165" s="11" t="n">
        <x:v>0</x:v>
      </x:c>
      <x:c r="J165" s="11" t="n">
        <x:v>0</x:v>
      </x:c>
      <x:c r="K165" s="12"/>
      <x:c r="L165" s="12"/>
      <x:c r="M165" s="8"/>
    </x:row>
    <x:row r="166">
      <x:c r="A166" s="8" t="str">
        <x:v>Canal Flats|Other Engineering Systems</x:v>
      </x:c>
      <x:c r="B166" s="8" t="str">
        <x:v>canal-flats-v</x:v>
      </x:c>
      <x:c r="C166" s="8" t="str">
        <x:v>Canal Flats</x:v>
      </x:c>
      <x:c r="D166" s="8" t="str">
        <x:v>Other Engineering Systems</x:v>
      </x:c>
      <x:c r="E166" s="11" t="n">
        <x:v>25793739</x:v>
      </x:c>
      <x:c r="F166" s="11" t="n">
        <x:v>13229939</x:v>
      </x:c>
      <x:c r="G166" s="11" t="n">
        <x:v>12563800</x:v>
      </x:c>
      <x:c r="H166" s="11" t="n">
        <x:v>558839</x:v>
      </x:c>
      <x:c r="I166" s="11" t="n">
        <x:v>25793739</x:v>
      </x:c>
      <x:c r="J166" s="11" t="n">
        <x:v>13229939</x:v>
      </x:c>
      <x:c r="K166" s="12" t="n">
        <x:v>0.4870871958501247</x:v>
      </x:c>
      <x:c r="L166" s="12" t="n">
        <x:v>0.4870871958501247</x:v>
      </x:c>
      <x:c r="M166" s="8" t="str">
        <x:v>In_Progress</x:v>
      </x:c>
    </x:row>
    <x:row r="167">
      <x:c r="A167" s="8" t="str">
        <x:v>Canal Flats|Other Tangible Capital Assets</x:v>
      </x:c>
      <x:c r="B167" s="8" t="str">
        <x:v>canal-flats-v</x:v>
      </x:c>
      <x:c r="C167" s="8" t="str">
        <x:v>Canal Flats</x:v>
      </x:c>
      <x:c r="D167" s="8" t="str">
        <x:v>Other Tangible Capital Assets</x:v>
      </x:c>
      <x:c r="E167" s="11" t="n">
        <x:v>0</x:v>
      </x:c>
      <x:c r="F167" s="11" t="n">
        <x:v>0</x:v>
      </x:c>
      <x:c r="G167" s="11" t="n">
        <x:v>0</x:v>
      </x:c>
      <x:c r="H167" s="11" t="n">
        <x:v>0</x:v>
      </x:c>
      <x:c r="I167" s="11" t="n">
        <x:v>0</x:v>
      </x:c>
      <x:c r="J167" s="11" t="n">
        <x:v>0</x:v>
      </x:c>
      <x:c r="K167" s="12"/>
      <x:c r="L167" s="12"/>
      <x:c r="M167" s="8" t="str">
        <x:v>N/A</x:v>
      </x:c>
    </x:row>
    <x:row r="168">
      <x:c r="A168" s="8" t="str">
        <x:v>Canal Flats|Work In Progress</x:v>
      </x:c>
      <x:c r="B168" s="8" t="str">
        <x:v>canal-flats-v</x:v>
      </x:c>
      <x:c r="C168" s="8" t="str">
        <x:v>Canal Flats</x:v>
      </x:c>
      <x:c r="D168" s="8" t="str">
        <x:v>Work In Progress</x:v>
      </x:c>
      <x:c r="E168" s="11" t="n">
        <x:v>758096</x:v>
      </x:c>
      <x:c r="F168" s="11"/>
      <x:c r="G168" s="11" t="n">
        <x:v>758096</x:v>
      </x:c>
      <x:c r="H168" s="11" t="n">
        <x:v>-450129</x:v>
      </x:c>
      <x:c r="I168" s="11" t="n">
        <x:v>758096</x:v>
      </x:c>
      <x:c r="J168" s="11"/>
      <x:c r="K168" s="12" t="n">
        <x:v>1</x:v>
      </x:c>
      <x:c r="L168" s="12"/>
      <x:c r="M168" s="8" t="str">
        <x:v>N/A</x:v>
      </x:c>
    </x:row>
    <x:row r="169">
      <x:c r="A169" s="8" t="str">
        <x:v>Canal Flats|Total TCA</x:v>
      </x:c>
      <x:c r="B169" s="8" t="str">
        <x:v>canal-flats-v</x:v>
      </x:c>
      <x:c r="C169" s="8" t="str">
        <x:v>Canal Flats</x:v>
      </x:c>
      <x:c r="D169" s="8" t="str">
        <x:v>Total TCA</x:v>
      </x:c>
      <x:c r="E169" s="11" t="n">
        <x:v>53465965</x:v>
      </x:c>
      <x:c r="F169" s="11" t="n">
        <x:v>20986399</x:v>
      </x:c>
      <x:c r="G169" s="11" t="n">
        <x:v>32479566</x:v>
      </x:c>
      <x:c r="H169" s="11" t="n">
        <x:v>1516529</x:v>
      </x:c>
      <x:c r="I169" s="11" t="n">
        <x:v>53465965</x:v>
      </x:c>
      <x:c r="J169" s="11" t="n">
        <x:v>20986399</x:v>
      </x:c>
      <x:c r="K169" s="12" t="n">
        <x:v>0.6074811517944173</x:v>
      </x:c>
      <x:c r="L169" s="12" t="n">
        <x:v>0.6074811517944172</x:v>
      </x:c>
      <x:c r="M169" s="8"/>
    </x:row>
    <x:row r="170">
      <x:c r="A170" s="8" t="str">
        <x:v>Castlegar|Land</x:v>
      </x:c>
      <x:c r="B170" s="8" t="str">
        <x:v>castlegar-c</x:v>
      </x:c>
      <x:c r="C170" s="8" t="str">
        <x:v>Castlegar</x:v>
      </x:c>
      <x:c r="D170" s="8" t="str">
        <x:v>Land</x:v>
      </x:c>
      <x:c r="E170" s="11" t="n">
        <x:v>14576694</x:v>
      </x:c>
      <x:c r="F170" s="11"/>
      <x:c r="G170" s="11" t="n">
        <x:v>14576694</x:v>
      </x:c>
      <x:c r="H170" s="11" t="n">
        <x:v>102000</x:v>
      </x:c>
      <x:c r="I170" s="11" t="n">
        <x:v>14576694</x:v>
      </x:c>
      <x:c r="J170" s="11"/>
      <x:c r="K170" s="12" t="n">
        <x:v>1</x:v>
      </x:c>
      <x:c r="L170" s="12"/>
      <x:c r="M170" s="8" t="str">
        <x:v>N/A</x:v>
      </x:c>
    </x:row>
    <x:row r="171">
      <x:c r="A171" s="8" t="str">
        <x:v>Castlegar|Buildings</x:v>
      </x:c>
      <x:c r="B171" s="8" t="str">
        <x:v>castlegar-c</x:v>
      </x:c>
      <x:c r="C171" s="8" t="str">
        <x:v>Castlegar</x:v>
      </x:c>
      <x:c r="D171" s="8" t="str">
        <x:v>Buildings</x:v>
      </x:c>
      <x:c r="E171" s="11" t="n">
        <x:v>18733292</x:v>
      </x:c>
      <x:c r="F171" s="11" t="n">
        <x:v>12126590</x:v>
      </x:c>
      <x:c r="G171" s="11" t="n">
        <x:v>6606702</x:v>
      </x:c>
      <x:c r="H171" s="11" t="n">
        <x:v>134530</x:v>
      </x:c>
      <x:c r="I171" s="11" t="n">
        <x:v>52003119</x:v>
      </x:c>
      <x:c r="J171" s="11" t="n">
        <x:v>742902</x:v>
      </x:c>
      <x:c r="K171" s="12" t="n">
        <x:v>0.3526717034037584</x:v>
      </x:c>
      <x:c r="L171" s="12" t="n">
        <x:v>0.985714279945401</x:v>
      </x:c>
      <x:c r="M171" s="8" t="str">
        <x:v>Yes</x:v>
      </x:c>
    </x:row>
    <x:row r="172">
      <x:c r="A172" s="8" t="str">
        <x:v>Castlegar|Fleet</x:v>
      </x:c>
      <x:c r="B172" s="8" t="str">
        <x:v>castlegar-c</x:v>
      </x:c>
      <x:c r="C172" s="8" t="str">
        <x:v>Castlegar</x:v>
      </x:c>
      <x:c r="D172" s="8" t="str">
        <x:v>Fleet</x:v>
      </x:c>
      <x:c r="E172" s="11" t="n">
        <x:v>16484753</x:v>
      </x:c>
      <x:c r="F172" s="11" t="n">
        <x:v>11335851</x:v>
      </x:c>
      <x:c r="G172" s="11" t="n">
        <x:v>5148902</x:v>
      </x:c>
      <x:c r="H172" s="11" t="n">
        <x:v>1373105</x:v>
      </x:c>
      <x:c r="I172" s="11" t="n">
        <x:v>18902367</x:v>
      </x:c>
      <x:c r="J172" s="11" t="n">
        <x:v>1260158</x:v>
      </x:c>
      <x:c r="K172" s="12" t="n">
        <x:v>0.31234329079725975</x:v>
      </x:c>
      <x:c r="L172" s="12" t="n">
        <x:v>0.9333333227526479</x:v>
      </x:c>
      <x:c r="M172" s="8" t="str">
        <x:v>In_Progress</x:v>
      </x:c>
    </x:row>
    <x:row r="173">
      <x:c r="A173" s="8" t="str">
        <x:v>Castlegar|Parks and Recreation</x:v>
      </x:c>
      <x:c r="B173" s="8" t="str">
        <x:v>castlegar-c</x:v>
      </x:c>
      <x:c r="C173" s="8" t="str">
        <x:v>Castlegar</x:v>
      </x:c>
      <x:c r="D173" s="8" t="str">
        <x:v>Parks and Recreation</x:v>
      </x:c>
      <x:c r="E173" s="11" t="n">
        <x:v>0</x:v>
      </x:c>
      <x:c r="F173" s="11" t="n">
        <x:v>0</x:v>
      </x:c>
      <x:c r="G173" s="11" t="n">
        <x:v>0</x:v>
      </x:c>
      <x:c r="H173" s="11" t="n">
        <x:v>0</x:v>
      </x:c>
      <x:c r="I173" s="11" t="n">
        <x:v>0</x:v>
      </x:c>
      <x:c r="J173" s="11" t="n">
        <x:v>0</x:v>
      </x:c>
      <x:c r="K173" s="12"/>
      <x:c r="L173" s="12"/>
      <x:c r="M173" s="8"/>
    </x:row>
    <x:row r="174">
      <x:c r="A174" s="8" t="str">
        <x:v>Castlegar|Water System</x:v>
      </x:c>
      <x:c r="B174" s="8" t="str">
        <x:v>castlegar-c</x:v>
      </x:c>
      <x:c r="C174" s="8" t="str">
        <x:v>Castlegar</x:v>
      </x:c>
      <x:c r="D174" s="8" t="str">
        <x:v>Water System</x:v>
      </x:c>
      <x:c r="E174" s="11" t="n">
        <x:v>33334028</x:v>
      </x:c>
      <x:c r="F174" s="11" t="n">
        <x:v>19018725</x:v>
      </x:c>
      <x:c r="G174" s="11" t="n">
        <x:v>14315303</x:v>
      </x:c>
      <x:c r="H174" s="11" t="n">
        <x:v>617958</x:v>
      </x:c>
      <x:c r="I174" s="11" t="n">
        <x:v>79892873</x:v>
      </x:c>
      <x:c r="J174" s="11" t="n">
        <x:v>1597857</x:v>
      </x:c>
      <x:c r="K174" s="12" t="n">
        <x:v>0.429450140259077</x:v>
      </x:c>
      <x:c r="L174" s="12" t="n">
        <x:v>0.9800000057577101</x:v>
      </x:c>
      <x:c r="M174" s="8" t="str">
        <x:v>Yes</x:v>
      </x:c>
    </x:row>
    <x:row r="175">
      <x:c r="A175" s="8" t="str">
        <x:v>Castlegar|Sewer System</x:v>
      </x:c>
      <x:c r="B175" s="8" t="str">
        <x:v>castlegar-c</x:v>
      </x:c>
      <x:c r="C175" s="8" t="str">
        <x:v>Castlegar</x:v>
      </x:c>
      <x:c r="D175" s="8" t="str">
        <x:v>Sewer System</x:v>
      </x:c>
      <x:c r="E175" s="11" t="n">
        <x:v>28510232</x:v>
      </x:c>
      <x:c r="F175" s="11" t="n">
        <x:v>17596854</x:v>
      </x:c>
      <x:c r="G175" s="11" t="n">
        <x:v>10913378</x:v>
      </x:c>
      <x:c r="H175" s="11" t="n">
        <x:v>1749960</x:v>
      </x:c>
      <x:c r="I175" s="11" t="n">
        <x:v>68291473</x:v>
      </x:c>
      <x:c r="J175" s="11" t="n">
        <x:v>1365829</x:v>
      </x:c>
      <x:c r="K175" s="12" t="n">
        <x:v>0.38278811621034864</x:v>
      </x:c>
      <x:c r="L175" s="12" t="n">
        <x:v>0.9800000067358337</x:v>
      </x:c>
      <x:c r="M175" s="8" t="str">
        <x:v>Yes</x:v>
      </x:c>
    </x:row>
    <x:row r="176">
      <x:c r="A176" s="8" t="str">
        <x:v>Castlegar|Drainage System</x:v>
      </x:c>
      <x:c r="B176" s="8" t="str">
        <x:v>castlegar-c</x:v>
      </x:c>
      <x:c r="C176" s="8" t="str">
        <x:v>Castlegar</x:v>
      </x:c>
      <x:c r="D176" s="8" t="str">
        <x:v>Drainage System</x:v>
      </x:c>
      <x:c r="E176" s="11" t="n">
        <x:v>9711671</x:v>
      </x:c>
      <x:c r="F176" s="11" t="n">
        <x:v>6057754</x:v>
      </x:c>
      <x:c r="G176" s="11" t="n">
        <x:v>3653917</x:v>
      </x:c>
      <x:c r="H176" s="11" t="n">
        <x:v>245481</x:v>
      </x:c>
      <x:c r="I176" s="11" t="n">
        <x:v>23246393</x:v>
      </x:c>
      <x:c r="J176" s="11" t="n">
        <x:v>464928</x:v>
      </x:c>
      <x:c r="K176" s="12" t="n">
        <x:v>0.3762397840701152</x:v>
      </x:c>
      <x:c r="L176" s="12" t="n">
        <x:v>0.9799999939775603</x:v>
      </x:c>
      <x:c r="M176" s="8" t="str">
        <x:v>Yes</x:v>
      </x:c>
    </x:row>
    <x:row r="177">
      <x:c r="A177" s="8" t="str">
        <x:v>Castlegar|Transportation System</x:v>
      </x:c>
      <x:c r="B177" s="8" t="str">
        <x:v>castlegar-c</x:v>
      </x:c>
      <x:c r="C177" s="8" t="str">
        <x:v>Castlegar</x:v>
      </x:c>
      <x:c r="D177" s="8" t="str">
        <x:v>Transportation System</x:v>
      </x:c>
      <x:c r="E177" s="11" t="n">
        <x:v>52623112</x:v>
      </x:c>
      <x:c r="F177" s="11" t="n">
        <x:v>23880436</x:v>
      </x:c>
      <x:c r="G177" s="11" t="n">
        <x:v>28742676</x:v>
      </x:c>
      <x:c r="H177" s="11" t="n">
        <x:v>6923611</x:v>
      </x:c>
      <x:c r="I177" s="11" t="n">
        <x:v>136841922</x:v>
      </x:c>
      <x:c r="J177" s="11" t="n">
        <x:v>3421048</x:v>
      </x:c>
      <x:c r="K177" s="12" t="n">
        <x:v>0.5461987120792096</x:v>
      </x:c>
      <x:c r="L177" s="12" t="n">
        <x:v>0.9750000003653851</x:v>
      </x:c>
      <x:c r="M177" s="8" t="str">
        <x:v>Yes</x:v>
      </x:c>
    </x:row>
    <x:row r="178">
      <x:c r="A178" s="8" t="str">
        <x:v>Castlegar|Other Engineering Systems</x:v>
      </x:c>
      <x:c r="B178" s="8" t="str">
        <x:v>castlegar-c</x:v>
      </x:c>
      <x:c r="C178" s="8" t="str">
        <x:v>Castlegar</x:v>
      </x:c>
      <x:c r="D178" s="8" t="str">
        <x:v>Other Engineering Systems</x:v>
      </x:c>
      <x:c r="E178" s="11" t="n">
        <x:v>0</x:v>
      </x:c>
      <x:c r="F178" s="11" t="n">
        <x:v>0</x:v>
      </x:c>
      <x:c r="G178" s="11" t="n">
        <x:v>0</x:v>
      </x:c>
      <x:c r="H178" s="11" t="n">
        <x:v>0</x:v>
      </x:c>
      <x:c r="I178" s="11" t="n">
        <x:v>0</x:v>
      </x:c>
      <x:c r="J178" s="11" t="n">
        <x:v>0</x:v>
      </x:c>
      <x:c r="K178" s="12"/>
      <x:c r="L178" s="12"/>
      <x:c r="M178" s="8"/>
    </x:row>
    <x:row r="179">
      <x:c r="A179" s="8" t="str">
        <x:v>Castlegar|Other Tangible Capital Assets</x:v>
      </x:c>
      <x:c r="B179" s="8" t="str">
        <x:v>castlegar-c</x:v>
      </x:c>
      <x:c r="C179" s="8" t="str">
        <x:v>Castlegar</x:v>
      </x:c>
      <x:c r="D179" s="8" t="str">
        <x:v>Other Tangible Capital Assets</x:v>
      </x:c>
      <x:c r="E179" s="11" t="n">
        <x:v>8841040</x:v>
      </x:c>
      <x:c r="F179" s="11" t="n">
        <x:v>4854037</x:v>
      </x:c>
      <x:c r="G179" s="11" t="n">
        <x:v>3987003</x:v>
      </x:c>
      <x:c r="H179" s="11" t="n">
        <x:v>1809764</x:v>
      </x:c>
      <x:c r="I179" s="11" t="n">
        <x:v>22649884</x:v>
      </x:c>
      <x:c r="J179" s="11" t="n">
        <x:v>1132494</x:v>
      </x:c>
      <x:c r="K179" s="12" t="n">
        <x:v>0.4509653841629492</x:v>
      </x:c>
      <x:c r="L179" s="12" t="n">
        <x:v>0.9500000088300673</x:v>
      </x:c>
      <x:c r="M179" s="8" t="str">
        <x:v>N/A</x:v>
      </x:c>
    </x:row>
    <x:row r="180">
      <x:c r="A180" s="8" t="str">
        <x:v>Castlegar|Work In Progress</x:v>
      </x:c>
      <x:c r="B180" s="8" t="str">
        <x:v>castlegar-c</x:v>
      </x:c>
      <x:c r="C180" s="8" t="str">
        <x:v>Castlegar</x:v>
      </x:c>
      <x:c r="D180" s="8" t="str">
        <x:v>Work In Progress</x:v>
      </x:c>
      <x:c r="E180" s="11" t="n">
        <x:v>1708762</x:v>
      </x:c>
      <x:c r="F180" s="11"/>
      <x:c r="G180" s="11" t="n">
        <x:v>1708762</x:v>
      </x:c>
      <x:c r="H180" s="11" t="n">
        <x:v>-1892933</x:v>
      </x:c>
      <x:c r="I180" s="11" t="n">
        <x:v>1708762</x:v>
      </x:c>
      <x:c r="J180" s="11"/>
      <x:c r="K180" s="12" t="n">
        <x:v>1</x:v>
      </x:c>
      <x:c r="L180" s="12"/>
      <x:c r="M180" s="8" t="str">
        <x:v>N/A</x:v>
      </x:c>
    </x:row>
    <x:row r="181">
      <x:c r="A181" s="8" t="str">
        <x:v>Castlegar|Total TCA</x:v>
      </x:c>
      <x:c r="B181" s="8" t="str">
        <x:v>castlegar-c</x:v>
      </x:c>
      <x:c r="C181" s="8" t="str">
        <x:v>Castlegar</x:v>
      </x:c>
      <x:c r="D181" s="8" t="str">
        <x:v>Total TCA</x:v>
      </x:c>
      <x:c r="E181" s="11" t="n">
        <x:v>184523584</x:v>
      </x:c>
      <x:c r="F181" s="11" t="n">
        <x:v>94870247</x:v>
      </x:c>
      <x:c r="G181" s="11" t="n">
        <x:v>89653337</x:v>
      </x:c>
      <x:c r="H181" s="11" t="n">
        <x:v>11063476</x:v>
      </x:c>
      <x:c r="I181" s="11" t="n">
        <x:v>418113487</x:v>
      </x:c>
      <x:c r="J181" s="11" t="n">
        <x:v>9985216</x:v>
      </x:c>
      <x:c r="K181" s="12" t="n">
        <x:v>0.4858638394970694</x:v>
      </x:c>
      <x:c r="L181" s="12" t="n">
        <x:v>0.9761184072973949</x:v>
      </x:c>
      <x:c r="M181" s="8"/>
    </x:row>
    <x:row r="182">
      <x:c r="A182" s="8" t="str">
        <x:v>Central Saanich|Land</x:v>
      </x:c>
      <x:c r="B182" s="8" t="str">
        <x:v>central-saanich-d</x:v>
      </x:c>
      <x:c r="C182" s="8" t="str">
        <x:v>Central Saanich</x:v>
      </x:c>
      <x:c r="D182" s="8" t="str">
        <x:v>Land</x:v>
      </x:c>
      <x:c r="E182" s="11" t="n">
        <x:v>38758279</x:v>
      </x:c>
      <x:c r="F182" s="11"/>
      <x:c r="G182" s="11" t="n">
        <x:v>38758279</x:v>
      </x:c>
      <x:c r="H182" s="11" t="n">
        <x:v>8036668</x:v>
      </x:c>
      <x:c r="I182" s="11" t="n">
        <x:v>38758279</x:v>
      </x:c>
      <x:c r="J182" s="11"/>
      <x:c r="K182" s="12" t="n">
        <x:v>1</x:v>
      </x:c>
      <x:c r="L182" s="12"/>
      <x:c r="M182" s="8" t="str">
        <x:v>N/A</x:v>
      </x:c>
    </x:row>
    <x:row r="183">
      <x:c r="A183" s="8" t="str">
        <x:v>Central Saanich|Buildings</x:v>
      </x:c>
      <x:c r="B183" s="8" t="str">
        <x:v>central-saanich-d</x:v>
      </x:c>
      <x:c r="C183" s="8" t="str">
        <x:v>Central Saanich</x:v>
      </x:c>
      <x:c r="D183" s="8" t="str">
        <x:v>Buildings</x:v>
      </x:c>
      <x:c r="E183" s="11" t="n">
        <x:v>20221526</x:v>
      </x:c>
      <x:c r="F183" s="11" t="n">
        <x:v>8674779</x:v>
      </x:c>
      <x:c r="G183" s="11" t="n">
        <x:v>11546747</x:v>
      </x:c>
      <x:c r="H183" s="11" t="n">
        <x:v>498401</x:v>
      </x:c>
      <x:c r="I183" s="11" t="n">
        <x:v>96960600</x:v>
      </x:c>
      <x:c r="J183" s="11" t="n">
        <x:v>2620557</x:v>
      </x:c>
      <x:c r="K183" s="12" t="n">
        <x:v>0.5710126426660381</x:v>
      </x:c>
      <x:c r="L183" s="12" t="n">
        <x:v>0.9729729704642917</x:v>
      </x:c>
      <x:c r="M183" s="8" t="str">
        <x:v>Yes</x:v>
      </x:c>
    </x:row>
    <x:row r="184">
      <x:c r="A184" s="8" t="str">
        <x:v>Central Saanich|Fleet</x:v>
      </x:c>
      <x:c r="B184" s="8" t="str">
        <x:v>central-saanich-d</x:v>
      </x:c>
      <x:c r="C184" s="8" t="str">
        <x:v>Central Saanich</x:v>
      </x:c>
      <x:c r="D184" s="8" t="str">
        <x:v>Fleet</x:v>
      </x:c>
      <x:c r="E184" s="11" t="n">
        <x:v>17510397</x:v>
      </x:c>
      <x:c r="F184" s="11" t="n">
        <x:v>9931640</x:v>
      </x:c>
      <x:c r="G184" s="11" t="n">
        <x:v>7578757</x:v>
      </x:c>
      <x:c r="H184" s="11" t="n">
        <x:v>3650029</x:v>
      </x:c>
      <x:c r="I184" s="11" t="n">
        <x:v>22192440</x:v>
      </x:c>
      <x:c r="J184" s="11" t="n">
        <x:v>1849370</x:v>
      </x:c>
      <x:c r="K184" s="12" t="n">
        <x:v>0.4328146871827064</x:v>
      </x:c>
      <x:c r="L184" s="12" t="n">
        <x:v>0.9166666666666666</x:v>
      </x:c>
      <x:c r="M184" s="8" t="str">
        <x:v>Yes</x:v>
      </x:c>
    </x:row>
    <x:row r="185">
      <x:c r="A185" s="8" t="str">
        <x:v>Central Saanich|Parks and Recreation</x:v>
      </x:c>
      <x:c r="B185" s="8" t="str">
        <x:v>central-saanich-d</x:v>
      </x:c>
      <x:c r="C185" s="8" t="str">
        <x:v>Central Saanich</x:v>
      </x:c>
      <x:c r="D185" s="8" t="str">
        <x:v>Parks and Recreation</x:v>
      </x:c>
      <x:c r="E185" s="11" t="n">
        <x:v>9620730</x:v>
      </x:c>
      <x:c r="F185" s="11" t="n">
        <x:v>4953382</x:v>
      </x:c>
      <x:c r="G185" s="11" t="n">
        <x:v>4667348</x:v>
      </x:c>
      <x:c r="H185" s="11" t="n">
        <x:v>70264</x:v>
      </x:c>
      <x:c r="I185" s="11" t="n">
        <x:v>19859400</x:v>
      </x:c>
      <x:c r="J185" s="11" t="n">
        <x:v>509215</x:v>
      </x:c>
      <x:c r="K185" s="12" t="n">
        <x:v>0.4851344960309665</x:v>
      </x:c>
      <x:c r="L185" s="12" t="n">
        <x:v>0.9743589937258931</x:v>
      </x:c>
      <x:c r="M185" s="8" t="str">
        <x:v>Yes</x:v>
      </x:c>
    </x:row>
    <x:row r="186">
      <x:c r="A186" s="8" t="str">
        <x:v>Central Saanich|Water System</x:v>
      </x:c>
      <x:c r="B186" s="8" t="str">
        <x:v>central-saanich-d</x:v>
      </x:c>
      <x:c r="C186" s="8" t="str">
        <x:v>Central Saanich</x:v>
      </x:c>
      <x:c r="D186" s="8" t="str">
        <x:v>Water System</x:v>
      </x:c>
      <x:c r="E186" s="11" t="n">
        <x:v>21259434</x:v>
      </x:c>
      <x:c r="F186" s="11" t="n">
        <x:v>8578723</x:v>
      </x:c>
      <x:c r="G186" s="11" t="n">
        <x:v>12680711</x:v>
      </x:c>
      <x:c r="H186" s="11" t="n">
        <x:v>152419</x:v>
      </x:c>
      <x:c r="I186" s="11" t="n">
        <x:v>122661000</x:v>
      </x:c>
      <x:c r="J186" s="11" t="n">
        <x:v>2044350</x:v>
      </x:c>
      <x:c r="K186" s="12" t="n">
        <x:v>0.5964745345525191</x:v>
      </x:c>
      <x:c r="L186" s="12" t="n">
        <x:v>0.9833333333333333</x:v>
      </x:c>
      <x:c r="M186" s="8" t="str">
        <x:v>Yes</x:v>
      </x:c>
    </x:row>
    <x:row r="187">
      <x:c r="A187" s="8" t="str">
        <x:v>Central Saanich|Sewer System</x:v>
      </x:c>
      <x:c r="B187" s="8" t="str">
        <x:v>central-saanich-d</x:v>
      </x:c>
      <x:c r="C187" s="8" t="str">
        <x:v>Central Saanich</x:v>
      </x:c>
      <x:c r="D187" s="8" t="str">
        <x:v>Sewer System</x:v>
      </x:c>
      <x:c r="E187" s="11" t="n">
        <x:v>15665005</x:v>
      </x:c>
      <x:c r="F187" s="11" t="n">
        <x:v>8927827</x:v>
      </x:c>
      <x:c r="G187" s="11" t="n">
        <x:v>6737178</x:v>
      </x:c>
      <x:c r="H187" s="11" t="n">
        <x:v>98909</x:v>
      </x:c>
      <x:c r="I187" s="11" t="n">
        <x:v>157707000</x:v>
      </x:c>
      <x:c r="J187" s="11" t="n">
        <x:v>2464172</x:v>
      </x:c>
      <x:c r="K187" s="12" t="n">
        <x:v>0.43007825404460454</x:v>
      </x:c>
      <x:c r="L187" s="12" t="n">
        <x:v>0.9843749992073909</x:v>
      </x:c>
      <x:c r="M187" s="8" t="str">
        <x:v>Yes</x:v>
      </x:c>
    </x:row>
    <x:row r="188">
      <x:c r="A188" s="8" t="str">
        <x:v>Central Saanich|Drainage System</x:v>
      </x:c>
      <x:c r="B188" s="8" t="str">
        <x:v>central-saanich-d</x:v>
      </x:c>
      <x:c r="C188" s="8" t="str">
        <x:v>Central Saanich</x:v>
      </x:c>
      <x:c r="D188" s="8" t="str">
        <x:v>Drainage System</x:v>
      </x:c>
      <x:c r="E188" s="11" t="n">
        <x:v>18188666</x:v>
      </x:c>
      <x:c r="F188" s="11" t="n">
        <x:v>10822707</x:v>
      </x:c>
      <x:c r="G188" s="11" t="n">
        <x:v>7365959</x:v>
      </x:c>
      <x:c r="H188" s="11" t="n">
        <x:v>261426</x:v>
      </x:c>
      <x:c r="I188" s="11" t="n">
        <x:v>133174800</x:v>
      </x:c>
      <x:c r="J188" s="11" t="n">
        <x:v>2080856</x:v>
      </x:c>
      <x:c r="K188" s="12" t="n">
        <x:v>0.404975219183199</x:v>
      </x:c>
      <x:c r="L188" s="12" t="n">
        <x:v>0.984375001877232</x:v>
      </x:c>
      <x:c r="M188" s="8" t="str">
        <x:v>Yes</x:v>
      </x:c>
    </x:row>
    <x:row r="189">
      <x:c r="A189" s="8" t="str">
        <x:v>Central Saanich|Transportation System</x:v>
      </x:c>
      <x:c r="B189" s="8" t="str">
        <x:v>central-saanich-d</x:v>
      </x:c>
      <x:c r="C189" s="8" t="str">
        <x:v>Central Saanich</x:v>
      </x:c>
      <x:c r="D189" s="8" t="str">
        <x:v>Transportation System</x:v>
      </x:c>
      <x:c r="E189" s="11" t="n">
        <x:v>64116425</x:v>
      </x:c>
      <x:c r="F189" s="11" t="n">
        <x:v>50504188</x:v>
      </x:c>
      <x:c r="G189" s="11" t="n">
        <x:v>13612237</x:v>
      </x:c>
      <x:c r="H189" s="11" t="n">
        <x:v>678260</x:v>
      </x:c>
      <x:c r="I189" s="11" t="n">
        <x:v>108632600</x:v>
      </x:c>
      <x:c r="J189" s="11" t="n">
        <x:v>678600</x:v>
      </x:c>
      <x:c r="K189" s="12" t="n">
        <x:v>0.21230499049190593</x:v>
      </x:c>
      <x:c r="L189" s="12" t="n">
        <x:v>0.9937532563889662</x:v>
      </x:c>
      <x:c r="M189" s="8" t="str">
        <x:v>Yes</x:v>
      </x:c>
    </x:row>
    <x:row r="190">
      <x:c r="A190" s="8" t="str">
        <x:v>Central Saanich|Other Engineering Systems</x:v>
      </x:c>
      <x:c r="B190" s="8" t="str">
        <x:v>central-saanich-d</x:v>
      </x:c>
      <x:c r="C190" s="8" t="str">
        <x:v>Central Saanich</x:v>
      </x:c>
      <x:c r="D190" s="8" t="str">
        <x:v>Other Engineering Systems</x:v>
      </x:c>
      <x:c r="E190" s="11" t="n">
        <x:v>0</x:v>
      </x:c>
      <x:c r="F190" s="11" t="n">
        <x:v>0</x:v>
      </x:c>
      <x:c r="G190" s="11" t="n">
        <x:v>0</x:v>
      </x:c>
      <x:c r="H190" s="11" t="n">
        <x:v>0</x:v>
      </x:c>
      <x:c r="I190" s="11" t="n">
        <x:v>0</x:v>
      </x:c>
      <x:c r="J190" s="11" t="n">
        <x:v>0</x:v>
      </x:c>
      <x:c r="K190" s="12"/>
      <x:c r="L190" s="12"/>
      <x:c r="M190" s="8"/>
    </x:row>
    <x:row r="191">
      <x:c r="A191" s="8" t="str">
        <x:v>Central Saanich|Other Tangible Capital Assets</x:v>
      </x:c>
      <x:c r="B191" s="8" t="str">
        <x:v>central-saanich-d</x:v>
      </x:c>
      <x:c r="C191" s="8" t="str">
        <x:v>Central Saanich</x:v>
      </x:c>
      <x:c r="D191" s="8" t="str">
        <x:v>Other Tangible Capital Assets</x:v>
      </x:c>
      <x:c r="E191" s="11" t="n">
        <x:v>0</x:v>
      </x:c>
      <x:c r="F191" s="11" t="n">
        <x:v>0</x:v>
      </x:c>
      <x:c r="G191" s="11" t="n">
        <x:v>0</x:v>
      </x:c>
      <x:c r="H191" s="11" t="n">
        <x:v>0</x:v>
      </x:c>
      <x:c r="I191" s="11" t="n">
        <x:v>0</x:v>
      </x:c>
      <x:c r="J191" s="11" t="n">
        <x:v>0</x:v>
      </x:c>
      <x:c r="K191" s="12"/>
      <x:c r="L191" s="12"/>
      <x:c r="M191" s="8" t="str">
        <x:v>N/A</x:v>
      </x:c>
    </x:row>
    <x:row r="192">
      <x:c r="A192" s="8" t="str">
        <x:v>Central Saanich|Work In Progress</x:v>
      </x:c>
      <x:c r="B192" s="8" t="str">
        <x:v>central-saanich-d</x:v>
      </x:c>
      <x:c r="C192" s="8" t="str">
        <x:v>Central Saanich</x:v>
      </x:c>
      <x:c r="D192" s="8" t="str">
        <x:v>Work In Progress</x:v>
      </x:c>
      <x:c r="E192" s="11" t="n">
        <x:v>10770275</x:v>
      </x:c>
      <x:c r="F192" s="11"/>
      <x:c r="G192" s="11" t="n">
        <x:v>10770275</x:v>
      </x:c>
      <x:c r="H192" s="11" t="n">
        <x:v>9962701</x:v>
      </x:c>
      <x:c r="I192" s="11" t="n">
        <x:v>10770275</x:v>
      </x:c>
      <x:c r="J192" s="11"/>
      <x:c r="K192" s="12" t="n">
        <x:v>1</x:v>
      </x:c>
      <x:c r="L192" s="12"/>
      <x:c r="M192" s="8" t="str">
        <x:v>N/A</x:v>
      </x:c>
    </x:row>
    <x:row r="193">
      <x:c r="A193" s="8" t="str">
        <x:v>Central Saanich|Total TCA</x:v>
      </x:c>
      <x:c r="B193" s="8" t="str">
        <x:v>central-saanich-d</x:v>
      </x:c>
      <x:c r="C193" s="8" t="str">
        <x:v>Central Saanich</x:v>
      </x:c>
      <x:c r="D193" s="8" t="str">
        <x:v>Total TCA</x:v>
      </x:c>
      <x:c r="E193" s="11" t="n">
        <x:v>216110737</x:v>
      </x:c>
      <x:c r="F193" s="11" t="n">
        <x:v>102393246</x:v>
      </x:c>
      <x:c r="G193" s="11" t="n">
        <x:v>113717491</x:v>
      </x:c>
      <x:c r="H193" s="11" t="n">
        <x:v>23409077</x:v>
      </x:c>
      <x:c r="I193" s="11" t="n">
        <x:v>710716394</x:v>
      </x:c>
      <x:c r="J193" s="11" t="n">
        <x:v>12247120</x:v>
      </x:c>
      <x:c r="K193" s="12" t="n">
        <x:v>0.52620009805436</x:v>
      </x:c>
      <x:c r="L193" s="12" t="n">
        <x:v>0.9827679224745729</x:v>
      </x:c>
      <x:c r="M193" s="8"/>
    </x:row>
    <x:row r="194">
      <x:c r="A194" s="8" t="str">
        <x:v>Chase|Land</x:v>
      </x:c>
      <x:c r="B194" s="8" t="str">
        <x:v>chase-v</x:v>
      </x:c>
      <x:c r="C194" s="8" t="str">
        <x:v>Chase</x:v>
      </x:c>
      <x:c r="D194" s="8" t="str">
        <x:v>Land</x:v>
      </x:c>
      <x:c r="E194" s="11" t="n">
        <x:v>7142155</x:v>
      </x:c>
      <x:c r="F194" s="11"/>
      <x:c r="G194" s="11" t="n">
        <x:v>7142155</x:v>
      </x:c>
      <x:c r="H194" s="11" t="n">
        <x:v>0</x:v>
      </x:c>
      <x:c r="I194" s="11" t="n">
        <x:v>7142155</x:v>
      </x:c>
      <x:c r="J194" s="11"/>
      <x:c r="K194" s="12" t="n">
        <x:v>1</x:v>
      </x:c>
      <x:c r="L194" s="12"/>
      <x:c r="M194" s="8" t="str">
        <x:v>N/A</x:v>
      </x:c>
    </x:row>
    <x:row r="195">
      <x:c r="A195" s="8" t="str">
        <x:v>Chase|Buildings</x:v>
      </x:c>
      <x:c r="B195" s="8" t="str">
        <x:v>chase-v</x:v>
      </x:c>
      <x:c r="C195" s="8" t="str">
        <x:v>Chase</x:v>
      </x:c>
      <x:c r="D195" s="8" t="str">
        <x:v>Buildings</x:v>
      </x:c>
      <x:c r="E195" s="11" t="n">
        <x:v>16321907</x:v>
      </x:c>
      <x:c r="F195" s="11" t="n">
        <x:v>5967244</x:v>
      </x:c>
      <x:c r="G195" s="11" t="n">
        <x:v>10354663</x:v>
      </x:c>
      <x:c r="H195" s="11" t="n">
        <x:v>351213</x:v>
      </x:c>
      <x:c r="I195" s="11" t="n">
        <x:v>31665541</x:v>
      </x:c>
      <x:c r="J195" s="11" t="n">
        <x:v>1187110</x:v>
      </x:c>
      <x:c r="K195" s="12" t="n">
        <x:v>0.6344027692352371</x:v>
      </x:c>
      <x:c r="L195" s="12" t="n">
        <x:v>0.9625109831535801</x:v>
      </x:c>
      <x:c r="M195" s="8" t="str">
        <x:v>No</x:v>
      </x:c>
    </x:row>
    <x:row r="196">
      <x:c r="A196" s="8" t="str">
        <x:v>Chase|Fleet</x:v>
      </x:c>
      <x:c r="B196" s="8" t="str">
        <x:v>chase-v</x:v>
      </x:c>
      <x:c r="C196" s="8" t="str">
        <x:v>Chase</x:v>
      </x:c>
      <x:c r="D196" s="8" t="str">
        <x:v>Fleet</x:v>
      </x:c>
      <x:c r="E196" s="11" t="n">
        <x:v>7327016</x:v>
      </x:c>
      <x:c r="F196" s="11" t="n">
        <x:v>4197317</x:v>
      </x:c>
      <x:c r="G196" s="11" t="n">
        <x:v>3129699</x:v>
      </x:c>
      <x:c r="H196" s="11" t="n">
        <x:v>129328</x:v>
      </x:c>
      <x:c r="I196" s="11" t="n">
        <x:v>2960436</x:v>
      </x:c>
      <x:c r="J196" s="11" t="n">
        <x:v>239890</x:v>
      </x:c>
      <x:c r="K196" s="12" t="n">
        <x:v>0.4271451024537138</x:v>
      </x:c>
      <x:c r="L196" s="12" t="n">
        <x:v>0.9189680168731903</x:v>
      </x:c>
      <x:c r="M196" s="8" t="str">
        <x:v>No</x:v>
      </x:c>
    </x:row>
    <x:row r="197">
      <x:c r="A197" s="8" t="str">
        <x:v>Chase|Parks and Recreation</x:v>
      </x:c>
      <x:c r="B197" s="8" t="str">
        <x:v>chase-v</x:v>
      </x:c>
      <x:c r="C197" s="8" t="str">
        <x:v>Chase</x:v>
      </x:c>
      <x:c r="D197" s="8" t="str">
        <x:v>Parks and Recreation</x:v>
      </x:c>
      <x:c r="E197" s="11" t="n">
        <x:v>2173421</x:v>
      </x:c>
      <x:c r="F197" s="11" t="n">
        <x:v>1281256</x:v>
      </x:c>
      <x:c r="G197" s="11" t="n">
        <x:v>892165</x:v>
      </x:c>
      <x:c r="H197" s="11" t="n">
        <x:v>221528</x:v>
      </x:c>
      <x:c r="I197" s="11" t="n">
        <x:v>3272199</x:v>
      </x:c>
      <x:c r="J197" s="11" t="n">
        <x:v>149211</x:v>
      </x:c>
      <x:c r="K197" s="12" t="n">
        <x:v>0.41048881003726384</x:v>
      </x:c>
      <x:c r="L197" s="12" t="n">
        <x:v>0.9544003894628658</x:v>
      </x:c>
      <x:c r="M197" s="8" t="str">
        <x:v>No</x:v>
      </x:c>
    </x:row>
    <x:row r="198">
      <x:c r="A198" s="8" t="str">
        <x:v>Chase|Water System</x:v>
      </x:c>
      <x:c r="B198" s="8" t="str">
        <x:v>chase-v</x:v>
      </x:c>
      <x:c r="C198" s="8" t="str">
        <x:v>Chase</x:v>
      </x:c>
      <x:c r="D198" s="8" t="str">
        <x:v>Water System</x:v>
      </x:c>
      <x:c r="E198" s="11" t="n">
        <x:v>4899738</x:v>
      </x:c>
      <x:c r="F198" s="11" t="n">
        <x:v>1840642</x:v>
      </x:c>
      <x:c r="G198" s="11" t="n">
        <x:v>3059096</x:v>
      </x:c>
      <x:c r="H198" s="11" t="n">
        <x:v>155156</x:v>
      </x:c>
      <x:c r="I198" s="11" t="n">
        <x:v>12740695</x:v>
      </x:c>
      <x:c r="J198" s="11" t="n">
        <x:v>253294</x:v>
      </x:c>
      <x:c r="K198" s="12" t="n">
        <x:v>0.6243386891299085</x:v>
      </x:c>
      <x:c r="L198" s="12" t="n">
        <x:v>0.9801192949050268</x:v>
      </x:c>
      <x:c r="M198" s="8" t="str">
        <x:v>Yes</x:v>
      </x:c>
    </x:row>
    <x:row r="199">
      <x:c r="A199" s="8" t="str">
        <x:v>Chase|Sewer System</x:v>
      </x:c>
      <x:c r="B199" s="8" t="str">
        <x:v>chase-v</x:v>
      </x:c>
      <x:c r="C199" s="8" t="str">
        <x:v>Chase</x:v>
      </x:c>
      <x:c r="D199" s="8" t="str">
        <x:v>Sewer System</x:v>
      </x:c>
      <x:c r="E199" s="11" t="n">
        <x:v>4157047</x:v>
      </x:c>
      <x:c r="F199" s="11" t="n">
        <x:v>2614098</x:v>
      </x:c>
      <x:c r="G199" s="11" t="n">
        <x:v>1542949</x:v>
      </x:c>
      <x:c r="H199" s="11" t="n">
        <x:v>0</x:v>
      </x:c>
      <x:c r="I199" s="11" t="n">
        <x:v>11721848</x:v>
      </x:c>
      <x:c r="J199" s="11" t="n">
        <x:v>264170</x:v>
      </x:c>
      <x:c r="K199" s="12" t="n">
        <x:v>0.3711646753091798</x:v>
      </x:c>
      <x:c r="L199" s="12" t="n">
        <x:v>0.9774634511554834</x:v>
      </x:c>
      <x:c r="M199" s="8" t="str">
        <x:v>Yes</x:v>
      </x:c>
    </x:row>
    <x:row r="200">
      <x:c r="A200" s="8" t="str">
        <x:v>Chase|Drainage System</x:v>
      </x:c>
      <x:c r="B200" s="8" t="str">
        <x:v>chase-v</x:v>
      </x:c>
      <x:c r="C200" s="8" t="str">
        <x:v>Chase</x:v>
      </x:c>
      <x:c r="D200" s="8" t="str">
        <x:v>Drainage System</x:v>
      </x:c>
      <x:c r="E200" s="11" t="n">
        <x:v>911747</x:v>
      </x:c>
      <x:c r="F200" s="11" t="n">
        <x:v>400009</x:v>
      </x:c>
      <x:c r="G200" s="11" t="n">
        <x:v>511738</x:v>
      </x:c>
      <x:c r="H200" s="11" t="n">
        <x:v>0</x:v>
      </x:c>
      <x:c r="I200" s="11" t="n">
        <x:v>2424259</x:v>
      </x:c>
      <x:c r="J200" s="11" t="n">
        <x:v>32830</x:v>
      </x:c>
      <x:c r="K200" s="12" t="n">
        <x:v>0.5612719317968691</x:v>
      </x:c>
      <x:c r="L200" s="12" t="n">
        <x:v>0.9864577175953559</x:v>
      </x:c>
      <x:c r="M200" s="8" t="str">
        <x:v>No</x:v>
      </x:c>
    </x:row>
    <x:row r="201">
      <x:c r="A201" s="8" t="str">
        <x:v>Chase|Transportation System</x:v>
      </x:c>
      <x:c r="B201" s="8" t="str">
        <x:v>chase-v</x:v>
      </x:c>
      <x:c r="C201" s="8" t="str">
        <x:v>Chase</x:v>
      </x:c>
      <x:c r="D201" s="8" t="str">
        <x:v>Transportation System</x:v>
      </x:c>
      <x:c r="E201" s="11" t="n">
        <x:v>9040297</x:v>
      </x:c>
      <x:c r="F201" s="11" t="n">
        <x:v>4484231</x:v>
      </x:c>
      <x:c r="G201" s="11" t="n">
        <x:v>4556066</x:v>
      </x:c>
      <x:c r="H201" s="11" t="n">
        <x:v>836896</x:v>
      </x:c>
      <x:c r="I201" s="11" t="n">
        <x:v>20768796</x:v>
      </x:c>
      <x:c r="J201" s="11" t="n">
        <x:v>388599</x:v>
      </x:c>
      <x:c r="K201" s="12" t="n">
        <x:v>0.5039730442484357</x:v>
      </x:c>
      <x:c r="L201" s="12" t="n">
        <x:v>0.9812892861001669</x:v>
      </x:c>
      <x:c r="M201" s="8" t="str">
        <x:v>Yes</x:v>
      </x:c>
    </x:row>
    <x:row r="202">
      <x:c r="A202" s="8" t="str">
        <x:v>Chase|Other Engineering Systems</x:v>
      </x:c>
      <x:c r="B202" s="8" t="str">
        <x:v>chase-v</x:v>
      </x:c>
      <x:c r="C202" s="8" t="str">
        <x:v>Chase</x:v>
      </x:c>
      <x:c r="D202" s="8" t="str">
        <x:v>Other Engineering Systems</x:v>
      </x:c>
      <x:c r="E202" s="11" t="n">
        <x:v>0</x:v>
      </x:c>
      <x:c r="F202" s="11" t="n">
        <x:v>0</x:v>
      </x:c>
      <x:c r="G202" s="11" t="n">
        <x:v>0</x:v>
      </x:c>
      <x:c r="H202" s="11" t="n">
        <x:v>0</x:v>
      </x:c>
      <x:c r="I202" s="11" t="n">
        <x:v>0</x:v>
      </x:c>
      <x:c r="J202" s="11" t="n">
        <x:v>0</x:v>
      </x:c>
      <x:c r="K202" s="12"/>
      <x:c r="L202" s="12"/>
      <x:c r="M202" s="8"/>
    </x:row>
    <x:row r="203">
      <x:c r="A203" s="8" t="str">
        <x:v>Chase|Other Tangible Capital Assets</x:v>
      </x:c>
      <x:c r="B203" s="8" t="str">
        <x:v>chase-v</x:v>
      </x:c>
      <x:c r="C203" s="8" t="str">
        <x:v>Chase</x:v>
      </x:c>
      <x:c r="D203" s="8" t="str">
        <x:v>Other Tangible Capital Assets</x:v>
      </x:c>
      <x:c r="E203" s="11" t="n">
        <x:v>0</x:v>
      </x:c>
      <x:c r="F203" s="11" t="n">
        <x:v>0</x:v>
      </x:c>
      <x:c r="G203" s="11" t="n">
        <x:v>0</x:v>
      </x:c>
      <x:c r="H203" s="11" t="n">
        <x:v>0</x:v>
      </x:c>
      <x:c r="I203" s="11" t="n">
        <x:v>0</x:v>
      </x:c>
      <x:c r="J203" s="11" t="n">
        <x:v>0</x:v>
      </x:c>
      <x:c r="K203" s="12"/>
      <x:c r="L203" s="12"/>
      <x:c r="M203" s="8" t="str">
        <x:v>N/A</x:v>
      </x:c>
    </x:row>
    <x:row r="204">
      <x:c r="A204" s="8" t="str">
        <x:v>Chase|Work In Progress</x:v>
      </x:c>
      <x:c r="B204" s="8" t="str">
        <x:v>chase-v</x:v>
      </x:c>
      <x:c r="C204" s="8" t="str">
        <x:v>Chase</x:v>
      </x:c>
      <x:c r="D204" s="8" t="str">
        <x:v>Work In Progress</x:v>
      </x:c>
      <x:c r="E204" s="11" t="n">
        <x:v>510681</x:v>
      </x:c>
      <x:c r="F204" s="11"/>
      <x:c r="G204" s="11" t="n">
        <x:v>510681</x:v>
      </x:c>
      <x:c r="H204" s="11" t="n">
        <x:v>405210</x:v>
      </x:c>
      <x:c r="I204" s="11" t="n">
        <x:v>510681</x:v>
      </x:c>
      <x:c r="J204" s="11"/>
      <x:c r="K204" s="12" t="n">
        <x:v>1</x:v>
      </x:c>
      <x:c r="L204" s="12"/>
      <x:c r="M204" s="8" t="str">
        <x:v>N/A</x:v>
      </x:c>
    </x:row>
    <x:row r="205">
      <x:c r="A205" s="8" t="str">
        <x:v>Chase|Total TCA</x:v>
      </x:c>
      <x:c r="B205" s="8" t="str">
        <x:v>chase-v</x:v>
      </x:c>
      <x:c r="C205" s="8" t="str">
        <x:v>Chase</x:v>
      </x:c>
      <x:c r="D205" s="8" t="str">
        <x:v>Total TCA</x:v>
      </x:c>
      <x:c r="E205" s="11" t="n">
        <x:v>52484009</x:v>
      </x:c>
      <x:c r="F205" s="11" t="n">
        <x:v>20784797</x:v>
      </x:c>
      <x:c r="G205" s="11" t="n">
        <x:v>31699212</x:v>
      </x:c>
      <x:c r="H205" s="11" t="n">
        <x:v>2099331</x:v>
      </x:c>
      <x:c r="I205" s="11" t="n">
        <x:v>93206610</x:v>
      </x:c>
      <x:c r="J205" s="11" t="n">
        <x:v>2515104</x:v>
      </x:c>
      <x:c r="K205" s="12" t="n">
        <x:v>0.6039784803786616</x:v>
      </x:c>
      <x:c r="L205" s="12" t="n">
        <x:v>0.973015819371609</x:v>
      </x:c>
      <x:c r="M205" s="8"/>
    </x:row>
    <x:row r="206">
      <x:c r="A206" s="8" t="str">
        <x:v>Chetwynd|Land</x:v>
      </x:c>
      <x:c r="B206" s="8" t="str">
        <x:v>chetwynd-d</x:v>
      </x:c>
      <x:c r="C206" s="8" t="str">
        <x:v>Chetwynd</x:v>
      </x:c>
      <x:c r="D206" s="8" t="str">
        <x:v>Land</x:v>
      </x:c>
      <x:c r="E206" s="11" t="n">
        <x:v>1691799</x:v>
      </x:c>
      <x:c r="F206" s="11"/>
      <x:c r="G206" s="11" t="n">
        <x:v>1691799</x:v>
      </x:c>
      <x:c r="H206" s="11" t="n">
        <x:v>0</x:v>
      </x:c>
      <x:c r="I206" s="11" t="n">
        <x:v>1691799</x:v>
      </x:c>
      <x:c r="J206" s="11"/>
      <x:c r="K206" s="12" t="n">
        <x:v>1</x:v>
      </x:c>
      <x:c r="L206" s="12"/>
      <x:c r="M206" s="8" t="str">
        <x:v>N/A</x:v>
      </x:c>
    </x:row>
    <x:row r="207">
      <x:c r="A207" s="8" t="str">
        <x:v>Chetwynd|Buildings</x:v>
      </x:c>
      <x:c r="B207" s="8" t="str">
        <x:v>chetwynd-d</x:v>
      </x:c>
      <x:c r="C207" s="8" t="str">
        <x:v>Chetwynd</x:v>
      </x:c>
      <x:c r="D207" s="8" t="str">
        <x:v>Buildings</x:v>
      </x:c>
      <x:c r="E207" s="11" t="n">
        <x:v>13333782</x:v>
      </x:c>
      <x:c r="F207" s="11" t="n">
        <x:v>4194791</x:v>
      </x:c>
      <x:c r="G207" s="11" t="n">
        <x:v>9138991</x:v>
      </x:c>
      <x:c r="H207" s="11" t="n">
        <x:v>0</x:v>
      </x:c>
      <x:c r="I207" s="11" t="n">
        <x:v>44090279</x:v>
      </x:c>
      <x:c r="J207" s="11" t="n">
        <x:v>724800</x:v>
      </x:c>
      <x:c r="K207" s="12" t="n">
        <x:v>0.6854012612475591</x:v>
      </x:c>
      <x:c r="L207" s="12" t="n">
        <x:v>0.9835610021882601</x:v>
      </x:c>
      <x:c r="M207" s="8" t="str">
        <x:v>In_Progress</x:v>
      </x:c>
    </x:row>
    <x:row r="208">
      <x:c r="A208" s="8" t="str">
        <x:v>Chetwynd|Fleet</x:v>
      </x:c>
      <x:c r="B208" s="8" t="str">
        <x:v>chetwynd-d</x:v>
      </x:c>
      <x:c r="C208" s="8" t="str">
        <x:v>Chetwynd</x:v>
      </x:c>
      <x:c r="D208" s="8" t="str">
        <x:v>Fleet</x:v>
      </x:c>
      <x:c r="E208" s="11" t="n">
        <x:v>11024697</x:v>
      </x:c>
      <x:c r="F208" s="11" t="n">
        <x:v>8363043</x:v>
      </x:c>
      <x:c r="G208" s="11" t="n">
        <x:v>2661654</x:v>
      </x:c>
      <x:c r="H208" s="11" t="n">
        <x:v>328066</x:v>
      </x:c>
      <x:c r="I208" s="11" t="n">
        <x:v>3709470</x:v>
      </x:c>
      <x:c r="J208" s="11" t="n">
        <x:v>325000</x:v>
      </x:c>
      <x:c r="K208" s="12" t="n">
        <x:v>0.24142649906840977</x:v>
      </x:c>
      <x:c r="L208" s="12" t="n">
        <x:v>0.9123864056051134</x:v>
      </x:c>
      <x:c r="M208" s="8" t="str">
        <x:v>Yes</x:v>
      </x:c>
    </x:row>
    <x:row r="209">
      <x:c r="A209" s="8" t="str">
        <x:v>Chetwynd|Parks and Recreation</x:v>
      </x:c>
      <x:c r="B209" s="8" t="str">
        <x:v>chetwynd-d</x:v>
      </x:c>
      <x:c r="C209" s="8" t="str">
        <x:v>Chetwynd</x:v>
      </x:c>
      <x:c r="D209" s="8" t="str">
        <x:v>Parks and Recreation</x:v>
      </x:c>
      <x:c r="E209" s="11" t="n">
        <x:v>822856</x:v>
      </x:c>
      <x:c r="F209" s="11" t="n">
        <x:v>104923</x:v>
      </x:c>
      <x:c r="G209" s="11" t="n">
        <x:v>717933</x:v>
      </x:c>
      <x:c r="H209" s="11" t="n">
        <x:v>0</x:v>
      </x:c>
      <x:c r="I209" s="11" t="n">
        <x:v>905000</x:v>
      </x:c>
      <x:c r="J209" s="11" t="n">
        <x:v>60000</x:v>
      </x:c>
      <x:c r="K209" s="12" t="n">
        <x:v>0.8724892326239342</x:v>
      </x:c>
      <x:c r="L209" s="12" t="n">
        <x:v>0.9337016574585635</x:v>
      </x:c>
      <x:c r="M209" s="8" t="str">
        <x:v>No</x:v>
      </x:c>
    </x:row>
    <x:row r="210">
      <x:c r="A210" s="8" t="str">
        <x:v>Chetwynd|Water System</x:v>
      </x:c>
      <x:c r="B210" s="8" t="str">
        <x:v>chetwynd-d</x:v>
      </x:c>
      <x:c r="C210" s="8" t="str">
        <x:v>Chetwynd</x:v>
      </x:c>
      <x:c r="D210" s="8" t="str">
        <x:v>Water System</x:v>
      </x:c>
      <x:c r="E210" s="11" t="n">
        <x:v>19965291</x:v>
      </x:c>
      <x:c r="F210" s="11" t="n">
        <x:v>6968232</x:v>
      </x:c>
      <x:c r="G210" s="11" t="n">
        <x:v>12997059</x:v>
      </x:c>
      <x:c r="H210" s="11" t="n">
        <x:v>1560661</x:v>
      </x:c>
      <x:c r="I210" s="11" t="n">
        <x:v>114636455</x:v>
      </x:c>
      <x:c r="J210" s="11" t="n">
        <x:v>1465660</x:v>
      </x:c>
      <x:c r="K210" s="12" t="n">
        <x:v>0.6509826979231107</x:v>
      </x:c>
      <x:c r="L210" s="12" t="n">
        <x:v>0.9872147128066722</x:v>
      </x:c>
      <x:c r="M210" s="8" t="str">
        <x:v>In_Progress</x:v>
      </x:c>
    </x:row>
    <x:row r="211">
      <x:c r="A211" s="8" t="str">
        <x:v>Chetwynd|Sewer System</x:v>
      </x:c>
      <x:c r="B211" s="8" t="str">
        <x:v>chetwynd-d</x:v>
      </x:c>
      <x:c r="C211" s="8" t="str">
        <x:v>Chetwynd</x:v>
      </x:c>
      <x:c r="D211" s="8" t="str">
        <x:v>Sewer System</x:v>
      </x:c>
      <x:c r="E211" s="11" t="n">
        <x:v>15410175</x:v>
      </x:c>
      <x:c r="F211" s="11" t="n">
        <x:v>3275213</x:v>
      </x:c>
      <x:c r="G211" s="11" t="n">
        <x:v>12134962</x:v>
      </x:c>
      <x:c r="H211" s="11" t="n">
        <x:v>0</x:v>
      </x:c>
      <x:c r="I211" s="11" t="n">
        <x:v>83743712</x:v>
      </x:c>
      <x:c r="J211" s="11" t="n">
        <x:v>1076392</x:v>
      </x:c>
      <x:c r="K211" s="12" t="n">
        <x:v>0.7874642565707398</x:v>
      </x:c>
      <x:c r="L211" s="12" t="n">
        <x:v>0.9871465931674965</x:v>
      </x:c>
      <x:c r="M211" s="8" t="str">
        <x:v>In_Progress</x:v>
      </x:c>
    </x:row>
    <x:row r="212">
      <x:c r="A212" s="8" t="str">
        <x:v>Chetwynd|Drainage System</x:v>
      </x:c>
      <x:c r="B212" s="8" t="str">
        <x:v>chetwynd-d</x:v>
      </x:c>
      <x:c r="C212" s="8" t="str">
        <x:v>Chetwynd</x:v>
      </x:c>
      <x:c r="D212" s="8" t="str">
        <x:v>Drainage System</x:v>
      </x:c>
      <x:c r="E212" s="11" t="n">
        <x:v>1648872</x:v>
      </x:c>
      <x:c r="F212" s="11" t="n">
        <x:v>590591</x:v>
      </x:c>
      <x:c r="G212" s="11" t="n">
        <x:v>1058281</x:v>
      </x:c>
      <x:c r="H212" s="11" t="n">
        <x:v>0</x:v>
      </x:c>
      <x:c r="I212" s="11" t="n">
        <x:v>5000000</x:v>
      </x:c>
      <x:c r="J212" s="11" t="n">
        <x:v>5000</x:v>
      </x:c>
      <x:c r="K212" s="12" t="n">
        <x:v>0.6418211965513393</x:v>
      </x:c>
      <x:c r="L212" s="12" t="n">
        <x:v>0.999</x:v>
      </x:c>
      <x:c r="M212" s="8" t="str">
        <x:v>No</x:v>
      </x:c>
    </x:row>
    <x:row r="213">
      <x:c r="A213" s="8" t="str">
        <x:v>Chetwynd|Transportation System</x:v>
      </x:c>
      <x:c r="B213" s="8" t="str">
        <x:v>chetwynd-d</x:v>
      </x:c>
      <x:c r="C213" s="8" t="str">
        <x:v>Chetwynd</x:v>
      </x:c>
      <x:c r="D213" s="8" t="str">
        <x:v>Transportation System</x:v>
      </x:c>
      <x:c r="E213" s="11" t="n">
        <x:v>27154847</x:v>
      </x:c>
      <x:c r="F213" s="11" t="n">
        <x:v>9877837</x:v>
      </x:c>
      <x:c r="G213" s="11" t="n">
        <x:v>17277010</x:v>
      </x:c>
      <x:c r="H213" s="11" t="n">
        <x:v>2866221</x:v>
      </x:c>
      <x:c r="I213" s="11" t="n">
        <x:v>61215257</x:v>
      </x:c>
      <x:c r="J213" s="11" t="n">
        <x:v>1016500</x:v>
      </x:c>
      <x:c r="K213" s="12" t="n">
        <x:v>0.6362403735878166</x:v>
      </x:c>
      <x:c r="L213" s="12" t="n">
        <x:v>0.9833946625430323</x:v>
      </x:c>
      <x:c r="M213" s="8" t="str">
        <x:v>Yes</x:v>
      </x:c>
    </x:row>
    <x:row r="214">
      <x:c r="A214" s="8" t="str">
        <x:v>Chetwynd|Other Engineering Systems</x:v>
      </x:c>
      <x:c r="B214" s="8" t="str">
        <x:v>chetwynd-d</x:v>
      </x:c>
      <x:c r="C214" s="8" t="str">
        <x:v>Chetwynd</x:v>
      </x:c>
      <x:c r="D214" s="8" t="str">
        <x:v>Other Engineering Systems</x:v>
      </x:c>
      <x:c r="E214" s="11" t="n">
        <x:v>0</x:v>
      </x:c>
      <x:c r="F214" s="11" t="n">
        <x:v>0</x:v>
      </x:c>
      <x:c r="G214" s="11" t="n">
        <x:v>0</x:v>
      </x:c>
      <x:c r="H214" s="11" t="n">
        <x:v>0</x:v>
      </x:c>
      <x:c r="I214" s="11" t="n">
        <x:v>0</x:v>
      </x:c>
      <x:c r="J214" s="11" t="n">
        <x:v>0</x:v>
      </x:c>
      <x:c r="K214" s="12"/>
      <x:c r="L214" s="12"/>
      <x:c r="M214" s="8"/>
    </x:row>
    <x:row r="215">
      <x:c r="A215" s="8" t="str">
        <x:v>Chetwynd|Other Tangible Capital Assets</x:v>
      </x:c>
      <x:c r="B215" s="8" t="str">
        <x:v>chetwynd-d</x:v>
      </x:c>
      <x:c r="C215" s="8" t="str">
        <x:v>Chetwynd</x:v>
      </x:c>
      <x:c r="D215" s="8" t="str">
        <x:v>Other Tangible Capital Assets</x:v>
      </x:c>
      <x:c r="E215" s="11" t="n">
        <x:v>0</x:v>
      </x:c>
      <x:c r="F215" s="11" t="n">
        <x:v>0</x:v>
      </x:c>
      <x:c r="G215" s="11" t="n">
        <x:v>0</x:v>
      </x:c>
      <x:c r="H215" s="11" t="n">
        <x:v>0</x:v>
      </x:c>
      <x:c r="I215" s="11" t="n">
        <x:v>0</x:v>
      </x:c>
      <x:c r="J215" s="11" t="n">
        <x:v>0</x:v>
      </x:c>
      <x:c r="K215" s="12"/>
      <x:c r="L215" s="12"/>
      <x:c r="M215" s="8" t="str">
        <x:v>N/A</x:v>
      </x:c>
    </x:row>
    <x:row r="216">
      <x:c r="A216" s="8" t="str">
        <x:v>Chetwynd|Work In Progress</x:v>
      </x:c>
      <x:c r="B216" s="8" t="str">
        <x:v>chetwynd-d</x:v>
      </x:c>
      <x:c r="C216" s="8" t="str">
        <x:v>Chetwynd</x:v>
      </x:c>
      <x:c r="D216" s="8" t="str">
        <x:v>Work In Progress</x:v>
      </x:c>
      <x:c r="E216" s="11" t="n">
        <x:v>438458</x:v>
      </x:c>
      <x:c r="F216" s="11"/>
      <x:c r="G216" s="11" t="n">
        <x:v>438458</x:v>
      </x:c>
      <x:c r="H216" s="11" t="n">
        <x:v>-254447</x:v>
      </x:c>
      <x:c r="I216" s="11" t="n">
        <x:v>438458</x:v>
      </x:c>
      <x:c r="J216" s="11"/>
      <x:c r="K216" s="12" t="n">
        <x:v>1</x:v>
      </x:c>
      <x:c r="L216" s="12"/>
      <x:c r="M216" s="8" t="str">
        <x:v>N/A</x:v>
      </x:c>
    </x:row>
    <x:row r="217">
      <x:c r="A217" s="8" t="str">
        <x:v>Chetwynd|Total TCA</x:v>
      </x:c>
      <x:c r="B217" s="8" t="str">
        <x:v>chetwynd-d</x:v>
      </x:c>
      <x:c r="C217" s="8" t="str">
        <x:v>Chetwynd</x:v>
      </x:c>
      <x:c r="D217" s="8" t="str">
        <x:v>Total TCA</x:v>
      </x:c>
      <x:c r="E217" s="11" t="n">
        <x:v>91490777</x:v>
      </x:c>
      <x:c r="F217" s="11" t="n">
        <x:v>33374630</x:v>
      </x:c>
      <x:c r="G217" s="11" t="n">
        <x:v>58116147</x:v>
      </x:c>
      <x:c r="H217" s="11" t="n">
        <x:v>4500501</x:v>
      </x:c>
      <x:c r="I217" s="11" t="n">
        <x:v>315430430</x:v>
      </x:c>
      <x:c r="J217" s="11" t="n">
        <x:v>4673352</x:v>
      </x:c>
      <x:c r="K217" s="12" t="n">
        <x:v>0.6352131756406441</x:v>
      </x:c>
      <x:c r="L217" s="12" t="n">
        <x:v>0.985184206862984</x:v>
      </x:c>
      <x:c r="M217" s="8"/>
    </x:row>
    <x:row r="218">
      <x:c r="A218" s="8" t="str">
        <x:v>Chilliwack|Land</x:v>
      </x:c>
      <x:c r="B218" s="8" t="str">
        <x:v>chilliwack-c</x:v>
      </x:c>
      <x:c r="C218" s="8" t="str">
        <x:v>Chilliwack</x:v>
      </x:c>
      <x:c r="D218" s="8" t="str">
        <x:v>Land</x:v>
      </x:c>
      <x:c r="E218" s="11" t="n">
        <x:v>164002186</x:v>
      </x:c>
      <x:c r="F218" s="11"/>
      <x:c r="G218" s="11" t="n">
        <x:v>164002186</x:v>
      </x:c>
      <x:c r="H218" s="11" t="n">
        <x:v>2196158</x:v>
      </x:c>
      <x:c r="I218" s="11" t="n">
        <x:v>164002186</x:v>
      </x:c>
      <x:c r="J218" s="11"/>
      <x:c r="K218" s="12" t="n">
        <x:v>1</x:v>
      </x:c>
      <x:c r="L218" s="12"/>
      <x:c r="M218" s="8" t="str">
        <x:v>N/A</x:v>
      </x:c>
    </x:row>
    <x:row r="219">
      <x:c r="A219" s="8" t="str">
        <x:v>Chilliwack|Buildings</x:v>
      </x:c>
      <x:c r="B219" s="8" t="str">
        <x:v>chilliwack-c</x:v>
      </x:c>
      <x:c r="C219" s="8" t="str">
        <x:v>Chilliwack</x:v>
      </x:c>
      <x:c r="D219" s="8" t="str">
        <x:v>Buildings</x:v>
      </x:c>
      <x:c r="E219" s="11" t="n">
        <x:v>174834375</x:v>
      </x:c>
      <x:c r="F219" s="11" t="n">
        <x:v>73468362</x:v>
      </x:c>
      <x:c r="G219" s="11" t="n">
        <x:v>101366013</x:v>
      </x:c>
      <x:c r="H219" s="11" t="n">
        <x:v>194860</x:v>
      </x:c>
      <x:c r="I219" s="11" t="n">
        <x:v>192317812</x:v>
      </x:c>
      <x:c r="J219" s="11" t="n">
        <x:v>0</x:v>
      </x:c>
      <x:c r="K219" s="12" t="n">
        <x:v>0.5797830832752426</x:v>
      </x:c>
      <x:c r="L219" s="12" t="n">
        <x:v>1</x:v>
      </x:c>
      <x:c r="M219" s="8" t="str">
        <x:v>In_Progress</x:v>
      </x:c>
    </x:row>
    <x:row r="220">
      <x:c r="A220" s="8" t="str">
        <x:v>Chilliwack|Fleet</x:v>
      </x:c>
      <x:c r="B220" s="8" t="str">
        <x:v>chilliwack-c</x:v>
      </x:c>
      <x:c r="C220" s="8" t="str">
        <x:v>Chilliwack</x:v>
      </x:c>
      <x:c r="D220" s="8" t="str">
        <x:v>Fleet</x:v>
      </x:c>
      <x:c r="E220" s="11" t="n">
        <x:v>22478960</x:v>
      </x:c>
      <x:c r="F220" s="11" t="n">
        <x:v>12998554</x:v>
      </x:c>
      <x:c r="G220" s="11" t="n">
        <x:v>9480406</x:v>
      </x:c>
      <x:c r="H220" s="11" t="n">
        <x:v>1996712</x:v>
      </x:c>
      <x:c r="I220" s="11" t="n">
        <x:v>24726855</x:v>
      </x:c>
      <x:c r="J220" s="11" t="n">
        <x:v>2362000</x:v>
      </x:c>
      <x:c r="K220" s="12" t="n">
        <x:v>0.4217457569211387</x:v>
      </x:c>
      <x:c r="L220" s="12" t="n">
        <x:v>0.9044763274585466</x:v>
      </x:c>
      <x:c r="M220" s="8" t="str">
        <x:v>In_Progress</x:v>
      </x:c>
    </x:row>
    <x:row r="221">
      <x:c r="A221" s="8" t="str">
        <x:v>Chilliwack|Parks and Recreation</x:v>
      </x:c>
      <x:c r="B221" s="8" t="str">
        <x:v>chilliwack-c</x:v>
      </x:c>
      <x:c r="C221" s="8" t="str">
        <x:v>Chilliwack</x:v>
      </x:c>
      <x:c r="D221" s="8" t="str">
        <x:v>Parks and Recreation</x:v>
      </x:c>
      <x:c r="E221" s="11" t="n">
        <x:v>44370538</x:v>
      </x:c>
      <x:c r="F221" s="11" t="n">
        <x:v>17468440</x:v>
      </x:c>
      <x:c r="G221" s="11" t="n">
        <x:v>26902098</x:v>
      </x:c>
      <x:c r="H221" s="11" t="n">
        <x:v>5111396</x:v>
      </x:c>
      <x:c r="I221" s="11" t="n">
        <x:v>48807592</x:v>
      </x:c>
      <x:c r="J221" s="11" t="n">
        <x:v>0</x:v>
      </x:c>
      <x:c r="K221" s="12" t="n">
        <x:v>0.6063054272634693</x:v>
      </x:c>
      <x:c r="L221" s="12" t="n">
        <x:v>1</x:v>
      </x:c>
      <x:c r="M221" s="8" t="str">
        <x:v>In_Progress</x:v>
      </x:c>
    </x:row>
    <x:row r="222">
      <x:c r="A222" s="8" t="str">
        <x:v>Chilliwack|Water System</x:v>
      </x:c>
      <x:c r="B222" s="8" t="str">
        <x:v>chilliwack-c</x:v>
      </x:c>
      <x:c r="C222" s="8" t="str">
        <x:v>Chilliwack</x:v>
      </x:c>
      <x:c r="D222" s="8" t="str">
        <x:v>Water System</x:v>
      </x:c>
      <x:c r="E222" s="11" t="n">
        <x:v>213374563</x:v>
      </x:c>
      <x:c r="F222" s="11" t="n">
        <x:v>82862572</x:v>
      </x:c>
      <x:c r="G222" s="11" t="n">
        <x:v>130511991</x:v>
      </x:c>
      <x:c r="H222" s="11" t="n">
        <x:v>5183759</x:v>
      </x:c>
      <x:c r="I222" s="11" t="n">
        <x:v>234712019</x:v>
      </x:c>
      <x:c r="J222" s="11" t="n">
        <x:v>0</x:v>
      </x:c>
      <x:c r="K222" s="12" t="n">
        <x:v>0.6116567465448072</x:v>
      </x:c>
      <x:c r="L222" s="12" t="n">
        <x:v>1</x:v>
      </x:c>
      <x:c r="M222" s="8" t="str">
        <x:v>In_Progress</x:v>
      </x:c>
    </x:row>
    <x:row r="223">
      <x:c r="A223" s="8" t="str">
        <x:v>Chilliwack|Sewer System</x:v>
      </x:c>
      <x:c r="B223" s="8" t="str">
        <x:v>chilliwack-c</x:v>
      </x:c>
      <x:c r="C223" s="8" t="str">
        <x:v>Chilliwack</x:v>
      </x:c>
      <x:c r="D223" s="8" t="str">
        <x:v>Sewer System</x:v>
      </x:c>
      <x:c r="E223" s="11" t="n">
        <x:v>299291602</x:v>
      </x:c>
      <x:c r="F223" s="11" t="n">
        <x:v>117831100</x:v>
      </x:c>
      <x:c r="G223" s="11" t="n">
        <x:v>181460502</x:v>
      </x:c>
      <x:c r="H223" s="11" t="n">
        <x:v>10558409</x:v>
      </x:c>
      <x:c r="I223" s="11" t="n">
        <x:v>329220762</x:v>
      </x:c>
      <x:c r="J223" s="11" t="n">
        <x:v>0</x:v>
      </x:c>
      <x:c r="K223" s="12" t="n">
        <x:v>0.6063000123872504</x:v>
      </x:c>
      <x:c r="L223" s="12" t="n">
        <x:v>1</x:v>
      </x:c>
      <x:c r="M223" s="8" t="str">
        <x:v>In_Progress</x:v>
      </x:c>
    </x:row>
    <x:row r="224">
      <x:c r="A224" s="8" t="str">
        <x:v>Chilliwack|Drainage System</x:v>
      </x:c>
      <x:c r="B224" s="8" t="str">
        <x:v>chilliwack-c</x:v>
      </x:c>
      <x:c r="C224" s="8" t="str">
        <x:v>Chilliwack</x:v>
      </x:c>
      <x:c r="D224" s="8" t="str">
        <x:v>Drainage System</x:v>
      </x:c>
      <x:c r="E224" s="11" t="n">
        <x:v>113797621</x:v>
      </x:c>
      <x:c r="F224" s="11" t="n">
        <x:v>51313880</x:v>
      </x:c>
      <x:c r="G224" s="11" t="n">
        <x:v>62483741</x:v>
      </x:c>
      <x:c r="H224" s="11" t="n">
        <x:v>1397676</x:v>
      </x:c>
      <x:c r="I224" s="11" t="n">
        <x:v>125177384</x:v>
      </x:c>
      <x:c r="J224" s="11" t="n">
        <x:v>0</x:v>
      </x:c>
      <x:c r="K224" s="12" t="n">
        <x:v>0.5490777439011665</x:v>
      </x:c>
      <x:c r="L224" s="12" t="n">
        <x:v>1</x:v>
      </x:c>
      <x:c r="M224" s="8" t="str">
        <x:v>In_Progress</x:v>
      </x:c>
    </x:row>
    <x:row r="225">
      <x:c r="A225" s="8" t="str">
        <x:v>Chilliwack|Transportation System</x:v>
      </x:c>
      <x:c r="B225" s="8" t="str">
        <x:v>chilliwack-c</x:v>
      </x:c>
      <x:c r="C225" s="8" t="str">
        <x:v>Chilliwack</x:v>
      </x:c>
      <x:c r="D225" s="8" t="str">
        <x:v>Transportation System</x:v>
      </x:c>
      <x:c r="E225" s="11" t="n">
        <x:v>258625122</x:v>
      </x:c>
      <x:c r="F225" s="11" t="n">
        <x:v>111998411</x:v>
      </x:c>
      <x:c r="G225" s="11" t="n">
        <x:v>146626711</x:v>
      </x:c>
      <x:c r="H225" s="11" t="n">
        <x:v>8160381</x:v>
      </x:c>
      <x:c r="I225" s="11" t="n">
        <x:v>284487633</x:v>
      </x:c>
      <x:c r="J225" s="11" t="n">
        <x:v>0</x:v>
      </x:c>
      <x:c r="K225" s="12" t="n">
        <x:v>0.5669468993039276</x:v>
      </x:c>
      <x:c r="L225" s="12" t="n">
        <x:v>1</x:v>
      </x:c>
      <x:c r="M225" s="8" t="str">
        <x:v>In_Progress</x:v>
      </x:c>
    </x:row>
    <x:row r="226">
      <x:c r="A226" s="8" t="str">
        <x:v>Chilliwack|Other Engineering Systems</x:v>
      </x:c>
      <x:c r="B226" s="8" t="str">
        <x:v>chilliwack-c</x:v>
      </x:c>
      <x:c r="C226" s="8" t="str">
        <x:v>Chilliwack</x:v>
      </x:c>
      <x:c r="D226" s="8" t="str">
        <x:v>Other Engineering Systems</x:v>
      </x:c>
      <x:c r="E226" s="11" t="n">
        <x:v>74849276</x:v>
      </x:c>
      <x:c r="F226" s="11" t="n">
        <x:v>22739460</x:v>
      </x:c>
      <x:c r="G226" s="11" t="n">
        <x:v>52109816</x:v>
      </x:c>
      <x:c r="H226" s="11" t="n">
        <x:v>3968217</x:v>
      </x:c>
      <x:c r="I226" s="11" t="n">
        <x:v>82334203</x:v>
      </x:c>
      <x:c r="J226" s="11" t="n">
        <x:v>0</x:v>
      </x:c>
      <x:c r="K226" s="12" t="n">
        <x:v>0.6961966606063097</x:v>
      </x:c>
      <x:c r="L226" s="12" t="n">
        <x:v>1</x:v>
      </x:c>
      <x:c r="M226" s="8" t="str">
        <x:v>In_Progress</x:v>
      </x:c>
    </x:row>
    <x:row r="227">
      <x:c r="A227" s="8" t="str">
        <x:v>Chilliwack|Other Tangible Capital Assets</x:v>
      </x:c>
      <x:c r="B227" s="8" t="str">
        <x:v>chilliwack-c</x:v>
      </x:c>
      <x:c r="C227" s="8" t="str">
        <x:v>Chilliwack</x:v>
      </x:c>
      <x:c r="D227" s="8" t="str">
        <x:v>Other Tangible Capital Assets</x:v>
      </x:c>
      <x:c r="E227" s="11" t="n">
        <x:v>57668032</x:v>
      </x:c>
      <x:c r="F227" s="11" t="n">
        <x:v>27832085</x:v>
      </x:c>
      <x:c r="G227" s="11" t="n">
        <x:v>29835947</x:v>
      </x:c>
      <x:c r="H227" s="11" t="n">
        <x:v>6656441</x:v>
      </x:c>
      <x:c r="I227" s="11" t="n">
        <x:v>63434835</x:v>
      </x:c>
      <x:c r="J227" s="11" t="n">
        <x:v>0</x:v>
      </x:c>
      <x:c r="K227" s="12" t="n">
        <x:v>0.5173741146567998</x:v>
      </x:c>
      <x:c r="L227" s="12" t="n">
        <x:v>1</x:v>
      </x:c>
      <x:c r="M227" s="8" t="str">
        <x:v>N/A</x:v>
      </x:c>
    </x:row>
    <x:row r="228">
      <x:c r="A228" s="8" t="str">
        <x:v>Chilliwack|Work In Progress</x:v>
      </x:c>
      <x:c r="B228" s="8" t="str">
        <x:v>chilliwack-c</x:v>
      </x:c>
      <x:c r="C228" s="8" t="str">
        <x:v>Chilliwack</x:v>
      </x:c>
      <x:c r="D228" s="8" t="str">
        <x:v>Work In Progress</x:v>
      </x:c>
      <x:c r="E228" s="11" t="n">
        <x:v>32670875</x:v>
      </x:c>
      <x:c r="F228" s="11"/>
      <x:c r="G228" s="11" t="n">
        <x:v>32670875</x:v>
      </x:c>
      <x:c r="H228" s="11" t="n">
        <x:v>10013434</x:v>
      </x:c>
      <x:c r="I228" s="11" t="n">
        <x:v>32670875</x:v>
      </x:c>
      <x:c r="J228" s="11"/>
      <x:c r="K228" s="12" t="n">
        <x:v>1</x:v>
      </x:c>
      <x:c r="L228" s="12"/>
      <x:c r="M228" s="8" t="str">
        <x:v>N/A</x:v>
      </x:c>
    </x:row>
    <x:row r="229">
      <x:c r="A229" s="8" t="str">
        <x:v>Chilliwack|Total TCA</x:v>
      </x:c>
      <x:c r="B229" s="8" t="str">
        <x:v>chilliwack-c</x:v>
      </x:c>
      <x:c r="C229" s="8" t="str">
        <x:v>Chilliwack</x:v>
      </x:c>
      <x:c r="D229" s="8" t="str">
        <x:v>Total TCA</x:v>
      </x:c>
      <x:c r="E229" s="11" t="n">
        <x:v>1455963150</x:v>
      </x:c>
      <x:c r="F229" s="11" t="n">
        <x:v>518512864</x:v>
      </x:c>
      <x:c r="G229" s="11" t="n">
        <x:v>937450286</x:v>
      </x:c>
      <x:c r="H229" s="11" t="n">
        <x:v>55437443</x:v>
      </x:c>
      <x:c r="I229" s="11" t="n">
        <x:v>1581892156</x:v>
      </x:c>
      <x:c r="J229" s="11" t="n">
        <x:v>2362000</x:v>
      </x:c>
      <x:c r="K229" s="12" t="n">
        <x:v>0.6438695141425798</x:v>
      </x:c>
      <x:c r="L229" s="12" t="n">
        <x:v>0.998506851436717</x:v>
      </x:c>
      <x:c r="M229" s="8"/>
    </x:row>
    <x:row r="230">
      <x:c r="A230" s="8" t="str">
        <x:v>Clearwater|Land</x:v>
      </x:c>
      <x:c r="B230" s="8" t="str">
        <x:v>clearwater-d</x:v>
      </x:c>
      <x:c r="C230" s="8" t="str">
        <x:v>Clearwater</x:v>
      </x:c>
      <x:c r="D230" s="8" t="str">
        <x:v>Land</x:v>
      </x:c>
      <x:c r="E230" s="11" t="n">
        <x:v>8257601</x:v>
      </x:c>
      <x:c r="F230" s="11"/>
      <x:c r="G230" s="11" t="n">
        <x:v>8257601</x:v>
      </x:c>
      <x:c r="H230" s="11" t="n">
        <x:v>0</x:v>
      </x:c>
      <x:c r="I230" s="11" t="n">
        <x:v>8257601</x:v>
      </x:c>
      <x:c r="J230" s="11"/>
      <x:c r="K230" s="12" t="n">
        <x:v>1</x:v>
      </x:c>
      <x:c r="L230" s="12"/>
      <x:c r="M230" s="8" t="str">
        <x:v>N/A</x:v>
      </x:c>
    </x:row>
    <x:row r="231">
      <x:c r="A231" s="8" t="str">
        <x:v>Clearwater|Buildings</x:v>
      </x:c>
      <x:c r="B231" s="8" t="str">
        <x:v>clearwater-d</x:v>
      </x:c>
      <x:c r="C231" s="8" t="str">
        <x:v>Clearwater</x:v>
      </x:c>
      <x:c r="D231" s="8" t="str">
        <x:v>Buildings</x:v>
      </x:c>
      <x:c r="E231" s="11" t="n">
        <x:v>8968773</x:v>
      </x:c>
      <x:c r="F231" s="11" t="n">
        <x:v>3438421</x:v>
      </x:c>
      <x:c r="G231" s="11" t="n">
        <x:v>5530352</x:v>
      </x:c>
      <x:c r="H231" s="11" t="n">
        <x:v>803659</x:v>
      </x:c>
      <x:c r="I231" s="11" t="n">
        <x:v>21716716</x:v>
      </x:c>
      <x:c r="J231" s="11" t="n">
        <x:v>0</x:v>
      </x:c>
      <x:c r="K231" s="12" t="n">
        <x:v>0.6166230319353606</x:v>
      </x:c>
      <x:c r="L231" s="12" t="n">
        <x:v>1</x:v>
      </x:c>
      <x:c r="M231" s="8" t="str">
        <x:v>No</x:v>
      </x:c>
    </x:row>
    <x:row r="232">
      <x:c r="A232" s="8" t="str">
        <x:v>Clearwater|Fleet</x:v>
      </x:c>
      <x:c r="B232" s="8" t="str">
        <x:v>clearwater-d</x:v>
      </x:c>
      <x:c r="C232" s="8" t="str">
        <x:v>Clearwater</x:v>
      </x:c>
      <x:c r="D232" s="8" t="str">
        <x:v>Fleet</x:v>
      </x:c>
      <x:c r="E232" s="11" t="n">
        <x:v>3573007</x:v>
      </x:c>
      <x:c r="F232" s="11" t="n">
        <x:v>2221047</x:v>
      </x:c>
      <x:c r="G232" s="11" t="n">
        <x:v>1351960</x:v>
      </x:c>
      <x:c r="H232" s="11" t="n">
        <x:v>143021</x:v>
      </x:c>
      <x:c r="I232" s="11" t="n">
        <x:v>680727</x:v>
      </x:c>
      <x:c r="J232" s="11" t="n">
        <x:v>0</x:v>
      </x:c>
      <x:c r="K232" s="12" t="n">
        <x:v>0.37838157048111015</x:v>
      </x:c>
      <x:c r="L232" s="12" t="n">
        <x:v>1</x:v>
      </x:c>
      <x:c r="M232" s="8" t="str">
        <x:v>No</x:v>
      </x:c>
    </x:row>
    <x:row r="233">
      <x:c r="A233" s="8" t="str">
        <x:v>Clearwater|Parks and Recreation</x:v>
      </x:c>
      <x:c r="B233" s="8" t="str">
        <x:v>clearwater-d</x:v>
      </x:c>
      <x:c r="C233" s="8" t="str">
        <x:v>Clearwater</x:v>
      </x:c>
      <x:c r="D233" s="8" t="str">
        <x:v>Parks and Recreation</x:v>
      </x:c>
      <x:c r="E233" s="11" t="n">
        <x:v>4614920</x:v>
      </x:c>
      <x:c r="F233" s="11" t="n">
        <x:v>1435887</x:v>
      </x:c>
      <x:c r="G233" s="11" t="n">
        <x:v>3179033</x:v>
      </x:c>
      <x:c r="H233" s="11" t="n">
        <x:v>487185</x:v>
      </x:c>
      <x:c r="I233" s="11" t="n">
        <x:v>1468556</x:v>
      </x:c>
      <x:c r="J233" s="11" t="n">
        <x:v>0</x:v>
      </x:c>
      <x:c r="K233" s="12" t="n">
        <x:v>0.6888598285560746</x:v>
      </x:c>
      <x:c r="L233" s="12" t="n">
        <x:v>1</x:v>
      </x:c>
      <x:c r="M233" s="8" t="str">
        <x:v>No</x:v>
      </x:c>
    </x:row>
    <x:row r="234">
      <x:c r="A234" s="8" t="str">
        <x:v>Clearwater|Water System</x:v>
      </x:c>
      <x:c r="B234" s="8" t="str">
        <x:v>clearwater-d</x:v>
      </x:c>
      <x:c r="C234" s="8" t="str">
        <x:v>Clearwater</x:v>
      </x:c>
      <x:c r="D234" s="8" t="str">
        <x:v>Water System</x:v>
      </x:c>
      <x:c r="E234" s="11" t="n">
        <x:v>7223231</x:v>
      </x:c>
      <x:c r="F234" s="11" t="n">
        <x:v>1914566</x:v>
      </x:c>
      <x:c r="G234" s="11" t="n">
        <x:v>5308665</x:v>
      </x:c>
      <x:c r="H234" s="11" t="n">
        <x:v>227598</x:v>
      </x:c>
      <x:c r="I234" s="11" t="n">
        <x:v>4349969</x:v>
      </x:c>
      <x:c r="J234" s="11" t="n">
        <x:v>0</x:v>
      </x:c>
      <x:c r="K234" s="12" t="n">
        <x:v>0.7349432684625481</x:v>
      </x:c>
      <x:c r="L234" s="12" t="n">
        <x:v>1</x:v>
      </x:c>
      <x:c r="M234" s="8" t="str">
        <x:v>Yes</x:v>
      </x:c>
    </x:row>
    <x:row r="235">
      <x:c r="A235" s="8" t="str">
        <x:v>Clearwater|Sewer System</x:v>
      </x:c>
      <x:c r="B235" s="8" t="str">
        <x:v>clearwater-d</x:v>
      </x:c>
      <x:c r="C235" s="8" t="str">
        <x:v>Clearwater</x:v>
      </x:c>
      <x:c r="D235" s="8" t="str">
        <x:v>Sewer System</x:v>
      </x:c>
      <x:c r="E235" s="11" t="n">
        <x:v>6897201</x:v>
      </x:c>
      <x:c r="F235" s="11" t="n">
        <x:v>1593282</x:v>
      </x:c>
      <x:c r="G235" s="11" t="n">
        <x:v>5303919</x:v>
      </x:c>
      <x:c r="H235" s="11" t="n">
        <x:v>49408</x:v>
      </x:c>
      <x:c r="I235" s="11" t="n">
        <x:v>1921980</x:v>
      </x:c>
      <x:c r="J235" s="11" t="n">
        <x:v>0</x:v>
      </x:c>
      <x:c r="K235" s="12" t="n">
        <x:v>0.7689958578849594</x:v>
      </x:c>
      <x:c r="L235" s="12" t="n">
        <x:v>1</x:v>
      </x:c>
      <x:c r="M235" s="8" t="str">
        <x:v>Yes</x:v>
      </x:c>
    </x:row>
    <x:row r="236">
      <x:c r="A236" s="8" t="str">
        <x:v>Clearwater|Drainage System</x:v>
      </x:c>
      <x:c r="B236" s="8" t="str">
        <x:v>clearwater-d</x:v>
      </x:c>
      <x:c r="C236" s="8" t="str">
        <x:v>Clearwater</x:v>
      </x:c>
      <x:c r="D236" s="8" t="str">
        <x:v>Drainage System</x:v>
      </x:c>
      <x:c r="E236" s="11" t="n">
        <x:v>0</x:v>
      </x:c>
      <x:c r="F236" s="11" t="n">
        <x:v>0</x:v>
      </x:c>
      <x:c r="G236" s="11" t="n">
        <x:v>0</x:v>
      </x:c>
      <x:c r="H236" s="11" t="n">
        <x:v>0</x:v>
      </x:c>
      <x:c r="I236" s="11" t="n">
        <x:v>0</x:v>
      </x:c>
      <x:c r="J236" s="11" t="n">
        <x:v>0</x:v>
      </x:c>
      <x:c r="K236" s="12"/>
      <x:c r="L236" s="12"/>
      <x:c r="M236" s="8"/>
    </x:row>
    <x:row r="237">
      <x:c r="A237" s="8" t="str">
        <x:v>Clearwater|Transportation System</x:v>
      </x:c>
      <x:c r="B237" s="8" t="str">
        <x:v>clearwater-d</x:v>
      </x:c>
      <x:c r="C237" s="8" t="str">
        <x:v>Clearwater</x:v>
      </x:c>
      <x:c r="D237" s="8" t="str">
        <x:v>Transportation System</x:v>
      </x:c>
      <x:c r="E237" s="11" t="n">
        <x:v>26807040</x:v>
      </x:c>
      <x:c r="F237" s="11" t="n">
        <x:v>15944035</x:v>
      </x:c>
      <x:c r="G237" s="11" t="n">
        <x:v>10863005</x:v>
      </x:c>
      <x:c r="H237" s="11" t="n">
        <x:v>377027</x:v>
      </x:c>
      <x:c r="I237" s="11" t="n">
        <x:v>26807039</x:v>
      </x:c>
      <x:c r="J237" s="11" t="n">
        <x:v>0</x:v>
      </x:c>
      <x:c r="K237" s="12" t="n">
        <x:v>0.4052295591008929</x:v>
      </x:c>
      <x:c r="L237" s="12" t="n">
        <x:v>1</x:v>
      </x:c>
      <x:c r="M237" s="8" t="str">
        <x:v>No</x:v>
      </x:c>
    </x:row>
    <x:row r="238">
      <x:c r="A238" s="8" t="str">
        <x:v>Clearwater|Other Engineering Systems</x:v>
      </x:c>
      <x:c r="B238" s="8" t="str">
        <x:v>clearwater-d</x:v>
      </x:c>
      <x:c r="C238" s="8" t="str">
        <x:v>Clearwater</x:v>
      </x:c>
      <x:c r="D238" s="8" t="str">
        <x:v>Other Engineering Systems</x:v>
      </x:c>
      <x:c r="E238" s="11" t="n">
        <x:v>974374</x:v>
      </x:c>
      <x:c r="F238" s="11" t="n">
        <x:v>285817</x:v>
      </x:c>
      <x:c r="G238" s="11" t="n">
        <x:v>688557</x:v>
      </x:c>
      <x:c r="H238" s="11" t="n">
        <x:v>0</x:v>
      </x:c>
      <x:c r="I238" s="11" t="n">
        <x:v>974375</x:v>
      </x:c>
      <x:c r="J238" s="11" t="n">
        <x:v>0</x:v>
      </x:c>
      <x:c r="K238" s="12" t="n">
        <x:v>0.7066660235186899</x:v>
      </x:c>
      <x:c r="L238" s="12" t="n">
        <x:v>1</x:v>
      </x:c>
      <x:c r="M238" s="8" t="str">
        <x:v>No</x:v>
      </x:c>
    </x:row>
    <x:row r="239">
      <x:c r="A239" s="8" t="str">
        <x:v>Clearwater|Other Tangible Capital Assets</x:v>
      </x:c>
      <x:c r="B239" s="8" t="str">
        <x:v>clearwater-d</x:v>
      </x:c>
      <x:c r="C239" s="8" t="str">
        <x:v>Clearwater</x:v>
      </x:c>
      <x:c r="D239" s="8" t="str">
        <x:v>Other Tangible Capital Assets</x:v>
      </x:c>
      <x:c r="E239" s="11" t="n">
        <x:v>0</x:v>
      </x:c>
      <x:c r="F239" s="11" t="n">
        <x:v>0</x:v>
      </x:c>
      <x:c r="G239" s="11" t="n">
        <x:v>0</x:v>
      </x:c>
      <x:c r="H239" s="11" t="n">
        <x:v>0</x:v>
      </x:c>
      <x:c r="I239" s="11" t="n">
        <x:v>0</x:v>
      </x:c>
      <x:c r="J239" s="11" t="n">
        <x:v>0</x:v>
      </x:c>
      <x:c r="K239" s="12"/>
      <x:c r="L239" s="12"/>
      <x:c r="M239" s="8" t="str">
        <x:v>N/A</x:v>
      </x:c>
    </x:row>
    <x:row r="240">
      <x:c r="A240" s="8" t="str">
        <x:v>Clearwater|Work In Progress</x:v>
      </x:c>
      <x:c r="B240" s="8" t="str">
        <x:v>clearwater-d</x:v>
      </x:c>
      <x:c r="C240" s="8" t="str">
        <x:v>Clearwater</x:v>
      </x:c>
      <x:c r="D240" s="8" t="str">
        <x:v>Work In Progress</x:v>
      </x:c>
      <x:c r="E240" s="11" t="n">
        <x:v>0</x:v>
      </x:c>
      <x:c r="F240" s="11"/>
      <x:c r="G240" s="11" t="n">
        <x:v>0</x:v>
      </x:c>
      <x:c r="H240" s="11" t="n">
        <x:v>0</x:v>
      </x:c>
      <x:c r="I240" s="11" t="n">
        <x:v>0</x:v>
      </x:c>
      <x:c r="J240" s="11"/>
      <x:c r="K240" s="12"/>
      <x:c r="L240" s="12"/>
      <x:c r="M240" s="8" t="str">
        <x:v>N/A</x:v>
      </x:c>
    </x:row>
    <x:row r="241">
      <x:c r="A241" s="8" t="str">
        <x:v>Clearwater|Total TCA</x:v>
      </x:c>
      <x:c r="B241" s="8" t="str">
        <x:v>clearwater-d</x:v>
      </x:c>
      <x:c r="C241" s="8" t="str">
        <x:v>Clearwater</x:v>
      </x:c>
      <x:c r="D241" s="8" t="str">
        <x:v>Total TCA</x:v>
      </x:c>
      <x:c r="E241" s="11" t="n">
        <x:v>67316147</x:v>
      </x:c>
      <x:c r="F241" s="11" t="n">
        <x:v>26833055</x:v>
      </x:c>
      <x:c r="G241" s="11" t="n">
        <x:v>40483092</x:v>
      </x:c>
      <x:c r="H241" s="11" t="n">
        <x:v>2087898</x:v>
      </x:c>
      <x:c r="I241" s="11" t="n">
        <x:v>66176963</x:v>
      </x:c>
      <x:c r="J241" s="11" t="n">
        <x:v>0</x:v>
      </x:c>
      <x:c r="K241" s="12" t="n">
        <x:v>0.6013875393076196</x:v>
      </x:c>
      <x:c r="L241" s="12" t="n">
        <x:v>1</x:v>
      </x:c>
      <x:c r="M241" s="8"/>
    </x:row>
    <x:row r="242">
      <x:c r="A242" s="8" t="str">
        <x:v>Clinton|Land</x:v>
      </x:c>
      <x:c r="B242" s="8" t="str">
        <x:v>clinton-v</x:v>
      </x:c>
      <x:c r="C242" s="8" t="str">
        <x:v>Clinton</x:v>
      </x:c>
      <x:c r="D242" s="8" t="str">
        <x:v>Land</x:v>
      </x:c>
      <x:c r="E242" s="11" t="n">
        <x:v>729595</x:v>
      </x:c>
      <x:c r="F242" s="11"/>
      <x:c r="G242" s="11" t="n">
        <x:v>729595</x:v>
      </x:c>
      <x:c r="H242" s="11" t="n">
        <x:v>0</x:v>
      </x:c>
      <x:c r="I242" s="11" t="n">
        <x:v>729595</x:v>
      </x:c>
      <x:c r="J242" s="11"/>
      <x:c r="K242" s="12" t="n">
        <x:v>1</x:v>
      </x:c>
      <x:c r="L242" s="12"/>
      <x:c r="M242" s="8" t="str">
        <x:v>N/A</x:v>
      </x:c>
    </x:row>
    <x:row r="243">
      <x:c r="A243" s="8" t="str">
        <x:v>Clinton|Buildings</x:v>
      </x:c>
      <x:c r="B243" s="8" t="str">
        <x:v>clinton-v</x:v>
      </x:c>
      <x:c r="C243" s="8" t="str">
        <x:v>Clinton</x:v>
      </x:c>
      <x:c r="D243" s="8" t="str">
        <x:v>Buildings</x:v>
      </x:c>
      <x:c r="E243" s="11" t="n">
        <x:v>4152457</x:v>
      </x:c>
      <x:c r="F243" s="11" t="n">
        <x:v>2484348</x:v>
      </x:c>
      <x:c r="G243" s="11" t="n">
        <x:v>1668109</x:v>
      </x:c>
      <x:c r="H243" s="11" t="n">
        <x:v>45399</x:v>
      </x:c>
      <x:c r="I243" s="11" t="n">
        <x:v>3987679</x:v>
      </x:c>
      <x:c r="J243" s="11" t="n">
        <x:v>5686196</x:v>
      </x:c>
      <x:c r="K243" s="12" t="n">
        <x:v>0.401716140588572</x:v>
      </x:c>
      <x:c r="L243" s="12" t="n">
        <x:v>-0.42594125555241535</x:v>
      </x:c>
      <x:c r="M243" s="8" t="str">
        <x:v>In_Progress</x:v>
      </x:c>
    </x:row>
    <x:row r="244">
      <x:c r="A244" s="8" t="str">
        <x:v>Clinton|Fleet</x:v>
      </x:c>
      <x:c r="B244" s="8" t="str">
        <x:v>clinton-v</x:v>
      </x:c>
      <x:c r="C244" s="8" t="str">
        <x:v>Clinton</x:v>
      </x:c>
      <x:c r="D244" s="8" t="str">
        <x:v>Fleet</x:v>
      </x:c>
      <x:c r="E244" s="11" t="n">
        <x:v>2042286</x:v>
      </x:c>
      <x:c r="F244" s="11" t="n">
        <x:v>1159231</x:v>
      </x:c>
      <x:c r="G244" s="11" t="n">
        <x:v>883055</x:v>
      </x:c>
      <x:c r="H244" s="11" t="n">
        <x:v>85735</x:v>
      </x:c>
      <x:c r="I244" s="11" t="n">
        <x:v>1178817</x:v>
      </x:c>
      <x:c r="J244" s="11" t="n">
        <x:v>2192170</x:v>
      </x:c>
      <x:c r="K244" s="12" t="n">
        <x:v>0.43238557185428483</x:v>
      </x:c>
      <x:c r="L244" s="12" t="n">
        <x:v>-0.8596355498775468</x:v>
      </x:c>
      <x:c r="M244" s="8" t="str">
        <x:v>In_Progress</x:v>
      </x:c>
    </x:row>
    <x:row r="245">
      <x:c r="A245" s="8" t="str">
        <x:v>Clinton|Parks and Recreation</x:v>
      </x:c>
      <x:c r="B245" s="8" t="str">
        <x:v>clinton-v</x:v>
      </x:c>
      <x:c r="C245" s="8" t="str">
        <x:v>Clinton</x:v>
      </x:c>
      <x:c r="D245" s="8" t="str">
        <x:v>Parks and Recreation</x:v>
      </x:c>
      <x:c r="E245" s="11" t="n">
        <x:v>0</x:v>
      </x:c>
      <x:c r="F245" s="11" t="n">
        <x:v>0</x:v>
      </x:c>
      <x:c r="G245" s="11" t="n">
        <x:v>0</x:v>
      </x:c>
      <x:c r="H245" s="11" t="n">
        <x:v>0</x:v>
      </x:c>
      <x:c r="I245" s="11" t="n">
        <x:v>750504</x:v>
      </x:c>
      <x:c r="J245" s="11" t="n">
        <x:v>980000</x:v>
      </x:c>
      <x:c r="K245" s="12"/>
      <x:c r="L245" s="12" t="n">
        <x:v>-0.3057891763401661</x:v>
      </x:c>
      <x:c r="M245" s="8" t="str">
        <x:v>In_Progress</x:v>
      </x:c>
    </x:row>
    <x:row r="246">
      <x:c r="A246" s="8" t="str">
        <x:v>Clinton|Water System</x:v>
      </x:c>
      <x:c r="B246" s="8" t="str">
        <x:v>clinton-v</x:v>
      </x:c>
      <x:c r="C246" s="8" t="str">
        <x:v>Clinton</x:v>
      </x:c>
      <x:c r="D246" s="8" t="str">
        <x:v>Water System</x:v>
      </x:c>
      <x:c r="E246" s="11" t="n">
        <x:v>5356389</x:v>
      </x:c>
      <x:c r="F246" s="11" t="n">
        <x:v>1838113</x:v>
      </x:c>
      <x:c r="G246" s="11" t="n">
        <x:v>3518276</x:v>
      </x:c>
      <x:c r="H246" s="11" t="n">
        <x:v>0</x:v>
      </x:c>
      <x:c r="I246" s="11" t="n">
        <x:v>9237922</x:v>
      </x:c>
      <x:c r="J246" s="11" t="n">
        <x:v>11034903</x:v>
      </x:c>
      <x:c r="K246" s="12" t="n">
        <x:v>0.656837283475864</x:v>
      </x:c>
      <x:c r="L246" s="12" t="n">
        <x:v>-0.1945222096484469</x:v>
      </x:c>
      <x:c r="M246" s="8" t="str">
        <x:v>Yes</x:v>
      </x:c>
    </x:row>
    <x:row r="247">
      <x:c r="A247" s="8" t="str">
        <x:v>Clinton|Sewer System</x:v>
      </x:c>
      <x:c r="B247" s="8" t="str">
        <x:v>clinton-v</x:v>
      </x:c>
      <x:c r="C247" s="8" t="str">
        <x:v>Clinton</x:v>
      </x:c>
      <x:c r="D247" s="8" t="str">
        <x:v>Sewer System</x:v>
      </x:c>
      <x:c r="E247" s="11" t="n">
        <x:v>889329</x:v>
      </x:c>
      <x:c r="F247" s="11" t="n">
        <x:v>426617</x:v>
      </x:c>
      <x:c r="G247" s="11" t="n">
        <x:v>462712</x:v>
      </x:c>
      <x:c r="H247" s="11" t="n">
        <x:v>0</x:v>
      </x:c>
      <x:c r="I247" s="11" t="n">
        <x:v>2833077</x:v>
      </x:c>
      <x:c r="J247" s="11" t="n">
        <x:v>4666154</x:v>
      </x:c>
      <x:c r="K247" s="12" t="n">
        <x:v>0.5202933897354073</x:v>
      </x:c>
      <x:c r="L247" s="12" t="n">
        <x:v>-0.6470268898445048</x:v>
      </x:c>
      <x:c r="M247" s="8" t="str">
        <x:v>Yes</x:v>
      </x:c>
    </x:row>
    <x:row r="248">
      <x:c r="A248" s="8" t="str">
        <x:v>Clinton|Drainage System</x:v>
      </x:c>
      <x:c r="B248" s="8" t="str">
        <x:v>clinton-v</x:v>
      </x:c>
      <x:c r="C248" s="8" t="str">
        <x:v>Clinton</x:v>
      </x:c>
      <x:c r="D248" s="8" t="str">
        <x:v>Drainage System</x:v>
      </x:c>
      <x:c r="E248" s="11" t="n">
        <x:v>0</x:v>
      </x:c>
      <x:c r="F248" s="11" t="n">
        <x:v>0</x:v>
      </x:c>
      <x:c r="G248" s="11" t="n">
        <x:v>0</x:v>
      </x:c>
      <x:c r="H248" s="11" t="n">
        <x:v>0</x:v>
      </x:c>
      <x:c r="I248" s="11" t="n">
        <x:v>0</x:v>
      </x:c>
      <x:c r="J248" s="11" t="n">
        <x:v>0</x:v>
      </x:c>
      <x:c r="K248" s="12"/>
      <x:c r="L248" s="12"/>
      <x:c r="M248" s="8" t="str">
        <x:v>No</x:v>
      </x:c>
    </x:row>
    <x:row r="249">
      <x:c r="A249" s="8" t="str">
        <x:v>Clinton|Transportation System</x:v>
      </x:c>
      <x:c r="B249" s="8" t="str">
        <x:v>clinton-v</x:v>
      </x:c>
      <x:c r="C249" s="8" t="str">
        <x:v>Clinton</x:v>
      </x:c>
      <x:c r="D249" s="8" t="str">
        <x:v>Transportation System</x:v>
      </x:c>
      <x:c r="E249" s="11" t="n">
        <x:v>5120112</x:v>
      </x:c>
      <x:c r="F249" s="11" t="n">
        <x:v>2335516</x:v>
      </x:c>
      <x:c r="G249" s="11" t="n">
        <x:v>2784596</x:v>
      </x:c>
      <x:c r="H249" s="11" t="n">
        <x:v>433320</x:v>
      </x:c>
      <x:c r="I249" s="11" t="n">
        <x:v>7476508</x:v>
      </x:c>
      <x:c r="J249" s="11" t="n">
        <x:v>0</x:v>
      </x:c>
      <x:c r="K249" s="12" t="n">
        <x:v>0.5438545094326062</x:v>
      </x:c>
      <x:c r="L249" s="12" t="n">
        <x:v>1</x:v>
      </x:c>
      <x:c r="M249" s="8" t="str">
        <x:v>In_Progress</x:v>
      </x:c>
    </x:row>
    <x:row r="250">
      <x:c r="A250" s="8" t="str">
        <x:v>Clinton|Other Engineering Systems</x:v>
      </x:c>
      <x:c r="B250" s="8" t="str">
        <x:v>clinton-v</x:v>
      </x:c>
      <x:c r="C250" s="8" t="str">
        <x:v>Clinton</x:v>
      </x:c>
      <x:c r="D250" s="8" t="str">
        <x:v>Other Engineering Systems</x:v>
      </x:c>
      <x:c r="E250" s="11" t="n">
        <x:v>0</x:v>
      </x:c>
      <x:c r="F250" s="11" t="n">
        <x:v>0</x:v>
      </x:c>
      <x:c r="G250" s="11" t="n">
        <x:v>0</x:v>
      </x:c>
      <x:c r="H250" s="11" t="n">
        <x:v>0</x:v>
      </x:c>
      <x:c r="I250" s="11" t="n">
        <x:v>0</x:v>
      </x:c>
      <x:c r="J250" s="11" t="n">
        <x:v>0</x:v>
      </x:c>
      <x:c r="K250" s="12"/>
      <x:c r="L250" s="12"/>
      <x:c r="M250" s="8" t="str">
        <x:v>No</x:v>
      </x:c>
    </x:row>
    <x:row r="251">
      <x:c r="A251" s="8" t="str">
        <x:v>Clinton|Other Tangible Capital Assets</x:v>
      </x:c>
      <x:c r="B251" s="8" t="str">
        <x:v>clinton-v</x:v>
      </x:c>
      <x:c r="C251" s="8" t="str">
        <x:v>Clinton</x:v>
      </x:c>
      <x:c r="D251" s="8" t="str">
        <x:v>Other Tangible Capital Assets</x:v>
      </x:c>
      <x:c r="E251" s="11" t="n">
        <x:v>0</x:v>
      </x:c>
      <x:c r="F251" s="11" t="n">
        <x:v>0</x:v>
      </x:c>
      <x:c r="G251" s="11" t="n">
        <x:v>0</x:v>
      </x:c>
      <x:c r="H251" s="11" t="n">
        <x:v>0</x:v>
      </x:c>
      <x:c r="I251" s="11" t="n">
        <x:v>0</x:v>
      </x:c>
      <x:c r="J251" s="11" t="n">
        <x:v>0</x:v>
      </x:c>
      <x:c r="K251" s="12"/>
      <x:c r="L251" s="12"/>
      <x:c r="M251" s="8" t="str">
        <x:v>N/A</x:v>
      </x:c>
    </x:row>
    <x:row r="252">
      <x:c r="A252" s="8" t="str">
        <x:v>Clinton|Work In Progress</x:v>
      </x:c>
      <x:c r="B252" s="8" t="str">
        <x:v>clinton-v</x:v>
      </x:c>
      <x:c r="C252" s="8" t="str">
        <x:v>Clinton</x:v>
      </x:c>
      <x:c r="D252" s="8" t="str">
        <x:v>Work In Progress</x:v>
      </x:c>
      <x:c r="E252" s="11" t="n">
        <x:v>0</x:v>
      </x:c>
      <x:c r="F252" s="11"/>
      <x:c r="G252" s="11" t="n">
        <x:v>0</x:v>
      </x:c>
      <x:c r="H252" s="11" t="n">
        <x:v>0</x:v>
      </x:c>
      <x:c r="I252" s="11" t="n">
        <x:v>0</x:v>
      </x:c>
      <x:c r="J252" s="11"/>
      <x:c r="K252" s="12"/>
      <x:c r="L252" s="12"/>
      <x:c r="M252" s="8" t="str">
        <x:v>N/A</x:v>
      </x:c>
    </x:row>
    <x:row r="253">
      <x:c r="A253" s="8" t="str">
        <x:v>Clinton|Total TCA</x:v>
      </x:c>
      <x:c r="B253" s="8" t="str">
        <x:v>clinton-v</x:v>
      </x:c>
      <x:c r="C253" s="8" t="str">
        <x:v>Clinton</x:v>
      </x:c>
      <x:c r="D253" s="8" t="str">
        <x:v>Total TCA</x:v>
      </x:c>
      <x:c r="E253" s="11" t="n">
        <x:v>18290168</x:v>
      </x:c>
      <x:c r="F253" s="11" t="n">
        <x:v>8243825</x:v>
      </x:c>
      <x:c r="G253" s="11" t="n">
        <x:v>10046343</x:v>
      </x:c>
      <x:c r="H253" s="11" t="n">
        <x:v>564454</x:v>
      </x:c>
      <x:c r="I253" s="11" t="n">
        <x:v>26194102</x:v>
      </x:c>
      <x:c r="J253" s="11" t="n">
        <x:v>24559423</x:v>
      </x:c>
      <x:c r="K253" s="12" t="n">
        <x:v>0.5492755998742056</x:v>
      </x:c>
      <x:c r="L253" s="12" t="n">
        <x:v>0.062406376824828746</x:v>
      </x:c>
      <x:c r="M253" s="8"/>
    </x:row>
    <x:row r="254">
      <x:c r="A254" s="8" t="str">
        <x:v>Coldstream|Land</x:v>
      </x:c>
      <x:c r="B254" s="8" t="str">
        <x:v>coldstream-d</x:v>
      </x:c>
      <x:c r="C254" s="8" t="str">
        <x:v>Coldstream</x:v>
      </x:c>
      <x:c r="D254" s="8" t="str">
        <x:v>Land</x:v>
      </x:c>
      <x:c r="E254" s="11" t="n">
        <x:v>14400211</x:v>
      </x:c>
      <x:c r="F254" s="11"/>
      <x:c r="G254" s="11" t="n">
        <x:v>14400211</x:v>
      </x:c>
      <x:c r="H254" s="11" t="n">
        <x:v>0</x:v>
      </x:c>
      <x:c r="I254" s="11" t="n">
        <x:v>14400211</x:v>
      </x:c>
      <x:c r="J254" s="11"/>
      <x:c r="K254" s="12" t="n">
        <x:v>1</x:v>
      </x:c>
      <x:c r="L254" s="12"/>
      <x:c r="M254" s="8" t="str">
        <x:v>N/A</x:v>
      </x:c>
    </x:row>
    <x:row r="255">
      <x:c r="A255" s="8" t="str">
        <x:v>Coldstream|Buildings</x:v>
      </x:c>
      <x:c r="B255" s="8" t="str">
        <x:v>coldstream-d</x:v>
      </x:c>
      <x:c r="C255" s="8" t="str">
        <x:v>Coldstream</x:v>
      </x:c>
      <x:c r="D255" s="8" t="str">
        <x:v>Buildings</x:v>
      </x:c>
      <x:c r="E255" s="11" t="n">
        <x:v>26758527</x:v>
      </x:c>
      <x:c r="F255" s="11" t="n">
        <x:v>3197774</x:v>
      </x:c>
      <x:c r="G255" s="11" t="n">
        <x:v>23560753</x:v>
      </x:c>
      <x:c r="H255" s="11" t="n">
        <x:v>9747700</x:v>
      </x:c>
      <x:c r="I255" s="11" t="n">
        <x:v>53517054</x:v>
      </x:c>
      <x:c r="J255" s="11" t="n">
        <x:v>891951</x:v>
      </x:c>
      <x:c r="K255" s="12" t="n">
        <x:v>0.8804951408573424</x:v>
      </x:c>
      <x:c r="L255" s="12" t="n">
        <x:v>0.9833333314647701</x:v>
      </x:c>
      <x:c r="M255" s="8" t="str">
        <x:v>In_Progress</x:v>
      </x:c>
    </x:row>
    <x:row r="256">
      <x:c r="A256" s="8" t="str">
        <x:v>Coldstream|Fleet</x:v>
      </x:c>
      <x:c r="B256" s="8" t="str">
        <x:v>coldstream-d</x:v>
      </x:c>
      <x:c r="C256" s="8" t="str">
        <x:v>Coldstream</x:v>
      </x:c>
      <x:c r="D256" s="8" t="str">
        <x:v>Fleet</x:v>
      </x:c>
      <x:c r="E256" s="11" t="n">
        <x:v>7436945</x:v>
      </x:c>
      <x:c r="F256" s="11" t="n">
        <x:v>3293713</x:v>
      </x:c>
      <x:c r="G256" s="11" t="n">
        <x:v>4143232</x:v>
      </x:c>
      <x:c r="H256" s="11" t="n">
        <x:v>335675</x:v>
      </x:c>
      <x:c r="I256" s="11" t="n">
        <x:v>14843890</x:v>
      </x:c>
      <x:c r="J256" s="11" t="n">
        <x:v>991593</x:v>
      </x:c>
      <x:c r="K256" s="12" t="n">
        <x:v>0.5571147830191026</x:v>
      </x:c>
      <x:c r="L256" s="12" t="n">
        <x:v>0.9331985753060686</x:v>
      </x:c>
      <x:c r="M256" s="8" t="str">
        <x:v>In_Progress</x:v>
      </x:c>
    </x:row>
    <x:row r="257">
      <x:c r="A257" s="8" t="str">
        <x:v>Coldstream|Parks and Recreation</x:v>
      </x:c>
      <x:c r="B257" s="8" t="str">
        <x:v>coldstream-d</x:v>
      </x:c>
      <x:c r="C257" s="8" t="str">
        <x:v>Coldstream</x:v>
      </x:c>
      <x:c r="D257" s="8" t="str">
        <x:v>Parks and Recreation</x:v>
      </x:c>
      <x:c r="E257" s="11" t="n">
        <x:v>6618941</x:v>
      </x:c>
      <x:c r="F257" s="11" t="n">
        <x:v>2173361</x:v>
      </x:c>
      <x:c r="G257" s="11" t="n">
        <x:v>4445580</x:v>
      </x:c>
      <x:c r="H257" s="11" t="n">
        <x:v>499387</x:v>
      </x:c>
      <x:c r="I257" s="11" t="n">
        <x:v>13237882</x:v>
      </x:c>
      <x:c r="J257" s="11" t="n">
        <x:v>330947</x:v>
      </x:c>
      <x:c r="K257" s="12" t="n">
        <x:v>0.671645207292224</x:v>
      </x:c>
      <x:c r="L257" s="12" t="n">
        <x:v>0.9750000037770392</x:v>
      </x:c>
      <x:c r="M257" s="8" t="str">
        <x:v>In_Progress</x:v>
      </x:c>
    </x:row>
    <x:row r="258">
      <x:c r="A258" s="8" t="str">
        <x:v>Coldstream|Water System</x:v>
      </x:c>
      <x:c r="B258" s="8" t="str">
        <x:v>coldstream-d</x:v>
      </x:c>
      <x:c r="C258" s="8" t="str">
        <x:v>Coldstream</x:v>
      </x:c>
      <x:c r="D258" s="8" t="str">
        <x:v>Water System</x:v>
      </x:c>
      <x:c r="E258" s="11" t="n">
        <x:v>0</x:v>
      </x:c>
      <x:c r="F258" s="11" t="n">
        <x:v>0</x:v>
      </x:c>
      <x:c r="G258" s="11" t="n">
        <x:v>0</x:v>
      </x:c>
      <x:c r="H258" s="11" t="n">
        <x:v>0</x:v>
      </x:c>
      <x:c r="I258" s="11" t="n">
        <x:v>0</x:v>
      </x:c>
      <x:c r="J258" s="11" t="n">
        <x:v>0</x:v>
      </x:c>
      <x:c r="K258" s="12"/>
      <x:c r="L258" s="12"/>
      <x:c r="M258" s="8"/>
    </x:row>
    <x:row r="259">
      <x:c r="A259" s="8" t="str">
        <x:v>Coldstream|Sewer System</x:v>
      </x:c>
      <x:c r="B259" s="8" t="str">
        <x:v>coldstream-d</x:v>
      </x:c>
      <x:c r="C259" s="8" t="str">
        <x:v>Coldstream</x:v>
      </x:c>
      <x:c r="D259" s="8" t="str">
        <x:v>Sewer System</x:v>
      </x:c>
      <x:c r="E259" s="11" t="n">
        <x:v>18126941</x:v>
      </x:c>
      <x:c r="F259" s="11" t="n">
        <x:v>9197681</x:v>
      </x:c>
      <x:c r="G259" s="11" t="n">
        <x:v>8929260</x:v>
      </x:c>
      <x:c r="H259" s="11" t="n">
        <x:v>22914</x:v>
      </x:c>
      <x:c r="I259" s="11" t="n">
        <x:v>54380823</x:v>
      </x:c>
      <x:c r="J259" s="11" t="n">
        <x:v>906347</x:v>
      </x:c>
      <x:c r="K259" s="12" t="n">
        <x:v>0.4925960756423271</x:v>
      </x:c>
      <x:c r="L259" s="12" t="n">
        <x:v>0.9833333342527751</x:v>
      </x:c>
      <x:c r="M259" s="8" t="str">
        <x:v>In_Progress</x:v>
      </x:c>
    </x:row>
    <x:row r="260">
      <x:c r="A260" s="8" t="str">
        <x:v>Coldstream|Drainage System</x:v>
      </x:c>
      <x:c r="B260" s="8" t="str">
        <x:v>coldstream-d</x:v>
      </x:c>
      <x:c r="C260" s="8" t="str">
        <x:v>Coldstream</x:v>
      </x:c>
      <x:c r="D260" s="8" t="str">
        <x:v>Drainage System</x:v>
      </x:c>
      <x:c r="E260" s="11" t="n">
        <x:v>13966654</x:v>
      </x:c>
      <x:c r="F260" s="11" t="n">
        <x:v>6372762</x:v>
      </x:c>
      <x:c r="G260" s="11" t="n">
        <x:v>7593892</x:v>
      </x:c>
      <x:c r="H260" s="11" t="n">
        <x:v>0</x:v>
      </x:c>
      <x:c r="I260" s="11" t="n">
        <x:v>41899962</x:v>
      </x:c>
      <x:c r="J260" s="11" t="n">
        <x:v>1047499</x:v>
      </x:c>
      <x:c r="K260" s="12" t="n">
        <x:v>0.5437159107686064</x:v>
      </x:c>
      <x:c r="L260" s="12" t="n">
        <x:v>0.9750000011933185</x:v>
      </x:c>
      <x:c r="M260" s="8" t="str">
        <x:v>In_Progress</x:v>
      </x:c>
    </x:row>
    <x:row r="261">
      <x:c r="A261" s="8" t="str">
        <x:v>Coldstream|Transportation System</x:v>
      </x:c>
      <x:c r="B261" s="8" t="str">
        <x:v>coldstream-d</x:v>
      </x:c>
      <x:c r="C261" s="8" t="str">
        <x:v>Coldstream</x:v>
      </x:c>
      <x:c r="D261" s="8" t="str">
        <x:v>Transportation System</x:v>
      </x:c>
      <x:c r="E261" s="11" t="n">
        <x:v>48846067</x:v>
      </x:c>
      <x:c r="F261" s="11" t="n">
        <x:v>22822199</x:v>
      </x:c>
      <x:c r="G261" s="11" t="n">
        <x:v>26023868</x:v>
      </x:c>
      <x:c r="H261" s="11" t="n">
        <x:v>3734783</x:v>
      </x:c>
      <x:c r="I261" s="11" t="n">
        <x:v>116538201</x:v>
      </x:c>
      <x:c r="J261" s="11" t="n">
        <x:v>4087281</x:v>
      </x:c>
      <x:c r="K261" s="12" t="n">
        <x:v>0.5327730480327106</x:v>
      </x:c>
      <x:c r="L261" s="12" t="n">
        <x:v>0.9649275433726663</x:v>
      </x:c>
      <x:c r="M261" s="8" t="str">
        <x:v>In_Progress</x:v>
      </x:c>
    </x:row>
    <x:row r="262">
      <x:c r="A262" s="8" t="str">
        <x:v>Coldstream|Other Engineering Systems</x:v>
      </x:c>
      <x:c r="B262" s="8" t="str">
        <x:v>coldstream-d</x:v>
      </x:c>
      <x:c r="C262" s="8" t="str">
        <x:v>Coldstream</x:v>
      </x:c>
      <x:c r="D262" s="8" t="str">
        <x:v>Other Engineering Systems</x:v>
      </x:c>
      <x:c r="E262" s="11" t="n">
        <x:v>0</x:v>
      </x:c>
      <x:c r="F262" s="11" t="n">
        <x:v>0</x:v>
      </x:c>
      <x:c r="G262" s="11" t="n">
        <x:v>0</x:v>
      </x:c>
      <x:c r="H262" s="11" t="n">
        <x:v>0</x:v>
      </x:c>
      <x:c r="I262" s="11" t="n">
        <x:v>0</x:v>
      </x:c>
      <x:c r="J262" s="11" t="n">
        <x:v>0</x:v>
      </x:c>
      <x:c r="K262" s="12"/>
      <x:c r="L262" s="12"/>
      <x:c r="M262" s="8"/>
    </x:row>
    <x:row r="263">
      <x:c r="A263" s="8" t="str">
        <x:v>Coldstream|Other Tangible Capital Assets</x:v>
      </x:c>
      <x:c r="B263" s="8" t="str">
        <x:v>coldstream-d</x:v>
      </x:c>
      <x:c r="C263" s="8" t="str">
        <x:v>Coldstream</x:v>
      </x:c>
      <x:c r="D263" s="8" t="str">
        <x:v>Other Tangible Capital Assets</x:v>
      </x:c>
      <x:c r="E263" s="11" t="n">
        <x:v>4600157</x:v>
      </x:c>
      <x:c r="F263" s="11" t="n">
        <x:v>2640413</x:v>
      </x:c>
      <x:c r="G263" s="11" t="n">
        <x:v>1959744</x:v>
      </x:c>
      <x:c r="H263" s="11" t="n">
        <x:v>297075</x:v>
      </x:c>
      <x:c r="I263" s="11" t="n">
        <x:v>9200314</x:v>
      </x:c>
      <x:c r="J263" s="11" t="n">
        <x:v>613354</x:v>
      </x:c>
      <x:c r="K263" s="12" t="n">
        <x:v>0.4260167642104389</x:v>
      </x:c>
      <x:c r="L263" s="12" t="n">
        <x:v>0.9333333623178514</x:v>
      </x:c>
      <x:c r="M263" s="8" t="str">
        <x:v>N/A</x:v>
      </x:c>
    </x:row>
    <x:row r="264">
      <x:c r="A264" s="8" t="str">
        <x:v>Coldstream|Work In Progress</x:v>
      </x:c>
      <x:c r="B264" s="8" t="str">
        <x:v>coldstream-d</x:v>
      </x:c>
      <x:c r="C264" s="8" t="str">
        <x:v>Coldstream</x:v>
      </x:c>
      <x:c r="D264" s="8" t="str">
        <x:v>Work In Progress</x:v>
      </x:c>
      <x:c r="E264" s="11" t="n">
        <x:v>1214417</x:v>
      </x:c>
      <x:c r="F264" s="11"/>
      <x:c r="G264" s="11" t="n">
        <x:v>1214417</x:v>
      </x:c>
      <x:c r="H264" s="11" t="n">
        <x:v>119099</x:v>
      </x:c>
      <x:c r="I264" s="11" t="n">
        <x:v>1214417</x:v>
      </x:c>
      <x:c r="J264" s="11"/>
      <x:c r="K264" s="12" t="n">
        <x:v>1</x:v>
      </x:c>
      <x:c r="L264" s="12"/>
      <x:c r="M264" s="8" t="str">
        <x:v>N/A</x:v>
      </x:c>
    </x:row>
    <x:row r="265">
      <x:c r="A265" s="8" t="str">
        <x:v>Coldstream|Total TCA</x:v>
      </x:c>
      <x:c r="B265" s="8" t="str">
        <x:v>coldstream-d</x:v>
      </x:c>
      <x:c r="C265" s="8" t="str">
        <x:v>Coldstream</x:v>
      </x:c>
      <x:c r="D265" s="8" t="str">
        <x:v>Total TCA</x:v>
      </x:c>
      <x:c r="E265" s="11" t="n">
        <x:v>141968860</x:v>
      </x:c>
      <x:c r="F265" s="11" t="n">
        <x:v>49697903</x:v>
      </x:c>
      <x:c r="G265" s="11" t="n">
        <x:v>92270957</x:v>
      </x:c>
      <x:c r="H265" s="11" t="n">
        <x:v>14756633</x:v>
      </x:c>
      <x:c r="I265" s="11" t="n">
        <x:v>319232754</x:v>
      </x:c>
      <x:c r="J265" s="11" t="n">
        <x:v>8868972</x:v>
      </x:c>
      <x:c r="K265" s="12" t="n">
        <x:v>0.6499380004882761</x:v>
      </x:c>
      <x:c r="L265" s="12" t="n">
        <x:v>0.9722178508036178</x:v>
      </x:c>
      <x:c r="M265" s="8"/>
    </x:row>
    <x:row r="266">
      <x:c r="A266" s="8" t="str">
        <x:v>Colwood|Land</x:v>
      </x:c>
      <x:c r="B266" s="8" t="str">
        <x:v>colwood-c</x:v>
      </x:c>
      <x:c r="C266" s="8" t="str">
        <x:v>Colwood</x:v>
      </x:c>
      <x:c r="D266" s="8" t="str">
        <x:v>Land</x:v>
      </x:c>
      <x:c r="E266" s="11" t="n">
        <x:v>62070830</x:v>
      </x:c>
      <x:c r="F266" s="11"/>
      <x:c r="G266" s="11" t="n">
        <x:v>62070830</x:v>
      </x:c>
      <x:c r="H266" s="11" t="n">
        <x:v>297000</x:v>
      </x:c>
      <x:c r="I266" s="11" t="n">
        <x:v>62070830</x:v>
      </x:c>
      <x:c r="J266" s="11"/>
      <x:c r="K266" s="12" t="n">
        <x:v>1</x:v>
      </x:c>
      <x:c r="L266" s="12"/>
      <x:c r="M266" s="8" t="str">
        <x:v>N/A</x:v>
      </x:c>
    </x:row>
    <x:row r="267">
      <x:c r="A267" s="8" t="str">
        <x:v>Colwood|Buildings</x:v>
      </x:c>
      <x:c r="B267" s="8" t="str">
        <x:v>colwood-c</x:v>
      </x:c>
      <x:c r="C267" s="8" t="str">
        <x:v>Colwood</x:v>
      </x:c>
      <x:c r="D267" s="8" t="str">
        <x:v>Buildings</x:v>
      </x:c>
      <x:c r="E267" s="11" t="n">
        <x:v>9381411</x:v>
      </x:c>
      <x:c r="F267" s="11" t="n">
        <x:v>4307017</x:v>
      </x:c>
      <x:c r="G267" s="11" t="n">
        <x:v>5074394</x:v>
      </x:c>
      <x:c r="H267" s="11" t="n">
        <x:v>46698</x:v>
      </x:c>
      <x:c r="I267" s="11" t="n">
        <x:v>74489900</x:v>
      </x:c>
      <x:c r="J267" s="11" t="n">
        <x:v>2257270</x:v>
      </x:c>
      <x:c r="K267" s="12" t="n">
        <x:v>0.5408988050944575</x:v>
      </x:c>
      <x:c r="L267" s="12" t="n">
        <x:v>0.9696969656288973</x:v>
      </x:c>
      <x:c r="M267" s="8" t="str">
        <x:v>Yes</x:v>
      </x:c>
    </x:row>
    <x:row r="268">
      <x:c r="A268" s="8" t="str">
        <x:v>Colwood|Fleet</x:v>
      </x:c>
      <x:c r="B268" s="8" t="str">
        <x:v>colwood-c</x:v>
      </x:c>
      <x:c r="C268" s="8" t="str">
        <x:v>Colwood</x:v>
      </x:c>
      <x:c r="D268" s="8" t="str">
        <x:v>Fleet</x:v>
      </x:c>
      <x:c r="E268" s="11" t="n">
        <x:v>15738416</x:v>
      </x:c>
      <x:c r="F268" s="11" t="n">
        <x:v>7800622</x:v>
      </x:c>
      <x:c r="G268" s="11" t="n">
        <x:v>7937794</x:v>
      </x:c>
      <x:c r="H268" s="11" t="n">
        <x:v>2112925</x:v>
      </x:c>
      <x:c r="I268" s="11" t="n">
        <x:v>15010000</x:v>
      </x:c>
      <x:c r="J268" s="11" t="n">
        <x:v>1364545</x:v>
      </x:c>
      <x:c r="K268" s="12" t="n">
        <x:v>0.5043578718468237</x:v>
      </x:c>
      <x:c r="L268" s="12" t="n">
        <x:v>0.9090909393737509</x:v>
      </x:c>
      <x:c r="M268" s="8" t="str">
        <x:v>Yes</x:v>
      </x:c>
    </x:row>
    <x:row r="269">
      <x:c r="A269" s="8" t="str">
        <x:v>Colwood|Parks and Recreation</x:v>
      </x:c>
      <x:c r="B269" s="8" t="str">
        <x:v>colwood-c</x:v>
      </x:c>
      <x:c r="C269" s="8" t="str">
        <x:v>Colwood</x:v>
      </x:c>
      <x:c r="D269" s="8" t="str">
        <x:v>Parks and Recreation</x:v>
      </x:c>
      <x:c r="E269" s="11" t="n">
        <x:v>11493953</x:v>
      </x:c>
      <x:c r="F269" s="11" t="n">
        <x:v>2385292</x:v>
      </x:c>
      <x:c r="G269" s="11" t="n">
        <x:v>9108661</x:v>
      </x:c>
      <x:c r="H269" s="11" t="n">
        <x:v>165767</x:v>
      </x:c>
      <x:c r="I269" s="11" t="n">
        <x:v>4181000</x:v>
      </x:c>
      <x:c r="J269" s="11" t="n">
        <x:v>88957</x:v>
      </x:c>
      <x:c r="K269" s="12" t="n">
        <x:v>0.7924741818589305</x:v>
      </x:c>
      <x:c r="L269" s="12" t="n">
        <x:v>0.9787235111217412</x:v>
      </x:c>
      <x:c r="M269" s="8" t="str">
        <x:v>Yes</x:v>
      </x:c>
    </x:row>
    <x:row r="270">
      <x:c r="A270" s="8" t="str">
        <x:v>Colwood|Water System</x:v>
      </x:c>
      <x:c r="B270" s="8" t="str">
        <x:v>colwood-c</x:v>
      </x:c>
      <x:c r="C270" s="8" t="str">
        <x:v>Colwood</x:v>
      </x:c>
      <x:c r="D270" s="8" t="str">
        <x:v>Water System</x:v>
      </x:c>
      <x:c r="E270" s="11" t="n">
        <x:v>0</x:v>
      </x:c>
      <x:c r="F270" s="11" t="n">
        <x:v>0</x:v>
      </x:c>
      <x:c r="G270" s="11" t="n">
        <x:v>0</x:v>
      </x:c>
      <x:c r="H270" s="11" t="n">
        <x:v>0</x:v>
      </x:c>
      <x:c r="I270" s="11" t="n">
        <x:v>0</x:v>
      </x:c>
      <x:c r="J270" s="11" t="n">
        <x:v>0</x:v>
      </x:c>
      <x:c r="K270" s="12"/>
      <x:c r="L270" s="12"/>
      <x:c r="M270" s="8"/>
    </x:row>
    <x:row r="271">
      <x:c r="A271" s="8" t="str">
        <x:v>Colwood|Sewer System</x:v>
      </x:c>
      <x:c r="B271" s="8" t="str">
        <x:v>colwood-c</x:v>
      </x:c>
      <x:c r="C271" s="8" t="str">
        <x:v>Colwood</x:v>
      </x:c>
      <x:c r="D271" s="8" t="str">
        <x:v>Sewer System</x:v>
      </x:c>
      <x:c r="E271" s="11" t="n">
        <x:v>25266518</x:v>
      </x:c>
      <x:c r="F271" s="11" t="n">
        <x:v>4317764</x:v>
      </x:c>
      <x:c r="G271" s="11" t="n">
        <x:v>20948754</x:v>
      </x:c>
      <x:c r="H271" s="11" t="n">
        <x:v>1232914</x:v>
      </x:c>
      <x:c r="I271" s="11" t="n">
        <x:v>147993400</x:v>
      </x:c>
      <x:c r="J271" s="11" t="n">
        <x:v>1557825</x:v>
      </x:c>
      <x:c r="K271" s="12" t="n">
        <x:v>0.8291112372508155</x:v>
      </x:c>
      <x:c r="L271" s="12" t="n">
        <x:v>0.9894736859886994</x:v>
      </x:c>
      <x:c r="M271" s="8" t="str">
        <x:v>Yes</x:v>
      </x:c>
    </x:row>
    <x:row r="272">
      <x:c r="A272" s="8" t="str">
        <x:v>Colwood|Drainage System</x:v>
      </x:c>
      <x:c r="B272" s="8" t="str">
        <x:v>colwood-c</x:v>
      </x:c>
      <x:c r="C272" s="8" t="str">
        <x:v>Colwood</x:v>
      </x:c>
      <x:c r="D272" s="8" t="str">
        <x:v>Drainage System</x:v>
      </x:c>
      <x:c r="E272" s="11" t="n">
        <x:v>25151519</x:v>
      </x:c>
      <x:c r="F272" s="11" t="n">
        <x:v>4446726</x:v>
      </x:c>
      <x:c r="G272" s="11" t="n">
        <x:v>20704793</x:v>
      </x:c>
      <x:c r="H272" s="11" t="n">
        <x:v>1002881</x:v>
      </x:c>
      <x:c r="I272" s="11" t="n">
        <x:v>163985600</x:v>
      </x:c>
      <x:c r="J272" s="11" t="n">
        <x:v>1884892</x:v>
      </x:c>
      <x:c r="K272" s="12" t="n">
        <x:v>0.8232024872931134</x:v>
      </x:c>
      <x:c r="L272" s="12" t="n">
        <x:v>0.9885057468460645</x:v>
      </x:c>
      <x:c r="M272" s="8" t="str">
        <x:v>Yes</x:v>
      </x:c>
    </x:row>
    <x:row r="273">
      <x:c r="A273" s="8" t="str">
        <x:v>Colwood|Transportation System</x:v>
      </x:c>
      <x:c r="B273" s="8" t="str">
        <x:v>colwood-c</x:v>
      </x:c>
      <x:c r="C273" s="8" t="str">
        <x:v>Colwood</x:v>
      </x:c>
      <x:c r="D273" s="8" t="str">
        <x:v>Transportation System</x:v>
      </x:c>
      <x:c r="E273" s="11" t="n">
        <x:v>115013397</x:v>
      </x:c>
      <x:c r="F273" s="11" t="n">
        <x:v>45896497</x:v>
      </x:c>
      <x:c r="G273" s="11" t="n">
        <x:v>69116900</x:v>
      </x:c>
      <x:c r="H273" s="11" t="n">
        <x:v>18244138</x:v>
      </x:c>
      <x:c r="I273" s="11" t="n">
        <x:v>195582400</x:v>
      </x:c>
      <x:c r="J273" s="11" t="n">
        <x:v>0</x:v>
      </x:c>
      <x:c r="K273" s="12" t="n">
        <x:v>0.6009465140830507</x:v>
      </x:c>
      <x:c r="L273" s="12" t="n">
        <x:v>1</x:v>
      </x:c>
      <x:c r="M273" s="8" t="str">
        <x:v>Yes</x:v>
      </x:c>
    </x:row>
    <x:row r="274">
      <x:c r="A274" s="8" t="str">
        <x:v>Colwood|Other Engineering Systems</x:v>
      </x:c>
      <x:c r="B274" s="8" t="str">
        <x:v>colwood-c</x:v>
      </x:c>
      <x:c r="C274" s="8" t="str">
        <x:v>Colwood</x:v>
      </x:c>
      <x:c r="D274" s="8" t="str">
        <x:v>Other Engineering Systems</x:v>
      </x:c>
      <x:c r="E274" s="11" t="n">
        <x:v>0</x:v>
      </x:c>
      <x:c r="F274" s="11" t="n">
        <x:v>0</x:v>
      </x:c>
      <x:c r="G274" s="11" t="n">
        <x:v>0</x:v>
      </x:c>
      <x:c r="H274" s="11" t="n">
        <x:v>0</x:v>
      </x:c>
      <x:c r="I274" s="11" t="n">
        <x:v>0</x:v>
      </x:c>
      <x:c r="J274" s="11" t="n">
        <x:v>0</x:v>
      </x:c>
      <x:c r="K274" s="12"/>
      <x:c r="L274" s="12"/>
      <x:c r="M274" s="8"/>
    </x:row>
    <x:row r="275">
      <x:c r="A275" s="8" t="str">
        <x:v>Colwood|Other Tangible Capital Assets</x:v>
      </x:c>
      <x:c r="B275" s="8" t="str">
        <x:v>colwood-c</x:v>
      </x:c>
      <x:c r="C275" s="8" t="str">
        <x:v>Colwood</x:v>
      </x:c>
      <x:c r="D275" s="8" t="str">
        <x:v>Other Tangible Capital Assets</x:v>
      </x:c>
      <x:c r="E275" s="11" t="n">
        <x:v>17184419</x:v>
      </x:c>
      <x:c r="F275" s="11" t="n">
        <x:v>6167414</x:v>
      </x:c>
      <x:c r="G275" s="11" t="n">
        <x:v>11017005</x:v>
      </x:c>
      <x:c r="H275" s="11" t="n">
        <x:v>374711</x:v>
      </x:c>
      <x:c r="I275" s="11" t="n">
        <x:v>12102460</x:v>
      </x:c>
      <x:c r="J275" s="11" t="n">
        <x:v>302561</x:v>
      </x:c>
      <x:c r="K275" s="12" t="n">
        <x:v>0.6411043050102537</x:v>
      </x:c>
      <x:c r="L275" s="12" t="n">
        <x:v>0.9750000413139147</x:v>
      </x:c>
      <x:c r="M275" s="8" t="str">
        <x:v>N/A</x:v>
      </x:c>
    </x:row>
    <x:row r="276">
      <x:c r="A276" s="8" t="str">
        <x:v>Colwood|Work In Progress</x:v>
      </x:c>
      <x:c r="B276" s="8" t="str">
        <x:v>colwood-c</x:v>
      </x:c>
      <x:c r="C276" s="8" t="str">
        <x:v>Colwood</x:v>
      </x:c>
      <x:c r="D276" s="8" t="str">
        <x:v>Work In Progress</x:v>
      </x:c>
      <x:c r="E276" s="11" t="n">
        <x:v>10079042</x:v>
      </x:c>
      <x:c r="F276" s="11"/>
      <x:c r="G276" s="11" t="n">
        <x:v>10079042</x:v>
      </x:c>
      <x:c r="H276" s="11" t="n">
        <x:v>-8432060</x:v>
      </x:c>
      <x:c r="I276" s="11" t="n">
        <x:v>10079042</x:v>
      </x:c>
      <x:c r="J276" s="11"/>
      <x:c r="K276" s="12" t="n">
        <x:v>1</x:v>
      </x:c>
      <x:c r="L276" s="12"/>
      <x:c r="M276" s="8" t="str">
        <x:v>N/A</x:v>
      </x:c>
    </x:row>
    <x:row r="277">
      <x:c r="A277" s="8" t="str">
        <x:v>Colwood|Total TCA</x:v>
      </x:c>
      <x:c r="B277" s="8" t="str">
        <x:v>colwood-c</x:v>
      </x:c>
      <x:c r="C277" s="8" t="str">
        <x:v>Colwood</x:v>
      </x:c>
      <x:c r="D277" s="8" t="str">
        <x:v>Total TCA</x:v>
      </x:c>
      <x:c r="E277" s="11" t="n">
        <x:v>291379505</x:v>
      </x:c>
      <x:c r="F277" s="11" t="n">
        <x:v>75321332</x:v>
      </x:c>
      <x:c r="G277" s="11" t="n">
        <x:v>216058173</x:v>
      </x:c>
      <x:c r="H277" s="11" t="n">
        <x:v>15044974</x:v>
      </x:c>
      <x:c r="I277" s="11" t="n">
        <x:v>685494632</x:v>
      </x:c>
      <x:c r="J277" s="11" t="n">
        <x:v>7456050</x:v>
      </x:c>
      <x:c r="K277" s="12" t="n">
        <x:v>0.7415009267724578</x:v>
      </x:c>
      <x:c r="L277" s="12" t="n">
        <x:v>0.9891231095738179</x:v>
      </x:c>
      <x:c r="M277" s="8"/>
    </x:row>
    <x:row r="278">
      <x:c r="A278" s="8" t="str">
        <x:v>Comox|Land</x:v>
      </x:c>
      <x:c r="B278" s="8" t="str">
        <x:v>comox-t</x:v>
      </x:c>
      <x:c r="C278" s="8" t="str">
        <x:v>Comox</x:v>
      </x:c>
      <x:c r="D278" s="8" t="str">
        <x:v>Land</x:v>
      </x:c>
      <x:c r="E278" s="11" t="n">
        <x:v>9138379</x:v>
      </x:c>
      <x:c r="F278" s="11"/>
      <x:c r="G278" s="11" t="n">
        <x:v>9138379</x:v>
      </x:c>
      <x:c r="H278" s="11" t="n">
        <x:v>0</x:v>
      </x:c>
      <x:c r="I278" s="11" t="n">
        <x:v>9138379</x:v>
      </x:c>
      <x:c r="J278" s="11"/>
      <x:c r="K278" s="12" t="n">
        <x:v>1</x:v>
      </x:c>
      <x:c r="L278" s="12"/>
      <x:c r="M278" s="8" t="str">
        <x:v>N/A</x:v>
      </x:c>
    </x:row>
    <x:row r="279">
      <x:c r="A279" s="8" t="str">
        <x:v>Comox|Buildings</x:v>
      </x:c>
      <x:c r="B279" s="8" t="str">
        <x:v>comox-t</x:v>
      </x:c>
      <x:c r="C279" s="8" t="str">
        <x:v>Comox</x:v>
      </x:c>
      <x:c r="D279" s="8" t="str">
        <x:v>Buildings</x:v>
      </x:c>
      <x:c r="E279" s="11" t="n">
        <x:v>24195940</x:v>
      </x:c>
      <x:c r="F279" s="11" t="n">
        <x:v>6724321</x:v>
      </x:c>
      <x:c r="G279" s="11" t="n">
        <x:v>17471619</x:v>
      </x:c>
      <x:c r="H279" s="11" t="n">
        <x:v>0</x:v>
      </x:c>
      <x:c r="I279" s="11" t="n">
        <x:v>55533286</x:v>
      </x:c>
      <x:c r="J279" s="11" t="n">
        <x:v>949263</x:v>
      </x:c>
      <x:c r="K279" s="12" t="n">
        <x:v>0.722088871108128</x:v>
      </x:c>
      <x:c r="L279" s="12" t="n">
        <x:v>0.9829064140018655</x:v>
      </x:c>
      <x:c r="M279" s="8" t="str">
        <x:v>In_Progress</x:v>
      </x:c>
    </x:row>
    <x:row r="280">
      <x:c r="A280" s="8" t="str">
        <x:v>Comox|Fleet</x:v>
      </x:c>
      <x:c r="B280" s="8" t="str">
        <x:v>comox-t</x:v>
      </x:c>
      <x:c r="C280" s="8" t="str">
        <x:v>Comox</x:v>
      </x:c>
      <x:c r="D280" s="8" t="str">
        <x:v>Fleet</x:v>
      </x:c>
      <x:c r="E280" s="11" t="n">
        <x:v>9099474</x:v>
      </x:c>
      <x:c r="F280" s="11" t="n">
        <x:v>5030554</x:v>
      </x:c>
      <x:c r="G280" s="11" t="n">
        <x:v>4068920</x:v>
      </x:c>
      <x:c r="H280" s="11" t="n">
        <x:v>1452481</x:v>
      </x:c>
      <x:c r="I280" s="11" t="n">
        <x:v>9134450</x:v>
      </x:c>
      <x:c r="J280" s="11" t="n">
        <x:v>452890</x:v>
      </x:c>
      <x:c r="K280" s="12" t="n">
        <x:v>0.4471599127597925</x:v>
      </x:c>
      <x:c r="L280" s="12" t="n">
        <x:v>0.9504195654910804</x:v>
      </x:c>
      <x:c r="M280" s="8" t="str">
        <x:v>In_Progress</x:v>
      </x:c>
    </x:row>
    <x:row r="281">
      <x:c r="A281" s="8" t="str">
        <x:v>Comox|Parks and Recreation</x:v>
      </x:c>
      <x:c r="B281" s="8" t="str">
        <x:v>comox-t</x:v>
      </x:c>
      <x:c r="C281" s="8" t="str">
        <x:v>Comox</x:v>
      </x:c>
      <x:c r="D281" s="8" t="str">
        <x:v>Parks and Recreation</x:v>
      </x:c>
      <x:c r="E281" s="11" t="n">
        <x:v>5728918</x:v>
      </x:c>
      <x:c r="F281" s="11" t="n">
        <x:v>3164621</x:v>
      </x:c>
      <x:c r="G281" s="11" t="n">
        <x:v>2564297</x:v>
      </x:c>
      <x:c r="H281" s="11" t="n">
        <x:v>347624</x:v>
      </x:c>
      <x:c r="I281" s="11" t="n">
        <x:v>9030994</x:v>
      </x:c>
      <x:c r="J281" s="11" t="n">
        <x:v>380594</x:v>
      </x:c>
      <x:c r="K281" s="12" t="n">
        <x:v>0.4476058131744947</x:v>
      </x:c>
      <x:c r="L281" s="12" t="n">
        <x:v>0.9578569092173022</x:v>
      </x:c>
      <x:c r="M281" s="8" t="str">
        <x:v>In_Progress</x:v>
      </x:c>
    </x:row>
    <x:row r="282">
      <x:c r="A282" s="8" t="str">
        <x:v>Comox|Water System</x:v>
      </x:c>
      <x:c r="B282" s="8" t="str">
        <x:v>comox-t</x:v>
      </x:c>
      <x:c r="C282" s="8" t="str">
        <x:v>Comox</x:v>
      </x:c>
      <x:c r="D282" s="8" t="str">
        <x:v>Water System</x:v>
      </x:c>
      <x:c r="E282" s="11" t="n">
        <x:v>15344497</x:v>
      </x:c>
      <x:c r="F282" s="11" t="n">
        <x:v>5956351</x:v>
      </x:c>
      <x:c r="G282" s="11" t="n">
        <x:v>9388146</x:v>
      </x:c>
      <x:c r="H282" s="11" t="n">
        <x:v>496203</x:v>
      </x:c>
      <x:c r="I282" s="11" t="n">
        <x:v>41358315</x:v>
      </x:c>
      <x:c r="J282" s="11" t="n">
        <x:v>713978</x:v>
      </x:c>
      <x:c r="K282" s="12" t="n">
        <x:v>0.6118249428443304</x:v>
      </x:c>
      <x:c r="L282" s="12" t="n">
        <x:v>0.9827367725208341</x:v>
      </x:c>
      <x:c r="M282" s="8" t="str">
        <x:v>In_Progress</x:v>
      </x:c>
    </x:row>
    <x:row r="283">
      <x:c r="A283" s="8" t="str">
        <x:v>Comox|Sewer System</x:v>
      </x:c>
      <x:c r="B283" s="8" t="str">
        <x:v>comox-t</x:v>
      </x:c>
      <x:c r="C283" s="8" t="str">
        <x:v>Comox</x:v>
      </x:c>
      <x:c r="D283" s="8" t="str">
        <x:v>Sewer System</x:v>
      </x:c>
      <x:c r="E283" s="11" t="n">
        <x:v>13690922</x:v>
      </x:c>
      <x:c r="F283" s="11" t="n">
        <x:v>4906332</x:v>
      </x:c>
      <x:c r="G283" s="11" t="n">
        <x:v>8784590</x:v>
      </x:c>
      <x:c r="H283" s="11" t="n">
        <x:v>858771</x:v>
      </x:c>
      <x:c r="I283" s="11" t="n">
        <x:v>42451490</x:v>
      </x:c>
      <x:c r="J283" s="11" t="n">
        <x:v>522207</x:v>
      </x:c>
      <x:c r="K283" s="12" t="n">
        <x:v>0.6416361147919768</x:v>
      </x:c>
      <x:c r="L283" s="12" t="n">
        <x:v>0.9876987356627529</x:v>
      </x:c>
      <x:c r="M283" s="8" t="str">
        <x:v>In_Progress</x:v>
      </x:c>
    </x:row>
    <x:row r="284">
      <x:c r="A284" s="8" t="str">
        <x:v>Comox|Drainage System</x:v>
      </x:c>
      <x:c r="B284" s="8" t="str">
        <x:v>comox-t</x:v>
      </x:c>
      <x:c r="C284" s="8" t="str">
        <x:v>Comox</x:v>
      </x:c>
      <x:c r="D284" s="8" t="str">
        <x:v>Drainage System</x:v>
      </x:c>
      <x:c r="E284" s="11" t="n">
        <x:v>25422667</x:v>
      </x:c>
      <x:c r="F284" s="11" t="n">
        <x:v>8633195</x:v>
      </x:c>
      <x:c r="G284" s="11" t="n">
        <x:v>16789472</x:v>
      </x:c>
      <x:c r="H284" s="11" t="n">
        <x:v>1350945</x:v>
      </x:c>
      <x:c r="I284" s="11" t="n">
        <x:v>63770442</x:v>
      </x:c>
      <x:c r="J284" s="11" t="n">
        <x:v>713234</x:v>
      </x:c>
      <x:c r="K284" s="12" t="n">
        <x:v>0.6604134806155467</x:v>
      </x:c>
      <x:c r="L284" s="12" t="n">
        <x:v>0.9888156020621591</x:v>
      </x:c>
      <x:c r="M284" s="8" t="str">
        <x:v>In_Progress</x:v>
      </x:c>
    </x:row>
    <x:row r="285">
      <x:c r="A285" s="8" t="str">
        <x:v>Comox|Transportation System</x:v>
      </x:c>
      <x:c r="B285" s="8" t="str">
        <x:v>comox-t</x:v>
      </x:c>
      <x:c r="C285" s="8" t="str">
        <x:v>Comox</x:v>
      </x:c>
      <x:c r="D285" s="8" t="str">
        <x:v>Transportation System</x:v>
      </x:c>
      <x:c r="E285" s="11" t="n">
        <x:v>59495875</x:v>
      </x:c>
      <x:c r="F285" s="11" t="n">
        <x:v>29722293</x:v>
      </x:c>
      <x:c r="G285" s="11" t="n">
        <x:v>29773582</x:v>
      </x:c>
      <x:c r="H285" s="11" t="n">
        <x:v>2149943</x:v>
      </x:c>
      <x:c r="I285" s="11" t="n">
        <x:v>137769626</x:v>
      </x:c>
      <x:c r="J285" s="11" t="n">
        <x:v>3133646</x:v>
      </x:c>
      <x:c r="K285" s="12" t="n">
        <x:v>0.5004310298823238</x:v>
      </x:c>
      <x:c r="L285" s="12" t="n">
        <x:v>0.9772544493951083</x:v>
      </x:c>
      <x:c r="M285" s="8" t="str">
        <x:v>In_Progress</x:v>
      </x:c>
    </x:row>
    <x:row r="286">
      <x:c r="A286" s="8" t="str">
        <x:v>Comox|Other Engineering Systems</x:v>
      </x:c>
      <x:c r="B286" s="8" t="str">
        <x:v>comox-t</x:v>
      </x:c>
      <x:c r="C286" s="8" t="str">
        <x:v>Comox</x:v>
      </x:c>
      <x:c r="D286" s="8" t="str">
        <x:v>Other Engineering Systems</x:v>
      </x:c>
      <x:c r="E286" s="11" t="n">
        <x:v>0</x:v>
      </x:c>
      <x:c r="F286" s="11" t="n">
        <x:v>0</x:v>
      </x:c>
      <x:c r="G286" s="11" t="n">
        <x:v>0</x:v>
      </x:c>
      <x:c r="H286" s="11" t="n">
        <x:v>0</x:v>
      </x:c>
      <x:c r="I286" s="11" t="n">
        <x:v>0</x:v>
      </x:c>
      <x:c r="J286" s="11" t="n">
        <x:v>0</x:v>
      </x:c>
      <x:c r="K286" s="12"/>
      <x:c r="L286" s="12"/>
      <x:c r="M286" s="8"/>
    </x:row>
    <x:row r="287">
      <x:c r="A287" s="8" t="str">
        <x:v>Comox|Other Tangible Capital Assets</x:v>
      </x:c>
      <x:c r="B287" s="8" t="str">
        <x:v>comox-t</x:v>
      </x:c>
      <x:c r="C287" s="8" t="str">
        <x:v>Comox</x:v>
      </x:c>
      <x:c r="D287" s="8" t="str">
        <x:v>Other Tangible Capital Assets</x:v>
      </x:c>
      <x:c r="E287" s="11" t="n">
        <x:v>7555285</x:v>
      </x:c>
      <x:c r="F287" s="11" t="n">
        <x:v>1291629</x:v>
      </x:c>
      <x:c r="G287" s="11" t="n">
        <x:v>6263656</x:v>
      </x:c>
      <x:c r="H287" s="11" t="n">
        <x:v>3688215</x:v>
      </x:c>
      <x:c r="I287" s="11" t="n">
        <x:v>3296255</x:v>
      </x:c>
      <x:c r="J287" s="11" t="n">
        <x:v>781598</x:v>
      </x:c>
      <x:c r="K287" s="12" t="n">
        <x:v>0.8290429811714581</x:v>
      </x:c>
      <x:c r="L287" s="12" t="n">
        <x:v>0.7628830293772781</x:v>
      </x:c>
      <x:c r="M287" s="8" t="str">
        <x:v>N/A</x:v>
      </x:c>
    </x:row>
    <x:row r="288">
      <x:c r="A288" s="8" t="str">
        <x:v>Comox|Work In Progress</x:v>
      </x:c>
      <x:c r="B288" s="8" t="str">
        <x:v>comox-t</x:v>
      </x:c>
      <x:c r="C288" s="8" t="str">
        <x:v>Comox</x:v>
      </x:c>
      <x:c r="D288" s="8" t="str">
        <x:v>Work In Progress</x:v>
      </x:c>
      <x:c r="E288" s="11" t="n">
        <x:v>1674993</x:v>
      </x:c>
      <x:c r="F288" s="11"/>
      <x:c r="G288" s="11" t="n">
        <x:v>1674993</x:v>
      </x:c>
      <x:c r="H288" s="11" t="n">
        <x:v>757886</x:v>
      </x:c>
      <x:c r="I288" s="11" t="n">
        <x:v>1674993</x:v>
      </x:c>
      <x:c r="J288" s="11"/>
      <x:c r="K288" s="12" t="n">
        <x:v>1</x:v>
      </x:c>
      <x:c r="L288" s="12"/>
      <x:c r="M288" s="8" t="str">
        <x:v>N/A</x:v>
      </x:c>
    </x:row>
    <x:row r="289">
      <x:c r="A289" s="8" t="str">
        <x:v>Comox|Total TCA</x:v>
      </x:c>
      <x:c r="B289" s="8" t="str">
        <x:v>comox-t</x:v>
      </x:c>
      <x:c r="C289" s="8" t="str">
        <x:v>Comox</x:v>
      </x:c>
      <x:c r="D289" s="8" t="str">
        <x:v>Total TCA</x:v>
      </x:c>
      <x:c r="E289" s="11" t="n">
        <x:v>171346950</x:v>
      </x:c>
      <x:c r="F289" s="11" t="n">
        <x:v>65429296</x:v>
      </x:c>
      <x:c r="G289" s="11" t="n">
        <x:v>105917654</x:v>
      </x:c>
      <x:c r="H289" s="11" t="n">
        <x:v>11102068</x:v>
      </x:c>
      <x:c r="I289" s="11" t="n">
        <x:v>373158230</x:v>
      </x:c>
      <x:c r="J289" s="11" t="n">
        <x:v>7647410</x:v>
      </x:c>
      <x:c r="K289" s="12" t="n">
        <x:v>0.6181472970484738</x:v>
      </x:c>
      <x:c r="L289" s="12" t="n">
        <x:v>0.9795062539555941</x:v>
      </x:c>
      <x:c r="M289" s="8"/>
    </x:row>
    <x:row r="290">
      <x:c r="A290" s="8" t="str">
        <x:v>Coquitlam|Land</x:v>
      </x:c>
      <x:c r="B290" s="8" t="str">
        <x:v>coquitlam-c</x:v>
      </x:c>
      <x:c r="C290" s="8" t="str">
        <x:v>Coquitlam</x:v>
      </x:c>
      <x:c r="D290" s="8" t="str">
        <x:v>Land</x:v>
      </x:c>
      <x:c r="E290" s="11" t="n">
        <x:v>1355536000</x:v>
      </x:c>
      <x:c r="F290" s="11"/>
      <x:c r="G290" s="11" t="n">
        <x:v>1355536000</x:v>
      </x:c>
      <x:c r="H290" s="11" t="n">
        <x:v>105668000</x:v>
      </x:c>
      <x:c r="I290" s="11" t="n">
        <x:v>1355536000</x:v>
      </x:c>
      <x:c r="J290" s="11"/>
      <x:c r="K290" s="12" t="n">
        <x:v>1</x:v>
      </x:c>
      <x:c r="L290" s="12"/>
      <x:c r="M290" s="8" t="str">
        <x:v>N/A</x:v>
      </x:c>
    </x:row>
    <x:row r="291">
      <x:c r="A291" s="8" t="str">
        <x:v>Coquitlam|Buildings</x:v>
      </x:c>
      <x:c r="B291" s="8" t="str">
        <x:v>coquitlam-c</x:v>
      </x:c>
      <x:c r="C291" s="8" t="str">
        <x:v>Coquitlam</x:v>
      </x:c>
      <x:c r="D291" s="8" t="str">
        <x:v>Buildings</x:v>
      </x:c>
      <x:c r="E291" s="11" t="n">
        <x:v>399157000</x:v>
      </x:c>
      <x:c r="F291" s="11" t="n">
        <x:v>152599000</x:v>
      </x:c>
      <x:c r="G291" s="11" t="n">
        <x:v>246558000</x:v>
      </x:c>
      <x:c r="H291" s="11" t="n">
        <x:v>28156000</x:v>
      </x:c>
      <x:c r="I291" s="11" t="n">
        <x:v>588164000</x:v>
      </x:c>
      <x:c r="J291" s="11" t="n">
        <x:v>22088000</x:v>
      </x:c>
      <x:c r="K291" s="12" t="n">
        <x:v>0.6176967959975649</x:v>
      </x:c>
      <x:c r="L291" s="12" t="n">
        <x:v>0.9624458484368306</x:v>
      </x:c>
      <x:c r="M291" s="8" t="str">
        <x:v>Yes</x:v>
      </x:c>
    </x:row>
    <x:row r="292">
      <x:c r="A292" s="8" t="str">
        <x:v>Coquitlam|Fleet</x:v>
      </x:c>
      <x:c r="B292" s="8" t="str">
        <x:v>coquitlam-c</x:v>
      </x:c>
      <x:c r="C292" s="8" t="str">
        <x:v>Coquitlam</x:v>
      </x:c>
      <x:c r="D292" s="8" t="str">
        <x:v>Fleet</x:v>
      </x:c>
      <x:c r="E292" s="11" t="n">
        <x:v>66715000</x:v>
      </x:c>
      <x:c r="F292" s="11" t="n">
        <x:v>38802000</x:v>
      </x:c>
      <x:c r="G292" s="11" t="n">
        <x:v>27913000</x:v>
      </x:c>
      <x:c r="H292" s="11" t="n">
        <x:v>6149000</x:v>
      </x:c>
      <x:c r="I292" s="11" t="n">
        <x:v>85077000</x:v>
      </x:c>
      <x:c r="J292" s="11" t="n">
        <x:v>6880000</x:v>
      </x:c>
      <x:c r="K292" s="12" t="n">
        <x:v>0.41839166604211947</x:v>
      </x:c>
      <x:c r="L292" s="12" t="n">
        <x:v>0.9191320803507411</x:v>
      </x:c>
      <x:c r="M292" s="8" t="str">
        <x:v>Yes</x:v>
      </x:c>
    </x:row>
    <x:row r="293">
      <x:c r="A293" s="8" t="str">
        <x:v>Coquitlam|Parks and Recreation</x:v>
      </x:c>
      <x:c r="B293" s="8" t="str">
        <x:v>coquitlam-c</x:v>
      </x:c>
      <x:c r="C293" s="8" t="str">
        <x:v>Coquitlam</x:v>
      </x:c>
      <x:c r="D293" s="8" t="str">
        <x:v>Parks and Recreation</x:v>
      </x:c>
      <x:c r="E293" s="11" t="n">
        <x:v>134719000</x:v>
      </x:c>
      <x:c r="F293" s="11" t="n">
        <x:v>57764000</x:v>
      </x:c>
      <x:c r="G293" s="11" t="n">
        <x:v>76955000</x:v>
      </x:c>
      <x:c r="H293" s="11" t="n">
        <x:v>5134000</x:v>
      </x:c>
      <x:c r="I293" s="11" t="n">
        <x:v>214142000</x:v>
      </x:c>
      <x:c r="J293" s="11" t="n">
        <x:v>8162000</x:v>
      </x:c>
      <x:c r="K293" s="12" t="n">
        <x:v>0.5712260334473979</x:v>
      </x:c>
      <x:c r="L293" s="12" t="n">
        <x:v>0.9618851042766015</x:v>
      </x:c>
      <x:c r="M293" s="8" t="str">
        <x:v>Yes</x:v>
      </x:c>
    </x:row>
    <x:row r="294">
      <x:c r="A294" s="8" t="str">
        <x:v>Coquitlam|Water System</x:v>
      </x:c>
      <x:c r="B294" s="8" t="str">
        <x:v>coquitlam-c</x:v>
      </x:c>
      <x:c r="C294" s="8" t="str">
        <x:v>Coquitlam</x:v>
      </x:c>
      <x:c r="D294" s="8" t="str">
        <x:v>Water System</x:v>
      </x:c>
      <x:c r="E294" s="11" t="n">
        <x:v>241760000</x:v>
      </x:c>
      <x:c r="F294" s="11" t="n">
        <x:v>75230000</x:v>
      </x:c>
      <x:c r="G294" s="11" t="n">
        <x:v>166530000</x:v>
      </x:c>
      <x:c r="H294" s="11" t="n">
        <x:v>8145000</x:v>
      </x:c>
      <x:c r="I294" s="11" t="n">
        <x:v>660797000</x:v>
      </x:c>
      <x:c r="J294" s="11" t="n">
        <x:v>10467000</x:v>
      </x:c>
      <x:c r="K294" s="12" t="n">
        <x:v>0.68882362673726</x:v>
      </x:c>
      <x:c r="L294" s="12" t="n">
        <x:v>0.984160037046173</x:v>
      </x:c>
      <x:c r="M294" s="8" t="str">
        <x:v>Yes</x:v>
      </x:c>
    </x:row>
    <x:row r="295">
      <x:c r="A295" s="8" t="str">
        <x:v>Coquitlam|Sewer System</x:v>
      </x:c>
      <x:c r="B295" s="8" t="str">
        <x:v>coquitlam-c</x:v>
      </x:c>
      <x:c r="C295" s="8" t="str">
        <x:v>Coquitlam</x:v>
      </x:c>
      <x:c r="D295" s="8" t="str">
        <x:v>Sewer System</x:v>
      </x:c>
      <x:c r="E295" s="11" t="n">
        <x:v>225039000</x:v>
      </x:c>
      <x:c r="F295" s="11" t="n">
        <x:v>92291000</x:v>
      </x:c>
      <x:c r="G295" s="11" t="n">
        <x:v>132748000</x:v>
      </x:c>
      <x:c r="H295" s="11" t="n">
        <x:v>9041000</x:v>
      </x:c>
      <x:c r="I295" s="11" t="n">
        <x:v>667354000</x:v>
      </x:c>
      <x:c r="J295" s="11" t="n">
        <x:v>7720000</x:v>
      </x:c>
      <x:c r="K295" s="12" t="n">
        <x:v>0.5898888637080684</x:v>
      </x:c>
      <x:c r="L295" s="12" t="n">
        <x:v>0.9884319266835893</x:v>
      </x:c>
      <x:c r="M295" s="8" t="str">
        <x:v>Yes</x:v>
      </x:c>
    </x:row>
    <x:row r="296">
      <x:c r="A296" s="8" t="str">
        <x:v>Coquitlam|Drainage System</x:v>
      </x:c>
      <x:c r="B296" s="8" t="str">
        <x:v>coquitlam-c</x:v>
      </x:c>
      <x:c r="C296" s="8" t="str">
        <x:v>Coquitlam</x:v>
      </x:c>
      <x:c r="D296" s="8" t="str">
        <x:v>Drainage System</x:v>
      </x:c>
      <x:c r="E296" s="11" t="n">
        <x:v>360150000</x:v>
      </x:c>
      <x:c r="F296" s="11" t="n">
        <x:v>116847000</x:v>
      </x:c>
      <x:c r="G296" s="11" t="n">
        <x:v>243303000</x:v>
      </x:c>
      <x:c r="H296" s="11" t="n">
        <x:v>12111000</x:v>
      </x:c>
      <x:c r="I296" s="11" t="n">
        <x:v>877234000</x:v>
      </x:c>
      <x:c r="J296" s="11" t="n">
        <x:v>10269000</x:v>
      </x:c>
      <x:c r="K296" s="12" t="n">
        <x:v>0.6755601832569763</x:v>
      </x:c>
      <x:c r="L296" s="12" t="n">
        <x:v>0.9882938873778262</x:v>
      </x:c>
      <x:c r="M296" s="8" t="str">
        <x:v>Yes</x:v>
      </x:c>
    </x:row>
    <x:row r="297">
      <x:c r="A297" s="8" t="str">
        <x:v>Coquitlam|Transportation System</x:v>
      </x:c>
      <x:c r="B297" s="8" t="str">
        <x:v>coquitlam-c</x:v>
      </x:c>
      <x:c r="C297" s="8" t="str">
        <x:v>Coquitlam</x:v>
      </x:c>
      <x:c r="D297" s="8" t="str">
        <x:v>Transportation System</x:v>
      </x:c>
      <x:c r="E297" s="11" t="n">
        <x:v>664500000</x:v>
      </x:c>
      <x:c r="F297" s="11" t="n">
        <x:v>280358000</x:v>
      </x:c>
      <x:c r="G297" s="11" t="n">
        <x:v>384142000</x:v>
      </x:c>
      <x:c r="H297" s="11" t="n">
        <x:v>24136000</x:v>
      </x:c>
      <x:c r="I297" s="11" t="n">
        <x:v>1588219000</x:v>
      </x:c>
      <x:c r="J297" s="11" t="n">
        <x:v>5681000</x:v>
      </x:c>
      <x:c r="K297" s="12" t="n">
        <x:v>0.57809179834462</x:v>
      </x:c>
      <x:c r="L297" s="12" t="n">
        <x:v>0.9964230373770872</x:v>
      </x:c>
      <x:c r="M297" s="8" t="str">
        <x:v>Yes</x:v>
      </x:c>
    </x:row>
    <x:row r="298">
      <x:c r="A298" s="8" t="str">
        <x:v>Coquitlam|Other Engineering Systems</x:v>
      </x:c>
      <x:c r="B298" s="8" t="str">
        <x:v>coquitlam-c</x:v>
      </x:c>
      <x:c r="C298" s="8" t="str">
        <x:v>Coquitlam</x:v>
      </x:c>
      <x:c r="D298" s="8" t="str">
        <x:v>Other Engineering Systems</x:v>
      </x:c>
      <x:c r="E298" s="11" t="n">
        <x:v>0</x:v>
      </x:c>
      <x:c r="F298" s="11" t="n">
        <x:v>0</x:v>
      </x:c>
      <x:c r="G298" s="11" t="n">
        <x:v>0</x:v>
      </x:c>
      <x:c r="H298" s="11" t="n">
        <x:v>0</x:v>
      </x:c>
      <x:c r="I298" s="11" t="n">
        <x:v>0</x:v>
      </x:c>
      <x:c r="J298" s="11" t="n">
        <x:v>0</x:v>
      </x:c>
      <x:c r="K298" s="12"/>
      <x:c r="L298" s="12"/>
      <x:c r="M298" s="8"/>
    </x:row>
    <x:row r="299">
      <x:c r="A299" s="8" t="str">
        <x:v>Coquitlam|Other Tangible Capital Assets</x:v>
      </x:c>
      <x:c r="B299" s="8" t="str">
        <x:v>coquitlam-c</x:v>
      </x:c>
      <x:c r="C299" s="8" t="str">
        <x:v>Coquitlam</x:v>
      </x:c>
      <x:c r="D299" s="8" t="str">
        <x:v>Other Tangible Capital Assets</x:v>
      </x:c>
      <x:c r="E299" s="11" t="n">
        <x:v>45538000</x:v>
      </x:c>
      <x:c r="F299" s="11" t="n">
        <x:v>26003000</x:v>
      </x:c>
      <x:c r="G299" s="11" t="n">
        <x:v>19535000</x:v>
      </x:c>
      <x:c r="H299" s="11" t="n">
        <x:v>2077000</x:v>
      </x:c>
      <x:c r="I299" s="11" t="n">
        <x:v>64081000</x:v>
      </x:c>
      <x:c r="J299" s="11" t="n">
        <x:v>2362000</x:v>
      </x:c>
      <x:c r="K299" s="12" t="n">
        <x:v>0.4289823883350169</x:v>
      </x:c>
      <x:c r="L299" s="12" t="n">
        <x:v>0.9631404004307049</x:v>
      </x:c>
      <x:c r="M299" s="8" t="str">
        <x:v>N/A</x:v>
      </x:c>
    </x:row>
    <x:row r="300">
      <x:c r="A300" s="8" t="str">
        <x:v>Coquitlam|Work In Progress</x:v>
      </x:c>
      <x:c r="B300" s="8" t="str">
        <x:v>coquitlam-c</x:v>
      </x:c>
      <x:c r="C300" s="8" t="str">
        <x:v>Coquitlam</x:v>
      </x:c>
      <x:c r="D300" s="8" t="str">
        <x:v>Work In Progress</x:v>
      </x:c>
      <x:c r="E300" s="11" t="n">
        <x:v>78620000</x:v>
      </x:c>
      <x:c r="F300" s="11"/>
      <x:c r="G300" s="11" t="n">
        <x:v>78620000</x:v>
      </x:c>
      <x:c r="H300" s="11" t="n">
        <x:v>0</x:v>
      </x:c>
      <x:c r="I300" s="11" t="n">
        <x:v>78620000</x:v>
      </x:c>
      <x:c r="J300" s="11"/>
      <x:c r="K300" s="12" t="n">
        <x:v>1</x:v>
      </x:c>
      <x:c r="L300" s="12"/>
      <x:c r="M300" s="8" t="str">
        <x:v>N/A</x:v>
      </x:c>
    </x:row>
    <x:row r="301">
      <x:c r="A301" s="8" t="str">
        <x:v>Coquitlam|Total TCA</x:v>
      </x:c>
      <x:c r="B301" s="8" t="str">
        <x:v>coquitlam-c</x:v>
      </x:c>
      <x:c r="C301" s="8" t="str">
        <x:v>Coquitlam</x:v>
      </x:c>
      <x:c r="D301" s="8" t="str">
        <x:v>Total TCA</x:v>
      </x:c>
      <x:c r="E301" s="11" t="n">
        <x:v>3571734000</x:v>
      </x:c>
      <x:c r="F301" s="11" t="n">
        <x:v>839894000</x:v>
      </x:c>
      <x:c r="G301" s="11" t="n">
        <x:v>2731840000</x:v>
      </x:c>
      <x:c r="H301" s="11" t="n">
        <x:v>200617000</x:v>
      </x:c>
      <x:c r="I301" s="11" t="n">
        <x:v>6179224000</x:v>
      </x:c>
      <x:c r="J301" s="11" t="n">
        <x:v>73629000</x:v>
      </x:c>
      <x:c r="K301" s="12" t="n">
        <x:v>0.7648497900459553</x:v>
      </x:c>
      <x:c r="L301" s="12" t="n">
        <x:v>0.9880844261350616</x:v>
      </x:c>
      <x:c r="M301" s="8"/>
    </x:row>
    <x:row r="302">
      <x:c r="A302" s="8" t="str">
        <x:v>Courtenay|Land</x:v>
      </x:c>
      <x:c r="B302" s="8" t="str">
        <x:v>courtenay-c</x:v>
      </x:c>
      <x:c r="C302" s="8" t="str">
        <x:v>Courtenay</x:v>
      </x:c>
      <x:c r="D302" s="8" t="str">
        <x:v>Land</x:v>
      </x:c>
      <x:c r="E302" s="11" t="n">
        <x:v>28377528</x:v>
      </x:c>
      <x:c r="F302" s="11"/>
      <x:c r="G302" s="11" t="n">
        <x:v>28377528</x:v>
      </x:c>
      <x:c r="H302" s="11" t="n">
        <x:v>2513185</x:v>
      </x:c>
      <x:c r="I302" s="11" t="n">
        <x:v>28377528</x:v>
      </x:c>
      <x:c r="J302" s="11"/>
      <x:c r="K302" s="12" t="n">
        <x:v>1</x:v>
      </x:c>
      <x:c r="L302" s="12"/>
      <x:c r="M302" s="8" t="str">
        <x:v>N/A</x:v>
      </x:c>
    </x:row>
    <x:row r="303">
      <x:c r="A303" s="8" t="str">
        <x:v>Courtenay|Buildings</x:v>
      </x:c>
      <x:c r="B303" s="8" t="str">
        <x:v>courtenay-c</x:v>
      </x:c>
      <x:c r="C303" s="8" t="str">
        <x:v>Courtenay</x:v>
      </x:c>
      <x:c r="D303" s="8" t="str">
        <x:v>Buildings</x:v>
      </x:c>
      <x:c r="E303" s="11" t="n">
        <x:v>34959711</x:v>
      </x:c>
      <x:c r="F303" s="11" t="n">
        <x:v>16538409</x:v>
      </x:c>
      <x:c r="G303" s="11" t="n">
        <x:v>18421302</x:v>
      </x:c>
      <x:c r="H303" s="11" t="n">
        <x:v>1242626</x:v>
      </x:c>
      <x:c r="I303" s="11" t="n">
        <x:v>64919521</x:v>
      </x:c>
      <x:c r="J303" s="11" t="n">
        <x:v>1282424</x:v>
      </x:c>
      <x:c r="K303" s="12" t="n">
        <x:v>0.5269294703265711</x:v>
      </x:c>
      <x:c r="L303" s="12" t="n">
        <x:v>0.9802459417406977</x:v>
      </x:c>
      <x:c r="M303" s="8" t="str">
        <x:v>Yes</x:v>
      </x:c>
    </x:row>
    <x:row r="304">
      <x:c r="A304" s="8" t="str">
        <x:v>Courtenay|Fleet</x:v>
      </x:c>
      <x:c r="B304" s="8" t="str">
        <x:v>courtenay-c</x:v>
      </x:c>
      <x:c r="C304" s="8" t="str">
        <x:v>Courtenay</x:v>
      </x:c>
      <x:c r="D304" s="8" t="str">
        <x:v>Fleet</x:v>
      </x:c>
      <x:c r="E304" s="11" t="n">
        <x:v>31766596</x:v>
      </x:c>
      <x:c r="F304" s="11" t="n">
        <x:v>15755078</x:v>
      </x:c>
      <x:c r="G304" s="11" t="n">
        <x:v>16011518</x:v>
      </x:c>
      <x:c r="H304" s="11" t="n">
        <x:v>6861948</x:v>
      </x:c>
      <x:c r="I304" s="11" t="n">
        <x:v>25353689</x:v>
      </x:c>
      <x:c r="J304" s="11" t="n">
        <x:v>1170710</x:v>
      </x:c>
      <x:c r="K304" s="12" t="n">
        <x:v>0.5040363153798412</x:v>
      </x:c>
      <x:c r="L304" s="12" t="n">
        <x:v>0.9538248654860443</x:v>
      </x:c>
      <x:c r="M304" s="8" t="str">
        <x:v>Yes</x:v>
      </x:c>
    </x:row>
    <x:row r="305">
      <x:c r="A305" s="8" t="str">
        <x:v>Courtenay|Parks and Recreation</x:v>
      </x:c>
      <x:c r="B305" s="8" t="str">
        <x:v>courtenay-c</x:v>
      </x:c>
      <x:c r="C305" s="8" t="str">
        <x:v>Courtenay</x:v>
      </x:c>
      <x:c r="D305" s="8" t="str">
        <x:v>Parks and Recreation</x:v>
      </x:c>
      <x:c r="E305" s="11" t="n">
        <x:v>8963328</x:v>
      </x:c>
      <x:c r="F305" s="11" t="n">
        <x:v>4701392</x:v>
      </x:c>
      <x:c r="G305" s="11" t="n">
        <x:v>4261936</x:v>
      </x:c>
      <x:c r="H305" s="11" t="n">
        <x:v>141581</x:v>
      </x:c>
      <x:c r="I305" s="11" t="n">
        <x:v>30481050</x:v>
      </x:c>
      <x:c r="J305" s="11" t="n">
        <x:v>635383</x:v>
      </x:c>
      <x:c r="K305" s="12" t="n">
        <x:v>0.4754858909547882</x:v>
      </x:c>
      <x:c r="L305" s="12" t="n">
        <x:v>0.9791548191417291</x:v>
      </x:c>
      <x:c r="M305" s="8" t="str">
        <x:v>Yes</x:v>
      </x:c>
    </x:row>
    <x:row r="306">
      <x:c r="A306" s="8" t="str">
        <x:v>Courtenay|Water System</x:v>
      </x:c>
      <x:c r="B306" s="8" t="str">
        <x:v>courtenay-c</x:v>
      </x:c>
      <x:c r="C306" s="8" t="str">
        <x:v>Courtenay</x:v>
      </x:c>
      <x:c r="D306" s="8" t="str">
        <x:v>Water System</x:v>
      </x:c>
      <x:c r="E306" s="11" t="n">
        <x:v>31207714</x:v>
      </x:c>
      <x:c r="F306" s="11" t="n">
        <x:v>10103783</x:v>
      </x:c>
      <x:c r="G306" s="11" t="n">
        <x:v>21103931</x:v>
      </x:c>
      <x:c r="H306" s="11" t="n">
        <x:v>429552</x:v>
      </x:c>
      <x:c r="I306" s="11" t="n">
        <x:v>233927287</x:v>
      </x:c>
      <x:c r="J306" s="11" t="n">
        <x:v>2874521</x:v>
      </x:c>
      <x:c r="K306" s="12" t="n">
        <x:v>0.6762408486568418</x:v>
      </x:c>
      <x:c r="L306" s="12" t="n">
        <x:v>0.9877119038276198</x:v>
      </x:c>
      <x:c r="M306" s="8" t="str">
        <x:v>Yes</x:v>
      </x:c>
    </x:row>
    <x:row r="307">
      <x:c r="A307" s="8" t="str">
        <x:v>Courtenay|Sewer System</x:v>
      </x:c>
      <x:c r="B307" s="8" t="str">
        <x:v>courtenay-c</x:v>
      </x:c>
      <x:c r="C307" s="8" t="str">
        <x:v>Courtenay</x:v>
      </x:c>
      <x:c r="D307" s="8" t="str">
        <x:v>Sewer System</x:v>
      </x:c>
      <x:c r="E307" s="11" t="n">
        <x:v>23383324</x:v>
      </x:c>
      <x:c r="F307" s="11" t="n">
        <x:v>3865232</x:v>
      </x:c>
      <x:c r="G307" s="11" t="n">
        <x:v>19518092</x:v>
      </x:c>
      <x:c r="H307" s="11" t="n">
        <x:v>2149311</x:v>
      </x:c>
      <x:c r="I307" s="11" t="n">
        <x:v>273144334</x:v>
      </x:c>
      <x:c r="J307" s="11" t="n">
        <x:v>2615951</x:v>
      </x:c>
      <x:c r="K307" s="12" t="n">
        <x:v>0.834701345283502</x:v>
      </x:c>
      <x:c r="L307" s="12" t="n">
        <x:v>0.9904228253184267</x:v>
      </x:c>
      <x:c r="M307" s="8" t="str">
        <x:v>Yes</x:v>
      </x:c>
    </x:row>
    <x:row r="308">
      <x:c r="A308" s="8" t="str">
        <x:v>Courtenay|Drainage System</x:v>
      </x:c>
      <x:c r="B308" s="8" t="str">
        <x:v>courtenay-c</x:v>
      </x:c>
      <x:c r="C308" s="8" t="str">
        <x:v>Courtenay</x:v>
      </x:c>
      <x:c r="D308" s="8" t="str">
        <x:v>Drainage System</x:v>
      </x:c>
      <x:c r="E308" s="11" t="n">
        <x:v>25336598</x:v>
      </x:c>
      <x:c r="F308" s="11" t="n">
        <x:v>7963487</x:v>
      </x:c>
      <x:c r="G308" s="11" t="n">
        <x:v>17373111</x:v>
      </x:c>
      <x:c r="H308" s="11" t="n">
        <x:v>275760</x:v>
      </x:c>
      <x:c r="I308" s="11" t="n">
        <x:v>303808714</x:v>
      </x:c>
      <x:c r="J308" s="11" t="n">
        <x:v>3020497</x:v>
      </x:c>
      <x:c r="K308" s="12" t="n">
        <x:v>0.6856923332801034</x:v>
      </x:c>
      <x:c r="L308" s="12" t="n">
        <x:v>0.9900578987342674</x:v>
      </x:c>
      <x:c r="M308" s="8" t="str">
        <x:v>Yes</x:v>
      </x:c>
    </x:row>
    <x:row r="309">
      <x:c r="A309" s="8" t="str">
        <x:v>Courtenay|Transportation System</x:v>
      </x:c>
      <x:c r="B309" s="8" t="str">
        <x:v>courtenay-c</x:v>
      </x:c>
      <x:c r="C309" s="8" t="str">
        <x:v>Courtenay</x:v>
      </x:c>
      <x:c r="D309" s="8" t="str">
        <x:v>Transportation System</x:v>
      </x:c>
      <x:c r="E309" s="11" t="n">
        <x:v>126549982</x:v>
      </x:c>
      <x:c r="F309" s="11" t="n">
        <x:v>62656630</x:v>
      </x:c>
      <x:c r="G309" s="11" t="n">
        <x:v>63893352</x:v>
      </x:c>
      <x:c r="H309" s="11" t="n">
        <x:v>2814052</x:v>
      </x:c>
      <x:c r="I309" s="11" t="n">
        <x:v>192993338</x:v>
      </x:c>
      <x:c r="J309" s="11" t="n">
        <x:v>1763110</x:v>
      </x:c>
      <x:c r="K309" s="12" t="n">
        <x:v>0.5048862986009749</x:v>
      </x:c>
      <x:c r="L309" s="12" t="n">
        <x:v>0.9908643996820242</x:v>
      </x:c>
      <x:c r="M309" s="8" t="str">
        <x:v>Yes</x:v>
      </x:c>
    </x:row>
    <x:row r="310">
      <x:c r="A310" s="8" t="str">
        <x:v>Courtenay|Other Engineering Systems</x:v>
      </x:c>
      <x:c r="B310" s="8" t="str">
        <x:v>courtenay-c</x:v>
      </x:c>
      <x:c r="C310" s="8" t="str">
        <x:v>Courtenay</x:v>
      </x:c>
      <x:c r="D310" s="8" t="str">
        <x:v>Other Engineering Systems</x:v>
      </x:c>
      <x:c r="E310" s="11" t="n">
        <x:v>8001448</x:v>
      </x:c>
      <x:c r="F310" s="11" t="n">
        <x:v>5712426</x:v>
      </x:c>
      <x:c r="G310" s="11" t="n">
        <x:v>2289022</x:v>
      </x:c>
      <x:c r="H310" s="11" t="n">
        <x:v>65279</x:v>
      </x:c>
      <x:c r="I310" s="11" t="n">
        <x:v>0</x:v>
      </x:c>
      <x:c r="J310" s="11" t="n">
        <x:v>0</x:v>
      </x:c>
      <x:c r="K310" s="12" t="n">
        <x:v>0.28607597024938486</x:v>
      </x:c>
      <x:c r="L310" s="12"/>
      <x:c r="M310" s="8" t="str">
        <x:v>Yes</x:v>
      </x:c>
    </x:row>
    <x:row r="311">
      <x:c r="A311" s="8" t="str">
        <x:v>Courtenay|Other Tangible Capital Assets</x:v>
      </x:c>
      <x:c r="B311" s="8" t="str">
        <x:v>courtenay-c</x:v>
      </x:c>
      <x:c r="C311" s="8" t="str">
        <x:v>Courtenay</x:v>
      </x:c>
      <x:c r="D311" s="8" t="str">
        <x:v>Other Tangible Capital Assets</x:v>
      </x:c>
      <x:c r="E311" s="11" t="n">
        <x:v>1427059</x:v>
      </x:c>
      <x:c r="F311" s="11" t="n">
        <x:v>1251385</x:v>
      </x:c>
      <x:c r="G311" s="11" t="n">
        <x:v>175674</x:v>
      </x:c>
      <x:c r="H311" s="11" t="n">
        <x:v>93015</x:v>
      </x:c>
      <x:c r="I311" s="11" t="n">
        <x:v>0</x:v>
      </x:c>
      <x:c r="J311" s="11" t="n">
        <x:v>0</x:v>
      </x:c>
      <x:c r="K311" s="12" t="n">
        <x:v>0.12310212822314985</x:v>
      </x:c>
      <x:c r="L311" s="12"/>
      <x:c r="M311" s="8" t="str">
        <x:v>N/A</x:v>
      </x:c>
    </x:row>
    <x:row r="312">
      <x:c r="A312" s="8" t="str">
        <x:v>Courtenay|Work In Progress</x:v>
      </x:c>
      <x:c r="B312" s="8" t="str">
        <x:v>courtenay-c</x:v>
      </x:c>
      <x:c r="C312" s="8" t="str">
        <x:v>Courtenay</x:v>
      </x:c>
      <x:c r="D312" s="8" t="str">
        <x:v>Work In Progress</x:v>
      </x:c>
      <x:c r="E312" s="11" t="n">
        <x:v>5036110</x:v>
      </x:c>
      <x:c r="F312" s="11"/>
      <x:c r="G312" s="11" t="n">
        <x:v>5036110</x:v>
      </x:c>
      <x:c r="H312" s="11" t="n">
        <x:v>2650225</x:v>
      </x:c>
      <x:c r="I312" s="11" t="n">
        <x:v>5036110</x:v>
      </x:c>
      <x:c r="J312" s="11"/>
      <x:c r="K312" s="12" t="n">
        <x:v>1</x:v>
      </x:c>
      <x:c r="L312" s="12"/>
      <x:c r="M312" s="8" t="str">
        <x:v>N/A</x:v>
      </x:c>
    </x:row>
    <x:row r="313">
      <x:c r="A313" s="8" t="str">
        <x:v>Courtenay|Total TCA</x:v>
      </x:c>
      <x:c r="B313" s="8" t="str">
        <x:v>courtenay-c</x:v>
      </x:c>
      <x:c r="C313" s="8" t="str">
        <x:v>Courtenay</x:v>
      </x:c>
      <x:c r="D313" s="8" t="str">
        <x:v>Total TCA</x:v>
      </x:c>
      <x:c r="E313" s="11" t="n">
        <x:v>325009398</x:v>
      </x:c>
      <x:c r="F313" s="11" t="n">
        <x:v>128547822</x:v>
      </x:c>
      <x:c r="G313" s="11" t="n">
        <x:v>196461576</x:v>
      </x:c>
      <x:c r="H313" s="11" t="n">
        <x:v>19236534</x:v>
      </x:c>
      <x:c r="I313" s="11" t="n">
        <x:v>1158041571</x:v>
      </x:c>
      <x:c r="J313" s="11" t="n">
        <x:v>13362596</x:v>
      </x:c>
      <x:c r="K313" s="12" t="n">
        <x:v>0.6044796772307489</x:v>
      </x:c>
      <x:c r="L313" s="12" t="n">
        <x:v>0.9884610394526157</x:v>
      </x:c>
      <x:c r="M313" s="8"/>
    </x:row>
    <x:row r="314">
      <x:c r="A314" s="8" t="str">
        <x:v>Cranbrook|Land</x:v>
      </x:c>
      <x:c r="B314" s="8" t="str">
        <x:v>cranbrook-c</x:v>
      </x:c>
      <x:c r="C314" s="8" t="str">
        <x:v>Cranbrook</x:v>
      </x:c>
      <x:c r="D314" s="8" t="str">
        <x:v>Land</x:v>
      </x:c>
      <x:c r="E314" s="11" t="n">
        <x:v>10447893</x:v>
      </x:c>
      <x:c r="F314" s="11"/>
      <x:c r="G314" s="11" t="n">
        <x:v>10447893</x:v>
      </x:c>
      <x:c r="H314" s="11" t="n">
        <x:v>24728</x:v>
      </x:c>
      <x:c r="I314" s="11" t="n">
        <x:v>10447893</x:v>
      </x:c>
      <x:c r="J314" s="11"/>
      <x:c r="K314" s="12" t="n">
        <x:v>1</x:v>
      </x:c>
      <x:c r="L314" s="12"/>
      <x:c r="M314" s="8" t="str">
        <x:v>N/A</x:v>
      </x:c>
    </x:row>
    <x:row r="315">
      <x:c r="A315" s="8" t="str">
        <x:v>Cranbrook|Buildings</x:v>
      </x:c>
      <x:c r="B315" s="8" t="str">
        <x:v>cranbrook-c</x:v>
      </x:c>
      <x:c r="C315" s="8" t="str">
        <x:v>Cranbrook</x:v>
      </x:c>
      <x:c r="D315" s="8" t="str">
        <x:v>Buildings</x:v>
      </x:c>
      <x:c r="E315" s="11" t="n">
        <x:v>80402181</x:v>
      </x:c>
      <x:c r="F315" s="11" t="n">
        <x:v>34668424</x:v>
      </x:c>
      <x:c r="G315" s="11" t="n">
        <x:v>45733757</x:v>
      </x:c>
      <x:c r="H315" s="11" t="n">
        <x:v>2834062</x:v>
      </x:c>
      <x:c r="I315" s="11" t="n">
        <x:v>80402181</x:v>
      </x:c>
      <x:c r="J315" s="11" t="n">
        <x:v>2070897</x:v>
      </x:c>
      <x:c r="K315" s="12" t="n">
        <x:v>0.5688123932856995</x:v>
      </x:c>
      <x:c r="L315" s="12" t="n">
        <x:v>0.9742432733261303</x:v>
      </x:c>
      <x:c r="M315" s="8" t="str">
        <x:v>In_Progress</x:v>
      </x:c>
    </x:row>
    <x:row r="316">
      <x:c r="A316" s="8" t="str">
        <x:v>Cranbrook|Fleet</x:v>
      </x:c>
      <x:c r="B316" s="8" t="str">
        <x:v>cranbrook-c</x:v>
      </x:c>
      <x:c r="C316" s="8" t="str">
        <x:v>Cranbrook</x:v>
      </x:c>
      <x:c r="D316" s="8" t="str">
        <x:v>Fleet</x:v>
      </x:c>
      <x:c r="E316" s="11" t="n">
        <x:v>22419401</x:v>
      </x:c>
      <x:c r="F316" s="11" t="n">
        <x:v>10988115</x:v>
      </x:c>
      <x:c r="G316" s="11" t="n">
        <x:v>11431286</x:v>
      </x:c>
      <x:c r="H316" s="11" t="n">
        <x:v>2582772</x:v>
      </x:c>
      <x:c r="I316" s="11" t="n">
        <x:v>22419401</x:v>
      </x:c>
      <x:c r="J316" s="11" t="n">
        <x:v>1117957</x:v>
      </x:c>
      <x:c r="K316" s="12" t="n">
        <x:v>0.5098836494338096</x:v>
      </x:c>
      <x:c r="L316" s="12" t="n">
        <x:v>0.9501343947592534</x:v>
      </x:c>
      <x:c r="M316" s="8" t="str">
        <x:v>Yes</x:v>
      </x:c>
    </x:row>
    <x:row r="317">
      <x:c r="A317" s="8" t="str">
        <x:v>Cranbrook|Parks and Recreation</x:v>
      </x:c>
      <x:c r="B317" s="8" t="str">
        <x:v>cranbrook-c</x:v>
      </x:c>
      <x:c r="C317" s="8" t="str">
        <x:v>Cranbrook</x:v>
      </x:c>
      <x:c r="D317" s="8" t="str">
        <x:v>Parks and Recreation</x:v>
      </x:c>
      <x:c r="E317" s="11" t="n">
        <x:v>15273506</x:v>
      </x:c>
      <x:c r="F317" s="11" t="n">
        <x:v>6489565</x:v>
      </x:c>
      <x:c r="G317" s="11" t="n">
        <x:v>8783941</x:v>
      </x:c>
      <x:c r="H317" s="11" t="n">
        <x:v>423484</x:v>
      </x:c>
      <x:c r="I317" s="11" t="n">
        <x:v>15273506</x:v>
      </x:c>
      <x:c r="J317" s="11" t="n">
        <x:v>397928</x:v>
      </x:c>
      <x:c r="K317" s="12" t="n">
        <x:v>0.5751096703009774</x:v>
      </x:c>
      <x:c r="L317" s="12" t="n">
        <x:v>0.9739465188935664</x:v>
      </x:c>
      <x:c r="M317" s="8" t="str">
        <x:v>In_Progress</x:v>
      </x:c>
    </x:row>
    <x:row r="318">
      <x:c r="A318" s="8" t="str">
        <x:v>Cranbrook|Water System</x:v>
      </x:c>
      <x:c r="B318" s="8" t="str">
        <x:v>cranbrook-c</x:v>
      </x:c>
      <x:c r="C318" s="8" t="str">
        <x:v>Cranbrook</x:v>
      </x:c>
      <x:c r="D318" s="8" t="str">
        <x:v>Water System</x:v>
      </x:c>
      <x:c r="E318" s="11" t="n">
        <x:v>47388609</x:v>
      </x:c>
      <x:c r="F318" s="11" t="n">
        <x:v>21376446</x:v>
      </x:c>
      <x:c r="G318" s="11" t="n">
        <x:v>26012163</x:v>
      </x:c>
      <x:c r="H318" s="11" t="n">
        <x:v>1960432</x:v>
      </x:c>
      <x:c r="I318" s="11" t="n">
        <x:v>47388609</x:v>
      </x:c>
      <x:c r="J318" s="11" t="n">
        <x:v>905444</x:v>
      </x:c>
      <x:c r="K318" s="12" t="n">
        <x:v>0.5489117226462588</x:v>
      </x:c>
      <x:c r="L318" s="12" t="n">
        <x:v>0.9808932142321375</x:v>
      </x:c>
      <x:c r="M318" s="8" t="str">
        <x:v>Yes</x:v>
      </x:c>
    </x:row>
    <x:row r="319">
      <x:c r="A319" s="8" t="str">
        <x:v>Cranbrook|Sewer System</x:v>
      </x:c>
      <x:c r="B319" s="8" t="str">
        <x:v>cranbrook-c</x:v>
      </x:c>
      <x:c r="C319" s="8" t="str">
        <x:v>Cranbrook</x:v>
      </x:c>
      <x:c r="D319" s="8" t="str">
        <x:v>Sewer System</x:v>
      </x:c>
      <x:c r="E319" s="11" t="n">
        <x:v>75735996</x:v>
      </x:c>
      <x:c r="F319" s="11" t="n">
        <x:v>29554002</x:v>
      </x:c>
      <x:c r="G319" s="11" t="n">
        <x:v>46181994</x:v>
      </x:c>
      <x:c r="H319" s="11" t="n">
        <x:v>8897812</x:v>
      </x:c>
      <x:c r="I319" s="11" t="n">
        <x:v>75735996</x:v>
      </x:c>
      <x:c r="J319" s="11" t="n">
        <x:v>1335839</x:v>
      </x:c>
      <x:c r="K319" s="12" t="n">
        <x:v>0.6097760172058739</x:v>
      </x:c>
      <x:c r="L319" s="12" t="n">
        <x:v>0.9823619009380955</x:v>
      </x:c>
      <x:c r="M319" s="8" t="str">
        <x:v>Yes</x:v>
      </x:c>
    </x:row>
    <x:row r="320">
      <x:c r="A320" s="8" t="str">
        <x:v>Cranbrook|Drainage System</x:v>
      </x:c>
      <x:c r="B320" s="8" t="str">
        <x:v>cranbrook-c</x:v>
      </x:c>
      <x:c r="C320" s="8" t="str">
        <x:v>Cranbrook</x:v>
      </x:c>
      <x:c r="D320" s="8" t="str">
        <x:v>Drainage System</x:v>
      </x:c>
      <x:c r="E320" s="11" t="n">
        <x:v>23861305</x:v>
      </x:c>
      <x:c r="F320" s="11" t="n">
        <x:v>12293055</x:v>
      </x:c>
      <x:c r="G320" s="11" t="n">
        <x:v>11568250</x:v>
      </x:c>
      <x:c r="H320" s="11" t="n">
        <x:v>588730</x:v>
      </x:c>
      <x:c r="I320" s="11" t="n">
        <x:v>23861305</x:v>
      </x:c>
      <x:c r="J320" s="11" t="n">
        <x:v>638344</x:v>
      </x:c>
      <x:c r="K320" s="12" t="n">
        <x:v>0.4848121257408176</x:v>
      </x:c>
      <x:c r="L320" s="12" t="n">
        <x:v>0.9732477330975821</x:v>
      </x:c>
      <x:c r="M320" s="8" t="str">
        <x:v>Yes</x:v>
      </x:c>
    </x:row>
    <x:row r="321">
      <x:c r="A321" s="8" t="str">
        <x:v>Cranbrook|Transportation System</x:v>
      </x:c>
      <x:c r="B321" s="8" t="str">
        <x:v>cranbrook-c</x:v>
      </x:c>
      <x:c r="C321" s="8" t="str">
        <x:v>Cranbrook</x:v>
      </x:c>
      <x:c r="D321" s="8" t="str">
        <x:v>Transportation System</x:v>
      </x:c>
      <x:c r="E321" s="11" t="n">
        <x:v>109034287</x:v>
      </x:c>
      <x:c r="F321" s="11" t="n">
        <x:v>41292526</x:v>
      </x:c>
      <x:c r="G321" s="11" t="n">
        <x:v>67741761</x:v>
      </x:c>
      <x:c r="H321" s="11" t="n">
        <x:v>3883252</x:v>
      </x:c>
      <x:c r="I321" s="11" t="n">
        <x:v>109034287</x:v>
      </x:c>
      <x:c r="J321" s="11" t="n">
        <x:v>2314513</x:v>
      </x:c>
      <x:c r="K321" s="12" t="n">
        <x:v>0.6212886135532761</x:v>
      </x:c>
      <x:c r="L321" s="12" t="n">
        <x:v>0.9787726130588629</x:v>
      </x:c>
      <x:c r="M321" s="8" t="str">
        <x:v>Yes</x:v>
      </x:c>
    </x:row>
    <x:row r="322">
      <x:c r="A322" s="8" t="str">
        <x:v>Cranbrook|Other Engineering Systems</x:v>
      </x:c>
      <x:c r="B322" s="8" t="str">
        <x:v>cranbrook-c</x:v>
      </x:c>
      <x:c r="C322" s="8" t="str">
        <x:v>Cranbrook</x:v>
      </x:c>
      <x:c r="D322" s="8" t="str">
        <x:v>Other Engineering Systems</x:v>
      </x:c>
      <x:c r="E322" s="11" t="n">
        <x:v>0</x:v>
      </x:c>
      <x:c r="F322" s="11" t="n">
        <x:v>0</x:v>
      </x:c>
      <x:c r="G322" s="11" t="n">
        <x:v>0</x:v>
      </x:c>
      <x:c r="H322" s="11" t="n">
        <x:v>0</x:v>
      </x:c>
      <x:c r="I322" s="11" t="n">
        <x:v>0</x:v>
      </x:c>
      <x:c r="J322" s="11" t="n">
        <x:v>0</x:v>
      </x:c>
      <x:c r="K322" s="12"/>
      <x:c r="L322" s="12"/>
      <x:c r="M322" s="8"/>
    </x:row>
    <x:row r="323">
      <x:c r="A323" s="8" t="str">
        <x:v>Cranbrook|Other Tangible Capital Assets</x:v>
      </x:c>
      <x:c r="B323" s="8" t="str">
        <x:v>cranbrook-c</x:v>
      </x:c>
      <x:c r="C323" s="8" t="str">
        <x:v>Cranbrook</x:v>
      </x:c>
      <x:c r="D323" s="8" t="str">
        <x:v>Other Tangible Capital Assets</x:v>
      </x:c>
      <x:c r="E323" s="11" t="n">
        <x:v>21324612</x:v>
      </x:c>
      <x:c r="F323" s="11" t="n">
        <x:v>8885506</x:v>
      </x:c>
      <x:c r="G323" s="11" t="n">
        <x:v>12439106</x:v>
      </x:c>
      <x:c r="H323" s="11" t="n">
        <x:v>125537</x:v>
      </x:c>
      <x:c r="I323" s="11" t="n">
        <x:v>21324612</x:v>
      </x:c>
      <x:c r="J323" s="11" t="n">
        <x:v>733323</x:v>
      </x:c>
      <x:c r="K323" s="12" t="n">
        <x:v>0.5833215628964316</x:v>
      </x:c>
      <x:c r="L323" s="12" t="n">
        <x:v>0.9656114258960491</x:v>
      </x:c>
      <x:c r="M323" s="8" t="str">
        <x:v>N/A</x:v>
      </x:c>
    </x:row>
    <x:row r="324">
      <x:c r="A324" s="8" t="str">
        <x:v>Cranbrook|Work In Progress</x:v>
      </x:c>
      <x:c r="B324" s="8" t="str">
        <x:v>cranbrook-c</x:v>
      </x:c>
      <x:c r="C324" s="8" t="str">
        <x:v>Cranbrook</x:v>
      </x:c>
      <x:c r="D324" s="8" t="str">
        <x:v>Work In Progress</x:v>
      </x:c>
      <x:c r="E324" s="11" t="n">
        <x:v>11592959</x:v>
      </x:c>
      <x:c r="F324" s="11"/>
      <x:c r="G324" s="11" t="n">
        <x:v>11592959</x:v>
      </x:c>
      <x:c r="H324" s="11" t="n">
        <x:v>2260224</x:v>
      </x:c>
      <x:c r="I324" s="11" t="n">
        <x:v>11592959</x:v>
      </x:c>
      <x:c r="J324" s="11"/>
      <x:c r="K324" s="12" t="n">
        <x:v>1</x:v>
      </x:c>
      <x:c r="L324" s="12"/>
      <x:c r="M324" s="8" t="str">
        <x:v>N/A</x:v>
      </x:c>
    </x:row>
    <x:row r="325">
      <x:c r="A325" s="8" t="str">
        <x:v>Cranbrook|Total TCA</x:v>
      </x:c>
      <x:c r="B325" s="8" t="str">
        <x:v>cranbrook-c</x:v>
      </x:c>
      <x:c r="C325" s="8" t="str">
        <x:v>Cranbrook</x:v>
      </x:c>
      <x:c r="D325" s="8" t="str">
        <x:v>Total TCA</x:v>
      </x:c>
      <x:c r="E325" s="11" t="n">
        <x:v>417480749</x:v>
      </x:c>
      <x:c r="F325" s="11" t="n">
        <x:v>165547639</x:v>
      </x:c>
      <x:c r="G325" s="11" t="n">
        <x:v>251933110</x:v>
      </x:c>
      <x:c r="H325" s="11" t="n">
        <x:v>23581033</x:v>
      </x:c>
      <x:c r="I325" s="11" t="n">
        <x:v>417480749</x:v>
      </x:c>
      <x:c r="J325" s="11" t="n">
        <x:v>9514245</x:v>
      </x:c>
      <x:c r="K325" s="12" t="n">
        <x:v>0.6034604244709736</x:v>
      </x:c>
      <x:c r="L325" s="12" t="n">
        <x:v>0.9772103383861659</x:v>
      </x:c>
      <x:c r="M325" s="8"/>
    </x:row>
    <x:row r="326">
      <x:c r="A326" s="8" t="str">
        <x:v>Creston|Land</x:v>
      </x:c>
      <x:c r="B326" s="8" t="str">
        <x:v>creston-t</x:v>
      </x:c>
      <x:c r="C326" s="8" t="str">
        <x:v>Creston</x:v>
      </x:c>
      <x:c r="D326" s="8" t="str">
        <x:v>Land</x:v>
      </x:c>
      <x:c r="E326" s="11" t="n">
        <x:v>4660939</x:v>
      </x:c>
      <x:c r="F326" s="11"/>
      <x:c r="G326" s="11" t="n">
        <x:v>4660939</x:v>
      </x:c>
      <x:c r="H326" s="11" t="n">
        <x:v>206474</x:v>
      </x:c>
      <x:c r="I326" s="11" t="n">
        <x:v>4660939</x:v>
      </x:c>
      <x:c r="J326" s="11"/>
      <x:c r="K326" s="12" t="n">
        <x:v>1</x:v>
      </x:c>
      <x:c r="L326" s="12"/>
      <x:c r="M326" s="8" t="str">
        <x:v>N/A</x:v>
      </x:c>
    </x:row>
    <x:row r="327">
      <x:c r="A327" s="8" t="str">
        <x:v>Creston|Buildings</x:v>
      </x:c>
      <x:c r="B327" s="8" t="str">
        <x:v>creston-t</x:v>
      </x:c>
      <x:c r="C327" s="8" t="str">
        <x:v>Creston</x:v>
      </x:c>
      <x:c r="D327" s="8" t="str">
        <x:v>Buildings</x:v>
      </x:c>
      <x:c r="E327" s="11" t="n">
        <x:v>15666829</x:v>
      </x:c>
      <x:c r="F327" s="11" t="n">
        <x:v>2511711</x:v>
      </x:c>
      <x:c r="G327" s="11" t="n">
        <x:v>13155118</x:v>
      </x:c>
      <x:c r="H327" s="11" t="n">
        <x:v>1053044</x:v>
      </x:c>
      <x:c r="I327" s="11" t="n">
        <x:v>20720634</x:v>
      </x:c>
      <x:c r="J327" s="11" t="n">
        <x:v>740023</x:v>
      </x:c>
      <x:c r="K327" s="12" t="n">
        <x:v>0.839679682467971</x:v>
      </x:c>
      <x:c r="L327" s="12" t="n">
        <x:v>0.9642856970496173</x:v>
      </x:c>
      <x:c r="M327" s="8" t="str">
        <x:v>Yes</x:v>
      </x:c>
    </x:row>
    <x:row r="328">
      <x:c r="A328" s="8" t="str">
        <x:v>Creston|Fleet</x:v>
      </x:c>
      <x:c r="B328" s="8" t="str">
        <x:v>creston-t</x:v>
      </x:c>
      <x:c r="C328" s="8" t="str">
        <x:v>Creston</x:v>
      </x:c>
      <x:c r="D328" s="8" t="str">
        <x:v>Fleet</x:v>
      </x:c>
      <x:c r="E328" s="11" t="n">
        <x:v>6193100</x:v>
      </x:c>
      <x:c r="F328" s="11" t="n">
        <x:v>4431752</x:v>
      </x:c>
      <x:c r="G328" s="11" t="n">
        <x:v>1761348</x:v>
      </x:c>
      <x:c r="H328" s="11" t="n">
        <x:v>657380</x:v>
      </x:c>
      <x:c r="I328" s="11" t="n">
        <x:v>5360242</x:v>
      </x:c>
      <x:c r="J328" s="11" t="n">
        <x:v>357349</x:v>
      </x:c>
      <x:c r="K328" s="12" t="n">
        <x:v>0.284404902229901</x:v>
      </x:c>
      <x:c r="L328" s="12" t="n">
        <x:v>0.9333334203940792</x:v>
      </x:c>
      <x:c r="M328" s="8" t="str">
        <x:v>Yes</x:v>
      </x:c>
    </x:row>
    <x:row r="329">
      <x:c r="A329" s="8" t="str">
        <x:v>Creston|Parks and Recreation</x:v>
      </x:c>
      <x:c r="B329" s="8" t="str">
        <x:v>creston-t</x:v>
      </x:c>
      <x:c r="C329" s="8" t="str">
        <x:v>Creston</x:v>
      </x:c>
      <x:c r="D329" s="8" t="str">
        <x:v>Parks and Recreation</x:v>
      </x:c>
      <x:c r="E329" s="11" t="n">
        <x:v>7206697</x:v>
      </x:c>
      <x:c r="F329" s="11" t="n">
        <x:v>3523869</x:v>
      </x:c>
      <x:c r="G329" s="11" t="n">
        <x:v>3682828</x:v>
      </x:c>
      <x:c r="H329" s="11" t="n">
        <x:v>1824162</x:v>
      </x:c>
      <x:c r="I329" s="11" t="n">
        <x:v>4685277</x:v>
      </x:c>
      <x:c r="J329" s="11" t="n">
        <x:v>223108</x:v>
      </x:c>
      <x:c r="K329" s="12" t="n">
        <x:v>0.5110285613506437</x:v>
      </x:c>
      <x:c r="L329" s="12" t="n">
        <x:v>0.9523810438529035</x:v>
      </x:c>
      <x:c r="M329" s="8" t="str">
        <x:v>Yes</x:v>
      </x:c>
    </x:row>
    <x:row r="330">
      <x:c r="A330" s="8" t="str">
        <x:v>Creston|Water System</x:v>
      </x:c>
      <x:c r="B330" s="8" t="str">
        <x:v>creston-t</x:v>
      </x:c>
      <x:c r="C330" s="8" t="str">
        <x:v>Creston</x:v>
      </x:c>
      <x:c r="D330" s="8" t="str">
        <x:v>Water System</x:v>
      </x:c>
      <x:c r="E330" s="11" t="n">
        <x:v>13434010</x:v>
      </x:c>
      <x:c r="F330" s="11" t="n">
        <x:v>5422794</x:v>
      </x:c>
      <x:c r="G330" s="11" t="n">
        <x:v>8011216</x:v>
      </x:c>
      <x:c r="H330" s="11" t="n">
        <x:v>87930</x:v>
      </x:c>
      <x:c r="I330" s="11" t="n">
        <x:v>52532109</x:v>
      </x:c>
      <x:c r="J330" s="11" t="n">
        <x:v>552969</x:v>
      </x:c>
      <x:c r="K330" s="12" t="n">
        <x:v>0.5963383978424908</x:v>
      </x:c>
      <x:c r="L330" s="12" t="n">
        <x:v>0.9894736950309762</x:v>
      </x:c>
      <x:c r="M330" s="8" t="str">
        <x:v>Yes</x:v>
      </x:c>
    </x:row>
    <x:row r="331">
      <x:c r="A331" s="8" t="str">
        <x:v>Creston|Sewer System</x:v>
      </x:c>
      <x:c r="B331" s="8" t="str">
        <x:v>creston-t</x:v>
      </x:c>
      <x:c r="C331" s="8" t="str">
        <x:v>Creston</x:v>
      </x:c>
      <x:c r="D331" s="8" t="str">
        <x:v>Sewer System</x:v>
      </x:c>
      <x:c r="E331" s="11" t="n">
        <x:v>26575925</x:v>
      </x:c>
      <x:c r="F331" s="11" t="n">
        <x:v>13493570</x:v>
      </x:c>
      <x:c r="G331" s="11" t="n">
        <x:v>13082355</x:v>
      </x:c>
      <x:c r="H331" s="11" t="n">
        <x:v>103640</x:v>
      </x:c>
      <x:c r="I331" s="11" t="n">
        <x:v>64874285</x:v>
      </x:c>
      <x:c r="J331" s="11" t="n">
        <x:v>772325</x:v>
      </x:c>
      <x:c r="K331" s="12" t="n">
        <x:v>0.49226339252537776</x:v>
      </x:c>
      <x:c r="L331" s="12" t="n">
        <x:v>0.9880950518375655</x:v>
      </x:c>
      <x:c r="M331" s="8" t="str">
        <x:v>Yes</x:v>
      </x:c>
    </x:row>
    <x:row r="332">
      <x:c r="A332" s="8" t="str">
        <x:v>Creston|Drainage System</x:v>
      </x:c>
      <x:c r="B332" s="8" t="str">
        <x:v>creston-t</x:v>
      </x:c>
      <x:c r="C332" s="8" t="str">
        <x:v>Creston</x:v>
      </x:c>
      <x:c r="D332" s="8" t="str">
        <x:v>Drainage System</x:v>
      </x:c>
      <x:c r="E332" s="11" t="n">
        <x:v>5292488</x:v>
      </x:c>
      <x:c r="F332" s="11" t="n">
        <x:v>2923286</x:v>
      </x:c>
      <x:c r="G332" s="11" t="n">
        <x:v>2369202</x:v>
      </x:c>
      <x:c r="H332" s="11" t="n">
        <x:v>63299</x:v>
      </x:c>
      <x:c r="I332" s="11" t="n">
        <x:v>26054502</x:v>
      </x:c>
      <x:c r="J332" s="11" t="n">
        <x:v>234725</x:v>
      </x:c>
      <x:c r="K332" s="12" t="n">
        <x:v>0.4476537310996265</x:v>
      </x:c>
      <x:c r="L332" s="12" t="n">
        <x:v>0.9909910003269301</x:v>
      </x:c>
      <x:c r="M332" s="8" t="str">
        <x:v>Yes</x:v>
      </x:c>
    </x:row>
    <x:row r="333">
      <x:c r="A333" s="8" t="str">
        <x:v>Creston|Transportation System</x:v>
      </x:c>
      <x:c r="B333" s="8" t="str">
        <x:v>creston-t</x:v>
      </x:c>
      <x:c r="C333" s="8" t="str">
        <x:v>Creston</x:v>
      </x:c>
      <x:c r="D333" s="8" t="str">
        <x:v>Transportation System</x:v>
      </x:c>
      <x:c r="E333" s="11" t="n">
        <x:v>21297006</x:v>
      </x:c>
      <x:c r="F333" s="11" t="n">
        <x:v>14146092</x:v>
      </x:c>
      <x:c r="G333" s="11" t="n">
        <x:v>7150914</x:v>
      </x:c>
      <x:c r="H333" s="11" t="n">
        <x:v>1255277</x:v>
      </x:c>
      <x:c r="I333" s="11" t="n">
        <x:v>41954873</x:v>
      </x:c>
      <x:c r="J333" s="11" t="n">
        <x:v>932331</x:v>
      </x:c>
      <x:c r="K333" s="12" t="n">
        <x:v>0.3357708590587804</x:v>
      </x:c>
      <x:c r="L333" s="12" t="n">
        <x:v>0.9777777661250459</x:v>
      </x:c>
      <x:c r="M333" s="8" t="str">
        <x:v>Yes</x:v>
      </x:c>
    </x:row>
    <x:row r="334">
      <x:c r="A334" s="8" t="str">
        <x:v>Creston|Other Engineering Systems</x:v>
      </x:c>
      <x:c r="B334" s="8" t="str">
        <x:v>creston-t</x:v>
      </x:c>
      <x:c r="C334" s="8" t="str">
        <x:v>Creston</x:v>
      </x:c>
      <x:c r="D334" s="8" t="str">
        <x:v>Other Engineering Systems</x:v>
      </x:c>
      <x:c r="E334" s="11" t="n">
        <x:v>0</x:v>
      </x:c>
      <x:c r="F334" s="11" t="n">
        <x:v>0</x:v>
      </x:c>
      <x:c r="G334" s="11" t="n">
        <x:v>0</x:v>
      </x:c>
      <x:c r="H334" s="11" t="n">
        <x:v>0</x:v>
      </x:c>
      <x:c r="I334" s="11" t="n">
        <x:v>0</x:v>
      </x:c>
      <x:c r="J334" s="11" t="n">
        <x:v>0</x:v>
      </x:c>
      <x:c r="K334" s="12"/>
      <x:c r="L334" s="12"/>
      <x:c r="M334" s="8"/>
    </x:row>
    <x:row r="335">
      <x:c r="A335" s="8" t="str">
        <x:v>Creston|Other Tangible Capital Assets</x:v>
      </x:c>
      <x:c r="B335" s="8" t="str">
        <x:v>creston-t</x:v>
      </x:c>
      <x:c r="C335" s="8" t="str">
        <x:v>Creston</x:v>
      </x:c>
      <x:c r="D335" s="8" t="str">
        <x:v>Other Tangible Capital Assets</x:v>
      </x:c>
      <x:c r="E335" s="11" t="n">
        <x:v>0</x:v>
      </x:c>
      <x:c r="F335" s="11" t="n">
        <x:v>0</x:v>
      </x:c>
      <x:c r="G335" s="11" t="n">
        <x:v>0</x:v>
      </x:c>
      <x:c r="H335" s="11" t="n">
        <x:v>0</x:v>
      </x:c>
      <x:c r="I335" s="11" t="n">
        <x:v>0</x:v>
      </x:c>
      <x:c r="J335" s="11" t="n">
        <x:v>0</x:v>
      </x:c>
      <x:c r="K335" s="12"/>
      <x:c r="L335" s="12"/>
      <x:c r="M335" s="8" t="str">
        <x:v>N/A</x:v>
      </x:c>
    </x:row>
    <x:row r="336">
      <x:c r="A336" s="8" t="str">
        <x:v>Creston|Work In Progress</x:v>
      </x:c>
      <x:c r="B336" s="8" t="str">
        <x:v>creston-t</x:v>
      </x:c>
      <x:c r="C336" s="8" t="str">
        <x:v>Creston</x:v>
      </x:c>
      <x:c r="D336" s="8" t="str">
        <x:v>Work In Progress</x:v>
      </x:c>
      <x:c r="E336" s="11" t="n">
        <x:v>470305</x:v>
      </x:c>
      <x:c r="F336" s="11"/>
      <x:c r="G336" s="11" t="n">
        <x:v>470305</x:v>
      </x:c>
      <x:c r="H336" s="11" t="n">
        <x:v>-1404748</x:v>
      </x:c>
      <x:c r="I336" s="11" t="n">
        <x:v>470305</x:v>
      </x:c>
      <x:c r="J336" s="11"/>
      <x:c r="K336" s="12" t="n">
        <x:v>1</x:v>
      </x:c>
      <x:c r="L336" s="12"/>
      <x:c r="M336" s="8" t="str">
        <x:v>N/A</x:v>
      </x:c>
    </x:row>
    <x:row r="337">
      <x:c r="A337" s="8" t="str">
        <x:v>Creston|Total TCA</x:v>
      </x:c>
      <x:c r="B337" s="8" t="str">
        <x:v>creston-t</x:v>
      </x:c>
      <x:c r="C337" s="8" t="str">
        <x:v>Creston</x:v>
      </x:c>
      <x:c r="D337" s="8" t="str">
        <x:v>Total TCA</x:v>
      </x:c>
      <x:c r="E337" s="11" t="n">
        <x:v>100797299</x:v>
      </x:c>
      <x:c r="F337" s="11" t="n">
        <x:v>46453074</x:v>
      </x:c>
      <x:c r="G337" s="11" t="n">
        <x:v>54344225</x:v>
      </x:c>
      <x:c r="H337" s="11" t="n">
        <x:v>3846458</x:v>
      </x:c>
      <x:c r="I337" s="11" t="n">
        <x:v>221313166</x:v>
      </x:c>
      <x:c r="J337" s="11" t="n">
        <x:v>3812830</x:v>
      </x:c>
      <x:c r="K337" s="12" t="n">
        <x:v>0.5391436629666039</x:v>
      </x:c>
      <x:c r="L337" s="12" t="n">
        <x:v>0.9827717886427055</x:v>
      </x:c>
      <x:c r="M337" s="8"/>
    </x:row>
    <x:row r="338">
      <x:c r="A338" s="8" t="str">
        <x:v>Cumberland|Land</x:v>
      </x:c>
      <x:c r="B338" s="8" t="str">
        <x:v>cumberland-v</x:v>
      </x:c>
      <x:c r="C338" s="8" t="str">
        <x:v>Cumberland</x:v>
      </x:c>
      <x:c r="D338" s="8" t="str">
        <x:v>Land</x:v>
      </x:c>
      <x:c r="E338" s="11" t="n">
        <x:v>11189493</x:v>
      </x:c>
      <x:c r="F338" s="11"/>
      <x:c r="G338" s="11" t="n">
        <x:v>11189493</x:v>
      </x:c>
      <x:c r="H338" s="11" t="n">
        <x:v>0</x:v>
      </x:c>
      <x:c r="I338" s="11" t="n">
        <x:v>11189493</x:v>
      </x:c>
      <x:c r="J338" s="11"/>
      <x:c r="K338" s="12" t="n">
        <x:v>1</x:v>
      </x:c>
      <x:c r="L338" s="12"/>
      <x:c r="M338" s="8" t="str">
        <x:v>N/A</x:v>
      </x:c>
    </x:row>
    <x:row r="339">
      <x:c r="A339" s="8" t="str">
        <x:v>Cumberland|Buildings</x:v>
      </x:c>
      <x:c r="B339" s="8" t="str">
        <x:v>cumberland-v</x:v>
      </x:c>
      <x:c r="C339" s="8" t="str">
        <x:v>Cumberland</x:v>
      </x:c>
      <x:c r="D339" s="8" t="str">
        <x:v>Buildings</x:v>
      </x:c>
      <x:c r="E339" s="11" t="n">
        <x:v>10777079</x:v>
      </x:c>
      <x:c r="F339" s="11" t="n">
        <x:v>2734521</x:v>
      </x:c>
      <x:c r="G339" s="11" t="n">
        <x:v>8042558</x:v>
      </x:c>
      <x:c r="H339" s="11" t="n">
        <x:v>46872</x:v>
      </x:c>
      <x:c r="I339" s="11" t="n">
        <x:v>21489000</x:v>
      </x:c>
      <x:c r="J339" s="11" t="n">
        <x:v>770266</x:v>
      </x:c>
      <x:c r="K339" s="12" t="n">
        <x:v>0.7462651057860854</x:v>
      </x:c>
      <x:c r="L339" s="12" t="n">
        <x:v>0.9641553352878217</x:v>
      </x:c>
      <x:c r="M339" s="8" t="str">
        <x:v>In_Progress</x:v>
      </x:c>
    </x:row>
    <x:row r="340">
      <x:c r="A340" s="8" t="str">
        <x:v>Cumberland|Fleet</x:v>
      </x:c>
      <x:c r="B340" s="8" t="str">
        <x:v>cumberland-v</x:v>
      </x:c>
      <x:c r="C340" s="8" t="str">
        <x:v>Cumberland</x:v>
      </x:c>
      <x:c r="D340" s="8" t="str">
        <x:v>Fleet</x:v>
      </x:c>
      <x:c r="E340" s="11" t="n">
        <x:v>5812381</x:v>
      </x:c>
      <x:c r="F340" s="11" t="n">
        <x:v>3822002</x:v>
      </x:c>
      <x:c r="G340" s="11" t="n">
        <x:v>1990379</x:v>
      </x:c>
      <x:c r="H340" s="11" t="n">
        <x:v>292734</x:v>
      </x:c>
      <x:c r="I340" s="11" t="n">
        <x:v>5169863</x:v>
      </x:c>
      <x:c r="J340" s="11" t="n">
        <x:v>484077</x:v>
      </x:c>
      <x:c r="K340" s="12" t="n">
        <x:v>0.34243780646863997</x:v>
      </x:c>
      <x:c r="L340" s="12" t="n">
        <x:v>0.9063656038854414</x:v>
      </x:c>
      <x:c r="M340" s="8" t="str">
        <x:v>In_Progress</x:v>
      </x:c>
    </x:row>
    <x:row r="341">
      <x:c r="A341" s="8" t="str">
        <x:v>Cumberland|Parks and Recreation</x:v>
      </x:c>
      <x:c r="B341" s="8" t="str">
        <x:v>cumberland-v</x:v>
      </x:c>
      <x:c r="C341" s="8" t="str">
        <x:v>Cumberland</x:v>
      </x:c>
      <x:c r="D341" s="8" t="str">
        <x:v>Parks and Recreation</x:v>
      </x:c>
      <x:c r="E341" s="11" t="n">
        <x:v>3535763</x:v>
      </x:c>
      <x:c r="F341" s="11" t="n">
        <x:v>2004196</x:v>
      </x:c>
      <x:c r="G341" s="11" t="n">
        <x:v>1531567</x:v>
      </x:c>
      <x:c r="H341" s="11" t="n">
        <x:v>105460</x:v>
      </x:c>
      <x:c r="I341" s="11" t="n">
        <x:v>4780548</x:v>
      </x:c>
      <x:c r="J341" s="11" t="n">
        <x:v>202478</x:v>
      </x:c>
      <x:c r="K341" s="12" t="n">
        <x:v>0.43316449660228923</x:v>
      </x:c>
      <x:c r="L341" s="12" t="n">
        <x:v>0.9576454414849511</x:v>
      </x:c>
      <x:c r="M341" s="8" t="str">
        <x:v>In_Progress</x:v>
      </x:c>
    </x:row>
    <x:row r="342">
      <x:c r="A342" s="8" t="str">
        <x:v>Cumberland|Water System</x:v>
      </x:c>
      <x:c r="B342" s="8" t="str">
        <x:v>cumberland-v</x:v>
      </x:c>
      <x:c r="C342" s="8" t="str">
        <x:v>Cumberland</x:v>
      </x:c>
      <x:c r="D342" s="8" t="str">
        <x:v>Water System</x:v>
      </x:c>
      <x:c r="E342" s="11" t="n">
        <x:v>18365453</x:v>
      </x:c>
      <x:c r="F342" s="11" t="n">
        <x:v>3856845</x:v>
      </x:c>
      <x:c r="G342" s="11" t="n">
        <x:v>14508608</x:v>
      </x:c>
      <x:c r="H342" s="11" t="n">
        <x:v>337794</x:v>
      </x:c>
      <x:c r="I342" s="11" t="n">
        <x:v>42609720</x:v>
      </x:c>
      <x:c r="J342" s="11" t="n">
        <x:v>632093</x:v>
      </x:c>
      <x:c r="K342" s="12" t="n">
        <x:v>0.7899945620726044</x:v>
      </x:c>
      <x:c r="L342" s="12" t="n">
        <x:v>0.9851655209187011</x:v>
      </x:c>
      <x:c r="M342" s="8" t="str">
        <x:v>In_Progress</x:v>
      </x:c>
    </x:row>
    <x:row r="343">
      <x:c r="A343" s="8" t="str">
        <x:v>Cumberland|Sewer System</x:v>
      </x:c>
      <x:c r="B343" s="8" t="str">
        <x:v>cumberland-v</x:v>
      </x:c>
      <x:c r="C343" s="8" t="str">
        <x:v>Cumberland</x:v>
      </x:c>
      <x:c r="D343" s="8" t="str">
        <x:v>Sewer System</x:v>
      </x:c>
      <x:c r="E343" s="11" t="n">
        <x:v>9795916</x:v>
      </x:c>
      <x:c r="F343" s="11" t="n">
        <x:v>2213736</x:v>
      </x:c>
      <x:c r="G343" s="11" t="n">
        <x:v>7582180</x:v>
      </x:c>
      <x:c r="H343" s="11" t="n">
        <x:v>253041</x:v>
      </x:c>
      <x:c r="I343" s="11" t="n">
        <x:v>15180308</x:v>
      </x:c>
      <x:c r="J343" s="11" t="n">
        <x:v>165978</x:v>
      </x:c>
      <x:c r="K343" s="12" t="n">
        <x:v>0.7740143953868123</x:v>
      </x:c>
      <x:c r="L343" s="12" t="n">
        <x:v>0.9890662297497521</x:v>
      </x:c>
      <x:c r="M343" s="8" t="str">
        <x:v>In_Progress</x:v>
      </x:c>
    </x:row>
    <x:row r="344">
      <x:c r="A344" s="8" t="str">
        <x:v>Cumberland|Drainage System</x:v>
      </x:c>
      <x:c r="B344" s="8" t="str">
        <x:v>cumberland-v</x:v>
      </x:c>
      <x:c r="C344" s="8" t="str">
        <x:v>Cumberland</x:v>
      </x:c>
      <x:c r="D344" s="8" t="str">
        <x:v>Drainage System</x:v>
      </x:c>
      <x:c r="E344" s="11" t="n">
        <x:v>12364693</x:v>
      </x:c>
      <x:c r="F344" s="11" t="n">
        <x:v>1954899</x:v>
      </x:c>
      <x:c r="G344" s="11" t="n">
        <x:v>10409794</x:v>
      </x:c>
      <x:c r="H344" s="11" t="n">
        <x:v>483115</x:v>
      </x:c>
      <x:c r="I344" s="11" t="n">
        <x:v>20841482</x:v>
      </x:c>
      <x:c r="J344" s="11" t="n">
        <x:v>213751</x:v>
      </x:c>
      <x:c r="K344" s="12" t="n">
        <x:v>0.8418966811387877</x:v>
      </x:c>
      <x:c r="L344" s="12" t="n">
        <x:v>0.9897439635050904</x:v>
      </x:c>
      <x:c r="M344" s="8" t="str">
        <x:v>In_Progress</x:v>
      </x:c>
    </x:row>
    <x:row r="345">
      <x:c r="A345" s="8" t="str">
        <x:v>Cumberland|Transportation System</x:v>
      </x:c>
      <x:c r="B345" s="8" t="str">
        <x:v>cumberland-v</x:v>
      </x:c>
      <x:c r="C345" s="8" t="str">
        <x:v>Cumberland</x:v>
      </x:c>
      <x:c r="D345" s="8" t="str">
        <x:v>Transportation System</x:v>
      </x:c>
      <x:c r="E345" s="11" t="n">
        <x:v>29036246</x:v>
      </x:c>
      <x:c r="F345" s="11" t="n">
        <x:v>13871302</x:v>
      </x:c>
      <x:c r="G345" s="11" t="n">
        <x:v>15164944</x:v>
      </x:c>
      <x:c r="H345" s="11" t="n">
        <x:v>1834080</x:v>
      </x:c>
      <x:c r="I345" s="11" t="n">
        <x:v>60927503</x:v>
      </x:c>
      <x:c r="J345" s="11" t="n">
        <x:v>874318</x:v>
      </x:c>
      <x:c r="K345" s="12" t="n">
        <x:v>0.5222763300737981</x:v>
      </x:c>
      <x:c r="L345" s="12" t="n">
        <x:v>0.9856498632481295</x:v>
      </x:c>
      <x:c r="M345" s="8" t="str">
        <x:v>In_Progress</x:v>
      </x:c>
    </x:row>
    <x:row r="346">
      <x:c r="A346" s="8" t="str">
        <x:v>Cumberland|Other Engineering Systems</x:v>
      </x:c>
      <x:c r="B346" s="8" t="str">
        <x:v>cumberland-v</x:v>
      </x:c>
      <x:c r="C346" s="8" t="str">
        <x:v>Cumberland</x:v>
      </x:c>
      <x:c r="D346" s="8" t="str">
        <x:v>Other Engineering Systems</x:v>
      </x:c>
      <x:c r="E346" s="11" t="n">
        <x:v>0</x:v>
      </x:c>
      <x:c r="F346" s="11" t="n">
        <x:v>0</x:v>
      </x:c>
      <x:c r="G346" s="11" t="n">
        <x:v>0</x:v>
      </x:c>
      <x:c r="H346" s="11" t="n">
        <x:v>0</x:v>
      </x:c>
      <x:c r="I346" s="11" t="n">
        <x:v>0</x:v>
      </x:c>
      <x:c r="J346" s="11" t="n">
        <x:v>0</x:v>
      </x:c>
      <x:c r="K346" s="12"/>
      <x:c r="L346" s="12"/>
      <x:c r="M346" s="8"/>
    </x:row>
    <x:row r="347">
      <x:c r="A347" s="8" t="str">
        <x:v>Cumberland|Other Tangible Capital Assets</x:v>
      </x:c>
      <x:c r="B347" s="8" t="str">
        <x:v>cumberland-v</x:v>
      </x:c>
      <x:c r="C347" s="8" t="str">
        <x:v>Cumberland</x:v>
      </x:c>
      <x:c r="D347" s="8" t="str">
        <x:v>Other Tangible Capital Assets</x:v>
      </x:c>
      <x:c r="E347" s="11" t="n">
        <x:v>0</x:v>
      </x:c>
      <x:c r="F347" s="11" t="n">
        <x:v>0</x:v>
      </x:c>
      <x:c r="G347" s="11" t="n">
        <x:v>0</x:v>
      </x:c>
      <x:c r="H347" s="11" t="n">
        <x:v>0</x:v>
      </x:c>
      <x:c r="I347" s="11" t="n">
        <x:v>0</x:v>
      </x:c>
      <x:c r="J347" s="11" t="n">
        <x:v>0</x:v>
      </x:c>
      <x:c r="K347" s="12"/>
      <x:c r="L347" s="12"/>
      <x:c r="M347" s="8" t="str">
        <x:v>N/A</x:v>
      </x:c>
    </x:row>
    <x:row r="348">
      <x:c r="A348" s="8" t="str">
        <x:v>Cumberland|Work In Progress</x:v>
      </x:c>
      <x:c r="B348" s="8" t="str">
        <x:v>cumberland-v</x:v>
      </x:c>
      <x:c r="C348" s="8" t="str">
        <x:v>Cumberland</x:v>
      </x:c>
      <x:c r="D348" s="8" t="str">
        <x:v>Work In Progress</x:v>
      </x:c>
      <x:c r="E348" s="11" t="n">
        <x:v>10130325</x:v>
      </x:c>
      <x:c r="F348" s="11"/>
      <x:c r="G348" s="11" t="n">
        <x:v>10130325</x:v>
      </x:c>
      <x:c r="H348" s="11" t="n">
        <x:v>3319910</x:v>
      </x:c>
      <x:c r="I348" s="11" t="n">
        <x:v>10130325</x:v>
      </x:c>
      <x:c r="J348" s="11"/>
      <x:c r="K348" s="12" t="n">
        <x:v>1</x:v>
      </x:c>
      <x:c r="L348" s="12"/>
      <x:c r="M348" s="8" t="str">
        <x:v>N/A</x:v>
      </x:c>
    </x:row>
    <x:row r="349">
      <x:c r="A349" s="8" t="str">
        <x:v>Cumberland|Total TCA</x:v>
      </x:c>
      <x:c r="B349" s="8" t="str">
        <x:v>cumberland-v</x:v>
      </x:c>
      <x:c r="C349" s="8" t="str">
        <x:v>Cumberland</x:v>
      </x:c>
      <x:c r="D349" s="8" t="str">
        <x:v>Total TCA</x:v>
      </x:c>
      <x:c r="E349" s="11" t="n">
        <x:v>111007349</x:v>
      </x:c>
      <x:c r="F349" s="11" t="n">
        <x:v>30457501</x:v>
      </x:c>
      <x:c r="G349" s="11" t="n">
        <x:v>80549848</x:v>
      </x:c>
      <x:c r="H349" s="11" t="n">
        <x:v>6673006</x:v>
      </x:c>
      <x:c r="I349" s="11" t="n">
        <x:v>192318242</x:v>
      </x:c>
      <x:c r="J349" s="11" t="n">
        <x:v>3342961</x:v>
      </x:c>
      <x:c r="K349" s="12" t="n">
        <x:v>0.7256262646178497</x:v>
      </x:c>
      <x:c r="L349" s="12" t="n">
        <x:v>0.9826175563730455</x:v>
      </x:c>
      <x:c r="M349" s="8"/>
    </x:row>
    <x:row r="350">
      <x:c r="A350" s="8" t="str">
        <x:v>Daajing Giids|Land</x:v>
      </x:c>
      <x:c r="B350" s="8" t="str">
        <x:v>daajing-giids-v</x:v>
      </x:c>
      <x:c r="C350" s="8" t="str">
        <x:v>Daajing Giids</x:v>
      </x:c>
      <x:c r="D350" s="8" t="str">
        <x:v>Land</x:v>
      </x:c>
      <x:c r="E350" s="11" t="n">
        <x:v>5906310</x:v>
      </x:c>
      <x:c r="F350" s="11"/>
      <x:c r="G350" s="11" t="n">
        <x:v>5906310</x:v>
      </x:c>
      <x:c r="H350" s="11" t="n">
        <x:v>0</x:v>
      </x:c>
      <x:c r="I350" s="11" t="n">
        <x:v>5906310</x:v>
      </x:c>
      <x:c r="J350" s="11"/>
      <x:c r="K350" s="12" t="n">
        <x:v>1</x:v>
      </x:c>
      <x:c r="L350" s="12"/>
      <x:c r="M350" s="8" t="str">
        <x:v>N/A</x:v>
      </x:c>
    </x:row>
    <x:row r="351">
      <x:c r="A351" s="8" t="str">
        <x:v>Daajing Giids|Buildings</x:v>
      </x:c>
      <x:c r="B351" s="8" t="str">
        <x:v>daajing-giids-v</x:v>
      </x:c>
      <x:c r="C351" s="8" t="str">
        <x:v>Daajing Giids</x:v>
      </x:c>
      <x:c r="D351" s="8" t="str">
        <x:v>Buildings</x:v>
      </x:c>
      <x:c r="E351" s="11" t="n">
        <x:v>6002753</x:v>
      </x:c>
      <x:c r="F351" s="11" t="n">
        <x:v>1776677</x:v>
      </x:c>
      <x:c r="G351" s="11" t="n">
        <x:v>4226076</x:v>
      </x:c>
      <x:c r="H351" s="11" t="n">
        <x:v>0</x:v>
      </x:c>
      <x:c r="I351" s="11" t="n">
        <x:v>3897000</x:v>
      </x:c>
      <x:c r="J351" s="11" t="n">
        <x:v>92500</x:v>
      </x:c>
      <x:c r="K351" s="12" t="n">
        <x:v>0.7040229707935676</x:v>
      </x:c>
      <x:c r="L351" s="12" t="n">
        <x:v>0.9762637926610213</x:v>
      </x:c>
      <x:c r="M351" s="8" t="str">
        <x:v>In_Progress</x:v>
      </x:c>
    </x:row>
    <x:row r="352">
      <x:c r="A352" s="8" t="str">
        <x:v>Daajing Giids|Fleet</x:v>
      </x:c>
      <x:c r="B352" s="8" t="str">
        <x:v>daajing-giids-v</x:v>
      </x:c>
      <x:c r="C352" s="8" t="str">
        <x:v>Daajing Giids</x:v>
      </x:c>
      <x:c r="D352" s="8" t="str">
        <x:v>Fleet</x:v>
      </x:c>
      <x:c r="E352" s="11" t="n">
        <x:v>465473</x:v>
      </x:c>
      <x:c r="F352" s="11" t="n">
        <x:v>301550</x:v>
      </x:c>
      <x:c r="G352" s="11" t="n">
        <x:v>163923</x:v>
      </x:c>
      <x:c r="H352" s="11" t="n">
        <x:v>138955</x:v>
      </x:c>
      <x:c r="I352" s="11" t="n">
        <x:v>414500</x:v>
      </x:c>
      <x:c r="J352" s="11" t="n">
        <x:v>48000</x:v>
      </x:c>
      <x:c r="K352" s="12" t="n">
        <x:v>0.35216435754598013</x:v>
      </x:c>
      <x:c r="L352" s="12" t="n">
        <x:v>0.8841978287092883</x:v>
      </x:c>
      <x:c r="M352" s="8" t="str">
        <x:v>In_Progress</x:v>
      </x:c>
    </x:row>
    <x:row r="353">
      <x:c r="A353" s="8" t="str">
        <x:v>Daajing Giids|Parks and Recreation</x:v>
      </x:c>
      <x:c r="B353" s="8" t="str">
        <x:v>daajing-giids-v</x:v>
      </x:c>
      <x:c r="C353" s="8" t="str">
        <x:v>Daajing Giids</x:v>
      </x:c>
      <x:c r="D353" s="8" t="str">
        <x:v>Parks and Recreation</x:v>
      </x:c>
      <x:c r="E353" s="11" t="n">
        <x:v>1970287</x:v>
      </x:c>
      <x:c r="F353" s="11" t="n">
        <x:v>838461</x:v>
      </x:c>
      <x:c r="G353" s="11" t="n">
        <x:v>1131826</x:v>
      </x:c>
      <x:c r="H353" s="11" t="n">
        <x:v>29103</x:v>
      </x:c>
      <x:c r="I353" s="11" t="n">
        <x:v>2230000</x:v>
      </x:c>
      <x:c r="J353" s="11" t="n">
        <x:v>104500</x:v>
      </x:c>
      <x:c r="K353" s="12" t="n">
        <x:v>0.5744472759552288</x:v>
      </x:c>
      <x:c r="L353" s="12" t="n">
        <x:v>0.9531390134529147</x:v>
      </x:c>
      <x:c r="M353" s="8" t="str">
        <x:v>In_Progress</x:v>
      </x:c>
    </x:row>
    <x:row r="354">
      <x:c r="A354" s="8" t="str">
        <x:v>Daajing Giids|Water System</x:v>
      </x:c>
      <x:c r="B354" s="8" t="str">
        <x:v>daajing-giids-v</x:v>
      </x:c>
      <x:c r="C354" s="8" t="str">
        <x:v>Daajing Giids</x:v>
      </x:c>
      <x:c r="D354" s="8" t="str">
        <x:v>Water System</x:v>
      </x:c>
      <x:c r="E354" s="11" t="n">
        <x:v>5286849</x:v>
      </x:c>
      <x:c r="F354" s="11" t="n">
        <x:v>2326705</x:v>
      </x:c>
      <x:c r="G354" s="11" t="n">
        <x:v>2960144</x:v>
      </x:c>
      <x:c r="H354" s="11" t="n">
        <x:v>0</x:v>
      </x:c>
      <x:c r="I354" s="11" t="n">
        <x:v>14500000</x:v>
      </x:c>
      <x:c r="J354" s="11" t="n">
        <x:v>318500</x:v>
      </x:c>
      <x:c r="K354" s="12" t="n">
        <x:v>0.5599070448200809</x:v>
      </x:c>
      <x:c r="L354" s="12" t="n">
        <x:v>0.9780344827586207</x:v>
      </x:c>
      <x:c r="M354" s="8" t="str">
        <x:v>In_Progress</x:v>
      </x:c>
    </x:row>
    <x:row r="355">
      <x:c r="A355" s="8" t="str">
        <x:v>Daajing Giids|Sewer System</x:v>
      </x:c>
      <x:c r="B355" s="8" t="str">
        <x:v>daajing-giids-v</x:v>
      </x:c>
      <x:c r="C355" s="8" t="str">
        <x:v>Daajing Giids</x:v>
      </x:c>
      <x:c r="D355" s="8" t="str">
        <x:v>Sewer System</x:v>
      </x:c>
      <x:c r="E355" s="11" t="n">
        <x:v>3340908</x:v>
      </x:c>
      <x:c r="F355" s="11" t="n">
        <x:v>1768265</x:v>
      </x:c>
      <x:c r="G355" s="11" t="n">
        <x:v>1572643</x:v>
      </x:c>
      <x:c r="H355" s="11" t="n">
        <x:v>61074</x:v>
      </x:c>
      <x:c r="I355" s="11" t="n">
        <x:v>7200000</x:v>
      </x:c>
      <x:c r="J355" s="11" t="n">
        <x:v>104500</x:v>
      </x:c>
      <x:c r="K355" s="12" t="n">
        <x:v>0.470723228535476</x:v>
      </x:c>
      <x:c r="L355" s="12" t="n">
        <x:v>0.9854861111111111</x:v>
      </x:c>
      <x:c r="M355" s="8" t="str">
        <x:v>In_Progress</x:v>
      </x:c>
    </x:row>
    <x:row r="356">
      <x:c r="A356" s="8" t="str">
        <x:v>Daajing Giids|Drainage System</x:v>
      </x:c>
      <x:c r="B356" s="8" t="str">
        <x:v>daajing-giids-v</x:v>
      </x:c>
      <x:c r="C356" s="8" t="str">
        <x:v>Daajing Giids</x:v>
      </x:c>
      <x:c r="D356" s="8" t="str">
        <x:v>Drainage System</x:v>
      </x:c>
      <x:c r="E356" s="11" t="n">
        <x:v>0</x:v>
      </x:c>
      <x:c r="F356" s="11" t="n">
        <x:v>0</x:v>
      </x:c>
      <x:c r="G356" s="11" t="n">
        <x:v>0</x:v>
      </x:c>
      <x:c r="H356" s="11" t="n">
        <x:v>0</x:v>
      </x:c>
      <x:c r="I356" s="11" t="n">
        <x:v>0</x:v>
      </x:c>
      <x:c r="J356" s="11" t="n">
        <x:v>0</x:v>
      </x:c>
      <x:c r="K356" s="12"/>
      <x:c r="L356" s="12"/>
      <x:c r="M356" s="8"/>
    </x:row>
    <x:row r="357">
      <x:c r="A357" s="8" t="str">
        <x:v>Daajing Giids|Transportation System</x:v>
      </x:c>
      <x:c r="B357" s="8" t="str">
        <x:v>daajing-giids-v</x:v>
      </x:c>
      <x:c r="C357" s="8" t="str">
        <x:v>Daajing Giids</x:v>
      </x:c>
      <x:c r="D357" s="8" t="str">
        <x:v>Transportation System</x:v>
      </x:c>
      <x:c r="E357" s="11" t="n">
        <x:v>8413534</x:v>
      </x:c>
      <x:c r="F357" s="11" t="n">
        <x:v>4153074</x:v>
      </x:c>
      <x:c r="G357" s="11" t="n">
        <x:v>4260460</x:v>
      </x:c>
      <x:c r="H357" s="11" t="n">
        <x:v>31987</x:v>
      </x:c>
      <x:c r="I357" s="11" t="n">
        <x:v>14400000</x:v>
      </x:c>
      <x:c r="J357" s="11" t="n">
        <x:v>0</x:v>
      </x:c>
      <x:c r="K357" s="12" t="n">
        <x:v>0.5063817416082231</x:v>
      </x:c>
      <x:c r="L357" s="12" t="n">
        <x:v>1</x:v>
      </x:c>
      <x:c r="M357" s="8" t="str">
        <x:v>In_Progress</x:v>
      </x:c>
    </x:row>
    <x:row r="358">
      <x:c r="A358" s="8" t="str">
        <x:v>Daajing Giids|Other Engineering Systems</x:v>
      </x:c>
      <x:c r="B358" s="8" t="str">
        <x:v>daajing-giids-v</x:v>
      </x:c>
      <x:c r="C358" s="8" t="str">
        <x:v>Daajing Giids</x:v>
      </x:c>
      <x:c r="D358" s="8" t="str">
        <x:v>Other Engineering Systems</x:v>
      </x:c>
      <x:c r="E358" s="11" t="n">
        <x:v>0</x:v>
      </x:c>
      <x:c r="F358" s="11" t="n">
        <x:v>0</x:v>
      </x:c>
      <x:c r="G358" s="11" t="n">
        <x:v>0</x:v>
      </x:c>
      <x:c r="H358" s="11" t="n">
        <x:v>0</x:v>
      </x:c>
      <x:c r="I358" s="11" t="n">
        <x:v>0</x:v>
      </x:c>
      <x:c r="J358" s="11" t="n">
        <x:v>0</x:v>
      </x:c>
      <x:c r="K358" s="12"/>
      <x:c r="L358" s="12"/>
      <x:c r="M358" s="8"/>
    </x:row>
    <x:row r="359">
      <x:c r="A359" s="8" t="str">
        <x:v>Daajing Giids|Other Tangible Capital Assets</x:v>
      </x:c>
      <x:c r="B359" s="8" t="str">
        <x:v>daajing-giids-v</x:v>
      </x:c>
      <x:c r="C359" s="8" t="str">
        <x:v>Daajing Giids</x:v>
      </x:c>
      <x:c r="D359" s="8" t="str">
        <x:v>Other Tangible Capital Assets</x:v>
      </x:c>
      <x:c r="E359" s="11" t="n">
        <x:v>1636119</x:v>
      </x:c>
      <x:c r="F359" s="11" t="n">
        <x:v>1020176</x:v>
      </x:c>
      <x:c r="G359" s="11" t="n">
        <x:v>615943</x:v>
      </x:c>
      <x:c r="H359" s="11" t="n">
        <x:v>3879</x:v>
      </x:c>
      <x:c r="I359" s="11" t="n">
        <x:v>675000</x:v>
      </x:c>
      <x:c r="J359" s="11" t="n">
        <x:v>57000</x:v>
      </x:c>
      <x:c r="K359" s="12" t="n">
        <x:v>0.37646589276207904</x:v>
      </x:c>
      <x:c r="L359" s="12" t="n">
        <x:v>0.9155555555555556</x:v>
      </x:c>
      <x:c r="M359" s="8" t="str">
        <x:v>N/A</x:v>
      </x:c>
    </x:row>
    <x:row r="360">
      <x:c r="A360" s="8" t="str">
        <x:v>Daajing Giids|Work In Progress</x:v>
      </x:c>
      <x:c r="B360" s="8" t="str">
        <x:v>daajing-giids-v</x:v>
      </x:c>
      <x:c r="C360" s="8" t="str">
        <x:v>Daajing Giids</x:v>
      </x:c>
      <x:c r="D360" s="8" t="str">
        <x:v>Work In Progress</x:v>
      </x:c>
      <x:c r="E360" s="11" t="n">
        <x:v>472361</x:v>
      </x:c>
      <x:c r="F360" s="11"/>
      <x:c r="G360" s="11" t="n">
        <x:v>472361</x:v>
      </x:c>
      <x:c r="H360" s="11" t="n">
        <x:v>139000</x:v>
      </x:c>
      <x:c r="I360" s="11" t="n">
        <x:v>472361</x:v>
      </x:c>
      <x:c r="J360" s="11"/>
      <x:c r="K360" s="12" t="n">
        <x:v>1</x:v>
      </x:c>
      <x:c r="L360" s="12"/>
      <x:c r="M360" s="8" t="str">
        <x:v>N/A</x:v>
      </x:c>
    </x:row>
    <x:row r="361">
      <x:c r="A361" s="8" t="str">
        <x:v>Daajing Giids|Total TCA</x:v>
      </x:c>
      <x:c r="B361" s="8" t="str">
        <x:v>daajing-giids-v</x:v>
      </x:c>
      <x:c r="C361" s="8" t="str">
        <x:v>Daajing Giids</x:v>
      </x:c>
      <x:c r="D361" s="8" t="str">
        <x:v>Total TCA</x:v>
      </x:c>
      <x:c r="E361" s="11" t="n">
        <x:v>33494594</x:v>
      </x:c>
      <x:c r="F361" s="11" t="n">
        <x:v>12184908</x:v>
      </x:c>
      <x:c r="G361" s="11" t="n">
        <x:v>21309686</x:v>
      </x:c>
      <x:c r="H361" s="11" t="n">
        <x:v>403998</x:v>
      </x:c>
      <x:c r="I361" s="11" t="n">
        <x:v>49695171</x:v>
      </x:c>
      <x:c r="J361" s="11" t="n">
        <x:v>725000</x:v>
      </x:c>
      <x:c r="K361" s="12" t="n">
        <x:v>0.6362126974878394</x:v>
      </x:c>
      <x:c r="L361" s="12" t="n">
        <x:v>0.9854110573439822</x:v>
      </x:c>
      <x:c r="M361" s="8"/>
    </x:row>
    <x:row r="362">
      <x:c r="A362" s="8" t="str">
        <x:v>Dawson Creek|Land</x:v>
      </x:c>
      <x:c r="B362" s="8" t="str">
        <x:v>dawson-creek-c</x:v>
      </x:c>
      <x:c r="C362" s="8" t="str">
        <x:v>Dawson Creek</x:v>
      </x:c>
      <x:c r="D362" s="8" t="str">
        <x:v>Land</x:v>
      </x:c>
      <x:c r="E362" s="11" t="n">
        <x:v>8435512</x:v>
      </x:c>
      <x:c r="F362" s="11"/>
      <x:c r="G362" s="11" t="n">
        <x:v>8435512</x:v>
      </x:c>
      <x:c r="H362" s="11" t="n">
        <x:v>173608</x:v>
      </x:c>
      <x:c r="I362" s="11" t="n">
        <x:v>8435512</x:v>
      </x:c>
      <x:c r="J362" s="11"/>
      <x:c r="K362" s="12" t="n">
        <x:v>1</x:v>
      </x:c>
      <x:c r="L362" s="12"/>
      <x:c r="M362" s="8" t="str">
        <x:v>N/A</x:v>
      </x:c>
    </x:row>
    <x:row r="363">
      <x:c r="A363" s="8" t="str">
        <x:v>Dawson Creek|Buildings</x:v>
      </x:c>
      <x:c r="B363" s="8" t="str">
        <x:v>dawson-creek-c</x:v>
      </x:c>
      <x:c r="C363" s="8" t="str">
        <x:v>Dawson Creek</x:v>
      </x:c>
      <x:c r="D363" s="8" t="str">
        <x:v>Buildings</x:v>
      </x:c>
      <x:c r="E363" s="11" t="n">
        <x:v>125714647</x:v>
      </x:c>
      <x:c r="F363" s="11" t="n">
        <x:v>55255573</x:v>
      </x:c>
      <x:c r="G363" s="11" t="n">
        <x:v>70459074</x:v>
      </x:c>
      <x:c r="H363" s="11" t="n">
        <x:v>5454892</x:v>
      </x:c>
      <x:c r="I363" s="11" t="n">
        <x:v>214148623</x:v>
      </x:c>
      <x:c r="J363" s="11" t="n">
        <x:v>4447187</x:v>
      </x:c>
      <x:c r="K363" s="12" t="n">
        <x:v>0.5604682961087263</x:v>
      </x:c>
      <x:c r="L363" s="12" t="n">
        <x:v>0.979233174896483</x:v>
      </x:c>
      <x:c r="M363" s="8" t="str">
        <x:v>Yes</x:v>
      </x:c>
    </x:row>
    <x:row r="364">
      <x:c r="A364" s="8" t="str">
        <x:v>Dawson Creek|Fleet</x:v>
      </x:c>
      <x:c r="B364" s="8" t="str">
        <x:v>dawson-creek-c</x:v>
      </x:c>
      <x:c r="C364" s="8" t="str">
        <x:v>Dawson Creek</x:v>
      </x:c>
      <x:c r="D364" s="8" t="str">
        <x:v>Fleet</x:v>
      </x:c>
      <x:c r="E364" s="11" t="n">
        <x:v>12044064</x:v>
      </x:c>
      <x:c r="F364" s="11" t="n">
        <x:v>8225517</x:v>
      </x:c>
      <x:c r="G364" s="11" t="n">
        <x:v>3818547</x:v>
      </x:c>
      <x:c r="H364" s="11" t="n">
        <x:v>377001</x:v>
      </x:c>
      <x:c r="I364" s="11" t="n">
        <x:v>30997334</x:v>
      </x:c>
      <x:c r="J364" s="11" t="n">
        <x:v>1195927</x:v>
      </x:c>
      <x:c r="K364" s="12" t="n">
        <x:v>0.3170480495620083</x:v>
      </x:c>
      <x:c r="L364" s="12" t="n">
        <x:v>0.961418391659102</x:v>
      </x:c>
      <x:c r="M364" s="8" t="str">
        <x:v>Yes</x:v>
      </x:c>
    </x:row>
    <x:row r="365">
      <x:c r="A365" s="8" t="str">
        <x:v>Dawson Creek|Parks and Recreation</x:v>
      </x:c>
      <x:c r="B365" s="8" t="str">
        <x:v>dawson-creek-c</x:v>
      </x:c>
      <x:c r="C365" s="8" t="str">
        <x:v>Dawson Creek</x:v>
      </x:c>
      <x:c r="D365" s="8" t="str">
        <x:v>Parks and Recreation</x:v>
      </x:c>
      <x:c r="E365" s="11" t="n">
        <x:v>6505367</x:v>
      </x:c>
      <x:c r="F365" s="11" t="n">
        <x:v>2913602</x:v>
      </x:c>
      <x:c r="G365" s="11" t="n">
        <x:v>3591765</x:v>
      </x:c>
      <x:c r="H365" s="11" t="n">
        <x:v>232809</x:v>
      </x:c>
      <x:c r="I365" s="11" t="n">
        <x:v>17209838</x:v>
      </x:c>
      <x:c r="J365" s="11" t="n">
        <x:v>241614</x:v>
      </x:c>
      <x:c r="K365" s="12" t="n">
        <x:v>0.5521233467689064</x:v>
      </x:c>
      <x:c r="L365" s="12" t="n">
        <x:v>0.9859607045690959</x:v>
      </x:c>
      <x:c r="M365" s="8" t="str">
        <x:v>In_Progress</x:v>
      </x:c>
    </x:row>
    <x:row r="366">
      <x:c r="A366" s="8" t="str">
        <x:v>Dawson Creek|Water System</x:v>
      </x:c>
      <x:c r="B366" s="8" t="str">
        <x:v>dawson-creek-c</x:v>
      </x:c>
      <x:c r="C366" s="8" t="str">
        <x:v>Dawson Creek</x:v>
      </x:c>
      <x:c r="D366" s="8" t="str">
        <x:v>Water System</x:v>
      </x:c>
      <x:c r="E366" s="11" t="n">
        <x:v>70903948</x:v>
      </x:c>
      <x:c r="F366" s="11" t="n">
        <x:v>25615058</x:v>
      </x:c>
      <x:c r="G366" s="11" t="n">
        <x:v>45288890</x:v>
      </x:c>
      <x:c r="H366" s="11" t="n">
        <x:v>3136968</x:v>
      </x:c>
      <x:c r="I366" s="11" t="n">
        <x:v>255313868</x:v>
      </x:c>
      <x:c r="J366" s="11" t="n">
        <x:v>1654216</x:v>
      </x:c>
      <x:c r="K366" s="12" t="n">
        <x:v>0.6387358007201517</x:v>
      </x:c>
      <x:c r="L366" s="12" t="n">
        <x:v>0.9935208533208232</x:v>
      </x:c>
      <x:c r="M366" s="8" t="str">
        <x:v>Yes</x:v>
      </x:c>
    </x:row>
    <x:row r="367">
      <x:c r="A367" s="8" t="str">
        <x:v>Dawson Creek|Sewer System</x:v>
      </x:c>
      <x:c r="B367" s="8" t="str">
        <x:v>dawson-creek-c</x:v>
      </x:c>
      <x:c r="C367" s="8" t="str">
        <x:v>Dawson Creek</x:v>
      </x:c>
      <x:c r="D367" s="8" t="str">
        <x:v>Sewer System</x:v>
      </x:c>
      <x:c r="E367" s="11" t="n">
        <x:v>58464027</x:v>
      </x:c>
      <x:c r="F367" s="11" t="n">
        <x:v>16856315</x:v>
      </x:c>
      <x:c r="G367" s="11" t="n">
        <x:v>41607712</x:v>
      </x:c>
      <x:c r="H367" s="11" t="n">
        <x:v>624160</x:v>
      </x:c>
      <x:c r="I367" s="11" t="n">
        <x:v>104244535</x:v>
      </x:c>
      <x:c r="J367" s="11" t="n">
        <x:v>1050290</x:v>
      </x:c>
      <x:c r="K367" s="12" t="n">
        <x:v>0.7116805689762014</x:v>
      </x:c>
      <x:c r="L367" s="12" t="n">
        <x:v>0.9899247476138677</x:v>
      </x:c>
      <x:c r="M367" s="8" t="str">
        <x:v>Yes</x:v>
      </x:c>
    </x:row>
    <x:row r="368">
      <x:c r="A368" s="8" t="str">
        <x:v>Dawson Creek|Drainage System</x:v>
      </x:c>
      <x:c r="B368" s="8" t="str">
        <x:v>dawson-creek-c</x:v>
      </x:c>
      <x:c r="C368" s="8" t="str">
        <x:v>Dawson Creek</x:v>
      </x:c>
      <x:c r="D368" s="8" t="str">
        <x:v>Drainage System</x:v>
      </x:c>
      <x:c r="E368" s="11" t="n">
        <x:v>17428677</x:v>
      </x:c>
      <x:c r="F368" s="11" t="n">
        <x:v>3216598</x:v>
      </x:c>
      <x:c r="G368" s="11" t="n">
        <x:v>14212079</x:v>
      </x:c>
      <x:c r="H368" s="11" t="n">
        <x:v>2380421</x:v>
      </x:c>
      <x:c r="I368" s="11" t="n">
        <x:v>69529444</x:v>
      </x:c>
      <x:c r="J368" s="11" t="n">
        <x:v>161615</x:v>
      </x:c>
      <x:c r="K368" s="12" t="n">
        <x:v>0.815442216296739</x:v>
      </x:c>
      <x:c r="L368" s="12" t="n">
        <x:v>0.9976755890641092</x:v>
      </x:c>
      <x:c r="M368" s="8" t="str">
        <x:v>Yes</x:v>
      </x:c>
    </x:row>
    <x:row r="369">
      <x:c r="A369" s="8" t="str">
        <x:v>Dawson Creek|Transportation System</x:v>
      </x:c>
      <x:c r="B369" s="8" t="str">
        <x:v>dawson-creek-c</x:v>
      </x:c>
      <x:c r="C369" s="8" t="str">
        <x:v>Dawson Creek</x:v>
      </x:c>
      <x:c r="D369" s="8" t="str">
        <x:v>Transportation System</x:v>
      </x:c>
      <x:c r="E369" s="11" t="n">
        <x:v>109770557</x:v>
      </x:c>
      <x:c r="F369" s="11" t="n">
        <x:v>51906691</x:v>
      </x:c>
      <x:c r="G369" s="11" t="n">
        <x:v>57863866</x:v>
      </x:c>
      <x:c r="H369" s="11" t="n">
        <x:v>546848</x:v>
      </x:c>
      <x:c r="I369" s="11" t="n">
        <x:v>259264477</x:v>
      </x:c>
      <x:c r="J369" s="11" t="n">
        <x:v>3792526</x:v>
      </x:c>
      <x:c r="K369" s="12" t="n">
        <x:v>0.5271346669034394</x:v>
      </x:c>
      <x:c r="L369" s="12" t="n">
        <x:v>0.9853719798258364</x:v>
      </x:c>
      <x:c r="M369" s="8" t="str">
        <x:v>Yes</x:v>
      </x:c>
    </x:row>
    <x:row r="370">
      <x:c r="A370" s="8" t="str">
        <x:v>Dawson Creek|Other Engineering Systems</x:v>
      </x:c>
      <x:c r="B370" s="8" t="str">
        <x:v>dawson-creek-c</x:v>
      </x:c>
      <x:c r="C370" s="8" t="str">
        <x:v>Dawson Creek</x:v>
      </x:c>
      <x:c r="D370" s="8" t="str">
        <x:v>Other Engineering Systems</x:v>
      </x:c>
      <x:c r="E370" s="11" t="n">
        <x:v>0</x:v>
      </x:c>
      <x:c r="F370" s="11" t="n">
        <x:v>0</x:v>
      </x:c>
      <x:c r="G370" s="11" t="n">
        <x:v>0</x:v>
      </x:c>
      <x:c r="H370" s="11" t="n">
        <x:v>0</x:v>
      </x:c>
      <x:c r="I370" s="11" t="n">
        <x:v>0</x:v>
      </x:c>
      <x:c r="J370" s="11" t="n">
        <x:v>0</x:v>
      </x:c>
      <x:c r="K370" s="12"/>
      <x:c r="L370" s="12"/>
      <x:c r="M370" s="8"/>
    </x:row>
    <x:row r="371">
      <x:c r="A371" s="8" t="str">
        <x:v>Dawson Creek|Other Tangible Capital Assets</x:v>
      </x:c>
      <x:c r="B371" s="8" t="str">
        <x:v>dawson-creek-c</x:v>
      </x:c>
      <x:c r="C371" s="8" t="str">
        <x:v>Dawson Creek</x:v>
      </x:c>
      <x:c r="D371" s="8" t="str">
        <x:v>Other Tangible Capital Assets</x:v>
      </x:c>
      <x:c r="E371" s="11" t="n">
        <x:v>14703776</x:v>
      </x:c>
      <x:c r="F371" s="11" t="n">
        <x:v>10164426</x:v>
      </x:c>
      <x:c r="G371" s="11" t="n">
        <x:v>4539350</x:v>
      </x:c>
      <x:c r="H371" s="11" t="n">
        <x:v>258869</x:v>
      </x:c>
      <x:c r="I371" s="11" t="n">
        <x:v>2349736</x:v>
      </x:c>
      <x:c r="J371" s="11" t="n">
        <x:v>1070437</x:v>
      </x:c>
      <x:c r="K371" s="12" t="n">
        <x:v>0.3087200185857021</x:v>
      </x:c>
      <x:c r="L371" s="12" t="n">
        <x:v>0.5444437162302489</x:v>
      </x:c>
      <x:c r="M371" s="8" t="str">
        <x:v>N/A</x:v>
      </x:c>
    </x:row>
    <x:row r="372">
      <x:c r="A372" s="8" t="str">
        <x:v>Dawson Creek|Work In Progress</x:v>
      </x:c>
      <x:c r="B372" s="8" t="str">
        <x:v>dawson-creek-c</x:v>
      </x:c>
      <x:c r="C372" s="8" t="str">
        <x:v>Dawson Creek</x:v>
      </x:c>
      <x:c r="D372" s="8" t="str">
        <x:v>Work In Progress</x:v>
      </x:c>
      <x:c r="E372" s="11" t="n">
        <x:v>2087693</x:v>
      </x:c>
      <x:c r="F372" s="11"/>
      <x:c r="G372" s="11" t="n">
        <x:v>2087693</x:v>
      </x:c>
      <x:c r="H372" s="11" t="n">
        <x:v>8439342</x:v>
      </x:c>
      <x:c r="I372" s="11" t="n">
        <x:v>2087693</x:v>
      </x:c>
      <x:c r="J372" s="11"/>
      <x:c r="K372" s="12" t="n">
        <x:v>1</x:v>
      </x:c>
      <x:c r="L372" s="12"/>
      <x:c r="M372" s="8" t="str">
        <x:v>N/A</x:v>
      </x:c>
    </x:row>
    <x:row r="373">
      <x:c r="A373" s="8" t="str">
        <x:v>Dawson Creek|Total TCA</x:v>
      </x:c>
      <x:c r="B373" s="8" t="str">
        <x:v>dawson-creek-c</x:v>
      </x:c>
      <x:c r="C373" s="8" t="str">
        <x:v>Dawson Creek</x:v>
      </x:c>
      <x:c r="D373" s="8" t="str">
        <x:v>Total TCA</x:v>
      </x:c>
      <x:c r="E373" s="11" t="n">
        <x:v>426058268</x:v>
      </x:c>
      <x:c r="F373" s="11" t="n">
        <x:v>174153780</x:v>
      </x:c>
      <x:c r="G373" s="11" t="n">
        <x:v>251904488</x:v>
      </x:c>
      <x:c r="H373" s="11" t="n">
        <x:v>21624918</x:v>
      </x:c>
      <x:c r="I373" s="11" t="n">
        <x:v>963581060</x:v>
      </x:c>
      <x:c r="J373" s="11" t="n">
        <x:v>13613812</x:v>
      </x:c>
      <x:c r="K373" s="12" t="n">
        <x:v>0.5912442192061861</x:v>
      </x:c>
      <x:c r="L373" s="12" t="n">
        <x:v>0.9858716484111881</x:v>
      </x:c>
      <x:c r="M373" s="8"/>
    </x:row>
    <x:row r="374">
      <x:c r="A374" s="8" t="str">
        <x:v>Delta|Land</x:v>
      </x:c>
      <x:c r="B374" s="8" t="str">
        <x:v>delta-c</x:v>
      </x:c>
      <x:c r="C374" s="8" t="str">
        <x:v>Delta</x:v>
      </x:c>
      <x:c r="D374" s="8" t="str">
        <x:v>Land</x:v>
      </x:c>
      <x:c r="E374" s="11" t="n">
        <x:v>252136617</x:v>
      </x:c>
      <x:c r="F374" s="11"/>
      <x:c r="G374" s="11" t="n">
        <x:v>252136617</x:v>
      </x:c>
      <x:c r="H374" s="11" t="n">
        <x:v>13869720</x:v>
      </x:c>
      <x:c r="I374" s="11" t="n">
        <x:v>252136617</x:v>
      </x:c>
      <x:c r="J374" s="11"/>
      <x:c r="K374" s="12" t="n">
        <x:v>1</x:v>
      </x:c>
      <x:c r="L374" s="12"/>
      <x:c r="M374" s="8" t="str">
        <x:v>N/A</x:v>
      </x:c>
    </x:row>
    <x:row r="375">
      <x:c r="A375" s="8" t="str">
        <x:v>Delta|Buildings</x:v>
      </x:c>
      <x:c r="B375" s="8" t="str">
        <x:v>delta-c</x:v>
      </x:c>
      <x:c r="C375" s="8" t="str">
        <x:v>Delta</x:v>
      </x:c>
      <x:c r="D375" s="8" t="str">
        <x:v>Buildings</x:v>
      </x:c>
      <x:c r="E375" s="11" t="n">
        <x:v>196833141</x:v>
      </x:c>
      <x:c r="F375" s="11" t="n">
        <x:v>78987850</x:v>
      </x:c>
      <x:c r="G375" s="11" t="n">
        <x:v>117845291</x:v>
      </x:c>
      <x:c r="H375" s="11" t="n">
        <x:v>12561135</x:v>
      </x:c>
      <x:c r="I375" s="11" t="n">
        <x:v>357872775</x:v>
      </x:c>
      <x:c r="J375" s="11" t="n">
        <x:v>9605334</x:v>
      </x:c>
      <x:c r="K375" s="12" t="n">
        <x:v>0.5987065511493311</x:v>
      </x:c>
      <x:c r="L375" s="12" t="n">
        <x:v>0.9731599197508108</x:v>
      </x:c>
      <x:c r="M375" s="8" t="str">
        <x:v>In_Progress</x:v>
      </x:c>
    </x:row>
    <x:row r="376">
      <x:c r="A376" s="8" t="str">
        <x:v>Delta|Fleet</x:v>
      </x:c>
      <x:c r="B376" s="8" t="str">
        <x:v>delta-c</x:v>
      </x:c>
      <x:c r="C376" s="8" t="str">
        <x:v>Delta</x:v>
      </x:c>
      <x:c r="D376" s="8" t="str">
        <x:v>Fleet</x:v>
      </x:c>
      <x:c r="E376" s="11" t="n">
        <x:v>53562836</x:v>
      </x:c>
      <x:c r="F376" s="11" t="n">
        <x:v>31858696</x:v>
      </x:c>
      <x:c r="G376" s="11" t="n">
        <x:v>21704140</x:v>
      </x:c>
      <x:c r="H376" s="11" t="n">
        <x:v>7493574</x:v>
      </x:c>
      <x:c r="I376" s="11" t="n">
        <x:v>88144796</x:v>
      </x:c>
      <x:c r="J376" s="11" t="n">
        <x:v>3715491</x:v>
      </x:c>
      <x:c r="K376" s="12" t="n">
        <x:v>0.40520894001953145</x:v>
      </x:c>
      <x:c r="L376" s="12" t="n">
        <x:v>0.9578478688634097</x:v>
      </x:c>
      <x:c r="M376" s="8" t="str">
        <x:v>In_Progress</x:v>
      </x:c>
    </x:row>
    <x:row r="377">
      <x:c r="A377" s="8" t="str">
        <x:v>Delta|Parks and Recreation</x:v>
      </x:c>
      <x:c r="B377" s="8" t="str">
        <x:v>delta-c</x:v>
      </x:c>
      <x:c r="C377" s="8" t="str">
        <x:v>Delta</x:v>
      </x:c>
      <x:c r="D377" s="8" t="str">
        <x:v>Parks and Recreation</x:v>
      </x:c>
      <x:c r="E377" s="11" t="n">
        <x:v>38398115</x:v>
      </x:c>
      <x:c r="F377" s="11" t="n">
        <x:v>17511048</x:v>
      </x:c>
      <x:c r="G377" s="11" t="n">
        <x:v>20887067</x:v>
      </x:c>
      <x:c r="H377" s="11" t="n">
        <x:v>696401</x:v>
      </x:c>
      <x:c r="I377" s="11" t="n">
        <x:v>66710999</x:v>
      </x:c>
      <x:c r="J377" s="11" t="n">
        <x:v>2084025</x:v>
      </x:c>
      <x:c r="K377" s="12" t="n">
        <x:v>0.5439607386977199</x:v>
      </x:c>
      <x:c r="L377" s="12" t="n">
        <x:v>0.9687603988661599</x:v>
      </x:c>
      <x:c r="M377" s="8" t="str">
        <x:v>In_Progress</x:v>
      </x:c>
    </x:row>
    <x:row r="378">
      <x:c r="A378" s="8" t="str">
        <x:v>Delta|Water System</x:v>
      </x:c>
      <x:c r="B378" s="8" t="str">
        <x:v>delta-c</x:v>
      </x:c>
      <x:c r="C378" s="8" t="str">
        <x:v>Delta</x:v>
      </x:c>
      <x:c r="D378" s="8" t="str">
        <x:v>Water System</x:v>
      </x:c>
      <x:c r="E378" s="11" t="n">
        <x:v>168268403</x:v>
      </x:c>
      <x:c r="F378" s="11" t="n">
        <x:v>56448187</x:v>
      </x:c>
      <x:c r="G378" s="11" t="n">
        <x:v>111820216</x:v>
      </x:c>
      <x:c r="H378" s="11" t="n">
        <x:v>3241384</x:v>
      </x:c>
      <x:c r="I378" s="11" t="n">
        <x:v>419134508</x:v>
      </x:c>
      <x:c r="J378" s="11" t="n">
        <x:v>5135131</x:v>
      </x:c>
      <x:c r="K378" s="12" t="n">
        <x:v>0.6645348384271526</x:v>
      </x:c>
      <x:c r="L378" s="12" t="n">
        <x:v>0.9877482504971888</x:v>
      </x:c>
      <x:c r="M378" s="8" t="str">
        <x:v>In_Progress</x:v>
      </x:c>
    </x:row>
    <x:row r="379">
      <x:c r="A379" s="8" t="str">
        <x:v>Delta|Sewer System</x:v>
      </x:c>
      <x:c r="B379" s="8" t="str">
        <x:v>delta-c</x:v>
      </x:c>
      <x:c r="C379" s="8" t="str">
        <x:v>Delta</x:v>
      </x:c>
      <x:c r="D379" s="8" t="str">
        <x:v>Sewer System</x:v>
      </x:c>
      <x:c r="E379" s="11" t="n">
        <x:v>152945913</x:v>
      </x:c>
      <x:c r="F379" s="11" t="n">
        <x:v>59459270</x:v>
      </x:c>
      <x:c r="G379" s="11" t="n">
        <x:v>93486643</x:v>
      </x:c>
      <x:c r="H379" s="11" t="n">
        <x:v>7899227</x:v>
      </x:c>
      <x:c r="I379" s="11" t="n">
        <x:v>473829389</x:v>
      </x:c>
      <x:c r="J379" s="11" t="n">
        <x:v>4937382</x:v>
      </x:c>
      <x:c r="K379" s="12" t="n">
        <x:v>0.6112398897510913</x:v>
      </x:c>
      <x:c r="L379" s="12" t="n">
        <x:v>0.9895798316553978</x:v>
      </x:c>
      <x:c r="M379" s="8" t="str">
        <x:v>In_Progress</x:v>
      </x:c>
    </x:row>
    <x:row r="380">
      <x:c r="A380" s="8" t="str">
        <x:v>Delta|Drainage System</x:v>
      </x:c>
      <x:c r="B380" s="8" t="str">
        <x:v>delta-c</x:v>
      </x:c>
      <x:c r="C380" s="8" t="str">
        <x:v>Delta</x:v>
      </x:c>
      <x:c r="D380" s="8" t="str">
        <x:v>Drainage System</x:v>
      </x:c>
      <x:c r="E380" s="11" t="n">
        <x:v>278909207</x:v>
      </x:c>
      <x:c r="F380" s="11" t="n">
        <x:v>101971660</x:v>
      </x:c>
      <x:c r="G380" s="11" t="n">
        <x:v>176937547</x:v>
      </x:c>
      <x:c r="H380" s="11" t="n">
        <x:v>529384</x:v>
      </x:c>
      <x:c r="I380" s="11" t="n">
        <x:v>750873994</x:v>
      </x:c>
      <x:c r="J380" s="11" t="n">
        <x:v>9646222</x:v>
      </x:c>
      <x:c r="K380" s="12" t="n">
        <x:v>0.6343912017217846</x:v>
      </x:c>
      <x:c r="L380" s="12" t="n">
        <x:v>0.9871533412036108</x:v>
      </x:c>
      <x:c r="M380" s="8" t="str">
        <x:v>In_Progress</x:v>
      </x:c>
    </x:row>
    <x:row r="381">
      <x:c r="A381" s="8" t="str">
        <x:v>Delta|Transportation System</x:v>
      </x:c>
      <x:c r="B381" s="8" t="str">
        <x:v>delta-c</x:v>
      </x:c>
      <x:c r="C381" s="8" t="str">
        <x:v>Delta</x:v>
      </x:c>
      <x:c r="D381" s="8" t="str">
        <x:v>Transportation System</x:v>
      </x:c>
      <x:c r="E381" s="11" t="n">
        <x:v>382560209</x:v>
      </x:c>
      <x:c r="F381" s="11" t="n">
        <x:v>204425543</x:v>
      </x:c>
      <x:c r="G381" s="11" t="n">
        <x:v>178134666</x:v>
      </x:c>
      <x:c r="H381" s="11" t="n">
        <x:v>3631044</x:v>
      </x:c>
      <x:c r="I381" s="11" t="n">
        <x:v>945440878</x:v>
      </x:c>
      <x:c r="J381" s="11" t="n">
        <x:v>0</x:v>
      </x:c>
      <x:c r="K381" s="12" t="n">
        <x:v>0.46563824937684517</x:v>
      </x:c>
      <x:c r="L381" s="12" t="n">
        <x:v>1</x:v>
      </x:c>
      <x:c r="M381" s="8" t="str">
        <x:v>In_Progress</x:v>
      </x:c>
    </x:row>
    <x:row r="382">
      <x:c r="A382" s="8" t="str">
        <x:v>Delta|Other Engineering Systems</x:v>
      </x:c>
      <x:c r="B382" s="8" t="str">
        <x:v>delta-c</x:v>
      </x:c>
      <x:c r="C382" s="8" t="str">
        <x:v>Delta</x:v>
      </x:c>
      <x:c r="D382" s="8" t="str">
        <x:v>Other Engineering Systems</x:v>
      </x:c>
      <x:c r="E382" s="11" t="n">
        <x:v>58955142</x:v>
      </x:c>
      <x:c r="F382" s="11" t="n">
        <x:v>23973967</x:v>
      </x:c>
      <x:c r="G382" s="11" t="n">
        <x:v>34981175</x:v>
      </x:c>
      <x:c r="H382" s="11" t="n">
        <x:v>4158105</x:v>
      </x:c>
      <x:c r="I382" s="11" t="n">
        <x:v>74164525</x:v>
      </x:c>
      <x:c r="J382" s="11" t="n">
        <x:v>4922755</x:v>
      </x:c>
      <x:c r="K382" s="12" t="n">
        <x:v>0.5933524000332321</x:v>
      </x:c>
      <x:c r="L382" s="12" t="n">
        <x:v>0.9336238585765904</x:v>
      </x:c>
      <x:c r="M382" s="8" t="str">
        <x:v>In_Progress</x:v>
      </x:c>
    </x:row>
    <x:row r="383">
      <x:c r="A383" s="8" t="str">
        <x:v>Delta|Other Tangible Capital Assets</x:v>
      </x:c>
      <x:c r="B383" s="8" t="str">
        <x:v>delta-c</x:v>
      </x:c>
      <x:c r="C383" s="8" t="str">
        <x:v>Delta</x:v>
      </x:c>
      <x:c r="D383" s="8" t="str">
        <x:v>Other Tangible Capital Assets</x:v>
      </x:c>
      <x:c r="E383" s="11" t="n">
        <x:v>8058201</x:v>
      </x:c>
      <x:c r="F383" s="11" t="n">
        <x:v>1399240</x:v>
      </x:c>
      <x:c r="G383" s="11" t="n">
        <x:v>6658961</x:v>
      </x:c>
      <x:c r="H383" s="11" t="n">
        <x:v>1335676</x:v>
      </x:c>
      <x:c r="I383" s="11" t="n">
        <x:v>0</x:v>
      </x:c>
      <x:c r="J383" s="11" t="n">
        <x:v>0</x:v>
      </x:c>
      <x:c r="K383" s="12" t="n">
        <x:v>0.8263582653249776</x:v>
      </x:c>
      <x:c r="L383" s="12"/>
      <x:c r="M383" s="8" t="str">
        <x:v>N/A</x:v>
      </x:c>
    </x:row>
    <x:row r="384">
      <x:c r="A384" s="8" t="str">
        <x:v>Delta|Work In Progress</x:v>
      </x:c>
      <x:c r="B384" s="8" t="str">
        <x:v>delta-c</x:v>
      </x:c>
      <x:c r="C384" s="8" t="str">
        <x:v>Delta</x:v>
      </x:c>
      <x:c r="D384" s="8" t="str">
        <x:v>Work In Progress</x:v>
      </x:c>
      <x:c r="E384" s="11" t="n">
        <x:v>26728795</x:v>
      </x:c>
      <x:c r="F384" s="11"/>
      <x:c r="G384" s="11" t="n">
        <x:v>26728795</x:v>
      </x:c>
      <x:c r="H384" s="11" t="n">
        <x:v>6601651</x:v>
      </x:c>
      <x:c r="I384" s="11" t="n">
        <x:v>26728795</x:v>
      </x:c>
      <x:c r="J384" s="11"/>
      <x:c r="K384" s="12" t="n">
        <x:v>1</x:v>
      </x:c>
      <x:c r="L384" s="12"/>
      <x:c r="M384" s="8" t="str">
        <x:v>N/A</x:v>
      </x:c>
    </x:row>
    <x:row r="385">
      <x:c r="A385" s="8" t="str">
        <x:v>Delta|Total TCA</x:v>
      </x:c>
      <x:c r="B385" s="8" t="str">
        <x:v>delta-c</x:v>
      </x:c>
      <x:c r="C385" s="8" t="str">
        <x:v>Delta</x:v>
      </x:c>
      <x:c r="D385" s="8" t="str">
        <x:v>Total TCA</x:v>
      </x:c>
      <x:c r="E385" s="11" t="n">
        <x:v>1617356579</x:v>
      </x:c>
      <x:c r="F385" s="11" t="n">
        <x:v>576035461</x:v>
      </x:c>
      <x:c r="G385" s="11" t="n">
        <x:v>1041321118</x:v>
      </x:c>
      <x:c r="H385" s="11" t="n">
        <x:v>62017301</x:v>
      </x:c>
      <x:c r="I385" s="11" t="n">
        <x:v>3455037276</x:v>
      </x:c>
      <x:c r="J385" s="11" t="n">
        <x:v>40046340</x:v>
      </x:c>
      <x:c r="K385" s="12" t="n">
        <x:v>0.6438413962144585</x:v>
      </x:c>
      <x:c r="L385" s="12" t="n">
        <x:v>0.9884092885833166</x:v>
      </x:c>
      <x:c r="M385" s="8"/>
    </x:row>
    <x:row r="386">
      <x:c r="A386" s="8" t="str">
        <x:v>Duncan|Land</x:v>
      </x:c>
      <x:c r="B386" s="8" t="str">
        <x:v>duncan-c</x:v>
      </x:c>
      <x:c r="C386" s="8" t="str">
        <x:v>Duncan</x:v>
      </x:c>
      <x:c r="D386" s="8" t="str">
        <x:v>Land</x:v>
      </x:c>
      <x:c r="E386" s="11" t="n">
        <x:v>2780392</x:v>
      </x:c>
      <x:c r="F386" s="11"/>
      <x:c r="G386" s="11" t="n">
        <x:v>2780392</x:v>
      </x:c>
      <x:c r="H386" s="11" t="n">
        <x:v>16000</x:v>
      </x:c>
      <x:c r="I386" s="11" t="n">
        <x:v>2780392</x:v>
      </x:c>
      <x:c r="J386" s="11"/>
      <x:c r="K386" s="12" t="n">
        <x:v>1</x:v>
      </x:c>
      <x:c r="L386" s="12"/>
      <x:c r="M386" s="8" t="str">
        <x:v>N/A</x:v>
      </x:c>
    </x:row>
    <x:row r="387">
      <x:c r="A387" s="8" t="str">
        <x:v>Duncan|Buildings</x:v>
      </x:c>
      <x:c r="B387" s="8" t="str">
        <x:v>duncan-c</x:v>
      </x:c>
      <x:c r="C387" s="8" t="str">
        <x:v>Duncan</x:v>
      </x:c>
      <x:c r="D387" s="8" t="str">
        <x:v>Buildings</x:v>
      </x:c>
      <x:c r="E387" s="11" t="n">
        <x:v>9001759</x:v>
      </x:c>
      <x:c r="F387" s="11" t="n">
        <x:v>4085173</x:v>
      </x:c>
      <x:c r="G387" s="11" t="n">
        <x:v>4916586</x:v>
      </x:c>
      <x:c r="H387" s="11" t="n">
        <x:v>952294</x:v>
      </x:c>
      <x:c r="I387" s="11" t="n">
        <x:v>16300000</x:v>
      </x:c>
      <x:c r="J387" s="11" t="n">
        <x:v>545100</x:v>
      </x:c>
      <x:c r="K387" s="12" t="n">
        <x:v>0.5461805853722589</x:v>
      </x:c>
      <x:c r="L387" s="12" t="n">
        <x:v>0.966558282208589</x:v>
      </x:c>
      <x:c r="M387" s="8" t="str">
        <x:v>Yes</x:v>
      </x:c>
    </x:row>
    <x:row r="388">
      <x:c r="A388" s="8" t="str">
        <x:v>Duncan|Fleet</x:v>
      </x:c>
      <x:c r="B388" s="8" t="str">
        <x:v>duncan-c</x:v>
      </x:c>
      <x:c r="C388" s="8" t="str">
        <x:v>Duncan</x:v>
      </x:c>
      <x:c r="D388" s="8" t="str">
        <x:v>Fleet</x:v>
      </x:c>
      <x:c r="E388" s="11" t="n">
        <x:v>9222059</x:v>
      </x:c>
      <x:c r="F388" s="11" t="n">
        <x:v>4836331</x:v>
      </x:c>
      <x:c r="G388" s="11" t="n">
        <x:v>4385728</x:v>
      </x:c>
      <x:c r="H388" s="11" t="n">
        <x:v>681377</x:v>
      </x:c>
      <x:c r="I388" s="11" t="n">
        <x:v>12700000</x:v>
      </x:c>
      <x:c r="J388" s="11" t="n">
        <x:v>750600</x:v>
      </x:c>
      <x:c r="K388" s="12" t="n">
        <x:v>0.47556928447323965</x:v>
      </x:c>
      <x:c r="L388" s="12" t="n">
        <x:v>0.9408976377952756</x:v>
      </x:c>
      <x:c r="M388" s="8" t="str">
        <x:v>Yes</x:v>
      </x:c>
    </x:row>
    <x:row r="389">
      <x:c r="A389" s="8" t="str">
        <x:v>Duncan|Parks and Recreation</x:v>
      </x:c>
      <x:c r="B389" s="8" t="str">
        <x:v>duncan-c</x:v>
      </x:c>
      <x:c r="C389" s="8" t="str">
        <x:v>Duncan</x:v>
      </x:c>
      <x:c r="D389" s="8" t="str">
        <x:v>Parks and Recreation</x:v>
      </x:c>
      <x:c r="E389" s="11" t="n">
        <x:v>5017036</x:v>
      </x:c>
      <x:c r="F389" s="11" t="n">
        <x:v>3031530</x:v>
      </x:c>
      <x:c r="G389" s="11" t="n">
        <x:v>1985506</x:v>
      </x:c>
      <x:c r="H389" s="11" t="n">
        <x:v>665010</x:v>
      </x:c>
      <x:c r="I389" s="11" t="n">
        <x:v>0</x:v>
      </x:c>
      <x:c r="J389" s="11" t="n">
        <x:v>0</x:v>
      </x:c>
      <x:c r="K389" s="12" t="n">
        <x:v>0.39575279109019745</x:v>
      </x:c>
      <x:c r="L389" s="12"/>
      <x:c r="M389" s="8" t="str">
        <x:v>Yes</x:v>
      </x:c>
    </x:row>
    <x:row r="390">
      <x:c r="A390" s="8" t="str">
        <x:v>Duncan|Water System</x:v>
      </x:c>
      <x:c r="B390" s="8" t="str">
        <x:v>duncan-c</x:v>
      </x:c>
      <x:c r="C390" s="8" t="str">
        <x:v>Duncan</x:v>
      </x:c>
      <x:c r="D390" s="8" t="str">
        <x:v>Water System</x:v>
      </x:c>
      <x:c r="E390" s="11" t="n">
        <x:v>21300755</x:v>
      </x:c>
      <x:c r="F390" s="11" t="n">
        <x:v>7195936</x:v>
      </x:c>
      <x:c r="G390" s="11" t="n">
        <x:v>14104819</x:v>
      </x:c>
      <x:c r="H390" s="11" t="n">
        <x:v>449177</x:v>
      </x:c>
      <x:c r="I390" s="11" t="n">
        <x:v>220800000</x:v>
      </x:c>
      <x:c r="J390" s="11" t="n">
        <x:v>2904600</x:v>
      </x:c>
      <x:c r="K390" s="12" t="n">
        <x:v>0.6621746036701516</x:v>
      </x:c>
      <x:c r="L390" s="12" t="n">
        <x:v>0.9868451086956522</x:v>
      </x:c>
      <x:c r="M390" s="8" t="str">
        <x:v>Yes</x:v>
      </x:c>
    </x:row>
    <x:row r="391">
      <x:c r="A391" s="8" t="str">
        <x:v>Duncan|Sewer System</x:v>
      </x:c>
      <x:c r="B391" s="8" t="str">
        <x:v>duncan-c</x:v>
      </x:c>
      <x:c r="C391" s="8" t="str">
        <x:v>Duncan</x:v>
      </x:c>
      <x:c r="D391" s="8" t="str">
        <x:v>Sewer System</x:v>
      </x:c>
      <x:c r="E391" s="11" t="n">
        <x:v>19708403</x:v>
      </x:c>
      <x:c r="F391" s="11" t="n">
        <x:v>2155854</x:v>
      </x:c>
      <x:c r="G391" s="11" t="n">
        <x:v>17552549</x:v>
      </x:c>
      <x:c r="H391" s="11" t="n">
        <x:v>120571</x:v>
      </x:c>
      <x:c r="I391" s="11" t="n">
        <x:v>82400000</x:v>
      </x:c>
      <x:c r="J391" s="11" t="n">
        <x:v>1023300</x:v>
      </x:c>
      <x:c r="K391" s="12" t="n">
        <x:v>0.8906124458689018</x:v>
      </x:c>
      <x:c r="L391" s="12" t="n">
        <x:v>0.9875813106796116</x:v>
      </x:c>
      <x:c r="M391" s="8" t="str">
        <x:v>Yes</x:v>
      </x:c>
    </x:row>
    <x:row r="392">
      <x:c r="A392" s="8" t="str">
        <x:v>Duncan|Drainage System</x:v>
      </x:c>
      <x:c r="B392" s="8" t="str">
        <x:v>duncan-c</x:v>
      </x:c>
      <x:c r="C392" s="8" t="str">
        <x:v>Duncan</x:v>
      </x:c>
      <x:c r="D392" s="8" t="str">
        <x:v>Drainage System</x:v>
      </x:c>
      <x:c r="E392" s="11" t="n">
        <x:v>4535963</x:v>
      </x:c>
      <x:c r="F392" s="11" t="n">
        <x:v>2213793</x:v>
      </x:c>
      <x:c r="G392" s="11" t="n">
        <x:v>2322170</x:v>
      </x:c>
      <x:c r="H392" s="11" t="n">
        <x:v>162982</x:v>
      </x:c>
      <x:c r="I392" s="11" t="n">
        <x:v>76900000</x:v>
      </x:c>
      <x:c r="J392" s="11" t="n">
        <x:v>982000</x:v>
      </x:c>
      <x:c r="K392" s="12" t="n">
        <x:v>0.511946415788665</x:v>
      </x:c>
      <x:c r="L392" s="12" t="n">
        <x:v>0.9872301690507153</x:v>
      </x:c>
      <x:c r="M392" s="8" t="str">
        <x:v>Yes</x:v>
      </x:c>
    </x:row>
    <x:row r="393">
      <x:c r="A393" s="8" t="str">
        <x:v>Duncan|Transportation System</x:v>
      </x:c>
      <x:c r="B393" s="8" t="str">
        <x:v>duncan-c</x:v>
      </x:c>
      <x:c r="C393" s="8" t="str">
        <x:v>Duncan</x:v>
      </x:c>
      <x:c r="D393" s="8" t="str">
        <x:v>Transportation System</x:v>
      </x:c>
      <x:c r="E393" s="11" t="n">
        <x:v>17044922</x:v>
      </x:c>
      <x:c r="F393" s="11" t="n">
        <x:v>12132097</x:v>
      </x:c>
      <x:c r="G393" s="11" t="n">
        <x:v>4912825</x:v>
      </x:c>
      <x:c r="H393" s="11" t="n">
        <x:v>533100</x:v>
      </x:c>
      <x:c r="I393" s="11" t="n">
        <x:v>115400000</x:v>
      </x:c>
      <x:c r="J393" s="11" t="n">
        <x:v>0</x:v>
      </x:c>
      <x:c r="K393" s="12" t="n">
        <x:v>0.2882280716802341</x:v>
      </x:c>
      <x:c r="L393" s="12" t="n">
        <x:v>1</x:v>
      </x:c>
      <x:c r="M393" s="8" t="str">
        <x:v>Yes</x:v>
      </x:c>
    </x:row>
    <x:row r="394">
      <x:c r="A394" s="8" t="str">
        <x:v>Duncan|Other Engineering Systems</x:v>
      </x:c>
      <x:c r="B394" s="8" t="str">
        <x:v>duncan-c</x:v>
      </x:c>
      <x:c r="C394" s="8" t="str">
        <x:v>Duncan</x:v>
      </x:c>
      <x:c r="D394" s="8" t="str">
        <x:v>Other Engineering Systems</x:v>
      </x:c>
      <x:c r="E394" s="11" t="n">
        <x:v>0</x:v>
      </x:c>
      <x:c r="F394" s="11" t="n">
        <x:v>0</x:v>
      </x:c>
      <x:c r="G394" s="11" t="n">
        <x:v>0</x:v>
      </x:c>
      <x:c r="H394" s="11" t="n">
        <x:v>0</x:v>
      </x:c>
      <x:c r="I394" s="11" t="n">
        <x:v>0</x:v>
      </x:c>
      <x:c r="J394" s="11" t="n">
        <x:v>0</x:v>
      </x:c>
      <x:c r="K394" s="12"/>
      <x:c r="L394" s="12"/>
      <x:c r="M394" s="8"/>
    </x:row>
    <x:row r="395">
      <x:c r="A395" s="8" t="str">
        <x:v>Duncan|Other Tangible Capital Assets</x:v>
      </x:c>
      <x:c r="B395" s="8" t="str">
        <x:v>duncan-c</x:v>
      </x:c>
      <x:c r="C395" s="8" t="str">
        <x:v>Duncan</x:v>
      </x:c>
      <x:c r="D395" s="8" t="str">
        <x:v>Other Tangible Capital Assets</x:v>
      </x:c>
      <x:c r="E395" s="11" t="n">
        <x:v>0</x:v>
      </x:c>
      <x:c r="F395" s="11" t="n">
        <x:v>0</x:v>
      </x:c>
      <x:c r="G395" s="11" t="n">
        <x:v>0</x:v>
      </x:c>
      <x:c r="H395" s="11" t="n">
        <x:v>0</x:v>
      </x:c>
      <x:c r="I395" s="11" t="n">
        <x:v>0</x:v>
      </x:c>
      <x:c r="J395" s="11" t="n">
        <x:v>0</x:v>
      </x:c>
      <x:c r="K395" s="12"/>
      <x:c r="L395" s="12"/>
      <x:c r="M395" s="8" t="str">
        <x:v>N/A</x:v>
      </x:c>
    </x:row>
    <x:row r="396">
      <x:c r="A396" s="8" t="str">
        <x:v>Duncan|Work In Progress</x:v>
      </x:c>
      <x:c r="B396" s="8" t="str">
        <x:v>duncan-c</x:v>
      </x:c>
      <x:c r="C396" s="8" t="str">
        <x:v>Duncan</x:v>
      </x:c>
      <x:c r="D396" s="8" t="str">
        <x:v>Work In Progress</x:v>
      </x:c>
      <x:c r="E396" s="11" t="n">
        <x:v>2242724</x:v>
      </x:c>
      <x:c r="F396" s="11"/>
      <x:c r="G396" s="11" t="n">
        <x:v>2242724</x:v>
      </x:c>
      <x:c r="H396" s="11" t="n">
        <x:v>1782193</x:v>
      </x:c>
      <x:c r="I396" s="11" t="n">
        <x:v>2242724</x:v>
      </x:c>
      <x:c r="J396" s="11"/>
      <x:c r="K396" s="12" t="n">
        <x:v>1</x:v>
      </x:c>
      <x:c r="L396" s="12"/>
      <x:c r="M396" s="8" t="str">
        <x:v>N/A</x:v>
      </x:c>
    </x:row>
    <x:row r="397">
      <x:c r="A397" s="8" t="str">
        <x:v>Duncan|Total TCA</x:v>
      </x:c>
      <x:c r="B397" s="8" t="str">
        <x:v>duncan-c</x:v>
      </x:c>
      <x:c r="C397" s="8" t="str">
        <x:v>Duncan</x:v>
      </x:c>
      <x:c r="D397" s="8" t="str">
        <x:v>Total TCA</x:v>
      </x:c>
      <x:c r="E397" s="11" t="n">
        <x:v>90854013</x:v>
      </x:c>
      <x:c r="F397" s="11" t="n">
        <x:v>35650714</x:v>
      </x:c>
      <x:c r="G397" s="11" t="n">
        <x:v>55203299</x:v>
      </x:c>
      <x:c r="H397" s="11" t="n">
        <x:v>5362704</x:v>
      </x:c>
      <x:c r="I397" s="11" t="n">
        <x:v>529523116</x:v>
      </x:c>
      <x:c r="J397" s="11" t="n">
        <x:v>6205600</x:v>
      </x:c>
      <x:c r="K397" s="12" t="n">
        <x:v>0.6076044103852628</x:v>
      </x:c>
      <x:c r="L397" s="12" t="n">
        <x:v>0.9882807760180955</x:v>
      </x:c>
      <x:c r="M397" s="8"/>
    </x:row>
    <x:row r="398">
      <x:c r="A398" s="8" t="str">
        <x:v>Elkford|Land</x:v>
      </x:c>
      <x:c r="B398" s="8" t="str">
        <x:v>elkford-d</x:v>
      </x:c>
      <x:c r="C398" s="8" t="str">
        <x:v>Elkford</x:v>
      </x:c>
      <x:c r="D398" s="8" t="str">
        <x:v>Land</x:v>
      </x:c>
      <x:c r="E398" s="11" t="n">
        <x:v>7502394</x:v>
      </x:c>
      <x:c r="F398" s="11"/>
      <x:c r="G398" s="11" t="n">
        <x:v>7502394</x:v>
      </x:c>
      <x:c r="H398" s="11" t="n">
        <x:v>100000</x:v>
      </x:c>
      <x:c r="I398" s="11" t="n">
        <x:v>7502394</x:v>
      </x:c>
      <x:c r="J398" s="11"/>
      <x:c r="K398" s="12" t="n">
        <x:v>1</x:v>
      </x:c>
      <x:c r="L398" s="12"/>
      <x:c r="M398" s="8" t="str">
        <x:v>N/A</x:v>
      </x:c>
    </x:row>
    <x:row r="399">
      <x:c r="A399" s="8" t="str">
        <x:v>Elkford|Buildings</x:v>
      </x:c>
      <x:c r="B399" s="8" t="str">
        <x:v>elkford-d</x:v>
      </x:c>
      <x:c r="C399" s="8" t="str">
        <x:v>Elkford</x:v>
      </x:c>
      <x:c r="D399" s="8" t="str">
        <x:v>Buildings</x:v>
      </x:c>
      <x:c r="E399" s="11" t="n">
        <x:v>28596454</x:v>
      </x:c>
      <x:c r="F399" s="11" t="n">
        <x:v>12736843</x:v>
      </x:c>
      <x:c r="G399" s="11" t="n">
        <x:v>15859611</x:v>
      </x:c>
      <x:c r="H399" s="11" t="n">
        <x:v>180292</x:v>
      </x:c>
      <x:c r="I399" s="11" t="n">
        <x:v>43620000</x:v>
      </x:c>
      <x:c r="J399" s="11" t="n">
        <x:v>630746</x:v>
      </x:c>
      <x:c r="K399" s="12" t="n">
        <x:v>0.5546006158665686</x:v>
      </x:c>
      <x:c r="L399" s="12" t="n">
        <x:v>0.9855399816597891</x:v>
      </x:c>
      <x:c r="M399" s="8" t="str">
        <x:v>Yes</x:v>
      </x:c>
    </x:row>
    <x:row r="400">
      <x:c r="A400" s="8" t="str">
        <x:v>Elkford|Fleet</x:v>
      </x:c>
      <x:c r="B400" s="8" t="str">
        <x:v>elkford-d</x:v>
      </x:c>
      <x:c r="C400" s="8" t="str">
        <x:v>Elkford</x:v>
      </x:c>
      <x:c r="D400" s="8" t="str">
        <x:v>Fleet</x:v>
      </x:c>
      <x:c r="E400" s="11" t="n">
        <x:v>11590000</x:v>
      </x:c>
      <x:c r="F400" s="11" t="n">
        <x:v>7008180</x:v>
      </x:c>
      <x:c r="G400" s="11" t="n">
        <x:v>4581820</x:v>
      </x:c>
      <x:c r="H400" s="11" t="n">
        <x:v>1733696</x:v>
      </x:c>
      <x:c r="I400" s="11" t="n">
        <x:v>11310000</x:v>
      </x:c>
      <x:c r="J400" s="11" t="n">
        <x:v>299794</x:v>
      </x:c>
      <x:c r="K400" s="12" t="n">
        <x:v>0.3953252804141501</x:v>
      </x:c>
      <x:c r="L400" s="12" t="n">
        <x:v>0.9734930150309461</x:v>
      </x:c>
      <x:c r="M400" s="8" t="str">
        <x:v>Yes</x:v>
      </x:c>
    </x:row>
    <x:row r="401">
      <x:c r="A401" s="8" t="str">
        <x:v>Elkford|Parks and Recreation</x:v>
      </x:c>
      <x:c r="B401" s="8" t="str">
        <x:v>elkford-d</x:v>
      </x:c>
      <x:c r="C401" s="8" t="str">
        <x:v>Elkford</x:v>
      </x:c>
      <x:c r="D401" s="8" t="str">
        <x:v>Parks and Recreation</x:v>
      </x:c>
      <x:c r="E401" s="11" t="n">
        <x:v>8800141</x:v>
      </x:c>
      <x:c r="F401" s="11" t="n">
        <x:v>2610941</x:v>
      </x:c>
      <x:c r="G401" s="11" t="n">
        <x:v>6189200</x:v>
      </x:c>
      <x:c r="H401" s="11" t="n">
        <x:v>97019</x:v>
      </x:c>
      <x:c r="I401" s="11" t="n">
        <x:v>3020000</x:v>
      </x:c>
      <x:c r="J401" s="11" t="n">
        <x:v>177110</x:v>
      </x:c>
      <x:c r="K401" s="12" t="n">
        <x:v>0.703306912923327</x:v>
      </x:c>
      <x:c r="L401" s="12" t="n">
        <x:v>0.9413543046357616</x:v>
      </x:c>
      <x:c r="M401" s="8" t="str">
        <x:v>No</x:v>
      </x:c>
    </x:row>
    <x:row r="402">
      <x:c r="A402" s="8" t="str">
        <x:v>Elkford|Water System</x:v>
      </x:c>
      <x:c r="B402" s="8" t="str">
        <x:v>elkford-d</x:v>
      </x:c>
      <x:c r="C402" s="8" t="str">
        <x:v>Elkford</x:v>
      </x:c>
      <x:c r="D402" s="8" t="str">
        <x:v>Water System</x:v>
      </x:c>
      <x:c r="E402" s="11" t="n">
        <x:v>7155859</x:v>
      </x:c>
      <x:c r="F402" s="11" t="n">
        <x:v>2697304</x:v>
      </x:c>
      <x:c r="G402" s="11" t="n">
        <x:v>4458555</x:v>
      </x:c>
      <x:c r="H402" s="11" t="n">
        <x:v>0</x:v>
      </x:c>
      <x:c r="I402" s="11" t="n">
        <x:v>52870000</x:v>
      </x:c>
      <x:c r="J402" s="11" t="n">
        <x:v>133679</x:v>
      </x:c>
      <x:c r="K402" s="12" t="n">
        <x:v>0.6230635623200513</x:v>
      </x:c>
      <x:c r="L402" s="12" t="n">
        <x:v>0.9974715528655193</x:v>
      </x:c>
      <x:c r="M402" s="8" t="str">
        <x:v>Yes</x:v>
      </x:c>
    </x:row>
    <x:row r="403">
      <x:c r="A403" s="8" t="str">
        <x:v>Elkford|Sewer System</x:v>
      </x:c>
      <x:c r="B403" s="8" t="str">
        <x:v>elkford-d</x:v>
      </x:c>
      <x:c r="C403" s="8" t="str">
        <x:v>Elkford</x:v>
      </x:c>
      <x:c r="D403" s="8" t="str">
        <x:v>Sewer System</x:v>
      </x:c>
      <x:c r="E403" s="11" t="n">
        <x:v>7961372</x:v>
      </x:c>
      <x:c r="F403" s="11" t="n">
        <x:v>2370539</x:v>
      </x:c>
      <x:c r="G403" s="11" t="n">
        <x:v>5590833</x:v>
      </x:c>
      <x:c r="H403" s="11" t="n">
        <x:v>285836</x:v>
      </x:c>
      <x:c r="I403" s="11" t="n">
        <x:v>31450000</x:v>
      </x:c>
      <x:c r="J403" s="11" t="n">
        <x:v>122303</x:v>
      </x:c>
      <x:c r="K403" s="12" t="n">
        <x:v>0.7022449145700013</x:v>
      </x:c>
      <x:c r="L403" s="12" t="n">
        <x:v>0.9961111923688394</x:v>
      </x:c>
      <x:c r="M403" s="8" t="str">
        <x:v>Yes</x:v>
      </x:c>
    </x:row>
    <x:row r="404">
      <x:c r="A404" s="8" t="str">
        <x:v>Elkford|Drainage System</x:v>
      </x:c>
      <x:c r="B404" s="8" t="str">
        <x:v>elkford-d</x:v>
      </x:c>
      <x:c r="C404" s="8" t="str">
        <x:v>Elkford</x:v>
      </x:c>
      <x:c r="D404" s="8" t="str">
        <x:v>Drainage System</x:v>
      </x:c>
      <x:c r="E404" s="11" t="n">
        <x:v>0</x:v>
      </x:c>
      <x:c r="F404" s="11" t="n">
        <x:v>0</x:v>
      </x:c>
      <x:c r="G404" s="11" t="n">
        <x:v>0</x:v>
      </x:c>
      <x:c r="H404" s="11" t="n">
        <x:v>0</x:v>
      </x:c>
      <x:c r="I404" s="11" t="n">
        <x:v>0</x:v>
      </x:c>
      <x:c r="J404" s="11" t="n">
        <x:v>0</x:v>
      </x:c>
      <x:c r="K404" s="12"/>
      <x:c r="L404" s="12"/>
      <x:c r="M404" s="8"/>
    </x:row>
    <x:row r="405">
      <x:c r="A405" s="8" t="str">
        <x:v>Elkford|Transportation System</x:v>
      </x:c>
      <x:c r="B405" s="8" t="str">
        <x:v>elkford-d</x:v>
      </x:c>
      <x:c r="C405" s="8" t="str">
        <x:v>Elkford</x:v>
      </x:c>
      <x:c r="D405" s="8" t="str">
        <x:v>Transportation System</x:v>
      </x:c>
      <x:c r="E405" s="11" t="n">
        <x:v>32883124</x:v>
      </x:c>
      <x:c r="F405" s="11" t="n">
        <x:v>14487059</x:v>
      </x:c>
      <x:c r="G405" s="11" t="n">
        <x:v>18396065</x:v>
      </x:c>
      <x:c r="H405" s="11" t="n">
        <x:v>0</x:v>
      </x:c>
      <x:c r="I405" s="11" t="n">
        <x:v>22130000</x:v>
      </x:c>
      <x:c r="J405" s="11" t="n">
        <x:v>0</x:v>
      </x:c>
      <x:c r="K405" s="12" t="n">
        <x:v>0.559437874576637</x:v>
      </x:c>
      <x:c r="L405" s="12" t="n">
        <x:v>1</x:v>
      </x:c>
      <x:c r="M405" s="8" t="str">
        <x:v>Yes</x:v>
      </x:c>
    </x:row>
    <x:row r="406">
      <x:c r="A406" s="8" t="str">
        <x:v>Elkford|Other Engineering Systems</x:v>
      </x:c>
      <x:c r="B406" s="8" t="str">
        <x:v>elkford-d</x:v>
      </x:c>
      <x:c r="C406" s="8" t="str">
        <x:v>Elkford</x:v>
      </x:c>
      <x:c r="D406" s="8" t="str">
        <x:v>Other Engineering Systems</x:v>
      </x:c>
      <x:c r="E406" s="11" t="n">
        <x:v>0</x:v>
      </x:c>
      <x:c r="F406" s="11" t="n">
        <x:v>0</x:v>
      </x:c>
      <x:c r="G406" s="11" t="n">
        <x:v>0</x:v>
      </x:c>
      <x:c r="H406" s="11" t="n">
        <x:v>0</x:v>
      </x:c>
      <x:c r="I406" s="11" t="n">
        <x:v>0</x:v>
      </x:c>
      <x:c r="J406" s="11" t="n">
        <x:v>0</x:v>
      </x:c>
      <x:c r="K406" s="12"/>
      <x:c r="L406" s="12"/>
      <x:c r="M406" s="8"/>
    </x:row>
    <x:row r="407">
      <x:c r="A407" s="8" t="str">
        <x:v>Elkford|Other Tangible Capital Assets</x:v>
      </x:c>
      <x:c r="B407" s="8" t="str">
        <x:v>elkford-d</x:v>
      </x:c>
      <x:c r="C407" s="8" t="str">
        <x:v>Elkford</x:v>
      </x:c>
      <x:c r="D407" s="8" t="str">
        <x:v>Other Tangible Capital Assets</x:v>
      </x:c>
      <x:c r="E407" s="11" t="n">
        <x:v>0</x:v>
      </x:c>
      <x:c r="F407" s="11" t="n">
        <x:v>0</x:v>
      </x:c>
      <x:c r="G407" s="11" t="n">
        <x:v>0</x:v>
      </x:c>
      <x:c r="H407" s="11" t="n">
        <x:v>0</x:v>
      </x:c>
      <x:c r="I407" s="11" t="n">
        <x:v>0</x:v>
      </x:c>
      <x:c r="J407" s="11" t="n">
        <x:v>0</x:v>
      </x:c>
      <x:c r="K407" s="12"/>
      <x:c r="L407" s="12"/>
      <x:c r="M407" s="8" t="str">
        <x:v>N/A</x:v>
      </x:c>
    </x:row>
    <x:row r="408">
      <x:c r="A408" s="8" t="str">
        <x:v>Elkford|Work In Progress</x:v>
      </x:c>
      <x:c r="B408" s="8" t="str">
        <x:v>elkford-d</x:v>
      </x:c>
      <x:c r="C408" s="8" t="str">
        <x:v>Elkford</x:v>
      </x:c>
      <x:c r="D408" s="8" t="str">
        <x:v>Work In Progress</x:v>
      </x:c>
      <x:c r="E408" s="11" t="n">
        <x:v>1094565</x:v>
      </x:c>
      <x:c r="F408" s="11"/>
      <x:c r="G408" s="11" t="n">
        <x:v>1094565</x:v>
      </x:c>
      <x:c r="H408" s="11" t="n">
        <x:v>1584527</x:v>
      </x:c>
      <x:c r="I408" s="11" t="n">
        <x:v>1094565</x:v>
      </x:c>
      <x:c r="J408" s="11"/>
      <x:c r="K408" s="12" t="n">
        <x:v>1</x:v>
      </x:c>
      <x:c r="L408" s="12"/>
      <x:c r="M408" s="8" t="str">
        <x:v>N/A</x:v>
      </x:c>
    </x:row>
    <x:row r="409">
      <x:c r="A409" s="8" t="str">
        <x:v>Elkford|Total TCA</x:v>
      </x:c>
      <x:c r="B409" s="8" t="str">
        <x:v>elkford-d</x:v>
      </x:c>
      <x:c r="C409" s="8" t="str">
        <x:v>Elkford</x:v>
      </x:c>
      <x:c r="D409" s="8" t="str">
        <x:v>Total TCA</x:v>
      </x:c>
      <x:c r="E409" s="11" t="n">
        <x:v>105583909</x:v>
      </x:c>
      <x:c r="F409" s="11" t="n">
        <x:v>41910866</x:v>
      </x:c>
      <x:c r="G409" s="11" t="n">
        <x:v>63673043</x:v>
      </x:c>
      <x:c r="H409" s="11" t="n">
        <x:v>3981370</x:v>
      </x:c>
      <x:c r="I409" s="11" t="n">
        <x:v>172996959</x:v>
      </x:c>
      <x:c r="J409" s="11" t="n">
        <x:v>1363632</x:v>
      </x:c>
      <x:c r="K409" s="12" t="n">
        <x:v>0.6030563141965126</x:v>
      </x:c>
      <x:c r="L409" s="12" t="n">
        <x:v>0.9921175955468674</x:v>
      </x:c>
      <x:c r="M409" s="8"/>
    </x:row>
    <x:row r="410">
      <x:c r="A410" s="8" t="str">
        <x:v>Enderby|Land</x:v>
      </x:c>
      <x:c r="B410" s="8" t="str">
        <x:v>enderby-c</x:v>
      </x:c>
      <x:c r="C410" s="8" t="str">
        <x:v>Enderby</x:v>
      </x:c>
      <x:c r="D410" s="8" t="str">
        <x:v>Land</x:v>
      </x:c>
      <x:c r="E410" s="11" t="n">
        <x:v>1648517</x:v>
      </x:c>
      <x:c r="F410" s="11"/>
      <x:c r="G410" s="11" t="n">
        <x:v>1648517</x:v>
      </x:c>
      <x:c r="H410" s="11" t="n">
        <x:v>0</x:v>
      </x:c>
      <x:c r="I410" s="11" t="n">
        <x:v>1648517</x:v>
      </x:c>
      <x:c r="J410" s="11"/>
      <x:c r="K410" s="12" t="n">
        <x:v>1</x:v>
      </x:c>
      <x:c r="L410" s="12"/>
      <x:c r="M410" s="8" t="str">
        <x:v>N/A</x:v>
      </x:c>
    </x:row>
    <x:row r="411">
      <x:c r="A411" s="8" t="str">
        <x:v>Enderby|Buildings</x:v>
      </x:c>
      <x:c r="B411" s="8" t="str">
        <x:v>enderby-c</x:v>
      </x:c>
      <x:c r="C411" s="8" t="str">
        <x:v>Enderby</x:v>
      </x:c>
      <x:c r="D411" s="8" t="str">
        <x:v>Buildings</x:v>
      </x:c>
      <x:c r="E411" s="11" t="n">
        <x:v>3034872</x:v>
      </x:c>
      <x:c r="F411" s="11" t="n">
        <x:v>2087474</x:v>
      </x:c>
      <x:c r="G411" s="11" t="n">
        <x:v>947398</x:v>
      </x:c>
      <x:c r="H411" s="11" t="n">
        <x:v>81585</x:v>
      </x:c>
      <x:c r="I411" s="11" t="n">
        <x:v>59139000</x:v>
      </x:c>
      <x:c r="J411" s="11" t="n">
        <x:v>949000</x:v>
      </x:c>
      <x:c r="K411" s="12" t="n">
        <x:v>0.3121706615633213</x:v>
      </x:c>
      <x:c r="L411" s="12" t="n">
        <x:v>0.9839530597406111</x:v>
      </x:c>
      <x:c r="M411" s="8" t="str">
        <x:v>In_Progress</x:v>
      </x:c>
    </x:row>
    <x:row r="412">
      <x:c r="A412" s="8" t="str">
        <x:v>Enderby|Fleet</x:v>
      </x:c>
      <x:c r="B412" s="8" t="str">
        <x:v>enderby-c</x:v>
      </x:c>
      <x:c r="C412" s="8" t="str">
        <x:v>Enderby</x:v>
      </x:c>
      <x:c r="D412" s="8" t="str">
        <x:v>Fleet</x:v>
      </x:c>
      <x:c r="E412" s="11" t="n">
        <x:v>3148954</x:v>
      </x:c>
      <x:c r="F412" s="11" t="n">
        <x:v>1703228</x:v>
      </x:c>
      <x:c r="G412" s="11" t="n">
        <x:v>1445726</x:v>
      </x:c>
      <x:c r="H412" s="11" t="n">
        <x:v>869053</x:v>
      </x:c>
      <x:c r="I412" s="11" t="n">
        <x:v>4720000</x:v>
      </x:c>
      <x:c r="J412" s="11" t="n">
        <x:v>235000</x:v>
      </x:c>
      <x:c r="K412" s="12" t="n">
        <x:v>0.459113089616425</x:v>
      </x:c>
      <x:c r="L412" s="12" t="n">
        <x:v>0.9502118644067796</x:v>
      </x:c>
      <x:c r="M412" s="8" t="str">
        <x:v>Yes</x:v>
      </x:c>
    </x:row>
    <x:row r="413">
      <x:c r="A413" s="8" t="str">
        <x:v>Enderby|Parks and Recreation</x:v>
      </x:c>
      <x:c r="B413" s="8" t="str">
        <x:v>enderby-c</x:v>
      </x:c>
      <x:c r="C413" s="8" t="str">
        <x:v>Enderby</x:v>
      </x:c>
      <x:c r="D413" s="8" t="str">
        <x:v>Parks and Recreation</x:v>
      </x:c>
      <x:c r="E413" s="11" t="n">
        <x:v>1057038</x:v>
      </x:c>
      <x:c r="F413" s="11" t="n">
        <x:v>435844</x:v>
      </x:c>
      <x:c r="G413" s="11" t="n">
        <x:v>621194</x:v>
      </x:c>
      <x:c r="H413" s="11" t="n">
        <x:v>18001</x:v>
      </x:c>
      <x:c r="I413" s="11" t="n">
        <x:v>14940000</x:v>
      </x:c>
      <x:c r="J413" s="11" t="n">
        <x:v>654000</x:v>
      </x:c>
      <x:c r="K413" s="12" t="n">
        <x:v>0.5876742368770091</x:v>
      </x:c>
      <x:c r="L413" s="12" t="n">
        <x:v>0.9562248995983935</x:v>
      </x:c>
      <x:c r="M413" s="8" t="str">
        <x:v>In_Progress</x:v>
      </x:c>
    </x:row>
    <x:row r="414">
      <x:c r="A414" s="8" t="str">
        <x:v>Enderby|Water System</x:v>
      </x:c>
      <x:c r="B414" s="8" t="str">
        <x:v>enderby-c</x:v>
      </x:c>
      <x:c r="C414" s="8" t="str">
        <x:v>Enderby</x:v>
      </x:c>
      <x:c r="D414" s="8" t="str">
        <x:v>Water System</x:v>
      </x:c>
      <x:c r="E414" s="11" t="n">
        <x:v>17838209</x:v>
      </x:c>
      <x:c r="F414" s="11" t="n">
        <x:v>11099589</x:v>
      </x:c>
      <x:c r="G414" s="11" t="n">
        <x:v>6738620</x:v>
      </x:c>
      <x:c r="H414" s="11" t="n">
        <x:v>488694</x:v>
      </x:c>
      <x:c r="I414" s="11" t="n">
        <x:v>56653000</x:v>
      </x:c>
      <x:c r="J414" s="11" t="n">
        <x:v>809000</x:v>
      </x:c>
      <x:c r="K414" s="12" t="n">
        <x:v>0.3777632608744521</x:v>
      </x:c>
      <x:c r="L414" s="12" t="n">
        <x:v>0.985720085432369</x:v>
      </x:c>
      <x:c r="M414" s="8" t="str">
        <x:v>In_Progress</x:v>
      </x:c>
    </x:row>
    <x:row r="415">
      <x:c r="A415" s="8" t="str">
        <x:v>Enderby|Sewer System</x:v>
      </x:c>
      <x:c r="B415" s="8" t="str">
        <x:v>enderby-c</x:v>
      </x:c>
      <x:c r="C415" s="8" t="str">
        <x:v>Enderby</x:v>
      </x:c>
      <x:c r="D415" s="8" t="str">
        <x:v>Sewer System</x:v>
      </x:c>
      <x:c r="E415" s="11" t="n">
        <x:v>11384470</x:v>
      </x:c>
      <x:c r="F415" s="11" t="n">
        <x:v>6403961</x:v>
      </x:c>
      <x:c r="G415" s="11" t="n">
        <x:v>4980509</x:v>
      </x:c>
      <x:c r="H415" s="11" t="n">
        <x:v>492543</x:v>
      </x:c>
      <x:c r="I415" s="11" t="n">
        <x:v>28861000</x:v>
      </x:c>
      <x:c r="J415" s="11" t="n">
        <x:v>593000</x:v>
      </x:c>
      <x:c r="K415" s="12" t="n">
        <x:v>0.4374827286645755</x:v>
      </x:c>
      <x:c r="L415" s="12" t="n">
        <x:v>0.9794532413984269</x:v>
      </x:c>
      <x:c r="M415" s="8" t="str">
        <x:v>In_Progress</x:v>
      </x:c>
    </x:row>
    <x:row r="416">
      <x:c r="A416" s="8" t="str">
        <x:v>Enderby|Drainage System</x:v>
      </x:c>
      <x:c r="B416" s="8" t="str">
        <x:v>enderby-c</x:v>
      </x:c>
      <x:c r="C416" s="8" t="str">
        <x:v>Enderby</x:v>
      </x:c>
      <x:c r="D416" s="8" t="str">
        <x:v>Drainage System</x:v>
      </x:c>
      <x:c r="E416" s="11" t="n">
        <x:v>10523612</x:v>
      </x:c>
      <x:c r="F416" s="11" t="n">
        <x:v>4533934</x:v>
      </x:c>
      <x:c r="G416" s="11" t="n">
        <x:v>5989678</x:v>
      </x:c>
      <x:c r="H416" s="11" t="n">
        <x:v>784884</x:v>
      </x:c>
      <x:c r="I416" s="11" t="n">
        <x:v>15549000</x:v>
      </x:c>
      <x:c r="J416" s="11" t="n">
        <x:v>150000</x:v>
      </x:c>
      <x:c r="K416" s="12" t="n">
        <x:v>0.5691656058775257</x:v>
      </x:c>
      <x:c r="L416" s="12" t="n">
        <x:v>0.9903530773683195</x:v>
      </x:c>
      <x:c r="M416" s="8" t="str">
        <x:v>In_Progress</x:v>
      </x:c>
    </x:row>
    <x:row r="417">
      <x:c r="A417" s="8" t="str">
        <x:v>Enderby|Transportation System</x:v>
      </x:c>
      <x:c r="B417" s="8" t="str">
        <x:v>enderby-c</x:v>
      </x:c>
      <x:c r="C417" s="8" t="str">
        <x:v>Enderby</x:v>
      </x:c>
      <x:c r="D417" s="8" t="str">
        <x:v>Transportation System</x:v>
      </x:c>
      <x:c r="E417" s="11" t="n">
        <x:v>19802274</x:v>
      </x:c>
      <x:c r="F417" s="11" t="n">
        <x:v>8650437</x:v>
      </x:c>
      <x:c r="G417" s="11" t="n">
        <x:v>11151837</x:v>
      </x:c>
      <x:c r="H417" s="11" t="n">
        <x:v>1777877</x:v>
      </x:c>
      <x:c r="I417" s="11" t="n">
        <x:v>22541000</x:v>
      </x:c>
      <x:c r="J417" s="11" t="n">
        <x:v>620000</x:v>
      </x:c>
      <x:c r="K417" s="12" t="n">
        <x:v>0.5631594129037908</x:v>
      </x:c>
      <x:c r="L417" s="12" t="n">
        <x:v>0.9724945654584979</x:v>
      </x:c>
      <x:c r="M417" s="8" t="str">
        <x:v>In_Progress</x:v>
      </x:c>
    </x:row>
    <x:row r="418">
      <x:c r="A418" s="8" t="str">
        <x:v>Enderby|Other Engineering Systems</x:v>
      </x:c>
      <x:c r="B418" s="8" t="str">
        <x:v>enderby-c</x:v>
      </x:c>
      <x:c r="C418" s="8" t="str">
        <x:v>Enderby</x:v>
      </x:c>
      <x:c r="D418" s="8" t="str">
        <x:v>Other Engineering Systems</x:v>
      </x:c>
      <x:c r="E418" s="11" t="n">
        <x:v>0</x:v>
      </x:c>
      <x:c r="F418" s="11" t="n">
        <x:v>0</x:v>
      </x:c>
      <x:c r="G418" s="11" t="n">
        <x:v>0</x:v>
      </x:c>
      <x:c r="H418" s="11" t="n">
        <x:v>0</x:v>
      </x:c>
      <x:c r="I418" s="11" t="n">
        <x:v>0</x:v>
      </x:c>
      <x:c r="J418" s="11" t="n">
        <x:v>0</x:v>
      </x:c>
      <x:c r="K418" s="12"/>
      <x:c r="L418" s="12"/>
      <x:c r="M418" s="8"/>
    </x:row>
    <x:row r="419">
      <x:c r="A419" s="8" t="str">
        <x:v>Enderby|Other Tangible Capital Assets</x:v>
      </x:c>
      <x:c r="B419" s="8" t="str">
        <x:v>enderby-c</x:v>
      </x:c>
      <x:c r="C419" s="8" t="str">
        <x:v>Enderby</x:v>
      </x:c>
      <x:c r="D419" s="8" t="str">
        <x:v>Other Tangible Capital Assets</x:v>
      </x:c>
      <x:c r="E419" s="11" t="n">
        <x:v>768910</x:v>
      </x:c>
      <x:c r="F419" s="11" t="n">
        <x:v>539166</x:v>
      </x:c>
      <x:c r="G419" s="11" t="n">
        <x:v>229744</x:v>
      </x:c>
      <x:c r="H419" s="11" t="n">
        <x:v>144998</x:v>
      </x:c>
      <x:c r="I419" s="11" t="n">
        <x:v>575000</x:v>
      </x:c>
      <x:c r="J419" s="11" t="n">
        <x:v>8000</x:v>
      </x:c>
      <x:c r="K419" s="12" t="n">
        <x:v>0.29879179617900664</x:v>
      </x:c>
      <x:c r="L419" s="12" t="n">
        <x:v>0.9860869565217392</x:v>
      </x:c>
      <x:c r="M419" s="8" t="str">
        <x:v>N/A</x:v>
      </x:c>
    </x:row>
    <x:row r="420">
      <x:c r="A420" s="8" t="str">
        <x:v>Enderby|Work In Progress</x:v>
      </x:c>
      <x:c r="B420" s="8" t="str">
        <x:v>enderby-c</x:v>
      </x:c>
      <x:c r="C420" s="8" t="str">
        <x:v>Enderby</x:v>
      </x:c>
      <x:c r="D420" s="8" t="str">
        <x:v>Work In Progress</x:v>
      </x:c>
      <x:c r="E420" s="11" t="n">
        <x:v>1044336</x:v>
      </x:c>
      <x:c r="F420" s="11"/>
      <x:c r="G420" s="11" t="n">
        <x:v>1044336</x:v>
      </x:c>
      <x:c r="H420" s="11" t="n">
        <x:v>421355</x:v>
      </x:c>
      <x:c r="I420" s="11" t="n">
        <x:v>1044336</x:v>
      </x:c>
      <x:c r="J420" s="11"/>
      <x:c r="K420" s="12" t="n">
        <x:v>1</x:v>
      </x:c>
      <x:c r="L420" s="12"/>
      <x:c r="M420" s="8" t="str">
        <x:v>N/A</x:v>
      </x:c>
    </x:row>
    <x:row r="421">
      <x:c r="A421" s="8" t="str">
        <x:v>Enderby|Total TCA</x:v>
      </x:c>
      <x:c r="B421" s="8" t="str">
        <x:v>enderby-c</x:v>
      </x:c>
      <x:c r="C421" s="8" t="str">
        <x:v>Enderby</x:v>
      </x:c>
      <x:c r="D421" s="8" t="str">
        <x:v>Total TCA</x:v>
      </x:c>
      <x:c r="E421" s="11" t="n">
        <x:v>70251192</x:v>
      </x:c>
      <x:c r="F421" s="11" t="n">
        <x:v>35453633</x:v>
      </x:c>
      <x:c r="G421" s="11" t="n">
        <x:v>34797559</x:v>
      </x:c>
      <x:c r="H421" s="11" t="n">
        <x:v>5078990</x:v>
      </x:c>
      <x:c r="I421" s="11" t="n">
        <x:v>205670853</x:v>
      </x:c>
      <x:c r="J421" s="11" t="n">
        <x:v>4018000</x:v>
      </x:c>
      <x:c r="K421" s="12" t="n">
        <x:v>0.49533051339541684</x:v>
      </x:c>
      <x:c r="L421" s="12" t="n">
        <x:v>0.9804639308808624</x:v>
      </x:c>
      <x:c r="M421" s="8"/>
    </x:row>
    <x:row r="422">
      <x:c r="A422" s="8" t="str">
        <x:v>Esquimalt|Land</x:v>
      </x:c>
      <x:c r="B422" s="8" t="str">
        <x:v>esquimalt-d</x:v>
      </x:c>
      <x:c r="C422" s="8" t="str">
        <x:v>Esquimalt</x:v>
      </x:c>
      <x:c r="D422" s="8" t="str">
        <x:v>Land</x:v>
      </x:c>
      <x:c r="E422" s="11" t="n">
        <x:v>28682148</x:v>
      </x:c>
      <x:c r="F422" s="11"/>
      <x:c r="G422" s="11" t="n">
        <x:v>28682148</x:v>
      </x:c>
      <x:c r="H422" s="11" t="n">
        <x:v>0</x:v>
      </x:c>
      <x:c r="I422" s="11" t="n">
        <x:v>28682148</x:v>
      </x:c>
      <x:c r="J422" s="11"/>
      <x:c r="K422" s="12" t="n">
        <x:v>1</x:v>
      </x:c>
      <x:c r="L422" s="12"/>
      <x:c r="M422" s="8" t="str">
        <x:v>N/A</x:v>
      </x:c>
    </x:row>
    <x:row r="423">
      <x:c r="A423" s="8" t="str">
        <x:v>Esquimalt|Buildings</x:v>
      </x:c>
      <x:c r="B423" s="8" t="str">
        <x:v>esquimalt-d</x:v>
      </x:c>
      <x:c r="C423" s="8" t="str">
        <x:v>Esquimalt</x:v>
      </x:c>
      <x:c r="D423" s="8" t="str">
        <x:v>Buildings</x:v>
      </x:c>
      <x:c r="E423" s="11" t="n">
        <x:v>42772265</x:v>
      </x:c>
      <x:c r="F423" s="11" t="n">
        <x:v>17576007</x:v>
      </x:c>
      <x:c r="G423" s="11" t="n">
        <x:v>25196258</x:v>
      </x:c>
      <x:c r="H423" s="11" t="n">
        <x:v>60897</x:v>
      </x:c>
      <x:c r="I423" s="11" t="n">
        <x:v>42772265</x:v>
      </x:c>
      <x:c r="J423" s="11" t="n">
        <x:v>1379125</x:v>
      </x:c>
      <x:c r="K423" s="12" t="n">
        <x:v>0.5890793484983786</x:v>
      </x:c>
      <x:c r="L423" s="12" t="n">
        <x:v>0.967756559069294</x:v>
      </x:c>
      <x:c r="M423" s="8" t="str">
        <x:v>In_Progress</x:v>
      </x:c>
    </x:row>
    <x:row r="424">
      <x:c r="A424" s="8" t="str">
        <x:v>Esquimalt|Fleet</x:v>
      </x:c>
      <x:c r="B424" s="8" t="str">
        <x:v>esquimalt-d</x:v>
      </x:c>
      <x:c r="C424" s="8" t="str">
        <x:v>Esquimalt</x:v>
      </x:c>
      <x:c r="D424" s="8" t="str">
        <x:v>Fleet</x:v>
      </x:c>
      <x:c r="E424" s="11" t="n">
        <x:v>7572589</x:v>
      </x:c>
      <x:c r="F424" s="11" t="n">
        <x:v>4523232</x:v>
      </x:c>
      <x:c r="G424" s="11" t="n">
        <x:v>3049357</x:v>
      </x:c>
      <x:c r="H424" s="11" t="n">
        <x:v>376578</x:v>
      </x:c>
      <x:c r="I424" s="11" t="n">
        <x:v>7572589</x:v>
      </x:c>
      <x:c r="J424" s="11" t="n">
        <x:v>301794</x:v>
      </x:c>
      <x:c r="K424" s="12" t="n">
        <x:v>0.4026835471989831</x:v>
      </x:c>
      <x:c r="L424" s="12" t="n">
        <x:v>0.9601465232036229</x:v>
      </x:c>
      <x:c r="M424" s="8" t="str">
        <x:v>In_Progress</x:v>
      </x:c>
    </x:row>
    <x:row r="425">
      <x:c r="A425" s="8" t="str">
        <x:v>Esquimalt|Parks and Recreation</x:v>
      </x:c>
      <x:c r="B425" s="8" t="str">
        <x:v>esquimalt-d</x:v>
      </x:c>
      <x:c r="C425" s="8" t="str">
        <x:v>Esquimalt</x:v>
      </x:c>
      <x:c r="D425" s="8" t="str">
        <x:v>Parks and Recreation</x:v>
      </x:c>
      <x:c r="E425" s="11" t="n">
        <x:v>12837105</x:v>
      </x:c>
      <x:c r="F425" s="11" t="n">
        <x:v>9393258</x:v>
      </x:c>
      <x:c r="G425" s="11" t="n">
        <x:v>3443847</x:v>
      </x:c>
      <x:c r="H425" s="11" t="n">
        <x:v>216748</x:v>
      </x:c>
      <x:c r="I425" s="11" t="n">
        <x:v>12837105</x:v>
      </x:c>
      <x:c r="J425" s="11" t="n">
        <x:v>301002</x:v>
      </x:c>
      <x:c r="K425" s="12" t="n">
        <x:v>0.26827286993445953</x:v>
      </x:c>
      <x:c r="L425" s="12" t="n">
        <x:v>0.9765521899213258</x:v>
      </x:c>
      <x:c r="M425" s="8" t="str">
        <x:v>In_Progress</x:v>
      </x:c>
    </x:row>
    <x:row r="426">
      <x:c r="A426" s="8" t="str">
        <x:v>Esquimalt|Water System</x:v>
      </x:c>
      <x:c r="B426" s="8" t="str">
        <x:v>esquimalt-d</x:v>
      </x:c>
      <x:c r="C426" s="8" t="str">
        <x:v>Esquimalt</x:v>
      </x:c>
      <x:c r="D426" s="8" t="str">
        <x:v>Water System</x:v>
      </x:c>
      <x:c r="E426" s="11" t="n">
        <x:v>0</x:v>
      </x:c>
      <x:c r="F426" s="11" t="n">
        <x:v>0</x:v>
      </x:c>
      <x:c r="G426" s="11" t="n">
        <x:v>0</x:v>
      </x:c>
      <x:c r="H426" s="11" t="n">
        <x:v>0</x:v>
      </x:c>
      <x:c r="I426" s="11" t="n">
        <x:v>0</x:v>
      </x:c>
      <x:c r="J426" s="11" t="n">
        <x:v>0</x:v>
      </x:c>
      <x:c r="K426" s="12"/>
      <x:c r="L426" s="12"/>
      <x:c r="M426" s="8"/>
    </x:row>
    <x:row r="427">
      <x:c r="A427" s="8" t="str">
        <x:v>Esquimalt|Sewer System</x:v>
      </x:c>
      <x:c r="B427" s="8" t="str">
        <x:v>esquimalt-d</x:v>
      </x:c>
      <x:c r="C427" s="8" t="str">
        <x:v>Esquimalt</x:v>
      </x:c>
      <x:c r="D427" s="8" t="str">
        <x:v>Sewer System</x:v>
      </x:c>
      <x:c r="E427" s="11" t="n">
        <x:v>13223284</x:v>
      </x:c>
      <x:c r="F427" s="11" t="n">
        <x:v>6716999</x:v>
      </x:c>
      <x:c r="G427" s="11" t="n">
        <x:v>6506285</x:v>
      </x:c>
      <x:c r="H427" s="11" t="n">
        <x:v>147153</x:v>
      </x:c>
      <x:c r="I427" s="11" t="n">
        <x:v>13223284</x:v>
      </x:c>
      <x:c r="J427" s="11" t="n">
        <x:v>209697</x:v>
      </x:c>
      <x:c r="K427" s="12" t="n">
        <x:v>0.4920324633426916</x:v>
      </x:c>
      <x:c r="L427" s="12" t="n">
        <x:v>0.9841418364757196</x:v>
      </x:c>
      <x:c r="M427" s="8" t="str">
        <x:v>In_Progress</x:v>
      </x:c>
    </x:row>
    <x:row r="428">
      <x:c r="A428" s="8" t="str">
        <x:v>Esquimalt|Drainage System</x:v>
      </x:c>
      <x:c r="B428" s="8" t="str">
        <x:v>esquimalt-d</x:v>
      </x:c>
      <x:c r="C428" s="8" t="str">
        <x:v>Esquimalt</x:v>
      </x:c>
      <x:c r="D428" s="8" t="str">
        <x:v>Drainage System</x:v>
      </x:c>
      <x:c r="E428" s="11" t="n">
        <x:v>15097327</x:v>
      </x:c>
      <x:c r="F428" s="11" t="n">
        <x:v>8588972</x:v>
      </x:c>
      <x:c r="G428" s="11" t="n">
        <x:v>6508355</x:v>
      </x:c>
      <x:c r="H428" s="11" t="n">
        <x:v>124086</x:v>
      </x:c>
      <x:c r="I428" s="11" t="n">
        <x:v>15097327</x:v>
      </x:c>
      <x:c r="J428" s="11" t="n">
        <x:v>212169</x:v>
      </x:c>
      <x:c r="K428" s="12" t="n">
        <x:v>0.4310931994782918</x:v>
      </x:c>
      <x:c r="L428" s="12" t="n">
        <x:v>0.9859465851140404</x:v>
      </x:c>
      <x:c r="M428" s="8" t="str">
        <x:v>In_Progress</x:v>
      </x:c>
    </x:row>
    <x:row r="429">
      <x:c r="A429" s="8" t="str">
        <x:v>Esquimalt|Transportation System</x:v>
      </x:c>
      <x:c r="B429" s="8" t="str">
        <x:v>esquimalt-d</x:v>
      </x:c>
      <x:c r="C429" s="8" t="str">
        <x:v>Esquimalt</x:v>
      </x:c>
      <x:c r="D429" s="8" t="str">
        <x:v>Transportation System</x:v>
      </x:c>
      <x:c r="E429" s="11" t="n">
        <x:v>49855708</x:v>
      </x:c>
      <x:c r="F429" s="11" t="n">
        <x:v>28618474</x:v>
      </x:c>
      <x:c r="G429" s="11" t="n">
        <x:v>21237234</x:v>
      </x:c>
      <x:c r="H429" s="11" t="n">
        <x:v>5237629</x:v>
      </x:c>
      <x:c r="I429" s="11" t="n">
        <x:v>49855708</x:v>
      </x:c>
      <x:c r="J429" s="11" t="n">
        <x:v>1181702</x:v>
      </x:c>
      <x:c r="K429" s="12" t="n">
        <x:v>0.4259739727294616</x:v>
      </x:c>
      <x:c r="L429" s="12" t="n">
        <x:v>0.9762975585463554</x:v>
      </x:c>
      <x:c r="M429" s="8" t="str">
        <x:v>In_Progress</x:v>
      </x:c>
    </x:row>
    <x:row r="430">
      <x:c r="A430" s="8" t="str">
        <x:v>Esquimalt|Other Engineering Systems</x:v>
      </x:c>
      <x:c r="B430" s="8" t="str">
        <x:v>esquimalt-d</x:v>
      </x:c>
      <x:c r="C430" s="8" t="str">
        <x:v>Esquimalt</x:v>
      </x:c>
      <x:c r="D430" s="8" t="str">
        <x:v>Other Engineering Systems</x:v>
      </x:c>
      <x:c r="E430" s="11" t="n">
        <x:v>0</x:v>
      </x:c>
      <x:c r="F430" s="11" t="n">
        <x:v>0</x:v>
      </x:c>
      <x:c r="G430" s="11" t="n">
        <x:v>0</x:v>
      </x:c>
      <x:c r="H430" s="11" t="n">
        <x:v>0</x:v>
      </x:c>
      <x:c r="I430" s="11" t="n">
        <x:v>0</x:v>
      </x:c>
      <x:c r="J430" s="11" t="n">
        <x:v>0</x:v>
      </x:c>
      <x:c r="K430" s="12"/>
      <x:c r="L430" s="12"/>
      <x:c r="M430" s="8"/>
    </x:row>
    <x:row r="431">
      <x:c r="A431" s="8" t="str">
        <x:v>Esquimalt|Other Tangible Capital Assets</x:v>
      </x:c>
      <x:c r="B431" s="8" t="str">
        <x:v>esquimalt-d</x:v>
      </x:c>
      <x:c r="C431" s="8" t="str">
        <x:v>Esquimalt</x:v>
      </x:c>
      <x:c r="D431" s="8" t="str">
        <x:v>Other Tangible Capital Assets</x:v>
      </x:c>
      <x:c r="E431" s="11" t="n">
        <x:v>13500329</x:v>
      </x:c>
      <x:c r="F431" s="11" t="n">
        <x:v>8906958</x:v>
      </x:c>
      <x:c r="G431" s="11" t="n">
        <x:v>4593371</x:v>
      </x:c>
      <x:c r="H431" s="11" t="n">
        <x:v>1227136</x:v>
      </x:c>
      <x:c r="I431" s="11" t="n">
        <x:v>13500329</x:v>
      </x:c>
      <x:c r="J431" s="11" t="n">
        <x:v>789677</x:v>
      </x:c>
      <x:c r="K431" s="12" t="n">
        <x:v>0.3402414118944805</x:v>
      </x:c>
      <x:c r="L431" s="12" t="n">
        <x:v>0.9415068329075535</x:v>
      </x:c>
      <x:c r="M431" s="8" t="str">
        <x:v>N/A</x:v>
      </x:c>
    </x:row>
    <x:row r="432">
      <x:c r="A432" s="8" t="str">
        <x:v>Esquimalt|Work In Progress</x:v>
      </x:c>
      <x:c r="B432" s="8" t="str">
        <x:v>esquimalt-d</x:v>
      </x:c>
      <x:c r="C432" s="8" t="str">
        <x:v>Esquimalt</x:v>
      </x:c>
      <x:c r="D432" s="8" t="str">
        <x:v>Work In Progress</x:v>
      </x:c>
      <x:c r="E432" s="11" t="n">
        <x:v>11644248</x:v>
      </x:c>
      <x:c r="F432" s="11"/>
      <x:c r="G432" s="11" t="n">
        <x:v>11644248</x:v>
      </x:c>
      <x:c r="H432" s="11" t="n">
        <x:v>1952703</x:v>
      </x:c>
      <x:c r="I432" s="11" t="n">
        <x:v>11644248</x:v>
      </x:c>
      <x:c r="J432" s="11"/>
      <x:c r="K432" s="12" t="n">
        <x:v>1</x:v>
      </x:c>
      <x:c r="L432" s="12"/>
      <x:c r="M432" s="8" t="str">
        <x:v>N/A</x:v>
      </x:c>
    </x:row>
    <x:row r="433">
      <x:c r="A433" s="8" t="str">
        <x:v>Esquimalt|Total TCA</x:v>
      </x:c>
      <x:c r="B433" s="8" t="str">
        <x:v>esquimalt-d</x:v>
      </x:c>
      <x:c r="C433" s="8" t="str">
        <x:v>Esquimalt</x:v>
      </x:c>
      <x:c r="D433" s="8" t="str">
        <x:v>Total TCA</x:v>
      </x:c>
      <x:c r="E433" s="11" t="n">
        <x:v>195185003</x:v>
      </x:c>
      <x:c r="F433" s="11" t="n">
        <x:v>84323900</x:v>
      </x:c>
      <x:c r="G433" s="11" t="n">
        <x:v>110861103</x:v>
      </x:c>
      <x:c r="H433" s="11" t="n">
        <x:v>9342930</x:v>
      </x:c>
      <x:c r="I433" s="11" t="n">
        <x:v>195185003</x:v>
      </x:c>
      <x:c r="J433" s="11" t="n">
        <x:v>4375166</x:v>
      </x:c>
      <x:c r="K433" s="12" t="n">
        <x:v>0.567979615728981</x:v>
      </x:c>
      <x:c r="L433" s="12" t="n">
        <x:v>0.9775845175973894</x:v>
      </x:c>
      <x:c r="M433" s="8"/>
    </x:row>
    <x:row r="434">
      <x:c r="A434" s="8" t="str">
        <x:v>Fernie|Land</x:v>
      </x:c>
      <x:c r="B434" s="8" t="str">
        <x:v>fernie-c</x:v>
      </x:c>
      <x:c r="C434" s="8" t="str">
        <x:v>Fernie</x:v>
      </x:c>
      <x:c r="D434" s="8" t="str">
        <x:v>Land</x:v>
      </x:c>
      <x:c r="E434" s="11" t="n">
        <x:v>4413960</x:v>
      </x:c>
      <x:c r="F434" s="11"/>
      <x:c r="G434" s="11" t="n">
        <x:v>4413960</x:v>
      </x:c>
      <x:c r="H434" s="11" t="n">
        <x:v>0</x:v>
      </x:c>
      <x:c r="I434" s="11" t="n">
        <x:v>4413960</x:v>
      </x:c>
      <x:c r="J434" s="11"/>
      <x:c r="K434" s="12" t="n">
        <x:v>1</x:v>
      </x:c>
      <x:c r="L434" s="12"/>
      <x:c r="M434" s="8" t="str">
        <x:v>N/A</x:v>
      </x:c>
    </x:row>
    <x:row r="435">
      <x:c r="A435" s="8" t="str">
        <x:v>Fernie|Buildings</x:v>
      </x:c>
      <x:c r="B435" s="8" t="str">
        <x:v>fernie-c</x:v>
      </x:c>
      <x:c r="C435" s="8" t="str">
        <x:v>Fernie</x:v>
      </x:c>
      <x:c r="D435" s="8" t="str">
        <x:v>Buildings</x:v>
      </x:c>
      <x:c r="E435" s="11" t="n">
        <x:v>27847711</x:v>
      </x:c>
      <x:c r="F435" s="11" t="n">
        <x:v>11018999</x:v>
      </x:c>
      <x:c r="G435" s="11" t="n">
        <x:v>16828712</x:v>
      </x:c>
      <x:c r="H435" s="11" t="n">
        <x:v>478157</x:v>
      </x:c>
      <x:c r="I435" s="11" t="n">
        <x:v>94976440</x:v>
      </x:c>
      <x:c r="J435" s="11" t="n">
        <x:v>1319117</x:v>
      </x:c>
      <x:c r="K435" s="12" t="n">
        <x:v>0.6043122179772693</x:v>
      </x:c>
      <x:c r="L435" s="12" t="n">
        <x:v>0.9861111134508727</x:v>
      </x:c>
      <x:c r="M435" s="8" t="str">
        <x:v>In_Progress</x:v>
      </x:c>
    </x:row>
    <x:row r="436">
      <x:c r="A436" s="8" t="str">
        <x:v>Fernie|Fleet</x:v>
      </x:c>
      <x:c r="B436" s="8" t="str">
        <x:v>fernie-c</x:v>
      </x:c>
      <x:c r="C436" s="8" t="str">
        <x:v>Fernie</x:v>
      </x:c>
      <x:c r="D436" s="8" t="str">
        <x:v>Fleet</x:v>
      </x:c>
      <x:c r="E436" s="11" t="n">
        <x:v>14478454</x:v>
      </x:c>
      <x:c r="F436" s="11" t="n">
        <x:v>9243371</x:v>
      </x:c>
      <x:c r="G436" s="11" t="n">
        <x:v>5235083</x:v>
      </x:c>
      <x:c r="H436" s="11" t="n">
        <x:v>1181386</x:v>
      </x:c>
      <x:c r="I436" s="11" t="n">
        <x:v>15594339</x:v>
      </x:c>
      <x:c r="J436" s="11" t="n">
        <x:v>1039623</x:v>
      </x:c>
      <x:c r="K436" s="12" t="n">
        <x:v>0.36157748610452467</x:v>
      </x:c>
      <x:c r="L436" s="12" t="n">
        <x:v>0.9333333076829996</x:v>
      </x:c>
      <x:c r="M436" s="8" t="str">
        <x:v>In_Progress</x:v>
      </x:c>
    </x:row>
    <x:row r="437">
      <x:c r="A437" s="8" t="str">
        <x:v>Fernie|Parks and Recreation</x:v>
      </x:c>
      <x:c r="B437" s="8" t="str">
        <x:v>fernie-c</x:v>
      </x:c>
      <x:c r="C437" s="8" t="str">
        <x:v>Fernie</x:v>
      </x:c>
      <x:c r="D437" s="8" t="str">
        <x:v>Parks and Recreation</x:v>
      </x:c>
      <x:c r="E437" s="11" t="n">
        <x:v>15035272</x:v>
      </x:c>
      <x:c r="F437" s="11" t="n">
        <x:v>1922661</x:v>
      </x:c>
      <x:c r="G437" s="11" t="n">
        <x:v>13112611</x:v>
      </x:c>
      <x:c r="H437" s="11" t="n">
        <x:v>2548597</x:v>
      </x:c>
      <x:c r="I437" s="11" t="n">
        <x:v>25456198</x:v>
      </x:c>
      <x:c r="J437" s="11" t="n">
        <x:v>1018248</x:v>
      </x:c>
      <x:c r="K437" s="12" t="n">
        <x:v>0.8721232978026603</x:v>
      </x:c>
      <x:c r="L437" s="12" t="n">
        <x:v>0.9599999968573469</x:v>
      </x:c>
      <x:c r="M437" s="8" t="str">
        <x:v>In_Progress</x:v>
      </x:c>
    </x:row>
    <x:row r="438">
      <x:c r="A438" s="8" t="str">
        <x:v>Fernie|Water System</x:v>
      </x:c>
      <x:c r="B438" s="8" t="str">
        <x:v>fernie-c</x:v>
      </x:c>
      <x:c r="C438" s="8" t="str">
        <x:v>Fernie</x:v>
      </x:c>
      <x:c r="D438" s="8" t="str">
        <x:v>Water System</x:v>
      </x:c>
      <x:c r="E438" s="11" t="n">
        <x:v>38989296</x:v>
      </x:c>
      <x:c r="F438" s="11" t="n">
        <x:v>11183684</x:v>
      </x:c>
      <x:c r="G438" s="11" t="n">
        <x:v>27805612</x:v>
      </x:c>
      <x:c r="H438" s="11" t="n">
        <x:v>383797</x:v>
      </x:c>
      <x:c r="I438" s="11" t="n">
        <x:v>58886174</x:v>
      </x:c>
      <x:c r="J438" s="11" t="n">
        <x:v>1008166</x:v>
      </x:c>
      <x:c r="K438" s="12" t="n">
        <x:v>0.7131601452870552</x:v>
      </x:c>
      <x:c r="L438" s="12" t="n">
        <x:v>0.9828794107085307</x:v>
      </x:c>
      <x:c r="M438" s="8" t="str">
        <x:v>In_Progress</x:v>
      </x:c>
    </x:row>
    <x:row r="439">
      <x:c r="A439" s="8" t="str">
        <x:v>Fernie|Sewer System</x:v>
      </x:c>
      <x:c r="B439" s="8" t="str">
        <x:v>fernie-c</x:v>
      </x:c>
      <x:c r="C439" s="8" t="str">
        <x:v>Fernie</x:v>
      </x:c>
      <x:c r="D439" s="8" t="str">
        <x:v>Sewer System</x:v>
      </x:c>
      <x:c r="E439" s="11" t="n">
        <x:v>28934056</x:v>
      </x:c>
      <x:c r="F439" s="11" t="n">
        <x:v>12195448</x:v>
      </x:c>
      <x:c r="G439" s="11" t="n">
        <x:v>16738608</x:v>
      </x:c>
      <x:c r="H439" s="11" t="n">
        <x:v>103877</x:v>
      </x:c>
      <x:c r="I439" s="11" t="n">
        <x:v>41426092</x:v>
      </x:c>
      <x:c r="J439" s="11" t="n">
        <x:v>617919</x:v>
      </x:c>
      <x:c r="K439" s="12" t="n">
        <x:v>0.5785088685803331</x:v>
      </x:c>
      <x:c r="L439" s="12" t="n">
        <x:v>0.985083821085513</x:v>
      </x:c>
      <x:c r="M439" s="8" t="str">
        <x:v>In_Progress</x:v>
      </x:c>
    </x:row>
    <x:row r="440">
      <x:c r="A440" s="8" t="str">
        <x:v>Fernie|Drainage System</x:v>
      </x:c>
      <x:c r="B440" s="8" t="str">
        <x:v>fernie-c</x:v>
      </x:c>
      <x:c r="C440" s="8" t="str">
        <x:v>Fernie</x:v>
      </x:c>
      <x:c r="D440" s="8" t="str">
        <x:v>Drainage System</x:v>
      </x:c>
      <x:c r="E440" s="11" t="n">
        <x:v>12295932</x:v>
      </x:c>
      <x:c r="F440" s="11" t="n">
        <x:v>6120208</x:v>
      </x:c>
      <x:c r="G440" s="11" t="n">
        <x:v>6175724</x:v>
      </x:c>
      <x:c r="H440" s="11" t="n">
        <x:v>92948</x:v>
      </x:c>
      <x:c r="I440" s="11" t="n">
        <x:v>30242160</x:v>
      </x:c>
      <x:c r="J440" s="11" t="n">
        <x:v>403229</x:v>
      </x:c>
      <x:c r="K440" s="12" t="n">
        <x:v>0.5022574945925206</x:v>
      </x:c>
      <x:c r="L440" s="12" t="n">
        <x:v>0.9866666600533824</x:v>
      </x:c>
      <x:c r="M440" s="8" t="str">
        <x:v>In_Progress</x:v>
      </x:c>
    </x:row>
    <x:row r="441">
      <x:c r="A441" s="8" t="str">
        <x:v>Fernie|Transportation System</x:v>
      </x:c>
      <x:c r="B441" s="8" t="str">
        <x:v>fernie-c</x:v>
      </x:c>
      <x:c r="C441" s="8" t="str">
        <x:v>Fernie</x:v>
      </x:c>
      <x:c r="D441" s="8" t="str">
        <x:v>Transportation System</x:v>
      </x:c>
      <x:c r="E441" s="11" t="n">
        <x:v>46235209</x:v>
      </x:c>
      <x:c r="F441" s="11" t="n">
        <x:v>23998201</x:v>
      </x:c>
      <x:c r="G441" s="11" t="n">
        <x:v>22237008</x:v>
      </x:c>
      <x:c r="H441" s="11" t="n">
        <x:v>1692305</x:v>
      </x:c>
      <x:c r="I441" s="11" t="n">
        <x:v>88140126</x:v>
      </x:c>
      <x:c r="J441" s="11" t="n">
        <x:v>1351532</x:v>
      </x:c>
      <x:c r="K441" s="12" t="n">
        <x:v>0.48095398465701755</x:v>
      </x:c>
      <x:c r="L441" s="12" t="n">
        <x:v>0.9846660986166504</x:v>
      </x:c>
      <x:c r="M441" s="8" t="str">
        <x:v>In_Progress</x:v>
      </x:c>
    </x:row>
    <x:row r="442">
      <x:c r="A442" s="8" t="str">
        <x:v>Fernie|Other Engineering Systems</x:v>
      </x:c>
      <x:c r="B442" s="8" t="str">
        <x:v>fernie-c</x:v>
      </x:c>
      <x:c r="C442" s="8" t="str">
        <x:v>Fernie</x:v>
      </x:c>
      <x:c r="D442" s="8" t="str">
        <x:v>Other Engineering Systems</x:v>
      </x:c>
      <x:c r="E442" s="11" t="n">
        <x:v>0</x:v>
      </x:c>
      <x:c r="F442" s="11" t="n">
        <x:v>0</x:v>
      </x:c>
      <x:c r="G442" s="11" t="n">
        <x:v>0</x:v>
      </x:c>
      <x:c r="H442" s="11" t="n">
        <x:v>0</x:v>
      </x:c>
      <x:c r="I442" s="11" t="n">
        <x:v>0</x:v>
      </x:c>
      <x:c r="J442" s="11" t="n">
        <x:v>0</x:v>
      </x:c>
      <x:c r="K442" s="12"/>
      <x:c r="L442" s="12"/>
      <x:c r="M442" s="8"/>
    </x:row>
    <x:row r="443">
      <x:c r="A443" s="8" t="str">
        <x:v>Fernie|Other Tangible Capital Assets</x:v>
      </x:c>
      <x:c r="B443" s="8" t="str">
        <x:v>fernie-c</x:v>
      </x:c>
      <x:c r="C443" s="8" t="str">
        <x:v>Fernie</x:v>
      </x:c>
      <x:c r="D443" s="8" t="str">
        <x:v>Other Tangible Capital Assets</x:v>
      </x:c>
      <x:c r="E443" s="11" t="n">
        <x:v>0</x:v>
      </x:c>
      <x:c r="F443" s="11" t="n">
        <x:v>0</x:v>
      </x:c>
      <x:c r="G443" s="11" t="n">
        <x:v>0</x:v>
      </x:c>
      <x:c r="H443" s="11" t="n">
        <x:v>0</x:v>
      </x:c>
      <x:c r="I443" s="11" t="n">
        <x:v>0</x:v>
      </x:c>
      <x:c r="J443" s="11" t="n">
        <x:v>0</x:v>
      </x:c>
      <x:c r="K443" s="12"/>
      <x:c r="L443" s="12"/>
      <x:c r="M443" s="8" t="str">
        <x:v>N/A</x:v>
      </x:c>
    </x:row>
    <x:row r="444">
      <x:c r="A444" s="8" t="str">
        <x:v>Fernie|Work In Progress</x:v>
      </x:c>
      <x:c r="B444" s="8" t="str">
        <x:v>fernie-c</x:v>
      </x:c>
      <x:c r="C444" s="8" t="str">
        <x:v>Fernie</x:v>
      </x:c>
      <x:c r="D444" s="8" t="str">
        <x:v>Work In Progress</x:v>
      </x:c>
      <x:c r="E444" s="11" t="n">
        <x:v>6381384</x:v>
      </x:c>
      <x:c r="F444" s="11"/>
      <x:c r="G444" s="11" t="n">
        <x:v>6381384</x:v>
      </x:c>
      <x:c r="H444" s="11" t="n">
        <x:v>-1198931</x:v>
      </x:c>
      <x:c r="I444" s="11" t="n">
        <x:v>6381384</x:v>
      </x:c>
      <x:c r="J444" s="11"/>
      <x:c r="K444" s="12" t="n">
        <x:v>1</x:v>
      </x:c>
      <x:c r="L444" s="12"/>
      <x:c r="M444" s="8" t="str">
        <x:v>N/A</x:v>
      </x:c>
    </x:row>
    <x:row r="445">
      <x:c r="A445" s="8" t="str">
        <x:v>Fernie|Total TCA</x:v>
      </x:c>
      <x:c r="B445" s="8" t="str">
        <x:v>fernie-c</x:v>
      </x:c>
      <x:c r="C445" s="8" t="str">
        <x:v>Fernie</x:v>
      </x:c>
      <x:c r="D445" s="8" t="str">
        <x:v>Total TCA</x:v>
      </x:c>
      <x:c r="E445" s="11" t="n">
        <x:v>194611274</x:v>
      </x:c>
      <x:c r="F445" s="11" t="n">
        <x:v>75682572</x:v>
      </x:c>
      <x:c r="G445" s="11" t="n">
        <x:v>118928702</x:v>
      </x:c>
      <x:c r="H445" s="11" t="n">
        <x:v>5282136</x:v>
      </x:c>
      <x:c r="I445" s="11" t="n">
        <x:v>365516873</x:v>
      </x:c>
      <x:c r="J445" s="11" t="n">
        <x:v>6757834</x:v>
      </x:c>
      <x:c r="K445" s="12" t="n">
        <x:v>0.6111090049181838</x:v>
      </x:c>
      <x:c r="L445" s="12" t="n">
        <x:v>0.9815115675932148</x:v>
      </x:c>
      <x:c r="M445" s="8"/>
    </x:row>
    <x:row r="446">
      <x:c r="A446" s="8" t="str">
        <x:v>Fort St. James|Land</x:v>
      </x:c>
      <x:c r="B446" s="8" t="str">
        <x:v>fort-st-james-d</x:v>
      </x:c>
      <x:c r="C446" s="8" t="str">
        <x:v>Fort St. James</x:v>
      </x:c>
      <x:c r="D446" s="8" t="str">
        <x:v>Land</x:v>
      </x:c>
      <x:c r="E446" s="11" t="n">
        <x:v>1309686</x:v>
      </x:c>
      <x:c r="F446" s="11"/>
      <x:c r="G446" s="11" t="n">
        <x:v>1309686</x:v>
      </x:c>
      <x:c r="H446" s="11" t="n">
        <x:v>20789</x:v>
      </x:c>
      <x:c r="I446" s="11" t="n">
        <x:v>1309686</x:v>
      </x:c>
      <x:c r="J446" s="11"/>
      <x:c r="K446" s="12" t="n">
        <x:v>1</x:v>
      </x:c>
      <x:c r="L446" s="12"/>
      <x:c r="M446" s="8" t="str">
        <x:v>N/A</x:v>
      </x:c>
    </x:row>
    <x:row r="447">
      <x:c r="A447" s="8" t="str">
        <x:v>Fort St. James|Buildings</x:v>
      </x:c>
      <x:c r="B447" s="8" t="str">
        <x:v>fort-st-james-d</x:v>
      </x:c>
      <x:c r="C447" s="8" t="str">
        <x:v>Fort St. James</x:v>
      </x:c>
      <x:c r="D447" s="8" t="str">
        <x:v>Buildings</x:v>
      </x:c>
      <x:c r="E447" s="11" t="n">
        <x:v>13253541</x:v>
      </x:c>
      <x:c r="F447" s="11" t="n">
        <x:v>3717656</x:v>
      </x:c>
      <x:c r="G447" s="11" t="n">
        <x:v>9535885</x:v>
      </x:c>
      <x:c r="H447" s="11" t="n">
        <x:v>554308</x:v>
      </x:c>
      <x:c r="I447" s="11" t="n">
        <x:v>0</x:v>
      </x:c>
      <x:c r="J447" s="11" t="n">
        <x:v>0</x:v>
      </x:c>
      <x:c r="K447" s="12" t="n">
        <x:v>0.7194971517423155</x:v>
      </x:c>
      <x:c r="L447" s="12"/>
      <x:c r="M447" s="8" t="str">
        <x:v>In_Progress</x:v>
      </x:c>
    </x:row>
    <x:row r="448">
      <x:c r="A448" s="8" t="str">
        <x:v>Fort St. James|Fleet</x:v>
      </x:c>
      <x:c r="B448" s="8" t="str">
        <x:v>fort-st-james-d</x:v>
      </x:c>
      <x:c r="C448" s="8" t="str">
        <x:v>Fort St. James</x:v>
      </x:c>
      <x:c r="D448" s="8" t="str">
        <x:v>Fleet</x:v>
      </x:c>
      <x:c r="E448" s="11" t="n">
        <x:v>4938826</x:v>
      </x:c>
      <x:c r="F448" s="11" t="n">
        <x:v>2516582</x:v>
      </x:c>
      <x:c r="G448" s="11" t="n">
        <x:v>2422244</x:v>
      </x:c>
      <x:c r="H448" s="11" t="n">
        <x:v>514212</x:v>
      </x:c>
      <x:c r="I448" s="11" t="n">
        <x:v>0</x:v>
      </x:c>
      <x:c r="J448" s="11" t="n">
        <x:v>0</x:v>
      </x:c>
      <x:c r="K448" s="12" t="n">
        <x:v>0.49044934970375553</x:v>
      </x:c>
      <x:c r="L448" s="12"/>
      <x:c r="M448" s="8" t="str">
        <x:v>In_Progress</x:v>
      </x:c>
    </x:row>
    <x:row r="449">
      <x:c r="A449" s="8" t="str">
        <x:v>Fort St. James|Parks and Recreation</x:v>
      </x:c>
      <x:c r="B449" s="8" t="str">
        <x:v>fort-st-james-d</x:v>
      </x:c>
      <x:c r="C449" s="8" t="str">
        <x:v>Fort St. James</x:v>
      </x:c>
      <x:c r="D449" s="8" t="str">
        <x:v>Parks and Recreation</x:v>
      </x:c>
      <x:c r="E449" s="11" t="n">
        <x:v>1014436</x:v>
      </x:c>
      <x:c r="F449" s="11" t="n">
        <x:v>242498</x:v>
      </x:c>
      <x:c r="G449" s="11" t="n">
        <x:v>771938</x:v>
      </x:c>
      <x:c r="H449" s="11" t="n">
        <x:v>74968</x:v>
      </x:c>
      <x:c r="I449" s="11" t="n">
        <x:v>0</x:v>
      </x:c>
      <x:c r="J449" s="11" t="n">
        <x:v>0</x:v>
      </x:c>
      <x:c r="K449" s="12" t="n">
        <x:v>0.7609528841642055</x:v>
      </x:c>
      <x:c r="L449" s="12"/>
      <x:c r="M449" s="8" t="str">
        <x:v>No</x:v>
      </x:c>
    </x:row>
    <x:row r="450">
      <x:c r="A450" s="8" t="str">
        <x:v>Fort St. James|Water System</x:v>
      </x:c>
      <x:c r="B450" s="8" t="str">
        <x:v>fort-st-james-d</x:v>
      </x:c>
      <x:c r="C450" s="8" t="str">
        <x:v>Fort St. James</x:v>
      </x:c>
      <x:c r="D450" s="8" t="str">
        <x:v>Water System</x:v>
      </x:c>
      <x:c r="E450" s="11" t="n">
        <x:v>7224925</x:v>
      </x:c>
      <x:c r="F450" s="11" t="n">
        <x:v>2112718</x:v>
      </x:c>
      <x:c r="G450" s="11" t="n">
        <x:v>5112207</x:v>
      </x:c>
      <x:c r="H450" s="11" t="n">
        <x:v>744081</x:v>
      </x:c>
      <x:c r="I450" s="11" t="n">
        <x:v>0</x:v>
      </x:c>
      <x:c r="J450" s="11" t="n">
        <x:v>0</x:v>
      </x:c>
      <x:c r="K450" s="12" t="n">
        <x:v>0.7075792482274903</x:v>
      </x:c>
      <x:c r="L450" s="12"/>
      <x:c r="M450" s="8" t="str">
        <x:v>In_Progress</x:v>
      </x:c>
    </x:row>
    <x:row r="451">
      <x:c r="A451" s="8" t="str">
        <x:v>Fort St. James|Sewer System</x:v>
      </x:c>
      <x:c r="B451" s="8" t="str">
        <x:v>fort-st-james-d</x:v>
      </x:c>
      <x:c r="C451" s="8" t="str">
        <x:v>Fort St. James</x:v>
      </x:c>
      <x:c r="D451" s="8" t="str">
        <x:v>Sewer System</x:v>
      </x:c>
      <x:c r="E451" s="11" t="n">
        <x:v>5489024</x:v>
      </x:c>
      <x:c r="F451" s="11" t="n">
        <x:v>1675350</x:v>
      </x:c>
      <x:c r="G451" s="11" t="n">
        <x:v>3813674</x:v>
      </x:c>
      <x:c r="H451" s="11" t="n">
        <x:v>26479</x:v>
      </x:c>
      <x:c r="I451" s="11" t="n">
        <x:v>0</x:v>
      </x:c>
      <x:c r="J451" s="11" t="n">
        <x:v>0</x:v>
      </x:c>
      <x:c r="K451" s="12" t="n">
        <x:v>0.694781804561248</x:v>
      </x:c>
      <x:c r="L451" s="12"/>
      <x:c r="M451" s="8" t="str">
        <x:v>In_Progress</x:v>
      </x:c>
    </x:row>
    <x:row r="452">
      <x:c r="A452" s="8" t="str">
        <x:v>Fort St. James|Drainage System</x:v>
      </x:c>
      <x:c r="B452" s="8" t="str">
        <x:v>fort-st-james-d</x:v>
      </x:c>
      <x:c r="C452" s="8" t="str">
        <x:v>Fort St. James</x:v>
      </x:c>
      <x:c r="D452" s="8" t="str">
        <x:v>Drainage System</x:v>
      </x:c>
      <x:c r="E452" s="11" t="n">
        <x:v>1153148</x:v>
      </x:c>
      <x:c r="F452" s="11" t="n">
        <x:v>686515</x:v>
      </x:c>
      <x:c r="G452" s="11" t="n">
        <x:v>466633</x:v>
      </x:c>
      <x:c r="H452" s="11" t="n">
        <x:v>0</x:v>
      </x:c>
      <x:c r="I452" s="11" t="n">
        <x:v>0</x:v>
      </x:c>
      <x:c r="J452" s="11" t="n">
        <x:v>0</x:v>
      </x:c>
      <x:c r="K452" s="12" t="n">
        <x:v>0.40466011301238003</x:v>
      </x:c>
      <x:c r="L452" s="12"/>
      <x:c r="M452" s="8" t="str">
        <x:v>In_Progress</x:v>
      </x:c>
    </x:row>
    <x:row r="453">
      <x:c r="A453" s="8" t="str">
        <x:v>Fort St. James|Transportation System</x:v>
      </x:c>
      <x:c r="B453" s="8" t="str">
        <x:v>fort-st-james-d</x:v>
      </x:c>
      <x:c r="C453" s="8" t="str">
        <x:v>Fort St. James</x:v>
      </x:c>
      <x:c r="D453" s="8" t="str">
        <x:v>Transportation System</x:v>
      </x:c>
      <x:c r="E453" s="11" t="n">
        <x:v>15293305</x:v>
      </x:c>
      <x:c r="F453" s="11" t="n">
        <x:v>8855615</x:v>
      </x:c>
      <x:c r="G453" s="11" t="n">
        <x:v>6437690</x:v>
      </x:c>
      <x:c r="H453" s="11" t="n">
        <x:v>498754</x:v>
      </x:c>
      <x:c r="I453" s="11" t="n">
        <x:v>0</x:v>
      </x:c>
      <x:c r="J453" s="11" t="n">
        <x:v>0</x:v>
      </x:c>
      <x:c r="K453" s="12" t="n">
        <x:v>0.420948251538827</x:v>
      </x:c>
      <x:c r="L453" s="12"/>
      <x:c r="M453" s="8" t="str">
        <x:v>In_Progress</x:v>
      </x:c>
    </x:row>
    <x:row r="454">
      <x:c r="A454" s="8" t="str">
        <x:v>Fort St. James|Other Engineering Systems</x:v>
      </x:c>
      <x:c r="B454" s="8" t="str">
        <x:v>fort-st-james-d</x:v>
      </x:c>
      <x:c r="C454" s="8" t="str">
        <x:v>Fort St. James</x:v>
      </x:c>
      <x:c r="D454" s="8" t="str">
        <x:v>Other Engineering Systems</x:v>
      </x:c>
      <x:c r="E454" s="11" t="n">
        <x:v>4476414</x:v>
      </x:c>
      <x:c r="F454" s="11" t="n">
        <x:v>464439</x:v>
      </x:c>
      <x:c r="G454" s="11" t="n">
        <x:v>4011975</x:v>
      </x:c>
      <x:c r="H454" s="11" t="n">
        <x:v>570686</x:v>
      </x:c>
      <x:c r="I454" s="11" t="n">
        <x:v>0</x:v>
      </x:c>
      <x:c r="J454" s="11" t="n">
        <x:v>0</x:v>
      </x:c>
      <x:c r="K454" s="12" t="n">
        <x:v>0.8962475320647286</x:v>
      </x:c>
      <x:c r="L454" s="12"/>
      <x:c r="M454" s="8" t="str">
        <x:v>No</x:v>
      </x:c>
    </x:row>
    <x:row r="455">
      <x:c r="A455" s="8" t="str">
        <x:v>Fort St. James|Other Tangible Capital Assets</x:v>
      </x:c>
      <x:c r="B455" s="8" t="str">
        <x:v>fort-st-james-d</x:v>
      </x:c>
      <x:c r="C455" s="8" t="str">
        <x:v>Fort St. James</x:v>
      </x:c>
      <x:c r="D455" s="8" t="str">
        <x:v>Other Tangible Capital Assets</x:v>
      </x:c>
      <x:c r="E455" s="11" t="n">
        <x:v>2046175</x:v>
      </x:c>
      <x:c r="F455" s="11" t="n">
        <x:v>1045365</x:v>
      </x:c>
      <x:c r="G455" s="11" t="n">
        <x:v>1000810</x:v>
      </x:c>
      <x:c r="H455" s="11" t="n">
        <x:v>308868</x:v>
      </x:c>
      <x:c r="I455" s="11" t="n">
        <x:v>0</x:v>
      </x:c>
      <x:c r="J455" s="11" t="n">
        <x:v>0</x:v>
      </x:c>
      <x:c r="K455" s="12" t="n">
        <x:v>0.48911261255757693</x:v>
      </x:c>
      <x:c r="L455" s="12"/>
      <x:c r="M455" s="8" t="str">
        <x:v>N/A</x:v>
      </x:c>
    </x:row>
    <x:row r="456">
      <x:c r="A456" s="8" t="str">
        <x:v>Fort St. James|Work In Progress</x:v>
      </x:c>
      <x:c r="B456" s="8" t="str">
        <x:v>fort-st-james-d</x:v>
      </x:c>
      <x:c r="C456" s="8" t="str">
        <x:v>Fort St. James</x:v>
      </x:c>
      <x:c r="D456" s="8" t="str">
        <x:v>Work In Progress</x:v>
      </x:c>
      <x:c r="E456" s="11" t="n">
        <x:v>0</x:v>
      </x:c>
      <x:c r="F456" s="11"/>
      <x:c r="G456" s="11" t="n">
        <x:v>0</x:v>
      </x:c>
      <x:c r="H456" s="11" t="n">
        <x:v>0</x:v>
      </x:c>
      <x:c r="I456" s="11" t="n">
        <x:v>0</x:v>
      </x:c>
      <x:c r="J456" s="11"/>
      <x:c r="K456" s="12"/>
      <x:c r="L456" s="12"/>
      <x:c r="M456" s="8" t="str">
        <x:v>N/A</x:v>
      </x:c>
    </x:row>
    <x:row r="457">
      <x:c r="A457" s="8" t="str">
        <x:v>Fort St. James|Total TCA</x:v>
      </x:c>
      <x:c r="B457" s="8" t="str">
        <x:v>fort-st-james-d</x:v>
      </x:c>
      <x:c r="C457" s="8" t="str">
        <x:v>Fort St. James</x:v>
      </x:c>
      <x:c r="D457" s="8" t="str">
        <x:v>Total TCA</x:v>
      </x:c>
      <x:c r="E457" s="11" t="n">
        <x:v>56199480</x:v>
      </x:c>
      <x:c r="F457" s="11" t="n">
        <x:v>21316738</x:v>
      </x:c>
      <x:c r="G457" s="11" t="n">
        <x:v>34882742</x:v>
      </x:c>
      <x:c r="H457" s="11" t="n">
        <x:v>3313145</x:v>
      </x:c>
      <x:c r="I457" s="11" t="n">
        <x:v>1309686</x:v>
      </x:c>
      <x:c r="J457" s="11" t="n">
        <x:v>0</x:v>
      </x:c>
      <x:c r="K457" s="12" t="n">
        <x:v>0.6206951025169628</x:v>
      </x:c>
      <x:c r="L457" s="12" t="n">
        <x:v>1</x:v>
      </x:c>
      <x:c r="M457" s="8"/>
    </x:row>
    <x:row r="458">
      <x:c r="A458" s="8" t="str">
        <x:v>Fort St. John|Land</x:v>
      </x:c>
      <x:c r="B458" s="8" t="str">
        <x:v>fort-st-john-c</x:v>
      </x:c>
      <x:c r="C458" s="8" t="str">
        <x:v>Fort St. John</x:v>
      </x:c>
      <x:c r="D458" s="8" t="str">
        <x:v>Land</x:v>
      </x:c>
      <x:c r="E458" s="11" t="n">
        <x:v>21259468</x:v>
      </x:c>
      <x:c r="F458" s="11"/>
      <x:c r="G458" s="11" t="n">
        <x:v>21259468</x:v>
      </x:c>
      <x:c r="H458" s="11" t="n">
        <x:v>831514</x:v>
      </x:c>
      <x:c r="I458" s="11" t="n">
        <x:v>21259468</x:v>
      </x:c>
      <x:c r="J458" s="11"/>
      <x:c r="K458" s="12" t="n">
        <x:v>1</x:v>
      </x:c>
      <x:c r="L458" s="12"/>
      <x:c r="M458" s="8" t="str">
        <x:v>N/A</x:v>
      </x:c>
    </x:row>
    <x:row r="459">
      <x:c r="A459" s="8" t="str">
        <x:v>Fort St. John|Buildings</x:v>
      </x:c>
      <x:c r="B459" s="8" t="str">
        <x:v>fort-st-john-c</x:v>
      </x:c>
      <x:c r="C459" s="8" t="str">
        <x:v>Fort St. John</x:v>
      </x:c>
      <x:c r="D459" s="8" t="str">
        <x:v>Buildings</x:v>
      </x:c>
      <x:c r="E459" s="11" t="n">
        <x:v>174248707</x:v>
      </x:c>
      <x:c r="F459" s="11" t="n">
        <x:v>43298490</x:v>
      </x:c>
      <x:c r="G459" s="11" t="n">
        <x:v>130950217</x:v>
      </x:c>
      <x:c r="H459" s="11" t="n">
        <x:v>2785238</x:v>
      </x:c>
      <x:c r="I459" s="11" t="n">
        <x:v>231736855</x:v>
      </x:c>
      <x:c r="J459" s="11" t="n">
        <x:v>4881313</x:v>
      </x:c>
      <x:c r="K459" s="12" t="n">
        <x:v>0.7515132780870506</x:v>
      </x:c>
      <x:c r="L459" s="12" t="n">
        <x:v>0.978935965968814</x:v>
      </x:c>
      <x:c r="M459" s="8" t="str">
        <x:v>In_Progress</x:v>
      </x:c>
    </x:row>
    <x:row r="460">
      <x:c r="A460" s="8" t="str">
        <x:v>Fort St. John|Fleet</x:v>
      </x:c>
      <x:c r="B460" s="8" t="str">
        <x:v>fort-st-john-c</x:v>
      </x:c>
      <x:c r="C460" s="8" t="str">
        <x:v>Fort St. John</x:v>
      </x:c>
      <x:c r="D460" s="8" t="str">
        <x:v>Fleet</x:v>
      </x:c>
      <x:c r="E460" s="11" t="n">
        <x:v>40724194</x:v>
      </x:c>
      <x:c r="F460" s="11" t="n">
        <x:v>21043636</x:v>
      </x:c>
      <x:c r="G460" s="11" t="n">
        <x:v>19680558</x:v>
      </x:c>
      <x:c r="H460" s="11" t="n">
        <x:v>2858957</x:v>
      </x:c>
      <x:c r="I460" s="11" t="n">
        <x:v>44133815</x:v>
      </x:c>
      <x:c r="J460" s="11" t="n">
        <x:v>2844229</x:v>
      </x:c>
      <x:c r="K460" s="12" t="n">
        <x:v>0.4832645183843295</x:v>
      </x:c>
      <x:c r="L460" s="12" t="n">
        <x:v>0.9355544269173195</x:v>
      </x:c>
      <x:c r="M460" s="8" t="str">
        <x:v>Yes</x:v>
      </x:c>
    </x:row>
    <x:row r="461">
      <x:c r="A461" s="8" t="str">
        <x:v>Fort St. John|Parks and Recreation</x:v>
      </x:c>
      <x:c r="B461" s="8" t="str">
        <x:v>fort-st-john-c</x:v>
      </x:c>
      <x:c r="C461" s="8" t="str">
        <x:v>Fort St. John</x:v>
      </x:c>
      <x:c r="D461" s="8" t="str">
        <x:v>Parks and Recreation</x:v>
      </x:c>
      <x:c r="E461" s="11" t="n">
        <x:v>40209088</x:v>
      </x:c>
      <x:c r="F461" s="11" t="n">
        <x:v>4346076</x:v>
      </x:c>
      <x:c r="G461" s="11" t="n">
        <x:v>35863012</x:v>
      </x:c>
      <x:c r="H461" s="11" t="n">
        <x:v>3819265</x:v>
      </x:c>
      <x:c r="I461" s="11" t="n">
        <x:v>143101222</x:v>
      </x:c>
      <x:c r="J461" s="11" t="n">
        <x:v>1796138</x:v>
      </x:c>
      <x:c r="K461" s="12" t="n">
        <x:v>0.891913091886093</x:v>
      </x:c>
      <x:c r="L461" s="12" t="n">
        <x:v>0.9874484789514935</x:v>
      </x:c>
      <x:c r="M461" s="8" t="str">
        <x:v>In_Progress</x:v>
      </x:c>
    </x:row>
    <x:row r="462">
      <x:c r="A462" s="8" t="str">
        <x:v>Fort St. John|Water System</x:v>
      </x:c>
      <x:c r="B462" s="8" t="str">
        <x:v>fort-st-john-c</x:v>
      </x:c>
      <x:c r="C462" s="8" t="str">
        <x:v>Fort St. John</x:v>
      </x:c>
      <x:c r="D462" s="8" t="str">
        <x:v>Water System</x:v>
      </x:c>
      <x:c r="E462" s="11" t="n">
        <x:v>78764770</x:v>
      </x:c>
      <x:c r="F462" s="11" t="n">
        <x:v>30668229</x:v>
      </x:c>
      <x:c r="G462" s="11" t="n">
        <x:v>48096541</x:v>
      </x:c>
      <x:c r="H462" s="11" t="n">
        <x:v>1460677</x:v>
      </x:c>
      <x:c r="I462" s="11" t="n">
        <x:v>216791091</x:v>
      </x:c>
      <x:c r="J462" s="11" t="n">
        <x:v>3103002</x:v>
      </x:c>
      <x:c r="K462" s="12" t="n">
        <x:v>0.6106351989601443</x:v>
      </x:c>
      <x:c r="L462" s="12" t="n">
        <x:v>0.9856866719675302</x:v>
      </x:c>
      <x:c r="M462" s="8" t="str">
        <x:v>Yes</x:v>
      </x:c>
    </x:row>
    <x:row r="463">
      <x:c r="A463" s="8" t="str">
        <x:v>Fort St. John|Sewer System</x:v>
      </x:c>
      <x:c r="B463" s="8" t="str">
        <x:v>fort-st-john-c</x:v>
      </x:c>
      <x:c r="C463" s="8" t="str">
        <x:v>Fort St. John</x:v>
      </x:c>
      <x:c r="D463" s="8" t="str">
        <x:v>Sewer System</x:v>
      </x:c>
      <x:c r="E463" s="11" t="n">
        <x:v>71078989</x:v>
      </x:c>
      <x:c r="F463" s="11" t="n">
        <x:v>24048234</x:v>
      </x:c>
      <x:c r="G463" s="11" t="n">
        <x:v>47030755</x:v>
      </x:c>
      <x:c r="H463" s="11" t="n">
        <x:v>973084</x:v>
      </x:c>
      <x:c r="I463" s="11" t="n">
        <x:v>200977802</x:v>
      </x:c>
      <x:c r="J463" s="11" t="n">
        <x:v>2816822</x:v>
      </x:c>
      <x:c r="K463" s="12" t="n">
        <x:v>0.6616688793927555</x:v>
      </x:c>
      <x:c r="L463" s="12" t="n">
        <x:v>0.9859844123481856</x:v>
      </x:c>
      <x:c r="M463" s="8" t="str">
        <x:v>Yes</x:v>
      </x:c>
    </x:row>
    <x:row r="464">
      <x:c r="A464" s="8" t="str">
        <x:v>Fort St. John|Drainage System</x:v>
      </x:c>
      <x:c r="B464" s="8" t="str">
        <x:v>fort-st-john-c</x:v>
      </x:c>
      <x:c r="C464" s="8" t="str">
        <x:v>Fort St. John</x:v>
      </x:c>
      <x:c r="D464" s="8" t="str">
        <x:v>Drainage System</x:v>
      </x:c>
      <x:c r="E464" s="11" t="n">
        <x:v>75327397</x:v>
      </x:c>
      <x:c r="F464" s="11" t="n">
        <x:v>17513538</x:v>
      </x:c>
      <x:c r="G464" s="11" t="n">
        <x:v>57813859</x:v>
      </x:c>
      <x:c r="H464" s="11" t="n">
        <x:v>851751</x:v>
      </x:c>
      <x:c r="I464" s="11" t="n">
        <x:v>257835515</x:v>
      </x:c>
      <x:c r="J464" s="11" t="n">
        <x:v>3386562</x:v>
      </x:c>
      <x:c r="K464" s="12" t="n">
        <x:v>0.7675010859594684</x:v>
      </x:c>
      <x:c r="L464" s="12" t="n">
        <x:v>0.9868654168918506</x:v>
      </x:c>
      <x:c r="M464" s="8" t="str">
        <x:v>Yes</x:v>
      </x:c>
    </x:row>
    <x:row r="465">
      <x:c r="A465" s="8" t="str">
        <x:v>Fort St. John|Transportation System</x:v>
      </x:c>
      <x:c r="B465" s="8" t="str">
        <x:v>fort-st-john-c</x:v>
      </x:c>
      <x:c r="C465" s="8" t="str">
        <x:v>Fort St. John</x:v>
      </x:c>
      <x:c r="D465" s="8" t="str">
        <x:v>Transportation System</x:v>
      </x:c>
      <x:c r="E465" s="11" t="n">
        <x:v>271521745</x:v>
      </x:c>
      <x:c r="F465" s="11" t="n">
        <x:v>75414693</x:v>
      </x:c>
      <x:c r="G465" s="11" t="n">
        <x:v>196107052</x:v>
      </x:c>
      <x:c r="H465" s="11" t="n">
        <x:v>12392778</x:v>
      </x:c>
      <x:c r="I465" s="11" t="n">
        <x:v>632661683</x:v>
      </x:c>
      <x:c r="J465" s="11" t="n">
        <x:v>6951278</x:v>
      </x:c>
      <x:c r="K465" s="12" t="n">
        <x:v>0.7222517371490818</x:v>
      </x:c>
      <x:c r="L465" s="12" t="n">
        <x:v>0.9890126457998247</x:v>
      </x:c>
      <x:c r="M465" s="8" t="str">
        <x:v>Yes</x:v>
      </x:c>
    </x:row>
    <x:row r="466">
      <x:c r="A466" s="8" t="str">
        <x:v>Fort St. John|Other Engineering Systems</x:v>
      </x:c>
      <x:c r="B466" s="8" t="str">
        <x:v>fort-st-john-c</x:v>
      </x:c>
      <x:c r="C466" s="8" t="str">
        <x:v>Fort St. John</x:v>
      </x:c>
      <x:c r="D466" s="8" t="str">
        <x:v>Other Engineering Systems</x:v>
      </x:c>
      <x:c r="E466" s="11" t="n">
        <x:v>0</x:v>
      </x:c>
      <x:c r="F466" s="11" t="n">
        <x:v>0</x:v>
      </x:c>
      <x:c r="G466" s="11" t="n">
        <x:v>0</x:v>
      </x:c>
      <x:c r="H466" s="11" t="n">
        <x:v>0</x:v>
      </x:c>
      <x:c r="I466" s="11" t="n">
        <x:v>0</x:v>
      </x:c>
      <x:c r="J466" s="11" t="n">
        <x:v>0</x:v>
      </x:c>
      <x:c r="K466" s="12"/>
      <x:c r="L466" s="12"/>
      <x:c r="M466" s="8"/>
    </x:row>
    <x:row r="467">
      <x:c r="A467" s="8" t="str">
        <x:v>Fort St. John|Other Tangible Capital Assets</x:v>
      </x:c>
      <x:c r="B467" s="8" t="str">
        <x:v>fort-st-john-c</x:v>
      </x:c>
      <x:c r="C467" s="8" t="str">
        <x:v>Fort St. John</x:v>
      </x:c>
      <x:c r="D467" s="8" t="str">
        <x:v>Other Tangible Capital Assets</x:v>
      </x:c>
      <x:c r="E467" s="11" t="n">
        <x:v>0</x:v>
      </x:c>
      <x:c r="F467" s="11" t="n">
        <x:v>0</x:v>
      </x:c>
      <x:c r="G467" s="11" t="n">
        <x:v>0</x:v>
      </x:c>
      <x:c r="H467" s="11" t="n">
        <x:v>0</x:v>
      </x:c>
      <x:c r="I467" s="11" t="n">
        <x:v>0</x:v>
      </x:c>
      <x:c r="J467" s="11" t="n">
        <x:v>0</x:v>
      </x:c>
      <x:c r="K467" s="12"/>
      <x:c r="L467" s="12"/>
      <x:c r="M467" s="8" t="str">
        <x:v>N/A</x:v>
      </x:c>
    </x:row>
    <x:row r="468">
      <x:c r="A468" s="8" t="str">
        <x:v>Fort St. John|Work In Progress</x:v>
      </x:c>
      <x:c r="B468" s="8" t="str">
        <x:v>fort-st-john-c</x:v>
      </x:c>
      <x:c r="C468" s="8" t="str">
        <x:v>Fort St. John</x:v>
      </x:c>
      <x:c r="D468" s="8" t="str">
        <x:v>Work In Progress</x:v>
      </x:c>
      <x:c r="E468" s="11" t="n">
        <x:v>8516931</x:v>
      </x:c>
      <x:c r="F468" s="11"/>
      <x:c r="G468" s="11" t="n">
        <x:v>8516931</x:v>
      </x:c>
      <x:c r="H468" s="11" t="n">
        <x:v>4024242</x:v>
      </x:c>
      <x:c r="I468" s="11" t="n">
        <x:v>8516931</x:v>
      </x:c>
      <x:c r="J468" s="11"/>
      <x:c r="K468" s="12" t="n">
        <x:v>1</x:v>
      </x:c>
      <x:c r="L468" s="12"/>
      <x:c r="M468" s="8" t="str">
        <x:v>N/A</x:v>
      </x:c>
    </x:row>
    <x:row r="469">
      <x:c r="A469" s="8" t="str">
        <x:v>Fort St. John|Total TCA</x:v>
      </x:c>
      <x:c r="B469" s="8" t="str">
        <x:v>fort-st-john-c</x:v>
      </x:c>
      <x:c r="C469" s="8" t="str">
        <x:v>Fort St. John</x:v>
      </x:c>
      <x:c r="D469" s="8" t="str">
        <x:v>Total TCA</x:v>
      </x:c>
      <x:c r="E469" s="11" t="n">
        <x:v>781651289</x:v>
      </x:c>
      <x:c r="F469" s="11" t="n">
        <x:v>216332896</x:v>
      </x:c>
      <x:c r="G469" s="11" t="n">
        <x:v>565318393</x:v>
      </x:c>
      <x:c r="H469" s="11" t="n">
        <x:v>29997506</x:v>
      </x:c>
      <x:c r="I469" s="11" t="n">
        <x:v>1757014382</x:v>
      </x:c>
      <x:c r="J469" s="11" t="n">
        <x:v>25779344</x:v>
      </x:c>
      <x:c r="K469" s="12" t="n">
        <x:v>0.7232360528992872</x:v>
      </x:c>
      <x:c r="L469" s="12" t="n">
        <x:v>0.9853277558430367</x:v>
      </x:c>
      <x:c r="M469" s="8"/>
    </x:row>
    <x:row r="470">
      <x:c r="A470" s="8" t="str">
        <x:v>Fraser Lake|Land</x:v>
      </x:c>
      <x:c r="B470" s="8" t="str">
        <x:v>fraser-lake-v</x:v>
      </x:c>
      <x:c r="C470" s="8" t="str">
        <x:v>Fraser Lake</x:v>
      </x:c>
      <x:c r="D470" s="8" t="str">
        <x:v>Land</x:v>
      </x:c>
      <x:c r="E470" s="11" t="n">
        <x:v>1891127</x:v>
      </x:c>
      <x:c r="F470" s="11"/>
      <x:c r="G470" s="11" t="n">
        <x:v>1891127</x:v>
      </x:c>
      <x:c r="H470" s="11" t="n">
        <x:v>6828</x:v>
      </x:c>
      <x:c r="I470" s="11" t="n">
        <x:v>1891127</x:v>
      </x:c>
      <x:c r="J470" s="11"/>
      <x:c r="K470" s="12" t="n">
        <x:v>1</x:v>
      </x:c>
      <x:c r="L470" s="12"/>
      <x:c r="M470" s="8" t="str">
        <x:v>N/A</x:v>
      </x:c>
    </x:row>
    <x:row r="471">
      <x:c r="A471" s="8" t="str">
        <x:v>Fraser Lake|Buildings</x:v>
      </x:c>
      <x:c r="B471" s="8" t="str">
        <x:v>fraser-lake-v</x:v>
      </x:c>
      <x:c r="C471" s="8" t="str">
        <x:v>Fraser Lake</x:v>
      </x:c>
      <x:c r="D471" s="8" t="str">
        <x:v>Buildings</x:v>
      </x:c>
      <x:c r="E471" s="11" t="n">
        <x:v>9044671</x:v>
      </x:c>
      <x:c r="F471" s="11" t="n">
        <x:v>2463955</x:v>
      </x:c>
      <x:c r="G471" s="11" t="n">
        <x:v>6580716</x:v>
      </x:c>
      <x:c r="H471" s="11" t="n">
        <x:v>17511</x:v>
      </x:c>
      <x:c r="I471" s="11" t="n">
        <x:v>9044671</x:v>
      </x:c>
      <x:c r="J471" s="11" t="n">
        <x:v>11508626</x:v>
      </x:c>
      <x:c r="K471" s="12" t="n">
        <x:v>0.7275793669001338</x:v>
      </x:c>
      <x:c r="L471" s="12" t="n">
        <x:v>-0.2724206330998662</x:v>
      </x:c>
      <x:c r="M471" s="8" t="str">
        <x:v>In_Progress</x:v>
      </x:c>
    </x:row>
    <x:row r="472">
      <x:c r="A472" s="8" t="str">
        <x:v>Fraser Lake|Fleet</x:v>
      </x:c>
      <x:c r="B472" s="8" t="str">
        <x:v>fraser-lake-v</x:v>
      </x:c>
      <x:c r="C472" s="8" t="str">
        <x:v>Fraser Lake</x:v>
      </x:c>
      <x:c r="D472" s="8" t="str">
        <x:v>Fleet</x:v>
      </x:c>
      <x:c r="E472" s="11" t="n">
        <x:v>6018097</x:v>
      </x:c>
      <x:c r="F472" s="11" t="n">
        <x:v>3549797</x:v>
      </x:c>
      <x:c r="G472" s="11" t="n">
        <x:v>2468300</x:v>
      </x:c>
      <x:c r="H472" s="11" t="n">
        <x:v>721438</x:v>
      </x:c>
      <x:c r="I472" s="11" t="n">
        <x:v>6018097</x:v>
      </x:c>
      <x:c r="J472" s="11" t="n">
        <x:v>9567894</x:v>
      </x:c>
      <x:c r="K472" s="12" t="n">
        <x:v>0.4101462638438696</x:v>
      </x:c>
      <x:c r="L472" s="12" t="n">
        <x:v>-0.5898537361561305</x:v>
      </x:c>
      <x:c r="M472" s="8" t="str">
        <x:v>In_Progress</x:v>
      </x:c>
    </x:row>
    <x:row r="473">
      <x:c r="A473" s="8" t="str">
        <x:v>Fraser Lake|Parks and Recreation</x:v>
      </x:c>
      <x:c r="B473" s="8" t="str">
        <x:v>fraser-lake-v</x:v>
      </x:c>
      <x:c r="C473" s="8" t="str">
        <x:v>Fraser Lake</x:v>
      </x:c>
      <x:c r="D473" s="8" t="str">
        <x:v>Parks and Recreation</x:v>
      </x:c>
      <x:c r="E473" s="11" t="n">
        <x:v>0</x:v>
      </x:c>
      <x:c r="F473" s="11" t="n">
        <x:v>0</x:v>
      </x:c>
      <x:c r="G473" s="11" t="n">
        <x:v>0</x:v>
      </x:c>
      <x:c r="H473" s="11" t="n">
        <x:v>0</x:v>
      </x:c>
      <x:c r="I473" s="11" t="n">
        <x:v>0</x:v>
      </x:c>
      <x:c r="J473" s="11" t="n">
        <x:v>0</x:v>
      </x:c>
      <x:c r="K473" s="12"/>
      <x:c r="L473" s="12"/>
      <x:c r="M473" s="8"/>
    </x:row>
    <x:row r="474">
      <x:c r="A474" s="8" t="str">
        <x:v>Fraser Lake|Water System</x:v>
      </x:c>
      <x:c r="B474" s="8" t="str">
        <x:v>fraser-lake-v</x:v>
      </x:c>
      <x:c r="C474" s="8" t="str">
        <x:v>Fraser Lake</x:v>
      </x:c>
      <x:c r="D474" s="8" t="str">
        <x:v>Water System</x:v>
      </x:c>
      <x:c r="E474" s="11" t="n">
        <x:v>3527370</x:v>
      </x:c>
      <x:c r="F474" s="11" t="n">
        <x:v>1505971</x:v>
      </x:c>
      <x:c r="G474" s="11" t="n">
        <x:v>2021399</x:v>
      </x:c>
      <x:c r="H474" s="11" t="n">
        <x:v>0</x:v>
      </x:c>
      <x:c r="I474" s="11" t="n">
        <x:v>3527370</x:v>
      </x:c>
      <x:c r="J474" s="11" t="n">
        <x:v>5033341</x:v>
      </x:c>
      <x:c r="K474" s="12" t="n">
        <x:v>0.5730612325897199</x:v>
      </x:c>
      <x:c r="L474" s="12" t="n">
        <x:v>-0.42693876741028025</x:v>
      </x:c>
      <x:c r="M474" s="8" t="str">
        <x:v>In_Progress</x:v>
      </x:c>
    </x:row>
    <x:row r="475">
      <x:c r="A475" s="8" t="str">
        <x:v>Fraser Lake|Sewer System</x:v>
      </x:c>
      <x:c r="B475" s="8" t="str">
        <x:v>fraser-lake-v</x:v>
      </x:c>
      <x:c r="C475" s="8" t="str">
        <x:v>Fraser Lake</x:v>
      </x:c>
      <x:c r="D475" s="8" t="str">
        <x:v>Sewer System</x:v>
      </x:c>
      <x:c r="E475" s="11" t="n">
        <x:v>5174473</x:v>
      </x:c>
      <x:c r="F475" s="11" t="n">
        <x:v>2779253</x:v>
      </x:c>
      <x:c r="G475" s="11" t="n">
        <x:v>2395220</x:v>
      </x:c>
      <x:c r="H475" s="11" t="n">
        <x:v>0</x:v>
      </x:c>
      <x:c r="I475" s="11" t="n">
        <x:v>5174473</x:v>
      </x:c>
      <x:c r="J475" s="11" t="n">
        <x:v>7953726</x:v>
      </x:c>
      <x:c r="K475" s="12" t="n">
        <x:v>0.4628915833554451</x:v>
      </x:c>
      <x:c r="L475" s="12" t="n">
        <x:v>-0.537108416644555</x:v>
      </x:c>
      <x:c r="M475" s="8" t="str">
        <x:v>In_Progress</x:v>
      </x:c>
    </x:row>
    <x:row r="476">
      <x:c r="A476" s="8" t="str">
        <x:v>Fraser Lake|Drainage System</x:v>
      </x:c>
      <x:c r="B476" s="8" t="str">
        <x:v>fraser-lake-v</x:v>
      </x:c>
      <x:c r="C476" s="8" t="str">
        <x:v>Fraser Lake</x:v>
      </x:c>
      <x:c r="D476" s="8" t="str">
        <x:v>Drainage System</x:v>
      </x:c>
      <x:c r="E476" s="11" t="n">
        <x:v>0</x:v>
      </x:c>
      <x:c r="F476" s="11" t="n">
        <x:v>0</x:v>
      </x:c>
      <x:c r="G476" s="11" t="n">
        <x:v>0</x:v>
      </x:c>
      <x:c r="H476" s="11" t="n">
        <x:v>0</x:v>
      </x:c>
      <x:c r="I476" s="11" t="n">
        <x:v>0</x:v>
      </x:c>
      <x:c r="J476" s="11" t="n">
        <x:v>0</x:v>
      </x:c>
      <x:c r="K476" s="12"/>
      <x:c r="L476" s="12"/>
      <x:c r="M476" s="8"/>
    </x:row>
    <x:row r="477">
      <x:c r="A477" s="8" t="str">
        <x:v>Fraser Lake|Transportation System</x:v>
      </x:c>
      <x:c r="B477" s="8" t="str">
        <x:v>fraser-lake-v</x:v>
      </x:c>
      <x:c r="C477" s="8" t="str">
        <x:v>Fraser Lake</x:v>
      </x:c>
      <x:c r="D477" s="8" t="str">
        <x:v>Transportation System</x:v>
      </x:c>
      <x:c r="E477" s="11" t="n">
        <x:v>6748804</x:v>
      </x:c>
      <x:c r="F477" s="11" t="n">
        <x:v>2393553</x:v>
      </x:c>
      <x:c r="G477" s="11" t="n">
        <x:v>4355251</x:v>
      </x:c>
      <x:c r="H477" s="11" t="n">
        <x:v>66055</x:v>
      </x:c>
      <x:c r="I477" s="11" t="n">
        <x:v>6748804</x:v>
      </x:c>
      <x:c r="J477" s="11" t="n">
        <x:v>9142357</x:v>
      </x:c>
      <x:c r="K477" s="12" t="n">
        <x:v>0.6453367144756316</x:v>
      </x:c>
      <x:c r="L477" s="12" t="n">
        <x:v>-0.35466328552436854</x:v>
      </x:c>
      <x:c r="M477" s="8" t="str">
        <x:v>In_Progress</x:v>
      </x:c>
    </x:row>
    <x:row r="478">
      <x:c r="A478" s="8" t="str">
        <x:v>Fraser Lake|Other Engineering Systems</x:v>
      </x:c>
      <x:c r="B478" s="8" t="str">
        <x:v>fraser-lake-v</x:v>
      </x:c>
      <x:c r="C478" s="8" t="str">
        <x:v>Fraser Lake</x:v>
      </x:c>
      <x:c r="D478" s="8" t="str">
        <x:v>Other Engineering Systems</x:v>
      </x:c>
      <x:c r="E478" s="11" t="n">
        <x:v>0</x:v>
      </x:c>
      <x:c r="F478" s="11" t="n">
        <x:v>0</x:v>
      </x:c>
      <x:c r="G478" s="11" t="n">
        <x:v>0</x:v>
      </x:c>
      <x:c r="H478" s="11" t="n">
        <x:v>0</x:v>
      </x:c>
      <x:c r="I478" s="11" t="n">
        <x:v>0</x:v>
      </x:c>
      <x:c r="J478" s="11" t="n">
        <x:v>0</x:v>
      </x:c>
      <x:c r="K478" s="12"/>
      <x:c r="L478" s="12"/>
      <x:c r="M478" s="8"/>
    </x:row>
    <x:row r="479">
      <x:c r="A479" s="8" t="str">
        <x:v>Fraser Lake|Other Tangible Capital Assets</x:v>
      </x:c>
      <x:c r="B479" s="8" t="str">
        <x:v>fraser-lake-v</x:v>
      </x:c>
      <x:c r="C479" s="8" t="str">
        <x:v>Fraser Lake</x:v>
      </x:c>
      <x:c r="D479" s="8" t="str">
        <x:v>Other Tangible Capital Assets</x:v>
      </x:c>
      <x:c r="E479" s="11" t="n">
        <x:v>0</x:v>
      </x:c>
      <x:c r="F479" s="11" t="n">
        <x:v>0</x:v>
      </x:c>
      <x:c r="G479" s="11" t="n">
        <x:v>0</x:v>
      </x:c>
      <x:c r="H479" s="11" t="n">
        <x:v>0</x:v>
      </x:c>
      <x:c r="I479" s="11" t="n">
        <x:v>0</x:v>
      </x:c>
      <x:c r="J479" s="11" t="n">
        <x:v>0</x:v>
      </x:c>
      <x:c r="K479" s="12"/>
      <x:c r="L479" s="12"/>
      <x:c r="M479" s="8" t="str">
        <x:v>N/A</x:v>
      </x:c>
    </x:row>
    <x:row r="480">
      <x:c r="A480" s="8" t="str">
        <x:v>Fraser Lake|Work In Progress</x:v>
      </x:c>
      <x:c r="B480" s="8" t="str">
        <x:v>fraser-lake-v</x:v>
      </x:c>
      <x:c r="C480" s="8" t="str">
        <x:v>Fraser Lake</x:v>
      </x:c>
      <x:c r="D480" s="8" t="str">
        <x:v>Work In Progress</x:v>
      </x:c>
      <x:c r="E480" s="11" t="n">
        <x:v>3408376</x:v>
      </x:c>
      <x:c r="F480" s="11"/>
      <x:c r="G480" s="11" t="n">
        <x:v>3408376</x:v>
      </x:c>
      <x:c r="H480" s="11" t="n">
        <x:v>3676331</x:v>
      </x:c>
      <x:c r="I480" s="11" t="n">
        <x:v>3408376</x:v>
      </x:c>
      <x:c r="J480" s="11"/>
      <x:c r="K480" s="12" t="n">
        <x:v>1</x:v>
      </x:c>
      <x:c r="L480" s="12"/>
      <x:c r="M480" s="8" t="str">
        <x:v>N/A</x:v>
      </x:c>
    </x:row>
    <x:row r="481">
      <x:c r="A481" s="8" t="str">
        <x:v>Fraser Lake|Total TCA</x:v>
      </x:c>
      <x:c r="B481" s="8" t="str">
        <x:v>fraser-lake-v</x:v>
      </x:c>
      <x:c r="C481" s="8" t="str">
        <x:v>Fraser Lake</x:v>
      </x:c>
      <x:c r="D481" s="8" t="str">
        <x:v>Total TCA</x:v>
      </x:c>
      <x:c r="E481" s="11" t="n">
        <x:v>35812918</x:v>
      </x:c>
      <x:c r="F481" s="11" t="n">
        <x:v>12692529</x:v>
      </x:c>
      <x:c r="G481" s="11" t="n">
        <x:v>23120389</x:v>
      </x:c>
      <x:c r="H481" s="11" t="n">
        <x:v>4488163</x:v>
      </x:c>
      <x:c r="I481" s="11" t="n">
        <x:v>35812918</x:v>
      </x:c>
      <x:c r="J481" s="11" t="n">
        <x:v>43205944</x:v>
      </x:c>
      <x:c r="K481" s="12" t="n">
        <x:v>0.6455879691233203</x:v>
      </x:c>
      <x:c r="L481" s="12" t="n">
        <x:v>-0.2064346166933395</x:v>
      </x:c>
      <x:c r="M481" s="8"/>
    </x:row>
    <x:row r="482">
      <x:c r="A482" s="8" t="str">
        <x:v>Fruitvale|Land</x:v>
      </x:c>
      <x:c r="B482" s="8" t="str">
        <x:v>fruitvale-v</x:v>
      </x:c>
      <x:c r="C482" s="8" t="str">
        <x:v>Fruitvale</x:v>
      </x:c>
      <x:c r="D482" s="8" t="str">
        <x:v>Land</x:v>
      </x:c>
      <x:c r="E482" s="11" t="n">
        <x:v>1523331</x:v>
      </x:c>
      <x:c r="F482" s="11"/>
      <x:c r="G482" s="11" t="n">
        <x:v>1523331</x:v>
      </x:c>
      <x:c r="H482" s="11" t="n">
        <x:v>0</x:v>
      </x:c>
      <x:c r="I482" s="11" t="n">
        <x:v>1523331</x:v>
      </x:c>
      <x:c r="J482" s="11"/>
      <x:c r="K482" s="12" t="n">
        <x:v>1</x:v>
      </x:c>
      <x:c r="L482" s="12"/>
      <x:c r="M482" s="8" t="str">
        <x:v>N/A</x:v>
      </x:c>
    </x:row>
    <x:row r="483">
      <x:c r="A483" s="8" t="str">
        <x:v>Fruitvale|Buildings</x:v>
      </x:c>
      <x:c r="B483" s="8" t="str">
        <x:v>fruitvale-v</x:v>
      </x:c>
      <x:c r="C483" s="8" t="str">
        <x:v>Fruitvale</x:v>
      </x:c>
      <x:c r="D483" s="8" t="str">
        <x:v>Buildings</x:v>
      </x:c>
      <x:c r="E483" s="11" t="n">
        <x:v>9101896</x:v>
      </x:c>
      <x:c r="F483" s="11" t="n">
        <x:v>3266410</x:v>
      </x:c>
      <x:c r="G483" s="11" t="n">
        <x:v>5835486</x:v>
      </x:c>
      <x:c r="H483" s="11" t="n">
        <x:v>1732820</x:v>
      </x:c>
      <x:c r="I483" s="11" t="n">
        <x:v>11943819</x:v>
      </x:c>
      <x:c r="J483" s="11" t="n">
        <x:v>226353</x:v>
      </x:c>
      <x:c r="K483" s="12" t="n">
        <x:v>0.6411286175979158</x:v>
      </x:c>
      <x:c r="L483" s="12" t="n">
        <x:v>0.9810485239268948</x:v>
      </x:c>
      <x:c r="M483" s="8" t="str">
        <x:v>In_Progress</x:v>
      </x:c>
    </x:row>
    <x:row r="484">
      <x:c r="A484" s="8" t="str">
        <x:v>Fruitvale|Fleet</x:v>
      </x:c>
      <x:c r="B484" s="8" t="str">
        <x:v>fruitvale-v</x:v>
      </x:c>
      <x:c r="C484" s="8" t="str">
        <x:v>Fruitvale</x:v>
      </x:c>
      <x:c r="D484" s="8" t="str">
        <x:v>Fleet</x:v>
      </x:c>
      <x:c r="E484" s="11" t="n">
        <x:v>4146087</x:v>
      </x:c>
      <x:c r="F484" s="11" t="n">
        <x:v>2070645</x:v>
      </x:c>
      <x:c r="G484" s="11" t="n">
        <x:v>2075442</x:v>
      </x:c>
      <x:c r="H484" s="11" t="n">
        <x:v>832561</x:v>
      </x:c>
      <x:c r="I484" s="11" t="n">
        <x:v>4586332</x:v>
      </x:c>
      <x:c r="J484" s="11" t="n">
        <x:v>365270</x:v>
      </x:c>
      <x:c r="K484" s="12" t="n">
        <x:v>0.5005784972674234</x:v>
      </x:c>
      <x:c r="L484" s="12" t="n">
        <x:v>0.920356834175982</x:v>
      </x:c>
      <x:c r="M484" s="8" t="str">
        <x:v>Yes</x:v>
      </x:c>
    </x:row>
    <x:row r="485">
      <x:c r="A485" s="8" t="str">
        <x:v>Fruitvale|Parks and Recreation</x:v>
      </x:c>
      <x:c r="B485" s="8" t="str">
        <x:v>fruitvale-v</x:v>
      </x:c>
      <x:c r="C485" s="8" t="str">
        <x:v>Fruitvale</x:v>
      </x:c>
      <x:c r="D485" s="8" t="str">
        <x:v>Parks and Recreation</x:v>
      </x:c>
      <x:c r="E485" s="11" t="n">
        <x:v>1922134</x:v>
      </x:c>
      <x:c r="F485" s="11" t="n">
        <x:v>693903</x:v>
      </x:c>
      <x:c r="G485" s="11" t="n">
        <x:v>1228231</x:v>
      </x:c>
      <x:c r="H485" s="11" t="n">
        <x:v>475701</x:v>
      </x:c>
      <x:c r="I485" s="11" t="n">
        <x:v>3518045</x:v>
      </x:c>
      <x:c r="J485" s="11" t="n">
        <x:v>68609</x:v>
      </x:c>
      <x:c r="K485" s="12" t="n">
        <x:v>0.638993431259215</x:v>
      </x:c>
      <x:c r="L485" s="12" t="n">
        <x:v>0.9804979754380629</x:v>
      </x:c>
      <x:c r="M485" s="8" t="str">
        <x:v>Yes</x:v>
      </x:c>
    </x:row>
    <x:row r="486">
      <x:c r="A486" s="8" t="str">
        <x:v>Fruitvale|Water System</x:v>
      </x:c>
      <x:c r="B486" s="8" t="str">
        <x:v>fruitvale-v</x:v>
      </x:c>
      <x:c r="C486" s="8" t="str">
        <x:v>Fruitvale</x:v>
      </x:c>
      <x:c r="D486" s="8" t="str">
        <x:v>Water System</x:v>
      </x:c>
      <x:c r="E486" s="11" t="n">
        <x:v>0</x:v>
      </x:c>
      <x:c r="F486" s="11" t="n">
        <x:v>0</x:v>
      </x:c>
      <x:c r="G486" s="11" t="n">
        <x:v>0</x:v>
      </x:c>
      <x:c r="H486" s="11" t="n">
        <x:v>0</x:v>
      </x:c>
      <x:c r="I486" s="11" t="n">
        <x:v>0</x:v>
      </x:c>
      <x:c r="J486" s="11" t="n">
        <x:v>0</x:v>
      </x:c>
      <x:c r="K486" s="12"/>
      <x:c r="L486" s="12"/>
      <x:c r="M486" s="8"/>
    </x:row>
    <x:row r="487">
      <x:c r="A487" s="8" t="str">
        <x:v>Fruitvale|Sewer System</x:v>
      </x:c>
      <x:c r="B487" s="8" t="str">
        <x:v>fruitvale-v</x:v>
      </x:c>
      <x:c r="C487" s="8" t="str">
        <x:v>Fruitvale</x:v>
      </x:c>
      <x:c r="D487" s="8" t="str">
        <x:v>Sewer System</x:v>
      </x:c>
      <x:c r="E487" s="11" t="n">
        <x:v>3798459</x:v>
      </x:c>
      <x:c r="F487" s="11" t="n">
        <x:v>1018770</x:v>
      </x:c>
      <x:c r="G487" s="11" t="n">
        <x:v>2779689</x:v>
      </x:c>
      <x:c r="H487" s="11" t="n">
        <x:v>28966</x:v>
      </x:c>
      <x:c r="I487" s="11" t="n">
        <x:v>8047854</x:v>
      </x:c>
      <x:c r="J487" s="11" t="n">
        <x:v>85274</x:v>
      </x:c>
      <x:c r="K487" s="12" t="n">
        <x:v>0.7317938669339329</x:v>
      </x:c>
      <x:c r="L487" s="12" t="n">
        <x:v>0.9894041318343996</x:v>
      </x:c>
      <x:c r="M487" s="8" t="str">
        <x:v>In_Progress</x:v>
      </x:c>
    </x:row>
    <x:row r="488">
      <x:c r="A488" s="8" t="str">
        <x:v>Fruitvale|Drainage System</x:v>
      </x:c>
      <x:c r="B488" s="8" t="str">
        <x:v>fruitvale-v</x:v>
      </x:c>
      <x:c r="C488" s="8" t="str">
        <x:v>Fruitvale</x:v>
      </x:c>
      <x:c r="D488" s="8" t="str">
        <x:v>Drainage System</x:v>
      </x:c>
      <x:c r="E488" s="11" t="n">
        <x:v>1277513</x:v>
      </x:c>
      <x:c r="F488" s="11" t="n">
        <x:v>637559</x:v>
      </x:c>
      <x:c r="G488" s="11" t="n">
        <x:v>639954</x:v>
      </x:c>
      <x:c r="H488" s="11" t="n">
        <x:v>68340</x:v>
      </x:c>
      <x:c r="I488" s="11" t="n">
        <x:v>2290171</x:v>
      </x:c>
      <x:c r="J488" s="11" t="n">
        <x:v>29220</x:v>
      </x:c>
      <x:c r="K488" s="12" t="n">
        <x:v>0.5009373681520266</x:v>
      </x:c>
      <x:c r="L488" s="12" t="n">
        <x:v>0.9872411274092633</x:v>
      </x:c>
      <x:c r="M488" s="8" t="str">
        <x:v>In_Progress</x:v>
      </x:c>
    </x:row>
    <x:row r="489">
      <x:c r="A489" s="8" t="str">
        <x:v>Fruitvale|Transportation System</x:v>
      </x:c>
      <x:c r="B489" s="8" t="str">
        <x:v>fruitvale-v</x:v>
      </x:c>
      <x:c r="C489" s="8" t="str">
        <x:v>Fruitvale</x:v>
      </x:c>
      <x:c r="D489" s="8" t="str">
        <x:v>Transportation System</x:v>
      </x:c>
      <x:c r="E489" s="11" t="n">
        <x:v>7239239</x:v>
      </x:c>
      <x:c r="F489" s="11" t="n">
        <x:v>3612833</x:v>
      </x:c>
      <x:c r="G489" s="11" t="n">
        <x:v>3626406</x:v>
      </x:c>
      <x:c r="H489" s="11" t="n">
        <x:v>387261</x:v>
      </x:c>
      <x:c r="I489" s="11" t="n">
        <x:v>17492998</x:v>
      </x:c>
      <x:c r="J489" s="11" t="n">
        <x:v>471911</x:v>
      </x:c>
      <x:c r="K489" s="12" t="n">
        <x:v>0.5009374604153835</x:v>
      </x:c>
      <x:c r="L489" s="12" t="n">
        <x:v>0.9730228632050378</x:v>
      </x:c>
      <x:c r="M489" s="8" t="str">
        <x:v>In_Progress</x:v>
      </x:c>
    </x:row>
    <x:row r="490">
      <x:c r="A490" s="8" t="str">
        <x:v>Fruitvale|Other Engineering Systems</x:v>
      </x:c>
      <x:c r="B490" s="8" t="str">
        <x:v>fruitvale-v</x:v>
      </x:c>
      <x:c r="C490" s="8" t="str">
        <x:v>Fruitvale</x:v>
      </x:c>
      <x:c r="D490" s="8" t="str">
        <x:v>Other Engineering Systems</x:v>
      </x:c>
      <x:c r="E490" s="11" t="n">
        <x:v>0</x:v>
      </x:c>
      <x:c r="F490" s="11" t="n">
        <x:v>0</x:v>
      </x:c>
      <x:c r="G490" s="11" t="n">
        <x:v>0</x:v>
      </x:c>
      <x:c r="H490" s="11" t="n">
        <x:v>0</x:v>
      </x:c>
      <x:c r="I490" s="11" t="n">
        <x:v>0</x:v>
      </x:c>
      <x:c r="J490" s="11" t="n">
        <x:v>0</x:v>
      </x:c>
      <x:c r="K490" s="12"/>
      <x:c r="L490" s="12"/>
      <x:c r="M490" s="8"/>
    </x:row>
    <x:row r="491">
      <x:c r="A491" s="8" t="str">
        <x:v>Fruitvale|Other Tangible Capital Assets</x:v>
      </x:c>
      <x:c r="B491" s="8" t="str">
        <x:v>fruitvale-v</x:v>
      </x:c>
      <x:c r="C491" s="8" t="str">
        <x:v>Fruitvale</x:v>
      </x:c>
      <x:c r="D491" s="8" t="str">
        <x:v>Other Tangible Capital Assets</x:v>
      </x:c>
      <x:c r="E491" s="11" t="n">
        <x:v>0</x:v>
      </x:c>
      <x:c r="F491" s="11" t="n">
        <x:v>0</x:v>
      </x:c>
      <x:c r="G491" s="11" t="n">
        <x:v>0</x:v>
      </x:c>
      <x:c r="H491" s="11" t="n">
        <x:v>0</x:v>
      </x:c>
      <x:c r="I491" s="11" t="n">
        <x:v>0</x:v>
      </x:c>
      <x:c r="J491" s="11" t="n">
        <x:v>0</x:v>
      </x:c>
      <x:c r="K491" s="12"/>
      <x:c r="L491" s="12"/>
      <x:c r="M491" s="8" t="str">
        <x:v>N/A</x:v>
      </x:c>
    </x:row>
    <x:row r="492">
      <x:c r="A492" s="8" t="str">
        <x:v>Fruitvale|Work In Progress</x:v>
      </x:c>
      <x:c r="B492" s="8" t="str">
        <x:v>fruitvale-v</x:v>
      </x:c>
      <x:c r="C492" s="8" t="str">
        <x:v>Fruitvale</x:v>
      </x:c>
      <x:c r="D492" s="8" t="str">
        <x:v>Work In Progress</x:v>
      </x:c>
      <x:c r="E492" s="11" t="n">
        <x:v>192166</x:v>
      </x:c>
      <x:c r="F492" s="11"/>
      <x:c r="G492" s="11" t="n">
        <x:v>192166</x:v>
      </x:c>
      <x:c r="H492" s="11" t="n">
        <x:v>-1867760</x:v>
      </x:c>
      <x:c r="I492" s="11" t="n">
        <x:v>192166</x:v>
      </x:c>
      <x:c r="J492" s="11"/>
      <x:c r="K492" s="12" t="n">
        <x:v>1</x:v>
      </x:c>
      <x:c r="L492" s="12"/>
      <x:c r="M492" s="8" t="str">
        <x:v>N/A</x:v>
      </x:c>
    </x:row>
    <x:row r="493">
      <x:c r="A493" s="8" t="str">
        <x:v>Fruitvale|Total TCA</x:v>
      </x:c>
      <x:c r="B493" s="8" t="str">
        <x:v>fruitvale-v</x:v>
      </x:c>
      <x:c r="C493" s="8" t="str">
        <x:v>Fruitvale</x:v>
      </x:c>
      <x:c r="D493" s="8" t="str">
        <x:v>Total TCA</x:v>
      </x:c>
      <x:c r="E493" s="11" t="n">
        <x:v>29200825</x:v>
      </x:c>
      <x:c r="F493" s="11" t="n">
        <x:v>11300120</x:v>
      </x:c>
      <x:c r="G493" s="11" t="n">
        <x:v>17900705</x:v>
      </x:c>
      <x:c r="H493" s="11" t="n">
        <x:v>1657889</x:v>
      </x:c>
      <x:c r="I493" s="11" t="n">
        <x:v>49594716</x:v>
      </x:c>
      <x:c r="J493" s="11" t="n">
        <x:v>1246637</x:v>
      </x:c>
      <x:c r="K493" s="12" t="n">
        <x:v>0.6130205225366064</x:v>
      </x:c>
      <x:c r="L493" s="12" t="n">
        <x:v>0.9748635116692673</x:v>
      </x:c>
      <x:c r="M493" s="8"/>
    </x:row>
    <x:row r="494">
      <x:c r="A494" s="8" t="str">
        <x:v>Gibsons|Land</x:v>
      </x:c>
      <x:c r="B494" s="8" t="str">
        <x:v>gibsons-t</x:v>
      </x:c>
      <x:c r="C494" s="8" t="str">
        <x:v>Gibsons</x:v>
      </x:c>
      <x:c r="D494" s="8" t="str">
        <x:v>Land</x:v>
      </x:c>
      <x:c r="E494" s="11" t="n">
        <x:v>11390262</x:v>
      </x:c>
      <x:c r="F494" s="11"/>
      <x:c r="G494" s="11" t="n">
        <x:v>11390262</x:v>
      </x:c>
      <x:c r="H494" s="11" t="n">
        <x:v>0</x:v>
      </x:c>
      <x:c r="I494" s="11" t="n">
        <x:v>11390262</x:v>
      </x:c>
      <x:c r="J494" s="11"/>
      <x:c r="K494" s="12" t="n">
        <x:v>1</x:v>
      </x:c>
      <x:c r="L494" s="12"/>
      <x:c r="M494" s="8" t="str">
        <x:v>N/A</x:v>
      </x:c>
    </x:row>
    <x:row r="495">
      <x:c r="A495" s="8" t="str">
        <x:v>Gibsons|Buildings</x:v>
      </x:c>
      <x:c r="B495" s="8" t="str">
        <x:v>gibsons-t</x:v>
      </x:c>
      <x:c r="C495" s="8" t="str">
        <x:v>Gibsons</x:v>
      </x:c>
      <x:c r="D495" s="8" t="str">
        <x:v>Buildings</x:v>
      </x:c>
      <x:c r="E495" s="11" t="n">
        <x:v>9232643</x:v>
      </x:c>
      <x:c r="F495" s="11" t="n">
        <x:v>4412794</x:v>
      </x:c>
      <x:c r="G495" s="11" t="n">
        <x:v>4819849</x:v>
      </x:c>
      <x:c r="H495" s="11" t="n">
        <x:v>1575990</x:v>
      </x:c>
      <x:c r="I495" s="11" t="n">
        <x:v>27697929</x:v>
      </x:c>
      <x:c r="J495" s="11" t="n">
        <x:v>692448</x:v>
      </x:c>
      <x:c r="K495" s="12" t="n">
        <x:v>0.5220443376831532</x:v>
      </x:c>
      <x:c r="L495" s="12" t="n">
        <x:v>0.9750000081233511</x:v>
      </x:c>
      <x:c r="M495" s="8" t="str">
        <x:v>In_Progress</x:v>
      </x:c>
    </x:row>
    <x:row r="496">
      <x:c r="A496" s="8" t="str">
        <x:v>Gibsons|Fleet</x:v>
      </x:c>
      <x:c r="B496" s="8" t="str">
        <x:v>gibsons-t</x:v>
      </x:c>
      <x:c r="C496" s="8" t="str">
        <x:v>Gibsons</x:v>
      </x:c>
      <x:c r="D496" s="8" t="str">
        <x:v>Fleet</x:v>
      </x:c>
      <x:c r="E496" s="11" t="n">
        <x:v>2164011</x:v>
      </x:c>
      <x:c r="F496" s="11" t="n">
        <x:v>1241297</x:v>
      </x:c>
      <x:c r="G496" s="11" t="n">
        <x:v>922714</x:v>
      </x:c>
      <x:c r="H496" s="11" t="n">
        <x:v>363738</x:v>
      </x:c>
      <x:c r="I496" s="11" t="n">
        <x:v>4328022</x:v>
      </x:c>
      <x:c r="J496" s="11" t="n">
        <x:v>393456</x:v>
      </x:c>
      <x:c r="K496" s="12" t="n">
        <x:v>0.4263906237075505</x:v>
      </x:c>
      <x:c r="L496" s="12" t="n">
        <x:v>0.9090910351195073</x:v>
      </x:c>
      <x:c r="M496" s="8" t="str">
        <x:v>In_Progress</x:v>
      </x:c>
    </x:row>
    <x:row r="497">
      <x:c r="A497" s="8" t="str">
        <x:v>Gibsons|Parks and Recreation</x:v>
      </x:c>
      <x:c r="B497" s="8" t="str">
        <x:v>gibsons-t</x:v>
      </x:c>
      <x:c r="C497" s="8" t="str">
        <x:v>Gibsons</x:v>
      </x:c>
      <x:c r="D497" s="8" t="str">
        <x:v>Parks and Recreation</x:v>
      </x:c>
      <x:c r="E497" s="11" t="n">
        <x:v>0</x:v>
      </x:c>
      <x:c r="F497" s="11" t="n">
        <x:v>0</x:v>
      </x:c>
      <x:c r="G497" s="11" t="n">
        <x:v>0</x:v>
      </x:c>
      <x:c r="H497" s="11" t="n">
        <x:v>0</x:v>
      </x:c>
      <x:c r="I497" s="11" t="n">
        <x:v>0</x:v>
      </x:c>
      <x:c r="J497" s="11" t="n">
        <x:v>0</x:v>
      </x:c>
      <x:c r="K497" s="12"/>
      <x:c r="L497" s="12"/>
      <x:c r="M497" s="8"/>
    </x:row>
    <x:row r="498">
      <x:c r="A498" s="8" t="str">
        <x:v>Gibsons|Water System</x:v>
      </x:c>
      <x:c r="B498" s="8" t="str">
        <x:v>gibsons-t</x:v>
      </x:c>
      <x:c r="C498" s="8" t="str">
        <x:v>Gibsons</x:v>
      </x:c>
      <x:c r="D498" s="8" t="str">
        <x:v>Water System</x:v>
      </x:c>
      <x:c r="E498" s="11" t="n">
        <x:v>20730501</x:v>
      </x:c>
      <x:c r="F498" s="11" t="n">
        <x:v>5788454</x:v>
      </x:c>
      <x:c r="G498" s="11" t="n">
        <x:v>14942047</x:v>
      </x:c>
      <x:c r="H498" s="11" t="n">
        <x:v>122184</x:v>
      </x:c>
      <x:c r="I498" s="11" t="n">
        <x:v>62191503</x:v>
      </x:c>
      <x:c r="J498" s="11" t="n">
        <x:v>1151695</x:v>
      </x:c>
      <x:c r="K498" s="12" t="n">
        <x:v>0.7207759715985639</x:v>
      </x:c>
      <x:c r="L498" s="12" t="n">
        <x:v>0.981481473441798</x:v>
      </x:c>
      <x:c r="M498" s="8" t="str">
        <x:v>Yes</x:v>
      </x:c>
    </x:row>
    <x:row r="499">
      <x:c r="A499" s="8" t="str">
        <x:v>Gibsons|Sewer System</x:v>
      </x:c>
      <x:c r="B499" s="8" t="str">
        <x:v>gibsons-t</x:v>
      </x:c>
      <x:c r="C499" s="8" t="str">
        <x:v>Gibsons</x:v>
      </x:c>
      <x:c r="D499" s="8" t="str">
        <x:v>Sewer System</x:v>
      </x:c>
      <x:c r="E499" s="11" t="n">
        <x:v>18877343</x:v>
      </x:c>
      <x:c r="F499" s="11" t="n">
        <x:v>6859830</x:v>
      </x:c>
      <x:c r="G499" s="11" t="n">
        <x:v>12017513</x:v>
      </x:c>
      <x:c r="H499" s="11" t="n">
        <x:v>360626</x:v>
      </x:c>
      <x:c r="I499" s="11" t="n">
        <x:v>56632029</x:v>
      </x:c>
      <x:c r="J499" s="11" t="n">
        <x:v>988742</x:v>
      </x:c>
      <x:c r="K499" s="12" t="n">
        <x:v>0.6366104064539168</x:v>
      </x:c>
      <x:c r="L499" s="12" t="n">
        <x:v>0.9825409398628469</x:v>
      </x:c>
      <x:c r="M499" s="8" t="str">
        <x:v>Yes</x:v>
      </x:c>
    </x:row>
    <x:row r="500">
      <x:c r="A500" s="8" t="str">
        <x:v>Gibsons|Drainage System</x:v>
      </x:c>
      <x:c r="B500" s="8" t="str">
        <x:v>gibsons-t</x:v>
      </x:c>
      <x:c r="C500" s="8" t="str">
        <x:v>Gibsons</x:v>
      </x:c>
      <x:c r="D500" s="8" t="str">
        <x:v>Drainage System</x:v>
      </x:c>
      <x:c r="E500" s="11" t="n">
        <x:v>8258508</x:v>
      </x:c>
      <x:c r="F500" s="11" t="n">
        <x:v>2117717</x:v>
      </x:c>
      <x:c r="G500" s="11" t="n">
        <x:v>6140791</x:v>
      </x:c>
      <x:c r="H500" s="11" t="n">
        <x:v>1155537</x:v>
      </x:c>
      <x:c r="I500" s="11" t="n">
        <x:v>24775524</x:v>
      </x:c>
      <x:c r="J500" s="11" t="n">
        <x:v>419924</x:v>
      </x:c>
      <x:c r="K500" s="12" t="n">
        <x:v>0.7435714780442182</x:v>
      </x:c>
      <x:c r="L500" s="12" t="n">
        <x:v>0.9830508529304971</x:v>
      </x:c>
      <x:c r="M500" s="8" t="str">
        <x:v>Yes</x:v>
      </x:c>
    </x:row>
    <x:row r="501">
      <x:c r="A501" s="8" t="str">
        <x:v>Gibsons|Transportation System</x:v>
      </x:c>
      <x:c r="B501" s="8" t="str">
        <x:v>gibsons-t</x:v>
      </x:c>
      <x:c r="C501" s="8" t="str">
        <x:v>Gibsons</x:v>
      </x:c>
      <x:c r="D501" s="8" t="str">
        <x:v>Transportation System</x:v>
      </x:c>
      <x:c r="E501" s="11" t="n">
        <x:v>18886554</x:v>
      </x:c>
      <x:c r="F501" s="11" t="n">
        <x:v>9796074</x:v>
      </x:c>
      <x:c r="G501" s="11" t="n">
        <x:v>9090480</x:v>
      </x:c>
      <x:c r="H501" s="11" t="n">
        <x:v>0</x:v>
      </x:c>
      <x:c r="I501" s="11" t="n">
        <x:v>39012214</x:v>
      </x:c>
      <x:c r="J501" s="11" t="n">
        <x:v>2012566</x:v>
      </x:c>
      <x:c r="K501" s="12" t="n">
        <x:v>0.481320202722</x:v>
      </x:c>
      <x:c r="L501" s="12" t="n">
        <x:v>0.9484118999244698</x:v>
      </x:c>
      <x:c r="M501" s="8" t="str">
        <x:v>In_Progress</x:v>
      </x:c>
    </x:row>
    <x:row r="502">
      <x:c r="A502" s="8" t="str">
        <x:v>Gibsons|Other Engineering Systems</x:v>
      </x:c>
      <x:c r="B502" s="8" t="str">
        <x:v>gibsons-t</x:v>
      </x:c>
      <x:c r="C502" s="8" t="str">
        <x:v>Gibsons</x:v>
      </x:c>
      <x:c r="D502" s="8" t="str">
        <x:v>Other Engineering Systems</x:v>
      </x:c>
      <x:c r="E502" s="11" t="n">
        <x:v>0</x:v>
      </x:c>
      <x:c r="F502" s="11" t="n">
        <x:v>0</x:v>
      </x:c>
      <x:c r="G502" s="11" t="n">
        <x:v>0</x:v>
      </x:c>
      <x:c r="H502" s="11" t="n">
        <x:v>0</x:v>
      </x:c>
      <x:c r="I502" s="11" t="n">
        <x:v>0</x:v>
      </x:c>
      <x:c r="J502" s="11" t="n">
        <x:v>0</x:v>
      </x:c>
      <x:c r="K502" s="12"/>
      <x:c r="L502" s="12"/>
      <x:c r="M502" s="8"/>
    </x:row>
    <x:row r="503">
      <x:c r="A503" s="8" t="str">
        <x:v>Gibsons|Other Tangible Capital Assets</x:v>
      </x:c>
      <x:c r="B503" s="8" t="str">
        <x:v>gibsons-t</x:v>
      </x:c>
      <x:c r="C503" s="8" t="str">
        <x:v>Gibsons</x:v>
      </x:c>
      <x:c r="D503" s="8" t="str">
        <x:v>Other Tangible Capital Assets</x:v>
      </x:c>
      <x:c r="E503" s="11" t="n">
        <x:v>6870841</x:v>
      </x:c>
      <x:c r="F503" s="11" t="n">
        <x:v>2898495</x:v>
      </x:c>
      <x:c r="G503" s="11" t="n">
        <x:v>3972346</x:v>
      </x:c>
      <x:c r="H503" s="11" t="n">
        <x:v>1332043</x:v>
      </x:c>
      <x:c r="I503" s="11" t="n">
        <x:v>13741682</x:v>
      </x:c>
      <x:c r="J503" s="11" t="n">
        <x:v>392620</x:v>
      </x:c>
      <x:c r="K503" s="12" t="n">
        <x:v>0.5781455283276093</x:v>
      </x:c>
      <x:c r="L503" s="12" t="n">
        <x:v>0.9714285340033338</x:v>
      </x:c>
      <x:c r="M503" s="8" t="str">
        <x:v>N/A</x:v>
      </x:c>
    </x:row>
    <x:row r="504">
      <x:c r="A504" s="8" t="str">
        <x:v>Gibsons|Work In Progress</x:v>
      </x:c>
      <x:c r="B504" s="8" t="str">
        <x:v>gibsons-t</x:v>
      </x:c>
      <x:c r="C504" s="8" t="str">
        <x:v>Gibsons</x:v>
      </x:c>
      <x:c r="D504" s="8" t="str">
        <x:v>Work In Progress</x:v>
      </x:c>
      <x:c r="E504" s="11" t="n">
        <x:v>3501343</x:v>
      </x:c>
      <x:c r="F504" s="11"/>
      <x:c r="G504" s="11" t="n">
        <x:v>3501343</x:v>
      </x:c>
      <x:c r="H504" s="11" t="n">
        <x:v>-84834</x:v>
      </x:c>
      <x:c r="I504" s="11" t="n">
        <x:v>3501343</x:v>
      </x:c>
      <x:c r="J504" s="11"/>
      <x:c r="K504" s="12" t="n">
        <x:v>1</x:v>
      </x:c>
      <x:c r="L504" s="12"/>
      <x:c r="M504" s="8" t="str">
        <x:v>N/A</x:v>
      </x:c>
    </x:row>
    <x:row r="505">
      <x:c r="A505" s="8" t="str">
        <x:v>Gibsons|Total TCA</x:v>
      </x:c>
      <x:c r="B505" s="8" t="str">
        <x:v>gibsons-t</x:v>
      </x:c>
      <x:c r="C505" s="8" t="str">
        <x:v>Gibsons</x:v>
      </x:c>
      <x:c r="D505" s="8" t="str">
        <x:v>Total TCA</x:v>
      </x:c>
      <x:c r="E505" s="11" t="n">
        <x:v>99912006</x:v>
      </x:c>
      <x:c r="F505" s="11" t="n">
        <x:v>33114661</x:v>
      </x:c>
      <x:c r="G505" s="11" t="n">
        <x:v>66797345</x:v>
      </x:c>
      <x:c r="H505" s="11" t="n">
        <x:v>4825284</x:v>
      </x:c>
      <x:c r="I505" s="11" t="n">
        <x:v>243270508</x:v>
      </x:c>
      <x:c r="J505" s="11" t="n">
        <x:v>6051451</x:v>
      </x:c>
      <x:c r="K505" s="12" t="n">
        <x:v>0.6685617442212101</x:v>
      </x:c>
      <x:c r="L505" s="12" t="n">
        <x:v>0.9751246008003568</x:v>
      </x:c>
      <x:c r="M505" s="8"/>
    </x:row>
    <x:row r="506">
      <x:c r="A506" s="8" t="str">
        <x:v>Gold River|Land</x:v>
      </x:c>
      <x:c r="B506" s="8" t="str">
        <x:v>gold-river-v</x:v>
      </x:c>
      <x:c r="C506" s="8" t="str">
        <x:v>Gold River</x:v>
      </x:c>
      <x:c r="D506" s="8" t="str">
        <x:v>Land</x:v>
      </x:c>
      <x:c r="E506" s="11" t="n">
        <x:v>2072061</x:v>
      </x:c>
      <x:c r="F506" s="11"/>
      <x:c r="G506" s="11" t="n">
        <x:v>2072061</x:v>
      </x:c>
      <x:c r="H506" s="11" t="n">
        <x:v>0</x:v>
      </x:c>
      <x:c r="I506" s="11" t="n">
        <x:v>2072061</x:v>
      </x:c>
      <x:c r="J506" s="11"/>
      <x:c r="K506" s="12" t="n">
        <x:v>1</x:v>
      </x:c>
      <x:c r="L506" s="12"/>
      <x:c r="M506" s="8" t="str">
        <x:v>N/A</x:v>
      </x:c>
    </x:row>
    <x:row r="507">
      <x:c r="A507" s="8" t="str">
        <x:v>Gold River|Buildings</x:v>
      </x:c>
      <x:c r="B507" s="8" t="str">
        <x:v>gold-river-v</x:v>
      </x:c>
      <x:c r="C507" s="8" t="str">
        <x:v>Gold River</x:v>
      </x:c>
      <x:c r="D507" s="8" t="str">
        <x:v>Buildings</x:v>
      </x:c>
      <x:c r="E507" s="11" t="n">
        <x:v>9346396</x:v>
      </x:c>
      <x:c r="F507" s="11" t="n">
        <x:v>4576355</x:v>
      </x:c>
      <x:c r="G507" s="11" t="n">
        <x:v>4770041</x:v>
      </x:c>
      <x:c r="H507" s="11" t="n">
        <x:v>34475</x:v>
      </x:c>
      <x:c r="I507" s="11" t="n">
        <x:v>10997640</x:v>
      </x:c>
      <x:c r="J507" s="11" t="n">
        <x:v>144165</x:v>
      </x:c>
      <x:c r="K507" s="12" t="n">
        <x:v>0.5103615340073329</x:v>
      </x:c>
      <x:c r="L507" s="12" t="n">
        <x:v>0.9868912784924766</x:v>
      </x:c>
      <x:c r="M507" s="8" t="str">
        <x:v>Yes</x:v>
      </x:c>
    </x:row>
    <x:row r="508">
      <x:c r="A508" s="8" t="str">
        <x:v>Gold River|Fleet</x:v>
      </x:c>
      <x:c r="B508" s="8" t="str">
        <x:v>gold-river-v</x:v>
      </x:c>
      <x:c r="C508" s="8" t="str">
        <x:v>Gold River</x:v>
      </x:c>
      <x:c r="D508" s="8" t="str">
        <x:v>Fleet</x:v>
      </x:c>
      <x:c r="E508" s="11" t="n">
        <x:v>2118306</x:v>
      </x:c>
      <x:c r="F508" s="11" t="n">
        <x:v>1259383</x:v>
      </x:c>
      <x:c r="G508" s="11" t="n">
        <x:v>858923</x:v>
      </x:c>
      <x:c r="H508" s="11" t="n">
        <x:v>127047</x:v>
      </x:c>
      <x:c r="I508" s="11" t="n">
        <x:v>2037986</x:v>
      </x:c>
      <x:c r="J508" s="11" t="n">
        <x:v>78503</x:v>
      </x:c>
      <x:c r="K508" s="12" t="n">
        <x:v>0.405476357051342</x:v>
      </x:c>
      <x:c r="L508" s="12" t="n">
        <x:v>0.9614801083030011</x:v>
      </x:c>
      <x:c r="M508" s="8" t="str">
        <x:v>In_Progress</x:v>
      </x:c>
    </x:row>
    <x:row r="509">
      <x:c r="A509" s="8" t="str">
        <x:v>Gold River|Parks and Recreation</x:v>
      </x:c>
      <x:c r="B509" s="8" t="str">
        <x:v>gold-river-v</x:v>
      </x:c>
      <x:c r="C509" s="8" t="str">
        <x:v>Gold River</x:v>
      </x:c>
      <x:c r="D509" s="8" t="str">
        <x:v>Parks and Recreation</x:v>
      </x:c>
      <x:c r="E509" s="11" t="n">
        <x:v>1119676</x:v>
      </x:c>
      <x:c r="F509" s="11" t="n">
        <x:v>877909</x:v>
      </x:c>
      <x:c r="G509" s="11" t="n">
        <x:v>241767</x:v>
      </x:c>
      <x:c r="H509" s="11" t="n">
        <x:v>0</x:v>
      </x:c>
      <x:c r="I509" s="11" t="n">
        <x:v>2206919</x:v>
      </x:c>
      <x:c r="J509" s="11" t="n">
        <x:v>12365045</x:v>
      </x:c>
      <x:c r="K509" s="12" t="n">
        <x:v>0.21592585712295342</x:v>
      </x:c>
      <x:c r="L509" s="12" t="n">
        <x:v>-4.602854024094223</x:v>
      </x:c>
      <x:c r="M509" s="8" t="str">
        <x:v>Yes</x:v>
      </x:c>
    </x:row>
    <x:row r="510">
      <x:c r="A510" s="8" t="str">
        <x:v>Gold River|Water System</x:v>
      </x:c>
      <x:c r="B510" s="8" t="str">
        <x:v>gold-river-v</x:v>
      </x:c>
      <x:c r="C510" s="8" t="str">
        <x:v>Gold River</x:v>
      </x:c>
      <x:c r="D510" s="8" t="str">
        <x:v>Water System</x:v>
      </x:c>
      <x:c r="E510" s="11" t="n">
        <x:v>1815617</x:v>
      </x:c>
      <x:c r="F510" s="11" t="n">
        <x:v>1014323</x:v>
      </x:c>
      <x:c r="G510" s="11" t="n">
        <x:v>801294</x:v>
      </x:c>
      <x:c r="H510" s="11" t="n">
        <x:v>0</x:v>
      </x:c>
      <x:c r="I510" s="11" t="n">
        <x:v>6793596</x:v>
      </x:c>
      <x:c r="J510" s="11" t="n">
        <x:v>43540</x:v>
      </x:c>
      <x:c r="K510" s="12" t="n">
        <x:v>0.44133426818541577</x:v>
      </x:c>
      <x:c r="L510" s="12" t="n">
        <x:v>0.9935910230752609</x:v>
      </x:c>
      <x:c r="M510" s="8" t="str">
        <x:v>Yes</x:v>
      </x:c>
    </x:row>
    <x:row r="511">
      <x:c r="A511" s="8" t="str">
        <x:v>Gold River|Sewer System</x:v>
      </x:c>
      <x:c r="B511" s="8" t="str">
        <x:v>gold-river-v</x:v>
      </x:c>
      <x:c r="C511" s="8" t="str">
        <x:v>Gold River</x:v>
      </x:c>
      <x:c r="D511" s="8" t="str">
        <x:v>Sewer System</x:v>
      </x:c>
      <x:c r="E511" s="11" t="n">
        <x:v>4357419</x:v>
      </x:c>
      <x:c r="F511" s="11" t="n">
        <x:v>1965753</x:v>
      </x:c>
      <x:c r="G511" s="11" t="n">
        <x:v>2391666</x:v>
      </x:c>
      <x:c r="H511" s="11" t="n">
        <x:v>0</x:v>
      </x:c>
      <x:c r="I511" s="11" t="n">
        <x:v>8586992</x:v>
      </x:c>
      <x:c r="J511" s="11" t="n">
        <x:v>105502</x:v>
      </x:c>
      <x:c r="K511" s="12" t="n">
        <x:v>0.5488721649214822</x:v>
      </x:c>
      <x:c r="L511" s="12" t="n">
        <x:v>0.9877137419017044</x:v>
      </x:c>
      <x:c r="M511" s="8" t="str">
        <x:v>Yes</x:v>
      </x:c>
    </x:row>
    <x:row r="512">
      <x:c r="A512" s="8" t="str">
        <x:v>Gold River|Drainage System</x:v>
      </x:c>
      <x:c r="B512" s="8" t="str">
        <x:v>gold-river-v</x:v>
      </x:c>
      <x:c r="C512" s="8" t="str">
        <x:v>Gold River</x:v>
      </x:c>
      <x:c r="D512" s="8" t="str">
        <x:v>Drainage System</x:v>
      </x:c>
      <x:c r="E512" s="11" t="n">
        <x:v>1201357</x:v>
      </x:c>
      <x:c r="F512" s="11" t="n">
        <x:v>694438</x:v>
      </x:c>
      <x:c r="G512" s="11" t="n">
        <x:v>506919</x:v>
      </x:c>
      <x:c r="H512" s="11" t="n">
        <x:v>0</x:v>
      </x:c>
      <x:c r="I512" s="11" t="n">
        <x:v>5307988</x:v>
      </x:c>
      <x:c r="J512" s="11" t="n">
        <x:v>1501696</x:v>
      </x:c>
      <x:c r="K512" s="12" t="n">
        <x:v>0.4219553388376644</x:v>
      </x:c>
      <x:c r="L512" s="12" t="n">
        <x:v>0.7170875292106915</x:v>
      </x:c>
      <x:c r="M512" s="8" t="str">
        <x:v>Yes</x:v>
      </x:c>
    </x:row>
    <x:row r="513">
      <x:c r="A513" s="8" t="str">
        <x:v>Gold River|Transportation System</x:v>
      </x:c>
      <x:c r="B513" s="8" t="str">
        <x:v>gold-river-v</x:v>
      </x:c>
      <x:c r="C513" s="8" t="str">
        <x:v>Gold River</x:v>
      </x:c>
      <x:c r="D513" s="8" t="str">
        <x:v>Transportation System</x:v>
      </x:c>
      <x:c r="E513" s="11" t="n">
        <x:v>3700387</x:v>
      </x:c>
      <x:c r="F513" s="11" t="n">
        <x:v>2699373</x:v>
      </x:c>
      <x:c r="G513" s="11" t="n">
        <x:v>1001014</x:v>
      </x:c>
      <x:c r="H513" s="11" t="n">
        <x:v>0</x:v>
      </x:c>
      <x:c r="I513" s="11" t="n">
        <x:v>12215079</x:v>
      </x:c>
      <x:c r="J513" s="11" t="n">
        <x:v>2047038</x:v>
      </x:c>
      <x:c r="K513" s="12" t="n">
        <x:v>0.270516029809855</x:v>
      </x:c>
      <x:c r="L513" s="12" t="n">
        <x:v>0.8324171296804548</x:v>
      </x:c>
      <x:c r="M513" s="8" t="str">
        <x:v>Yes</x:v>
      </x:c>
    </x:row>
    <x:row r="514">
      <x:c r="A514" s="8" t="str">
        <x:v>Gold River|Other Engineering Systems</x:v>
      </x:c>
      <x:c r="B514" s="8" t="str">
        <x:v>gold-river-v</x:v>
      </x:c>
      <x:c r="C514" s="8" t="str">
        <x:v>Gold River</x:v>
      </x:c>
      <x:c r="D514" s="8" t="str">
        <x:v>Other Engineering Systems</x:v>
      </x:c>
      <x:c r="E514" s="11" t="n">
        <x:v>0</x:v>
      </x:c>
      <x:c r="F514" s="11" t="n">
        <x:v>0</x:v>
      </x:c>
      <x:c r="G514" s="11" t="n">
        <x:v>0</x:v>
      </x:c>
      <x:c r="H514" s="11" t="n">
        <x:v>0</x:v>
      </x:c>
      <x:c r="I514" s="11" t="n">
        <x:v>0</x:v>
      </x:c>
      <x:c r="J514" s="11" t="n">
        <x:v>0</x:v>
      </x:c>
      <x:c r="K514" s="12"/>
      <x:c r="L514" s="12"/>
      <x:c r="M514" s="8"/>
    </x:row>
    <x:row r="515">
      <x:c r="A515" s="8" t="str">
        <x:v>Gold River|Other Tangible Capital Assets</x:v>
      </x:c>
      <x:c r="B515" s="8" t="str">
        <x:v>gold-river-v</x:v>
      </x:c>
      <x:c r="C515" s="8" t="str">
        <x:v>Gold River</x:v>
      </x:c>
      <x:c r="D515" s="8" t="str">
        <x:v>Other Tangible Capital Assets</x:v>
      </x:c>
      <x:c r="E515" s="11" t="n">
        <x:v>2372314</x:v>
      </x:c>
      <x:c r="F515" s="11" t="n">
        <x:v>1386801</x:v>
      </x:c>
      <x:c r="G515" s="11" t="n">
        <x:v>985513</x:v>
      </x:c>
      <x:c r="H515" s="11" t="n">
        <x:v>50071</x:v>
      </x:c>
      <x:c r="I515" s="11" t="n">
        <x:v>79184</x:v>
      </x:c>
      <x:c r="J515" s="11" t="n">
        <x:v>19661</x:v>
      </x:c>
      <x:c r="K515" s="12" t="n">
        <x:v>0.4154226632730743</x:v>
      </x:c>
      <x:c r="L515" s="12" t="n">
        <x:v>0.7517048898767428</x:v>
      </x:c>
      <x:c r="M515" s="8" t="str">
        <x:v>N/A</x:v>
      </x:c>
    </x:row>
    <x:row r="516">
      <x:c r="A516" s="8" t="str">
        <x:v>Gold River|Work In Progress</x:v>
      </x:c>
      <x:c r="B516" s="8" t="str">
        <x:v>gold-river-v</x:v>
      </x:c>
      <x:c r="C516" s="8" t="str">
        <x:v>Gold River</x:v>
      </x:c>
      <x:c r="D516" s="8" t="str">
        <x:v>Work In Progress</x:v>
      </x:c>
      <x:c r="E516" s="11" t="n">
        <x:v>43450</x:v>
      </x:c>
      <x:c r="F516" s="11"/>
      <x:c r="G516" s="11" t="n">
        <x:v>43450</x:v>
      </x:c>
      <x:c r="H516" s="11" t="n">
        <x:v>43450</x:v>
      </x:c>
      <x:c r="I516" s="11" t="n">
        <x:v>43450</x:v>
      </x:c>
      <x:c r="J516" s="11"/>
      <x:c r="K516" s="12" t="n">
        <x:v>1</x:v>
      </x:c>
      <x:c r="L516" s="12"/>
      <x:c r="M516" s="8" t="str">
        <x:v>N/A</x:v>
      </x:c>
    </x:row>
    <x:row r="517">
      <x:c r="A517" s="8" t="str">
        <x:v>Gold River|Total TCA</x:v>
      </x:c>
      <x:c r="B517" s="8" t="str">
        <x:v>gold-river-v</x:v>
      </x:c>
      <x:c r="C517" s="8" t="str">
        <x:v>Gold River</x:v>
      </x:c>
      <x:c r="D517" s="8" t="str">
        <x:v>Total TCA</x:v>
      </x:c>
      <x:c r="E517" s="11" t="n">
        <x:v>28146983</x:v>
      </x:c>
      <x:c r="F517" s="11" t="n">
        <x:v>14474335</x:v>
      </x:c>
      <x:c r="G517" s="11" t="n">
        <x:v>13672648</x:v>
      </x:c>
      <x:c r="H517" s="11" t="n">
        <x:v>255043</x:v>
      </x:c>
      <x:c r="I517" s="11" t="n">
        <x:v>50340895</x:v>
      </x:c>
      <x:c r="J517" s="11" t="n">
        <x:v>16305150</x:v>
      </x:c>
      <x:c r="K517" s="12" t="n">
        <x:v>0.4857589177497283</x:v>
      </x:c>
      <x:c r="L517" s="12" t="n">
        <x:v>0.676105281799221</x:v>
      </x:c>
      <x:c r="M517" s="8"/>
    </x:row>
    <x:row r="518">
      <x:c r="A518" s="8" t="str">
        <x:v>Golden|Land</x:v>
      </x:c>
      <x:c r="B518" s="8" t="str">
        <x:v>golden-t</x:v>
      </x:c>
      <x:c r="C518" s="8" t="str">
        <x:v>Golden</x:v>
      </x:c>
      <x:c r="D518" s="8" t="str">
        <x:v>Land</x:v>
      </x:c>
      <x:c r="E518" s="11" t="n">
        <x:v>9535516</x:v>
      </x:c>
      <x:c r="F518" s="11"/>
      <x:c r="G518" s="11" t="n">
        <x:v>9535516</x:v>
      </x:c>
      <x:c r="H518" s="11" t="n">
        <x:v>0</x:v>
      </x:c>
      <x:c r="I518" s="11" t="n">
        <x:v>9535516</x:v>
      </x:c>
      <x:c r="J518" s="11"/>
      <x:c r="K518" s="12" t="n">
        <x:v>1</x:v>
      </x:c>
      <x:c r="L518" s="12"/>
      <x:c r="M518" s="8" t="str">
        <x:v>N/A</x:v>
      </x:c>
    </x:row>
    <x:row r="519">
      <x:c r="A519" s="8" t="str">
        <x:v>Golden|Buildings</x:v>
      </x:c>
      <x:c r="B519" s="8" t="str">
        <x:v>golden-t</x:v>
      </x:c>
      <x:c r="C519" s="8" t="str">
        <x:v>Golden</x:v>
      </x:c>
      <x:c r="D519" s="8" t="str">
        <x:v>Buildings</x:v>
      </x:c>
      <x:c r="E519" s="11" t="n">
        <x:v>11673410</x:v>
      </x:c>
      <x:c r="F519" s="11" t="n">
        <x:v>5592816</x:v>
      </x:c>
      <x:c r="G519" s="11" t="n">
        <x:v>6080594</x:v>
      </x:c>
      <x:c r="H519" s="11" t="n">
        <x:v>409421</x:v>
      </x:c>
      <x:c r="I519" s="11" t="n">
        <x:v>0</x:v>
      </x:c>
      <x:c r="J519" s="11" t="n">
        <x:v>0</x:v>
      </x:c>
      <x:c r="K519" s="12" t="n">
        <x:v>0.520892695450601</x:v>
      </x:c>
      <x:c r="L519" s="12"/>
      <x:c r="M519" s="8" t="str">
        <x:v>In_Progress</x:v>
      </x:c>
    </x:row>
    <x:row r="520">
      <x:c r="A520" s="8" t="str">
        <x:v>Golden|Fleet</x:v>
      </x:c>
      <x:c r="B520" s="8" t="str">
        <x:v>golden-t</x:v>
      </x:c>
      <x:c r="C520" s="8" t="str">
        <x:v>Golden</x:v>
      </x:c>
      <x:c r="D520" s="8" t="str">
        <x:v>Fleet</x:v>
      </x:c>
      <x:c r="E520" s="11" t="n">
        <x:v>9227326</x:v>
      </x:c>
      <x:c r="F520" s="11" t="n">
        <x:v>5145726</x:v>
      </x:c>
      <x:c r="G520" s="11" t="n">
        <x:v>4081600</x:v>
      </x:c>
      <x:c r="H520" s="11" t="n">
        <x:v>1038496</x:v>
      </x:c>
      <x:c r="I520" s="11" t="n">
        <x:v>0</x:v>
      </x:c>
      <x:c r="J520" s="11" t="n">
        <x:v>0</x:v>
      </x:c>
      <x:c r="K520" s="12" t="n">
        <x:v>0.442338332903812</x:v>
      </x:c>
      <x:c r="L520" s="12"/>
      <x:c r="M520" s="8" t="str">
        <x:v>In_Progress</x:v>
      </x:c>
    </x:row>
    <x:row r="521">
      <x:c r="A521" s="8" t="str">
        <x:v>Golden|Parks and Recreation</x:v>
      </x:c>
      <x:c r="B521" s="8" t="str">
        <x:v>golden-t</x:v>
      </x:c>
      <x:c r="C521" s="8" t="str">
        <x:v>Golden</x:v>
      </x:c>
      <x:c r="D521" s="8" t="str">
        <x:v>Parks and Recreation</x:v>
      </x:c>
      <x:c r="E521" s="11" t="n">
        <x:v>6599014</x:v>
      </x:c>
      <x:c r="F521" s="11" t="n">
        <x:v>3131147</x:v>
      </x:c>
      <x:c r="G521" s="11" t="n">
        <x:v>3467867</x:v>
      </x:c>
      <x:c r="H521" s="11" t="n">
        <x:v>798768</x:v>
      </x:c>
      <x:c r="I521" s="11" t="n">
        <x:v>0</x:v>
      </x:c>
      <x:c r="J521" s="11" t="n">
        <x:v>0</x:v>
      </x:c>
      <x:c r="K521" s="12" t="n">
        <x:v>0.5255129023820831</x:v>
      </x:c>
      <x:c r="L521" s="12"/>
      <x:c r="M521" s="8" t="str">
        <x:v>In_Progress</x:v>
      </x:c>
    </x:row>
    <x:row r="522">
      <x:c r="A522" s="8" t="str">
        <x:v>Golden|Water System</x:v>
      </x:c>
      <x:c r="B522" s="8" t="str">
        <x:v>golden-t</x:v>
      </x:c>
      <x:c r="C522" s="8" t="str">
        <x:v>Golden</x:v>
      </x:c>
      <x:c r="D522" s="8" t="str">
        <x:v>Water System</x:v>
      </x:c>
      <x:c r="E522" s="11" t="n">
        <x:v>12318210</x:v>
      </x:c>
      <x:c r="F522" s="11" t="n">
        <x:v>7090836</x:v>
      </x:c>
      <x:c r="G522" s="11" t="n">
        <x:v>5227374</x:v>
      </x:c>
      <x:c r="H522" s="11" t="n">
        <x:v>422600</x:v>
      </x:c>
      <x:c r="I522" s="11" t="n">
        <x:v>0</x:v>
      </x:c>
      <x:c r="J522" s="11" t="n">
        <x:v>0</x:v>
      </x:c>
      <x:c r="K522" s="12" t="n">
        <x:v>0.42436149408071466</x:v>
      </x:c>
      <x:c r="L522" s="12"/>
      <x:c r="M522" s="8" t="str">
        <x:v>In_Progress</x:v>
      </x:c>
    </x:row>
    <x:row r="523">
      <x:c r="A523" s="8" t="str">
        <x:v>Golden|Sewer System</x:v>
      </x:c>
      <x:c r="B523" s="8" t="str">
        <x:v>golden-t</x:v>
      </x:c>
      <x:c r="C523" s="8" t="str">
        <x:v>Golden</x:v>
      </x:c>
      <x:c r="D523" s="8" t="str">
        <x:v>Sewer System</x:v>
      </x:c>
      <x:c r="E523" s="11" t="n">
        <x:v>19844972</x:v>
      </x:c>
      <x:c r="F523" s="11" t="n">
        <x:v>10594055</x:v>
      </x:c>
      <x:c r="G523" s="11" t="n">
        <x:v>9250917</x:v>
      </x:c>
      <x:c r="H523" s="11" t="n">
        <x:v>1207695</x:v>
      </x:c>
      <x:c r="I523" s="11" t="n">
        <x:v>0</x:v>
      </x:c>
      <x:c r="J523" s="11" t="n">
        <x:v>0</x:v>
      </x:c>
      <x:c r="K523" s="12" t="n">
        <x:v>0.4661592367074138</x:v>
      </x:c>
      <x:c r="L523" s="12"/>
      <x:c r="M523" s="8" t="str">
        <x:v>In_Progress</x:v>
      </x:c>
    </x:row>
    <x:row r="524">
      <x:c r="A524" s="8" t="str">
        <x:v>Golden|Drainage System</x:v>
      </x:c>
      <x:c r="B524" s="8" t="str">
        <x:v>golden-t</x:v>
      </x:c>
      <x:c r="C524" s="8" t="str">
        <x:v>Golden</x:v>
      </x:c>
      <x:c r="D524" s="8" t="str">
        <x:v>Drainage System</x:v>
      </x:c>
      <x:c r="E524" s="11" t="n">
        <x:v>16520263</x:v>
      </x:c>
      <x:c r="F524" s="11" t="n">
        <x:v>3846535</x:v>
      </x:c>
      <x:c r="G524" s="11" t="n">
        <x:v>12673728</x:v>
      </x:c>
      <x:c r="H524" s="11" t="n">
        <x:v>2099830</x:v>
      </x:c>
      <x:c r="I524" s="11" t="n">
        <x:v>0</x:v>
      </x:c>
      <x:c r="J524" s="11" t="n">
        <x:v>0</x:v>
      </x:c>
      <x:c r="K524" s="12" t="n">
        <x:v>0.7671626050989624</x:v>
      </x:c>
      <x:c r="L524" s="12"/>
      <x:c r="M524" s="8" t="str">
        <x:v>In_Progress</x:v>
      </x:c>
    </x:row>
    <x:row r="525">
      <x:c r="A525" s="8" t="str">
        <x:v>Golden|Transportation System</x:v>
      </x:c>
      <x:c r="B525" s="8" t="str">
        <x:v>golden-t</x:v>
      </x:c>
      <x:c r="C525" s="8" t="str">
        <x:v>Golden</x:v>
      </x:c>
      <x:c r="D525" s="8" t="str">
        <x:v>Transportation System</x:v>
      </x:c>
      <x:c r="E525" s="11" t="n">
        <x:v>55047785</x:v>
      </x:c>
      <x:c r="F525" s="11" t="n">
        <x:v>32561893</x:v>
      </x:c>
      <x:c r="G525" s="11" t="n">
        <x:v>22485892</x:v>
      </x:c>
      <x:c r="H525" s="11" t="n">
        <x:v>1494679</x:v>
      </x:c>
      <x:c r="I525" s="11" t="n">
        <x:v>0</x:v>
      </x:c>
      <x:c r="J525" s="11" t="n">
        <x:v>0</x:v>
      </x:c>
      <x:c r="K525" s="12" t="n">
        <x:v>0.40847950557865315</x:v>
      </x:c>
      <x:c r="L525" s="12"/>
      <x:c r="M525" s="8" t="str">
        <x:v>In_Progress</x:v>
      </x:c>
    </x:row>
    <x:row r="526">
      <x:c r="A526" s="8" t="str">
        <x:v>Golden|Other Engineering Systems</x:v>
      </x:c>
      <x:c r="B526" s="8" t="str">
        <x:v>golden-t</x:v>
      </x:c>
      <x:c r="C526" s="8" t="str">
        <x:v>Golden</x:v>
      </x:c>
      <x:c r="D526" s="8" t="str">
        <x:v>Other Engineering Systems</x:v>
      </x:c>
      <x:c r="E526" s="11" t="n">
        <x:v>4311098</x:v>
      </x:c>
      <x:c r="F526" s="11" t="n">
        <x:v>1759112</x:v>
      </x:c>
      <x:c r="G526" s="11" t="n">
        <x:v>2551986</x:v>
      </x:c>
      <x:c r="H526" s="11" t="n">
        <x:v>0</x:v>
      </x:c>
      <x:c r="I526" s="11" t="n">
        <x:v>0</x:v>
      </x:c>
      <x:c r="J526" s="11" t="n">
        <x:v>0</x:v>
      </x:c>
      <x:c r="K526" s="12" t="n">
        <x:v>0.5919573157464757</x:v>
      </x:c>
      <x:c r="L526" s="12"/>
      <x:c r="M526" s="8" t="str">
        <x:v>In_Progress</x:v>
      </x:c>
    </x:row>
    <x:row r="527">
      <x:c r="A527" s="8" t="str">
        <x:v>Golden|Other Tangible Capital Assets</x:v>
      </x:c>
      <x:c r="B527" s="8" t="str">
        <x:v>golden-t</x:v>
      </x:c>
      <x:c r="C527" s="8" t="str">
        <x:v>Golden</x:v>
      </x:c>
      <x:c r="D527" s="8" t="str">
        <x:v>Other Tangible Capital Assets</x:v>
      </x:c>
      <x:c r="E527" s="11" t="n">
        <x:v>0</x:v>
      </x:c>
      <x:c r="F527" s="11" t="n">
        <x:v>0</x:v>
      </x:c>
      <x:c r="G527" s="11" t="n">
        <x:v>0</x:v>
      </x:c>
      <x:c r="H527" s="11" t="n">
        <x:v>0</x:v>
      </x:c>
      <x:c r="I527" s="11" t="n">
        <x:v>0</x:v>
      </x:c>
      <x:c r="J527" s="11" t="n">
        <x:v>0</x:v>
      </x:c>
      <x:c r="K527" s="12"/>
      <x:c r="L527" s="12"/>
      <x:c r="M527" s="8" t="str">
        <x:v>N/A</x:v>
      </x:c>
    </x:row>
    <x:row r="528">
      <x:c r="A528" s="8" t="str">
        <x:v>Golden|Work In Progress</x:v>
      </x:c>
      <x:c r="B528" s="8" t="str">
        <x:v>golden-t</x:v>
      </x:c>
      <x:c r="C528" s="8" t="str">
        <x:v>Golden</x:v>
      </x:c>
      <x:c r="D528" s="8" t="str">
        <x:v>Work In Progress</x:v>
      </x:c>
      <x:c r="E528" s="11" t="n">
        <x:v>2902398</x:v>
      </x:c>
      <x:c r="F528" s="11"/>
      <x:c r="G528" s="11" t="n">
        <x:v>2902398</x:v>
      </x:c>
      <x:c r="H528" s="11" t="n">
        <x:v>-2259097</x:v>
      </x:c>
      <x:c r="I528" s="11" t="n">
        <x:v>2902398</x:v>
      </x:c>
      <x:c r="J528" s="11"/>
      <x:c r="K528" s="12" t="n">
        <x:v>1</x:v>
      </x:c>
      <x:c r="L528" s="12"/>
      <x:c r="M528" s="8" t="str">
        <x:v>N/A</x:v>
      </x:c>
    </x:row>
    <x:row r="529">
      <x:c r="A529" s="8" t="str">
        <x:v>Golden|Total TCA</x:v>
      </x:c>
      <x:c r="B529" s="8" t="str">
        <x:v>golden-t</x:v>
      </x:c>
      <x:c r="C529" s="8" t="str">
        <x:v>Golden</x:v>
      </x:c>
      <x:c r="D529" s="8" t="str">
        <x:v>Total TCA</x:v>
      </x:c>
      <x:c r="E529" s="11" t="n">
        <x:v>147979992</x:v>
      </x:c>
      <x:c r="F529" s="11" t="n">
        <x:v>69722120</x:v>
      </x:c>
      <x:c r="G529" s="11" t="n">
        <x:v>78257872</x:v>
      </x:c>
      <x:c r="H529" s="11" t="n">
        <x:v>5212392</x:v>
      </x:c>
      <x:c r="I529" s="11" t="n">
        <x:v>12437914</x:v>
      </x:c>
      <x:c r="J529" s="11" t="n">
        <x:v>0</x:v>
      </x:c>
      <x:c r="K529" s="12" t="n">
        <x:v>0.5288408989777483</x:v>
      </x:c>
      <x:c r="L529" s="12" t="n">
        <x:v>1</x:v>
      </x:c>
      <x:c r="M529" s="8"/>
    </x:row>
    <x:row r="530">
      <x:c r="A530" s="8" t="str">
        <x:v>Grand Forks|Land</x:v>
      </x:c>
      <x:c r="B530" s="8" t="str">
        <x:v>grand-forks-c</x:v>
      </x:c>
      <x:c r="C530" s="8" t="str">
        <x:v>Grand Forks</x:v>
      </x:c>
      <x:c r="D530" s="8" t="str">
        <x:v>Land</x:v>
      </x:c>
      <x:c r="E530" s="11" t="n">
        <x:v>6902758</x:v>
      </x:c>
      <x:c r="F530" s="11"/>
      <x:c r="G530" s="11" t="n">
        <x:v>6902758</x:v>
      </x:c>
      <x:c r="H530" s="11" t="n">
        <x:v>0</x:v>
      </x:c>
      <x:c r="I530" s="11" t="n">
        <x:v>6902758</x:v>
      </x:c>
      <x:c r="J530" s="11"/>
      <x:c r="K530" s="12" t="n">
        <x:v>1</x:v>
      </x:c>
      <x:c r="L530" s="12"/>
      <x:c r="M530" s="8" t="str">
        <x:v>N/A</x:v>
      </x:c>
    </x:row>
    <x:row r="531">
      <x:c r="A531" s="8" t="str">
        <x:v>Grand Forks|Buildings</x:v>
      </x:c>
      <x:c r="B531" s="8" t="str">
        <x:v>grand-forks-c</x:v>
      </x:c>
      <x:c r="C531" s="8" t="str">
        <x:v>Grand Forks</x:v>
      </x:c>
      <x:c r="D531" s="8" t="str">
        <x:v>Buildings</x:v>
      </x:c>
      <x:c r="E531" s="11" t="n">
        <x:v>7752083</x:v>
      </x:c>
      <x:c r="F531" s="11" t="n">
        <x:v>4126834</x:v>
      </x:c>
      <x:c r="G531" s="11" t="n">
        <x:v>3625249</x:v>
      </x:c>
      <x:c r="H531" s="11" t="n">
        <x:v>0</x:v>
      </x:c>
      <x:c r="I531" s="11" t="n">
        <x:v>13250697</x:v>
      </x:c>
      <x:c r="J531" s="11" t="n">
        <x:v>708215</x:v>
      </x:c>
      <x:c r="K531" s="12" t="n">
        <x:v>0.46764837270189186</x:v>
      </x:c>
      <x:c r="L531" s="12" t="n">
        <x:v>0.9465526228544808</x:v>
      </x:c>
      <x:c r="M531" s="8" t="str">
        <x:v>In_Progress</x:v>
      </x:c>
    </x:row>
    <x:row r="532">
      <x:c r="A532" s="8" t="str">
        <x:v>Grand Forks|Fleet</x:v>
      </x:c>
      <x:c r="B532" s="8" t="str">
        <x:v>grand-forks-c</x:v>
      </x:c>
      <x:c r="C532" s="8" t="str">
        <x:v>Grand Forks</x:v>
      </x:c>
      <x:c r="D532" s="8" t="str">
        <x:v>Fleet</x:v>
      </x:c>
      <x:c r="E532" s="11" t="n">
        <x:v>5795186</x:v>
      </x:c>
      <x:c r="F532" s="11" t="n">
        <x:v>3434519</x:v>
      </x:c>
      <x:c r="G532" s="11" t="n">
        <x:v>2360667</x:v>
      </x:c>
      <x:c r="H532" s="11" t="n">
        <x:v>970881</x:v>
      </x:c>
      <x:c r="I532" s="11" t="n">
        <x:v>7249122</x:v>
      </x:c>
      <x:c r="J532" s="11" t="n">
        <x:v>1186436</x:v>
      </x:c>
      <x:c r="K532" s="12" t="n">
        <x:v>0.4073496519352442</x:v>
      </x:c>
      <x:c r="L532" s="12" t="n">
        <x:v>0.8363338346354221</x:v>
      </x:c>
      <x:c r="M532" s="8" t="str">
        <x:v>In_Progress</x:v>
      </x:c>
    </x:row>
    <x:row r="533">
      <x:c r="A533" s="8" t="str">
        <x:v>Grand Forks|Parks and Recreation</x:v>
      </x:c>
      <x:c r="B533" s="8" t="str">
        <x:v>grand-forks-c</x:v>
      </x:c>
      <x:c r="C533" s="8" t="str">
        <x:v>Grand Forks</x:v>
      </x:c>
      <x:c r="D533" s="8" t="str">
        <x:v>Parks and Recreation</x:v>
      </x:c>
      <x:c r="E533" s="11" t="n">
        <x:v>3782672</x:v>
      </x:c>
      <x:c r="F533" s="11" t="n">
        <x:v>2442057</x:v>
      </x:c>
      <x:c r="G533" s="11" t="n">
        <x:v>1340615</x:v>
      </x:c>
      <x:c r="H533" s="11" t="n">
        <x:v>22419</x:v>
      </x:c>
      <x:c r="I533" s="11" t="n">
        <x:v>5268353</x:v>
      </x:c>
      <x:c r="J533" s="11" t="n">
        <x:v>773040</x:v>
      </x:c>
      <x:c r="K533" s="12" t="n">
        <x:v>0.35440952850260343</x:v>
      </x:c>
      <x:c r="L533" s="12" t="n">
        <x:v>0.8532672355098453</x:v>
      </x:c>
      <x:c r="M533" s="8" t="str">
        <x:v>In_Progress</x:v>
      </x:c>
    </x:row>
    <x:row r="534">
      <x:c r="A534" s="8" t="str">
        <x:v>Grand Forks|Water System</x:v>
      </x:c>
      <x:c r="B534" s="8" t="str">
        <x:v>grand-forks-c</x:v>
      </x:c>
      <x:c r="C534" s="8" t="str">
        <x:v>Grand Forks</x:v>
      </x:c>
      <x:c r="D534" s="8" t="str">
        <x:v>Water System</x:v>
      </x:c>
      <x:c r="E534" s="11" t="n">
        <x:v>12963771</x:v>
      </x:c>
      <x:c r="F534" s="11" t="n">
        <x:v>7623204</x:v>
      </x:c>
      <x:c r="G534" s="11" t="n">
        <x:v>5340567</x:v>
      </x:c>
      <x:c r="H534" s="11" t="n">
        <x:v>201767</x:v>
      </x:c>
      <x:c r="I534" s="11" t="n">
        <x:v>23498323</x:v>
      </x:c>
      <x:c r="J534" s="11" t="n">
        <x:v>1500988</x:v>
      </x:c>
      <x:c r="K534" s="12" t="n">
        <x:v>0.4119609178533006</x:v>
      </x:c>
      <x:c r="L534" s="12" t="n">
        <x:v>0.9361236118849843</x:v>
      </x:c>
      <x:c r="M534" s="8" t="str">
        <x:v>In_Progress</x:v>
      </x:c>
    </x:row>
    <x:row r="535">
      <x:c r="A535" s="8" t="str">
        <x:v>Grand Forks|Sewer System</x:v>
      </x:c>
      <x:c r="B535" s="8" t="str">
        <x:v>grand-forks-c</x:v>
      </x:c>
      <x:c r="C535" s="8" t="str">
        <x:v>Grand Forks</x:v>
      </x:c>
      <x:c r="D535" s="8" t="str">
        <x:v>Sewer System</x:v>
      </x:c>
      <x:c r="E535" s="11" t="n">
        <x:v>15297339</x:v>
      </x:c>
      <x:c r="F535" s="11" t="n">
        <x:v>6040814</x:v>
      </x:c>
      <x:c r="G535" s="11" t="n">
        <x:v>9256525</x:v>
      </x:c>
      <x:c r="H535" s="11" t="n">
        <x:v>172572</x:v>
      </x:c>
      <x:c r="I535" s="11" t="n">
        <x:v>22868511</x:v>
      </x:c>
      <x:c r="J535" s="11" t="n">
        <x:v>982641</x:v>
      </x:c>
      <x:c r="K535" s="12" t="n">
        <x:v>0.6051068751238369</x:v>
      </x:c>
      <x:c r="L535" s="12" t="n">
        <x:v>0.9570308272366312</x:v>
      </x:c>
      <x:c r="M535" s="8" t="str">
        <x:v>In_Progress</x:v>
      </x:c>
    </x:row>
    <x:row r="536">
      <x:c r="A536" s="8" t="str">
        <x:v>Grand Forks|Drainage System</x:v>
      </x:c>
      <x:c r="B536" s="8" t="str">
        <x:v>grand-forks-c</x:v>
      </x:c>
      <x:c r="C536" s="8" t="str">
        <x:v>Grand Forks</x:v>
      </x:c>
      <x:c r="D536" s="8" t="str">
        <x:v>Drainage System</x:v>
      </x:c>
      <x:c r="E536" s="11" t="n">
        <x:v>501616</x:v>
      </x:c>
      <x:c r="F536" s="11" t="n">
        <x:v>410117</x:v>
      </x:c>
      <x:c r="G536" s="11" t="n">
        <x:v>91499</x:v>
      </x:c>
      <x:c r="H536" s="11" t="n">
        <x:v>0</x:v>
      </x:c>
      <x:c r="I536" s="11" t="n">
        <x:v>757128</x:v>
      </x:c>
      <x:c r="J536" s="11" t="n">
        <x:v>207432</x:v>
      </x:c>
      <x:c r="K536" s="12" t="n">
        <x:v>0.18240845587062612</x:v>
      </x:c>
      <x:c r="L536" s="12" t="n">
        <x:v>0.7260278314895235</x:v>
      </x:c>
      <x:c r="M536" s="8" t="str">
        <x:v>In_Progress</x:v>
      </x:c>
    </x:row>
    <x:row r="537">
      <x:c r="A537" s="8" t="str">
        <x:v>Grand Forks|Transportation System</x:v>
      </x:c>
      <x:c r="B537" s="8" t="str">
        <x:v>grand-forks-c</x:v>
      </x:c>
      <x:c r="C537" s="8" t="str">
        <x:v>Grand Forks</x:v>
      </x:c>
      <x:c r="D537" s="8" t="str">
        <x:v>Transportation System</x:v>
      </x:c>
      <x:c r="E537" s="11" t="n">
        <x:v>13284358</x:v>
      </x:c>
      <x:c r="F537" s="11" t="n">
        <x:v>9531258</x:v>
      </x:c>
      <x:c r="G537" s="11" t="n">
        <x:v>3753100</x:v>
      </x:c>
      <x:c r="H537" s="11" t="n">
        <x:v>130549</x:v>
      </x:c>
      <x:c r="I537" s="11" t="n">
        <x:v>19765659</x:v>
      </x:c>
      <x:c r="J537" s="11" t="n">
        <x:v>3607063</x:v>
      </x:c>
      <x:c r="K537" s="12" t="n">
        <x:v>0.28252023921667874</x:v>
      </x:c>
      <x:c r="L537" s="12" t="n">
        <x:v>0.8175085890128935</x:v>
      </x:c>
      <x:c r="M537" s="8" t="str">
        <x:v>In_Progress</x:v>
      </x:c>
    </x:row>
    <x:row r="538">
      <x:c r="A538" s="8" t="str">
        <x:v>Grand Forks|Other Engineering Systems</x:v>
      </x:c>
      <x:c r="B538" s="8" t="str">
        <x:v>grand-forks-c</x:v>
      </x:c>
      <x:c r="C538" s="8" t="str">
        <x:v>Grand Forks</x:v>
      </x:c>
      <x:c r="D538" s="8" t="str">
        <x:v>Other Engineering Systems</x:v>
      </x:c>
      <x:c r="E538" s="11" t="n">
        <x:v>13760387</x:v>
      </x:c>
      <x:c r="F538" s="11" t="n">
        <x:v>7257526</x:v>
      </x:c>
      <x:c r="G538" s="11" t="n">
        <x:v>6502861</x:v>
      </x:c>
      <x:c r="H538" s="11" t="n">
        <x:v>0</x:v>
      </x:c>
      <x:c r="I538" s="11" t="n">
        <x:v>17947415</x:v>
      </x:c>
      <x:c r="J538" s="11" t="n">
        <x:v>1899197</x:v>
      </x:c>
      <x:c r="K538" s="12" t="n">
        <x:v>0.47257835117573366</x:v>
      </x:c>
      <x:c r="L538" s="12" t="n">
        <x:v>0.8941799139318949</x:v>
      </x:c>
      <x:c r="M538" s="8" t="str">
        <x:v>In_Progress</x:v>
      </x:c>
    </x:row>
    <x:row r="539">
      <x:c r="A539" s="8" t="str">
        <x:v>Grand Forks|Other Tangible Capital Assets</x:v>
      </x:c>
      <x:c r="B539" s="8" t="str">
        <x:v>grand-forks-c</x:v>
      </x:c>
      <x:c r="C539" s="8" t="str">
        <x:v>Grand Forks</x:v>
      </x:c>
      <x:c r="D539" s="8" t="str">
        <x:v>Other Tangible Capital Assets</x:v>
      </x:c>
      <x:c r="E539" s="11" t="n">
        <x:v>4411003</x:v>
      </x:c>
      <x:c r="F539" s="11" t="n">
        <x:v>2589562</x:v>
      </x:c>
      <x:c r="G539" s="11" t="n">
        <x:v>1821441</x:v>
      </x:c>
      <x:c r="H539" s="11" t="n">
        <x:v>507129</x:v>
      </x:c>
      <x:c r="I539" s="11" t="n">
        <x:v>5506562</x:v>
      </x:c>
      <x:c r="J539" s="11" t="n">
        <x:v>889590</x:v>
      </x:c>
      <x:c r="K539" s="12" t="n">
        <x:v>0.41293125395743324</x:v>
      </x:c>
      <x:c r="L539" s="12" t="n">
        <x:v>0.8384491085363245</x:v>
      </x:c>
      <x:c r="M539" s="8" t="str">
        <x:v>N/A</x:v>
      </x:c>
    </x:row>
    <x:row r="540">
      <x:c r="A540" s="8" t="str">
        <x:v>Grand Forks|Work In Progress</x:v>
      </x:c>
      <x:c r="B540" s="8" t="str">
        <x:v>grand-forks-c</x:v>
      </x:c>
      <x:c r="C540" s="8" t="str">
        <x:v>Grand Forks</x:v>
      </x:c>
      <x:c r="D540" s="8" t="str">
        <x:v>Work In Progress</x:v>
      </x:c>
      <x:c r="E540" s="11" t="n">
        <x:v>47753496</x:v>
      </x:c>
      <x:c r="F540" s="11"/>
      <x:c r="G540" s="11" t="n">
        <x:v>47753496</x:v>
      </x:c>
      <x:c r="H540" s="11" t="n">
        <x:v>9761832</x:v>
      </x:c>
      <x:c r="I540" s="11" t="n">
        <x:v>47753496</x:v>
      </x:c>
      <x:c r="J540" s="11"/>
      <x:c r="K540" s="12" t="n">
        <x:v>1</x:v>
      </x:c>
      <x:c r="L540" s="12"/>
      <x:c r="M540" s="8" t="str">
        <x:v>N/A</x:v>
      </x:c>
    </x:row>
    <x:row r="541">
      <x:c r="A541" s="8" t="str">
        <x:v>Grand Forks|Total TCA</x:v>
      </x:c>
      <x:c r="B541" s="8" t="str">
        <x:v>grand-forks-c</x:v>
      </x:c>
      <x:c r="C541" s="8" t="str">
        <x:v>Grand Forks</x:v>
      </x:c>
      <x:c r="D541" s="8" t="str">
        <x:v>Total TCA</x:v>
      </x:c>
      <x:c r="E541" s="11" t="n">
        <x:v>132204669</x:v>
      </x:c>
      <x:c r="F541" s="11" t="n">
        <x:v>43455891</x:v>
      </x:c>
      <x:c r="G541" s="11" t="n">
        <x:v>88748778</x:v>
      </x:c>
      <x:c r="H541" s="11" t="n">
        <x:v>11767149</x:v>
      </x:c>
      <x:c r="I541" s="11" t="n">
        <x:v>170768024</x:v>
      </x:c>
      <x:c r="J541" s="11" t="n">
        <x:v>11754602</x:v>
      </x:c>
      <x:c r="K541" s="12" t="n">
        <x:v>0.6712983639027151</x:v>
      </x:c>
      <x:c r="L541" s="12" t="n">
        <x:v>0.9311662586199393</x:v>
      </x:c>
      <x:c r="M541" s="8"/>
    </x:row>
    <x:row r="542">
      <x:c r="A542" s="8" t="str">
        <x:v>Granisle|Land</x:v>
      </x:c>
      <x:c r="B542" s="8" t="str">
        <x:v>granisle-v</x:v>
      </x:c>
      <x:c r="C542" s="8" t="str">
        <x:v>Granisle</x:v>
      </x:c>
      <x:c r="D542" s="8" t="str">
        <x:v>Land</x:v>
      </x:c>
      <x:c r="E542" s="11" t="n">
        <x:v>178248</x:v>
      </x:c>
      <x:c r="F542" s="11"/>
      <x:c r="G542" s="11" t="n">
        <x:v>178248</x:v>
      </x:c>
      <x:c r="H542" s="11" t="n">
        <x:v>0</x:v>
      </x:c>
      <x:c r="I542" s="11" t="n">
        <x:v>178248</x:v>
      </x:c>
      <x:c r="J542" s="11"/>
      <x:c r="K542" s="12" t="n">
        <x:v>1</x:v>
      </x:c>
      <x:c r="L542" s="12"/>
      <x:c r="M542" s="8" t="str">
        <x:v>N/A</x:v>
      </x:c>
    </x:row>
    <x:row r="543">
      <x:c r="A543" s="8" t="str">
        <x:v>Granisle|Buildings</x:v>
      </x:c>
      <x:c r="B543" s="8" t="str">
        <x:v>granisle-v</x:v>
      </x:c>
      <x:c r="C543" s="8" t="str">
        <x:v>Granisle</x:v>
      </x:c>
      <x:c r="D543" s="8" t="str">
        <x:v>Buildings</x:v>
      </x:c>
      <x:c r="E543" s="11" t="n">
        <x:v>4073272</x:v>
      </x:c>
      <x:c r="F543" s="11" t="n">
        <x:v>2166352</x:v>
      </x:c>
      <x:c r="G543" s="11" t="n">
        <x:v>1906920</x:v>
      </x:c>
      <x:c r="H543" s="11" t="n">
        <x:v>170405</x:v>
      </x:c>
      <x:c r="I543" s="11" t="n">
        <x:v>1906920</x:v>
      </x:c>
      <x:c r="J543" s="11" t="n">
        <x:v>123878</x:v>
      </x:c>
      <x:c r="K543" s="12" t="n">
        <x:v>0.46815434864158345</x:v>
      </x:c>
      <x:c r="L543" s="12" t="n">
        <x:v>0.9350376523398989</x:v>
      </x:c>
      <x:c r="M543" s="8" t="str">
        <x:v>In_Progress</x:v>
      </x:c>
    </x:row>
    <x:row r="544">
      <x:c r="A544" s="8" t="str">
        <x:v>Granisle|Fleet</x:v>
      </x:c>
      <x:c r="B544" s="8" t="str">
        <x:v>granisle-v</x:v>
      </x:c>
      <x:c r="C544" s="8" t="str">
        <x:v>Granisle</x:v>
      </x:c>
      <x:c r="D544" s="8" t="str">
        <x:v>Fleet</x:v>
      </x:c>
      <x:c r="E544" s="11" t="n">
        <x:v>3967412</x:v>
      </x:c>
      <x:c r="F544" s="11" t="n">
        <x:v>1441800</x:v>
      </x:c>
      <x:c r="G544" s="11" t="n">
        <x:v>2525612</x:v>
      </x:c>
      <x:c r="H544" s="11" t="n">
        <x:v>0</x:v>
      </x:c>
      <x:c r="I544" s="11" t="n">
        <x:v>1913068</x:v>
      </x:c>
      <x:c r="J544" s="11" t="n">
        <x:v>228486</x:v>
      </x:c>
      <x:c r="K544" s="12" t="n">
        <x:v>0.6365892929698251</x:v>
      </x:c>
      <x:c r="L544" s="12" t="n">
        <x:v>0.8805656672946283</x:v>
      </x:c>
      <x:c r="M544" s="8" t="str">
        <x:v>Yes</x:v>
      </x:c>
    </x:row>
    <x:row r="545">
      <x:c r="A545" s="8" t="str">
        <x:v>Granisle|Parks and Recreation</x:v>
      </x:c>
      <x:c r="B545" s="8" t="str">
        <x:v>granisle-v</x:v>
      </x:c>
      <x:c r="C545" s="8" t="str">
        <x:v>Granisle</x:v>
      </x:c>
      <x:c r="D545" s="8" t="str">
        <x:v>Parks and Recreation</x:v>
      </x:c>
      <x:c r="E545" s="11" t="n">
        <x:v>2827912</x:v>
      </x:c>
      <x:c r="F545" s="11" t="n">
        <x:v>447009</x:v>
      </x:c>
      <x:c r="G545" s="11" t="n">
        <x:v>2380903</x:v>
      </x:c>
      <x:c r="H545" s="11" t="n">
        <x:v>145426</x:v>
      </x:c>
      <x:c r="I545" s="11" t="n">
        <x:v>2827912</x:v>
      </x:c>
      <x:c r="J545" s="11" t="n">
        <x:v>92781</x:v>
      </x:c>
      <x:c r="K545" s="12" t="n">
        <x:v>0.8419296640065179</x:v>
      </x:c>
      <x:c r="L545" s="12" t="n">
        <x:v>0.9671909875554826</x:v>
      </x:c>
      <x:c r="M545" s="8" t="str">
        <x:v>In_Progress</x:v>
      </x:c>
    </x:row>
    <x:row r="546">
      <x:c r="A546" s="8" t="str">
        <x:v>Granisle|Water System</x:v>
      </x:c>
      <x:c r="B546" s="8" t="str">
        <x:v>granisle-v</x:v>
      </x:c>
      <x:c r="C546" s="8" t="str">
        <x:v>Granisle</x:v>
      </x:c>
      <x:c r="D546" s="8" t="str">
        <x:v>Water System</x:v>
      </x:c>
      <x:c r="E546" s="11" t="n">
        <x:v>7749068</x:v>
      </x:c>
      <x:c r="F546" s="11" t="n">
        <x:v>1646966</x:v>
      </x:c>
      <x:c r="G546" s="11" t="n">
        <x:v>6102102</x:v>
      </x:c>
      <x:c r="H546" s="11" t="n">
        <x:v>0</x:v>
      </x:c>
      <x:c r="I546" s="11" t="n">
        <x:v>7749068</x:v>
      </x:c>
      <x:c r="J546" s="11" t="n">
        <x:v>131991</x:v>
      </x:c>
      <x:c r="K546" s="12" t="n">
        <x:v>0.7874626987400292</x:v>
      </x:c>
      <x:c r="L546" s="12" t="n">
        <x:v>0.9829668548527384</x:v>
      </x:c>
      <x:c r="M546" s="8" t="str">
        <x:v>Yes</x:v>
      </x:c>
    </x:row>
    <x:row r="547">
      <x:c r="A547" s="8" t="str">
        <x:v>Granisle|Sewer System</x:v>
      </x:c>
      <x:c r="B547" s="8" t="str">
        <x:v>granisle-v</x:v>
      </x:c>
      <x:c r="C547" s="8" t="str">
        <x:v>Granisle</x:v>
      </x:c>
      <x:c r="D547" s="8" t="str">
        <x:v>Sewer System</x:v>
      </x:c>
      <x:c r="E547" s="11" t="n">
        <x:v>5502160</x:v>
      </x:c>
      <x:c r="F547" s="11" t="n">
        <x:v>790618</x:v>
      </x:c>
      <x:c r="G547" s="11" t="n">
        <x:v>4711542</x:v>
      </x:c>
      <x:c r="H547" s="11" t="n">
        <x:v>0</x:v>
      </x:c>
      <x:c r="I547" s="11" t="n">
        <x:v>5502159</x:v>
      </x:c>
      <x:c r="J547" s="11" t="n">
        <x:v>98345</x:v>
      </x:c>
      <x:c r="K547" s="12" t="n">
        <x:v>0.8563077046105529</x:v>
      </x:c>
      <x:c r="L547" s="12" t="n">
        <x:v>0.9821261072244549</x:v>
      </x:c>
      <x:c r="M547" s="8" t="str">
        <x:v>Yes</x:v>
      </x:c>
    </x:row>
    <x:row r="548">
      <x:c r="A548" s="8" t="str">
        <x:v>Granisle|Drainage System</x:v>
      </x:c>
      <x:c r="B548" s="8" t="str">
        <x:v>granisle-v</x:v>
      </x:c>
      <x:c r="C548" s="8" t="str">
        <x:v>Granisle</x:v>
      </x:c>
      <x:c r="D548" s="8" t="str">
        <x:v>Drainage System</x:v>
      </x:c>
      <x:c r="E548" s="11" t="n">
        <x:v>0</x:v>
      </x:c>
      <x:c r="F548" s="11" t="n">
        <x:v>0</x:v>
      </x:c>
      <x:c r="G548" s="11" t="n">
        <x:v>0</x:v>
      </x:c>
      <x:c r="H548" s="11" t="n">
        <x:v>0</x:v>
      </x:c>
      <x:c r="I548" s="11" t="n">
        <x:v>0</x:v>
      </x:c>
      <x:c r="J548" s="11" t="n">
        <x:v>0</x:v>
      </x:c>
      <x:c r="K548" s="12"/>
      <x:c r="L548" s="12"/>
      <x:c r="M548" s="8"/>
    </x:row>
    <x:row r="549">
      <x:c r="A549" s="8" t="str">
        <x:v>Granisle|Transportation System</x:v>
      </x:c>
      <x:c r="B549" s="8" t="str">
        <x:v>granisle-v</x:v>
      </x:c>
      <x:c r="C549" s="8" t="str">
        <x:v>Granisle</x:v>
      </x:c>
      <x:c r="D549" s="8" t="str">
        <x:v>Transportation System</x:v>
      </x:c>
      <x:c r="E549" s="11" t="n">
        <x:v>2952484</x:v>
      </x:c>
      <x:c r="F549" s="11" t="n">
        <x:v>1855416</x:v>
      </x:c>
      <x:c r="G549" s="11" t="n">
        <x:v>1097068</x:v>
      </x:c>
      <x:c r="H549" s="11" t="n">
        <x:v>0</x:v>
      </x:c>
      <x:c r="I549" s="11" t="n">
        <x:v>2952484</x:v>
      </x:c>
      <x:c r="J549" s="11" t="n">
        <x:v>0</x:v>
      </x:c>
      <x:c r="K549" s="12" t="n">
        <x:v>0.3715745792356538</x:v>
      </x:c>
      <x:c r="L549" s="12" t="n">
        <x:v>1</x:v>
      </x:c>
      <x:c r="M549" s="8" t="str">
        <x:v>In_Progress</x:v>
      </x:c>
    </x:row>
    <x:row r="550">
      <x:c r="A550" s="8" t="str">
        <x:v>Granisle|Other Engineering Systems</x:v>
      </x:c>
      <x:c r="B550" s="8" t="str">
        <x:v>granisle-v</x:v>
      </x:c>
      <x:c r="C550" s="8" t="str">
        <x:v>Granisle</x:v>
      </x:c>
      <x:c r="D550" s="8" t="str">
        <x:v>Other Engineering Systems</x:v>
      </x:c>
      <x:c r="E550" s="11" t="n">
        <x:v>0</x:v>
      </x:c>
      <x:c r="F550" s="11" t="n">
        <x:v>0</x:v>
      </x:c>
      <x:c r="G550" s="11" t="n">
        <x:v>0</x:v>
      </x:c>
      <x:c r="H550" s="11" t="n">
        <x:v>0</x:v>
      </x:c>
      <x:c r="I550" s="11" t="n">
        <x:v>0</x:v>
      </x:c>
      <x:c r="J550" s="11" t="n">
        <x:v>0</x:v>
      </x:c>
      <x:c r="K550" s="12"/>
      <x:c r="L550" s="12"/>
      <x:c r="M550" s="8"/>
    </x:row>
    <x:row r="551">
      <x:c r="A551" s="8" t="str">
        <x:v>Granisle|Other Tangible Capital Assets</x:v>
      </x:c>
      <x:c r="B551" s="8" t="str">
        <x:v>granisle-v</x:v>
      </x:c>
      <x:c r="C551" s="8" t="str">
        <x:v>Granisle</x:v>
      </x:c>
      <x:c r="D551" s="8" t="str">
        <x:v>Other Tangible Capital Assets</x:v>
      </x:c>
      <x:c r="E551" s="11" t="n">
        <x:v>777684</x:v>
      </x:c>
      <x:c r="F551" s="11" t="n">
        <x:v>507353</x:v>
      </x:c>
      <x:c r="G551" s="11" t="n">
        <x:v>270331</x:v>
      </x:c>
      <x:c r="H551" s="11" t="n">
        <x:v>2064306</x:v>
      </x:c>
      <x:c r="I551" s="11" t="n">
        <x:v>2064306</x:v>
      </x:c>
      <x:c r="J551" s="11" t="n">
        <x:v>0</x:v>
      </x:c>
      <x:c r="K551" s="12" t="n">
        <x:v>0.3476103404467624</x:v>
      </x:c>
      <x:c r="L551" s="12" t="n">
        <x:v>1</x:v>
      </x:c>
      <x:c r="M551" s="8" t="str">
        <x:v>N/A</x:v>
      </x:c>
    </x:row>
    <x:row r="552">
      <x:c r="A552" s="8" t="str">
        <x:v>Granisle|Work In Progress</x:v>
      </x:c>
      <x:c r="B552" s="8" t="str">
        <x:v>granisle-v</x:v>
      </x:c>
      <x:c r="C552" s="8" t="str">
        <x:v>Granisle</x:v>
      </x:c>
      <x:c r="D552" s="8" t="str">
        <x:v>Work In Progress</x:v>
      </x:c>
      <x:c r="E552" s="11" t="n">
        <x:v>260366</x:v>
      </x:c>
      <x:c r="F552" s="11"/>
      <x:c r="G552" s="11" t="n">
        <x:v>260366</x:v>
      </x:c>
      <x:c r="H552" s="11" t="n">
        <x:v>260366</x:v>
      </x:c>
      <x:c r="I552" s="11" t="n">
        <x:v>260366</x:v>
      </x:c>
      <x:c r="J552" s="11"/>
      <x:c r="K552" s="12" t="n">
        <x:v>1</x:v>
      </x:c>
      <x:c r="L552" s="12"/>
      <x:c r="M552" s="8" t="str">
        <x:v>N/A</x:v>
      </x:c>
    </x:row>
    <x:row r="553">
      <x:c r="A553" s="8" t="str">
        <x:v>Granisle|Total TCA</x:v>
      </x:c>
      <x:c r="B553" s="8" t="str">
        <x:v>granisle-v</x:v>
      </x:c>
      <x:c r="C553" s="8" t="str">
        <x:v>Granisle</x:v>
      </x:c>
      <x:c r="D553" s="8" t="str">
        <x:v>Total TCA</x:v>
      </x:c>
      <x:c r="E553" s="11" t="n">
        <x:v>28288606</x:v>
      </x:c>
      <x:c r="F553" s="11" t="n">
        <x:v>8855514</x:v>
      </x:c>
      <x:c r="G553" s="11" t="n">
        <x:v>19433092</x:v>
      </x:c>
      <x:c r="H553" s="11" t="n">
        <x:v>2640503</x:v>
      </x:c>
      <x:c r="I553" s="11" t="n">
        <x:v>25354531</x:v>
      </x:c>
      <x:c r="J553" s="11" t="n">
        <x:v>675481</x:v>
      </x:c>
      <x:c r="K553" s="12" t="n">
        <x:v>0.6869582757100156</x:v>
      </x:c>
      <x:c r="L553" s="12" t="n">
        <x:v>0.9733585685335691</x:v>
      </x:c>
      <x:c r="M553" s="8"/>
    </x:row>
    <x:row r="554">
      <x:c r="A554" s="8" t="str">
        <x:v>Greenwood|Land</x:v>
      </x:c>
      <x:c r="B554" s="8" t="str">
        <x:v>greenwood-c</x:v>
      </x:c>
      <x:c r="C554" s="8" t="str">
        <x:v>Greenwood</x:v>
      </x:c>
      <x:c r="D554" s="8" t="str">
        <x:v>Land</x:v>
      </x:c>
      <x:c r="E554" s="11"/>
      <x:c r="F554" s="11"/>
      <x:c r="G554" s="11"/>
      <x:c r="H554" s="11"/>
      <x:c r="I554" s="11"/>
      <x:c r="J554" s="11"/>
      <x:c r="K554" s="12"/>
      <x:c r="L554" s="12"/>
      <x:c r="M554" s="8"/>
    </x:row>
    <x:row r="555">
      <x:c r="A555" s="8" t="str">
        <x:v>Greenwood|Buildings</x:v>
      </x:c>
      <x:c r="B555" s="8" t="str">
        <x:v>greenwood-c</x:v>
      </x:c>
      <x:c r="C555" s="8" t="str">
        <x:v>Greenwood</x:v>
      </x:c>
      <x:c r="D555" s="8" t="str">
        <x:v>Buildings</x:v>
      </x:c>
      <x:c r="E555" s="11"/>
      <x:c r="F555" s="11"/>
      <x:c r="G555" s="11"/>
      <x:c r="H555" s="11"/>
      <x:c r="I555" s="11"/>
      <x:c r="J555" s="11"/>
      <x:c r="K555" s="12"/>
      <x:c r="L555" s="12"/>
      <x:c r="M555" s="8"/>
    </x:row>
    <x:row r="556">
      <x:c r="A556" s="8" t="str">
        <x:v>Greenwood|Fleet</x:v>
      </x:c>
      <x:c r="B556" s="8" t="str">
        <x:v>greenwood-c</x:v>
      </x:c>
      <x:c r="C556" s="8" t="str">
        <x:v>Greenwood</x:v>
      </x:c>
      <x:c r="D556" s="8" t="str">
        <x:v>Fleet</x:v>
      </x:c>
      <x:c r="E556" s="11"/>
      <x:c r="F556" s="11"/>
      <x:c r="G556" s="11"/>
      <x:c r="H556" s="11"/>
      <x:c r="I556" s="11"/>
      <x:c r="J556" s="11"/>
      <x:c r="K556" s="12"/>
      <x:c r="L556" s="12"/>
      <x:c r="M556" s="8"/>
    </x:row>
    <x:row r="557">
      <x:c r="A557" s="8" t="str">
        <x:v>Greenwood|Parks and Recreation</x:v>
      </x:c>
      <x:c r="B557" s="8" t="str">
        <x:v>greenwood-c</x:v>
      </x:c>
      <x:c r="C557" s="8" t="str">
        <x:v>Greenwood</x:v>
      </x:c>
      <x:c r="D557" s="8" t="str">
        <x:v>Parks and Recreation</x:v>
      </x:c>
      <x:c r="E557" s="11"/>
      <x:c r="F557" s="11"/>
      <x:c r="G557" s="11"/>
      <x:c r="H557" s="11"/>
      <x:c r="I557" s="11"/>
      <x:c r="J557" s="11"/>
      <x:c r="K557" s="12"/>
      <x:c r="L557" s="12"/>
      <x:c r="M557" s="8"/>
    </x:row>
    <x:row r="558">
      <x:c r="A558" s="8" t="str">
        <x:v>Greenwood|Water System</x:v>
      </x:c>
      <x:c r="B558" s="8" t="str">
        <x:v>greenwood-c</x:v>
      </x:c>
      <x:c r="C558" s="8" t="str">
        <x:v>Greenwood</x:v>
      </x:c>
      <x:c r="D558" s="8" t="str">
        <x:v>Water System</x:v>
      </x:c>
      <x:c r="E558" s="11"/>
      <x:c r="F558" s="11"/>
      <x:c r="G558" s="11"/>
      <x:c r="H558" s="11"/>
      <x:c r="I558" s="11"/>
      <x:c r="J558" s="11"/>
      <x:c r="K558" s="12"/>
      <x:c r="L558" s="12"/>
      <x:c r="M558" s="8"/>
    </x:row>
    <x:row r="559">
      <x:c r="A559" s="8" t="str">
        <x:v>Greenwood|Sewer System</x:v>
      </x:c>
      <x:c r="B559" s="8" t="str">
        <x:v>greenwood-c</x:v>
      </x:c>
      <x:c r="C559" s="8" t="str">
        <x:v>Greenwood</x:v>
      </x:c>
      <x:c r="D559" s="8" t="str">
        <x:v>Sewer System</x:v>
      </x:c>
      <x:c r="E559" s="11"/>
      <x:c r="F559" s="11"/>
      <x:c r="G559" s="11"/>
      <x:c r="H559" s="11"/>
      <x:c r="I559" s="11"/>
      <x:c r="J559" s="11"/>
      <x:c r="K559" s="12"/>
      <x:c r="L559" s="12"/>
      <x:c r="M559" s="8"/>
    </x:row>
    <x:row r="560">
      <x:c r="A560" s="8" t="str">
        <x:v>Greenwood|Drainage System</x:v>
      </x:c>
      <x:c r="B560" s="8" t="str">
        <x:v>greenwood-c</x:v>
      </x:c>
      <x:c r="C560" s="8" t="str">
        <x:v>Greenwood</x:v>
      </x:c>
      <x:c r="D560" s="8" t="str">
        <x:v>Drainage System</x:v>
      </x:c>
      <x:c r="E560" s="11"/>
      <x:c r="F560" s="11"/>
      <x:c r="G560" s="11"/>
      <x:c r="H560" s="11"/>
      <x:c r="I560" s="11"/>
      <x:c r="J560" s="11"/>
      <x:c r="K560" s="12"/>
      <x:c r="L560" s="12"/>
      <x:c r="M560" s="8"/>
    </x:row>
    <x:row r="561">
      <x:c r="A561" s="8" t="str">
        <x:v>Greenwood|Transportation System</x:v>
      </x:c>
      <x:c r="B561" s="8" t="str">
        <x:v>greenwood-c</x:v>
      </x:c>
      <x:c r="C561" s="8" t="str">
        <x:v>Greenwood</x:v>
      </x:c>
      <x:c r="D561" s="8" t="str">
        <x:v>Transportation System</x:v>
      </x:c>
      <x:c r="E561" s="11"/>
      <x:c r="F561" s="11"/>
      <x:c r="G561" s="11"/>
      <x:c r="H561" s="11"/>
      <x:c r="I561" s="11"/>
      <x:c r="J561" s="11"/>
      <x:c r="K561" s="12"/>
      <x:c r="L561" s="12"/>
      <x:c r="M561" s="8"/>
    </x:row>
    <x:row r="562">
      <x:c r="A562" s="8" t="str">
        <x:v>Greenwood|Other Engineering Systems</x:v>
      </x:c>
      <x:c r="B562" s="8" t="str">
        <x:v>greenwood-c</x:v>
      </x:c>
      <x:c r="C562" s="8" t="str">
        <x:v>Greenwood</x:v>
      </x:c>
      <x:c r="D562" s="8" t="str">
        <x:v>Other Engineering Systems</x:v>
      </x:c>
      <x:c r="E562" s="11"/>
      <x:c r="F562" s="11"/>
      <x:c r="G562" s="11"/>
      <x:c r="H562" s="11"/>
      <x:c r="I562" s="11"/>
      <x:c r="J562" s="11"/>
      <x:c r="K562" s="12"/>
      <x:c r="L562" s="12"/>
      <x:c r="M562" s="8"/>
    </x:row>
    <x:row r="563">
      <x:c r="A563" s="8" t="str">
        <x:v>Greenwood|Other Tangible Capital Assets</x:v>
      </x:c>
      <x:c r="B563" s="8" t="str">
        <x:v>greenwood-c</x:v>
      </x:c>
      <x:c r="C563" s="8" t="str">
        <x:v>Greenwood</x:v>
      </x:c>
      <x:c r="D563" s="8" t="str">
        <x:v>Other Tangible Capital Assets</x:v>
      </x:c>
      <x:c r="E563" s="11"/>
      <x:c r="F563" s="11"/>
      <x:c r="G563" s="11"/>
      <x:c r="H563" s="11"/>
      <x:c r="I563" s="11"/>
      <x:c r="J563" s="11"/>
      <x:c r="K563" s="12"/>
      <x:c r="L563" s="12"/>
      <x:c r="M563" s="8"/>
    </x:row>
    <x:row r="564">
      <x:c r="A564" s="8" t="str">
        <x:v>Greenwood|Work In Progress</x:v>
      </x:c>
      <x:c r="B564" s="8" t="str">
        <x:v>greenwood-c</x:v>
      </x:c>
      <x:c r="C564" s="8" t="str">
        <x:v>Greenwood</x:v>
      </x:c>
      <x:c r="D564" s="8" t="str">
        <x:v>Work In Progress</x:v>
      </x:c>
      <x:c r="E564" s="11"/>
      <x:c r="F564" s="11"/>
      <x:c r="G564" s="11"/>
      <x:c r="H564" s="11"/>
      <x:c r="I564" s="11"/>
      <x:c r="J564" s="11"/>
      <x:c r="K564" s="12"/>
      <x:c r="L564" s="12"/>
      <x:c r="M564" s="8"/>
    </x:row>
    <x:row r="565">
      <x:c r="A565" s="8" t="str">
        <x:v>Greenwood|Total TCA</x:v>
      </x:c>
      <x:c r="B565" s="8" t="str">
        <x:v>greenwood-c</x:v>
      </x:c>
      <x:c r="C565" s="8" t="str">
        <x:v>Greenwood</x:v>
      </x:c>
      <x:c r="D565" s="8" t="str">
        <x:v>Total TCA</x:v>
      </x:c>
      <x:c r="E565" s="11"/>
      <x:c r="F565" s="11"/>
      <x:c r="G565" s="11"/>
      <x:c r="H565" s="11"/>
      <x:c r="I565" s="11"/>
      <x:c r="J565" s="11"/>
      <x:c r="K565" s="12"/>
      <x:c r="L565" s="12"/>
      <x:c r="M565" s="8"/>
    </x:row>
    <x:row r="566">
      <x:c r="A566" s="8" t="str">
        <x:v>Harrison Hot Springs|Land</x:v>
      </x:c>
      <x:c r="B566" s="8" t="str">
        <x:v>harrison-hot-springs-v</x:v>
      </x:c>
      <x:c r="C566" s="8" t="str">
        <x:v>Harrison Hot Springs</x:v>
      </x:c>
      <x:c r="D566" s="8" t="str">
        <x:v>Land</x:v>
      </x:c>
      <x:c r="E566" s="11" t="n">
        <x:v>10680913</x:v>
      </x:c>
      <x:c r="F566" s="11"/>
      <x:c r="G566" s="11" t="n">
        <x:v>10680913</x:v>
      </x:c>
      <x:c r="H566" s="11" t="n">
        <x:v>0</x:v>
      </x:c>
      <x:c r="I566" s="11" t="n">
        <x:v>10680913</x:v>
      </x:c>
      <x:c r="J566" s="11"/>
      <x:c r="K566" s="12" t="n">
        <x:v>1</x:v>
      </x:c>
      <x:c r="L566" s="12"/>
      <x:c r="M566" s="8" t="str">
        <x:v>N/A</x:v>
      </x:c>
    </x:row>
    <x:row r="567">
      <x:c r="A567" s="8" t="str">
        <x:v>Harrison Hot Springs|Buildings</x:v>
      </x:c>
      <x:c r="B567" s="8" t="str">
        <x:v>harrison-hot-springs-v</x:v>
      </x:c>
      <x:c r="C567" s="8" t="str">
        <x:v>Harrison Hot Springs</x:v>
      </x:c>
      <x:c r="D567" s="8" t="str">
        <x:v>Buildings</x:v>
      </x:c>
      <x:c r="E567" s="11" t="n">
        <x:v>5432867</x:v>
      </x:c>
      <x:c r="F567" s="11" t="n">
        <x:v>2180395</x:v>
      </x:c>
      <x:c r="G567" s="11" t="n">
        <x:v>3252472</x:v>
      </x:c>
      <x:c r="H567" s="11" t="n">
        <x:v>768422</x:v>
      </x:c>
      <x:c r="I567" s="11" t="n">
        <x:v>9185566</x:v>
      </x:c>
      <x:c r="J567" s="11" t="n">
        <x:v>306185</x:v>
      </x:c>
      <x:c r="K567" s="12" t="n">
        <x:v>0.598665860953342</x:v>
      </x:c>
      <x:c r="L567" s="12" t="n">
        <x:v>0.9666667247287756</x:v>
      </x:c>
      <x:c r="M567" s="8" t="str">
        <x:v>In_Progress</x:v>
      </x:c>
    </x:row>
    <x:row r="568">
      <x:c r="A568" s="8" t="str">
        <x:v>Harrison Hot Springs|Fleet</x:v>
      </x:c>
      <x:c r="B568" s="8" t="str">
        <x:v>harrison-hot-springs-v</x:v>
      </x:c>
      <x:c r="C568" s="8" t="str">
        <x:v>Harrison Hot Springs</x:v>
      </x:c>
      <x:c r="D568" s="8" t="str">
        <x:v>Fleet</x:v>
      </x:c>
      <x:c r="E568" s="11" t="n">
        <x:v>3009382</x:v>
      </x:c>
      <x:c r="F568" s="11" t="n">
        <x:v>1523068</x:v>
      </x:c>
      <x:c r="G568" s="11" t="n">
        <x:v>1486314</x:v>
      </x:c>
      <x:c r="H568" s="11" t="n">
        <x:v>344036</x:v>
      </x:c>
      <x:c r="I568" s="11" t="n">
        <x:v>2903691</x:v>
      </x:c>
      <x:c r="J568" s="11" t="n">
        <x:v>170804</x:v>
      </x:c>
      <x:c r="K568" s="12" t="n">
        <x:v>0.49389343061133484</x:v>
      </x:c>
      <x:c r="L568" s="12" t="n">
        <x:v>0.9411769365266484</x:v>
      </x:c>
      <x:c r="M568" s="8" t="str">
        <x:v>In_Progress</x:v>
      </x:c>
    </x:row>
    <x:row r="569">
      <x:c r="A569" s="8" t="str">
        <x:v>Harrison Hot Springs|Parks and Recreation</x:v>
      </x:c>
      <x:c r="B569" s="8" t="str">
        <x:v>harrison-hot-springs-v</x:v>
      </x:c>
      <x:c r="C569" s="8" t="str">
        <x:v>Harrison Hot Springs</x:v>
      </x:c>
      <x:c r="D569" s="8" t="str">
        <x:v>Parks and Recreation</x:v>
      </x:c>
      <x:c r="E569" s="11" t="n">
        <x:v>3906060</x:v>
      </x:c>
      <x:c r="F569" s="11" t="n">
        <x:v>1752767</x:v>
      </x:c>
      <x:c r="G569" s="11" t="n">
        <x:v>2153293</x:v>
      </x:c>
      <x:c r="H569" s="11" t="n">
        <x:v>255823</x:v>
      </x:c>
      <x:c r="I569" s="11" t="n">
        <x:v>2312940</x:v>
      </x:c>
      <x:c r="J569" s="11" t="n">
        <x:v>105132</x:v>
      </x:c>
      <x:c r="K569" s="12" t="n">
        <x:v>0.5512698217641306</x:v>
      </x:c>
      <x:c r="L569" s="12" t="n">
        <x:v>0.9545461620275494</x:v>
      </x:c>
      <x:c r="M569" s="8" t="str">
        <x:v>In_Progress</x:v>
      </x:c>
    </x:row>
    <x:row r="570">
      <x:c r="A570" s="8" t="str">
        <x:v>Harrison Hot Springs|Water System</x:v>
      </x:c>
      <x:c r="B570" s="8" t="str">
        <x:v>harrison-hot-springs-v</x:v>
      </x:c>
      <x:c r="C570" s="8" t="str">
        <x:v>Harrison Hot Springs</x:v>
      </x:c>
      <x:c r="D570" s="8" t="str">
        <x:v>Water System</x:v>
      </x:c>
      <x:c r="E570" s="11" t="n">
        <x:v>10237988</x:v>
      </x:c>
      <x:c r="F570" s="11" t="n">
        <x:v>2684408</x:v>
      </x:c>
      <x:c r="G570" s="11" t="n">
        <x:v>7553580</x:v>
      </x:c>
      <x:c r="H570" s="11" t="n">
        <x:v>129023</x:v>
      </x:c>
      <x:c r="I570" s="11" t="n">
        <x:v>12900402</x:v>
      </x:c>
      <x:c r="J570" s="11" t="n">
        <x:v>218892</x:v>
      </x:c>
      <x:c r="K570" s="12" t="n">
        <x:v>0.7377992629020468</x:v>
      </x:c>
      <x:c r="L570" s="12" t="n">
        <x:v>0.9830321566723269</x:v>
      </x:c>
      <x:c r="M570" s="8" t="str">
        <x:v>In_Progress</x:v>
      </x:c>
    </x:row>
    <x:row r="571">
      <x:c r="A571" s="8" t="str">
        <x:v>Harrison Hot Springs|Sewer System</x:v>
      </x:c>
      <x:c r="B571" s="8" t="str">
        <x:v>harrison-hot-springs-v</x:v>
      </x:c>
      <x:c r="C571" s="8" t="str">
        <x:v>Harrison Hot Springs</x:v>
      </x:c>
      <x:c r="D571" s="8" t="str">
        <x:v>Sewer System</x:v>
      </x:c>
      <x:c r="E571" s="11" t="n">
        <x:v>9288689</x:v>
      </x:c>
      <x:c r="F571" s="11" t="n">
        <x:v>3064460</x:v>
      </x:c>
      <x:c r="G571" s="11" t="n">
        <x:v>6224229</x:v>
      </x:c>
      <x:c r="H571" s="11" t="n">
        <x:v>231842</x:v>
      </x:c>
      <x:c r="I571" s="11" t="n">
        <x:v>30736673</x:v>
      </x:c>
      <x:c r="J571" s="11" t="n">
        <x:v>1083796</x:v>
      </x:c>
      <x:c r="K571" s="12" t="n">
        <x:v>0.6700869196934035</x:v>
      </x:c>
      <x:c r="L571" s="12" t="n">
        <x:v>0.9647393197045107</x:v>
      </x:c>
      <x:c r="M571" s="8" t="str">
        <x:v>In_Progress</x:v>
      </x:c>
    </x:row>
    <x:row r="572">
      <x:c r="A572" s="8" t="str">
        <x:v>Harrison Hot Springs|Drainage System</x:v>
      </x:c>
      <x:c r="B572" s="8" t="str">
        <x:v>harrison-hot-springs-v</x:v>
      </x:c>
      <x:c r="C572" s="8" t="str">
        <x:v>Harrison Hot Springs</x:v>
      </x:c>
      <x:c r="D572" s="8" t="str">
        <x:v>Drainage System</x:v>
      </x:c>
      <x:c r="E572" s="11" t="n">
        <x:v>2471001</x:v>
      </x:c>
      <x:c r="F572" s="11" t="n">
        <x:v>781292</x:v>
      </x:c>
      <x:c r="G572" s="11" t="n">
        <x:v>1689709</x:v>
      </x:c>
      <x:c r="H572" s="11" t="n">
        <x:v>0</x:v>
      </x:c>
      <x:c r="I572" s="11" t="n">
        <x:v>9108408</x:v>
      </x:c>
      <x:c r="J572" s="11" t="n">
        <x:v>96897</x:v>
      </x:c>
      <x:c r="K572" s="12" t="n">
        <x:v>0.683815587286286</x:v>
      </x:c>
      <x:c r="L572" s="12" t="n">
        <x:v>0.9893618072444713</x:v>
      </x:c>
      <x:c r="M572" s="8" t="str">
        <x:v>In_Progress</x:v>
      </x:c>
    </x:row>
    <x:row r="573">
      <x:c r="A573" s="8" t="str">
        <x:v>Harrison Hot Springs|Transportation System</x:v>
      </x:c>
      <x:c r="B573" s="8" t="str">
        <x:v>harrison-hot-springs-v</x:v>
      </x:c>
      <x:c r="C573" s="8" t="str">
        <x:v>Harrison Hot Springs</x:v>
      </x:c>
      <x:c r="D573" s="8" t="str">
        <x:v>Transportation System</x:v>
      </x:c>
      <x:c r="E573" s="11" t="n">
        <x:v>10259212</x:v>
      </x:c>
      <x:c r="F573" s="11" t="n">
        <x:v>6539597</x:v>
      </x:c>
      <x:c r="G573" s="11" t="n">
        <x:v>3719615</x:v>
      </x:c>
      <x:c r="H573" s="11" t="n">
        <x:v>0</x:v>
      </x:c>
      <x:c r="I573" s="11" t="n">
        <x:v>21271734</x:v>
      </x:c>
      <x:c r="J573" s="11" t="n">
        <x:v>352712</x:v>
      </x:c>
      <x:c r="K573" s="12" t="n">
        <x:v>0.3625634210502717</x:v>
      </x:c>
      <x:c r="L573" s="12" t="n">
        <x:v>0.9834187471505614</x:v>
      </x:c>
      <x:c r="M573" s="8" t="str">
        <x:v>In_Progress</x:v>
      </x:c>
    </x:row>
    <x:row r="574">
      <x:c r="A574" s="8" t="str">
        <x:v>Harrison Hot Springs|Other Engineering Systems</x:v>
      </x:c>
      <x:c r="B574" s="8" t="str">
        <x:v>harrison-hot-springs-v</x:v>
      </x:c>
      <x:c r="C574" s="8" t="str">
        <x:v>Harrison Hot Springs</x:v>
      </x:c>
      <x:c r="D574" s="8" t="str">
        <x:v>Other Engineering Systems</x:v>
      </x:c>
      <x:c r="E574" s="11" t="n">
        <x:v>0</x:v>
      </x:c>
      <x:c r="F574" s="11" t="n">
        <x:v>0</x:v>
      </x:c>
      <x:c r="G574" s="11" t="n">
        <x:v>0</x:v>
      </x:c>
      <x:c r="H574" s="11" t="n">
        <x:v>0</x:v>
      </x:c>
      <x:c r="I574" s="11" t="n">
        <x:v>0</x:v>
      </x:c>
      <x:c r="J574" s="11" t="n">
        <x:v>0</x:v>
      </x:c>
      <x:c r="K574" s="12"/>
      <x:c r="L574" s="12"/>
      <x:c r="M574" s="8"/>
    </x:row>
    <x:row r="575">
      <x:c r="A575" s="8" t="str">
        <x:v>Harrison Hot Springs|Other Tangible Capital Assets</x:v>
      </x:c>
      <x:c r="B575" s="8" t="str">
        <x:v>harrison-hot-springs-v</x:v>
      </x:c>
      <x:c r="C575" s="8" t="str">
        <x:v>Harrison Hot Springs</x:v>
      </x:c>
      <x:c r="D575" s="8" t="str">
        <x:v>Other Tangible Capital Assets</x:v>
      </x:c>
      <x:c r="E575" s="11" t="n">
        <x:v>1642708</x:v>
      </x:c>
      <x:c r="F575" s="11" t="n">
        <x:v>321702</x:v>
      </x:c>
      <x:c r="G575" s="11" t="n">
        <x:v>1321006</x:v>
      </x:c>
      <x:c r="H575" s="11" t="n">
        <x:v>703353</x:v>
      </x:c>
      <x:c r="I575" s="11" t="n">
        <x:v>0</x:v>
      </x:c>
      <x:c r="J575" s="11" t="n">
        <x:v>0</x:v>
      </x:c>
      <x:c r="K575" s="12" t="n">
        <x:v>0.8041636127662373</x:v>
      </x:c>
      <x:c r="L575" s="12"/>
      <x:c r="M575" s="8" t="str">
        <x:v>N/A</x:v>
      </x:c>
    </x:row>
    <x:row r="576">
      <x:c r="A576" s="8" t="str">
        <x:v>Harrison Hot Springs|Work In Progress</x:v>
      </x:c>
      <x:c r="B576" s="8" t="str">
        <x:v>harrison-hot-springs-v</x:v>
      </x:c>
      <x:c r="C576" s="8" t="str">
        <x:v>Harrison Hot Springs</x:v>
      </x:c>
      <x:c r="D576" s="8" t="str">
        <x:v>Work In Progress</x:v>
      </x:c>
      <x:c r="E576" s="11" t="n">
        <x:v>2053513</x:v>
      </x:c>
      <x:c r="F576" s="11"/>
      <x:c r="G576" s="11" t="n">
        <x:v>2053513</x:v>
      </x:c>
      <x:c r="H576" s="11" t="n">
        <x:v>568284</x:v>
      </x:c>
      <x:c r="I576" s="11" t="n">
        <x:v>2053513</x:v>
      </x:c>
      <x:c r="J576" s="11"/>
      <x:c r="K576" s="12" t="n">
        <x:v>1</x:v>
      </x:c>
      <x:c r="L576" s="12"/>
      <x:c r="M576" s="8" t="str">
        <x:v>N/A</x:v>
      </x:c>
    </x:row>
    <x:row r="577">
      <x:c r="A577" s="8" t="str">
        <x:v>Harrison Hot Springs|Total TCA</x:v>
      </x:c>
      <x:c r="B577" s="8" t="str">
        <x:v>harrison-hot-springs-v</x:v>
      </x:c>
      <x:c r="C577" s="8" t="str">
        <x:v>Harrison Hot Springs</x:v>
      </x:c>
      <x:c r="D577" s="8" t="str">
        <x:v>Total TCA</x:v>
      </x:c>
      <x:c r="E577" s="11" t="n">
        <x:v>58982333</x:v>
      </x:c>
      <x:c r="F577" s="11" t="n">
        <x:v>18847689</x:v>
      </x:c>
      <x:c r="G577" s="11" t="n">
        <x:v>40134644</x:v>
      </x:c>
      <x:c r="H577" s="11" t="n">
        <x:v>3000783</x:v>
      </x:c>
      <x:c r="I577" s="11" t="n">
        <x:v>101153840</x:v>
      </x:c>
      <x:c r="J577" s="11" t="n">
        <x:v>2334418</x:v>
      </x:c>
      <x:c r="K577" s="12" t="n">
        <x:v>0.6804519583855728</x:v>
      </x:c>
      <x:c r="L577" s="12" t="n">
        <x:v>0.9769221020180746</x:v>
      </x:c>
      <x:c r="M577" s="8"/>
    </x:row>
    <x:row r="578">
      <x:c r="A578" s="8" t="str">
        <x:v>Hazelton|Land</x:v>
      </x:c>
      <x:c r="B578" s="8" t="str">
        <x:v>hazelton-v</x:v>
      </x:c>
      <x:c r="C578" s="8" t="str">
        <x:v>Hazelton</x:v>
      </x:c>
      <x:c r="D578" s="8" t="str">
        <x:v>Land</x:v>
      </x:c>
      <x:c r="E578" s="11"/>
      <x:c r="F578" s="11"/>
      <x:c r="G578" s="11"/>
      <x:c r="H578" s="11"/>
      <x:c r="I578" s="11"/>
      <x:c r="J578" s="11"/>
      <x:c r="K578" s="12"/>
      <x:c r="L578" s="12"/>
      <x:c r="M578" s="8"/>
    </x:row>
    <x:row r="579">
      <x:c r="A579" s="8" t="str">
        <x:v>Hazelton|Buildings</x:v>
      </x:c>
      <x:c r="B579" s="8" t="str">
        <x:v>hazelton-v</x:v>
      </x:c>
      <x:c r="C579" s="8" t="str">
        <x:v>Hazelton</x:v>
      </x:c>
      <x:c r="D579" s="8" t="str">
        <x:v>Buildings</x:v>
      </x:c>
      <x:c r="E579" s="11"/>
      <x:c r="F579" s="11"/>
      <x:c r="G579" s="11"/>
      <x:c r="H579" s="11"/>
      <x:c r="I579" s="11"/>
      <x:c r="J579" s="11"/>
      <x:c r="K579" s="12"/>
      <x:c r="L579" s="12"/>
      <x:c r="M579" s="8"/>
    </x:row>
    <x:row r="580">
      <x:c r="A580" s="8" t="str">
        <x:v>Hazelton|Fleet</x:v>
      </x:c>
      <x:c r="B580" s="8" t="str">
        <x:v>hazelton-v</x:v>
      </x:c>
      <x:c r="C580" s="8" t="str">
        <x:v>Hazelton</x:v>
      </x:c>
      <x:c r="D580" s="8" t="str">
        <x:v>Fleet</x:v>
      </x:c>
      <x:c r="E580" s="11"/>
      <x:c r="F580" s="11"/>
      <x:c r="G580" s="11"/>
      <x:c r="H580" s="11"/>
      <x:c r="I580" s="11"/>
      <x:c r="J580" s="11"/>
      <x:c r="K580" s="12"/>
      <x:c r="L580" s="12"/>
      <x:c r="M580" s="8"/>
    </x:row>
    <x:row r="581">
      <x:c r="A581" s="8" t="str">
        <x:v>Hazelton|Parks and Recreation</x:v>
      </x:c>
      <x:c r="B581" s="8" t="str">
        <x:v>hazelton-v</x:v>
      </x:c>
      <x:c r="C581" s="8" t="str">
        <x:v>Hazelton</x:v>
      </x:c>
      <x:c r="D581" s="8" t="str">
        <x:v>Parks and Recreation</x:v>
      </x:c>
      <x:c r="E581" s="11"/>
      <x:c r="F581" s="11"/>
      <x:c r="G581" s="11"/>
      <x:c r="H581" s="11"/>
      <x:c r="I581" s="11"/>
      <x:c r="J581" s="11"/>
      <x:c r="K581" s="12"/>
      <x:c r="L581" s="12"/>
      <x:c r="M581" s="8"/>
    </x:row>
    <x:row r="582">
      <x:c r="A582" s="8" t="str">
        <x:v>Hazelton|Water System</x:v>
      </x:c>
      <x:c r="B582" s="8" t="str">
        <x:v>hazelton-v</x:v>
      </x:c>
      <x:c r="C582" s="8" t="str">
        <x:v>Hazelton</x:v>
      </x:c>
      <x:c r="D582" s="8" t="str">
        <x:v>Water System</x:v>
      </x:c>
      <x:c r="E582" s="11"/>
      <x:c r="F582" s="11"/>
      <x:c r="G582" s="11"/>
      <x:c r="H582" s="11"/>
      <x:c r="I582" s="11"/>
      <x:c r="J582" s="11"/>
      <x:c r="K582" s="12"/>
      <x:c r="L582" s="12"/>
      <x:c r="M582" s="8"/>
    </x:row>
    <x:row r="583">
      <x:c r="A583" s="8" t="str">
        <x:v>Hazelton|Sewer System</x:v>
      </x:c>
      <x:c r="B583" s="8" t="str">
        <x:v>hazelton-v</x:v>
      </x:c>
      <x:c r="C583" s="8" t="str">
        <x:v>Hazelton</x:v>
      </x:c>
      <x:c r="D583" s="8" t="str">
        <x:v>Sewer System</x:v>
      </x:c>
      <x:c r="E583" s="11"/>
      <x:c r="F583" s="11"/>
      <x:c r="G583" s="11"/>
      <x:c r="H583" s="11"/>
      <x:c r="I583" s="11"/>
      <x:c r="J583" s="11"/>
      <x:c r="K583" s="12"/>
      <x:c r="L583" s="12"/>
      <x:c r="M583" s="8"/>
    </x:row>
    <x:row r="584">
      <x:c r="A584" s="8" t="str">
        <x:v>Hazelton|Drainage System</x:v>
      </x:c>
      <x:c r="B584" s="8" t="str">
        <x:v>hazelton-v</x:v>
      </x:c>
      <x:c r="C584" s="8" t="str">
        <x:v>Hazelton</x:v>
      </x:c>
      <x:c r="D584" s="8" t="str">
        <x:v>Drainage System</x:v>
      </x:c>
      <x:c r="E584" s="11"/>
      <x:c r="F584" s="11"/>
      <x:c r="G584" s="11"/>
      <x:c r="H584" s="11"/>
      <x:c r="I584" s="11"/>
      <x:c r="J584" s="11"/>
      <x:c r="K584" s="12"/>
      <x:c r="L584" s="12"/>
      <x:c r="M584" s="8"/>
    </x:row>
    <x:row r="585">
      <x:c r="A585" s="8" t="str">
        <x:v>Hazelton|Transportation System</x:v>
      </x:c>
      <x:c r="B585" s="8" t="str">
        <x:v>hazelton-v</x:v>
      </x:c>
      <x:c r="C585" s="8" t="str">
        <x:v>Hazelton</x:v>
      </x:c>
      <x:c r="D585" s="8" t="str">
        <x:v>Transportation System</x:v>
      </x:c>
      <x:c r="E585" s="11"/>
      <x:c r="F585" s="11"/>
      <x:c r="G585" s="11"/>
      <x:c r="H585" s="11"/>
      <x:c r="I585" s="11"/>
      <x:c r="J585" s="11"/>
      <x:c r="K585" s="12"/>
      <x:c r="L585" s="12"/>
      <x:c r="M585" s="8"/>
    </x:row>
    <x:row r="586">
      <x:c r="A586" s="8" t="str">
        <x:v>Hazelton|Other Engineering Systems</x:v>
      </x:c>
      <x:c r="B586" s="8" t="str">
        <x:v>hazelton-v</x:v>
      </x:c>
      <x:c r="C586" s="8" t="str">
        <x:v>Hazelton</x:v>
      </x:c>
      <x:c r="D586" s="8" t="str">
        <x:v>Other Engineering Systems</x:v>
      </x:c>
      <x:c r="E586" s="11"/>
      <x:c r="F586" s="11"/>
      <x:c r="G586" s="11"/>
      <x:c r="H586" s="11"/>
      <x:c r="I586" s="11"/>
      <x:c r="J586" s="11"/>
      <x:c r="K586" s="12"/>
      <x:c r="L586" s="12"/>
      <x:c r="M586" s="8"/>
    </x:row>
    <x:row r="587">
      <x:c r="A587" s="8" t="str">
        <x:v>Hazelton|Other Tangible Capital Assets</x:v>
      </x:c>
      <x:c r="B587" s="8" t="str">
        <x:v>hazelton-v</x:v>
      </x:c>
      <x:c r="C587" s="8" t="str">
        <x:v>Hazelton</x:v>
      </x:c>
      <x:c r="D587" s="8" t="str">
        <x:v>Other Tangible Capital Assets</x:v>
      </x:c>
      <x:c r="E587" s="11"/>
      <x:c r="F587" s="11"/>
      <x:c r="G587" s="11"/>
      <x:c r="H587" s="11"/>
      <x:c r="I587" s="11"/>
      <x:c r="J587" s="11"/>
      <x:c r="K587" s="12"/>
      <x:c r="L587" s="12"/>
      <x:c r="M587" s="8"/>
    </x:row>
    <x:row r="588">
      <x:c r="A588" s="8" t="str">
        <x:v>Hazelton|Work In Progress</x:v>
      </x:c>
      <x:c r="B588" s="8" t="str">
        <x:v>hazelton-v</x:v>
      </x:c>
      <x:c r="C588" s="8" t="str">
        <x:v>Hazelton</x:v>
      </x:c>
      <x:c r="D588" s="8" t="str">
        <x:v>Work In Progress</x:v>
      </x:c>
      <x:c r="E588" s="11"/>
      <x:c r="F588" s="11"/>
      <x:c r="G588" s="11"/>
      <x:c r="H588" s="11"/>
      <x:c r="I588" s="11"/>
      <x:c r="J588" s="11"/>
      <x:c r="K588" s="12"/>
      <x:c r="L588" s="12"/>
      <x:c r="M588" s="8"/>
    </x:row>
    <x:row r="589">
      <x:c r="A589" s="8" t="str">
        <x:v>Hazelton|Total TCA</x:v>
      </x:c>
      <x:c r="B589" s="8" t="str">
        <x:v>hazelton-v</x:v>
      </x:c>
      <x:c r="C589" s="8" t="str">
        <x:v>Hazelton</x:v>
      </x:c>
      <x:c r="D589" s="8" t="str">
        <x:v>Total TCA</x:v>
      </x:c>
      <x:c r="E589" s="11"/>
      <x:c r="F589" s="11"/>
      <x:c r="G589" s="11"/>
      <x:c r="H589" s="11"/>
      <x:c r="I589" s="11"/>
      <x:c r="J589" s="11"/>
      <x:c r="K589" s="12"/>
      <x:c r="L589" s="12"/>
      <x:c r="M589" s="8"/>
    </x:row>
    <x:row r="590">
      <x:c r="A590" s="8" t="str">
        <x:v>Highlands|Land</x:v>
      </x:c>
      <x:c r="B590" s="8" t="str">
        <x:v>highlands-d</x:v>
      </x:c>
      <x:c r="C590" s="8" t="str">
        <x:v>Highlands</x:v>
      </x:c>
      <x:c r="D590" s="8" t="str">
        <x:v>Land</x:v>
      </x:c>
      <x:c r="E590" s="11" t="n">
        <x:v>9795876</x:v>
      </x:c>
      <x:c r="F590" s="11"/>
      <x:c r="G590" s="11" t="n">
        <x:v>9795876</x:v>
      </x:c>
      <x:c r="H590" s="11" t="n">
        <x:v>0</x:v>
      </x:c>
      <x:c r="I590" s="11" t="n">
        <x:v>9795876</x:v>
      </x:c>
      <x:c r="J590" s="11"/>
      <x:c r="K590" s="12" t="n">
        <x:v>1</x:v>
      </x:c>
      <x:c r="L590" s="12"/>
      <x:c r="M590" s="8" t="str">
        <x:v>N/A</x:v>
      </x:c>
    </x:row>
    <x:row r="591">
      <x:c r="A591" s="8" t="str">
        <x:v>Highlands|Buildings</x:v>
      </x:c>
      <x:c r="B591" s="8" t="str">
        <x:v>highlands-d</x:v>
      </x:c>
      <x:c r="C591" s="8" t="str">
        <x:v>Highlands</x:v>
      </x:c>
      <x:c r="D591" s="8" t="str">
        <x:v>Buildings</x:v>
      </x:c>
      <x:c r="E591" s="11" t="n">
        <x:v>6120413</x:v>
      </x:c>
      <x:c r="F591" s="11" t="n">
        <x:v>1616281</x:v>
      </x:c>
      <x:c r="G591" s="11" t="n">
        <x:v>4504132</x:v>
      </x:c>
      <x:c r="H591" s="11" t="n">
        <x:v>218525</x:v>
      </x:c>
      <x:c r="I591" s="11" t="n">
        <x:v>10000000</x:v>
      </x:c>
      <x:c r="J591" s="11" t="n">
        <x:v>349000</x:v>
      </x:c>
      <x:c r="K591" s="12" t="n">
        <x:v>0.7359196184963335</x:v>
      </x:c>
      <x:c r="L591" s="12" t="n">
        <x:v>0.9651</x:v>
      </x:c>
      <x:c r="M591" s="8" t="str">
        <x:v>Yes</x:v>
      </x:c>
    </x:row>
    <x:row r="592">
      <x:c r="A592" s="8" t="str">
        <x:v>Highlands|Fleet</x:v>
      </x:c>
      <x:c r="B592" s="8" t="str">
        <x:v>highlands-d</x:v>
      </x:c>
      <x:c r="C592" s="8" t="str">
        <x:v>Highlands</x:v>
      </x:c>
      <x:c r="D592" s="8" t="str">
        <x:v>Fleet</x:v>
      </x:c>
      <x:c r="E592" s="11" t="n">
        <x:v>2948174</x:v>
      </x:c>
      <x:c r="F592" s="11" t="n">
        <x:v>1408826</x:v>
      </x:c>
      <x:c r="G592" s="11" t="n">
        <x:v>1539348</x:v>
      </x:c>
      <x:c r="H592" s="11" t="n">
        <x:v>58098</x:v>
      </x:c>
      <x:c r="I592" s="11" t="n">
        <x:v>7000000</x:v>
      </x:c>
      <x:c r="J592" s="11" t="n">
        <x:v>247000</x:v>
      </x:c>
      <x:c r="K592" s="12" t="n">
        <x:v>0.5221360747364301</x:v>
      </x:c>
      <x:c r="L592" s="12" t="n">
        <x:v>0.9647142857142857</x:v>
      </x:c>
      <x:c r="M592" s="8" t="str">
        <x:v>Yes</x:v>
      </x:c>
    </x:row>
    <x:row r="593">
      <x:c r="A593" s="8" t="str">
        <x:v>Highlands|Parks and Recreation</x:v>
      </x:c>
      <x:c r="B593" s="8" t="str">
        <x:v>highlands-d</x:v>
      </x:c>
      <x:c r="C593" s="8" t="str">
        <x:v>Highlands</x:v>
      </x:c>
      <x:c r="D593" s="8" t="str">
        <x:v>Parks and Recreation</x:v>
      </x:c>
      <x:c r="E593" s="11" t="n">
        <x:v>470845</x:v>
      </x:c>
      <x:c r="F593" s="11" t="n">
        <x:v>148267</x:v>
      </x:c>
      <x:c r="G593" s="11" t="n">
        <x:v>322578</x:v>
      </x:c>
      <x:c r="H593" s="11" t="n">
        <x:v>0</x:v>
      </x:c>
      <x:c r="I593" s="11" t="n">
        <x:v>1</x:v>
      </x:c>
      <x:c r="J593" s="11" t="n">
        <x:v>26000</x:v>
      </x:c>
      <x:c r="K593" s="12" t="n">
        <x:v>0.685104439889985</x:v>
      </x:c>
      <x:c r="L593" s="12" t="n">
        <x:v>-25999</x:v>
      </x:c>
      <x:c r="M593" s="8" t="str">
        <x:v>Yes</x:v>
      </x:c>
    </x:row>
    <x:row r="594">
      <x:c r="A594" s="8" t="str">
        <x:v>Highlands|Water System</x:v>
      </x:c>
      <x:c r="B594" s="8" t="str">
        <x:v>highlands-d</x:v>
      </x:c>
      <x:c r="C594" s="8" t="str">
        <x:v>Highlands</x:v>
      </x:c>
      <x:c r="D594" s="8" t="str">
        <x:v>Water System</x:v>
      </x:c>
      <x:c r="E594" s="11" t="n">
        <x:v>0</x:v>
      </x:c>
      <x:c r="F594" s="11" t="n">
        <x:v>0</x:v>
      </x:c>
      <x:c r="G594" s="11" t="n">
        <x:v>0</x:v>
      </x:c>
      <x:c r="H594" s="11" t="n">
        <x:v>0</x:v>
      </x:c>
      <x:c r="I594" s="11" t="n">
        <x:v>0</x:v>
      </x:c>
      <x:c r="J594" s="11" t="n">
        <x:v>0</x:v>
      </x:c>
      <x:c r="K594" s="12"/>
      <x:c r="L594" s="12"/>
      <x:c r="M594" s="8"/>
    </x:row>
    <x:row r="595">
      <x:c r="A595" s="8" t="str">
        <x:v>Highlands|Sewer System</x:v>
      </x:c>
      <x:c r="B595" s="8" t="str">
        <x:v>highlands-d</x:v>
      </x:c>
      <x:c r="C595" s="8" t="str">
        <x:v>Highlands</x:v>
      </x:c>
      <x:c r="D595" s="8" t="str">
        <x:v>Sewer System</x:v>
      </x:c>
      <x:c r="E595" s="11" t="n">
        <x:v>0</x:v>
      </x:c>
      <x:c r="F595" s="11" t="n">
        <x:v>0</x:v>
      </x:c>
      <x:c r="G595" s="11" t="n">
        <x:v>0</x:v>
      </x:c>
      <x:c r="H595" s="11" t="n">
        <x:v>0</x:v>
      </x:c>
      <x:c r="I595" s="11" t="n">
        <x:v>0</x:v>
      </x:c>
      <x:c r="J595" s="11" t="n">
        <x:v>0</x:v>
      </x:c>
      <x:c r="K595" s="12"/>
      <x:c r="L595" s="12"/>
      <x:c r="M595" s="8"/>
    </x:row>
    <x:row r="596">
      <x:c r="A596" s="8" t="str">
        <x:v>Highlands|Drainage System</x:v>
      </x:c>
      <x:c r="B596" s="8" t="str">
        <x:v>highlands-d</x:v>
      </x:c>
      <x:c r="C596" s="8" t="str">
        <x:v>Highlands</x:v>
      </x:c>
      <x:c r="D596" s="8" t="str">
        <x:v>Drainage System</x:v>
      </x:c>
      <x:c r="E596" s="11" t="n">
        <x:v>0</x:v>
      </x:c>
      <x:c r="F596" s="11" t="n">
        <x:v>0</x:v>
      </x:c>
      <x:c r="G596" s="11" t="n">
        <x:v>0</x:v>
      </x:c>
      <x:c r="H596" s="11" t="n">
        <x:v>0</x:v>
      </x:c>
      <x:c r="I596" s="11" t="n">
        <x:v>0</x:v>
      </x:c>
      <x:c r="J596" s="11" t="n">
        <x:v>0</x:v>
      </x:c>
      <x:c r="K596" s="12"/>
      <x:c r="L596" s="12"/>
      <x:c r="M596" s="8"/>
    </x:row>
    <x:row r="597">
      <x:c r="A597" s="8" t="str">
        <x:v>Highlands|Transportation System</x:v>
      </x:c>
      <x:c r="B597" s="8" t="str">
        <x:v>highlands-d</x:v>
      </x:c>
      <x:c r="C597" s="8" t="str">
        <x:v>Highlands</x:v>
      </x:c>
      <x:c r="D597" s="8" t="str">
        <x:v>Transportation System</x:v>
      </x:c>
      <x:c r="E597" s="11" t="n">
        <x:v>38853234</x:v>
      </x:c>
      <x:c r="F597" s="11" t="n">
        <x:v>18001011</x:v>
      </x:c>
      <x:c r="G597" s="11" t="n">
        <x:v>20852223</x:v>
      </x:c>
      <x:c r="H597" s="11" t="n">
        <x:v>342355</x:v>
      </x:c>
      <x:c r="I597" s="11" t="n">
        <x:v>98000000</x:v>
      </x:c>
      <x:c r="J597" s="11" t="n">
        <x:v>992000</x:v>
      </x:c>
      <x:c r="K597" s="12" t="n">
        <x:v>0.5366920807673308</x:v>
      </x:c>
      <x:c r="L597" s="12" t="n">
        <x:v>0.9898775510204082</x:v>
      </x:c>
      <x:c r="M597" s="8" t="str">
        <x:v>Yes</x:v>
      </x:c>
    </x:row>
    <x:row r="598">
      <x:c r="A598" s="8" t="str">
        <x:v>Highlands|Other Engineering Systems</x:v>
      </x:c>
      <x:c r="B598" s="8" t="str">
        <x:v>highlands-d</x:v>
      </x:c>
      <x:c r="C598" s="8" t="str">
        <x:v>Highlands</x:v>
      </x:c>
      <x:c r="D598" s="8" t="str">
        <x:v>Other Engineering Systems</x:v>
      </x:c>
      <x:c r="E598" s="11" t="n">
        <x:v>0</x:v>
      </x:c>
      <x:c r="F598" s="11" t="n">
        <x:v>0</x:v>
      </x:c>
      <x:c r="G598" s="11" t="n">
        <x:v>0</x:v>
      </x:c>
      <x:c r="H598" s="11" t="n">
        <x:v>0</x:v>
      </x:c>
      <x:c r="I598" s="11" t="n">
        <x:v>0</x:v>
      </x:c>
      <x:c r="J598" s="11" t="n">
        <x:v>0</x:v>
      </x:c>
      <x:c r="K598" s="12"/>
      <x:c r="L598" s="12"/>
      <x:c r="M598" s="8"/>
    </x:row>
    <x:row r="599">
      <x:c r="A599" s="8" t="str">
        <x:v>Highlands|Other Tangible Capital Assets</x:v>
      </x:c>
      <x:c r="B599" s="8" t="str">
        <x:v>highlands-d</x:v>
      </x:c>
      <x:c r="C599" s="8" t="str">
        <x:v>Highlands</x:v>
      </x:c>
      <x:c r="D599" s="8" t="str">
        <x:v>Other Tangible Capital Assets</x:v>
      </x:c>
      <x:c r="E599" s="11" t="n">
        <x:v>0</x:v>
      </x:c>
      <x:c r="F599" s="11" t="n">
        <x:v>0</x:v>
      </x:c>
      <x:c r="G599" s="11" t="n">
        <x:v>0</x:v>
      </x:c>
      <x:c r="H599" s="11" t="n">
        <x:v>0</x:v>
      </x:c>
      <x:c r="I599" s="11" t="n">
        <x:v>0</x:v>
      </x:c>
      <x:c r="J599" s="11" t="n">
        <x:v>0</x:v>
      </x:c>
      <x:c r="K599" s="12"/>
      <x:c r="L599" s="12"/>
      <x:c r="M599" s="8" t="str">
        <x:v>N/A</x:v>
      </x:c>
    </x:row>
    <x:row r="600">
      <x:c r="A600" s="8" t="str">
        <x:v>Highlands|Work In Progress</x:v>
      </x:c>
      <x:c r="B600" s="8" t="str">
        <x:v>highlands-d</x:v>
      </x:c>
      <x:c r="C600" s="8" t="str">
        <x:v>Highlands</x:v>
      </x:c>
      <x:c r="D600" s="8" t="str">
        <x:v>Work In Progress</x:v>
      </x:c>
      <x:c r="E600" s="11" t="n">
        <x:v>8755</x:v>
      </x:c>
      <x:c r="F600" s="11"/>
      <x:c r="G600" s="11" t="n">
        <x:v>8755</x:v>
      </x:c>
      <x:c r="H600" s="11" t="n">
        <x:v>8755</x:v>
      </x:c>
      <x:c r="I600" s="11" t="n">
        <x:v>8755</x:v>
      </x:c>
      <x:c r="J600" s="11"/>
      <x:c r="K600" s="12" t="n">
        <x:v>1</x:v>
      </x:c>
      <x:c r="L600" s="12"/>
      <x:c r="M600" s="8" t="str">
        <x:v>N/A</x:v>
      </x:c>
    </x:row>
    <x:row r="601">
      <x:c r="A601" s="8" t="str">
        <x:v>Highlands|Total TCA</x:v>
      </x:c>
      <x:c r="B601" s="8" t="str">
        <x:v>highlands-d</x:v>
      </x:c>
      <x:c r="C601" s="8" t="str">
        <x:v>Highlands</x:v>
      </x:c>
      <x:c r="D601" s="8" t="str">
        <x:v>Total TCA</x:v>
      </x:c>
      <x:c r="E601" s="11" t="n">
        <x:v>58197297</x:v>
      </x:c>
      <x:c r="F601" s="11" t="n">
        <x:v>21174385</x:v>
      </x:c>
      <x:c r="G601" s="11" t="n">
        <x:v>37022912</x:v>
      </x:c>
      <x:c r="H601" s="11" t="n">
        <x:v>627733</x:v>
      </x:c>
      <x:c r="I601" s="11" t="n">
        <x:v>124804632</x:v>
      </x:c>
      <x:c r="J601" s="11" t="n">
        <x:v>1614000</x:v>
      </x:c>
      <x:c r="K601" s="12" t="n">
        <x:v>0.6361620540555346</x:v>
      </x:c>
      <x:c r="L601" s="12" t="n">
        <x:v>0.9870677876763421</x:v>
      </x:c>
      <x:c r="M601" s="8"/>
    </x:row>
    <x:row r="602">
      <x:c r="A602" s="8" t="str">
        <x:v>Hope|Land</x:v>
      </x:c>
      <x:c r="B602" s="8" t="str">
        <x:v>hope-d</x:v>
      </x:c>
      <x:c r="C602" s="8" t="str">
        <x:v>Hope</x:v>
      </x:c>
      <x:c r="D602" s="8" t="str">
        <x:v>Land</x:v>
      </x:c>
      <x:c r="E602" s="11" t="n">
        <x:v>3416273</x:v>
      </x:c>
      <x:c r="F602" s="11"/>
      <x:c r="G602" s="11" t="n">
        <x:v>3416273</x:v>
      </x:c>
      <x:c r="H602" s="11" t="n">
        <x:v>0</x:v>
      </x:c>
      <x:c r="I602" s="11" t="n">
        <x:v>3416273</x:v>
      </x:c>
      <x:c r="J602" s="11"/>
      <x:c r="K602" s="12" t="n">
        <x:v>1</x:v>
      </x:c>
      <x:c r="L602" s="12"/>
      <x:c r="M602" s="8" t="str">
        <x:v>N/A</x:v>
      </x:c>
    </x:row>
    <x:row r="603">
      <x:c r="A603" s="8" t="str">
        <x:v>Hope|Buildings</x:v>
      </x:c>
      <x:c r="B603" s="8" t="str">
        <x:v>hope-d</x:v>
      </x:c>
      <x:c r="C603" s="8" t="str">
        <x:v>Hope</x:v>
      </x:c>
      <x:c r="D603" s="8" t="str">
        <x:v>Buildings</x:v>
      </x:c>
      <x:c r="E603" s="11" t="n">
        <x:v>3689345</x:v>
      </x:c>
      <x:c r="F603" s="11" t="n">
        <x:v>2010976</x:v>
      </x:c>
      <x:c r="G603" s="11" t="n">
        <x:v>1678369</x:v>
      </x:c>
      <x:c r="H603" s="11" t="n">
        <x:v>97660</x:v>
      </x:c>
      <x:c r="I603" s="11" t="n">
        <x:v>32108300</x:v>
      </x:c>
      <x:c r="J603" s="11" t="n">
        <x:v>642200</x:v>
      </x:c>
      <x:c r="K603" s="12" t="n">
        <x:v>0.4549232993932527</x:v>
      </x:c>
      <x:c r="L603" s="12" t="n">
        <x:v>0.9799989410837696</x:v>
      </x:c>
      <x:c r="M603" s="8" t="str">
        <x:v>Yes</x:v>
      </x:c>
    </x:row>
    <x:row r="604">
      <x:c r="A604" s="8" t="str">
        <x:v>Hope|Fleet</x:v>
      </x:c>
      <x:c r="B604" s="8" t="str">
        <x:v>hope-d</x:v>
      </x:c>
      <x:c r="C604" s="8" t="str">
        <x:v>Hope</x:v>
      </x:c>
      <x:c r="D604" s="8" t="str">
        <x:v>Fleet</x:v>
      </x:c>
      <x:c r="E604" s="11" t="n">
        <x:v>4954845</x:v>
      </x:c>
      <x:c r="F604" s="11" t="n">
        <x:v>2575598</x:v>
      </x:c>
      <x:c r="G604" s="11" t="n">
        <x:v>2379247</x:v>
      </x:c>
      <x:c r="H604" s="11" t="n">
        <x:v>86939</x:v>
      </x:c>
      <x:c r="I604" s="11" t="n">
        <x:v>7108600</x:v>
      </x:c>
      <x:c r="J604" s="11" t="n">
        <x:v>355400</x:v>
      </x:c>
      <x:c r="K604" s="12" t="n">
        <x:v>0.4801859593993354</x:v>
      </x:c>
      <x:c r="L604" s="12" t="n">
        <x:v>0.9500042202402723</x:v>
      </x:c>
      <x:c r="M604" s="8" t="str">
        <x:v>Yes</x:v>
      </x:c>
    </x:row>
    <x:row r="605">
      <x:c r="A605" s="8" t="str">
        <x:v>Hope|Parks and Recreation</x:v>
      </x:c>
      <x:c r="B605" s="8" t="str">
        <x:v>hope-d</x:v>
      </x:c>
      <x:c r="C605" s="8" t="str">
        <x:v>Hope</x:v>
      </x:c>
      <x:c r="D605" s="8" t="str">
        <x:v>Parks and Recreation</x:v>
      </x:c>
      <x:c r="E605" s="11" t="n">
        <x:v>0</x:v>
      </x:c>
      <x:c r="F605" s="11" t="n">
        <x:v>0</x:v>
      </x:c>
      <x:c r="G605" s="11" t="n">
        <x:v>0</x:v>
      </x:c>
      <x:c r="H605" s="11" t="n">
        <x:v>0</x:v>
      </x:c>
      <x:c r="I605" s="11" t="n">
        <x:v>0</x:v>
      </x:c>
      <x:c r="J605" s="11" t="n">
        <x:v>0</x:v>
      </x:c>
      <x:c r="K605" s="12"/>
      <x:c r="L605" s="12"/>
      <x:c r="M605" s="8"/>
    </x:row>
    <x:row r="606">
      <x:c r="A606" s="8" t="str">
        <x:v>Hope|Water System</x:v>
      </x:c>
      <x:c r="B606" s="8" t="str">
        <x:v>hope-d</x:v>
      </x:c>
      <x:c r="C606" s="8" t="str">
        <x:v>Hope</x:v>
      </x:c>
      <x:c r="D606" s="8" t="str">
        <x:v>Water System</x:v>
      </x:c>
      <x:c r="E606" s="11" t="n">
        <x:v>13478816</x:v>
      </x:c>
      <x:c r="F606" s="11" t="n">
        <x:v>7261573</x:v>
      </x:c>
      <x:c r="G606" s="11" t="n">
        <x:v>6217243</x:v>
      </x:c>
      <x:c r="H606" s="11" t="n">
        <x:v>156150</x:v>
      </x:c>
      <x:c r="I606" s="11" t="n">
        <x:v>60463572</x:v>
      </x:c>
      <x:c r="J606" s="11" t="n">
        <x:v>806181</x:v>
      </x:c>
      <x:c r="K606" s="12" t="n">
        <x:v>0.4612603213813439</x:v>
      </x:c>
      <x:c r="L606" s="12" t="n">
        <x:v>0.9866666660051113</x:v>
      </x:c>
      <x:c r="M606" s="8" t="str">
        <x:v>Yes</x:v>
      </x:c>
    </x:row>
    <x:row r="607">
      <x:c r="A607" s="8" t="str">
        <x:v>Hope|Sewer System</x:v>
      </x:c>
      <x:c r="B607" s="8" t="str">
        <x:v>hope-d</x:v>
      </x:c>
      <x:c r="C607" s="8" t="str">
        <x:v>Hope</x:v>
      </x:c>
      <x:c r="D607" s="8" t="str">
        <x:v>Sewer System</x:v>
      </x:c>
      <x:c r="E607" s="11" t="n">
        <x:v>16714387</x:v>
      </x:c>
      <x:c r="F607" s="11" t="n">
        <x:v>8986822</x:v>
      </x:c>
      <x:c r="G607" s="11" t="n">
        <x:v>7727565</x:v>
      </x:c>
      <x:c r="H607" s="11" t="n">
        <x:v>63466</x:v>
      </x:c>
      <x:c r="I607" s="11" t="n">
        <x:v>72795200</x:v>
      </x:c>
      <x:c r="J607" s="11" t="n">
        <x:v>970600</x:v>
      </x:c>
      <x:c r="K607" s="12" t="n">
        <x:v>0.4623301470762882</x:v>
      </x:c>
      <x:c r="L607" s="12" t="n">
        <x:v>0.9866667032991187</x:v>
      </x:c>
      <x:c r="M607" s="8" t="str">
        <x:v>Yes</x:v>
      </x:c>
    </x:row>
    <x:row r="608">
      <x:c r="A608" s="8" t="str">
        <x:v>Hope|Drainage System</x:v>
      </x:c>
      <x:c r="B608" s="8" t="str">
        <x:v>hope-d</x:v>
      </x:c>
      <x:c r="C608" s="8" t="str">
        <x:v>Hope</x:v>
      </x:c>
      <x:c r="D608" s="8" t="str">
        <x:v>Drainage System</x:v>
      </x:c>
      <x:c r="E608" s="11" t="n">
        <x:v>4056400</x:v>
      </x:c>
      <x:c r="F608" s="11" t="n">
        <x:v>2158003</x:v>
      </x:c>
      <x:c r="G608" s="11" t="n">
        <x:v>1898397</x:v>
      </x:c>
      <x:c r="H608" s="11" t="n">
        <x:v>173783</x:v>
      </x:c>
      <x:c r="I608" s="11" t="n">
        <x:v>32152100</x:v>
      </x:c>
      <x:c r="J608" s="11" t="n">
        <x:v>428700</x:v>
      </x:c>
      <x:c r="K608" s="12" t="n">
        <x:v>0.4680004437432206</x:v>
      </x:c>
      <x:c r="L608" s="12" t="n">
        <x:v>0.98666650078844</x:v>
      </x:c>
      <x:c r="M608" s="8" t="str">
        <x:v>Yes</x:v>
      </x:c>
    </x:row>
    <x:row r="609">
      <x:c r="A609" s="8" t="str">
        <x:v>Hope|Transportation System</x:v>
      </x:c>
      <x:c r="B609" s="8" t="str">
        <x:v>hope-d</x:v>
      </x:c>
      <x:c r="C609" s="8" t="str">
        <x:v>Hope</x:v>
      </x:c>
      <x:c r="D609" s="8" t="str">
        <x:v>Transportation System</x:v>
      </x:c>
      <x:c r="E609" s="11" t="n">
        <x:v>36272827</x:v>
      </x:c>
      <x:c r="F609" s="11" t="n">
        <x:v>21692559</x:v>
      </x:c>
      <x:c r="G609" s="11" t="n">
        <x:v>14580268</x:v>
      </x:c>
      <x:c r="H609" s="11" t="n">
        <x:v>134303</x:v>
      </x:c>
      <x:c r="I609" s="11" t="n">
        <x:v>76885400</x:v>
      </x:c>
      <x:c r="J609" s="11" t="n">
        <x:v>561500</x:v>
      </x:c>
      <x:c r="K609" s="12" t="n">
        <x:v>0.4019611705478594</x:v>
      </x:c>
      <x:c r="L609" s="12" t="n">
        <x:v>0.9926969229528623</x:v>
      </x:c>
      <x:c r="M609" s="8" t="str">
        <x:v>Yes</x:v>
      </x:c>
    </x:row>
    <x:row r="610">
      <x:c r="A610" s="8" t="str">
        <x:v>Hope|Other Engineering Systems</x:v>
      </x:c>
      <x:c r="B610" s="8" t="str">
        <x:v>hope-d</x:v>
      </x:c>
      <x:c r="C610" s="8" t="str">
        <x:v>Hope</x:v>
      </x:c>
      <x:c r="D610" s="8" t="str">
        <x:v>Other Engineering Systems</x:v>
      </x:c>
      <x:c r="E610" s="11" t="n">
        <x:v>721473</x:v>
      </x:c>
      <x:c r="F610" s="11" t="n">
        <x:v>208797</x:v>
      </x:c>
      <x:c r="G610" s="11" t="n">
        <x:v>512676</x:v>
      </x:c>
      <x:c r="H610" s="11" t="n">
        <x:v>0</x:v>
      </x:c>
      <x:c r="I610" s="11" t="n">
        <x:v>812800</x:v>
      </x:c>
      <x:c r="J610" s="11" t="n">
        <x:v>27100</x:v>
      </x:c>
      <x:c r="K610" s="12" t="n">
        <x:v>0.7105962385286767</x:v>
      </x:c>
      <x:c r="L610" s="12" t="n">
        <x:v>0.9666584645669292</x:v>
      </x:c>
      <x:c r="M610" s="8" t="str">
        <x:v>Yes</x:v>
      </x:c>
    </x:row>
    <x:row r="611">
      <x:c r="A611" s="8" t="str">
        <x:v>Hope|Other Tangible Capital Assets</x:v>
      </x:c>
      <x:c r="B611" s="8" t="str">
        <x:v>hope-d</x:v>
      </x:c>
      <x:c r="C611" s="8" t="str">
        <x:v>Hope</x:v>
      </x:c>
      <x:c r="D611" s="8" t="str">
        <x:v>Other Tangible Capital Assets</x:v>
      </x:c>
      <x:c r="E611" s="11" t="n">
        <x:v>5054860</x:v>
      </x:c>
      <x:c r="F611" s="11" t="n">
        <x:v>3708611</x:v>
      </x:c>
      <x:c r="G611" s="11" t="n">
        <x:v>1346249</x:v>
      </x:c>
      <x:c r="H611" s="11" t="n">
        <x:v>205385</x:v>
      </x:c>
      <x:c r="I611" s="11" t="n">
        <x:v>5969500</x:v>
      </x:c>
      <x:c r="J611" s="11" t="n">
        <x:v>298500</x:v>
      </x:c>
      <x:c r="K611" s="12" t="n">
        <x:v>0.2663276529913786</x:v>
      </x:c>
      <x:c r="L611" s="12" t="n">
        <x:v>0.9499958120445599</x:v>
      </x:c>
      <x:c r="M611" s="8" t="str">
        <x:v>N/A</x:v>
      </x:c>
    </x:row>
    <x:row r="612">
      <x:c r="A612" s="8" t="str">
        <x:v>Hope|Work In Progress</x:v>
      </x:c>
      <x:c r="B612" s="8" t="str">
        <x:v>hope-d</x:v>
      </x:c>
      <x:c r="C612" s="8" t="str">
        <x:v>Hope</x:v>
      </x:c>
      <x:c r="D612" s="8" t="str">
        <x:v>Work In Progress</x:v>
      </x:c>
      <x:c r="E612" s="11" t="n">
        <x:v>1474844</x:v>
      </x:c>
      <x:c r="F612" s="11"/>
      <x:c r="G612" s="11" t="n">
        <x:v>1474844</x:v>
      </x:c>
      <x:c r="H612" s="11" t="n">
        <x:v>1170970</x:v>
      </x:c>
      <x:c r="I612" s="11" t="n">
        <x:v>1474844</x:v>
      </x:c>
      <x:c r="J612" s="11"/>
      <x:c r="K612" s="12" t="n">
        <x:v>1</x:v>
      </x:c>
      <x:c r="L612" s="12"/>
      <x:c r="M612" s="8" t="str">
        <x:v>N/A</x:v>
      </x:c>
    </x:row>
    <x:row r="613">
      <x:c r="A613" s="8" t="str">
        <x:v>Hope|Total TCA</x:v>
      </x:c>
      <x:c r="B613" s="8" t="str">
        <x:v>hope-d</x:v>
      </x:c>
      <x:c r="C613" s="8" t="str">
        <x:v>Hope</x:v>
      </x:c>
      <x:c r="D613" s="8" t="str">
        <x:v>Total TCA</x:v>
      </x:c>
      <x:c r="E613" s="11" t="n">
        <x:v>89834070</x:v>
      </x:c>
      <x:c r="F613" s="11" t="n">
        <x:v>48602939</x:v>
      </x:c>
      <x:c r="G613" s="11" t="n">
        <x:v>41231131</x:v>
      </x:c>
      <x:c r="H613" s="11" t="n">
        <x:v>2088656</x:v>
      </x:c>
      <x:c r="I613" s="11" t="n">
        <x:v>293186589</x:v>
      </x:c>
      <x:c r="J613" s="11" t="n">
        <x:v>4090181</x:v>
      </x:c>
      <x:c r="K613" s="12" t="n">
        <x:v>0.45896986521928707</x:v>
      </x:c>
      <x:c r="L613" s="12" t="n">
        <x:v>0.9860492220536049</x:v>
      </x:c>
      <x:c r="M613" s="8"/>
    </x:row>
    <x:row r="614">
      <x:c r="A614" s="8" t="str">
        <x:v>Houston|Land</x:v>
      </x:c>
      <x:c r="B614" s="8" t="str">
        <x:v>houston-d</x:v>
      </x:c>
      <x:c r="C614" s="8" t="str">
        <x:v>Houston</x:v>
      </x:c>
      <x:c r="D614" s="8" t="str">
        <x:v>Land</x:v>
      </x:c>
      <x:c r="E614" s="11" t="n">
        <x:v>3096411</x:v>
      </x:c>
      <x:c r="F614" s="11"/>
      <x:c r="G614" s="11" t="n">
        <x:v>3096411</x:v>
      </x:c>
      <x:c r="H614" s="11" t="n">
        <x:v>663597</x:v>
      </x:c>
      <x:c r="I614" s="11" t="n">
        <x:v>3096411</x:v>
      </x:c>
      <x:c r="J614" s="11"/>
      <x:c r="K614" s="12" t="n">
        <x:v>1</x:v>
      </x:c>
      <x:c r="L614" s="12"/>
      <x:c r="M614" s="8" t="str">
        <x:v>N/A</x:v>
      </x:c>
    </x:row>
    <x:row r="615">
      <x:c r="A615" s="8" t="str">
        <x:v>Houston|Buildings</x:v>
      </x:c>
      <x:c r="B615" s="8" t="str">
        <x:v>houston-d</x:v>
      </x:c>
      <x:c r="C615" s="8" t="str">
        <x:v>Houston</x:v>
      </x:c>
      <x:c r="D615" s="8" t="str">
        <x:v>Buildings</x:v>
      </x:c>
      <x:c r="E615" s="11" t="n">
        <x:v>13364951</x:v>
      </x:c>
      <x:c r="F615" s="11" t="n">
        <x:v>5835831</x:v>
      </x:c>
      <x:c r="G615" s="11" t="n">
        <x:v>7529120</x:v>
      </x:c>
      <x:c r="H615" s="11" t="n">
        <x:v>0</x:v>
      </x:c>
      <x:c r="I615" s="11" t="n">
        <x:v>16404413</x:v>
      </x:c>
      <x:c r="J615" s="11" t="n">
        <x:v>469103</x:v>
      </x:c>
      <x:c r="K615" s="12" t="n">
        <x:v>0.5633481185228438</x:v>
      </x:c>
      <x:c r="L615" s="12" t="n">
        <x:v>0.9714038533411711</x:v>
      </x:c>
      <x:c r="M615" s="8" t="str">
        <x:v>Yes</x:v>
      </x:c>
    </x:row>
    <x:row r="616">
      <x:c r="A616" s="8" t="str">
        <x:v>Houston|Fleet</x:v>
      </x:c>
      <x:c r="B616" s="8" t="str">
        <x:v>houston-d</x:v>
      </x:c>
      <x:c r="C616" s="8" t="str">
        <x:v>Houston</x:v>
      </x:c>
      <x:c r="D616" s="8" t="str">
        <x:v>Fleet</x:v>
      </x:c>
      <x:c r="E616" s="11" t="n">
        <x:v>5484012</x:v>
      </x:c>
      <x:c r="F616" s="11" t="n">
        <x:v>3222425</x:v>
      </x:c>
      <x:c r="G616" s="11" t="n">
        <x:v>2261587</x:v>
      </x:c>
      <x:c r="H616" s="11" t="n">
        <x:v>230918</x:v>
      </x:c>
      <x:c r="I616" s="11" t="n">
        <x:v>3434436</x:v>
      </x:c>
      <x:c r="J616" s="11" t="n">
        <x:v>197244</x:v>
      </x:c>
      <x:c r="K616" s="12" t="n">
        <x:v>0.41239643531049897</x:v>
      </x:c>
      <x:c r="L616" s="12" t="n">
        <x:v>0.9425687361767696</x:v>
      </x:c>
      <x:c r="M616" s="8" t="str">
        <x:v>Yes</x:v>
      </x:c>
    </x:row>
    <x:row r="617">
      <x:c r="A617" s="8" t="str">
        <x:v>Houston|Parks and Recreation</x:v>
      </x:c>
      <x:c r="B617" s="8" t="str">
        <x:v>houston-d</x:v>
      </x:c>
      <x:c r="C617" s="8" t="str">
        <x:v>Houston</x:v>
      </x:c>
      <x:c r="D617" s="8" t="str">
        <x:v>Parks and Recreation</x:v>
      </x:c>
      <x:c r="E617" s="11" t="n">
        <x:v>1363137</x:v>
      </x:c>
      <x:c r="F617" s="11" t="n">
        <x:v>735441</x:v>
      </x:c>
      <x:c r="G617" s="11" t="n">
        <x:v>627696</x:v>
      </x:c>
      <x:c r="H617" s="11" t="n">
        <x:v>193386</x:v>
      </x:c>
      <x:c r="I617" s="11" t="n">
        <x:v>3256645</x:v>
      </x:c>
      <x:c r="J617" s="11" t="n">
        <x:v>198675</x:v>
      </x:c>
      <x:c r="K617" s="12" t="n">
        <x:v>0.46047902741984115</x:v>
      </x:c>
      <x:c r="L617" s="12" t="n">
        <x:v>0.9389939646476665</x:v>
      </x:c>
      <x:c r="M617" s="8" t="str">
        <x:v>No</x:v>
      </x:c>
    </x:row>
    <x:row r="618">
      <x:c r="A618" s="8" t="str">
        <x:v>Houston|Water System</x:v>
      </x:c>
      <x:c r="B618" s="8" t="str">
        <x:v>houston-d</x:v>
      </x:c>
      <x:c r="C618" s="8" t="str">
        <x:v>Houston</x:v>
      </x:c>
      <x:c r="D618" s="8" t="str">
        <x:v>Water System</x:v>
      </x:c>
      <x:c r="E618" s="11" t="n">
        <x:v>12083774</x:v>
      </x:c>
      <x:c r="F618" s="11" t="n">
        <x:v>5764494</x:v>
      </x:c>
      <x:c r="G618" s="11" t="n">
        <x:v>6319280</x:v>
      </x:c>
      <x:c r="H618" s="11" t="n">
        <x:v>0</x:v>
      </x:c>
      <x:c r="I618" s="11" t="n">
        <x:v>38605815</x:v>
      </x:c>
      <x:c r="J618" s="11" t="n">
        <x:v>668813</x:v>
      </x:c>
      <x:c r="K618" s="12" t="n">
        <x:v>0.522955824893779</x:v>
      </x:c>
      <x:c r="L618" s="12" t="n">
        <x:v>0.9826758481850467</x:v>
      </x:c>
      <x:c r="M618" s="8" t="str">
        <x:v>Yes</x:v>
      </x:c>
    </x:row>
    <x:row r="619">
      <x:c r="A619" s="8" t="str">
        <x:v>Houston|Sewer System</x:v>
      </x:c>
      <x:c r="B619" s="8" t="str">
        <x:v>houston-d</x:v>
      </x:c>
      <x:c r="C619" s="8" t="str">
        <x:v>Houston</x:v>
      </x:c>
      <x:c r="D619" s="8" t="str">
        <x:v>Sewer System</x:v>
      </x:c>
      <x:c r="E619" s="11" t="n">
        <x:v>5823741</x:v>
      </x:c>
      <x:c r="F619" s="11" t="n">
        <x:v>3331653</x:v>
      </x:c>
      <x:c r="G619" s="11" t="n">
        <x:v>2492088</x:v>
      </x:c>
      <x:c r="H619" s="11" t="n">
        <x:v>0</x:v>
      </x:c>
      <x:c r="I619" s="11" t="n">
        <x:v>26543110</x:v>
      </x:c>
      <x:c r="J619" s="11" t="n">
        <x:v>433604</x:v>
      </x:c>
      <x:c r="K619" s="12" t="n">
        <x:v>0.4279187553155266</x:v>
      </x:c>
      <x:c r="L619" s="12" t="n">
        <x:v>0.9836641599270017</x:v>
      </x:c>
      <x:c r="M619" s="8" t="str">
        <x:v>Yes</x:v>
      </x:c>
    </x:row>
    <x:row r="620">
      <x:c r="A620" s="8" t="str">
        <x:v>Houston|Drainage System</x:v>
      </x:c>
      <x:c r="B620" s="8" t="str">
        <x:v>houston-d</x:v>
      </x:c>
      <x:c r="C620" s="8" t="str">
        <x:v>Houston</x:v>
      </x:c>
      <x:c r="D620" s="8" t="str">
        <x:v>Drainage System</x:v>
      </x:c>
      <x:c r="E620" s="11" t="n">
        <x:v>2393444</x:v>
      </x:c>
      <x:c r="F620" s="11" t="n">
        <x:v>2048087</x:v>
      </x:c>
      <x:c r="G620" s="11" t="n">
        <x:v>345357</x:v>
      </x:c>
      <x:c r="H620" s="11" t="n">
        <x:v>0</x:v>
      </x:c>
      <x:c r="I620" s="11" t="n">
        <x:v>12181826</x:v>
      </x:c>
      <x:c r="J620" s="11" t="n">
        <x:v>183726</x:v>
      </x:c>
      <x:c r="K620" s="12" t="n">
        <x:v>0.14429291013284623</x:v>
      </x:c>
      <x:c r="L620" s="12" t="n">
        <x:v>0.9849180246048499</x:v>
      </x:c>
      <x:c r="M620" s="8" t="str">
        <x:v>Yes</x:v>
      </x:c>
    </x:row>
    <x:row r="621">
      <x:c r="A621" s="8" t="str">
        <x:v>Houston|Transportation System</x:v>
      </x:c>
      <x:c r="B621" s="8" t="str">
        <x:v>houston-d</x:v>
      </x:c>
      <x:c r="C621" s="8" t="str">
        <x:v>Houston</x:v>
      </x:c>
      <x:c r="D621" s="8" t="str">
        <x:v>Transportation System</x:v>
      </x:c>
      <x:c r="E621" s="11" t="n">
        <x:v>28868624</x:v>
      </x:c>
      <x:c r="F621" s="11" t="n">
        <x:v>19928759</x:v>
      </x:c>
      <x:c r="G621" s="11" t="n">
        <x:v>8939865</x:v>
      </x:c>
      <x:c r="H621" s="11" t="n">
        <x:v>596004</x:v>
      </x:c>
      <x:c r="I621" s="11" t="n">
        <x:v>64554614</x:v>
      </x:c>
      <x:c r="J621" s="11" t="n">
        <x:v>85589</x:v>
      </x:c>
      <x:c r="K621" s="12" t="n">
        <x:v>0.30967409461566303</x:v>
      </x:c>
      <x:c r="L621" s="12" t="n">
        <x:v>0.998674161385273</x:v>
      </x:c>
      <x:c r="M621" s="8" t="str">
        <x:v>Yes</x:v>
      </x:c>
    </x:row>
    <x:row r="622">
      <x:c r="A622" s="8" t="str">
        <x:v>Houston|Other Engineering Systems</x:v>
      </x:c>
      <x:c r="B622" s="8" t="str">
        <x:v>houston-d</x:v>
      </x:c>
      <x:c r="C622" s="8" t="str">
        <x:v>Houston</x:v>
      </x:c>
      <x:c r="D622" s="8" t="str">
        <x:v>Other Engineering Systems</x:v>
      </x:c>
      <x:c r="E622" s="11" t="n">
        <x:v>2567200</x:v>
      </x:c>
      <x:c r="F622" s="11" t="n">
        <x:v>1949189</x:v>
      </x:c>
      <x:c r="G622" s="11" t="n">
        <x:v>618011</x:v>
      </x:c>
      <x:c r="H622" s="11" t="n">
        <x:v>0</x:v>
      </x:c>
      <x:c r="I622" s="11" t="n">
        <x:v>10411186</x:v>
      </x:c>
      <x:c r="J622" s="11" t="n">
        <x:v>104737</x:v>
      </x:c>
      <x:c r="K622" s="12" t="n">
        <x:v>0.24073348395138672</x:v>
      </x:c>
      <x:c r="L622" s="12" t="n">
        <x:v>0.9899399549676665</x:v>
      </x:c>
      <x:c r="M622" s="8" t="str">
        <x:v>No</x:v>
      </x:c>
    </x:row>
    <x:row r="623">
      <x:c r="A623" s="8" t="str">
        <x:v>Houston|Other Tangible Capital Assets</x:v>
      </x:c>
      <x:c r="B623" s="8" t="str">
        <x:v>houston-d</x:v>
      </x:c>
      <x:c r="C623" s="8" t="str">
        <x:v>Houston</x:v>
      </x:c>
      <x:c r="D623" s="8" t="str">
        <x:v>Other Tangible Capital Assets</x:v>
      </x:c>
      <x:c r="E623" s="11" t="n">
        <x:v>7246933</x:v>
      </x:c>
      <x:c r="F623" s="11" t="n">
        <x:v>1450325</x:v>
      </x:c>
      <x:c r="G623" s="11" t="n">
        <x:v>5796608</x:v>
      </x:c>
      <x:c r="H623" s="11" t="n">
        <x:v>751709</x:v>
      </x:c>
      <x:c r="I623" s="11" t="n">
        <x:v>1111403</x:v>
      </x:c>
      <x:c r="J623" s="11" t="n">
        <x:v>307285</x:v>
      </x:c>
      <x:c r="K623" s="12" t="n">
        <x:v>0.7998705107388188</x:v>
      </x:c>
      <x:c r="L623" s="12" t="n">
        <x:v>0.7235161323120416</x:v>
      </x:c>
      <x:c r="M623" s="8" t="str">
        <x:v>N/A</x:v>
      </x:c>
    </x:row>
    <x:row r="624">
      <x:c r="A624" s="8" t="str">
        <x:v>Houston|Work In Progress</x:v>
      </x:c>
      <x:c r="B624" s="8" t="str">
        <x:v>houston-d</x:v>
      </x:c>
      <x:c r="C624" s="8" t="str">
        <x:v>Houston</x:v>
      </x:c>
      <x:c r="D624" s="8" t="str">
        <x:v>Work In Progress</x:v>
      </x:c>
      <x:c r="E624" s="11" t="n">
        <x:v>905025</x:v>
      </x:c>
      <x:c r="F624" s="11"/>
      <x:c r="G624" s="11" t="n">
        <x:v>905025</x:v>
      </x:c>
      <x:c r="H624" s="11" t="n">
        <x:v>771099</x:v>
      </x:c>
      <x:c r="I624" s="11" t="n">
        <x:v>905025</x:v>
      </x:c>
      <x:c r="J624" s="11"/>
      <x:c r="K624" s="12" t="n">
        <x:v>1</x:v>
      </x:c>
      <x:c r="L624" s="12"/>
      <x:c r="M624" s="8" t="str">
        <x:v>N/A</x:v>
      </x:c>
    </x:row>
    <x:row r="625">
      <x:c r="A625" s="8" t="str">
        <x:v>Houston|Total TCA</x:v>
      </x:c>
      <x:c r="B625" s="8" t="str">
        <x:v>houston-d</x:v>
      </x:c>
      <x:c r="C625" s="8" t="str">
        <x:v>Houston</x:v>
      </x:c>
      <x:c r="D625" s="8" t="str">
        <x:v>Total TCA</x:v>
      </x:c>
      <x:c r="E625" s="11" t="n">
        <x:v>83197252</x:v>
      </x:c>
      <x:c r="F625" s="11" t="n">
        <x:v>44266204</x:v>
      </x:c>
      <x:c r="G625" s="11" t="n">
        <x:v>38931048</x:v>
      </x:c>
      <x:c r="H625" s="11" t="n">
        <x:v>3206713</x:v>
      </x:c>
      <x:c r="I625" s="11" t="n">
        <x:v>180504884</x:v>
      </x:c>
      <x:c r="J625" s="11" t="n">
        <x:v>2648776</x:v>
      </x:c>
      <x:c r="K625" s="12" t="n">
        <x:v>0.4679367054094527</x:v>
      </x:c>
      <x:c r="L625" s="12" t="n">
        <x:v>0.9853257377789291</x:v>
      </x:c>
      <x:c r="M625" s="8"/>
    </x:row>
    <x:row r="626">
      <x:c r="A626" s="8" t="str">
        <x:v>Hudson's Hope|Land</x:v>
      </x:c>
      <x:c r="B626" s="8" t="str">
        <x:v>hudson-s-hope-d</x:v>
      </x:c>
      <x:c r="C626" s="8" t="str">
        <x:v>Hudson's Hope</x:v>
      </x:c>
      <x:c r="D626" s="8" t="str">
        <x:v>Land</x:v>
      </x:c>
      <x:c r="E626" s="11" t="n">
        <x:v>2037584</x:v>
      </x:c>
      <x:c r="F626" s="11"/>
      <x:c r="G626" s="11" t="n">
        <x:v>2037584</x:v>
      </x:c>
      <x:c r="H626" s="11" t="n">
        <x:v>7132</x:v>
      </x:c>
      <x:c r="I626" s="11" t="n">
        <x:v>2037584</x:v>
      </x:c>
      <x:c r="J626" s="11"/>
      <x:c r="K626" s="12" t="n">
        <x:v>1</x:v>
      </x:c>
      <x:c r="L626" s="12"/>
      <x:c r="M626" s="8" t="str">
        <x:v>N/A</x:v>
      </x:c>
    </x:row>
    <x:row r="627">
      <x:c r="A627" s="8" t="str">
        <x:v>Hudson's Hope|Buildings</x:v>
      </x:c>
      <x:c r="B627" s="8" t="str">
        <x:v>hudson-s-hope-d</x:v>
      </x:c>
      <x:c r="C627" s="8" t="str">
        <x:v>Hudson's Hope</x:v>
      </x:c>
      <x:c r="D627" s="8" t="str">
        <x:v>Buildings</x:v>
      </x:c>
      <x:c r="E627" s="11" t="n">
        <x:v>10293459</x:v>
      </x:c>
      <x:c r="F627" s="11" t="n">
        <x:v>4992331</x:v>
      </x:c>
      <x:c r="G627" s="11" t="n">
        <x:v>5301128</x:v>
      </x:c>
      <x:c r="H627" s="11" t="n">
        <x:v>159578</x:v>
      </x:c>
      <x:c r="I627" s="11" t="n">
        <x:v>41550000</x:v>
      </x:c>
      <x:c r="J627" s="11" t="n">
        <x:v>997200</x:v>
      </x:c>
      <x:c r="K627" s="12" t="n">
        <x:v>0.5149996711503878</x:v>
      </x:c>
      <x:c r="L627" s="12" t="n">
        <x:v>0.976</x:v>
      </x:c>
      <x:c r="M627" s="8" t="str">
        <x:v>In_Progress</x:v>
      </x:c>
    </x:row>
    <x:row r="628">
      <x:c r="A628" s="8" t="str">
        <x:v>Hudson's Hope|Fleet</x:v>
      </x:c>
      <x:c r="B628" s="8" t="str">
        <x:v>hudson-s-hope-d</x:v>
      </x:c>
      <x:c r="C628" s="8" t="str">
        <x:v>Hudson's Hope</x:v>
      </x:c>
      <x:c r="D628" s="8" t="str">
        <x:v>Fleet</x:v>
      </x:c>
      <x:c r="E628" s="11" t="n">
        <x:v>9183989</x:v>
      </x:c>
      <x:c r="F628" s="11" t="n">
        <x:v>4274577</x:v>
      </x:c>
      <x:c r="G628" s="11" t="n">
        <x:v>4909412</x:v>
      </x:c>
      <x:c r="H628" s="11" t="n">
        <x:v>863597</x:v>
      </x:c>
      <x:c r="I628" s="11" t="n">
        <x:v>6890000</x:v>
      </x:c>
      <x:c r="J628" s="11" t="n">
        <x:v>521970</x:v>
      </x:c>
      <x:c r="K628" s="12" t="n">
        <x:v>0.5345620514136069</x:v>
      </x:c>
      <x:c r="L628" s="12" t="n">
        <x:v>0.9242423802612482</x:v>
      </x:c>
      <x:c r="M628" s="8" t="str">
        <x:v>In_Progress</x:v>
      </x:c>
    </x:row>
    <x:row r="629">
      <x:c r="A629" s="8" t="str">
        <x:v>Hudson's Hope|Parks and Recreation</x:v>
      </x:c>
      <x:c r="B629" s="8" t="str">
        <x:v>hudson-s-hope-d</x:v>
      </x:c>
      <x:c r="C629" s="8" t="str">
        <x:v>Hudson's Hope</x:v>
      </x:c>
      <x:c r="D629" s="8" t="str">
        <x:v>Parks and Recreation</x:v>
      </x:c>
      <x:c r="E629" s="11" t="n">
        <x:v>0</x:v>
      </x:c>
      <x:c r="F629" s="11" t="n">
        <x:v>0</x:v>
      </x:c>
      <x:c r="G629" s="11" t="n">
        <x:v>0</x:v>
      </x:c>
      <x:c r="H629" s="11" t="n">
        <x:v>0</x:v>
      </x:c>
      <x:c r="I629" s="11" t="n">
        <x:v>0</x:v>
      </x:c>
      <x:c r="J629" s="11" t="n">
        <x:v>0</x:v>
      </x:c>
      <x:c r="K629" s="12"/>
      <x:c r="L629" s="12"/>
      <x:c r="M629" s="8"/>
    </x:row>
    <x:row r="630">
      <x:c r="A630" s="8" t="str">
        <x:v>Hudson's Hope|Water System</x:v>
      </x:c>
      <x:c r="B630" s="8" t="str">
        <x:v>hudson-s-hope-d</x:v>
      </x:c>
      <x:c r="C630" s="8" t="str">
        <x:v>Hudson's Hope</x:v>
      </x:c>
      <x:c r="D630" s="8" t="str">
        <x:v>Water System</x:v>
      </x:c>
      <x:c r="E630" s="11" t="n">
        <x:v>9270516</x:v>
      </x:c>
      <x:c r="F630" s="11" t="n">
        <x:v>3363269</x:v>
      </x:c>
      <x:c r="G630" s="11" t="n">
        <x:v>5907247</x:v>
      </x:c>
      <x:c r="H630" s="11" t="n">
        <x:v>250602</x:v>
      </x:c>
      <x:c r="I630" s="11" t="n">
        <x:v>13870300</x:v>
      </x:c>
      <x:c r="J630" s="11" t="n">
        <x:v>1387030</x:v>
      </x:c>
      <x:c r="K630" s="12" t="n">
        <x:v>0.6372080043872423</x:v>
      </x:c>
      <x:c r="L630" s="12" t="n">
        <x:v>0.9</x:v>
      </x:c>
      <x:c r="M630" s="8" t="str">
        <x:v>In_Progress</x:v>
      </x:c>
    </x:row>
    <x:row r="631">
      <x:c r="A631" s="8" t="str">
        <x:v>Hudson's Hope|Sewer System</x:v>
      </x:c>
      <x:c r="B631" s="8" t="str">
        <x:v>hudson-s-hope-d</x:v>
      </x:c>
      <x:c r="C631" s="8" t="str">
        <x:v>Hudson's Hope</x:v>
      </x:c>
      <x:c r="D631" s="8" t="str">
        <x:v>Sewer System</x:v>
      </x:c>
      <x:c r="E631" s="11" t="n">
        <x:v>5427297</x:v>
      </x:c>
      <x:c r="F631" s="11" t="n">
        <x:v>1285421</x:v>
      </x:c>
      <x:c r="G631" s="11" t="n">
        <x:v>4141876</x:v>
      </x:c>
      <x:c r="H631" s="11" t="n">
        <x:v>79732</x:v>
      </x:c>
      <x:c r="I631" s="11" t="n">
        <x:v>9220770</x:v>
      </x:c>
      <x:c r="J631" s="11" t="n">
        <x:v>141068</x:v>
      </x:c>
      <x:c r="K631" s="12" t="n">
        <x:v>0.763156318882125</x:v>
      </x:c>
      <x:c r="L631" s="12" t="n">
        <x:v>0.9847010607573988</x:v>
      </x:c>
      <x:c r="M631" s="8" t="str">
        <x:v>In_Progress</x:v>
      </x:c>
    </x:row>
    <x:row r="632">
      <x:c r="A632" s="8" t="str">
        <x:v>Hudson's Hope|Drainage System</x:v>
      </x:c>
      <x:c r="B632" s="8" t="str">
        <x:v>hudson-s-hope-d</x:v>
      </x:c>
      <x:c r="C632" s="8" t="str">
        <x:v>Hudson's Hope</x:v>
      </x:c>
      <x:c r="D632" s="8" t="str">
        <x:v>Drainage System</x:v>
      </x:c>
      <x:c r="E632" s="11" t="n">
        <x:v>0</x:v>
      </x:c>
      <x:c r="F632" s="11" t="n">
        <x:v>0</x:v>
      </x:c>
      <x:c r="G632" s="11" t="n">
        <x:v>0</x:v>
      </x:c>
      <x:c r="H632" s="11" t="n">
        <x:v>0</x:v>
      </x:c>
      <x:c r="I632" s="11" t="n">
        <x:v>0</x:v>
      </x:c>
      <x:c r="J632" s="11" t="n">
        <x:v>0</x:v>
      </x:c>
      <x:c r="K632" s="12"/>
      <x:c r="L632" s="12"/>
      <x:c r="M632" s="8"/>
    </x:row>
    <x:row r="633">
      <x:c r="A633" s="8" t="str">
        <x:v>Hudson's Hope|Transportation System</x:v>
      </x:c>
      <x:c r="B633" s="8" t="str">
        <x:v>hudson-s-hope-d</x:v>
      </x:c>
      <x:c r="C633" s="8" t="str">
        <x:v>Hudson's Hope</x:v>
      </x:c>
      <x:c r="D633" s="8" t="str">
        <x:v>Transportation System</x:v>
      </x:c>
      <x:c r="E633" s="11" t="n">
        <x:v>7109834</x:v>
      </x:c>
      <x:c r="F633" s="11" t="n">
        <x:v>4193749</x:v>
      </x:c>
      <x:c r="G633" s="11" t="n">
        <x:v>2916085</x:v>
      </x:c>
      <x:c r="H633" s="11" t="n">
        <x:v>19245</x:v>
      </x:c>
      <x:c r="I633" s="11" t="n">
        <x:v>16071946</x:v>
      </x:c>
      <x:c r="J633" s="11" t="n">
        <x:v>0</x:v>
      </x:c>
      <x:c r="K633" s="12" t="n">
        <x:v>0.41014811316269834</x:v>
      </x:c>
      <x:c r="L633" s="12" t="n">
        <x:v>1</x:v>
      </x:c>
      <x:c r="M633" s="8" t="str">
        <x:v>In_Progress</x:v>
      </x:c>
    </x:row>
    <x:row r="634">
      <x:c r="A634" s="8" t="str">
        <x:v>Hudson's Hope|Other Engineering Systems</x:v>
      </x:c>
      <x:c r="B634" s="8" t="str">
        <x:v>hudson-s-hope-d</x:v>
      </x:c>
      <x:c r="C634" s="8" t="str">
        <x:v>Hudson's Hope</x:v>
      </x:c>
      <x:c r="D634" s="8" t="str">
        <x:v>Other Engineering Systems</x:v>
      </x:c>
      <x:c r="E634" s="11" t="n">
        <x:v>0</x:v>
      </x:c>
      <x:c r="F634" s="11" t="n">
        <x:v>0</x:v>
      </x:c>
      <x:c r="G634" s="11" t="n">
        <x:v>0</x:v>
      </x:c>
      <x:c r="H634" s="11" t="n">
        <x:v>0</x:v>
      </x:c>
      <x:c r="I634" s="11" t="n">
        <x:v>0</x:v>
      </x:c>
      <x:c r="J634" s="11" t="n">
        <x:v>0</x:v>
      </x:c>
      <x:c r="K634" s="12"/>
      <x:c r="L634" s="12"/>
      <x:c r="M634" s="8"/>
    </x:row>
    <x:row r="635">
      <x:c r="A635" s="8" t="str">
        <x:v>Hudson's Hope|Other Tangible Capital Assets</x:v>
      </x:c>
      <x:c r="B635" s="8" t="str">
        <x:v>hudson-s-hope-d</x:v>
      </x:c>
      <x:c r="C635" s="8" t="str">
        <x:v>Hudson's Hope</x:v>
      </x:c>
      <x:c r="D635" s="8" t="str">
        <x:v>Other Tangible Capital Assets</x:v>
      </x:c>
      <x:c r="E635" s="11" t="n">
        <x:v>0</x:v>
      </x:c>
      <x:c r="F635" s="11" t="n">
        <x:v>0</x:v>
      </x:c>
      <x:c r="G635" s="11" t="n">
        <x:v>0</x:v>
      </x:c>
      <x:c r="H635" s="11" t="n">
        <x:v>0</x:v>
      </x:c>
      <x:c r="I635" s="11" t="n">
        <x:v>0</x:v>
      </x:c>
      <x:c r="J635" s="11" t="n">
        <x:v>0</x:v>
      </x:c>
      <x:c r="K635" s="12"/>
      <x:c r="L635" s="12"/>
      <x:c r="M635" s="8" t="str">
        <x:v>N/A</x:v>
      </x:c>
    </x:row>
    <x:row r="636">
      <x:c r="A636" s="8" t="str">
        <x:v>Hudson's Hope|Work In Progress</x:v>
      </x:c>
      <x:c r="B636" s="8" t="str">
        <x:v>hudson-s-hope-d</x:v>
      </x:c>
      <x:c r="C636" s="8" t="str">
        <x:v>Hudson's Hope</x:v>
      </x:c>
      <x:c r="D636" s="8" t="str">
        <x:v>Work In Progress</x:v>
      </x:c>
      <x:c r="E636" s="11" t="n">
        <x:v>0</x:v>
      </x:c>
      <x:c r="F636" s="11"/>
      <x:c r="G636" s="11" t="n">
        <x:v>0</x:v>
      </x:c>
      <x:c r="H636" s="11" t="n">
        <x:v>0</x:v>
      </x:c>
      <x:c r="I636" s="11" t="n">
        <x:v>0</x:v>
      </x:c>
      <x:c r="J636" s="11"/>
      <x:c r="K636" s="12"/>
      <x:c r="L636" s="12"/>
      <x:c r="M636" s="8" t="str">
        <x:v>N/A</x:v>
      </x:c>
    </x:row>
    <x:row r="637">
      <x:c r="A637" s="8" t="str">
        <x:v>Hudson's Hope|Total TCA</x:v>
      </x:c>
      <x:c r="B637" s="8" t="str">
        <x:v>hudson-s-hope-d</x:v>
      </x:c>
      <x:c r="C637" s="8" t="str">
        <x:v>Hudson's Hope</x:v>
      </x:c>
      <x:c r="D637" s="8" t="str">
        <x:v>Total TCA</x:v>
      </x:c>
      <x:c r="E637" s="11" t="n">
        <x:v>43322679</x:v>
      </x:c>
      <x:c r="F637" s="11" t="n">
        <x:v>18109347</x:v>
      </x:c>
      <x:c r="G637" s="11" t="n">
        <x:v>25213332</x:v>
      </x:c>
      <x:c r="H637" s="11" t="n">
        <x:v>1379886</x:v>
      </x:c>
      <x:c r="I637" s="11" t="n">
        <x:v>89640600</x:v>
      </x:c>
      <x:c r="J637" s="11" t="n">
        <x:v>3047268</x:v>
      </x:c>
      <x:c r="K637" s="12" t="n">
        <x:v>0.5819892163178552</x:v>
      </x:c>
      <x:c r="L637" s="12" t="n">
        <x:v>0.9660057161598651</x:v>
      </x:c>
      <x:c r="M637" s="8"/>
    </x:row>
    <x:row r="638">
      <x:c r="A638" s="8" t="str">
        <x:v>Invermere|Land</x:v>
      </x:c>
      <x:c r="B638" s="8" t="str">
        <x:v>invermere-d</x:v>
      </x:c>
      <x:c r="C638" s="8" t="str">
        <x:v>Invermere</x:v>
      </x:c>
      <x:c r="D638" s="8" t="str">
        <x:v>Land</x:v>
      </x:c>
      <x:c r="E638" s="11" t="n">
        <x:v>18417024</x:v>
      </x:c>
      <x:c r="F638" s="11"/>
      <x:c r="G638" s="11" t="n">
        <x:v>18417024</x:v>
      </x:c>
      <x:c r="H638" s="11" t="n">
        <x:v>0</x:v>
      </x:c>
      <x:c r="I638" s="11" t="n">
        <x:v>18417024</x:v>
      </x:c>
      <x:c r="J638" s="11"/>
      <x:c r="K638" s="12" t="n">
        <x:v>1</x:v>
      </x:c>
      <x:c r="L638" s="12"/>
      <x:c r="M638" s="8" t="str">
        <x:v>N/A</x:v>
      </x:c>
    </x:row>
    <x:row r="639">
      <x:c r="A639" s="8" t="str">
        <x:v>Invermere|Buildings</x:v>
      </x:c>
      <x:c r="B639" s="8" t="str">
        <x:v>invermere-d</x:v>
      </x:c>
      <x:c r="C639" s="8" t="str">
        <x:v>Invermere</x:v>
      </x:c>
      <x:c r="D639" s="8" t="str">
        <x:v>Buildings</x:v>
      </x:c>
      <x:c r="E639" s="11" t="n">
        <x:v>17197380</x:v>
      </x:c>
      <x:c r="F639" s="11" t="n">
        <x:v>5728137</x:v>
      </x:c>
      <x:c r="G639" s="11" t="n">
        <x:v>11469243</x:v>
      </x:c>
      <x:c r="H639" s="11" t="n">
        <x:v>176030</x:v>
      </x:c>
      <x:c r="I639" s="11" t="n">
        <x:v>46000000</x:v>
      </x:c>
      <x:c r="J639" s="11" t="n">
        <x:v>1150000</x:v>
      </x:c>
      <x:c r="K639" s="12" t="n">
        <x:v>0.6669180421668882</x:v>
      </x:c>
      <x:c r="L639" s="12" t="n">
        <x:v>0.975</x:v>
      </x:c>
      <x:c r="M639" s="8" t="str">
        <x:v>No</x:v>
      </x:c>
    </x:row>
    <x:row r="640">
      <x:c r="A640" s="8" t="str">
        <x:v>Invermere|Fleet</x:v>
      </x:c>
      <x:c r="B640" s="8" t="str">
        <x:v>invermere-d</x:v>
      </x:c>
      <x:c r="C640" s="8" t="str">
        <x:v>Invermere</x:v>
      </x:c>
      <x:c r="D640" s="8" t="str">
        <x:v>Fleet</x:v>
      </x:c>
      <x:c r="E640" s="11" t="n">
        <x:v>4457435</x:v>
      </x:c>
      <x:c r="F640" s="11" t="n">
        <x:v>3681829</x:v>
      </x:c>
      <x:c r="G640" s="11" t="n">
        <x:v>775606</x:v>
      </x:c>
      <x:c r="H640" s="11" t="n">
        <x:v>439832</x:v>
      </x:c>
      <x:c r="I640" s="11" t="n">
        <x:v>3418950</x:v>
      </x:c>
      <x:c r="J640" s="11" t="n">
        <x:v>136758</x:v>
      </x:c>
      <x:c r="K640" s="12" t="n">
        <x:v>0.17400276167796053</x:v>
      </x:c>
      <x:c r="L640" s="12" t="n">
        <x:v>0.96</x:v>
      </x:c>
      <x:c r="M640" s="8" t="str">
        <x:v>No</x:v>
      </x:c>
    </x:row>
    <x:row r="641">
      <x:c r="A641" s="8" t="str">
        <x:v>Invermere|Parks and Recreation</x:v>
      </x:c>
      <x:c r="B641" s="8" t="str">
        <x:v>invermere-d</x:v>
      </x:c>
      <x:c r="C641" s="8" t="str">
        <x:v>Invermere</x:v>
      </x:c>
      <x:c r="D641" s="8" t="str">
        <x:v>Parks and Recreation</x:v>
      </x:c>
      <x:c r="E641" s="11" t="n">
        <x:v>4764971</x:v>
      </x:c>
      <x:c r="F641" s="11" t="n">
        <x:v>2438970</x:v>
      </x:c>
      <x:c r="G641" s="11" t="n">
        <x:v>2326001</x:v>
      </x:c>
      <x:c r="H641" s="11" t="n">
        <x:v>204799</x:v>
      </x:c>
      <x:c r="I641" s="11" t="n">
        <x:v>25000000</x:v>
      </x:c>
      <x:c r="J641" s="11" t="n">
        <x:v>416667</x:v>
      </x:c>
      <x:c r="K641" s="12" t="n">
        <x:v>0.48814588798126995</x:v>
      </x:c>
      <x:c r="L641" s="12" t="n">
        <x:v>0.98333332</x:v>
      </x:c>
      <x:c r="M641" s="8" t="str">
        <x:v>No</x:v>
      </x:c>
    </x:row>
    <x:row r="642">
      <x:c r="A642" s="8" t="str">
        <x:v>Invermere|Water System</x:v>
      </x:c>
      <x:c r="B642" s="8" t="str">
        <x:v>invermere-d</x:v>
      </x:c>
      <x:c r="C642" s="8" t="str">
        <x:v>Invermere</x:v>
      </x:c>
      <x:c r="D642" s="8" t="str">
        <x:v>Water System</x:v>
      </x:c>
      <x:c r="E642" s="11" t="n">
        <x:v>32831871</x:v>
      </x:c>
      <x:c r="F642" s="11" t="n">
        <x:v>11587039</x:v>
      </x:c>
      <x:c r="G642" s="11" t="n">
        <x:v>21244832</x:v>
      </x:c>
      <x:c r="H642" s="11" t="n">
        <x:v>102007</x:v>
      </x:c>
      <x:c r="I642" s="11" t="n">
        <x:v>215931000</x:v>
      </x:c>
      <x:c r="J642" s="11" t="n">
        <x:v>2699138</x:v>
      </x:c>
      <x:c r="K642" s="12" t="n">
        <x:v>0.6470795404867423</x:v>
      </x:c>
      <x:c r="L642" s="12" t="n">
        <x:v>0.9874999976844455</x:v>
      </x:c>
      <x:c r="M642" s="8" t="str">
        <x:v>No</x:v>
      </x:c>
    </x:row>
    <x:row r="643">
      <x:c r="A643" s="8" t="str">
        <x:v>Invermere|Sewer System</x:v>
      </x:c>
      <x:c r="B643" s="8" t="str">
        <x:v>invermere-d</x:v>
      </x:c>
      <x:c r="C643" s="8" t="str">
        <x:v>Invermere</x:v>
      </x:c>
      <x:c r="D643" s="8" t="str">
        <x:v>Sewer System</x:v>
      </x:c>
      <x:c r="E643" s="11" t="n">
        <x:v>24407342</x:v>
      </x:c>
      <x:c r="F643" s="11" t="n">
        <x:v>10589718</x:v>
      </x:c>
      <x:c r="G643" s="11" t="n">
        <x:v>13817624</x:v>
      </x:c>
      <x:c r="H643" s="11" t="n">
        <x:v>402824</x:v>
      </x:c>
      <x:c r="I643" s="11" t="n">
        <x:v>136982000</x:v>
      </x:c>
      <x:c r="J643" s="11" t="n">
        <x:v>1876466</x:v>
      </x:c>
      <x:c r="K643" s="12" t="n">
        <x:v>0.5661257174173246</x:v>
      </x:c>
      <x:c r="L643" s="12" t="n">
        <x:v>0.9863013680629572</x:v>
      </x:c>
      <x:c r="M643" s="8" t="str">
        <x:v>No</x:v>
      </x:c>
    </x:row>
    <x:row r="644">
      <x:c r="A644" s="8" t="str">
        <x:v>Invermere|Drainage System</x:v>
      </x:c>
      <x:c r="B644" s="8" t="str">
        <x:v>invermere-d</x:v>
      </x:c>
      <x:c r="C644" s="8" t="str">
        <x:v>Invermere</x:v>
      </x:c>
      <x:c r="D644" s="8" t="str">
        <x:v>Drainage System</x:v>
      </x:c>
      <x:c r="E644" s="11" t="n">
        <x:v>3437288</x:v>
      </x:c>
      <x:c r="F644" s="11" t="n">
        <x:v>1888513</x:v>
      </x:c>
      <x:c r="G644" s="11" t="n">
        <x:v>1548775</x:v>
      </x:c>
      <x:c r="H644" s="11" t="n">
        <x:v>0</x:v>
      </x:c>
      <x:c r="I644" s="11" t="n">
        <x:v>1521280</x:v>
      </x:c>
      <x:c r="J644" s="11" t="n">
        <x:v>20157</x:v>
      </x:c>
      <x:c r="K644" s="12" t="n">
        <x:v>0.4505805158019927</x:v>
      </x:c>
      <x:c r="L644" s="12" t="n">
        <x:v>0.9867499737063525</x:v>
      </x:c>
      <x:c r="M644" s="8" t="str">
        <x:v>No</x:v>
      </x:c>
    </x:row>
    <x:row r="645">
      <x:c r="A645" s="8" t="str">
        <x:v>Invermere|Transportation System</x:v>
      </x:c>
      <x:c r="B645" s="8" t="str">
        <x:v>invermere-d</x:v>
      </x:c>
      <x:c r="C645" s="8" t="str">
        <x:v>Invermere</x:v>
      </x:c>
      <x:c r="D645" s="8" t="str">
        <x:v>Transportation System</x:v>
      </x:c>
      <x:c r="E645" s="11" t="n">
        <x:v>31903791</x:v>
      </x:c>
      <x:c r="F645" s="11" t="n">
        <x:v>14512220</x:v>
      </x:c>
      <x:c r="G645" s="11" t="n">
        <x:v>17391571</x:v>
      </x:c>
      <x:c r="H645" s="11" t="n">
        <x:v>749652</x:v>
      </x:c>
      <x:c r="I645" s="11" t="n">
        <x:v>39121200</x:v>
      </x:c>
      <x:c r="J645" s="11" t="n">
        <x:v>1185491</x:v>
      </x:c>
      <x:c r="K645" s="12" t="n">
        <x:v>0.5451255306932019</x:v>
      </x:c>
      <x:c r="L645" s="12" t="n">
        <x:v>0.969696967373189</x:v>
      </x:c>
      <x:c r="M645" s="8" t="str">
        <x:v>No</x:v>
      </x:c>
    </x:row>
    <x:row r="646">
      <x:c r="A646" s="8" t="str">
        <x:v>Invermere|Other Engineering Systems</x:v>
      </x:c>
      <x:c r="B646" s="8" t="str">
        <x:v>invermere-d</x:v>
      </x:c>
      <x:c r="C646" s="8" t="str">
        <x:v>Invermere</x:v>
      </x:c>
      <x:c r="D646" s="8" t="str">
        <x:v>Other Engineering Systems</x:v>
      </x:c>
      <x:c r="E646" s="11" t="n">
        <x:v>7447514</x:v>
      </x:c>
      <x:c r="F646" s="11" t="n">
        <x:v>3299180</x:v>
      </x:c>
      <x:c r="G646" s="11" t="n">
        <x:v>4148334</x:v>
      </x:c>
      <x:c r="H646" s="11" t="n">
        <x:v>505317</x:v>
      </x:c>
      <x:c r="I646" s="11" t="n">
        <x:v>10000000</x:v>
      </x:c>
      <x:c r="J646" s="11" t="n">
        <x:v>1666667</x:v>
      </x:c>
      <x:c r="K646" s="12" t="n">
        <x:v>0.5570092248232095</x:v>
      </x:c>
      <x:c r="L646" s="12" t="n">
        <x:v>0.8333333</x:v>
      </x:c>
      <x:c r="M646" s="8" t="str">
        <x:v>No</x:v>
      </x:c>
    </x:row>
    <x:row r="647">
      <x:c r="A647" s="8" t="str">
        <x:v>Invermere|Other Tangible Capital Assets</x:v>
      </x:c>
      <x:c r="B647" s="8" t="str">
        <x:v>invermere-d</x:v>
      </x:c>
      <x:c r="C647" s="8" t="str">
        <x:v>Invermere</x:v>
      </x:c>
      <x:c r="D647" s="8" t="str">
        <x:v>Other Tangible Capital Assets</x:v>
      </x:c>
      <x:c r="E647" s="11" t="n">
        <x:v>4086521</x:v>
      </x:c>
      <x:c r="F647" s="11" t="n">
        <x:v>0</x:v>
      </x:c>
      <x:c r="G647" s="11" t="n">
        <x:v>4086521</x:v>
      </x:c>
      <x:c r="H647" s="11" t="n">
        <x:v>0</x:v>
      </x:c>
      <x:c r="I647" s="11" t="n">
        <x:v>5000000</x:v>
      </x:c>
      <x:c r="J647" s="11" t="n">
        <x:v>83333</x:v>
      </x:c>
      <x:c r="K647" s="12" t="n">
        <x:v>1</x:v>
      </x:c>
      <x:c r="L647" s="12" t="n">
        <x:v>0.9833334</x:v>
      </x:c>
      <x:c r="M647" s="8" t="str">
        <x:v>N/A</x:v>
      </x:c>
    </x:row>
    <x:row r="648">
      <x:c r="A648" s="8" t="str">
        <x:v>Invermere|Work In Progress</x:v>
      </x:c>
      <x:c r="B648" s="8" t="str">
        <x:v>invermere-d</x:v>
      </x:c>
      <x:c r="C648" s="8" t="str">
        <x:v>Invermere</x:v>
      </x:c>
      <x:c r="D648" s="8" t="str">
        <x:v>Work In Progress</x:v>
      </x:c>
      <x:c r="E648" s="11" t="n">
        <x:v>1411422</x:v>
      </x:c>
      <x:c r="F648" s="11"/>
      <x:c r="G648" s="11" t="n">
        <x:v>1411422</x:v>
      </x:c>
      <x:c r="H648" s="11" t="n">
        <x:v>1698797</x:v>
      </x:c>
      <x:c r="I648" s="11" t="n">
        <x:v>1411422</x:v>
      </x:c>
      <x:c r="J648" s="11"/>
      <x:c r="K648" s="12" t="n">
        <x:v>1</x:v>
      </x:c>
      <x:c r="L648" s="12"/>
      <x:c r="M648" s="8" t="str">
        <x:v>N/A</x:v>
      </x:c>
    </x:row>
    <x:row r="649">
      <x:c r="A649" s="8" t="str">
        <x:v>Invermere|Total TCA</x:v>
      </x:c>
      <x:c r="B649" s="8" t="str">
        <x:v>invermere-d</x:v>
      </x:c>
      <x:c r="C649" s="8" t="str">
        <x:v>Invermere</x:v>
      </x:c>
      <x:c r="D649" s="8" t="str">
        <x:v>Total TCA</x:v>
      </x:c>
      <x:c r="E649" s="11" t="n">
        <x:v>150362559</x:v>
      </x:c>
      <x:c r="F649" s="11" t="n">
        <x:v>53725606</x:v>
      </x:c>
      <x:c r="G649" s="11" t="n">
        <x:v>96636953</x:v>
      </x:c>
      <x:c r="H649" s="11" t="n">
        <x:v>4279258</x:v>
      </x:c>
      <x:c r="I649" s="11" t="n">
        <x:v>502802876</x:v>
      </x:c>
      <x:c r="J649" s="11" t="n">
        <x:v>9234677</x:v>
      </x:c>
      <x:c r="K649" s="12" t="n">
        <x:v>0.6426929259696891</x:v>
      </x:c>
      <x:c r="L649" s="12" t="n">
        <x:v>0.9816336034641139</x:v>
      </x:c>
      <x:c r="M649" s="8"/>
    </x:row>
    <x:row r="650">
      <x:c r="A650" s="8" t="str">
        <x:v>Kamloops|Land</x:v>
      </x:c>
      <x:c r="B650" s="8" t="str">
        <x:v>kamloops-c</x:v>
      </x:c>
      <x:c r="C650" s="8" t="str">
        <x:v>Kamloops</x:v>
      </x:c>
      <x:c r="D650" s="8" t="str">
        <x:v>Land</x:v>
      </x:c>
      <x:c r="E650" s="11" t="n">
        <x:v>126754252</x:v>
      </x:c>
      <x:c r="F650" s="11"/>
      <x:c r="G650" s="11" t="n">
        <x:v>126754252</x:v>
      </x:c>
      <x:c r="H650" s="11" t="n">
        <x:v>21595500</x:v>
      </x:c>
      <x:c r="I650" s="11" t="n">
        <x:v>126754252</x:v>
      </x:c>
      <x:c r="J650" s="11"/>
      <x:c r="K650" s="12" t="n">
        <x:v>1</x:v>
      </x:c>
      <x:c r="L650" s="12"/>
      <x:c r="M650" s="8" t="str">
        <x:v>N/A</x:v>
      </x:c>
    </x:row>
    <x:row r="651">
      <x:c r="A651" s="8" t="str">
        <x:v>Kamloops|Buildings</x:v>
      </x:c>
      <x:c r="B651" s="8" t="str">
        <x:v>kamloops-c</x:v>
      </x:c>
      <x:c r="C651" s="8" t="str">
        <x:v>Kamloops</x:v>
      </x:c>
      <x:c r="D651" s="8" t="str">
        <x:v>Buildings</x:v>
      </x:c>
      <x:c r="E651" s="11" t="n">
        <x:v>114840619</x:v>
      </x:c>
      <x:c r="F651" s="11" t="n">
        <x:v>40141198</x:v>
      </x:c>
      <x:c r="G651" s="11" t="n">
        <x:v>74699421</x:v>
      </x:c>
      <x:c r="H651" s="11" t="n">
        <x:v>8453942</x:v>
      </x:c>
      <x:c r="I651" s="11" t="n">
        <x:v>161842843</x:v>
      </x:c>
      <x:c r="J651" s="11" t="n">
        <x:v>3236857</x:v>
      </x:c>
      <x:c r="K651" s="12" t="n">
        <x:v>0.6504616715798093</x:v>
      </x:c>
      <x:c r="L651" s="12" t="n">
        <x:v>0.9799999991349633</x:v>
      </x:c>
      <x:c r="M651" s="8" t="str">
        <x:v>Yes</x:v>
      </x:c>
    </x:row>
    <x:row r="652">
      <x:c r="A652" s="8" t="str">
        <x:v>Kamloops|Fleet</x:v>
      </x:c>
      <x:c r="B652" s="8" t="str">
        <x:v>kamloops-c</x:v>
      </x:c>
      <x:c r="C652" s="8" t="str">
        <x:v>Kamloops</x:v>
      </x:c>
      <x:c r="D652" s="8" t="str">
        <x:v>Fleet</x:v>
      </x:c>
      <x:c r="E652" s="11" t="n">
        <x:v>130360347</x:v>
      </x:c>
      <x:c r="F652" s="11" t="n">
        <x:v>88960747</x:v>
      </x:c>
      <x:c r="G652" s="11" t="n">
        <x:v>41399600</x:v>
      </x:c>
      <x:c r="H652" s="11" t="n">
        <x:v>6462915</x:v>
      </x:c>
      <x:c r="I652" s="11" t="n">
        <x:v>112965000</x:v>
      </x:c>
      <x:c r="J652" s="11" t="n">
        <x:v>7531000</x:v>
      </x:c>
      <x:c r="K652" s="12" t="n">
        <x:v>0.317578166618412</x:v>
      </x:c>
      <x:c r="L652" s="12" t="n">
        <x:v>0.9333333333333333</x:v>
      </x:c>
      <x:c r="M652" s="8" t="str">
        <x:v>In_Progress</x:v>
      </x:c>
    </x:row>
    <x:row r="653">
      <x:c r="A653" s="8" t="str">
        <x:v>Kamloops|Parks and Recreation</x:v>
      </x:c>
      <x:c r="B653" s="8" t="str">
        <x:v>kamloops-c</x:v>
      </x:c>
      <x:c r="C653" s="8" t="str">
        <x:v>Kamloops</x:v>
      </x:c>
      <x:c r="D653" s="8" t="str">
        <x:v>Parks and Recreation</x:v>
      </x:c>
      <x:c r="E653" s="11" t="n">
        <x:v>145946755</x:v>
      </x:c>
      <x:c r="F653" s="11" t="n">
        <x:v>95275193</x:v>
      </x:c>
      <x:c r="G653" s="11" t="n">
        <x:v>50671562</x:v>
      </x:c>
      <x:c r="H653" s="11" t="n">
        <x:v>2977480</x:v>
      </x:c>
      <x:c r="I653" s="11" t="n">
        <x:v>375579190</x:v>
      </x:c>
      <x:c r="J653" s="11" t="n">
        <x:v>8561954</x:v>
      </x:c>
      <x:c r="K653" s="12" t="n">
        <x:v>0.3471921112600277</x:v>
      </x:c>
      <x:c r="L653" s="12" t="n">
        <x:v>0.9772033322719504</x:v>
      </x:c>
      <x:c r="M653" s="8" t="str">
        <x:v>No</x:v>
      </x:c>
    </x:row>
    <x:row r="654">
      <x:c r="A654" s="8" t="str">
        <x:v>Kamloops|Water System</x:v>
      </x:c>
      <x:c r="B654" s="8" t="str">
        <x:v>kamloops-c</x:v>
      </x:c>
      <x:c r="C654" s="8" t="str">
        <x:v>Kamloops</x:v>
      </x:c>
      <x:c r="D654" s="8" t="str">
        <x:v>Water System</x:v>
      </x:c>
      <x:c r="E654" s="11" t="n">
        <x:v>255240027</x:v>
      </x:c>
      <x:c r="F654" s="11" t="n">
        <x:v>116299095</x:v>
      </x:c>
      <x:c r="G654" s="11" t="n">
        <x:v>138940932</x:v>
      </x:c>
      <x:c r="H654" s="11" t="n">
        <x:v>10031943</x:v>
      </x:c>
      <x:c r="I654" s="11" t="n">
        <x:v>777065922</x:v>
      </x:c>
      <x:c r="J654" s="11" t="n">
        <x:v>11175124</x:v>
      </x:c>
      <x:c r="K654" s="12" t="n">
        <x:v>0.5443540091774085</x:v>
      </x:c>
      <x:c r="L654" s="12" t="n">
        <x:v>0.9856188211532457</x:v>
      </x:c>
      <x:c r="M654" s="8" t="str">
        <x:v>No</x:v>
      </x:c>
    </x:row>
    <x:row r="655">
      <x:c r="A655" s="8" t="str">
        <x:v>Kamloops|Sewer System</x:v>
      </x:c>
      <x:c r="B655" s="8" t="str">
        <x:v>kamloops-c</x:v>
      </x:c>
      <x:c r="C655" s="8" t="str">
        <x:v>Kamloops</x:v>
      </x:c>
      <x:c r="D655" s="8" t="str">
        <x:v>Sewer System</x:v>
      </x:c>
      <x:c r="E655" s="11" t="n">
        <x:v>151187262</x:v>
      </x:c>
      <x:c r="F655" s="11" t="n">
        <x:v>50971978</x:v>
      </x:c>
      <x:c r="G655" s="11" t="n">
        <x:v>100215284</x:v>
      </x:c>
      <x:c r="H655" s="11" t="n">
        <x:v>907885</x:v>
      </x:c>
      <x:c r="I655" s="11" t="n">
        <x:v>442684714</x:v>
      </x:c>
      <x:c r="J655" s="11" t="n">
        <x:v>6089979</x:v>
      </x:c>
      <x:c r="K655" s="12" t="n">
        <x:v>0.6628553402865381</x:v>
      </x:c>
      <x:c r="L655" s="12" t="n">
        <x:v>0.9862430781831785</x:v>
      </x:c>
      <x:c r="M655" s="8" t="str">
        <x:v>No</x:v>
      </x:c>
    </x:row>
    <x:row r="656">
      <x:c r="A656" s="8" t="str">
        <x:v>Kamloops|Drainage System</x:v>
      </x:c>
      <x:c r="B656" s="8" t="str">
        <x:v>kamloops-c</x:v>
      </x:c>
      <x:c r="C656" s="8" t="str">
        <x:v>Kamloops</x:v>
      </x:c>
      <x:c r="D656" s="8" t="str">
        <x:v>Drainage System</x:v>
      </x:c>
      <x:c r="E656" s="11" t="n">
        <x:v>96330357</x:v>
      </x:c>
      <x:c r="F656" s="11" t="n">
        <x:v>46049295</x:v>
      </x:c>
      <x:c r="G656" s="11" t="n">
        <x:v>50281062</x:v>
      </x:c>
      <x:c r="H656" s="11" t="n">
        <x:v>211884</x:v>
      </x:c>
      <x:c r="I656" s="11" t="n">
        <x:v>258735059</x:v>
      </x:c>
      <x:c r="J656" s="11" t="n">
        <x:v>3644156</x:v>
      </x:c>
      <x:c r="K656" s="12" t="n">
        <x:v>0.5219648672121084</x:v>
      </x:c>
      <x:c r="L656" s="12" t="n">
        <x:v>0.9859154920323341</x:v>
      </x:c>
      <x:c r="M656" s="8" t="str">
        <x:v>In_Progress</x:v>
      </x:c>
    </x:row>
    <x:row r="657">
      <x:c r="A657" s="8" t="str">
        <x:v>Kamloops|Transportation System</x:v>
      </x:c>
      <x:c r="B657" s="8" t="str">
        <x:v>kamloops-c</x:v>
      </x:c>
      <x:c r="C657" s="8" t="str">
        <x:v>Kamloops</x:v>
      </x:c>
      <x:c r="D657" s="8" t="str">
        <x:v>Transportation System</x:v>
      </x:c>
      <x:c r="E657" s="11" t="n">
        <x:v>949995933</x:v>
      </x:c>
      <x:c r="F657" s="11" t="n">
        <x:v>217093513</x:v>
      </x:c>
      <x:c r="G657" s="11" t="n">
        <x:v>732902420</x:v>
      </x:c>
      <x:c r="H657" s="11" t="n">
        <x:v>4705249</x:v>
      </x:c>
      <x:c r="I657" s="11" t="n">
        <x:v>1917996080</x:v>
      </x:c>
      <x:c r="J657" s="11" t="n">
        <x:v>35560068</x:v>
      </x:c>
      <x:c r="K657" s="12" t="n">
        <x:v>0.771479534323438</x:v>
      </x:c>
      <x:c r="L657" s="12" t="n">
        <x:v>0.981459780668582</x:v>
      </x:c>
      <x:c r="M657" s="8" t="str">
        <x:v>In_Progress</x:v>
      </x:c>
    </x:row>
    <x:row r="658">
      <x:c r="A658" s="8" t="str">
        <x:v>Kamloops|Other Engineering Systems</x:v>
      </x:c>
      <x:c r="B658" s="8" t="str">
        <x:v>kamloops-c</x:v>
      </x:c>
      <x:c r="C658" s="8" t="str">
        <x:v>Kamloops</x:v>
      </x:c>
      <x:c r="D658" s="8" t="str">
        <x:v>Other Engineering Systems</x:v>
      </x:c>
      <x:c r="E658" s="11" t="n">
        <x:v>0</x:v>
      </x:c>
      <x:c r="F658" s="11" t="n">
        <x:v>0</x:v>
      </x:c>
      <x:c r="G658" s="11" t="n">
        <x:v>0</x:v>
      </x:c>
      <x:c r="H658" s="11" t="n">
        <x:v>0</x:v>
      </x:c>
      <x:c r="I658" s="11" t="n">
        <x:v>0</x:v>
      </x:c>
      <x:c r="J658" s="11" t="n">
        <x:v>0</x:v>
      </x:c>
      <x:c r="K658" s="12"/>
      <x:c r="L658" s="12"/>
      <x:c r="M658" s="8"/>
    </x:row>
    <x:row r="659">
      <x:c r="A659" s="8" t="str">
        <x:v>Kamloops|Other Tangible Capital Assets</x:v>
      </x:c>
      <x:c r="B659" s="8" t="str">
        <x:v>kamloops-c</x:v>
      </x:c>
      <x:c r="C659" s="8" t="str">
        <x:v>Kamloops</x:v>
      </x:c>
      <x:c r="D659" s="8" t="str">
        <x:v>Other Tangible Capital Assets</x:v>
      </x:c>
      <x:c r="E659" s="11" t="n">
        <x:v>106391297</x:v>
      </x:c>
      <x:c r="F659" s="11" t="n">
        <x:v>54413260</x:v>
      </x:c>
      <x:c r="G659" s="11" t="n">
        <x:v>51978037</x:v>
      </x:c>
      <x:c r="H659" s="11" t="n">
        <x:v>23885907</x:v>
      </x:c>
      <x:c r="I659" s="11" t="n">
        <x:v>106391297</x:v>
      </x:c>
      <x:c r="J659" s="11" t="n">
        <x:v>54413259</x:v>
      </x:c>
      <x:c r="K659" s="12" t="n">
        <x:v>0.4885553467780358</x:v>
      </x:c>
      <x:c r="L659" s="12" t="n">
        <x:v>0.48855535617730084</x:v>
      </x:c>
      <x:c r="M659" s="8" t="str">
        <x:v>N/A</x:v>
      </x:c>
    </x:row>
    <x:row r="660">
      <x:c r="A660" s="8" t="str">
        <x:v>Kamloops|Work In Progress</x:v>
      </x:c>
      <x:c r="B660" s="8" t="str">
        <x:v>kamloops-c</x:v>
      </x:c>
      <x:c r="C660" s="8" t="str">
        <x:v>Kamloops</x:v>
      </x:c>
      <x:c r="D660" s="8" t="str">
        <x:v>Work In Progress</x:v>
      </x:c>
      <x:c r="E660" s="11" t="n">
        <x:v>86057521</x:v>
      </x:c>
      <x:c r="F660" s="11"/>
      <x:c r="G660" s="11" t="n">
        <x:v>86057521</x:v>
      </x:c>
      <x:c r="H660" s="11" t="n">
        <x:v>34731769</x:v>
      </x:c>
      <x:c r="I660" s="11" t="n">
        <x:v>86057521</x:v>
      </x:c>
      <x:c r="J660" s="11"/>
      <x:c r="K660" s="12" t="n">
        <x:v>1</x:v>
      </x:c>
      <x:c r="L660" s="12"/>
      <x:c r="M660" s="8" t="str">
        <x:v>N/A</x:v>
      </x:c>
    </x:row>
    <x:row r="661">
      <x:c r="A661" s="8" t="str">
        <x:v>Kamloops|Total TCA</x:v>
      </x:c>
      <x:c r="B661" s="8" t="str">
        <x:v>kamloops-c</x:v>
      </x:c>
      <x:c r="C661" s="8" t="str">
        <x:v>Kamloops</x:v>
      </x:c>
      <x:c r="D661" s="8" t="str">
        <x:v>Total TCA</x:v>
      </x:c>
      <x:c r="E661" s="11" t="n">
        <x:v>2163104370</x:v>
      </x:c>
      <x:c r="F661" s="11" t="n">
        <x:v>709204279</x:v>
      </x:c>
      <x:c r="G661" s="11" t="n">
        <x:v>1453900091</x:v>
      </x:c>
      <x:c r="H661" s="11" t="n">
        <x:v>113964474</x:v>
      </x:c>
      <x:c r="I661" s="11" t="n">
        <x:v>4366071878</x:v>
      </x:c>
      <x:c r="J661" s="11" t="n">
        <x:v>130212397</x:v>
      </x:c>
      <x:c r="K661" s="12" t="n">
        <x:v>0.6721358946725257</x:v>
      </x:c>
      <x:c r="L661" s="12" t="n">
        <x:v>0.9701763047795614</x:v>
      </x:c>
      <x:c r="M661" s="8"/>
    </x:row>
    <x:row r="662">
      <x:c r="A662" s="8" t="str">
        <x:v>Kaslo|Land</x:v>
      </x:c>
      <x:c r="B662" s="8" t="str">
        <x:v>kaslo-v</x:v>
      </x:c>
      <x:c r="C662" s="8" t="str">
        <x:v>Kaslo</x:v>
      </x:c>
      <x:c r="D662" s="8" t="str">
        <x:v>Land</x:v>
      </x:c>
      <x:c r="E662" s="11" t="n">
        <x:v>1851445</x:v>
      </x:c>
      <x:c r="F662" s="11"/>
      <x:c r="G662" s="11" t="n">
        <x:v>1851445</x:v>
      </x:c>
      <x:c r="H662" s="11" t="n">
        <x:v>0</x:v>
      </x:c>
      <x:c r="I662" s="11" t="n">
        <x:v>1851445</x:v>
      </x:c>
      <x:c r="J662" s="11"/>
      <x:c r="K662" s="12" t="n">
        <x:v>1</x:v>
      </x:c>
      <x:c r="L662" s="12"/>
      <x:c r="M662" s="8" t="str">
        <x:v>N/A</x:v>
      </x:c>
    </x:row>
    <x:row r="663">
      <x:c r="A663" s="8" t="str">
        <x:v>Kaslo|Buildings</x:v>
      </x:c>
      <x:c r="B663" s="8" t="str">
        <x:v>kaslo-v</x:v>
      </x:c>
      <x:c r="C663" s="8" t="str">
        <x:v>Kaslo</x:v>
      </x:c>
      <x:c r="D663" s="8" t="str">
        <x:v>Buildings</x:v>
      </x:c>
      <x:c r="E663" s="11" t="n">
        <x:v>4328127</x:v>
      </x:c>
      <x:c r="F663" s="11" t="n">
        <x:v>2521448</x:v>
      </x:c>
      <x:c r="G663" s="11" t="n">
        <x:v>1806679</x:v>
      </x:c>
      <x:c r="H663" s="11" t="n">
        <x:v>74961</x:v>
      </x:c>
      <x:c r="I663" s="11" t="n">
        <x:v>24054875</x:v>
      </x:c>
      <x:c r="J663" s="11" t="n">
        <x:v>320732</x:v>
      </x:c>
      <x:c r="K663" s="12" t="n">
        <x:v>0.4174274460985087</x:v>
      </x:c>
      <x:c r="L663" s="12" t="n">
        <x:v>0.9866666528094618</x:v>
      </x:c>
      <x:c r="M663" s="8" t="str">
        <x:v>In_Progress</x:v>
      </x:c>
    </x:row>
    <x:row r="664">
      <x:c r="A664" s="8" t="str">
        <x:v>Kaslo|Fleet</x:v>
      </x:c>
      <x:c r="B664" s="8" t="str">
        <x:v>kaslo-v</x:v>
      </x:c>
      <x:c r="C664" s="8" t="str">
        <x:v>Kaslo</x:v>
      </x:c>
      <x:c r="D664" s="8" t="str">
        <x:v>Fleet</x:v>
      </x:c>
      <x:c r="E664" s="11" t="n">
        <x:v>1195571</x:v>
      </x:c>
      <x:c r="F664" s="11" t="n">
        <x:v>806979</x:v>
      </x:c>
      <x:c r="G664" s="11" t="n">
        <x:v>388592</x:v>
      </x:c>
      <x:c r="H664" s="11" t="n">
        <x:v>11452</x:v>
      </x:c>
      <x:c r="I664" s="11" t="n">
        <x:v>1811188</x:v>
      </x:c>
      <x:c r="J664" s="11" t="n">
        <x:v>90559</x:v>
      </x:c>
      <x:c r="K664" s="12" t="n">
        <x:v>0.32502628451175214</x:v>
      </x:c>
      <x:c r="L664" s="12" t="n">
        <x:v>0.9500002208495197</x:v>
      </x:c>
      <x:c r="M664" s="8" t="str">
        <x:v>In_Progress</x:v>
      </x:c>
    </x:row>
    <x:row r="665">
      <x:c r="A665" s="8" t="str">
        <x:v>Kaslo|Parks and Recreation</x:v>
      </x:c>
      <x:c r="B665" s="8" t="str">
        <x:v>kaslo-v</x:v>
      </x:c>
      <x:c r="C665" s="8" t="str">
        <x:v>Kaslo</x:v>
      </x:c>
      <x:c r="D665" s="8" t="str">
        <x:v>Parks and Recreation</x:v>
      </x:c>
      <x:c r="E665" s="11" t="n">
        <x:v>1185936</x:v>
      </x:c>
      <x:c r="F665" s="11" t="n">
        <x:v>598562</x:v>
      </x:c>
      <x:c r="G665" s="11" t="n">
        <x:v>587374</x:v>
      </x:c>
      <x:c r="H665" s="11" t="n">
        <x:v>74200</x:v>
      </x:c>
      <x:c r="I665" s="11" t="n">
        <x:v>4130426</x:v>
      </x:c>
      <x:c r="J665" s="11" t="n">
        <x:v>85682</x:v>
      </x:c>
      <x:c r="K665" s="12" t="n">
        <x:v>0.49528305068738954</x:v>
      </x:c>
      <x:c r="L665" s="12" t="n">
        <x:v>0.9792558927335825</x:v>
      </x:c>
      <x:c r="M665" s="8" t="str">
        <x:v>In_Progress</x:v>
      </x:c>
    </x:row>
    <x:row r="666">
      <x:c r="A666" s="8" t="str">
        <x:v>Kaslo|Water System</x:v>
      </x:c>
      <x:c r="B666" s="8" t="str">
        <x:v>kaslo-v</x:v>
      </x:c>
      <x:c r="C666" s="8" t="str">
        <x:v>Kaslo</x:v>
      </x:c>
      <x:c r="D666" s="8" t="str">
        <x:v>Water System</x:v>
      </x:c>
      <x:c r="E666" s="11" t="n">
        <x:v>6585091</x:v>
      </x:c>
      <x:c r="F666" s="11" t="n">
        <x:v>3731083</x:v>
      </x:c>
      <x:c r="G666" s="11" t="n">
        <x:v>2854008</x:v>
      </x:c>
      <x:c r="H666" s="11" t="n">
        <x:v>155644</x:v>
      </x:c>
      <x:c r="I666" s="11" t="n">
        <x:v>29999184</x:v>
      </x:c>
      <x:c r="J666" s="11" t="n">
        <x:v>599984</x:v>
      </x:c>
      <x:c r="K666" s="12" t="n">
        <x:v>0.4334044890192102</x:v>
      </x:c>
      <x:c r="L666" s="12" t="n">
        <x:v>0.9799999893330432</x:v>
      </x:c>
      <x:c r="M666" s="8" t="str">
        <x:v>In_Progress</x:v>
      </x:c>
    </x:row>
    <x:row r="667">
      <x:c r="A667" s="8" t="str">
        <x:v>Kaslo|Sewer System</x:v>
      </x:c>
      <x:c r="B667" s="8" t="str">
        <x:v>kaslo-v</x:v>
      </x:c>
      <x:c r="C667" s="8" t="str">
        <x:v>Kaslo</x:v>
      </x:c>
      <x:c r="D667" s="8" t="str">
        <x:v>Sewer System</x:v>
      </x:c>
      <x:c r="E667" s="11" t="n">
        <x:v>3216455</x:v>
      </x:c>
      <x:c r="F667" s="11" t="n">
        <x:v>1403375</x:v>
      </x:c>
      <x:c r="G667" s="11" t="n">
        <x:v>1813080</x:v>
      </x:c>
      <x:c r="H667" s="11" t="n">
        <x:v>0</x:v>
      </x:c>
      <x:c r="I667" s="11" t="n">
        <x:v>11444353</x:v>
      </x:c>
      <x:c r="J667" s="11" t="n">
        <x:v>228887</x:v>
      </x:c>
      <x:c r="K667" s="12" t="n">
        <x:v>0.5636889059539151</x:v>
      </x:c>
      <x:c r="L667" s="12" t="n">
        <x:v>0.9800000052427603</x:v>
      </x:c>
      <x:c r="M667" s="8" t="str">
        <x:v>In_Progress</x:v>
      </x:c>
    </x:row>
    <x:row r="668">
      <x:c r="A668" s="8" t="str">
        <x:v>Kaslo|Drainage System</x:v>
      </x:c>
      <x:c r="B668" s="8" t="str">
        <x:v>kaslo-v</x:v>
      </x:c>
      <x:c r="C668" s="8" t="str">
        <x:v>Kaslo</x:v>
      </x:c>
      <x:c r="D668" s="8" t="str">
        <x:v>Drainage System</x:v>
      </x:c>
      <x:c r="E668" s="11" t="n">
        <x:v>0</x:v>
      </x:c>
      <x:c r="F668" s="11" t="n">
        <x:v>0</x:v>
      </x:c>
      <x:c r="G668" s="11" t="n">
        <x:v>0</x:v>
      </x:c>
      <x:c r="H668" s="11" t="n">
        <x:v>0</x:v>
      </x:c>
      <x:c r="I668" s="11" t="n">
        <x:v>1444675</x:v>
      </x:c>
      <x:c r="J668" s="11" t="n">
        <x:v>28834</x:v>
      </x:c>
      <x:c r="K668" s="12"/>
      <x:c r="L668" s="12" t="n">
        <x:v>0.9800411857338156</x:v>
      </x:c>
      <x:c r="M668" s="8" t="str">
        <x:v>In_Progress</x:v>
      </x:c>
    </x:row>
    <x:row r="669">
      <x:c r="A669" s="8" t="str">
        <x:v>Kaslo|Transportation System</x:v>
      </x:c>
      <x:c r="B669" s="8" t="str">
        <x:v>kaslo-v</x:v>
      </x:c>
      <x:c r="C669" s="8" t="str">
        <x:v>Kaslo</x:v>
      </x:c>
      <x:c r="D669" s="8" t="str">
        <x:v>Transportation System</x:v>
      </x:c>
      <x:c r="E669" s="11" t="n">
        <x:v>1566693</x:v>
      </x:c>
      <x:c r="F669" s="11" t="n">
        <x:v>880042</x:v>
      </x:c>
      <x:c r="G669" s="11" t="n">
        <x:v>686651</x:v>
      </x:c>
      <x:c r="H669" s="11" t="n">
        <x:v>15500</x:v>
      </x:c>
      <x:c r="I669" s="11" t="n">
        <x:v>7596761</x:v>
      </x:c>
      <x:c r="J669" s="11" t="n">
        <x:v>302418</x:v>
      </x:c>
      <x:c r="K669" s="12" t="n">
        <x:v>0.43828050549788633</x:v>
      </x:c>
      <x:c r="L669" s="12" t="n">
        <x:v>0.9601911920093313</x:v>
      </x:c>
      <x:c r="M669" s="8" t="str">
        <x:v>In_Progress</x:v>
      </x:c>
    </x:row>
    <x:row r="670">
      <x:c r="A670" s="8" t="str">
        <x:v>Kaslo|Other Engineering Systems</x:v>
      </x:c>
      <x:c r="B670" s="8" t="str">
        <x:v>kaslo-v</x:v>
      </x:c>
      <x:c r="C670" s="8" t="str">
        <x:v>Kaslo</x:v>
      </x:c>
      <x:c r="D670" s="8" t="str">
        <x:v>Other Engineering Systems</x:v>
      </x:c>
      <x:c r="E670" s="11" t="n">
        <x:v>11</x:v>
      </x:c>
      <x:c r="F670" s="11" t="n">
        <x:v>0</x:v>
      </x:c>
      <x:c r="G670" s="11" t="n">
        <x:v>11</x:v>
      </x:c>
      <x:c r="H670" s="11" t="n">
        <x:v>0</x:v>
      </x:c>
      <x:c r="I670" s="11" t="n">
        <x:v>4604400</x:v>
      </x:c>
      <x:c r="J670" s="11" t="n">
        <x:v>184160</x:v>
      </x:c>
      <x:c r="K670" s="12" t="n">
        <x:v>1</x:v>
      </x:c>
      <x:c r="L670" s="12" t="n">
        <x:v>0.9600034749370168</x:v>
      </x:c>
      <x:c r="M670" s="8" t="str">
        <x:v>In_Progress</x:v>
      </x:c>
    </x:row>
    <x:row r="671">
      <x:c r="A671" s="8" t="str">
        <x:v>Kaslo|Other Tangible Capital Assets</x:v>
      </x:c>
      <x:c r="B671" s="8" t="str">
        <x:v>kaslo-v</x:v>
      </x:c>
      <x:c r="C671" s="8" t="str">
        <x:v>Kaslo</x:v>
      </x:c>
      <x:c r="D671" s="8" t="str">
        <x:v>Other Tangible Capital Assets</x:v>
      </x:c>
      <x:c r="E671" s="11" t="n">
        <x:v>0</x:v>
      </x:c>
      <x:c r="F671" s="11" t="n">
        <x:v>0</x:v>
      </x:c>
      <x:c r="G671" s="11" t="n">
        <x:v>0</x:v>
      </x:c>
      <x:c r="H671" s="11" t="n">
        <x:v>0</x:v>
      </x:c>
      <x:c r="I671" s="11" t="n">
        <x:v>0</x:v>
      </x:c>
      <x:c r="J671" s="11" t="n">
        <x:v>0</x:v>
      </x:c>
      <x:c r="K671" s="12"/>
      <x:c r="L671" s="12"/>
      <x:c r="M671" s="8" t="str">
        <x:v>N/A</x:v>
      </x:c>
    </x:row>
    <x:row r="672">
      <x:c r="A672" s="8" t="str">
        <x:v>Kaslo|Work In Progress</x:v>
      </x:c>
      <x:c r="B672" s="8" t="str">
        <x:v>kaslo-v</x:v>
      </x:c>
      <x:c r="C672" s="8" t="str">
        <x:v>Kaslo</x:v>
      </x:c>
      <x:c r="D672" s="8" t="str">
        <x:v>Work In Progress</x:v>
      </x:c>
      <x:c r="E672" s="11" t="n">
        <x:v>0</x:v>
      </x:c>
      <x:c r="F672" s="11"/>
      <x:c r="G672" s="11" t="n">
        <x:v>0</x:v>
      </x:c>
      <x:c r="H672" s="11" t="n">
        <x:v>0</x:v>
      </x:c>
      <x:c r="I672" s="11" t="n">
        <x:v>0</x:v>
      </x:c>
      <x:c r="J672" s="11"/>
      <x:c r="K672" s="12"/>
      <x:c r="L672" s="12"/>
      <x:c r="M672" s="8" t="str">
        <x:v>N/A</x:v>
      </x:c>
    </x:row>
    <x:row r="673">
      <x:c r="A673" s="8" t="str">
        <x:v>Kaslo|Total TCA</x:v>
      </x:c>
      <x:c r="B673" s="8" t="str">
        <x:v>kaslo-v</x:v>
      </x:c>
      <x:c r="C673" s="8" t="str">
        <x:v>Kaslo</x:v>
      </x:c>
      <x:c r="D673" s="8" t="str">
        <x:v>Total TCA</x:v>
      </x:c>
      <x:c r="E673" s="11" t="n">
        <x:v>19929329</x:v>
      </x:c>
      <x:c r="F673" s="11" t="n">
        <x:v>9941489</x:v>
      </x:c>
      <x:c r="G673" s="11" t="n">
        <x:v>9987840</x:v>
      </x:c>
      <x:c r="H673" s="11" t="n">
        <x:v>331757</x:v>
      </x:c>
      <x:c r="I673" s="11" t="n">
        <x:v>86937307</x:v>
      </x:c>
      <x:c r="J673" s="11" t="n">
        <x:v>1841256</x:v>
      </x:c>
      <x:c r="K673" s="12" t="n">
        <x:v>0.5011628841091439</x:v>
      </x:c>
      <x:c r="L673" s="12" t="n">
        <x:v>0.9788208760595725</x:v>
      </x:c>
      <x:c r="M673" s="8"/>
    </x:row>
    <x:row r="674">
      <x:c r="A674" s="8" t="str">
        <x:v>Kelowna|Land</x:v>
      </x:c>
      <x:c r="B674" s="8" t="str">
        <x:v>kelowna-c</x:v>
      </x:c>
      <x:c r="C674" s="8" t="str">
        <x:v>Kelowna</x:v>
      </x:c>
      <x:c r="D674" s="8" t="str">
        <x:v>Land</x:v>
      </x:c>
      <x:c r="E674" s="11" t="n">
        <x:v>453979355</x:v>
      </x:c>
      <x:c r="F674" s="11"/>
      <x:c r="G674" s="11" t="n">
        <x:v>453979355</x:v>
      </x:c>
      <x:c r="H674" s="11" t="n">
        <x:v>46793797</x:v>
      </x:c>
      <x:c r="I674" s="11" t="n">
        <x:v>453979355</x:v>
      </x:c>
      <x:c r="J674" s="11"/>
      <x:c r="K674" s="12" t="n">
        <x:v>1</x:v>
      </x:c>
      <x:c r="L674" s="12"/>
      <x:c r="M674" s="8" t="str">
        <x:v>N/A</x:v>
      </x:c>
    </x:row>
    <x:row r="675">
      <x:c r="A675" s="8" t="str">
        <x:v>Kelowna|Buildings</x:v>
      </x:c>
      <x:c r="B675" s="8" t="str">
        <x:v>kelowna-c</x:v>
      </x:c>
      <x:c r="C675" s="8" t="str">
        <x:v>Kelowna</x:v>
      </x:c>
      <x:c r="D675" s="8" t="str">
        <x:v>Buildings</x:v>
      </x:c>
      <x:c r="E675" s="11" t="n">
        <x:v>454360360</x:v>
      </x:c>
      <x:c r="F675" s="11" t="n">
        <x:v>215250627</x:v>
      </x:c>
      <x:c r="G675" s="11" t="n">
        <x:v>239109733</x:v>
      </x:c>
      <x:c r="H675" s="11" t="n">
        <x:v>8497321</x:v>
      </x:c>
      <x:c r="I675" s="11" t="n">
        <x:v>1615116089</x:v>
      </x:c>
      <x:c r="J675" s="11" t="n">
        <x:v>59423412</x:v>
      </x:c>
      <x:c r="K675" s="12" t="n">
        <x:v>0.526255708134398</x:v>
      </x:c>
      <x:c r="L675" s="12" t="n">
        <x:v>0.9632079623225152</x:v>
      </x:c>
      <x:c r="M675" s="8" t="str">
        <x:v>Yes</x:v>
      </x:c>
    </x:row>
    <x:row r="676">
      <x:c r="A676" s="8" t="str">
        <x:v>Kelowna|Fleet</x:v>
      </x:c>
      <x:c r="B676" s="8" t="str">
        <x:v>kelowna-c</x:v>
      </x:c>
      <x:c r="C676" s="8" t="str">
        <x:v>Kelowna</x:v>
      </x:c>
      <x:c r="D676" s="8" t="str">
        <x:v>Fleet</x:v>
      </x:c>
      <x:c r="E676" s="11" t="n">
        <x:v>139934481</x:v>
      </x:c>
      <x:c r="F676" s="11" t="n">
        <x:v>84476327</x:v>
      </x:c>
      <x:c r="G676" s="11" t="n">
        <x:v>55458154</x:v>
      </x:c>
      <x:c r="H676" s="11" t="n">
        <x:v>4746114</x:v>
      </x:c>
      <x:c r="I676" s="11" t="n">
        <x:v>82922601</x:v>
      </x:c>
      <x:c r="J676" s="11" t="n">
        <x:v>7653622</x:v>
      </x:c>
      <x:c r="K676" s="12" t="n">
        <x:v>0.3963151440851808</x:v>
      </x:c>
      <x:c r="L676" s="12" t="n">
        <x:v>0.9077016168366451</x:v>
      </x:c>
      <x:c r="M676" s="8" t="str">
        <x:v>Yes</x:v>
      </x:c>
    </x:row>
    <x:row r="677">
      <x:c r="A677" s="8" t="str">
        <x:v>Kelowna|Parks and Recreation</x:v>
      </x:c>
      <x:c r="B677" s="8" t="str">
        <x:v>kelowna-c</x:v>
      </x:c>
      <x:c r="C677" s="8" t="str">
        <x:v>Kelowna</x:v>
      </x:c>
      <x:c r="D677" s="8" t="str">
        <x:v>Parks and Recreation</x:v>
      </x:c>
      <x:c r="E677" s="11" t="n">
        <x:v>155259348</x:v>
      </x:c>
      <x:c r="F677" s="11" t="n">
        <x:v>79057239</x:v>
      </x:c>
      <x:c r="G677" s="11" t="n">
        <x:v>76202109</x:v>
      </x:c>
      <x:c r="H677" s="11" t="n">
        <x:v>3519567</x:v>
      </x:c>
      <x:c r="I677" s="11" t="n">
        <x:v>304867635</x:v>
      </x:c>
      <x:c r="J677" s="11" t="n">
        <x:v>13068981</x:v>
      </x:c>
      <x:c r="K677" s="12" t="n">
        <x:v>0.4908052879366723</x:v>
      </x:c>
      <x:c r="L677" s="12" t="n">
        <x:v>0.9571322780786488</x:v>
      </x:c>
      <x:c r="M677" s="8" t="str">
        <x:v>Yes</x:v>
      </x:c>
    </x:row>
    <x:row r="678">
      <x:c r="A678" s="8" t="str">
        <x:v>Kelowna|Water System</x:v>
      </x:c>
      <x:c r="B678" s="8" t="str">
        <x:v>kelowna-c</x:v>
      </x:c>
      <x:c r="C678" s="8" t="str">
        <x:v>Kelowna</x:v>
      </x:c>
      <x:c r="D678" s="8" t="str">
        <x:v>Water System</x:v>
      </x:c>
      <x:c r="E678" s="11" t="n">
        <x:v>412807591</x:v>
      </x:c>
      <x:c r="F678" s="11" t="n">
        <x:v>153392867</x:v>
      </x:c>
      <x:c r="G678" s="11" t="n">
        <x:v>259414724</x:v>
      </x:c>
      <x:c r="H678" s="11" t="n">
        <x:v>4695000</x:v>
      </x:c>
      <x:c r="I678" s="11" t="n">
        <x:v>990649497</x:v>
      </x:c>
      <x:c r="J678" s="11" t="n">
        <x:v>14161780</x:v>
      </x:c>
      <x:c r="K678" s="12" t="n">
        <x:v>0.6284155855070019</x:v>
      </x:c>
      <x:c r="L678" s="12" t="n">
        <x:v>0.9857045503552101</x:v>
      </x:c>
      <x:c r="M678" s="8" t="str">
        <x:v>Yes</x:v>
      </x:c>
    </x:row>
    <x:row r="679">
      <x:c r="A679" s="8" t="str">
        <x:v>Kelowna|Sewer System</x:v>
      </x:c>
      <x:c r="B679" s="8" t="str">
        <x:v>kelowna-c</x:v>
      </x:c>
      <x:c r="C679" s="8" t="str">
        <x:v>Kelowna</x:v>
      </x:c>
      <x:c r="D679" s="8" t="str">
        <x:v>Sewer System</x:v>
      </x:c>
      <x:c r="E679" s="11" t="n">
        <x:v>664293544</x:v>
      </x:c>
      <x:c r="F679" s="11" t="n">
        <x:v>277642424</x:v>
      </x:c>
      <x:c r="G679" s="11" t="n">
        <x:v>386651120</x:v>
      </x:c>
      <x:c r="H679" s="11" t="n">
        <x:v>4049704</x:v>
      </x:c>
      <x:c r="I679" s="11" t="n">
        <x:v>1122248076</x:v>
      </x:c>
      <x:c r="J679" s="11" t="n">
        <x:v>20040331</x:v>
      </x:c>
      <x:c r="K679" s="12" t="n">
        <x:v>0.5820485890496626</x:v>
      </x:c>
      <x:c r="L679" s="12" t="n">
        <x:v>0.9821426907039759</x:v>
      </x:c>
      <x:c r="M679" s="8" t="str">
        <x:v>Yes</x:v>
      </x:c>
    </x:row>
    <x:row r="680">
      <x:c r="A680" s="8" t="str">
        <x:v>Kelowna|Drainage System</x:v>
      </x:c>
      <x:c r="B680" s="8" t="str">
        <x:v>kelowna-c</x:v>
      </x:c>
      <x:c r="C680" s="8" t="str">
        <x:v>Kelowna</x:v>
      </x:c>
      <x:c r="D680" s="8" t="str">
        <x:v>Drainage System</x:v>
      </x:c>
      <x:c r="E680" s="11" t="n">
        <x:v>292361117</x:v>
      </x:c>
      <x:c r="F680" s="11" t="n">
        <x:v>130984824</x:v>
      </x:c>
      <x:c r="G680" s="11" t="n">
        <x:v>161376293</x:v>
      </x:c>
      <x:c r="H680" s="11" t="n">
        <x:v>3589400</x:v>
      </x:c>
      <x:c r="I680" s="11" t="n">
        <x:v>444562626</x:v>
      </x:c>
      <x:c r="J680" s="11" t="n">
        <x:v>5565323</x:v>
      </x:c>
      <x:c r="K680" s="12" t="n">
        <x:v>0.5519759079316967</x:v>
      </x:c>
      <x:c r="L680" s="12" t="n">
        <x:v>0.9874813520648944</x:v>
      </x:c>
      <x:c r="M680" s="8" t="str">
        <x:v>Yes</x:v>
      </x:c>
    </x:row>
    <x:row r="681">
      <x:c r="A681" s="8" t="str">
        <x:v>Kelowna|Transportation System</x:v>
      </x:c>
      <x:c r="B681" s="8" t="str">
        <x:v>kelowna-c</x:v>
      </x:c>
      <x:c r="C681" s="8" t="str">
        <x:v>Kelowna</x:v>
      </x:c>
      <x:c r="D681" s="8" t="str">
        <x:v>Transportation System</x:v>
      </x:c>
      <x:c r="E681" s="11" t="n">
        <x:v>836711525</x:v>
      </x:c>
      <x:c r="F681" s="11" t="n">
        <x:v>497704400</x:v>
      </x:c>
      <x:c r="G681" s="11" t="n">
        <x:v>339007125</x:v>
      </x:c>
      <x:c r="H681" s="11" t="n">
        <x:v>19213186</x:v>
      </x:c>
      <x:c r="I681" s="11" t="n">
        <x:v>1027651970</x:v>
      </x:c>
      <x:c r="J681" s="11" t="n">
        <x:v>24666979</x:v>
      </x:c>
      <x:c r="K681" s="12" t="n">
        <x:v>0.40516607560771917</x:v>
      </x:c>
      <x:c r="L681" s="12" t="n">
        <x:v>0.9759967579296326</x:v>
      </x:c>
      <x:c r="M681" s="8" t="str">
        <x:v>Yes</x:v>
      </x:c>
    </x:row>
    <x:row r="682">
      <x:c r="A682" s="8" t="str">
        <x:v>Kelowna|Other Engineering Systems</x:v>
      </x:c>
      <x:c r="B682" s="8" t="str">
        <x:v>kelowna-c</x:v>
      </x:c>
      <x:c r="C682" s="8" t="str">
        <x:v>Kelowna</x:v>
      </x:c>
      <x:c r="D682" s="8" t="str">
        <x:v>Other Engineering Systems</x:v>
      </x:c>
      <x:c r="E682" s="11" t="n">
        <x:v>179090518</x:v>
      </x:c>
      <x:c r="F682" s="11" t="n">
        <x:v>73208376</x:v>
      </x:c>
      <x:c r="G682" s="11" t="n">
        <x:v>105882142</x:v>
      </x:c>
      <x:c r="H682" s="11" t="n">
        <x:v>7540627</x:v>
      </x:c>
      <x:c r="I682" s="11" t="n">
        <x:v>0</x:v>
      </x:c>
      <x:c r="J682" s="11" t="n">
        <x:v>0</x:v>
      </x:c>
      <x:c r="K682" s="12" t="n">
        <x:v>0.5912213733169279</x:v>
      </x:c>
      <x:c r="L682" s="12"/>
      <x:c r="M682" s="8" t="str">
        <x:v>Yes</x:v>
      </x:c>
    </x:row>
    <x:row r="683">
      <x:c r="A683" s="8" t="str">
        <x:v>Kelowna|Other Tangible Capital Assets</x:v>
      </x:c>
      <x:c r="B683" s="8" t="str">
        <x:v>kelowna-c</x:v>
      </x:c>
      <x:c r="C683" s="8" t="str">
        <x:v>Kelowna</x:v>
      </x:c>
      <x:c r="D683" s="8" t="str">
        <x:v>Other Tangible Capital Assets</x:v>
      </x:c>
      <x:c r="E683" s="11" t="n">
        <x:v>93497154</x:v>
      </x:c>
      <x:c r="F683" s="11" t="n">
        <x:v>47464861</x:v>
      </x:c>
      <x:c r="G683" s="11" t="n">
        <x:v>46032293</x:v>
      </x:c>
      <x:c r="H683" s="11" t="n">
        <x:v>5462235</x:v>
      </x:c>
      <x:c r="I683" s="11" t="n">
        <x:v>63944753</x:v>
      </x:c>
      <x:c r="J683" s="11" t="n">
        <x:v>3381095</x:v>
      </x:c>
      <x:c r="K683" s="12" t="n">
        <x:v>0.49233897536603094</x:v>
      </x:c>
      <x:c r="L683" s="12" t="n">
        <x:v>0.9471247468889277</x:v>
      </x:c>
      <x:c r="M683" s="8" t="str">
        <x:v>N/A</x:v>
      </x:c>
    </x:row>
    <x:row r="684">
      <x:c r="A684" s="8" t="str">
        <x:v>Kelowna|Work In Progress</x:v>
      </x:c>
      <x:c r="B684" s="8" t="str">
        <x:v>kelowna-c</x:v>
      </x:c>
      <x:c r="C684" s="8" t="str">
        <x:v>Kelowna</x:v>
      </x:c>
      <x:c r="D684" s="8" t="str">
        <x:v>Work In Progress</x:v>
      </x:c>
      <x:c r="E684" s="11" t="n">
        <x:v>151103198</x:v>
      </x:c>
      <x:c r="F684" s="11"/>
      <x:c r="G684" s="11" t="n">
        <x:v>151103198</x:v>
      </x:c>
      <x:c r="H684" s="11" t="n">
        <x:v>149608073</x:v>
      </x:c>
      <x:c r="I684" s="11" t="n">
        <x:v>151103198</x:v>
      </x:c>
      <x:c r="J684" s="11"/>
      <x:c r="K684" s="12" t="n">
        <x:v>1</x:v>
      </x:c>
      <x:c r="L684" s="12"/>
      <x:c r="M684" s="8" t="str">
        <x:v>N/A</x:v>
      </x:c>
    </x:row>
    <x:row r="685">
      <x:c r="A685" s="8" t="str">
        <x:v>Kelowna|Total TCA</x:v>
      </x:c>
      <x:c r="B685" s="8" t="str">
        <x:v>kelowna-c</x:v>
      </x:c>
      <x:c r="C685" s="8" t="str">
        <x:v>Kelowna</x:v>
      </x:c>
      <x:c r="D685" s="8" t="str">
        <x:v>Total TCA</x:v>
      </x:c>
      <x:c r="E685" s="11" t="n">
        <x:v>3833398191</x:v>
      </x:c>
      <x:c r="F685" s="11" t="n">
        <x:v>1559181945</x:v>
      </x:c>
      <x:c r="G685" s="11" t="n">
        <x:v>2274216246</x:v>
      </x:c>
      <x:c r="H685" s="11" t="n">
        <x:v>257715024</x:v>
      </x:c>
      <x:c r="I685" s="11" t="n">
        <x:v>6257045800</x:v>
      </x:c>
      <x:c r="J685" s="11" t="n">
        <x:v>147961523</x:v>
      </x:c>
      <x:c r="K685" s="12" t="n">
        <x:v>0.5932637656425502</x:v>
      </x:c>
      <x:c r="L685" s="12" t="n">
        <x:v>0.9763528144543867</x:v>
      </x:c>
      <x:c r="M685" s="8"/>
    </x:row>
    <x:row r="686">
      <x:c r="A686" s="8" t="str">
        <x:v>Kent|Land</x:v>
      </x:c>
      <x:c r="B686" s="8" t="str">
        <x:v>kent-d</x:v>
      </x:c>
      <x:c r="C686" s="8" t="str">
        <x:v>Kent</x:v>
      </x:c>
      <x:c r="D686" s="8" t="str">
        <x:v>Land</x:v>
      </x:c>
      <x:c r="E686" s="11" t="n">
        <x:v>5580285</x:v>
      </x:c>
      <x:c r="F686" s="11"/>
      <x:c r="G686" s="11" t="n">
        <x:v>5580285</x:v>
      </x:c>
      <x:c r="H686" s="11" t="n">
        <x:v>0</x:v>
      </x:c>
      <x:c r="I686" s="11" t="n">
        <x:v>5580285</x:v>
      </x:c>
      <x:c r="J686" s="11"/>
      <x:c r="K686" s="12" t="n">
        <x:v>1</x:v>
      </x:c>
      <x:c r="L686" s="12"/>
      <x:c r="M686" s="8" t="str">
        <x:v>N/A</x:v>
      </x:c>
    </x:row>
    <x:row r="687">
      <x:c r="A687" s="8" t="str">
        <x:v>Kent|Buildings</x:v>
      </x:c>
      <x:c r="B687" s="8" t="str">
        <x:v>kent-d</x:v>
      </x:c>
      <x:c r="C687" s="8" t="str">
        <x:v>Kent</x:v>
      </x:c>
      <x:c r="D687" s="8" t="str">
        <x:v>Buildings</x:v>
      </x:c>
      <x:c r="E687" s="11" t="n">
        <x:v>10941376</x:v>
      </x:c>
      <x:c r="F687" s="11" t="n">
        <x:v>3882051</x:v>
      </x:c>
      <x:c r="G687" s="11" t="n">
        <x:v>7059325</x:v>
      </x:c>
      <x:c r="H687" s="11" t="n">
        <x:v>57765</x:v>
      </x:c>
      <x:c r="I687" s="11" t="n">
        <x:v>11102457</x:v>
      </x:c>
      <x:c r="J687" s="11" t="n">
        <x:v>317213</x:v>
      </x:c>
      <x:c r="K687" s="12" t="n">
        <x:v>0.64519535751262</x:v>
      </x:c>
      <x:c r="L687" s="12" t="n">
        <x:v>0.9714285765754374</x:v>
      </x:c>
      <x:c r="M687" s="8" t="str">
        <x:v>In_Progress</x:v>
      </x:c>
    </x:row>
    <x:row r="688">
      <x:c r="A688" s="8" t="str">
        <x:v>Kent|Fleet</x:v>
      </x:c>
      <x:c r="B688" s="8" t="str">
        <x:v>kent-d</x:v>
      </x:c>
      <x:c r="C688" s="8" t="str">
        <x:v>Kent</x:v>
      </x:c>
      <x:c r="D688" s="8" t="str">
        <x:v>Fleet</x:v>
      </x:c>
      <x:c r="E688" s="11" t="n">
        <x:v>5295184</x:v>
      </x:c>
      <x:c r="F688" s="11" t="n">
        <x:v>3129244</x:v>
      </x:c>
      <x:c r="G688" s="11" t="n">
        <x:v>2165940</x:v>
      </x:c>
      <x:c r="H688" s="11" t="n">
        <x:v>1103735</x:v>
      </x:c>
      <x:c r="I688" s="11" t="n">
        <x:v>5838345</x:v>
      </x:c>
      <x:c r="J688" s="11" t="n">
        <x:v>291917</x:v>
      </x:c>
      <x:c r="K688" s="12" t="n">
        <x:v>0.40903961033270986</x:v>
      </x:c>
      <x:c r="L688" s="12" t="n">
        <x:v>0.9500000428203541</x:v>
      </x:c>
      <x:c r="M688" s="8" t="str">
        <x:v>In_Progress</x:v>
      </x:c>
    </x:row>
    <x:row r="689">
      <x:c r="A689" s="8" t="str">
        <x:v>Kent|Parks and Recreation</x:v>
      </x:c>
      <x:c r="B689" s="8" t="str">
        <x:v>kent-d</x:v>
      </x:c>
      <x:c r="C689" s="8" t="str">
        <x:v>Kent</x:v>
      </x:c>
      <x:c r="D689" s="8" t="str">
        <x:v>Parks and Recreation</x:v>
      </x:c>
      <x:c r="E689" s="11" t="n">
        <x:v>2203231</x:v>
      </x:c>
      <x:c r="F689" s="11" t="n">
        <x:v>1285636</x:v>
      </x:c>
      <x:c r="G689" s="11" t="n">
        <x:v>917595</x:v>
      </x:c>
      <x:c r="H689" s="11" t="n">
        <x:v>287090</x:v>
      </x:c>
      <x:c r="I689" s="11" t="n">
        <x:v>1157919</x:v>
      </x:c>
      <x:c r="J689" s="11" t="n">
        <x:v>46317</x:v>
      </x:c>
      <x:c r="K689" s="12" t="n">
        <x:v>0.4164769831216064</x:v>
      </x:c>
      <x:c r="L689" s="12" t="n">
        <x:v>0.959999792731616</x:v>
      </x:c>
      <x:c r="M689" s="8" t="str">
        <x:v>In_Progress</x:v>
      </x:c>
    </x:row>
    <x:row r="690">
      <x:c r="A690" s="8" t="str">
        <x:v>Kent|Water System</x:v>
      </x:c>
      <x:c r="B690" s="8" t="str">
        <x:v>kent-d</x:v>
      </x:c>
      <x:c r="C690" s="8" t="str">
        <x:v>Kent</x:v>
      </x:c>
      <x:c r="D690" s="8" t="str">
        <x:v>Water System</x:v>
      </x:c>
      <x:c r="E690" s="11" t="n">
        <x:v>12441601</x:v>
      </x:c>
      <x:c r="F690" s="11" t="n">
        <x:v>5217174</x:v>
      </x:c>
      <x:c r="G690" s="11" t="n">
        <x:v>7224427</x:v>
      </x:c>
      <x:c r="H690" s="11" t="n">
        <x:v>110844</x:v>
      </x:c>
      <x:c r="I690" s="11" t="n">
        <x:v>12335489</x:v>
      </x:c>
      <x:c r="J690" s="11" t="n">
        <x:v>352443</x:v>
      </x:c>
      <x:c r="K690" s="12" t="n">
        <x:v>0.5806669897226249</x:v>
      </x:c>
      <x:c r="L690" s="12" t="n">
        <x:v>0.9714285343694117</x:v>
      </x:c>
      <x:c r="M690" s="8" t="str">
        <x:v>In_Progress</x:v>
      </x:c>
    </x:row>
    <x:row r="691">
      <x:c r="A691" s="8" t="str">
        <x:v>Kent|Sewer System</x:v>
      </x:c>
      <x:c r="B691" s="8" t="str">
        <x:v>kent-d</x:v>
      </x:c>
      <x:c r="C691" s="8" t="str">
        <x:v>Kent</x:v>
      </x:c>
      <x:c r="D691" s="8" t="str">
        <x:v>Sewer System</x:v>
      </x:c>
      <x:c r="E691" s="11" t="n">
        <x:v>17253102</x:v>
      </x:c>
      <x:c r="F691" s="11" t="n">
        <x:v>6680006</x:v>
      </x:c>
      <x:c r="G691" s="11" t="n">
        <x:v>10573096</x:v>
      </x:c>
      <x:c r="H691" s="11" t="n">
        <x:v>272866</x:v>
      </x:c>
      <x:c r="I691" s="11" t="n">
        <x:v>24128546</x:v>
      </x:c>
      <x:c r="J691" s="11" t="n">
        <x:v>689387</x:v>
      </x:c>
      <x:c r="K691" s="12" t="n">
        <x:v>0.612822899905188</x:v>
      </x:c>
      <x:c r="L691" s="12" t="n">
        <x:v>0.9714285726127053</x:v>
      </x:c>
      <x:c r="M691" s="8" t="str">
        <x:v>In_Progress</x:v>
      </x:c>
    </x:row>
    <x:row r="692">
      <x:c r="A692" s="8" t="str">
        <x:v>Kent|Drainage System</x:v>
      </x:c>
      <x:c r="B692" s="8" t="str">
        <x:v>kent-d</x:v>
      </x:c>
      <x:c r="C692" s="8" t="str">
        <x:v>Kent</x:v>
      </x:c>
      <x:c r="D692" s="8" t="str">
        <x:v>Drainage System</x:v>
      </x:c>
      <x:c r="E692" s="11" t="n">
        <x:v>4384070</x:v>
      </x:c>
      <x:c r="F692" s="11" t="n">
        <x:v>2667958</x:v>
      </x:c>
      <x:c r="G692" s="11" t="n">
        <x:v>1716112</x:v>
      </x:c>
      <x:c r="H692" s="11" t="n">
        <x:v>0</x:v>
      </x:c>
      <x:c r="I692" s="11" t="n">
        <x:v>10523094</x:v>
      </x:c>
      <x:c r="J692" s="11" t="n">
        <x:v>263077</x:v>
      </x:c>
      <x:c r="K692" s="12" t="n">
        <x:v>0.3914426548846163</x:v>
      </x:c>
      <x:c r="L692" s="12" t="n">
        <x:v>0.9750000332601799</x:v>
      </x:c>
      <x:c r="M692" s="8" t="str">
        <x:v>In_Progress</x:v>
      </x:c>
    </x:row>
    <x:row r="693">
      <x:c r="A693" s="8" t="str">
        <x:v>Kent|Transportation System</x:v>
      </x:c>
      <x:c r="B693" s="8" t="str">
        <x:v>kent-d</x:v>
      </x:c>
      <x:c r="C693" s="8" t="str">
        <x:v>Kent</x:v>
      </x:c>
      <x:c r="D693" s="8" t="str">
        <x:v>Transportation System</x:v>
      </x:c>
      <x:c r="E693" s="11" t="n">
        <x:v>20842962</x:v>
      </x:c>
      <x:c r="F693" s="11" t="n">
        <x:v>11865083</x:v>
      </x:c>
      <x:c r="G693" s="11" t="n">
        <x:v>8977879</x:v>
      </x:c>
      <x:c r="H693" s="11" t="n">
        <x:v>1093944</x:v>
      </x:c>
      <x:c r="I693" s="11" t="n">
        <x:v>29732194</x:v>
      </x:c>
      <x:c r="J693" s="11" t="n">
        <x:v>206617</x:v>
      </x:c>
      <x:c r="K693" s="12" t="n">
        <x:v>0.4307391147189157</x:v>
      </x:c>
      <x:c r="L693" s="12" t="n">
        <x:v>0.9930507314730961</x:v>
      </x:c>
      <x:c r="M693" s="8" t="str">
        <x:v>In_Progress</x:v>
      </x:c>
    </x:row>
    <x:row r="694">
      <x:c r="A694" s="8" t="str">
        <x:v>Kent|Other Engineering Systems</x:v>
      </x:c>
      <x:c r="B694" s="8" t="str">
        <x:v>kent-d</x:v>
      </x:c>
      <x:c r="C694" s="8" t="str">
        <x:v>Kent</x:v>
      </x:c>
      <x:c r="D694" s="8" t="str">
        <x:v>Other Engineering Systems</x:v>
      </x:c>
      <x:c r="E694" s="11" t="n">
        <x:v>11164456</x:v>
      </x:c>
      <x:c r="F694" s="11" t="n">
        <x:v>2989298</x:v>
      </x:c>
      <x:c r="G694" s="11" t="n">
        <x:v>8175158</x:v>
      </x:c>
      <x:c r="H694" s="11" t="n">
        <x:v>999917</x:v>
      </x:c>
      <x:c r="I694" s="11" t="n">
        <x:v>10524845</x:v>
      </x:c>
      <x:c r="J694" s="11" t="n">
        <x:v>300710</x:v>
      </x:c>
      <x:c r="K694" s="12" t="n">
        <x:v>0.7322486648700125</x:v>
      </x:c>
      <x:c r="L694" s="12" t="n">
        <x:v>0.9714285578552463</x:v>
      </x:c>
      <x:c r="M694" s="8" t="str">
        <x:v>In_Progress</x:v>
      </x:c>
    </x:row>
    <x:row r="695">
      <x:c r="A695" s="8" t="str">
        <x:v>Kent|Other Tangible Capital Assets</x:v>
      </x:c>
      <x:c r="B695" s="8" t="str">
        <x:v>kent-d</x:v>
      </x:c>
      <x:c r="C695" s="8" t="str">
        <x:v>Kent</x:v>
      </x:c>
      <x:c r="D695" s="8" t="str">
        <x:v>Other Tangible Capital Assets</x:v>
      </x:c>
      <x:c r="E695" s="11" t="n">
        <x:v>4110595</x:v>
      </x:c>
      <x:c r="F695" s="11" t="n">
        <x:v>1971656</x:v>
      </x:c>
      <x:c r="G695" s="11" t="n">
        <x:v>2138939</x:v>
      </x:c>
      <x:c r="H695" s="11" t="n">
        <x:v>927604</x:v>
      </x:c>
      <x:c r="I695" s="11" t="n">
        <x:v>2561544</x:v>
      </x:c>
      <x:c r="J695" s="11" t="n">
        <x:v>128077</x:v>
      </x:c>
      <x:c r="K695" s="12" t="n">
        <x:v>0.5203477842015573</x:v>
      </x:c>
      <x:c r="L695" s="12" t="n">
        <x:v>0.9500000780779092</x:v>
      </x:c>
      <x:c r="M695" s="8" t="str">
        <x:v>N/A</x:v>
      </x:c>
    </x:row>
    <x:row r="696">
      <x:c r="A696" s="8" t="str">
        <x:v>Kent|Work In Progress</x:v>
      </x:c>
      <x:c r="B696" s="8" t="str">
        <x:v>kent-d</x:v>
      </x:c>
      <x:c r="C696" s="8" t="str">
        <x:v>Kent</x:v>
      </x:c>
      <x:c r="D696" s="8" t="str">
        <x:v>Work In Progress</x:v>
      </x:c>
      <x:c r="E696" s="11" t="n">
        <x:v>6382387</x:v>
      </x:c>
      <x:c r="F696" s="11"/>
      <x:c r="G696" s="11" t="n">
        <x:v>6382387</x:v>
      </x:c>
      <x:c r="H696" s="11" t="n">
        <x:v>5129008</x:v>
      </x:c>
      <x:c r="I696" s="11" t="n">
        <x:v>6382387</x:v>
      </x:c>
      <x:c r="J696" s="11"/>
      <x:c r="K696" s="12" t="n">
        <x:v>1</x:v>
      </x:c>
      <x:c r="L696" s="12"/>
      <x:c r="M696" s="8" t="str">
        <x:v>N/A</x:v>
      </x:c>
    </x:row>
    <x:row r="697">
      <x:c r="A697" s="8" t="str">
        <x:v>Kent|Total TCA</x:v>
      </x:c>
      <x:c r="B697" s="8" t="str">
        <x:v>kent-d</x:v>
      </x:c>
      <x:c r="C697" s="8" t="str">
        <x:v>Kent</x:v>
      </x:c>
      <x:c r="D697" s="8" t="str">
        <x:v>Total TCA</x:v>
      </x:c>
      <x:c r="E697" s="11" t="n">
        <x:v>100599249</x:v>
      </x:c>
      <x:c r="F697" s="11" t="n">
        <x:v>39688106</x:v>
      </x:c>
      <x:c r="G697" s="11" t="n">
        <x:v>60911143</x:v>
      </x:c>
      <x:c r="H697" s="11" t="n">
        <x:v>9982773</x:v>
      </x:c>
      <x:c r="I697" s="11" t="n">
        <x:v>119867105</x:v>
      </x:c>
      <x:c r="J697" s="11" t="n">
        <x:v>2595758</x:v>
      </x:c>
      <x:c r="K697" s="12" t="n">
        <x:v>0.605483078705687</x:v>
      </x:c>
      <x:c r="L697" s="12" t="n">
        <x:v>0.9783447009919861</x:v>
      </x:c>
      <x:c r="M697" s="8"/>
    </x:row>
    <x:row r="698">
      <x:c r="A698" s="8" t="str">
        <x:v>Keremeos|Land</x:v>
      </x:c>
      <x:c r="B698" s="8" t="str">
        <x:v>keremeos-v</x:v>
      </x:c>
      <x:c r="C698" s="8" t="str">
        <x:v>Keremeos</x:v>
      </x:c>
      <x:c r="D698" s="8" t="str">
        <x:v>Land</x:v>
      </x:c>
      <x:c r="E698" s="11" t="n">
        <x:v>738994</x:v>
      </x:c>
      <x:c r="F698" s="11"/>
      <x:c r="G698" s="11" t="n">
        <x:v>738994</x:v>
      </x:c>
      <x:c r="H698" s="11" t="n">
        <x:v>159493</x:v>
      </x:c>
      <x:c r="I698" s="11" t="n">
        <x:v>738994</x:v>
      </x:c>
      <x:c r="J698" s="11"/>
      <x:c r="K698" s="12" t="n">
        <x:v>1</x:v>
      </x:c>
      <x:c r="L698" s="12"/>
      <x:c r="M698" s="8" t="str">
        <x:v>N/A</x:v>
      </x:c>
    </x:row>
    <x:row r="699">
      <x:c r="A699" s="8" t="str">
        <x:v>Keremeos|Buildings</x:v>
      </x:c>
      <x:c r="B699" s="8" t="str">
        <x:v>keremeos-v</x:v>
      </x:c>
      <x:c r="C699" s="8" t="str">
        <x:v>Keremeos</x:v>
      </x:c>
      <x:c r="D699" s="8" t="str">
        <x:v>Buildings</x:v>
      </x:c>
      <x:c r="E699" s="11" t="n">
        <x:v>1729394</x:v>
      </x:c>
      <x:c r="F699" s="11" t="n">
        <x:v>1090036</x:v>
      </x:c>
      <x:c r="G699" s="11" t="n">
        <x:v>639358</x:v>
      </x:c>
      <x:c r="H699" s="11" t="n">
        <x:v>275434</x:v>
      </x:c>
      <x:c r="I699" s="11" t="n">
        <x:v>0</x:v>
      </x:c>
      <x:c r="J699" s="11" t="n">
        <x:v>0</x:v>
      </x:c>
      <x:c r="K699" s="12" t="n">
        <x:v>0.3697006003258945</x:v>
      </x:c>
      <x:c r="L699" s="12"/>
      <x:c r="M699" s="8" t="str">
        <x:v>Yes</x:v>
      </x:c>
    </x:row>
    <x:row r="700">
      <x:c r="A700" s="8" t="str">
        <x:v>Keremeos|Fleet</x:v>
      </x:c>
      <x:c r="B700" s="8" t="str">
        <x:v>keremeos-v</x:v>
      </x:c>
      <x:c r="C700" s="8" t="str">
        <x:v>Keremeos</x:v>
      </x:c>
      <x:c r="D700" s="8" t="str">
        <x:v>Fleet</x:v>
      </x:c>
      <x:c r="E700" s="11" t="n">
        <x:v>1179058</x:v>
      </x:c>
      <x:c r="F700" s="11" t="n">
        <x:v>783763</x:v>
      </x:c>
      <x:c r="G700" s="11" t="n">
        <x:v>395295</x:v>
      </x:c>
      <x:c r="H700" s="11" t="n">
        <x:v>136942</x:v>
      </x:c>
      <x:c r="I700" s="11" t="n">
        <x:v>0</x:v>
      </x:c>
      <x:c r="J700" s="11" t="n">
        <x:v>0</x:v>
      </x:c>
      <x:c r="K700" s="12" t="n">
        <x:v>0.3352634051929591</x:v>
      </x:c>
      <x:c r="L700" s="12"/>
      <x:c r="M700" s="8" t="str">
        <x:v>Yes</x:v>
      </x:c>
    </x:row>
    <x:row r="701">
      <x:c r="A701" s="8" t="str">
        <x:v>Keremeos|Parks and Recreation</x:v>
      </x:c>
      <x:c r="B701" s="8" t="str">
        <x:v>keremeos-v</x:v>
      </x:c>
      <x:c r="C701" s="8" t="str">
        <x:v>Keremeos</x:v>
      </x:c>
      <x:c r="D701" s="8" t="str">
        <x:v>Parks and Recreation</x:v>
      </x:c>
      <x:c r="E701" s="11" t="n">
        <x:v>784034</x:v>
      </x:c>
      <x:c r="F701" s="11" t="n">
        <x:v>421932</x:v>
      </x:c>
      <x:c r="G701" s="11" t="n">
        <x:v>362102</x:v>
      </x:c>
      <x:c r="H701" s="11" t="n">
        <x:v>0</x:v>
      </x:c>
      <x:c r="I701" s="11" t="n">
        <x:v>0</x:v>
      </x:c>
      <x:c r="J701" s="11" t="n">
        <x:v>0</x:v>
      </x:c>
      <x:c r="K701" s="12" t="n">
        <x:v>0.46184476693612775</x:v>
      </x:c>
      <x:c r="L701" s="12"/>
      <x:c r="M701" s="8" t="str">
        <x:v>Yes</x:v>
      </x:c>
    </x:row>
    <x:row r="702">
      <x:c r="A702" s="8" t="str">
        <x:v>Keremeos|Water System</x:v>
      </x:c>
      <x:c r="B702" s="8" t="str">
        <x:v>keremeos-v</x:v>
      </x:c>
      <x:c r="C702" s="8" t="str">
        <x:v>Keremeos</x:v>
      </x:c>
      <x:c r="D702" s="8" t="str">
        <x:v>Water System</x:v>
      </x:c>
      <x:c r="E702" s="11" t="n">
        <x:v>2198364</x:v>
      </x:c>
      <x:c r="F702" s="11" t="n">
        <x:v>341354</x:v>
      </x:c>
      <x:c r="G702" s="11" t="n">
        <x:v>1857010</x:v>
      </x:c>
      <x:c r="H702" s="11" t="n">
        <x:v>0</x:v>
      </x:c>
      <x:c r="I702" s="11" t="n">
        <x:v>0</x:v>
      </x:c>
      <x:c r="J702" s="11" t="n">
        <x:v>0</x:v>
      </x:c>
      <x:c r="K702" s="12" t="n">
        <x:v>0.8447236217478088</x:v>
      </x:c>
      <x:c r="L702" s="12"/>
      <x:c r="M702" s="8" t="str">
        <x:v>Yes</x:v>
      </x:c>
    </x:row>
    <x:row r="703">
      <x:c r="A703" s="8" t="str">
        <x:v>Keremeos|Sewer System</x:v>
      </x:c>
      <x:c r="B703" s="8" t="str">
        <x:v>keremeos-v</x:v>
      </x:c>
      <x:c r="C703" s="8" t="str">
        <x:v>Keremeos</x:v>
      </x:c>
      <x:c r="D703" s="8" t="str">
        <x:v>Sewer System</x:v>
      </x:c>
      <x:c r="E703" s="11" t="n">
        <x:v>10629027</x:v>
      </x:c>
      <x:c r="F703" s="11" t="n">
        <x:v>3697805</x:v>
      </x:c>
      <x:c r="G703" s="11" t="n">
        <x:v>6931222</x:v>
      </x:c>
      <x:c r="H703" s="11" t="n">
        <x:v>721894</x:v>
      </x:c>
      <x:c r="I703" s="11" t="n">
        <x:v>0</x:v>
      </x:c>
      <x:c r="J703" s="11" t="n">
        <x:v>0</x:v>
      </x:c>
      <x:c r="K703" s="12" t="n">
        <x:v>0.6521031511162781</x:v>
      </x:c>
      <x:c r="L703" s="12"/>
      <x:c r="M703" s="8" t="str">
        <x:v>Yes</x:v>
      </x:c>
    </x:row>
    <x:row r="704">
      <x:c r="A704" s="8" t="str">
        <x:v>Keremeos|Drainage System</x:v>
      </x:c>
      <x:c r="B704" s="8" t="str">
        <x:v>keremeos-v</x:v>
      </x:c>
      <x:c r="C704" s="8" t="str">
        <x:v>Keremeos</x:v>
      </x:c>
      <x:c r="D704" s="8" t="str">
        <x:v>Drainage System</x:v>
      </x:c>
      <x:c r="E704" s="11" t="n">
        <x:v>310312</x:v>
      </x:c>
      <x:c r="F704" s="11" t="n">
        <x:v>158728</x:v>
      </x:c>
      <x:c r="G704" s="11" t="n">
        <x:v>151584</x:v>
      </x:c>
      <x:c r="H704" s="11" t="n">
        <x:v>0</x:v>
      </x:c>
      <x:c r="I704" s="11" t="n">
        <x:v>0</x:v>
      </x:c>
      <x:c r="J704" s="11" t="n">
        <x:v>0</x:v>
      </x:c>
      <x:c r="K704" s="12" t="n">
        <x:v>0.48848900461471034</x:v>
      </x:c>
      <x:c r="L704" s="12"/>
      <x:c r="M704" s="8" t="str">
        <x:v>Yes</x:v>
      </x:c>
    </x:row>
    <x:row r="705">
      <x:c r="A705" s="8" t="str">
        <x:v>Keremeos|Transportation System</x:v>
      </x:c>
      <x:c r="B705" s="8" t="str">
        <x:v>keremeos-v</x:v>
      </x:c>
      <x:c r="C705" s="8" t="str">
        <x:v>Keremeos</x:v>
      </x:c>
      <x:c r="D705" s="8" t="str">
        <x:v>Transportation System</x:v>
      </x:c>
      <x:c r="E705" s="11" t="n">
        <x:v>4261454</x:v>
      </x:c>
      <x:c r="F705" s="11" t="n">
        <x:v>1502102</x:v>
      </x:c>
      <x:c r="G705" s="11" t="n">
        <x:v>2759352</x:v>
      </x:c>
      <x:c r="H705" s="11" t="n">
        <x:v>179548</x:v>
      </x:c>
      <x:c r="I705" s="11" t="n">
        <x:v>0</x:v>
      </x:c>
      <x:c r="J705" s="11" t="n">
        <x:v>0</x:v>
      </x:c>
      <x:c r="K705" s="12" t="n">
        <x:v>0.6475142052454397</x:v>
      </x:c>
      <x:c r="L705" s="12"/>
      <x:c r="M705" s="8" t="str">
        <x:v>No</x:v>
      </x:c>
    </x:row>
    <x:row r="706">
      <x:c r="A706" s="8" t="str">
        <x:v>Keremeos|Other Engineering Systems</x:v>
      </x:c>
      <x:c r="B706" s="8" t="str">
        <x:v>keremeos-v</x:v>
      </x:c>
      <x:c r="C706" s="8" t="str">
        <x:v>Keremeos</x:v>
      </x:c>
      <x:c r="D706" s="8" t="str">
        <x:v>Other Engineering Systems</x:v>
      </x:c>
      <x:c r="E706" s="11" t="n">
        <x:v>0</x:v>
      </x:c>
      <x:c r="F706" s="11" t="n">
        <x:v>0</x:v>
      </x:c>
      <x:c r="G706" s="11" t="n">
        <x:v>0</x:v>
      </x:c>
      <x:c r="H706" s="11" t="n">
        <x:v>0</x:v>
      </x:c>
      <x:c r="I706" s="11" t="n">
        <x:v>0</x:v>
      </x:c>
      <x:c r="J706" s="11" t="n">
        <x:v>0</x:v>
      </x:c>
      <x:c r="K706" s="12"/>
      <x:c r="L706" s="12"/>
      <x:c r="M706" s="8"/>
    </x:row>
    <x:row r="707">
      <x:c r="A707" s="8" t="str">
        <x:v>Keremeos|Other Tangible Capital Assets</x:v>
      </x:c>
      <x:c r="B707" s="8" t="str">
        <x:v>keremeos-v</x:v>
      </x:c>
      <x:c r="C707" s="8" t="str">
        <x:v>Keremeos</x:v>
      </x:c>
      <x:c r="D707" s="8" t="str">
        <x:v>Other Tangible Capital Assets</x:v>
      </x:c>
      <x:c r="E707" s="11" t="n">
        <x:v>0</x:v>
      </x:c>
      <x:c r="F707" s="11" t="n">
        <x:v>0</x:v>
      </x:c>
      <x:c r="G707" s="11" t="n">
        <x:v>0</x:v>
      </x:c>
      <x:c r="H707" s="11" t="n">
        <x:v>0</x:v>
      </x:c>
      <x:c r="I707" s="11" t="n">
        <x:v>0</x:v>
      </x:c>
      <x:c r="J707" s="11" t="n">
        <x:v>0</x:v>
      </x:c>
      <x:c r="K707" s="12"/>
      <x:c r="L707" s="12"/>
      <x:c r="M707" s="8" t="str">
        <x:v>N/A</x:v>
      </x:c>
    </x:row>
    <x:row r="708">
      <x:c r="A708" s="8" t="str">
        <x:v>Keremeos|Work In Progress</x:v>
      </x:c>
      <x:c r="B708" s="8" t="str">
        <x:v>keremeos-v</x:v>
      </x:c>
      <x:c r="C708" s="8" t="str">
        <x:v>Keremeos</x:v>
      </x:c>
      <x:c r="D708" s="8" t="str">
        <x:v>Work In Progress</x:v>
      </x:c>
      <x:c r="E708" s="11" t="n">
        <x:v>0</x:v>
      </x:c>
      <x:c r="F708" s="11"/>
      <x:c r="G708" s="11" t="n">
        <x:v>0</x:v>
      </x:c>
      <x:c r="H708" s="11" t="n">
        <x:v>0</x:v>
      </x:c>
      <x:c r="I708" s="11" t="n">
        <x:v>0</x:v>
      </x:c>
      <x:c r="J708" s="11"/>
      <x:c r="K708" s="12"/>
      <x:c r="L708" s="12"/>
      <x:c r="M708" s="8" t="str">
        <x:v>N/A</x:v>
      </x:c>
    </x:row>
    <x:row r="709">
      <x:c r="A709" s="8" t="str">
        <x:v>Keremeos|Total TCA</x:v>
      </x:c>
      <x:c r="B709" s="8" t="str">
        <x:v>keremeos-v</x:v>
      </x:c>
      <x:c r="C709" s="8" t="str">
        <x:v>Keremeos</x:v>
      </x:c>
      <x:c r="D709" s="8" t="str">
        <x:v>Total TCA</x:v>
      </x:c>
      <x:c r="E709" s="11" t="n">
        <x:v>21830637</x:v>
      </x:c>
      <x:c r="F709" s="11" t="n">
        <x:v>7995720</x:v>
      </x:c>
      <x:c r="G709" s="11" t="n">
        <x:v>13834917</x:v>
      </x:c>
      <x:c r="H709" s="11" t="n">
        <x:v>1473311</x:v>
      </x:c>
      <x:c r="I709" s="11" t="n">
        <x:v>738994</x:v>
      </x:c>
      <x:c r="J709" s="11" t="n">
        <x:v>0</x:v>
      </x:c>
      <x:c r="K709" s="12" t="n">
        <x:v>0.6337385849070735</x:v>
      </x:c>
      <x:c r="L709" s="12" t="n">
        <x:v>1</x:v>
      </x:c>
      <x:c r="M709" s="8"/>
    </x:row>
    <x:row r="710">
      <x:c r="A710" s="8" t="str">
        <x:v>Kimberley|Land</x:v>
      </x:c>
      <x:c r="B710" s="8" t="str">
        <x:v>kimberley-c</x:v>
      </x:c>
      <x:c r="C710" s="8" t="str">
        <x:v>Kimberley</x:v>
      </x:c>
      <x:c r="D710" s="8" t="str">
        <x:v>Land</x:v>
      </x:c>
      <x:c r="E710" s="11" t="n">
        <x:v>20050296</x:v>
      </x:c>
      <x:c r="F710" s="11"/>
      <x:c r="G710" s="11" t="n">
        <x:v>20050296</x:v>
      </x:c>
      <x:c r="H710" s="11" t="n">
        <x:v>0</x:v>
      </x:c>
      <x:c r="I710" s="11" t="n">
        <x:v>20050296</x:v>
      </x:c>
      <x:c r="J710" s="11"/>
      <x:c r="K710" s="12" t="n">
        <x:v>1</x:v>
      </x:c>
      <x:c r="L710" s="12"/>
      <x:c r="M710" s="8" t="str">
        <x:v>N/A</x:v>
      </x:c>
    </x:row>
    <x:row r="711">
      <x:c r="A711" s="8" t="str">
        <x:v>Kimberley|Buildings</x:v>
      </x:c>
      <x:c r="B711" s="8" t="str">
        <x:v>kimberley-c</x:v>
      </x:c>
      <x:c r="C711" s="8" t="str">
        <x:v>Kimberley</x:v>
      </x:c>
      <x:c r="D711" s="8" t="str">
        <x:v>Buildings</x:v>
      </x:c>
      <x:c r="E711" s="11" t="n">
        <x:v>37787375</x:v>
      </x:c>
      <x:c r="F711" s="11" t="n">
        <x:v>19357959</x:v>
      </x:c>
      <x:c r="G711" s="11" t="n">
        <x:v>18429416</x:v>
      </x:c>
      <x:c r="H711" s="11" t="n">
        <x:v>623909</x:v>
      </x:c>
      <x:c r="I711" s="11" t="n">
        <x:v>93117439</x:v>
      </x:c>
      <x:c r="J711" s="11" t="n">
        <x:v>2821740</x:v>
      </x:c>
      <x:c r="K711" s="12" t="n">
        <x:v>0.48771358158644257</x:v>
      </x:c>
      <x:c r="L711" s="12" t="n">
        <x:v>0.9696969758801034</x:v>
      </x:c>
      <x:c r="M711" s="8" t="str">
        <x:v>In_Progress</x:v>
      </x:c>
    </x:row>
    <x:row r="712">
      <x:c r="A712" s="8" t="str">
        <x:v>Kimberley|Fleet</x:v>
      </x:c>
      <x:c r="B712" s="8" t="str">
        <x:v>kimberley-c</x:v>
      </x:c>
      <x:c r="C712" s="8" t="str">
        <x:v>Kimberley</x:v>
      </x:c>
      <x:c r="D712" s="8" t="str">
        <x:v>Fleet</x:v>
      </x:c>
      <x:c r="E712" s="11" t="n">
        <x:v>10668215</x:v>
      </x:c>
      <x:c r="F712" s="11" t="n">
        <x:v>6390986</x:v>
      </x:c>
      <x:c r="G712" s="11" t="n">
        <x:v>4277229</x:v>
      </x:c>
      <x:c r="H712" s="11" t="n">
        <x:v>526737</x:v>
      </x:c>
      <x:c r="I712" s="11" t="n">
        <x:v>12913533</x:v>
      </x:c>
      <x:c r="J712" s="11" t="n">
        <x:v>645677</x:v>
      </x:c>
      <x:c r="K712" s="12" t="n">
        <x:v>0.40093202096133235</x:v>
      </x:c>
      <x:c r="L712" s="12" t="n">
        <x:v>0.9499999728966504</x:v>
      </x:c>
      <x:c r="M712" s="8" t="str">
        <x:v>In_Progress</x:v>
      </x:c>
    </x:row>
    <x:row r="713">
      <x:c r="A713" s="8" t="str">
        <x:v>Kimberley|Parks and Recreation</x:v>
      </x:c>
      <x:c r="B713" s="8" t="str">
        <x:v>kimberley-c</x:v>
      </x:c>
      <x:c r="C713" s="8" t="str">
        <x:v>Kimberley</x:v>
      </x:c>
      <x:c r="D713" s="8" t="str">
        <x:v>Parks and Recreation</x:v>
      </x:c>
      <x:c r="E713" s="11" t="n">
        <x:v>5057477</x:v>
      </x:c>
      <x:c r="F713" s="11" t="n">
        <x:v>1759941</x:v>
      </x:c>
      <x:c r="G713" s="11" t="n">
        <x:v>3297536</x:v>
      </x:c>
      <x:c r="H713" s="11" t="n">
        <x:v>570310</x:v>
      </x:c>
      <x:c r="I713" s="11" t="n">
        <x:v>2736730</x:v>
      </x:c>
      <x:c r="J713" s="11" t="n">
        <x:v>101360</x:v>
      </x:c>
      <x:c r="K713" s="12" t="n">
        <x:v>0.6520120605590495</x:v>
      </x:c>
      <x:c r="L713" s="12" t="n">
        <x:v>0.9629630982961418</x:v>
      </x:c>
      <x:c r="M713" s="8" t="str">
        <x:v>In_Progress</x:v>
      </x:c>
    </x:row>
    <x:row r="714">
      <x:c r="A714" s="8" t="str">
        <x:v>Kimberley|Water System</x:v>
      </x:c>
      <x:c r="B714" s="8" t="str">
        <x:v>kimberley-c</x:v>
      </x:c>
      <x:c r="C714" s="8" t="str">
        <x:v>Kimberley</x:v>
      </x:c>
      <x:c r="D714" s="8" t="str">
        <x:v>Water System</x:v>
      </x:c>
      <x:c r="E714" s="11" t="n">
        <x:v>22171684</x:v>
      </x:c>
      <x:c r="F714" s="11" t="n">
        <x:v>9823698</x:v>
      </x:c>
      <x:c r="G714" s="11" t="n">
        <x:v>12347986</x:v>
      </x:c>
      <x:c r="H714" s="11" t="n">
        <x:v>953605</x:v>
      </x:c>
      <x:c r="I714" s="11" t="n">
        <x:v>91236561</x:v>
      </x:c>
      <x:c r="J714" s="11" t="n">
        <x:v>1495681</x:v>
      </x:c>
      <x:c r="K714" s="12" t="n">
        <x:v>0.5569259421160793</x:v>
      </x:c>
      <x:c r="L714" s="12" t="n">
        <x:v>0.9836065609706618</x:v>
      </x:c>
      <x:c r="M714" s="8" t="str">
        <x:v>In_Progress</x:v>
      </x:c>
    </x:row>
    <x:row r="715">
      <x:c r="A715" s="8" t="str">
        <x:v>Kimberley|Sewer System</x:v>
      </x:c>
      <x:c r="B715" s="8" t="str">
        <x:v>kimberley-c</x:v>
      </x:c>
      <x:c r="C715" s="8" t="str">
        <x:v>Kimberley</x:v>
      </x:c>
      <x:c r="D715" s="8" t="str">
        <x:v>Sewer System</x:v>
      </x:c>
      <x:c r="E715" s="11" t="n">
        <x:v>14445435</x:v>
      </x:c>
      <x:c r="F715" s="11" t="n">
        <x:v>6635151</x:v>
      </x:c>
      <x:c r="G715" s="11" t="n">
        <x:v>7810284</x:v>
      </x:c>
      <x:c r="H715" s="11" t="n">
        <x:v>1133705</x:v>
      </x:c>
      <x:c r="I715" s="11" t="n">
        <x:v>65089406</x:v>
      </x:c>
      <x:c r="J715" s="11" t="n">
        <x:v>1033165</x:v>
      </x:c>
      <x:c r="K715" s="12" t="n">
        <x:v>0.5406748914103313</x:v>
      </x:c>
      <x:c r="L715" s="12" t="n">
        <x:v>0.9841269868094971</x:v>
      </x:c>
      <x:c r="M715" s="8" t="str">
        <x:v>In_Progress</x:v>
      </x:c>
    </x:row>
    <x:row r="716">
      <x:c r="A716" s="8" t="str">
        <x:v>Kimberley|Drainage System</x:v>
      </x:c>
      <x:c r="B716" s="8" t="str">
        <x:v>kimberley-c</x:v>
      </x:c>
      <x:c r="C716" s="8" t="str">
        <x:v>Kimberley</x:v>
      </x:c>
      <x:c r="D716" s="8" t="str">
        <x:v>Drainage System</x:v>
      </x:c>
      <x:c r="E716" s="11" t="n">
        <x:v>8332906</x:v>
      </x:c>
      <x:c r="F716" s="11" t="n">
        <x:v>3329423</x:v>
      </x:c>
      <x:c r="G716" s="11" t="n">
        <x:v>5003483</x:v>
      </x:c>
      <x:c r="H716" s="11" t="n">
        <x:v>525924</x:v>
      </x:c>
      <x:c r="I716" s="11" t="n">
        <x:v>43993460</x:v>
      </x:c>
      <x:c r="J716" s="11" t="n">
        <x:v>799881</x:v>
      </x:c>
      <x:c r="K716" s="12" t="n">
        <x:v>0.6004487510119519</x:v>
      </x:c>
      <x:c r="L716" s="12" t="n">
        <x:v>0.9818181838846046</x:v>
      </x:c>
      <x:c r="M716" s="8" t="str">
        <x:v>In_Progress</x:v>
      </x:c>
    </x:row>
    <x:row r="717">
      <x:c r="A717" s="8" t="str">
        <x:v>Kimberley|Transportation System</x:v>
      </x:c>
      <x:c r="B717" s="8" t="str">
        <x:v>kimberley-c</x:v>
      </x:c>
      <x:c r="C717" s="8" t="str">
        <x:v>Kimberley</x:v>
      </x:c>
      <x:c r="D717" s="8" t="str">
        <x:v>Transportation System</x:v>
      </x:c>
      <x:c r="E717" s="11" t="n">
        <x:v>51495820</x:v>
      </x:c>
      <x:c r="F717" s="11" t="n">
        <x:v>29535322</x:v>
      </x:c>
      <x:c r="G717" s="11" t="n">
        <x:v>21960498</x:v>
      </x:c>
      <x:c r="H717" s="11" t="n">
        <x:v>2521662</x:v>
      </x:c>
      <x:c r="I717" s="11" t="n">
        <x:v>86535494</x:v>
      </x:c>
      <x:c r="J717" s="11" t="n">
        <x:v>2422182</x:v>
      </x:c>
      <x:c r="K717" s="12" t="n">
        <x:v>0.4264520498945351</x:v>
      </x:c>
      <x:c r="L717" s="12" t="n">
        <x:v>0.9720093814914837</x:v>
      </x:c>
      <x:c r="M717" s="8" t="str">
        <x:v>In_Progress</x:v>
      </x:c>
    </x:row>
    <x:row r="718">
      <x:c r="A718" s="8" t="str">
        <x:v>Kimberley|Other Engineering Systems</x:v>
      </x:c>
      <x:c r="B718" s="8" t="str">
        <x:v>kimberley-c</x:v>
      </x:c>
      <x:c r="C718" s="8" t="str">
        <x:v>Kimberley</x:v>
      </x:c>
      <x:c r="D718" s="8" t="str">
        <x:v>Other Engineering Systems</x:v>
      </x:c>
      <x:c r="E718" s="11" t="n">
        <x:v>6627702</x:v>
      </x:c>
      <x:c r="F718" s="11" t="n">
        <x:v>649525</x:v>
      </x:c>
      <x:c r="G718" s="11" t="n">
        <x:v>5978177</x:v>
      </x:c>
      <x:c r="H718" s="11" t="n">
        <x:v>140485</x:v>
      </x:c>
      <x:c r="I718" s="11" t="n">
        <x:v>94693</x:v>
      </x:c>
      <x:c r="J718" s="11" t="n">
        <x:v>1280</x:v>
      </x:c>
      <x:c r="K718" s="12" t="n">
        <x:v>0.9019984604015087</x:v>
      </x:c>
      <x:c r="L718" s="12" t="n">
        <x:v>0.9864826333519902</x:v>
      </x:c>
      <x:c r="M718" s="8" t="str">
        <x:v>In_Progress</x:v>
      </x:c>
    </x:row>
    <x:row r="719">
      <x:c r="A719" s="8" t="str">
        <x:v>Kimberley|Other Tangible Capital Assets</x:v>
      </x:c>
      <x:c r="B719" s="8" t="str">
        <x:v>kimberley-c</x:v>
      </x:c>
      <x:c r="C719" s="8" t="str">
        <x:v>Kimberley</x:v>
      </x:c>
      <x:c r="D719" s="8" t="str">
        <x:v>Other Tangible Capital Assets</x:v>
      </x:c>
      <x:c r="E719" s="11" t="n">
        <x:v>4630753</x:v>
      </x:c>
      <x:c r="F719" s="11" t="n">
        <x:v>3533132</x:v>
      </x:c>
      <x:c r="G719" s="11" t="n">
        <x:v>1097621</x:v>
      </x:c>
      <x:c r="H719" s="11" t="n">
        <x:v>277365</x:v>
      </x:c>
      <x:c r="I719" s="11" t="n">
        <x:v>400000</x:v>
      </x:c>
      <x:c r="J719" s="11" t="n">
        <x:v>26666</x:v>
      </x:c>
      <x:c r="K719" s="12" t="n">
        <x:v>0.23702862147905535</x:v>
      </x:c>
      <x:c r="L719" s="12" t="n">
        <x:v>0.933335</x:v>
      </x:c>
      <x:c r="M719" s="8" t="str">
        <x:v>N/A</x:v>
      </x:c>
    </x:row>
    <x:row r="720">
      <x:c r="A720" s="8" t="str">
        <x:v>Kimberley|Work In Progress</x:v>
      </x:c>
      <x:c r="B720" s="8" t="str">
        <x:v>kimberley-c</x:v>
      </x:c>
      <x:c r="C720" s="8" t="str">
        <x:v>Kimberley</x:v>
      </x:c>
      <x:c r="D720" s="8" t="str">
        <x:v>Work In Progress</x:v>
      </x:c>
      <x:c r="E720" s="11" t="n">
        <x:v>5710785</x:v>
      </x:c>
      <x:c r="F720" s="11"/>
      <x:c r="G720" s="11" t="n">
        <x:v>5710785</x:v>
      </x:c>
      <x:c r="H720" s="11" t="n">
        <x:v>1801547</x:v>
      </x:c>
      <x:c r="I720" s="11" t="n">
        <x:v>5710785</x:v>
      </x:c>
      <x:c r="J720" s="11"/>
      <x:c r="K720" s="12" t="n">
        <x:v>1</x:v>
      </x:c>
      <x:c r="L720" s="12"/>
      <x:c r="M720" s="8" t="str">
        <x:v>N/A</x:v>
      </x:c>
    </x:row>
    <x:row r="721">
      <x:c r="A721" s="8" t="str">
        <x:v>Kimberley|Total TCA</x:v>
      </x:c>
      <x:c r="B721" s="8" t="str">
        <x:v>kimberley-c</x:v>
      </x:c>
      <x:c r="C721" s="8" t="str">
        <x:v>Kimberley</x:v>
      </x:c>
      <x:c r="D721" s="8" t="str">
        <x:v>Total TCA</x:v>
      </x:c>
      <x:c r="E721" s="11" t="n">
        <x:v>186978448</x:v>
      </x:c>
      <x:c r="F721" s="11" t="n">
        <x:v>81015137</x:v>
      </x:c>
      <x:c r="G721" s="11" t="n">
        <x:v>105963311</x:v>
      </x:c>
      <x:c r="H721" s="11" t="n">
        <x:v>9075249</x:v>
      </x:c>
      <x:c r="I721" s="11" t="n">
        <x:v>421878397</x:v>
      </x:c>
      <x:c r="J721" s="11" t="n">
        <x:v>9347632</x:v>
      </x:c>
      <x:c r="K721" s="12" t="n">
        <x:v>0.5667140364754766</x:v>
      </x:c>
      <x:c r="L721" s="12" t="n">
        <x:v>0.9778428284869016</x:v>
      </x:c>
      <x:c r="M721" s="8"/>
    </x:row>
    <x:row r="722">
      <x:c r="A722" s="8" t="str">
        <x:v>Kitimat|Land</x:v>
      </x:c>
      <x:c r="B722" s="8" t="str">
        <x:v>kitimat-d</x:v>
      </x:c>
      <x:c r="C722" s="8" t="str">
        <x:v>Kitimat</x:v>
      </x:c>
      <x:c r="D722" s="8" t="str">
        <x:v>Land</x:v>
      </x:c>
      <x:c r="E722" s="11"/>
      <x:c r="F722" s="11"/>
      <x:c r="G722" s="11"/>
      <x:c r="H722" s="11"/>
      <x:c r="I722" s="11"/>
      <x:c r="J722" s="11"/>
      <x:c r="K722" s="12"/>
      <x:c r="L722" s="12"/>
      <x:c r="M722" s="8"/>
    </x:row>
    <x:row r="723">
      <x:c r="A723" s="8" t="str">
        <x:v>Kitimat|Buildings</x:v>
      </x:c>
      <x:c r="B723" s="8" t="str">
        <x:v>kitimat-d</x:v>
      </x:c>
      <x:c r="C723" s="8" t="str">
        <x:v>Kitimat</x:v>
      </x:c>
      <x:c r="D723" s="8" t="str">
        <x:v>Buildings</x:v>
      </x:c>
      <x:c r="E723" s="11"/>
      <x:c r="F723" s="11"/>
      <x:c r="G723" s="11"/>
      <x:c r="H723" s="11"/>
      <x:c r="I723" s="11"/>
      <x:c r="J723" s="11"/>
      <x:c r="K723" s="12"/>
      <x:c r="L723" s="12"/>
      <x:c r="M723" s="8"/>
    </x:row>
    <x:row r="724">
      <x:c r="A724" s="8" t="str">
        <x:v>Kitimat|Fleet</x:v>
      </x:c>
      <x:c r="B724" s="8" t="str">
        <x:v>kitimat-d</x:v>
      </x:c>
      <x:c r="C724" s="8" t="str">
        <x:v>Kitimat</x:v>
      </x:c>
      <x:c r="D724" s="8" t="str">
        <x:v>Fleet</x:v>
      </x:c>
      <x:c r="E724" s="11"/>
      <x:c r="F724" s="11"/>
      <x:c r="G724" s="11"/>
      <x:c r="H724" s="11"/>
      <x:c r="I724" s="11"/>
      <x:c r="J724" s="11"/>
      <x:c r="K724" s="12"/>
      <x:c r="L724" s="12"/>
      <x:c r="M724" s="8"/>
    </x:row>
    <x:row r="725">
      <x:c r="A725" s="8" t="str">
        <x:v>Kitimat|Parks and Recreation</x:v>
      </x:c>
      <x:c r="B725" s="8" t="str">
        <x:v>kitimat-d</x:v>
      </x:c>
      <x:c r="C725" s="8" t="str">
        <x:v>Kitimat</x:v>
      </x:c>
      <x:c r="D725" s="8" t="str">
        <x:v>Parks and Recreation</x:v>
      </x:c>
      <x:c r="E725" s="11"/>
      <x:c r="F725" s="11"/>
      <x:c r="G725" s="11"/>
      <x:c r="H725" s="11"/>
      <x:c r="I725" s="11"/>
      <x:c r="J725" s="11"/>
      <x:c r="K725" s="12"/>
      <x:c r="L725" s="12"/>
      <x:c r="M725" s="8"/>
    </x:row>
    <x:row r="726">
      <x:c r="A726" s="8" t="str">
        <x:v>Kitimat|Water System</x:v>
      </x:c>
      <x:c r="B726" s="8" t="str">
        <x:v>kitimat-d</x:v>
      </x:c>
      <x:c r="C726" s="8" t="str">
        <x:v>Kitimat</x:v>
      </x:c>
      <x:c r="D726" s="8" t="str">
        <x:v>Water System</x:v>
      </x:c>
      <x:c r="E726" s="11"/>
      <x:c r="F726" s="11"/>
      <x:c r="G726" s="11"/>
      <x:c r="H726" s="11"/>
      <x:c r="I726" s="11"/>
      <x:c r="J726" s="11"/>
      <x:c r="K726" s="12"/>
      <x:c r="L726" s="12"/>
      <x:c r="M726" s="8"/>
    </x:row>
    <x:row r="727">
      <x:c r="A727" s="8" t="str">
        <x:v>Kitimat|Sewer System</x:v>
      </x:c>
      <x:c r="B727" s="8" t="str">
        <x:v>kitimat-d</x:v>
      </x:c>
      <x:c r="C727" s="8" t="str">
        <x:v>Kitimat</x:v>
      </x:c>
      <x:c r="D727" s="8" t="str">
        <x:v>Sewer System</x:v>
      </x:c>
      <x:c r="E727" s="11"/>
      <x:c r="F727" s="11"/>
      <x:c r="G727" s="11"/>
      <x:c r="H727" s="11"/>
      <x:c r="I727" s="11"/>
      <x:c r="J727" s="11"/>
      <x:c r="K727" s="12"/>
      <x:c r="L727" s="12"/>
      <x:c r="M727" s="8"/>
    </x:row>
    <x:row r="728">
      <x:c r="A728" s="8" t="str">
        <x:v>Kitimat|Drainage System</x:v>
      </x:c>
      <x:c r="B728" s="8" t="str">
        <x:v>kitimat-d</x:v>
      </x:c>
      <x:c r="C728" s="8" t="str">
        <x:v>Kitimat</x:v>
      </x:c>
      <x:c r="D728" s="8" t="str">
        <x:v>Drainage System</x:v>
      </x:c>
      <x:c r="E728" s="11"/>
      <x:c r="F728" s="11"/>
      <x:c r="G728" s="11"/>
      <x:c r="H728" s="11"/>
      <x:c r="I728" s="11"/>
      <x:c r="J728" s="11"/>
      <x:c r="K728" s="12"/>
      <x:c r="L728" s="12"/>
      <x:c r="M728" s="8"/>
    </x:row>
    <x:row r="729">
      <x:c r="A729" s="8" t="str">
        <x:v>Kitimat|Transportation System</x:v>
      </x:c>
      <x:c r="B729" s="8" t="str">
        <x:v>kitimat-d</x:v>
      </x:c>
      <x:c r="C729" s="8" t="str">
        <x:v>Kitimat</x:v>
      </x:c>
      <x:c r="D729" s="8" t="str">
        <x:v>Transportation System</x:v>
      </x:c>
      <x:c r="E729" s="11"/>
      <x:c r="F729" s="11"/>
      <x:c r="G729" s="11"/>
      <x:c r="H729" s="11"/>
      <x:c r="I729" s="11"/>
      <x:c r="J729" s="11"/>
      <x:c r="K729" s="12"/>
      <x:c r="L729" s="12"/>
      <x:c r="M729" s="8"/>
    </x:row>
    <x:row r="730">
      <x:c r="A730" s="8" t="str">
        <x:v>Kitimat|Other Engineering Systems</x:v>
      </x:c>
      <x:c r="B730" s="8" t="str">
        <x:v>kitimat-d</x:v>
      </x:c>
      <x:c r="C730" s="8" t="str">
        <x:v>Kitimat</x:v>
      </x:c>
      <x:c r="D730" s="8" t="str">
        <x:v>Other Engineering Systems</x:v>
      </x:c>
      <x:c r="E730" s="11"/>
      <x:c r="F730" s="11"/>
      <x:c r="G730" s="11"/>
      <x:c r="H730" s="11"/>
      <x:c r="I730" s="11"/>
      <x:c r="J730" s="11"/>
      <x:c r="K730" s="12"/>
      <x:c r="L730" s="12"/>
      <x:c r="M730" s="8"/>
    </x:row>
    <x:row r="731">
      <x:c r="A731" s="8" t="str">
        <x:v>Kitimat|Other Tangible Capital Assets</x:v>
      </x:c>
      <x:c r="B731" s="8" t="str">
        <x:v>kitimat-d</x:v>
      </x:c>
      <x:c r="C731" s="8" t="str">
        <x:v>Kitimat</x:v>
      </x:c>
      <x:c r="D731" s="8" t="str">
        <x:v>Other Tangible Capital Assets</x:v>
      </x:c>
      <x:c r="E731" s="11"/>
      <x:c r="F731" s="11"/>
      <x:c r="G731" s="11"/>
      <x:c r="H731" s="11"/>
      <x:c r="I731" s="11"/>
      <x:c r="J731" s="11"/>
      <x:c r="K731" s="12"/>
      <x:c r="L731" s="12"/>
      <x:c r="M731" s="8"/>
    </x:row>
    <x:row r="732">
      <x:c r="A732" s="8" t="str">
        <x:v>Kitimat|Work In Progress</x:v>
      </x:c>
      <x:c r="B732" s="8" t="str">
        <x:v>kitimat-d</x:v>
      </x:c>
      <x:c r="C732" s="8" t="str">
        <x:v>Kitimat</x:v>
      </x:c>
      <x:c r="D732" s="8" t="str">
        <x:v>Work In Progress</x:v>
      </x:c>
      <x:c r="E732" s="11"/>
      <x:c r="F732" s="11"/>
      <x:c r="G732" s="11"/>
      <x:c r="H732" s="11"/>
      <x:c r="I732" s="11"/>
      <x:c r="J732" s="11"/>
      <x:c r="K732" s="12"/>
      <x:c r="L732" s="12"/>
      <x:c r="M732" s="8"/>
    </x:row>
    <x:row r="733">
      <x:c r="A733" s="8" t="str">
        <x:v>Kitimat|Total TCA</x:v>
      </x:c>
      <x:c r="B733" s="8" t="str">
        <x:v>kitimat-d</x:v>
      </x:c>
      <x:c r="C733" s="8" t="str">
        <x:v>Kitimat</x:v>
      </x:c>
      <x:c r="D733" s="8" t="str">
        <x:v>Total TCA</x:v>
      </x:c>
      <x:c r="E733" s="11"/>
      <x:c r="F733" s="11"/>
      <x:c r="G733" s="11"/>
      <x:c r="H733" s="11"/>
      <x:c r="I733" s="11"/>
      <x:c r="J733" s="11"/>
      <x:c r="K733" s="12"/>
      <x:c r="L733" s="12"/>
      <x:c r="M733" s="8"/>
    </x:row>
    <x:row r="734">
      <x:c r="A734" s="8" t="str">
        <x:v>Ladysmith|Land</x:v>
      </x:c>
      <x:c r="B734" s="8" t="str">
        <x:v>ladysmith-t</x:v>
      </x:c>
      <x:c r="C734" s="8" t="str">
        <x:v>Ladysmith</x:v>
      </x:c>
      <x:c r="D734" s="8" t="str">
        <x:v>Land</x:v>
      </x:c>
      <x:c r="E734" s="11" t="n">
        <x:v>12032100</x:v>
      </x:c>
      <x:c r="F734" s="11"/>
      <x:c r="G734" s="11" t="n">
        <x:v>12032100</x:v>
      </x:c>
      <x:c r="H734" s="11" t="n">
        <x:v>29742</x:v>
      </x:c>
      <x:c r="I734" s="11" t="n">
        <x:v>12032100</x:v>
      </x:c>
      <x:c r="J734" s="11"/>
      <x:c r="K734" s="12" t="n">
        <x:v>1</x:v>
      </x:c>
      <x:c r="L734" s="12"/>
      <x:c r="M734" s="8" t="str">
        <x:v>N/A</x:v>
      </x:c>
    </x:row>
    <x:row r="735">
      <x:c r="A735" s="8" t="str">
        <x:v>Ladysmith|Buildings</x:v>
      </x:c>
      <x:c r="B735" s="8" t="str">
        <x:v>ladysmith-t</x:v>
      </x:c>
      <x:c r="C735" s="8" t="str">
        <x:v>Ladysmith</x:v>
      </x:c>
      <x:c r="D735" s="8" t="str">
        <x:v>Buildings</x:v>
      </x:c>
      <x:c r="E735" s="11" t="n">
        <x:v>27057919</x:v>
      </x:c>
      <x:c r="F735" s="11" t="n">
        <x:v>10827059</x:v>
      </x:c>
      <x:c r="G735" s="11" t="n">
        <x:v>16230860</x:v>
      </x:c>
      <x:c r="H735" s="11" t="n">
        <x:v>86723</x:v>
      </x:c>
      <x:c r="I735" s="11" t="n">
        <x:v>37168557</x:v>
      </x:c>
      <x:c r="J735" s="11" t="n">
        <x:v>1208880</x:v>
      </x:c>
      <x:c r="K735" s="12" t="n">
        <x:v>0.5998561825837382</x:v>
      </x:c>
      <x:c r="L735" s="12" t="n">
        <x:v>0.9674757349336968</x:v>
      </x:c>
      <x:c r="M735" s="8" t="str">
        <x:v>In_Progress</x:v>
      </x:c>
    </x:row>
    <x:row r="736">
      <x:c r="A736" s="8" t="str">
        <x:v>Ladysmith|Fleet</x:v>
      </x:c>
      <x:c r="B736" s="8" t="str">
        <x:v>ladysmith-t</x:v>
      </x:c>
      <x:c r="C736" s="8" t="str">
        <x:v>Ladysmith</x:v>
      </x:c>
      <x:c r="D736" s="8" t="str">
        <x:v>Fleet</x:v>
      </x:c>
      <x:c r="E736" s="11" t="n">
        <x:v>7299770</x:v>
      </x:c>
      <x:c r="F736" s="11" t="n">
        <x:v>2869373</x:v>
      </x:c>
      <x:c r="G736" s="11" t="n">
        <x:v>4430397</x:v>
      </x:c>
      <x:c r="H736" s="11" t="n">
        <x:v>439297</x:v>
      </x:c>
      <x:c r="I736" s="11" t="n">
        <x:v>8478416</x:v>
      </x:c>
      <x:c r="J736" s="11" t="n">
        <x:v>653171</x:v>
      </x:c>
      <x:c r="K736" s="12" t="n">
        <x:v>0.6069228208559996</x:v>
      </x:c>
      <x:c r="L736" s="12" t="n">
        <x:v>0.9229607275698668</x:v>
      </x:c>
      <x:c r="M736" s="8" t="str">
        <x:v>Yes</x:v>
      </x:c>
    </x:row>
    <x:row r="737">
      <x:c r="A737" s="8" t="str">
        <x:v>Ladysmith|Parks and Recreation</x:v>
      </x:c>
      <x:c r="B737" s="8" t="str">
        <x:v>ladysmith-t</x:v>
      </x:c>
      <x:c r="C737" s="8" t="str">
        <x:v>Ladysmith</x:v>
      </x:c>
      <x:c r="D737" s="8" t="str">
        <x:v>Parks and Recreation</x:v>
      </x:c>
      <x:c r="E737" s="11" t="n">
        <x:v>9129200</x:v>
      </x:c>
      <x:c r="F737" s="11" t="n">
        <x:v>4530007</x:v>
      </x:c>
      <x:c r="G737" s="11" t="n">
        <x:v>4599193</x:v>
      </x:c>
      <x:c r="H737" s="11" t="n">
        <x:v>11458</x:v>
      </x:c>
      <x:c r="I737" s="11" t="n">
        <x:v>12878311</x:v>
      </x:c>
      <x:c r="J737" s="11" t="n">
        <x:v>397748</x:v>
      </x:c>
      <x:c r="K737" s="12" t="n">
        <x:v>0.5037892695964598</x:v>
      </x:c>
      <x:c r="L737" s="12" t="n">
        <x:v>0.9691148940260877</x:v>
      </x:c>
      <x:c r="M737" s="8" t="str">
        <x:v>In_Progress</x:v>
      </x:c>
    </x:row>
    <x:row r="738">
      <x:c r="A738" s="8" t="str">
        <x:v>Ladysmith|Water System</x:v>
      </x:c>
      <x:c r="B738" s="8" t="str">
        <x:v>ladysmith-t</x:v>
      </x:c>
      <x:c r="C738" s="8" t="str">
        <x:v>Ladysmith</x:v>
      </x:c>
      <x:c r="D738" s="8" t="str">
        <x:v>Water System</x:v>
      </x:c>
      <x:c r="E738" s="11" t="n">
        <x:v>37070664</x:v>
      </x:c>
      <x:c r="F738" s="11" t="n">
        <x:v>9657750</x:v>
      </x:c>
      <x:c r="G738" s="11" t="n">
        <x:v>27412914</x:v>
      </x:c>
      <x:c r="H738" s="11" t="n">
        <x:v>431939</x:v>
      </x:c>
      <x:c r="I738" s="11" t="n">
        <x:v>59664548</x:v>
      </x:c>
      <x:c r="J738" s="11" t="n">
        <x:v>1395768</x:v>
      </x:c>
      <x:c r="K738" s="12" t="n">
        <x:v>0.7394772858667975</x:v>
      </x:c>
      <x:c r="L738" s="12" t="n">
        <x:v>0.9766064095549672</x:v>
      </x:c>
      <x:c r="M738" s="8" t="str">
        <x:v>Yes</x:v>
      </x:c>
    </x:row>
    <x:row r="739">
      <x:c r="A739" s="8" t="str">
        <x:v>Ladysmith|Sewer System</x:v>
      </x:c>
      <x:c r="B739" s="8" t="str">
        <x:v>ladysmith-t</x:v>
      </x:c>
      <x:c r="C739" s="8" t="str">
        <x:v>Ladysmith</x:v>
      </x:c>
      <x:c r="D739" s="8" t="str">
        <x:v>Sewer System</x:v>
      </x:c>
      <x:c r="E739" s="11" t="n">
        <x:v>38685189</x:v>
      </x:c>
      <x:c r="F739" s="11" t="n">
        <x:v>14506000</x:v>
      </x:c>
      <x:c r="G739" s="11" t="n">
        <x:v>24179189</x:v>
      </x:c>
      <x:c r="H739" s="11" t="n">
        <x:v>0</x:v>
      </x:c>
      <x:c r="I739" s="11" t="n">
        <x:v>27650585</x:v>
      </x:c>
      <x:c r="J739" s="11" t="n">
        <x:v>594326</x:v>
      </x:c>
      <x:c r="K739" s="12" t="n">
        <x:v>0.6250244505720264</x:v>
      </x:c>
      <x:c r="L739" s="12" t="n">
        <x:v>0.9785058435472522</x:v>
      </x:c>
      <x:c r="M739" s="8" t="str">
        <x:v>No</x:v>
      </x:c>
    </x:row>
    <x:row r="740">
      <x:c r="A740" s="8" t="str">
        <x:v>Ladysmith|Drainage System</x:v>
      </x:c>
      <x:c r="B740" s="8" t="str">
        <x:v>ladysmith-t</x:v>
      </x:c>
      <x:c r="C740" s="8" t="str">
        <x:v>Ladysmith</x:v>
      </x:c>
      <x:c r="D740" s="8" t="str">
        <x:v>Drainage System</x:v>
      </x:c>
      <x:c r="E740" s="11" t="n">
        <x:v>12874514</x:v>
      </x:c>
      <x:c r="F740" s="11" t="n">
        <x:v>3341308</x:v>
      </x:c>
      <x:c r="G740" s="11" t="n">
        <x:v>9533206</x:v>
      </x:c>
      <x:c r="H740" s="11" t="n">
        <x:v>229591</x:v>
      </x:c>
      <x:c r="I740" s="11" t="n">
        <x:v>23879507</x:v>
      </x:c>
      <x:c r="J740" s="11" t="n">
        <x:v>318393</x:v>
      </x:c>
      <x:c r="K740" s="12" t="n">
        <x:v>0.7404711354541228</x:v>
      </x:c>
      <x:c r="L740" s="12" t="n">
        <x:v>0.9866666845341489</x:v>
      </x:c>
      <x:c r="M740" s="8" t="str">
        <x:v>In_Progress</x:v>
      </x:c>
    </x:row>
    <x:row r="741">
      <x:c r="A741" s="8" t="str">
        <x:v>Ladysmith|Transportation System</x:v>
      </x:c>
      <x:c r="B741" s="8" t="str">
        <x:v>ladysmith-t</x:v>
      </x:c>
      <x:c r="C741" s="8" t="str">
        <x:v>Ladysmith</x:v>
      </x:c>
      <x:c r="D741" s="8" t="str">
        <x:v>Transportation System</x:v>
      </x:c>
      <x:c r="E741" s="11" t="n">
        <x:v>36867674</x:v>
      </x:c>
      <x:c r="F741" s="11" t="n">
        <x:v>19893683</x:v>
      </x:c>
      <x:c r="G741" s="11" t="n">
        <x:v>16973991</x:v>
      </x:c>
      <x:c r="H741" s="11" t="n">
        <x:v>780031</x:v>
      </x:c>
      <x:c r="I741" s="11" t="n">
        <x:v>86303947</x:v>
      </x:c>
      <x:c r="J741" s="11" t="n">
        <x:v>1999365</x:v>
      </x:c>
      <x:c r="K741" s="12" t="n">
        <x:v>0.4604030891669488</x:v>
      </x:c>
      <x:c r="L741" s="12" t="n">
        <x:v>0.9768334465629944</x:v>
      </x:c>
      <x:c r="M741" s="8" t="str">
        <x:v>No</x:v>
      </x:c>
    </x:row>
    <x:row r="742">
      <x:c r="A742" s="8" t="str">
        <x:v>Ladysmith|Other Engineering Systems</x:v>
      </x:c>
      <x:c r="B742" s="8" t="str">
        <x:v>ladysmith-t</x:v>
      </x:c>
      <x:c r="C742" s="8" t="str">
        <x:v>Ladysmith</x:v>
      </x:c>
      <x:c r="D742" s="8" t="str">
        <x:v>Other Engineering Systems</x:v>
      </x:c>
      <x:c r="E742" s="11" t="n">
        <x:v>0</x:v>
      </x:c>
      <x:c r="F742" s="11" t="n">
        <x:v>0</x:v>
      </x:c>
      <x:c r="G742" s="11" t="n">
        <x:v>0</x:v>
      </x:c>
      <x:c r="H742" s="11" t="n">
        <x:v>0</x:v>
      </x:c>
      <x:c r="I742" s="11" t="n">
        <x:v>0</x:v>
      </x:c>
      <x:c r="J742" s="11" t="n">
        <x:v>0</x:v>
      </x:c>
      <x:c r="K742" s="12"/>
      <x:c r="L742" s="12"/>
      <x:c r="M742" s="8"/>
    </x:row>
    <x:row r="743">
      <x:c r="A743" s="8" t="str">
        <x:v>Ladysmith|Other Tangible Capital Assets</x:v>
      </x:c>
      <x:c r="B743" s="8" t="str">
        <x:v>ladysmith-t</x:v>
      </x:c>
      <x:c r="C743" s="8" t="str">
        <x:v>Ladysmith</x:v>
      </x:c>
      <x:c r="D743" s="8" t="str">
        <x:v>Other Tangible Capital Assets</x:v>
      </x:c>
      <x:c r="E743" s="11" t="n">
        <x:v>6078563</x:v>
      </x:c>
      <x:c r="F743" s="11" t="n">
        <x:v>3234857</x:v>
      </x:c>
      <x:c r="G743" s="11" t="n">
        <x:v>2843706</x:v>
      </x:c>
      <x:c r="H743" s="11" t="n">
        <x:v>552033</x:v>
      </x:c>
      <x:c r="I743" s="11" t="n">
        <x:v>7631051</x:v>
      </x:c>
      <x:c r="J743" s="11" t="n">
        <x:v>635661</x:v>
      </x:c>
      <x:c r="K743" s="12" t="n">
        <x:v>0.46782537254281975</x:v>
      </x:c>
      <x:c r="L743" s="12" t="n">
        <x:v>0.9167007270689188</x:v>
      </x:c>
      <x:c r="M743" s="8" t="str">
        <x:v>N/A</x:v>
      </x:c>
    </x:row>
    <x:row r="744">
      <x:c r="A744" s="8" t="str">
        <x:v>Ladysmith|Work In Progress</x:v>
      </x:c>
      <x:c r="B744" s="8" t="str">
        <x:v>ladysmith-t</x:v>
      </x:c>
      <x:c r="C744" s="8" t="str">
        <x:v>Ladysmith</x:v>
      </x:c>
      <x:c r="D744" s="8" t="str">
        <x:v>Work In Progress</x:v>
      </x:c>
      <x:c r="E744" s="11" t="n">
        <x:v>862412</x:v>
      </x:c>
      <x:c r="F744" s="11"/>
      <x:c r="G744" s="11" t="n">
        <x:v>862412</x:v>
      </x:c>
      <x:c r="H744" s="11" t="n">
        <x:v>391240</x:v>
      </x:c>
      <x:c r="I744" s="11" t="n">
        <x:v>862412</x:v>
      </x:c>
      <x:c r="J744" s="11"/>
      <x:c r="K744" s="12" t="n">
        <x:v>1</x:v>
      </x:c>
      <x:c r="L744" s="12"/>
      <x:c r="M744" s="8" t="str">
        <x:v>N/A</x:v>
      </x:c>
    </x:row>
    <x:row r="745">
      <x:c r="A745" s="8" t="str">
        <x:v>Ladysmith|Total TCA</x:v>
      </x:c>
      <x:c r="B745" s="8" t="str">
        <x:v>ladysmith-t</x:v>
      </x:c>
      <x:c r="C745" s="8" t="str">
        <x:v>Ladysmith</x:v>
      </x:c>
      <x:c r="D745" s="8" t="str">
        <x:v>Total TCA</x:v>
      </x:c>
      <x:c r="E745" s="11" t="n">
        <x:v>187958005</x:v>
      </x:c>
      <x:c r="F745" s="11" t="n">
        <x:v>68860037</x:v>
      </x:c>
      <x:c r="G745" s="11" t="n">
        <x:v>119097968</x:v>
      </x:c>
      <x:c r="H745" s="11" t="n">
        <x:v>2952054</x:v>
      </x:c>
      <x:c r="I745" s="11" t="n">
        <x:v>276549434</x:v>
      </x:c>
      <x:c r="J745" s="11" t="n">
        <x:v>7203312</x:v>
      </x:c>
      <x:c r="K745" s="12" t="n">
        <x:v>0.633641371113723</x:v>
      </x:c>
      <x:c r="L745" s="12" t="n">
        <x:v>0.9739528955246388</x:v>
      </x:c>
      <x:c r="M745" s="8"/>
    </x:row>
    <x:row r="746">
      <x:c r="A746" s="8" t="str">
        <x:v>Lake Country|Land</x:v>
      </x:c>
      <x:c r="B746" s="8" t="str">
        <x:v>lake-country-d</x:v>
      </x:c>
      <x:c r="C746" s="8" t="str">
        <x:v>Lake Country</x:v>
      </x:c>
      <x:c r="D746" s="8" t="str">
        <x:v>Land</x:v>
      </x:c>
      <x:c r="E746" s="11" t="n">
        <x:v>44846189</x:v>
      </x:c>
      <x:c r="F746" s="11"/>
      <x:c r="G746" s="11" t="n">
        <x:v>44846189</x:v>
      </x:c>
      <x:c r="H746" s="11" t="n">
        <x:v>5187798</x:v>
      </x:c>
      <x:c r="I746" s="11" t="n">
        <x:v>44846189</x:v>
      </x:c>
      <x:c r="J746" s="11"/>
      <x:c r="K746" s="12" t="n">
        <x:v>1</x:v>
      </x:c>
      <x:c r="L746" s="12"/>
      <x:c r="M746" s="8" t="str">
        <x:v>N/A</x:v>
      </x:c>
    </x:row>
    <x:row r="747">
      <x:c r="A747" s="8" t="str">
        <x:v>Lake Country|Buildings</x:v>
      </x:c>
      <x:c r="B747" s="8" t="str">
        <x:v>lake-country-d</x:v>
      </x:c>
      <x:c r="C747" s="8" t="str">
        <x:v>Lake Country</x:v>
      </x:c>
      <x:c r="D747" s="8" t="str">
        <x:v>Buildings</x:v>
      </x:c>
      <x:c r="E747" s="11" t="n">
        <x:v>49929834</x:v>
      </x:c>
      <x:c r="F747" s="11" t="n">
        <x:v>11203172</x:v>
      </x:c>
      <x:c r="G747" s="11" t="n">
        <x:v>38726662</x:v>
      </x:c>
      <x:c r="H747" s="11" t="n">
        <x:v>5070131</x:v>
      </x:c>
      <x:c r="I747" s="11" t="n">
        <x:v>49929834</x:v>
      </x:c>
      <x:c r="J747" s="11" t="n">
        <x:v>1023627</x:v>
      </x:c>
      <x:c r="K747" s="12" t="n">
        <x:v>0.7756216854235887</x:v>
      </x:c>
      <x:c r="L747" s="12" t="n">
        <x:v>0.9794986901017937</x:v>
      </x:c>
      <x:c r="M747" s="8" t="str">
        <x:v>In_Progress</x:v>
      </x:c>
    </x:row>
    <x:row r="748">
      <x:c r="A748" s="8" t="str">
        <x:v>Lake Country|Fleet</x:v>
      </x:c>
      <x:c r="B748" s="8" t="str">
        <x:v>lake-country-d</x:v>
      </x:c>
      <x:c r="C748" s="8" t="str">
        <x:v>Lake Country</x:v>
      </x:c>
      <x:c r="D748" s="8" t="str">
        <x:v>Fleet</x:v>
      </x:c>
      <x:c r="E748" s="11" t="n">
        <x:v>9445587</x:v>
      </x:c>
      <x:c r="F748" s="11" t="n">
        <x:v>4681373</x:v>
      </x:c>
      <x:c r="G748" s="11" t="n">
        <x:v>4764214</x:v>
      </x:c>
      <x:c r="H748" s="11" t="n">
        <x:v>1425424</x:v>
      </x:c>
      <x:c r="I748" s="11" t="n">
        <x:v>9445587</x:v>
      </x:c>
      <x:c r="J748" s="11" t="n">
        <x:v>522932</x:v>
      </x:c>
      <x:c r="K748" s="12" t="n">
        <x:v>0.5043851694976712</x:v>
      </x:c>
      <x:c r="L748" s="12" t="n">
        <x:v>0.9446374269804513</x:v>
      </x:c>
      <x:c r="M748" s="8" t="str">
        <x:v>In_Progress</x:v>
      </x:c>
    </x:row>
    <x:row r="749">
      <x:c r="A749" s="8" t="str">
        <x:v>Lake Country|Parks and Recreation</x:v>
      </x:c>
      <x:c r="B749" s="8" t="str">
        <x:v>lake-country-d</x:v>
      </x:c>
      <x:c r="C749" s="8" t="str">
        <x:v>Lake Country</x:v>
      </x:c>
      <x:c r="D749" s="8" t="str">
        <x:v>Parks and Recreation</x:v>
      </x:c>
      <x:c r="E749" s="11" t="n">
        <x:v>11730898</x:v>
      </x:c>
      <x:c r="F749" s="11" t="n">
        <x:v>3438546</x:v>
      </x:c>
      <x:c r="G749" s="11" t="n">
        <x:v>8292352</x:v>
      </x:c>
      <x:c r="H749" s="11" t="n">
        <x:v>672632</x:v>
      </x:c>
      <x:c r="I749" s="11" t="n">
        <x:v>11730898</x:v>
      </x:c>
      <x:c r="J749" s="11" t="n">
        <x:v>437402</x:v>
      </x:c>
      <x:c r="K749" s="12" t="n">
        <x:v>0.7068812634804258</x:v>
      </x:c>
      <x:c r="L749" s="12" t="n">
        <x:v>0.9627136814249003</x:v>
      </x:c>
      <x:c r="M749" s="8" t="str">
        <x:v>In_Progress</x:v>
      </x:c>
    </x:row>
    <x:row r="750">
      <x:c r="A750" s="8" t="str">
        <x:v>Lake Country|Water System</x:v>
      </x:c>
      <x:c r="B750" s="8" t="str">
        <x:v>lake-country-d</x:v>
      </x:c>
      <x:c r="C750" s="8" t="str">
        <x:v>Lake Country</x:v>
      </x:c>
      <x:c r="D750" s="8" t="str">
        <x:v>Water System</x:v>
      </x:c>
      <x:c r="E750" s="11" t="n">
        <x:v>63358773</x:v>
      </x:c>
      <x:c r="F750" s="11" t="n">
        <x:v>15344582</x:v>
      </x:c>
      <x:c r="G750" s="11" t="n">
        <x:v>48014191</x:v>
      </x:c>
      <x:c r="H750" s="11" t="n">
        <x:v>3982859</x:v>
      </x:c>
      <x:c r="I750" s="11" t="n">
        <x:v>63358773</x:v>
      </x:c>
      <x:c r="J750" s="11" t="n">
        <x:v>1238369</x:v>
      </x:c>
      <x:c r="K750" s="12" t="n">
        <x:v>0.7578144071697853</x:v>
      </x:c>
      <x:c r="L750" s="12" t="n">
        <x:v>0.9804546562162749</x:v>
      </x:c>
      <x:c r="M750" s="8" t="str">
        <x:v>In_Progress</x:v>
      </x:c>
    </x:row>
    <x:row r="751">
      <x:c r="A751" s="8" t="str">
        <x:v>Lake Country|Sewer System</x:v>
      </x:c>
      <x:c r="B751" s="8" t="str">
        <x:v>lake-country-d</x:v>
      </x:c>
      <x:c r="C751" s="8" t="str">
        <x:v>Lake Country</x:v>
      </x:c>
      <x:c r="D751" s="8" t="str">
        <x:v>Sewer System</x:v>
      </x:c>
      <x:c r="E751" s="11" t="n">
        <x:v>36234221</x:v>
      </x:c>
      <x:c r="F751" s="11" t="n">
        <x:v>6855194</x:v>
      </x:c>
      <x:c r="G751" s="11" t="n">
        <x:v>29379027</x:v>
      </x:c>
      <x:c r="H751" s="11" t="n">
        <x:v>723213</x:v>
      </x:c>
      <x:c r="I751" s="11" t="n">
        <x:v>36234221</x:v>
      </x:c>
      <x:c r="J751" s="11" t="n">
        <x:v>666281</x:v>
      </x:c>
      <x:c r="K751" s="12" t="n">
        <x:v>0.8108088483536048</x:v>
      </x:c>
      <x:c r="L751" s="12" t="n">
        <x:v>0.981611830429582</x:v>
      </x:c>
      <x:c r="M751" s="8" t="str">
        <x:v>In_Progress</x:v>
      </x:c>
    </x:row>
    <x:row r="752">
      <x:c r="A752" s="8" t="str">
        <x:v>Lake Country|Drainage System</x:v>
      </x:c>
      <x:c r="B752" s="8" t="str">
        <x:v>lake-country-d</x:v>
      </x:c>
      <x:c r="C752" s="8" t="str">
        <x:v>Lake Country</x:v>
      </x:c>
      <x:c r="D752" s="8" t="str">
        <x:v>Drainage System</x:v>
      </x:c>
      <x:c r="E752" s="11" t="n">
        <x:v>0</x:v>
      </x:c>
      <x:c r="F752" s="11" t="n">
        <x:v>0</x:v>
      </x:c>
      <x:c r="G752" s="11" t="n">
        <x:v>0</x:v>
      </x:c>
      <x:c r="H752" s="11" t="n">
        <x:v>0</x:v>
      </x:c>
      <x:c r="I752" s="11" t="n">
        <x:v>0</x:v>
      </x:c>
      <x:c r="J752" s="11" t="n">
        <x:v>0</x:v>
      </x:c>
      <x:c r="K752" s="12"/>
      <x:c r="L752" s="12"/>
      <x:c r="M752" s="8"/>
    </x:row>
    <x:row r="753">
      <x:c r="A753" s="8" t="str">
        <x:v>Lake Country|Transportation System</x:v>
      </x:c>
      <x:c r="B753" s="8" t="str">
        <x:v>lake-country-d</x:v>
      </x:c>
      <x:c r="C753" s="8" t="str">
        <x:v>Lake Country</x:v>
      </x:c>
      <x:c r="D753" s="8" t="str">
        <x:v>Transportation System</x:v>
      </x:c>
      <x:c r="E753" s="11" t="n">
        <x:v>77663895</x:v>
      </x:c>
      <x:c r="F753" s="11" t="n">
        <x:v>23634378</x:v>
      </x:c>
      <x:c r="G753" s="11" t="n">
        <x:v>54029517</x:v>
      </x:c>
      <x:c r="H753" s="11" t="n">
        <x:v>3531497</x:v>
      </x:c>
      <x:c r="I753" s="11" t="n">
        <x:v>77663895</x:v>
      </x:c>
      <x:c r="J753" s="11" t="n">
        <x:v>1845215</x:v>
      </x:c>
      <x:c r="K753" s="12" t="n">
        <x:v>0.695683843824727</x:v>
      </x:c>
      <x:c r="L753" s="12" t="n">
        <x:v>0.9762410190732772</x:v>
      </x:c>
      <x:c r="M753" s="8" t="str">
        <x:v>In_Progress</x:v>
      </x:c>
    </x:row>
    <x:row r="754">
      <x:c r="A754" s="8" t="str">
        <x:v>Lake Country|Other Engineering Systems</x:v>
      </x:c>
      <x:c r="B754" s="8" t="str">
        <x:v>lake-country-d</x:v>
      </x:c>
      <x:c r="C754" s="8" t="str">
        <x:v>Lake Country</x:v>
      </x:c>
      <x:c r="D754" s="8" t="str">
        <x:v>Other Engineering Systems</x:v>
      </x:c>
      <x:c r="E754" s="11" t="n">
        <x:v>4118791</x:v>
      </x:c>
      <x:c r="F754" s="11" t="n">
        <x:v>1596031</x:v>
      </x:c>
      <x:c r="G754" s="11" t="n">
        <x:v>2522760</x:v>
      </x:c>
      <x:c r="H754" s="11" t="n">
        <x:v>0</x:v>
      </x:c>
      <x:c r="I754" s="11" t="n">
        <x:v>4118791</x:v>
      </x:c>
      <x:c r="J754" s="11" t="n">
        <x:v>102965</x:v>
      </x:c>
      <x:c r="K754" s="12" t="n">
        <x:v>0.6125001244297174</x:v>
      </x:c>
      <x:c r="L754" s="12" t="n">
        <x:v>0.9750011593207812</x:v>
      </x:c>
      <x:c r="M754" s="8" t="str">
        <x:v>In_Progress</x:v>
      </x:c>
    </x:row>
    <x:row r="755">
      <x:c r="A755" s="8" t="str">
        <x:v>Lake Country|Other Tangible Capital Assets</x:v>
      </x:c>
      <x:c r="B755" s="8" t="str">
        <x:v>lake-country-d</x:v>
      </x:c>
      <x:c r="C755" s="8" t="str">
        <x:v>Lake Country</x:v>
      </x:c>
      <x:c r="D755" s="8" t="str">
        <x:v>Other Tangible Capital Assets</x:v>
      </x:c>
      <x:c r="E755" s="11" t="n">
        <x:v>6604030</x:v>
      </x:c>
      <x:c r="F755" s="11" t="n">
        <x:v>3032430</x:v>
      </x:c>
      <x:c r="G755" s="11" t="n">
        <x:v>3571600</x:v>
      </x:c>
      <x:c r="H755" s="11" t="n">
        <x:v>496225</x:v>
      </x:c>
      <x:c r="I755" s="11" t="n">
        <x:v>6604030</x:v>
      </x:c>
      <x:c r="J755" s="11" t="n">
        <x:v>523381</x:v>
      </x:c>
      <x:c r="K755" s="12" t="n">
        <x:v>0.5408212863963368</x:v>
      </x:c>
      <x:c r="L755" s="12" t="n">
        <x:v>0.9207482400897634</x:v>
      </x:c>
      <x:c r="M755" s="8" t="str">
        <x:v>N/A</x:v>
      </x:c>
    </x:row>
    <x:row r="756">
      <x:c r="A756" s="8" t="str">
        <x:v>Lake Country|Work In Progress</x:v>
      </x:c>
      <x:c r="B756" s="8" t="str">
        <x:v>lake-country-d</x:v>
      </x:c>
      <x:c r="C756" s="8" t="str">
        <x:v>Lake Country</x:v>
      </x:c>
      <x:c r="D756" s="8" t="str">
        <x:v>Work In Progress</x:v>
      </x:c>
      <x:c r="E756" s="11" t="n">
        <x:v>3046302</x:v>
      </x:c>
      <x:c r="F756" s="11"/>
      <x:c r="G756" s="11" t="n">
        <x:v>3046302</x:v>
      </x:c>
      <x:c r="H756" s="11" t="n">
        <x:v>437554</x:v>
      </x:c>
      <x:c r="I756" s="11" t="n">
        <x:v>3046302</x:v>
      </x:c>
      <x:c r="J756" s="11"/>
      <x:c r="K756" s="12" t="n">
        <x:v>1</x:v>
      </x:c>
      <x:c r="L756" s="12"/>
      <x:c r="M756" s="8" t="str">
        <x:v>N/A</x:v>
      </x:c>
    </x:row>
    <x:row r="757">
      <x:c r="A757" s="8" t="str">
        <x:v>Lake Country|Total TCA</x:v>
      </x:c>
      <x:c r="B757" s="8" t="str">
        <x:v>lake-country-d</x:v>
      </x:c>
      <x:c r="C757" s="8" t="str">
        <x:v>Lake Country</x:v>
      </x:c>
      <x:c r="D757" s="8" t="str">
        <x:v>Total TCA</x:v>
      </x:c>
      <x:c r="E757" s="11" t="n">
        <x:v>306978520</x:v>
      </x:c>
      <x:c r="F757" s="11" t="n">
        <x:v>69785706</x:v>
      </x:c>
      <x:c r="G757" s="11" t="n">
        <x:v>237192814</x:v>
      </x:c>
      <x:c r="H757" s="11" t="n">
        <x:v>21527333</x:v>
      </x:c>
      <x:c r="I757" s="11" t="n">
        <x:v>306978520</x:v>
      </x:c>
      <x:c r="J757" s="11" t="n">
        <x:v>6360172</x:v>
      </x:c>
      <x:c r="K757" s="12" t="n">
        <x:v>0.7726690909839555</x:v>
      </x:c>
      <x:c r="L757" s="12" t="n">
        <x:v>0.9792813777328785</x:v>
      </x:c>
      <x:c r="M757" s="8"/>
    </x:row>
    <x:row r="758">
      <x:c r="A758" s="8" t="str">
        <x:v>Lake Cowichan|Land</x:v>
      </x:c>
      <x:c r="B758" s="8" t="str">
        <x:v>lake-cowichan-t</x:v>
      </x:c>
      <x:c r="C758" s="8" t="str">
        <x:v>Lake Cowichan</x:v>
      </x:c>
      <x:c r="D758" s="8" t="str">
        <x:v>Land</x:v>
      </x:c>
      <x:c r="E758" s="11" t="n">
        <x:v>5399654</x:v>
      </x:c>
      <x:c r="F758" s="11"/>
      <x:c r="G758" s="11" t="n">
        <x:v>5399654</x:v>
      </x:c>
      <x:c r="H758" s="11" t="n">
        <x:v>56100</x:v>
      </x:c>
      <x:c r="I758" s="11" t="n">
        <x:v>5399654</x:v>
      </x:c>
      <x:c r="J758" s="11"/>
      <x:c r="K758" s="12" t="n">
        <x:v>1</x:v>
      </x:c>
      <x:c r="L758" s="12"/>
      <x:c r="M758" s="8" t="str">
        <x:v>N/A</x:v>
      </x:c>
    </x:row>
    <x:row r="759">
      <x:c r="A759" s="8" t="str">
        <x:v>Lake Cowichan|Buildings</x:v>
      </x:c>
      <x:c r="B759" s="8" t="str">
        <x:v>lake-cowichan-t</x:v>
      </x:c>
      <x:c r="C759" s="8" t="str">
        <x:v>Lake Cowichan</x:v>
      </x:c>
      <x:c r="D759" s="8" t="str">
        <x:v>Buildings</x:v>
      </x:c>
      <x:c r="E759" s="11" t="n">
        <x:v>10360878</x:v>
      </x:c>
      <x:c r="F759" s="11" t="n">
        <x:v>3921024</x:v>
      </x:c>
      <x:c r="G759" s="11" t="n">
        <x:v>6439854</x:v>
      </x:c>
      <x:c r="H759" s="11" t="n">
        <x:v>539197</x:v>
      </x:c>
      <x:c r="I759" s="11" t="n">
        <x:v>55767000</x:v>
      </x:c>
      <x:c r="J759" s="11" t="n">
        <x:v>1115340</x:v>
      </x:c>
      <x:c r="K759" s="12" t="n">
        <x:v>0.6215548527837119</x:v>
      </x:c>
      <x:c r="L759" s="12" t="n">
        <x:v>0.98</x:v>
      </x:c>
      <x:c r="M759" s="8" t="str">
        <x:v>In_Progress</x:v>
      </x:c>
    </x:row>
    <x:row r="760">
      <x:c r="A760" s="8" t="str">
        <x:v>Lake Cowichan|Fleet</x:v>
      </x:c>
      <x:c r="B760" s="8" t="str">
        <x:v>lake-cowichan-t</x:v>
      </x:c>
      <x:c r="C760" s="8" t="str">
        <x:v>Lake Cowichan</x:v>
      </x:c>
      <x:c r="D760" s="8" t="str">
        <x:v>Fleet</x:v>
      </x:c>
      <x:c r="E760" s="11" t="n">
        <x:v>4324315</x:v>
      </x:c>
      <x:c r="F760" s="11" t="n">
        <x:v>2585467</x:v>
      </x:c>
      <x:c r="G760" s="11" t="n">
        <x:v>1738848</x:v>
      </x:c>
      <x:c r="H760" s="11" t="n">
        <x:v>0</x:v>
      </x:c>
      <x:c r="I760" s="11" t="n">
        <x:v>5000000</x:v>
      </x:c>
      <x:c r="J760" s="11" t="n">
        <x:v>250000</x:v>
      </x:c>
      <x:c r="K760" s="12" t="n">
        <x:v>0.40210946704853834</x:v>
      </x:c>
      <x:c r="L760" s="12" t="n">
        <x:v>0.95</x:v>
      </x:c>
      <x:c r="M760" s="8" t="str">
        <x:v>Yes</x:v>
      </x:c>
    </x:row>
    <x:row r="761">
      <x:c r="A761" s="8" t="str">
        <x:v>Lake Cowichan|Parks and Recreation</x:v>
      </x:c>
      <x:c r="B761" s="8" t="str">
        <x:v>lake-cowichan-t</x:v>
      </x:c>
      <x:c r="C761" s="8" t="str">
        <x:v>Lake Cowichan</x:v>
      </x:c>
      <x:c r="D761" s="8" t="str">
        <x:v>Parks and Recreation</x:v>
      </x:c>
      <x:c r="E761" s="11" t="n">
        <x:v>2156731</x:v>
      </x:c>
      <x:c r="F761" s="11" t="n">
        <x:v>644065</x:v>
      </x:c>
      <x:c r="G761" s="11" t="n">
        <x:v>1512666</x:v>
      </x:c>
      <x:c r="H761" s="11" t="n">
        <x:v>27721</x:v>
      </x:c>
      <x:c r="I761" s="11" t="n">
        <x:v>3000000</x:v>
      </x:c>
      <x:c r="J761" s="11" t="n">
        <x:v>120000</x:v>
      </x:c>
      <x:c r="K761" s="12" t="n">
        <x:v>0.7013698045792451</x:v>
      </x:c>
      <x:c r="L761" s="12" t="n">
        <x:v>0.96</x:v>
      </x:c>
      <x:c r="M761" s="8" t="str">
        <x:v>In_Progress</x:v>
      </x:c>
    </x:row>
    <x:row r="762">
      <x:c r="A762" s="8" t="str">
        <x:v>Lake Cowichan|Water System</x:v>
      </x:c>
      <x:c r="B762" s="8" t="str">
        <x:v>lake-cowichan-t</x:v>
      </x:c>
      <x:c r="C762" s="8" t="str">
        <x:v>Lake Cowichan</x:v>
      </x:c>
      <x:c r="D762" s="8" t="str">
        <x:v>Water System</x:v>
      </x:c>
      <x:c r="E762" s="11" t="n">
        <x:v>14401277</x:v>
      </x:c>
      <x:c r="F762" s="11" t="n">
        <x:v>3692190</x:v>
      </x:c>
      <x:c r="G762" s="11" t="n">
        <x:v>10709087</x:v>
      </x:c>
      <x:c r="H762" s="11" t="n">
        <x:v>95946</x:v>
      </x:c>
      <x:c r="I762" s="11" t="n">
        <x:v>61000000</x:v>
      </x:c>
      <x:c r="J762" s="11" t="n">
        <x:v>1275000</x:v>
      </x:c>
      <x:c r="K762" s="12" t="n">
        <x:v>0.7436206525296333</x:v>
      </x:c>
      <x:c r="L762" s="12" t="n">
        <x:v>0.9790983606557377</x:v>
      </x:c>
      <x:c r="M762" s="8" t="str">
        <x:v>In_Progress</x:v>
      </x:c>
    </x:row>
    <x:row r="763">
      <x:c r="A763" s="8" t="str">
        <x:v>Lake Cowichan|Sewer System</x:v>
      </x:c>
      <x:c r="B763" s="8" t="str">
        <x:v>lake-cowichan-t</x:v>
      </x:c>
      <x:c r="C763" s="8" t="str">
        <x:v>Lake Cowichan</x:v>
      </x:c>
      <x:c r="D763" s="8" t="str">
        <x:v>Sewer System</x:v>
      </x:c>
      <x:c r="E763" s="11" t="n">
        <x:v>5864042</x:v>
      </x:c>
      <x:c r="F763" s="11" t="n">
        <x:v>2413991</x:v>
      </x:c>
      <x:c r="G763" s="11" t="n">
        <x:v>3450051</x:v>
      </x:c>
      <x:c r="H763" s="11" t="n">
        <x:v>99864</x:v>
      </x:c>
      <x:c r="I763" s="11" t="n">
        <x:v>33000000</x:v>
      </x:c>
      <x:c r="J763" s="11" t="n">
        <x:v>575000</x:v>
      </x:c>
      <x:c r="K763" s="12" t="n">
        <x:v>0.5883400903335958</x:v>
      </x:c>
      <x:c r="L763" s="12" t="n">
        <x:v>0.9825757575757575</x:v>
      </x:c>
      <x:c r="M763" s="8" t="str">
        <x:v>In_Progress</x:v>
      </x:c>
    </x:row>
    <x:row r="764">
      <x:c r="A764" s="8" t="str">
        <x:v>Lake Cowichan|Drainage System</x:v>
      </x:c>
      <x:c r="B764" s="8" t="str">
        <x:v>lake-cowichan-t</x:v>
      </x:c>
      <x:c r="C764" s="8" t="str">
        <x:v>Lake Cowichan</x:v>
      </x:c>
      <x:c r="D764" s="8" t="str">
        <x:v>Drainage System</x:v>
      </x:c>
      <x:c r="E764" s="11" t="n">
        <x:v>1132147</x:v>
      </x:c>
      <x:c r="F764" s="11" t="n">
        <x:v>178589</x:v>
      </x:c>
      <x:c r="G764" s="11" t="n">
        <x:v>953558</x:v>
      </x:c>
      <x:c r="H764" s="11" t="n">
        <x:v>164184</x:v>
      </x:c>
      <x:c r="I764" s="11" t="n">
        <x:v>5000000</x:v>
      </x:c>
      <x:c r="J764" s="11" t="n">
        <x:v>100000</x:v>
      </x:c>
      <x:c r="K764" s="12" t="n">
        <x:v>0.842256350102946</x:v>
      </x:c>
      <x:c r="L764" s="12" t="n">
        <x:v>0.98</x:v>
      </x:c>
      <x:c r="M764" s="8" t="str">
        <x:v>No</x:v>
      </x:c>
    </x:row>
    <x:row r="765">
      <x:c r="A765" s="8" t="str">
        <x:v>Lake Cowichan|Transportation System</x:v>
      </x:c>
      <x:c r="B765" s="8" t="str">
        <x:v>lake-cowichan-t</x:v>
      </x:c>
      <x:c r="C765" s="8" t="str">
        <x:v>Lake Cowichan</x:v>
      </x:c>
      <x:c r="D765" s="8" t="str">
        <x:v>Transportation System</x:v>
      </x:c>
      <x:c r="E765" s="11" t="n">
        <x:v>10121299</x:v>
      </x:c>
      <x:c r="F765" s="11" t="n">
        <x:v>3813648</x:v>
      </x:c>
      <x:c r="G765" s="11" t="n">
        <x:v>6307651</x:v>
      </x:c>
      <x:c r="H765" s="11" t="n">
        <x:v>500087</x:v>
      </x:c>
      <x:c r="I765" s="11" t="n">
        <x:v>22000000</x:v>
      </x:c>
      <x:c r="J765" s="11" t="n">
        <x:v>275000</x:v>
      </x:c>
      <x:c r="K765" s="12" t="n">
        <x:v>0.6232056774530621</x:v>
      </x:c>
      <x:c r="L765" s="12" t="n">
        <x:v>0.9875</x:v>
      </x:c>
      <x:c r="M765" s="8" t="str">
        <x:v>In_Progress</x:v>
      </x:c>
    </x:row>
    <x:row r="766">
      <x:c r="A766" s="8" t="str">
        <x:v>Lake Cowichan|Other Engineering Systems</x:v>
      </x:c>
      <x:c r="B766" s="8" t="str">
        <x:v>lake-cowichan-t</x:v>
      </x:c>
      <x:c r="C766" s="8" t="str">
        <x:v>Lake Cowichan</x:v>
      </x:c>
      <x:c r="D766" s="8" t="str">
        <x:v>Other Engineering Systems</x:v>
      </x:c>
      <x:c r="E766" s="11" t="n">
        <x:v>595875</x:v>
      </x:c>
      <x:c r="F766" s="11" t="n">
        <x:v>112106</x:v>
      </x:c>
      <x:c r="G766" s="11" t="n">
        <x:v>483769</x:v>
      </x:c>
      <x:c r="H766" s="11" t="n">
        <x:v>0</x:v>
      </x:c>
      <x:c r="I766" s="11" t="n">
        <x:v>2000000</x:v>
      </x:c>
      <x:c r="J766" s="11" t="n">
        <x:v>400000</x:v>
      </x:c>
      <x:c r="K766" s="12" t="n">
        <x:v>0.8118632263478078</x:v>
      </x:c>
      <x:c r="L766" s="12" t="n">
        <x:v>0.8</x:v>
      </x:c>
      <x:c r="M766" s="8" t="str">
        <x:v>No</x:v>
      </x:c>
    </x:row>
    <x:row r="767">
      <x:c r="A767" s="8" t="str">
        <x:v>Lake Cowichan|Other Tangible Capital Assets</x:v>
      </x:c>
      <x:c r="B767" s="8" t="str">
        <x:v>lake-cowichan-t</x:v>
      </x:c>
      <x:c r="C767" s="8" t="str">
        <x:v>Lake Cowichan</x:v>
      </x:c>
      <x:c r="D767" s="8" t="str">
        <x:v>Other Tangible Capital Assets</x:v>
      </x:c>
      <x:c r="E767" s="11" t="n">
        <x:v>1208191</x:v>
      </x:c>
      <x:c r="F767" s="11" t="n">
        <x:v>654955</x:v>
      </x:c>
      <x:c r="G767" s="11" t="n">
        <x:v>553236</x:v>
      </x:c>
      <x:c r="H767" s="11" t="n">
        <x:v>376721</x:v>
      </x:c>
      <x:c r="I767" s="11" t="n">
        <x:v>2000000</x:v>
      </x:c>
      <x:c r="J767" s="11" t="n">
        <x:v>100000</x:v>
      </x:c>
      <x:c r="K767" s="12" t="n">
        <x:v>0.4579044207414225</x:v>
      </x:c>
      <x:c r="L767" s="12" t="n">
        <x:v>0.95</x:v>
      </x:c>
      <x:c r="M767" s="8" t="str">
        <x:v>N/A</x:v>
      </x:c>
    </x:row>
    <x:row r="768">
      <x:c r="A768" s="8" t="str">
        <x:v>Lake Cowichan|Work In Progress</x:v>
      </x:c>
      <x:c r="B768" s="8" t="str">
        <x:v>lake-cowichan-t</x:v>
      </x:c>
      <x:c r="C768" s="8" t="str">
        <x:v>Lake Cowichan</x:v>
      </x:c>
      <x:c r="D768" s="8" t="str">
        <x:v>Work In Progress</x:v>
      </x:c>
      <x:c r="E768" s="11" t="n">
        <x:v>402269</x:v>
      </x:c>
      <x:c r="F768" s="11"/>
      <x:c r="G768" s="11" t="n">
        <x:v>402269</x:v>
      </x:c>
      <x:c r="H768" s="11" t="n">
        <x:v>224260</x:v>
      </x:c>
      <x:c r="I768" s="11" t="n">
        <x:v>402269</x:v>
      </x:c>
      <x:c r="J768" s="11"/>
      <x:c r="K768" s="12" t="n">
        <x:v>1</x:v>
      </x:c>
      <x:c r="L768" s="12"/>
      <x:c r="M768" s="8" t="str">
        <x:v>N/A</x:v>
      </x:c>
    </x:row>
    <x:row r="769">
      <x:c r="A769" s="8" t="str">
        <x:v>Lake Cowichan|Total TCA</x:v>
      </x:c>
      <x:c r="B769" s="8" t="str">
        <x:v>lake-cowichan-t</x:v>
      </x:c>
      <x:c r="C769" s="8" t="str">
        <x:v>Lake Cowichan</x:v>
      </x:c>
      <x:c r="D769" s="8" t="str">
        <x:v>Total TCA</x:v>
      </x:c>
      <x:c r="E769" s="11" t="n">
        <x:v>55966678</x:v>
      </x:c>
      <x:c r="F769" s="11" t="n">
        <x:v>18016035</x:v>
      </x:c>
      <x:c r="G769" s="11" t="n">
        <x:v>37950643</x:v>
      </x:c>
      <x:c r="H769" s="11" t="n">
        <x:v>2084080</x:v>
      </x:c>
      <x:c r="I769" s="11" t="n">
        <x:v>194568923</x:v>
      </x:c>
      <x:c r="J769" s="11" t="n">
        <x:v>4210340</x:v>
      </x:c>
      <x:c r="K769" s="12" t="n">
        <x:v>0.6780935434474064</x:v>
      </x:c>
      <x:c r="L769" s="12" t="n">
        <x:v>0.9783606758207732</x:v>
      </x:c>
      <x:c r="M769" s="8"/>
    </x:row>
    <x:row r="770">
      <x:c r="A770" s="8" t="str">
        <x:v>Langford|Land</x:v>
      </x:c>
      <x:c r="B770" s="8" t="str">
        <x:v>langford-c</x:v>
      </x:c>
      <x:c r="C770" s="8" t="str">
        <x:v>Langford</x:v>
      </x:c>
      <x:c r="D770" s="8" t="str">
        <x:v>Land</x:v>
      </x:c>
      <x:c r="E770" s="11" t="n">
        <x:v>338082293</x:v>
      </x:c>
      <x:c r="F770" s="11"/>
      <x:c r="G770" s="11" t="n">
        <x:v>338082293</x:v>
      </x:c>
      <x:c r="H770" s="11" t="n">
        <x:v>22114625</x:v>
      </x:c>
      <x:c r="I770" s="11" t="n">
        <x:v>338082293</x:v>
      </x:c>
      <x:c r="J770" s="11"/>
      <x:c r="K770" s="12" t="n">
        <x:v>1</x:v>
      </x:c>
      <x:c r="L770" s="12"/>
      <x:c r="M770" s="8" t="str">
        <x:v>N/A</x:v>
      </x:c>
    </x:row>
    <x:row r="771">
      <x:c r="A771" s="8" t="str">
        <x:v>Langford|Buildings</x:v>
      </x:c>
      <x:c r="B771" s="8" t="str">
        <x:v>langford-c</x:v>
      </x:c>
      <x:c r="C771" s="8" t="str">
        <x:v>Langford</x:v>
      </x:c>
      <x:c r="D771" s="8" t="str">
        <x:v>Buildings</x:v>
      </x:c>
      <x:c r="E771" s="11" t="n">
        <x:v>88137199</x:v>
      </x:c>
      <x:c r="F771" s="11" t="n">
        <x:v>25462365</x:v>
      </x:c>
      <x:c r="G771" s="11" t="n">
        <x:v>62674834</x:v>
      </x:c>
      <x:c r="H771" s="11" t="n">
        <x:v>13900961</x:v>
      </x:c>
      <x:c r="I771" s="11" t="n">
        <x:v>88137199</x:v>
      </x:c>
      <x:c r="J771" s="11" t="n">
        <x:v>1223634</x:v>
      </x:c>
      <x:c r="K771" s="12" t="n">
        <x:v>0.7111053529168768</x:v>
      </x:c>
      <x:c r="L771" s="12" t="n">
        <x:v>0.9861167133300889</x:v>
      </x:c>
      <x:c r="M771" s="8" t="str">
        <x:v>In_Progress</x:v>
      </x:c>
    </x:row>
    <x:row r="772">
      <x:c r="A772" s="8" t="str">
        <x:v>Langford|Fleet</x:v>
      </x:c>
      <x:c r="B772" s="8" t="str">
        <x:v>langford-c</x:v>
      </x:c>
      <x:c r="C772" s="8" t="str">
        <x:v>Langford</x:v>
      </x:c>
      <x:c r="D772" s="8" t="str">
        <x:v>Fleet</x:v>
      </x:c>
      <x:c r="E772" s="11" t="n">
        <x:v>21271831</x:v>
      </x:c>
      <x:c r="F772" s="11" t="n">
        <x:v>12302862</x:v>
      </x:c>
      <x:c r="G772" s="11" t="n">
        <x:v>8968969</x:v>
      </x:c>
      <x:c r="H772" s="11" t="n">
        <x:v>1563421</x:v>
      </x:c>
      <x:c r="I772" s="11" t="n">
        <x:v>21271831</x:v>
      </x:c>
      <x:c r="J772" s="11" t="n">
        <x:v>1035685</x:v>
      </x:c>
      <x:c r="K772" s="12" t="n">
        <x:v>0.42163596542300474</x:v>
      </x:c>
      <x:c r="L772" s="12" t="n">
        <x:v>0.9513119016411893</x:v>
      </x:c>
      <x:c r="M772" s="8" t="str">
        <x:v>In_Progress</x:v>
      </x:c>
    </x:row>
    <x:row r="773">
      <x:c r="A773" s="8" t="str">
        <x:v>Langford|Parks and Recreation</x:v>
      </x:c>
      <x:c r="B773" s="8" t="str">
        <x:v>langford-c</x:v>
      </x:c>
      <x:c r="C773" s="8" t="str">
        <x:v>Langford</x:v>
      </x:c>
      <x:c r="D773" s="8" t="str">
        <x:v>Parks and Recreation</x:v>
      </x:c>
      <x:c r="E773" s="11" t="n">
        <x:v>41344102</x:v>
      </x:c>
      <x:c r="F773" s="11" t="n">
        <x:v>14406328</x:v>
      </x:c>
      <x:c r="G773" s="11" t="n">
        <x:v>26937774</x:v>
      </x:c>
      <x:c r="H773" s="11" t="n">
        <x:v>1791569</x:v>
      </x:c>
      <x:c r="I773" s="11" t="n">
        <x:v>41344102</x:v>
      </x:c>
      <x:c r="J773" s="11" t="n">
        <x:v>1665638</x:v>
      </x:c>
      <x:c r="K773" s="12" t="n">
        <x:v>0.6515505887635435</x:v>
      </x:c>
      <x:c r="L773" s="12" t="n">
        <x:v>0.9597128025661315</x:v>
      </x:c>
      <x:c r="M773" s="8" t="str">
        <x:v>In_Progress</x:v>
      </x:c>
    </x:row>
    <x:row r="774">
      <x:c r="A774" s="8" t="str">
        <x:v>Langford|Water System</x:v>
      </x:c>
      <x:c r="B774" s="8" t="str">
        <x:v>langford-c</x:v>
      </x:c>
      <x:c r="C774" s="8" t="str">
        <x:v>Langford</x:v>
      </x:c>
      <x:c r="D774" s="8" t="str">
        <x:v>Water System</x:v>
      </x:c>
      <x:c r="E774" s="11" t="n">
        <x:v>0</x:v>
      </x:c>
      <x:c r="F774" s="11" t="n">
        <x:v>0</x:v>
      </x:c>
      <x:c r="G774" s="11" t="n">
        <x:v>0</x:v>
      </x:c>
      <x:c r="H774" s="11" t="n">
        <x:v>0</x:v>
      </x:c>
      <x:c r="I774" s="11" t="n">
        <x:v>0</x:v>
      </x:c>
      <x:c r="J774" s="11" t="n">
        <x:v>0</x:v>
      </x:c>
      <x:c r="K774" s="12"/>
      <x:c r="L774" s="12"/>
      <x:c r="M774" s="8"/>
    </x:row>
    <x:row r="775">
      <x:c r="A775" s="8" t="str">
        <x:v>Langford|Sewer System</x:v>
      </x:c>
      <x:c r="B775" s="8" t="str">
        <x:v>langford-c</x:v>
      </x:c>
      <x:c r="C775" s="8" t="str">
        <x:v>Langford</x:v>
      </x:c>
      <x:c r="D775" s="8" t="str">
        <x:v>Sewer System</x:v>
      </x:c>
      <x:c r="E775" s="11" t="n">
        <x:v>83315360</x:v>
      </x:c>
      <x:c r="F775" s="11" t="n">
        <x:v>22075433</x:v>
      </x:c>
      <x:c r="G775" s="11" t="n">
        <x:v>61239927</x:v>
      </x:c>
      <x:c r="H775" s="11" t="n">
        <x:v>0</x:v>
      </x:c>
      <x:c r="I775" s="11" t="n">
        <x:v>83315360</x:v>
      </x:c>
      <x:c r="J775" s="11" t="n">
        <x:v>584180</x:v>
      </x:c>
      <x:c r="K775" s="12" t="n">
        <x:v>0.7350376569218449</x:v>
      </x:c>
      <x:c r="L775" s="12" t="n">
        <x:v>0.9929883277225232</x:v>
      </x:c>
      <x:c r="M775" s="8" t="str">
        <x:v>In_Progress</x:v>
      </x:c>
    </x:row>
    <x:row r="776">
      <x:c r="A776" s="8" t="str">
        <x:v>Langford|Drainage System</x:v>
      </x:c>
      <x:c r="B776" s="8" t="str">
        <x:v>langford-c</x:v>
      </x:c>
      <x:c r="C776" s="8" t="str">
        <x:v>Langford</x:v>
      </x:c>
      <x:c r="D776" s="8" t="str">
        <x:v>Drainage System</x:v>
      </x:c>
      <x:c r="E776" s="11" t="n">
        <x:v>71680937</x:v>
      </x:c>
      <x:c r="F776" s="11" t="n">
        <x:v>8906312</x:v>
      </x:c>
      <x:c r="G776" s="11" t="n">
        <x:v>62774625</x:v>
      </x:c>
      <x:c r="H776" s="11" t="n">
        <x:v>1888845</x:v>
      </x:c>
      <x:c r="I776" s="11" t="n">
        <x:v>71680937</x:v>
      </x:c>
      <x:c r="J776" s="11" t="n">
        <x:v>801651</x:v>
      </x:c>
      <x:c r="K776" s="12" t="n">
        <x:v>0.8757506197219492</x:v>
      </x:c>
      <x:c r="L776" s="12" t="n">
        <x:v>0.9888163989820613</x:v>
      </x:c>
      <x:c r="M776" s="8" t="str">
        <x:v>In_Progress</x:v>
      </x:c>
    </x:row>
    <x:row r="777">
      <x:c r="A777" s="8" t="str">
        <x:v>Langford|Transportation System</x:v>
      </x:c>
      <x:c r="B777" s="8" t="str">
        <x:v>langford-c</x:v>
      </x:c>
      <x:c r="C777" s="8" t="str">
        <x:v>Langford</x:v>
      </x:c>
      <x:c r="D777" s="8" t="str">
        <x:v>Transportation System</x:v>
      </x:c>
      <x:c r="E777" s="11" t="n">
        <x:v>226055391</x:v>
      </x:c>
      <x:c r="F777" s="11" t="n">
        <x:v>67218481</x:v>
      </x:c>
      <x:c r="G777" s="11" t="n">
        <x:v>158836910</x:v>
      </x:c>
      <x:c r="H777" s="11" t="n">
        <x:v>6759564</x:v>
      </x:c>
      <x:c r="I777" s="11" t="n">
        <x:v>226055391</x:v>
      </x:c>
      <x:c r="J777" s="11" t="n">
        <x:v>5394089</x:v>
      </x:c>
      <x:c r="K777" s="12" t="n">
        <x:v>0.7026459722873851</x:v>
      </x:c>
      <x:c r="L777" s="12" t="n">
        <x:v>0.9761381979162798</x:v>
      </x:c>
      <x:c r="M777" s="8" t="str">
        <x:v>In_Progress</x:v>
      </x:c>
    </x:row>
    <x:row r="778">
      <x:c r="A778" s="8" t="str">
        <x:v>Langford|Other Engineering Systems</x:v>
      </x:c>
      <x:c r="B778" s="8" t="str">
        <x:v>langford-c</x:v>
      </x:c>
      <x:c r="C778" s="8" t="str">
        <x:v>Langford</x:v>
      </x:c>
      <x:c r="D778" s="8" t="str">
        <x:v>Other Engineering Systems</x:v>
      </x:c>
      <x:c r="E778" s="11" t="n">
        <x:v>0</x:v>
      </x:c>
      <x:c r="F778" s="11" t="n">
        <x:v>0</x:v>
      </x:c>
      <x:c r="G778" s="11" t="n">
        <x:v>0</x:v>
      </x:c>
      <x:c r="H778" s="11" t="n">
        <x:v>0</x:v>
      </x:c>
      <x:c r="I778" s="11" t="n">
        <x:v>0</x:v>
      </x:c>
      <x:c r="J778" s="11" t="n">
        <x:v>0</x:v>
      </x:c>
      <x:c r="K778" s="12"/>
      <x:c r="L778" s="12"/>
      <x:c r="M778" s="8"/>
    </x:row>
    <x:row r="779">
      <x:c r="A779" s="8" t="str">
        <x:v>Langford|Other Tangible Capital Assets</x:v>
      </x:c>
      <x:c r="B779" s="8" t="str">
        <x:v>langford-c</x:v>
      </x:c>
      <x:c r="C779" s="8" t="str">
        <x:v>Langford</x:v>
      </x:c>
      <x:c r="D779" s="8" t="str">
        <x:v>Other Tangible Capital Assets</x:v>
      </x:c>
      <x:c r="E779" s="11" t="n">
        <x:v>0</x:v>
      </x:c>
      <x:c r="F779" s="11" t="n">
        <x:v>0</x:v>
      </x:c>
      <x:c r="G779" s="11" t="n">
        <x:v>0</x:v>
      </x:c>
      <x:c r="H779" s="11" t="n">
        <x:v>0</x:v>
      </x:c>
      <x:c r="I779" s="11" t="n">
        <x:v>0</x:v>
      </x:c>
      <x:c r="J779" s="11" t="n">
        <x:v>0</x:v>
      </x:c>
      <x:c r="K779" s="12"/>
      <x:c r="L779" s="12"/>
      <x:c r="M779" s="8" t="str">
        <x:v>N/A</x:v>
      </x:c>
    </x:row>
    <x:row r="780">
      <x:c r="A780" s="8" t="str">
        <x:v>Langford|Work In Progress</x:v>
      </x:c>
      <x:c r="B780" s="8" t="str">
        <x:v>langford-c</x:v>
      </x:c>
      <x:c r="C780" s="8" t="str">
        <x:v>Langford</x:v>
      </x:c>
      <x:c r="D780" s="8" t="str">
        <x:v>Work In Progress</x:v>
      </x:c>
      <x:c r="E780" s="11" t="n">
        <x:v>40505147</x:v>
      </x:c>
      <x:c r="F780" s="11"/>
      <x:c r="G780" s="11" t="n">
        <x:v>40505147</x:v>
      </x:c>
      <x:c r="H780" s="11" t="n">
        <x:v>16413203</x:v>
      </x:c>
      <x:c r="I780" s="11" t="n">
        <x:v>40505147</x:v>
      </x:c>
      <x:c r="J780" s="11"/>
      <x:c r="K780" s="12" t="n">
        <x:v>1</x:v>
      </x:c>
      <x:c r="L780" s="12"/>
      <x:c r="M780" s="8" t="str">
        <x:v>N/A</x:v>
      </x:c>
    </x:row>
    <x:row r="781">
      <x:c r="A781" s="8" t="str">
        <x:v>Langford|Total TCA</x:v>
      </x:c>
      <x:c r="B781" s="8" t="str">
        <x:v>langford-c</x:v>
      </x:c>
      <x:c r="C781" s="8" t="str">
        <x:v>Langford</x:v>
      </x:c>
      <x:c r="D781" s="8" t="str">
        <x:v>Total TCA</x:v>
      </x:c>
      <x:c r="E781" s="11" t="n">
        <x:v>910392260</x:v>
      </x:c>
      <x:c r="F781" s="11" t="n">
        <x:v>150371781</x:v>
      </x:c>
      <x:c r="G781" s="11" t="n">
        <x:v>760020479</x:v>
      </x:c>
      <x:c r="H781" s="11" t="n">
        <x:v>64432188</x:v>
      </x:c>
      <x:c r="I781" s="11" t="n">
        <x:v>910392260</x:v>
      </x:c>
      <x:c r="J781" s="11" t="n">
        <x:v>10704877</x:v>
      </x:c>
      <x:c r="K781" s="12" t="n">
        <x:v>0.834827483045605</x:v>
      </x:c>
      <x:c r="L781" s="12" t="n">
        <x:v>0.9882414674746905</x:v>
      </x:c>
      <x:c r="M781" s="8"/>
    </x:row>
    <x:row r="782">
      <x:c r="A782" s="8" t="str">
        <x:v>Langley (City)|Land</x:v>
      </x:c>
      <x:c r="B782" s="8" t="str">
        <x:v>langley-c</x:v>
      </x:c>
      <x:c r="C782" s="8" t="str">
        <x:v>Langley (City)</x:v>
      </x:c>
      <x:c r="D782" s="8" t="str">
        <x:v>Land</x:v>
      </x:c>
      <x:c r="E782" s="11" t="n">
        <x:v>102086128</x:v>
      </x:c>
      <x:c r="F782" s="11"/>
      <x:c r="G782" s="11" t="n">
        <x:v>102086128</x:v>
      </x:c>
      <x:c r="H782" s="11" t="n">
        <x:v>8085000</x:v>
      </x:c>
      <x:c r="I782" s="11" t="n">
        <x:v>102086128</x:v>
      </x:c>
      <x:c r="J782" s="11"/>
      <x:c r="K782" s="12" t="n">
        <x:v>1</x:v>
      </x:c>
      <x:c r="L782" s="12"/>
      <x:c r="M782" s="8" t="str">
        <x:v>N/A</x:v>
      </x:c>
    </x:row>
    <x:row r="783">
      <x:c r="A783" s="8" t="str">
        <x:v>Langley (City)|Buildings</x:v>
      </x:c>
      <x:c r="B783" s="8" t="str">
        <x:v>langley-c</x:v>
      </x:c>
      <x:c r="C783" s="8" t="str">
        <x:v>Langley (City)</x:v>
      </x:c>
      <x:c r="D783" s="8" t="str">
        <x:v>Buildings</x:v>
      </x:c>
      <x:c r="E783" s="11" t="n">
        <x:v>43809396</x:v>
      </x:c>
      <x:c r="F783" s="11" t="n">
        <x:v>25538887</x:v>
      </x:c>
      <x:c r="G783" s="11" t="n">
        <x:v>18270509</x:v>
      </x:c>
      <x:c r="H783" s="11" t="n">
        <x:v>0</x:v>
      </x:c>
      <x:c r="I783" s="11" t="n">
        <x:v>153036423</x:v>
      </x:c>
      <x:c r="J783" s="11" t="n">
        <x:v>5822634</x:v>
      </x:c>
      <x:c r="K783" s="12" t="n">
        <x:v>0.4170454438586645</x:v>
      </x:c>
      <x:c r="L783" s="12" t="n">
        <x:v>0.9619526261405104</x:v>
      </x:c>
      <x:c r="M783" s="8" t="str">
        <x:v>No</x:v>
      </x:c>
    </x:row>
    <x:row r="784">
      <x:c r="A784" s="8" t="str">
        <x:v>Langley (City)|Fleet</x:v>
      </x:c>
      <x:c r="B784" s="8" t="str">
        <x:v>langley-c</x:v>
      </x:c>
      <x:c r="C784" s="8" t="str">
        <x:v>Langley (City)</x:v>
      </x:c>
      <x:c r="D784" s="8" t="str">
        <x:v>Fleet</x:v>
      </x:c>
      <x:c r="E784" s="11" t="n">
        <x:v>10229315</x:v>
      </x:c>
      <x:c r="F784" s="11" t="n">
        <x:v>6423481</x:v>
      </x:c>
      <x:c r="G784" s="11" t="n">
        <x:v>3805834</x:v>
      </x:c>
      <x:c r="H784" s="11" t="n">
        <x:v>566393</x:v>
      </x:c>
      <x:c r="I784" s="11" t="n">
        <x:v>16411266</x:v>
      </x:c>
      <x:c r="J784" s="11" t="n">
        <x:v>1255943</x:v>
      </x:c>
      <x:c r="K784" s="12" t="n">
        <x:v>0.37205169652122355</x:v>
      </x:c>
      <x:c r="L784" s="12" t="n">
        <x:v>0.9234706816646565</x:v>
      </x:c>
      <x:c r="M784" s="8" t="str">
        <x:v>Yes</x:v>
      </x:c>
    </x:row>
    <x:row r="785">
      <x:c r="A785" s="8" t="str">
        <x:v>Langley (City)|Parks and Recreation</x:v>
      </x:c>
      <x:c r="B785" s="8" t="str">
        <x:v>langley-c</x:v>
      </x:c>
      <x:c r="C785" s="8" t="str">
        <x:v>Langley (City)</x:v>
      </x:c>
      <x:c r="D785" s="8" t="str">
        <x:v>Parks and Recreation</x:v>
      </x:c>
      <x:c r="E785" s="11" t="n">
        <x:v>19261496</x:v>
      </x:c>
      <x:c r="F785" s="11" t="n">
        <x:v>8165394</x:v>
      </x:c>
      <x:c r="G785" s="11" t="n">
        <x:v>11096102</x:v>
      </x:c>
      <x:c r="H785" s="11" t="n">
        <x:v>737012</x:v>
      </x:c>
      <x:c r="I785" s="11" t="n">
        <x:v>32831779</x:v>
      </x:c>
      <x:c r="J785" s="11" t="n">
        <x:v>1579292</x:v>
      </x:c>
      <x:c r="K785" s="12" t="n">
        <x:v>0.5760768530128708</x:v>
      </x:c>
      <x:c r="L785" s="12" t="n">
        <x:v>0.9518974588614282</x:v>
      </x:c>
      <x:c r="M785" s="8" t="str">
        <x:v>No</x:v>
      </x:c>
    </x:row>
    <x:row r="786">
      <x:c r="A786" s="8" t="str">
        <x:v>Langley (City)|Water System</x:v>
      </x:c>
      <x:c r="B786" s="8" t="str">
        <x:v>langley-c</x:v>
      </x:c>
      <x:c r="C786" s="8" t="str">
        <x:v>Langley (City)</x:v>
      </x:c>
      <x:c r="D786" s="8" t="str">
        <x:v>Water System</x:v>
      </x:c>
      <x:c r="E786" s="11" t="n">
        <x:v>29715602</x:v>
      </x:c>
      <x:c r="F786" s="11" t="n">
        <x:v>12548432</x:v>
      </x:c>
      <x:c r="G786" s="11" t="n">
        <x:v>17167170</x:v>
      </x:c>
      <x:c r="H786" s="11" t="n">
        <x:v>0</x:v>
      </x:c>
      <x:c r="I786" s="11" t="n">
        <x:v>139830726</x:v>
      </x:c>
      <x:c r="J786" s="11" t="n">
        <x:v>2172482</x:v>
      </x:c>
      <x:c r="K786" s="12" t="n">
        <x:v>0.5777157063821221</x:v>
      </x:c>
      <x:c r="L786" s="12" t="n">
        <x:v>0.9844634862297719</x:v>
      </x:c>
      <x:c r="M786" s="8" t="str">
        <x:v>No</x:v>
      </x:c>
    </x:row>
    <x:row r="787">
      <x:c r="A787" s="8" t="str">
        <x:v>Langley (City)|Sewer System</x:v>
      </x:c>
      <x:c r="B787" s="8" t="str">
        <x:v>langley-c</x:v>
      </x:c>
      <x:c r="C787" s="8" t="str">
        <x:v>Langley (City)</x:v>
      </x:c>
      <x:c r="D787" s="8" t="str">
        <x:v>Sewer System</x:v>
      </x:c>
      <x:c r="E787" s="11" t="n">
        <x:v>17494738</x:v>
      </x:c>
      <x:c r="F787" s="11" t="n">
        <x:v>10244031</x:v>
      </x:c>
      <x:c r="G787" s="11" t="n">
        <x:v>7250707</x:v>
      </x:c>
      <x:c r="H787" s="11" t="n">
        <x:v>0</x:v>
      </x:c>
      <x:c r="I787" s="11" t="n">
        <x:v>116145954</x:v>
      </x:c>
      <x:c r="J787" s="11" t="n">
        <x:v>2094985</x:v>
      </x:c>
      <x:c r="K787" s="12" t="n">
        <x:v>0.4144507337006133</x:v>
      </x:c>
      <x:c r="L787" s="12" t="n">
        <x:v>0.9819624797261556</x:v>
      </x:c>
      <x:c r="M787" s="8" t="str">
        <x:v>No</x:v>
      </x:c>
    </x:row>
    <x:row r="788">
      <x:c r="A788" s="8" t="str">
        <x:v>Langley (City)|Drainage System</x:v>
      </x:c>
      <x:c r="B788" s="8" t="str">
        <x:v>langley-c</x:v>
      </x:c>
      <x:c r="C788" s="8" t="str">
        <x:v>Langley (City)</x:v>
      </x:c>
      <x:c r="D788" s="8" t="str">
        <x:v>Drainage System</x:v>
      </x:c>
      <x:c r="E788" s="11" t="n">
        <x:v>30526485</x:v>
      </x:c>
      <x:c r="F788" s="11" t="n">
        <x:v>10785107</x:v>
      </x:c>
      <x:c r="G788" s="11" t="n">
        <x:v>19741378</x:v>
      </x:c>
      <x:c r="H788" s="11" t="n">
        <x:v>0</x:v>
      </x:c>
      <x:c r="I788" s="11" t="n">
        <x:v>158811035</x:v>
      </x:c>
      <x:c r="J788" s="11" t="n">
        <x:v>2037812</x:v>
      </x:c>
      <x:c r="K788" s="12" t="n">
        <x:v>0.6466967290862344</x:v>
      </x:c>
      <x:c r="L788" s="12" t="n">
        <x:v>0.9871683224027852</x:v>
      </x:c>
      <x:c r="M788" s="8" t="str">
        <x:v>No</x:v>
      </x:c>
    </x:row>
    <x:row r="789">
      <x:c r="A789" s="8" t="str">
        <x:v>Langley (City)|Transportation System</x:v>
      </x:c>
      <x:c r="B789" s="8" t="str">
        <x:v>langley-c</x:v>
      </x:c>
      <x:c r="C789" s="8" t="str">
        <x:v>Langley (City)</x:v>
      </x:c>
      <x:c r="D789" s="8" t="str">
        <x:v>Transportation System</x:v>
      </x:c>
      <x:c r="E789" s="11" t="n">
        <x:v>144236868</x:v>
      </x:c>
      <x:c r="F789" s="11" t="n">
        <x:v>56049255</x:v>
      </x:c>
      <x:c r="G789" s="11" t="n">
        <x:v>88187613</x:v>
      </x:c>
      <x:c r="H789" s="11" t="n">
        <x:v>634892</x:v>
      </x:c>
      <x:c r="I789" s="11" t="n">
        <x:v>463591636</x:v>
      </x:c>
      <x:c r="J789" s="11" t="n">
        <x:v>9383232</x:v>
      </x:c>
      <x:c r="K789" s="12" t="n">
        <x:v>0.6114082635238586</x:v>
      </x:c>
      <x:c r="L789" s="12" t="n">
        <x:v>0.979759703861439</x:v>
      </x:c>
      <x:c r="M789" s="8" t="str">
        <x:v>No</x:v>
      </x:c>
    </x:row>
    <x:row r="790">
      <x:c r="A790" s="8" t="str">
        <x:v>Langley (City)|Other Engineering Systems</x:v>
      </x:c>
      <x:c r="B790" s="8" t="str">
        <x:v>langley-c</x:v>
      </x:c>
      <x:c r="C790" s="8" t="str">
        <x:v>Langley (City)</x:v>
      </x:c>
      <x:c r="D790" s="8" t="str">
        <x:v>Other Engineering Systems</x:v>
      </x:c>
      <x:c r="E790" s="11" t="n">
        <x:v>0</x:v>
      </x:c>
      <x:c r="F790" s="11" t="n">
        <x:v>0</x:v>
      </x:c>
      <x:c r="G790" s="11" t="n">
        <x:v>0</x:v>
      </x:c>
      <x:c r="H790" s="11" t="n">
        <x:v>0</x:v>
      </x:c>
      <x:c r="I790" s="11" t="n">
        <x:v>0</x:v>
      </x:c>
      <x:c r="J790" s="11" t="n">
        <x:v>0</x:v>
      </x:c>
      <x:c r="K790" s="12"/>
      <x:c r="L790" s="12"/>
      <x:c r="M790" s="8"/>
    </x:row>
    <x:row r="791">
      <x:c r="A791" s="8" t="str">
        <x:v>Langley (City)|Other Tangible Capital Assets</x:v>
      </x:c>
      <x:c r="B791" s="8" t="str">
        <x:v>langley-c</x:v>
      </x:c>
      <x:c r="C791" s="8" t="str">
        <x:v>Langley (City)</x:v>
      </x:c>
      <x:c r="D791" s="8" t="str">
        <x:v>Other Tangible Capital Assets</x:v>
      </x:c>
      <x:c r="E791" s="11" t="n">
        <x:v>11161704</x:v>
      </x:c>
      <x:c r="F791" s="11" t="n">
        <x:v>7887170</x:v>
      </x:c>
      <x:c r="G791" s="11" t="n">
        <x:v>3274534</x:v>
      </x:c>
      <x:c r="H791" s="11" t="n">
        <x:v>754803</x:v>
      </x:c>
      <x:c r="I791" s="11" t="n">
        <x:v>16625108</x:v>
      </x:c>
      <x:c r="J791" s="11" t="n">
        <x:v>1800681</x:v>
      </x:c>
      <x:c r="K791" s="12" t="n">
        <x:v>0.2933722306199842</x:v>
      </x:c>
      <x:c r="L791" s="12" t="n">
        <x:v>0.8916890645161524</x:v>
      </x:c>
      <x:c r="M791" s="8" t="str">
        <x:v>N/A</x:v>
      </x:c>
    </x:row>
    <x:row r="792">
      <x:c r="A792" s="8" t="str">
        <x:v>Langley (City)|Work In Progress</x:v>
      </x:c>
      <x:c r="B792" s="8" t="str">
        <x:v>langley-c</x:v>
      </x:c>
      <x:c r="C792" s="8" t="str">
        <x:v>Langley (City)</x:v>
      </x:c>
      <x:c r="D792" s="8" t="str">
        <x:v>Work In Progress</x:v>
      </x:c>
      <x:c r="E792" s="11" t="n">
        <x:v>55489967</x:v>
      </x:c>
      <x:c r="F792" s="11"/>
      <x:c r="G792" s="11" t="n">
        <x:v>55489967</x:v>
      </x:c>
      <x:c r="H792" s="11" t="n">
        <x:v>22079074</x:v>
      </x:c>
      <x:c r="I792" s="11" t="n">
        <x:v>55489967</x:v>
      </x:c>
      <x:c r="J792" s="11"/>
      <x:c r="K792" s="12" t="n">
        <x:v>1</x:v>
      </x:c>
      <x:c r="L792" s="12"/>
      <x:c r="M792" s="8" t="str">
        <x:v>N/A</x:v>
      </x:c>
    </x:row>
    <x:row r="793">
      <x:c r="A793" s="8" t="str">
        <x:v>Langley (City)|Total TCA</x:v>
      </x:c>
      <x:c r="B793" s="8" t="str">
        <x:v>langley-c</x:v>
      </x:c>
      <x:c r="C793" s="8" t="str">
        <x:v>Langley (City)</x:v>
      </x:c>
      <x:c r="D793" s="8" t="str">
        <x:v>Total TCA</x:v>
      </x:c>
      <x:c r="E793" s="11" t="n">
        <x:v>464011699</x:v>
      </x:c>
      <x:c r="F793" s="11" t="n">
        <x:v>137641757</x:v>
      </x:c>
      <x:c r="G793" s="11" t="n">
        <x:v>326369942</x:v>
      </x:c>
      <x:c r="H793" s="11" t="n">
        <x:v>32857174</x:v>
      </x:c>
      <x:c r="I793" s="11" t="n">
        <x:v>1254860022</x:v>
      </x:c>
      <x:c r="J793" s="11" t="n">
        <x:v>26147061</x:v>
      </x:c>
      <x:c r="K793" s="12" t="n">
        <x:v>0.7033657614740442</x:v>
      </x:c>
      <x:c r="L793" s="12" t="n">
        <x:v>0.9791633644059146</x:v>
      </x:c>
      <x:c r="M793" s="8"/>
    </x:row>
    <x:row r="794">
      <x:c r="A794" s="8" t="str">
        <x:v>Langley (District)|Land</x:v>
      </x:c>
      <x:c r="B794" s="8" t="str">
        <x:v>langley-d</x:v>
      </x:c>
      <x:c r="C794" s="8" t="str">
        <x:v>Langley (District)</x:v>
      </x:c>
      <x:c r="D794" s="8" t="str">
        <x:v>Land</x:v>
      </x:c>
      <x:c r="E794" s="11" t="n">
        <x:v>1338206000</x:v>
      </x:c>
      <x:c r="F794" s="11"/>
      <x:c r="G794" s="11" t="n">
        <x:v>1338206000</x:v>
      </x:c>
      <x:c r="H794" s="11" t="n">
        <x:v>103221000</x:v>
      </x:c>
      <x:c r="I794" s="11" t="n">
        <x:v>1338206000</x:v>
      </x:c>
      <x:c r="J794" s="11"/>
      <x:c r="K794" s="12" t="n">
        <x:v>1</x:v>
      </x:c>
      <x:c r="L794" s="12"/>
      <x:c r="M794" s="8" t="str">
        <x:v>N/A</x:v>
      </x:c>
    </x:row>
    <x:row r="795">
      <x:c r="A795" s="8" t="str">
        <x:v>Langley (District)|Buildings</x:v>
      </x:c>
      <x:c r="B795" s="8" t="str">
        <x:v>langley-d</x:v>
      </x:c>
      <x:c r="C795" s="8" t="str">
        <x:v>Langley (District)</x:v>
      </x:c>
      <x:c r="D795" s="8" t="str">
        <x:v>Buildings</x:v>
      </x:c>
      <x:c r="E795" s="11" t="n">
        <x:v>283567000</x:v>
      </x:c>
      <x:c r="F795" s="11" t="n">
        <x:v>121084000</x:v>
      </x:c>
      <x:c r="G795" s="11" t="n">
        <x:v>162483000</x:v>
      </x:c>
      <x:c r="H795" s="11" t="n">
        <x:v>30814000</x:v>
      </x:c>
      <x:c r="I795" s="11" t="n">
        <x:v>162483000</x:v>
      </x:c>
      <x:c r="J795" s="11" t="n">
        <x:v>9090000</x:v>
      </x:c>
      <x:c r="K795" s="12" t="n">
        <x:v>0.572996857885438</x:v>
      </x:c>
      <x:c r="L795" s="12" t="n">
        <x:v>0.9440556858255941</x:v>
      </x:c>
      <x:c r="M795" s="8" t="str">
        <x:v>No</x:v>
      </x:c>
    </x:row>
    <x:row r="796">
      <x:c r="A796" s="8" t="str">
        <x:v>Langley (District)|Fleet</x:v>
      </x:c>
      <x:c r="B796" s="8" t="str">
        <x:v>langley-d</x:v>
      </x:c>
      <x:c r="C796" s="8" t="str">
        <x:v>Langley (District)</x:v>
      </x:c>
      <x:c r="D796" s="8" t="str">
        <x:v>Fleet</x:v>
      </x:c>
      <x:c r="E796" s="11" t="n">
        <x:v>37886000</x:v>
      </x:c>
      <x:c r="F796" s="11" t="n">
        <x:v>18519000</x:v>
      </x:c>
      <x:c r="G796" s="11" t="n">
        <x:v>19367000</x:v>
      </x:c>
      <x:c r="H796" s="11" t="n">
        <x:v>6128000</x:v>
      </x:c>
      <x:c r="I796" s="11" t="n">
        <x:v>19367000</x:v>
      </x:c>
      <x:c r="J796" s="11" t="n">
        <x:v>2205000</x:v>
      </x:c>
      <x:c r="K796" s="12" t="n">
        <x:v>0.5111914691442749</x:v>
      </x:c>
      <x:c r="L796" s="12" t="n">
        <x:v>0.8861465379253369</x:v>
      </x:c>
      <x:c r="M796" s="8" t="str">
        <x:v>No</x:v>
      </x:c>
    </x:row>
    <x:row r="797">
      <x:c r="A797" s="8" t="str">
        <x:v>Langley (District)|Parks and Recreation</x:v>
      </x:c>
      <x:c r="B797" s="8" t="str">
        <x:v>langley-d</x:v>
      </x:c>
      <x:c r="C797" s="8" t="str">
        <x:v>Langley (District)</x:v>
      </x:c>
      <x:c r="D797" s="8" t="str">
        <x:v>Parks and Recreation</x:v>
      </x:c>
      <x:c r="E797" s="11" t="n">
        <x:v>131055000</x:v>
      </x:c>
      <x:c r="F797" s="11" t="n">
        <x:v>70706000</x:v>
      </x:c>
      <x:c r="G797" s="11" t="n">
        <x:v>60349000</x:v>
      </x:c>
      <x:c r="H797" s="11" t="n">
        <x:v>10959000</x:v>
      </x:c>
      <x:c r="I797" s="11" t="n">
        <x:v>60349000</x:v>
      </x:c>
      <x:c r="J797" s="11" t="n">
        <x:v>4238000</x:v>
      </x:c>
      <x:c r="K797" s="12" t="n">
        <x:v>0.46048605547289306</x:v>
      </x:c>
      <x:c r="L797" s="12" t="n">
        <x:v>0.9297751412616613</x:v>
      </x:c>
      <x:c r="M797" s="8" t="str">
        <x:v>Yes</x:v>
      </x:c>
    </x:row>
    <x:row r="798">
      <x:c r="A798" s="8" t="str">
        <x:v>Langley (District)|Water System</x:v>
      </x:c>
      <x:c r="B798" s="8" t="str">
        <x:v>langley-d</x:v>
      </x:c>
      <x:c r="C798" s="8" t="str">
        <x:v>Langley (District)</x:v>
      </x:c>
      <x:c r="D798" s="8" t="str">
        <x:v>Water System</x:v>
      </x:c>
      <x:c r="E798" s="11" t="n">
        <x:v>254507000</x:v>
      </x:c>
      <x:c r="F798" s="11" t="n">
        <x:v>93914000</x:v>
      </x:c>
      <x:c r="G798" s="11" t="n">
        <x:v>160593000</x:v>
      </x:c>
      <x:c r="H798" s="11" t="n">
        <x:v>7663000</x:v>
      </x:c>
      <x:c r="I798" s="11" t="n">
        <x:v>160593000</x:v>
      </x:c>
      <x:c r="J798" s="11" t="n">
        <x:v>4079000</x:v>
      </x:c>
      <x:c r="K798" s="12" t="n">
        <x:v>0.630996396955683</x:v>
      </x:c>
      <x:c r="L798" s="12" t="n">
        <x:v>0.9746003873145156</x:v>
      </x:c>
      <x:c r="M798" s="8" t="str">
        <x:v>Yes</x:v>
      </x:c>
    </x:row>
    <x:row r="799">
      <x:c r="A799" s="8" t="str">
        <x:v>Langley (District)|Sewer System</x:v>
      </x:c>
      <x:c r="B799" s="8" t="str">
        <x:v>langley-d</x:v>
      </x:c>
      <x:c r="C799" s="8" t="str">
        <x:v>Langley (District)</x:v>
      </x:c>
      <x:c r="D799" s="8" t="str">
        <x:v>Sewer System</x:v>
      </x:c>
      <x:c r="E799" s="11" t="n">
        <x:v>174551000</x:v>
      </x:c>
      <x:c r="F799" s="11" t="n">
        <x:v>50918000</x:v>
      </x:c>
      <x:c r="G799" s="11" t="n">
        <x:v>123633000</x:v>
      </x:c>
      <x:c r="H799" s="11" t="n">
        <x:v>7125000</x:v>
      </x:c>
      <x:c r="I799" s="11" t="n">
        <x:v>123633000</x:v>
      </x:c>
      <x:c r="J799" s="11" t="n">
        <x:v>2616000</x:v>
      </x:c>
      <x:c r="K799" s="12" t="n">
        <x:v>0.7082915594869121</x:v>
      </x:c>
      <x:c r="L799" s="12" t="n">
        <x:v>0.9788406008104632</x:v>
      </x:c>
      <x:c r="M799" s="8" t="str">
        <x:v>Yes</x:v>
      </x:c>
    </x:row>
    <x:row r="800">
      <x:c r="A800" s="8" t="str">
        <x:v>Langley (District)|Drainage System</x:v>
      </x:c>
      <x:c r="B800" s="8" t="str">
        <x:v>langley-d</x:v>
      </x:c>
      <x:c r="C800" s="8" t="str">
        <x:v>Langley (District)</x:v>
      </x:c>
      <x:c r="D800" s="8" t="str">
        <x:v>Drainage System</x:v>
      </x:c>
      <x:c r="E800" s="11" t="n">
        <x:v>350242000</x:v>
      </x:c>
      <x:c r="F800" s="11" t="n">
        <x:v>104925000</x:v>
      </x:c>
      <x:c r="G800" s="11" t="n">
        <x:v>245317000</x:v>
      </x:c>
      <x:c r="H800" s="11" t="n">
        <x:v>20399000</x:v>
      </x:c>
      <x:c r="I800" s="11" t="n">
        <x:v>245317000</x:v>
      </x:c>
      <x:c r="J800" s="11" t="n">
        <x:v>5280000</x:v>
      </x:c>
      <x:c r="K800" s="12" t="n">
        <x:v>0.7004214229018793</x:v>
      </x:c>
      <x:c r="L800" s="12" t="n">
        <x:v>0.9784768279409907</x:v>
      </x:c>
      <x:c r="M800" s="8" t="str">
        <x:v>Yes</x:v>
      </x:c>
    </x:row>
    <x:row r="801">
      <x:c r="A801" s="8" t="str">
        <x:v>Langley (District)|Transportation System</x:v>
      </x:c>
      <x:c r="B801" s="8" t="str">
        <x:v>langley-d</x:v>
      </x:c>
      <x:c r="C801" s="8" t="str">
        <x:v>Langley (District)</x:v>
      </x:c>
      <x:c r="D801" s="8" t="str">
        <x:v>Transportation System</x:v>
      </x:c>
      <x:c r="E801" s="11" t="n">
        <x:v>687012000</x:v>
      </x:c>
      <x:c r="F801" s="11" t="n">
        <x:v>325230000</x:v>
      </x:c>
      <x:c r="G801" s="11" t="n">
        <x:v>361782000</x:v>
      </x:c>
      <x:c r="H801" s="11" t="n">
        <x:v>44080000</x:v>
      </x:c>
      <x:c r="I801" s="11" t="n">
        <x:v>361782000</x:v>
      </x:c>
      <x:c r="J801" s="11" t="n">
        <x:v>16489000</x:v>
      </x:c>
      <x:c r="K801" s="12" t="n">
        <x:v>0.526602155420866</x:v>
      </x:c>
      <x:c r="L801" s="12" t="n">
        <x:v>0.9544228292175951</x:v>
      </x:c>
      <x:c r="M801" s="8" t="str">
        <x:v>In_Progress</x:v>
      </x:c>
    </x:row>
    <x:row r="802">
      <x:c r="A802" s="8" t="str">
        <x:v>Langley (District)|Other Engineering Systems</x:v>
      </x:c>
      <x:c r="B802" s="8" t="str">
        <x:v>langley-d</x:v>
      </x:c>
      <x:c r="C802" s="8" t="str">
        <x:v>Langley (District)</x:v>
      </x:c>
      <x:c r="D802" s="8" t="str">
        <x:v>Other Engineering Systems</x:v>
      </x:c>
      <x:c r="E802" s="11" t="n">
        <x:v>0</x:v>
      </x:c>
      <x:c r="F802" s="11" t="n">
        <x:v>0</x:v>
      </x:c>
      <x:c r="G802" s="11" t="n">
        <x:v>0</x:v>
      </x:c>
      <x:c r="H802" s="11" t="n">
        <x:v>0</x:v>
      </x:c>
      <x:c r="I802" s="11" t="n">
        <x:v>0</x:v>
      </x:c>
      <x:c r="J802" s="11" t="n">
        <x:v>0</x:v>
      </x:c>
      <x:c r="K802" s="12"/>
      <x:c r="L802" s="12"/>
      <x:c r="M802" s="8"/>
    </x:row>
    <x:row r="803">
      <x:c r="A803" s="8" t="str">
        <x:v>Langley (District)|Other Tangible Capital Assets</x:v>
      </x:c>
      <x:c r="B803" s="8" t="str">
        <x:v>langley-d</x:v>
      </x:c>
      <x:c r="C803" s="8" t="str">
        <x:v>Langley (District)</x:v>
      </x:c>
      <x:c r="D803" s="8" t="str">
        <x:v>Other Tangible Capital Assets</x:v>
      </x:c>
      <x:c r="E803" s="11" t="n">
        <x:v>66436000</x:v>
      </x:c>
      <x:c r="F803" s="11" t="n">
        <x:v>42044000</x:v>
      </x:c>
      <x:c r="G803" s="11" t="n">
        <x:v>24392000</x:v>
      </x:c>
      <x:c r="H803" s="11" t="n">
        <x:v>7469000</x:v>
      </x:c>
      <x:c r="I803" s="11" t="n">
        <x:v>24392000</x:v>
      </x:c>
      <x:c r="J803" s="11" t="n">
        <x:v>3858000</x:v>
      </x:c>
      <x:c r="K803" s="12" t="n">
        <x:v>0.3671503401770125</x:v>
      </x:c>
      <x:c r="L803" s="12" t="n">
        <x:v>0.8418333879960642</x:v>
      </x:c>
      <x:c r="M803" s="8" t="str">
        <x:v>N/A</x:v>
      </x:c>
    </x:row>
    <x:row r="804">
      <x:c r="A804" s="8" t="str">
        <x:v>Langley (District)|Work In Progress</x:v>
      </x:c>
      <x:c r="B804" s="8" t="str">
        <x:v>langley-d</x:v>
      </x:c>
      <x:c r="C804" s="8" t="str">
        <x:v>Langley (District)</x:v>
      </x:c>
      <x:c r="D804" s="8" t="str">
        <x:v>Work In Progress</x:v>
      </x:c>
      <x:c r="E804" s="11" t="n">
        <x:v>143493000</x:v>
      </x:c>
      <x:c r="F804" s="11"/>
      <x:c r="G804" s="11" t="n">
        <x:v>143493000</x:v>
      </x:c>
      <x:c r="H804" s="11" t="n">
        <x:v>57501000</x:v>
      </x:c>
      <x:c r="I804" s="11" t="n">
        <x:v>143493000</x:v>
      </x:c>
      <x:c r="J804" s="11"/>
      <x:c r="K804" s="12" t="n">
        <x:v>1</x:v>
      </x:c>
      <x:c r="L804" s="12"/>
      <x:c r="M804" s="8" t="str">
        <x:v>N/A</x:v>
      </x:c>
    </x:row>
    <x:row r="805">
      <x:c r="A805" s="8" t="str">
        <x:v>Langley (District)|Total TCA</x:v>
      </x:c>
      <x:c r="B805" s="8" t="str">
        <x:v>langley-d</x:v>
      </x:c>
      <x:c r="C805" s="8" t="str">
        <x:v>Langley (District)</x:v>
      </x:c>
      <x:c r="D805" s="8" t="str">
        <x:v>Total TCA</x:v>
      </x:c>
      <x:c r="E805" s="11" t="n">
        <x:v>3466955000</x:v>
      </x:c>
      <x:c r="F805" s="11" t="n">
        <x:v>827340000</x:v>
      </x:c>
      <x:c r="G805" s="11" t="n">
        <x:v>2639615000</x:v>
      </x:c>
      <x:c r="H805" s="11" t="n">
        <x:v>295359000</x:v>
      </x:c>
      <x:c r="I805" s="11" t="n">
        <x:v>2639615000</x:v>
      </x:c>
      <x:c r="J805" s="11" t="n">
        <x:v>47855000</x:v>
      </x:c>
      <x:c r="K805" s="12" t="n">
        <x:v>0.7613640788530569</x:v>
      </x:c>
      <x:c r="L805" s="12" t="n">
        <x:v>0.9818704621696724</x:v>
      </x:c>
      <x:c r="M805" s="8"/>
    </x:row>
    <x:row r="806">
      <x:c r="A806" s="8" t="str">
        <x:v>Lantzville|Land</x:v>
      </x:c>
      <x:c r="B806" s="8" t="str">
        <x:v>lantzville-d</x:v>
      </x:c>
      <x:c r="C806" s="8" t="str">
        <x:v>Lantzville</x:v>
      </x:c>
      <x:c r="D806" s="8" t="str">
        <x:v>Land</x:v>
      </x:c>
      <x:c r="E806" s="11" t="n">
        <x:v>20516698</x:v>
      </x:c>
      <x:c r="F806" s="11"/>
      <x:c r="G806" s="11" t="n">
        <x:v>20516698</x:v>
      </x:c>
      <x:c r="H806" s="11" t="n">
        <x:v>0</x:v>
      </x:c>
      <x:c r="I806" s="11" t="n">
        <x:v>20516698</x:v>
      </x:c>
      <x:c r="J806" s="11"/>
      <x:c r="K806" s="12" t="n">
        <x:v>1</x:v>
      </x:c>
      <x:c r="L806" s="12"/>
      <x:c r="M806" s="8" t="str">
        <x:v>N/A</x:v>
      </x:c>
    </x:row>
    <x:row r="807">
      <x:c r="A807" s="8" t="str">
        <x:v>Lantzville|Buildings</x:v>
      </x:c>
      <x:c r="B807" s="8" t="str">
        <x:v>lantzville-d</x:v>
      </x:c>
      <x:c r="C807" s="8" t="str">
        <x:v>Lantzville</x:v>
      </x:c>
      <x:c r="D807" s="8" t="str">
        <x:v>Buildings</x:v>
      </x:c>
      <x:c r="E807" s="11" t="n">
        <x:v>2104284</x:v>
      </x:c>
      <x:c r="F807" s="11" t="n">
        <x:v>1257957</x:v>
      </x:c>
      <x:c r="G807" s="11" t="n">
        <x:v>846327</x:v>
      </x:c>
      <x:c r="H807" s="11" t="n">
        <x:v>11131</x:v>
      </x:c>
      <x:c r="I807" s="11" t="n">
        <x:v>18851712</x:v>
      </x:c>
      <x:c r="J807" s="11" t="n">
        <x:v>471293</x:v>
      </x:c>
      <x:c r="K807" s="12" t="n">
        <x:v>0.4021923846781138</x:v>
      </x:c>
      <x:c r="L807" s="12" t="n">
        <x:v>0.974999989390884</x:v>
      </x:c>
      <x:c r="M807" s="8" t="str">
        <x:v>Yes</x:v>
      </x:c>
    </x:row>
    <x:row r="808">
      <x:c r="A808" s="8" t="str">
        <x:v>Lantzville|Fleet</x:v>
      </x:c>
      <x:c r="B808" s="8" t="str">
        <x:v>lantzville-d</x:v>
      </x:c>
      <x:c r="C808" s="8" t="str">
        <x:v>Lantzville</x:v>
      </x:c>
      <x:c r="D808" s="8" t="str">
        <x:v>Fleet</x:v>
      </x:c>
      <x:c r="E808" s="11" t="n">
        <x:v>2620384</x:v>
      </x:c>
      <x:c r="F808" s="11" t="n">
        <x:v>1021910</x:v>
      </x:c>
      <x:c r="G808" s="11" t="n">
        <x:v>1598474</x:v>
      </x:c>
      <x:c r="H808" s="11" t="n">
        <x:v>172968</x:v>
      </x:c>
      <x:c r="I808" s="11" t="n">
        <x:v>4451018</x:v>
      </x:c>
      <x:c r="J808" s="11" t="n">
        <x:v>296735</x:v>
      </x:c>
      <x:c r="K808" s="12" t="n">
        <x:v>0.610015173348639</x:v>
      </x:c>
      <x:c r="L808" s="12" t="n">
        <x:v>0.9333332284884042</x:v>
      </x:c>
      <x:c r="M808" s="8" t="str">
        <x:v>Yes</x:v>
      </x:c>
    </x:row>
    <x:row r="809">
      <x:c r="A809" s="8" t="str">
        <x:v>Lantzville|Parks and Recreation</x:v>
      </x:c>
      <x:c r="B809" s="8" t="str">
        <x:v>lantzville-d</x:v>
      </x:c>
      <x:c r="C809" s="8" t="str">
        <x:v>Lantzville</x:v>
      </x:c>
      <x:c r="D809" s="8" t="str">
        <x:v>Parks and Recreation</x:v>
      </x:c>
      <x:c r="E809" s="11" t="n">
        <x:v>2086130</x:v>
      </x:c>
      <x:c r="F809" s="11" t="n">
        <x:v>707559</x:v>
      </x:c>
      <x:c r="G809" s="11" t="n">
        <x:v>1378571</x:v>
      </x:c>
      <x:c r="H809" s="11" t="n">
        <x:v>63881</x:v>
      </x:c>
      <x:c r="I809" s="11" t="n">
        <x:v>956051</x:v>
      </x:c>
      <x:c r="J809" s="11" t="n">
        <x:v>38242</x:v>
      </x:c>
      <x:c r="K809" s="12" t="n">
        <x:v>0.6608269858541893</x:v>
      </x:c>
      <x:c r="L809" s="12" t="n">
        <x:v>0.9600000418387722</x:v>
      </x:c>
      <x:c r="M809" s="8" t="str">
        <x:v>Yes</x:v>
      </x:c>
    </x:row>
    <x:row r="810">
      <x:c r="A810" s="8" t="str">
        <x:v>Lantzville|Water System</x:v>
      </x:c>
      <x:c r="B810" s="8" t="str">
        <x:v>lantzville-d</x:v>
      </x:c>
      <x:c r="C810" s="8" t="str">
        <x:v>Lantzville</x:v>
      </x:c>
      <x:c r="D810" s="8" t="str">
        <x:v>Water System</x:v>
      </x:c>
      <x:c r="E810" s="11" t="n">
        <x:v>18644557</x:v>
      </x:c>
      <x:c r="F810" s="11" t="n">
        <x:v>3391535</x:v>
      </x:c>
      <x:c r="G810" s="11" t="n">
        <x:v>15253022</x:v>
      </x:c>
      <x:c r="H810" s="11" t="n">
        <x:v>885162</x:v>
      </x:c>
      <x:c r="I810" s="11" t="n">
        <x:v>20509012</x:v>
      </x:c>
      <x:c r="J810" s="11" t="n">
        <x:v>263835</x:v>
      </x:c>
      <x:c r="K810" s="12" t="n">
        <x:v>0.8180951684719567</x:v>
      </x:c>
      <x:c r="L810" s="12" t="n">
        <x:v>0.9871356552914397</x:v>
      </x:c>
      <x:c r="M810" s="8" t="str">
        <x:v>Yes</x:v>
      </x:c>
    </x:row>
    <x:row r="811">
      <x:c r="A811" s="8" t="str">
        <x:v>Lantzville|Sewer System</x:v>
      </x:c>
      <x:c r="B811" s="8" t="str">
        <x:v>lantzville-d</x:v>
      </x:c>
      <x:c r="C811" s="8" t="str">
        <x:v>Lantzville</x:v>
      </x:c>
      <x:c r="D811" s="8" t="str">
        <x:v>Sewer System</x:v>
      </x:c>
      <x:c r="E811" s="11" t="n">
        <x:v>17067290</x:v>
      </x:c>
      <x:c r="F811" s="11" t="n">
        <x:v>1987152</x:v>
      </x:c>
      <x:c r="G811" s="11" t="n">
        <x:v>15080138</x:v>
      </x:c>
      <x:c r="H811" s="11" t="n">
        <x:v>0</x:v>
      </x:c>
      <x:c r="I811" s="11" t="n">
        <x:v>18774019</x:v>
      </x:c>
      <x:c r="J811" s="11" t="n">
        <x:v>187740</x:v>
      </x:c>
      <x:c r="K811" s="12" t="n">
        <x:v>0.883569564939718</x:v>
      </x:c>
      <x:c r="L811" s="12" t="n">
        <x:v>0.990000010120369</x:v>
      </x:c>
      <x:c r="M811" s="8" t="str">
        <x:v>Yes</x:v>
      </x:c>
    </x:row>
    <x:row r="812">
      <x:c r="A812" s="8" t="str">
        <x:v>Lantzville|Drainage System</x:v>
      </x:c>
      <x:c r="B812" s="8" t="str">
        <x:v>lantzville-d</x:v>
      </x:c>
      <x:c r="C812" s="8" t="str">
        <x:v>Lantzville</x:v>
      </x:c>
      <x:c r="D812" s="8" t="str">
        <x:v>Drainage System</x:v>
      </x:c>
      <x:c r="E812" s="11" t="n">
        <x:v>0</x:v>
      </x:c>
      <x:c r="F812" s="11" t="n">
        <x:v>0</x:v>
      </x:c>
      <x:c r="G812" s="11" t="n">
        <x:v>0</x:v>
      </x:c>
      <x:c r="H812" s="11" t="n">
        <x:v>0</x:v>
      </x:c>
      <x:c r="I812" s="11" t="n">
        <x:v>0</x:v>
      </x:c>
      <x:c r="J812" s="11" t="n">
        <x:v>0</x:v>
      </x:c>
      <x:c r="K812" s="12"/>
      <x:c r="L812" s="12"/>
      <x:c r="M812" s="8"/>
    </x:row>
    <x:row r="813">
      <x:c r="A813" s="8" t="str">
        <x:v>Lantzville|Transportation System</x:v>
      </x:c>
      <x:c r="B813" s="8" t="str">
        <x:v>lantzville-d</x:v>
      </x:c>
      <x:c r="C813" s="8" t="str">
        <x:v>Lantzville</x:v>
      </x:c>
      <x:c r="D813" s="8" t="str">
        <x:v>Transportation System</x:v>
      </x:c>
      <x:c r="E813" s="11" t="n">
        <x:v>19446012</x:v>
      </x:c>
      <x:c r="F813" s="11" t="n">
        <x:v>7035692</x:v>
      </x:c>
      <x:c r="G813" s="11" t="n">
        <x:v>12410320</x:v>
      </x:c>
      <x:c r="H813" s="11" t="n">
        <x:v>0</x:v>
      </x:c>
      <x:c r="I813" s="11" t="n">
        <x:v>18119845</x:v>
      </x:c>
      <x:c r="J813" s="11" t="n">
        <x:v>0</x:v>
      </x:c>
      <x:c r="K813" s="12" t="n">
        <x:v>0.6381935792284814</x:v>
      </x:c>
      <x:c r="L813" s="12" t="n">
        <x:v>1</x:v>
      </x:c>
      <x:c r="M813" s="8" t="str">
        <x:v>Yes</x:v>
      </x:c>
    </x:row>
    <x:row r="814">
      <x:c r="A814" s="8" t="str">
        <x:v>Lantzville|Other Engineering Systems</x:v>
      </x:c>
      <x:c r="B814" s="8" t="str">
        <x:v>lantzville-d</x:v>
      </x:c>
      <x:c r="C814" s="8" t="str">
        <x:v>Lantzville</x:v>
      </x:c>
      <x:c r="D814" s="8" t="str">
        <x:v>Other Engineering Systems</x:v>
      </x:c>
      <x:c r="E814" s="11" t="n">
        <x:v>0</x:v>
      </x:c>
      <x:c r="F814" s="11" t="n">
        <x:v>0</x:v>
      </x:c>
      <x:c r="G814" s="11" t="n">
        <x:v>0</x:v>
      </x:c>
      <x:c r="H814" s="11" t="n">
        <x:v>0</x:v>
      </x:c>
      <x:c r="I814" s="11" t="n">
        <x:v>0</x:v>
      </x:c>
      <x:c r="J814" s="11" t="n">
        <x:v>0</x:v>
      </x:c>
      <x:c r="K814" s="12"/>
      <x:c r="L814" s="12"/>
      <x:c r="M814" s="8"/>
    </x:row>
    <x:row r="815">
      <x:c r="A815" s="8" t="str">
        <x:v>Lantzville|Other Tangible Capital Assets</x:v>
      </x:c>
      <x:c r="B815" s="8" t="str">
        <x:v>lantzville-d</x:v>
      </x:c>
      <x:c r="C815" s="8" t="str">
        <x:v>Lantzville</x:v>
      </x:c>
      <x:c r="D815" s="8" t="str">
        <x:v>Other Tangible Capital Assets</x:v>
      </x:c>
      <x:c r="E815" s="11" t="n">
        <x:v>993486</x:v>
      </x:c>
      <x:c r="F815" s="11" t="n">
        <x:v>562271</x:v>
      </x:c>
      <x:c r="G815" s="11" t="n">
        <x:v>431215</x:v>
      </x:c>
      <x:c r="H815" s="11" t="n">
        <x:v>149274</x:v>
      </x:c>
      <x:c r="I815" s="11" t="n">
        <x:v>1316432</x:v>
      </x:c>
      <x:c r="J815" s="11" t="n">
        <x:v>131643</x:v>
      </x:c>
      <x:c r="K815" s="12" t="n">
        <x:v>0.4340423518801473</x:v>
      </x:c>
      <x:c r="L815" s="12" t="n">
        <x:v>0.9000001519258116</x:v>
      </x:c>
      <x:c r="M815" s="8" t="str">
        <x:v>N/A</x:v>
      </x:c>
    </x:row>
    <x:row r="816">
      <x:c r="A816" s="8" t="str">
        <x:v>Lantzville|Work In Progress</x:v>
      </x:c>
      <x:c r="B816" s="8" t="str">
        <x:v>lantzville-d</x:v>
      </x:c>
      <x:c r="C816" s="8" t="str">
        <x:v>Lantzville</x:v>
      </x:c>
      <x:c r="D816" s="8" t="str">
        <x:v>Work In Progress</x:v>
      </x:c>
      <x:c r="E816" s="11" t="n">
        <x:v>1889875</x:v>
      </x:c>
      <x:c r="F816" s="11"/>
      <x:c r="G816" s="11" t="n">
        <x:v>1889875</x:v>
      </x:c>
      <x:c r="H816" s="11" t="n">
        <x:v>1661933</x:v>
      </x:c>
      <x:c r="I816" s="11" t="n">
        <x:v>1889875</x:v>
      </x:c>
      <x:c r="J816" s="11"/>
      <x:c r="K816" s="12" t="n">
        <x:v>1</x:v>
      </x:c>
      <x:c r="L816" s="12"/>
      <x:c r="M816" s="8" t="str">
        <x:v>N/A</x:v>
      </x:c>
    </x:row>
    <x:row r="817">
      <x:c r="A817" s="8" t="str">
        <x:v>Lantzville|Total TCA</x:v>
      </x:c>
      <x:c r="B817" s="8" t="str">
        <x:v>lantzville-d</x:v>
      </x:c>
      <x:c r="C817" s="8" t="str">
        <x:v>Lantzville</x:v>
      </x:c>
      <x:c r="D817" s="8" t="str">
        <x:v>Total TCA</x:v>
      </x:c>
      <x:c r="E817" s="11" t="n">
        <x:v>85368716</x:v>
      </x:c>
      <x:c r="F817" s="11" t="n">
        <x:v>15964076</x:v>
      </x:c>
      <x:c r="G817" s="11" t="n">
        <x:v>69404640</x:v>
      </x:c>
      <x:c r="H817" s="11" t="n">
        <x:v>2944349</x:v>
      </x:c>
      <x:c r="I817" s="11" t="n">
        <x:v>105384662</x:v>
      </x:c>
      <x:c r="J817" s="11" t="n">
        <x:v>1389488</x:v>
      </x:c>
      <x:c r="K817" s="12" t="n">
        <x:v>0.8129985227843886</x:v>
      </x:c>
      <x:c r="L817" s="12" t="n">
        <x:v>0.986815083204423</x:v>
      </x:c>
      <x:c r="M817" s="8"/>
    </x:row>
    <x:row r="818">
      <x:c r="A818" s="8" t="str">
        <x:v>Lillooet|Land</x:v>
      </x:c>
      <x:c r="B818" s="8" t="str">
        <x:v>lillooet-d</x:v>
      </x:c>
      <x:c r="C818" s="8" t="str">
        <x:v>Lillooet</x:v>
      </x:c>
      <x:c r="D818" s="8" t="str">
        <x:v>Land</x:v>
      </x:c>
      <x:c r="E818" s="11" t="n">
        <x:v>4266228</x:v>
      </x:c>
      <x:c r="F818" s="11"/>
      <x:c r="G818" s="11" t="n">
        <x:v>4266228</x:v>
      </x:c>
      <x:c r="H818" s="11" t="n">
        <x:v>0</x:v>
      </x:c>
      <x:c r="I818" s="11" t="n">
        <x:v>4266228</x:v>
      </x:c>
      <x:c r="J818" s="11"/>
      <x:c r="K818" s="12" t="n">
        <x:v>1</x:v>
      </x:c>
      <x:c r="L818" s="12"/>
      <x:c r="M818" s="8" t="str">
        <x:v>N/A</x:v>
      </x:c>
    </x:row>
    <x:row r="819">
      <x:c r="A819" s="8" t="str">
        <x:v>Lillooet|Buildings</x:v>
      </x:c>
      <x:c r="B819" s="8" t="str">
        <x:v>lillooet-d</x:v>
      </x:c>
      <x:c r="C819" s="8" t="str">
        <x:v>Lillooet</x:v>
      </x:c>
      <x:c r="D819" s="8" t="str">
        <x:v>Buildings</x:v>
      </x:c>
      <x:c r="E819" s="11" t="n">
        <x:v>8376875</x:v>
      </x:c>
      <x:c r="F819" s="11" t="n">
        <x:v>4800529</x:v>
      </x:c>
      <x:c r="G819" s="11" t="n">
        <x:v>3576346</x:v>
      </x:c>
      <x:c r="H819" s="11" t="n">
        <x:v>165284</x:v>
      </x:c>
      <x:c r="I819" s="11" t="n">
        <x:v>14281850</x:v>
      </x:c>
      <x:c r="J819" s="11" t="n">
        <x:v>376085</x:v>
      </x:c>
      <x:c r="K819" s="12" t="n">
        <x:v>0.4269308065358502</x:v>
      </x:c>
      <x:c r="L819" s="12" t="n">
        <x:v>0.9736669269037275</x:v>
      </x:c>
      <x:c r="M819" s="8" t="str">
        <x:v>Yes</x:v>
      </x:c>
    </x:row>
    <x:row r="820">
      <x:c r="A820" s="8" t="str">
        <x:v>Lillooet|Fleet</x:v>
      </x:c>
      <x:c r="B820" s="8" t="str">
        <x:v>lillooet-d</x:v>
      </x:c>
      <x:c r="C820" s="8" t="str">
        <x:v>Lillooet</x:v>
      </x:c>
      <x:c r="D820" s="8" t="str">
        <x:v>Fleet</x:v>
      </x:c>
      <x:c r="E820" s="11" t="n">
        <x:v>5930434</x:v>
      </x:c>
      <x:c r="F820" s="11" t="n">
        <x:v>2881354</x:v>
      </x:c>
      <x:c r="G820" s="11" t="n">
        <x:v>3049080</x:v>
      </x:c>
      <x:c r="H820" s="11" t="n">
        <x:v>177094</x:v>
      </x:c>
      <x:c r="I820" s="11" t="n">
        <x:v>8524122</x:v>
      </x:c>
      <x:c r="J820" s="11" t="n">
        <x:v>580943</x:v>
      </x:c>
      <x:c r="K820" s="12" t="n">
        <x:v>0.5141411235670105</x:v>
      </x:c>
      <x:c r="L820" s="12" t="n">
        <x:v>0.931847174406936</x:v>
      </x:c>
      <x:c r="M820" s="8" t="str">
        <x:v>Yes</x:v>
      </x:c>
    </x:row>
    <x:row r="821">
      <x:c r="A821" s="8" t="str">
        <x:v>Lillooet|Parks and Recreation</x:v>
      </x:c>
      <x:c r="B821" s="8" t="str">
        <x:v>lillooet-d</x:v>
      </x:c>
      <x:c r="C821" s="8" t="str">
        <x:v>Lillooet</x:v>
      </x:c>
      <x:c r="D821" s="8" t="str">
        <x:v>Parks and Recreation</x:v>
      </x:c>
      <x:c r="E821" s="11" t="n">
        <x:v>565763</x:v>
      </x:c>
      <x:c r="F821" s="11" t="n">
        <x:v>326064</x:v>
      </x:c>
      <x:c r="G821" s="11" t="n">
        <x:v>239699</x:v>
      </x:c>
      <x:c r="H821" s="11" t="n">
        <x:v>300333</x:v>
      </x:c>
      <x:c r="I821" s="11" t="n">
        <x:v>809644</x:v>
      </x:c>
      <x:c r="J821" s="11" t="n">
        <x:v>30390</x:v>
      </x:c>
      <x:c r="K821" s="12" t="n">
        <x:v>0.4236738705076154</x:v>
      </x:c>
      <x:c r="L821" s="12" t="n">
        <x:v>0.9624649846105202</x:v>
      </x:c>
      <x:c r="M821" s="8" t="str">
        <x:v>Yes</x:v>
      </x:c>
    </x:row>
    <x:row r="822">
      <x:c r="A822" s="8" t="str">
        <x:v>Lillooet|Water System</x:v>
      </x:c>
      <x:c r="B822" s="8" t="str">
        <x:v>lillooet-d</x:v>
      </x:c>
      <x:c r="C822" s="8" t="str">
        <x:v>Lillooet</x:v>
      </x:c>
      <x:c r="D822" s="8" t="str">
        <x:v>Water System</x:v>
      </x:c>
      <x:c r="E822" s="11" t="n">
        <x:v>17274916</x:v>
      </x:c>
      <x:c r="F822" s="11" t="n">
        <x:v>7824527</x:v>
      </x:c>
      <x:c r="G822" s="11" t="n">
        <x:v>9450389</x:v>
      </x:c>
      <x:c r="H822" s="11" t="n">
        <x:v>163173</x:v>
      </x:c>
      <x:c r="I822" s="11" t="n">
        <x:v>27532534</x:v>
      </x:c>
      <x:c r="J822" s="11" t="n">
        <x:v>639840</x:v>
      </x:c>
      <x:c r="K822" s="12" t="n">
        <x:v>0.5470584632654654</x:v>
      </x:c>
      <x:c r="L822" s="12" t="n">
        <x:v>0.9767605844053439</x:v>
      </x:c>
      <x:c r="M822" s="8" t="str">
        <x:v>Yes</x:v>
      </x:c>
    </x:row>
    <x:row r="823">
      <x:c r="A823" s="8" t="str">
        <x:v>Lillooet|Sewer System</x:v>
      </x:c>
      <x:c r="B823" s="8" t="str">
        <x:v>lillooet-d</x:v>
      </x:c>
      <x:c r="C823" s="8" t="str">
        <x:v>Lillooet</x:v>
      </x:c>
      <x:c r="D823" s="8" t="str">
        <x:v>Sewer System</x:v>
      </x:c>
      <x:c r="E823" s="11" t="n">
        <x:v>4552596</x:v>
      </x:c>
      <x:c r="F823" s="11" t="n">
        <x:v>2526856</x:v>
      </x:c>
      <x:c r="G823" s="11" t="n">
        <x:v>2025740</x:v>
      </x:c>
      <x:c r="H823" s="11" t="n">
        <x:v>61457</x:v>
      </x:c>
      <x:c r="I823" s="11" t="n">
        <x:v>9941921</x:v>
      </x:c>
      <x:c r="J823" s="11" t="n">
        <x:v>246827</x:v>
      </x:c>
      <x:c r="K823" s="12" t="n">
        <x:v>0.4449637086181159</x:v>
      </x:c>
      <x:c r="L823" s="12" t="n">
        <x:v>0.9751731078933337</x:v>
      </x:c>
      <x:c r="M823" s="8" t="str">
        <x:v>Yes</x:v>
      </x:c>
    </x:row>
    <x:row r="824">
      <x:c r="A824" s="8" t="str">
        <x:v>Lillooet|Drainage System</x:v>
      </x:c>
      <x:c r="B824" s="8" t="str">
        <x:v>lillooet-d</x:v>
      </x:c>
      <x:c r="C824" s="8" t="str">
        <x:v>Lillooet</x:v>
      </x:c>
      <x:c r="D824" s="8" t="str">
        <x:v>Drainage System</x:v>
      </x:c>
      <x:c r="E824" s="11" t="n">
        <x:v>1352817</x:v>
      </x:c>
      <x:c r="F824" s="11" t="n">
        <x:v>425393</x:v>
      </x:c>
      <x:c r="G824" s="11" t="n">
        <x:v>927424</x:v>
      </x:c>
      <x:c r="H824" s="11" t="n">
        <x:v>0</x:v>
      </x:c>
      <x:c r="I824" s="11" t="n">
        <x:v>3772811</x:v>
      </x:c>
      <x:c r="J824" s="11" t="n">
        <x:v>53474</x:v>
      </x:c>
      <x:c r="K824" s="12" t="n">
        <x:v>0.6855502259359544</x:v>
      </x:c>
      <x:c r="L824" s="12" t="n">
        <x:v>0.9858264832243121</x:v>
      </x:c>
      <x:c r="M824" s="8" t="str">
        <x:v>Yes</x:v>
      </x:c>
    </x:row>
    <x:row r="825">
      <x:c r="A825" s="8" t="str">
        <x:v>Lillooet|Transportation System</x:v>
      </x:c>
      <x:c r="B825" s="8" t="str">
        <x:v>lillooet-d</x:v>
      </x:c>
      <x:c r="C825" s="8" t="str">
        <x:v>Lillooet</x:v>
      </x:c>
      <x:c r="D825" s="8" t="str">
        <x:v>Transportation System</x:v>
      </x:c>
      <x:c r="E825" s="11" t="n">
        <x:v>8270211</x:v>
      </x:c>
      <x:c r="F825" s="11" t="n">
        <x:v>5530974</x:v>
      </x:c>
      <x:c r="G825" s="11" t="n">
        <x:v>2739237</x:v>
      </x:c>
      <x:c r="H825" s="11" t="n">
        <x:v>0</x:v>
      </x:c>
      <x:c r="I825" s="11" t="n">
        <x:v>23062749</x:v>
      </x:c>
      <x:c r="J825" s="11" t="n">
        <x:v>466220</x:v>
      </x:c>
      <x:c r="K825" s="12" t="n">
        <x:v>0.3312173050965689</x:v>
      </x:c>
      <x:c r="L825" s="12" t="n">
        <x:v>0.9797847169043031</x:v>
      </x:c>
      <x:c r="M825" s="8" t="str">
        <x:v>Yes</x:v>
      </x:c>
    </x:row>
    <x:row r="826">
      <x:c r="A826" s="8" t="str">
        <x:v>Lillooet|Other Engineering Systems</x:v>
      </x:c>
      <x:c r="B826" s="8" t="str">
        <x:v>lillooet-d</x:v>
      </x:c>
      <x:c r="C826" s="8" t="str">
        <x:v>Lillooet</x:v>
      </x:c>
      <x:c r="D826" s="8" t="str">
        <x:v>Other Engineering Systems</x:v>
      </x:c>
      <x:c r="E826" s="11" t="n">
        <x:v>0</x:v>
      </x:c>
      <x:c r="F826" s="11" t="n">
        <x:v>0</x:v>
      </x:c>
      <x:c r="G826" s="11" t="n">
        <x:v>0</x:v>
      </x:c>
      <x:c r="H826" s="11" t="n">
        <x:v>0</x:v>
      </x:c>
      <x:c r="I826" s="11" t="n">
        <x:v>0</x:v>
      </x:c>
      <x:c r="J826" s="11" t="n">
        <x:v>0</x:v>
      </x:c>
      <x:c r="K826" s="12"/>
      <x:c r="L826" s="12"/>
      <x:c r="M826" s="8"/>
    </x:row>
    <x:row r="827">
      <x:c r="A827" s="8" t="str">
        <x:v>Lillooet|Other Tangible Capital Assets</x:v>
      </x:c>
      <x:c r="B827" s="8" t="str">
        <x:v>lillooet-d</x:v>
      </x:c>
      <x:c r="C827" s="8" t="str">
        <x:v>Lillooet</x:v>
      </x:c>
      <x:c r="D827" s="8" t="str">
        <x:v>Other Tangible Capital Assets</x:v>
      </x:c>
      <x:c r="E827" s="11" t="n">
        <x:v>2652843</x:v>
      </x:c>
      <x:c r="F827" s="11" t="n">
        <x:v>1651895</x:v>
      </x:c>
      <x:c r="G827" s="11" t="n">
        <x:v>1000948</x:v>
      </x:c>
      <x:c r="H827" s="11" t="n">
        <x:v>0</x:v>
      </x:c>
      <x:c r="I827" s="11" t="n">
        <x:v>5752920</x:v>
      </x:c>
      <x:c r="J827" s="11" t="n">
        <x:v>118612</x:v>
      </x:c>
      <x:c r="K827" s="12" t="n">
        <x:v>0.37731143531675265</x:v>
      </x:c>
      <x:c r="L827" s="12" t="n">
        <x:v>0.9793822962947512</x:v>
      </x:c>
      <x:c r="M827" s="8" t="str">
        <x:v>N/A</x:v>
      </x:c>
    </x:row>
    <x:row r="828">
      <x:c r="A828" s="8" t="str">
        <x:v>Lillooet|Work In Progress</x:v>
      </x:c>
      <x:c r="B828" s="8" t="str">
        <x:v>lillooet-d</x:v>
      </x:c>
      <x:c r="C828" s="8" t="str">
        <x:v>Lillooet</x:v>
      </x:c>
      <x:c r="D828" s="8" t="str">
        <x:v>Work In Progress</x:v>
      </x:c>
      <x:c r="E828" s="11" t="n">
        <x:v>175775</x:v>
      </x:c>
      <x:c r="F828" s="11"/>
      <x:c r="G828" s="11" t="n">
        <x:v>175775</x:v>
      </x:c>
      <x:c r="H828" s="11" t="n">
        <x:v>276138</x:v>
      </x:c>
      <x:c r="I828" s="11" t="n">
        <x:v>175775</x:v>
      </x:c>
      <x:c r="J828" s="11"/>
      <x:c r="K828" s="12" t="n">
        <x:v>1</x:v>
      </x:c>
      <x:c r="L828" s="12"/>
      <x:c r="M828" s="8" t="str">
        <x:v>N/A</x:v>
      </x:c>
    </x:row>
    <x:row r="829">
      <x:c r="A829" s="8" t="str">
        <x:v>Lillooet|Total TCA</x:v>
      </x:c>
      <x:c r="B829" s="8" t="str">
        <x:v>lillooet-d</x:v>
      </x:c>
      <x:c r="C829" s="8" t="str">
        <x:v>Lillooet</x:v>
      </x:c>
      <x:c r="D829" s="8" t="str">
        <x:v>Total TCA</x:v>
      </x:c>
      <x:c r="E829" s="11" t="n">
        <x:v>53418458</x:v>
      </x:c>
      <x:c r="F829" s="11" t="n">
        <x:v>25967592</x:v>
      </x:c>
      <x:c r="G829" s="11" t="n">
        <x:v>27450866</x:v>
      </x:c>
      <x:c r="H829" s="11" t="n">
        <x:v>1143479</x:v>
      </x:c>
      <x:c r="I829" s="11" t="n">
        <x:v>98120554</x:v>
      </x:c>
      <x:c r="J829" s="11" t="n">
        <x:v>2512391</x:v>
      </x:c>
      <x:c r="K829" s="12" t="n">
        <x:v>0.5138835344142656</x:v>
      </x:c>
      <x:c r="L829" s="12" t="n">
        <x:v>0.9743948551289264</x:v>
      </x:c>
      <x:c r="M829" s="8"/>
    </x:row>
    <x:row r="830">
      <x:c r="A830" s="8" t="str">
        <x:v>Lions Bay|Land</x:v>
      </x:c>
      <x:c r="B830" s="8" t="str">
        <x:v>lions-bay-v</x:v>
      </x:c>
      <x:c r="C830" s="8" t="str">
        <x:v>Lions Bay</x:v>
      </x:c>
      <x:c r="D830" s="8" t="str">
        <x:v>Land</x:v>
      </x:c>
      <x:c r="E830" s="11" t="n">
        <x:v>11729844</x:v>
      </x:c>
      <x:c r="F830" s="11"/>
      <x:c r="G830" s="11" t="n">
        <x:v>11729844</x:v>
      </x:c>
      <x:c r="H830" s="11" t="n">
        <x:v>0</x:v>
      </x:c>
      <x:c r="I830" s="11" t="n">
        <x:v>11729844</x:v>
      </x:c>
      <x:c r="J830" s="11"/>
      <x:c r="K830" s="12" t="n">
        <x:v>1</x:v>
      </x:c>
      <x:c r="L830" s="12"/>
      <x:c r="M830" s="8" t="str">
        <x:v>N/A</x:v>
      </x:c>
    </x:row>
    <x:row r="831">
      <x:c r="A831" s="8" t="str">
        <x:v>Lions Bay|Buildings</x:v>
      </x:c>
      <x:c r="B831" s="8" t="str">
        <x:v>lions-bay-v</x:v>
      </x:c>
      <x:c r="C831" s="8" t="str">
        <x:v>Lions Bay</x:v>
      </x:c>
      <x:c r="D831" s="8" t="str">
        <x:v>Buildings</x:v>
      </x:c>
      <x:c r="E831" s="11" t="n">
        <x:v>2949638</x:v>
      </x:c>
      <x:c r="F831" s="11" t="n">
        <x:v>1193034</x:v>
      </x:c>
      <x:c r="G831" s="11" t="n">
        <x:v>1756604</x:v>
      </x:c>
      <x:c r="H831" s="11" t="n">
        <x:v>562503</x:v>
      </x:c>
      <x:c r="I831" s="11" t="n">
        <x:v>2949636</x:v>
      </x:c>
      <x:c r="J831" s="11" t="n">
        <x:v>69321</x:v>
      </x:c>
      <x:c r="K831" s="12" t="n">
        <x:v>0.5955320619004772</x:v>
      </x:c>
      <x:c r="L831" s="12" t="n">
        <x:v>0.9764984560806825</x:v>
      </x:c>
      <x:c r="M831" s="8" t="str">
        <x:v>In_Progress</x:v>
      </x:c>
    </x:row>
    <x:row r="832">
      <x:c r="A832" s="8" t="str">
        <x:v>Lions Bay|Fleet</x:v>
      </x:c>
      <x:c r="B832" s="8" t="str">
        <x:v>lions-bay-v</x:v>
      </x:c>
      <x:c r="C832" s="8" t="str">
        <x:v>Lions Bay</x:v>
      </x:c>
      <x:c r="D832" s="8" t="str">
        <x:v>Fleet</x:v>
      </x:c>
      <x:c r="E832" s="11" t="n">
        <x:v>2606913</x:v>
      </x:c>
      <x:c r="F832" s="11" t="n">
        <x:v>1964337</x:v>
      </x:c>
      <x:c r="G832" s="11" t="n">
        <x:v>642576</x:v>
      </x:c>
      <x:c r="H832" s="11" t="n">
        <x:v>1719</x:v>
      </x:c>
      <x:c r="I832" s="11" t="n">
        <x:v>2606914</x:v>
      </x:c>
      <x:c r="J832" s="11" t="n">
        <x:v>98884</x:v>
      </x:c>
      <x:c r="K832" s="12" t="n">
        <x:v>0.24648923842107504</x:v>
      </x:c>
      <x:c r="L832" s="12" t="n">
        <x:v>0.9620685607580457</x:v>
      </x:c>
      <x:c r="M832" s="8" t="str">
        <x:v>In_Progress</x:v>
      </x:c>
    </x:row>
    <x:row r="833">
      <x:c r="A833" s="8" t="str">
        <x:v>Lions Bay|Parks and Recreation</x:v>
      </x:c>
      <x:c r="B833" s="8" t="str">
        <x:v>lions-bay-v</x:v>
      </x:c>
      <x:c r="C833" s="8" t="str">
        <x:v>Lions Bay</x:v>
      </x:c>
      <x:c r="D833" s="8" t="str">
        <x:v>Parks and Recreation</x:v>
      </x:c>
      <x:c r="E833" s="11" t="n">
        <x:v>228350</x:v>
      </x:c>
      <x:c r="F833" s="11" t="n">
        <x:v>111457</x:v>
      </x:c>
      <x:c r="G833" s="11" t="n">
        <x:v>116893</x:v>
      </x:c>
      <x:c r="H833" s="11" t="n">
        <x:v>4613</x:v>
      </x:c>
      <x:c r="I833" s="11" t="n">
        <x:v>228350</x:v>
      </x:c>
      <x:c r="J833" s="11" t="n">
        <x:v>9541</x:v>
      </x:c>
      <x:c r="K833" s="12" t="n">
        <x:v>0.5119027808189184</x:v>
      </x:c>
      <x:c r="L833" s="12" t="n">
        <x:v>0.958217648346836</x:v>
      </x:c>
      <x:c r="M833" s="8" t="str">
        <x:v>In_Progress</x:v>
      </x:c>
    </x:row>
    <x:row r="834">
      <x:c r="A834" s="8" t="str">
        <x:v>Lions Bay|Water System</x:v>
      </x:c>
      <x:c r="B834" s="8" t="str">
        <x:v>lions-bay-v</x:v>
      </x:c>
      <x:c r="C834" s="8" t="str">
        <x:v>Lions Bay</x:v>
      </x:c>
      <x:c r="D834" s="8" t="str">
        <x:v>Water System</x:v>
      </x:c>
      <x:c r="E834" s="11" t="n">
        <x:v>11050197</x:v>
      </x:c>
      <x:c r="F834" s="11" t="n">
        <x:v>4068557</x:v>
      </x:c>
      <x:c r="G834" s="11" t="n">
        <x:v>6981640</x:v>
      </x:c>
      <x:c r="H834" s="11" t="n">
        <x:v>609765</x:v>
      </x:c>
      <x:c r="I834" s="11" t="n">
        <x:v>11050197</x:v>
      </x:c>
      <x:c r="J834" s="11" t="n">
        <x:v>219226</x:v>
      </x:c>
      <x:c r="K834" s="12" t="n">
        <x:v>0.6318113604671483</x:v>
      </x:c>
      <x:c r="L834" s="12" t="n">
        <x:v>0.9801608966790366</x:v>
      </x:c>
      <x:c r="M834" s="8" t="str">
        <x:v>In_Progress</x:v>
      </x:c>
    </x:row>
    <x:row r="835">
      <x:c r="A835" s="8" t="str">
        <x:v>Lions Bay|Sewer System</x:v>
      </x:c>
      <x:c r="B835" s="8" t="str">
        <x:v>lions-bay-v</x:v>
      </x:c>
      <x:c r="C835" s="8" t="str">
        <x:v>Lions Bay</x:v>
      </x:c>
      <x:c r="D835" s="8" t="str">
        <x:v>Sewer System</x:v>
      </x:c>
      <x:c r="E835" s="11" t="n">
        <x:v>1468710</x:v>
      </x:c>
      <x:c r="F835" s="11" t="n">
        <x:v>412878</x:v>
      </x:c>
      <x:c r="G835" s="11" t="n">
        <x:v>1055832</x:v>
      </x:c>
      <x:c r="H835" s="11" t="n">
        <x:v>0</x:v>
      </x:c>
      <x:c r="I835" s="11" t="n">
        <x:v>1468710</x:v>
      </x:c>
      <x:c r="J835" s="11" t="n">
        <x:v>36527</x:v>
      </x:c>
      <x:c r="K835" s="12" t="n">
        <x:v>0.7188839185407603</x:v>
      </x:c>
      <x:c r="L835" s="12" t="n">
        <x:v>0.9751298758774707</x:v>
      </x:c>
      <x:c r="M835" s="8" t="str">
        <x:v>In_Progress</x:v>
      </x:c>
    </x:row>
    <x:row r="836">
      <x:c r="A836" s="8" t="str">
        <x:v>Lions Bay|Drainage System</x:v>
      </x:c>
      <x:c r="B836" s="8" t="str">
        <x:v>lions-bay-v</x:v>
      </x:c>
      <x:c r="C836" s="8" t="str">
        <x:v>Lions Bay</x:v>
      </x:c>
      <x:c r="D836" s="8" t="str">
        <x:v>Drainage System</x:v>
      </x:c>
      <x:c r="E836" s="11" t="n">
        <x:v>101450</x:v>
      </x:c>
      <x:c r="F836" s="11" t="n">
        <x:v>87226</x:v>
      </x:c>
      <x:c r="G836" s="11" t="n">
        <x:v>14224</x:v>
      </x:c>
      <x:c r="H836" s="11" t="n">
        <x:v>0</x:v>
      </x:c>
      <x:c r="I836" s="11" t="n">
        <x:v>101450</x:v>
      </x:c>
      <x:c r="J836" s="11" t="n">
        <x:v>1242</x:v>
      </x:c>
      <x:c r="K836" s="12" t="n">
        <x:v>0.14020699852143914</x:v>
      </x:c>
      <x:c r="L836" s="12" t="n">
        <x:v>0.9877575160177428</x:v>
      </x:c>
      <x:c r="M836" s="8" t="str">
        <x:v>In_Progress</x:v>
      </x:c>
    </x:row>
    <x:row r="837">
      <x:c r="A837" s="8" t="str">
        <x:v>Lions Bay|Transportation System</x:v>
      </x:c>
      <x:c r="B837" s="8" t="str">
        <x:v>lions-bay-v</x:v>
      </x:c>
      <x:c r="C837" s="8" t="str">
        <x:v>Lions Bay</x:v>
      </x:c>
      <x:c r="D837" s="8" t="str">
        <x:v>Transportation System</x:v>
      </x:c>
      <x:c r="E837" s="11" t="n">
        <x:v>5111962</x:v>
      </x:c>
      <x:c r="F837" s="11" t="n">
        <x:v>3557581</x:v>
      </x:c>
      <x:c r="G837" s="11" t="n">
        <x:v>1554381</x:v>
      </x:c>
      <x:c r="H837" s="11" t="n">
        <x:v>0</x:v>
      </x:c>
      <x:c r="I837" s="11" t="n">
        <x:v>5111962</x:v>
      </x:c>
      <x:c r="J837" s="11" t="n">
        <x:v>0</x:v>
      </x:c>
      <x:c r="K837" s="12" t="n">
        <x:v>0.3040674011270037</x:v>
      </x:c>
      <x:c r="L837" s="12" t="n">
        <x:v>1</x:v>
      </x:c>
      <x:c r="M837" s="8" t="str">
        <x:v>In_Progress</x:v>
      </x:c>
    </x:row>
    <x:row r="838">
      <x:c r="A838" s="8" t="str">
        <x:v>Lions Bay|Other Engineering Systems</x:v>
      </x:c>
      <x:c r="B838" s="8" t="str">
        <x:v>lions-bay-v</x:v>
      </x:c>
      <x:c r="C838" s="8" t="str">
        <x:v>Lions Bay</x:v>
      </x:c>
      <x:c r="D838" s="8" t="str">
        <x:v>Other Engineering Systems</x:v>
      </x:c>
      <x:c r="E838" s="11" t="n">
        <x:v>0</x:v>
      </x:c>
      <x:c r="F838" s="11" t="n">
        <x:v>0</x:v>
      </x:c>
      <x:c r="G838" s="11" t="n">
        <x:v>0</x:v>
      </x:c>
      <x:c r="H838" s="11" t="n">
        <x:v>0</x:v>
      </x:c>
      <x:c r="I838" s="11" t="n">
        <x:v>0</x:v>
      </x:c>
      <x:c r="J838" s="11" t="n">
        <x:v>0</x:v>
      </x:c>
      <x:c r="K838" s="12"/>
      <x:c r="L838" s="12"/>
      <x:c r="M838" s="8"/>
    </x:row>
    <x:row r="839">
      <x:c r="A839" s="8" t="str">
        <x:v>Lions Bay|Other Tangible Capital Assets</x:v>
      </x:c>
      <x:c r="B839" s="8" t="str">
        <x:v>lions-bay-v</x:v>
      </x:c>
      <x:c r="C839" s="8" t="str">
        <x:v>Lions Bay</x:v>
      </x:c>
      <x:c r="D839" s="8" t="str">
        <x:v>Other Tangible Capital Assets</x:v>
      </x:c>
      <x:c r="E839" s="11" t="n">
        <x:v>0</x:v>
      </x:c>
      <x:c r="F839" s="11" t="n">
        <x:v>0</x:v>
      </x:c>
      <x:c r="G839" s="11" t="n">
        <x:v>0</x:v>
      </x:c>
      <x:c r="H839" s="11" t="n">
        <x:v>0</x:v>
      </x:c>
      <x:c r="I839" s="11" t="n">
        <x:v>0</x:v>
      </x:c>
      <x:c r="J839" s="11" t="n">
        <x:v>0</x:v>
      </x:c>
      <x:c r="K839" s="12"/>
      <x:c r="L839" s="12"/>
      <x:c r="M839" s="8" t="str">
        <x:v>N/A</x:v>
      </x:c>
    </x:row>
    <x:row r="840">
      <x:c r="A840" s="8" t="str">
        <x:v>Lions Bay|Work In Progress</x:v>
      </x:c>
      <x:c r="B840" s="8" t="str">
        <x:v>lions-bay-v</x:v>
      </x:c>
      <x:c r="C840" s="8" t="str">
        <x:v>Lions Bay</x:v>
      </x:c>
      <x:c r="D840" s="8" t="str">
        <x:v>Work In Progress</x:v>
      </x:c>
      <x:c r="E840" s="11" t="n">
        <x:v>371234</x:v>
      </x:c>
      <x:c r="F840" s="11"/>
      <x:c r="G840" s="11" t="n">
        <x:v>371234</x:v>
      </x:c>
      <x:c r="H840" s="11" t="n">
        <x:v>256247</x:v>
      </x:c>
      <x:c r="I840" s="11" t="n">
        <x:v>371234</x:v>
      </x:c>
      <x:c r="J840" s="11"/>
      <x:c r="K840" s="12" t="n">
        <x:v>1</x:v>
      </x:c>
      <x:c r="L840" s="12"/>
      <x:c r="M840" s="8" t="str">
        <x:v>N/A</x:v>
      </x:c>
    </x:row>
    <x:row r="841">
      <x:c r="A841" s="8" t="str">
        <x:v>Lions Bay|Total TCA</x:v>
      </x:c>
      <x:c r="B841" s="8" t="str">
        <x:v>lions-bay-v</x:v>
      </x:c>
      <x:c r="C841" s="8" t="str">
        <x:v>Lions Bay</x:v>
      </x:c>
      <x:c r="D841" s="8" t="str">
        <x:v>Total TCA</x:v>
      </x:c>
      <x:c r="E841" s="11" t="n">
        <x:v>35618298</x:v>
      </x:c>
      <x:c r="F841" s="11" t="n">
        <x:v>11395070</x:v>
      </x:c>
      <x:c r="G841" s="11" t="n">
        <x:v>24223228</x:v>
      </x:c>
      <x:c r="H841" s="11" t="n">
        <x:v>1434847</x:v>
      </x:c>
      <x:c r="I841" s="11" t="n">
        <x:v>35618297</x:v>
      </x:c>
      <x:c r="J841" s="11" t="n">
        <x:v>434741</x:v>
      </x:c>
      <x:c r="K841" s="12" t="n">
        <x:v>0.6800782002553856</x:v>
      </x:c>
      <x:c r="L841" s="12" t="n">
        <x:v>0.9877944473313814</x:v>
      </x:c>
      <x:c r="M841" s="8"/>
    </x:row>
    <x:row r="842">
      <x:c r="A842" s="8" t="str">
        <x:v>Logan Lake|Land</x:v>
      </x:c>
      <x:c r="B842" s="8" t="str">
        <x:v>logan-lake-d</x:v>
      </x:c>
      <x:c r="C842" s="8" t="str">
        <x:v>Logan Lake</x:v>
      </x:c>
      <x:c r="D842" s="8" t="str">
        <x:v>Land</x:v>
      </x:c>
      <x:c r="E842" s="11" t="n">
        <x:v>3245485</x:v>
      </x:c>
      <x:c r="F842" s="11"/>
      <x:c r="G842" s="11" t="n">
        <x:v>3245485</x:v>
      </x:c>
      <x:c r="H842" s="11" t="n">
        <x:v>0</x:v>
      </x:c>
      <x:c r="I842" s="11" t="n">
        <x:v>3245485</x:v>
      </x:c>
      <x:c r="J842" s="11"/>
      <x:c r="K842" s="12" t="n">
        <x:v>1</x:v>
      </x:c>
      <x:c r="L842" s="12"/>
      <x:c r="M842" s="8" t="str">
        <x:v>N/A</x:v>
      </x:c>
    </x:row>
    <x:row r="843">
      <x:c r="A843" s="8" t="str">
        <x:v>Logan Lake|Buildings</x:v>
      </x:c>
      <x:c r="B843" s="8" t="str">
        <x:v>logan-lake-d</x:v>
      </x:c>
      <x:c r="C843" s="8" t="str">
        <x:v>Logan Lake</x:v>
      </x:c>
      <x:c r="D843" s="8" t="str">
        <x:v>Buildings</x:v>
      </x:c>
      <x:c r="E843" s="11" t="n">
        <x:v>10047287</x:v>
      </x:c>
      <x:c r="F843" s="11" t="n">
        <x:v>3907530</x:v>
      </x:c>
      <x:c r="G843" s="11" t="n">
        <x:v>6139757</x:v>
      </x:c>
      <x:c r="H843" s="11" t="n">
        <x:v>65187</x:v>
      </x:c>
      <x:c r="I843" s="11" t="n">
        <x:v>23446700</x:v>
      </x:c>
      <x:c r="J843" s="11" t="n">
        <x:v>586168</x:v>
      </x:c>
      <x:c r="K843" s="12" t="n">
        <x:v>0.6110860573605591</x:v>
      </x:c>
      <x:c r="L843" s="12" t="n">
        <x:v>0.9749999786750374</x:v>
      </x:c>
      <x:c r="M843" s="8" t="str">
        <x:v>No</x:v>
      </x:c>
    </x:row>
    <x:row r="844">
      <x:c r="A844" s="8" t="str">
        <x:v>Logan Lake|Fleet</x:v>
      </x:c>
      <x:c r="B844" s="8" t="str">
        <x:v>logan-lake-d</x:v>
      </x:c>
      <x:c r="C844" s="8" t="str">
        <x:v>Logan Lake</x:v>
      </x:c>
      <x:c r="D844" s="8" t="str">
        <x:v>Fleet</x:v>
      </x:c>
      <x:c r="E844" s="11" t="n">
        <x:v>2682255</x:v>
      </x:c>
      <x:c r="F844" s="11" t="n">
        <x:v>1865665</x:v>
      </x:c>
      <x:c r="G844" s="11" t="n">
        <x:v>816590</x:v>
      </x:c>
      <x:c r="H844" s="11" t="n">
        <x:v>41454</x:v>
      </x:c>
      <x:c r="I844" s="11" t="n">
        <x:v>3352819</x:v>
      </x:c>
      <x:c r="J844" s="11" t="n">
        <x:v>201169</x:v>
      </x:c>
      <x:c r="K844" s="12" t="n">
        <x:v>0.30444159858029907</x:v>
      </x:c>
      <x:c r="L844" s="12" t="n">
        <x:v>0.9400000417559075</x:v>
      </x:c>
      <x:c r="M844" s="8" t="str">
        <x:v>No</x:v>
      </x:c>
    </x:row>
    <x:row r="845">
      <x:c r="A845" s="8" t="str">
        <x:v>Logan Lake|Parks and Recreation</x:v>
      </x:c>
      <x:c r="B845" s="8" t="str">
        <x:v>logan-lake-d</x:v>
      </x:c>
      <x:c r="C845" s="8" t="str">
        <x:v>Logan Lake</x:v>
      </x:c>
      <x:c r="D845" s="8" t="str">
        <x:v>Parks and Recreation</x:v>
      </x:c>
      <x:c r="E845" s="11" t="n">
        <x:v>6934231</x:v>
      </x:c>
      <x:c r="F845" s="11" t="n">
        <x:v>2751981</x:v>
      </x:c>
      <x:c r="G845" s="11" t="n">
        <x:v>4182250</x:v>
      </x:c>
      <x:c r="H845" s="11" t="n">
        <x:v>1642342</x:v>
      </x:c>
      <x:c r="I845" s="11" t="n">
        <x:v>8667789</x:v>
      </x:c>
      <x:c r="J845" s="11" t="n">
        <x:v>577853</x:v>
      </x:c>
      <x:c r="K845" s="12" t="n">
        <x:v>0.6031310465428683</x:v>
      </x:c>
      <x:c r="L845" s="12" t="n">
        <x:v>0.9333332871854634</x:v>
      </x:c>
      <x:c r="M845" s="8" t="str">
        <x:v>No</x:v>
      </x:c>
    </x:row>
    <x:row r="846">
      <x:c r="A846" s="8" t="str">
        <x:v>Logan Lake|Water System</x:v>
      </x:c>
      <x:c r="B846" s="8" t="str">
        <x:v>logan-lake-d</x:v>
      </x:c>
      <x:c r="C846" s="8" t="str">
        <x:v>Logan Lake</x:v>
      </x:c>
      <x:c r="D846" s="8" t="str">
        <x:v>Water System</x:v>
      </x:c>
      <x:c r="E846" s="11" t="n">
        <x:v>6165271</x:v>
      </x:c>
      <x:c r="F846" s="11" t="n">
        <x:v>2135990</x:v>
      </x:c>
      <x:c r="G846" s="11" t="n">
        <x:v>4029281</x:v>
      </x:c>
      <x:c r="H846" s="11" t="n">
        <x:v>45909</x:v>
      </x:c>
      <x:c r="I846" s="11" t="n">
        <x:v>9987934</x:v>
      </x:c>
      <x:c r="J846" s="11" t="n">
        <x:v>145541</x:v>
      </x:c>
      <x:c r="K846" s="12" t="n">
        <x:v>0.6535448320114395</x:v>
      </x:c>
      <x:c r="L846" s="12" t="n">
        <x:v>0.9854283178082675</x:v>
      </x:c>
      <x:c r="M846" s="8" t="str">
        <x:v>Yes</x:v>
      </x:c>
    </x:row>
    <x:row r="847">
      <x:c r="A847" s="8" t="str">
        <x:v>Logan Lake|Sewer System</x:v>
      </x:c>
      <x:c r="B847" s="8" t="str">
        <x:v>logan-lake-d</x:v>
      </x:c>
      <x:c r="C847" s="8" t="str">
        <x:v>Logan Lake</x:v>
      </x:c>
      <x:c r="D847" s="8" t="str">
        <x:v>Sewer System</x:v>
      </x:c>
      <x:c r="E847" s="11" t="n">
        <x:v>3537743</x:v>
      </x:c>
      <x:c r="F847" s="11" t="n">
        <x:v>2623603</x:v>
      </x:c>
      <x:c r="G847" s="11" t="n">
        <x:v>914140</x:v>
      </x:c>
      <x:c r="H847" s="11" t="n">
        <x:v>57652</x:v>
      </x:c>
      <x:c r="I847" s="11" t="n">
        <x:v>10029725</x:v>
      </x:c>
      <x:c r="J847" s="11" t="n">
        <x:v>179009</x:v>
      </x:c>
      <x:c r="K847" s="12" t="n">
        <x:v>0.25839638436144174</x:v>
      </x:c>
      <x:c r="L847" s="12" t="n">
        <x:v>0.9821521527260219</x:v>
      </x:c>
      <x:c r="M847" s="8" t="str">
        <x:v>No</x:v>
      </x:c>
    </x:row>
    <x:row r="848">
      <x:c r="A848" s="8" t="str">
        <x:v>Logan Lake|Drainage System</x:v>
      </x:c>
      <x:c r="B848" s="8" t="str">
        <x:v>logan-lake-d</x:v>
      </x:c>
      <x:c r="C848" s="8" t="str">
        <x:v>Logan Lake</x:v>
      </x:c>
      <x:c r="D848" s="8" t="str">
        <x:v>Drainage System</x:v>
      </x:c>
      <x:c r="E848" s="11" t="n">
        <x:v>0</x:v>
      </x:c>
      <x:c r="F848" s="11" t="n">
        <x:v>0</x:v>
      </x:c>
      <x:c r="G848" s="11" t="n">
        <x:v>0</x:v>
      </x:c>
      <x:c r="H848" s="11" t="n">
        <x:v>0</x:v>
      </x:c>
      <x:c r="I848" s="11" t="n">
        <x:v>0</x:v>
      </x:c>
      <x:c r="J848" s="11" t="n">
        <x:v>0</x:v>
      </x:c>
      <x:c r="K848" s="12"/>
      <x:c r="L848" s="12"/>
      <x:c r="M848" s="8"/>
    </x:row>
    <x:row r="849">
      <x:c r="A849" s="8" t="str">
        <x:v>Logan Lake|Transportation System</x:v>
      </x:c>
      <x:c r="B849" s="8" t="str">
        <x:v>logan-lake-d</x:v>
      </x:c>
      <x:c r="C849" s="8" t="str">
        <x:v>Logan Lake</x:v>
      </x:c>
      <x:c r="D849" s="8" t="str">
        <x:v>Transportation System</x:v>
      </x:c>
      <x:c r="E849" s="11" t="n">
        <x:v>8725507</x:v>
      </x:c>
      <x:c r="F849" s="11" t="n">
        <x:v>6036456</x:v>
      </x:c>
      <x:c r="G849" s="11" t="n">
        <x:v>2689051</x:v>
      </x:c>
      <x:c r="H849" s="11" t="n">
        <x:v>2042094</x:v>
      </x:c>
      <x:c r="I849" s="11" t="n">
        <x:v>17092362</x:v>
      </x:c>
      <x:c r="J849" s="11" t="n">
        <x:v>0</x:v>
      </x:c>
      <x:c r="K849" s="12" t="n">
        <x:v>0.30818277952215267</x:v>
      </x:c>
      <x:c r="L849" s="12" t="n">
        <x:v>1</x:v>
      </x:c>
      <x:c r="M849" s="8" t="str">
        <x:v>No</x:v>
      </x:c>
    </x:row>
    <x:row r="850">
      <x:c r="A850" s="8" t="str">
        <x:v>Logan Lake|Other Engineering Systems</x:v>
      </x:c>
      <x:c r="B850" s="8" t="str">
        <x:v>logan-lake-d</x:v>
      </x:c>
      <x:c r="C850" s="8" t="str">
        <x:v>Logan Lake</x:v>
      </x:c>
      <x:c r="D850" s="8" t="str">
        <x:v>Other Engineering Systems</x:v>
      </x:c>
      <x:c r="E850" s="11" t="n">
        <x:v>0</x:v>
      </x:c>
      <x:c r="F850" s="11" t="n">
        <x:v>0</x:v>
      </x:c>
      <x:c r="G850" s="11" t="n">
        <x:v>0</x:v>
      </x:c>
      <x:c r="H850" s="11" t="n">
        <x:v>0</x:v>
      </x:c>
      <x:c r="I850" s="11" t="n">
        <x:v>0</x:v>
      </x:c>
      <x:c r="J850" s="11" t="n">
        <x:v>0</x:v>
      </x:c>
      <x:c r="K850" s="12"/>
      <x:c r="L850" s="12"/>
      <x:c r="M850" s="8"/>
    </x:row>
    <x:row r="851">
      <x:c r="A851" s="8" t="str">
        <x:v>Logan Lake|Other Tangible Capital Assets</x:v>
      </x:c>
      <x:c r="B851" s="8" t="str">
        <x:v>logan-lake-d</x:v>
      </x:c>
      <x:c r="C851" s="8" t="str">
        <x:v>Logan Lake</x:v>
      </x:c>
      <x:c r="D851" s="8" t="str">
        <x:v>Other Tangible Capital Assets</x:v>
      </x:c>
      <x:c r="E851" s="11" t="n">
        <x:v>3204786</x:v>
      </x:c>
      <x:c r="F851" s="11" t="n">
        <x:v>2562170</x:v>
      </x:c>
      <x:c r="G851" s="11" t="n">
        <x:v>642616</x:v>
      </x:c>
      <x:c r="H851" s="11" t="n">
        <x:v>156861</x:v>
      </x:c>
      <x:c r="I851" s="11" t="n">
        <x:v>4005983</x:v>
      </x:c>
      <x:c r="J851" s="11" t="n">
        <x:v>267066</x:v>
      </x:c>
      <x:c r="K851" s="12" t="n">
        <x:v>0.20051760086320897</x:v>
      </x:c>
      <x:c r="L851" s="12" t="n">
        <x:v>0.9333332168409102</x:v>
      </x:c>
      <x:c r="M851" s="8" t="str">
        <x:v>N/A</x:v>
      </x:c>
    </x:row>
    <x:row r="852">
      <x:c r="A852" s="8" t="str">
        <x:v>Logan Lake|Work In Progress</x:v>
      </x:c>
      <x:c r="B852" s="8" t="str">
        <x:v>logan-lake-d</x:v>
      </x:c>
      <x:c r="C852" s="8" t="str">
        <x:v>Logan Lake</x:v>
      </x:c>
      <x:c r="D852" s="8" t="str">
        <x:v>Work In Progress</x:v>
      </x:c>
      <x:c r="E852" s="11" t="n">
        <x:v>0</x:v>
      </x:c>
      <x:c r="F852" s="11"/>
      <x:c r="G852" s="11" t="n">
        <x:v>0</x:v>
      </x:c>
      <x:c r="H852" s="11" t="n">
        <x:v>0</x:v>
      </x:c>
      <x:c r="I852" s="11" t="n">
        <x:v>0</x:v>
      </x:c>
      <x:c r="J852" s="11"/>
      <x:c r="K852" s="12"/>
      <x:c r="L852" s="12"/>
      <x:c r="M852" s="8" t="str">
        <x:v>N/A</x:v>
      </x:c>
    </x:row>
    <x:row r="853">
      <x:c r="A853" s="8" t="str">
        <x:v>Logan Lake|Total TCA</x:v>
      </x:c>
      <x:c r="B853" s="8" t="str">
        <x:v>logan-lake-d</x:v>
      </x:c>
      <x:c r="C853" s="8" t="str">
        <x:v>Logan Lake</x:v>
      </x:c>
      <x:c r="D853" s="8" t="str">
        <x:v>Total TCA</x:v>
      </x:c>
      <x:c r="E853" s="11" t="n">
        <x:v>44542565</x:v>
      </x:c>
      <x:c r="F853" s="11" t="n">
        <x:v>21883395</x:v>
      </x:c>
      <x:c r="G853" s="11" t="n">
        <x:v>22659170</x:v>
      </x:c>
      <x:c r="H853" s="11" t="n">
        <x:v>4051499</x:v>
      </x:c>
      <x:c r="I853" s="11" t="n">
        <x:v>79828797</x:v>
      </x:c>
      <x:c r="J853" s="11" t="n">
        <x:v>1956806</x:v>
      </x:c>
      <x:c r="K853" s="12" t="n">
        <x:v>0.5087082434520778</x:v>
      </x:c>
      <x:c r="L853" s="12" t="n">
        <x:v>0.975487467260718</x:v>
      </x:c>
      <x:c r="M853" s="8"/>
    </x:row>
    <x:row r="854">
      <x:c r="A854" s="8" t="str">
        <x:v>Lumby|Land</x:v>
      </x:c>
      <x:c r="B854" s="8" t="str">
        <x:v>lumby-v</x:v>
      </x:c>
      <x:c r="C854" s="8" t="str">
        <x:v>Lumby</x:v>
      </x:c>
      <x:c r="D854" s="8" t="str">
        <x:v>Land</x:v>
      </x:c>
      <x:c r="E854" s="11" t="n">
        <x:v>3477964</x:v>
      </x:c>
      <x:c r="F854" s="11"/>
      <x:c r="G854" s="11" t="n">
        <x:v>3477964</x:v>
      </x:c>
      <x:c r="H854" s="11" t="n">
        <x:v>850254</x:v>
      </x:c>
      <x:c r="I854" s="11" t="n">
        <x:v>3477964</x:v>
      </x:c>
      <x:c r="J854" s="11"/>
      <x:c r="K854" s="12" t="n">
        <x:v>1</x:v>
      </x:c>
      <x:c r="L854" s="12"/>
      <x:c r="M854" s="8" t="str">
        <x:v>N/A</x:v>
      </x:c>
    </x:row>
    <x:row r="855">
      <x:c r="A855" s="8" t="str">
        <x:v>Lumby|Buildings</x:v>
      </x:c>
      <x:c r="B855" s="8" t="str">
        <x:v>lumby-v</x:v>
      </x:c>
      <x:c r="C855" s="8" t="str">
        <x:v>Lumby</x:v>
      </x:c>
      <x:c r="D855" s="8" t="str">
        <x:v>Buildings</x:v>
      </x:c>
      <x:c r="E855" s="11" t="n">
        <x:v>1350515</x:v>
      </x:c>
      <x:c r="F855" s="11" t="n">
        <x:v>375446</x:v>
      </x:c>
      <x:c r="G855" s="11" t="n">
        <x:v>975069</x:v>
      </x:c>
      <x:c r="H855" s="11" t="n">
        <x:v>51531</x:v>
      </x:c>
      <x:c r="I855" s="11" t="n">
        <x:v>5000000</x:v>
      </x:c>
      <x:c r="J855" s="11" t="n">
        <x:v>125000</x:v>
      </x:c>
      <x:c r="K855" s="12" t="n">
        <x:v>0.721997904503097</x:v>
      </x:c>
      <x:c r="L855" s="12" t="n">
        <x:v>0.975</x:v>
      </x:c>
      <x:c r="M855" s="8" t="str">
        <x:v>Yes</x:v>
      </x:c>
    </x:row>
    <x:row r="856">
      <x:c r="A856" s="8" t="str">
        <x:v>Lumby|Fleet</x:v>
      </x:c>
      <x:c r="B856" s="8" t="str">
        <x:v>lumby-v</x:v>
      </x:c>
      <x:c r="C856" s="8" t="str">
        <x:v>Lumby</x:v>
      </x:c>
      <x:c r="D856" s="8" t="str">
        <x:v>Fleet</x:v>
      </x:c>
      <x:c r="E856" s="11" t="n">
        <x:v>1842752</x:v>
      </x:c>
      <x:c r="F856" s="11" t="n">
        <x:v>1210425</x:v>
      </x:c>
      <x:c r="G856" s="11" t="n">
        <x:v>632327</x:v>
      </x:c>
      <x:c r="H856" s="11" t="n">
        <x:v>242015</x:v>
      </x:c>
      <x:c r="I856" s="11" t="n">
        <x:v>2500000</x:v>
      </x:c>
      <x:c r="J856" s="11" t="n">
        <x:v>125000</x:v>
      </x:c>
      <x:c r="K856" s="12" t="n">
        <x:v>0.34314275605181815</x:v>
      </x:c>
      <x:c r="L856" s="12" t="n">
        <x:v>0.95</x:v>
      </x:c>
      <x:c r="M856" s="8" t="str">
        <x:v>Yes</x:v>
      </x:c>
    </x:row>
    <x:row r="857">
      <x:c r="A857" s="8" t="str">
        <x:v>Lumby|Parks and Recreation</x:v>
      </x:c>
      <x:c r="B857" s="8" t="str">
        <x:v>lumby-v</x:v>
      </x:c>
      <x:c r="C857" s="8" t="str">
        <x:v>Lumby</x:v>
      </x:c>
      <x:c r="D857" s="8" t="str">
        <x:v>Parks and Recreation</x:v>
      </x:c>
      <x:c r="E857" s="11" t="n">
        <x:v>2112929</x:v>
      </x:c>
      <x:c r="F857" s="11" t="n">
        <x:v>677094</x:v>
      </x:c>
      <x:c r="G857" s="11" t="n">
        <x:v>1435835</x:v>
      </x:c>
      <x:c r="H857" s="11" t="n">
        <x:v>684512</x:v>
      </x:c>
      <x:c r="I857" s="11" t="n">
        <x:v>2500000</x:v>
      </x:c>
      <x:c r="J857" s="11" t="n">
        <x:v>62500</x:v>
      </x:c>
      <x:c r="K857" s="12" t="n">
        <x:v>0.6795472067447604</x:v>
      </x:c>
      <x:c r="L857" s="12" t="n">
        <x:v>0.975</x:v>
      </x:c>
      <x:c r="M857" s="8" t="str">
        <x:v>Yes</x:v>
      </x:c>
    </x:row>
    <x:row r="858">
      <x:c r="A858" s="8" t="str">
        <x:v>Lumby|Water System</x:v>
      </x:c>
      <x:c r="B858" s="8" t="str">
        <x:v>lumby-v</x:v>
      </x:c>
      <x:c r="C858" s="8" t="str">
        <x:v>Lumby</x:v>
      </x:c>
      <x:c r="D858" s="8" t="str">
        <x:v>Water System</x:v>
      </x:c>
      <x:c r="E858" s="11" t="n">
        <x:v>10450048</x:v>
      </x:c>
      <x:c r="F858" s="11" t="n">
        <x:v>4932920</x:v>
      </x:c>
      <x:c r="G858" s="11" t="n">
        <x:v>5517128</x:v>
      </x:c>
      <x:c r="H858" s="11" t="n">
        <x:v>0</x:v>
      </x:c>
      <x:c r="I858" s="11" t="n">
        <x:v>34000000</x:v>
      </x:c>
      <x:c r="J858" s="11" t="n">
        <x:v>680000</x:v>
      </x:c>
      <x:c r="K858" s="12" t="n">
        <x:v>0.527952407491334</x:v>
      </x:c>
      <x:c r="L858" s="12" t="n">
        <x:v>0.98</x:v>
      </x:c>
      <x:c r="M858" s="8" t="str">
        <x:v>Yes</x:v>
      </x:c>
    </x:row>
    <x:row r="859">
      <x:c r="A859" s="8" t="str">
        <x:v>Lumby|Sewer System</x:v>
      </x:c>
      <x:c r="B859" s="8" t="str">
        <x:v>lumby-v</x:v>
      </x:c>
      <x:c r="C859" s="8" t="str">
        <x:v>Lumby</x:v>
      </x:c>
      <x:c r="D859" s="8" t="str">
        <x:v>Sewer System</x:v>
      </x:c>
      <x:c r="E859" s="11" t="n">
        <x:v>6715771</x:v>
      </x:c>
      <x:c r="F859" s="11" t="n">
        <x:v>2673161</x:v>
      </x:c>
      <x:c r="G859" s="11" t="n">
        <x:v>4042610</x:v>
      </x:c>
      <x:c r="H859" s="11" t="n">
        <x:v>912297</x:v>
      </x:c>
      <x:c r="I859" s="11" t="n">
        <x:v>40000000</x:v>
      </x:c>
      <x:c r="J859" s="11" t="n">
        <x:v>666667</x:v>
      </x:c>
      <x:c r="K859" s="12" t="n">
        <x:v>0.6019576903381607</x:v>
      </x:c>
      <x:c r="L859" s="12" t="n">
        <x:v>0.983333325</x:v>
      </x:c>
      <x:c r="M859" s="8" t="str">
        <x:v>Yes</x:v>
      </x:c>
    </x:row>
    <x:row r="860">
      <x:c r="A860" s="8" t="str">
        <x:v>Lumby|Drainage System</x:v>
      </x:c>
      <x:c r="B860" s="8" t="str">
        <x:v>lumby-v</x:v>
      </x:c>
      <x:c r="C860" s="8" t="str">
        <x:v>Lumby</x:v>
      </x:c>
      <x:c r="D860" s="8" t="str">
        <x:v>Drainage System</x:v>
      </x:c>
      <x:c r="E860" s="11" t="n">
        <x:v>4144524</x:v>
      </x:c>
      <x:c r="F860" s="11" t="n">
        <x:v>2016114</x:v>
      </x:c>
      <x:c r="G860" s="11" t="n">
        <x:v>2128410</x:v>
      </x:c>
      <x:c r="H860" s="11" t="n">
        <x:v>153220</x:v>
      </x:c>
      <x:c r="I860" s="11" t="n">
        <x:v>6000000</x:v>
      </x:c>
      <x:c r="J860" s="11" t="n">
        <x:v>120000</x:v>
      </x:c>
      <x:c r="K860" s="12" t="n">
        <x:v>0.5135475147447571</x:v>
      </x:c>
      <x:c r="L860" s="12" t="n">
        <x:v>0.98</x:v>
      </x:c>
      <x:c r="M860" s="8" t="str">
        <x:v>Yes</x:v>
      </x:c>
    </x:row>
    <x:row r="861">
      <x:c r="A861" s="8" t="str">
        <x:v>Lumby|Transportation System</x:v>
      </x:c>
      <x:c r="B861" s="8" t="str">
        <x:v>lumby-v</x:v>
      </x:c>
      <x:c r="C861" s="8" t="str">
        <x:v>Lumby</x:v>
      </x:c>
      <x:c r="D861" s="8" t="str">
        <x:v>Transportation System</x:v>
      </x:c>
      <x:c r="E861" s="11" t="n">
        <x:v>6736776</x:v>
      </x:c>
      <x:c r="F861" s="11" t="n">
        <x:v>4232791</x:v>
      </x:c>
      <x:c r="G861" s="11" t="n">
        <x:v>2503985</x:v>
      </x:c>
      <x:c r="H861" s="11" t="n">
        <x:v>702697</x:v>
      </x:c>
      <x:c r="I861" s="11" t="n">
        <x:v>15500000</x:v>
      </x:c>
      <x:c r="J861" s="11" t="n">
        <x:v>385714</x:v>
      </x:c>
      <x:c r="K861" s="12" t="n">
        <x:v>0.3716889206350337</x:v>
      </x:c>
      <x:c r="L861" s="12" t="n">
        <x:v>0.9751152258064516</x:v>
      </x:c>
      <x:c r="M861" s="8" t="str">
        <x:v>Yes</x:v>
      </x:c>
    </x:row>
    <x:row r="862">
      <x:c r="A862" s="8" t="str">
        <x:v>Lumby|Other Engineering Systems</x:v>
      </x:c>
      <x:c r="B862" s="8" t="str">
        <x:v>lumby-v</x:v>
      </x:c>
      <x:c r="C862" s="8" t="str">
        <x:v>Lumby</x:v>
      </x:c>
      <x:c r="D862" s="8" t="str">
        <x:v>Other Engineering Systems</x:v>
      </x:c>
      <x:c r="E862" s="11" t="n">
        <x:v>0</x:v>
      </x:c>
      <x:c r="F862" s="11" t="n">
        <x:v>0</x:v>
      </x:c>
      <x:c r="G862" s="11" t="n">
        <x:v>0</x:v>
      </x:c>
      <x:c r="H862" s="11" t="n">
        <x:v>0</x:v>
      </x:c>
      <x:c r="I862" s="11" t="n">
        <x:v>0</x:v>
      </x:c>
      <x:c r="J862" s="11" t="n">
        <x:v>0</x:v>
      </x:c>
      <x:c r="K862" s="12"/>
      <x:c r="L862" s="12"/>
      <x:c r="M862" s="8" t="str">
        <x:v>No</x:v>
      </x:c>
    </x:row>
    <x:row r="863">
      <x:c r="A863" s="8" t="str">
        <x:v>Lumby|Other Tangible Capital Assets</x:v>
      </x:c>
      <x:c r="B863" s="8" t="str">
        <x:v>lumby-v</x:v>
      </x:c>
      <x:c r="C863" s="8" t="str">
        <x:v>Lumby</x:v>
      </x:c>
      <x:c r="D863" s="8" t="str">
        <x:v>Other Tangible Capital Assets</x:v>
      </x:c>
      <x:c r="E863" s="11" t="n">
        <x:v>0</x:v>
      </x:c>
      <x:c r="F863" s="11" t="n">
        <x:v>0</x:v>
      </x:c>
      <x:c r="G863" s="11" t="n">
        <x:v>0</x:v>
      </x:c>
      <x:c r="H863" s="11" t="n">
        <x:v>0</x:v>
      </x:c>
      <x:c r="I863" s="11" t="n">
        <x:v>0</x:v>
      </x:c>
      <x:c r="J863" s="11" t="n">
        <x:v>0</x:v>
      </x:c>
      <x:c r="K863" s="12"/>
      <x:c r="L863" s="12"/>
      <x:c r="M863" s="8" t="str">
        <x:v>N/A</x:v>
      </x:c>
    </x:row>
    <x:row r="864">
      <x:c r="A864" s="8" t="str">
        <x:v>Lumby|Work In Progress</x:v>
      </x:c>
      <x:c r="B864" s="8" t="str">
        <x:v>lumby-v</x:v>
      </x:c>
      <x:c r="C864" s="8" t="str">
        <x:v>Lumby</x:v>
      </x:c>
      <x:c r="D864" s="8" t="str">
        <x:v>Work In Progress</x:v>
      </x:c>
      <x:c r="E864" s="11" t="n">
        <x:v>2474788</x:v>
      </x:c>
      <x:c r="F864" s="11"/>
      <x:c r="G864" s="11" t="n">
        <x:v>2474788</x:v>
      </x:c>
      <x:c r="H864" s="11" t="n">
        <x:v>1382874</x:v>
      </x:c>
      <x:c r="I864" s="11" t="n">
        <x:v>2474788</x:v>
      </x:c>
      <x:c r="J864" s="11"/>
      <x:c r="K864" s="12" t="n">
        <x:v>1</x:v>
      </x:c>
      <x:c r="L864" s="12"/>
      <x:c r="M864" s="8" t="str">
        <x:v>N/A</x:v>
      </x:c>
    </x:row>
    <x:row r="865">
      <x:c r="A865" s="8" t="str">
        <x:v>Lumby|Total TCA</x:v>
      </x:c>
      <x:c r="B865" s="8" t="str">
        <x:v>lumby-v</x:v>
      </x:c>
      <x:c r="C865" s="8" t="str">
        <x:v>Lumby</x:v>
      </x:c>
      <x:c r="D865" s="8" t="str">
        <x:v>Total TCA</x:v>
      </x:c>
      <x:c r="E865" s="11" t="n">
        <x:v>39306067</x:v>
      </x:c>
      <x:c r="F865" s="11" t="n">
        <x:v>16117951</x:v>
      </x:c>
      <x:c r="G865" s="11" t="n">
        <x:v>23188116</x:v>
      </x:c>
      <x:c r="H865" s="11" t="n">
        <x:v>4979400</x:v>
      </x:c>
      <x:c r="I865" s="11" t="n">
        <x:v>111452752</x:v>
      </x:c>
      <x:c r="J865" s="11" t="n">
        <x:v>2164881</x:v>
      </x:c>
      <x:c r="K865" s="12" t="n">
        <x:v>0.5899373244339099</x:v>
      </x:c>
      <x:c r="L865" s="12" t="n">
        <x:v>0.9805757959211272</x:v>
      </x:c>
      <x:c r="M865" s="8"/>
    </x:row>
    <x:row r="866">
      <x:c r="A866" s="8" t="str">
        <x:v>Lytton|Land</x:v>
      </x:c>
      <x:c r="B866" s="8" t="str">
        <x:v>lytton-v</x:v>
      </x:c>
      <x:c r="C866" s="8" t="str">
        <x:v>Lytton</x:v>
      </x:c>
      <x:c r="D866" s="8" t="str">
        <x:v>Land</x:v>
      </x:c>
      <x:c r="E866" s="11" t="n">
        <x:v>520000</x:v>
      </x:c>
      <x:c r="F866" s="11"/>
      <x:c r="G866" s="11" t="n">
        <x:v>520000</x:v>
      </x:c>
      <x:c r="H866" s="11" t="n">
        <x:v>165464</x:v>
      </x:c>
      <x:c r="I866" s="11" t="n">
        <x:v>520000</x:v>
      </x:c>
      <x:c r="J866" s="11"/>
      <x:c r="K866" s="12" t="n">
        <x:v>1</x:v>
      </x:c>
      <x:c r="L866" s="12"/>
      <x:c r="M866" s="8" t="str">
        <x:v>N/A</x:v>
      </x:c>
    </x:row>
    <x:row r="867">
      <x:c r="A867" s="8" t="str">
        <x:v>Lytton|Buildings</x:v>
      </x:c>
      <x:c r="B867" s="8" t="str">
        <x:v>lytton-v</x:v>
      </x:c>
      <x:c r="C867" s="8" t="str">
        <x:v>Lytton</x:v>
      </x:c>
      <x:c r="D867" s="8" t="str">
        <x:v>Buildings</x:v>
      </x:c>
      <x:c r="E867" s="11" t="n">
        <x:v>156287</x:v>
      </x:c>
      <x:c r="F867" s="11" t="n">
        <x:v>4086</x:v>
      </x:c>
      <x:c r="G867" s="11" t="n">
        <x:v>152201</x:v>
      </x:c>
      <x:c r="H867" s="11" t="n">
        <x:v>129062</x:v>
      </x:c>
      <x:c r="I867" s="11" t="n">
        <x:v>152201</x:v>
      </x:c>
      <x:c r="J867" s="11" t="n">
        <x:v>152201</x:v>
      </x:c>
      <x:c r="K867" s="12" t="n">
        <x:v>0.9738557909487033</x:v>
      </x:c>
      <x:c r="L867" s="12" t="n">
        <x:v>0</x:v>
      </x:c>
      <x:c r="M867" s="8" t="str">
        <x:v>No</x:v>
      </x:c>
    </x:row>
    <x:row r="868">
      <x:c r="A868" s="8" t="str">
        <x:v>Lytton|Fleet</x:v>
      </x:c>
      <x:c r="B868" s="8" t="str">
        <x:v>lytton-v</x:v>
      </x:c>
      <x:c r="C868" s="8" t="str">
        <x:v>Lytton</x:v>
      </x:c>
      <x:c r="D868" s="8" t="str">
        <x:v>Fleet</x:v>
      </x:c>
      <x:c r="E868" s="11" t="n">
        <x:v>1323769</x:v>
      </x:c>
      <x:c r="F868" s="11" t="n">
        <x:v>521334</x:v>
      </x:c>
      <x:c r="G868" s="11" t="n">
        <x:v>802435</x:v>
      </x:c>
      <x:c r="H868" s="11" t="n">
        <x:v>156849</x:v>
      </x:c>
      <x:c r="I868" s="11" t="n">
        <x:v>802435</x:v>
      </x:c>
      <x:c r="J868" s="11" t="n">
        <x:v>802435</x:v>
      </x:c>
      <x:c r="K868" s="12" t="n">
        <x:v>0.6061744911687764</x:v>
      </x:c>
      <x:c r="L868" s="12" t="n">
        <x:v>0</x:v>
      </x:c>
      <x:c r="M868" s="8" t="str">
        <x:v>No</x:v>
      </x:c>
    </x:row>
    <x:row r="869">
      <x:c r="A869" s="8" t="str">
        <x:v>Lytton|Parks and Recreation</x:v>
      </x:c>
      <x:c r="B869" s="8" t="str">
        <x:v>lytton-v</x:v>
      </x:c>
      <x:c r="C869" s="8" t="str">
        <x:v>Lytton</x:v>
      </x:c>
      <x:c r="D869" s="8" t="str">
        <x:v>Parks and Recreation</x:v>
      </x:c>
      <x:c r="E869" s="11" t="n">
        <x:v>0</x:v>
      </x:c>
      <x:c r="F869" s="11" t="n">
        <x:v>0</x:v>
      </x:c>
      <x:c r="G869" s="11" t="n">
        <x:v>0</x:v>
      </x:c>
      <x:c r="H869" s="11" t="n">
        <x:v>0</x:v>
      </x:c>
      <x:c r="I869" s="11" t="n">
        <x:v>118035</x:v>
      </x:c>
      <x:c r="J869" s="11" t="n">
        <x:v>118035</x:v>
      </x:c>
      <x:c r="K869" s="12"/>
      <x:c r="L869" s="12" t="n">
        <x:v>0</x:v>
      </x:c>
      <x:c r="M869" s="8" t="str">
        <x:v>No</x:v>
      </x:c>
    </x:row>
    <x:row r="870">
      <x:c r="A870" s="8" t="str">
        <x:v>Lytton|Water System</x:v>
      </x:c>
      <x:c r="B870" s="8" t="str">
        <x:v>lytton-v</x:v>
      </x:c>
      <x:c r="C870" s="8" t="str">
        <x:v>Lytton</x:v>
      </x:c>
      <x:c r="D870" s="8" t="str">
        <x:v>Water System</x:v>
      </x:c>
      <x:c r="E870" s="11" t="n">
        <x:v>5494006</x:v>
      </x:c>
      <x:c r="F870" s="11" t="n">
        <x:v>1035566</x:v>
      </x:c>
      <x:c r="G870" s="11" t="n">
        <x:v>4458440</x:v>
      </x:c>
      <x:c r="H870" s="11" t="n">
        <x:v>0</x:v>
      </x:c>
      <x:c r="I870" s="11" t="n">
        <x:v>4458440</x:v>
      </x:c>
      <x:c r="J870" s="11" t="n">
        <x:v>4458440</x:v>
      </x:c>
      <x:c r="K870" s="12" t="n">
        <x:v>0.8115098527376927</x:v>
      </x:c>
      <x:c r="L870" s="12" t="n">
        <x:v>0</x:v>
      </x:c>
      <x:c r="M870" s="8" t="str">
        <x:v>In_Progress</x:v>
      </x:c>
    </x:row>
    <x:row r="871">
      <x:c r="A871" s="8" t="str">
        <x:v>Lytton|Sewer System</x:v>
      </x:c>
      <x:c r="B871" s="8" t="str">
        <x:v>lytton-v</x:v>
      </x:c>
      <x:c r="C871" s="8" t="str">
        <x:v>Lytton</x:v>
      </x:c>
      <x:c r="D871" s="8" t="str">
        <x:v>Sewer System</x:v>
      </x:c>
      <x:c r="E871" s="11" t="n">
        <x:v>1379316</x:v>
      </x:c>
      <x:c r="F871" s="11" t="n">
        <x:v>775502</x:v>
      </x:c>
      <x:c r="G871" s="11" t="n">
        <x:v>603814</x:v>
      </x:c>
      <x:c r="H871" s="11" t="n">
        <x:v>22768</x:v>
      </x:c>
      <x:c r="I871" s="11" t="n">
        <x:v>603814</x:v>
      </x:c>
      <x:c r="J871" s="11" t="n">
        <x:v>603814</x:v>
      </x:c>
      <x:c r="K871" s="12" t="n">
        <x:v>0.4377633551702438</x:v>
      </x:c>
      <x:c r="L871" s="12" t="n">
        <x:v>0</x:v>
      </x:c>
      <x:c r="M871" s="8" t="str">
        <x:v>In_Progress</x:v>
      </x:c>
    </x:row>
    <x:row r="872">
      <x:c r="A872" s="8" t="str">
        <x:v>Lytton|Drainage System</x:v>
      </x:c>
      <x:c r="B872" s="8" t="str">
        <x:v>lytton-v</x:v>
      </x:c>
      <x:c r="C872" s="8" t="str">
        <x:v>Lytton</x:v>
      </x:c>
      <x:c r="D872" s="8" t="str">
        <x:v>Drainage System</x:v>
      </x:c>
      <x:c r="E872" s="11" t="n">
        <x:v>0</x:v>
      </x:c>
      <x:c r="F872" s="11" t="n">
        <x:v>0</x:v>
      </x:c>
      <x:c r="G872" s="11" t="n">
        <x:v>0</x:v>
      </x:c>
      <x:c r="H872" s="11" t="n">
        <x:v>0</x:v>
      </x:c>
      <x:c r="I872" s="11" t="n">
        <x:v>0</x:v>
      </x:c>
      <x:c r="J872" s="11" t="n">
        <x:v>0</x:v>
      </x:c>
      <x:c r="K872" s="12"/>
      <x:c r="L872" s="12"/>
      <x:c r="M872" s="8" t="str">
        <x:v>Yes</x:v>
      </x:c>
    </x:row>
    <x:row r="873">
      <x:c r="A873" s="8" t="str">
        <x:v>Lytton|Transportation System</x:v>
      </x:c>
      <x:c r="B873" s="8" t="str">
        <x:v>lytton-v</x:v>
      </x:c>
      <x:c r="C873" s="8" t="str">
        <x:v>Lytton</x:v>
      </x:c>
      <x:c r="D873" s="8" t="str">
        <x:v>Transportation System</x:v>
      </x:c>
      <x:c r="E873" s="11" t="n">
        <x:v>186046</x:v>
      </x:c>
      <x:c r="F873" s="11" t="n">
        <x:v>68011</x:v>
      </x:c>
      <x:c r="G873" s="11" t="n">
        <x:v>118035</x:v>
      </x:c>
      <x:c r="H873" s="11" t="n">
        <x:v>0</x:v>
      </x:c>
      <x:c r="I873" s="11" t="n">
        <x:v>0</x:v>
      </x:c>
      <x:c r="J873" s="11" t="n">
        <x:v>0</x:v>
      </x:c>
      <x:c r="K873" s="12" t="n">
        <x:v>0.6344398697096417</x:v>
      </x:c>
      <x:c r="L873" s="12"/>
      <x:c r="M873" s="8" t="str">
        <x:v>No</x:v>
      </x:c>
    </x:row>
    <x:row r="874">
      <x:c r="A874" s="8" t="str">
        <x:v>Lytton|Other Engineering Systems</x:v>
      </x:c>
      <x:c r="B874" s="8" t="str">
        <x:v>lytton-v</x:v>
      </x:c>
      <x:c r="C874" s="8" t="str">
        <x:v>Lytton</x:v>
      </x:c>
      <x:c r="D874" s="8" t="str">
        <x:v>Other Engineering Systems</x:v>
      </x:c>
      <x:c r="E874" s="11" t="n">
        <x:v>0</x:v>
      </x:c>
      <x:c r="F874" s="11" t="n">
        <x:v>0</x:v>
      </x:c>
      <x:c r="G874" s="11" t="n">
        <x:v>0</x:v>
      </x:c>
      <x:c r="H874" s="11" t="n">
        <x:v>0</x:v>
      </x:c>
      <x:c r="I874" s="11" t="n">
        <x:v>0</x:v>
      </x:c>
      <x:c r="J874" s="11" t="n">
        <x:v>0</x:v>
      </x:c>
      <x:c r="K874" s="12"/>
      <x:c r="L874" s="12"/>
      <x:c r="M874" s="8" t="str">
        <x:v>No</x:v>
      </x:c>
    </x:row>
    <x:row r="875">
      <x:c r="A875" s="8" t="str">
        <x:v>Lytton|Other Tangible Capital Assets</x:v>
      </x:c>
      <x:c r="B875" s="8" t="str">
        <x:v>lytton-v</x:v>
      </x:c>
      <x:c r="C875" s="8" t="str">
        <x:v>Lytton</x:v>
      </x:c>
      <x:c r="D875" s="8" t="str">
        <x:v>Other Tangible Capital Assets</x:v>
      </x:c>
      <x:c r="E875" s="11" t="n">
        <x:v>0</x:v>
      </x:c>
      <x:c r="F875" s="11" t="n">
        <x:v>0</x:v>
      </x:c>
      <x:c r="G875" s="11" t="n">
        <x:v>0</x:v>
      </x:c>
      <x:c r="H875" s="11" t="n">
        <x:v>0</x:v>
      </x:c>
      <x:c r="I875" s="11" t="n">
        <x:v>0</x:v>
      </x:c>
      <x:c r="J875" s="11" t="n">
        <x:v>0</x:v>
      </x:c>
      <x:c r="K875" s="12"/>
      <x:c r="L875" s="12"/>
      <x:c r="M875" s="8" t="str">
        <x:v>N/A</x:v>
      </x:c>
    </x:row>
    <x:row r="876">
      <x:c r="A876" s="8" t="str">
        <x:v>Lytton|Work In Progress</x:v>
      </x:c>
      <x:c r="B876" s="8" t="str">
        <x:v>lytton-v</x:v>
      </x:c>
      <x:c r="C876" s="8" t="str">
        <x:v>Lytton</x:v>
      </x:c>
      <x:c r="D876" s="8" t="str">
        <x:v>Work In Progress</x:v>
      </x:c>
      <x:c r="E876" s="11" t="n">
        <x:v>0</x:v>
      </x:c>
      <x:c r="F876" s="11"/>
      <x:c r="G876" s="11" t="n">
        <x:v>0</x:v>
      </x:c>
      <x:c r="H876" s="11" t="n">
        <x:v>0</x:v>
      </x:c>
      <x:c r="I876" s="11" t="n">
        <x:v>0</x:v>
      </x:c>
      <x:c r="J876" s="11"/>
      <x:c r="K876" s="12"/>
      <x:c r="L876" s="12"/>
      <x:c r="M876" s="8" t="str">
        <x:v>N/A</x:v>
      </x:c>
    </x:row>
    <x:row r="877">
      <x:c r="A877" s="8" t="str">
        <x:v>Lytton|Total TCA</x:v>
      </x:c>
      <x:c r="B877" s="8" t="str">
        <x:v>lytton-v</x:v>
      </x:c>
      <x:c r="C877" s="8" t="str">
        <x:v>Lytton</x:v>
      </x:c>
      <x:c r="D877" s="8" t="str">
        <x:v>Total TCA</x:v>
      </x:c>
      <x:c r="E877" s="11" t="n">
        <x:v>9059424</x:v>
      </x:c>
      <x:c r="F877" s="11" t="n">
        <x:v>2404499</x:v>
      </x:c>
      <x:c r="G877" s="11" t="n">
        <x:v>6654925</x:v>
      </x:c>
      <x:c r="H877" s="11" t="n">
        <x:v>474143</x:v>
      </x:c>
      <x:c r="I877" s="11" t="n">
        <x:v>6654925</x:v>
      </x:c>
      <x:c r="J877" s="11" t="n">
        <x:v>6134925</x:v>
      </x:c>
      <x:c r="K877" s="12" t="n">
        <x:v>0.7345858853719618</x:v>
      </x:c>
      <x:c r="L877" s="12" t="n">
        <x:v>0.07813761988301893</x:v>
      </x:c>
      <x:c r="M877" s="8"/>
    </x:row>
    <x:row r="878">
      <x:c r="A878" s="8" t="str">
        <x:v>Mackenzie|Land</x:v>
      </x:c>
      <x:c r="B878" s="8" t="str">
        <x:v>mackenzie-d</x:v>
      </x:c>
      <x:c r="C878" s="8" t="str">
        <x:v>Mackenzie</x:v>
      </x:c>
      <x:c r="D878" s="8" t="str">
        <x:v>Land</x:v>
      </x:c>
      <x:c r="E878" s="11" t="n">
        <x:v>7619825</x:v>
      </x:c>
      <x:c r="F878" s="11"/>
      <x:c r="G878" s="11" t="n">
        <x:v>7619825</x:v>
      </x:c>
      <x:c r="H878" s="11" t="n">
        <x:v>0</x:v>
      </x:c>
      <x:c r="I878" s="11" t="n">
        <x:v>7619825</x:v>
      </x:c>
      <x:c r="J878" s="11"/>
      <x:c r="K878" s="12" t="n">
        <x:v>1</x:v>
      </x:c>
      <x:c r="L878" s="12"/>
      <x:c r="M878" s="8" t="str">
        <x:v>N/A</x:v>
      </x:c>
    </x:row>
    <x:row r="879">
      <x:c r="A879" s="8" t="str">
        <x:v>Mackenzie|Buildings</x:v>
      </x:c>
      <x:c r="B879" s="8" t="str">
        <x:v>mackenzie-d</x:v>
      </x:c>
      <x:c r="C879" s="8" t="str">
        <x:v>Mackenzie</x:v>
      </x:c>
      <x:c r="D879" s="8" t="str">
        <x:v>Buildings</x:v>
      </x:c>
      <x:c r="E879" s="11" t="n">
        <x:v>41842896</x:v>
      </x:c>
      <x:c r="F879" s="11" t="n">
        <x:v>13198830</x:v>
      </x:c>
      <x:c r="G879" s="11" t="n">
        <x:v>28644066</x:v>
      </x:c>
      <x:c r="H879" s="11" t="n">
        <x:v>3460072</x:v>
      </x:c>
      <x:c r="I879" s="11" t="n">
        <x:v>27932786</x:v>
      </x:c>
      <x:c r="J879" s="11" t="n">
        <x:v>1083974</x:v>
      </x:c>
      <x:c r="K879" s="12" t="n">
        <x:v>0.684562225329719</x:v>
      </x:c>
      <x:c r="L879" s="12" t="n">
        <x:v>0.961193487824666</x:v>
      </x:c>
      <x:c r="M879" s="8" t="str">
        <x:v>Yes</x:v>
      </x:c>
    </x:row>
    <x:row r="880">
      <x:c r="A880" s="8" t="str">
        <x:v>Mackenzie|Fleet</x:v>
      </x:c>
      <x:c r="B880" s="8" t="str">
        <x:v>mackenzie-d</x:v>
      </x:c>
      <x:c r="C880" s="8" t="str">
        <x:v>Mackenzie</x:v>
      </x:c>
      <x:c r="D880" s="8" t="str">
        <x:v>Fleet</x:v>
      </x:c>
      <x:c r="E880" s="11" t="n">
        <x:v>15439313</x:v>
      </x:c>
      <x:c r="F880" s="11" t="n">
        <x:v>7989775</x:v>
      </x:c>
      <x:c r="G880" s="11" t="n">
        <x:v>7449538</x:v>
      </x:c>
      <x:c r="H880" s="11" t="n">
        <x:v>2688018</x:v>
      </x:c>
      <x:c r="I880" s="11" t="n">
        <x:v>7449538</x:v>
      </x:c>
      <x:c r="J880" s="11" t="n">
        <x:v>582963</x:v>
      </x:c>
      <x:c r="K880" s="12" t="n">
        <x:v>0.4825045000383113</x:v>
      </x:c>
      <x:c r="L880" s="12" t="n">
        <x:v>0.9217450800304663</x:v>
      </x:c>
      <x:c r="M880" s="8" t="str">
        <x:v>Yes</x:v>
      </x:c>
    </x:row>
    <x:row r="881">
      <x:c r="A881" s="8" t="str">
        <x:v>Mackenzie|Parks and Recreation</x:v>
      </x:c>
      <x:c r="B881" s="8" t="str">
        <x:v>mackenzie-d</x:v>
      </x:c>
      <x:c r="C881" s="8" t="str">
        <x:v>Mackenzie</x:v>
      </x:c>
      <x:c r="D881" s="8" t="str">
        <x:v>Parks and Recreation</x:v>
      </x:c>
      <x:c r="E881" s="11" t="n">
        <x:v>0</x:v>
      </x:c>
      <x:c r="F881" s="11" t="n">
        <x:v>0</x:v>
      </x:c>
      <x:c r="G881" s="11" t="n">
        <x:v>0</x:v>
      </x:c>
      <x:c r="H881" s="11" t="n">
        <x:v>0</x:v>
      </x:c>
      <x:c r="I881" s="11" t="n">
        <x:v>0</x:v>
      </x:c>
      <x:c r="J881" s="11" t="n">
        <x:v>0</x:v>
      </x:c>
      <x:c r="K881" s="12"/>
      <x:c r="L881" s="12"/>
      <x:c r="M881" s="8"/>
    </x:row>
    <x:row r="882">
      <x:c r="A882" s="8" t="str">
        <x:v>Mackenzie|Water System</x:v>
      </x:c>
      <x:c r="B882" s="8" t="str">
        <x:v>mackenzie-d</x:v>
      </x:c>
      <x:c r="C882" s="8" t="str">
        <x:v>Mackenzie</x:v>
      </x:c>
      <x:c r="D882" s="8" t="str">
        <x:v>Water System</x:v>
      </x:c>
      <x:c r="E882" s="11" t="n">
        <x:v>4076375</x:v>
      </x:c>
      <x:c r="F882" s="11" t="n">
        <x:v>1410282</x:v>
      </x:c>
      <x:c r="G882" s="11" t="n">
        <x:v>2666093</x:v>
      </x:c>
      <x:c r="H882" s="11" t="n">
        <x:v>449736</x:v>
      </x:c>
      <x:c r="I882" s="11" t="n">
        <x:v>2666093</x:v>
      </x:c>
      <x:c r="J882" s="11" t="n">
        <x:v>63199</x:v>
      </x:c>
      <x:c r="K882" s="12" t="n">
        <x:v>0.654035264174665</x:v>
      </x:c>
      <x:c r="L882" s="12" t="n">
        <x:v>0.9762952755211465</x:v>
      </x:c>
      <x:c r="M882" s="8" t="str">
        <x:v>In_Progress</x:v>
      </x:c>
    </x:row>
    <x:row r="883">
      <x:c r="A883" s="8" t="str">
        <x:v>Mackenzie|Sewer System</x:v>
      </x:c>
      <x:c r="B883" s="8" t="str">
        <x:v>mackenzie-d</x:v>
      </x:c>
      <x:c r="C883" s="8" t="str">
        <x:v>Mackenzie</x:v>
      </x:c>
      <x:c r="D883" s="8" t="str">
        <x:v>Sewer System</x:v>
      </x:c>
      <x:c r="E883" s="11" t="n">
        <x:v>3906230</x:v>
      </x:c>
      <x:c r="F883" s="11" t="n">
        <x:v>2026919</x:v>
      </x:c>
      <x:c r="G883" s="11" t="n">
        <x:v>1879311</x:v>
      </x:c>
      <x:c r="H883" s="11" t="n">
        <x:v>0</x:v>
      </x:c>
      <x:c r="I883" s="11" t="n">
        <x:v>1879311</x:v>
      </x:c>
      <x:c r="J883" s="11" t="n">
        <x:v>69381</x:v>
      </x:c>
      <x:c r="K883" s="12" t="n">
        <x:v>0.4811060792631258</x:v>
      </x:c>
      <x:c r="L883" s="12" t="n">
        <x:v>0.9630816825953767</x:v>
      </x:c>
      <x:c r="M883" s="8" t="str">
        <x:v>In_Progress</x:v>
      </x:c>
    </x:row>
    <x:row r="884">
      <x:c r="A884" s="8" t="str">
        <x:v>Mackenzie|Drainage System</x:v>
      </x:c>
      <x:c r="B884" s="8" t="str">
        <x:v>mackenzie-d</x:v>
      </x:c>
      <x:c r="C884" s="8" t="str">
        <x:v>Mackenzie</x:v>
      </x:c>
      <x:c r="D884" s="8" t="str">
        <x:v>Drainage System</x:v>
      </x:c>
      <x:c r="E884" s="11" t="n">
        <x:v>0</x:v>
      </x:c>
      <x:c r="F884" s="11" t="n">
        <x:v>0</x:v>
      </x:c>
      <x:c r="G884" s="11" t="n">
        <x:v>0</x:v>
      </x:c>
      <x:c r="H884" s="11" t="n">
        <x:v>0</x:v>
      </x:c>
      <x:c r="I884" s="11" t="n">
        <x:v>0</x:v>
      </x:c>
      <x:c r="J884" s="11" t="n">
        <x:v>0</x:v>
      </x:c>
      <x:c r="K884" s="12"/>
      <x:c r="L884" s="12"/>
      <x:c r="M884" s="8"/>
    </x:row>
    <x:row r="885">
      <x:c r="A885" s="8" t="str">
        <x:v>Mackenzie|Transportation System</x:v>
      </x:c>
      <x:c r="B885" s="8" t="str">
        <x:v>mackenzie-d</x:v>
      </x:c>
      <x:c r="C885" s="8" t="str">
        <x:v>Mackenzie</x:v>
      </x:c>
      <x:c r="D885" s="8" t="str">
        <x:v>Transportation System</x:v>
      </x:c>
      <x:c r="E885" s="11" t="n">
        <x:v>15791611</x:v>
      </x:c>
      <x:c r="F885" s="11" t="n">
        <x:v>10325971</x:v>
      </x:c>
      <x:c r="G885" s="11" t="n">
        <x:v>5465640</x:v>
      </x:c>
      <x:c r="H885" s="11" t="n">
        <x:v>1444920</x:v>
      </x:c>
      <x:c r="I885" s="11" t="n">
        <x:v>5465640</x:v>
      </x:c>
      <x:c r="J885" s="11" t="n">
        <x:v>0</x:v>
      </x:c>
      <x:c r="K885" s="12" t="n">
        <x:v>0.3461103493494109</x:v>
      </x:c>
      <x:c r="L885" s="12" t="n">
        <x:v>1</x:v>
      </x:c>
      <x:c r="M885" s="8" t="str">
        <x:v>Yes</x:v>
      </x:c>
    </x:row>
    <x:row r="886">
      <x:c r="A886" s="8" t="str">
        <x:v>Mackenzie|Other Engineering Systems</x:v>
      </x:c>
      <x:c r="B886" s="8" t="str">
        <x:v>mackenzie-d</x:v>
      </x:c>
      <x:c r="C886" s="8" t="str">
        <x:v>Mackenzie</x:v>
      </x:c>
      <x:c r="D886" s="8" t="str">
        <x:v>Other Engineering Systems</x:v>
      </x:c>
      <x:c r="E886" s="11" t="n">
        <x:v>0</x:v>
      </x:c>
      <x:c r="F886" s="11" t="n">
        <x:v>0</x:v>
      </x:c>
      <x:c r="G886" s="11" t="n">
        <x:v>0</x:v>
      </x:c>
      <x:c r="H886" s="11" t="n">
        <x:v>0</x:v>
      </x:c>
      <x:c r="I886" s="11" t="n">
        <x:v>0</x:v>
      </x:c>
      <x:c r="J886" s="11" t="n">
        <x:v>0</x:v>
      </x:c>
      <x:c r="K886" s="12"/>
      <x:c r="L886" s="12"/>
      <x:c r="M886" s="8"/>
    </x:row>
    <x:row r="887">
      <x:c r="A887" s="8" t="str">
        <x:v>Mackenzie|Other Tangible Capital Assets</x:v>
      </x:c>
      <x:c r="B887" s="8" t="str">
        <x:v>mackenzie-d</x:v>
      </x:c>
      <x:c r="C887" s="8" t="str">
        <x:v>Mackenzie</x:v>
      </x:c>
      <x:c r="D887" s="8" t="str">
        <x:v>Other Tangible Capital Assets</x:v>
      </x:c>
      <x:c r="E887" s="11" t="n">
        <x:v>1116529</x:v>
      </x:c>
      <x:c r="F887" s="11" t="n">
        <x:v>1005051</x:v>
      </x:c>
      <x:c r="G887" s="11" t="n">
        <x:v>111478</x:v>
      </x:c>
      <x:c r="H887" s="11" t="n">
        <x:v>225979</x:v>
      </x:c>
      <x:c r="I887" s="11" t="n">
        <x:v>111474</x:v>
      </x:c>
      <x:c r="J887" s="11" t="n">
        <x:v>41509</x:v>
      </x:c>
      <x:c r="K887" s="12" t="n">
        <x:v>0.09984335382242647</x:v>
      </x:c>
      <x:c r="L887" s="12" t="n">
        <x:v>0.627635143620934</x:v>
      </x:c>
      <x:c r="M887" s="8" t="str">
        <x:v>N/A</x:v>
      </x:c>
    </x:row>
    <x:row r="888">
      <x:c r="A888" s="8" t="str">
        <x:v>Mackenzie|Work In Progress</x:v>
      </x:c>
      <x:c r="B888" s="8" t="str">
        <x:v>mackenzie-d</x:v>
      </x:c>
      <x:c r="C888" s="8" t="str">
        <x:v>Mackenzie</x:v>
      </x:c>
      <x:c r="D888" s="8" t="str">
        <x:v>Work In Progress</x:v>
      </x:c>
      <x:c r="E888" s="11" t="n">
        <x:v>347047</x:v>
      </x:c>
      <x:c r="F888" s="11"/>
      <x:c r="G888" s="11" t="n">
        <x:v>347047</x:v>
      </x:c>
      <x:c r="H888" s="11" t="n">
        <x:v>321904</x:v>
      </x:c>
      <x:c r="I888" s="11" t="n">
        <x:v>347047</x:v>
      </x:c>
      <x:c r="J888" s="11"/>
      <x:c r="K888" s="12" t="n">
        <x:v>1</x:v>
      </x:c>
      <x:c r="L888" s="12"/>
      <x:c r="M888" s="8" t="str">
        <x:v>N/A</x:v>
      </x:c>
    </x:row>
    <x:row r="889">
      <x:c r="A889" s="8" t="str">
        <x:v>Mackenzie|Total TCA</x:v>
      </x:c>
      <x:c r="B889" s="8" t="str">
        <x:v>mackenzie-d</x:v>
      </x:c>
      <x:c r="C889" s="8" t="str">
        <x:v>Mackenzie</x:v>
      </x:c>
      <x:c r="D889" s="8" t="str">
        <x:v>Total TCA</x:v>
      </x:c>
      <x:c r="E889" s="11" t="n">
        <x:v>90139826</x:v>
      </x:c>
      <x:c r="F889" s="11" t="n">
        <x:v>35956828</x:v>
      </x:c>
      <x:c r="G889" s="11" t="n">
        <x:v>54182998</x:v>
      </x:c>
      <x:c r="H889" s="11" t="n">
        <x:v>8590629</x:v>
      </x:c>
      <x:c r="I889" s="11" t="n">
        <x:v>53471714</x:v>
      </x:c>
      <x:c r="J889" s="11" t="n">
        <x:v>1841026</x:v>
      </x:c>
      <x:c r="K889" s="12" t="n">
        <x:v>0.6010994296793961</x:v>
      </x:c>
      <x:c r="L889" s="12" t="n">
        <x:v>0.9655700956210231</x:v>
      </x:c>
      <x:c r="M889" s="8"/>
    </x:row>
    <x:row r="890">
      <x:c r="A890" s="8" t="str">
        <x:v>Maple Ridge|Land</x:v>
      </x:c>
      <x:c r="B890" s="8" t="str">
        <x:v>maple-ridge-c</x:v>
      </x:c>
      <x:c r="C890" s="8" t="str">
        <x:v>Maple Ridge</x:v>
      </x:c>
      <x:c r="D890" s="8" t="str">
        <x:v>Land</x:v>
      </x:c>
      <x:c r="E890" s="11" t="n">
        <x:v>323215548</x:v>
      </x:c>
      <x:c r="F890" s="11"/>
      <x:c r="G890" s="11" t="n">
        <x:v>323215548</x:v>
      </x:c>
      <x:c r="H890" s="11" t="n">
        <x:v>17055283</x:v>
      </x:c>
      <x:c r="I890" s="11" t="n">
        <x:v>323215548</x:v>
      </x:c>
      <x:c r="J890" s="11"/>
      <x:c r="K890" s="12" t="n">
        <x:v>1</x:v>
      </x:c>
      <x:c r="L890" s="12"/>
      <x:c r="M890" s="8" t="str">
        <x:v>N/A</x:v>
      </x:c>
    </x:row>
    <x:row r="891">
      <x:c r="A891" s="8" t="str">
        <x:v>Maple Ridge|Buildings</x:v>
      </x:c>
      <x:c r="B891" s="8" t="str">
        <x:v>maple-ridge-c</x:v>
      </x:c>
      <x:c r="C891" s="8" t="str">
        <x:v>Maple Ridge</x:v>
      </x:c>
      <x:c r="D891" s="8" t="str">
        <x:v>Buildings</x:v>
      </x:c>
      <x:c r="E891" s="11" t="n">
        <x:v>150237906</x:v>
      </x:c>
      <x:c r="F891" s="11" t="n">
        <x:v>69163330</x:v>
      </x:c>
      <x:c r="G891" s="11" t="n">
        <x:v>81074576</x:v>
      </x:c>
      <x:c r="H891" s="11" t="n">
        <x:v>3016623</x:v>
      </x:c>
      <x:c r="I891" s="11" t="n">
        <x:v>328005507</x:v>
      </x:c>
      <x:c r="J891" s="11" t="n">
        <x:v>10933517</x:v>
      </x:c>
      <x:c r="K891" s="12" t="n">
        <x:v>0.5396412806765292</x:v>
      </x:c>
      <x:c r="L891" s="12" t="n">
        <x:v>0.9666666663617938</x:v>
      </x:c>
      <x:c r="M891" s="8" t="str">
        <x:v>No</x:v>
      </x:c>
    </x:row>
    <x:row r="892">
      <x:c r="A892" s="8" t="str">
        <x:v>Maple Ridge|Fleet</x:v>
      </x:c>
      <x:c r="B892" s="8" t="str">
        <x:v>maple-ridge-c</x:v>
      </x:c>
      <x:c r="C892" s="8" t="str">
        <x:v>Maple Ridge</x:v>
      </x:c>
      <x:c r="D892" s="8" t="str">
        <x:v>Fleet</x:v>
      </x:c>
      <x:c r="E892" s="11" t="n">
        <x:v>20600149</x:v>
      </x:c>
      <x:c r="F892" s="11" t="n">
        <x:v>9301891</x:v>
      </x:c>
      <x:c r="G892" s="11" t="n">
        <x:v>11298258</x:v>
      </x:c>
      <x:c r="H892" s="11" t="n">
        <x:v>3160180</x:v>
      </x:c>
      <x:c r="I892" s="11" t="n">
        <x:v>24337248</x:v>
      </x:c>
      <x:c r="J892" s="11" t="n">
        <x:v>2433725</x:v>
      </x:c>
      <x:c r="K892" s="12" t="n">
        <x:v>0.5484551592321008</x:v>
      </x:c>
      <x:c r="L892" s="12" t="n">
        <x:v>0.899999991782144</x:v>
      </x:c>
      <x:c r="M892" s="8" t="str">
        <x:v>No</x:v>
      </x:c>
    </x:row>
    <x:row r="893">
      <x:c r="A893" s="8" t="str">
        <x:v>Maple Ridge|Parks and Recreation</x:v>
      </x:c>
      <x:c r="B893" s="8" t="str">
        <x:v>maple-ridge-c</x:v>
      </x:c>
      <x:c r="C893" s="8" t="str">
        <x:v>Maple Ridge</x:v>
      </x:c>
      <x:c r="D893" s="8" t="str">
        <x:v>Parks and Recreation</x:v>
      </x:c>
      <x:c r="E893" s="11" t="n">
        <x:v>48822744</x:v>
      </x:c>
      <x:c r="F893" s="11" t="n">
        <x:v>17098403</x:v>
      </x:c>
      <x:c r="G893" s="11" t="n">
        <x:v>31724341</x:v>
      </x:c>
      <x:c r="H893" s="11" t="n">
        <x:v>2400668</x:v>
      </x:c>
      <x:c r="I893" s="11" t="n">
        <x:v>76528751</x:v>
      </x:c>
      <x:c r="J893" s="11" t="n">
        <x:v>2550958</x:v>
      </x:c>
      <x:c r="K893" s="12" t="n">
        <x:v>0.6497861119809243</x:v>
      </x:c>
      <x:c r="L893" s="12" t="n">
        <x:v>0.9666666714578943</x:v>
      </x:c>
      <x:c r="M893" s="8" t="str">
        <x:v>No</x:v>
      </x:c>
    </x:row>
    <x:row r="894">
      <x:c r="A894" s="8" t="str">
        <x:v>Maple Ridge|Water System</x:v>
      </x:c>
      <x:c r="B894" s="8" t="str">
        <x:v>maple-ridge-c</x:v>
      </x:c>
      <x:c r="C894" s="8" t="str">
        <x:v>Maple Ridge</x:v>
      </x:c>
      <x:c r="D894" s="8" t="str">
        <x:v>Water System</x:v>
      </x:c>
      <x:c r="E894" s="11" t="n">
        <x:v>194225903</x:v>
      </x:c>
      <x:c r="F894" s="11" t="n">
        <x:v>50705401</x:v>
      </x:c>
      <x:c r="G894" s="11" t="n">
        <x:v>143520502</x:v>
      </x:c>
      <x:c r="H894" s="11" t="n">
        <x:v>9710285</x:v>
      </x:c>
      <x:c r="I894" s="11" t="n">
        <x:v>389651505</x:v>
      </x:c>
      <x:c r="J894" s="11" t="n">
        <x:v>8658922</x:v>
      </x:c>
      <x:c r="K894" s="12" t="n">
        <x:v>0.7389359492384494</x:v>
      </x:c>
      <x:c r="L894" s="12" t="n">
        <x:v>0.9777777786332431</x:v>
      </x:c>
      <x:c r="M894" s="8" t="str">
        <x:v>In_Progress</x:v>
      </x:c>
    </x:row>
    <x:row r="895">
      <x:c r="A895" s="8" t="str">
        <x:v>Maple Ridge|Sewer System</x:v>
      </x:c>
      <x:c r="B895" s="8" t="str">
        <x:v>maple-ridge-c</x:v>
      </x:c>
      <x:c r="C895" s="8" t="str">
        <x:v>Maple Ridge</x:v>
      </x:c>
      <x:c r="D895" s="8" t="str">
        <x:v>Sewer System</x:v>
      </x:c>
      <x:c r="E895" s="11" t="n">
        <x:v>214504181</x:v>
      </x:c>
      <x:c r="F895" s="11" t="n">
        <x:v>63654680</x:v>
      </x:c>
      <x:c r="G895" s="11" t="n">
        <x:v>150849501</x:v>
      </x:c>
      <x:c r="H895" s="11" t="n">
        <x:v>13581154</x:v>
      </x:c>
      <x:c r="I895" s="11" t="n">
        <x:v>497636378</x:v>
      </x:c>
      <x:c r="J895" s="11" t="n">
        <x:v>7109091</x:v>
      </x:c>
      <x:c r="K895" s="12" t="n">
        <x:v>0.7032473693368243</x:v>
      </x:c>
      <x:c r="L895" s="12" t="n">
        <x:v>0.9857142859439428</x:v>
      </x:c>
      <x:c r="M895" s="8" t="str">
        <x:v>In_Progress</x:v>
      </x:c>
    </x:row>
    <x:row r="896">
      <x:c r="A896" s="8" t="str">
        <x:v>Maple Ridge|Drainage System</x:v>
      </x:c>
      <x:c r="B896" s="8" t="str">
        <x:v>maple-ridge-c</x:v>
      </x:c>
      <x:c r="C896" s="8" t="str">
        <x:v>Maple Ridge</x:v>
      </x:c>
      <x:c r="D896" s="8" t="str">
        <x:v>Drainage System</x:v>
      </x:c>
      <x:c r="E896" s="11" t="n">
        <x:v>322340475</x:v>
      </x:c>
      <x:c r="F896" s="11" t="n">
        <x:v>89061772</x:v>
      </x:c>
      <x:c r="G896" s="11" t="n">
        <x:v>233278703</x:v>
      </x:c>
      <x:c r="H896" s="11" t="n">
        <x:v>12550503</x:v>
      </x:c>
      <x:c r="I896" s="11" t="n">
        <x:v>682565023</x:v>
      </x:c>
      <x:c r="J896" s="11" t="n">
        <x:v>9750929</x:v>
      </x:c>
      <x:c r="K896" s="12" t="n">
        <x:v>0.7237027959333993</x:v>
      </x:c>
      <x:c r="L896" s="12" t="n">
        <x:v>0.9857142855677795</x:v>
      </x:c>
      <x:c r="M896" s="8" t="str">
        <x:v>In_Progress</x:v>
      </x:c>
    </x:row>
    <x:row r="897">
      <x:c r="A897" s="8" t="str">
        <x:v>Maple Ridge|Transportation System</x:v>
      </x:c>
      <x:c r="B897" s="8" t="str">
        <x:v>maple-ridge-c</x:v>
      </x:c>
      <x:c r="C897" s="8" t="str">
        <x:v>Maple Ridge</x:v>
      </x:c>
      <x:c r="D897" s="8" t="str">
        <x:v>Transportation System</x:v>
      </x:c>
      <x:c r="E897" s="11" t="n">
        <x:v>347973512</x:v>
      </x:c>
      <x:c r="F897" s="11" t="n">
        <x:v>147089973</x:v>
      </x:c>
      <x:c r="G897" s="11" t="n">
        <x:v>200883539</x:v>
      </x:c>
      <x:c r="H897" s="11" t="n">
        <x:v>7539460</x:v>
      </x:c>
      <x:c r="I897" s="11" t="n">
        <x:v>719696744</x:v>
      </x:c>
      <x:c r="J897" s="11" t="n">
        <x:v>10004313</x:v>
      </x:c>
      <x:c r="K897" s="12" t="n">
        <x:v>0.5772954896635926</x:v>
      </x:c>
      <x:c r="L897" s="12" t="n">
        <x:v>0.9860992659986245</x:v>
      </x:c>
      <x:c r="M897" s="8" t="str">
        <x:v>In_Progress</x:v>
      </x:c>
    </x:row>
    <x:row r="898">
      <x:c r="A898" s="8" t="str">
        <x:v>Maple Ridge|Other Engineering Systems</x:v>
      </x:c>
      <x:c r="B898" s="8" t="str">
        <x:v>maple-ridge-c</x:v>
      </x:c>
      <x:c r="C898" s="8" t="str">
        <x:v>Maple Ridge</x:v>
      </x:c>
      <x:c r="D898" s="8" t="str">
        <x:v>Other Engineering Systems</x:v>
      </x:c>
      <x:c r="E898" s="11" t="n">
        <x:v>0</x:v>
      </x:c>
      <x:c r="F898" s="11" t="n">
        <x:v>0</x:v>
      </x:c>
      <x:c r="G898" s="11" t="n">
        <x:v>0</x:v>
      </x:c>
      <x:c r="H898" s="11" t="n">
        <x:v>0</x:v>
      </x:c>
      <x:c r="I898" s="11" t="n">
        <x:v>0</x:v>
      </x:c>
      <x:c r="J898" s="11" t="n">
        <x:v>0</x:v>
      </x:c>
      <x:c r="K898" s="12"/>
      <x:c r="L898" s="12"/>
      <x:c r="M898" s="8"/>
    </x:row>
    <x:row r="899">
      <x:c r="A899" s="8" t="str">
        <x:v>Maple Ridge|Other Tangible Capital Assets</x:v>
      </x:c>
      <x:c r="B899" s="8" t="str">
        <x:v>maple-ridge-c</x:v>
      </x:c>
      <x:c r="C899" s="8" t="str">
        <x:v>Maple Ridge</x:v>
      </x:c>
      <x:c r="D899" s="8" t="str">
        <x:v>Other Tangible Capital Assets</x:v>
      </x:c>
      <x:c r="E899" s="11" t="n">
        <x:v>110615112</x:v>
      </x:c>
      <x:c r="F899" s="11" t="n">
        <x:v>49720219</x:v>
      </x:c>
      <x:c r="G899" s="11" t="n">
        <x:v>60894893</x:v>
      </x:c>
      <x:c r="H899" s="11" t="n">
        <x:v>8711775</x:v>
      </x:c>
      <x:c r="I899" s="11" t="n">
        <x:v>169167909</x:v>
      </x:c>
      <x:c r="J899" s="11" t="n">
        <x:v>0</x:v>
      </x:c>
      <x:c r="K899" s="12" t="n">
        <x:v>0.5505115160033468</x:v>
      </x:c>
      <x:c r="L899" s="12" t="n">
        <x:v>1</x:v>
      </x:c>
      <x:c r="M899" s="8" t="str">
        <x:v>N/A</x:v>
      </x:c>
    </x:row>
    <x:row r="900">
      <x:c r="A900" s="8" t="str">
        <x:v>Maple Ridge|Work In Progress</x:v>
      </x:c>
      <x:c r="B900" s="8" t="str">
        <x:v>maple-ridge-c</x:v>
      </x:c>
      <x:c r="C900" s="8" t="str">
        <x:v>Maple Ridge</x:v>
      </x:c>
      <x:c r="D900" s="8" t="str">
        <x:v>Work In Progress</x:v>
      </x:c>
      <x:c r="E900" s="11" t="n">
        <x:v>27610088</x:v>
      </x:c>
      <x:c r="F900" s="11"/>
      <x:c r="G900" s="11" t="n">
        <x:v>27610088</x:v>
      </x:c>
      <x:c r="H900" s="11" t="n">
        <x:v>3574257</x:v>
      </x:c>
      <x:c r="I900" s="11" t="n">
        <x:v>27610088</x:v>
      </x:c>
      <x:c r="J900" s="11"/>
      <x:c r="K900" s="12" t="n">
        <x:v>1</x:v>
      </x:c>
      <x:c r="L900" s="12"/>
      <x:c r="M900" s="8" t="str">
        <x:v>N/A</x:v>
      </x:c>
    </x:row>
    <x:row r="901">
      <x:c r="A901" s="8" t="str">
        <x:v>Maple Ridge|Total TCA</x:v>
      </x:c>
      <x:c r="B901" s="8" t="str">
        <x:v>maple-ridge-c</x:v>
      </x:c>
      <x:c r="C901" s="8" t="str">
        <x:v>Maple Ridge</x:v>
      </x:c>
      <x:c r="D901" s="8" t="str">
        <x:v>Total TCA</x:v>
      </x:c>
      <x:c r="E901" s="11" t="n">
        <x:v>1760145618</x:v>
      </x:c>
      <x:c r="F901" s="11" t="n">
        <x:v>495795669</x:v>
      </x:c>
      <x:c r="G901" s="11" t="n">
        <x:v>1264349949</x:v>
      </x:c>
      <x:c r="H901" s="11" t="n">
        <x:v>81300188</x:v>
      </x:c>
      <x:c r="I901" s="11" t="n">
        <x:v>3238414701</x:v>
      </x:c>
      <x:c r="J901" s="11" t="n">
        <x:v>51441455</x:v>
      </x:c>
      <x:c r="K901" s="12" t="n">
        <x:v>0.7183212207389083</x:v>
      </x:c>
      <x:c r="L901" s="12" t="n">
        <x:v>0.9841152354625505</x:v>
      </x:c>
      <x:c r="M901" s="8"/>
    </x:row>
    <x:row r="902">
      <x:c r="A902" s="8" t="str">
        <x:v>Masset|Land</x:v>
      </x:c>
      <x:c r="B902" s="8" t="str">
        <x:v>masset-v</x:v>
      </x:c>
      <x:c r="C902" s="8" t="str">
        <x:v>Masset</x:v>
      </x:c>
      <x:c r="D902" s="8" t="str">
        <x:v>Land</x:v>
      </x:c>
      <x:c r="E902" s="11" t="n">
        <x:v>10805022</x:v>
      </x:c>
      <x:c r="F902" s="11"/>
      <x:c r="G902" s="11" t="n">
        <x:v>10805022</x:v>
      </x:c>
      <x:c r="H902" s="11" t="n">
        <x:v>0</x:v>
      </x:c>
      <x:c r="I902" s="11" t="n">
        <x:v>10805022</x:v>
      </x:c>
      <x:c r="J902" s="11"/>
      <x:c r="K902" s="12" t="n">
        <x:v>1</x:v>
      </x:c>
      <x:c r="L902" s="12"/>
      <x:c r="M902" s="8" t="str">
        <x:v>N/A</x:v>
      </x:c>
    </x:row>
    <x:row r="903">
      <x:c r="A903" s="8" t="str">
        <x:v>Masset|Buildings</x:v>
      </x:c>
      <x:c r="B903" s="8" t="str">
        <x:v>masset-v</x:v>
      </x:c>
      <x:c r="C903" s="8" t="str">
        <x:v>Masset</x:v>
      </x:c>
      <x:c r="D903" s="8" t="str">
        <x:v>Buildings</x:v>
      </x:c>
      <x:c r="E903" s="11" t="n">
        <x:v>8501084</x:v>
      </x:c>
      <x:c r="F903" s="11" t="n">
        <x:v>4642410</x:v>
      </x:c>
      <x:c r="G903" s="11" t="n">
        <x:v>3858674</x:v>
      </x:c>
      <x:c r="H903" s="11" t="n">
        <x:v>76545</x:v>
      </x:c>
      <x:c r="I903" s="11" t="n">
        <x:v>8501084</x:v>
      </x:c>
      <x:c r="J903" s="11" t="n">
        <x:v>4642410</x:v>
      </x:c>
      <x:c r="K903" s="12" t="n">
        <x:v>0.45390376097918805</x:v>
      </x:c>
      <x:c r="L903" s="12" t="n">
        <x:v>0.45390376097918805</x:v>
      </x:c>
      <x:c r="M903" s="8" t="str">
        <x:v>Yes</x:v>
      </x:c>
    </x:row>
    <x:row r="904">
      <x:c r="A904" s="8" t="str">
        <x:v>Masset|Fleet</x:v>
      </x:c>
      <x:c r="B904" s="8" t="str">
        <x:v>masset-v</x:v>
      </x:c>
      <x:c r="C904" s="8" t="str">
        <x:v>Masset</x:v>
      </x:c>
      <x:c r="D904" s="8" t="str">
        <x:v>Fleet</x:v>
      </x:c>
      <x:c r="E904" s="11" t="n">
        <x:v>2154290</x:v>
      </x:c>
      <x:c r="F904" s="11" t="n">
        <x:v>1372677</x:v>
      </x:c>
      <x:c r="G904" s="11" t="n">
        <x:v>781613</x:v>
      </x:c>
      <x:c r="H904" s="11" t="n">
        <x:v>203310</x:v>
      </x:c>
      <x:c r="I904" s="11" t="n">
        <x:v>2154290</x:v>
      </x:c>
      <x:c r="J904" s="11" t="n">
        <x:v>1372677</x:v>
      </x:c>
      <x:c r="K904" s="12" t="n">
        <x:v>0.36281698378584126</x:v>
      </x:c>
      <x:c r="L904" s="12" t="n">
        <x:v>0.36281698378584126</x:v>
      </x:c>
      <x:c r="M904" s="8" t="str">
        <x:v>Yes</x:v>
      </x:c>
    </x:row>
    <x:row r="905">
      <x:c r="A905" s="8" t="str">
        <x:v>Masset|Parks and Recreation</x:v>
      </x:c>
      <x:c r="B905" s="8" t="str">
        <x:v>masset-v</x:v>
      </x:c>
      <x:c r="C905" s="8" t="str">
        <x:v>Masset</x:v>
      </x:c>
      <x:c r="D905" s="8" t="str">
        <x:v>Parks and Recreation</x:v>
      </x:c>
      <x:c r="E905" s="11" t="n">
        <x:v>8438</x:v>
      </x:c>
      <x:c r="F905" s="11" t="n">
        <x:v>7806</x:v>
      </x:c>
      <x:c r="G905" s="11" t="n">
        <x:v>632</x:v>
      </x:c>
      <x:c r="H905" s="11" t="n">
        <x:v>0</x:v>
      </x:c>
      <x:c r="I905" s="11" t="n">
        <x:v>8438</x:v>
      </x:c>
      <x:c r="J905" s="11" t="n">
        <x:v>7806</x:v>
      </x:c>
      <x:c r="K905" s="12" t="n">
        <x:v>0.07489926522872718</x:v>
      </x:c>
      <x:c r="L905" s="12" t="n">
        <x:v>0.07489926522872714</x:v>
      </x:c>
      <x:c r="M905" s="8" t="str">
        <x:v>Yes</x:v>
      </x:c>
    </x:row>
    <x:row r="906">
      <x:c r="A906" s="8" t="str">
        <x:v>Masset|Water System</x:v>
      </x:c>
      <x:c r="B906" s="8" t="str">
        <x:v>masset-v</x:v>
      </x:c>
      <x:c r="C906" s="8" t="str">
        <x:v>Masset</x:v>
      </x:c>
      <x:c r="D906" s="8" t="str">
        <x:v>Water System</x:v>
      </x:c>
      <x:c r="E906" s="11" t="n">
        <x:v>6710750</x:v>
      </x:c>
      <x:c r="F906" s="11" t="n">
        <x:v>1684017</x:v>
      </x:c>
      <x:c r="G906" s="11" t="n">
        <x:v>5026733</x:v>
      </x:c>
      <x:c r="H906" s="11" t="n">
        <x:v>0</x:v>
      </x:c>
      <x:c r="I906" s="11" t="n">
        <x:v>6710750</x:v>
      </x:c>
      <x:c r="J906" s="11" t="n">
        <x:v>1684017</x:v>
      </x:c>
      <x:c r="K906" s="12" t="n">
        <x:v>0.7490568118317624</x:v>
      </x:c>
      <x:c r="L906" s="12" t="n">
        <x:v>0.7490568118317624</x:v>
      </x:c>
      <x:c r="M906" s="8" t="str">
        <x:v>Yes</x:v>
      </x:c>
    </x:row>
    <x:row r="907">
      <x:c r="A907" s="8" t="str">
        <x:v>Masset|Sewer System</x:v>
      </x:c>
      <x:c r="B907" s="8" t="str">
        <x:v>masset-v</x:v>
      </x:c>
      <x:c r="C907" s="8" t="str">
        <x:v>Masset</x:v>
      </x:c>
      <x:c r="D907" s="8" t="str">
        <x:v>Sewer System</x:v>
      </x:c>
      <x:c r="E907" s="11" t="n">
        <x:v>1971475</x:v>
      </x:c>
      <x:c r="F907" s="11" t="n">
        <x:v>798479</x:v>
      </x:c>
      <x:c r="G907" s="11" t="n">
        <x:v>1172996</x:v>
      </x:c>
      <x:c r="H907" s="11" t="n">
        <x:v>197255</x:v>
      </x:c>
      <x:c r="I907" s="11" t="n">
        <x:v>1971475</x:v>
      </x:c>
      <x:c r="J907" s="11" t="n">
        <x:v>798479</x:v>
      </x:c>
      <x:c r="K907" s="12" t="n">
        <x:v>0.5949839587111173</x:v>
      </x:c>
      <x:c r="L907" s="12" t="n">
        <x:v>0.5949839587111173</x:v>
      </x:c>
      <x:c r="M907" s="8" t="str">
        <x:v>Yes</x:v>
      </x:c>
    </x:row>
    <x:row r="908">
      <x:c r="A908" s="8" t="str">
        <x:v>Masset|Drainage System</x:v>
      </x:c>
      <x:c r="B908" s="8" t="str">
        <x:v>masset-v</x:v>
      </x:c>
      <x:c r="C908" s="8" t="str">
        <x:v>Masset</x:v>
      </x:c>
      <x:c r="D908" s="8" t="str">
        <x:v>Drainage System</x:v>
      </x:c>
      <x:c r="E908" s="11" t="n">
        <x:v>0</x:v>
      </x:c>
      <x:c r="F908" s="11" t="n">
        <x:v>0</x:v>
      </x:c>
      <x:c r="G908" s="11" t="n">
        <x:v>0</x:v>
      </x:c>
      <x:c r="H908" s="11" t="n">
        <x:v>0</x:v>
      </x:c>
      <x:c r="I908" s="11" t="n">
        <x:v>0</x:v>
      </x:c>
      <x:c r="J908" s="11" t="n">
        <x:v>0</x:v>
      </x:c>
      <x:c r="K908" s="12"/>
      <x:c r="L908" s="12"/>
      <x:c r="M908" s="8" t="str">
        <x:v>Yes</x:v>
      </x:c>
    </x:row>
    <x:row r="909">
      <x:c r="A909" s="8" t="str">
        <x:v>Masset|Transportation System</x:v>
      </x:c>
      <x:c r="B909" s="8" t="str">
        <x:v>masset-v</x:v>
      </x:c>
      <x:c r="C909" s="8" t="str">
        <x:v>Masset</x:v>
      </x:c>
      <x:c r="D909" s="8" t="str">
        <x:v>Transportation System</x:v>
      </x:c>
      <x:c r="E909" s="11" t="n">
        <x:v>12610817</x:v>
      </x:c>
      <x:c r="F909" s="11" t="n">
        <x:v>9321946</x:v>
      </x:c>
      <x:c r="G909" s="11" t="n">
        <x:v>3288871</x:v>
      </x:c>
      <x:c r="H909" s="11" t="n">
        <x:v>3198939</x:v>
      </x:c>
      <x:c r="I909" s="11" t="n">
        <x:v>12610817</x:v>
      </x:c>
      <x:c r="J909" s="11" t="n">
        <x:v>9321946</x:v>
      </x:c>
      <x:c r="K909" s="12" t="n">
        <x:v>0.26079761525363504</x:v>
      </x:c>
      <x:c r="L909" s="12" t="n">
        <x:v>0.260797615253635</x:v>
      </x:c>
      <x:c r="M909" s="8" t="str">
        <x:v>Yes</x:v>
      </x:c>
    </x:row>
    <x:row r="910">
      <x:c r="A910" s="8" t="str">
        <x:v>Masset|Other Engineering Systems</x:v>
      </x:c>
      <x:c r="B910" s="8" t="str">
        <x:v>masset-v</x:v>
      </x:c>
      <x:c r="C910" s="8" t="str">
        <x:v>Masset</x:v>
      </x:c>
      <x:c r="D910" s="8" t="str">
        <x:v>Other Engineering Systems</x:v>
      </x:c>
      <x:c r="E910" s="11" t="n">
        <x:v>8522674</x:v>
      </x:c>
      <x:c r="F910" s="11" t="n">
        <x:v>3331096</x:v>
      </x:c>
      <x:c r="G910" s="11" t="n">
        <x:v>5191578</x:v>
      </x:c>
      <x:c r="H910" s="11" t="n">
        <x:v>51069</x:v>
      </x:c>
      <x:c r="I910" s="11" t="n">
        <x:v>8522674</x:v>
      </x:c>
      <x:c r="J910" s="11" t="n">
        <x:v>3331096</x:v>
      </x:c>
      <x:c r="K910" s="12" t="n">
        <x:v>0.6091489595870967</x:v>
      </x:c>
      <x:c r="L910" s="12" t="n">
        <x:v>0.6091489595870967</x:v>
      </x:c>
      <x:c r="M910" s="8" t="str">
        <x:v>Yes</x:v>
      </x:c>
    </x:row>
    <x:row r="911">
      <x:c r="A911" s="8" t="str">
        <x:v>Masset|Other Tangible Capital Assets</x:v>
      </x:c>
      <x:c r="B911" s="8" t="str">
        <x:v>masset-v</x:v>
      </x:c>
      <x:c r="C911" s="8" t="str">
        <x:v>Masset</x:v>
      </x:c>
      <x:c r="D911" s="8" t="str">
        <x:v>Other Tangible Capital Assets</x:v>
      </x:c>
      <x:c r="E911" s="11" t="n">
        <x:v>2406526</x:v>
      </x:c>
      <x:c r="F911" s="11" t="n">
        <x:v>1071785</x:v>
      </x:c>
      <x:c r="G911" s="11" t="n">
        <x:v>1334741</x:v>
      </x:c>
      <x:c r="H911" s="11" t="n">
        <x:v>40164</x:v>
      </x:c>
      <x:c r="I911" s="11" t="n">
        <x:v>2406526</x:v>
      </x:c>
      <x:c r="J911" s="11" t="n">
        <x:v>1071785</x:v>
      </x:c>
      <x:c r="K911" s="12" t="n">
        <x:v>0.5546339412081981</x:v>
      </x:c>
      <x:c r="L911" s="12" t="n">
        <x:v>0.554633941208198</x:v>
      </x:c>
      <x:c r="M911" s="8" t="str">
        <x:v>N/A</x:v>
      </x:c>
    </x:row>
    <x:row r="912">
      <x:c r="A912" s="8" t="str">
        <x:v>Masset|Work In Progress</x:v>
      </x:c>
      <x:c r="B912" s="8" t="str">
        <x:v>masset-v</x:v>
      </x:c>
      <x:c r="C912" s="8" t="str">
        <x:v>Masset</x:v>
      </x:c>
      <x:c r="D912" s="8" t="str">
        <x:v>Work In Progress</x:v>
      </x:c>
      <x:c r="E912" s="11" t="n">
        <x:v>0</x:v>
      </x:c>
      <x:c r="F912" s="11"/>
      <x:c r="G912" s="11" t="n">
        <x:v>0</x:v>
      </x:c>
      <x:c r="H912" s="11" t="n">
        <x:v>0</x:v>
      </x:c>
      <x:c r="I912" s="11" t="n">
        <x:v>0</x:v>
      </x:c>
      <x:c r="J912" s="11"/>
      <x:c r="K912" s="12"/>
      <x:c r="L912" s="12"/>
      <x:c r="M912" s="8" t="str">
        <x:v>N/A</x:v>
      </x:c>
    </x:row>
    <x:row r="913">
      <x:c r="A913" s="8" t="str">
        <x:v>Masset|Total TCA</x:v>
      </x:c>
      <x:c r="B913" s="8" t="str">
        <x:v>masset-v</x:v>
      </x:c>
      <x:c r="C913" s="8" t="str">
        <x:v>Masset</x:v>
      </x:c>
      <x:c r="D913" s="8" t="str">
        <x:v>Total TCA</x:v>
      </x:c>
      <x:c r="E913" s="11" t="n">
        <x:v>53691076</x:v>
      </x:c>
      <x:c r="F913" s="11" t="n">
        <x:v>22230216</x:v>
      </x:c>
      <x:c r="G913" s="11" t="n">
        <x:v>31460860</x:v>
      </x:c>
      <x:c r="H913" s="11" t="n">
        <x:v>3767282</x:v>
      </x:c>
      <x:c r="I913" s="11" t="n">
        <x:v>53691076</x:v>
      </x:c>
      <x:c r="J913" s="11" t="n">
        <x:v>22230216</x:v>
      </x:c>
      <x:c r="K913" s="12" t="n">
        <x:v>0.5859606911211838</x:v>
      </x:c>
      <x:c r="L913" s="12" t="n">
        <x:v>0.5859606911211837</x:v>
      </x:c>
      <x:c r="M913" s="8"/>
    </x:row>
    <x:row r="914">
      <x:c r="A914" s="8" t="str">
        <x:v>McBride|Land</x:v>
      </x:c>
      <x:c r="B914" s="8" t="str">
        <x:v>mcbride-v</x:v>
      </x:c>
      <x:c r="C914" s="8" t="str">
        <x:v>McBride</x:v>
      </x:c>
      <x:c r="D914" s="8" t="str">
        <x:v>Land</x:v>
      </x:c>
      <x:c r="E914" s="11" t="n">
        <x:v>372449</x:v>
      </x:c>
      <x:c r="F914" s="11"/>
      <x:c r="G914" s="11" t="n">
        <x:v>372449</x:v>
      </x:c>
      <x:c r="H914" s="11" t="n">
        <x:v>0</x:v>
      </x:c>
      <x:c r="I914" s="11" t="n">
        <x:v>372449</x:v>
      </x:c>
      <x:c r="J914" s="11"/>
      <x:c r="K914" s="12" t="n">
        <x:v>1</x:v>
      </x:c>
      <x:c r="L914" s="12"/>
      <x:c r="M914" s="8" t="str">
        <x:v>N/A</x:v>
      </x:c>
    </x:row>
    <x:row r="915">
      <x:c r="A915" s="8" t="str">
        <x:v>McBride|Buildings</x:v>
      </x:c>
      <x:c r="B915" s="8" t="str">
        <x:v>mcbride-v</x:v>
      </x:c>
      <x:c r="C915" s="8" t="str">
        <x:v>McBride</x:v>
      </x:c>
      <x:c r="D915" s="8" t="str">
        <x:v>Buildings</x:v>
      </x:c>
      <x:c r="E915" s="11" t="n">
        <x:v>2495897</x:v>
      </x:c>
      <x:c r="F915" s="11" t="n">
        <x:v>1594944</x:v>
      </x:c>
      <x:c r="G915" s="11" t="n">
        <x:v>900953</x:v>
      </x:c>
      <x:c r="H915" s="11" t="n">
        <x:v>14570</x:v>
      </x:c>
      <x:c r="I915" s="11" t="n">
        <x:v>3000000</x:v>
      </x:c>
      <x:c r="J915" s="11" t="n">
        <x:v>100000</x:v>
      </x:c>
      <x:c r="K915" s="12" t="n">
        <x:v>0.36097362992142706</x:v>
      </x:c>
      <x:c r="L915" s="12" t="n">
        <x:v>0.9666666666666667</x:v>
      </x:c>
      <x:c r="M915" s="8" t="str">
        <x:v>Yes</x:v>
      </x:c>
    </x:row>
    <x:row r="916">
      <x:c r="A916" s="8" t="str">
        <x:v>McBride|Fleet</x:v>
      </x:c>
      <x:c r="B916" s="8" t="str">
        <x:v>mcbride-v</x:v>
      </x:c>
      <x:c r="C916" s="8" t="str">
        <x:v>McBride</x:v>
      </x:c>
      <x:c r="D916" s="8" t="str">
        <x:v>Fleet</x:v>
      </x:c>
      <x:c r="E916" s="11" t="n">
        <x:v>1253968</x:v>
      </x:c>
      <x:c r="F916" s="11" t="n">
        <x:v>656011</x:v>
      </x:c>
      <x:c r="G916" s="11" t="n">
        <x:v>597957</x:v>
      </x:c>
      <x:c r="H916" s="11" t="n">
        <x:v>311385</x:v>
      </x:c>
      <x:c r="I916" s="11" t="n">
        <x:v>2000000</x:v>
      </x:c>
      <x:c r="J916" s="11" t="n">
        <x:v>75000</x:v>
      </x:c>
      <x:c r="K916" s="12" t="n">
        <x:v>0.47685188138772283</x:v>
      </x:c>
      <x:c r="L916" s="12" t="n">
        <x:v>0.9625</x:v>
      </x:c>
      <x:c r="M916" s="8" t="str">
        <x:v>Yes</x:v>
      </x:c>
    </x:row>
    <x:row r="917">
      <x:c r="A917" s="8" t="str">
        <x:v>McBride|Parks and Recreation</x:v>
      </x:c>
      <x:c r="B917" s="8" t="str">
        <x:v>mcbride-v</x:v>
      </x:c>
      <x:c r="C917" s="8" t="str">
        <x:v>McBride</x:v>
      </x:c>
      <x:c r="D917" s="8" t="str">
        <x:v>Parks and Recreation</x:v>
      </x:c>
      <x:c r="E917" s="11" t="n">
        <x:v>0</x:v>
      </x:c>
      <x:c r="F917" s="11" t="n">
        <x:v>0</x:v>
      </x:c>
      <x:c r="G917" s="11" t="n">
        <x:v>0</x:v>
      </x:c>
      <x:c r="H917" s="11" t="n">
        <x:v>0</x:v>
      </x:c>
      <x:c r="I917" s="11" t="n">
        <x:v>0</x:v>
      </x:c>
      <x:c r="J917" s="11" t="n">
        <x:v>0</x:v>
      </x:c>
      <x:c r="K917" s="12"/>
      <x:c r="L917" s="12"/>
      <x:c r="M917" s="8"/>
    </x:row>
    <x:row r="918">
      <x:c r="A918" s="8" t="str">
        <x:v>McBride|Water System</x:v>
      </x:c>
      <x:c r="B918" s="8" t="str">
        <x:v>mcbride-v</x:v>
      </x:c>
      <x:c r="C918" s="8" t="str">
        <x:v>McBride</x:v>
      </x:c>
      <x:c r="D918" s="8" t="str">
        <x:v>Water System</x:v>
      </x:c>
      <x:c r="E918" s="11" t="n">
        <x:v>3704767</x:v>
      </x:c>
      <x:c r="F918" s="11" t="n">
        <x:v>1745384</x:v>
      </x:c>
      <x:c r="G918" s="11" t="n">
        <x:v>1959383</x:v>
      </x:c>
      <x:c r="H918" s="11" t="n">
        <x:v>3481</x:v>
      </x:c>
      <x:c r="I918" s="11" t="n">
        <x:v>6500000</x:v>
      </x:c>
      <x:c r="J918" s="11" t="n">
        <x:v>175000</x:v>
      </x:c>
      <x:c r="K918" s="12" t="n">
        <x:v>0.5288815733890957</x:v>
      </x:c>
      <x:c r="L918" s="12" t="n">
        <x:v>0.9730769230769231</x:v>
      </x:c>
      <x:c r="M918" s="8" t="str">
        <x:v>In_Progress</x:v>
      </x:c>
    </x:row>
    <x:row r="919">
      <x:c r="A919" s="8" t="str">
        <x:v>McBride|Sewer System</x:v>
      </x:c>
      <x:c r="B919" s="8" t="str">
        <x:v>mcbride-v</x:v>
      </x:c>
      <x:c r="C919" s="8" t="str">
        <x:v>McBride</x:v>
      </x:c>
      <x:c r="D919" s="8" t="str">
        <x:v>Sewer System</x:v>
      </x:c>
      <x:c r="E919" s="11" t="n">
        <x:v>4946166</x:v>
      </x:c>
      <x:c r="F919" s="11" t="n">
        <x:v>824677</x:v>
      </x:c>
      <x:c r="G919" s="11" t="n">
        <x:v>4121489</x:v>
      </x:c>
      <x:c r="H919" s="11" t="n">
        <x:v>37966</x:v>
      </x:c>
      <x:c r="I919" s="11" t="n">
        <x:v>7000000</x:v>
      </x:c>
      <x:c r="J919" s="11" t="n">
        <x:v>150000</x:v>
      </x:c>
      <x:c r="K919" s="12" t="n">
        <x:v>0.8332694454654372</x:v>
      </x:c>
      <x:c r="L919" s="12" t="n">
        <x:v>0.9785714285714285</x:v>
      </x:c>
      <x:c r="M919" s="8" t="str">
        <x:v>In_Progress</x:v>
      </x:c>
    </x:row>
    <x:row r="920">
      <x:c r="A920" s="8" t="str">
        <x:v>McBride|Drainage System</x:v>
      </x:c>
      <x:c r="B920" s="8" t="str">
        <x:v>mcbride-v</x:v>
      </x:c>
      <x:c r="C920" s="8" t="str">
        <x:v>McBride</x:v>
      </x:c>
      <x:c r="D920" s="8" t="str">
        <x:v>Drainage System</x:v>
      </x:c>
      <x:c r="E920" s="11" t="n">
        <x:v>0</x:v>
      </x:c>
      <x:c r="F920" s="11" t="n">
        <x:v>0</x:v>
      </x:c>
      <x:c r="G920" s="11" t="n">
        <x:v>0</x:v>
      </x:c>
      <x:c r="H920" s="11" t="n">
        <x:v>0</x:v>
      </x:c>
      <x:c r="I920" s="11" t="n">
        <x:v>0</x:v>
      </x:c>
      <x:c r="J920" s="11" t="n">
        <x:v>0</x:v>
      </x:c>
      <x:c r="K920" s="12"/>
      <x:c r="L920" s="12"/>
      <x:c r="M920" s="8"/>
    </x:row>
    <x:row r="921">
      <x:c r="A921" s="8" t="str">
        <x:v>McBride|Transportation System</x:v>
      </x:c>
      <x:c r="B921" s="8" t="str">
        <x:v>mcbride-v</x:v>
      </x:c>
      <x:c r="C921" s="8" t="str">
        <x:v>McBride</x:v>
      </x:c>
      <x:c r="D921" s="8" t="str">
        <x:v>Transportation System</x:v>
      </x:c>
      <x:c r="E921" s="11" t="n">
        <x:v>0</x:v>
      </x:c>
      <x:c r="F921" s="11" t="n">
        <x:v>0</x:v>
      </x:c>
      <x:c r="G921" s="11" t="n">
        <x:v>0</x:v>
      </x:c>
      <x:c r="H921" s="11" t="n">
        <x:v>0</x:v>
      </x:c>
      <x:c r="I921" s="11" t="n">
        <x:v>0</x:v>
      </x:c>
      <x:c r="J921" s="11" t="n">
        <x:v>0</x:v>
      </x:c>
      <x:c r="K921" s="12"/>
      <x:c r="L921" s="12"/>
      <x:c r="M921" s="8"/>
    </x:row>
    <x:row r="922">
      <x:c r="A922" s="8" t="str">
        <x:v>McBride|Other Engineering Systems</x:v>
      </x:c>
      <x:c r="B922" s="8" t="str">
        <x:v>mcbride-v</x:v>
      </x:c>
      <x:c r="C922" s="8" t="str">
        <x:v>McBride</x:v>
      </x:c>
      <x:c r="D922" s="8" t="str">
        <x:v>Other Engineering Systems</x:v>
      </x:c>
      <x:c r="E922" s="11" t="n">
        <x:v>12997133</x:v>
      </x:c>
      <x:c r="F922" s="11" t="n">
        <x:v>7961700</x:v>
      </x:c>
      <x:c r="G922" s="11" t="n">
        <x:v>5035433</x:v>
      </x:c>
      <x:c r="H922" s="11" t="n">
        <x:v>80354</x:v>
      </x:c>
      <x:c r="I922" s="11" t="n">
        <x:v>22000000</x:v>
      </x:c>
      <x:c r="J922" s="11" t="n">
        <x:v>380000</x:v>
      </x:c>
      <x:c r="K922" s="12" t="n">
        <x:v>0.3874264424315732</x:v>
      </x:c>
      <x:c r="L922" s="12" t="n">
        <x:v>0.9827272727272727</x:v>
      </x:c>
      <x:c r="M922" s="8" t="str">
        <x:v>In_Progress</x:v>
      </x:c>
    </x:row>
    <x:row r="923">
      <x:c r="A923" s="8" t="str">
        <x:v>McBride|Other Tangible Capital Assets</x:v>
      </x:c>
      <x:c r="B923" s="8" t="str">
        <x:v>mcbride-v</x:v>
      </x:c>
      <x:c r="C923" s="8" t="str">
        <x:v>McBride</x:v>
      </x:c>
      <x:c r="D923" s="8" t="str">
        <x:v>Other Tangible Capital Assets</x:v>
      </x:c>
      <x:c r="E923" s="11" t="n">
        <x:v>0</x:v>
      </x:c>
      <x:c r="F923" s="11" t="n">
        <x:v>0</x:v>
      </x:c>
      <x:c r="G923" s="11" t="n">
        <x:v>0</x:v>
      </x:c>
      <x:c r="H923" s="11" t="n">
        <x:v>0</x:v>
      </x:c>
      <x:c r="I923" s="11" t="n">
        <x:v>0</x:v>
      </x:c>
      <x:c r="J923" s="11" t="n">
        <x:v>0</x:v>
      </x:c>
      <x:c r="K923" s="12"/>
      <x:c r="L923" s="12"/>
      <x:c r="M923" s="8" t="str">
        <x:v>N/A</x:v>
      </x:c>
    </x:row>
    <x:row r="924">
      <x:c r="A924" s="8" t="str">
        <x:v>McBride|Work In Progress</x:v>
      </x:c>
      <x:c r="B924" s="8" t="str">
        <x:v>mcbride-v</x:v>
      </x:c>
      <x:c r="C924" s="8" t="str">
        <x:v>McBride</x:v>
      </x:c>
      <x:c r="D924" s="8" t="str">
        <x:v>Work In Progress</x:v>
      </x:c>
      <x:c r="E924" s="11" t="n">
        <x:v>248217</x:v>
      </x:c>
      <x:c r="F924" s="11"/>
      <x:c r="G924" s="11" t="n">
        <x:v>248217</x:v>
      </x:c>
      <x:c r="H924" s="11" t="n">
        <x:v>248217</x:v>
      </x:c>
      <x:c r="I924" s="11" t="n">
        <x:v>248217</x:v>
      </x:c>
      <x:c r="J924" s="11"/>
      <x:c r="K924" s="12" t="n">
        <x:v>1</x:v>
      </x:c>
      <x:c r="L924" s="12"/>
      <x:c r="M924" s="8" t="str">
        <x:v>N/A</x:v>
      </x:c>
    </x:row>
    <x:row r="925">
      <x:c r="A925" s="8" t="str">
        <x:v>McBride|Total TCA</x:v>
      </x:c>
      <x:c r="B925" s="8" t="str">
        <x:v>mcbride-v</x:v>
      </x:c>
      <x:c r="C925" s="8" t="str">
        <x:v>McBride</x:v>
      </x:c>
      <x:c r="D925" s="8" t="str">
        <x:v>Total TCA</x:v>
      </x:c>
      <x:c r="E925" s="11" t="n">
        <x:v>26018597</x:v>
      </x:c>
      <x:c r="F925" s="11" t="n">
        <x:v>12782716</x:v>
      </x:c>
      <x:c r="G925" s="11" t="n">
        <x:v>13235881</x:v>
      </x:c>
      <x:c r="H925" s="11" t="n">
        <x:v>695973</x:v>
      </x:c>
      <x:c r="I925" s="11" t="n">
        <x:v>41120666</x:v>
      </x:c>
      <x:c r="J925" s="11" t="n">
        <x:v>880000</x:v>
      </x:c>
      <x:c r="K925" s="12" t="n">
        <x:v>0.5087084826287904</x:v>
      </x:c>
      <x:c r="L925" s="12" t="n">
        <x:v>0.978599568401932</x:v>
      </x:c>
      <x:c r="M925" s="8"/>
    </x:row>
    <x:row r="926">
      <x:c r="A926" s="8" t="str">
        <x:v>Merritt|Land</x:v>
      </x:c>
      <x:c r="B926" s="8" t="str">
        <x:v>merritt-c</x:v>
      </x:c>
      <x:c r="C926" s="8" t="str">
        <x:v>Merritt</x:v>
      </x:c>
      <x:c r="D926" s="8" t="str">
        <x:v>Land</x:v>
      </x:c>
      <x:c r="E926" s="11" t="n">
        <x:v>7690485</x:v>
      </x:c>
      <x:c r="F926" s="11"/>
      <x:c r="G926" s="11" t="n">
        <x:v>7690485</x:v>
      </x:c>
      <x:c r="H926" s="11" t="n">
        <x:v>289998</x:v>
      </x:c>
      <x:c r="I926" s="11" t="n">
        <x:v>7690485</x:v>
      </x:c>
      <x:c r="J926" s="11"/>
      <x:c r="K926" s="12" t="n">
        <x:v>1</x:v>
      </x:c>
      <x:c r="L926" s="12"/>
      <x:c r="M926" s="8" t="str">
        <x:v>N/A</x:v>
      </x:c>
    </x:row>
    <x:row r="927">
      <x:c r="A927" s="8" t="str">
        <x:v>Merritt|Buildings</x:v>
      </x:c>
      <x:c r="B927" s="8" t="str">
        <x:v>merritt-c</x:v>
      </x:c>
      <x:c r="C927" s="8" t="str">
        <x:v>Merritt</x:v>
      </x:c>
      <x:c r="D927" s="8" t="str">
        <x:v>Buildings</x:v>
      </x:c>
      <x:c r="E927" s="11" t="n">
        <x:v>30231309</x:v>
      </x:c>
      <x:c r="F927" s="11" t="n">
        <x:v>10954033</x:v>
      </x:c>
      <x:c r="G927" s="11" t="n">
        <x:v>19277276</x:v>
      </x:c>
      <x:c r="H927" s="11" t="n">
        <x:v>262502</x:v>
      </x:c>
      <x:c r="I927" s="11" t="n">
        <x:v>53498646</x:v>
      </x:c>
      <x:c r="J927" s="11" t="n">
        <x:v>1188859</x:v>
      </x:c>
      <x:c r="K927" s="12" t="n">
        <x:v>0.6376593219962787</x:v>
      </x:c>
      <x:c r="L927" s="12" t="n">
        <x:v>0.9777777740393654</x:v>
      </x:c>
      <x:c r="M927" s="8" t="str">
        <x:v>In_Progress</x:v>
      </x:c>
    </x:row>
    <x:row r="928">
      <x:c r="A928" s="8" t="str">
        <x:v>Merritt|Fleet</x:v>
      </x:c>
      <x:c r="B928" s="8" t="str">
        <x:v>merritt-c</x:v>
      </x:c>
      <x:c r="C928" s="8" t="str">
        <x:v>Merritt</x:v>
      </x:c>
      <x:c r="D928" s="8" t="str">
        <x:v>Fleet</x:v>
      </x:c>
      <x:c r="E928" s="11" t="n">
        <x:v>7434100</x:v>
      </x:c>
      <x:c r="F928" s="11" t="n">
        <x:v>4588618</x:v>
      </x:c>
      <x:c r="G928" s="11" t="n">
        <x:v>2845482</x:v>
      </x:c>
      <x:c r="H928" s="11" t="n">
        <x:v>0</x:v>
      </x:c>
      <x:c r="I928" s="11" t="n">
        <x:v>15545346</x:v>
      </x:c>
      <x:c r="J928" s="11" t="n">
        <x:v>884704</x:v>
      </x:c>
      <x:c r="K928" s="12" t="n">
        <x:v>0.38276079148787345</x:v>
      </x:c>
      <x:c r="L928" s="12" t="n">
        <x:v>0.9430888189944437</x:v>
      </x:c>
      <x:c r="M928" s="8" t="str">
        <x:v>In_Progress</x:v>
      </x:c>
    </x:row>
    <x:row r="929">
      <x:c r="A929" s="8" t="str">
        <x:v>Merritt|Parks and Recreation</x:v>
      </x:c>
      <x:c r="B929" s="8" t="str">
        <x:v>merritt-c</x:v>
      </x:c>
      <x:c r="C929" s="8" t="str">
        <x:v>Merritt</x:v>
      </x:c>
      <x:c r="D929" s="8" t="str">
        <x:v>Parks and Recreation</x:v>
      </x:c>
      <x:c r="E929" s="11" t="n">
        <x:v>11749859</x:v>
      </x:c>
      <x:c r="F929" s="11" t="n">
        <x:v>2545765</x:v>
      </x:c>
      <x:c r="G929" s="11" t="n">
        <x:v>9204094</x:v>
      </x:c>
      <x:c r="H929" s="11" t="n">
        <x:v>2300322</x:v>
      </x:c>
      <x:c r="I929" s="11" t="n">
        <x:v>13994892</x:v>
      </x:c>
      <x:c r="J929" s="11" t="n">
        <x:v>559796</x:v>
      </x:c>
      <x:c r="K929" s="12" t="n">
        <x:v>0.7833365489747579</x:v>
      </x:c>
      <x:c r="L929" s="12" t="n">
        <x:v>0.9599999771345145</x:v>
      </x:c>
      <x:c r="M929" s="8" t="str">
        <x:v>In_Progress</x:v>
      </x:c>
    </x:row>
    <x:row r="930">
      <x:c r="A930" s="8" t="str">
        <x:v>Merritt|Water System</x:v>
      </x:c>
      <x:c r="B930" s="8" t="str">
        <x:v>merritt-c</x:v>
      </x:c>
      <x:c r="C930" s="8" t="str">
        <x:v>Merritt</x:v>
      </x:c>
      <x:c r="D930" s="8" t="str">
        <x:v>Water System</x:v>
      </x:c>
      <x:c r="E930" s="11" t="n">
        <x:v>23369033</x:v>
      </x:c>
      <x:c r="F930" s="11" t="n">
        <x:v>7794211</x:v>
      </x:c>
      <x:c r="G930" s="11" t="n">
        <x:v>15574822</x:v>
      </x:c>
      <x:c r="H930" s="11" t="n">
        <x:v>560821</x:v>
      </x:c>
      <x:c r="I930" s="11" t="n">
        <x:v>49877189</x:v>
      </x:c>
      <x:c r="J930" s="11" t="n">
        <x:v>1097583</x:v>
      </x:c>
      <x:c r="K930" s="12" t="n">
        <x:v>0.6664726777526482</x:v>
      </x:c>
      <x:c r="L930" s="12" t="n">
        <x:v>0.9779942891328539</x:v>
      </x:c>
      <x:c r="M930" s="8" t="str">
        <x:v>In_Progress</x:v>
      </x:c>
    </x:row>
    <x:row r="931">
      <x:c r="A931" s="8" t="str">
        <x:v>Merritt|Sewer System</x:v>
      </x:c>
      <x:c r="B931" s="8" t="str">
        <x:v>merritt-c</x:v>
      </x:c>
      <x:c r="C931" s="8" t="str">
        <x:v>Merritt</x:v>
      </x:c>
      <x:c r="D931" s="8" t="str">
        <x:v>Sewer System</x:v>
      </x:c>
      <x:c r="E931" s="11" t="n">
        <x:v>12150020</x:v>
      </x:c>
      <x:c r="F931" s="11" t="n">
        <x:v>3316092</x:v>
      </x:c>
      <x:c r="G931" s="11" t="n">
        <x:v>8833928</x:v>
      </x:c>
      <x:c r="H931" s="11" t="n">
        <x:v>491788</x:v>
      </x:c>
      <x:c r="I931" s="11" t="n">
        <x:v>36662842</x:v>
      </x:c>
      <x:c r="J931" s="11" t="n">
        <x:v>629499</x:v>
      </x:c>
      <x:c r="K931" s="12" t="n">
        <x:v>0.7270710665496847</x:v>
      </x:c>
      <x:c r="L931" s="12" t="n">
        <x:v>0.9828300544731365</x:v>
      </x:c>
      <x:c r="M931" s="8" t="str">
        <x:v>In_Progress</x:v>
      </x:c>
    </x:row>
    <x:row r="932">
      <x:c r="A932" s="8" t="str">
        <x:v>Merritt|Drainage System</x:v>
      </x:c>
      <x:c r="B932" s="8" t="str">
        <x:v>merritt-c</x:v>
      </x:c>
      <x:c r="C932" s="8" t="str">
        <x:v>Merritt</x:v>
      </x:c>
      <x:c r="D932" s="8" t="str">
        <x:v>Drainage System</x:v>
      </x:c>
      <x:c r="E932" s="11" t="n">
        <x:v>2658228</x:v>
      </x:c>
      <x:c r="F932" s="11" t="n">
        <x:v>1371207</x:v>
      </x:c>
      <x:c r="G932" s="11" t="n">
        <x:v>1287021</x:v>
      </x:c>
      <x:c r="H932" s="11" t="n">
        <x:v>10822</x:v>
      </x:c>
      <x:c r="I932" s="11" t="n">
        <x:v>15209194</x:v>
      </x:c>
      <x:c r="J932" s="11" t="n">
        <x:v>202789</x:v>
      </x:c>
      <x:c r="K932" s="12" t="n">
        <x:v>0.48416501519057054</x:v>
      </x:c>
      <x:c r="L932" s="12" t="n">
        <x:v>0.9866666833232582</x:v>
      </x:c>
      <x:c r="M932" s="8" t="str">
        <x:v>In_Progress</x:v>
      </x:c>
    </x:row>
    <x:row r="933">
      <x:c r="A933" s="8" t="str">
        <x:v>Merritt|Transportation System</x:v>
      </x:c>
      <x:c r="B933" s="8" t="str">
        <x:v>merritt-c</x:v>
      </x:c>
      <x:c r="C933" s="8" t="str">
        <x:v>Merritt</x:v>
      </x:c>
      <x:c r="D933" s="8" t="str">
        <x:v>Transportation System</x:v>
      </x:c>
      <x:c r="E933" s="11" t="n">
        <x:v>53230039</x:v>
      </x:c>
      <x:c r="F933" s="11" t="n">
        <x:v>13829856</x:v>
      </x:c>
      <x:c r="G933" s="11" t="n">
        <x:v>39400183</x:v>
      </x:c>
      <x:c r="H933" s="11" t="n">
        <x:v>17508467</x:v>
      </x:c>
      <x:c r="I933" s="11" t="n">
        <x:v>152660570</x:v>
      </x:c>
      <x:c r="J933" s="11" t="n">
        <x:v>2282968</x:v>
      </x:c>
      <x:c r="K933" s="12" t="n">
        <x:v>0.7401870023052209</x:v>
      </x:c>
      <x:c r="L933" s="12" t="n">
        <x:v>0.9850454639334832</x:v>
      </x:c>
      <x:c r="M933" s="8" t="str">
        <x:v>In_Progress</x:v>
      </x:c>
    </x:row>
    <x:row r="934">
      <x:c r="A934" s="8" t="str">
        <x:v>Merritt|Other Engineering Systems</x:v>
      </x:c>
      <x:c r="B934" s="8" t="str">
        <x:v>merritt-c</x:v>
      </x:c>
      <x:c r="C934" s="8" t="str">
        <x:v>Merritt</x:v>
      </x:c>
      <x:c r="D934" s="8" t="str">
        <x:v>Other Engineering Systems</x:v>
      </x:c>
      <x:c r="E934" s="11" t="n">
        <x:v>0</x:v>
      </x:c>
      <x:c r="F934" s="11" t="n">
        <x:v>0</x:v>
      </x:c>
      <x:c r="G934" s="11" t="n">
        <x:v>0</x:v>
      </x:c>
      <x:c r="H934" s="11" t="n">
        <x:v>0</x:v>
      </x:c>
      <x:c r="I934" s="11" t="n">
        <x:v>0</x:v>
      </x:c>
      <x:c r="J934" s="11" t="n">
        <x:v>0</x:v>
      </x:c>
      <x:c r="K934" s="12"/>
      <x:c r="L934" s="12"/>
      <x:c r="M934" s="8"/>
    </x:row>
    <x:row r="935">
      <x:c r="A935" s="8" t="str">
        <x:v>Merritt|Other Tangible Capital Assets</x:v>
      </x:c>
      <x:c r="B935" s="8" t="str">
        <x:v>merritt-c</x:v>
      </x:c>
      <x:c r="C935" s="8" t="str">
        <x:v>Merritt</x:v>
      </x:c>
      <x:c r="D935" s="8" t="str">
        <x:v>Other Tangible Capital Assets</x:v>
      </x:c>
      <x:c r="E935" s="11" t="n">
        <x:v>8074244</x:v>
      </x:c>
      <x:c r="F935" s="11" t="n">
        <x:v>5656104</x:v>
      </x:c>
      <x:c r="G935" s="11" t="n">
        <x:v>2418140</x:v>
      </x:c>
      <x:c r="H935" s="11" t="n">
        <x:v>822004</x:v>
      </x:c>
      <x:c r="I935" s="11" t="n">
        <x:v>8481678</x:v>
      </x:c>
      <x:c r="J935" s="11" t="n">
        <x:v>650555</x:v>
      </x:c>
      <x:c r="K935" s="12" t="n">
        <x:v>0.2994881006816242</x:v>
      </x:c>
      <x:c r="L935" s="12" t="n">
        <x:v>0.9232987859242003</x:v>
      </x:c>
      <x:c r="M935" s="8" t="str">
        <x:v>N/A</x:v>
      </x:c>
    </x:row>
    <x:row r="936">
      <x:c r="A936" s="8" t="str">
        <x:v>Merritt|Work In Progress</x:v>
      </x:c>
      <x:c r="B936" s="8" t="str">
        <x:v>merritt-c</x:v>
      </x:c>
      <x:c r="C936" s="8" t="str">
        <x:v>Merritt</x:v>
      </x:c>
      <x:c r="D936" s="8" t="str">
        <x:v>Work In Progress</x:v>
      </x:c>
      <x:c r="E936" s="11" t="n">
        <x:v>15361259</x:v>
      </x:c>
      <x:c r="F936" s="11"/>
      <x:c r="G936" s="11" t="n">
        <x:v>15361259</x:v>
      </x:c>
      <x:c r="H936" s="11" t="n">
        <x:v>10752644</x:v>
      </x:c>
      <x:c r="I936" s="11" t="n">
        <x:v>15361259</x:v>
      </x:c>
      <x:c r="J936" s="11"/>
      <x:c r="K936" s="12" t="n">
        <x:v>1</x:v>
      </x:c>
      <x:c r="L936" s="12"/>
      <x:c r="M936" s="8" t="str">
        <x:v>N/A</x:v>
      </x:c>
    </x:row>
    <x:row r="937">
      <x:c r="A937" s="8" t="str">
        <x:v>Merritt|Total TCA</x:v>
      </x:c>
      <x:c r="B937" s="8" t="str">
        <x:v>merritt-c</x:v>
      </x:c>
      <x:c r="C937" s="8" t="str">
        <x:v>Merritt</x:v>
      </x:c>
      <x:c r="D937" s="8" t="str">
        <x:v>Total TCA</x:v>
      </x:c>
      <x:c r="E937" s="11" t="n">
        <x:v>171948576</x:v>
      </x:c>
      <x:c r="F937" s="11" t="n">
        <x:v>50055886</x:v>
      </x:c>
      <x:c r="G937" s="11" t="n">
        <x:v>121892690</x:v>
      </x:c>
      <x:c r="H937" s="11" t="n">
        <x:v>32999368</x:v>
      </x:c>
      <x:c r="I937" s="11" t="n">
        <x:v>368982101</x:v>
      </x:c>
      <x:c r="J937" s="11" t="n">
        <x:v>7496753</x:v>
      </x:c>
      <x:c r="K937" s="12" t="n">
        <x:v>0.7088903719679539</x:v>
      </x:c>
      <x:c r="L937" s="12" t="n">
        <x:v>0.9796826106749281</x:v>
      </x:c>
      <x:c r="M937" s="8"/>
    </x:row>
    <x:row r="938">
      <x:c r="A938" s="8" t="str">
        <x:v>Metchosin|Land</x:v>
      </x:c>
      <x:c r="B938" s="8" t="str">
        <x:v>metchosin-d</x:v>
      </x:c>
      <x:c r="C938" s="8" t="str">
        <x:v>Metchosin</x:v>
      </x:c>
      <x:c r="D938" s="8" t="str">
        <x:v>Land</x:v>
      </x:c>
      <x:c r="E938" s="11" t="n">
        <x:v>8326460</x:v>
      </x:c>
      <x:c r="F938" s="11"/>
      <x:c r="G938" s="11" t="n">
        <x:v>8326460</x:v>
      </x:c>
      <x:c r="H938" s="11" t="n">
        <x:v>0</x:v>
      </x:c>
      <x:c r="I938" s="11" t="n">
        <x:v>8326460</x:v>
      </x:c>
      <x:c r="J938" s="11"/>
      <x:c r="K938" s="12" t="n">
        <x:v>1</x:v>
      </x:c>
      <x:c r="L938" s="12"/>
      <x:c r="M938" s="8" t="str">
        <x:v>N/A</x:v>
      </x:c>
    </x:row>
    <x:row r="939">
      <x:c r="A939" s="8" t="str">
        <x:v>Metchosin|Buildings</x:v>
      </x:c>
      <x:c r="B939" s="8" t="str">
        <x:v>metchosin-d</x:v>
      </x:c>
      <x:c r="C939" s="8" t="str">
        <x:v>Metchosin</x:v>
      </x:c>
      <x:c r="D939" s="8" t="str">
        <x:v>Buildings</x:v>
      </x:c>
      <x:c r="E939" s="11" t="n">
        <x:v>6909223</x:v>
      </x:c>
      <x:c r="F939" s="11" t="n">
        <x:v>3626884</x:v>
      </x:c>
      <x:c r="G939" s="11" t="n">
        <x:v>3282339</x:v>
      </x:c>
      <x:c r="H939" s="11" t="n">
        <x:v>366309</x:v>
      </x:c>
      <x:c r="I939" s="11" t="n">
        <x:v>19857731</x:v>
      </x:c>
      <x:c r="J939" s="11" t="n">
        <x:v>567364</x:v>
      </x:c>
      <x:c r="K939" s="12" t="n">
        <x:v>0.475066299061414</x:v>
      </x:c>
      <x:c r="L939" s="12" t="n">
        <x:v>0.9714285584793146</x:v>
      </x:c>
      <x:c r="M939" s="8" t="str">
        <x:v>Yes</x:v>
      </x:c>
    </x:row>
    <x:row r="940">
      <x:c r="A940" s="8" t="str">
        <x:v>Metchosin|Fleet</x:v>
      </x:c>
      <x:c r="B940" s="8" t="str">
        <x:v>metchosin-d</x:v>
      </x:c>
      <x:c r="C940" s="8" t="str">
        <x:v>Metchosin</x:v>
      </x:c>
      <x:c r="D940" s="8" t="str">
        <x:v>Fleet</x:v>
      </x:c>
      <x:c r="E940" s="11" t="n">
        <x:v>4319880</x:v>
      </x:c>
      <x:c r="F940" s="11" t="n">
        <x:v>2219947</x:v>
      </x:c>
      <x:c r="G940" s="11" t="n">
        <x:v>2099933</x:v>
      </x:c>
      <x:c r="H940" s="11" t="n">
        <x:v>590374</x:v>
      </x:c>
      <x:c r="I940" s="11" t="n">
        <x:v>4095694</x:v>
      </x:c>
      <x:c r="J940" s="11" t="n">
        <x:v>273046</x:v>
      </x:c>
      <x:c r="K940" s="12" t="n">
        <x:v>0.48610910488254305</x:v>
      </x:c>
      <x:c r="L940" s="12" t="n">
        <x:v>0.9333333984423641</x:v>
      </x:c>
      <x:c r="M940" s="8" t="str">
        <x:v>Yes</x:v>
      </x:c>
    </x:row>
    <x:row r="941">
      <x:c r="A941" s="8" t="str">
        <x:v>Metchosin|Parks and Recreation</x:v>
      </x:c>
      <x:c r="B941" s="8" t="str">
        <x:v>metchosin-d</x:v>
      </x:c>
      <x:c r="C941" s="8" t="str">
        <x:v>Metchosin</x:v>
      </x:c>
      <x:c r="D941" s="8" t="str">
        <x:v>Parks and Recreation</x:v>
      </x:c>
      <x:c r="E941" s="11" t="n">
        <x:v>586913</x:v>
      </x:c>
      <x:c r="F941" s="11" t="n">
        <x:v>276845</x:v>
      </x:c>
      <x:c r="G941" s="11" t="n">
        <x:v>310068</x:v>
      </x:c>
      <x:c r="H941" s="11" t="n">
        <x:v>19220</x:v>
      </x:c>
      <x:c r="I941" s="11" t="n">
        <x:v>22071</x:v>
      </x:c>
      <x:c r="J941" s="11" t="n">
        <x:v>2207</x:v>
      </x:c>
      <x:c r="K941" s="12" t="n">
        <x:v>0.5283031727019166</x:v>
      </x:c>
      <x:c r="L941" s="12" t="n">
        <x:v>0.9000045308323139</x:v>
      </x:c>
      <x:c r="M941" s="8" t="str">
        <x:v>Yes</x:v>
      </x:c>
    </x:row>
    <x:row r="942">
      <x:c r="A942" s="8" t="str">
        <x:v>Metchosin|Water System</x:v>
      </x:c>
      <x:c r="B942" s="8" t="str">
        <x:v>metchosin-d</x:v>
      </x:c>
      <x:c r="C942" s="8" t="str">
        <x:v>Metchosin</x:v>
      </x:c>
      <x:c r="D942" s="8" t="str">
        <x:v>Water System</x:v>
      </x:c>
      <x:c r="E942" s="11" t="n">
        <x:v>0</x:v>
      </x:c>
      <x:c r="F942" s="11" t="n">
        <x:v>0</x:v>
      </x:c>
      <x:c r="G942" s="11" t="n">
        <x:v>0</x:v>
      </x:c>
      <x:c r="H942" s="11" t="n">
        <x:v>0</x:v>
      </x:c>
      <x:c r="I942" s="11" t="n">
        <x:v>0</x:v>
      </x:c>
      <x:c r="J942" s="11" t="n">
        <x:v>0</x:v>
      </x:c>
      <x:c r="K942" s="12"/>
      <x:c r="L942" s="12"/>
      <x:c r="M942" s="8"/>
    </x:row>
    <x:row r="943">
      <x:c r="A943" s="8" t="str">
        <x:v>Metchosin|Sewer System</x:v>
      </x:c>
      <x:c r="B943" s="8" t="str">
        <x:v>metchosin-d</x:v>
      </x:c>
      <x:c r="C943" s="8" t="str">
        <x:v>Metchosin</x:v>
      </x:c>
      <x:c r="D943" s="8" t="str">
        <x:v>Sewer System</x:v>
      </x:c>
      <x:c r="E943" s="11" t="n">
        <x:v>0</x:v>
      </x:c>
      <x:c r="F943" s="11" t="n">
        <x:v>0</x:v>
      </x:c>
      <x:c r="G943" s="11" t="n">
        <x:v>0</x:v>
      </x:c>
      <x:c r="H943" s="11" t="n">
        <x:v>0</x:v>
      </x:c>
      <x:c r="I943" s="11" t="n">
        <x:v>0</x:v>
      </x:c>
      <x:c r="J943" s="11" t="n">
        <x:v>0</x:v>
      </x:c>
      <x:c r="K943" s="12"/>
      <x:c r="L943" s="12"/>
      <x:c r="M943" s="8"/>
    </x:row>
    <x:row r="944">
      <x:c r="A944" s="8" t="str">
        <x:v>Metchosin|Drainage System</x:v>
      </x:c>
      <x:c r="B944" s="8" t="str">
        <x:v>metchosin-d</x:v>
      </x:c>
      <x:c r="C944" s="8" t="str">
        <x:v>Metchosin</x:v>
      </x:c>
      <x:c r="D944" s="8" t="str">
        <x:v>Drainage System</x:v>
      </x:c>
      <x:c r="E944" s="11" t="n">
        <x:v>0</x:v>
      </x:c>
      <x:c r="F944" s="11" t="n">
        <x:v>0</x:v>
      </x:c>
      <x:c r="G944" s="11" t="n">
        <x:v>0</x:v>
      </x:c>
      <x:c r="H944" s="11" t="n">
        <x:v>0</x:v>
      </x:c>
      <x:c r="I944" s="11" t="n">
        <x:v>0</x:v>
      </x:c>
      <x:c r="J944" s="11" t="n">
        <x:v>0</x:v>
      </x:c>
      <x:c r="K944" s="12"/>
      <x:c r="L944" s="12"/>
      <x:c r="M944" s="8"/>
    </x:row>
    <x:row r="945">
      <x:c r="A945" s="8" t="str">
        <x:v>Metchosin|Transportation System</x:v>
      </x:c>
      <x:c r="B945" s="8" t="str">
        <x:v>metchosin-d</x:v>
      </x:c>
      <x:c r="C945" s="8" t="str">
        <x:v>Metchosin</x:v>
      </x:c>
      <x:c r="D945" s="8" t="str">
        <x:v>Transportation System</x:v>
      </x:c>
      <x:c r="E945" s="11" t="n">
        <x:v>66112908</x:v>
      </x:c>
      <x:c r="F945" s="11" t="n">
        <x:v>44568504</x:v>
      </x:c>
      <x:c r="G945" s="11" t="n">
        <x:v>21544404</x:v>
      </x:c>
      <x:c r="H945" s="11" t="n">
        <x:v>0</x:v>
      </x:c>
      <x:c r="I945" s="11" t="n">
        <x:v>48471400</x:v>
      </x:c>
      <x:c r="J945" s="11" t="n">
        <x:v>1009821</x:v>
      </x:c>
      <x:c r="K945" s="12" t="n">
        <x:v>0.32587288400625186</x:v>
      </x:c>
      <x:c r="L945" s="12" t="n">
        <x:v>0.9791666632282129</x:v>
      </x:c>
      <x:c r="M945" s="8" t="str">
        <x:v>Yes</x:v>
      </x:c>
    </x:row>
    <x:row r="946">
      <x:c r="A946" s="8" t="str">
        <x:v>Metchosin|Other Engineering Systems</x:v>
      </x:c>
      <x:c r="B946" s="8" t="str">
        <x:v>metchosin-d</x:v>
      </x:c>
      <x:c r="C946" s="8" t="str">
        <x:v>Metchosin</x:v>
      </x:c>
      <x:c r="D946" s="8" t="str">
        <x:v>Other Engineering Systems</x:v>
      </x:c>
      <x:c r="E946" s="11" t="n">
        <x:v>0</x:v>
      </x:c>
      <x:c r="F946" s="11" t="n">
        <x:v>0</x:v>
      </x:c>
      <x:c r="G946" s="11" t="n">
        <x:v>0</x:v>
      </x:c>
      <x:c r="H946" s="11" t="n">
        <x:v>0</x:v>
      </x:c>
      <x:c r="I946" s="11" t="n">
        <x:v>0</x:v>
      </x:c>
      <x:c r="J946" s="11" t="n">
        <x:v>0</x:v>
      </x:c>
      <x:c r="K946" s="12"/>
      <x:c r="L946" s="12"/>
      <x:c r="M946" s="8"/>
    </x:row>
    <x:row r="947">
      <x:c r="A947" s="8" t="str">
        <x:v>Metchosin|Other Tangible Capital Assets</x:v>
      </x:c>
      <x:c r="B947" s="8" t="str">
        <x:v>metchosin-d</x:v>
      </x:c>
      <x:c r="C947" s="8" t="str">
        <x:v>Metchosin</x:v>
      </x:c>
      <x:c r="D947" s="8" t="str">
        <x:v>Other Tangible Capital Assets</x:v>
      </x:c>
      <x:c r="E947" s="11" t="n">
        <x:v>0</x:v>
      </x:c>
      <x:c r="F947" s="11" t="n">
        <x:v>0</x:v>
      </x:c>
      <x:c r="G947" s="11" t="n">
        <x:v>0</x:v>
      </x:c>
      <x:c r="H947" s="11" t="n">
        <x:v>0</x:v>
      </x:c>
      <x:c r="I947" s="11" t="n">
        <x:v>0</x:v>
      </x:c>
      <x:c r="J947" s="11" t="n">
        <x:v>0</x:v>
      </x:c>
      <x:c r="K947" s="12"/>
      <x:c r="L947" s="12"/>
      <x:c r="M947" s="8" t="str">
        <x:v>N/A</x:v>
      </x:c>
    </x:row>
    <x:row r="948">
      <x:c r="A948" s="8" t="str">
        <x:v>Metchosin|Work In Progress</x:v>
      </x:c>
      <x:c r="B948" s="8" t="str">
        <x:v>metchosin-d</x:v>
      </x:c>
      <x:c r="C948" s="8" t="str">
        <x:v>Metchosin</x:v>
      </x:c>
      <x:c r="D948" s="8" t="str">
        <x:v>Work In Progress</x:v>
      </x:c>
      <x:c r="E948" s="11" t="n">
        <x:v>11965</x:v>
      </x:c>
      <x:c r="F948" s="11"/>
      <x:c r="G948" s="11" t="n">
        <x:v>11965</x:v>
      </x:c>
      <x:c r="H948" s="11" t="n">
        <x:v>-42085</x:v>
      </x:c>
      <x:c r="I948" s="11" t="n">
        <x:v>11965</x:v>
      </x:c>
      <x:c r="J948" s="11"/>
      <x:c r="K948" s="12" t="n">
        <x:v>1</x:v>
      </x:c>
      <x:c r="L948" s="12"/>
      <x:c r="M948" s="8" t="str">
        <x:v>N/A</x:v>
      </x:c>
    </x:row>
    <x:row r="949">
      <x:c r="A949" s="8" t="str">
        <x:v>Metchosin|Total TCA</x:v>
      </x:c>
      <x:c r="B949" s="8" t="str">
        <x:v>metchosin-d</x:v>
      </x:c>
      <x:c r="C949" s="8" t="str">
        <x:v>Metchosin</x:v>
      </x:c>
      <x:c r="D949" s="8" t="str">
        <x:v>Total TCA</x:v>
      </x:c>
      <x:c r="E949" s="11" t="n">
        <x:v>86267349</x:v>
      </x:c>
      <x:c r="F949" s="11" t="n">
        <x:v>50692180</x:v>
      </x:c>
      <x:c r="G949" s="11" t="n">
        <x:v>35575169</x:v>
      </x:c>
      <x:c r="H949" s="11" t="n">
        <x:v>933818</x:v>
      </x:c>
      <x:c r="I949" s="11" t="n">
        <x:v>80785321</x:v>
      </x:c>
      <x:c r="J949" s="11" t="n">
        <x:v>1852438</x:v>
      </x:c>
      <x:c r="K949" s="12" t="n">
        <x:v>0.4123827776369945</x:v>
      </x:c>
      <x:c r="L949" s="12" t="n">
        <x:v>0.9770696213486606</x:v>
      </x:c>
      <x:c r="M949" s="8"/>
    </x:row>
    <x:row r="950">
      <x:c r="A950" s="8" t="str">
        <x:v>Midway|Land</x:v>
      </x:c>
      <x:c r="B950" s="8" t="str">
        <x:v>midway-v</x:v>
      </x:c>
      <x:c r="C950" s="8" t="str">
        <x:v>Midway</x:v>
      </x:c>
      <x:c r="D950" s="8" t="str">
        <x:v>Land</x:v>
      </x:c>
      <x:c r="E950" s="11" t="n">
        <x:v>2192504</x:v>
      </x:c>
      <x:c r="F950" s="11"/>
      <x:c r="G950" s="11" t="n">
        <x:v>2192504</x:v>
      </x:c>
      <x:c r="H950" s="11" t="n">
        <x:v>0</x:v>
      </x:c>
      <x:c r="I950" s="11" t="n">
        <x:v>2192504</x:v>
      </x:c>
      <x:c r="J950" s="11"/>
      <x:c r="K950" s="12" t="n">
        <x:v>1</x:v>
      </x:c>
      <x:c r="L950" s="12"/>
      <x:c r="M950" s="8" t="str">
        <x:v>N/A</x:v>
      </x:c>
    </x:row>
    <x:row r="951">
      <x:c r="A951" s="8" t="str">
        <x:v>Midway|Buildings</x:v>
      </x:c>
      <x:c r="B951" s="8" t="str">
        <x:v>midway-v</x:v>
      </x:c>
      <x:c r="C951" s="8" t="str">
        <x:v>Midway</x:v>
      </x:c>
      <x:c r="D951" s="8" t="str">
        <x:v>Buildings</x:v>
      </x:c>
      <x:c r="E951" s="11" t="n">
        <x:v>4200021</x:v>
      </x:c>
      <x:c r="F951" s="11" t="n">
        <x:v>1668169</x:v>
      </x:c>
      <x:c r="G951" s="11" t="n">
        <x:v>2531852</x:v>
      </x:c>
      <x:c r="H951" s="11" t="n">
        <x:v>224175</x:v>
      </x:c>
      <x:c r="I951" s="11" t="n">
        <x:v>0</x:v>
      </x:c>
      <x:c r="J951" s="11" t="n">
        <x:v>0</x:v>
      </x:c>
      <x:c r="K951" s="12" t="n">
        <x:v>0.6028188906674514</x:v>
      </x:c>
      <x:c r="L951" s="12"/>
      <x:c r="M951" s="8" t="str">
        <x:v>No</x:v>
      </x:c>
    </x:row>
    <x:row r="952">
      <x:c r="A952" s="8" t="str">
        <x:v>Midway|Fleet</x:v>
      </x:c>
      <x:c r="B952" s="8" t="str">
        <x:v>midway-v</x:v>
      </x:c>
      <x:c r="C952" s="8" t="str">
        <x:v>Midway</x:v>
      </x:c>
      <x:c r="D952" s="8" t="str">
        <x:v>Fleet</x:v>
      </x:c>
      <x:c r="E952" s="11" t="n">
        <x:v>1661352</x:v>
      </x:c>
      <x:c r="F952" s="11" t="n">
        <x:v>1080035</x:v>
      </x:c>
      <x:c r="G952" s="11" t="n">
        <x:v>581317</x:v>
      </x:c>
      <x:c r="H952" s="11" t="n">
        <x:v>54812</x:v>
      </x:c>
      <x:c r="I952" s="11" t="n">
        <x:v>0</x:v>
      </x:c>
      <x:c r="J952" s="11" t="n">
        <x:v>0</x:v>
      </x:c>
      <x:c r="K952" s="12" t="n">
        <x:v>0.3499059801896287</x:v>
      </x:c>
      <x:c r="L952" s="12"/>
      <x:c r="M952" s="8" t="str">
        <x:v>No</x:v>
      </x:c>
    </x:row>
    <x:row r="953">
      <x:c r="A953" s="8" t="str">
        <x:v>Midway|Parks and Recreation</x:v>
      </x:c>
      <x:c r="B953" s="8" t="str">
        <x:v>midway-v</x:v>
      </x:c>
      <x:c r="C953" s="8" t="str">
        <x:v>Midway</x:v>
      </x:c>
      <x:c r="D953" s="8" t="str">
        <x:v>Parks and Recreation</x:v>
      </x:c>
      <x:c r="E953" s="11" t="n">
        <x:v>477855</x:v>
      </x:c>
      <x:c r="F953" s="11" t="n">
        <x:v>41801</x:v>
      </x:c>
      <x:c r="G953" s="11" t="n">
        <x:v>436054</x:v>
      </x:c>
      <x:c r="H953" s="11" t="n">
        <x:v>0</x:v>
      </x:c>
      <x:c r="I953" s="11" t="n">
        <x:v>0</x:v>
      </x:c>
      <x:c r="J953" s="11" t="n">
        <x:v>0</x:v>
      </x:c>
      <x:c r="K953" s="12" t="n">
        <x:v>0.9125236734992832</x:v>
      </x:c>
      <x:c r="L953" s="12"/>
      <x:c r="M953" s="8" t="str">
        <x:v>No</x:v>
      </x:c>
    </x:row>
    <x:row r="954">
      <x:c r="A954" s="8" t="str">
        <x:v>Midway|Water System</x:v>
      </x:c>
      <x:c r="B954" s="8" t="str">
        <x:v>midway-v</x:v>
      </x:c>
      <x:c r="C954" s="8" t="str">
        <x:v>Midway</x:v>
      </x:c>
      <x:c r="D954" s="8" t="str">
        <x:v>Water System</x:v>
      </x:c>
      <x:c r="E954" s="11" t="n">
        <x:v>2261467</x:v>
      </x:c>
      <x:c r="F954" s="11" t="n">
        <x:v>1334711</x:v>
      </x:c>
      <x:c r="G954" s="11" t="n">
        <x:v>926756</x:v>
      </x:c>
      <x:c r="H954" s="11" t="n">
        <x:v>0</x:v>
      </x:c>
      <x:c r="I954" s="11" t="n">
        <x:v>0</x:v>
      </x:c>
      <x:c r="J954" s="11" t="n">
        <x:v>0</x:v>
      </x:c>
      <x:c r="K954" s="12" t="n">
        <x:v>0.4098030172450007</x:v>
      </x:c>
      <x:c r="L954" s="12"/>
      <x:c r="M954" s="8" t="str">
        <x:v>No</x:v>
      </x:c>
    </x:row>
    <x:row r="955">
      <x:c r="A955" s="8" t="str">
        <x:v>Midway|Sewer System</x:v>
      </x:c>
      <x:c r="B955" s="8" t="str">
        <x:v>midway-v</x:v>
      </x:c>
      <x:c r="C955" s="8" t="str">
        <x:v>Midway</x:v>
      </x:c>
      <x:c r="D955" s="8" t="str">
        <x:v>Sewer System</x:v>
      </x:c>
      <x:c r="E955" s="11" t="n">
        <x:v>1801377</x:v>
      </x:c>
      <x:c r="F955" s="11" t="n">
        <x:v>924403</x:v>
      </x:c>
      <x:c r="G955" s="11" t="n">
        <x:v>876974</x:v>
      </x:c>
      <x:c r="H955" s="11" t="n">
        <x:v>0</x:v>
      </x:c>
      <x:c r="I955" s="11" t="n">
        <x:v>0</x:v>
      </x:c>
      <x:c r="J955" s="11" t="n">
        <x:v>0</x:v>
      </x:c>
      <x:c r="K955" s="12" t="n">
        <x:v>0.48683534873599477</x:v>
      </x:c>
      <x:c r="L955" s="12"/>
      <x:c r="M955" s="8" t="str">
        <x:v>No</x:v>
      </x:c>
    </x:row>
    <x:row r="956">
      <x:c r="A956" s="8" t="str">
        <x:v>Midway|Drainage System</x:v>
      </x:c>
      <x:c r="B956" s="8" t="str">
        <x:v>midway-v</x:v>
      </x:c>
      <x:c r="C956" s="8" t="str">
        <x:v>Midway</x:v>
      </x:c>
      <x:c r="D956" s="8" t="str">
        <x:v>Drainage System</x:v>
      </x:c>
      <x:c r="E956" s="11" t="n">
        <x:v>0</x:v>
      </x:c>
      <x:c r="F956" s="11" t="n">
        <x:v>0</x:v>
      </x:c>
      <x:c r="G956" s="11" t="n">
        <x:v>0</x:v>
      </x:c>
      <x:c r="H956" s="11" t="n">
        <x:v>0</x:v>
      </x:c>
      <x:c r="I956" s="11" t="n">
        <x:v>0</x:v>
      </x:c>
      <x:c r="J956" s="11" t="n">
        <x:v>0</x:v>
      </x:c>
      <x:c r="K956" s="12"/>
      <x:c r="L956" s="12"/>
      <x:c r="M956" s="8"/>
    </x:row>
    <x:row r="957">
      <x:c r="A957" s="8" t="str">
        <x:v>Midway|Transportation System</x:v>
      </x:c>
      <x:c r="B957" s="8" t="str">
        <x:v>midway-v</x:v>
      </x:c>
      <x:c r="C957" s="8" t="str">
        <x:v>Midway</x:v>
      </x:c>
      <x:c r="D957" s="8" t="str">
        <x:v>Transportation System</x:v>
      </x:c>
      <x:c r="E957" s="11" t="n">
        <x:v>1337946</x:v>
      </x:c>
      <x:c r="F957" s="11" t="n">
        <x:v>1036656</x:v>
      </x:c>
      <x:c r="G957" s="11" t="n">
        <x:v>301290</x:v>
      </x:c>
      <x:c r="H957" s="11" t="n">
        <x:v>3500</x:v>
      </x:c>
      <x:c r="I957" s="11" t="n">
        <x:v>0</x:v>
      </x:c>
      <x:c r="J957" s="11" t="n">
        <x:v>0</x:v>
      </x:c>
      <x:c r="K957" s="12" t="n">
        <x:v>0.2251884605208282</x:v>
      </x:c>
      <x:c r="L957" s="12"/>
      <x:c r="M957" s="8" t="str">
        <x:v>No</x:v>
      </x:c>
    </x:row>
    <x:row r="958">
      <x:c r="A958" s="8" t="str">
        <x:v>Midway|Other Engineering Systems</x:v>
      </x:c>
      <x:c r="B958" s="8" t="str">
        <x:v>midway-v</x:v>
      </x:c>
      <x:c r="C958" s="8" t="str">
        <x:v>Midway</x:v>
      </x:c>
      <x:c r="D958" s="8" t="str">
        <x:v>Other Engineering Systems</x:v>
      </x:c>
      <x:c r="E958" s="11" t="n">
        <x:v>0</x:v>
      </x:c>
      <x:c r="F958" s="11" t="n">
        <x:v>0</x:v>
      </x:c>
      <x:c r="G958" s="11" t="n">
        <x:v>0</x:v>
      </x:c>
      <x:c r="H958" s="11" t="n">
        <x:v>0</x:v>
      </x:c>
      <x:c r="I958" s="11" t="n">
        <x:v>0</x:v>
      </x:c>
      <x:c r="J958" s="11" t="n">
        <x:v>0</x:v>
      </x:c>
      <x:c r="K958" s="12"/>
      <x:c r="L958" s="12"/>
      <x:c r="M958" s="8"/>
    </x:row>
    <x:row r="959">
      <x:c r="A959" s="8" t="str">
        <x:v>Midway|Other Tangible Capital Assets</x:v>
      </x:c>
      <x:c r="B959" s="8" t="str">
        <x:v>midway-v</x:v>
      </x:c>
      <x:c r="C959" s="8" t="str">
        <x:v>Midway</x:v>
      </x:c>
      <x:c r="D959" s="8" t="str">
        <x:v>Other Tangible Capital Assets</x:v>
      </x:c>
      <x:c r="E959" s="11" t="n">
        <x:v>0</x:v>
      </x:c>
      <x:c r="F959" s="11" t="n">
        <x:v>0</x:v>
      </x:c>
      <x:c r="G959" s="11" t="n">
        <x:v>0</x:v>
      </x:c>
      <x:c r="H959" s="11" t="n">
        <x:v>0</x:v>
      </x:c>
      <x:c r="I959" s="11" t="n">
        <x:v>0</x:v>
      </x:c>
      <x:c r="J959" s="11" t="n">
        <x:v>0</x:v>
      </x:c>
      <x:c r="K959" s="12"/>
      <x:c r="L959" s="12"/>
      <x:c r="M959" s="8" t="str">
        <x:v>N/A</x:v>
      </x:c>
    </x:row>
    <x:row r="960">
      <x:c r="A960" s="8" t="str">
        <x:v>Midway|Work In Progress</x:v>
      </x:c>
      <x:c r="B960" s="8" t="str">
        <x:v>midway-v</x:v>
      </x:c>
      <x:c r="C960" s="8" t="str">
        <x:v>Midway</x:v>
      </x:c>
      <x:c r="D960" s="8" t="str">
        <x:v>Work In Progress</x:v>
      </x:c>
      <x:c r="E960" s="11" t="n">
        <x:v>206991</x:v>
      </x:c>
      <x:c r="F960" s="11"/>
      <x:c r="G960" s="11" t="n">
        <x:v>206991</x:v>
      </x:c>
      <x:c r="H960" s="11" t="n">
        <x:v>0</x:v>
      </x:c>
      <x:c r="I960" s="11" t="n">
        <x:v>206991</x:v>
      </x:c>
      <x:c r="J960" s="11"/>
      <x:c r="K960" s="12" t="n">
        <x:v>1</x:v>
      </x:c>
      <x:c r="L960" s="12"/>
      <x:c r="M960" s="8" t="str">
        <x:v>N/A</x:v>
      </x:c>
    </x:row>
    <x:row r="961">
      <x:c r="A961" s="8" t="str">
        <x:v>Midway|Total TCA</x:v>
      </x:c>
      <x:c r="B961" s="8" t="str">
        <x:v>midway-v</x:v>
      </x:c>
      <x:c r="C961" s="8" t="str">
        <x:v>Midway</x:v>
      </x:c>
      <x:c r="D961" s="8" t="str">
        <x:v>Total TCA</x:v>
      </x:c>
      <x:c r="E961" s="11" t="n">
        <x:v>14139513</x:v>
      </x:c>
      <x:c r="F961" s="11" t="n">
        <x:v>6085775</x:v>
      </x:c>
      <x:c r="G961" s="11" t="n">
        <x:v>8053738</x:v>
      </x:c>
      <x:c r="H961" s="11" t="n">
        <x:v>282487</x:v>
      </x:c>
      <x:c r="I961" s="11" t="n">
        <x:v>2399495</x:v>
      </x:c>
      <x:c r="J961" s="11" t="n">
        <x:v>0</x:v>
      </x:c>
      <x:c r="K961" s="12" t="n">
        <x:v>0.5695909045806599</x:v>
      </x:c>
      <x:c r="L961" s="12" t="n">
        <x:v>1</x:v>
      </x:c>
      <x:c r="M961" s="8"/>
    </x:row>
    <x:row r="962">
      <x:c r="A962" s="8" t="str">
        <x:v>Mission|Land</x:v>
      </x:c>
      <x:c r="B962" s="8" t="str">
        <x:v>mission-c</x:v>
      </x:c>
      <x:c r="C962" s="8" t="str">
        <x:v>Mission</x:v>
      </x:c>
      <x:c r="D962" s="8" t="str">
        <x:v>Land</x:v>
      </x:c>
      <x:c r="E962" s="11" t="n">
        <x:v>161728065</x:v>
      </x:c>
      <x:c r="F962" s="11"/>
      <x:c r="G962" s="11" t="n">
        <x:v>161728065</x:v>
      </x:c>
      <x:c r="H962" s="11" t="n">
        <x:v>10203577</x:v>
      </x:c>
      <x:c r="I962" s="11" t="n">
        <x:v>161728065</x:v>
      </x:c>
      <x:c r="J962" s="11"/>
      <x:c r="K962" s="12" t="n">
        <x:v>1</x:v>
      </x:c>
      <x:c r="L962" s="12"/>
      <x:c r="M962" s="8" t="str">
        <x:v>N/A</x:v>
      </x:c>
    </x:row>
    <x:row r="963">
      <x:c r="A963" s="8" t="str">
        <x:v>Mission|Buildings</x:v>
      </x:c>
      <x:c r="B963" s="8" t="str">
        <x:v>mission-c</x:v>
      </x:c>
      <x:c r="C963" s="8" t="str">
        <x:v>Mission</x:v>
      </x:c>
      <x:c r="D963" s="8" t="str">
        <x:v>Buildings</x:v>
      </x:c>
      <x:c r="E963" s="11" t="n">
        <x:v>57548924</x:v>
      </x:c>
      <x:c r="F963" s="11" t="n">
        <x:v>24067511</x:v>
      </x:c>
      <x:c r="G963" s="11" t="n">
        <x:v>33481413</x:v>
      </x:c>
      <x:c r="H963" s="11" t="n">
        <x:v>1594802</x:v>
      </x:c>
      <x:c r="I963" s="11" t="n">
        <x:v>112332194</x:v>
      </x:c>
      <x:c r="J963" s="11" t="n">
        <x:v>5850635</x:v>
      </x:c>
      <x:c r="K963" s="12" t="n">
        <x:v>0.5817904258296819</x:v>
      </x:c>
      <x:c r="L963" s="12" t="n">
        <x:v>0.9479166675939757</x:v>
      </x:c>
      <x:c r="M963" s="8" t="str">
        <x:v>In_Progress</x:v>
      </x:c>
    </x:row>
    <x:row r="964">
      <x:c r="A964" s="8" t="str">
        <x:v>Mission|Fleet</x:v>
      </x:c>
      <x:c r="B964" s="8" t="str">
        <x:v>mission-c</x:v>
      </x:c>
      <x:c r="C964" s="8" t="str">
        <x:v>Mission</x:v>
      </x:c>
      <x:c r="D964" s="8" t="str">
        <x:v>Fleet</x:v>
      </x:c>
      <x:c r="E964" s="11" t="n">
        <x:v>17485054</x:v>
      </x:c>
      <x:c r="F964" s="11" t="n">
        <x:v>7691994</x:v>
      </x:c>
      <x:c r="G964" s="11" t="n">
        <x:v>9793060</x:v>
      </x:c>
      <x:c r="H964" s="11" t="n">
        <x:v>2220289</x:v>
      </x:c>
      <x:c r="I964" s="11" t="n">
        <x:v>20626430</x:v>
      </x:c>
      <x:c r="J964" s="11" t="n">
        <x:v>3507896</x:v>
      </x:c>
      <x:c r="K964" s="12" t="n">
        <x:v>0.5600817704080296</x:v>
      </x:c>
      <x:c r="L964" s="12" t="n">
        <x:v>0.829931985321745</x:v>
      </x:c>
      <x:c r="M964" s="8" t="str">
        <x:v>In_Progress</x:v>
      </x:c>
    </x:row>
    <x:row r="965">
      <x:c r="A965" s="8" t="str">
        <x:v>Mission|Parks and Recreation</x:v>
      </x:c>
      <x:c r="B965" s="8" t="str">
        <x:v>mission-c</x:v>
      </x:c>
      <x:c r="C965" s="8" t="str">
        <x:v>Mission</x:v>
      </x:c>
      <x:c r="D965" s="8" t="str">
        <x:v>Parks and Recreation</x:v>
      </x:c>
      <x:c r="E965" s="11" t="n">
        <x:v>11403979</x:v>
      </x:c>
      <x:c r="F965" s="11" t="n">
        <x:v>6261231</x:v>
      </x:c>
      <x:c r="G965" s="11" t="n">
        <x:v>5142748</x:v>
      </x:c>
      <x:c r="H965" s="11" t="n">
        <x:v>221485</x:v>
      </x:c>
      <x:c r="I965" s="11" t="n">
        <x:v>16532492</x:v>
      </x:c>
      <x:c r="J965" s="11" t="n">
        <x:v>2247326</x:v>
      </x:c>
      <x:c r="K965" s="12" t="n">
        <x:v>0.4509608444561324</x:v>
      </x:c>
      <x:c r="L965" s="12" t="n">
        <x:v>0.864066106912376</x:v>
      </x:c>
      <x:c r="M965" s="8" t="str">
        <x:v>In_Progress</x:v>
      </x:c>
    </x:row>
    <x:row r="966">
      <x:c r="A966" s="8" t="str">
        <x:v>Mission|Water System</x:v>
      </x:c>
      <x:c r="B966" s="8" t="str">
        <x:v>mission-c</x:v>
      </x:c>
      <x:c r="C966" s="8" t="str">
        <x:v>Mission</x:v>
      </x:c>
      <x:c r="D966" s="8" t="str">
        <x:v>Water System</x:v>
      </x:c>
      <x:c r="E966" s="11" t="n">
        <x:v>92537298</x:v>
      </x:c>
      <x:c r="F966" s="11" t="n">
        <x:v>29792418</x:v>
      </x:c>
      <x:c r="G966" s="11" t="n">
        <x:v>62744880</x:v>
      </x:c>
      <x:c r="H966" s="11" t="n">
        <x:v>1736432</x:v>
      </x:c>
      <x:c r="I966" s="11" t="n">
        <x:v>196995559</x:v>
      </x:c>
      <x:c r="J966" s="11" t="n">
        <x:v>4214936</x:v>
      </x:c>
      <x:c r="K966" s="12" t="n">
        <x:v>0.6780496227585984</x:v>
      </x:c>
      <x:c r="L966" s="12" t="n">
        <x:v>0.9786039034514479</x:v>
      </x:c>
      <x:c r="M966" s="8" t="str">
        <x:v>In_Progress</x:v>
      </x:c>
    </x:row>
    <x:row r="967">
      <x:c r="A967" s="8" t="str">
        <x:v>Mission|Sewer System</x:v>
      </x:c>
      <x:c r="B967" s="8" t="str">
        <x:v>mission-c</x:v>
      </x:c>
      <x:c r="C967" s="8" t="str">
        <x:v>Mission</x:v>
      </x:c>
      <x:c r="D967" s="8" t="str">
        <x:v>Sewer System</x:v>
      </x:c>
      <x:c r="E967" s="11" t="n">
        <x:v>88727074</x:v>
      </x:c>
      <x:c r="F967" s="11" t="n">
        <x:v>29992084</x:v>
      </x:c>
      <x:c r="G967" s="11" t="n">
        <x:v>58734990</x:v>
      </x:c>
      <x:c r="H967" s="11" t="n">
        <x:v>1710694</x:v>
      </x:c>
      <x:c r="I967" s="11" t="n">
        <x:v>215734661</x:v>
      </x:c>
      <x:c r="J967" s="11" t="n">
        <x:v>8344581</x:v>
      </x:c>
      <x:c r="K967" s="12" t="n">
        <x:v>0.6619737060189768</x:v>
      </x:c>
      <x:c r="L967" s="12" t="n">
        <x:v>0.961320165423024</x:v>
      </x:c>
      <x:c r="M967" s="8" t="str">
        <x:v>In_Progress</x:v>
      </x:c>
    </x:row>
    <x:row r="968">
      <x:c r="A968" s="8" t="str">
        <x:v>Mission|Drainage System</x:v>
      </x:c>
      <x:c r="B968" s="8" t="str">
        <x:v>mission-c</x:v>
      </x:c>
      <x:c r="C968" s="8" t="str">
        <x:v>Mission</x:v>
      </x:c>
      <x:c r="D968" s="8" t="str">
        <x:v>Drainage System</x:v>
      </x:c>
      <x:c r="E968" s="11" t="n">
        <x:v>118191120</x:v>
      </x:c>
      <x:c r="F968" s="11" t="n">
        <x:v>33267014</x:v>
      </x:c>
      <x:c r="G968" s="11" t="n">
        <x:v>84924106</x:v>
      </x:c>
      <x:c r="H968" s="11" t="n">
        <x:v>1083756</x:v>
      </x:c>
      <x:c r="I968" s="11" t="n">
        <x:v>317164266</x:v>
      </x:c>
      <x:c r="J968" s="11" t="n">
        <x:v>6036625</x:v>
      </x:c>
      <x:c r="K968" s="12" t="n">
        <x:v>0.7185320352324269</x:v>
      </x:c>
      <x:c r="L968" s="12" t="n">
        <x:v>0.9809668816852148</x:v>
      </x:c>
      <x:c r="M968" s="8" t="str">
        <x:v>In_Progress</x:v>
      </x:c>
    </x:row>
    <x:row r="969">
      <x:c r="A969" s="8" t="str">
        <x:v>Mission|Transportation System</x:v>
      </x:c>
      <x:c r="B969" s="8" t="str">
        <x:v>mission-c</x:v>
      </x:c>
      <x:c r="C969" s="8" t="str">
        <x:v>Mission</x:v>
      </x:c>
      <x:c r="D969" s="8" t="str">
        <x:v>Transportation System</x:v>
      </x:c>
      <x:c r="E969" s="11" t="n">
        <x:v>210414163</x:v>
      </x:c>
      <x:c r="F969" s="11" t="n">
        <x:v>70956700</x:v>
      </x:c>
      <x:c r="G969" s="11" t="n">
        <x:v>139457463</x:v>
      </x:c>
      <x:c r="H969" s="11" t="n">
        <x:v>4281795</x:v>
      </x:c>
      <x:c r="I969" s="11" t="n">
        <x:v>418176375</x:v>
      </x:c>
      <x:c r="J969" s="11" t="n">
        <x:v>8383360</x:v>
      </x:c>
      <x:c r="K969" s="12" t="n">
        <x:v>0.6627760271061222</x:v>
      </x:c>
      <x:c r="L969" s="12" t="n">
        <x:v>0.9799525738392084</x:v>
      </x:c>
      <x:c r="M969" s="8" t="str">
        <x:v>In_Progress</x:v>
      </x:c>
    </x:row>
    <x:row r="970">
      <x:c r="A970" s="8" t="str">
        <x:v>Mission|Other Engineering Systems</x:v>
      </x:c>
      <x:c r="B970" s="8" t="str">
        <x:v>mission-c</x:v>
      </x:c>
      <x:c r="C970" s="8" t="str">
        <x:v>Mission</x:v>
      </x:c>
      <x:c r="D970" s="8" t="str">
        <x:v>Other Engineering Systems</x:v>
      </x:c>
      <x:c r="E970" s="11" t="n">
        <x:v>13615930</x:v>
      </x:c>
      <x:c r="F970" s="11" t="n">
        <x:v>10178585</x:v>
      </x:c>
      <x:c r="G970" s="11" t="n">
        <x:v>3437345</x:v>
      </x:c>
      <x:c r="H970" s="11" t="n">
        <x:v>100470</x:v>
      </x:c>
      <x:c r="I970" s="11" t="n">
        <x:v>13403260</x:v>
      </x:c>
      <x:c r="J970" s="11" t="n">
        <x:v>1909296</x:v>
      </x:c>
      <x:c r="K970" s="12" t="n">
        <x:v>0.2524502549587138</x:v>
      </x:c>
      <x:c r="L970" s="12" t="n">
        <x:v>0.8575498796561434</x:v>
      </x:c>
      <x:c r="M970" s="8" t="str">
        <x:v>In_Progress</x:v>
      </x:c>
    </x:row>
    <x:row r="971">
      <x:c r="A971" s="8" t="str">
        <x:v>Mission|Other Tangible Capital Assets</x:v>
      </x:c>
      <x:c r="B971" s="8" t="str">
        <x:v>mission-c</x:v>
      </x:c>
      <x:c r="C971" s="8" t="str">
        <x:v>Mission</x:v>
      </x:c>
      <x:c r="D971" s="8" t="str">
        <x:v>Other Tangible Capital Assets</x:v>
      </x:c>
      <x:c r="E971" s="11" t="n">
        <x:v>10415970</x:v>
      </x:c>
      <x:c r="F971" s="11" t="n">
        <x:v>4993838</x:v>
      </x:c>
      <x:c r="G971" s="11" t="n">
        <x:v>5422132</x:v>
      </x:c>
      <x:c r="H971" s="11" t="n">
        <x:v>1165857</x:v>
      </x:c>
      <x:c r="I971" s="11" t="n">
        <x:v>13117181</x:v>
      </x:c>
      <x:c r="J971" s="11" t="n">
        <x:v>2550485</x:v>
      </x:c>
      <x:c r="K971" s="12" t="n">
        <x:v>0.5205594870184918</x:v>
      </x:c>
      <x:c r="L971" s="12" t="n">
        <x:v>0.8055614998375031</x:v>
      </x:c>
      <x:c r="M971" s="8" t="str">
        <x:v>N/A</x:v>
      </x:c>
    </x:row>
    <x:row r="972">
      <x:c r="A972" s="8" t="str">
        <x:v>Mission|Work In Progress</x:v>
      </x:c>
      <x:c r="B972" s="8" t="str">
        <x:v>mission-c</x:v>
      </x:c>
      <x:c r="C972" s="8" t="str">
        <x:v>Mission</x:v>
      </x:c>
      <x:c r="D972" s="8" t="str">
        <x:v>Work In Progress</x:v>
      </x:c>
      <x:c r="E972" s="11" t="n">
        <x:v>60190217</x:v>
      </x:c>
      <x:c r="F972" s="11"/>
      <x:c r="G972" s="11" t="n">
        <x:v>60190217</x:v>
      </x:c>
      <x:c r="H972" s="11" t="n">
        <x:v>10750695</x:v>
      </x:c>
      <x:c r="I972" s="11" t="n">
        <x:v>60190217</x:v>
      </x:c>
      <x:c r="J972" s="11"/>
      <x:c r="K972" s="12" t="n">
        <x:v>1</x:v>
      </x:c>
      <x:c r="L972" s="12"/>
      <x:c r="M972" s="8" t="str">
        <x:v>N/A</x:v>
      </x:c>
    </x:row>
    <x:row r="973">
      <x:c r="A973" s="8" t="str">
        <x:v>Mission|Total TCA</x:v>
      </x:c>
      <x:c r="B973" s="8" t="str">
        <x:v>mission-c</x:v>
      </x:c>
      <x:c r="C973" s="8" t="str">
        <x:v>Mission</x:v>
      </x:c>
      <x:c r="D973" s="8" t="str">
        <x:v>Total TCA</x:v>
      </x:c>
      <x:c r="E973" s="11" t="n">
        <x:v>842257794</x:v>
      </x:c>
      <x:c r="F973" s="11" t="n">
        <x:v>217201375</x:v>
      </x:c>
      <x:c r="G973" s="11" t="n">
        <x:v>625056419</x:v>
      </x:c>
      <x:c r="H973" s="11" t="n">
        <x:v>35069852</x:v>
      </x:c>
      <x:c r="I973" s="11" t="n">
        <x:v>1546000700</x:v>
      </x:c>
      <x:c r="J973" s="11" t="n">
        <x:v>43045140</x:v>
      </x:c>
      <x:c r="K973" s="12" t="n">
        <x:v>0.7421200770746444</x:v>
      </x:c>
      <x:c r="L973" s="12" t="n">
        <x:v>0.9721571018693588</x:v>
      </x:c>
      <x:c r="M973" s="8"/>
    </x:row>
    <x:row r="974">
      <x:c r="A974" s="8" t="str">
        <x:v>Montrose|Land</x:v>
      </x:c>
      <x:c r="B974" s="8" t="str">
        <x:v>montrose-v</x:v>
      </x:c>
      <x:c r="C974" s="8" t="str">
        <x:v>Montrose</x:v>
      </x:c>
      <x:c r="D974" s="8" t="str">
        <x:v>Land</x:v>
      </x:c>
      <x:c r="E974" s="11" t="n">
        <x:v>881313</x:v>
      </x:c>
      <x:c r="F974" s="11"/>
      <x:c r="G974" s="11" t="n">
        <x:v>881313</x:v>
      </x:c>
      <x:c r="H974" s="11" t="n">
        <x:v>0</x:v>
      </x:c>
      <x:c r="I974" s="11" t="n">
        <x:v>881313</x:v>
      </x:c>
      <x:c r="J974" s="11"/>
      <x:c r="K974" s="12" t="n">
        <x:v>1</x:v>
      </x:c>
      <x:c r="L974" s="12"/>
      <x:c r="M974" s="8" t="str">
        <x:v>N/A</x:v>
      </x:c>
    </x:row>
    <x:row r="975">
      <x:c r="A975" s="8" t="str">
        <x:v>Montrose|Buildings</x:v>
      </x:c>
      <x:c r="B975" s="8" t="str">
        <x:v>montrose-v</x:v>
      </x:c>
      <x:c r="C975" s="8" t="str">
        <x:v>Montrose</x:v>
      </x:c>
      <x:c r="D975" s="8" t="str">
        <x:v>Buildings</x:v>
      </x:c>
      <x:c r="E975" s="11" t="n">
        <x:v>1176882</x:v>
      </x:c>
      <x:c r="F975" s="11" t="n">
        <x:v>588302</x:v>
      </x:c>
      <x:c r="G975" s="11" t="n">
        <x:v>588580</x:v>
      </x:c>
      <x:c r="H975" s="11" t="n">
        <x:v>81076</x:v>
      </x:c>
      <x:c r="I975" s="11" t="n">
        <x:v>1177000</x:v>
      </x:c>
      <x:c r="J975" s="11" t="n">
        <x:v>28794</x:v>
      </x:c>
      <x:c r="K975" s="12" t="n">
        <x:v>0.5001181086973885</x:v>
      </x:c>
      <x:c r="L975" s="12" t="n">
        <x:v>0.975536108751062</x:v>
      </x:c>
      <x:c r="M975" s="8" t="str">
        <x:v>Yes</x:v>
      </x:c>
    </x:row>
    <x:row r="976">
      <x:c r="A976" s="8" t="str">
        <x:v>Montrose|Fleet</x:v>
      </x:c>
      <x:c r="B976" s="8" t="str">
        <x:v>montrose-v</x:v>
      </x:c>
      <x:c r="C976" s="8" t="str">
        <x:v>Montrose</x:v>
      </x:c>
      <x:c r="D976" s="8" t="str">
        <x:v>Fleet</x:v>
      </x:c>
      <x:c r="E976" s="11" t="n">
        <x:v>1413866</x:v>
      </x:c>
      <x:c r="F976" s="11" t="n">
        <x:v>825974</x:v>
      </x:c>
      <x:c r="G976" s="11" t="n">
        <x:v>587892</x:v>
      </x:c>
      <x:c r="H976" s="11" t="n">
        <x:v>85097</x:v>
      </x:c>
      <x:c r="I976" s="11" t="n">
        <x:v>731600</x:v>
      </x:c>
      <x:c r="J976" s="11" t="n">
        <x:v>59400</x:v>
      </x:c>
      <x:c r="K976" s="12" t="n">
        <x:v>0.41580460948915954</x:v>
      </x:c>
      <x:c r="L976" s="12" t="n">
        <x:v>0.9188080918534718</x:v>
      </x:c>
      <x:c r="M976" s="8" t="str">
        <x:v>Yes</x:v>
      </x:c>
    </x:row>
    <x:row r="977">
      <x:c r="A977" s="8" t="str">
        <x:v>Montrose|Parks and Recreation</x:v>
      </x:c>
      <x:c r="B977" s="8" t="str">
        <x:v>montrose-v</x:v>
      </x:c>
      <x:c r="C977" s="8" t="str">
        <x:v>Montrose</x:v>
      </x:c>
      <x:c r="D977" s="8" t="str">
        <x:v>Parks and Recreation</x:v>
      </x:c>
      <x:c r="E977" s="11" t="n">
        <x:v>251591</x:v>
      </x:c>
      <x:c r="F977" s="11" t="n">
        <x:v>154120</x:v>
      </x:c>
      <x:c r="G977" s="11" t="n">
        <x:v>97471</x:v>
      </x:c>
      <x:c r="H977" s="11" t="n">
        <x:v>0</x:v>
      </x:c>
      <x:c r="I977" s="11" t="n">
        <x:v>251591</x:v>
      </x:c>
      <x:c r="J977" s="11" t="n">
        <x:v>16000</x:v>
      </x:c>
      <x:c r="K977" s="12" t="n">
        <x:v>0.38741846886414855</x:v>
      </x:c>
      <x:c r="L977" s="12" t="n">
        <x:v>0.9364047203596313</x:v>
      </x:c>
      <x:c r="M977" s="8" t="str">
        <x:v>Yes</x:v>
      </x:c>
    </x:row>
    <x:row r="978">
      <x:c r="A978" s="8" t="str">
        <x:v>Montrose|Water System</x:v>
      </x:c>
      <x:c r="B978" s="8" t="str">
        <x:v>montrose-v</x:v>
      </x:c>
      <x:c r="C978" s="8" t="str">
        <x:v>Montrose</x:v>
      </x:c>
      <x:c r="D978" s="8" t="str">
        <x:v>Water System</x:v>
      </x:c>
      <x:c r="E978" s="11" t="n">
        <x:v>3951582</x:v>
      </x:c>
      <x:c r="F978" s="11" t="n">
        <x:v>1574131</x:v>
      </x:c>
      <x:c r="G978" s="11" t="n">
        <x:v>2377451</x:v>
      </x:c>
      <x:c r="H978" s="11" t="n">
        <x:v>0</x:v>
      </x:c>
      <x:c r="I978" s="11" t="n">
        <x:v>3951000</x:v>
      </x:c>
      <x:c r="J978" s="11" t="n">
        <x:v>90000</x:v>
      </x:c>
      <x:c r="K978" s="12" t="n">
        <x:v>0.6016453663368241</x:v>
      </x:c>
      <x:c r="L978" s="12" t="n">
        <x:v>0.9772209567198178</x:v>
      </x:c>
      <x:c r="M978" s="8" t="str">
        <x:v>Yes</x:v>
      </x:c>
    </x:row>
    <x:row r="979">
      <x:c r="A979" s="8" t="str">
        <x:v>Montrose|Sewer System</x:v>
      </x:c>
      <x:c r="B979" s="8" t="str">
        <x:v>montrose-v</x:v>
      </x:c>
      <x:c r="C979" s="8" t="str">
        <x:v>Montrose</x:v>
      </x:c>
      <x:c r="D979" s="8" t="str">
        <x:v>Sewer System</x:v>
      </x:c>
      <x:c r="E979" s="11" t="n">
        <x:v>2806529</x:v>
      </x:c>
      <x:c r="F979" s="11" t="n">
        <x:v>1309838</x:v>
      </x:c>
      <x:c r="G979" s="11" t="n">
        <x:v>1496691</x:v>
      </x:c>
      <x:c r="H979" s="11" t="n">
        <x:v>134464</x:v>
      </x:c>
      <x:c r="I979" s="11" t="n">
        <x:v>2806000</x:v>
      </x:c>
      <x:c r="J979" s="11" t="n">
        <x:v>49300</x:v>
      </x:c>
      <x:c r="K979" s="12" t="n">
        <x:v>0.5332889843646725</x:v>
      </x:c>
      <x:c r="L979" s="12" t="n">
        <x:v>0.9824305060584462</x:v>
      </x:c>
      <x:c r="M979" s="8" t="str">
        <x:v>Yes</x:v>
      </x:c>
    </x:row>
    <x:row r="980">
      <x:c r="A980" s="8" t="str">
        <x:v>Montrose|Drainage System</x:v>
      </x:c>
      <x:c r="B980" s="8" t="str">
        <x:v>montrose-v</x:v>
      </x:c>
      <x:c r="C980" s="8" t="str">
        <x:v>Montrose</x:v>
      </x:c>
      <x:c r="D980" s="8" t="str">
        <x:v>Drainage System</x:v>
      </x:c>
      <x:c r="E980" s="11" t="n">
        <x:v>694971</x:v>
      </x:c>
      <x:c r="F980" s="11" t="n">
        <x:v>514886</x:v>
      </x:c>
      <x:c r="G980" s="11" t="n">
        <x:v>180085</x:v>
      </x:c>
      <x:c r="H980" s="11" t="n">
        <x:v>0</x:v>
      </x:c>
      <x:c r="I980" s="11" t="n">
        <x:v>695000</x:v>
      </x:c>
      <x:c r="J980" s="11" t="n">
        <x:v>9500</x:v>
      </x:c>
      <x:c r="K980" s="12" t="n">
        <x:v>0.2591259203621446</x:v>
      </x:c>
      <x:c r="L980" s="12" t="n">
        <x:v>0.9863309352517986</x:v>
      </x:c>
      <x:c r="M980" s="8" t="str">
        <x:v>Yes</x:v>
      </x:c>
    </x:row>
    <x:row r="981">
      <x:c r="A981" s="8" t="str">
        <x:v>Montrose|Transportation System</x:v>
      </x:c>
      <x:c r="B981" s="8" t="str">
        <x:v>montrose-v</x:v>
      </x:c>
      <x:c r="C981" s="8" t="str">
        <x:v>Montrose</x:v>
      </x:c>
      <x:c r="D981" s="8" t="str">
        <x:v>Transportation System</x:v>
      </x:c>
      <x:c r="E981" s="11" t="n">
        <x:v>4813188</x:v>
      </x:c>
      <x:c r="F981" s="11" t="n">
        <x:v>2488825</x:v>
      </x:c>
      <x:c r="G981" s="11" t="n">
        <x:v>2324363</x:v>
      </x:c>
      <x:c r="H981" s="11" t="n">
        <x:v>0</x:v>
      </x:c>
      <x:c r="I981" s="11" t="n">
        <x:v>4813000</x:v>
      </x:c>
      <x:c r="J981" s="11" t="n">
        <x:v>0</x:v>
      </x:c>
      <x:c r="K981" s="12" t="n">
        <x:v>0.4829154813815708</x:v>
      </x:c>
      <x:c r="L981" s="12" t="n">
        <x:v>1</x:v>
      </x:c>
      <x:c r="M981" s="8" t="str">
        <x:v>Yes</x:v>
      </x:c>
    </x:row>
    <x:row r="982">
      <x:c r="A982" s="8" t="str">
        <x:v>Montrose|Other Engineering Systems</x:v>
      </x:c>
      <x:c r="B982" s="8" t="str">
        <x:v>montrose-v</x:v>
      </x:c>
      <x:c r="C982" s="8" t="str">
        <x:v>Montrose</x:v>
      </x:c>
      <x:c r="D982" s="8" t="str">
        <x:v>Other Engineering Systems</x:v>
      </x:c>
      <x:c r="E982" s="11" t="n">
        <x:v>0</x:v>
      </x:c>
      <x:c r="F982" s="11" t="n">
        <x:v>0</x:v>
      </x:c>
      <x:c r="G982" s="11" t="n">
        <x:v>0</x:v>
      </x:c>
      <x:c r="H982" s="11" t="n">
        <x:v>0</x:v>
      </x:c>
      <x:c r="I982" s="11" t="n">
        <x:v>0</x:v>
      </x:c>
      <x:c r="J982" s="11" t="n">
        <x:v>0</x:v>
      </x:c>
      <x:c r="K982" s="12"/>
      <x:c r="L982" s="12"/>
      <x:c r="M982" s="8"/>
    </x:row>
    <x:row r="983">
      <x:c r="A983" s="8" t="str">
        <x:v>Montrose|Other Tangible Capital Assets</x:v>
      </x:c>
      <x:c r="B983" s="8" t="str">
        <x:v>montrose-v</x:v>
      </x:c>
      <x:c r="C983" s="8" t="str">
        <x:v>Montrose</x:v>
      </x:c>
      <x:c r="D983" s="8" t="str">
        <x:v>Other Tangible Capital Assets</x:v>
      </x:c>
      <x:c r="E983" s="11" t="n">
        <x:v>0</x:v>
      </x:c>
      <x:c r="F983" s="11" t="n">
        <x:v>0</x:v>
      </x:c>
      <x:c r="G983" s="11" t="n">
        <x:v>0</x:v>
      </x:c>
      <x:c r="H983" s="11" t="n">
        <x:v>0</x:v>
      </x:c>
      <x:c r="I983" s="11" t="n">
        <x:v>0</x:v>
      </x:c>
      <x:c r="J983" s="11" t="n">
        <x:v>0</x:v>
      </x:c>
      <x:c r="K983" s="12"/>
      <x:c r="L983" s="12"/>
      <x:c r="M983" s="8" t="str">
        <x:v>N/A</x:v>
      </x:c>
    </x:row>
    <x:row r="984">
      <x:c r="A984" s="8" t="str">
        <x:v>Montrose|Work In Progress</x:v>
      </x:c>
      <x:c r="B984" s="8" t="str">
        <x:v>montrose-v</x:v>
      </x:c>
      <x:c r="C984" s="8" t="str">
        <x:v>Montrose</x:v>
      </x:c>
      <x:c r="D984" s="8" t="str">
        <x:v>Work In Progress</x:v>
      </x:c>
      <x:c r="E984" s="11" t="n">
        <x:v>3257081</x:v>
      </x:c>
      <x:c r="F984" s="11"/>
      <x:c r="G984" s="11" t="n">
        <x:v>3257081</x:v>
      </x:c>
      <x:c r="H984" s="11" t="n">
        <x:v>615850</x:v>
      </x:c>
      <x:c r="I984" s="11" t="n">
        <x:v>3257081</x:v>
      </x:c>
      <x:c r="J984" s="11"/>
      <x:c r="K984" s="12" t="n">
        <x:v>1</x:v>
      </x:c>
      <x:c r="L984" s="12"/>
      <x:c r="M984" s="8" t="str">
        <x:v>N/A</x:v>
      </x:c>
    </x:row>
    <x:row r="985">
      <x:c r="A985" s="8" t="str">
        <x:v>Montrose|Total TCA</x:v>
      </x:c>
      <x:c r="B985" s="8" t="str">
        <x:v>montrose-v</x:v>
      </x:c>
      <x:c r="C985" s="8" t="str">
        <x:v>Montrose</x:v>
      </x:c>
      <x:c r="D985" s="8" t="str">
        <x:v>Total TCA</x:v>
      </x:c>
      <x:c r="E985" s="11" t="n">
        <x:v>19247003</x:v>
      </x:c>
      <x:c r="F985" s="11" t="n">
        <x:v>7456076</x:v>
      </x:c>
      <x:c r="G985" s="11" t="n">
        <x:v>11790927</x:v>
      </x:c>
      <x:c r="H985" s="11" t="n">
        <x:v>916487</x:v>
      </x:c>
      <x:c r="I985" s="11" t="n">
        <x:v>18563585</x:v>
      </x:c>
      <x:c r="J985" s="11" t="n">
        <x:v>252994</x:v>
      </x:c>
      <x:c r="K985" s="12" t="n">
        <x:v>0.6126110646940721</x:v>
      </x:c>
      <x:c r="L985" s="12" t="n">
        <x:v>0.9863714902051517</x:v>
      </x:c>
      <x:c r="M985" s="8"/>
    </x:row>
    <x:row r="986">
      <x:c r="A986" s="8" t="str">
        <x:v>Nakusp|Land</x:v>
      </x:c>
      <x:c r="B986" s="8" t="str">
        <x:v>nakusp-v</x:v>
      </x:c>
      <x:c r="C986" s="8" t="str">
        <x:v>Nakusp</x:v>
      </x:c>
      <x:c r="D986" s="8" t="str">
        <x:v>Land</x:v>
      </x:c>
      <x:c r="E986" s="11" t="n">
        <x:v>1342412</x:v>
      </x:c>
      <x:c r="F986" s="11"/>
      <x:c r="G986" s="11" t="n">
        <x:v>1342412</x:v>
      </x:c>
      <x:c r="H986" s="11" t="n">
        <x:v>0</x:v>
      </x:c>
      <x:c r="I986" s="11" t="n">
        <x:v>1342412</x:v>
      </x:c>
      <x:c r="J986" s="11"/>
      <x:c r="K986" s="12" t="n">
        <x:v>1</x:v>
      </x:c>
      <x:c r="L986" s="12"/>
      <x:c r="M986" s="8" t="str">
        <x:v>N/A</x:v>
      </x:c>
    </x:row>
    <x:row r="987">
      <x:c r="A987" s="8" t="str">
        <x:v>Nakusp|Buildings</x:v>
      </x:c>
      <x:c r="B987" s="8" t="str">
        <x:v>nakusp-v</x:v>
      </x:c>
      <x:c r="C987" s="8" t="str">
        <x:v>Nakusp</x:v>
      </x:c>
      <x:c r="D987" s="8" t="str">
        <x:v>Buildings</x:v>
      </x:c>
      <x:c r="E987" s="11" t="n">
        <x:v>12164743</x:v>
      </x:c>
      <x:c r="F987" s="11" t="n">
        <x:v>6920020</x:v>
      </x:c>
      <x:c r="G987" s="11" t="n">
        <x:v>5244723</x:v>
      </x:c>
      <x:c r="H987" s="11" t="n">
        <x:v>1363962</x:v>
      </x:c>
      <x:c r="I987" s="11" t="n">
        <x:v>21610370</x:v>
      </x:c>
      <x:c r="J987" s="11" t="n">
        <x:v>0</x:v>
      </x:c>
      <x:c r="K987" s="12" t="n">
        <x:v>0.43114129085998776</x:v>
      </x:c>
      <x:c r="L987" s="12" t="n">
        <x:v>1</x:v>
      </x:c>
      <x:c r="M987" s="8" t="str">
        <x:v>In_Progress</x:v>
      </x:c>
    </x:row>
    <x:row r="988">
      <x:c r="A988" s="8" t="str">
        <x:v>Nakusp|Fleet</x:v>
      </x:c>
      <x:c r="B988" s="8" t="str">
        <x:v>nakusp-v</x:v>
      </x:c>
      <x:c r="C988" s="8" t="str">
        <x:v>Nakusp</x:v>
      </x:c>
      <x:c r="D988" s="8" t="str">
        <x:v>Fleet</x:v>
      </x:c>
      <x:c r="E988" s="11" t="n">
        <x:v>3055207</x:v>
      </x:c>
      <x:c r="F988" s="11" t="n">
        <x:v>1883641</x:v>
      </x:c>
      <x:c r="G988" s="11" t="n">
        <x:v>1171566</x:v>
      </x:c>
      <x:c r="H988" s="11" t="n">
        <x:v>421321</x:v>
      </x:c>
      <x:c r="I988" s="11" t="n">
        <x:v>0</x:v>
      </x:c>
      <x:c r="J988" s="11" t="n">
        <x:v>0</x:v>
      </x:c>
      <x:c r="K988" s="12" t="n">
        <x:v>0.38346534293748347</x:v>
      </x:c>
      <x:c r="L988" s="12"/>
      <x:c r="M988" s="8" t="str">
        <x:v>Yes</x:v>
      </x:c>
    </x:row>
    <x:row r="989">
      <x:c r="A989" s="8" t="str">
        <x:v>Nakusp|Parks and Recreation</x:v>
      </x:c>
      <x:c r="B989" s="8" t="str">
        <x:v>nakusp-v</x:v>
      </x:c>
      <x:c r="C989" s="8" t="str">
        <x:v>Nakusp</x:v>
      </x:c>
      <x:c r="D989" s="8" t="str">
        <x:v>Parks and Recreation</x:v>
      </x:c>
      <x:c r="E989" s="11" t="n">
        <x:v>3742731</x:v>
      </x:c>
      <x:c r="F989" s="11" t="n">
        <x:v>743358</x:v>
      </x:c>
      <x:c r="G989" s="11" t="n">
        <x:v>2999373</x:v>
      </x:c>
      <x:c r="H989" s="11" t="n">
        <x:v>309144</x:v>
      </x:c>
      <x:c r="I989" s="11" t="n">
        <x:v>0</x:v>
      </x:c>
      <x:c r="J989" s="11" t="n">
        <x:v>0</x:v>
      </x:c>
      <x:c r="K989" s="12" t="n">
        <x:v>0.8013862070236947</x:v>
      </x:c>
      <x:c r="L989" s="12"/>
      <x:c r="M989" s="8" t="str">
        <x:v>Yes</x:v>
      </x:c>
    </x:row>
    <x:row r="990">
      <x:c r="A990" s="8" t="str">
        <x:v>Nakusp|Water System</x:v>
      </x:c>
      <x:c r="B990" s="8" t="str">
        <x:v>nakusp-v</x:v>
      </x:c>
      <x:c r="C990" s="8" t="str">
        <x:v>Nakusp</x:v>
      </x:c>
      <x:c r="D990" s="8" t="str">
        <x:v>Water System</x:v>
      </x:c>
      <x:c r="E990" s="11" t="n">
        <x:v>9070594</x:v>
      </x:c>
      <x:c r="F990" s="11" t="n">
        <x:v>3658511</x:v>
      </x:c>
      <x:c r="G990" s="11" t="n">
        <x:v>5412083</x:v>
      </x:c>
      <x:c r="H990" s="11" t="n">
        <x:v>27344</x:v>
      </x:c>
      <x:c r="I990" s="11" t="n">
        <x:v>20450641</x:v>
      </x:c>
      <x:c r="J990" s="11" t="n">
        <x:v>0</x:v>
      </x:c>
      <x:c r="K990" s="12" t="n">
        <x:v>0.5966624677501826</x:v>
      </x:c>
      <x:c r="L990" s="12" t="n">
        <x:v>1</x:v>
      </x:c>
      <x:c r="M990" s="8" t="str">
        <x:v>Yes</x:v>
      </x:c>
    </x:row>
    <x:row r="991">
      <x:c r="A991" s="8" t="str">
        <x:v>Nakusp|Sewer System</x:v>
      </x:c>
      <x:c r="B991" s="8" t="str">
        <x:v>nakusp-v</x:v>
      </x:c>
      <x:c r="C991" s="8" t="str">
        <x:v>Nakusp</x:v>
      </x:c>
      <x:c r="D991" s="8" t="str">
        <x:v>Sewer System</x:v>
      </x:c>
      <x:c r="E991" s="11" t="n">
        <x:v>5661207</x:v>
      </x:c>
      <x:c r="F991" s="11" t="n">
        <x:v>3258486</x:v>
      </x:c>
      <x:c r="G991" s="11" t="n">
        <x:v>2402721</x:v>
      </x:c>
      <x:c r="H991" s="11" t="n">
        <x:v>0</x:v>
      </x:c>
      <x:c r="I991" s="11" t="n">
        <x:v>20665528</x:v>
      </x:c>
      <x:c r="J991" s="11" t="n">
        <x:v>0</x:v>
      </x:c>
      <x:c r="K991" s="12" t="n">
        <x:v>0.4244185029800182</x:v>
      </x:c>
      <x:c r="L991" s="12" t="n">
        <x:v>1</x:v>
      </x:c>
      <x:c r="M991" s="8" t="str">
        <x:v>Yes</x:v>
      </x:c>
    </x:row>
    <x:row r="992">
      <x:c r="A992" s="8" t="str">
        <x:v>Nakusp|Drainage System</x:v>
      </x:c>
      <x:c r="B992" s="8" t="str">
        <x:v>nakusp-v</x:v>
      </x:c>
      <x:c r="C992" s="8" t="str">
        <x:v>Nakusp</x:v>
      </x:c>
      <x:c r="D992" s="8" t="str">
        <x:v>Drainage System</x:v>
      </x:c>
      <x:c r="E992" s="11" t="n">
        <x:v>0</x:v>
      </x:c>
      <x:c r="F992" s="11" t="n">
        <x:v>0</x:v>
      </x:c>
      <x:c r="G992" s="11" t="n">
        <x:v>0</x:v>
      </x:c>
      <x:c r="H992" s="11" t="n">
        <x:v>0</x:v>
      </x:c>
      <x:c r="I992" s="11" t="n">
        <x:v>0</x:v>
      </x:c>
      <x:c r="J992" s="11" t="n">
        <x:v>0</x:v>
      </x:c>
      <x:c r="K992" s="12"/>
      <x:c r="L992" s="12"/>
      <x:c r="M992" s="8"/>
    </x:row>
    <x:row r="993">
      <x:c r="A993" s="8" t="str">
        <x:v>Nakusp|Transportation System</x:v>
      </x:c>
      <x:c r="B993" s="8" t="str">
        <x:v>nakusp-v</x:v>
      </x:c>
      <x:c r="C993" s="8" t="str">
        <x:v>Nakusp</x:v>
      </x:c>
      <x:c r="D993" s="8" t="str">
        <x:v>Transportation System</x:v>
      </x:c>
      <x:c r="E993" s="11" t="n">
        <x:v>5615211</x:v>
      </x:c>
      <x:c r="F993" s="11" t="n">
        <x:v>2440668</x:v>
      </x:c>
      <x:c r="G993" s="11" t="n">
        <x:v>3174543</x:v>
      </x:c>
      <x:c r="H993" s="11" t="n">
        <x:v>133413</x:v>
      </x:c>
      <x:c r="I993" s="11" t="n">
        <x:v>9581968</x:v>
      </x:c>
      <x:c r="J993" s="11" t="n">
        <x:v>0</x:v>
      </x:c>
      <x:c r="K993" s="12" t="n">
        <x:v>0.5653470546342783</x:v>
      </x:c>
      <x:c r="L993" s="12" t="n">
        <x:v>1</x:v>
      </x:c>
      <x:c r="M993" s="8" t="str">
        <x:v>Yes</x:v>
      </x:c>
    </x:row>
    <x:row r="994">
      <x:c r="A994" s="8" t="str">
        <x:v>Nakusp|Other Engineering Systems</x:v>
      </x:c>
      <x:c r="B994" s="8" t="str">
        <x:v>nakusp-v</x:v>
      </x:c>
      <x:c r="C994" s="8" t="str">
        <x:v>Nakusp</x:v>
      </x:c>
      <x:c r="D994" s="8" t="str">
        <x:v>Other Engineering Systems</x:v>
      </x:c>
      <x:c r="E994" s="11" t="n">
        <x:v>0</x:v>
      </x:c>
      <x:c r="F994" s="11" t="n">
        <x:v>0</x:v>
      </x:c>
      <x:c r="G994" s="11" t="n">
        <x:v>0</x:v>
      </x:c>
      <x:c r="H994" s="11" t="n">
        <x:v>0</x:v>
      </x:c>
      <x:c r="I994" s="11" t="n">
        <x:v>0</x:v>
      </x:c>
      <x:c r="J994" s="11" t="n">
        <x:v>0</x:v>
      </x:c>
      <x:c r="K994" s="12"/>
      <x:c r="L994" s="12"/>
      <x:c r="M994" s="8"/>
    </x:row>
    <x:row r="995">
      <x:c r="A995" s="8" t="str">
        <x:v>Nakusp|Other Tangible Capital Assets</x:v>
      </x:c>
      <x:c r="B995" s="8" t="str">
        <x:v>nakusp-v</x:v>
      </x:c>
      <x:c r="C995" s="8" t="str">
        <x:v>Nakusp</x:v>
      </x:c>
      <x:c r="D995" s="8" t="str">
        <x:v>Other Tangible Capital Assets</x:v>
      </x:c>
      <x:c r="E995" s="11" t="n">
        <x:v>1184218</x:v>
      </x:c>
      <x:c r="F995" s="11" t="n">
        <x:v>910590</x:v>
      </x:c>
      <x:c r="G995" s="11" t="n">
        <x:v>273628</x:v>
      </x:c>
      <x:c r="H995" s="11" t="n">
        <x:v>0</x:v>
      </x:c>
      <x:c r="I995" s="11" t="n">
        <x:v>5057026</x:v>
      </x:c>
      <x:c r="J995" s="11" t="n">
        <x:v>0</x:v>
      </x:c>
      <x:c r="K995" s="12" t="n">
        <x:v>0.23106218618531385</x:v>
      </x:c>
      <x:c r="L995" s="12" t="n">
        <x:v>1</x:v>
      </x:c>
      <x:c r="M995" s="8" t="str">
        <x:v>N/A</x:v>
      </x:c>
    </x:row>
    <x:row r="996">
      <x:c r="A996" s="8" t="str">
        <x:v>Nakusp|Work In Progress</x:v>
      </x:c>
      <x:c r="B996" s="8" t="str">
        <x:v>nakusp-v</x:v>
      </x:c>
      <x:c r="C996" s="8" t="str">
        <x:v>Nakusp</x:v>
      </x:c>
      <x:c r="D996" s="8" t="str">
        <x:v>Work In Progress</x:v>
      </x:c>
      <x:c r="E996" s="11" t="n">
        <x:v>1073064</x:v>
      </x:c>
      <x:c r="F996" s="11"/>
      <x:c r="G996" s="11" t="n">
        <x:v>1073064</x:v>
      </x:c>
      <x:c r="H996" s="11" t="n">
        <x:v>795358</x:v>
      </x:c>
      <x:c r="I996" s="11" t="n">
        <x:v>1073064</x:v>
      </x:c>
      <x:c r="J996" s="11"/>
      <x:c r="K996" s="12" t="n">
        <x:v>1</x:v>
      </x:c>
      <x:c r="L996" s="12"/>
      <x:c r="M996" s="8" t="str">
        <x:v>N/A</x:v>
      </x:c>
    </x:row>
    <x:row r="997">
      <x:c r="A997" s="8" t="str">
        <x:v>Nakusp|Total TCA</x:v>
      </x:c>
      <x:c r="B997" s="8" t="str">
        <x:v>nakusp-v</x:v>
      </x:c>
      <x:c r="C997" s="8" t="str">
        <x:v>Nakusp</x:v>
      </x:c>
      <x:c r="D997" s="8" t="str">
        <x:v>Total TCA</x:v>
      </x:c>
      <x:c r="E997" s="11" t="n">
        <x:v>42909387</x:v>
      </x:c>
      <x:c r="F997" s="11" t="n">
        <x:v>19815274</x:v>
      </x:c>
      <x:c r="G997" s="11" t="n">
        <x:v>23094113</x:v>
      </x:c>
      <x:c r="H997" s="11" t="n">
        <x:v>3050542</x:v>
      </x:c>
      <x:c r="I997" s="11" t="n">
        <x:v>79781009</x:v>
      </x:c>
      <x:c r="J997" s="11" t="n">
        <x:v>0</x:v>
      </x:c>
      <x:c r="K997" s="12" t="n">
        <x:v>0.5382065467399942</x:v>
      </x:c>
      <x:c r="L997" s="12" t="n">
        <x:v>1</x:v>
      </x:c>
      <x:c r="M997" s="8"/>
    </x:row>
    <x:row r="998">
      <x:c r="A998" s="8" t="str">
        <x:v>Nanaimo|Land</x:v>
      </x:c>
      <x:c r="B998" s="8" t="str">
        <x:v>nanaimo-c</x:v>
      </x:c>
      <x:c r="C998" s="8" t="str">
        <x:v>Nanaimo</x:v>
      </x:c>
      <x:c r="D998" s="8" t="str">
        <x:v>Land</x:v>
      </x:c>
      <x:c r="E998" s="11" t="n">
        <x:v>123809981</x:v>
      </x:c>
      <x:c r="F998" s="11"/>
      <x:c r="G998" s="11" t="n">
        <x:v>123809981</x:v>
      </x:c>
      <x:c r="H998" s="11" t="n">
        <x:v>7363835</x:v>
      </x:c>
      <x:c r="I998" s="11" t="n">
        <x:v>123809981</x:v>
      </x:c>
      <x:c r="J998" s="11"/>
      <x:c r="K998" s="12" t="n">
        <x:v>1</x:v>
      </x:c>
      <x:c r="L998" s="12"/>
      <x:c r="M998" s="8" t="str">
        <x:v>N/A</x:v>
      </x:c>
    </x:row>
    <x:row r="999">
      <x:c r="A999" s="8" t="str">
        <x:v>Nanaimo|Buildings</x:v>
      </x:c>
      <x:c r="B999" s="8" t="str">
        <x:v>nanaimo-c</x:v>
      </x:c>
      <x:c r="C999" s="8" t="str">
        <x:v>Nanaimo</x:v>
      </x:c>
      <x:c r="D999" s="8" t="str">
        <x:v>Buildings</x:v>
      </x:c>
      <x:c r="E999" s="11" t="n">
        <x:v>238148693</x:v>
      </x:c>
      <x:c r="F999" s="11" t="n">
        <x:v>115986167</x:v>
      </x:c>
      <x:c r="G999" s="11" t="n">
        <x:v>122162526</x:v>
      </x:c>
      <x:c r="H999" s="11" t="n">
        <x:v>3476089</x:v>
      </x:c>
      <x:c r="I999" s="11" t="n">
        <x:v>804000000</x:v>
      </x:c>
      <x:c r="J999" s="11" t="n">
        <x:v>26800000</x:v>
      </x:c>
      <x:c r="K999" s="12" t="n">
        <x:v>0.5129674425716878</x:v>
      </x:c>
      <x:c r="L999" s="12" t="n">
        <x:v>0.9666666666666667</x:v>
      </x:c>
      <x:c r="M999" s="8" t="str">
        <x:v>Yes</x:v>
      </x:c>
    </x:row>
    <x:row r="1000">
      <x:c r="A1000" s="8" t="str">
        <x:v>Nanaimo|Fleet</x:v>
      </x:c>
      <x:c r="B1000" s="8" t="str">
        <x:v>nanaimo-c</x:v>
      </x:c>
      <x:c r="C1000" s="8" t="str">
        <x:v>Nanaimo</x:v>
      </x:c>
      <x:c r="D1000" s="8" t="str">
        <x:v>Fleet</x:v>
      </x:c>
      <x:c r="E1000" s="11" t="n">
        <x:v>69543945</x:v>
      </x:c>
      <x:c r="F1000" s="11" t="n">
        <x:v>41035721</x:v>
      </x:c>
      <x:c r="G1000" s="11" t="n">
        <x:v>28508224</x:v>
      </x:c>
      <x:c r="H1000" s="11" t="n">
        <x:v>4210367</x:v>
      </x:c>
      <x:c r="I1000" s="11" t="n">
        <x:v>31000000</x:v>
      </x:c>
      <x:c r="J1000" s="11" t="n">
        <x:v>2583333</x:v>
      </x:c>
      <x:c r="K1000" s="12" t="n">
        <x:v>0.40993107307904375</x:v>
      </x:c>
      <x:c r="L1000" s="12" t="n">
        <x:v>0.9166666774193548</x:v>
      </x:c>
      <x:c r="M1000" s="8" t="str">
        <x:v>Yes</x:v>
      </x:c>
    </x:row>
    <x:row r="1001">
      <x:c r="A1001" s="8" t="str">
        <x:v>Nanaimo|Parks and Recreation</x:v>
      </x:c>
      <x:c r="B1001" s="8" t="str">
        <x:v>nanaimo-c</x:v>
      </x:c>
      <x:c r="C1001" s="8" t="str">
        <x:v>Nanaimo</x:v>
      </x:c>
      <x:c r="D1001" s="8" t="str">
        <x:v>Parks and Recreation</x:v>
      </x:c>
      <x:c r="E1001" s="11" t="n">
        <x:v>55302327</x:v>
      </x:c>
      <x:c r="F1001" s="11" t="n">
        <x:v>20561705</x:v>
      </x:c>
      <x:c r="G1001" s="11" t="n">
        <x:v>34740622</x:v>
      </x:c>
      <x:c r="H1001" s="11" t="n">
        <x:v>7079755</x:v>
      </x:c>
      <x:c r="I1001" s="11" t="n">
        <x:v>94000000</x:v>
      </x:c>
      <x:c r="J1001" s="11" t="n">
        <x:v>4248428</x:v>
      </x:c>
      <x:c r="K1001" s="12" t="n">
        <x:v>0.6281945785029986</x:v>
      </x:c>
      <x:c r="L1001" s="12" t="n">
        <x:v>0.9548039574468085</x:v>
      </x:c>
      <x:c r="M1001" s="8" t="str">
        <x:v>Yes</x:v>
      </x:c>
    </x:row>
    <x:row r="1002">
      <x:c r="A1002" s="8" t="str">
        <x:v>Nanaimo|Water System</x:v>
      </x:c>
      <x:c r="B1002" s="8" t="str">
        <x:v>nanaimo-c</x:v>
      </x:c>
      <x:c r="C1002" s="8" t="str">
        <x:v>Nanaimo</x:v>
      </x:c>
      <x:c r="D1002" s="8" t="str">
        <x:v>Water System</x:v>
      </x:c>
      <x:c r="E1002" s="11" t="n">
        <x:v>345255765</x:v>
      </x:c>
      <x:c r="F1002" s="11" t="n">
        <x:v>98226456</x:v>
      </x:c>
      <x:c r="G1002" s="11" t="n">
        <x:v>247029309</x:v>
      </x:c>
      <x:c r="H1002" s="11" t="n">
        <x:v>21339808</x:v>
      </x:c>
      <x:c r="I1002" s="11" t="n">
        <x:v>1481000000</x:v>
      </x:c>
      <x:c r="J1002" s="11" t="n">
        <x:v>25148822</x:v>
      </x:c>
      <x:c r="K1002" s="12" t="n">
        <x:v>0.7154965507961902</x:v>
      </x:c>
      <x:c r="L1002" s="12" t="n">
        <x:v>0.9830190263335584</x:v>
      </x:c>
      <x:c r="M1002" s="8" t="str">
        <x:v>Yes</x:v>
      </x:c>
    </x:row>
    <x:row r="1003">
      <x:c r="A1003" s="8" t="str">
        <x:v>Nanaimo|Sewer System</x:v>
      </x:c>
      <x:c r="B1003" s="8" t="str">
        <x:v>nanaimo-c</x:v>
      </x:c>
      <x:c r="C1003" s="8" t="str">
        <x:v>Nanaimo</x:v>
      </x:c>
      <x:c r="D1003" s="8" t="str">
        <x:v>Sewer System</x:v>
      </x:c>
      <x:c r="E1003" s="11" t="n">
        <x:v>80804299</x:v>
      </x:c>
      <x:c r="F1003" s="11" t="n">
        <x:v>18932648</x:v>
      </x:c>
      <x:c r="G1003" s="11" t="n">
        <x:v>61871651</x:v>
      </x:c>
      <x:c r="H1003" s="11" t="n">
        <x:v>4050890</x:v>
      </x:c>
      <x:c r="I1003" s="11" t="n">
        <x:v>854000000</x:v>
      </x:c>
      <x:c r="J1003" s="11" t="n">
        <x:v>14233333</x:v>
      </x:c>
      <x:c r="K1003" s="12" t="n">
        <x:v>0.7656975156730214</x:v>
      </x:c>
      <x:c r="L1003" s="12" t="n">
        <x:v>0.9833333337236534</x:v>
      </x:c>
      <x:c r="M1003" s="8" t="str">
        <x:v>Yes</x:v>
      </x:c>
    </x:row>
    <x:row r="1004">
      <x:c r="A1004" s="8" t="str">
        <x:v>Nanaimo|Drainage System</x:v>
      </x:c>
      <x:c r="B1004" s="8" t="str">
        <x:v>nanaimo-c</x:v>
      </x:c>
      <x:c r="C1004" s="8" t="str">
        <x:v>Nanaimo</x:v>
      </x:c>
      <x:c r="D1004" s="8" t="str">
        <x:v>Drainage System</x:v>
      </x:c>
      <x:c r="E1004" s="11" t="n">
        <x:v>129862551</x:v>
      </x:c>
      <x:c r="F1004" s="11" t="n">
        <x:v>41030688</x:v>
      </x:c>
      <x:c r="G1004" s="11" t="n">
        <x:v>88831863</x:v>
      </x:c>
      <x:c r="H1004" s="11" t="n">
        <x:v>2800057</x:v>
      </x:c>
      <x:c r="I1004" s="11" t="n">
        <x:v>917000000</x:v>
      </x:c>
      <x:c r="J1004" s="11" t="n">
        <x:v>12391892</x:v>
      </x:c>
      <x:c r="K1004" s="12" t="n">
        <x:v>0.6840452641346927</x:v>
      </x:c>
      <x:c r="L1004" s="12" t="n">
        <x:v>0.9864864863685933</x:v>
      </x:c>
      <x:c r="M1004" s="8" t="str">
        <x:v>Yes</x:v>
      </x:c>
    </x:row>
    <x:row r="1005">
      <x:c r="A1005" s="8" t="str">
        <x:v>Nanaimo|Transportation System</x:v>
      </x:c>
      <x:c r="B1005" s="8" t="str">
        <x:v>nanaimo-c</x:v>
      </x:c>
      <x:c r="C1005" s="8" t="str">
        <x:v>Nanaimo</x:v>
      </x:c>
      <x:c r="D1005" s="8" t="str">
        <x:v>Transportation System</x:v>
      </x:c>
      <x:c r="E1005" s="11" t="n">
        <x:v>371867881</x:v>
      </x:c>
      <x:c r="F1005" s="11" t="n">
        <x:v>216908934</x:v>
      </x:c>
      <x:c r="G1005" s="11" t="n">
        <x:v>154958947</x:v>
      </x:c>
      <x:c r="H1005" s="11" t="n">
        <x:v>13301744</x:v>
      </x:c>
      <x:c r="I1005" s="11" t="n">
        <x:v>632000000</x:v>
      </x:c>
      <x:c r="J1005" s="11" t="n">
        <x:v>12534865</x:v>
      </x:c>
      <x:c r="K1005" s="12" t="n">
        <x:v>0.4167043052583506</x:v>
      </x:c>
      <x:c r="L1005" s="12" t="n">
        <x:v>0.9801663528481013</x:v>
      </x:c>
      <x:c r="M1005" s="8" t="str">
        <x:v>Yes</x:v>
      </x:c>
    </x:row>
    <x:row r="1006">
      <x:c r="A1006" s="8" t="str">
        <x:v>Nanaimo|Other Engineering Systems</x:v>
      </x:c>
      <x:c r="B1006" s="8" t="str">
        <x:v>nanaimo-c</x:v>
      </x:c>
      <x:c r="C1006" s="8" t="str">
        <x:v>Nanaimo</x:v>
      </x:c>
      <x:c r="D1006" s="8" t="str">
        <x:v>Other Engineering Systems</x:v>
      </x:c>
      <x:c r="E1006" s="11" t="n">
        <x:v>0</x:v>
      </x:c>
      <x:c r="F1006" s="11" t="n">
        <x:v>0</x:v>
      </x:c>
      <x:c r="G1006" s="11" t="n">
        <x:v>0</x:v>
      </x:c>
      <x:c r="H1006" s="11" t="n">
        <x:v>0</x:v>
      </x:c>
      <x:c r="I1006" s="11" t="n">
        <x:v>0</x:v>
      </x:c>
      <x:c r="J1006" s="11" t="n">
        <x:v>0</x:v>
      </x:c>
      <x:c r="K1006" s="12"/>
      <x:c r="L1006" s="12"/>
      <x:c r="M1006" s="8"/>
    </x:row>
    <x:row r="1007">
      <x:c r="A1007" s="8" t="str">
        <x:v>Nanaimo|Other Tangible Capital Assets</x:v>
      </x:c>
      <x:c r="B1007" s="8" t="str">
        <x:v>nanaimo-c</x:v>
      </x:c>
      <x:c r="C1007" s="8" t="str">
        <x:v>Nanaimo</x:v>
      </x:c>
      <x:c r="D1007" s="8" t="str">
        <x:v>Other Tangible Capital Assets</x:v>
      </x:c>
      <x:c r="E1007" s="11" t="n">
        <x:v>30945516</x:v>
      </x:c>
      <x:c r="F1007" s="11" t="n">
        <x:v>16806700</x:v>
      </x:c>
      <x:c r="G1007" s="11" t="n">
        <x:v>14138816</x:v>
      </x:c>
      <x:c r="H1007" s="11" t="n">
        <x:v>2285107</x:v>
      </x:c>
      <x:c r="I1007" s="11" t="n">
        <x:v>2000000</x:v>
      </x:c>
      <x:c r="J1007" s="11" t="n">
        <x:v>100000</x:v>
      </x:c>
      <x:c r="K1007" s="12" t="n">
        <x:v>0.456893851761916</x:v>
      </x:c>
      <x:c r="L1007" s="12" t="n">
        <x:v>0.95</x:v>
      </x:c>
      <x:c r="M1007" s="8" t="str">
        <x:v>N/A</x:v>
      </x:c>
    </x:row>
    <x:row r="1008">
      <x:c r="A1008" s="8" t="str">
        <x:v>Nanaimo|Work In Progress</x:v>
      </x:c>
      <x:c r="B1008" s="8" t="str">
        <x:v>nanaimo-c</x:v>
      </x:c>
      <x:c r="C1008" s="8" t="str">
        <x:v>Nanaimo</x:v>
      </x:c>
      <x:c r="D1008" s="8" t="str">
        <x:v>Work In Progress</x:v>
      </x:c>
      <x:c r="E1008" s="11" t="n">
        <x:v>25207990</x:v>
      </x:c>
      <x:c r="F1008" s="11"/>
      <x:c r="G1008" s="11" t="n">
        <x:v>25207990</x:v>
      </x:c>
      <x:c r="H1008" s="11" t="n">
        <x:v>9773743</x:v>
      </x:c>
      <x:c r="I1008" s="11" t="n">
        <x:v>25207990</x:v>
      </x:c>
      <x:c r="J1008" s="11"/>
      <x:c r="K1008" s="12" t="n">
        <x:v>1</x:v>
      </x:c>
      <x:c r="L1008" s="12"/>
      <x:c r="M1008" s="8" t="str">
        <x:v>N/A</x:v>
      </x:c>
    </x:row>
    <x:row r="1009">
      <x:c r="A1009" s="8" t="str">
        <x:v>Nanaimo|Total TCA</x:v>
      </x:c>
      <x:c r="B1009" s="8" t="str">
        <x:v>nanaimo-c</x:v>
      </x:c>
      <x:c r="C1009" s="8" t="str">
        <x:v>Nanaimo</x:v>
      </x:c>
      <x:c r="D1009" s="8" t="str">
        <x:v>Total TCA</x:v>
      </x:c>
      <x:c r="E1009" s="11" t="n">
        <x:v>1470748948</x:v>
      </x:c>
      <x:c r="F1009" s="11" t="n">
        <x:v>569489019</x:v>
      </x:c>
      <x:c r="G1009" s="11" t="n">
        <x:v>901259929</x:v>
      </x:c>
      <x:c r="H1009" s="11" t="n">
        <x:v>75681395</x:v>
      </x:c>
      <x:c r="I1009" s="11" t="n">
        <x:v>4964017971</x:v>
      </x:c>
      <x:c r="J1009" s="11" t="n">
        <x:v>98040673</x:v>
      </x:c>
      <x:c r="K1009" s="12" t="n">
        <x:v>0.6127897832091463</x:v>
      </x:c>
      <x:c r="L1009" s="12" t="n">
        <x:v>0.9802497344746216</x:v>
      </x:c>
      <x:c r="M1009" s="8"/>
    </x:row>
    <x:row r="1010">
      <x:c r="A1010" s="8" t="str">
        <x:v>Nelson|Land</x:v>
      </x:c>
      <x:c r="B1010" s="8" t="str">
        <x:v>nelson-c</x:v>
      </x:c>
      <x:c r="C1010" s="8" t="str">
        <x:v>Nelson</x:v>
      </x:c>
      <x:c r="D1010" s="8" t="str">
        <x:v>Land</x:v>
      </x:c>
      <x:c r="E1010" s="11" t="n">
        <x:v>8801152</x:v>
      </x:c>
      <x:c r="F1010" s="11"/>
      <x:c r="G1010" s="11" t="n">
        <x:v>8801152</x:v>
      </x:c>
      <x:c r="H1010" s="11" t="n">
        <x:v>0</x:v>
      </x:c>
      <x:c r="I1010" s="11" t="n">
        <x:v>8801152</x:v>
      </x:c>
      <x:c r="J1010" s="11"/>
      <x:c r="K1010" s="12" t="n">
        <x:v>1</x:v>
      </x:c>
      <x:c r="L1010" s="12"/>
      <x:c r="M1010" s="8" t="str">
        <x:v>N/A</x:v>
      </x:c>
    </x:row>
    <x:row r="1011">
      <x:c r="A1011" s="8" t="str">
        <x:v>Nelson|Buildings</x:v>
      </x:c>
      <x:c r="B1011" s="8" t="str">
        <x:v>nelson-c</x:v>
      </x:c>
      <x:c r="C1011" s="8" t="str">
        <x:v>Nelson</x:v>
      </x:c>
      <x:c r="D1011" s="8" t="str">
        <x:v>Buildings</x:v>
      </x:c>
      <x:c r="E1011" s="11" t="n">
        <x:v>40398116</x:v>
      </x:c>
      <x:c r="F1011" s="11" t="n">
        <x:v>32093046</x:v>
      </x:c>
      <x:c r="G1011" s="11" t="n">
        <x:v>8305070</x:v>
      </x:c>
      <x:c r="H1011" s="11" t="n">
        <x:v>324086</x:v>
      </x:c>
      <x:c r="I1011" s="11" t="n">
        <x:v>210425275</x:v>
      </x:c>
      <x:c r="J1011" s="11" t="n">
        <x:v>2104000</x:v>
      </x:c>
      <x:c r="K1011" s="12" t="n">
        <x:v>0.20558062658169504</x:v>
      </x:c>
      <x:c r="L1011" s="12" t="n">
        <x:v>0.9900012011389792</x:v>
      </x:c>
      <x:c r="M1011" s="8" t="str">
        <x:v>In_Progress</x:v>
      </x:c>
    </x:row>
    <x:row r="1012">
      <x:c r="A1012" s="8" t="str">
        <x:v>Nelson|Fleet</x:v>
      </x:c>
      <x:c r="B1012" s="8" t="str">
        <x:v>nelson-c</x:v>
      </x:c>
      <x:c r="C1012" s="8" t="str">
        <x:v>Nelson</x:v>
      </x:c>
      <x:c r="D1012" s="8" t="str">
        <x:v>Fleet</x:v>
      </x:c>
      <x:c r="E1012" s="11" t="n">
        <x:v>13184630</x:v>
      </x:c>
      <x:c r="F1012" s="11" t="n">
        <x:v>7031529</x:v>
      </x:c>
      <x:c r="G1012" s="11" t="n">
        <x:v>6153101</x:v>
      </x:c>
      <x:c r="H1012" s="11" t="n">
        <x:v>355731</x:v>
      </x:c>
      <x:c r="I1012" s="11" t="n">
        <x:v>10393457</x:v>
      </x:c>
      <x:c r="J1012" s="11" t="n">
        <x:v>520000</x:v>
      </x:c>
      <x:c r="K1012" s="12" t="n">
        <x:v>0.46668742315863243</x:v>
      </x:c>
      <x:c r="L1012" s="12" t="n">
        <x:v>0.9499685234662538</x:v>
      </x:c>
      <x:c r="M1012" s="8" t="str">
        <x:v>Yes</x:v>
      </x:c>
    </x:row>
    <x:row r="1013">
      <x:c r="A1013" s="8" t="str">
        <x:v>Nelson|Parks and Recreation</x:v>
      </x:c>
      <x:c r="B1013" s="8" t="str">
        <x:v>nelson-c</x:v>
      </x:c>
      <x:c r="C1013" s="8" t="str">
        <x:v>Nelson</x:v>
      </x:c>
      <x:c r="D1013" s="8" t="str">
        <x:v>Parks and Recreation</x:v>
      </x:c>
      <x:c r="E1013" s="11" t="n">
        <x:v>15295313</x:v>
      </x:c>
      <x:c r="F1013" s="11" t="n">
        <x:v>4695742</x:v>
      </x:c>
      <x:c r="G1013" s="11" t="n">
        <x:v>10599571</x:v>
      </x:c>
      <x:c r="H1013" s="11" t="n">
        <x:v>5319483</x:v>
      </x:c>
      <x:c r="I1013" s="11" t="n">
        <x:v>12101228</x:v>
      </x:c>
      <x:c r="J1013" s="11" t="n">
        <x:v>242000</x:v>
      </x:c>
      <x:c r="K1013" s="12" t="n">
        <x:v>0.6929947102095917</x:v>
      </x:c>
      <x:c r="L1013" s="12" t="n">
        <x:v>0.9800020295460924</x:v>
      </x:c>
      <x:c r="M1013" s="8" t="str">
        <x:v>In_Progress</x:v>
      </x:c>
    </x:row>
    <x:row r="1014">
      <x:c r="A1014" s="8" t="str">
        <x:v>Nelson|Water System</x:v>
      </x:c>
      <x:c r="B1014" s="8" t="str">
        <x:v>nelson-c</x:v>
      </x:c>
      <x:c r="C1014" s="8" t="str">
        <x:v>Nelson</x:v>
      </x:c>
      <x:c r="D1014" s="8" t="str">
        <x:v>Water System</x:v>
      </x:c>
      <x:c r="E1014" s="11" t="n">
        <x:v>63340114</x:v>
      </x:c>
      <x:c r="F1014" s="11" t="n">
        <x:v>18591473</x:v>
      </x:c>
      <x:c r="G1014" s="11" t="n">
        <x:v>44748641</x:v>
      </x:c>
      <x:c r="H1014" s="11" t="n">
        <x:v>4377756</x:v>
      </x:c>
      <x:c r="I1014" s="11" t="n">
        <x:v>93951221</x:v>
      </x:c>
      <x:c r="J1014" s="11" t="n">
        <x:v>1252000</x:v>
      </x:c>
      <x:c r="K1014" s="12" t="n">
        <x:v>0.7064818512956892</x:v>
      </x:c>
      <x:c r="L1014" s="12" t="n">
        <x:v>0.9866739358288915</x:v>
      </x:c>
      <x:c r="M1014" s="8" t="str">
        <x:v>Yes</x:v>
      </x:c>
    </x:row>
    <x:row r="1015">
      <x:c r="A1015" s="8" t="str">
        <x:v>Nelson|Sewer System</x:v>
      </x:c>
      <x:c r="B1015" s="8" t="str">
        <x:v>nelson-c</x:v>
      </x:c>
      <x:c r="C1015" s="8" t="str">
        <x:v>Nelson</x:v>
      </x:c>
      <x:c r="D1015" s="8" t="str">
        <x:v>Sewer System</x:v>
      </x:c>
      <x:c r="E1015" s="11" t="n">
        <x:v>35904861</x:v>
      </x:c>
      <x:c r="F1015" s="11" t="n">
        <x:v>16522438</x:v>
      </x:c>
      <x:c r="G1015" s="11" t="n">
        <x:v>19382423</x:v>
      </x:c>
      <x:c r="H1015" s="11" t="n">
        <x:v>867388</x:v>
      </x:c>
      <x:c r="I1015" s="11" t="n">
        <x:v>114069788</x:v>
      </x:c>
      <x:c r="J1015" s="11" t="n">
        <x:v>1521000</x:v>
      </x:c>
      <x:c r="K1015" s="12" t="n">
        <x:v>0.5398272673998097</x:v>
      </x:c>
      <x:c r="L1015" s="12" t="n">
        <x:v>0.9866660574489715</x:v>
      </x:c>
      <x:c r="M1015" s="8" t="str">
        <x:v>Yes</x:v>
      </x:c>
    </x:row>
    <x:row r="1016">
      <x:c r="A1016" s="8" t="str">
        <x:v>Nelson|Drainage System</x:v>
      </x:c>
      <x:c r="B1016" s="8" t="str">
        <x:v>nelson-c</x:v>
      </x:c>
      <x:c r="C1016" s="8" t="str">
        <x:v>Nelson</x:v>
      </x:c>
      <x:c r="D1016" s="8" t="str">
        <x:v>Drainage System</x:v>
      </x:c>
      <x:c r="E1016" s="11" t="n">
        <x:v>21279995</x:v>
      </x:c>
      <x:c r="F1016" s="11" t="n">
        <x:v>8864905</x:v>
      </x:c>
      <x:c r="G1016" s="11" t="n">
        <x:v>12415090</x:v>
      </x:c>
      <x:c r="H1016" s="11" t="n">
        <x:v>392776</x:v>
      </x:c>
      <x:c r="I1016" s="11" t="n">
        <x:v>78486086</x:v>
      </x:c>
      <x:c r="J1016" s="11" t="n">
        <x:v>1046000</x:v>
      </x:c>
      <x:c r="K1016" s="12" t="n">
        <x:v>0.5834160205394785</x:v>
      </x:c>
      <x:c r="L1016" s="12" t="n">
        <x:v>0.9866727970101605</x:v>
      </x:c>
      <x:c r="M1016" s="8" t="str">
        <x:v>Yes</x:v>
      </x:c>
    </x:row>
    <x:row r="1017">
      <x:c r="A1017" s="8" t="str">
        <x:v>Nelson|Transportation System</x:v>
      </x:c>
      <x:c r="B1017" s="8" t="str">
        <x:v>nelson-c</x:v>
      </x:c>
      <x:c r="C1017" s="8" t="str">
        <x:v>Nelson</x:v>
      </x:c>
      <x:c r="D1017" s="8" t="str">
        <x:v>Transportation System</x:v>
      </x:c>
      <x:c r="E1017" s="11" t="n">
        <x:v>42574809</x:v>
      </x:c>
      <x:c r="F1017" s="11" t="n">
        <x:v>16874010</x:v>
      </x:c>
      <x:c r="G1017" s="11" t="n">
        <x:v>25700799</x:v>
      </x:c>
      <x:c r="H1017" s="11" t="n">
        <x:v>2840783</x:v>
      </x:c>
      <x:c r="I1017" s="11" t="n">
        <x:v>49940000</x:v>
      </x:c>
      <x:c r="J1017" s="11" t="n">
        <x:v>778448</x:v>
      </x:c>
      <x:c r="K1017" s="12" t="n">
        <x:v>0.6036621092064088</x:v>
      </x:c>
      <x:c r="L1017" s="12" t="n">
        <x:v>0.9844123348017622</x:v>
      </x:c>
      <x:c r="M1017" s="8" t="str">
        <x:v>In_Progress</x:v>
      </x:c>
    </x:row>
    <x:row r="1018">
      <x:c r="A1018" s="8" t="str">
        <x:v>Nelson|Other Engineering Systems</x:v>
      </x:c>
      <x:c r="B1018" s="8" t="str">
        <x:v>nelson-c</x:v>
      </x:c>
      <x:c r="C1018" s="8" t="str">
        <x:v>Nelson</x:v>
      </x:c>
      <x:c r="D1018" s="8" t="str">
        <x:v>Other Engineering Systems</x:v>
      </x:c>
      <x:c r="E1018" s="11" t="n">
        <x:v>80495157</x:v>
      </x:c>
      <x:c r="F1018" s="11" t="n">
        <x:v>22657673</x:v>
      </x:c>
      <x:c r="G1018" s="11" t="n">
        <x:v>57837484</x:v>
      </x:c>
      <x:c r="H1018" s="11" t="n">
        <x:v>11488844</x:v>
      </x:c>
      <x:c r="I1018" s="11" t="n">
        <x:v>134023864</x:v>
      </x:c>
      <x:c r="J1018" s="11" t="n">
        <x:v>2587000</x:v>
      </x:c>
      <x:c r="K1018" s="12" t="n">
        <x:v>0.7185212894236606</x:v>
      </x:c>
      <x:c r="L1018" s="12" t="n">
        <x:v>0.9806974674301288</x:v>
      </x:c>
      <x:c r="M1018" s="8" t="str">
        <x:v>In_Progress</x:v>
      </x:c>
    </x:row>
    <x:row r="1019">
      <x:c r="A1019" s="8" t="str">
        <x:v>Nelson|Other Tangible Capital Assets</x:v>
      </x:c>
      <x:c r="B1019" s="8" t="str">
        <x:v>nelson-c</x:v>
      </x:c>
      <x:c r="C1019" s="8" t="str">
        <x:v>Nelson</x:v>
      </x:c>
      <x:c r="D1019" s="8" t="str">
        <x:v>Other Tangible Capital Assets</x:v>
      </x:c>
      <x:c r="E1019" s="11" t="n">
        <x:v>6439642</x:v>
      </x:c>
      <x:c r="F1019" s="11" t="n">
        <x:v>3556743</x:v>
      </x:c>
      <x:c r="G1019" s="11" t="n">
        <x:v>2882899</x:v>
      </x:c>
      <x:c r="H1019" s="11" t="n">
        <x:v>473246</x:v>
      </x:c>
      <x:c r="I1019" s="11" t="n">
        <x:v>3401510</x:v>
      </x:c>
      <x:c r="J1019" s="11" t="n">
        <x:v>227000</x:v>
      </x:c>
      <x:c r="K1019" s="12" t="n">
        <x:v>0.4476800107832081</x:v>
      </x:c>
      <x:c r="L1019" s="12" t="n">
        <x:v>0.9332649323388731</x:v>
      </x:c>
      <x:c r="M1019" s="8" t="str">
        <x:v>N/A</x:v>
      </x:c>
    </x:row>
    <x:row r="1020">
      <x:c r="A1020" s="8" t="str">
        <x:v>Nelson|Work In Progress</x:v>
      </x:c>
      <x:c r="B1020" s="8" t="str">
        <x:v>nelson-c</x:v>
      </x:c>
      <x:c r="C1020" s="8" t="str">
        <x:v>Nelson</x:v>
      </x:c>
      <x:c r="D1020" s="8" t="str">
        <x:v>Work In Progress</x:v>
      </x:c>
      <x:c r="E1020" s="11" t="n">
        <x:v>7293241</x:v>
      </x:c>
      <x:c r="F1020" s="11"/>
      <x:c r="G1020" s="11" t="n">
        <x:v>7293241</x:v>
      </x:c>
      <x:c r="H1020" s="11" t="n">
        <x:v>-9569502</x:v>
      </x:c>
      <x:c r="I1020" s="11" t="n">
        <x:v>7293241</x:v>
      </x:c>
      <x:c r="J1020" s="11"/>
      <x:c r="K1020" s="12" t="n">
        <x:v>1</x:v>
      </x:c>
      <x:c r="L1020" s="12"/>
      <x:c r="M1020" s="8" t="str">
        <x:v>N/A</x:v>
      </x:c>
    </x:row>
    <x:row r="1021">
      <x:c r="A1021" s="8" t="str">
        <x:v>Nelson|Total TCA</x:v>
      </x:c>
      <x:c r="B1021" s="8" t="str">
        <x:v>nelson-c</x:v>
      </x:c>
      <x:c r="C1021" s="8" t="str">
        <x:v>Nelson</x:v>
      </x:c>
      <x:c r="D1021" s="8" t="str">
        <x:v>Total TCA</x:v>
      </x:c>
      <x:c r="E1021" s="11" t="n">
        <x:v>335007030</x:v>
      </x:c>
      <x:c r="F1021" s="11" t="n">
        <x:v>130887559</x:v>
      </x:c>
      <x:c r="G1021" s="11" t="n">
        <x:v>204119471</x:v>
      </x:c>
      <x:c r="H1021" s="11" t="n">
        <x:v>16870591</x:v>
      </x:c>
      <x:c r="I1021" s="11" t="n">
        <x:v>722886822</x:v>
      </x:c>
      <x:c r="J1021" s="11" t="n">
        <x:v>10277448</x:v>
      </x:c>
      <x:c r="K1021" s="12" t="n">
        <x:v>0.6092990675449408</x:v>
      </x:c>
      <x:c r="L1021" s="12" t="n">
        <x:v>0.9857827702937432</x:v>
      </x:c>
      <x:c r="M1021" s="8"/>
    </x:row>
    <x:row r="1022">
      <x:c r="A1022" s="8" t="str">
        <x:v>New Denver|Land</x:v>
      </x:c>
      <x:c r="B1022" s="8" t="str">
        <x:v>new-denver-v</x:v>
      </x:c>
      <x:c r="C1022" s="8" t="str">
        <x:v>New Denver</x:v>
      </x:c>
      <x:c r="D1022" s="8" t="str">
        <x:v>Land</x:v>
      </x:c>
      <x:c r="E1022" s="11" t="n">
        <x:v>1221201</x:v>
      </x:c>
      <x:c r="F1022" s="11"/>
      <x:c r="G1022" s="11" t="n">
        <x:v>1221201</x:v>
      </x:c>
      <x:c r="H1022" s="11" t="n">
        <x:v>0</x:v>
      </x:c>
      <x:c r="I1022" s="11" t="n">
        <x:v>1221201</x:v>
      </x:c>
      <x:c r="J1022" s="11"/>
      <x:c r="K1022" s="12" t="n">
        <x:v>1</x:v>
      </x:c>
      <x:c r="L1022" s="12"/>
      <x:c r="M1022" s="8" t="str">
        <x:v>N/A</x:v>
      </x:c>
    </x:row>
    <x:row r="1023">
      <x:c r="A1023" s="8" t="str">
        <x:v>New Denver|Buildings</x:v>
      </x:c>
      <x:c r="B1023" s="8" t="str">
        <x:v>new-denver-v</x:v>
      </x:c>
      <x:c r="C1023" s="8" t="str">
        <x:v>New Denver</x:v>
      </x:c>
      <x:c r="D1023" s="8" t="str">
        <x:v>Buildings</x:v>
      </x:c>
      <x:c r="E1023" s="11" t="n">
        <x:v>2239727</x:v>
      </x:c>
      <x:c r="F1023" s="11" t="n">
        <x:v>713573</x:v>
      </x:c>
      <x:c r="G1023" s="11" t="n">
        <x:v>1526154</x:v>
      </x:c>
      <x:c r="H1023" s="11" t="n">
        <x:v>0</x:v>
      </x:c>
      <x:c r="I1023" s="11" t="n">
        <x:v>3758192</x:v>
      </x:c>
      <x:c r="J1023" s="11" t="n">
        <x:v>56989</x:v>
      </x:c>
      <x:c r="K1023" s="12" t="n">
        <x:v>0.6814017958438685</x:v>
      </x:c>
      <x:c r="L1023" s="12" t="n">
        <x:v>0.9848360594668926</x:v>
      </x:c>
      <x:c r="M1023" s="8" t="str">
        <x:v>In_Progress</x:v>
      </x:c>
    </x:row>
    <x:row r="1024">
      <x:c r="A1024" s="8" t="str">
        <x:v>New Denver|Fleet</x:v>
      </x:c>
      <x:c r="B1024" s="8" t="str">
        <x:v>new-denver-v</x:v>
      </x:c>
      <x:c r="C1024" s="8" t="str">
        <x:v>New Denver</x:v>
      </x:c>
      <x:c r="D1024" s="8" t="str">
        <x:v>Fleet</x:v>
      </x:c>
      <x:c r="E1024" s="11" t="n">
        <x:v>1999849</x:v>
      </x:c>
      <x:c r="F1024" s="11" t="n">
        <x:v>932590</x:v>
      </x:c>
      <x:c r="G1024" s="11" t="n">
        <x:v>1067259</x:v>
      </x:c>
      <x:c r="H1024" s="11" t="n">
        <x:v>246008</x:v>
      </x:c>
      <x:c r="I1024" s="11" t="n">
        <x:v>1314549</x:v>
      </x:c>
      <x:c r="J1024" s="11" t="n">
        <x:v>100124</x:v>
      </x:c>
      <x:c r="K1024" s="12" t="n">
        <x:v>0.5336697920693012</x:v>
      </x:c>
      <x:c r="L1024" s="12" t="n">
        <x:v>0.9238339536981885</x:v>
      </x:c>
      <x:c r="M1024" s="8" t="str">
        <x:v>In_Progress</x:v>
      </x:c>
    </x:row>
    <x:row r="1025">
      <x:c r="A1025" s="8" t="str">
        <x:v>New Denver|Parks and Recreation</x:v>
      </x:c>
      <x:c r="B1025" s="8" t="str">
        <x:v>new-denver-v</x:v>
      </x:c>
      <x:c r="C1025" s="8" t="str">
        <x:v>New Denver</x:v>
      </x:c>
      <x:c r="D1025" s="8" t="str">
        <x:v>Parks and Recreation</x:v>
      </x:c>
      <x:c r="E1025" s="11" t="n">
        <x:v>0</x:v>
      </x:c>
      <x:c r="F1025" s="11" t="n">
        <x:v>0</x:v>
      </x:c>
      <x:c r="G1025" s="11" t="n">
        <x:v>0</x:v>
      </x:c>
      <x:c r="H1025" s="11" t="n">
        <x:v>0</x:v>
      </x:c>
      <x:c r="I1025" s="11" t="n">
        <x:v>0</x:v>
      </x:c>
      <x:c r="J1025" s="11" t="n">
        <x:v>0</x:v>
      </x:c>
      <x:c r="K1025" s="12"/>
      <x:c r="L1025" s="12"/>
      <x:c r="M1025" s="8"/>
    </x:row>
    <x:row r="1026">
      <x:c r="A1026" s="8" t="str">
        <x:v>New Denver|Water System</x:v>
      </x:c>
      <x:c r="B1026" s="8" t="str">
        <x:v>new-denver-v</x:v>
      </x:c>
      <x:c r="C1026" s="8" t="str">
        <x:v>New Denver</x:v>
      </x:c>
      <x:c r="D1026" s="8" t="str">
        <x:v>Water System</x:v>
      </x:c>
      <x:c r="E1026" s="11" t="n">
        <x:v>2084669</x:v>
      </x:c>
      <x:c r="F1026" s="11" t="n">
        <x:v>904805</x:v>
      </x:c>
      <x:c r="G1026" s="11" t="n">
        <x:v>1179864</x:v>
      </x:c>
      <x:c r="H1026" s="11" t="n">
        <x:v>0</x:v>
      </x:c>
      <x:c r="I1026" s="11" t="n">
        <x:v>7688988</x:v>
      </x:c>
      <x:c r="J1026" s="11" t="n">
        <x:v>35654</x:v>
      </x:c>
      <x:c r="K1026" s="12" t="n">
        <x:v>0.5659718641184763</x:v>
      </x:c>
      <x:c r="L1026" s="12" t="n">
        <x:v>0.9953629788471513</x:v>
      </x:c>
      <x:c r="M1026" s="8" t="str">
        <x:v>In_Progress</x:v>
      </x:c>
    </x:row>
    <x:row r="1027">
      <x:c r="A1027" s="8" t="str">
        <x:v>New Denver|Sewer System</x:v>
      </x:c>
      <x:c r="B1027" s="8" t="str">
        <x:v>new-denver-v</x:v>
      </x:c>
      <x:c r="C1027" s="8" t="str">
        <x:v>New Denver</x:v>
      </x:c>
      <x:c r="D1027" s="8" t="str">
        <x:v>Sewer System</x:v>
      </x:c>
      <x:c r="E1027" s="11" t="n">
        <x:v>0</x:v>
      </x:c>
      <x:c r="F1027" s="11" t="n">
        <x:v>0</x:v>
      </x:c>
      <x:c r="G1027" s="11" t="n">
        <x:v>0</x:v>
      </x:c>
      <x:c r="H1027" s="11" t="n">
        <x:v>0</x:v>
      </x:c>
      <x:c r="I1027" s="11" t="n">
        <x:v>0</x:v>
      </x:c>
      <x:c r="J1027" s="11" t="n">
        <x:v>0</x:v>
      </x:c>
      <x:c r="K1027" s="12"/>
      <x:c r="L1027" s="12"/>
      <x:c r="M1027" s="8"/>
    </x:row>
    <x:row r="1028">
      <x:c r="A1028" s="8" t="str">
        <x:v>New Denver|Drainage System</x:v>
      </x:c>
      <x:c r="B1028" s="8" t="str">
        <x:v>new-denver-v</x:v>
      </x:c>
      <x:c r="C1028" s="8" t="str">
        <x:v>New Denver</x:v>
      </x:c>
      <x:c r="D1028" s="8" t="str">
        <x:v>Drainage System</x:v>
      </x:c>
      <x:c r="E1028" s="11" t="n">
        <x:v>0</x:v>
      </x:c>
      <x:c r="F1028" s="11" t="n">
        <x:v>0</x:v>
      </x:c>
      <x:c r="G1028" s="11" t="n">
        <x:v>0</x:v>
      </x:c>
      <x:c r="H1028" s="11" t="n">
        <x:v>0</x:v>
      </x:c>
      <x:c r="I1028" s="11" t="n">
        <x:v>0</x:v>
      </x:c>
      <x:c r="J1028" s="11" t="n">
        <x:v>0</x:v>
      </x:c>
      <x:c r="K1028" s="12"/>
      <x:c r="L1028" s="12"/>
      <x:c r="M1028" s="8"/>
    </x:row>
    <x:row r="1029">
      <x:c r="A1029" s="8" t="str">
        <x:v>New Denver|Transportation System</x:v>
      </x:c>
      <x:c r="B1029" s="8" t="str">
        <x:v>new-denver-v</x:v>
      </x:c>
      <x:c r="C1029" s="8" t="str">
        <x:v>New Denver</x:v>
      </x:c>
      <x:c r="D1029" s="8" t="str">
        <x:v>Transportation System</x:v>
      </x:c>
      <x:c r="E1029" s="11" t="n">
        <x:v>781674</x:v>
      </x:c>
      <x:c r="F1029" s="11" t="n">
        <x:v>379517</x:v>
      </x:c>
      <x:c r="G1029" s="11" t="n">
        <x:v>402157</x:v>
      </x:c>
      <x:c r="H1029" s="11" t="n">
        <x:v>0</x:v>
      </x:c>
      <x:c r="I1029" s="11" t="n">
        <x:v>3732819</x:v>
      </x:c>
      <x:c r="J1029" s="11" t="n">
        <x:v>0</x:v>
      </x:c>
      <x:c r="K1029" s="12" t="n">
        <x:v>0.5144817404698122</x:v>
      </x:c>
      <x:c r="L1029" s="12" t="n">
        <x:v>1</x:v>
      </x:c>
      <x:c r="M1029" s="8" t="str">
        <x:v>In_Progress</x:v>
      </x:c>
    </x:row>
    <x:row r="1030">
      <x:c r="A1030" s="8" t="str">
        <x:v>New Denver|Other Engineering Systems</x:v>
      </x:c>
      <x:c r="B1030" s="8" t="str">
        <x:v>new-denver-v</x:v>
      </x:c>
      <x:c r="C1030" s="8" t="str">
        <x:v>New Denver</x:v>
      </x:c>
      <x:c r="D1030" s="8" t="str">
        <x:v>Other Engineering Systems</x:v>
      </x:c>
      <x:c r="E1030" s="11" t="n">
        <x:v>1494473</x:v>
      </x:c>
      <x:c r="F1030" s="11" t="n">
        <x:v>224051</x:v>
      </x:c>
      <x:c r="G1030" s="11" t="n">
        <x:v>1270422</x:v>
      </x:c>
      <x:c r="H1030" s="11" t="n">
        <x:v>48213</x:v>
      </x:c>
      <x:c r="I1030" s="11" t="n">
        <x:v>1447260</x:v>
      </x:c>
      <x:c r="J1030" s="11" t="n">
        <x:v>42049</x:v>
      </x:c>
      <x:c r="K1030" s="12" t="n">
        <x:v>0.8500802624068818</x:v>
      </x:c>
      <x:c r="L1030" s="12" t="n">
        <x:v>0.9709457872116966</x:v>
      </x:c>
      <x:c r="M1030" s="8" t="str">
        <x:v>In_Progress</x:v>
      </x:c>
    </x:row>
    <x:row r="1031">
      <x:c r="A1031" s="8" t="str">
        <x:v>New Denver|Other Tangible Capital Assets</x:v>
      </x:c>
      <x:c r="B1031" s="8" t="str">
        <x:v>new-denver-v</x:v>
      </x:c>
      <x:c r="C1031" s="8" t="str">
        <x:v>New Denver</x:v>
      </x:c>
      <x:c r="D1031" s="8" t="str">
        <x:v>Other Tangible Capital Assets</x:v>
      </x:c>
      <x:c r="E1031" s="11" t="n">
        <x:v>55459</x:v>
      </x:c>
      <x:c r="F1031" s="11" t="n">
        <x:v>52350</x:v>
      </x:c>
      <x:c r="G1031" s="11" t="n">
        <x:v>3109</x:v>
      </x:c>
      <x:c r="H1031" s="11" t="n">
        <x:v>0</x:v>
      </x:c>
      <x:c r="I1031" s="11" t="n">
        <x:v>2051658</x:v>
      </x:c>
      <x:c r="J1031" s="11" t="n">
        <x:v>32360</x:v>
      </x:c>
      <x:c r="K1031" s="12" t="n">
        <x:v>0.05605943129158478</x:v>
      </x:c>
      <x:c r="L1031" s="12" t="n">
        <x:v>0.9842273907249649</x:v>
      </x:c>
      <x:c r="M1031" s="8" t="str">
        <x:v>N/A</x:v>
      </x:c>
    </x:row>
    <x:row r="1032">
      <x:c r="A1032" s="8" t="str">
        <x:v>New Denver|Work In Progress</x:v>
      </x:c>
      <x:c r="B1032" s="8" t="str">
        <x:v>new-denver-v</x:v>
      </x:c>
      <x:c r="C1032" s="8" t="str">
        <x:v>New Denver</x:v>
      </x:c>
      <x:c r="D1032" s="8" t="str">
        <x:v>Work In Progress</x:v>
      </x:c>
      <x:c r="E1032" s="11" t="n">
        <x:v>2135551</x:v>
      </x:c>
      <x:c r="F1032" s="11"/>
      <x:c r="G1032" s="11" t="n">
        <x:v>2135551</x:v>
      </x:c>
      <x:c r="H1032" s="11" t="n">
        <x:v>731853</x:v>
      </x:c>
      <x:c r="I1032" s="11" t="n">
        <x:v>2135551</x:v>
      </x:c>
      <x:c r="J1032" s="11"/>
      <x:c r="K1032" s="12" t="n">
        <x:v>1</x:v>
      </x:c>
      <x:c r="L1032" s="12"/>
      <x:c r="M1032" s="8" t="str">
        <x:v>N/A</x:v>
      </x:c>
    </x:row>
    <x:row r="1033">
      <x:c r="A1033" s="8" t="str">
        <x:v>New Denver|Total TCA</x:v>
      </x:c>
      <x:c r="B1033" s="8" t="str">
        <x:v>new-denver-v</x:v>
      </x:c>
      <x:c r="C1033" s="8" t="str">
        <x:v>New Denver</x:v>
      </x:c>
      <x:c r="D1033" s="8" t="str">
        <x:v>Total TCA</x:v>
      </x:c>
      <x:c r="E1033" s="11" t="n">
        <x:v>12012603</x:v>
      </x:c>
      <x:c r="F1033" s="11" t="n">
        <x:v>3206886</x:v>
      </x:c>
      <x:c r="G1033" s="11" t="n">
        <x:v>8805717</x:v>
      </x:c>
      <x:c r="H1033" s="11" t="n">
        <x:v>1026074</x:v>
      </x:c>
      <x:c r="I1033" s="11" t="n">
        <x:v>23350218</x:v>
      </x:c>
      <x:c r="J1033" s="11" t="n">
        <x:v>267176</x:v>
      </x:c>
      <x:c r="K1033" s="12" t="n">
        <x:v>0.7330398748714163</x:v>
      </x:c>
      <x:c r="L1033" s="12" t="n">
        <x:v>0.9885578798450618</x:v>
      </x:c>
      <x:c r="M1033" s="8"/>
    </x:row>
    <x:row r="1034">
      <x:c r="A1034" s="8" t="str">
        <x:v>New Hazelton|Land</x:v>
      </x:c>
      <x:c r="B1034" s="8" t="str">
        <x:v>new-hazelton-d</x:v>
      </x:c>
      <x:c r="C1034" s="8" t="str">
        <x:v>New Hazelton</x:v>
      </x:c>
      <x:c r="D1034" s="8" t="str">
        <x:v>Land</x:v>
      </x:c>
      <x:c r="E1034" s="11" t="n">
        <x:v>643281</x:v>
      </x:c>
      <x:c r="F1034" s="11"/>
      <x:c r="G1034" s="11" t="n">
        <x:v>643281</x:v>
      </x:c>
      <x:c r="H1034" s="11" t="n">
        <x:v>1373</x:v>
      </x:c>
      <x:c r="I1034" s="11" t="n">
        <x:v>643281</x:v>
      </x:c>
      <x:c r="J1034" s="11"/>
      <x:c r="K1034" s="12" t="n">
        <x:v>1</x:v>
      </x:c>
      <x:c r="L1034" s="12"/>
      <x:c r="M1034" s="8" t="str">
        <x:v>N/A</x:v>
      </x:c>
    </x:row>
    <x:row r="1035">
      <x:c r="A1035" s="8" t="str">
        <x:v>New Hazelton|Buildings</x:v>
      </x:c>
      <x:c r="B1035" s="8" t="str">
        <x:v>new-hazelton-d</x:v>
      </x:c>
      <x:c r="C1035" s="8" t="str">
        <x:v>New Hazelton</x:v>
      </x:c>
      <x:c r="D1035" s="8" t="str">
        <x:v>Buildings</x:v>
      </x:c>
      <x:c r="E1035" s="11" t="n">
        <x:v>7882567</x:v>
      </x:c>
      <x:c r="F1035" s="11" t="n">
        <x:v>2092532</x:v>
      </x:c>
      <x:c r="G1035" s="11" t="n">
        <x:v>5790035</x:v>
      </x:c>
      <x:c r="H1035" s="11" t="n">
        <x:v>46872</x:v>
      </x:c>
      <x:c r="I1035" s="11" t="n">
        <x:v>5790035</x:v>
      </x:c>
      <x:c r="J1035" s="11" t="n">
        <x:v>0</x:v>
      </x:c>
      <x:c r="K1035" s="12" t="n">
        <x:v>0.7345367314987618</x:v>
      </x:c>
      <x:c r="L1035" s="12" t="n">
        <x:v>1</x:v>
      </x:c>
      <x:c r="M1035" s="8" t="str">
        <x:v>In_Progress</x:v>
      </x:c>
    </x:row>
    <x:row r="1036">
      <x:c r="A1036" s="8" t="str">
        <x:v>New Hazelton|Fleet</x:v>
      </x:c>
      <x:c r="B1036" s="8" t="str">
        <x:v>new-hazelton-d</x:v>
      </x:c>
      <x:c r="C1036" s="8" t="str">
        <x:v>New Hazelton</x:v>
      </x:c>
      <x:c r="D1036" s="8" t="str">
        <x:v>Fleet</x:v>
      </x:c>
      <x:c r="E1036" s="11" t="n">
        <x:v>0</x:v>
      </x:c>
      <x:c r="F1036" s="11" t="n">
        <x:v>0</x:v>
      </x:c>
      <x:c r="G1036" s="11" t="n">
        <x:v>0</x:v>
      </x:c>
      <x:c r="H1036" s="11" t="n">
        <x:v>0</x:v>
      </x:c>
      <x:c r="I1036" s="11" t="n">
        <x:v>0</x:v>
      </x:c>
      <x:c r="J1036" s="11" t="n">
        <x:v>0</x:v>
      </x:c>
      <x:c r="K1036" s="12"/>
      <x:c r="L1036" s="12"/>
      <x:c r="M1036" s="8"/>
    </x:row>
    <x:row r="1037">
      <x:c r="A1037" s="8" t="str">
        <x:v>New Hazelton|Parks and Recreation</x:v>
      </x:c>
      <x:c r="B1037" s="8" t="str">
        <x:v>new-hazelton-d</x:v>
      </x:c>
      <x:c r="C1037" s="8" t="str">
        <x:v>New Hazelton</x:v>
      </x:c>
      <x:c r="D1037" s="8" t="str">
        <x:v>Parks and Recreation</x:v>
      </x:c>
      <x:c r="E1037" s="11" t="n">
        <x:v>0</x:v>
      </x:c>
      <x:c r="F1037" s="11" t="n">
        <x:v>0</x:v>
      </x:c>
      <x:c r="G1037" s="11" t="n">
        <x:v>0</x:v>
      </x:c>
      <x:c r="H1037" s="11" t="n">
        <x:v>0</x:v>
      </x:c>
      <x:c r="I1037" s="11" t="n">
        <x:v>0</x:v>
      </x:c>
      <x:c r="J1037" s="11" t="n">
        <x:v>0</x:v>
      </x:c>
      <x:c r="K1037" s="12"/>
      <x:c r="L1037" s="12"/>
      <x:c r="M1037" s="8"/>
    </x:row>
    <x:row r="1038">
      <x:c r="A1038" s="8" t="str">
        <x:v>New Hazelton|Water System</x:v>
      </x:c>
      <x:c r="B1038" s="8" t="str">
        <x:v>new-hazelton-d</x:v>
      </x:c>
      <x:c r="C1038" s="8" t="str">
        <x:v>New Hazelton</x:v>
      </x:c>
      <x:c r="D1038" s="8" t="str">
        <x:v>Water System</x:v>
      </x:c>
      <x:c r="E1038" s="11" t="n">
        <x:v>3873872</x:v>
      </x:c>
      <x:c r="F1038" s="11" t="n">
        <x:v>1655929</x:v>
      </x:c>
      <x:c r="G1038" s="11" t="n">
        <x:v>2217943</x:v>
      </x:c>
      <x:c r="H1038" s="11" t="n">
        <x:v>0</x:v>
      </x:c>
      <x:c r="I1038" s="11" t="n">
        <x:v>2217941</x:v>
      </x:c>
      <x:c r="J1038" s="11" t="n">
        <x:v>0</x:v>
      </x:c>
      <x:c r="K1038" s="12" t="n">
        <x:v>0.5725390513677272</x:v>
      </x:c>
      <x:c r="L1038" s="12" t="n">
        <x:v>1</x:v>
      </x:c>
      <x:c r="M1038" s="8" t="str">
        <x:v>In_Progress</x:v>
      </x:c>
    </x:row>
    <x:row r="1039">
      <x:c r="A1039" s="8" t="str">
        <x:v>New Hazelton|Sewer System</x:v>
      </x:c>
      <x:c r="B1039" s="8" t="str">
        <x:v>new-hazelton-d</x:v>
      </x:c>
      <x:c r="C1039" s="8" t="str">
        <x:v>New Hazelton</x:v>
      </x:c>
      <x:c r="D1039" s="8" t="str">
        <x:v>Sewer System</x:v>
      </x:c>
      <x:c r="E1039" s="11" t="n">
        <x:v>1274880</x:v>
      </x:c>
      <x:c r="F1039" s="11" t="n">
        <x:v>940922</x:v>
      </x:c>
      <x:c r="G1039" s="11" t="n">
        <x:v>333958</x:v>
      </x:c>
      <x:c r="H1039" s="11" t="n">
        <x:v>25828</x:v>
      </x:c>
      <x:c r="I1039" s="11" t="n">
        <x:v>333959</x:v>
      </x:c>
      <x:c r="J1039" s="11" t="n">
        <x:v>0</x:v>
      </x:c>
      <x:c r="K1039" s="12" t="n">
        <x:v>0.26195249748995986</x:v>
      </x:c>
      <x:c r="L1039" s="12" t="n">
        <x:v>1</x:v>
      </x:c>
      <x:c r="M1039" s="8" t="str">
        <x:v>In_Progress</x:v>
      </x:c>
    </x:row>
    <x:row r="1040">
      <x:c r="A1040" s="8" t="str">
        <x:v>New Hazelton|Drainage System</x:v>
      </x:c>
      <x:c r="B1040" s="8" t="str">
        <x:v>new-hazelton-d</x:v>
      </x:c>
      <x:c r="C1040" s="8" t="str">
        <x:v>New Hazelton</x:v>
      </x:c>
      <x:c r="D1040" s="8" t="str">
        <x:v>Drainage System</x:v>
      </x:c>
      <x:c r="E1040" s="11" t="n">
        <x:v>0</x:v>
      </x:c>
      <x:c r="F1040" s="11" t="n">
        <x:v>0</x:v>
      </x:c>
      <x:c r="G1040" s="11" t="n">
        <x:v>0</x:v>
      </x:c>
      <x:c r="H1040" s="11" t="n">
        <x:v>0</x:v>
      </x:c>
      <x:c r="I1040" s="11" t="n">
        <x:v>0</x:v>
      </x:c>
      <x:c r="J1040" s="11" t="n">
        <x:v>0</x:v>
      </x:c>
      <x:c r="K1040" s="12"/>
      <x:c r="L1040" s="12"/>
      <x:c r="M1040" s="8"/>
    </x:row>
    <x:row r="1041">
      <x:c r="A1041" s="8" t="str">
        <x:v>New Hazelton|Transportation System</x:v>
      </x:c>
      <x:c r="B1041" s="8" t="str">
        <x:v>new-hazelton-d</x:v>
      </x:c>
      <x:c r="C1041" s="8" t="str">
        <x:v>New Hazelton</x:v>
      </x:c>
      <x:c r="D1041" s="8" t="str">
        <x:v>Transportation System</x:v>
      </x:c>
      <x:c r="E1041" s="11" t="n">
        <x:v>4323410</x:v>
      </x:c>
      <x:c r="F1041" s="11" t="n">
        <x:v>2282118</x:v>
      </x:c>
      <x:c r="G1041" s="11" t="n">
        <x:v>2041292</x:v>
      </x:c>
      <x:c r="H1041" s="11" t="n">
        <x:v>522031</x:v>
      </x:c>
      <x:c r="I1041" s="11" t="n">
        <x:v>2041292</x:v>
      </x:c>
      <x:c r="J1041" s="11" t="n">
        <x:v>0</x:v>
      </x:c>
      <x:c r="K1041" s="12" t="n">
        <x:v>0.4721486049206529</x:v>
      </x:c>
      <x:c r="L1041" s="12" t="n">
        <x:v>1</x:v>
      </x:c>
      <x:c r="M1041" s="8" t="str">
        <x:v>In_Progress</x:v>
      </x:c>
    </x:row>
    <x:row r="1042">
      <x:c r="A1042" s="8" t="str">
        <x:v>New Hazelton|Other Engineering Systems</x:v>
      </x:c>
      <x:c r="B1042" s="8" t="str">
        <x:v>new-hazelton-d</x:v>
      </x:c>
      <x:c r="C1042" s="8" t="str">
        <x:v>New Hazelton</x:v>
      </x:c>
      <x:c r="D1042" s="8" t="str">
        <x:v>Other Engineering Systems</x:v>
      </x:c>
      <x:c r="E1042" s="11" t="n">
        <x:v>0</x:v>
      </x:c>
      <x:c r="F1042" s="11" t="n">
        <x:v>0</x:v>
      </x:c>
      <x:c r="G1042" s="11" t="n">
        <x:v>0</x:v>
      </x:c>
      <x:c r="H1042" s="11" t="n">
        <x:v>0</x:v>
      </x:c>
      <x:c r="I1042" s="11" t="n">
        <x:v>0</x:v>
      </x:c>
      <x:c r="J1042" s="11" t="n">
        <x:v>0</x:v>
      </x:c>
      <x:c r="K1042" s="12"/>
      <x:c r="L1042" s="12"/>
      <x:c r="M1042" s="8"/>
    </x:row>
    <x:row r="1043">
      <x:c r="A1043" s="8" t="str">
        <x:v>New Hazelton|Other Tangible Capital Assets</x:v>
      </x:c>
      <x:c r="B1043" s="8" t="str">
        <x:v>new-hazelton-d</x:v>
      </x:c>
      <x:c r="C1043" s="8" t="str">
        <x:v>New Hazelton</x:v>
      </x:c>
      <x:c r="D1043" s="8" t="str">
        <x:v>Other Tangible Capital Assets</x:v>
      </x:c>
      <x:c r="E1043" s="11" t="n">
        <x:v>3032600</x:v>
      </x:c>
      <x:c r="F1043" s="11" t="n">
        <x:v>2247622</x:v>
      </x:c>
      <x:c r="G1043" s="11" t="n">
        <x:v>784978</x:v>
      </x:c>
      <x:c r="H1043" s="11" t="n">
        <x:v>0</x:v>
      </x:c>
      <x:c r="I1043" s="11" t="n">
        <x:v>784979</x:v>
      </x:c>
      <x:c r="J1043" s="11" t="n">
        <x:v>0</x:v>
      </x:c>
      <x:c r="K1043" s="12" t="n">
        <x:v>0.2588465343269801</x:v>
      </x:c>
      <x:c r="L1043" s="12" t="n">
        <x:v>1</x:v>
      </x:c>
      <x:c r="M1043" s="8" t="str">
        <x:v>N/A</x:v>
      </x:c>
    </x:row>
    <x:row r="1044">
      <x:c r="A1044" s="8" t="str">
        <x:v>New Hazelton|Work In Progress</x:v>
      </x:c>
      <x:c r="B1044" s="8" t="str">
        <x:v>new-hazelton-d</x:v>
      </x:c>
      <x:c r="C1044" s="8" t="str">
        <x:v>New Hazelton</x:v>
      </x:c>
      <x:c r="D1044" s="8" t="str">
        <x:v>Work In Progress</x:v>
      </x:c>
      <x:c r="E1044" s="11" t="n">
        <x:v>0</x:v>
      </x:c>
      <x:c r="F1044" s="11"/>
      <x:c r="G1044" s="11" t="n">
        <x:v>0</x:v>
      </x:c>
      <x:c r="H1044" s="11" t="n">
        <x:v>0</x:v>
      </x:c>
      <x:c r="I1044" s="11" t="n">
        <x:v>0</x:v>
      </x:c>
      <x:c r="J1044" s="11"/>
      <x:c r="K1044" s="12"/>
      <x:c r="L1044" s="12"/>
      <x:c r="M1044" s="8" t="str">
        <x:v>N/A</x:v>
      </x:c>
    </x:row>
    <x:row r="1045">
      <x:c r="A1045" s="8" t="str">
        <x:v>New Hazelton|Total TCA</x:v>
      </x:c>
      <x:c r="B1045" s="8" t="str">
        <x:v>new-hazelton-d</x:v>
      </x:c>
      <x:c r="C1045" s="8" t="str">
        <x:v>New Hazelton</x:v>
      </x:c>
      <x:c r="D1045" s="8" t="str">
        <x:v>Total TCA</x:v>
      </x:c>
      <x:c r="E1045" s="11" t="n">
        <x:v>21030610</x:v>
      </x:c>
      <x:c r="F1045" s="11" t="n">
        <x:v>9219123</x:v>
      </x:c>
      <x:c r="G1045" s="11" t="n">
        <x:v>11811487</x:v>
      </x:c>
      <x:c r="H1045" s="11" t="n">
        <x:v>596104</x:v>
      </x:c>
      <x:c r="I1045" s="11" t="n">
        <x:v>11811487</x:v>
      </x:c>
      <x:c r="J1045" s="11" t="n">
        <x:v>0</x:v>
      </x:c>
      <x:c r="K1045" s="12" t="n">
        <x:v>0.5616331147788866</x:v>
      </x:c>
      <x:c r="L1045" s="12" t="n">
        <x:v>1</x:v>
      </x:c>
      <x:c r="M1045" s="8"/>
    </x:row>
    <x:row r="1046">
      <x:c r="A1046" s="8" t="str">
        <x:v>New Westminster|Land</x:v>
      </x:c>
      <x:c r="B1046" s="8" t="str">
        <x:v>new-westminster-c</x:v>
      </x:c>
      <x:c r="C1046" s="8" t="str">
        <x:v>New Westminster</x:v>
      </x:c>
      <x:c r="D1046" s="8" t="str">
        <x:v>Land</x:v>
      </x:c>
      <x:c r="E1046" s="11" t="n">
        <x:v>215358551</x:v>
      </x:c>
      <x:c r="F1046" s="11"/>
      <x:c r="G1046" s="11" t="n">
        <x:v>215358551</x:v>
      </x:c>
      <x:c r="H1046" s="11" t="n">
        <x:v>2420273</x:v>
      </x:c>
      <x:c r="I1046" s="11" t="n">
        <x:v>215358551</x:v>
      </x:c>
      <x:c r="J1046" s="11"/>
      <x:c r="K1046" s="12" t="n">
        <x:v>1</x:v>
      </x:c>
      <x:c r="L1046" s="12"/>
      <x:c r="M1046" s="8" t="str">
        <x:v>N/A</x:v>
      </x:c>
    </x:row>
    <x:row r="1047">
      <x:c r="A1047" s="8" t="str">
        <x:v>New Westminster|Buildings</x:v>
      </x:c>
      <x:c r="B1047" s="8" t="str">
        <x:v>new-westminster-c</x:v>
      </x:c>
      <x:c r="C1047" s="8" t="str">
        <x:v>New Westminster</x:v>
      </x:c>
      <x:c r="D1047" s="8" t="str">
        <x:v>Buildings</x:v>
      </x:c>
      <x:c r="E1047" s="11" t="n">
        <x:v>304216336</x:v>
      </x:c>
      <x:c r="F1047" s="11" t="n">
        <x:v>103195501</x:v>
      </x:c>
      <x:c r="G1047" s="11" t="n">
        <x:v>201020835</x:v>
      </x:c>
      <x:c r="H1047" s="11" t="n">
        <x:v>108348216</x:v>
      </x:c>
      <x:c r="I1047" s="11" t="n">
        <x:v>506456896</x:v>
      </x:c>
      <x:c r="J1047" s="11" t="n">
        <x:v>18775704</x:v>
      </x:c>
      <x:c r="K1047" s="12" t="n">
        <x:v>0.660782513007454</x:v>
      </x:c>
      <x:c r="L1047" s="12" t="n">
        <x:v>0.9629273406122206</x:v>
      </x:c>
      <x:c r="M1047" s="8" t="str">
        <x:v>Yes</x:v>
      </x:c>
    </x:row>
    <x:row r="1048">
      <x:c r="A1048" s="8" t="str">
        <x:v>New Westminster|Fleet</x:v>
      </x:c>
      <x:c r="B1048" s="8" t="str">
        <x:v>new-westminster-c</x:v>
      </x:c>
      <x:c r="C1048" s="8" t="str">
        <x:v>New Westminster</x:v>
      </x:c>
      <x:c r="D1048" s="8" t="str">
        <x:v>Fleet</x:v>
      </x:c>
      <x:c r="E1048" s="11" t="n">
        <x:v>26358934</x:v>
      </x:c>
      <x:c r="F1048" s="11" t="n">
        <x:v>16609986</x:v>
      </x:c>
      <x:c r="G1048" s="11" t="n">
        <x:v>9748948</x:v>
      </x:c>
      <x:c r="H1048" s="11" t="n">
        <x:v>3180577</x:v>
      </x:c>
      <x:c r="I1048" s="11" t="n">
        <x:v>79076802</x:v>
      </x:c>
      <x:c r="J1048" s="11" t="n">
        <x:v>8460182</x:v>
      </x:c>
      <x:c r="K1048" s="12" t="n">
        <x:v>0.36985365189654484</x:v>
      </x:c>
      <x:c r="L1048" s="12" t="n">
        <x:v>0.8930130988352311</x:v>
      </x:c>
      <x:c r="M1048" s="8" t="str">
        <x:v>No</x:v>
      </x:c>
    </x:row>
    <x:row r="1049">
      <x:c r="A1049" s="8" t="str">
        <x:v>New Westminster|Parks and Recreation</x:v>
      </x:c>
      <x:c r="B1049" s="8" t="str">
        <x:v>new-westminster-c</x:v>
      </x:c>
      <x:c r="C1049" s="8" t="str">
        <x:v>New Westminster</x:v>
      </x:c>
      <x:c r="D1049" s="8" t="str">
        <x:v>Parks and Recreation</x:v>
      </x:c>
      <x:c r="E1049" s="11" t="n">
        <x:v>80683125</x:v>
      </x:c>
      <x:c r="F1049" s="11" t="n">
        <x:v>44381002</x:v>
      </x:c>
      <x:c r="G1049" s="11" t="n">
        <x:v>36302123</x:v>
      </x:c>
      <x:c r="H1049" s="11" t="n">
        <x:v>2435959</x:v>
      </x:c>
      <x:c r="I1049" s="11" t="n">
        <x:v>242049375</x:v>
      </x:c>
      <x:c r="J1049" s="11" t="n">
        <x:v>8745190</x:v>
      </x:c>
      <x:c r="K1049" s="12" t="n">
        <x:v>0.44993451852540417</x:v>
      </x:c>
      <x:c r="L1049" s="12" t="n">
        <x:v>0.9638702227593027</x:v>
      </x:c>
      <x:c r="M1049" s="8" t="str">
        <x:v>No</x:v>
      </x:c>
    </x:row>
    <x:row r="1050">
      <x:c r="A1050" s="8" t="str">
        <x:v>New Westminster|Water System</x:v>
      </x:c>
      <x:c r="B1050" s="8" t="str">
        <x:v>new-westminster-c</x:v>
      </x:c>
      <x:c r="C1050" s="8" t="str">
        <x:v>New Westminster</x:v>
      </x:c>
      <x:c r="D1050" s="8" t="str">
        <x:v>Water System</x:v>
      </x:c>
      <x:c r="E1050" s="11" t="n">
        <x:v>73220449</x:v>
      </x:c>
      <x:c r="F1050" s="11" t="n">
        <x:v>17558686</x:v>
      </x:c>
      <x:c r="G1050" s="11" t="n">
        <x:v>55661763</x:v>
      </x:c>
      <x:c r="H1050" s="11" t="n">
        <x:v>416397</x:v>
      </x:c>
      <x:c r="I1050" s="11" t="n">
        <x:v>346620000</x:v>
      </x:c>
      <x:c r="J1050" s="11" t="n">
        <x:v>4158988</x:v>
      </x:c>
      <x:c r="K1050" s="12" t="n">
        <x:v>0.7601942320785277</x:v>
      </x:c>
      <x:c r="L1050" s="12" t="n">
        <x:v>0.9880013040216953</x:v>
      </x:c>
      <x:c r="M1050" s="8" t="str">
        <x:v>Yes</x:v>
      </x:c>
    </x:row>
    <x:row r="1051">
      <x:c r="A1051" s="8" t="str">
        <x:v>New Westminster|Sewer System</x:v>
      </x:c>
      <x:c r="B1051" s="8" t="str">
        <x:v>new-westminster-c</x:v>
      </x:c>
      <x:c r="C1051" s="8" t="str">
        <x:v>New Westminster</x:v>
      </x:c>
      <x:c r="D1051" s="8" t="str">
        <x:v>Sewer System</x:v>
      </x:c>
      <x:c r="E1051" s="11" t="n">
        <x:v>66703426</x:v>
      </x:c>
      <x:c r="F1051" s="11" t="n">
        <x:v>18217012</x:v>
      </x:c>
      <x:c r="G1051" s="11" t="n">
        <x:v>48486414</x:v>
      </x:c>
      <x:c r="H1051" s="11" t="n">
        <x:v>2899829</x:v>
      </x:c>
      <x:c r="I1051" s="11" t="n">
        <x:v>529502400</x:v>
      </x:c>
      <x:c r="J1051" s="11" t="n">
        <x:v>6050720</x:v>
      </x:c>
      <x:c r="K1051" s="12" t="n">
        <x:v>0.7268954071414563</x:v>
      </x:c>
      <x:c r="L1051" s="12" t="n">
        <x:v>0.9885728185556855</x:v>
      </x:c>
      <x:c r="M1051" s="8" t="str">
        <x:v>Yes</x:v>
      </x:c>
    </x:row>
    <x:row r="1052">
      <x:c r="A1052" s="8" t="str">
        <x:v>New Westminster|Drainage System</x:v>
      </x:c>
      <x:c r="B1052" s="8" t="str">
        <x:v>new-westminster-c</x:v>
      </x:c>
      <x:c r="C1052" s="8" t="str">
        <x:v>New Westminster</x:v>
      </x:c>
      <x:c r="D1052" s="8" t="str">
        <x:v>Drainage System</x:v>
      </x:c>
      <x:c r="E1052" s="11" t="n">
        <x:v>86436689</x:v>
      </x:c>
      <x:c r="F1052" s="11" t="n">
        <x:v>18607640</x:v>
      </x:c>
      <x:c r="G1052" s="11" t="n">
        <x:v>67829049</x:v>
      </x:c>
      <x:c r="H1052" s="11" t="n">
        <x:v>634565</x:v>
      </x:c>
      <x:c r="I1052" s="11" t="n">
        <x:v>416037600</x:v>
      </x:c>
      <x:c r="J1052" s="11" t="n">
        <x:v>5415061</x:v>
      </x:c>
      <x:c r="K1052" s="12" t="n">
        <x:v>0.7847252108418915</x:v>
      </x:c>
      <x:c r="L1052" s="12" t="n">
        <x:v>0.9869842028701252</x:v>
      </x:c>
      <x:c r="M1052" s="8" t="str">
        <x:v>Yes</x:v>
      </x:c>
    </x:row>
    <x:row r="1053">
      <x:c r="A1053" s="8" t="str">
        <x:v>New Westminster|Transportation System</x:v>
      </x:c>
      <x:c r="B1053" s="8" t="str">
        <x:v>new-westminster-c</x:v>
      </x:c>
      <x:c r="C1053" s="8" t="str">
        <x:v>New Westminster</x:v>
      </x:c>
      <x:c r="D1053" s="8" t="str">
        <x:v>Transportation System</x:v>
      </x:c>
      <x:c r="E1053" s="11" t="n">
        <x:v>273193840</x:v>
      </x:c>
      <x:c r="F1053" s="11" t="n">
        <x:v>147434453</x:v>
      </x:c>
      <x:c r="G1053" s="11" t="n">
        <x:v>125759387</x:v>
      </x:c>
      <x:c r="H1053" s="11" t="n">
        <x:v>8898911</x:v>
      </x:c>
      <x:c r="I1053" s="11" t="n">
        <x:v>480700000</x:v>
      </x:c>
      <x:c r="J1053" s="11" t="n">
        <x:v>15795401</x:v>
      </x:c>
      <x:c r="K1053" s="12" t="n">
        <x:v>0.4603302439030104</x:v>
      </x:c>
      <x:c r="L1053" s="12" t="n">
        <x:v>0.9671408342001249</x:v>
      </x:c>
      <x:c r="M1053" s="8" t="str">
        <x:v>Yes</x:v>
      </x:c>
    </x:row>
    <x:row r="1054">
      <x:c r="A1054" s="8" t="str">
        <x:v>New Westminster|Other Engineering Systems</x:v>
      </x:c>
      <x:c r="B1054" s="8" t="str">
        <x:v>new-westminster-c</x:v>
      </x:c>
      <x:c r="C1054" s="8" t="str">
        <x:v>New Westminster</x:v>
      </x:c>
      <x:c r="D1054" s="8" t="str">
        <x:v>Other Engineering Systems</x:v>
      </x:c>
      <x:c r="E1054" s="11" t="n">
        <x:v>143292060</x:v>
      </x:c>
      <x:c r="F1054" s="11" t="n">
        <x:v>40679261</x:v>
      </x:c>
      <x:c r="G1054" s="11" t="n">
        <x:v>102612799</x:v>
      </x:c>
      <x:c r="H1054" s="11" t="n">
        <x:v>5393558</x:v>
      </x:c>
      <x:c r="I1054" s="11" t="n">
        <x:v>429876179</x:v>
      </x:c>
      <x:c r="J1054" s="11" t="n">
        <x:v>6561171</x:v>
      </x:c>
      <x:c r="K1054" s="12" t="n">
        <x:v>0.716109455052848</x:v>
      </x:c>
      <x:c r="L1054" s="12" t="n">
        <x:v>0.9847370677406156</x:v>
      </x:c>
      <x:c r="M1054" s="8" t="str">
        <x:v>No</x:v>
      </x:c>
    </x:row>
    <x:row r="1055">
      <x:c r="A1055" s="8" t="str">
        <x:v>New Westminster|Other Tangible Capital Assets</x:v>
      </x:c>
      <x:c r="B1055" s="8" t="str">
        <x:v>new-westminster-c</x:v>
      </x:c>
      <x:c r="C1055" s="8" t="str">
        <x:v>New Westminster</x:v>
      </x:c>
      <x:c r="D1055" s="8" t="str">
        <x:v>Other Tangible Capital Assets</x:v>
      </x:c>
      <x:c r="E1055" s="11" t="n">
        <x:v>23278413</x:v>
      </x:c>
      <x:c r="F1055" s="11" t="n">
        <x:v>12390902</x:v>
      </x:c>
      <x:c r="G1055" s="11" t="n">
        <x:v>10887511</x:v>
      </x:c>
      <x:c r="H1055" s="11" t="n">
        <x:v>4628290</x:v>
      </x:c>
      <x:c r="I1055" s="11" t="n">
        <x:v>69835230</x:v>
      </x:c>
      <x:c r="J1055" s="11" t="n">
        <x:v>6803371</x:v>
      </x:c>
      <x:c r="K1055" s="12" t="n">
        <x:v>0.4677084730819064</x:v>
      </x:c>
      <x:c r="L1055" s="12" t="n">
        <x:v>0.9025796721797866</x:v>
      </x:c>
      <x:c r="M1055" s="8" t="str">
        <x:v>N/A</x:v>
      </x:c>
    </x:row>
    <x:row r="1056">
      <x:c r="A1056" s="8" t="str">
        <x:v>New Westminster|Work In Progress</x:v>
      </x:c>
      <x:c r="B1056" s="8" t="str">
        <x:v>new-westminster-c</x:v>
      </x:c>
      <x:c r="C1056" s="8" t="str">
        <x:v>New Westminster</x:v>
      </x:c>
      <x:c r="D1056" s="8" t="str">
        <x:v>Work In Progress</x:v>
      </x:c>
      <x:c r="E1056" s="11" t="n">
        <x:v>29432569</x:v>
      </x:c>
      <x:c r="F1056" s="11"/>
      <x:c r="G1056" s="11" t="n">
        <x:v>29432569</x:v>
      </x:c>
      <x:c r="H1056" s="11" t="n">
        <x:v>-86321088</x:v>
      </x:c>
      <x:c r="I1056" s="11" t="n">
        <x:v>29432569</x:v>
      </x:c>
      <x:c r="J1056" s="11"/>
      <x:c r="K1056" s="12" t="n">
        <x:v>1</x:v>
      </x:c>
      <x:c r="L1056" s="12"/>
      <x:c r="M1056" s="8" t="str">
        <x:v>N/A</x:v>
      </x:c>
    </x:row>
    <x:row r="1057">
      <x:c r="A1057" s="8" t="str">
        <x:v>New Westminster|Total TCA</x:v>
      </x:c>
      <x:c r="B1057" s="8" t="str">
        <x:v>new-westminster-c</x:v>
      </x:c>
      <x:c r="C1057" s="8" t="str">
        <x:v>New Westminster</x:v>
      </x:c>
      <x:c r="D1057" s="8" t="str">
        <x:v>Total TCA</x:v>
      </x:c>
      <x:c r="E1057" s="11" t="n">
        <x:v>1322174392</x:v>
      </x:c>
      <x:c r="F1057" s="11" t="n">
        <x:v>419074443</x:v>
      </x:c>
      <x:c r="G1057" s="11" t="n">
        <x:v>903099949</x:v>
      </x:c>
      <x:c r="H1057" s="11" t="n">
        <x:v>52935487</x:v>
      </x:c>
      <x:c r="I1057" s="11" t="n">
        <x:v>3344945602</x:v>
      </x:c>
      <x:c r="J1057" s="11" t="n">
        <x:v>80765788</x:v>
      </x:c>
      <x:c r="K1057" s="12" t="n">
        <x:v>0.683041476573992</x:v>
      </x:c>
      <x:c r="L1057" s="12" t="n">
        <x:v>0.9758543792306491</x:v>
      </x:c>
      <x:c r="M1057" s="8"/>
    </x:row>
    <x:row r="1058">
      <x:c r="A1058" s="8" t="str">
        <x:v>North Cowichan|Land</x:v>
      </x:c>
      <x:c r="B1058" s="8" t="str">
        <x:v>north-cowichan-d</x:v>
      </x:c>
      <x:c r="C1058" s="8" t="str">
        <x:v>North Cowichan</x:v>
      </x:c>
      <x:c r="D1058" s="8" t="str">
        <x:v>Land</x:v>
      </x:c>
      <x:c r="E1058" s="11" t="n">
        <x:v>62563529</x:v>
      </x:c>
      <x:c r="F1058" s="11"/>
      <x:c r="G1058" s="11" t="n">
        <x:v>62563529</x:v>
      </x:c>
      <x:c r="H1058" s="11" t="n">
        <x:v>3696761</x:v>
      </x:c>
      <x:c r="I1058" s="11" t="n">
        <x:v>62563529</x:v>
      </x:c>
      <x:c r="J1058" s="11"/>
      <x:c r="K1058" s="12" t="n">
        <x:v>1</x:v>
      </x:c>
      <x:c r="L1058" s="12"/>
      <x:c r="M1058" s="8" t="str">
        <x:v>N/A</x:v>
      </x:c>
    </x:row>
    <x:row r="1059">
      <x:c r="A1059" s="8" t="str">
        <x:v>North Cowichan|Buildings</x:v>
      </x:c>
      <x:c r="B1059" s="8" t="str">
        <x:v>north-cowichan-d</x:v>
      </x:c>
      <x:c r="C1059" s="8" t="str">
        <x:v>North Cowichan</x:v>
      </x:c>
      <x:c r="D1059" s="8" t="str">
        <x:v>Buildings</x:v>
      </x:c>
      <x:c r="E1059" s="11" t="n">
        <x:v>100346928</x:v>
      </x:c>
      <x:c r="F1059" s="11" t="n">
        <x:v>27978385</x:v>
      </x:c>
      <x:c r="G1059" s="11" t="n">
        <x:v>72368543</x:v>
      </x:c>
      <x:c r="H1059" s="11" t="n">
        <x:v>3822118</x:v>
      </x:c>
      <x:c r="I1059" s="11" t="n">
        <x:v>155507200</x:v>
      </x:c>
      <x:c r="J1059" s="11" t="n">
        <x:v>4092295</x:v>
      </x:c>
      <x:c r="K1059" s="12" t="n">
        <x:v>0.7211834427058893</x:v>
      </x:c>
      <x:c r="L1059" s="12" t="n">
        <x:v>0.9736842088340604</x:v>
      </x:c>
      <x:c r="M1059" s="8" t="str">
        <x:v>Yes</x:v>
      </x:c>
    </x:row>
    <x:row r="1060">
      <x:c r="A1060" s="8" t="str">
        <x:v>North Cowichan|Fleet</x:v>
      </x:c>
      <x:c r="B1060" s="8" t="str">
        <x:v>north-cowichan-d</x:v>
      </x:c>
      <x:c r="C1060" s="8" t="str">
        <x:v>North Cowichan</x:v>
      </x:c>
      <x:c r="D1060" s="8" t="str">
        <x:v>Fleet</x:v>
      </x:c>
      <x:c r="E1060" s="11" t="n">
        <x:v>16255782</x:v>
      </x:c>
      <x:c r="F1060" s="11" t="n">
        <x:v>9769211</x:v>
      </x:c>
      <x:c r="G1060" s="11" t="n">
        <x:v>6486571</x:v>
      </x:c>
      <x:c r="H1060" s="11" t="n">
        <x:v>653433</x:v>
      </x:c>
      <x:c r="I1060" s="11" t="n">
        <x:v>20287083</x:v>
      </x:c>
      <x:c r="J1060" s="11" t="n">
        <x:v>1448382</x:v>
      </x:c>
      <x:c r="K1060" s="12" t="n">
        <x:v>0.3990316184112213</x:v>
      </x:c>
      <x:c r="L1060" s="12" t="n">
        <x:v>0.9286057044277879</x:v>
      </x:c>
      <x:c r="M1060" s="8" t="str">
        <x:v>In_Progress</x:v>
      </x:c>
    </x:row>
    <x:row r="1061">
      <x:c r="A1061" s="8" t="str">
        <x:v>North Cowichan|Parks and Recreation</x:v>
      </x:c>
      <x:c r="B1061" s="8" t="str">
        <x:v>north-cowichan-d</x:v>
      </x:c>
      <x:c r="C1061" s="8" t="str">
        <x:v>North Cowichan</x:v>
      </x:c>
      <x:c r="D1061" s="8" t="str">
        <x:v>Parks and Recreation</x:v>
      </x:c>
      <x:c r="E1061" s="11" t="n">
        <x:v>14867531</x:v>
      </x:c>
      <x:c r="F1061" s="11" t="n">
        <x:v>9215663</x:v>
      </x:c>
      <x:c r="G1061" s="11" t="n">
        <x:v>5651868</x:v>
      </x:c>
      <x:c r="H1061" s="11" t="n">
        <x:v>567488</x:v>
      </x:c>
      <x:c r="I1061" s="11" t="n">
        <x:v>22913455</x:v>
      </x:c>
      <x:c r="J1061" s="11" t="n">
        <x:v>1450780</x:v>
      </x:c>
      <x:c r="K1061" s="12" t="n">
        <x:v>0.3801483918210764</x:v>
      </x:c>
      <x:c r="L1061" s="12" t="n">
        <x:v>0.9366843629649042</x:v>
      </x:c>
      <x:c r="M1061" s="8" t="str">
        <x:v>In_Progress</x:v>
      </x:c>
    </x:row>
    <x:row r="1062">
      <x:c r="A1062" s="8" t="str">
        <x:v>North Cowichan|Water System</x:v>
      </x:c>
      <x:c r="B1062" s="8" t="str">
        <x:v>north-cowichan-d</x:v>
      </x:c>
      <x:c r="C1062" s="8" t="str">
        <x:v>North Cowichan</x:v>
      </x:c>
      <x:c r="D1062" s="8" t="str">
        <x:v>Water System</x:v>
      </x:c>
      <x:c r="E1062" s="11" t="n">
        <x:v>59550852</x:v>
      </x:c>
      <x:c r="F1062" s="11" t="n">
        <x:v>26445491</x:v>
      </x:c>
      <x:c r="G1062" s="11" t="n">
        <x:v>33105361</x:v>
      </x:c>
      <x:c r="H1062" s="11" t="n">
        <x:v>1258658</x:v>
      </x:c>
      <x:c r="I1062" s="11" t="n">
        <x:v>260911155</x:v>
      </x:c>
      <x:c r="J1062" s="11" t="n">
        <x:v>4006791</x:v>
      </x:c>
      <x:c r="K1062" s="12" t="n">
        <x:v>0.5559175039174923</x:v>
      </x:c>
      <x:c r="L1062" s="12" t="n">
        <x:v>0.9846430828149145</x:v>
      </x:c>
      <x:c r="M1062" s="8" t="str">
        <x:v>In_Progress</x:v>
      </x:c>
    </x:row>
    <x:row r="1063">
      <x:c r="A1063" s="8" t="str">
        <x:v>North Cowichan|Sewer System</x:v>
      </x:c>
      <x:c r="B1063" s="8" t="str">
        <x:v>north-cowichan-d</x:v>
      </x:c>
      <x:c r="C1063" s="8" t="str">
        <x:v>North Cowichan</x:v>
      </x:c>
      <x:c r="D1063" s="8" t="str">
        <x:v>Sewer System</x:v>
      </x:c>
      <x:c r="E1063" s="11" t="n">
        <x:v>64557159</x:v>
      </x:c>
      <x:c r="F1063" s="11" t="n">
        <x:v>22602971</x:v>
      </x:c>
      <x:c r="G1063" s="11" t="n">
        <x:v>41954188</x:v>
      </x:c>
      <x:c r="H1063" s="11" t="n">
        <x:v>403780</x:v>
      </x:c>
      <x:c r="I1063" s="11" t="n">
        <x:v>195843634</x:v>
      </x:c>
      <x:c r="J1063" s="11" t="n">
        <x:v>2757661</x:v>
      </x:c>
      <x:c r="K1063" s="12" t="n">
        <x:v>0.6498766155431345</x:v>
      </x:c>
      <x:c r="L1063" s="12" t="n">
        <x:v>0.9859190674535788</x:v>
      </x:c>
      <x:c r="M1063" s="8" t="str">
        <x:v>In_Progress</x:v>
      </x:c>
    </x:row>
    <x:row r="1064">
      <x:c r="A1064" s="8" t="str">
        <x:v>North Cowichan|Drainage System</x:v>
      </x:c>
      <x:c r="B1064" s="8" t="str">
        <x:v>north-cowichan-d</x:v>
      </x:c>
      <x:c r="C1064" s="8" t="str">
        <x:v>North Cowichan</x:v>
      </x:c>
      <x:c r="D1064" s="8" t="str">
        <x:v>Drainage System</x:v>
      </x:c>
      <x:c r="E1064" s="11" t="n">
        <x:v>55769307</x:v>
      </x:c>
      <x:c r="F1064" s="11" t="n">
        <x:v>23908300</x:v>
      </x:c>
      <x:c r="G1064" s="11" t="n">
        <x:v>31861007</x:v>
      </x:c>
      <x:c r="H1064" s="11" t="n">
        <x:v>1351333</x:v>
      </x:c>
      <x:c r="I1064" s="11" t="n">
        <x:v>247116142</x:v>
      </x:c>
      <x:c r="J1064" s="11" t="n">
        <x:v>3688301</x:v>
      </x:c>
      <x:c r="K1064" s="12" t="n">
        <x:v>0.5713000342643669</x:v>
      </x:c>
      <x:c r="L1064" s="12" t="n">
        <x:v>0.9850746253557163</x:v>
      </x:c>
      <x:c r="M1064" s="8" t="str">
        <x:v>In_Progress</x:v>
      </x:c>
    </x:row>
    <x:row r="1065">
      <x:c r="A1065" s="8" t="str">
        <x:v>North Cowichan|Transportation System</x:v>
      </x:c>
      <x:c r="B1065" s="8" t="str">
        <x:v>north-cowichan-d</x:v>
      </x:c>
      <x:c r="C1065" s="8" t="str">
        <x:v>North Cowichan</x:v>
      </x:c>
      <x:c r="D1065" s="8" t="str">
        <x:v>Transportation System</x:v>
      </x:c>
      <x:c r="E1065" s="11" t="n">
        <x:v>185170213</x:v>
      </x:c>
      <x:c r="F1065" s="11" t="n">
        <x:v>101326496</x:v>
      </x:c>
      <x:c r="G1065" s="11" t="n">
        <x:v>83843717</x:v>
      </x:c>
      <x:c r="H1065" s="11" t="n">
        <x:v>941698</x:v>
      </x:c>
      <x:c r="I1065" s="11" t="n">
        <x:v>633036565</x:v>
      </x:c>
      <x:c r="J1065" s="11" t="n">
        <x:v>10158562</x:v>
      </x:c>
      <x:c r="K1065" s="12" t="n">
        <x:v>0.4527926799976193</x:v>
      </x:c>
      <x:c r="L1065" s="12" t="n">
        <x:v>0.9839526457685742</x:v>
      </x:c>
      <x:c r="M1065" s="8" t="str">
        <x:v>In_Progress</x:v>
      </x:c>
    </x:row>
    <x:row r="1066">
      <x:c r="A1066" s="8" t="str">
        <x:v>North Cowichan|Other Engineering Systems</x:v>
      </x:c>
      <x:c r="B1066" s="8" t="str">
        <x:v>north-cowichan-d</x:v>
      </x:c>
      <x:c r="C1066" s="8" t="str">
        <x:v>North Cowichan</x:v>
      </x:c>
      <x:c r="D1066" s="8" t="str">
        <x:v>Other Engineering Systems</x:v>
      </x:c>
      <x:c r="E1066" s="11" t="n">
        <x:v>0</x:v>
      </x:c>
      <x:c r="F1066" s="11" t="n">
        <x:v>0</x:v>
      </x:c>
      <x:c r="G1066" s="11" t="n">
        <x:v>0</x:v>
      </x:c>
      <x:c r="H1066" s="11" t="n">
        <x:v>0</x:v>
      </x:c>
      <x:c r="I1066" s="11" t="n">
        <x:v>0</x:v>
      </x:c>
      <x:c r="J1066" s="11" t="n">
        <x:v>0</x:v>
      </x:c>
      <x:c r="K1066" s="12"/>
      <x:c r="L1066" s="12"/>
      <x:c r="M1066" s="8"/>
    </x:row>
    <x:row r="1067">
      <x:c r="A1067" s="8" t="str">
        <x:v>North Cowichan|Other Tangible Capital Assets</x:v>
      </x:c>
      <x:c r="B1067" s="8" t="str">
        <x:v>north-cowichan-d</x:v>
      </x:c>
      <x:c r="C1067" s="8" t="str">
        <x:v>North Cowichan</x:v>
      </x:c>
      <x:c r="D1067" s="8" t="str">
        <x:v>Other Tangible Capital Assets</x:v>
      </x:c>
      <x:c r="E1067" s="11" t="n">
        <x:v>30096838</x:v>
      </x:c>
      <x:c r="F1067" s="11" t="n">
        <x:v>11900823</x:v>
      </x:c>
      <x:c r="G1067" s="11" t="n">
        <x:v>18196015</x:v>
      </x:c>
      <x:c r="H1067" s="11" t="n">
        <x:v>2428884</x:v>
      </x:c>
      <x:c r="I1067" s="11" t="n">
        <x:v>37993867</x:v>
      </x:c>
      <x:c r="J1067" s="11" t="n">
        <x:v>1310133</x:v>
      </x:c>
      <x:c r="K1067" s="12" t="n">
        <x:v>0.6045822820324182</x:v>
      </x:c>
      <x:c r="L1067" s="12" t="n">
        <x:v>0.9655172504551853</x:v>
      </x:c>
      <x:c r="M1067" s="8" t="str">
        <x:v>N/A</x:v>
      </x:c>
    </x:row>
    <x:row r="1068">
      <x:c r="A1068" s="8" t="str">
        <x:v>North Cowichan|Work In Progress</x:v>
      </x:c>
      <x:c r="B1068" s="8" t="str">
        <x:v>north-cowichan-d</x:v>
      </x:c>
      <x:c r="C1068" s="8" t="str">
        <x:v>North Cowichan</x:v>
      </x:c>
      <x:c r="D1068" s="8" t="str">
        <x:v>Work In Progress</x:v>
      </x:c>
      <x:c r="E1068" s="11" t="n">
        <x:v>12053392</x:v>
      </x:c>
      <x:c r="F1068" s="11"/>
      <x:c r="G1068" s="11" t="n">
        <x:v>12053392</x:v>
      </x:c>
      <x:c r="H1068" s="11" t="n">
        <x:v>7213415</x:v>
      </x:c>
      <x:c r="I1068" s="11" t="n">
        <x:v>12053392</x:v>
      </x:c>
      <x:c r="J1068" s="11"/>
      <x:c r="K1068" s="12" t="n">
        <x:v>1</x:v>
      </x:c>
      <x:c r="L1068" s="12"/>
      <x:c r="M1068" s="8" t="str">
        <x:v>N/A</x:v>
      </x:c>
    </x:row>
    <x:row r="1069">
      <x:c r="A1069" s="8" t="str">
        <x:v>North Cowichan|Total TCA</x:v>
      </x:c>
      <x:c r="B1069" s="8" t="str">
        <x:v>north-cowichan-d</x:v>
      </x:c>
      <x:c r="C1069" s="8" t="str">
        <x:v>North Cowichan</x:v>
      </x:c>
      <x:c r="D1069" s="8" t="str">
        <x:v>Total TCA</x:v>
      </x:c>
      <x:c r="E1069" s="11" t="n">
        <x:v>601231531</x:v>
      </x:c>
      <x:c r="F1069" s="11" t="n">
        <x:v>233147340</x:v>
      </x:c>
      <x:c r="G1069" s="11" t="n">
        <x:v>368084191</x:v>
      </x:c>
      <x:c r="H1069" s="11" t="n">
        <x:v>22337568</x:v>
      </x:c>
      <x:c r="I1069" s="11" t="n">
        <x:v>1648226022</x:v>
      </x:c>
      <x:c r="J1069" s="11" t="n">
        <x:v>28912905</x:v>
      </x:c>
      <x:c r="K1069" s="12" t="n">
        <x:v>0.6122170445515107</x:v>
      </x:c>
      <x:c r="L1069" s="12" t="n">
        <x:v>0.9824581673786971</x:v>
      </x:c>
      <x:c r="M1069" s="8"/>
    </x:row>
    <x:row r="1070">
      <x:c r="A1070" s="8" t="str">
        <x:v>North Saanich|Land</x:v>
      </x:c>
      <x:c r="B1070" s="8" t="str">
        <x:v>north-saanich-d</x:v>
      </x:c>
      <x:c r="C1070" s="8" t="str">
        <x:v>North Saanich</x:v>
      </x:c>
      <x:c r="D1070" s="8" t="str">
        <x:v>Land</x:v>
      </x:c>
      <x:c r="E1070" s="11" t="n">
        <x:v>23991326</x:v>
      </x:c>
      <x:c r="F1070" s="11"/>
      <x:c r="G1070" s="11" t="n">
        <x:v>23991326</x:v>
      </x:c>
      <x:c r="H1070" s="11" t="n">
        <x:v>0</x:v>
      </x:c>
      <x:c r="I1070" s="11" t="n">
        <x:v>23991326</x:v>
      </x:c>
      <x:c r="J1070" s="11"/>
      <x:c r="K1070" s="12" t="n">
        <x:v>1</x:v>
      </x:c>
      <x:c r="L1070" s="12"/>
      <x:c r="M1070" s="8" t="str">
        <x:v>N/A</x:v>
      </x:c>
    </x:row>
    <x:row r="1071">
      <x:c r="A1071" s="8" t="str">
        <x:v>North Saanich|Buildings</x:v>
      </x:c>
      <x:c r="B1071" s="8" t="str">
        <x:v>north-saanich-d</x:v>
      </x:c>
      <x:c r="C1071" s="8" t="str">
        <x:v>North Saanich</x:v>
      </x:c>
      <x:c r="D1071" s="8" t="str">
        <x:v>Buildings</x:v>
      </x:c>
      <x:c r="E1071" s="11" t="n">
        <x:v>9421195</x:v>
      </x:c>
      <x:c r="F1071" s="11" t="n">
        <x:v>3542530</x:v>
      </x:c>
      <x:c r="G1071" s="11" t="n">
        <x:v>5878665</x:v>
      </x:c>
      <x:c r="H1071" s="11" t="n">
        <x:v>243709</x:v>
      </x:c>
      <x:c r="I1071" s="11" t="n">
        <x:v>0</x:v>
      </x:c>
      <x:c r="J1071" s="11" t="n">
        <x:v>0</x:v>
      </x:c>
      <x:c r="K1071" s="12" t="n">
        <x:v>0.6239829448387386</x:v>
      </x:c>
      <x:c r="L1071" s="12"/>
      <x:c r="M1071" s="8" t="str">
        <x:v>In_Progress</x:v>
      </x:c>
    </x:row>
    <x:row r="1072">
      <x:c r="A1072" s="8" t="str">
        <x:v>North Saanich|Fleet</x:v>
      </x:c>
      <x:c r="B1072" s="8" t="str">
        <x:v>north-saanich-d</x:v>
      </x:c>
      <x:c r="C1072" s="8" t="str">
        <x:v>North Saanich</x:v>
      </x:c>
      <x:c r="D1072" s="8" t="str">
        <x:v>Fleet</x:v>
      </x:c>
      <x:c r="E1072" s="11" t="n">
        <x:v>11026098</x:v>
      </x:c>
      <x:c r="F1072" s="11" t="n">
        <x:v>5214077</x:v>
      </x:c>
      <x:c r="G1072" s="11" t="n">
        <x:v>5812021</x:v>
      </x:c>
      <x:c r="H1072" s="11" t="n">
        <x:v>1251332</x:v>
      </x:c>
      <x:c r="I1072" s="11" t="n">
        <x:v>0</x:v>
      </x:c>
      <x:c r="J1072" s="11" t="n">
        <x:v>0</x:v>
      </x:c>
      <x:c r="K1072" s="12" t="n">
        <x:v>0.5271149412965493</x:v>
      </x:c>
      <x:c r="L1072" s="12"/>
      <x:c r="M1072" s="8" t="str">
        <x:v>In_Progress</x:v>
      </x:c>
    </x:row>
    <x:row r="1073">
      <x:c r="A1073" s="8" t="str">
        <x:v>North Saanich|Parks and Recreation</x:v>
      </x:c>
      <x:c r="B1073" s="8" t="str">
        <x:v>north-saanich-d</x:v>
      </x:c>
      <x:c r="C1073" s="8" t="str">
        <x:v>North Saanich</x:v>
      </x:c>
      <x:c r="D1073" s="8" t="str">
        <x:v>Parks and Recreation</x:v>
      </x:c>
      <x:c r="E1073" s="11" t="n">
        <x:v>4786323</x:v>
      </x:c>
      <x:c r="F1073" s="11" t="n">
        <x:v>1593150</x:v>
      </x:c>
      <x:c r="G1073" s="11" t="n">
        <x:v>3193173</x:v>
      </x:c>
      <x:c r="H1073" s="11" t="n">
        <x:v>170034</x:v>
      </x:c>
      <x:c r="I1073" s="11" t="n">
        <x:v>0</x:v>
      </x:c>
      <x:c r="J1073" s="11" t="n">
        <x:v>0</x:v>
      </x:c>
      <x:c r="K1073" s="12" t="n">
        <x:v>0.6671453222024506</x:v>
      </x:c>
      <x:c r="L1073" s="12"/>
      <x:c r="M1073" s="8" t="str">
        <x:v>In_Progress</x:v>
      </x:c>
    </x:row>
    <x:row r="1074">
      <x:c r="A1074" s="8" t="str">
        <x:v>North Saanich|Water System</x:v>
      </x:c>
      <x:c r="B1074" s="8" t="str">
        <x:v>north-saanich-d</x:v>
      </x:c>
      <x:c r="C1074" s="8" t="str">
        <x:v>North Saanich</x:v>
      </x:c>
      <x:c r="D1074" s="8" t="str">
        <x:v>Water System</x:v>
      </x:c>
      <x:c r="E1074" s="11" t="n">
        <x:v>18436593</x:v>
      </x:c>
      <x:c r="F1074" s="11" t="n">
        <x:v>6544135</x:v>
      </x:c>
      <x:c r="G1074" s="11" t="n">
        <x:v>11892458</x:v>
      </x:c>
      <x:c r="H1074" s="11" t="n">
        <x:v>24100</x:v>
      </x:c>
      <x:c r="I1074" s="11" t="n">
        <x:v>0</x:v>
      </x:c>
      <x:c r="J1074" s="11" t="n">
        <x:v>0</x:v>
      </x:c>
      <x:c r="K1074" s="12" t="n">
        <x:v>0.645046403096277</x:v>
      </x:c>
      <x:c r="L1074" s="12"/>
      <x:c r="M1074" s="8" t="str">
        <x:v>In_Progress</x:v>
      </x:c>
    </x:row>
    <x:row r="1075">
      <x:c r="A1075" s="8" t="str">
        <x:v>North Saanich|Sewer System</x:v>
      </x:c>
      <x:c r="B1075" s="8" t="str">
        <x:v>north-saanich-d</x:v>
      </x:c>
      <x:c r="C1075" s="8" t="str">
        <x:v>North Saanich</x:v>
      </x:c>
      <x:c r="D1075" s="8" t="str">
        <x:v>Sewer System</x:v>
      </x:c>
      <x:c r="E1075" s="11" t="n">
        <x:v>28431633</x:v>
      </x:c>
      <x:c r="F1075" s="11" t="n">
        <x:v>10366584</x:v>
      </x:c>
      <x:c r="G1075" s="11" t="n">
        <x:v>18065049</x:v>
      </x:c>
      <x:c r="H1075" s="11" t="n">
        <x:v>9500</x:v>
      </x:c>
      <x:c r="I1075" s="11" t="n">
        <x:v>0</x:v>
      </x:c>
      <x:c r="J1075" s="11" t="n">
        <x:v>0</x:v>
      </x:c>
      <x:c r="K1075" s="12" t="n">
        <x:v>0.635385558050781</x:v>
      </x:c>
      <x:c r="L1075" s="12"/>
      <x:c r="M1075" s="8" t="str">
        <x:v>In_Progress</x:v>
      </x:c>
    </x:row>
    <x:row r="1076">
      <x:c r="A1076" s="8" t="str">
        <x:v>North Saanich|Drainage System</x:v>
      </x:c>
      <x:c r="B1076" s="8" t="str">
        <x:v>north-saanich-d</x:v>
      </x:c>
      <x:c r="C1076" s="8" t="str">
        <x:v>North Saanich</x:v>
      </x:c>
      <x:c r="D1076" s="8" t="str">
        <x:v>Drainage System</x:v>
      </x:c>
      <x:c r="E1076" s="11" t="n">
        <x:v>9323116</x:v>
      </x:c>
      <x:c r="F1076" s="11" t="n">
        <x:v>2543454</x:v>
      </x:c>
      <x:c r="G1076" s="11" t="n">
        <x:v>6779662</x:v>
      </x:c>
      <x:c r="H1076" s="11" t="n">
        <x:v>516947</x:v>
      </x:c>
      <x:c r="I1076" s="11" t="n">
        <x:v>0</x:v>
      </x:c>
      <x:c r="J1076" s="11" t="n">
        <x:v>0</x:v>
      </x:c>
      <x:c r="K1076" s="12" t="n">
        <x:v>0.7271884206953984</x:v>
      </x:c>
      <x:c r="L1076" s="12"/>
      <x:c r="M1076" s="8" t="str">
        <x:v>In_Progress</x:v>
      </x:c>
    </x:row>
    <x:row r="1077">
      <x:c r="A1077" s="8" t="str">
        <x:v>North Saanich|Transportation System</x:v>
      </x:c>
      <x:c r="B1077" s="8" t="str">
        <x:v>north-saanich-d</x:v>
      </x:c>
      <x:c r="C1077" s="8" t="str">
        <x:v>North Saanich</x:v>
      </x:c>
      <x:c r="D1077" s="8" t="str">
        <x:v>Transportation System</x:v>
      </x:c>
      <x:c r="E1077" s="11" t="n">
        <x:v>44379112</x:v>
      </x:c>
      <x:c r="F1077" s="11" t="n">
        <x:v>27908002</x:v>
      </x:c>
      <x:c r="G1077" s="11" t="n">
        <x:v>16471110</x:v>
      </x:c>
      <x:c r="H1077" s="11" t="n">
        <x:v>444815</x:v>
      </x:c>
      <x:c r="I1077" s="11" t="n">
        <x:v>0</x:v>
      </x:c>
      <x:c r="J1077" s="11" t="n">
        <x:v>0</x:v>
      </x:c>
      <x:c r="K1077" s="12" t="n">
        <x:v>0.3711455515378496</x:v>
      </x:c>
      <x:c r="L1077" s="12"/>
      <x:c r="M1077" s="8" t="str">
        <x:v>In_Progress</x:v>
      </x:c>
    </x:row>
    <x:row r="1078">
      <x:c r="A1078" s="8" t="str">
        <x:v>North Saanich|Other Engineering Systems</x:v>
      </x:c>
      <x:c r="B1078" s="8" t="str">
        <x:v>north-saanich-d</x:v>
      </x:c>
      <x:c r="C1078" s="8" t="str">
        <x:v>North Saanich</x:v>
      </x:c>
      <x:c r="D1078" s="8" t="str">
        <x:v>Other Engineering Systems</x:v>
      </x:c>
      <x:c r="E1078" s="11" t="n">
        <x:v>65381</x:v>
      </x:c>
      <x:c r="F1078" s="11" t="n">
        <x:v>51205</x:v>
      </x:c>
      <x:c r="G1078" s="11" t="n">
        <x:v>14176</x:v>
      </x:c>
      <x:c r="H1078" s="11" t="n">
        <x:v>0</x:v>
      </x:c>
      <x:c r="I1078" s="11" t="n">
        <x:v>0</x:v>
      </x:c>
      <x:c r="J1078" s="11" t="n">
        <x:v>0</x:v>
      </x:c>
      <x:c r="K1078" s="12" t="n">
        <x:v>0.2168214007127453</x:v>
      </x:c>
      <x:c r="L1078" s="12"/>
      <x:c r="M1078" s="8" t="str">
        <x:v>In_Progress</x:v>
      </x:c>
    </x:row>
    <x:row r="1079">
      <x:c r="A1079" s="8" t="str">
        <x:v>North Saanich|Other Tangible Capital Assets</x:v>
      </x:c>
      <x:c r="B1079" s="8" t="str">
        <x:v>north-saanich-d</x:v>
      </x:c>
      <x:c r="C1079" s="8" t="str">
        <x:v>North Saanich</x:v>
      </x:c>
      <x:c r="D1079" s="8" t="str">
        <x:v>Other Tangible Capital Assets</x:v>
      </x:c>
      <x:c r="E1079" s="11" t="n">
        <x:v>0</x:v>
      </x:c>
      <x:c r="F1079" s="11" t="n">
        <x:v>0</x:v>
      </x:c>
      <x:c r="G1079" s="11" t="n">
        <x:v>0</x:v>
      </x:c>
      <x:c r="H1079" s="11" t="n">
        <x:v>0</x:v>
      </x:c>
      <x:c r="I1079" s="11" t="n">
        <x:v>0</x:v>
      </x:c>
      <x:c r="J1079" s="11" t="n">
        <x:v>0</x:v>
      </x:c>
      <x:c r="K1079" s="12"/>
      <x:c r="L1079" s="12"/>
      <x:c r="M1079" s="8" t="str">
        <x:v>N/A</x:v>
      </x:c>
    </x:row>
    <x:row r="1080">
      <x:c r="A1080" s="8" t="str">
        <x:v>North Saanich|Work In Progress</x:v>
      </x:c>
      <x:c r="B1080" s="8" t="str">
        <x:v>north-saanich-d</x:v>
      </x:c>
      <x:c r="C1080" s="8" t="str">
        <x:v>North Saanich</x:v>
      </x:c>
      <x:c r="D1080" s="8" t="str">
        <x:v>Work In Progress</x:v>
      </x:c>
      <x:c r="E1080" s="11" t="n">
        <x:v>313296</x:v>
      </x:c>
      <x:c r="F1080" s="11"/>
      <x:c r="G1080" s="11" t="n">
        <x:v>313296</x:v>
      </x:c>
      <x:c r="H1080" s="11" t="n">
        <x:v>209847</x:v>
      </x:c>
      <x:c r="I1080" s="11" t="n">
        <x:v>313296</x:v>
      </x:c>
      <x:c r="J1080" s="11"/>
      <x:c r="K1080" s="12" t="n">
        <x:v>1</x:v>
      </x:c>
      <x:c r="L1080" s="12"/>
      <x:c r="M1080" s="8" t="str">
        <x:v>N/A</x:v>
      </x:c>
    </x:row>
    <x:row r="1081">
      <x:c r="A1081" s="8" t="str">
        <x:v>North Saanich|Total TCA</x:v>
      </x:c>
      <x:c r="B1081" s="8" t="str">
        <x:v>north-saanich-d</x:v>
      </x:c>
      <x:c r="C1081" s="8" t="str">
        <x:v>North Saanich</x:v>
      </x:c>
      <x:c r="D1081" s="8" t="str">
        <x:v>Total TCA</x:v>
      </x:c>
      <x:c r="E1081" s="11" t="n">
        <x:v>150174073</x:v>
      </x:c>
      <x:c r="F1081" s="11" t="n">
        <x:v>57763137</x:v>
      </x:c>
      <x:c r="G1081" s="11" t="n">
        <x:v>92410936</x:v>
      </x:c>
      <x:c r="H1081" s="11" t="n">
        <x:v>2870284</x:v>
      </x:c>
      <x:c r="I1081" s="11" t="n">
        <x:v>24304622</x:v>
      </x:c>
      <x:c r="J1081" s="11" t="n">
        <x:v>0</x:v>
      </x:c>
      <x:c r="K1081" s="12" t="n">
        <x:v>0.6153587909945014</x:v>
      </x:c>
      <x:c r="L1081" s="12" t="n">
        <x:v>1</x:v>
      </x:c>
      <x:c r="M1081" s="8"/>
    </x:row>
    <x:row r="1082">
      <x:c r="A1082" s="8" t="str">
        <x:v>North Vancouver (City)|Land</x:v>
      </x:c>
      <x:c r="B1082" s="8" t="str">
        <x:v>north-vancouver-c</x:v>
      </x:c>
      <x:c r="C1082" s="8" t="str">
        <x:v>North Vancouver (City)</x:v>
      </x:c>
      <x:c r="D1082" s="8" t="str">
        <x:v>Land</x:v>
      </x:c>
      <x:c r="E1082" s="11" t="n">
        <x:v>46228159</x:v>
      </x:c>
      <x:c r="F1082" s="11"/>
      <x:c r="G1082" s="11" t="n">
        <x:v>46228159</x:v>
      </x:c>
      <x:c r="H1082" s="11" t="n">
        <x:v>0</x:v>
      </x:c>
      <x:c r="I1082" s="11" t="n">
        <x:v>46228159</x:v>
      </x:c>
      <x:c r="J1082" s="11"/>
      <x:c r="K1082" s="12" t="n">
        <x:v>1</x:v>
      </x:c>
      <x:c r="L1082" s="12"/>
      <x:c r="M1082" s="8" t="str">
        <x:v>N/A</x:v>
      </x:c>
    </x:row>
    <x:row r="1083">
      <x:c r="A1083" s="8" t="str">
        <x:v>North Vancouver (City)|Buildings</x:v>
      </x:c>
      <x:c r="B1083" s="8" t="str">
        <x:v>north-vancouver-c</x:v>
      </x:c>
      <x:c r="C1083" s="8" t="str">
        <x:v>North Vancouver (City)</x:v>
      </x:c>
      <x:c r="D1083" s="8" t="str">
        <x:v>Buildings</x:v>
      </x:c>
      <x:c r="E1083" s="11" t="n">
        <x:v>153991298</x:v>
      </x:c>
      <x:c r="F1083" s="11" t="n">
        <x:v>86347323</x:v>
      </x:c>
      <x:c r="G1083" s="11" t="n">
        <x:v>67643975</x:v>
      </x:c>
      <x:c r="H1083" s="11" t="n">
        <x:v>1202737</x:v>
      </x:c>
      <x:c r="I1083" s="11" t="n">
        <x:v>335979563</x:v>
      </x:c>
      <x:c r="J1083" s="11" t="n">
        <x:v>14082819</x:v>
      </x:c>
      <x:c r="K1083" s="12" t="n">
        <x:v>0.43927141259631436</x:v>
      </x:c>
      <x:c r="L1083" s="12" t="n">
        <x:v>0.958084298716705</x:v>
      </x:c>
      <x:c r="M1083" s="8" t="str">
        <x:v>No</x:v>
      </x:c>
    </x:row>
    <x:row r="1084">
      <x:c r="A1084" s="8" t="str">
        <x:v>North Vancouver (City)|Fleet</x:v>
      </x:c>
      <x:c r="B1084" s="8" t="str">
        <x:v>north-vancouver-c</x:v>
      </x:c>
      <x:c r="C1084" s="8" t="str">
        <x:v>North Vancouver (City)</x:v>
      </x:c>
      <x:c r="D1084" s="8" t="str">
        <x:v>Fleet</x:v>
      </x:c>
      <x:c r="E1084" s="11" t="n">
        <x:v>14997283</x:v>
      </x:c>
      <x:c r="F1084" s="11" t="n">
        <x:v>6539461</x:v>
      </x:c>
      <x:c r="G1084" s="11" t="n">
        <x:v>8457822</x:v>
      </x:c>
      <x:c r="H1084" s="11" t="n">
        <x:v>975811</x:v>
      </x:c>
      <x:c r="I1084" s="11" t="n">
        <x:v>17969811</x:v>
      </x:c>
      <x:c r="J1084" s="11" t="n">
        <x:v>1829033</x:v>
      </x:c>
      <x:c r="K1084" s="12" t="n">
        <x:v>0.563956951402464</x:v>
      </x:c>
      <x:c r="L1084" s="12" t="n">
        <x:v>0.8982163474062137</x:v>
      </x:c>
      <x:c r="M1084" s="8" t="str">
        <x:v>No</x:v>
      </x:c>
    </x:row>
    <x:row r="1085">
      <x:c r="A1085" s="8" t="str">
        <x:v>North Vancouver (City)|Parks and Recreation</x:v>
      </x:c>
      <x:c r="B1085" s="8" t="str">
        <x:v>north-vancouver-c</x:v>
      </x:c>
      <x:c r="C1085" s="8" t="str">
        <x:v>North Vancouver (City)</x:v>
      </x:c>
      <x:c r="D1085" s="8" t="str">
        <x:v>Parks and Recreation</x:v>
      </x:c>
      <x:c r="E1085" s="11" t="n">
        <x:v>145506001</x:v>
      </x:c>
      <x:c r="F1085" s="11" t="n">
        <x:v>50267277</x:v>
      </x:c>
      <x:c r="G1085" s="11" t="n">
        <x:v>95238724</x:v>
      </x:c>
      <x:c r="H1085" s="11" t="n">
        <x:v>45130</x:v>
      </x:c>
      <x:c r="I1085" s="11" t="n">
        <x:v>201133633</x:v>
      </x:c>
      <x:c r="J1085" s="11" t="n">
        <x:v>7529518</x:v>
      </x:c>
      <x:c r="K1085" s="12" t="n">
        <x:v>0.6545346813565441</x:v>
      </x:c>
      <x:c r="L1085" s="12" t="n">
        <x:v>0.9625646000239055</x:v>
      </x:c>
      <x:c r="M1085" s="8" t="str">
        <x:v>No</x:v>
      </x:c>
    </x:row>
    <x:row r="1086">
      <x:c r="A1086" s="8" t="str">
        <x:v>North Vancouver (City)|Water System</x:v>
      </x:c>
      <x:c r="B1086" s="8" t="str">
        <x:v>north-vancouver-c</x:v>
      </x:c>
      <x:c r="C1086" s="8" t="str">
        <x:v>North Vancouver (City)</x:v>
      </x:c>
      <x:c r="D1086" s="8" t="str">
        <x:v>Water System</x:v>
      </x:c>
      <x:c r="E1086" s="11" t="n">
        <x:v>71644185</x:v>
      </x:c>
      <x:c r="F1086" s="11" t="n">
        <x:v>19616324</x:v>
      </x:c>
      <x:c r="G1086" s="11" t="n">
        <x:v>52027861</x:v>
      </x:c>
      <x:c r="H1086" s="11" t="n">
        <x:v>3480545</x:v>
      </x:c>
      <x:c r="I1086" s="11" t="n">
        <x:v>199337980</x:v>
      </x:c>
      <x:c r="J1086" s="11" t="n">
        <x:v>2548208</x:v>
      </x:c>
      <x:c r="K1086" s="12" t="n">
        <x:v>0.7261979600996229</x:v>
      </x:c>
      <x:c r="L1086" s="12" t="n">
        <x:v>0.9872166458193266</x:v>
      </x:c>
      <x:c r="M1086" s="8" t="str">
        <x:v>Yes</x:v>
      </x:c>
    </x:row>
    <x:row r="1087">
      <x:c r="A1087" s="8" t="str">
        <x:v>North Vancouver (City)|Sewer System</x:v>
      </x:c>
      <x:c r="B1087" s="8" t="str">
        <x:v>north-vancouver-c</x:v>
      </x:c>
      <x:c r="C1087" s="8" t="str">
        <x:v>North Vancouver (City)</x:v>
      </x:c>
      <x:c r="D1087" s="8" t="str">
        <x:v>Sewer System</x:v>
      </x:c>
      <x:c r="E1087" s="11" t="n">
        <x:v>26882438</x:v>
      </x:c>
      <x:c r="F1087" s="11" t="n">
        <x:v>9688203</x:v>
      </x:c>
      <x:c r="G1087" s="11" t="n">
        <x:v>17194235</x:v>
      </x:c>
      <x:c r="H1087" s="11" t="n">
        <x:v>1255983</x:v>
      </x:c>
      <x:c r="I1087" s="11" t="n">
        <x:v>147793367</x:v>
      </x:c>
      <x:c r="J1087" s="11" t="n">
        <x:v>1628446</x:v>
      </x:c>
      <x:c r="K1087" s="12" t="n">
        <x:v>0.639608468547384</x:v>
      </x:c>
      <x:c r="L1087" s="12" t="n">
        <x:v>0.9889816029429792</x:v>
      </x:c>
      <x:c r="M1087" s="8" t="str">
        <x:v>Yes</x:v>
      </x:c>
    </x:row>
    <x:row r="1088">
      <x:c r="A1088" s="8" t="str">
        <x:v>North Vancouver (City)|Drainage System</x:v>
      </x:c>
      <x:c r="B1088" s="8" t="str">
        <x:v>north-vancouver-c</x:v>
      </x:c>
      <x:c r="C1088" s="8" t="str">
        <x:v>North Vancouver (City)</x:v>
      </x:c>
      <x:c r="D1088" s="8" t="str">
        <x:v>Drainage System</x:v>
      </x:c>
      <x:c r="E1088" s="11" t="n">
        <x:v>40663168</x:v>
      </x:c>
      <x:c r="F1088" s="11" t="n">
        <x:v>13193386</x:v>
      </x:c>
      <x:c r="G1088" s="11" t="n">
        <x:v>27469782</x:v>
      </x:c>
      <x:c r="H1088" s="11" t="n">
        <x:v>2582924</x:v>
      </x:c>
      <x:c r="I1088" s="11" t="n">
        <x:v>145394414</x:v>
      </x:c>
      <x:c r="J1088" s="11" t="n">
        <x:v>1684177</x:v>
      </x:c>
      <x:c r="K1088" s="12" t="n">
        <x:v>0.6755445616042508</x:v>
      </x:c>
      <x:c r="L1088" s="12" t="n">
        <x:v>0.9884164944603717</x:v>
      </x:c>
      <x:c r="M1088" s="8" t="str">
        <x:v>Yes</x:v>
      </x:c>
    </x:row>
    <x:row r="1089">
      <x:c r="A1089" s="8" t="str">
        <x:v>North Vancouver (City)|Transportation System</x:v>
      </x:c>
      <x:c r="B1089" s="8" t="str">
        <x:v>north-vancouver-c</x:v>
      </x:c>
      <x:c r="C1089" s="8" t="str">
        <x:v>North Vancouver (City)</x:v>
      </x:c>
      <x:c r="D1089" s="8" t="str">
        <x:v>Transportation System</x:v>
      </x:c>
      <x:c r="E1089" s="11" t="n">
        <x:v>157398119</x:v>
      </x:c>
      <x:c r="F1089" s="11" t="n">
        <x:v>67205268</x:v>
      </x:c>
      <x:c r="G1089" s="11" t="n">
        <x:v>90192851</x:v>
      </x:c>
      <x:c r="H1089" s="11" t="n">
        <x:v>8496367</x:v>
      </x:c>
      <x:c r="I1089" s="11" t="n">
        <x:v>467991226</x:v>
      </x:c>
      <x:c r="J1089" s="11" t="n">
        <x:v>10338639</x:v>
      </x:c>
      <x:c r="K1089" s="12" t="n">
        <x:v>0.5730236903275826</x:v>
      </x:c>
      <x:c r="L1089" s="12" t="n">
        <x:v>0.9779084768567862</x:v>
      </x:c>
      <x:c r="M1089" s="8" t="str">
        <x:v>In_Progress</x:v>
      </x:c>
    </x:row>
    <x:row r="1090">
      <x:c r="A1090" s="8" t="str">
        <x:v>North Vancouver (City)|Other Engineering Systems</x:v>
      </x:c>
      <x:c r="B1090" s="8" t="str">
        <x:v>north-vancouver-c</x:v>
      </x:c>
      <x:c r="C1090" s="8" t="str">
        <x:v>North Vancouver (City)</x:v>
      </x:c>
      <x:c r="D1090" s="8" t="str">
        <x:v>Other Engineering Systems</x:v>
      </x:c>
      <x:c r="E1090" s="11" t="n">
        <x:v>0</x:v>
      </x:c>
      <x:c r="F1090" s="11" t="n">
        <x:v>0</x:v>
      </x:c>
      <x:c r="G1090" s="11" t="n">
        <x:v>0</x:v>
      </x:c>
      <x:c r="H1090" s="11" t="n">
        <x:v>0</x:v>
      </x:c>
      <x:c r="I1090" s="11" t="n">
        <x:v>0</x:v>
      </x:c>
      <x:c r="J1090" s="11" t="n">
        <x:v>0</x:v>
      </x:c>
      <x:c r="K1090" s="12"/>
      <x:c r="L1090" s="12"/>
      <x:c r="M1090" s="8"/>
    </x:row>
    <x:row r="1091">
      <x:c r="A1091" s="8" t="str">
        <x:v>North Vancouver (City)|Other Tangible Capital Assets</x:v>
      </x:c>
      <x:c r="B1091" s="8" t="str">
        <x:v>north-vancouver-c</x:v>
      </x:c>
      <x:c r="C1091" s="8" t="str">
        <x:v>North Vancouver (City)</x:v>
      </x:c>
      <x:c r="D1091" s="8" t="str">
        <x:v>Other Tangible Capital Assets</x:v>
      </x:c>
      <x:c r="E1091" s="11" t="n">
        <x:v>27847172</x:v>
      </x:c>
      <x:c r="F1091" s="11" t="n">
        <x:v>22810001</x:v>
      </x:c>
      <x:c r="G1091" s="11" t="n">
        <x:v>5037171</x:v>
      </x:c>
      <x:c r="H1091" s="11" t="n">
        <x:v>245279</x:v>
      </x:c>
      <x:c r="I1091" s="11" t="n">
        <x:v>39939044</x:v>
      </x:c>
      <x:c r="J1091" s="11" t="n">
        <x:v>4425688</x:v>
      </x:c>
      <x:c r="K1091" s="12" t="n">
        <x:v>0.18088626737393657</x:v>
      </x:c>
      <x:c r="L1091" s="12" t="n">
        <x:v>0.8891889350180741</x:v>
      </x:c>
      <x:c r="M1091" s="8" t="str">
        <x:v>N/A</x:v>
      </x:c>
    </x:row>
    <x:row r="1092">
      <x:c r="A1092" s="8" t="str">
        <x:v>North Vancouver (City)|Work In Progress</x:v>
      </x:c>
      <x:c r="B1092" s="8" t="str">
        <x:v>north-vancouver-c</x:v>
      </x:c>
      <x:c r="C1092" s="8" t="str">
        <x:v>North Vancouver (City)</x:v>
      </x:c>
      <x:c r="D1092" s="8" t="str">
        <x:v>Work In Progress</x:v>
      </x:c>
      <x:c r="E1092" s="11" t="n">
        <x:v>190162589</x:v>
      </x:c>
      <x:c r="F1092" s="11"/>
      <x:c r="G1092" s="11" t="n">
        <x:v>190162589</x:v>
      </x:c>
      <x:c r="H1092" s="11" t="n">
        <x:v>71681243</x:v>
      </x:c>
      <x:c r="I1092" s="11" t="n">
        <x:v>190162589</x:v>
      </x:c>
      <x:c r="J1092" s="11"/>
      <x:c r="K1092" s="12" t="n">
        <x:v>1</x:v>
      </x:c>
      <x:c r="L1092" s="12"/>
      <x:c r="M1092" s="8" t="str">
        <x:v>N/A</x:v>
      </x:c>
    </x:row>
    <x:row r="1093">
      <x:c r="A1093" s="8" t="str">
        <x:v>North Vancouver (City)|Total TCA</x:v>
      </x:c>
      <x:c r="B1093" s="8" t="str">
        <x:v>north-vancouver-c</x:v>
      </x:c>
      <x:c r="C1093" s="8" t="str">
        <x:v>North Vancouver (City)</x:v>
      </x:c>
      <x:c r="D1093" s="8" t="str">
        <x:v>Total TCA</x:v>
      </x:c>
      <x:c r="E1093" s="11" t="n">
        <x:v>875320412</x:v>
      </x:c>
      <x:c r="F1093" s="11" t="n">
        <x:v>275667243</x:v>
      </x:c>
      <x:c r="G1093" s="11" t="n">
        <x:v>599653169</x:v>
      </x:c>
      <x:c r="H1093" s="11" t="n">
        <x:v>89966019</x:v>
      </x:c>
      <x:c r="I1093" s="11" t="n">
        <x:v>1791929786</x:v>
      </x:c>
      <x:c r="J1093" s="11" t="n">
        <x:v>44066528</x:v>
      </x:c>
      <x:c r="K1093" s="12" t="n">
        <x:v>0.6850670460544452</x:v>
      </x:c>
      <x:c r="L1093" s="12" t="n">
        <x:v>0.9754083400229835</x:v>
      </x:c>
      <x:c r="M1093" s="8"/>
    </x:row>
    <x:row r="1094">
      <x:c r="A1094" s="8" t="str">
        <x:v>North Vancouver (District)|Land</x:v>
      </x:c>
      <x:c r="B1094" s="8" t="str">
        <x:v>north-vancouver-d</x:v>
      </x:c>
      <x:c r="C1094" s="8" t="str">
        <x:v>North Vancouver (District)</x:v>
      </x:c>
      <x:c r="D1094" s="8" t="str">
        <x:v>Land</x:v>
      </x:c>
      <x:c r="E1094" s="11" t="n">
        <x:v>177788391</x:v>
      </x:c>
      <x:c r="F1094" s="11"/>
      <x:c r="G1094" s="11" t="n">
        <x:v>177788391</x:v>
      </x:c>
      <x:c r="H1094" s="11" t="n">
        <x:v>5047996</x:v>
      </x:c>
      <x:c r="I1094" s="11" t="n">
        <x:v>177788391</x:v>
      </x:c>
      <x:c r="J1094" s="11"/>
      <x:c r="K1094" s="12" t="n">
        <x:v>1</x:v>
      </x:c>
      <x:c r="L1094" s="12"/>
      <x:c r="M1094" s="8" t="str">
        <x:v>N/A</x:v>
      </x:c>
    </x:row>
    <x:row r="1095">
      <x:c r="A1095" s="8" t="str">
        <x:v>North Vancouver (District)|Buildings</x:v>
      </x:c>
      <x:c r="B1095" s="8" t="str">
        <x:v>north-vancouver-d</x:v>
      </x:c>
      <x:c r="C1095" s="8" t="str">
        <x:v>North Vancouver (District)</x:v>
      </x:c>
      <x:c r="D1095" s="8" t="str">
        <x:v>Buildings</x:v>
      </x:c>
      <x:c r="E1095" s="11" t="n">
        <x:v>233571249</x:v>
      </x:c>
      <x:c r="F1095" s="11" t="n">
        <x:v>104297565</x:v>
      </x:c>
      <x:c r="G1095" s="11" t="n">
        <x:v>129273684</x:v>
      </x:c>
      <x:c r="H1095" s="11" t="n">
        <x:v>3375929</x:v>
      </x:c>
      <x:c r="I1095" s="11" t="n">
        <x:v>859166759</x:v>
      </x:c>
      <x:c r="J1095" s="11" t="n">
        <x:v>20636805</x:v>
      </x:c>
      <x:c r="K1095" s="12" t="n">
        <x:v>0.5534657392699903</x:v>
      </x:c>
      <x:c r="L1095" s="12" t="n">
        <x:v>0.9759804429305208</x:v>
      </x:c>
      <x:c r="M1095" s="8" t="str">
        <x:v>Yes</x:v>
      </x:c>
    </x:row>
    <x:row r="1096">
      <x:c r="A1096" s="8" t="str">
        <x:v>North Vancouver (District)|Fleet</x:v>
      </x:c>
      <x:c r="B1096" s="8" t="str">
        <x:v>north-vancouver-d</x:v>
      </x:c>
      <x:c r="C1096" s="8" t="str">
        <x:v>North Vancouver (District)</x:v>
      </x:c>
      <x:c r="D1096" s="8" t="str">
        <x:v>Fleet</x:v>
      </x:c>
      <x:c r="E1096" s="11" t="n">
        <x:v>37833076</x:v>
      </x:c>
      <x:c r="F1096" s="11" t="n">
        <x:v>17703791</x:v>
      </x:c>
      <x:c r="G1096" s="11" t="n">
        <x:v>20129285</x:v>
      </x:c>
      <x:c r="H1096" s="11" t="n">
        <x:v>9645494</x:v>
      </x:c>
      <x:c r="I1096" s="11" t="n">
        <x:v>59350500</x:v>
      </x:c>
      <x:c r="J1096" s="11" t="n">
        <x:v>5520852</x:v>
      </x:c>
      <x:c r="K1096" s="12" t="n">
        <x:v>0.5320552048160186</x:v>
      </x:c>
      <x:c r="L1096" s="12" t="n">
        <x:v>0.906978846008037</x:v>
      </x:c>
      <x:c r="M1096" s="8" t="str">
        <x:v>Yes</x:v>
      </x:c>
    </x:row>
    <x:row r="1097">
      <x:c r="A1097" s="8" t="str">
        <x:v>North Vancouver (District)|Parks and Recreation</x:v>
      </x:c>
      <x:c r="B1097" s="8" t="str">
        <x:v>north-vancouver-d</x:v>
      </x:c>
      <x:c r="C1097" s="8" t="str">
        <x:v>North Vancouver (District)</x:v>
      </x:c>
      <x:c r="D1097" s="8" t="str">
        <x:v>Parks and Recreation</x:v>
      </x:c>
      <x:c r="E1097" s="11" t="n">
        <x:v>86121767</x:v>
      </x:c>
      <x:c r="F1097" s="11" t="n">
        <x:v>47017212</x:v>
      </x:c>
      <x:c r="G1097" s="11" t="n">
        <x:v>39104555</x:v>
      </x:c>
      <x:c r="H1097" s="11" t="n">
        <x:v>11592013</x:v>
      </x:c>
      <x:c r="I1097" s="11" t="n">
        <x:v>178411075</x:v>
      </x:c>
      <x:c r="J1097" s="11" t="n">
        <x:v>7742594</x:v>
      </x:c>
      <x:c r="K1097" s="12" t="n">
        <x:v>0.4540612247307931</x:v>
      </x:c>
      <x:c r="L1097" s="12" t="n">
        <x:v>0.9566025035161074</x:v>
      </x:c>
      <x:c r="M1097" s="8" t="str">
        <x:v>Yes</x:v>
      </x:c>
    </x:row>
    <x:row r="1098">
      <x:c r="A1098" s="8" t="str">
        <x:v>North Vancouver (District)|Water System</x:v>
      </x:c>
      <x:c r="B1098" s="8" t="str">
        <x:v>north-vancouver-d</x:v>
      </x:c>
      <x:c r="C1098" s="8" t="str">
        <x:v>North Vancouver (District)</x:v>
      </x:c>
      <x:c r="D1098" s="8" t="str">
        <x:v>Water System</x:v>
      </x:c>
      <x:c r="E1098" s="11" t="n">
        <x:v>186188893</x:v>
      </x:c>
      <x:c r="F1098" s="11" t="n">
        <x:v>37752867</x:v>
      </x:c>
      <x:c r="G1098" s="11" t="n">
        <x:v>148436026</x:v>
      </x:c>
      <x:c r="H1098" s="11" t="n">
        <x:v>8056536</x:v>
      </x:c>
      <x:c r="I1098" s="11" t="n">
        <x:v>657389862</x:v>
      </x:c>
      <x:c r="J1098" s="11" t="n">
        <x:v>7820429</x:v>
      </x:c>
      <x:c r="K1098" s="12" t="n">
        <x:v>0.7972335170390642</x:v>
      </x:c>
      <x:c r="L1098" s="12" t="n">
        <x:v>0.9881038186743439</x:v>
      </x:c>
      <x:c r="M1098" s="8" t="str">
        <x:v>Yes</x:v>
      </x:c>
    </x:row>
    <x:row r="1099">
      <x:c r="A1099" s="8" t="str">
        <x:v>North Vancouver (District)|Sewer System</x:v>
      </x:c>
      <x:c r="B1099" s="8" t="str">
        <x:v>north-vancouver-d</x:v>
      </x:c>
      <x:c r="C1099" s="8" t="str">
        <x:v>North Vancouver (District)</x:v>
      </x:c>
      <x:c r="D1099" s="8" t="str">
        <x:v>Sewer System</x:v>
      </x:c>
      <x:c r="E1099" s="11" t="n">
        <x:v>80735541</x:v>
      </x:c>
      <x:c r="F1099" s="11" t="n">
        <x:v>35570399</x:v>
      </x:c>
      <x:c r="G1099" s="11" t="n">
        <x:v>45165142</x:v>
      </x:c>
      <x:c r="H1099" s="11" t="n">
        <x:v>1695006</x:v>
      </x:c>
      <x:c r="I1099" s="11" t="n">
        <x:v>410268509</x:v>
      </x:c>
      <x:c r="J1099" s="11" t="n">
        <x:v>6514356</x:v>
      </x:c>
      <x:c r="K1099" s="12" t="n">
        <x:v>0.559420813195517</x:v>
      </x:c>
      <x:c r="L1099" s="12" t="n">
        <x:v>0.984121725511231</x:v>
      </x:c>
      <x:c r="M1099" s="8" t="str">
        <x:v>Yes</x:v>
      </x:c>
    </x:row>
    <x:row r="1100">
      <x:c r="A1100" s="8" t="str">
        <x:v>North Vancouver (District)|Drainage System</x:v>
      </x:c>
      <x:c r="B1100" s="8" t="str">
        <x:v>north-vancouver-d</x:v>
      </x:c>
      <x:c r="C1100" s="8" t="str">
        <x:v>North Vancouver (District)</x:v>
      </x:c>
      <x:c r="D1100" s="8" t="str">
        <x:v>Drainage System</x:v>
      </x:c>
      <x:c r="E1100" s="11" t="n">
        <x:v>148747098</x:v>
      </x:c>
      <x:c r="F1100" s="11" t="n">
        <x:v>51175956</x:v>
      </x:c>
      <x:c r="G1100" s="11" t="n">
        <x:v>97571142</x:v>
      </x:c>
      <x:c r="H1100" s="11" t="n">
        <x:v>14044714</x:v>
      </x:c>
      <x:c r="I1100" s="11" t="n">
        <x:v>541091190</x:v>
      </x:c>
      <x:c r="J1100" s="11" t="n">
        <x:v>8815270</x:v>
      </x:c>
      <x:c r="K1100" s="12" t="n">
        <x:v>0.6559532475719291</x:v>
      </x:c>
      <x:c r="L1100" s="12" t="n">
        <x:v>0.9837083468315202</x:v>
      </x:c>
      <x:c r="M1100" s="8" t="str">
        <x:v>Yes</x:v>
      </x:c>
    </x:row>
    <x:row r="1101">
      <x:c r="A1101" s="8" t="str">
        <x:v>North Vancouver (District)|Transportation System</x:v>
      </x:c>
      <x:c r="B1101" s="8" t="str">
        <x:v>north-vancouver-d</x:v>
      </x:c>
      <x:c r="C1101" s="8" t="str">
        <x:v>North Vancouver (District)</x:v>
      </x:c>
      <x:c r="D1101" s="8" t="str">
        <x:v>Transportation System</x:v>
      </x:c>
      <x:c r="E1101" s="11" t="n">
        <x:v>293712366</x:v>
      </x:c>
      <x:c r="F1101" s="11" t="n">
        <x:v>130411801</x:v>
      </x:c>
      <x:c r="G1101" s="11" t="n">
        <x:v>163300565</x:v>
      </x:c>
      <x:c r="H1101" s="11" t="n">
        <x:v>17920426</x:v>
      </x:c>
      <x:c r="I1101" s="11" t="n">
        <x:v>961945721</x:v>
      </x:c>
      <x:c r="J1101" s="11" t="n">
        <x:v>7316267</x:v>
      </x:c>
      <x:c r="K1101" s="12" t="n">
        <x:v>0.5559880478440598</x:v>
      </x:c>
      <x:c r="L1101" s="12" t="n">
        <x:v>0.9923943037114461</x:v>
      </x:c>
      <x:c r="M1101" s="8" t="str">
        <x:v>Yes</x:v>
      </x:c>
    </x:row>
    <x:row r="1102">
      <x:c r="A1102" s="8" t="str">
        <x:v>North Vancouver (District)|Other Engineering Systems</x:v>
      </x:c>
      <x:c r="B1102" s="8" t="str">
        <x:v>north-vancouver-d</x:v>
      </x:c>
      <x:c r="C1102" s="8" t="str">
        <x:v>North Vancouver (District)</x:v>
      </x:c>
      <x:c r="D1102" s="8" t="str">
        <x:v>Other Engineering Systems</x:v>
      </x:c>
      <x:c r="E1102" s="11" t="n">
        <x:v>0</x:v>
      </x:c>
      <x:c r="F1102" s="11" t="n">
        <x:v>0</x:v>
      </x:c>
      <x:c r="G1102" s="11" t="n">
        <x:v>0</x:v>
      </x:c>
      <x:c r="H1102" s="11" t="n">
        <x:v>0</x:v>
      </x:c>
      <x:c r="I1102" s="11" t="n">
        <x:v>0</x:v>
      </x:c>
      <x:c r="J1102" s="11" t="n">
        <x:v>0</x:v>
      </x:c>
      <x:c r="K1102" s="12"/>
      <x:c r="L1102" s="12"/>
      <x:c r="M1102" s="8"/>
    </x:row>
    <x:row r="1103">
      <x:c r="A1103" s="8" t="str">
        <x:v>North Vancouver (District)|Other Tangible Capital Assets</x:v>
      </x:c>
      <x:c r="B1103" s="8" t="str">
        <x:v>north-vancouver-d</x:v>
      </x:c>
      <x:c r="C1103" s="8" t="str">
        <x:v>North Vancouver (District)</x:v>
      </x:c>
      <x:c r="D1103" s="8" t="str">
        <x:v>Other Tangible Capital Assets</x:v>
      </x:c>
      <x:c r="E1103" s="11" t="n">
        <x:v>41668034</x:v>
      </x:c>
      <x:c r="F1103" s="11" t="n">
        <x:v>23955565</x:v>
      </x:c>
      <x:c r="G1103" s="11" t="n">
        <x:v>17712469</x:v>
      </x:c>
      <x:c r="H1103" s="11" t="n">
        <x:v>2888781</x:v>
      </x:c>
      <x:c r="I1103" s="11" t="n">
        <x:v>24825374</x:v>
      </x:c>
      <x:c r="J1103" s="11" t="n">
        <x:v>2252188</x:v>
      </x:c>
      <x:c r="K1103" s="12" t="n">
        <x:v>0.4250853064005852</x:v>
      </x:c>
      <x:c r="L1103" s="12" t="n">
        <x:v>0.9092787887102929</x:v>
      </x:c>
      <x:c r="M1103" s="8" t="str">
        <x:v>N/A</x:v>
      </x:c>
    </x:row>
    <x:row r="1104">
      <x:c r="A1104" s="8" t="str">
        <x:v>North Vancouver (District)|Work In Progress</x:v>
      </x:c>
      <x:c r="B1104" s="8" t="str">
        <x:v>north-vancouver-d</x:v>
      </x:c>
      <x:c r="C1104" s="8" t="str">
        <x:v>North Vancouver (District)</x:v>
      </x:c>
      <x:c r="D1104" s="8" t="str">
        <x:v>Work In Progress</x:v>
      </x:c>
      <x:c r="E1104" s="11" t="n">
        <x:v>119915616</x:v>
      </x:c>
      <x:c r="F1104" s="11"/>
      <x:c r="G1104" s="11" t="n">
        <x:v>119915616</x:v>
      </x:c>
      <x:c r="H1104" s="11" t="n">
        <x:v>2130906</x:v>
      </x:c>
      <x:c r="I1104" s="11" t="n">
        <x:v>119915616</x:v>
      </x:c>
      <x:c r="J1104" s="11"/>
      <x:c r="K1104" s="12" t="n">
        <x:v>1</x:v>
      </x:c>
      <x:c r="L1104" s="12"/>
      <x:c r="M1104" s="8" t="str">
        <x:v>N/A</x:v>
      </x:c>
    </x:row>
    <x:row r="1105">
      <x:c r="A1105" s="8" t="str">
        <x:v>North Vancouver (District)|Total TCA</x:v>
      </x:c>
      <x:c r="B1105" s="8" t="str">
        <x:v>north-vancouver-d</x:v>
      </x:c>
      <x:c r="C1105" s="8" t="str">
        <x:v>North Vancouver (District)</x:v>
      </x:c>
      <x:c r="D1105" s="8" t="str">
        <x:v>Total TCA</x:v>
      </x:c>
      <x:c r="E1105" s="11" t="n">
        <x:v>1406282031</x:v>
      </x:c>
      <x:c r="F1105" s="11" t="n">
        <x:v>447885156</x:v>
      </x:c>
      <x:c r="G1105" s="11" t="n">
        <x:v>958396875</x:v>
      </x:c>
      <x:c r="H1105" s="11" t="n">
        <x:v>76397801</x:v>
      </x:c>
      <x:c r="I1105" s="11" t="n">
        <x:v>3990152997</x:v>
      </x:c>
      <x:c r="J1105" s="11" t="n">
        <x:v>66618761</x:v>
      </x:c>
      <x:c r="K1105" s="12" t="n">
        <x:v>0.681511143478445</x:v>
      </x:c>
      <x:c r="L1105" s="12" t="n">
        <x:v>0.9833042088736729</x:v>
      </x:c>
      <x:c r="M1105" s="8"/>
    </x:row>
    <x:row r="1106">
      <x:c r="A1106" s="8" t="str">
        <x:v>Northern Rockies|Land</x:v>
      </x:c>
      <x:c r="B1106" s="8" t="str">
        <x:v>northern-rockies-d</x:v>
      </x:c>
      <x:c r="C1106" s="8" t="str">
        <x:v>Northern Rockies</x:v>
      </x:c>
      <x:c r="D1106" s="8" t="str">
        <x:v>Land</x:v>
      </x:c>
      <x:c r="E1106" s="11" t="n">
        <x:v>5627730</x:v>
      </x:c>
      <x:c r="F1106" s="11"/>
      <x:c r="G1106" s="11" t="n">
        <x:v>5627730</x:v>
      </x:c>
      <x:c r="H1106" s="11" t="n">
        <x:v>0</x:v>
      </x:c>
      <x:c r="I1106" s="11" t="n">
        <x:v>5627730</x:v>
      </x:c>
      <x:c r="J1106" s="11"/>
      <x:c r="K1106" s="12" t="n">
        <x:v>1</x:v>
      </x:c>
      <x:c r="L1106" s="12"/>
      <x:c r="M1106" s="8" t="str">
        <x:v>N/A</x:v>
      </x:c>
    </x:row>
    <x:row r="1107">
      <x:c r="A1107" s="8" t="str">
        <x:v>Northern Rockies|Buildings</x:v>
      </x:c>
      <x:c r="B1107" s="8" t="str">
        <x:v>northern-rockies-d</x:v>
      </x:c>
      <x:c r="C1107" s="8" t="str">
        <x:v>Northern Rockies</x:v>
      </x:c>
      <x:c r="D1107" s="8" t="str">
        <x:v>Buildings</x:v>
      </x:c>
      <x:c r="E1107" s="11" t="n">
        <x:v>110379210</x:v>
      </x:c>
      <x:c r="F1107" s="11" t="n">
        <x:v>32930188</x:v>
      </x:c>
      <x:c r="G1107" s="11" t="n">
        <x:v>77449022</x:v>
      </x:c>
      <x:c r="H1107" s="11" t="n">
        <x:v>0</x:v>
      </x:c>
      <x:c r="I1107" s="11" t="n">
        <x:v>104000000</x:v>
      </x:c>
      <x:c r="J1107" s="11" t="n">
        <x:v>2080000</x:v>
      </x:c>
      <x:c r="K1107" s="12" t="n">
        <x:v>0.7016631302217148</x:v>
      </x:c>
      <x:c r="L1107" s="12" t="n">
        <x:v>0.98</x:v>
      </x:c>
      <x:c r="M1107" s="8" t="str">
        <x:v>Yes</x:v>
      </x:c>
    </x:row>
    <x:row r="1108">
      <x:c r="A1108" s="8" t="str">
        <x:v>Northern Rockies|Fleet</x:v>
      </x:c>
      <x:c r="B1108" s="8" t="str">
        <x:v>northern-rockies-d</x:v>
      </x:c>
      <x:c r="C1108" s="8" t="str">
        <x:v>Northern Rockies</x:v>
      </x:c>
      <x:c r="D1108" s="8" t="str">
        <x:v>Fleet</x:v>
      </x:c>
      <x:c r="E1108" s="11" t="n">
        <x:v>23211054</x:v>
      </x:c>
      <x:c r="F1108" s="11" t="n">
        <x:v>17377264</x:v>
      </x:c>
      <x:c r="G1108" s="11" t="n">
        <x:v>5833790</x:v>
      </x:c>
      <x:c r="H1108" s="11" t="n">
        <x:v>779404</x:v>
      </x:c>
      <x:c r="I1108" s="11" t="n">
        <x:v>14000000</x:v>
      </x:c>
      <x:c r="J1108" s="11" t="n">
        <x:v>933333</x:v>
      </x:c>
      <x:c r="K1108" s="12" t="n">
        <x:v>0.2513367122406419</x:v>
      </x:c>
      <x:c r="L1108" s="12" t="n">
        <x:v>0.9333333571428571</x:v>
      </x:c>
      <x:c r="M1108" s="8" t="str">
        <x:v>Yes</x:v>
      </x:c>
    </x:row>
    <x:row r="1109">
      <x:c r="A1109" s="8" t="str">
        <x:v>Northern Rockies|Parks and Recreation</x:v>
      </x:c>
      <x:c r="B1109" s="8" t="str">
        <x:v>northern-rockies-d</x:v>
      </x:c>
      <x:c r="C1109" s="8" t="str">
        <x:v>Northern Rockies</x:v>
      </x:c>
      <x:c r="D1109" s="8" t="str">
        <x:v>Parks and Recreation</x:v>
      </x:c>
      <x:c r="E1109" s="11" t="n">
        <x:v>5457777</x:v>
      </x:c>
      <x:c r="F1109" s="11" t="n">
        <x:v>2370249</x:v>
      </x:c>
      <x:c r="G1109" s="11" t="n">
        <x:v>3087528</x:v>
      </x:c>
      <x:c r="H1109" s="11" t="n">
        <x:v>0</x:v>
      </x:c>
      <x:c r="I1109" s="11" t="n">
        <x:v>1700000</x:v>
      </x:c>
      <x:c r="J1109" s="11" t="n">
        <x:v>42500</x:v>
      </x:c>
      <x:c r="K1109" s="12" t="n">
        <x:v>0.5657116441364314</x:v>
      </x:c>
      <x:c r="L1109" s="12" t="n">
        <x:v>0.975</x:v>
      </x:c>
      <x:c r="M1109" s="8" t="str">
        <x:v>Yes</x:v>
      </x:c>
    </x:row>
    <x:row r="1110">
      <x:c r="A1110" s="8" t="str">
        <x:v>Northern Rockies|Water System</x:v>
      </x:c>
      <x:c r="B1110" s="8" t="str">
        <x:v>northern-rockies-d</x:v>
      </x:c>
      <x:c r="C1110" s="8" t="str">
        <x:v>Northern Rockies</x:v>
      </x:c>
      <x:c r="D1110" s="8" t="str">
        <x:v>Water System</x:v>
      </x:c>
      <x:c r="E1110" s="11" t="n">
        <x:v>55008805</x:v>
      </x:c>
      <x:c r="F1110" s="11" t="n">
        <x:v>21761030</x:v>
      </x:c>
      <x:c r="G1110" s="11" t="n">
        <x:v>33247775</x:v>
      </x:c>
      <x:c r="H1110" s="11" t="n">
        <x:v>0</x:v>
      </x:c>
      <x:c r="I1110" s="11" t="n">
        <x:v>119000000</x:v>
      </x:c>
      <x:c r="J1110" s="11" t="n">
        <x:v>2766666</x:v>
      </x:c>
      <x:c r="K1110" s="12" t="n">
        <x:v>0.6044082397354387</x:v>
      </x:c>
      <x:c r="L1110" s="12" t="n">
        <x:v>0.9767507058823529</x:v>
      </x:c>
      <x:c r="M1110" s="8" t="str">
        <x:v>Yes</x:v>
      </x:c>
    </x:row>
    <x:row r="1111">
      <x:c r="A1111" s="8" t="str">
        <x:v>Northern Rockies|Sewer System</x:v>
      </x:c>
      <x:c r="B1111" s="8" t="str">
        <x:v>northern-rockies-d</x:v>
      </x:c>
      <x:c r="C1111" s="8" t="str">
        <x:v>Northern Rockies</x:v>
      </x:c>
      <x:c r="D1111" s="8" t="str">
        <x:v>Sewer System</x:v>
      </x:c>
      <x:c r="E1111" s="11" t="n">
        <x:v>41368677</x:v>
      </x:c>
      <x:c r="F1111" s="11" t="n">
        <x:v>16545696</x:v>
      </x:c>
      <x:c r="G1111" s="11" t="n">
        <x:v>24822981</x:v>
      </x:c>
      <x:c r="H1111" s="11" t="n">
        <x:v>608984</x:v>
      </x:c>
      <x:c r="I1111" s="11" t="n">
        <x:v>57000000</x:v>
      </x:c>
      <x:c r="J1111" s="11" t="n">
        <x:v>1131818</x:v>
      </x:c>
      <x:c r="K1111" s="12" t="n">
        <x:v>0.6000429020246405</x:v>
      </x:c>
      <x:c r="L1111" s="12" t="n">
        <x:v>0.9801435438596491</x:v>
      </x:c>
      <x:c r="M1111" s="8" t="str">
        <x:v>Yes</x:v>
      </x:c>
    </x:row>
    <x:row r="1112">
      <x:c r="A1112" s="8" t="str">
        <x:v>Northern Rockies|Drainage System</x:v>
      </x:c>
      <x:c r="B1112" s="8" t="str">
        <x:v>northern-rockies-d</x:v>
      </x:c>
      <x:c r="C1112" s="8" t="str">
        <x:v>Northern Rockies</x:v>
      </x:c>
      <x:c r="D1112" s="8" t="str">
        <x:v>Drainage System</x:v>
      </x:c>
      <x:c r="E1112" s="11" t="n">
        <x:v>0</x:v>
      </x:c>
      <x:c r="F1112" s="11" t="n">
        <x:v>0</x:v>
      </x:c>
      <x:c r="G1112" s="11" t="n">
        <x:v>0</x:v>
      </x:c>
      <x:c r="H1112" s="11" t="n">
        <x:v>0</x:v>
      </x:c>
      <x:c r="I1112" s="11" t="n">
        <x:v>0</x:v>
      </x:c>
      <x:c r="J1112" s="11" t="n">
        <x:v>0</x:v>
      </x:c>
      <x:c r="K1112" s="12"/>
      <x:c r="L1112" s="12"/>
      <x:c r="M1112" s="8"/>
    </x:row>
    <x:row r="1113">
      <x:c r="A1113" s="8" t="str">
        <x:v>Northern Rockies|Transportation System</x:v>
      </x:c>
      <x:c r="B1113" s="8" t="str">
        <x:v>northern-rockies-d</x:v>
      </x:c>
      <x:c r="C1113" s="8" t="str">
        <x:v>Northern Rockies</x:v>
      </x:c>
      <x:c r="D1113" s="8" t="str">
        <x:v>Transportation System</x:v>
      </x:c>
      <x:c r="E1113" s="11" t="n">
        <x:v>70337106</x:v>
      </x:c>
      <x:c r="F1113" s="11" t="n">
        <x:v>35696836</x:v>
      </x:c>
      <x:c r="G1113" s="11" t="n">
        <x:v>34640270</x:v>
      </x:c>
      <x:c r="H1113" s="11" t="n">
        <x:v>2513528</x:v>
      </x:c>
      <x:c r="I1113" s="11" t="n">
        <x:v>175200000</x:v>
      </x:c>
      <x:c r="J1113" s="11" t="n">
        <x:v>6008000</x:v>
      </x:c>
      <x:c r="K1113" s="12" t="n">
        <x:v>0.4924892701727023</x:v>
      </x:c>
      <x:c r="L1113" s="12" t="n">
        <x:v>0.9657077625570776</x:v>
      </x:c>
      <x:c r="M1113" s="8" t="str">
        <x:v>Yes</x:v>
      </x:c>
    </x:row>
    <x:row r="1114">
      <x:c r="A1114" s="8" t="str">
        <x:v>Northern Rockies|Other Engineering Systems</x:v>
      </x:c>
      <x:c r="B1114" s="8" t="str">
        <x:v>northern-rockies-d</x:v>
      </x:c>
      <x:c r="C1114" s="8" t="str">
        <x:v>Northern Rockies</x:v>
      </x:c>
      <x:c r="D1114" s="8" t="str">
        <x:v>Other Engineering Systems</x:v>
      </x:c>
      <x:c r="E1114" s="11" t="n">
        <x:v>40543210</x:v>
      </x:c>
      <x:c r="F1114" s="11" t="n">
        <x:v>20533797</x:v>
      </x:c>
      <x:c r="G1114" s="11" t="n">
        <x:v>20009413</x:v>
      </x:c>
      <x:c r="H1114" s="11" t="n">
        <x:v>0</x:v>
      </x:c>
      <x:c r="I1114" s="11" t="n">
        <x:v>137000000</x:v>
      </x:c>
      <x:c r="J1114" s="11" t="n">
        <x:v>3425000</x:v>
      </x:c>
      <x:c r="K1114" s="12" t="n">
        <x:v>0.4935330231622015</x:v>
      </x:c>
      <x:c r="L1114" s="12" t="n">
        <x:v>0.975</x:v>
      </x:c>
      <x:c r="M1114" s="8" t="str">
        <x:v>Yes</x:v>
      </x:c>
    </x:row>
    <x:row r="1115">
      <x:c r="A1115" s="8" t="str">
        <x:v>Northern Rockies|Other Tangible Capital Assets</x:v>
      </x:c>
      <x:c r="B1115" s="8" t="str">
        <x:v>northern-rockies-d</x:v>
      </x:c>
      <x:c r="C1115" s="8" t="str">
        <x:v>Northern Rockies</x:v>
      </x:c>
      <x:c r="D1115" s="8" t="str">
        <x:v>Other Tangible Capital Assets</x:v>
      </x:c>
      <x:c r="E1115" s="11" t="n">
        <x:v>0</x:v>
      </x:c>
      <x:c r="F1115" s="11" t="n">
        <x:v>0</x:v>
      </x:c>
      <x:c r="G1115" s="11" t="n">
        <x:v>0</x:v>
      </x:c>
      <x:c r="H1115" s="11" t="n">
        <x:v>0</x:v>
      </x:c>
      <x:c r="I1115" s="11" t="n">
        <x:v>0</x:v>
      </x:c>
      <x:c r="J1115" s="11" t="n">
        <x:v>0</x:v>
      </x:c>
      <x:c r="K1115" s="12"/>
      <x:c r="L1115" s="12"/>
      <x:c r="M1115" s="8" t="str">
        <x:v>N/A</x:v>
      </x:c>
    </x:row>
    <x:row r="1116">
      <x:c r="A1116" s="8" t="str">
        <x:v>Northern Rockies|Work In Progress</x:v>
      </x:c>
      <x:c r="B1116" s="8" t="str">
        <x:v>northern-rockies-d</x:v>
      </x:c>
      <x:c r="C1116" s="8" t="str">
        <x:v>Northern Rockies</x:v>
      </x:c>
      <x:c r="D1116" s="8" t="str">
        <x:v>Work In Progress</x:v>
      </x:c>
      <x:c r="E1116" s="11" t="n">
        <x:v>11904851</x:v>
      </x:c>
      <x:c r="F1116" s="11"/>
      <x:c r="G1116" s="11" t="n">
        <x:v>11904851</x:v>
      </x:c>
      <x:c r="H1116" s="11" t="n">
        <x:v>5687857</x:v>
      </x:c>
      <x:c r="I1116" s="11" t="n">
        <x:v>11904851</x:v>
      </x:c>
      <x:c r="J1116" s="11"/>
      <x:c r="K1116" s="12" t="n">
        <x:v>1</x:v>
      </x:c>
      <x:c r="L1116" s="12"/>
      <x:c r="M1116" s="8" t="str">
        <x:v>N/A</x:v>
      </x:c>
    </x:row>
    <x:row r="1117">
      <x:c r="A1117" s="8" t="str">
        <x:v>Northern Rockies|Total TCA</x:v>
      </x:c>
      <x:c r="B1117" s="8" t="str">
        <x:v>northern-rockies-d</x:v>
      </x:c>
      <x:c r="C1117" s="8" t="str">
        <x:v>Northern Rockies</x:v>
      </x:c>
      <x:c r="D1117" s="8" t="str">
        <x:v>Total TCA</x:v>
      </x:c>
      <x:c r="E1117" s="11" t="n">
        <x:v>363838420</x:v>
      </x:c>
      <x:c r="F1117" s="11" t="n">
        <x:v>147215060</x:v>
      </x:c>
      <x:c r="G1117" s="11" t="n">
        <x:v>216623360</x:v>
      </x:c>
      <x:c r="H1117" s="11" t="n">
        <x:v>9589773</x:v>
      </x:c>
      <x:c r="I1117" s="11" t="n">
        <x:v>625432581</x:v>
      </x:c>
      <x:c r="J1117" s="11" t="n">
        <x:v>16387317</x:v>
      </x:c>
      <x:c r="K1117" s="12" t="n">
        <x:v>0.5953834122300773</x:v>
      </x:c>
      <x:c r="L1117" s="12" t="n">
        <x:v>0.9737984276837666</x:v>
      </x:c>
      <x:c r="M1117" s="8"/>
    </x:row>
    <x:row r="1118">
      <x:c r="A1118" s="8" t="str">
        <x:v>Oak Bay|Land</x:v>
      </x:c>
      <x:c r="B1118" s="8" t="str">
        <x:v>oak-bay-d</x:v>
      </x:c>
      <x:c r="C1118" s="8" t="str">
        <x:v>Oak Bay</x:v>
      </x:c>
      <x:c r="D1118" s="8" t="str">
        <x:v>Land</x:v>
      </x:c>
      <x:c r="E1118" s="11" t="n">
        <x:v>2852877</x:v>
      </x:c>
      <x:c r="F1118" s="11"/>
      <x:c r="G1118" s="11" t="n">
        <x:v>2852877</x:v>
      </x:c>
      <x:c r="H1118" s="11" t="n">
        <x:v>0</x:v>
      </x:c>
      <x:c r="I1118" s="11" t="n">
        <x:v>2852877</x:v>
      </x:c>
      <x:c r="J1118" s="11"/>
      <x:c r="K1118" s="12" t="n">
        <x:v>1</x:v>
      </x:c>
      <x:c r="L1118" s="12"/>
      <x:c r="M1118" s="8" t="str">
        <x:v>N/A</x:v>
      </x:c>
    </x:row>
    <x:row r="1119">
      <x:c r="A1119" s="8" t="str">
        <x:v>Oak Bay|Buildings</x:v>
      </x:c>
      <x:c r="B1119" s="8" t="str">
        <x:v>oak-bay-d</x:v>
      </x:c>
      <x:c r="C1119" s="8" t="str">
        <x:v>Oak Bay</x:v>
      </x:c>
      <x:c r="D1119" s="8" t="str">
        <x:v>Buildings</x:v>
      </x:c>
      <x:c r="E1119" s="11" t="n">
        <x:v>31677785</x:v>
      </x:c>
      <x:c r="F1119" s="11" t="n">
        <x:v>12262505</x:v>
      </x:c>
      <x:c r="G1119" s="11" t="n">
        <x:v>19415280</x:v>
      </x:c>
      <x:c r="H1119" s="11" t="n">
        <x:v>1343358</x:v>
      </x:c>
      <x:c r="I1119" s="11" t="n">
        <x:v>0</x:v>
      </x:c>
      <x:c r="J1119" s="11" t="n">
        <x:v>0</x:v>
      </x:c>
      <x:c r="K1119" s="12" t="n">
        <x:v>0.6128989132289394</x:v>
      </x:c>
      <x:c r="L1119" s="12"/>
      <x:c r="M1119" s="8" t="str">
        <x:v>In_Progress</x:v>
      </x:c>
    </x:row>
    <x:row r="1120">
      <x:c r="A1120" s="8" t="str">
        <x:v>Oak Bay|Fleet</x:v>
      </x:c>
      <x:c r="B1120" s="8" t="str">
        <x:v>oak-bay-d</x:v>
      </x:c>
      <x:c r="C1120" s="8" t="str">
        <x:v>Oak Bay</x:v>
      </x:c>
      <x:c r="D1120" s="8" t="str">
        <x:v>Fleet</x:v>
      </x:c>
      <x:c r="E1120" s="11" t="n">
        <x:v>11574261</x:v>
      </x:c>
      <x:c r="F1120" s="11" t="n">
        <x:v>4837965</x:v>
      </x:c>
      <x:c r="G1120" s="11" t="n">
        <x:v>6736296</x:v>
      </x:c>
      <x:c r="H1120" s="11" t="n">
        <x:v>3469371</x:v>
      </x:c>
      <x:c r="I1120" s="11" t="n">
        <x:v>0</x:v>
      </x:c>
      <x:c r="J1120" s="11" t="n">
        <x:v>0</x:v>
      </x:c>
      <x:c r="K1120" s="12" t="n">
        <x:v>0.582006574761015</x:v>
      </x:c>
      <x:c r="L1120" s="12"/>
      <x:c r="M1120" s="8" t="str">
        <x:v>In_Progress</x:v>
      </x:c>
    </x:row>
    <x:row r="1121">
      <x:c r="A1121" s="8" t="str">
        <x:v>Oak Bay|Parks and Recreation</x:v>
      </x:c>
      <x:c r="B1121" s="8" t="str">
        <x:v>oak-bay-d</x:v>
      </x:c>
      <x:c r="C1121" s="8" t="str">
        <x:v>Oak Bay</x:v>
      </x:c>
      <x:c r="D1121" s="8" t="str">
        <x:v>Parks and Recreation</x:v>
      </x:c>
      <x:c r="E1121" s="11" t="n">
        <x:v>2972791</x:v>
      </x:c>
      <x:c r="F1121" s="11" t="n">
        <x:v>901901</x:v>
      </x:c>
      <x:c r="G1121" s="11" t="n">
        <x:v>2070890</x:v>
      </x:c>
      <x:c r="H1121" s="11" t="n">
        <x:v>214549</x:v>
      </x:c>
      <x:c r="I1121" s="11" t="n">
        <x:v>0</x:v>
      </x:c>
      <x:c r="J1121" s="11" t="n">
        <x:v>0</x:v>
      </x:c>
      <x:c r="K1121" s="12" t="n">
        <x:v>0.696614730063432</x:v>
      </x:c>
      <x:c r="L1121" s="12"/>
      <x:c r="M1121" s="8" t="str">
        <x:v>In_Progress</x:v>
      </x:c>
    </x:row>
    <x:row r="1122">
      <x:c r="A1122" s="8" t="str">
        <x:v>Oak Bay|Water System</x:v>
      </x:c>
      <x:c r="B1122" s="8" t="str">
        <x:v>oak-bay-d</x:v>
      </x:c>
      <x:c r="C1122" s="8" t="str">
        <x:v>Oak Bay</x:v>
      </x:c>
      <x:c r="D1122" s="8" t="str">
        <x:v>Water System</x:v>
      </x:c>
      <x:c r="E1122" s="11" t="n">
        <x:v>22324100</x:v>
      </x:c>
      <x:c r="F1122" s="11" t="n">
        <x:v>7415528</x:v>
      </x:c>
      <x:c r="G1122" s="11" t="n">
        <x:v>14908572</x:v>
      </x:c>
      <x:c r="H1122" s="11" t="n">
        <x:v>62710</x:v>
      </x:c>
      <x:c r="I1122" s="11" t="n">
        <x:v>0</x:v>
      </x:c>
      <x:c r="J1122" s="11" t="n">
        <x:v>0</x:v>
      </x:c>
      <x:c r="K1122" s="12" t="n">
        <x:v>0.6678241004116627</x:v>
      </x:c>
      <x:c r="L1122" s="12"/>
      <x:c r="M1122" s="8" t="str">
        <x:v>In_Progress</x:v>
      </x:c>
    </x:row>
    <x:row r="1123">
      <x:c r="A1123" s="8" t="str">
        <x:v>Oak Bay|Sewer System</x:v>
      </x:c>
      <x:c r="B1123" s="8" t="str">
        <x:v>oak-bay-d</x:v>
      </x:c>
      <x:c r="C1123" s="8" t="str">
        <x:v>Oak Bay</x:v>
      </x:c>
      <x:c r="D1123" s="8" t="str">
        <x:v>Sewer System</x:v>
      </x:c>
      <x:c r="E1123" s="11" t="n">
        <x:v>15499983</x:v>
      </x:c>
      <x:c r="F1123" s="11" t="n">
        <x:v>5199324</x:v>
      </x:c>
      <x:c r="G1123" s="11" t="n">
        <x:v>10300659</x:v>
      </x:c>
      <x:c r="H1123" s="11" t="n">
        <x:v>1838434</x:v>
      </x:c>
      <x:c r="I1123" s="11" t="n">
        <x:v>0</x:v>
      </x:c>
      <x:c r="J1123" s="11" t="n">
        <x:v>0</x:v>
      </x:c>
      <x:c r="K1123" s="12" t="n">
        <x:v>0.6645593740328618</x:v>
      </x:c>
      <x:c r="L1123" s="12"/>
      <x:c r="M1123" s="8" t="str">
        <x:v>In_Progress</x:v>
      </x:c>
    </x:row>
    <x:row r="1124">
      <x:c r="A1124" s="8" t="str">
        <x:v>Oak Bay|Drainage System</x:v>
      </x:c>
      <x:c r="B1124" s="8" t="str">
        <x:v>oak-bay-d</x:v>
      </x:c>
      <x:c r="C1124" s="8" t="str">
        <x:v>Oak Bay</x:v>
      </x:c>
      <x:c r="D1124" s="8" t="str">
        <x:v>Drainage System</x:v>
      </x:c>
      <x:c r="E1124" s="11" t="n">
        <x:v>16595076</x:v>
      </x:c>
      <x:c r="F1124" s="11" t="n">
        <x:v>6444191</x:v>
      </x:c>
      <x:c r="G1124" s="11" t="n">
        <x:v>10150885</x:v>
      </x:c>
      <x:c r="H1124" s="11" t="n">
        <x:v>2999798</x:v>
      </x:c>
      <x:c r="I1124" s="11" t="n">
        <x:v>0</x:v>
      </x:c>
      <x:c r="J1124" s="11" t="n">
        <x:v>0</x:v>
      </x:c>
      <x:c r="K1124" s="12" t="n">
        <x:v>0.6116805370460491</x:v>
      </x:c>
      <x:c r="L1124" s="12"/>
      <x:c r="M1124" s="8" t="str">
        <x:v>In_Progress</x:v>
      </x:c>
    </x:row>
    <x:row r="1125">
      <x:c r="A1125" s="8" t="str">
        <x:v>Oak Bay|Transportation System</x:v>
      </x:c>
      <x:c r="B1125" s="8" t="str">
        <x:v>oak-bay-d</x:v>
      </x:c>
      <x:c r="C1125" s="8" t="str">
        <x:v>Oak Bay</x:v>
      </x:c>
      <x:c r="D1125" s="8" t="str">
        <x:v>Transportation System</x:v>
      </x:c>
      <x:c r="E1125" s="11" t="n">
        <x:v>35669345</x:v>
      </x:c>
      <x:c r="F1125" s="11" t="n">
        <x:v>17556448</x:v>
      </x:c>
      <x:c r="G1125" s="11" t="n">
        <x:v>18112897</x:v>
      </x:c>
      <x:c r="H1125" s="11" t="n">
        <x:v>1095247</x:v>
      </x:c>
      <x:c r="I1125" s="11" t="n">
        <x:v>0</x:v>
      </x:c>
      <x:c r="J1125" s="11" t="n">
        <x:v>0</x:v>
      </x:c>
      <x:c r="K1125" s="12" t="n">
        <x:v>0.507800101179318</x:v>
      </x:c>
      <x:c r="L1125" s="12"/>
      <x:c r="M1125" s="8" t="str">
        <x:v>In_Progress</x:v>
      </x:c>
    </x:row>
    <x:row r="1126">
      <x:c r="A1126" s="8" t="str">
        <x:v>Oak Bay|Other Engineering Systems</x:v>
      </x:c>
      <x:c r="B1126" s="8" t="str">
        <x:v>oak-bay-d</x:v>
      </x:c>
      <x:c r="C1126" s="8" t="str">
        <x:v>Oak Bay</x:v>
      </x:c>
      <x:c r="D1126" s="8" t="str">
        <x:v>Other Engineering Systems</x:v>
      </x:c>
      <x:c r="E1126" s="11" t="n">
        <x:v>0</x:v>
      </x:c>
      <x:c r="F1126" s="11" t="n">
        <x:v>0</x:v>
      </x:c>
      <x:c r="G1126" s="11" t="n">
        <x:v>0</x:v>
      </x:c>
      <x:c r="H1126" s="11" t="n">
        <x:v>0</x:v>
      </x:c>
      <x:c r="I1126" s="11" t="n">
        <x:v>0</x:v>
      </x:c>
      <x:c r="J1126" s="11" t="n">
        <x:v>0</x:v>
      </x:c>
      <x:c r="K1126" s="12"/>
      <x:c r="L1126" s="12"/>
      <x:c r="M1126" s="8"/>
    </x:row>
    <x:row r="1127">
      <x:c r="A1127" s="8" t="str">
        <x:v>Oak Bay|Other Tangible Capital Assets</x:v>
      </x:c>
      <x:c r="B1127" s="8" t="str">
        <x:v>oak-bay-d</x:v>
      </x:c>
      <x:c r="C1127" s="8" t="str">
        <x:v>Oak Bay</x:v>
      </x:c>
      <x:c r="D1127" s="8" t="str">
        <x:v>Other Tangible Capital Assets</x:v>
      </x:c>
      <x:c r="E1127" s="11" t="n">
        <x:v>7505542</x:v>
      </x:c>
      <x:c r="F1127" s="11" t="n">
        <x:v>5473175</x:v>
      </x:c>
      <x:c r="G1127" s="11" t="n">
        <x:v>2032367</x:v>
      </x:c>
      <x:c r="H1127" s="11" t="n">
        <x:v>698758</x:v>
      </x:c>
      <x:c r="I1127" s="11" t="n">
        <x:v>0</x:v>
      </x:c>
      <x:c r="J1127" s="11" t="n">
        <x:v>0</x:v>
      </x:c>
      <x:c r="K1127" s="12" t="n">
        <x:v>0.2707821766902377</x:v>
      </x:c>
      <x:c r="L1127" s="12"/>
      <x:c r="M1127" s="8" t="str">
        <x:v>N/A</x:v>
      </x:c>
    </x:row>
    <x:row r="1128">
      <x:c r="A1128" s="8" t="str">
        <x:v>Oak Bay|Work In Progress</x:v>
      </x:c>
      <x:c r="B1128" s="8" t="str">
        <x:v>oak-bay-d</x:v>
      </x:c>
      <x:c r="C1128" s="8" t="str">
        <x:v>Oak Bay</x:v>
      </x:c>
      <x:c r="D1128" s="8" t="str">
        <x:v>Work In Progress</x:v>
      </x:c>
      <x:c r="E1128" s="11" t="n">
        <x:v>14075950</x:v>
      </x:c>
      <x:c r="F1128" s="11"/>
      <x:c r="G1128" s="11" t="n">
        <x:v>14075950</x:v>
      </x:c>
      <x:c r="H1128" s="11" t="n">
        <x:v>5031365</x:v>
      </x:c>
      <x:c r="I1128" s="11" t="n">
        <x:v>14075950</x:v>
      </x:c>
      <x:c r="J1128" s="11"/>
      <x:c r="K1128" s="12" t="n">
        <x:v>1</x:v>
      </x:c>
      <x:c r="L1128" s="12"/>
      <x:c r="M1128" s="8" t="str">
        <x:v>N/A</x:v>
      </x:c>
    </x:row>
    <x:row r="1129">
      <x:c r="A1129" s="8" t="str">
        <x:v>Oak Bay|Total TCA</x:v>
      </x:c>
      <x:c r="B1129" s="8" t="str">
        <x:v>oak-bay-d</x:v>
      </x:c>
      <x:c r="C1129" s="8" t="str">
        <x:v>Oak Bay</x:v>
      </x:c>
      <x:c r="D1129" s="8" t="str">
        <x:v>Total TCA</x:v>
      </x:c>
      <x:c r="E1129" s="11" t="n">
        <x:v>160747710</x:v>
      </x:c>
      <x:c r="F1129" s="11" t="n">
        <x:v>60091037</x:v>
      </x:c>
      <x:c r="G1129" s="11" t="n">
        <x:v>100656673</x:v>
      </x:c>
      <x:c r="H1129" s="11" t="n">
        <x:v>16753590</x:v>
      </x:c>
      <x:c r="I1129" s="11" t="n">
        <x:v>16928827</x:v>
      </x:c>
      <x:c r="J1129" s="11" t="n">
        <x:v>0</x:v>
      </x:c>
      <x:c r="K1129" s="12" t="n">
        <x:v>0.6261779592381129</x:v>
      </x:c>
      <x:c r="L1129" s="12" t="n">
        <x:v>1</x:v>
      </x:c>
      <x:c r="M1129" s="8"/>
    </x:row>
    <x:row r="1130">
      <x:c r="A1130" s="8" t="str">
        <x:v>Oliver|Land</x:v>
      </x:c>
      <x:c r="B1130" s="8" t="str">
        <x:v>oliver-t</x:v>
      </x:c>
      <x:c r="C1130" s="8" t="str">
        <x:v>Oliver</x:v>
      </x:c>
      <x:c r="D1130" s="8" t="str">
        <x:v>Land</x:v>
      </x:c>
      <x:c r="E1130" s="11" t="n">
        <x:v>10703975</x:v>
      </x:c>
      <x:c r="F1130" s="11"/>
      <x:c r="G1130" s="11" t="n">
        <x:v>10703975</x:v>
      </x:c>
      <x:c r="H1130" s="11" t="n">
        <x:v>0</x:v>
      </x:c>
      <x:c r="I1130" s="11" t="n">
        <x:v>10703975</x:v>
      </x:c>
      <x:c r="J1130" s="11"/>
      <x:c r="K1130" s="12" t="n">
        <x:v>1</x:v>
      </x:c>
      <x:c r="L1130" s="12"/>
      <x:c r="M1130" s="8" t="str">
        <x:v>N/A</x:v>
      </x:c>
    </x:row>
    <x:row r="1131">
      <x:c r="A1131" s="8" t="str">
        <x:v>Oliver|Buildings</x:v>
      </x:c>
      <x:c r="B1131" s="8" t="str">
        <x:v>oliver-t</x:v>
      </x:c>
      <x:c r="C1131" s="8" t="str">
        <x:v>Oliver</x:v>
      </x:c>
      <x:c r="D1131" s="8" t="str">
        <x:v>Buildings</x:v>
      </x:c>
      <x:c r="E1131" s="11" t="n">
        <x:v>3806077</x:v>
      </x:c>
      <x:c r="F1131" s="11" t="n">
        <x:v>2201730</x:v>
      </x:c>
      <x:c r="G1131" s="11" t="n">
        <x:v>1604347</x:v>
      </x:c>
      <x:c r="H1131" s="11" t="n">
        <x:v>281297</x:v>
      </x:c>
      <x:c r="I1131" s="11" t="n">
        <x:v>7000000</x:v>
      </x:c>
      <x:c r="J1131" s="11" t="n">
        <x:v>97670</x:v>
      </x:c>
      <x:c r="K1131" s="12" t="n">
        <x:v>0.42152247576704305</x:v>
      </x:c>
      <x:c r="L1131" s="12" t="n">
        <x:v>0.9860471428571429</x:v>
      </x:c>
      <x:c r="M1131" s="8" t="str">
        <x:v>No</x:v>
      </x:c>
    </x:row>
    <x:row r="1132">
      <x:c r="A1132" s="8" t="str">
        <x:v>Oliver|Fleet</x:v>
      </x:c>
      <x:c r="B1132" s="8" t="str">
        <x:v>oliver-t</x:v>
      </x:c>
      <x:c r="C1132" s="8" t="str">
        <x:v>Oliver</x:v>
      </x:c>
      <x:c r="D1132" s="8" t="str">
        <x:v>Fleet</x:v>
      </x:c>
      <x:c r="E1132" s="11" t="n">
        <x:v>4883484</x:v>
      </x:c>
      <x:c r="F1132" s="11" t="n">
        <x:v>2689761</x:v>
      </x:c>
      <x:c r="G1132" s="11" t="n">
        <x:v>2193723</x:v>
      </x:c>
      <x:c r="H1132" s="11" t="n">
        <x:v>436493</x:v>
      </x:c>
      <x:c r="I1132" s="11" t="n">
        <x:v>5500000</x:v>
      </x:c>
      <x:c r="J1132" s="11" t="n">
        <x:v>269117</x:v>
      </x:c>
      <x:c r="K1132" s="12" t="n">
        <x:v>0.449212693232946</x:v>
      </x:c>
      <x:c r="L1132" s="12" t="n">
        <x:v>0.9510696363636364</x:v>
      </x:c>
      <x:c r="M1132" s="8" t="str">
        <x:v>No</x:v>
      </x:c>
    </x:row>
    <x:row r="1133">
      <x:c r="A1133" s="8" t="str">
        <x:v>Oliver|Parks and Recreation</x:v>
      </x:c>
      <x:c r="B1133" s="8" t="str">
        <x:v>oliver-t</x:v>
      </x:c>
      <x:c r="C1133" s="8" t="str">
        <x:v>Oliver</x:v>
      </x:c>
      <x:c r="D1133" s="8" t="str">
        <x:v>Parks and Recreation</x:v>
      </x:c>
      <x:c r="E1133" s="11" t="n">
        <x:v>0</x:v>
      </x:c>
      <x:c r="F1133" s="11" t="n">
        <x:v>0</x:v>
      </x:c>
      <x:c r="G1133" s="11" t="n">
        <x:v>0</x:v>
      </x:c>
      <x:c r="H1133" s="11" t="n">
        <x:v>0</x:v>
      </x:c>
      <x:c r="I1133" s="11" t="n">
        <x:v>0</x:v>
      </x:c>
      <x:c r="J1133" s="11" t="n">
        <x:v>0</x:v>
      </x:c>
      <x:c r="K1133" s="12"/>
      <x:c r="L1133" s="12"/>
      <x:c r="M1133" s="8"/>
    </x:row>
    <x:row r="1134">
      <x:c r="A1134" s="8" t="str">
        <x:v>Oliver|Water System</x:v>
      </x:c>
      <x:c r="B1134" s="8" t="str">
        <x:v>oliver-t</x:v>
      </x:c>
      <x:c r="C1134" s="8" t="str">
        <x:v>Oliver</x:v>
      </x:c>
      <x:c r="D1134" s="8" t="str">
        <x:v>Water System</x:v>
      </x:c>
      <x:c r="E1134" s="11" t="n">
        <x:v>44147150</x:v>
      </x:c>
      <x:c r="F1134" s="11" t="n">
        <x:v>11791064</x:v>
      </x:c>
      <x:c r="G1134" s="11" t="n">
        <x:v>32356086</x:v>
      </x:c>
      <x:c r="H1134" s="11" t="n">
        <x:v>1609861</x:v>
      </x:c>
      <x:c r="I1134" s="11" t="n">
        <x:v>100000000</x:v>
      </x:c>
      <x:c r="J1134" s="11" t="n">
        <x:v>770702</x:v>
      </x:c>
      <x:c r="K1134" s="12" t="n">
        <x:v>0.7329144916489513</x:v>
      </x:c>
      <x:c r="L1134" s="12" t="n">
        <x:v>0.99229298</x:v>
      </x:c>
      <x:c r="M1134" s="8" t="str">
        <x:v>In_Progress</x:v>
      </x:c>
    </x:row>
    <x:row r="1135">
      <x:c r="A1135" s="8" t="str">
        <x:v>Oliver|Sewer System</x:v>
      </x:c>
      <x:c r="B1135" s="8" t="str">
        <x:v>oliver-t</x:v>
      </x:c>
      <x:c r="C1135" s="8" t="str">
        <x:v>Oliver</x:v>
      </x:c>
      <x:c r="D1135" s="8" t="str">
        <x:v>Sewer System</x:v>
      </x:c>
      <x:c r="E1135" s="11" t="n">
        <x:v>13428265</x:v>
      </x:c>
      <x:c r="F1135" s="11" t="n">
        <x:v>4989326</x:v>
      </x:c>
      <x:c r="G1135" s="11" t="n">
        <x:v>8438939</x:v>
      </x:c>
      <x:c r="H1135" s="11" t="n">
        <x:v>407908</x:v>
      </x:c>
      <x:c r="I1135" s="11" t="n">
        <x:v>40000000</x:v>
      </x:c>
      <x:c r="J1135" s="11" t="n">
        <x:v>220973</x:v>
      </x:c>
      <x:c r="K1135" s="12" t="n">
        <x:v>0.6284459682617226</x:v>
      </x:c>
      <x:c r="L1135" s="12" t="n">
        <x:v>0.994475675</x:v>
      </x:c>
      <x:c r="M1135" s="8" t="str">
        <x:v>In_Progress</x:v>
      </x:c>
    </x:row>
    <x:row r="1136">
      <x:c r="A1136" s="8" t="str">
        <x:v>Oliver|Drainage System</x:v>
      </x:c>
      <x:c r="B1136" s="8" t="str">
        <x:v>oliver-t</x:v>
      </x:c>
      <x:c r="C1136" s="8" t="str">
        <x:v>Oliver</x:v>
      </x:c>
      <x:c r="D1136" s="8" t="str">
        <x:v>Drainage System</x:v>
      </x:c>
      <x:c r="E1136" s="11" t="n">
        <x:v>1062859</x:v>
      </x:c>
      <x:c r="F1136" s="11" t="n">
        <x:v>364363</x:v>
      </x:c>
      <x:c r="G1136" s="11" t="n">
        <x:v>698496</x:v>
      </x:c>
      <x:c r="H1136" s="11" t="n">
        <x:v>0</x:v>
      </x:c>
      <x:c r="I1136" s="11" t="n">
        <x:v>2000000</x:v>
      </x:c>
      <x:c r="J1136" s="11" t="n">
        <x:v>17097</x:v>
      </x:c>
      <x:c r="K1136" s="12" t="n">
        <x:v>0.6571859484654127</x:v>
      </x:c>
      <x:c r="L1136" s="12" t="n">
        <x:v>0.9914515</x:v>
      </x:c>
      <x:c r="M1136" s="8" t="str">
        <x:v>In_Progress</x:v>
      </x:c>
    </x:row>
    <x:row r="1137">
      <x:c r="A1137" s="8" t="str">
        <x:v>Oliver|Transportation System</x:v>
      </x:c>
      <x:c r="B1137" s="8" t="str">
        <x:v>oliver-t</x:v>
      </x:c>
      <x:c r="C1137" s="8" t="str">
        <x:v>Oliver</x:v>
      </x:c>
      <x:c r="D1137" s="8" t="str">
        <x:v>Transportation System</x:v>
      </x:c>
      <x:c r="E1137" s="11" t="n">
        <x:v>22090181</x:v>
      </x:c>
      <x:c r="F1137" s="11" t="n">
        <x:v>10050611</x:v>
      </x:c>
      <x:c r="G1137" s="11" t="n">
        <x:v>12039570</x:v>
      </x:c>
      <x:c r="H1137" s="11" t="n">
        <x:v>1498566</x:v>
      </x:c>
      <x:c r="I1137" s="11" t="n">
        <x:v>35000000</x:v>
      </x:c>
      <x:c r="J1137" s="11" t="n">
        <x:v>480668</x:v>
      </x:c>
      <x:c r="K1137" s="12" t="n">
        <x:v>0.5450190743117949</x:v>
      </x:c>
      <x:c r="L1137" s="12" t="n">
        <x:v>0.9862666285714285</x:v>
      </x:c>
      <x:c r="M1137" s="8" t="str">
        <x:v>In_Progress</x:v>
      </x:c>
    </x:row>
    <x:row r="1138">
      <x:c r="A1138" s="8" t="str">
        <x:v>Oliver|Other Engineering Systems</x:v>
      </x:c>
      <x:c r="B1138" s="8" t="str">
        <x:v>oliver-t</x:v>
      </x:c>
      <x:c r="C1138" s="8" t="str">
        <x:v>Oliver</x:v>
      </x:c>
      <x:c r="D1138" s="8" t="str">
        <x:v>Other Engineering Systems</x:v>
      </x:c>
      <x:c r="E1138" s="11" t="n">
        <x:v>0</x:v>
      </x:c>
      <x:c r="F1138" s="11" t="n">
        <x:v>0</x:v>
      </x:c>
      <x:c r="G1138" s="11" t="n">
        <x:v>0</x:v>
      </x:c>
      <x:c r="H1138" s="11" t="n">
        <x:v>0</x:v>
      </x:c>
      <x:c r="I1138" s="11" t="n">
        <x:v>0</x:v>
      </x:c>
      <x:c r="J1138" s="11" t="n">
        <x:v>0</x:v>
      </x:c>
      <x:c r="K1138" s="12"/>
      <x:c r="L1138" s="12"/>
      <x:c r="M1138" s="8"/>
    </x:row>
    <x:row r="1139">
      <x:c r="A1139" s="8" t="str">
        <x:v>Oliver|Other Tangible Capital Assets</x:v>
      </x:c>
      <x:c r="B1139" s="8" t="str">
        <x:v>oliver-t</x:v>
      </x:c>
      <x:c r="C1139" s="8" t="str">
        <x:v>Oliver</x:v>
      </x:c>
      <x:c r="D1139" s="8" t="str">
        <x:v>Other Tangible Capital Assets</x:v>
      </x:c>
      <x:c r="E1139" s="11" t="n">
        <x:v>2092580</x:v>
      </x:c>
      <x:c r="F1139" s="11" t="n">
        <x:v>1467117</x:v>
      </x:c>
      <x:c r="G1139" s="11" t="n">
        <x:v>625463</x:v>
      </x:c>
      <x:c r="H1139" s="11" t="n">
        <x:v>118540</x:v>
      </x:c>
      <x:c r="I1139" s="11" t="n">
        <x:v>2250000</x:v>
      </x:c>
      <x:c r="J1139" s="11" t="n">
        <x:v>121547</x:v>
      </x:c>
      <x:c r="K1139" s="12" t="n">
        <x:v>0.29889562167276756</x:v>
      </x:c>
      <x:c r="L1139" s="12" t="n">
        <x:v>0.9459791111111111</x:v>
      </x:c>
      <x:c r="M1139" s="8" t="str">
        <x:v>N/A</x:v>
      </x:c>
    </x:row>
    <x:row r="1140">
      <x:c r="A1140" s="8" t="str">
        <x:v>Oliver|Work In Progress</x:v>
      </x:c>
      <x:c r="B1140" s="8" t="str">
        <x:v>oliver-t</x:v>
      </x:c>
      <x:c r="C1140" s="8" t="str">
        <x:v>Oliver</x:v>
      </x:c>
      <x:c r="D1140" s="8" t="str">
        <x:v>Work In Progress</x:v>
      </x:c>
      <x:c r="E1140" s="11" t="n">
        <x:v>1669260</x:v>
      </x:c>
      <x:c r="F1140" s="11"/>
      <x:c r="G1140" s="11" t="n">
        <x:v>1669260</x:v>
      </x:c>
      <x:c r="H1140" s="11" t="n">
        <x:v>1234692</x:v>
      </x:c>
      <x:c r="I1140" s="11" t="n">
        <x:v>1669260</x:v>
      </x:c>
      <x:c r="J1140" s="11"/>
      <x:c r="K1140" s="12" t="n">
        <x:v>1</x:v>
      </x:c>
      <x:c r="L1140" s="12"/>
      <x:c r="M1140" s="8" t="str">
        <x:v>N/A</x:v>
      </x:c>
    </x:row>
    <x:row r="1141">
      <x:c r="A1141" s="8" t="str">
        <x:v>Oliver|Total TCA</x:v>
      </x:c>
      <x:c r="B1141" s="8" t="str">
        <x:v>oliver-t</x:v>
      </x:c>
      <x:c r="C1141" s="8" t="str">
        <x:v>Oliver</x:v>
      </x:c>
      <x:c r="D1141" s="8" t="str">
        <x:v>Total TCA</x:v>
      </x:c>
      <x:c r="E1141" s="11" t="n">
        <x:v>103883831</x:v>
      </x:c>
      <x:c r="F1141" s="11" t="n">
        <x:v>33553972</x:v>
      </x:c>
      <x:c r="G1141" s="11" t="n">
        <x:v>70329859</x:v>
      </x:c>
      <x:c r="H1141" s="11" t="n">
        <x:v>5587357</x:v>
      </x:c>
      <x:c r="I1141" s="11" t="n">
        <x:v>204123235</x:v>
      </x:c>
      <x:c r="J1141" s="11" t="n">
        <x:v>1977774</x:v>
      </x:c>
      <x:c r="K1141" s="12" t="n">
        <x:v>0.6770048651748317</x:v>
      </x:c>
      <x:c r="L1141" s="12" t="n">
        <x:v>0.9903108825411276</x:v>
      </x:c>
      <x:c r="M1141" s="8"/>
    </x:row>
    <x:row r="1142">
      <x:c r="A1142" s="8" t="str">
        <x:v>Osoyoos|Land</x:v>
      </x:c>
      <x:c r="B1142" s="8" t="str">
        <x:v>osoyoos-t</x:v>
      </x:c>
      <x:c r="C1142" s="8" t="str">
        <x:v>Osoyoos</x:v>
      </x:c>
      <x:c r="D1142" s="8" t="str">
        <x:v>Land</x:v>
      </x:c>
      <x:c r="E1142" s="11" t="n">
        <x:v>9277408</x:v>
      </x:c>
      <x:c r="F1142" s="11"/>
      <x:c r="G1142" s="11" t="n">
        <x:v>9277408</x:v>
      </x:c>
      <x:c r="H1142" s="11" t="n">
        <x:v>1459779</x:v>
      </x:c>
      <x:c r="I1142" s="11" t="n">
        <x:v>9277408</x:v>
      </x:c>
      <x:c r="J1142" s="11"/>
      <x:c r="K1142" s="12" t="n">
        <x:v>1</x:v>
      </x:c>
      <x:c r="L1142" s="12"/>
      <x:c r="M1142" s="8" t="str">
        <x:v>N/A</x:v>
      </x:c>
    </x:row>
    <x:row r="1143">
      <x:c r="A1143" s="8" t="str">
        <x:v>Osoyoos|Buildings</x:v>
      </x:c>
      <x:c r="B1143" s="8" t="str">
        <x:v>osoyoos-t</x:v>
      </x:c>
      <x:c r="C1143" s="8" t="str">
        <x:v>Osoyoos</x:v>
      </x:c>
      <x:c r="D1143" s="8" t="str">
        <x:v>Buildings</x:v>
      </x:c>
      <x:c r="E1143" s="11" t="n">
        <x:v>14912679</x:v>
      </x:c>
      <x:c r="F1143" s="11" t="n">
        <x:v>6495201</x:v>
      </x:c>
      <x:c r="G1143" s="11" t="n">
        <x:v>8417478</x:v>
      </x:c>
      <x:c r="H1143" s="11" t="n">
        <x:v>55477</x:v>
      </x:c>
      <x:c r="I1143" s="11" t="n">
        <x:v>14912679</x:v>
      </x:c>
      <x:c r="J1143" s="11" t="n">
        <x:v>6495201</x:v>
      </x:c>
      <x:c r="K1143" s="12" t="n">
        <x:v>0.5644510956079722</x:v>
      </x:c>
      <x:c r="L1143" s="12" t="n">
        <x:v>0.5644510956079722</x:v>
      </x:c>
      <x:c r="M1143" s="8" t="str">
        <x:v>Yes</x:v>
      </x:c>
    </x:row>
    <x:row r="1144">
      <x:c r="A1144" s="8" t="str">
        <x:v>Osoyoos|Fleet</x:v>
      </x:c>
      <x:c r="B1144" s="8" t="str">
        <x:v>osoyoos-t</x:v>
      </x:c>
      <x:c r="C1144" s="8" t="str">
        <x:v>Osoyoos</x:v>
      </x:c>
      <x:c r="D1144" s="8" t="str">
        <x:v>Fleet</x:v>
      </x:c>
      <x:c r="E1144" s="11" t="n">
        <x:v>8333522</x:v>
      </x:c>
      <x:c r="F1144" s="11" t="n">
        <x:v>3483952</x:v>
      </x:c>
      <x:c r="G1144" s="11" t="n">
        <x:v>4849570</x:v>
      </x:c>
      <x:c r="H1144" s="11" t="n">
        <x:v>2371444</x:v>
      </x:c>
      <x:c r="I1144" s="11" t="n">
        <x:v>8333522</x:v>
      </x:c>
      <x:c r="J1144" s="11" t="n">
        <x:v>3483952</x:v>
      </x:c>
      <x:c r="K1144" s="12" t="n">
        <x:v>0.5819352249865063</x:v>
      </x:c>
      <x:c r="L1144" s="12" t="n">
        <x:v>0.5819352249865063</x:v>
      </x:c>
      <x:c r="M1144" s="8" t="str">
        <x:v>Yes</x:v>
      </x:c>
    </x:row>
    <x:row r="1145">
      <x:c r="A1145" s="8" t="str">
        <x:v>Osoyoos|Parks and Recreation</x:v>
      </x:c>
      <x:c r="B1145" s="8" t="str">
        <x:v>osoyoos-t</x:v>
      </x:c>
      <x:c r="C1145" s="8" t="str">
        <x:v>Osoyoos</x:v>
      </x:c>
      <x:c r="D1145" s="8" t="str">
        <x:v>Parks and Recreation</x:v>
      </x:c>
      <x:c r="E1145" s="11" t="n">
        <x:v>11949524</x:v>
      </x:c>
      <x:c r="F1145" s="11" t="n">
        <x:v>3514697</x:v>
      </x:c>
      <x:c r="G1145" s="11" t="n">
        <x:v>8434827</x:v>
      </x:c>
      <x:c r="H1145" s="11" t="n">
        <x:v>0</x:v>
      </x:c>
      <x:c r="I1145" s="11" t="n">
        <x:v>11949524</x:v>
      </x:c>
      <x:c r="J1145" s="11" t="n">
        <x:v>3514697</x:v>
      </x:c>
      <x:c r="K1145" s="12" t="n">
        <x:v>0.7058713803160694</x:v>
      </x:c>
      <x:c r="L1145" s="12" t="n">
        <x:v>0.7058713803160694</x:v>
      </x:c>
      <x:c r="M1145" s="8" t="str">
        <x:v>In_Progress</x:v>
      </x:c>
    </x:row>
    <x:row r="1146">
      <x:c r="A1146" s="8" t="str">
        <x:v>Osoyoos|Water System</x:v>
      </x:c>
      <x:c r="B1146" s="8" t="str">
        <x:v>osoyoos-t</x:v>
      </x:c>
      <x:c r="C1146" s="8" t="str">
        <x:v>Osoyoos</x:v>
      </x:c>
      <x:c r="D1146" s="8" t="str">
        <x:v>Water System</x:v>
      </x:c>
      <x:c r="E1146" s="11" t="n">
        <x:v>23391823</x:v>
      </x:c>
      <x:c r="F1146" s="11" t="n">
        <x:v>6384104</x:v>
      </x:c>
      <x:c r="G1146" s="11" t="n">
        <x:v>17007719</x:v>
      </x:c>
      <x:c r="H1146" s="11" t="n">
        <x:v>1416801</x:v>
      </x:c>
      <x:c r="I1146" s="11" t="n">
        <x:v>23391823</x:v>
      </x:c>
      <x:c r="J1146" s="11" t="n">
        <x:v>6384104</x:v>
      </x:c>
      <x:c r="K1146" s="12" t="n">
        <x:v>0.727079672242732</x:v>
      </x:c>
      <x:c r="L1146" s="12" t="n">
        <x:v>0.727079672242732</x:v>
      </x:c>
      <x:c r="M1146" s="8" t="str">
        <x:v>Yes</x:v>
      </x:c>
    </x:row>
    <x:row r="1147">
      <x:c r="A1147" s="8" t="str">
        <x:v>Osoyoos|Sewer System</x:v>
      </x:c>
      <x:c r="B1147" s="8" t="str">
        <x:v>osoyoos-t</x:v>
      </x:c>
      <x:c r="C1147" s="8" t="str">
        <x:v>Osoyoos</x:v>
      </x:c>
      <x:c r="D1147" s="8" t="str">
        <x:v>Sewer System</x:v>
      </x:c>
      <x:c r="E1147" s="11" t="n">
        <x:v>31899196</x:v>
      </x:c>
      <x:c r="F1147" s="11" t="n">
        <x:v>9668162</x:v>
      </x:c>
      <x:c r="G1147" s="11" t="n">
        <x:v>22231034</x:v>
      </x:c>
      <x:c r="H1147" s="11" t="n">
        <x:v>169716</x:v>
      </x:c>
      <x:c r="I1147" s="11" t="n">
        <x:v>31899196</x:v>
      </x:c>
      <x:c r="J1147" s="11" t="n">
        <x:v>9668162</x:v>
      </x:c>
      <x:c r="K1147" s="12" t="n">
        <x:v>0.6969151824390809</x:v>
      </x:c>
      <x:c r="L1147" s="12" t="n">
        <x:v>0.6969151824390809</x:v>
      </x:c>
      <x:c r="M1147" s="8" t="str">
        <x:v>Yes</x:v>
      </x:c>
    </x:row>
    <x:row r="1148">
      <x:c r="A1148" s="8" t="str">
        <x:v>Osoyoos|Drainage System</x:v>
      </x:c>
      <x:c r="B1148" s="8" t="str">
        <x:v>osoyoos-t</x:v>
      </x:c>
      <x:c r="C1148" s="8" t="str">
        <x:v>Osoyoos</x:v>
      </x:c>
      <x:c r="D1148" s="8" t="str">
        <x:v>Drainage System</x:v>
      </x:c>
      <x:c r="E1148" s="11" t="n">
        <x:v>5432978</x:v>
      </x:c>
      <x:c r="F1148" s="11" t="n">
        <x:v>1510572</x:v>
      </x:c>
      <x:c r="G1148" s="11" t="n">
        <x:v>3922406</x:v>
      </x:c>
      <x:c r="H1148" s="11" t="n">
        <x:v>0</x:v>
      </x:c>
      <x:c r="I1148" s="11" t="n">
        <x:v>5432978</x:v>
      </x:c>
      <x:c r="J1148" s="11" t="n">
        <x:v>1510572</x:v>
      </x:c>
      <x:c r="K1148" s="12" t="n">
        <x:v>0.7219624301810168</x:v>
      </x:c>
      <x:c r="L1148" s="12" t="n">
        <x:v>0.7219624301810168</x:v>
      </x:c>
      <x:c r="M1148" s="8" t="str">
        <x:v>In_Progress</x:v>
      </x:c>
    </x:row>
    <x:row r="1149">
      <x:c r="A1149" s="8" t="str">
        <x:v>Osoyoos|Transportation System</x:v>
      </x:c>
      <x:c r="B1149" s="8" t="str">
        <x:v>osoyoos-t</x:v>
      </x:c>
      <x:c r="C1149" s="8" t="str">
        <x:v>Osoyoos</x:v>
      </x:c>
      <x:c r="D1149" s="8" t="str">
        <x:v>Transportation System</x:v>
      </x:c>
      <x:c r="E1149" s="11" t="n">
        <x:v>21306220</x:v>
      </x:c>
      <x:c r="F1149" s="11" t="n">
        <x:v>10998806</x:v>
      </x:c>
      <x:c r="G1149" s="11" t="n">
        <x:v>10307414</x:v>
      </x:c>
      <x:c r="H1149" s="11" t="n">
        <x:v>0</x:v>
      </x:c>
      <x:c r="I1149" s="11" t="n">
        <x:v>21306220</x:v>
      </x:c>
      <x:c r="J1149" s="11" t="n">
        <x:v>0</x:v>
      </x:c>
      <x:c r="K1149" s="12" t="n">
        <x:v>0.4837748788851331</x:v>
      </x:c>
      <x:c r="L1149" s="12" t="n">
        <x:v>1</x:v>
      </x:c>
      <x:c r="M1149" s="8" t="str">
        <x:v>In_Progress</x:v>
      </x:c>
    </x:row>
    <x:row r="1150">
      <x:c r="A1150" s="8" t="str">
        <x:v>Osoyoos|Other Engineering Systems</x:v>
      </x:c>
      <x:c r="B1150" s="8" t="str">
        <x:v>osoyoos-t</x:v>
      </x:c>
      <x:c r="C1150" s="8" t="str">
        <x:v>Osoyoos</x:v>
      </x:c>
      <x:c r="D1150" s="8" t="str">
        <x:v>Other Engineering Systems</x:v>
      </x:c>
      <x:c r="E1150" s="11" t="n">
        <x:v>1772002</x:v>
      </x:c>
      <x:c r="F1150" s="11" t="n">
        <x:v>172376</x:v>
      </x:c>
      <x:c r="G1150" s="11" t="n">
        <x:v>1599626</x:v>
      </x:c>
      <x:c r="H1150" s="11" t="n">
        <x:v>925646</x:v>
      </x:c>
      <x:c r="I1150" s="11" t="n">
        <x:v>1772002</x:v>
      </x:c>
      <x:c r="J1150" s="11" t="n">
        <x:v>172376</x:v>
      </x:c>
      <x:c r="K1150" s="12" t="n">
        <x:v>0.9027224574238629</x:v>
      </x:c>
      <x:c r="L1150" s="12" t="n">
        <x:v>0.9027224574238629</x:v>
      </x:c>
      <x:c r="M1150" s="8" t="str">
        <x:v>Yes</x:v>
      </x:c>
    </x:row>
    <x:row r="1151">
      <x:c r="A1151" s="8" t="str">
        <x:v>Osoyoos|Other Tangible Capital Assets</x:v>
      </x:c>
      <x:c r="B1151" s="8" t="str">
        <x:v>osoyoos-t</x:v>
      </x:c>
      <x:c r="C1151" s="8" t="str">
        <x:v>Osoyoos</x:v>
      </x:c>
      <x:c r="D1151" s="8" t="str">
        <x:v>Other Tangible Capital Assets</x:v>
      </x:c>
      <x:c r="E1151" s="11" t="n">
        <x:v>0</x:v>
      </x:c>
      <x:c r="F1151" s="11" t="n">
        <x:v>0</x:v>
      </x:c>
      <x:c r="G1151" s="11" t="n">
        <x:v>0</x:v>
      </x:c>
      <x:c r="H1151" s="11" t="n">
        <x:v>0</x:v>
      </x:c>
      <x:c r="I1151" s="11" t="n">
        <x:v>0</x:v>
      </x:c>
      <x:c r="J1151" s="11" t="n">
        <x:v>0</x:v>
      </x:c>
      <x:c r="K1151" s="12"/>
      <x:c r="L1151" s="12"/>
      <x:c r="M1151" s="8" t="str">
        <x:v>N/A</x:v>
      </x:c>
    </x:row>
    <x:row r="1152">
      <x:c r="A1152" s="8" t="str">
        <x:v>Osoyoos|Work In Progress</x:v>
      </x:c>
      <x:c r="B1152" s="8" t="str">
        <x:v>osoyoos-t</x:v>
      </x:c>
      <x:c r="C1152" s="8" t="str">
        <x:v>Osoyoos</x:v>
      </x:c>
      <x:c r="D1152" s="8" t="str">
        <x:v>Work In Progress</x:v>
      </x:c>
      <x:c r="E1152" s="11" t="n">
        <x:v>0</x:v>
      </x:c>
      <x:c r="F1152" s="11"/>
      <x:c r="G1152" s="11" t="n">
        <x:v>0</x:v>
      </x:c>
      <x:c r="H1152" s="11" t="n">
        <x:v>0</x:v>
      </x:c>
      <x:c r="I1152" s="11" t="n">
        <x:v>0</x:v>
      </x:c>
      <x:c r="J1152" s="11"/>
      <x:c r="K1152" s="12"/>
      <x:c r="L1152" s="12"/>
      <x:c r="M1152" s="8" t="str">
        <x:v>N/A</x:v>
      </x:c>
    </x:row>
    <x:row r="1153">
      <x:c r="A1153" s="8" t="str">
        <x:v>Osoyoos|Total TCA</x:v>
      </x:c>
      <x:c r="B1153" s="8" t="str">
        <x:v>osoyoos-t</x:v>
      </x:c>
      <x:c r="C1153" s="8" t="str">
        <x:v>Osoyoos</x:v>
      </x:c>
      <x:c r="D1153" s="8" t="str">
        <x:v>Total TCA</x:v>
      </x:c>
      <x:c r="E1153" s="11" t="n">
        <x:v>128275352</x:v>
      </x:c>
      <x:c r="F1153" s="11" t="n">
        <x:v>42227870</x:v>
      </x:c>
      <x:c r="G1153" s="11" t="n">
        <x:v>86047482</x:v>
      </x:c>
      <x:c r="H1153" s="11" t="n">
        <x:v>6398863</x:v>
      </x:c>
      <x:c r="I1153" s="11" t="n">
        <x:v>128275352</x:v>
      </x:c>
      <x:c r="J1153" s="11" t="n">
        <x:v>31229064</x:v>
      </x:c>
      <x:c r="K1153" s="12" t="n">
        <x:v>0.6708029302464904</x:v>
      </x:c>
      <x:c r="L1153" s="12" t="n">
        <x:v>0.7565466513005554</x:v>
      </x:c>
      <x:c r="M1153" s="8"/>
    </x:row>
    <x:row r="1154">
      <x:c r="A1154" s="8" t="str">
        <x:v>Parksville|Land</x:v>
      </x:c>
      <x:c r="B1154" s="8" t="str">
        <x:v>parksville-c</x:v>
      </x:c>
      <x:c r="C1154" s="8" t="str">
        <x:v>Parksville</x:v>
      </x:c>
      <x:c r="D1154" s="8" t="str">
        <x:v>Land</x:v>
      </x:c>
      <x:c r="E1154" s="11" t="n">
        <x:v>60038725</x:v>
      </x:c>
      <x:c r="F1154" s="11"/>
      <x:c r="G1154" s="11" t="n">
        <x:v>60038725</x:v>
      </x:c>
      <x:c r="H1154" s="11" t="n">
        <x:v>0</x:v>
      </x:c>
      <x:c r="I1154" s="11" t="n">
        <x:v>60038725</x:v>
      </x:c>
      <x:c r="J1154" s="11"/>
      <x:c r="K1154" s="12" t="n">
        <x:v>1</x:v>
      </x:c>
      <x:c r="L1154" s="12"/>
      <x:c r="M1154" s="8" t="str">
        <x:v>N/A</x:v>
      </x:c>
    </x:row>
    <x:row r="1155">
      <x:c r="A1155" s="8" t="str">
        <x:v>Parksville|Buildings</x:v>
      </x:c>
      <x:c r="B1155" s="8" t="str">
        <x:v>parksville-c</x:v>
      </x:c>
      <x:c r="C1155" s="8" t="str">
        <x:v>Parksville</x:v>
      </x:c>
      <x:c r="D1155" s="8" t="str">
        <x:v>Buildings</x:v>
      </x:c>
      <x:c r="E1155" s="11" t="n">
        <x:v>31442408</x:v>
      </x:c>
      <x:c r="F1155" s="11" t="n">
        <x:v>6343784</x:v>
      </x:c>
      <x:c r="G1155" s="11" t="n">
        <x:v>25098624</x:v>
      </x:c>
      <x:c r="H1155" s="11" t="n">
        <x:v>367246</x:v>
      </x:c>
      <x:c r="I1155" s="11" t="n">
        <x:v>74063393</x:v>
      </x:c>
      <x:c r="J1155" s="11" t="n">
        <x:v>2058308</x:v>
      </x:c>
      <x:c r="K1155" s="12" t="n">
        <x:v>0.7982411525224149</x:v>
      </x:c>
      <x:c r="L1155" s="12" t="n">
        <x:v>0.9722088346668104</x:v>
      </x:c>
      <x:c r="M1155" s="8" t="str">
        <x:v>In_Progress</x:v>
      </x:c>
    </x:row>
    <x:row r="1156">
      <x:c r="A1156" s="8" t="str">
        <x:v>Parksville|Fleet</x:v>
      </x:c>
      <x:c r="B1156" s="8" t="str">
        <x:v>parksville-c</x:v>
      </x:c>
      <x:c r="C1156" s="8" t="str">
        <x:v>Parksville</x:v>
      </x:c>
      <x:c r="D1156" s="8" t="str">
        <x:v>Fleet</x:v>
      </x:c>
      <x:c r="E1156" s="11" t="n">
        <x:v>6255061</x:v>
      </x:c>
      <x:c r="F1156" s="11" t="n">
        <x:v>3110001</x:v>
      </x:c>
      <x:c r="G1156" s="11" t="n">
        <x:v>3145060</x:v>
      </x:c>
      <x:c r="H1156" s="11" t="n">
        <x:v>287914</x:v>
      </x:c>
      <x:c r="I1156" s="11" t="n">
        <x:v>11797881</x:v>
      </x:c>
      <x:c r="J1156" s="11" t="n">
        <x:v>858054</x:v>
      </x:c>
      <x:c r="K1156" s="12" t="n">
        <x:v>0.5028024506875313</x:v>
      </x:c>
      <x:c r="L1156" s="12" t="n">
        <x:v>0.9272704988294085</x:v>
      </x:c>
      <x:c r="M1156" s="8" t="str">
        <x:v>No</x:v>
      </x:c>
    </x:row>
    <x:row r="1157">
      <x:c r="A1157" s="8" t="str">
        <x:v>Parksville|Parks and Recreation</x:v>
      </x:c>
      <x:c r="B1157" s="8" t="str">
        <x:v>parksville-c</x:v>
      </x:c>
      <x:c r="C1157" s="8" t="str">
        <x:v>Parksville</x:v>
      </x:c>
      <x:c r="D1157" s="8" t="str">
        <x:v>Parks and Recreation</x:v>
      </x:c>
      <x:c r="E1157" s="11" t="n">
        <x:v>11690796</x:v>
      </x:c>
      <x:c r="F1157" s="11" t="n">
        <x:v>5141744</x:v>
      </x:c>
      <x:c r="G1157" s="11" t="n">
        <x:v>6549052</x:v>
      </x:c>
      <x:c r="H1157" s="11" t="n">
        <x:v>295426</x:v>
      </x:c>
      <x:c r="I1157" s="11" t="n">
        <x:v>17609000</x:v>
      </x:c>
      <x:c r="J1157" s="11" t="n">
        <x:v>949000</x:v>
      </x:c>
      <x:c r="K1157" s="12" t="n">
        <x:v>0.5601887159779368</x:v>
      </x:c>
      <x:c r="L1157" s="12" t="n">
        <x:v>0.9461071043216537</x:v>
      </x:c>
      <x:c r="M1157" s="8" t="str">
        <x:v>In_Progress</x:v>
      </x:c>
    </x:row>
    <x:row r="1158">
      <x:c r="A1158" s="8" t="str">
        <x:v>Parksville|Water System</x:v>
      </x:c>
      <x:c r="B1158" s="8" t="str">
        <x:v>parksville-c</x:v>
      </x:c>
      <x:c r="C1158" s="8" t="str">
        <x:v>Parksville</x:v>
      </x:c>
      <x:c r="D1158" s="8" t="str">
        <x:v>Water System</x:v>
      </x:c>
      <x:c r="E1158" s="11" t="n">
        <x:v>60882533</x:v>
      </x:c>
      <x:c r="F1158" s="11" t="n">
        <x:v>20439991</x:v>
      </x:c>
      <x:c r="G1158" s="11" t="n">
        <x:v>40442542</x:v>
      </x:c>
      <x:c r="H1158" s="11" t="n">
        <x:v>28407</x:v>
      </x:c>
      <x:c r="I1158" s="11" t="n">
        <x:v>222010785</x:v>
      </x:c>
      <x:c r="J1158" s="11" t="n">
        <x:v>2941978</x:v>
      </x:c>
      <x:c r="K1158" s="12" t="n">
        <x:v>0.6642716721395281</x:v>
      </x:c>
      <x:c r="L1158" s="12" t="n">
        <x:v>0.9867484906194985</x:v>
      </x:c>
      <x:c r="M1158" s="8" t="str">
        <x:v>Yes</x:v>
      </x:c>
    </x:row>
    <x:row r="1159">
      <x:c r="A1159" s="8" t="str">
        <x:v>Parksville|Sewer System</x:v>
      </x:c>
      <x:c r="B1159" s="8" t="str">
        <x:v>parksville-c</x:v>
      </x:c>
      <x:c r="C1159" s="8" t="str">
        <x:v>Parksville</x:v>
      </x:c>
      <x:c r="D1159" s="8" t="str">
        <x:v>Sewer System</x:v>
      </x:c>
      <x:c r="E1159" s="11" t="n">
        <x:v>19491029</x:v>
      </x:c>
      <x:c r="F1159" s="11" t="n">
        <x:v>8562276</x:v>
      </x:c>
      <x:c r="G1159" s="11" t="n">
        <x:v>10928753</x:v>
      </x:c>
      <x:c r="H1159" s="11" t="n">
        <x:v>0</x:v>
      </x:c>
      <x:c r="I1159" s="11" t="n">
        <x:v>175212610</x:v>
      </x:c>
      <x:c r="J1159" s="11" t="n">
        <x:v>2311166</x:v>
      </x:c>
      <x:c r="K1159" s="12" t="n">
        <x:v>0.5607068256888849</x:v>
      </x:c>
      <x:c r="L1159" s="12" t="n">
        <x:v>0.9868093626366276</x:v>
      </x:c>
      <x:c r="M1159" s="8" t="str">
        <x:v>Yes</x:v>
      </x:c>
    </x:row>
    <x:row r="1160">
      <x:c r="A1160" s="8" t="str">
        <x:v>Parksville|Drainage System</x:v>
      </x:c>
      <x:c r="B1160" s="8" t="str">
        <x:v>parksville-c</x:v>
      </x:c>
      <x:c r="C1160" s="8" t="str">
        <x:v>Parksville</x:v>
      </x:c>
      <x:c r="D1160" s="8" t="str">
        <x:v>Drainage System</x:v>
      </x:c>
      <x:c r="E1160" s="11" t="n">
        <x:v>35575893</x:v>
      </x:c>
      <x:c r="F1160" s="11" t="n">
        <x:v>12786116</x:v>
      </x:c>
      <x:c r="G1160" s="11" t="n">
        <x:v>22789777</x:v>
      </x:c>
      <x:c r="H1160" s="11" t="n">
        <x:v>252064</x:v>
      </x:c>
      <x:c r="I1160" s="11" t="n">
        <x:v>267654496</x:v>
      </x:c>
      <x:c r="J1160" s="11" t="n">
        <x:v>4178119</x:v>
      </x:c>
      <x:c r="K1160" s="12" t="n">
        <x:v>0.6405960631824478</x:v>
      </x:c>
      <x:c r="L1160" s="12" t="n">
        <x:v>0.984389879256876</x:v>
      </x:c>
      <x:c r="M1160" s="8" t="str">
        <x:v>In_Progress</x:v>
      </x:c>
    </x:row>
    <x:row r="1161">
      <x:c r="A1161" s="8" t="str">
        <x:v>Parksville|Transportation System</x:v>
      </x:c>
      <x:c r="B1161" s="8" t="str">
        <x:v>parksville-c</x:v>
      </x:c>
      <x:c r="C1161" s="8" t="str">
        <x:v>Parksville</x:v>
      </x:c>
      <x:c r="D1161" s="8" t="str">
        <x:v>Transportation System</x:v>
      </x:c>
      <x:c r="E1161" s="11" t="n">
        <x:v>75626724</x:v>
      </x:c>
      <x:c r="F1161" s="11" t="n">
        <x:v>35890376</x:v>
      </x:c>
      <x:c r="G1161" s="11" t="n">
        <x:v>39736348</x:v>
      </x:c>
      <x:c r="H1161" s="11" t="n">
        <x:v>113631</x:v>
      </x:c>
      <x:c r="I1161" s="11" t="n">
        <x:v>342851852</x:v>
      </x:c>
      <x:c r="J1161" s="11" t="n">
        <x:v>6601836</x:v>
      </x:c>
      <x:c r="K1161" s="12" t="n">
        <x:v>0.52542733439042</x:v>
      </x:c>
      <x:c r="L1161" s="12" t="n">
        <x:v>0.9807443478531946</x:v>
      </x:c>
      <x:c r="M1161" s="8" t="str">
        <x:v>In_Progress</x:v>
      </x:c>
    </x:row>
    <x:row r="1162">
      <x:c r="A1162" s="8" t="str">
        <x:v>Parksville|Other Engineering Systems</x:v>
      </x:c>
      <x:c r="B1162" s="8" t="str">
        <x:v>parksville-c</x:v>
      </x:c>
      <x:c r="C1162" s="8" t="str">
        <x:v>Parksville</x:v>
      </x:c>
      <x:c r="D1162" s="8" t="str">
        <x:v>Other Engineering Systems</x:v>
      </x:c>
      <x:c r="E1162" s="11" t="n">
        <x:v>0</x:v>
      </x:c>
      <x:c r="F1162" s="11" t="n">
        <x:v>0</x:v>
      </x:c>
      <x:c r="G1162" s="11" t="n">
        <x:v>0</x:v>
      </x:c>
      <x:c r="H1162" s="11" t="n">
        <x:v>0</x:v>
      </x:c>
      <x:c r="I1162" s="11" t="n">
        <x:v>0</x:v>
      </x:c>
      <x:c r="J1162" s="11" t="n">
        <x:v>0</x:v>
      </x:c>
      <x:c r="K1162" s="12"/>
      <x:c r="L1162" s="12"/>
      <x:c r="M1162" s="8"/>
    </x:row>
    <x:row r="1163">
      <x:c r="A1163" s="8" t="str">
        <x:v>Parksville|Other Tangible Capital Assets</x:v>
      </x:c>
      <x:c r="B1163" s="8" t="str">
        <x:v>parksville-c</x:v>
      </x:c>
      <x:c r="C1163" s="8" t="str">
        <x:v>Parksville</x:v>
      </x:c>
      <x:c r="D1163" s="8" t="str">
        <x:v>Other Tangible Capital Assets</x:v>
      </x:c>
      <x:c r="E1163" s="11" t="n">
        <x:v>6313243</x:v>
      </x:c>
      <x:c r="F1163" s="11" t="n">
        <x:v>3704880</x:v>
      </x:c>
      <x:c r="G1163" s="11" t="n">
        <x:v>2608363</x:v>
      </x:c>
      <x:c r="H1163" s="11" t="n">
        <x:v>353256</x:v>
      </x:c>
      <x:c r="I1163" s="11" t="n">
        <x:v>9841000</x:v>
      </x:c>
      <x:c r="J1163" s="11" t="n">
        <x:v>808000</x:v>
      </x:c>
      <x:c r="K1163" s="12" t="n">
        <x:v>0.4131573899499829</x:v>
      </x:c>
      <x:c r="L1163" s="12" t="n">
        <x:v>0.9178945229143379</x:v>
      </x:c>
      <x:c r="M1163" s="8" t="str">
        <x:v>N/A</x:v>
      </x:c>
    </x:row>
    <x:row r="1164">
      <x:c r="A1164" s="8" t="str">
        <x:v>Parksville|Work In Progress</x:v>
      </x:c>
      <x:c r="B1164" s="8" t="str">
        <x:v>parksville-c</x:v>
      </x:c>
      <x:c r="C1164" s="8" t="str">
        <x:v>Parksville</x:v>
      </x:c>
      <x:c r="D1164" s="8" t="str">
        <x:v>Work In Progress</x:v>
      </x:c>
      <x:c r="E1164" s="11" t="n">
        <x:v>700274</x:v>
      </x:c>
      <x:c r="F1164" s="11"/>
      <x:c r="G1164" s="11" t="n">
        <x:v>700274</x:v>
      </x:c>
      <x:c r="H1164" s="11" t="n">
        <x:v>247433</x:v>
      </x:c>
      <x:c r="I1164" s="11" t="n">
        <x:v>700274</x:v>
      </x:c>
      <x:c r="J1164" s="11"/>
      <x:c r="K1164" s="12" t="n">
        <x:v>1</x:v>
      </x:c>
      <x:c r="L1164" s="12"/>
      <x:c r="M1164" s="8" t="str">
        <x:v>N/A</x:v>
      </x:c>
    </x:row>
    <x:row r="1165">
      <x:c r="A1165" s="8" t="str">
        <x:v>Parksville|Total TCA</x:v>
      </x:c>
      <x:c r="B1165" s="8" t="str">
        <x:v>parksville-c</x:v>
      </x:c>
      <x:c r="C1165" s="8" t="str">
        <x:v>Parksville</x:v>
      </x:c>
      <x:c r="D1165" s="8" t="str">
        <x:v>Total TCA</x:v>
      </x:c>
      <x:c r="E1165" s="11" t="n">
        <x:v>308016686</x:v>
      </x:c>
      <x:c r="F1165" s="11" t="n">
        <x:v>95979168</x:v>
      </x:c>
      <x:c r="G1165" s="11" t="n">
        <x:v>212037518</x:v>
      </x:c>
      <x:c r="H1165" s="11" t="n">
        <x:v>1945377</x:v>
      </x:c>
      <x:c r="I1165" s="11" t="n">
        <x:v>1181780016</x:v>
      </x:c>
      <x:c r="J1165" s="11" t="n">
        <x:v>20706461</x:v>
      </x:c>
      <x:c r="K1165" s="12" t="n">
        <x:v>0.6883962059120394</x:v>
      </x:c>
      <x:c r="L1165" s="12" t="n">
        <x:v>0.9824785825452645</x:v>
      </x:c>
      <x:c r="M1165" s="8"/>
    </x:row>
    <x:row r="1166">
      <x:c r="A1166" s="8" t="str">
        <x:v>Peachland|Land</x:v>
      </x:c>
      <x:c r="B1166" s="8" t="str">
        <x:v>peachland-d</x:v>
      </x:c>
      <x:c r="C1166" s="8" t="str">
        <x:v>Peachland</x:v>
      </x:c>
      <x:c r="D1166" s="8" t="str">
        <x:v>Land</x:v>
      </x:c>
      <x:c r="E1166" s="11" t="n">
        <x:v>21932616</x:v>
      </x:c>
      <x:c r="F1166" s="11"/>
      <x:c r="G1166" s="11" t="n">
        <x:v>21932616</x:v>
      </x:c>
      <x:c r="H1166" s="11" t="n">
        <x:v>2324908</x:v>
      </x:c>
      <x:c r="I1166" s="11" t="n">
        <x:v>21932616</x:v>
      </x:c>
      <x:c r="J1166" s="11"/>
      <x:c r="K1166" s="12" t="n">
        <x:v>1</x:v>
      </x:c>
      <x:c r="L1166" s="12"/>
      <x:c r="M1166" s="8" t="str">
        <x:v>N/A</x:v>
      </x:c>
    </x:row>
    <x:row r="1167">
      <x:c r="A1167" s="8" t="str">
        <x:v>Peachland|Buildings</x:v>
      </x:c>
      <x:c r="B1167" s="8" t="str">
        <x:v>peachland-d</x:v>
      </x:c>
      <x:c r="C1167" s="8" t="str">
        <x:v>Peachland</x:v>
      </x:c>
      <x:c r="D1167" s="8" t="str">
        <x:v>Buildings</x:v>
      </x:c>
      <x:c r="E1167" s="11" t="n">
        <x:v>6631641</x:v>
      </x:c>
      <x:c r="F1167" s="11" t="n">
        <x:v>3214251</x:v>
      </x:c>
      <x:c r="G1167" s="11" t="n">
        <x:v>3417390</x:v>
      </x:c>
      <x:c r="H1167" s="11" t="n">
        <x:v>478043</x:v>
      </x:c>
      <x:c r="I1167" s="11" t="n">
        <x:v>6631641</x:v>
      </x:c>
      <x:c r="J1167" s="11" t="n">
        <x:v>3214251</x:v>
      </x:c>
      <x:c r="K1167" s="12" t="n">
        <x:v>0.5153158924012925</x:v>
      </x:c>
      <x:c r="L1167" s="12" t="n">
        <x:v>0.5153158924012926</x:v>
      </x:c>
      <x:c r="M1167" s="8" t="str">
        <x:v>In_Progress</x:v>
      </x:c>
    </x:row>
    <x:row r="1168">
      <x:c r="A1168" s="8" t="str">
        <x:v>Peachland|Fleet</x:v>
      </x:c>
      <x:c r="B1168" s="8" t="str">
        <x:v>peachland-d</x:v>
      </x:c>
      <x:c r="C1168" s="8" t="str">
        <x:v>Peachland</x:v>
      </x:c>
      <x:c r="D1168" s="8" t="str">
        <x:v>Fleet</x:v>
      </x:c>
      <x:c r="E1168" s="11" t="n">
        <x:v>6016258</x:v>
      </x:c>
      <x:c r="F1168" s="11" t="n">
        <x:v>4244393</x:v>
      </x:c>
      <x:c r="G1168" s="11" t="n">
        <x:v>1771865</x:v>
      </x:c>
      <x:c r="H1168" s="11" t="n">
        <x:v>521362</x:v>
      </x:c>
      <x:c r="I1168" s="11" t="n">
        <x:v>6016258</x:v>
      </x:c>
      <x:c r="J1168" s="11" t="n">
        <x:v>4244393</x:v>
      </x:c>
      <x:c r="K1168" s="12" t="n">
        <x:v>0.29451280181135847</x:v>
      </x:c>
      <x:c r="L1168" s="12" t="n">
        <x:v>0.2945128018113585</x:v>
      </x:c>
      <x:c r="M1168" s="8" t="str">
        <x:v>In_Progress</x:v>
      </x:c>
    </x:row>
    <x:row r="1169">
      <x:c r="A1169" s="8" t="str">
        <x:v>Peachland|Parks and Recreation</x:v>
      </x:c>
      <x:c r="B1169" s="8" t="str">
        <x:v>peachland-d</x:v>
      </x:c>
      <x:c r="C1169" s="8" t="str">
        <x:v>Peachland</x:v>
      </x:c>
      <x:c r="D1169" s="8" t="str">
        <x:v>Parks and Recreation</x:v>
      </x:c>
      <x:c r="E1169" s="11" t="n">
        <x:v>0</x:v>
      </x:c>
      <x:c r="F1169" s="11" t="n">
        <x:v>0</x:v>
      </x:c>
      <x:c r="G1169" s="11" t="n">
        <x:v>0</x:v>
      </x:c>
      <x:c r="H1169" s="11" t="n">
        <x:v>0</x:v>
      </x:c>
      <x:c r="I1169" s="11" t="n">
        <x:v>0</x:v>
      </x:c>
      <x:c r="J1169" s="11" t="n">
        <x:v>0</x:v>
      </x:c>
      <x:c r="K1169" s="12"/>
      <x:c r="L1169" s="12"/>
      <x:c r="M1169" s="8"/>
    </x:row>
    <x:row r="1170">
      <x:c r="A1170" s="8" t="str">
        <x:v>Peachland|Water System</x:v>
      </x:c>
      <x:c r="B1170" s="8" t="str">
        <x:v>peachland-d</x:v>
      </x:c>
      <x:c r="C1170" s="8" t="str">
        <x:v>Peachland</x:v>
      </x:c>
      <x:c r="D1170" s="8" t="str">
        <x:v>Water System</x:v>
      </x:c>
      <x:c r="E1170" s="11" t="n">
        <x:v>55463776</x:v>
      </x:c>
      <x:c r="F1170" s="11" t="n">
        <x:v>12632537</x:v>
      </x:c>
      <x:c r="G1170" s="11" t="n">
        <x:v>42831239</x:v>
      </x:c>
      <x:c r="H1170" s="11" t="n">
        <x:v>1510647</x:v>
      </x:c>
      <x:c r="I1170" s="11" t="n">
        <x:v>55463776</x:v>
      </x:c>
      <x:c r="J1170" s="11" t="n">
        <x:v>12632537</x:v>
      </x:c>
      <x:c r="K1170" s="12" t="n">
        <x:v>0.772238063993335</x:v>
      </x:c>
      <x:c r="L1170" s="12" t="n">
        <x:v>0.772238063993335</x:v>
      </x:c>
      <x:c r="M1170" s="8" t="str">
        <x:v>In_Progress</x:v>
      </x:c>
    </x:row>
    <x:row r="1171">
      <x:c r="A1171" s="8" t="str">
        <x:v>Peachland|Sewer System</x:v>
      </x:c>
      <x:c r="B1171" s="8" t="str">
        <x:v>peachland-d</x:v>
      </x:c>
      <x:c r="C1171" s="8" t="str">
        <x:v>Peachland</x:v>
      </x:c>
      <x:c r="D1171" s="8" t="str">
        <x:v>Sewer System</x:v>
      </x:c>
      <x:c r="E1171" s="11" t="n">
        <x:v>19282517</x:v>
      </x:c>
      <x:c r="F1171" s="11" t="n">
        <x:v>5592705</x:v>
      </x:c>
      <x:c r="G1171" s="11" t="n">
        <x:v>13689812</x:v>
      </x:c>
      <x:c r="H1171" s="11" t="n">
        <x:v>0</x:v>
      </x:c>
      <x:c r="I1171" s="11" t="n">
        <x:v>19282517</x:v>
      </x:c>
      <x:c r="J1171" s="11" t="n">
        <x:v>12632537</x:v>
      </x:c>
      <x:c r="K1171" s="12" t="n">
        <x:v>0.7099598045213703</x:v>
      </x:c>
      <x:c r="L1171" s="12" t="n">
        <x:v>0.3448709522724652</x:v>
      </x:c>
      <x:c r="M1171" s="8" t="str">
        <x:v>In_Progress</x:v>
      </x:c>
    </x:row>
    <x:row r="1172">
      <x:c r="A1172" s="8" t="str">
        <x:v>Peachland|Drainage System</x:v>
      </x:c>
      <x:c r="B1172" s="8" t="str">
        <x:v>peachland-d</x:v>
      </x:c>
      <x:c r="C1172" s="8" t="str">
        <x:v>Peachland</x:v>
      </x:c>
      <x:c r="D1172" s="8" t="str">
        <x:v>Drainage System</x:v>
      </x:c>
      <x:c r="E1172" s="11" t="n">
        <x:v>0</x:v>
      </x:c>
      <x:c r="F1172" s="11" t="n">
        <x:v>0</x:v>
      </x:c>
      <x:c r="G1172" s="11" t="n">
        <x:v>0</x:v>
      </x:c>
      <x:c r="H1172" s="11" t="n">
        <x:v>0</x:v>
      </x:c>
      <x:c r="I1172" s="11" t="n">
        <x:v>0</x:v>
      </x:c>
      <x:c r="J1172" s="11" t="n">
        <x:v>0</x:v>
      </x:c>
      <x:c r="K1172" s="12"/>
      <x:c r="L1172" s="12"/>
      <x:c r="M1172" s="8"/>
    </x:row>
    <x:row r="1173">
      <x:c r="A1173" s="8" t="str">
        <x:v>Peachland|Transportation System</x:v>
      </x:c>
      <x:c r="B1173" s="8" t="str">
        <x:v>peachland-d</x:v>
      </x:c>
      <x:c r="C1173" s="8" t="str">
        <x:v>Peachland</x:v>
      </x:c>
      <x:c r="D1173" s="8" t="str">
        <x:v>Transportation System</x:v>
      </x:c>
      <x:c r="E1173" s="11" t="n">
        <x:v>33038288</x:v>
      </x:c>
      <x:c r="F1173" s="11" t="n">
        <x:v>17157653</x:v>
      </x:c>
      <x:c r="G1173" s="11" t="n">
        <x:v>15880635</x:v>
      </x:c>
      <x:c r="H1173" s="11" t="n">
        <x:v>1423546</x:v>
      </x:c>
      <x:c r="I1173" s="11" t="n">
        <x:v>33038288</x:v>
      </x:c>
      <x:c r="J1173" s="11" t="n">
        <x:v>0</x:v>
      </x:c>
      <x:c r="K1173" s="12" t="n">
        <x:v>0.48067366565725195</x:v>
      </x:c>
      <x:c r="L1173" s="12" t="n">
        <x:v>1</x:v>
      </x:c>
      <x:c r="M1173" s="8" t="str">
        <x:v>In_Progress</x:v>
      </x:c>
    </x:row>
    <x:row r="1174">
      <x:c r="A1174" s="8" t="str">
        <x:v>Peachland|Other Engineering Systems</x:v>
      </x:c>
      <x:c r="B1174" s="8" t="str">
        <x:v>peachland-d</x:v>
      </x:c>
      <x:c r="C1174" s="8" t="str">
        <x:v>Peachland</x:v>
      </x:c>
      <x:c r="D1174" s="8" t="str">
        <x:v>Other Engineering Systems</x:v>
      </x:c>
      <x:c r="E1174" s="11" t="n">
        <x:v>0</x:v>
      </x:c>
      <x:c r="F1174" s="11" t="n">
        <x:v>0</x:v>
      </x:c>
      <x:c r="G1174" s="11" t="n">
        <x:v>0</x:v>
      </x:c>
      <x:c r="H1174" s="11" t="n">
        <x:v>0</x:v>
      </x:c>
      <x:c r="I1174" s="11" t="n">
        <x:v>0</x:v>
      </x:c>
      <x:c r="J1174" s="11" t="n">
        <x:v>0</x:v>
      </x:c>
      <x:c r="K1174" s="12"/>
      <x:c r="L1174" s="12"/>
      <x:c r="M1174" s="8"/>
    </x:row>
    <x:row r="1175">
      <x:c r="A1175" s="8" t="str">
        <x:v>Peachland|Other Tangible Capital Assets</x:v>
      </x:c>
      <x:c r="B1175" s="8" t="str">
        <x:v>peachland-d</x:v>
      </x:c>
      <x:c r="C1175" s="8" t="str">
        <x:v>Peachland</x:v>
      </x:c>
      <x:c r="D1175" s="8" t="str">
        <x:v>Other Tangible Capital Assets</x:v>
      </x:c>
      <x:c r="E1175" s="11" t="n">
        <x:v>0</x:v>
      </x:c>
      <x:c r="F1175" s="11" t="n">
        <x:v>0</x:v>
      </x:c>
      <x:c r="G1175" s="11" t="n">
        <x:v>0</x:v>
      </x:c>
      <x:c r="H1175" s="11" t="n">
        <x:v>0</x:v>
      </x:c>
      <x:c r="I1175" s="11" t="n">
        <x:v>0</x:v>
      </x:c>
      <x:c r="J1175" s="11" t="n">
        <x:v>0</x:v>
      </x:c>
      <x:c r="K1175" s="12"/>
      <x:c r="L1175" s="12"/>
      <x:c r="M1175" s="8" t="str">
        <x:v>N/A</x:v>
      </x:c>
    </x:row>
    <x:row r="1176">
      <x:c r="A1176" s="8" t="str">
        <x:v>Peachland|Work In Progress</x:v>
      </x:c>
      <x:c r="B1176" s="8" t="str">
        <x:v>peachland-d</x:v>
      </x:c>
      <x:c r="C1176" s="8" t="str">
        <x:v>Peachland</x:v>
      </x:c>
      <x:c r="D1176" s="8" t="str">
        <x:v>Work In Progress</x:v>
      </x:c>
      <x:c r="E1176" s="11" t="n">
        <x:v>2382447</x:v>
      </x:c>
      <x:c r="F1176" s="11"/>
      <x:c r="G1176" s="11" t="n">
        <x:v>2382447</x:v>
      </x:c>
      <x:c r="H1176" s="11" t="n">
        <x:v>1472417</x:v>
      </x:c>
      <x:c r="I1176" s="11" t="n">
        <x:v>2382447</x:v>
      </x:c>
      <x:c r="J1176" s="11"/>
      <x:c r="K1176" s="12" t="n">
        <x:v>1</x:v>
      </x:c>
      <x:c r="L1176" s="12"/>
      <x:c r="M1176" s="8" t="str">
        <x:v>N/A</x:v>
      </x:c>
    </x:row>
    <x:row r="1177">
      <x:c r="A1177" s="8" t="str">
        <x:v>Peachland|Total TCA</x:v>
      </x:c>
      <x:c r="B1177" s="8" t="str">
        <x:v>peachland-d</x:v>
      </x:c>
      <x:c r="C1177" s="8" t="str">
        <x:v>Peachland</x:v>
      </x:c>
      <x:c r="D1177" s="8" t="str">
        <x:v>Total TCA</x:v>
      </x:c>
      <x:c r="E1177" s="11" t="n">
        <x:v>144747543</x:v>
      </x:c>
      <x:c r="F1177" s="11" t="n">
        <x:v>42841539</x:v>
      </x:c>
      <x:c r="G1177" s="11" t="n">
        <x:v>101906004</x:v>
      </x:c>
      <x:c r="H1177" s="11" t="n">
        <x:v>7730923</x:v>
      </x:c>
      <x:c r="I1177" s="11" t="n">
        <x:v>144747543</x:v>
      </x:c>
      <x:c r="J1177" s="11" t="n">
        <x:v>32723718</x:v>
      </x:c>
      <x:c r="K1177" s="12" t="n">
        <x:v>0.7040257947590862</x:v>
      </x:c>
      <x:c r="L1177" s="12" t="n">
        <x:v>0.7739255719179979</x:v>
      </x:c>
      <x:c r="M1177" s="8"/>
    </x:row>
    <x:row r="1178">
      <x:c r="A1178" s="8" t="str">
        <x:v>Pemberton|Land</x:v>
      </x:c>
      <x:c r="B1178" s="8" t="str">
        <x:v>pemberton-v</x:v>
      </x:c>
      <x:c r="C1178" s="8" t="str">
        <x:v>Pemberton</x:v>
      </x:c>
      <x:c r="D1178" s="8" t="str">
        <x:v>Land</x:v>
      </x:c>
      <x:c r="E1178" s="11" t="n">
        <x:v>2743232</x:v>
      </x:c>
      <x:c r="F1178" s="11"/>
      <x:c r="G1178" s="11" t="n">
        <x:v>2743232</x:v>
      </x:c>
      <x:c r="H1178" s="11" t="n">
        <x:v>0</x:v>
      </x:c>
      <x:c r="I1178" s="11" t="n">
        <x:v>2743232</x:v>
      </x:c>
      <x:c r="J1178" s="11"/>
      <x:c r="K1178" s="12" t="n">
        <x:v>1</x:v>
      </x:c>
      <x:c r="L1178" s="12"/>
      <x:c r="M1178" s="8" t="str">
        <x:v>N/A</x:v>
      </x:c>
    </x:row>
    <x:row r="1179">
      <x:c r="A1179" s="8" t="str">
        <x:v>Pemberton|Buildings</x:v>
      </x:c>
      <x:c r="B1179" s="8" t="str">
        <x:v>pemberton-v</x:v>
      </x:c>
      <x:c r="C1179" s="8" t="str">
        <x:v>Pemberton</x:v>
      </x:c>
      <x:c r="D1179" s="8" t="str">
        <x:v>Buildings</x:v>
      </x:c>
      <x:c r="E1179" s="11" t="n">
        <x:v>2778098</x:v>
      </x:c>
      <x:c r="F1179" s="11" t="n">
        <x:v>1020572</x:v>
      </x:c>
      <x:c r="G1179" s="11" t="n">
        <x:v>1757526</x:v>
      </x:c>
      <x:c r="H1179" s="11" t="n">
        <x:v>470407</x:v>
      </x:c>
      <x:c r="I1179" s="11" t="n">
        <x:v>2778098</x:v>
      </x:c>
      <x:c r="J1179" s="11" t="n">
        <x:v>85914</x:v>
      </x:c>
      <x:c r="K1179" s="12" t="n">
        <x:v>0.6326364296723873</x:v>
      </x:c>
      <x:c r="L1179" s="12" t="n">
        <x:v>0.9690745250887478</x:v>
      </x:c>
      <x:c r="M1179" s="8" t="str">
        <x:v>In_Progress</x:v>
      </x:c>
    </x:row>
    <x:row r="1180">
      <x:c r="A1180" s="8" t="str">
        <x:v>Pemberton|Fleet</x:v>
      </x:c>
      <x:c r="B1180" s="8" t="str">
        <x:v>pemberton-v</x:v>
      </x:c>
      <x:c r="C1180" s="8" t="str">
        <x:v>Pemberton</x:v>
      </x:c>
      <x:c r="D1180" s="8" t="str">
        <x:v>Fleet</x:v>
      </x:c>
      <x:c r="E1180" s="11" t="n">
        <x:v>5994866</x:v>
      </x:c>
      <x:c r="F1180" s="11" t="n">
        <x:v>4519762</x:v>
      </x:c>
      <x:c r="G1180" s="11" t="n">
        <x:v>1475104</x:v>
      </x:c>
      <x:c r="H1180" s="11" t="n">
        <x:v>231314</x:v>
      </x:c>
      <x:c r="I1180" s="11" t="n">
        <x:v>5994866</x:v>
      </x:c>
      <x:c r="J1180" s="11" t="n">
        <x:v>173097</x:v>
      </x:c>
      <x:c r="K1180" s="12" t="n">
        <x:v>0.24606121304462852</x:v>
      </x:c>
      <x:c r="L1180" s="12" t="n">
        <x:v>0.9711257933038037</x:v>
      </x:c>
      <x:c r="M1180" s="8" t="str">
        <x:v>In_Progress</x:v>
      </x:c>
    </x:row>
    <x:row r="1181">
      <x:c r="A1181" s="8" t="str">
        <x:v>Pemberton|Parks and Recreation</x:v>
      </x:c>
      <x:c r="B1181" s="8" t="str">
        <x:v>pemberton-v</x:v>
      </x:c>
      <x:c r="C1181" s="8" t="str">
        <x:v>Pemberton</x:v>
      </x:c>
      <x:c r="D1181" s="8" t="str">
        <x:v>Parks and Recreation</x:v>
      </x:c>
      <x:c r="E1181" s="11" t="n">
        <x:v>0</x:v>
      </x:c>
      <x:c r="F1181" s="11" t="n">
        <x:v>0</x:v>
      </x:c>
      <x:c r="G1181" s="11" t="n">
        <x:v>0</x:v>
      </x:c>
      <x:c r="H1181" s="11" t="n">
        <x:v>0</x:v>
      </x:c>
      <x:c r="I1181" s="11" t="n">
        <x:v>0</x:v>
      </x:c>
      <x:c r="J1181" s="11" t="n">
        <x:v>0</x:v>
      </x:c>
      <x:c r="K1181" s="12"/>
      <x:c r="L1181" s="12"/>
      <x:c r="M1181" s="8"/>
    </x:row>
    <x:row r="1182">
      <x:c r="A1182" s="8" t="str">
        <x:v>Pemberton|Water System</x:v>
      </x:c>
      <x:c r="B1182" s="8" t="str">
        <x:v>pemberton-v</x:v>
      </x:c>
      <x:c r="C1182" s="8" t="str">
        <x:v>Pemberton</x:v>
      </x:c>
      <x:c r="D1182" s="8" t="str">
        <x:v>Water System</x:v>
      </x:c>
      <x:c r="E1182" s="11" t="n">
        <x:v>7577934</x:v>
      </x:c>
      <x:c r="F1182" s="11" t="n">
        <x:v>2643944</x:v>
      </x:c>
      <x:c r="G1182" s="11" t="n">
        <x:v>4933990</x:v>
      </x:c>
      <x:c r="H1182" s="11" t="n">
        <x:v>114734</x:v>
      </x:c>
      <x:c r="I1182" s="11" t="n">
        <x:v>7577934</x:v>
      </x:c>
      <x:c r="J1182" s="11" t="n">
        <x:v>201003</x:v>
      </x:c>
      <x:c r="K1182" s="12" t="n">
        <x:v>0.6510996268903899</x:v>
      </x:c>
      <x:c r="L1182" s="12" t="n">
        <x:v>0.9734752242497757</x:v>
      </x:c>
      <x:c r="M1182" s="8" t="str">
        <x:v>In_Progress</x:v>
      </x:c>
    </x:row>
    <x:row r="1183">
      <x:c r="A1183" s="8" t="str">
        <x:v>Pemberton|Sewer System</x:v>
      </x:c>
      <x:c r="B1183" s="8" t="str">
        <x:v>pemberton-v</x:v>
      </x:c>
      <x:c r="C1183" s="8" t="str">
        <x:v>Pemberton</x:v>
      </x:c>
      <x:c r="D1183" s="8" t="str">
        <x:v>Sewer System</x:v>
      </x:c>
      <x:c r="E1183" s="11" t="n">
        <x:v>13955703</x:v>
      </x:c>
      <x:c r="F1183" s="11" t="n">
        <x:v>6330990</x:v>
      </x:c>
      <x:c r="G1183" s="11" t="n">
        <x:v>7624713</x:v>
      </x:c>
      <x:c r="H1183" s="11" t="n">
        <x:v>12128</x:v>
      </x:c>
      <x:c r="I1183" s="11" t="n">
        <x:v>13955703</x:v>
      </x:c>
      <x:c r="J1183" s="11" t="n">
        <x:v>303235</x:v>
      </x:c>
      <x:c r="K1183" s="12" t="n">
        <x:v>0.5463510508929575</x:v>
      </x:c>
      <x:c r="L1183" s="12" t="n">
        <x:v>0.9782716069552354</x:v>
      </x:c>
      <x:c r="M1183" s="8" t="str">
        <x:v>In_Progress</x:v>
      </x:c>
    </x:row>
    <x:row r="1184">
      <x:c r="A1184" s="8" t="str">
        <x:v>Pemberton|Drainage System</x:v>
      </x:c>
      <x:c r="B1184" s="8" t="str">
        <x:v>pemberton-v</x:v>
      </x:c>
      <x:c r="C1184" s="8" t="str">
        <x:v>Pemberton</x:v>
      </x:c>
      <x:c r="D1184" s="8" t="str">
        <x:v>Drainage System</x:v>
      </x:c>
      <x:c r="E1184" s="11" t="n">
        <x:v>0</x:v>
      </x:c>
      <x:c r="F1184" s="11" t="n">
        <x:v>0</x:v>
      </x:c>
      <x:c r="G1184" s="11" t="n">
        <x:v>0</x:v>
      </x:c>
      <x:c r="H1184" s="11" t="n">
        <x:v>0</x:v>
      </x:c>
      <x:c r="I1184" s="11" t="n">
        <x:v>0</x:v>
      </x:c>
      <x:c r="J1184" s="11" t="n">
        <x:v>0</x:v>
      </x:c>
      <x:c r="K1184" s="12"/>
      <x:c r="L1184" s="12"/>
      <x:c r="M1184" s="8"/>
    </x:row>
    <x:row r="1185">
      <x:c r="A1185" s="8" t="str">
        <x:v>Pemberton|Transportation System</x:v>
      </x:c>
      <x:c r="B1185" s="8" t="str">
        <x:v>pemberton-v</x:v>
      </x:c>
      <x:c r="C1185" s="8" t="str">
        <x:v>Pemberton</x:v>
      </x:c>
      <x:c r="D1185" s="8" t="str">
        <x:v>Transportation System</x:v>
      </x:c>
      <x:c r="E1185" s="11" t="n">
        <x:v>0</x:v>
      </x:c>
      <x:c r="F1185" s="11" t="n">
        <x:v>0</x:v>
      </x:c>
      <x:c r="G1185" s="11" t="n">
        <x:v>0</x:v>
      </x:c>
      <x:c r="H1185" s="11" t="n">
        <x:v>0</x:v>
      </x:c>
      <x:c r="I1185" s="11" t="n">
        <x:v>0</x:v>
      </x:c>
      <x:c r="J1185" s="11" t="n">
        <x:v>0</x:v>
      </x:c>
      <x:c r="K1185" s="12"/>
      <x:c r="L1185" s="12"/>
      <x:c r="M1185" s="8"/>
    </x:row>
    <x:row r="1186">
      <x:c r="A1186" s="8" t="str">
        <x:v>Pemberton|Other Engineering Systems</x:v>
      </x:c>
      <x:c r="B1186" s="8" t="str">
        <x:v>pemberton-v</x:v>
      </x:c>
      <x:c r="C1186" s="8" t="str">
        <x:v>Pemberton</x:v>
      </x:c>
      <x:c r="D1186" s="8" t="str">
        <x:v>Other Engineering Systems</x:v>
      </x:c>
      <x:c r="E1186" s="11" t="n">
        <x:v>20422452</x:v>
      </x:c>
      <x:c r="F1186" s="11" t="n">
        <x:v>6189207</x:v>
      </x:c>
      <x:c r="G1186" s="11" t="n">
        <x:v>14233245</x:v>
      </x:c>
      <x:c r="H1186" s="11" t="n">
        <x:v>177331</x:v>
      </x:c>
      <x:c r="I1186" s="11" t="n">
        <x:v>20422452</x:v>
      </x:c>
      <x:c r="J1186" s="11" t="n">
        <x:v>565637</x:v>
      </x:c>
      <x:c r="K1186" s="12" t="n">
        <x:v>0.6969410431225398</x:v>
      </x:c>
      <x:c r="L1186" s="12" t="n">
        <x:v>0.9723031788739178</x:v>
      </x:c>
      <x:c r="M1186" s="8" t="str">
        <x:v>In_Progress</x:v>
      </x:c>
    </x:row>
    <x:row r="1187">
      <x:c r="A1187" s="8" t="str">
        <x:v>Pemberton|Other Tangible Capital Assets</x:v>
      </x:c>
      <x:c r="B1187" s="8" t="str">
        <x:v>pemberton-v</x:v>
      </x:c>
      <x:c r="C1187" s="8" t="str">
        <x:v>Pemberton</x:v>
      </x:c>
      <x:c r="D1187" s="8" t="str">
        <x:v>Other Tangible Capital Assets</x:v>
      </x:c>
      <x:c r="E1187" s="11" t="n">
        <x:v>0</x:v>
      </x:c>
      <x:c r="F1187" s="11" t="n">
        <x:v>0</x:v>
      </x:c>
      <x:c r="G1187" s="11" t="n">
        <x:v>0</x:v>
      </x:c>
      <x:c r="H1187" s="11" t="n">
        <x:v>0</x:v>
      </x:c>
      <x:c r="I1187" s="11" t="n">
        <x:v>0</x:v>
      </x:c>
      <x:c r="J1187" s="11" t="n">
        <x:v>0</x:v>
      </x:c>
      <x:c r="K1187" s="12"/>
      <x:c r="L1187" s="12"/>
      <x:c r="M1187" s="8" t="str">
        <x:v>N/A</x:v>
      </x:c>
    </x:row>
    <x:row r="1188">
      <x:c r="A1188" s="8" t="str">
        <x:v>Pemberton|Work In Progress</x:v>
      </x:c>
      <x:c r="B1188" s="8" t="str">
        <x:v>pemberton-v</x:v>
      </x:c>
      <x:c r="C1188" s="8" t="str">
        <x:v>Pemberton</x:v>
      </x:c>
      <x:c r="D1188" s="8" t="str">
        <x:v>Work In Progress</x:v>
      </x:c>
      <x:c r="E1188" s="11" t="n">
        <x:v>8692408</x:v>
      </x:c>
      <x:c r="F1188" s="11"/>
      <x:c r="G1188" s="11" t="n">
        <x:v>8692408</x:v>
      </x:c>
      <x:c r="H1188" s="11" t="n">
        <x:v>4812719</x:v>
      </x:c>
      <x:c r="I1188" s="11" t="n">
        <x:v>8692408</x:v>
      </x:c>
      <x:c r="J1188" s="11"/>
      <x:c r="K1188" s="12" t="n">
        <x:v>1</x:v>
      </x:c>
      <x:c r="L1188" s="12"/>
      <x:c r="M1188" s="8" t="str">
        <x:v>N/A</x:v>
      </x:c>
    </x:row>
    <x:row r="1189">
      <x:c r="A1189" s="8" t="str">
        <x:v>Pemberton|Total TCA</x:v>
      </x:c>
      <x:c r="B1189" s="8" t="str">
        <x:v>pemberton-v</x:v>
      </x:c>
      <x:c r="C1189" s="8" t="str">
        <x:v>Pemberton</x:v>
      </x:c>
      <x:c r="D1189" s="8" t="str">
        <x:v>Total TCA</x:v>
      </x:c>
      <x:c r="E1189" s="11" t="n">
        <x:v>62164693</x:v>
      </x:c>
      <x:c r="F1189" s="11" t="n">
        <x:v>20704475</x:v>
      </x:c>
      <x:c r="G1189" s="11" t="n">
        <x:v>41460218</x:v>
      </x:c>
      <x:c r="H1189" s="11" t="n">
        <x:v>5818633</x:v>
      </x:c>
      <x:c r="I1189" s="11" t="n">
        <x:v>62164693</x:v>
      </x:c>
      <x:c r="J1189" s="11" t="n">
        <x:v>1328886</x:v>
      </x:c>
      <x:c r="K1189" s="12" t="n">
        <x:v>0.6669415708366806</x:v>
      </x:c>
      <x:c r="L1189" s="12" t="n">
        <x:v>0.9786231390220169</x:v>
      </x:c>
      <x:c r="M1189" s="8"/>
    </x:row>
    <x:row r="1190">
      <x:c r="A1190" s="8" t="str">
        <x:v>Penticton|Land</x:v>
      </x:c>
      <x:c r="B1190" s="8" t="str">
        <x:v>penticton-c</x:v>
      </x:c>
      <x:c r="C1190" s="8" t="str">
        <x:v>Penticton</x:v>
      </x:c>
      <x:c r="D1190" s="8" t="str">
        <x:v>Land</x:v>
      </x:c>
      <x:c r="E1190" s="11" t="n">
        <x:v>55957078</x:v>
      </x:c>
      <x:c r="F1190" s="11"/>
      <x:c r="G1190" s="11" t="n">
        <x:v>55957078</x:v>
      </x:c>
      <x:c r="H1190" s="11" t="n">
        <x:v>609779</x:v>
      </x:c>
      <x:c r="I1190" s="11" t="n">
        <x:v>55957078</x:v>
      </x:c>
      <x:c r="J1190" s="11"/>
      <x:c r="K1190" s="12" t="n">
        <x:v>1</x:v>
      </x:c>
      <x:c r="L1190" s="12"/>
      <x:c r="M1190" s="8" t="str">
        <x:v>N/A</x:v>
      </x:c>
    </x:row>
    <x:row r="1191">
      <x:c r="A1191" s="8" t="str">
        <x:v>Penticton|Buildings</x:v>
      </x:c>
      <x:c r="B1191" s="8" t="str">
        <x:v>penticton-c</x:v>
      </x:c>
      <x:c r="C1191" s="8" t="str">
        <x:v>Penticton</x:v>
      </x:c>
      <x:c r="D1191" s="8" t="str">
        <x:v>Buildings</x:v>
      </x:c>
      <x:c r="E1191" s="11" t="n">
        <x:v>177714394</x:v>
      </x:c>
      <x:c r="F1191" s="11" t="n">
        <x:v>106382483</x:v>
      </x:c>
      <x:c r="G1191" s="11" t="n">
        <x:v>71331911</x:v>
      </x:c>
      <x:c r="H1191" s="11" t="n">
        <x:v>1973026</x:v>
      </x:c>
      <x:c r="I1191" s="11" t="n">
        <x:v>647639316</x:v>
      </x:c>
      <x:c r="J1191" s="11" t="n">
        <x:v>9251990</x:v>
      </x:c>
      <x:c r="K1191" s="12" t="n">
        <x:v>0.4013851067122903</x:v>
      </x:c>
      <x:c r="L1191" s="12" t="n">
        <x:v>0.9857142860672159</x:v>
      </x:c>
      <x:c r="M1191" s="8" t="str">
        <x:v>Yes</x:v>
      </x:c>
    </x:row>
    <x:row r="1192">
      <x:c r="A1192" s="8" t="str">
        <x:v>Penticton|Fleet</x:v>
      </x:c>
      <x:c r="B1192" s="8" t="str">
        <x:v>penticton-c</x:v>
      </x:c>
      <x:c r="C1192" s="8" t="str">
        <x:v>Penticton</x:v>
      </x:c>
      <x:c r="D1192" s="8" t="str">
        <x:v>Fleet</x:v>
      </x:c>
      <x:c r="E1192" s="11" t="n">
        <x:v>12260166</x:v>
      </x:c>
      <x:c r="F1192" s="11" t="n">
        <x:v>6906420</x:v>
      </x:c>
      <x:c r="G1192" s="11" t="n">
        <x:v>5353746</x:v>
      </x:c>
      <x:c r="H1192" s="11" t="n">
        <x:v>1258982</x:v>
      </x:c>
      <x:c r="I1192" s="11" t="n">
        <x:v>14047050</x:v>
      </x:c>
      <x:c r="J1192" s="11" t="n">
        <x:v>1080542</x:v>
      </x:c>
      <x:c r="K1192" s="12" t="n">
        <x:v>0.4366781004433382</x:v>
      </x:c>
      <x:c r="L1192" s="12" t="n">
        <x:v>0.9230769449813306</x:v>
      </x:c>
      <x:c r="M1192" s="8" t="str">
        <x:v>Yes</x:v>
      </x:c>
    </x:row>
    <x:row r="1193">
      <x:c r="A1193" s="8" t="str">
        <x:v>Penticton|Parks and Recreation</x:v>
      </x:c>
      <x:c r="B1193" s="8" t="str">
        <x:v>penticton-c</x:v>
      </x:c>
      <x:c r="C1193" s="8" t="str">
        <x:v>Penticton</x:v>
      </x:c>
      <x:c r="D1193" s="8" t="str">
        <x:v>Parks and Recreation</x:v>
      </x:c>
      <x:c r="E1193" s="11" t="n">
        <x:v>19639956</x:v>
      </x:c>
      <x:c r="F1193" s="11" t="n">
        <x:v>15276647</x:v>
      </x:c>
      <x:c r="G1193" s="11" t="n">
        <x:v>4363309</x:v>
      </x:c>
      <x:c r="H1193" s="11" t="n">
        <x:v>672360</x:v>
      </x:c>
      <x:c r="I1193" s="11" t="n">
        <x:v>741058974</x:v>
      </x:c>
      <x:c r="J1193" s="11" t="n">
        <x:v>1744402</x:v>
      </x:c>
      <x:c r="K1193" s="12" t="n">
        <x:v>0.22216490709042322</x:v>
      </x:c>
      <x:c r="L1193" s="12" t="n">
        <x:v>0.9976460685840098</x:v>
      </x:c>
      <x:c r="M1193" s="8" t="str">
        <x:v>Yes</x:v>
      </x:c>
    </x:row>
    <x:row r="1194">
      <x:c r="A1194" s="8" t="str">
        <x:v>Penticton|Water System</x:v>
      </x:c>
      <x:c r="B1194" s="8" t="str">
        <x:v>penticton-c</x:v>
      </x:c>
      <x:c r="C1194" s="8" t="str">
        <x:v>Penticton</x:v>
      </x:c>
      <x:c r="D1194" s="8" t="str">
        <x:v>Water System</x:v>
      </x:c>
      <x:c r="E1194" s="11" t="n">
        <x:v>63739335</x:v>
      </x:c>
      <x:c r="F1194" s="11" t="n">
        <x:v>24077735</x:v>
      </x:c>
      <x:c r="G1194" s="11" t="n">
        <x:v>39661600</x:v>
      </x:c>
      <x:c r="H1194" s="11" t="n">
        <x:v>1477697</x:v>
      </x:c>
      <x:c r="I1194" s="11" t="n">
        <x:v>216455127</x:v>
      </x:c>
      <x:c r="J1194" s="11" t="n">
        <x:v>2241775</x:v>
      </x:c>
      <x:c r="K1194" s="12" t="n">
        <x:v>0.6222468433346535</x:v>
      </x:c>
      <x:c r="L1194" s="12" t="n">
        <x:v>0.989643234461247</x:v>
      </x:c>
      <x:c r="M1194" s="8" t="str">
        <x:v>Yes</x:v>
      </x:c>
    </x:row>
    <x:row r="1195">
      <x:c r="A1195" s="8" t="str">
        <x:v>Penticton|Sewer System</x:v>
      </x:c>
      <x:c r="B1195" s="8" t="str">
        <x:v>penticton-c</x:v>
      </x:c>
      <x:c r="C1195" s="8" t="str">
        <x:v>Penticton</x:v>
      </x:c>
      <x:c r="D1195" s="8" t="str">
        <x:v>Sewer System</x:v>
      </x:c>
      <x:c r="E1195" s="11" t="n">
        <x:v>48389402</x:v>
      </x:c>
      <x:c r="F1195" s="11" t="n">
        <x:v>14577749</x:v>
      </x:c>
      <x:c r="G1195" s="11" t="n">
        <x:v>33811653</x:v>
      </x:c>
      <x:c r="H1195" s="11" t="n">
        <x:v>1440823</x:v>
      </x:c>
      <x:c r="I1195" s="11" t="n">
        <x:v>255533455</x:v>
      </x:c>
      <x:c r="J1195" s="11" t="n">
        <x:v>2320404</x:v>
      </x:c>
      <x:c r="K1195" s="12" t="n">
        <x:v>0.6987408730531532</x:v>
      </x:c>
      <x:c r="L1195" s="12" t="n">
        <x:v>0.9909193729642954</x:v>
      </x:c>
      <x:c r="M1195" s="8" t="str">
        <x:v>Yes</x:v>
      </x:c>
    </x:row>
    <x:row r="1196">
      <x:c r="A1196" s="8" t="str">
        <x:v>Penticton|Drainage System</x:v>
      </x:c>
      <x:c r="B1196" s="8" t="str">
        <x:v>penticton-c</x:v>
      </x:c>
      <x:c r="C1196" s="8" t="str">
        <x:v>Penticton</x:v>
      </x:c>
      <x:c r="D1196" s="8" t="str">
        <x:v>Drainage System</x:v>
      </x:c>
      <x:c r="E1196" s="11" t="n">
        <x:v>13948678</x:v>
      </x:c>
      <x:c r="F1196" s="11" t="n">
        <x:v>4256165</x:v>
      </x:c>
      <x:c r="G1196" s="11" t="n">
        <x:v>9692513</x:v>
      </x:c>
      <x:c r="H1196" s="11" t="n">
        <x:v>0</x:v>
      </x:c>
      <x:c r="I1196" s="11" t="n">
        <x:v>76340736</x:v>
      </x:c>
      <x:c r="J1196" s="11" t="n">
        <x:v>774927</x:v>
      </x:c>
      <x:c r="K1196" s="12" t="n">
        <x:v>0.6948696500127108</x:v>
      </x:c>
      <x:c r="L1196" s="12" t="n">
        <x:v>0.9898491023193698</x:v>
      </x:c>
      <x:c r="M1196" s="8" t="str">
        <x:v>Yes</x:v>
      </x:c>
    </x:row>
    <x:row r="1197">
      <x:c r="A1197" s="8" t="str">
        <x:v>Penticton|Transportation System</x:v>
      </x:c>
      <x:c r="B1197" s="8" t="str">
        <x:v>penticton-c</x:v>
      </x:c>
      <x:c r="C1197" s="8" t="str">
        <x:v>Penticton</x:v>
      </x:c>
      <x:c r="D1197" s="8" t="str">
        <x:v>Transportation System</x:v>
      </x:c>
      <x:c r="E1197" s="11" t="n">
        <x:v>116278805</x:v>
      </x:c>
      <x:c r="F1197" s="11" t="n">
        <x:v>71272994</x:v>
      </x:c>
      <x:c r="G1197" s="11" t="n">
        <x:v>45005811</x:v>
      </x:c>
      <x:c r="H1197" s="11" t="n">
        <x:v>7460147</x:v>
      </x:c>
      <x:c r="I1197" s="11" t="n">
        <x:v>430548697</x:v>
      </x:c>
      <x:c r="J1197" s="11" t="n">
        <x:v>3972840</x:v>
      </x:c>
      <x:c r="K1197" s="12" t="n">
        <x:v>0.38705085591479893</x:v>
      </x:c>
      <x:c r="L1197" s="12" t="n">
        <x:v>0.9907726117215494</x:v>
      </x:c>
      <x:c r="M1197" s="8" t="str">
        <x:v>Yes</x:v>
      </x:c>
    </x:row>
    <x:row r="1198">
      <x:c r="A1198" s="8" t="str">
        <x:v>Penticton|Other Engineering Systems</x:v>
      </x:c>
      <x:c r="B1198" s="8" t="str">
        <x:v>penticton-c</x:v>
      </x:c>
      <x:c r="C1198" s="8" t="str">
        <x:v>Penticton</x:v>
      </x:c>
      <x:c r="D1198" s="8" t="str">
        <x:v>Other Engineering Systems</x:v>
      </x:c>
      <x:c r="E1198" s="11" t="n">
        <x:v>91696118</x:v>
      </x:c>
      <x:c r="F1198" s="11" t="n">
        <x:v>51567482</x:v>
      </x:c>
      <x:c r="G1198" s="11" t="n">
        <x:v>40128636</x:v>
      </x:c>
      <x:c r="H1198" s="11" t="n">
        <x:v>5205824</x:v>
      </x:c>
      <x:c r="I1198" s="11" t="n">
        <x:v>210031914</x:v>
      </x:c>
      <x:c r="J1198" s="11" t="n">
        <x:v>4390383</x:v>
      </x:c>
      <x:c r="K1198" s="12" t="n">
        <x:v>0.43762633441036186</x:v>
      </x:c>
      <x:c r="L1198" s="12" t="n">
        <x:v>0.979096591006641</x:v>
      </x:c>
      <x:c r="M1198" s="8" t="str">
        <x:v>Yes</x:v>
      </x:c>
    </x:row>
    <x:row r="1199">
      <x:c r="A1199" s="8" t="str">
        <x:v>Penticton|Other Tangible Capital Assets</x:v>
      </x:c>
      <x:c r="B1199" s="8" t="str">
        <x:v>penticton-c</x:v>
      </x:c>
      <x:c r="C1199" s="8" t="str">
        <x:v>Penticton</x:v>
      </x:c>
      <x:c r="D1199" s="8" t="str">
        <x:v>Other Tangible Capital Assets</x:v>
      </x:c>
      <x:c r="E1199" s="11" t="n">
        <x:v>34743619</x:v>
      </x:c>
      <x:c r="F1199" s="11" t="n">
        <x:v>21854940</x:v>
      </x:c>
      <x:c r="G1199" s="11" t="n">
        <x:v>12888679</x:v>
      </x:c>
      <x:c r="H1199" s="11" t="n">
        <x:v>3055103</x:v>
      </x:c>
      <x:c r="I1199" s="11" t="n">
        <x:v>0</x:v>
      </x:c>
      <x:c r="J1199" s="11" t="n">
        <x:v>0</x:v>
      </x:c>
      <x:c r="K1199" s="12" t="n">
        <x:v>0.3709653562572166</x:v>
      </x:c>
      <x:c r="L1199" s="12"/>
      <x:c r="M1199" s="8" t="str">
        <x:v>N/A</x:v>
      </x:c>
    </x:row>
    <x:row r="1200">
      <x:c r="A1200" s="8" t="str">
        <x:v>Penticton|Work In Progress</x:v>
      </x:c>
      <x:c r="B1200" s="8" t="str">
        <x:v>penticton-c</x:v>
      </x:c>
      <x:c r="C1200" s="8" t="str">
        <x:v>Penticton</x:v>
      </x:c>
      <x:c r="D1200" s="8" t="str">
        <x:v>Work In Progress</x:v>
      </x:c>
      <x:c r="E1200" s="11" t="n">
        <x:v>22840643</x:v>
      </x:c>
      <x:c r="F1200" s="11"/>
      <x:c r="G1200" s="11" t="n">
        <x:v>22840643</x:v>
      </x:c>
      <x:c r="H1200" s="11" t="n">
        <x:v>10525666</x:v>
      </x:c>
      <x:c r="I1200" s="11" t="n">
        <x:v>22840643</x:v>
      </x:c>
      <x:c r="J1200" s="11"/>
      <x:c r="K1200" s="12" t="n">
        <x:v>1</x:v>
      </x:c>
      <x:c r="L1200" s="12"/>
      <x:c r="M1200" s="8" t="str">
        <x:v>N/A</x:v>
      </x:c>
    </x:row>
    <x:row r="1201">
      <x:c r="A1201" s="8" t="str">
        <x:v>Penticton|Total TCA</x:v>
      </x:c>
      <x:c r="B1201" s="8" t="str">
        <x:v>penticton-c</x:v>
      </x:c>
      <x:c r="C1201" s="8" t="str">
        <x:v>Penticton</x:v>
      </x:c>
      <x:c r="D1201" s="8" t="str">
        <x:v>Total TCA</x:v>
      </x:c>
      <x:c r="E1201" s="11" t="n">
        <x:v>657208194</x:v>
      </x:c>
      <x:c r="F1201" s="11" t="n">
        <x:v>316172615</x:v>
      </x:c>
      <x:c r="G1201" s="11" t="n">
        <x:v>341035579</x:v>
      </x:c>
      <x:c r="H1201" s="11" t="n">
        <x:v>33679407</x:v>
      </x:c>
      <x:c r="I1201" s="11" t="n">
        <x:v>2670452990</x:v>
      </x:c>
      <x:c r="J1201" s="11" t="n">
        <x:v>25777263</x:v>
      </x:c>
      <x:c r="K1201" s="12" t="n">
        <x:v>0.5189155919136333</x:v>
      </x:c>
      <x:c r="L1201" s="12" t="n">
        <x:v>0.9903472320626772</x:v>
      </x:c>
      <x:c r="M1201" s="8"/>
    </x:row>
    <x:row r="1202">
      <x:c r="A1202" s="8" t="str">
        <x:v>Pitt Meadows|Land</x:v>
      </x:c>
      <x:c r="B1202" s="8" t="str">
        <x:v>pitt-meadows-c</x:v>
      </x:c>
      <x:c r="C1202" s="8" t="str">
        <x:v>Pitt Meadows</x:v>
      </x:c>
      <x:c r="D1202" s="8" t="str">
        <x:v>Land</x:v>
      </x:c>
      <x:c r="E1202" s="11" t="n">
        <x:v>57676622</x:v>
      </x:c>
      <x:c r="F1202" s="11"/>
      <x:c r="G1202" s="11" t="n">
        <x:v>57676622</x:v>
      </x:c>
      <x:c r="H1202" s="11" t="n">
        <x:v>0</x:v>
      </x:c>
      <x:c r="I1202" s="11" t="n">
        <x:v>57676622</x:v>
      </x:c>
      <x:c r="J1202" s="11"/>
      <x:c r="K1202" s="12" t="n">
        <x:v>1</x:v>
      </x:c>
      <x:c r="L1202" s="12"/>
      <x:c r="M1202" s="8" t="str">
        <x:v>N/A</x:v>
      </x:c>
    </x:row>
    <x:row r="1203">
      <x:c r="A1203" s="8" t="str">
        <x:v>Pitt Meadows|Buildings</x:v>
      </x:c>
      <x:c r="B1203" s="8" t="str">
        <x:v>pitt-meadows-c</x:v>
      </x:c>
      <x:c r="C1203" s="8" t="str">
        <x:v>Pitt Meadows</x:v>
      </x:c>
      <x:c r="D1203" s="8" t="str">
        <x:v>Buildings</x:v>
      </x:c>
      <x:c r="E1203" s="11" t="n">
        <x:v>53374933</x:v>
      </x:c>
      <x:c r="F1203" s="11" t="n">
        <x:v>21849826</x:v>
      </x:c>
      <x:c r="G1203" s="11" t="n">
        <x:v>31525107</x:v>
      </x:c>
      <x:c r="H1203" s="11" t="n">
        <x:v>2764139</x:v>
      </x:c>
      <x:c r="I1203" s="11" t="n">
        <x:v>89686126</x:v>
      </x:c>
      <x:c r="J1203" s="11" t="n">
        <x:v>3112030</x:v>
      </x:c>
      <x:c r="K1203" s="12" t="n">
        <x:v>0.590635064591088</x:v>
      </x:c>
      <x:c r="L1203" s="12" t="n">
        <x:v>0.9653008760797629</x:v>
      </x:c>
      <x:c r="M1203" s="8" t="str">
        <x:v>Yes</x:v>
      </x:c>
    </x:row>
    <x:row r="1204">
      <x:c r="A1204" s="8" t="str">
        <x:v>Pitt Meadows|Fleet</x:v>
      </x:c>
      <x:c r="B1204" s="8" t="str">
        <x:v>pitt-meadows-c</x:v>
      </x:c>
      <x:c r="C1204" s="8" t="str">
        <x:v>Pitt Meadows</x:v>
      </x:c>
      <x:c r="D1204" s="8" t="str">
        <x:v>Fleet</x:v>
      </x:c>
      <x:c r="E1204" s="11" t="n">
        <x:v>8363257</x:v>
      </x:c>
      <x:c r="F1204" s="11" t="n">
        <x:v>4607027</x:v>
      </x:c>
      <x:c r="G1204" s="11" t="n">
        <x:v>3756230</x:v>
      </x:c>
      <x:c r="H1204" s="11" t="n">
        <x:v>982293</x:v>
      </x:c>
      <x:c r="I1204" s="11" t="n">
        <x:v>8900996</x:v>
      </x:c>
      <x:c r="J1204" s="11" t="n">
        <x:v>761005</x:v>
      </x:c>
      <x:c r="K1204" s="12" t="n">
        <x:v>0.44913482869174054</x:v>
      </x:c>
      <x:c r="L1204" s="12" t="n">
        <x:v>0.9145033881601564</x:v>
      </x:c>
      <x:c r="M1204" s="8" t="str">
        <x:v>Yes</x:v>
      </x:c>
    </x:row>
    <x:row r="1205">
      <x:c r="A1205" s="8" t="str">
        <x:v>Pitt Meadows|Parks and Recreation</x:v>
      </x:c>
      <x:c r="B1205" s="8" t="str">
        <x:v>pitt-meadows-c</x:v>
      </x:c>
      <x:c r="C1205" s="8" t="str">
        <x:v>Pitt Meadows</x:v>
      </x:c>
      <x:c r="D1205" s="8" t="str">
        <x:v>Parks and Recreation</x:v>
      </x:c>
      <x:c r="E1205" s="11" t="n">
        <x:v>10404439</x:v>
      </x:c>
      <x:c r="F1205" s="11" t="n">
        <x:v>6121033</x:v>
      </x:c>
      <x:c r="G1205" s="11" t="n">
        <x:v>4283406</x:v>
      </x:c>
      <x:c r="H1205" s="11" t="n">
        <x:v>189211</x:v>
      </x:c>
      <x:c r="I1205" s="11" t="n">
        <x:v>18180348</x:v>
      </x:c>
      <x:c r="J1205" s="11" t="n">
        <x:v>687525</x:v>
      </x:c>
      <x:c r="K1205" s="12" t="n">
        <x:v>0.4116902410596093</x:v>
      </x:c>
      <x:c r="L1205" s="12" t="n">
        <x:v>0.9621830671228075</x:v>
      </x:c>
      <x:c r="M1205" s="8" t="str">
        <x:v>Yes</x:v>
      </x:c>
    </x:row>
    <x:row r="1206">
      <x:c r="A1206" s="8" t="str">
        <x:v>Pitt Meadows|Water System</x:v>
      </x:c>
      <x:c r="B1206" s="8" t="str">
        <x:v>pitt-meadows-c</x:v>
      </x:c>
      <x:c r="C1206" s="8" t="str">
        <x:v>Pitt Meadows</x:v>
      </x:c>
      <x:c r="D1206" s="8" t="str">
        <x:v>Water System</x:v>
      </x:c>
      <x:c r="E1206" s="11" t="n">
        <x:v>41279636</x:v>
      </x:c>
      <x:c r="F1206" s="11" t="n">
        <x:v>16625665</x:v>
      </x:c>
      <x:c r="G1206" s="11" t="n">
        <x:v>24653971</x:v>
      </x:c>
      <x:c r="H1206" s="11" t="n">
        <x:v>353007</x:v>
      </x:c>
      <x:c r="I1206" s="11" t="n">
        <x:v>133991561</x:v>
      </x:c>
      <x:c r="J1206" s="11" t="n">
        <x:v>1755796</x:v>
      </x:c>
      <x:c r="K1206" s="12" t="n">
        <x:v>0.5972429359599973</x:v>
      </x:c>
      <x:c r="L1206" s="12" t="n">
        <x:v>0.9868962195313181</x:v>
      </x:c>
      <x:c r="M1206" s="8" t="str">
        <x:v>Yes</x:v>
      </x:c>
    </x:row>
    <x:row r="1207">
      <x:c r="A1207" s="8" t="str">
        <x:v>Pitt Meadows|Sewer System</x:v>
      </x:c>
      <x:c r="B1207" s="8" t="str">
        <x:v>pitt-meadows-c</x:v>
      </x:c>
      <x:c r="C1207" s="8" t="str">
        <x:v>Pitt Meadows</x:v>
      </x:c>
      <x:c r="D1207" s="8" t="str">
        <x:v>Sewer System</x:v>
      </x:c>
      <x:c r="E1207" s="11" t="n">
        <x:v>16152264</x:v>
      </x:c>
      <x:c r="F1207" s="11" t="n">
        <x:v>6819832</x:v>
      </x:c>
      <x:c r="G1207" s="11" t="n">
        <x:v>9332432</x:v>
      </x:c>
      <x:c r="H1207" s="11" t="n">
        <x:v>104699</x:v>
      </x:c>
      <x:c r="I1207" s="11" t="n">
        <x:v>59917226</x:v>
      </x:c>
      <x:c r="J1207" s="11" t="n">
        <x:v>826253</x:v>
      </x:c>
      <x:c r="K1207" s="12" t="n">
        <x:v>0.5777785702363458</x:v>
      </x:c>
      <x:c r="L1207" s="12" t="n">
        <x:v>0.9862100925700399</x:v>
      </x:c>
      <x:c r="M1207" s="8" t="str">
        <x:v>Yes</x:v>
      </x:c>
    </x:row>
    <x:row r="1208">
      <x:c r="A1208" s="8" t="str">
        <x:v>Pitt Meadows|Drainage System</x:v>
      </x:c>
      <x:c r="B1208" s="8" t="str">
        <x:v>pitt-meadows-c</x:v>
      </x:c>
      <x:c r="C1208" s="8" t="str">
        <x:v>Pitt Meadows</x:v>
      </x:c>
      <x:c r="D1208" s="8" t="str">
        <x:v>Drainage System</x:v>
      </x:c>
      <x:c r="E1208" s="11" t="n">
        <x:v>58241157</x:v>
      </x:c>
      <x:c r="F1208" s="11" t="n">
        <x:v>15941676</x:v>
      </x:c>
      <x:c r="G1208" s="11" t="n">
        <x:v>42299481</x:v>
      </x:c>
      <x:c r="H1208" s="11" t="n">
        <x:v>717260</x:v>
      </x:c>
      <x:c r="I1208" s="11" t="n">
        <x:v>124035864</x:v>
      </x:c>
      <x:c r="J1208" s="11" t="n">
        <x:v>2098264</x:v>
      </x:c>
      <x:c r="K1208" s="12" t="n">
        <x:v>0.7262816052915981</x:v>
      </x:c>
      <x:c r="L1208" s="12" t="n">
        <x:v>0.9830834088437518</x:v>
      </x:c>
      <x:c r="M1208" s="8" t="str">
        <x:v>Yes</x:v>
      </x:c>
    </x:row>
    <x:row r="1209">
      <x:c r="A1209" s="8" t="str">
        <x:v>Pitt Meadows|Transportation System</x:v>
      </x:c>
      <x:c r="B1209" s="8" t="str">
        <x:v>pitt-meadows-c</x:v>
      </x:c>
      <x:c r="C1209" s="8" t="str">
        <x:v>Pitt Meadows</x:v>
      </x:c>
      <x:c r="D1209" s="8" t="str">
        <x:v>Transportation System</x:v>
      </x:c>
      <x:c r="E1209" s="11" t="n">
        <x:v>57421398</x:v>
      </x:c>
      <x:c r="F1209" s="11" t="n">
        <x:v>30974650</x:v>
      </x:c>
      <x:c r="G1209" s="11" t="n">
        <x:v>26446748</x:v>
      </x:c>
      <x:c r="H1209" s="11" t="n">
        <x:v>2057674</x:v>
      </x:c>
      <x:c r="I1209" s="11" t="n">
        <x:v>194156829</x:v>
      </x:c>
      <x:c r="J1209" s="11" t="n">
        <x:v>4105229</x:v>
      </x:c>
      <x:c r="K1209" s="12" t="n">
        <x:v>0.4605730428228167</x:v>
      </x:c>
      <x:c r="L1209" s="12" t="n">
        <x:v>0.9788561184216703</x:v>
      </x:c>
      <x:c r="M1209" s="8" t="str">
        <x:v>Yes</x:v>
      </x:c>
    </x:row>
    <x:row r="1210">
      <x:c r="A1210" s="8" t="str">
        <x:v>Pitt Meadows|Other Engineering Systems</x:v>
      </x:c>
      <x:c r="B1210" s="8" t="str">
        <x:v>pitt-meadows-c</x:v>
      </x:c>
      <x:c r="C1210" s="8" t="str">
        <x:v>Pitt Meadows</x:v>
      </x:c>
      <x:c r="D1210" s="8" t="str">
        <x:v>Other Engineering Systems</x:v>
      </x:c>
      <x:c r="E1210" s="11" t="n">
        <x:v>0</x:v>
      </x:c>
      <x:c r="F1210" s="11" t="n">
        <x:v>0</x:v>
      </x:c>
      <x:c r="G1210" s="11" t="n">
        <x:v>0</x:v>
      </x:c>
      <x:c r="H1210" s="11" t="n">
        <x:v>0</x:v>
      </x:c>
      <x:c r="I1210" s="11" t="n">
        <x:v>0</x:v>
      </x:c>
      <x:c r="J1210" s="11" t="n">
        <x:v>0</x:v>
      </x:c>
      <x:c r="K1210" s="12"/>
      <x:c r="L1210" s="12"/>
      <x:c r="M1210" s="8"/>
    </x:row>
    <x:row r="1211">
      <x:c r="A1211" s="8" t="str">
        <x:v>Pitt Meadows|Other Tangible Capital Assets</x:v>
      </x:c>
      <x:c r="B1211" s="8" t="str">
        <x:v>pitt-meadows-c</x:v>
      </x:c>
      <x:c r="C1211" s="8" t="str">
        <x:v>Pitt Meadows</x:v>
      </x:c>
      <x:c r="D1211" s="8" t="str">
        <x:v>Other Tangible Capital Assets</x:v>
      </x:c>
      <x:c r="E1211" s="11" t="n">
        <x:v>18132989</x:v>
      </x:c>
      <x:c r="F1211" s="11" t="n">
        <x:v>9616633</x:v>
      </x:c>
      <x:c r="G1211" s="11" t="n">
        <x:v>8516356</x:v>
      </x:c>
      <x:c r="H1211" s="11" t="n">
        <x:v>1086441</x:v>
      </x:c>
      <x:c r="I1211" s="11" t="n">
        <x:v>27551958</x:v>
      </x:c>
      <x:c r="J1211" s="11" t="n">
        <x:v>1896491</x:v>
      </x:c>
      <x:c r="K1211" s="12" t="n">
        <x:v>0.4696609036712039</x:v>
      </x:c>
      <x:c r="L1211" s="12" t="n">
        <x:v>0.9311667432129506</x:v>
      </x:c>
      <x:c r="M1211" s="8" t="str">
        <x:v>N/A</x:v>
      </x:c>
    </x:row>
    <x:row r="1212">
      <x:c r="A1212" s="8" t="str">
        <x:v>Pitt Meadows|Work In Progress</x:v>
      </x:c>
      <x:c r="B1212" s="8" t="str">
        <x:v>pitt-meadows-c</x:v>
      </x:c>
      <x:c r="C1212" s="8" t="str">
        <x:v>Pitt Meadows</x:v>
      </x:c>
      <x:c r="D1212" s="8" t="str">
        <x:v>Work In Progress</x:v>
      </x:c>
      <x:c r="E1212" s="11" t="n">
        <x:v>11177953</x:v>
      </x:c>
      <x:c r="F1212" s="11"/>
      <x:c r="G1212" s="11" t="n">
        <x:v>11177953</x:v>
      </x:c>
      <x:c r="H1212" s="11" t="n">
        <x:v>8164798</x:v>
      </x:c>
      <x:c r="I1212" s="11" t="n">
        <x:v>11177953</x:v>
      </x:c>
      <x:c r="J1212" s="11"/>
      <x:c r="K1212" s="12" t="n">
        <x:v>1</x:v>
      </x:c>
      <x:c r="L1212" s="12"/>
      <x:c r="M1212" s="8" t="str">
        <x:v>N/A</x:v>
      </x:c>
    </x:row>
    <x:row r="1213">
      <x:c r="A1213" s="8" t="str">
        <x:v>Pitt Meadows|Total TCA</x:v>
      </x:c>
      <x:c r="B1213" s="8" t="str">
        <x:v>pitt-meadows-c</x:v>
      </x:c>
      <x:c r="C1213" s="8" t="str">
        <x:v>Pitt Meadows</x:v>
      </x:c>
      <x:c r="D1213" s="8" t="str">
        <x:v>Total TCA</x:v>
      </x:c>
      <x:c r="E1213" s="11" t="n">
        <x:v>332224648</x:v>
      </x:c>
      <x:c r="F1213" s="11" t="n">
        <x:v>112556342</x:v>
      </x:c>
      <x:c r="G1213" s="11" t="n">
        <x:v>219668306</x:v>
      </x:c>
      <x:c r="H1213" s="11" t="n">
        <x:v>16419522</x:v>
      </x:c>
      <x:c r="I1213" s="11" t="n">
        <x:v>725275483</x:v>
      </x:c>
      <x:c r="J1213" s="11" t="n">
        <x:v>15242593</x:v>
      </x:c>
      <x:c r="K1213" s="12" t="n">
        <x:v>0.6612041199303189</x:v>
      </x:c>
      <x:c r="L1213" s="12" t="n">
        <x:v>0.9789837194869029</x:v>
      </x:c>
      <x:c r="M1213" s="8"/>
    </x:row>
    <x:row r="1214">
      <x:c r="A1214" s="8" t="str">
        <x:v>Port Alberni|Land</x:v>
      </x:c>
      <x:c r="B1214" s="8" t="str">
        <x:v>port-alberni-c</x:v>
      </x:c>
      <x:c r="C1214" s="8" t="str">
        <x:v>Port Alberni</x:v>
      </x:c>
      <x:c r="D1214" s="8" t="str">
        <x:v>Land</x:v>
      </x:c>
      <x:c r="E1214" s="11" t="n">
        <x:v>10133430</x:v>
      </x:c>
      <x:c r="F1214" s="11"/>
      <x:c r="G1214" s="11" t="n">
        <x:v>10133430</x:v>
      </x:c>
      <x:c r="H1214" s="11" t="n">
        <x:v>0</x:v>
      </x:c>
      <x:c r="I1214" s="11" t="n">
        <x:v>10133430</x:v>
      </x:c>
      <x:c r="J1214" s="11"/>
      <x:c r="K1214" s="12" t="n">
        <x:v>1</x:v>
      </x:c>
      <x:c r="L1214" s="12"/>
      <x:c r="M1214" s="8" t="str">
        <x:v>N/A</x:v>
      </x:c>
    </x:row>
    <x:row r="1215">
      <x:c r="A1215" s="8" t="str">
        <x:v>Port Alberni|Buildings</x:v>
      </x:c>
      <x:c r="B1215" s="8" t="str">
        <x:v>port-alberni-c</x:v>
      </x:c>
      <x:c r="C1215" s="8" t="str">
        <x:v>Port Alberni</x:v>
      </x:c>
      <x:c r="D1215" s="8" t="str">
        <x:v>Buildings</x:v>
      </x:c>
      <x:c r="E1215" s="11" t="n">
        <x:v>48348881</x:v>
      </x:c>
      <x:c r="F1215" s="11" t="n">
        <x:v>24118845</x:v>
      </x:c>
      <x:c r="G1215" s="11" t="n">
        <x:v>24230036</x:v>
      </x:c>
      <x:c r="H1215" s="11" t="n">
        <x:v>424794</x:v>
      </x:c>
      <x:c r="I1215" s="11" t="n">
        <x:v>62288506</x:v>
      </x:c>
      <x:c r="J1215" s="11" t="n">
        <x:v>1557213</x:v>
      </x:c>
      <x:c r="K1215" s="12" t="n">
        <x:v>0.5011498818349074</x:v>
      </x:c>
      <x:c r="L1215" s="12" t="n">
        <x:v>0.9749999943809858</x:v>
      </x:c>
      <x:c r="M1215" s="8" t="str">
        <x:v>No</x:v>
      </x:c>
    </x:row>
    <x:row r="1216">
      <x:c r="A1216" s="8" t="str">
        <x:v>Port Alberni|Fleet</x:v>
      </x:c>
      <x:c r="B1216" s="8" t="str">
        <x:v>port-alberni-c</x:v>
      </x:c>
      <x:c r="C1216" s="8" t="str">
        <x:v>Port Alberni</x:v>
      </x:c>
      <x:c r="D1216" s="8" t="str">
        <x:v>Fleet</x:v>
      </x:c>
      <x:c r="E1216" s="11" t="n">
        <x:v>21462805</x:v>
      </x:c>
      <x:c r="F1216" s="11" t="n">
        <x:v>11997440</x:v>
      </x:c>
      <x:c r="G1216" s="11" t="n">
        <x:v>9465365</x:v>
      </x:c>
      <x:c r="H1216" s="11" t="n">
        <x:v>3599213</x:v>
      </x:c>
      <x:c r="I1216" s="11" t="n">
        <x:v>24124089</x:v>
      </x:c>
      <x:c r="J1216" s="11" t="n">
        <x:v>1608272</x:v>
      </x:c>
      <x:c r="K1216" s="12" t="n">
        <x:v>0.4410124864853406</x:v>
      </x:c>
      <x:c r="L1216" s="12" t="n">
        <x:v>0.9333333582047388</x:v>
      </x:c>
      <x:c r="M1216" s="8" t="str">
        <x:v>No</x:v>
      </x:c>
    </x:row>
    <x:row r="1217">
      <x:c r="A1217" s="8" t="str">
        <x:v>Port Alberni|Parks and Recreation</x:v>
      </x:c>
      <x:c r="B1217" s="8" t="str">
        <x:v>port-alberni-c</x:v>
      </x:c>
      <x:c r="C1217" s="8" t="str">
        <x:v>Port Alberni</x:v>
      </x:c>
      <x:c r="D1217" s="8" t="str">
        <x:v>Parks and Recreation</x:v>
      </x:c>
      <x:c r="E1217" s="11" t="n">
        <x:v>20622088</x:v>
      </x:c>
      <x:c r="F1217" s="11" t="n">
        <x:v>9335589</x:v>
      </x:c>
      <x:c r="G1217" s="11" t="n">
        <x:v>11286499</x:v>
      </x:c>
      <x:c r="H1217" s="11" t="n">
        <x:v>7434653</x:v>
      </x:c>
      <x:c r="I1217" s="11" t="n">
        <x:v>31964233</x:v>
      </x:c>
      <x:c r="J1217" s="11" t="n">
        <x:v>1065474</x:v>
      </x:c>
      <x:c r="K1217" s="12" t="n">
        <x:v>0.5473014662724744</x:v>
      </x:c>
      <x:c r="L1217" s="12" t="n">
        <x:v>0.966666680223486</x:v>
      </x:c>
      <x:c r="M1217" s="8" t="str">
        <x:v>No</x:v>
      </x:c>
    </x:row>
    <x:row r="1218">
      <x:c r="A1218" s="8" t="str">
        <x:v>Port Alberni|Water System</x:v>
      </x:c>
      <x:c r="B1218" s="8" t="str">
        <x:v>port-alberni-c</x:v>
      </x:c>
      <x:c r="C1218" s="8" t="str">
        <x:v>Port Alberni</x:v>
      </x:c>
      <x:c r="D1218" s="8" t="str">
        <x:v>Water System</x:v>
      </x:c>
      <x:c r="E1218" s="11" t="n">
        <x:v>45002444</x:v>
      </x:c>
      <x:c r="F1218" s="11" t="n">
        <x:v>19907500</x:v>
      </x:c>
      <x:c r="G1218" s="11" t="n">
        <x:v>25094944</x:v>
      </x:c>
      <x:c r="H1218" s="11" t="n">
        <x:v>277717</x:v>
      </x:c>
      <x:c r="I1218" s="11" t="n">
        <x:v>323758800</x:v>
      </x:c>
      <x:c r="J1218" s="11" t="n">
        <x:v>4316784</x:v>
      </x:c>
      <x:c r="K1218" s="12" t="n">
        <x:v>0.5576351364383677</x:v>
      </x:c>
      <x:c r="L1218" s="12" t="n">
        <x:v>0.9866666666666667</x:v>
      </x:c>
      <x:c r="M1218" s="8" t="str">
        <x:v>No</x:v>
      </x:c>
    </x:row>
    <x:row r="1219">
      <x:c r="A1219" s="8" t="str">
        <x:v>Port Alberni|Sewer System</x:v>
      </x:c>
      <x:c r="B1219" s="8" t="str">
        <x:v>port-alberni-c</x:v>
      </x:c>
      <x:c r="C1219" s="8" t="str">
        <x:v>Port Alberni</x:v>
      </x:c>
      <x:c r="D1219" s="8" t="str">
        <x:v>Sewer System</x:v>
      </x:c>
      <x:c r="E1219" s="11" t="n">
        <x:v>92016941</x:v>
      </x:c>
      <x:c r="F1219" s="11" t="n">
        <x:v>20159283</x:v>
      </x:c>
      <x:c r="G1219" s="11" t="n">
        <x:v>71857658</x:v>
      </x:c>
      <x:c r="H1219" s="11" t="n">
        <x:v>124759</x:v>
      </x:c>
      <x:c r="I1219" s="11" t="n">
        <x:v>322886126</x:v>
      </x:c>
      <x:c r="J1219" s="11" t="n">
        <x:v>4305148</x:v>
      </x:c>
      <x:c r="K1219" s="12" t="n">
        <x:v>0.7809177007959871</x:v>
      </x:c>
      <x:c r="L1219" s="12" t="n">
        <x:v>0.9866666677403166</x:v>
      </x:c>
      <x:c r="M1219" s="8" t="str">
        <x:v>No</x:v>
      </x:c>
    </x:row>
    <x:row r="1220">
      <x:c r="A1220" s="8" t="str">
        <x:v>Port Alberni|Drainage System</x:v>
      </x:c>
      <x:c r="B1220" s="8" t="str">
        <x:v>port-alberni-c</x:v>
      </x:c>
      <x:c r="C1220" s="8" t="str">
        <x:v>Port Alberni</x:v>
      </x:c>
      <x:c r="D1220" s="8" t="str">
        <x:v>Drainage System</x:v>
      </x:c>
      <x:c r="E1220" s="11" t="n">
        <x:v>27160041</x:v>
      </x:c>
      <x:c r="F1220" s="11" t="n">
        <x:v>10110962</x:v>
      </x:c>
      <x:c r="G1220" s="11" t="n">
        <x:v>17049079</x:v>
      </x:c>
      <x:c r="H1220" s="11" t="n">
        <x:v>873783</x:v>
      </x:c>
      <x:c r="I1220" s="11" t="n">
        <x:v>208182814</x:v>
      </x:c>
      <x:c r="J1220" s="11" t="n">
        <x:v>2775771</x:v>
      </x:c>
      <x:c r="K1220" s="12" t="n">
        <x:v>0.6277265560828866</x:v>
      </x:c>
      <x:c r="L1220" s="12" t="n">
        <x:v>0.9866666659621577</x:v>
      </x:c>
      <x:c r="M1220" s="8" t="str">
        <x:v>No</x:v>
      </x:c>
    </x:row>
    <x:row r="1221">
      <x:c r="A1221" s="8" t="str">
        <x:v>Port Alberni|Transportation System</x:v>
      </x:c>
      <x:c r="B1221" s="8" t="str">
        <x:v>port-alberni-c</x:v>
      </x:c>
      <x:c r="C1221" s="8" t="str">
        <x:v>Port Alberni</x:v>
      </x:c>
      <x:c r="D1221" s="8" t="str">
        <x:v>Transportation System</x:v>
      </x:c>
      <x:c r="E1221" s="11" t="n">
        <x:v>46947688</x:v>
      </x:c>
      <x:c r="F1221" s="11" t="n">
        <x:v>38851565</x:v>
      </x:c>
      <x:c r="G1221" s="11" t="n">
        <x:v>8096123</x:v>
      </x:c>
      <x:c r="H1221" s="11" t="n">
        <x:v>655184</x:v>
      </x:c>
      <x:c r="I1221" s="11" t="n">
        <x:v>0</x:v>
      </x:c>
      <x:c r="J1221" s="11" t="n">
        <x:v>0</x:v>
      </x:c>
      <x:c r="K1221" s="12" t="n">
        <x:v>0.1724498765519614</x:v>
      </x:c>
      <x:c r="L1221" s="12"/>
      <x:c r="M1221" s="8" t="str">
        <x:v>No</x:v>
      </x:c>
    </x:row>
    <x:row r="1222">
      <x:c r="A1222" s="8" t="str">
        <x:v>Port Alberni|Other Engineering Systems</x:v>
      </x:c>
      <x:c r="B1222" s="8" t="str">
        <x:v>port-alberni-c</x:v>
      </x:c>
      <x:c r="C1222" s="8" t="str">
        <x:v>Port Alberni</x:v>
      </x:c>
      <x:c r="D1222" s="8" t="str">
        <x:v>Other Engineering Systems</x:v>
      </x:c>
      <x:c r="E1222" s="11" t="n">
        <x:v>0</x:v>
      </x:c>
      <x:c r="F1222" s="11" t="n">
        <x:v>0</x:v>
      </x:c>
      <x:c r="G1222" s="11" t="n">
        <x:v>0</x:v>
      </x:c>
      <x:c r="H1222" s="11" t="n">
        <x:v>0</x:v>
      </x:c>
      <x:c r="I1222" s="11" t="n">
        <x:v>0</x:v>
      </x:c>
      <x:c r="J1222" s="11" t="n">
        <x:v>0</x:v>
      </x:c>
      <x:c r="K1222" s="12"/>
      <x:c r="L1222" s="12"/>
      <x:c r="M1222" s="8"/>
    </x:row>
    <x:row r="1223">
      <x:c r="A1223" s="8" t="str">
        <x:v>Port Alberni|Other Tangible Capital Assets</x:v>
      </x:c>
      <x:c r="B1223" s="8" t="str">
        <x:v>port-alberni-c</x:v>
      </x:c>
      <x:c r="C1223" s="8" t="str">
        <x:v>Port Alberni</x:v>
      </x:c>
      <x:c r="D1223" s="8" t="str">
        <x:v>Other Tangible Capital Assets</x:v>
      </x:c>
      <x:c r="E1223" s="11" t="n">
        <x:v>5696879</x:v>
      </x:c>
      <x:c r="F1223" s="11" t="n">
        <x:v>2771368</x:v>
      </x:c>
      <x:c r="G1223" s="11" t="n">
        <x:v>2925511</x:v>
      </x:c>
      <x:c r="H1223" s="11" t="n">
        <x:v>232070</x:v>
      </x:c>
      <x:c r="I1223" s="11" t="n">
        <x:v>0</x:v>
      </x:c>
      <x:c r="J1223" s="11" t="n">
        <x:v>0</x:v>
      </x:c>
      <x:c r="K1223" s="12" t="n">
        <x:v>0.5135287233588778</x:v>
      </x:c>
      <x:c r="L1223" s="12"/>
      <x:c r="M1223" s="8" t="str">
        <x:v>N/A</x:v>
      </x:c>
    </x:row>
    <x:row r="1224">
      <x:c r="A1224" s="8" t="str">
        <x:v>Port Alberni|Work In Progress</x:v>
      </x:c>
      <x:c r="B1224" s="8" t="str">
        <x:v>port-alberni-c</x:v>
      </x:c>
      <x:c r="C1224" s="8" t="str">
        <x:v>Port Alberni</x:v>
      </x:c>
      <x:c r="D1224" s="8" t="str">
        <x:v>Work In Progress</x:v>
      </x:c>
      <x:c r="E1224" s="11" t="n">
        <x:v>5044902</x:v>
      </x:c>
      <x:c r="F1224" s="11"/>
      <x:c r="G1224" s="11" t="n">
        <x:v>5044902</x:v>
      </x:c>
      <x:c r="H1224" s="11" t="n">
        <x:v>0</x:v>
      </x:c>
      <x:c r="I1224" s="11" t="n">
        <x:v>5044902</x:v>
      </x:c>
      <x:c r="J1224" s="11"/>
      <x:c r="K1224" s="12" t="n">
        <x:v>1</x:v>
      </x:c>
      <x:c r="L1224" s="12"/>
      <x:c r="M1224" s="8" t="str">
        <x:v>N/A</x:v>
      </x:c>
    </x:row>
    <x:row r="1225">
      <x:c r="A1225" s="8" t="str">
        <x:v>Port Alberni|Total TCA</x:v>
      </x:c>
      <x:c r="B1225" s="8" t="str">
        <x:v>port-alberni-c</x:v>
      </x:c>
      <x:c r="C1225" s="8" t="str">
        <x:v>Port Alberni</x:v>
      </x:c>
      <x:c r="D1225" s="8" t="str">
        <x:v>Total TCA</x:v>
      </x:c>
      <x:c r="E1225" s="11" t="n">
        <x:v>322436099</x:v>
      </x:c>
      <x:c r="F1225" s="11" t="n">
        <x:v>137252552</x:v>
      </x:c>
      <x:c r="G1225" s="11" t="n">
        <x:v>185183547</x:v>
      </x:c>
      <x:c r="H1225" s="11" t="n">
        <x:v>13622173</x:v>
      </x:c>
      <x:c r="I1225" s="11" t="n">
        <x:v>988382900</x:v>
      </x:c>
      <x:c r="J1225" s="11" t="n">
        <x:v>15628662</x:v>
      </x:c>
      <x:c r="K1225" s="12" t="n">
        <x:v>0.5743263473734063</x:v>
      </x:c>
      <x:c r="L1225" s="12" t="n">
        <x:v>0.984187644282393</x:v>
      </x:c>
      <x:c r="M1225" s="8"/>
    </x:row>
    <x:row r="1226">
      <x:c r="A1226" s="8" t="str">
        <x:v>Port Alice|Land</x:v>
      </x:c>
      <x:c r="B1226" s="8" t="str">
        <x:v>port-alice-v</x:v>
      </x:c>
      <x:c r="C1226" s="8" t="str">
        <x:v>Port Alice</x:v>
      </x:c>
      <x:c r="D1226" s="8" t="str">
        <x:v>Land</x:v>
      </x:c>
      <x:c r="E1226" s="11" t="n">
        <x:v>841186</x:v>
      </x:c>
      <x:c r="F1226" s="11"/>
      <x:c r="G1226" s="11" t="n">
        <x:v>841186</x:v>
      </x:c>
      <x:c r="H1226" s="11" t="n">
        <x:v>0</x:v>
      </x:c>
      <x:c r="I1226" s="11" t="n">
        <x:v>841186</x:v>
      </x:c>
      <x:c r="J1226" s="11"/>
      <x:c r="K1226" s="12" t="n">
        <x:v>1</x:v>
      </x:c>
      <x:c r="L1226" s="12"/>
      <x:c r="M1226" s="8" t="str">
        <x:v>N/A</x:v>
      </x:c>
    </x:row>
    <x:row r="1227">
      <x:c r="A1227" s="8" t="str">
        <x:v>Port Alice|Buildings</x:v>
      </x:c>
      <x:c r="B1227" s="8" t="str">
        <x:v>port-alice-v</x:v>
      </x:c>
      <x:c r="C1227" s="8" t="str">
        <x:v>Port Alice</x:v>
      </x:c>
      <x:c r="D1227" s="8" t="str">
        <x:v>Buildings</x:v>
      </x:c>
      <x:c r="E1227" s="11" t="n">
        <x:v>4737008</x:v>
      </x:c>
      <x:c r="F1227" s="11" t="n">
        <x:v>3086899</x:v>
      </x:c>
      <x:c r="G1227" s="11" t="n">
        <x:v>1650109</x:v>
      </x:c>
      <x:c r="H1227" s="11" t="n">
        <x:v>24435</x:v>
      </x:c>
      <x:c r="I1227" s="11" t="n">
        <x:v>15097000</x:v>
      </x:c>
      <x:c r="J1227" s="11" t="n">
        <x:v>3086899</x:v>
      </x:c>
      <x:c r="K1227" s="12" t="n">
        <x:v>0.3483441446584004</x:v>
      </x:c>
      <x:c r="L1227" s="12" t="n">
        <x:v>0.7955289792674041</x:v>
      </x:c>
      <x:c r="M1227" s="8" t="str">
        <x:v>No</x:v>
      </x:c>
    </x:row>
    <x:row r="1228">
      <x:c r="A1228" s="8" t="str">
        <x:v>Port Alice|Fleet</x:v>
      </x:c>
      <x:c r="B1228" s="8" t="str">
        <x:v>port-alice-v</x:v>
      </x:c>
      <x:c r="C1228" s="8" t="str">
        <x:v>Port Alice</x:v>
      </x:c>
      <x:c r="D1228" s="8" t="str">
        <x:v>Fleet</x:v>
      </x:c>
      <x:c r="E1228" s="11" t="n">
        <x:v>1415024</x:v>
      </x:c>
      <x:c r="F1228" s="11" t="n">
        <x:v>1118628</x:v>
      </x:c>
      <x:c r="G1228" s="11" t="n">
        <x:v>296396</x:v>
      </x:c>
      <x:c r="H1228" s="11" t="n">
        <x:v>0</x:v>
      </x:c>
      <x:c r="I1228" s="11" t="n">
        <x:v>5500000</x:v>
      </x:c>
      <x:c r="J1228" s="11" t="n">
        <x:v>1118628</x:v>
      </x:c>
      <x:c r="K1228" s="12" t="n">
        <x:v>0.2094635850699352</x:v>
      </x:c>
      <x:c r="L1228" s="12" t="n">
        <x:v>0.7966130909090909</x:v>
      </x:c>
      <x:c r="M1228" s="8" t="str">
        <x:v>No</x:v>
      </x:c>
    </x:row>
    <x:row r="1229">
      <x:c r="A1229" s="8" t="str">
        <x:v>Port Alice|Parks and Recreation</x:v>
      </x:c>
      <x:c r="B1229" s="8" t="str">
        <x:v>port-alice-v</x:v>
      </x:c>
      <x:c r="C1229" s="8" t="str">
        <x:v>Port Alice</x:v>
      </x:c>
      <x:c r="D1229" s="8" t="str">
        <x:v>Parks and Recreation</x:v>
      </x:c>
      <x:c r="E1229" s="11" t="n">
        <x:v>0</x:v>
      </x:c>
      <x:c r="F1229" s="11" t="n">
        <x:v>0</x:v>
      </x:c>
      <x:c r="G1229" s="11" t="n">
        <x:v>0</x:v>
      </x:c>
      <x:c r="H1229" s="11" t="n">
        <x:v>0</x:v>
      </x:c>
      <x:c r="I1229" s="11" t="n">
        <x:v>0</x:v>
      </x:c>
      <x:c r="J1229" s="11" t="n">
        <x:v>0</x:v>
      </x:c>
      <x:c r="K1229" s="12"/>
      <x:c r="L1229" s="12"/>
      <x:c r="M1229" s="8"/>
    </x:row>
    <x:row r="1230">
      <x:c r="A1230" s="8" t="str">
        <x:v>Port Alice|Water System</x:v>
      </x:c>
      <x:c r="B1230" s="8" t="str">
        <x:v>port-alice-v</x:v>
      </x:c>
      <x:c r="C1230" s="8" t="str">
        <x:v>Port Alice</x:v>
      </x:c>
      <x:c r="D1230" s="8" t="str">
        <x:v>Water System</x:v>
      </x:c>
      <x:c r="E1230" s="11" t="n">
        <x:v>1694224</x:v>
      </x:c>
      <x:c r="F1230" s="11" t="n">
        <x:v>501373</x:v>
      </x:c>
      <x:c r="G1230" s="11" t="n">
        <x:v>1192851</x:v>
      </x:c>
      <x:c r="H1230" s="11" t="n">
        <x:v>110308</x:v>
      </x:c>
      <x:c r="I1230" s="11" t="n">
        <x:v>7585000</x:v>
      </x:c>
      <x:c r="J1230" s="11" t="n">
        <x:v>501373</x:v>
      </x:c>
      <x:c r="K1230" s="12" t="n">
        <x:v>0.7040692375978619</x:v>
      </x:c>
      <x:c r="L1230" s="12" t="n">
        <x:v>0.933899406723797</x:v>
      </x:c>
      <x:c r="M1230" s="8" t="str">
        <x:v>Yes</x:v>
      </x:c>
    </x:row>
    <x:row r="1231">
      <x:c r="A1231" s="8" t="str">
        <x:v>Port Alice|Sewer System</x:v>
      </x:c>
      <x:c r="B1231" s="8" t="str">
        <x:v>port-alice-v</x:v>
      </x:c>
      <x:c r="C1231" s="8" t="str">
        <x:v>Port Alice</x:v>
      </x:c>
      <x:c r="D1231" s="8" t="str">
        <x:v>Sewer System</x:v>
      </x:c>
      <x:c r="E1231" s="11" t="n">
        <x:v>3331122</x:v>
      </x:c>
      <x:c r="F1231" s="11" t="n">
        <x:v>1294137</x:v>
      </x:c>
      <x:c r="G1231" s="11" t="n">
        <x:v>2036985</x:v>
      </x:c>
      <x:c r="H1231" s="11" t="n">
        <x:v>10148</x:v>
      </x:c>
      <x:c r="I1231" s="11" t="n">
        <x:v>12000000</x:v>
      </x:c>
      <x:c r="J1231" s="11" t="n">
        <x:v>1294137</x:v>
      </x:c>
      <x:c r="K1231" s="12" t="n">
        <x:v>0.6115011698760958</x:v>
      </x:c>
      <x:c r="L1231" s="12" t="n">
        <x:v>0.89215525</x:v>
      </x:c>
      <x:c r="M1231" s="8" t="str">
        <x:v>Yes</x:v>
      </x:c>
    </x:row>
    <x:row r="1232">
      <x:c r="A1232" s="8" t="str">
        <x:v>Port Alice|Drainage System</x:v>
      </x:c>
      <x:c r="B1232" s="8" t="str">
        <x:v>port-alice-v</x:v>
      </x:c>
      <x:c r="C1232" s="8" t="str">
        <x:v>Port Alice</x:v>
      </x:c>
      <x:c r="D1232" s="8" t="str">
        <x:v>Drainage System</x:v>
      </x:c>
      <x:c r="E1232" s="11" t="n">
        <x:v>330869</x:v>
      </x:c>
      <x:c r="F1232" s="11" t="n">
        <x:v>247088</x:v>
      </x:c>
      <x:c r="G1232" s="11" t="n">
        <x:v>83781</x:v>
      </x:c>
      <x:c r="H1232" s="11" t="n">
        <x:v>0</x:v>
      </x:c>
      <x:c r="I1232" s="11" t="n">
        <x:v>3000000</x:v>
      </x:c>
      <x:c r="J1232" s="11" t="n">
        <x:v>247088</x:v>
      </x:c>
      <x:c r="K1232" s="12" t="n">
        <x:v>0.2532150186327519</x:v>
      </x:c>
      <x:c r="L1232" s="12" t="n">
        <x:v>0.9176373333333333</x:v>
      </x:c>
      <x:c r="M1232" s="8" t="str">
        <x:v>No</x:v>
      </x:c>
    </x:row>
    <x:row r="1233">
      <x:c r="A1233" s="8" t="str">
        <x:v>Port Alice|Transportation System</x:v>
      </x:c>
      <x:c r="B1233" s="8" t="str">
        <x:v>port-alice-v</x:v>
      </x:c>
      <x:c r="C1233" s="8" t="str">
        <x:v>Port Alice</x:v>
      </x:c>
      <x:c r="D1233" s="8" t="str">
        <x:v>Transportation System</x:v>
      </x:c>
      <x:c r="E1233" s="11" t="n">
        <x:v>4026978</x:v>
      </x:c>
      <x:c r="F1233" s="11" t="n">
        <x:v>2852005</x:v>
      </x:c>
      <x:c r="G1233" s="11" t="n">
        <x:v>1174973</x:v>
      </x:c>
      <x:c r="H1233" s="11" t="n">
        <x:v>23336</x:v>
      </x:c>
      <x:c r="I1233" s="11" t="n">
        <x:v>20000000</x:v>
      </x:c>
      <x:c r="J1233" s="11" t="n">
        <x:v>2852005</x:v>
      </x:c>
      <x:c r="K1233" s="12" t="n">
        <x:v>0.29177537101022155</x:v>
      </x:c>
      <x:c r="L1233" s="12" t="n">
        <x:v>0.85739975</x:v>
      </x:c>
      <x:c r="M1233" s="8" t="str">
        <x:v>No</x:v>
      </x:c>
    </x:row>
    <x:row r="1234">
      <x:c r="A1234" s="8" t="str">
        <x:v>Port Alice|Other Engineering Systems</x:v>
      </x:c>
      <x:c r="B1234" s="8" t="str">
        <x:v>port-alice-v</x:v>
      </x:c>
      <x:c r="C1234" s="8" t="str">
        <x:v>Port Alice</x:v>
      </x:c>
      <x:c r="D1234" s="8" t="str">
        <x:v>Other Engineering Systems</x:v>
      </x:c>
      <x:c r="E1234" s="11" t="n">
        <x:v>0</x:v>
      </x:c>
      <x:c r="F1234" s="11" t="n">
        <x:v>0</x:v>
      </x:c>
      <x:c r="G1234" s="11" t="n">
        <x:v>0</x:v>
      </x:c>
      <x:c r="H1234" s="11" t="n">
        <x:v>0</x:v>
      </x:c>
      <x:c r="I1234" s="11" t="n">
        <x:v>0</x:v>
      </x:c>
      <x:c r="J1234" s="11" t="n">
        <x:v>0</x:v>
      </x:c>
      <x:c r="K1234" s="12"/>
      <x:c r="L1234" s="12"/>
      <x:c r="M1234" s="8"/>
    </x:row>
    <x:row r="1235">
      <x:c r="A1235" s="8" t="str">
        <x:v>Port Alice|Other Tangible Capital Assets</x:v>
      </x:c>
      <x:c r="B1235" s="8" t="str">
        <x:v>port-alice-v</x:v>
      </x:c>
      <x:c r="C1235" s="8" t="str">
        <x:v>Port Alice</x:v>
      </x:c>
      <x:c r="D1235" s="8" t="str">
        <x:v>Other Tangible Capital Assets</x:v>
      </x:c>
      <x:c r="E1235" s="11" t="n">
        <x:v>1633180</x:v>
      </x:c>
      <x:c r="F1235" s="11" t="n">
        <x:v>576549</x:v>
      </x:c>
      <x:c r="G1235" s="11" t="n">
        <x:v>1056631</x:v>
      </x:c>
      <x:c r="H1235" s="11" t="n">
        <x:v>624</x:v>
      </x:c>
      <x:c r="I1235" s="11" t="n">
        <x:v>1000000</x:v>
      </x:c>
      <x:c r="J1235" s="11" t="n">
        <x:v>576549</x:v>
      </x:c>
      <x:c r="K1235" s="12" t="n">
        <x:v>0.6469776754552469</x:v>
      </x:c>
      <x:c r="L1235" s="12" t="n">
        <x:v>0.423451</x:v>
      </x:c>
      <x:c r="M1235" s="8" t="str">
        <x:v>N/A</x:v>
      </x:c>
    </x:row>
    <x:row r="1236">
      <x:c r="A1236" s="8" t="str">
        <x:v>Port Alice|Work In Progress</x:v>
      </x:c>
      <x:c r="B1236" s="8" t="str">
        <x:v>port-alice-v</x:v>
      </x:c>
      <x:c r="C1236" s="8" t="str">
        <x:v>Port Alice</x:v>
      </x:c>
      <x:c r="D1236" s="8" t="str">
        <x:v>Work In Progress</x:v>
      </x:c>
      <x:c r="E1236" s="11" t="n">
        <x:v>284961</x:v>
      </x:c>
      <x:c r="F1236" s="11"/>
      <x:c r="G1236" s="11" t="n">
        <x:v>284961</x:v>
      </x:c>
      <x:c r="H1236" s="11" t="n">
        <x:v>124671</x:v>
      </x:c>
      <x:c r="I1236" s="11" t="n">
        <x:v>284961</x:v>
      </x:c>
      <x:c r="J1236" s="11"/>
      <x:c r="K1236" s="12" t="n">
        <x:v>1</x:v>
      </x:c>
      <x:c r="L1236" s="12"/>
      <x:c r="M1236" s="8" t="str">
        <x:v>N/A</x:v>
      </x:c>
    </x:row>
    <x:row r="1237">
      <x:c r="A1237" s="8" t="str">
        <x:v>Port Alice|Total TCA</x:v>
      </x:c>
      <x:c r="B1237" s="8" t="str">
        <x:v>port-alice-v</x:v>
      </x:c>
      <x:c r="C1237" s="8" t="str">
        <x:v>Port Alice</x:v>
      </x:c>
      <x:c r="D1237" s="8" t="str">
        <x:v>Total TCA</x:v>
      </x:c>
      <x:c r="E1237" s="11" t="n">
        <x:v>18294552</x:v>
      </x:c>
      <x:c r="F1237" s="11" t="n">
        <x:v>9676679</x:v>
      </x:c>
      <x:c r="G1237" s="11" t="n">
        <x:v>8617873</x:v>
      </x:c>
      <x:c r="H1237" s="11" t="n">
        <x:v>293522</x:v>
      </x:c>
      <x:c r="I1237" s="11" t="n">
        <x:v>65308147</x:v>
      </x:c>
      <x:c r="J1237" s="11" t="n">
        <x:v>9676679</x:v>
      </x:c>
      <x:c r="K1237" s="12" t="n">
        <x:v>0.4710622594092493</x:v>
      </x:c>
      <x:c r="L1237" s="12" t="n">
        <x:v>0.8518304462075765</x:v>
      </x:c>
      <x:c r="M1237" s="8"/>
    </x:row>
    <x:row r="1238">
      <x:c r="A1238" s="8" t="str">
        <x:v>Port Clements|Land</x:v>
      </x:c>
      <x:c r="B1238" s="8" t="str">
        <x:v>port-clements-v</x:v>
      </x:c>
      <x:c r="C1238" s="8" t="str">
        <x:v>Port Clements</x:v>
      </x:c>
      <x:c r="D1238" s="8" t="str">
        <x:v>Land</x:v>
      </x:c>
      <x:c r="E1238" s="11" t="n">
        <x:v>466958</x:v>
      </x:c>
      <x:c r="F1238" s="11"/>
      <x:c r="G1238" s="11" t="n">
        <x:v>466958</x:v>
      </x:c>
      <x:c r="H1238" s="11" t="n">
        <x:v>0</x:v>
      </x:c>
      <x:c r="I1238" s="11" t="n">
        <x:v>466958</x:v>
      </x:c>
      <x:c r="J1238" s="11"/>
      <x:c r="K1238" s="12" t="n">
        <x:v>1</x:v>
      </x:c>
      <x:c r="L1238" s="12"/>
      <x:c r="M1238" s="8" t="str">
        <x:v>N/A</x:v>
      </x:c>
    </x:row>
    <x:row r="1239">
      <x:c r="A1239" s="8" t="str">
        <x:v>Port Clements|Buildings</x:v>
      </x:c>
      <x:c r="B1239" s="8" t="str">
        <x:v>port-clements-v</x:v>
      </x:c>
      <x:c r="C1239" s="8" t="str">
        <x:v>Port Clements</x:v>
      </x:c>
      <x:c r="D1239" s="8" t="str">
        <x:v>Buildings</x:v>
      </x:c>
      <x:c r="E1239" s="11" t="n">
        <x:v>3864107</x:v>
      </x:c>
      <x:c r="F1239" s="11" t="n">
        <x:v>776951</x:v>
      </x:c>
      <x:c r="G1239" s="11" t="n">
        <x:v>3087156</x:v>
      </x:c>
      <x:c r="H1239" s="11" t="n">
        <x:v>10698</x:v>
      </x:c>
      <x:c r="I1239" s="11" t="n">
        <x:v>7917658</x:v>
      </x:c>
      <x:c r="J1239" s="11" t="n">
        <x:v>52784</x:v>
      </x:c>
      <x:c r="K1239" s="12" t="n">
        <x:v>0.7989312925340836</x:v>
      </x:c>
      <x:c r="L1239" s="12" t="n">
        <x:v>0.9933333821693233</x:v>
      </x:c>
      <x:c r="M1239" s="8" t="str">
        <x:v>Yes</x:v>
      </x:c>
    </x:row>
    <x:row r="1240">
      <x:c r="A1240" s="8" t="str">
        <x:v>Port Clements|Fleet</x:v>
      </x:c>
      <x:c r="B1240" s="8" t="str">
        <x:v>port-clements-v</x:v>
      </x:c>
      <x:c r="C1240" s="8" t="str">
        <x:v>Port Clements</x:v>
      </x:c>
      <x:c r="D1240" s="8" t="str">
        <x:v>Fleet</x:v>
      </x:c>
      <x:c r="E1240" s="11" t="n">
        <x:v>678591</x:v>
      </x:c>
      <x:c r="F1240" s="11" t="n">
        <x:v>116683</x:v>
      </x:c>
      <x:c r="G1240" s="11" t="n">
        <x:v>561908</x:v>
      </x:c>
      <x:c r="H1240" s="11" t="n">
        <x:v>482402</x:v>
      </x:c>
      <x:c r="I1240" s="11" t="n">
        <x:v>2046626</x:v>
      </x:c>
      <x:c r="J1240" s="11" t="n">
        <x:v>107171</x:v>
      </x:c>
      <x:c r="K1240" s="12" t="n">
        <x:v>0.8280510646324517</x:v>
      </x:c>
      <x:c r="L1240" s="12" t="n">
        <x:v>0.9476352787465809</x:v>
      </x:c>
      <x:c r="M1240" s="8" t="str">
        <x:v>Yes</x:v>
      </x:c>
    </x:row>
    <x:row r="1241">
      <x:c r="A1241" s="8" t="str">
        <x:v>Port Clements|Parks and Recreation</x:v>
      </x:c>
      <x:c r="B1241" s="8" t="str">
        <x:v>port-clements-v</x:v>
      </x:c>
      <x:c r="C1241" s="8" t="str">
        <x:v>Port Clements</x:v>
      </x:c>
      <x:c r="D1241" s="8" t="str">
        <x:v>Parks and Recreation</x:v>
      </x:c>
      <x:c r="E1241" s="11" t="n">
        <x:v>1243449</x:v>
      </x:c>
      <x:c r="F1241" s="11" t="n">
        <x:v>412819</x:v>
      </x:c>
      <x:c r="G1241" s="11" t="n">
        <x:v>830630</x:v>
      </x:c>
      <x:c r="H1241" s="11" t="n">
        <x:v>6752</x:v>
      </x:c>
      <x:c r="I1241" s="11" t="n">
        <x:v>2494175</x:v>
      </x:c>
      <x:c r="J1241" s="11" t="n">
        <x:v>30325</x:v>
      </x:c>
      <x:c r="K1241" s="12" t="n">
        <x:v>0.6680048799749728</x:v>
      </x:c>
      <x:c r="L1241" s="12" t="n">
        <x:v>0.9878416710936482</x:v>
      </x:c>
      <x:c r="M1241" s="8" t="str">
        <x:v>Yes</x:v>
      </x:c>
    </x:row>
    <x:row r="1242">
      <x:c r="A1242" s="8" t="str">
        <x:v>Port Clements|Water System</x:v>
      </x:c>
      <x:c r="B1242" s="8" t="str">
        <x:v>port-clements-v</x:v>
      </x:c>
      <x:c r="C1242" s="8" t="str">
        <x:v>Port Clements</x:v>
      </x:c>
      <x:c r="D1242" s="8" t="str">
        <x:v>Water System</x:v>
      </x:c>
      <x:c r="E1242" s="11" t="n">
        <x:v>2595142</x:v>
      </x:c>
      <x:c r="F1242" s="11" t="n">
        <x:v>435810</x:v>
      </x:c>
      <x:c r="G1242" s="11" t="n">
        <x:v>2159332</x:v>
      </x:c>
      <x:c r="H1242" s="11" t="n">
        <x:v>136920</x:v>
      </x:c>
      <x:c r="I1242" s="11" t="n">
        <x:v>2595142</x:v>
      </x:c>
      <x:c r="J1242" s="11" t="n">
        <x:v>34602</x:v>
      </x:c>
      <x:c r="K1242" s="12" t="n">
        <x:v>0.832066992865901</x:v>
      </x:c>
      <x:c r="L1242" s="12" t="n">
        <x:v>0.9866666255642274</x:v>
      </x:c>
      <x:c r="M1242" s="8" t="str">
        <x:v>Yes</x:v>
      </x:c>
    </x:row>
    <x:row r="1243">
      <x:c r="A1243" s="8" t="str">
        <x:v>Port Clements|Sewer System</x:v>
      </x:c>
      <x:c r="B1243" s="8" t="str">
        <x:v>port-clements-v</x:v>
      </x:c>
      <x:c r="C1243" s="8" t="str">
        <x:v>Port Clements</x:v>
      </x:c>
      <x:c r="D1243" s="8" t="str">
        <x:v>Sewer System</x:v>
      </x:c>
      <x:c r="E1243" s="11" t="n">
        <x:v>1620533</x:v>
      </x:c>
      <x:c r="F1243" s="11" t="n">
        <x:v>343845</x:v>
      </x:c>
      <x:c r="G1243" s="11" t="n">
        <x:v>1276688</x:v>
      </x:c>
      <x:c r="H1243" s="11" t="n">
        <x:v>0</x:v>
      </x:c>
      <x:c r="I1243" s="11" t="n">
        <x:v>1620533</x:v>
      </x:c>
      <x:c r="J1243" s="11" t="n">
        <x:v>12466</x:v>
      </x:c>
      <x:c r="K1243" s="12" t="n">
        <x:v>0.7878198099020507</x:v>
      </x:c>
      <x:c r="L1243" s="12" t="n">
        <x:v>0.9923074692092047</x:v>
      </x:c>
      <x:c r="M1243" s="8" t="str">
        <x:v>Yes</x:v>
      </x:c>
    </x:row>
    <x:row r="1244">
      <x:c r="A1244" s="8" t="str">
        <x:v>Port Clements|Drainage System</x:v>
      </x:c>
      <x:c r="B1244" s="8" t="str">
        <x:v>port-clements-v</x:v>
      </x:c>
      <x:c r="C1244" s="8" t="str">
        <x:v>Port Clements</x:v>
      </x:c>
      <x:c r="D1244" s="8" t="str">
        <x:v>Drainage System</x:v>
      </x:c>
      <x:c r="E1244" s="11" t="n">
        <x:v>0</x:v>
      </x:c>
      <x:c r="F1244" s="11" t="n">
        <x:v>0</x:v>
      </x:c>
      <x:c r="G1244" s="11" t="n">
        <x:v>0</x:v>
      </x:c>
      <x:c r="H1244" s="11" t="n">
        <x:v>0</x:v>
      </x:c>
      <x:c r="I1244" s="11" t="n">
        <x:v>0</x:v>
      </x:c>
      <x:c r="J1244" s="11" t="n">
        <x:v>0</x:v>
      </x:c>
      <x:c r="K1244" s="12"/>
      <x:c r="L1244" s="12"/>
      <x:c r="M1244" s="8"/>
    </x:row>
    <x:row r="1245">
      <x:c r="A1245" s="8" t="str">
        <x:v>Port Clements|Transportation System</x:v>
      </x:c>
      <x:c r="B1245" s="8" t="str">
        <x:v>port-clements-v</x:v>
      </x:c>
      <x:c r="C1245" s="8" t="str">
        <x:v>Port Clements</x:v>
      </x:c>
      <x:c r="D1245" s="8" t="str">
        <x:v>Transportation System</x:v>
      </x:c>
      <x:c r="E1245" s="11" t="n">
        <x:v>471067</x:v>
      </x:c>
      <x:c r="F1245" s="11" t="n">
        <x:v>289513</x:v>
      </x:c>
      <x:c r="G1245" s="11" t="n">
        <x:v>181554</x:v>
      </x:c>
      <x:c r="H1245" s="11" t="n">
        <x:v>0</x:v>
      </x:c>
      <x:c r="I1245" s="11" t="n">
        <x:v>596275</x:v>
      </x:c>
      <x:c r="J1245" s="11" t="n">
        <x:v>11926</x:v>
      </x:c>
      <x:c r="K1245" s="12" t="n">
        <x:v>0.3854101433554038</x:v>
      </x:c>
      <x:c r="L1245" s="12" t="n">
        <x:v>0.9799991614607354</x:v>
      </x:c>
      <x:c r="M1245" s="8" t="str">
        <x:v>No</x:v>
      </x:c>
    </x:row>
    <x:row r="1246">
      <x:c r="A1246" s="8" t="str">
        <x:v>Port Clements|Other Engineering Systems</x:v>
      </x:c>
      <x:c r="B1246" s="8" t="str">
        <x:v>port-clements-v</x:v>
      </x:c>
      <x:c r="C1246" s="8" t="str">
        <x:v>Port Clements</x:v>
      </x:c>
      <x:c r="D1246" s="8" t="str">
        <x:v>Other Engineering Systems</x:v>
      </x:c>
      <x:c r="E1246" s="11" t="n">
        <x:v>566048</x:v>
      </x:c>
      <x:c r="F1246" s="11" t="n">
        <x:v>184832</x:v>
      </x:c>
      <x:c r="G1246" s="11" t="n">
        <x:v>381216</x:v>
      </x:c>
      <x:c r="H1246" s="11" t="n">
        <x:v>0</x:v>
      </x:c>
      <x:c r="I1246" s="11" t="n">
        <x:v>566047</x:v>
      </x:c>
      <x:c r="J1246" s="11" t="n">
        <x:v>14151</x:v>
      </x:c>
      <x:c r="K1246" s="12" t="n">
        <x:v>0.673469387755102</x:v>
      </x:c>
      <x:c r="L1246" s="12" t="n">
        <x:v>0.9750003091616067</x:v>
      </x:c>
      <x:c r="M1246" s="8" t="str">
        <x:v>Yes</x:v>
      </x:c>
    </x:row>
    <x:row r="1247">
      <x:c r="A1247" s="8" t="str">
        <x:v>Port Clements|Other Tangible Capital Assets</x:v>
      </x:c>
      <x:c r="B1247" s="8" t="str">
        <x:v>port-clements-v</x:v>
      </x:c>
      <x:c r="C1247" s="8" t="str">
        <x:v>Port Clements</x:v>
      </x:c>
      <x:c r="D1247" s="8" t="str">
        <x:v>Other Tangible Capital Assets</x:v>
      </x:c>
      <x:c r="E1247" s="11" t="n">
        <x:v>585142</x:v>
      </x:c>
      <x:c r="F1247" s="11" t="n">
        <x:v>505982</x:v>
      </x:c>
      <x:c r="G1247" s="11" t="n">
        <x:v>79160</x:v>
      </x:c>
      <x:c r="H1247" s="11" t="n">
        <x:v>2787</x:v>
      </x:c>
      <x:c r="I1247" s="11" t="n">
        <x:v>1013811</x:v>
      </x:c>
      <x:c r="J1247" s="11" t="n">
        <x:v>40552</x:v>
      </x:c>
      <x:c r="K1247" s="12" t="n">
        <x:v>0.13528340129404487</x:v>
      </x:c>
      <x:c r="L1247" s="12" t="n">
        <x:v>0.9600004340059439</x:v>
      </x:c>
      <x:c r="M1247" s="8" t="str">
        <x:v>N/A</x:v>
      </x:c>
    </x:row>
    <x:row r="1248">
      <x:c r="A1248" s="8" t="str">
        <x:v>Port Clements|Work In Progress</x:v>
      </x:c>
      <x:c r="B1248" s="8" t="str">
        <x:v>port-clements-v</x:v>
      </x:c>
      <x:c r="C1248" s="8" t="str">
        <x:v>Port Clements</x:v>
      </x:c>
      <x:c r="D1248" s="8" t="str">
        <x:v>Work In Progress</x:v>
      </x:c>
      <x:c r="E1248" s="11" t="n">
        <x:v>0</x:v>
      </x:c>
      <x:c r="F1248" s="11"/>
      <x:c r="G1248" s="11" t="n">
        <x:v>0</x:v>
      </x:c>
      <x:c r="H1248" s="11" t="n">
        <x:v>0</x:v>
      </x:c>
      <x:c r="I1248" s="11" t="n">
        <x:v>0</x:v>
      </x:c>
      <x:c r="J1248" s="11"/>
      <x:c r="K1248" s="12"/>
      <x:c r="L1248" s="12"/>
      <x:c r="M1248" s="8" t="str">
        <x:v>N/A</x:v>
      </x:c>
    </x:row>
    <x:row r="1249">
      <x:c r="A1249" s="8" t="str">
        <x:v>Port Clements|Total TCA</x:v>
      </x:c>
      <x:c r="B1249" s="8" t="str">
        <x:v>port-clements-v</x:v>
      </x:c>
      <x:c r="C1249" s="8" t="str">
        <x:v>Port Clements</x:v>
      </x:c>
      <x:c r="D1249" s="8" t="str">
        <x:v>Total TCA</x:v>
      </x:c>
      <x:c r="E1249" s="11" t="n">
        <x:v>12091037</x:v>
      </x:c>
      <x:c r="F1249" s="11" t="n">
        <x:v>3066435</x:v>
      </x:c>
      <x:c r="G1249" s="11" t="n">
        <x:v>9024602</x:v>
      </x:c>
      <x:c r="H1249" s="11" t="n">
        <x:v>639559</x:v>
      </x:c>
      <x:c r="I1249" s="11" t="n">
        <x:v>19317225</x:v>
      </x:c>
      <x:c r="J1249" s="11" t="n">
        <x:v>303977</x:v>
      </x:c>
      <x:c r="K1249" s="12" t="n">
        <x:v>0.7463877581385285</x:v>
      </x:c>
      <x:c r="L1249" s="12" t="n">
        <x:v>0.9842639406022345</x:v>
      </x:c>
      <x:c r="M1249" s="8"/>
    </x:row>
    <x:row r="1250">
      <x:c r="A1250" s="8" t="str">
        <x:v>Port Coquitlam|Land</x:v>
      </x:c>
      <x:c r="B1250" s="8" t="str">
        <x:v>port-coquitlam-c</x:v>
      </x:c>
      <x:c r="C1250" s="8" t="str">
        <x:v>Port Coquitlam</x:v>
      </x:c>
      <x:c r="D1250" s="8" t="str">
        <x:v>Land</x:v>
      </x:c>
      <x:c r="E1250" s="11" t="n">
        <x:v>273226795</x:v>
      </x:c>
      <x:c r="F1250" s="11"/>
      <x:c r="G1250" s="11" t="n">
        <x:v>273226795</x:v>
      </x:c>
      <x:c r="H1250" s="11" t="n">
        <x:v>3766203</x:v>
      </x:c>
      <x:c r="I1250" s="11" t="n">
        <x:v>273226795</x:v>
      </x:c>
      <x:c r="J1250" s="11"/>
      <x:c r="K1250" s="12" t="n">
        <x:v>1</x:v>
      </x:c>
      <x:c r="L1250" s="12"/>
      <x:c r="M1250" s="8" t="str">
        <x:v>N/A</x:v>
      </x:c>
    </x:row>
    <x:row r="1251">
      <x:c r="A1251" s="8" t="str">
        <x:v>Port Coquitlam|Buildings</x:v>
      </x:c>
      <x:c r="B1251" s="8" t="str">
        <x:v>port-coquitlam-c</x:v>
      </x:c>
      <x:c r="C1251" s="8" t="str">
        <x:v>Port Coquitlam</x:v>
      </x:c>
      <x:c r="D1251" s="8" t="str">
        <x:v>Buildings</x:v>
      </x:c>
      <x:c r="E1251" s="11" t="n">
        <x:v>164364475</x:v>
      </x:c>
      <x:c r="F1251" s="11" t="n">
        <x:v>29076796</x:v>
      </x:c>
      <x:c r="G1251" s="11" t="n">
        <x:v>135287679</x:v>
      </x:c>
      <x:c r="H1251" s="11" t="n">
        <x:v>1644291</x:v>
      </x:c>
      <x:c r="I1251" s="11" t="n">
        <x:v>146168924</x:v>
      </x:c>
      <x:c r="J1251" s="11" t="n">
        <x:v>2923378</x:v>
      </x:c>
      <x:c r="K1251" s="12" t="n">
        <x:v>0.8230956172250725</x:v>
      </x:c>
      <x:c r="L1251" s="12" t="n">
        <x:v>0.9800000032838717</x:v>
      </x:c>
      <x:c r="M1251" s="8" t="str">
        <x:v>In_Progress</x:v>
      </x:c>
    </x:row>
    <x:row r="1252">
      <x:c r="A1252" s="8" t="str">
        <x:v>Port Coquitlam|Fleet</x:v>
      </x:c>
      <x:c r="B1252" s="8" t="str">
        <x:v>port-coquitlam-c</x:v>
      </x:c>
      <x:c r="C1252" s="8" t="str">
        <x:v>Port Coquitlam</x:v>
      </x:c>
      <x:c r="D1252" s="8" t="str">
        <x:v>Fleet</x:v>
      </x:c>
      <x:c r="E1252" s="11" t="n">
        <x:v>44584092</x:v>
      </x:c>
      <x:c r="F1252" s="11" t="n">
        <x:v>22582273</x:v>
      </x:c>
      <x:c r="G1252" s="11" t="n">
        <x:v>22001819</x:v>
      </x:c>
      <x:c r="H1252" s="11" t="n">
        <x:v>5119797</x:v>
      </x:c>
      <x:c r="I1252" s="11" t="n">
        <x:v>25726500</x:v>
      </x:c>
      <x:c r="J1252" s="11" t="n">
        <x:v>514530</x:v>
      </x:c>
      <x:c r="K1252" s="12" t="n">
        <x:v>0.49349034628764</x:v>
      </x:c>
      <x:c r="L1252" s="12" t="n">
        <x:v>0.98</x:v>
      </x:c>
      <x:c r="M1252" s="8" t="str">
        <x:v>In_Progress</x:v>
      </x:c>
    </x:row>
    <x:row r="1253">
      <x:c r="A1253" s="8" t="str">
        <x:v>Port Coquitlam|Parks and Recreation</x:v>
      </x:c>
      <x:c r="B1253" s="8" t="str">
        <x:v>port-coquitlam-c</x:v>
      </x:c>
      <x:c r="C1253" s="8" t="str">
        <x:v>Port Coquitlam</x:v>
      </x:c>
      <x:c r="D1253" s="8" t="str">
        <x:v>Parks and Recreation</x:v>
      </x:c>
      <x:c r="E1253" s="11" t="n">
        <x:v>47599458</x:v>
      </x:c>
      <x:c r="F1253" s="11" t="n">
        <x:v>23495616</x:v>
      </x:c>
      <x:c r="G1253" s="11" t="n">
        <x:v>24103842</x:v>
      </x:c>
      <x:c r="H1253" s="11" t="n">
        <x:v>2223944</x:v>
      </x:c>
      <x:c r="I1253" s="11" t="n">
        <x:v>63758976</x:v>
      </x:c>
      <x:c r="J1253" s="11" t="n">
        <x:v>1274615</x:v>
      </x:c>
      <x:c r="K1253" s="12" t="n">
        <x:v>0.5063890013201411</x:v>
      </x:c>
      <x:c r="L1253" s="12" t="n">
        <x:v>0.9800088539690475</x:v>
      </x:c>
      <x:c r="M1253" s="8" t="str">
        <x:v>In_Progress</x:v>
      </x:c>
    </x:row>
    <x:row r="1254">
      <x:c r="A1254" s="8" t="str">
        <x:v>Port Coquitlam|Water System</x:v>
      </x:c>
      <x:c r="B1254" s="8" t="str">
        <x:v>port-coquitlam-c</x:v>
      </x:c>
      <x:c r="C1254" s="8" t="str">
        <x:v>Port Coquitlam</x:v>
      </x:c>
      <x:c r="D1254" s="8" t="str">
        <x:v>Water System</x:v>
      </x:c>
      <x:c r="E1254" s="11" t="n">
        <x:v>93539094</x:v>
      </x:c>
      <x:c r="F1254" s="11" t="n">
        <x:v>44724359</x:v>
      </x:c>
      <x:c r="G1254" s="11" t="n">
        <x:v>48814735</x:v>
      </x:c>
      <x:c r="H1254" s="11" t="n">
        <x:v>4462437</x:v>
      </x:c>
      <x:c r="I1254" s="11" t="n">
        <x:v>166537300</x:v>
      </x:c>
      <x:c r="J1254" s="11" t="n">
        <x:v>3330746</x:v>
      </x:c>
      <x:c r="K1254" s="12" t="n">
        <x:v>0.5218645265048216</x:v>
      </x:c>
      <x:c r="L1254" s="12" t="n">
        <x:v>0.98</x:v>
      </x:c>
      <x:c r="M1254" s="8" t="str">
        <x:v>In_Progress</x:v>
      </x:c>
    </x:row>
    <x:row r="1255">
      <x:c r="A1255" s="8" t="str">
        <x:v>Port Coquitlam|Sewer System</x:v>
      </x:c>
      <x:c r="B1255" s="8" t="str">
        <x:v>port-coquitlam-c</x:v>
      </x:c>
      <x:c r="C1255" s="8" t="str">
        <x:v>Port Coquitlam</x:v>
      </x:c>
      <x:c r="D1255" s="8" t="str">
        <x:v>Sewer System</x:v>
      </x:c>
      <x:c r="E1255" s="11" t="n">
        <x:v>70194103</x:v>
      </x:c>
      <x:c r="F1255" s="11" t="n">
        <x:v>28353195</x:v>
      </x:c>
      <x:c r="G1255" s="11" t="n">
        <x:v>41840908</x:v>
      </x:c>
      <x:c r="H1255" s="11" t="n">
        <x:v>4801376</x:v>
      </x:c>
      <x:c r="I1255" s="11" t="n">
        <x:v>138610130</x:v>
      </x:c>
      <x:c r="J1255" s="11" t="n">
        <x:v>2772203</x:v>
      </x:c>
      <x:c r="K1255" s="12" t="n">
        <x:v>0.5960744024323524</x:v>
      </x:c>
      <x:c r="L1255" s="12" t="n">
        <x:v>0.979999997114208</x:v>
      </x:c>
      <x:c r="M1255" s="8" t="str">
        <x:v>In_Progress</x:v>
      </x:c>
    </x:row>
    <x:row r="1256">
      <x:c r="A1256" s="8" t="str">
        <x:v>Port Coquitlam|Drainage System</x:v>
      </x:c>
      <x:c r="B1256" s="8" t="str">
        <x:v>port-coquitlam-c</x:v>
      </x:c>
      <x:c r="C1256" s="8" t="str">
        <x:v>Port Coquitlam</x:v>
      </x:c>
      <x:c r="D1256" s="8" t="str">
        <x:v>Drainage System</x:v>
      </x:c>
      <x:c r="E1256" s="11" t="n">
        <x:v>117780860</x:v>
      </x:c>
      <x:c r="F1256" s="11" t="n">
        <x:v>42148542</x:v>
      </x:c>
      <x:c r="G1256" s="11" t="n">
        <x:v>75632318</x:v>
      </x:c>
      <x:c r="H1256" s="11" t="n">
        <x:v>6884887</x:v>
      </x:c>
      <x:c r="I1256" s="11" t="n">
        <x:v>185746798</x:v>
      </x:c>
      <x:c r="J1256" s="11" t="n">
        <x:v>3714936</x:v>
      </x:c>
      <x:c r="K1256" s="12" t="n">
        <x:v>0.6421443857686215</x:v>
      </x:c>
      <x:c r="L1256" s="12" t="n">
        <x:v>0.9799999997846531</x:v>
      </x:c>
      <x:c r="M1256" s="8" t="str">
        <x:v>In_Progress</x:v>
      </x:c>
    </x:row>
    <x:row r="1257">
      <x:c r="A1257" s="8" t="str">
        <x:v>Port Coquitlam|Transportation System</x:v>
      </x:c>
      <x:c r="B1257" s="8" t="str">
        <x:v>port-coquitlam-c</x:v>
      </x:c>
      <x:c r="C1257" s="8" t="str">
        <x:v>Port Coquitlam</x:v>
      </x:c>
      <x:c r="D1257" s="8" t="str">
        <x:v>Transportation System</x:v>
      </x:c>
      <x:c r="E1257" s="11" t="n">
        <x:v>311299279</x:v>
      </x:c>
      <x:c r="F1257" s="11" t="n">
        <x:v>91562631</x:v>
      </x:c>
      <x:c r="G1257" s="11" t="n">
        <x:v>219736648</x:v>
      </x:c>
      <x:c r="H1257" s="11" t="n">
        <x:v>11891344</x:v>
      </x:c>
      <x:c r="I1257" s="11" t="n">
        <x:v>374526416</x:v>
      </x:c>
      <x:c r="J1257" s="11" t="n">
        <x:v>0</x:v>
      </x:c>
      <x:c r="K1257" s="12" t="n">
        <x:v>0.7058694408347794</x:v>
      </x:c>
      <x:c r="L1257" s="12" t="n">
        <x:v>1</x:v>
      </x:c>
      <x:c r="M1257" s="8" t="str">
        <x:v>In_Progress</x:v>
      </x:c>
    </x:row>
    <x:row r="1258">
      <x:c r="A1258" s="8" t="str">
        <x:v>Port Coquitlam|Other Engineering Systems</x:v>
      </x:c>
      <x:c r="B1258" s="8" t="str">
        <x:v>port-coquitlam-c</x:v>
      </x:c>
      <x:c r="C1258" s="8" t="str">
        <x:v>Port Coquitlam</x:v>
      </x:c>
      <x:c r="D1258" s="8" t="str">
        <x:v>Other Engineering Systems</x:v>
      </x:c>
      <x:c r="E1258" s="11" t="n">
        <x:v>0</x:v>
      </x:c>
      <x:c r="F1258" s="11" t="n">
        <x:v>0</x:v>
      </x:c>
      <x:c r="G1258" s="11" t="n">
        <x:v>0</x:v>
      </x:c>
      <x:c r="H1258" s="11" t="n">
        <x:v>0</x:v>
      </x:c>
      <x:c r="I1258" s="11" t="n">
        <x:v>0</x:v>
      </x:c>
      <x:c r="J1258" s="11" t="n">
        <x:v>0</x:v>
      </x:c>
      <x:c r="K1258" s="12"/>
      <x:c r="L1258" s="12"/>
      <x:c r="M1258" s="8"/>
    </x:row>
    <x:row r="1259">
      <x:c r="A1259" s="8" t="str">
        <x:v>Port Coquitlam|Other Tangible Capital Assets</x:v>
      </x:c>
      <x:c r="B1259" s="8" t="str">
        <x:v>port-coquitlam-c</x:v>
      </x:c>
      <x:c r="C1259" s="8" t="str">
        <x:v>Port Coquitlam</x:v>
      </x:c>
      <x:c r="D1259" s="8" t="str">
        <x:v>Other Tangible Capital Assets</x:v>
      </x:c>
      <x:c r="E1259" s="11" t="n">
        <x:v>0</x:v>
      </x:c>
      <x:c r="F1259" s="11" t="n">
        <x:v>0</x:v>
      </x:c>
      <x:c r="G1259" s="11" t="n">
        <x:v>0</x:v>
      </x:c>
      <x:c r="H1259" s="11" t="n">
        <x:v>0</x:v>
      </x:c>
      <x:c r="I1259" s="11" t="n">
        <x:v>0</x:v>
      </x:c>
      <x:c r="J1259" s="11" t="n">
        <x:v>0</x:v>
      </x:c>
      <x:c r="K1259" s="12"/>
      <x:c r="L1259" s="12"/>
      <x:c r="M1259" s="8" t="str">
        <x:v>N/A</x:v>
      </x:c>
    </x:row>
    <x:row r="1260">
      <x:c r="A1260" s="8" t="str">
        <x:v>Port Coquitlam|Work In Progress</x:v>
      </x:c>
      <x:c r="B1260" s="8" t="str">
        <x:v>port-coquitlam-c</x:v>
      </x:c>
      <x:c r="C1260" s="8" t="str">
        <x:v>Port Coquitlam</x:v>
      </x:c>
      <x:c r="D1260" s="8" t="str">
        <x:v>Work In Progress</x:v>
      </x:c>
      <x:c r="E1260" s="11" t="n">
        <x:v>33632060</x:v>
      </x:c>
      <x:c r="F1260" s="11"/>
      <x:c r="G1260" s="11" t="n">
        <x:v>33632060</x:v>
      </x:c>
      <x:c r="H1260" s="11" t="n">
        <x:v>4849841</x:v>
      </x:c>
      <x:c r="I1260" s="11" t="n">
        <x:v>33632060</x:v>
      </x:c>
      <x:c r="J1260" s="11"/>
      <x:c r="K1260" s="12" t="n">
        <x:v>1</x:v>
      </x:c>
      <x:c r="L1260" s="12"/>
      <x:c r="M1260" s="8" t="str">
        <x:v>N/A</x:v>
      </x:c>
    </x:row>
    <x:row r="1261">
      <x:c r="A1261" s="8" t="str">
        <x:v>Port Coquitlam|Total TCA</x:v>
      </x:c>
      <x:c r="B1261" s="8" t="str">
        <x:v>port-coquitlam-c</x:v>
      </x:c>
      <x:c r="C1261" s="8" t="str">
        <x:v>Port Coquitlam</x:v>
      </x:c>
      <x:c r="D1261" s="8" t="str">
        <x:v>Total TCA</x:v>
      </x:c>
      <x:c r="E1261" s="11" t="n">
        <x:v>1156220216</x:v>
      </x:c>
      <x:c r="F1261" s="11" t="n">
        <x:v>281943412</x:v>
      </x:c>
      <x:c r="G1261" s="11" t="n">
        <x:v>874276804</x:v>
      </x:c>
      <x:c r="H1261" s="11" t="n">
        <x:v>45644120</x:v>
      </x:c>
      <x:c r="I1261" s="11" t="n">
        <x:v>1407933899</x:v>
      </x:c>
      <x:c r="J1261" s="11" t="n">
        <x:v>14530408</x:v>
      </x:c>
      <x:c r="K1261" s="12" t="n">
        <x:v>0.7561507677357546</x:v>
      </x:c>
      <x:c r="L1261" s="12" t="n">
        <x:v>0.9896796234465834</x:v>
      </x:c>
      <x:c r="M1261" s="8"/>
    </x:row>
    <x:row r="1262">
      <x:c r="A1262" s="8" t="str">
        <x:v>Port Edward|Land</x:v>
      </x:c>
      <x:c r="B1262" s="8" t="str">
        <x:v>port-edward-d</x:v>
      </x:c>
      <x:c r="C1262" s="8" t="str">
        <x:v>Port Edward</x:v>
      </x:c>
      <x:c r="D1262" s="8" t="str">
        <x:v>Land</x:v>
      </x:c>
      <x:c r="E1262" s="11" t="n">
        <x:v>3599691</x:v>
      </x:c>
      <x:c r="F1262" s="11"/>
      <x:c r="G1262" s="11" t="n">
        <x:v>3599691</x:v>
      </x:c>
      <x:c r="H1262" s="11" t="n">
        <x:v>0</x:v>
      </x:c>
      <x:c r="I1262" s="11" t="n">
        <x:v>3599691</x:v>
      </x:c>
      <x:c r="J1262" s="11"/>
      <x:c r="K1262" s="12" t="n">
        <x:v>1</x:v>
      </x:c>
      <x:c r="L1262" s="12"/>
      <x:c r="M1262" s="8" t="str">
        <x:v>N/A</x:v>
      </x:c>
    </x:row>
    <x:row r="1263">
      <x:c r="A1263" s="8" t="str">
        <x:v>Port Edward|Buildings</x:v>
      </x:c>
      <x:c r="B1263" s="8" t="str">
        <x:v>port-edward-d</x:v>
      </x:c>
      <x:c r="C1263" s="8" t="str">
        <x:v>Port Edward</x:v>
      </x:c>
      <x:c r="D1263" s="8" t="str">
        <x:v>Buildings</x:v>
      </x:c>
      <x:c r="E1263" s="11" t="n">
        <x:v>4791666</x:v>
      </x:c>
      <x:c r="F1263" s="11" t="n">
        <x:v>3001958</x:v>
      </x:c>
      <x:c r="G1263" s="11" t="n">
        <x:v>1789708</x:v>
      </x:c>
      <x:c r="H1263" s="11" t="n">
        <x:v>125862</x:v>
      </x:c>
      <x:c r="I1263" s="11" t="n">
        <x:v>4791666</x:v>
      </x:c>
      <x:c r="J1263" s="11" t="n">
        <x:v>189149</x:v>
      </x:c>
      <x:c r="K1263" s="12" t="n">
        <x:v>0.37350433022668944</x:v>
      </x:c>
      <x:c r="L1263" s="12" t="n">
        <x:v>0.9605254205948411</x:v>
      </x:c>
      <x:c r="M1263" s="8" t="str">
        <x:v>Yes</x:v>
      </x:c>
    </x:row>
    <x:row r="1264">
      <x:c r="A1264" s="8" t="str">
        <x:v>Port Edward|Fleet</x:v>
      </x:c>
      <x:c r="B1264" s="8" t="str">
        <x:v>port-edward-d</x:v>
      </x:c>
      <x:c r="C1264" s="8" t="str">
        <x:v>Port Edward</x:v>
      </x:c>
      <x:c r="D1264" s="8" t="str">
        <x:v>Fleet</x:v>
      </x:c>
      <x:c r="E1264" s="11" t="n">
        <x:v>3961808</x:v>
      </x:c>
      <x:c r="F1264" s="11" t="n">
        <x:v>2861977</x:v>
      </x:c>
      <x:c r="G1264" s="11" t="n">
        <x:v>1099831</x:v>
      </x:c>
      <x:c r="H1264" s="11" t="n">
        <x:v>514642</x:v>
      </x:c>
      <x:c r="I1264" s="11" t="n">
        <x:v>3961808</x:v>
      </x:c>
      <x:c r="J1264" s="11" t="n">
        <x:v>123295</x:v>
      </x:c>
      <x:c r="K1264" s="12" t="n">
        <x:v>0.2776083545694289</x:v>
      </x:c>
      <x:c r="L1264" s="12" t="n">
        <x:v>0.9688791077205154</x:v>
      </x:c>
      <x:c r="M1264" s="8" t="str">
        <x:v>Yes</x:v>
      </x:c>
    </x:row>
    <x:row r="1265">
      <x:c r="A1265" s="8" t="str">
        <x:v>Port Edward|Parks and Recreation</x:v>
      </x:c>
      <x:c r="B1265" s="8" t="str">
        <x:v>port-edward-d</x:v>
      </x:c>
      <x:c r="C1265" s="8" t="str">
        <x:v>Port Edward</x:v>
      </x:c>
      <x:c r="D1265" s="8" t="str">
        <x:v>Parks and Recreation</x:v>
      </x:c>
      <x:c r="E1265" s="11" t="n">
        <x:v>12710627</x:v>
      </x:c>
      <x:c r="F1265" s="11" t="n">
        <x:v>3256534</x:v>
      </x:c>
      <x:c r="G1265" s="11" t="n">
        <x:v>9454093</x:v>
      </x:c>
      <x:c r="H1265" s="11" t="n">
        <x:v>305037</x:v>
      </x:c>
      <x:c r="I1265" s="11" t="n">
        <x:v>12710627</x:v>
      </x:c>
      <x:c r="J1265" s="11" t="n">
        <x:v>317516</x:v>
      </x:c>
      <x:c r="K1265" s="12" t="n">
        <x:v>0.7437943855956123</x:v>
      </x:c>
      <x:c r="L1265" s="12" t="n">
        <x:v>0.9750196430121032</x:v>
      </x:c>
      <x:c r="M1265" s="8" t="str">
        <x:v>Yes</x:v>
      </x:c>
    </x:row>
    <x:row r="1266">
      <x:c r="A1266" s="8" t="str">
        <x:v>Port Edward|Water System</x:v>
      </x:c>
      <x:c r="B1266" s="8" t="str">
        <x:v>port-edward-d</x:v>
      </x:c>
      <x:c r="C1266" s="8" t="str">
        <x:v>Port Edward</x:v>
      </x:c>
      <x:c r="D1266" s="8" t="str">
        <x:v>Water System</x:v>
      </x:c>
      <x:c r="E1266" s="11" t="n">
        <x:v>4098644</x:v>
      </x:c>
      <x:c r="F1266" s="11" t="n">
        <x:v>3320973</x:v>
      </x:c>
      <x:c r="G1266" s="11" t="n">
        <x:v>777671</x:v>
      </x:c>
      <x:c r="H1266" s="11" t="n">
        <x:v>0</x:v>
      </x:c>
      <x:c r="I1266" s="11" t="n">
        <x:v>4098644</x:v>
      </x:c>
      <x:c r="J1266" s="11" t="n">
        <x:v>197819</x:v>
      </x:c>
      <x:c r="K1266" s="12" t="n">
        <x:v>0.18973860623171956</x:v>
      </x:c>
      <x:c r="L1266" s="12" t="n">
        <x:v>0.9517355008144157</x:v>
      </x:c>
      <x:c r="M1266" s="8" t="str">
        <x:v>Yes</x:v>
      </x:c>
    </x:row>
    <x:row r="1267">
      <x:c r="A1267" s="8" t="str">
        <x:v>Port Edward|Sewer System</x:v>
      </x:c>
      <x:c r="B1267" s="8" t="str">
        <x:v>port-edward-d</x:v>
      </x:c>
      <x:c r="C1267" s="8" t="str">
        <x:v>Port Edward</x:v>
      </x:c>
      <x:c r="D1267" s="8" t="str">
        <x:v>Sewer System</x:v>
      </x:c>
      <x:c r="E1267" s="11" t="n">
        <x:v>5199984</x:v>
      </x:c>
      <x:c r="F1267" s="11" t="n">
        <x:v>2339182</x:v>
      </x:c>
      <x:c r="G1267" s="11" t="n">
        <x:v>2860802</x:v>
      </x:c>
      <x:c r="H1267" s="11" t="n">
        <x:v>0</x:v>
      </x:c>
      <x:c r="I1267" s="11" t="n">
        <x:v>5199984</x:v>
      </x:c>
      <x:c r="J1267" s="11" t="n">
        <x:v>130110</x:v>
      </x:c>
      <x:c r="K1267" s="12" t="n">
        <x:v>0.5501559235566879</x:v>
      </x:c>
      <x:c r="L1267" s="12" t="n">
        <x:v>0.9749787691654436</x:v>
      </x:c>
      <x:c r="M1267" s="8" t="str">
        <x:v>Yes</x:v>
      </x:c>
    </x:row>
    <x:row r="1268">
      <x:c r="A1268" s="8" t="str">
        <x:v>Port Edward|Drainage System</x:v>
      </x:c>
      <x:c r="B1268" s="8" t="str">
        <x:v>port-edward-d</x:v>
      </x:c>
      <x:c r="C1268" s="8" t="str">
        <x:v>Port Edward</x:v>
      </x:c>
      <x:c r="D1268" s="8" t="str">
        <x:v>Drainage System</x:v>
      </x:c>
      <x:c r="E1268" s="11" t="n">
        <x:v>0</x:v>
      </x:c>
      <x:c r="F1268" s="11" t="n">
        <x:v>0</x:v>
      </x:c>
      <x:c r="G1268" s="11" t="n">
        <x:v>0</x:v>
      </x:c>
      <x:c r="H1268" s="11" t="n">
        <x:v>0</x:v>
      </x:c>
      <x:c r="I1268" s="11" t="n">
        <x:v>0</x:v>
      </x:c>
      <x:c r="J1268" s="11" t="n">
        <x:v>0</x:v>
      </x:c>
      <x:c r="K1268" s="12"/>
      <x:c r="L1268" s="12"/>
      <x:c r="M1268" s="8"/>
    </x:row>
    <x:row r="1269">
      <x:c r="A1269" s="8" t="str">
        <x:v>Port Edward|Transportation System</x:v>
      </x:c>
      <x:c r="B1269" s="8" t="str">
        <x:v>port-edward-d</x:v>
      </x:c>
      <x:c r="C1269" s="8" t="str">
        <x:v>Port Edward</x:v>
      </x:c>
      <x:c r="D1269" s="8" t="str">
        <x:v>Transportation System</x:v>
      </x:c>
      <x:c r="E1269" s="11" t="n">
        <x:v>127363</x:v>
      </x:c>
      <x:c r="F1269" s="11" t="n">
        <x:v>69810</x:v>
      </x:c>
      <x:c r="G1269" s="11" t="n">
        <x:v>57553</x:v>
      </x:c>
      <x:c r="H1269" s="11" t="n">
        <x:v>0</x:v>
      </x:c>
      <x:c r="I1269" s="11" t="n">
        <x:v>419263</x:v>
      </x:c>
      <x:c r="J1269" s="11" t="n">
        <x:v>26337</x:v>
      </x:c>
      <x:c r="K1269" s="12" t="n">
        <x:v>0.4518816296726679</x:v>
      </x:c>
      <x:c r="L1269" s="12" t="n">
        <x:v>0.9371826276108314</x:v>
      </x:c>
      <x:c r="M1269" s="8" t="str">
        <x:v>Yes</x:v>
      </x:c>
    </x:row>
    <x:row r="1270">
      <x:c r="A1270" s="8" t="str">
        <x:v>Port Edward|Other Engineering Systems</x:v>
      </x:c>
      <x:c r="B1270" s="8" t="str">
        <x:v>port-edward-d</x:v>
      </x:c>
      <x:c r="C1270" s="8" t="str">
        <x:v>Port Edward</x:v>
      </x:c>
      <x:c r="D1270" s="8" t="str">
        <x:v>Other Engineering Systems</x:v>
      </x:c>
      <x:c r="E1270" s="11" t="n">
        <x:v>0</x:v>
      </x:c>
      <x:c r="F1270" s="11" t="n">
        <x:v>0</x:v>
      </x:c>
      <x:c r="G1270" s="11" t="n">
        <x:v>0</x:v>
      </x:c>
      <x:c r="H1270" s="11" t="n">
        <x:v>0</x:v>
      </x:c>
      <x:c r="I1270" s="11" t="n">
        <x:v>0</x:v>
      </x:c>
      <x:c r="J1270" s="11" t="n">
        <x:v>0</x:v>
      </x:c>
      <x:c r="K1270" s="12"/>
      <x:c r="L1270" s="12"/>
      <x:c r="M1270" s="8"/>
    </x:row>
    <x:row r="1271">
      <x:c r="A1271" s="8" t="str">
        <x:v>Port Edward|Other Tangible Capital Assets</x:v>
      </x:c>
      <x:c r="B1271" s="8" t="str">
        <x:v>port-edward-d</x:v>
      </x:c>
      <x:c r="C1271" s="8" t="str">
        <x:v>Port Edward</x:v>
      </x:c>
      <x:c r="D1271" s="8" t="str">
        <x:v>Other Tangible Capital Assets</x:v>
      </x:c>
      <x:c r="E1271" s="11" t="n">
        <x:v>404291</x:v>
      </x:c>
      <x:c r="F1271" s="11" t="n">
        <x:v>291900</x:v>
      </x:c>
      <x:c r="G1271" s="11" t="n">
        <x:v>112391</x:v>
      </x:c>
      <x:c r="H1271" s="11" t="n">
        <x:v>0</x:v>
      </x:c>
      <x:c r="I1271" s="11" t="n">
        <x:v>0</x:v>
      </x:c>
      <x:c r="J1271" s="11" t="n">
        <x:v>0</x:v>
      </x:c>
      <x:c r="K1271" s="12" t="n">
        <x:v>0.277995305361732</x:v>
      </x:c>
      <x:c r="L1271" s="12"/>
      <x:c r="M1271" s="8" t="str">
        <x:v>N/A</x:v>
      </x:c>
    </x:row>
    <x:row r="1272">
      <x:c r="A1272" s="8" t="str">
        <x:v>Port Edward|Work In Progress</x:v>
      </x:c>
      <x:c r="B1272" s="8" t="str">
        <x:v>port-edward-d</x:v>
      </x:c>
      <x:c r="C1272" s="8" t="str">
        <x:v>Port Edward</x:v>
      </x:c>
      <x:c r="D1272" s="8" t="str">
        <x:v>Work In Progress</x:v>
      </x:c>
      <x:c r="E1272" s="11" t="n">
        <x:v>0</x:v>
      </x:c>
      <x:c r="F1272" s="11"/>
      <x:c r="G1272" s="11" t="n">
        <x:v>0</x:v>
      </x:c>
      <x:c r="H1272" s="11" t="n">
        <x:v>0</x:v>
      </x:c>
      <x:c r="I1272" s="11" t="n">
        <x:v>0</x:v>
      </x:c>
      <x:c r="J1272" s="11"/>
      <x:c r="K1272" s="12"/>
      <x:c r="L1272" s="12"/>
      <x:c r="M1272" s="8" t="str">
        <x:v>N/A</x:v>
      </x:c>
    </x:row>
    <x:row r="1273">
      <x:c r="A1273" s="8" t="str">
        <x:v>Port Edward|Total TCA</x:v>
      </x:c>
      <x:c r="B1273" s="8" t="str">
        <x:v>port-edward-d</x:v>
      </x:c>
      <x:c r="C1273" s="8" t="str">
        <x:v>Port Edward</x:v>
      </x:c>
      <x:c r="D1273" s="8" t="str">
        <x:v>Total TCA</x:v>
      </x:c>
      <x:c r="E1273" s="11" t="n">
        <x:v>34894074</x:v>
      </x:c>
      <x:c r="F1273" s="11" t="n">
        <x:v>15142334</x:v>
      </x:c>
      <x:c r="G1273" s="11" t="n">
        <x:v>19751740</x:v>
      </x:c>
      <x:c r="H1273" s="11" t="n">
        <x:v>945541</x:v>
      </x:c>
      <x:c r="I1273" s="11" t="n">
        <x:v>34781683</x:v>
      </x:c>
      <x:c r="J1273" s="11" t="n">
        <x:v>984226</x:v>
      </x:c>
      <x:c r="K1273" s="12" t="n">
        <x:v>0.5660485502495352</x:v>
      </x:c>
      <x:c r="L1273" s="12" t="n">
        <x:v>0.971702749404047</x:v>
      </x:c>
      <x:c r="M1273" s="8"/>
    </x:row>
    <x:row r="1274">
      <x:c r="A1274" s="8" t="str">
        <x:v>Port Hardy|Land</x:v>
      </x:c>
      <x:c r="B1274" s="8" t="str">
        <x:v>port-hardy-d</x:v>
      </x:c>
      <x:c r="C1274" s="8" t="str">
        <x:v>Port Hardy</x:v>
      </x:c>
      <x:c r="D1274" s="8" t="str">
        <x:v>Land</x:v>
      </x:c>
      <x:c r="E1274" s="11" t="n">
        <x:v>3006027</x:v>
      </x:c>
      <x:c r="F1274" s="11"/>
      <x:c r="G1274" s="11" t="n">
        <x:v>3006027</x:v>
      </x:c>
      <x:c r="H1274" s="11" t="n">
        <x:v>88576</x:v>
      </x:c>
      <x:c r="I1274" s="11" t="n">
        <x:v>3006027</x:v>
      </x:c>
      <x:c r="J1274" s="11"/>
      <x:c r="K1274" s="12" t="n">
        <x:v>1</x:v>
      </x:c>
      <x:c r="L1274" s="12"/>
      <x:c r="M1274" s="8" t="str">
        <x:v>N/A</x:v>
      </x:c>
    </x:row>
    <x:row r="1275">
      <x:c r="A1275" s="8" t="str">
        <x:v>Port Hardy|Buildings</x:v>
      </x:c>
      <x:c r="B1275" s="8" t="str">
        <x:v>port-hardy-d</x:v>
      </x:c>
      <x:c r="C1275" s="8" t="str">
        <x:v>Port Hardy</x:v>
      </x:c>
      <x:c r="D1275" s="8" t="str">
        <x:v>Buildings</x:v>
      </x:c>
      <x:c r="E1275" s="11" t="n">
        <x:v>21219857</x:v>
      </x:c>
      <x:c r="F1275" s="11" t="n">
        <x:v>8864618</x:v>
      </x:c>
      <x:c r="G1275" s="11" t="n">
        <x:v>12355239</x:v>
      </x:c>
      <x:c r="H1275" s="11" t="n">
        <x:v>2280212</x:v>
      </x:c>
      <x:c r="I1275" s="11" t="n">
        <x:v>71104348</x:v>
      </x:c>
      <x:c r="J1275" s="11" t="n">
        <x:v>1777608</x:v>
      </x:c>
      <x:c r="K1275" s="12" t="n">
        <x:v>0.582248928444711</x:v>
      </x:c>
      <x:c r="L1275" s="12" t="n">
        <x:v>0.9750000098446863</x:v>
      </x:c>
      <x:c r="M1275" s="8" t="str">
        <x:v>In_Progress</x:v>
      </x:c>
    </x:row>
    <x:row r="1276">
      <x:c r="A1276" s="8" t="str">
        <x:v>Port Hardy|Fleet</x:v>
      </x:c>
      <x:c r="B1276" s="8" t="str">
        <x:v>port-hardy-d</x:v>
      </x:c>
      <x:c r="C1276" s="8" t="str">
        <x:v>Port Hardy</x:v>
      </x:c>
      <x:c r="D1276" s="8" t="str">
        <x:v>Fleet</x:v>
      </x:c>
      <x:c r="E1276" s="11" t="n">
        <x:v>6596002</x:v>
      </x:c>
      <x:c r="F1276" s="11" t="n">
        <x:v>4349659</x:v>
      </x:c>
      <x:c r="G1276" s="11" t="n">
        <x:v>2246343</x:v>
      </x:c>
      <x:c r="H1276" s="11" t="n">
        <x:v>259275</x:v>
      </x:c>
      <x:c r="I1276" s="11" t="n">
        <x:v>8615331</x:v>
      </x:c>
      <x:c r="J1276" s="11" t="n">
        <x:v>215384</x:v>
      </x:c>
      <x:c r="K1276" s="12" t="n">
        <x:v>0.34056129758602255</x:v>
      </x:c>
      <x:c r="L1276" s="12" t="n">
        <x:v>0.9749999158476906</x:v>
      </x:c>
      <x:c r="M1276" s="8" t="str">
        <x:v>In_Progress</x:v>
      </x:c>
    </x:row>
    <x:row r="1277">
      <x:c r="A1277" s="8" t="str">
        <x:v>Port Hardy|Parks and Recreation</x:v>
      </x:c>
      <x:c r="B1277" s="8" t="str">
        <x:v>port-hardy-d</x:v>
      </x:c>
      <x:c r="C1277" s="8" t="str">
        <x:v>Port Hardy</x:v>
      </x:c>
      <x:c r="D1277" s="8" t="str">
        <x:v>Parks and Recreation</x:v>
      </x:c>
      <x:c r="E1277" s="11" t="n">
        <x:v>4180506</x:v>
      </x:c>
      <x:c r="F1277" s="11" t="n">
        <x:v>2999297</x:v>
      </x:c>
      <x:c r="G1277" s="11" t="n">
        <x:v>1181209</x:v>
      </x:c>
      <x:c r="H1277" s="11" t="n">
        <x:v>0</x:v>
      </x:c>
      <x:c r="I1277" s="11" t="n">
        <x:v>3675335</x:v>
      </x:c>
      <x:c r="J1277" s="11" t="n">
        <x:v>91883</x:v>
      </x:c>
      <x:c r="K1277" s="12" t="n">
        <x:v>0.2825516815428563</x:v>
      </x:c>
      <x:c r="L1277" s="12" t="n">
        <x:v>0.9750001020315155</x:v>
      </x:c>
      <x:c r="M1277" s="8" t="str">
        <x:v>In_Progress</x:v>
      </x:c>
    </x:row>
    <x:row r="1278">
      <x:c r="A1278" s="8" t="str">
        <x:v>Port Hardy|Water System</x:v>
      </x:c>
      <x:c r="B1278" s="8" t="str">
        <x:v>port-hardy-d</x:v>
      </x:c>
      <x:c r="C1278" s="8" t="str">
        <x:v>Port Hardy</x:v>
      </x:c>
      <x:c r="D1278" s="8" t="str">
        <x:v>Water System</x:v>
      </x:c>
      <x:c r="E1278" s="11" t="n">
        <x:v>20137607</x:v>
      </x:c>
      <x:c r="F1278" s="11" t="n">
        <x:v>11332229</x:v>
      </x:c>
      <x:c r="G1278" s="11" t="n">
        <x:v>8805378</x:v>
      </x:c>
      <x:c r="H1278" s="11" t="n">
        <x:v>0</x:v>
      </x:c>
      <x:c r="I1278" s="11" t="n">
        <x:v>7231893</x:v>
      </x:c>
      <x:c r="J1278" s="11" t="n">
        <x:v>183862</x:v>
      </x:c>
      <x:c r="K1278" s="12" t="n">
        <x:v>0.43726039543824646</x:v>
      </x:c>
      <x:c r="L1278" s="12" t="n">
        <x:v>0.974576227828592</x:v>
      </x:c>
      <x:c r="M1278" s="8" t="str">
        <x:v>In_Progress</x:v>
      </x:c>
    </x:row>
    <x:row r="1279">
      <x:c r="A1279" s="8" t="str">
        <x:v>Port Hardy|Sewer System</x:v>
      </x:c>
      <x:c r="B1279" s="8" t="str">
        <x:v>port-hardy-d</x:v>
      </x:c>
      <x:c r="C1279" s="8" t="str">
        <x:v>Port Hardy</x:v>
      </x:c>
      <x:c r="D1279" s="8" t="str">
        <x:v>Sewer System</x:v>
      </x:c>
      <x:c r="E1279" s="11" t="n">
        <x:v>18017335</x:v>
      </x:c>
      <x:c r="F1279" s="11" t="n">
        <x:v>10368823</x:v>
      </x:c>
      <x:c r="G1279" s="11" t="n">
        <x:v>7648512</x:v>
      </x:c>
      <x:c r="H1279" s="11" t="n">
        <x:v>0</x:v>
      </x:c>
      <x:c r="I1279" s="11" t="n">
        <x:v>7769358</x:v>
      </x:c>
      <x:c r="J1279" s="11" t="n">
        <x:v>194235</x:v>
      </x:c>
      <x:c r="K1279" s="12" t="n">
        <x:v>0.42450850805626916</x:v>
      </x:c>
      <x:c r="L1279" s="12" t="n">
        <x:v>0.9749998648536984</x:v>
      </x:c>
      <x:c r="M1279" s="8" t="str">
        <x:v>In_Progress</x:v>
      </x:c>
    </x:row>
    <x:row r="1280">
      <x:c r="A1280" s="8" t="str">
        <x:v>Port Hardy|Drainage System</x:v>
      </x:c>
      <x:c r="B1280" s="8" t="str">
        <x:v>port-hardy-d</x:v>
      </x:c>
      <x:c r="C1280" s="8" t="str">
        <x:v>Port Hardy</x:v>
      </x:c>
      <x:c r="D1280" s="8" t="str">
        <x:v>Drainage System</x:v>
      </x:c>
      <x:c r="E1280" s="11" t="n">
        <x:v>0</x:v>
      </x:c>
      <x:c r="F1280" s="11" t="n">
        <x:v>0</x:v>
      </x:c>
      <x:c r="G1280" s="11" t="n">
        <x:v>0</x:v>
      </x:c>
      <x:c r="H1280" s="11" t="n">
        <x:v>0</x:v>
      </x:c>
      <x:c r="I1280" s="11" t="n">
        <x:v>0</x:v>
      </x:c>
      <x:c r="J1280" s="11" t="n">
        <x:v>0</x:v>
      </x:c>
      <x:c r="K1280" s="12"/>
      <x:c r="L1280" s="12"/>
      <x:c r="M1280" s="8" t="str">
        <x:v>No</x:v>
      </x:c>
    </x:row>
    <x:row r="1281">
      <x:c r="A1281" s="8" t="str">
        <x:v>Port Hardy|Transportation System</x:v>
      </x:c>
      <x:c r="B1281" s="8" t="str">
        <x:v>port-hardy-d</x:v>
      </x:c>
      <x:c r="C1281" s="8" t="str">
        <x:v>Port Hardy</x:v>
      </x:c>
      <x:c r="D1281" s="8" t="str">
        <x:v>Transportation System</x:v>
      </x:c>
      <x:c r="E1281" s="11" t="n">
        <x:v>27481822</x:v>
      </x:c>
      <x:c r="F1281" s="11" t="n">
        <x:v>17694785</x:v>
      </x:c>
      <x:c r="G1281" s="11" t="n">
        <x:v>9787037</x:v>
      </x:c>
      <x:c r="H1281" s="11" t="n">
        <x:v>0</x:v>
      </x:c>
      <x:c r="I1281" s="11" t="n">
        <x:v>38253595</x:v>
      </x:c>
      <x:c r="J1281" s="11" t="n">
        <x:v>71811</x:v>
      </x:c>
      <x:c r="K1281" s="12" t="n">
        <x:v>0.35612766140469143</x:v>
      </x:c>
      <x:c r="L1281" s="12" t="n">
        <x:v>0.998122764670876</x:v>
      </x:c>
      <x:c r="M1281" s="8" t="str">
        <x:v>In_Progress</x:v>
      </x:c>
    </x:row>
    <x:row r="1282">
      <x:c r="A1282" s="8" t="str">
        <x:v>Port Hardy|Other Engineering Systems</x:v>
      </x:c>
      <x:c r="B1282" s="8" t="str">
        <x:v>port-hardy-d</x:v>
      </x:c>
      <x:c r="C1282" s="8" t="str">
        <x:v>Port Hardy</x:v>
      </x:c>
      <x:c r="D1282" s="8" t="str">
        <x:v>Other Engineering Systems</x:v>
      </x:c>
      <x:c r="E1282" s="11" t="n">
        <x:v>0</x:v>
      </x:c>
      <x:c r="F1282" s="11" t="n">
        <x:v>0</x:v>
      </x:c>
      <x:c r="G1282" s="11" t="n">
        <x:v>0</x:v>
      </x:c>
      <x:c r="H1282" s="11" t="n">
        <x:v>0</x:v>
      </x:c>
      <x:c r="I1282" s="11" t="n">
        <x:v>0</x:v>
      </x:c>
      <x:c r="J1282" s="11" t="n">
        <x:v>0</x:v>
      </x:c>
      <x:c r="K1282" s="12"/>
      <x:c r="L1282" s="12"/>
      <x:c r="M1282" s="8" t="str">
        <x:v>No</x:v>
      </x:c>
    </x:row>
    <x:row r="1283">
      <x:c r="A1283" s="8" t="str">
        <x:v>Port Hardy|Other Tangible Capital Assets</x:v>
      </x:c>
      <x:c r="B1283" s="8" t="str">
        <x:v>port-hardy-d</x:v>
      </x:c>
      <x:c r="C1283" s="8" t="str">
        <x:v>Port Hardy</x:v>
      </x:c>
      <x:c r="D1283" s="8" t="str">
        <x:v>Other Tangible Capital Assets</x:v>
      </x:c>
      <x:c r="E1283" s="11" t="n">
        <x:v>752179</x:v>
      </x:c>
      <x:c r="F1283" s="11" t="n">
        <x:v>627533</x:v>
      </x:c>
      <x:c r="G1283" s="11" t="n">
        <x:v>124646</x:v>
      </x:c>
      <x:c r="H1283" s="11" t="n">
        <x:v>0</x:v>
      </x:c>
      <x:c r="I1283" s="11" t="n">
        <x:v>0</x:v>
      </x:c>
      <x:c r="J1283" s="11" t="n">
        <x:v>0</x:v>
      </x:c>
      <x:c r="K1283" s="12" t="n">
        <x:v>0.1657132145406878</x:v>
      </x:c>
      <x:c r="L1283" s="12"/>
      <x:c r="M1283" s="8" t="str">
        <x:v>N/A</x:v>
      </x:c>
    </x:row>
    <x:row r="1284">
      <x:c r="A1284" s="8" t="str">
        <x:v>Port Hardy|Work In Progress</x:v>
      </x:c>
      <x:c r="B1284" s="8" t="str">
        <x:v>port-hardy-d</x:v>
      </x:c>
      <x:c r="C1284" s="8" t="str">
        <x:v>Port Hardy</x:v>
      </x:c>
      <x:c r="D1284" s="8" t="str">
        <x:v>Work In Progress</x:v>
      </x:c>
      <x:c r="E1284" s="11" t="n">
        <x:v>1128606</x:v>
      </x:c>
      <x:c r="F1284" s="11"/>
      <x:c r="G1284" s="11" t="n">
        <x:v>1128606</x:v>
      </x:c>
      <x:c r="H1284" s="11" t="n">
        <x:v>0</x:v>
      </x:c>
      <x:c r="I1284" s="11" t="n">
        <x:v>1128606</x:v>
      </x:c>
      <x:c r="J1284" s="11"/>
      <x:c r="K1284" s="12" t="n">
        <x:v>1</x:v>
      </x:c>
      <x:c r="L1284" s="12"/>
      <x:c r="M1284" s="8" t="str">
        <x:v>N/A</x:v>
      </x:c>
    </x:row>
    <x:row r="1285">
      <x:c r="A1285" s="8" t="str">
        <x:v>Port Hardy|Total TCA</x:v>
      </x:c>
      <x:c r="B1285" s="8" t="str">
        <x:v>port-hardy-d</x:v>
      </x:c>
      <x:c r="C1285" s="8" t="str">
        <x:v>Port Hardy</x:v>
      </x:c>
      <x:c r="D1285" s="8" t="str">
        <x:v>Total TCA</x:v>
      </x:c>
      <x:c r="E1285" s="11" t="n">
        <x:v>102519941</x:v>
      </x:c>
      <x:c r="F1285" s="11" t="n">
        <x:v>56236944</x:v>
      </x:c>
      <x:c r="G1285" s="11" t="n">
        <x:v>46282997</x:v>
      </x:c>
      <x:c r="H1285" s="11" t="n">
        <x:v>2628063</x:v>
      </x:c>
      <x:c r="I1285" s="11" t="n">
        <x:v>140784493</x:v>
      </x:c>
      <x:c r="J1285" s="11" t="n">
        <x:v>2534783</x:v>
      </x:c>
      <x:c r="K1285" s="12" t="n">
        <x:v>0.45145360549905117</x:v>
      </x:c>
      <x:c r="L1285" s="12" t="n">
        <x:v>0.9819952968825906</x:v>
      </x:c>
      <x:c r="M1285" s="8"/>
    </x:row>
    <x:row r="1286">
      <x:c r="A1286" s="8" t="str">
        <x:v>Port McNeill|Land</x:v>
      </x:c>
      <x:c r="B1286" s="8" t="str">
        <x:v>port-mcneill-t</x:v>
      </x:c>
      <x:c r="C1286" s="8" t="str">
        <x:v>Port McNeill</x:v>
      </x:c>
      <x:c r="D1286" s="8" t="str">
        <x:v>Land</x:v>
      </x:c>
      <x:c r="E1286" s="11" t="n">
        <x:v>1717069</x:v>
      </x:c>
      <x:c r="F1286" s="11"/>
      <x:c r="G1286" s="11" t="n">
        <x:v>1717069</x:v>
      </x:c>
      <x:c r="H1286" s="11" t="n">
        <x:v>0</x:v>
      </x:c>
      <x:c r="I1286" s="11" t="n">
        <x:v>1717069</x:v>
      </x:c>
      <x:c r="J1286" s="11"/>
      <x:c r="K1286" s="12" t="n">
        <x:v>1</x:v>
      </x:c>
      <x:c r="L1286" s="12"/>
      <x:c r="M1286" s="8" t="str">
        <x:v>N/A</x:v>
      </x:c>
    </x:row>
    <x:row r="1287">
      <x:c r="A1287" s="8" t="str">
        <x:v>Port McNeill|Buildings</x:v>
      </x:c>
      <x:c r="B1287" s="8" t="str">
        <x:v>port-mcneill-t</x:v>
      </x:c>
      <x:c r="C1287" s="8" t="str">
        <x:v>Port McNeill</x:v>
      </x:c>
      <x:c r="D1287" s="8" t="str">
        <x:v>Buildings</x:v>
      </x:c>
      <x:c r="E1287" s="11" t="n">
        <x:v>21266346</x:v>
      </x:c>
      <x:c r="F1287" s="11" t="n">
        <x:v>17931050</x:v>
      </x:c>
      <x:c r="G1287" s="11" t="n">
        <x:v>3335296</x:v>
      </x:c>
      <x:c r="H1287" s="11" t="n">
        <x:v>106400</x:v>
      </x:c>
      <x:c r="I1287" s="11" t="n">
        <x:v>20000000</x:v>
      </x:c>
      <x:c r="J1287" s="11" t="n">
        <x:v>540500</x:v>
      </x:c>
      <x:c r="K1287" s="12" t="n">
        <x:v>0.15683446512155874</x:v>
      </x:c>
      <x:c r="L1287" s="12" t="n">
        <x:v>0.972975</x:v>
      </x:c>
      <x:c r="M1287" s="8" t="str">
        <x:v>In_Progress</x:v>
      </x:c>
    </x:row>
    <x:row r="1288">
      <x:c r="A1288" s="8" t="str">
        <x:v>Port McNeill|Fleet</x:v>
      </x:c>
      <x:c r="B1288" s="8" t="str">
        <x:v>port-mcneill-t</x:v>
      </x:c>
      <x:c r="C1288" s="8" t="str">
        <x:v>Port McNeill</x:v>
      </x:c>
      <x:c r="D1288" s="8" t="str">
        <x:v>Fleet</x:v>
      </x:c>
      <x:c r="E1288" s="11" t="n">
        <x:v>3285410</x:v>
      </x:c>
      <x:c r="F1288" s="11" t="n">
        <x:v>1723819</x:v>
      </x:c>
      <x:c r="G1288" s="11" t="n">
        <x:v>1561591</x:v>
      </x:c>
      <x:c r="H1288" s="11" t="n">
        <x:v>138148</x:v>
      </x:c>
      <x:c r="I1288" s="11" t="n">
        <x:v>2000000</x:v>
      </x:c>
      <x:c r="J1288" s="11" t="n">
        <x:v>111111</x:v>
      </x:c>
      <x:c r="K1288" s="12" t="n">
        <x:v>0.4753108440042491</x:v>
      </x:c>
      <x:c r="L1288" s="12" t="n">
        <x:v>0.9444445</x:v>
      </x:c>
      <x:c r="M1288" s="8" t="str">
        <x:v>Yes</x:v>
      </x:c>
    </x:row>
    <x:row r="1289">
      <x:c r="A1289" s="8" t="str">
        <x:v>Port McNeill|Parks and Recreation</x:v>
      </x:c>
      <x:c r="B1289" s="8" t="str">
        <x:v>port-mcneill-t</x:v>
      </x:c>
      <x:c r="C1289" s="8" t="str">
        <x:v>Port McNeill</x:v>
      </x:c>
      <x:c r="D1289" s="8" t="str">
        <x:v>Parks and Recreation</x:v>
      </x:c>
      <x:c r="E1289" s="11" t="n">
        <x:v>0</x:v>
      </x:c>
      <x:c r="F1289" s="11" t="n">
        <x:v>0</x:v>
      </x:c>
      <x:c r="G1289" s="11" t="n">
        <x:v>0</x:v>
      </x:c>
      <x:c r="H1289" s="11" t="n">
        <x:v>0</x:v>
      </x:c>
      <x:c r="I1289" s="11" t="n">
        <x:v>0</x:v>
      </x:c>
      <x:c r="J1289" s="11" t="n">
        <x:v>0</x:v>
      </x:c>
      <x:c r="K1289" s="12"/>
      <x:c r="L1289" s="12"/>
      <x:c r="M1289" s="8"/>
    </x:row>
    <x:row r="1290">
      <x:c r="A1290" s="8" t="str">
        <x:v>Port McNeill|Water System</x:v>
      </x:c>
      <x:c r="B1290" s="8" t="str">
        <x:v>port-mcneill-t</x:v>
      </x:c>
      <x:c r="C1290" s="8" t="str">
        <x:v>Port McNeill</x:v>
      </x:c>
      <x:c r="D1290" s="8" t="str">
        <x:v>Water System</x:v>
      </x:c>
      <x:c r="E1290" s="11" t="n">
        <x:v>12443970</x:v>
      </x:c>
      <x:c r="F1290" s="11" t="n">
        <x:v>4165962</x:v>
      </x:c>
      <x:c r="G1290" s="11" t="n">
        <x:v>8278008</x:v>
      </x:c>
      <x:c r="H1290" s="11" t="n">
        <x:v>0</x:v>
      </x:c>
      <x:c r="I1290" s="11" t="n">
        <x:v>17000000</x:v>
      </x:c>
      <x:c r="J1290" s="11" t="n">
        <x:v>246377</x:v>
      </x:c>
      <x:c r="K1290" s="12" t="n">
        <x:v>0.6652224330338309</x:v>
      </x:c>
      <x:c r="L1290" s="12" t="n">
        <x:v>0.9855072352941177</x:v>
      </x:c>
      <x:c r="M1290" s="8" t="str">
        <x:v>In_Progress</x:v>
      </x:c>
    </x:row>
    <x:row r="1291">
      <x:c r="A1291" s="8" t="str">
        <x:v>Port McNeill|Sewer System</x:v>
      </x:c>
      <x:c r="B1291" s="8" t="str">
        <x:v>port-mcneill-t</x:v>
      </x:c>
      <x:c r="C1291" s="8" t="str">
        <x:v>Port McNeill</x:v>
      </x:c>
      <x:c r="D1291" s="8" t="str">
        <x:v>Sewer System</x:v>
      </x:c>
      <x:c r="E1291" s="11" t="n">
        <x:v>10256877</x:v>
      </x:c>
      <x:c r="F1291" s="11" t="n">
        <x:v>6607390</x:v>
      </x:c>
      <x:c r="G1291" s="11" t="n">
        <x:v>3649487</x:v>
      </x:c>
      <x:c r="H1291" s="11" t="n">
        <x:v>117033</x:v>
      </x:c>
      <x:c r="I1291" s="11" t="n">
        <x:v>15000000</x:v>
      </x:c>
      <x:c r="J1291" s="11" t="n">
        <x:v>230769</x:v>
      </x:c>
      <x:c r="K1291" s="12" t="n">
        <x:v>0.3558087905314649</x:v>
      </x:c>
      <x:c r="L1291" s="12" t="n">
        <x:v>0.9846154</x:v>
      </x:c>
      <x:c r="M1291" s="8" t="str">
        <x:v>In_Progress</x:v>
      </x:c>
    </x:row>
    <x:row r="1292">
      <x:c r="A1292" s="8" t="str">
        <x:v>Port McNeill|Drainage System</x:v>
      </x:c>
      <x:c r="B1292" s="8" t="str">
        <x:v>port-mcneill-t</x:v>
      </x:c>
      <x:c r="C1292" s="8" t="str">
        <x:v>Port McNeill</x:v>
      </x:c>
      <x:c r="D1292" s="8" t="str">
        <x:v>Drainage System</x:v>
      </x:c>
      <x:c r="E1292" s="11" t="n">
        <x:v>5812097</x:v>
      </x:c>
      <x:c r="F1292" s="11" t="n">
        <x:v>1002972</x:v>
      </x:c>
      <x:c r="G1292" s="11" t="n">
        <x:v>4809125</x:v>
      </x:c>
      <x:c r="H1292" s="11" t="n">
        <x:v>466668</x:v>
      </x:c>
      <x:c r="I1292" s="11" t="n">
        <x:v>8000000</x:v>
      </x:c>
      <x:c r="J1292" s="11" t="n">
        <x:v>106667</x:v>
      </x:c>
      <x:c r="K1292" s="12" t="n">
        <x:v>0.8274337128234439</x:v>
      </x:c>
      <x:c r="L1292" s="12" t="n">
        <x:v>0.986666625</x:v>
      </x:c>
      <x:c r="M1292" s="8" t="str">
        <x:v>In_Progress</x:v>
      </x:c>
    </x:row>
    <x:row r="1293">
      <x:c r="A1293" s="8" t="str">
        <x:v>Port McNeill|Transportation System</x:v>
      </x:c>
      <x:c r="B1293" s="8" t="str">
        <x:v>port-mcneill-t</x:v>
      </x:c>
      <x:c r="C1293" s="8" t="str">
        <x:v>Port McNeill</x:v>
      </x:c>
      <x:c r="D1293" s="8" t="str">
        <x:v>Transportation System</x:v>
      </x:c>
      <x:c r="E1293" s="11" t="n">
        <x:v>29623851</x:v>
      </x:c>
      <x:c r="F1293" s="11" t="n">
        <x:v>28110233</x:v>
      </x:c>
      <x:c r="G1293" s="11" t="n">
        <x:v>1513618</x:v>
      </x:c>
      <x:c r="H1293" s="11" t="n">
        <x:v>41695</x:v>
      </x:c>
      <x:c r="I1293" s="11" t="n">
        <x:v>200000000</x:v>
      </x:c>
      <x:c r="J1293" s="11" t="n">
        <x:v>5000000</x:v>
      </x:c>
      <x:c r="K1293" s="12" t="n">
        <x:v>0.05109457241058902</x:v>
      </x:c>
      <x:c r="L1293" s="12" t="n">
        <x:v>0.975</x:v>
      </x:c>
      <x:c r="M1293" s="8" t="str">
        <x:v>In_Progress</x:v>
      </x:c>
    </x:row>
    <x:row r="1294">
      <x:c r="A1294" s="8" t="str">
        <x:v>Port McNeill|Other Engineering Systems</x:v>
      </x:c>
      <x:c r="B1294" s="8" t="str">
        <x:v>port-mcneill-t</x:v>
      </x:c>
      <x:c r="C1294" s="8" t="str">
        <x:v>Port McNeill</x:v>
      </x:c>
      <x:c r="D1294" s="8" t="str">
        <x:v>Other Engineering Systems</x:v>
      </x:c>
      <x:c r="E1294" s="11" t="n">
        <x:v>0</x:v>
      </x:c>
      <x:c r="F1294" s="11" t="n">
        <x:v>0</x:v>
      </x:c>
      <x:c r="G1294" s="11" t="n">
        <x:v>0</x:v>
      </x:c>
      <x:c r="H1294" s="11" t="n">
        <x:v>0</x:v>
      </x:c>
      <x:c r="I1294" s="11" t="n">
        <x:v>0</x:v>
      </x:c>
      <x:c r="J1294" s="11" t="n">
        <x:v>0</x:v>
      </x:c>
      <x:c r="K1294" s="12"/>
      <x:c r="L1294" s="12"/>
      <x:c r="M1294" s="8"/>
    </x:row>
    <x:row r="1295">
      <x:c r="A1295" s="8" t="str">
        <x:v>Port McNeill|Other Tangible Capital Assets</x:v>
      </x:c>
      <x:c r="B1295" s="8" t="str">
        <x:v>port-mcneill-t</x:v>
      </x:c>
      <x:c r="C1295" s="8" t="str">
        <x:v>Port McNeill</x:v>
      </x:c>
      <x:c r="D1295" s="8" t="str">
        <x:v>Other Tangible Capital Assets</x:v>
      </x:c>
      <x:c r="E1295" s="11" t="n">
        <x:v>5865419</x:v>
      </x:c>
      <x:c r="F1295" s="11" t="n">
        <x:v>1740919</x:v>
      </x:c>
      <x:c r="G1295" s="11" t="n">
        <x:v>4124500</x:v>
      </x:c>
      <x:c r="H1295" s="11" t="n">
        <x:v>380920</x:v>
      </x:c>
      <x:c r="I1295" s="11" t="n">
        <x:v>8500000</x:v>
      </x:c>
      <x:c r="J1295" s="11" t="n">
        <x:v>472000</x:v>
      </x:c>
      <x:c r="K1295" s="12" t="n">
        <x:v>0.7031893203196566</x:v>
      </x:c>
      <x:c r="L1295" s="12" t="n">
        <x:v>0.9444705882352942</x:v>
      </x:c>
      <x:c r="M1295" s="8" t="str">
        <x:v>N/A</x:v>
      </x:c>
    </x:row>
    <x:row r="1296">
      <x:c r="A1296" s="8" t="str">
        <x:v>Port McNeill|Work In Progress</x:v>
      </x:c>
      <x:c r="B1296" s="8" t="str">
        <x:v>port-mcneill-t</x:v>
      </x:c>
      <x:c r="C1296" s="8" t="str">
        <x:v>Port McNeill</x:v>
      </x:c>
      <x:c r="D1296" s="8" t="str">
        <x:v>Work In Progress</x:v>
      </x:c>
      <x:c r="E1296" s="11" t="n">
        <x:v>0</x:v>
      </x:c>
      <x:c r="F1296" s="11"/>
      <x:c r="G1296" s="11" t="n">
        <x:v>0</x:v>
      </x:c>
      <x:c r="H1296" s="11" t="n">
        <x:v>0</x:v>
      </x:c>
      <x:c r="I1296" s="11" t="n">
        <x:v>0</x:v>
      </x:c>
      <x:c r="J1296" s="11"/>
      <x:c r="K1296" s="12"/>
      <x:c r="L1296" s="12"/>
      <x:c r="M1296" s="8" t="str">
        <x:v>N/A</x:v>
      </x:c>
    </x:row>
    <x:row r="1297">
      <x:c r="A1297" s="8" t="str">
        <x:v>Port McNeill|Total TCA</x:v>
      </x:c>
      <x:c r="B1297" s="8" t="str">
        <x:v>port-mcneill-t</x:v>
      </x:c>
      <x:c r="C1297" s="8" t="str">
        <x:v>Port McNeill</x:v>
      </x:c>
      <x:c r="D1297" s="8" t="str">
        <x:v>Total TCA</x:v>
      </x:c>
      <x:c r="E1297" s="11" t="n">
        <x:v>90271039</x:v>
      </x:c>
      <x:c r="F1297" s="11" t="n">
        <x:v>61282345</x:v>
      </x:c>
      <x:c r="G1297" s="11" t="n">
        <x:v>28988694</x:v>
      </x:c>
      <x:c r="H1297" s="11" t="n">
        <x:v>1250864</x:v>
      </x:c>
      <x:c r="I1297" s="11" t="n">
        <x:v>272217069</x:v>
      </x:c>
      <x:c r="J1297" s="11" t="n">
        <x:v>6707424</x:v>
      </x:c>
      <x:c r="K1297" s="12" t="n">
        <x:v>0.3211295042256022</x:v>
      </x:c>
      <x:c r="L1297" s="12" t="n">
        <x:v>0.9753600168253961</x:v>
      </x:c>
      <x:c r="M1297" s="8"/>
    </x:row>
    <x:row r="1298">
      <x:c r="A1298" s="8" t="str">
        <x:v>Port Moody|Land</x:v>
      </x:c>
      <x:c r="B1298" s="8" t="str">
        <x:v>port-moody-c</x:v>
      </x:c>
      <x:c r="C1298" s="8" t="str">
        <x:v>Port Moody</x:v>
      </x:c>
      <x:c r="D1298" s="8" t="str">
        <x:v>Land</x:v>
      </x:c>
      <x:c r="E1298" s="11" t="n">
        <x:v>465283841</x:v>
      </x:c>
      <x:c r="F1298" s="11"/>
      <x:c r="G1298" s="11" t="n">
        <x:v>465283841</x:v>
      </x:c>
      <x:c r="H1298" s="11" t="n">
        <x:v>2897200</x:v>
      </x:c>
      <x:c r="I1298" s="11" t="n">
        <x:v>465283841</x:v>
      </x:c>
      <x:c r="J1298" s="11"/>
      <x:c r="K1298" s="12" t="n">
        <x:v>1</x:v>
      </x:c>
      <x:c r="L1298" s="12"/>
      <x:c r="M1298" s="8" t="str">
        <x:v>N/A</x:v>
      </x:c>
    </x:row>
    <x:row r="1299">
      <x:c r="A1299" s="8" t="str">
        <x:v>Port Moody|Buildings</x:v>
      </x:c>
      <x:c r="B1299" s="8" t="str">
        <x:v>port-moody-c</x:v>
      </x:c>
      <x:c r="C1299" s="8" t="str">
        <x:v>Port Moody</x:v>
      </x:c>
      <x:c r="D1299" s="8" t="str">
        <x:v>Buildings</x:v>
      </x:c>
      <x:c r="E1299" s="11" t="n">
        <x:v>113699948</x:v>
      </x:c>
      <x:c r="F1299" s="11" t="n">
        <x:v>49698755</x:v>
      </x:c>
      <x:c r="G1299" s="11" t="n">
        <x:v>64001193</x:v>
      </x:c>
      <x:c r="H1299" s="11" t="n">
        <x:v>3550852</x:v>
      </x:c>
      <x:c r="I1299" s="11" t="n">
        <x:v>209631189</x:v>
      </x:c>
      <x:c r="J1299" s="11" t="n">
        <x:v>2390036</x:v>
      </x:c>
      <x:c r="K1299" s="12" t="n">
        <x:v>0.5628955344816868</x:v>
      </x:c>
      <x:c r="L1299" s="12" t="n">
        <x:v>0.9885988530075074</x:v>
      </x:c>
      <x:c r="M1299" s="8" t="str">
        <x:v>In_Progress</x:v>
      </x:c>
    </x:row>
    <x:row r="1300">
      <x:c r="A1300" s="8" t="str">
        <x:v>Port Moody|Fleet</x:v>
      </x:c>
      <x:c r="B1300" s="8" t="str">
        <x:v>port-moody-c</x:v>
      </x:c>
      <x:c r="C1300" s="8" t="str">
        <x:v>Port Moody</x:v>
      </x:c>
      <x:c r="D1300" s="8" t="str">
        <x:v>Fleet</x:v>
      </x:c>
      <x:c r="E1300" s="11" t="n">
        <x:v>17945260</x:v>
      </x:c>
      <x:c r="F1300" s="11" t="n">
        <x:v>7639713</x:v>
      </x:c>
      <x:c r="G1300" s="11" t="n">
        <x:v>10305547</x:v>
      </x:c>
      <x:c r="H1300" s="11" t="n">
        <x:v>1568726</x:v>
      </x:c>
      <x:c r="I1300" s="11" t="n">
        <x:v>19057855</x:v>
      </x:c>
      <x:c r="J1300" s="11" t="n">
        <x:v>2088645</x:v>
      </x:c>
      <x:c r="K1300" s="12" t="n">
        <x:v>0.5742768285329942</x:v>
      </x:c>
      <x:c r="L1300" s="12" t="n">
        <x:v>0.8904050324656159</x:v>
      </x:c>
      <x:c r="M1300" s="8" t="str">
        <x:v>Yes</x:v>
      </x:c>
    </x:row>
    <x:row r="1301">
      <x:c r="A1301" s="8" t="str">
        <x:v>Port Moody|Parks and Recreation</x:v>
      </x:c>
      <x:c r="B1301" s="8" t="str">
        <x:v>port-moody-c</x:v>
      </x:c>
      <x:c r="C1301" s="8" t="str">
        <x:v>Port Moody</x:v>
      </x:c>
      <x:c r="D1301" s="8" t="str">
        <x:v>Parks and Recreation</x:v>
      </x:c>
      <x:c r="E1301" s="11" t="n">
        <x:v>11995580</x:v>
      </x:c>
      <x:c r="F1301" s="11" t="n">
        <x:v>7424723</x:v>
      </x:c>
      <x:c r="G1301" s="11" t="n">
        <x:v>4570857</x:v>
      </x:c>
      <x:c r="H1301" s="11" t="n">
        <x:v>734405</x:v>
      </x:c>
      <x:c r="I1301" s="11" t="n">
        <x:v>41724290</x:v>
      </x:c>
      <x:c r="J1301" s="11" t="n">
        <x:v>1668972</x:v>
      </x:c>
      <x:c r="K1301" s="12" t="n">
        <x:v>0.3810451016124272</x:v>
      </x:c>
      <x:c r="L1301" s="12" t="n">
        <x:v>0.9599999904132581</x:v>
      </x:c>
      <x:c r="M1301" s="8" t="str">
        <x:v>In_Progress</x:v>
      </x:c>
    </x:row>
    <x:row r="1302">
      <x:c r="A1302" s="8" t="str">
        <x:v>Port Moody|Water System</x:v>
      </x:c>
      <x:c r="B1302" s="8" t="str">
        <x:v>port-moody-c</x:v>
      </x:c>
      <x:c r="C1302" s="8" t="str">
        <x:v>Port Moody</x:v>
      </x:c>
      <x:c r="D1302" s="8" t="str">
        <x:v>Water System</x:v>
      </x:c>
      <x:c r="E1302" s="11" t="n">
        <x:v>40358052</x:v>
      </x:c>
      <x:c r="F1302" s="11" t="n">
        <x:v>13837003</x:v>
      </x:c>
      <x:c r="G1302" s="11" t="n">
        <x:v>26521049</x:v>
      </x:c>
      <x:c r="H1302" s="11" t="n">
        <x:v>0</x:v>
      </x:c>
      <x:c r="I1302" s="11" t="n">
        <x:v>146223150</x:v>
      </x:c>
      <x:c r="J1302" s="11" t="n">
        <x:v>1819315</x:v>
      </x:c>
      <x:c r="K1302" s="12" t="n">
        <x:v>0.6571439325168618</x:v>
      </x:c>
      <x:c r="L1302" s="12" t="n">
        <x:v>0.9875579550844036</x:v>
      </x:c>
      <x:c r="M1302" s="8" t="str">
        <x:v>In_Progress</x:v>
      </x:c>
    </x:row>
    <x:row r="1303">
      <x:c r="A1303" s="8" t="str">
        <x:v>Port Moody|Sewer System</x:v>
      </x:c>
      <x:c r="B1303" s="8" t="str">
        <x:v>port-moody-c</x:v>
      </x:c>
      <x:c r="C1303" s="8" t="str">
        <x:v>Port Moody</x:v>
      </x:c>
      <x:c r="D1303" s="8" t="str">
        <x:v>Sewer System</x:v>
      </x:c>
      <x:c r="E1303" s="11" t="n">
        <x:v>49814994</x:v>
      </x:c>
      <x:c r="F1303" s="11" t="n">
        <x:v>14677225</x:v>
      </x:c>
      <x:c r="G1303" s="11" t="n">
        <x:v>35137769</x:v>
      </x:c>
      <x:c r="H1303" s="11" t="n">
        <x:v>0</x:v>
      </x:c>
      <x:c r="I1303" s="11" t="n">
        <x:v>165480646</x:v>
      </x:c>
      <x:c r="J1303" s="11" t="n">
        <x:v>2485459</x:v>
      </x:c>
      <x:c r="K1303" s="12" t="n">
        <x:v>0.7053653163142005</x:v>
      </x:c>
      <x:c r="L1303" s="12" t="n">
        <x:v>0.9849803644107118</x:v>
      </x:c>
      <x:c r="M1303" s="8" t="str">
        <x:v>In_Progress</x:v>
      </x:c>
    </x:row>
    <x:row r="1304">
      <x:c r="A1304" s="8" t="str">
        <x:v>Port Moody|Drainage System</x:v>
      </x:c>
      <x:c r="B1304" s="8" t="str">
        <x:v>port-moody-c</x:v>
      </x:c>
      <x:c r="C1304" s="8" t="str">
        <x:v>Port Moody</x:v>
      </x:c>
      <x:c r="D1304" s="8" t="str">
        <x:v>Drainage System</x:v>
      </x:c>
      <x:c r="E1304" s="11" t="n">
        <x:v>41781205</x:v>
      </x:c>
      <x:c r="F1304" s="11" t="n">
        <x:v>15466910</x:v>
      </x:c>
      <x:c r="G1304" s="11" t="n">
        <x:v>26314295</x:v>
      </x:c>
      <x:c r="H1304" s="11" t="n">
        <x:v>0</x:v>
      </x:c>
      <x:c r="I1304" s="11" t="n">
        <x:v>150037937</x:v>
      </x:c>
      <x:c r="J1304" s="11" t="n">
        <x:v>2386277</x:v>
      </x:c>
      <x:c r="K1304" s="12" t="n">
        <x:v>0.6298117778077488</x:v>
      </x:c>
      <x:c r="L1304" s="12" t="n">
        <x:v>0.984095509124469</x:v>
      </x:c>
      <x:c r="M1304" s="8" t="str">
        <x:v>In_Progress</x:v>
      </x:c>
    </x:row>
    <x:row r="1305">
      <x:c r="A1305" s="8" t="str">
        <x:v>Port Moody|Transportation System</x:v>
      </x:c>
      <x:c r="B1305" s="8" t="str">
        <x:v>port-moody-c</x:v>
      </x:c>
      <x:c r="C1305" s="8" t="str">
        <x:v>Port Moody</x:v>
      </x:c>
      <x:c r="D1305" s="8" t="str">
        <x:v>Transportation System</x:v>
      </x:c>
      <x:c r="E1305" s="11" t="n">
        <x:v>129218183</x:v>
      </x:c>
      <x:c r="F1305" s="11" t="n">
        <x:v>59561348</x:v>
      </x:c>
      <x:c r="G1305" s="11" t="n">
        <x:v>69656835</x:v>
      </x:c>
      <x:c r="H1305" s="11" t="n">
        <x:v>5210201</x:v>
      </x:c>
      <x:c r="I1305" s="11" t="n">
        <x:v>188659461</x:v>
      </x:c>
      <x:c r="J1305" s="11" t="n">
        <x:v>4100307</x:v>
      </x:c>
      <x:c r="K1305" s="12" t="n">
        <x:v>0.5390637244914672</x:v>
      </x:c>
      <x:c r="L1305" s="12" t="n">
        <x:v>0.978266093954334</x:v>
      </x:c>
      <x:c r="M1305" s="8" t="str">
        <x:v>In_Progress</x:v>
      </x:c>
    </x:row>
    <x:row r="1306">
      <x:c r="A1306" s="8" t="str">
        <x:v>Port Moody|Other Engineering Systems</x:v>
      </x:c>
      <x:c r="B1306" s="8" t="str">
        <x:v>port-moody-c</x:v>
      </x:c>
      <x:c r="C1306" s="8" t="str">
        <x:v>Port Moody</x:v>
      </x:c>
      <x:c r="D1306" s="8" t="str">
        <x:v>Other Engineering Systems</x:v>
      </x:c>
      <x:c r="E1306" s="11" t="n">
        <x:v>0</x:v>
      </x:c>
      <x:c r="F1306" s="11" t="n">
        <x:v>0</x:v>
      </x:c>
      <x:c r="G1306" s="11" t="n">
        <x:v>0</x:v>
      </x:c>
      <x:c r="H1306" s="11" t="n">
        <x:v>0</x:v>
      </x:c>
      <x:c r="I1306" s="11" t="n">
        <x:v>0</x:v>
      </x:c>
      <x:c r="J1306" s="11" t="n">
        <x:v>0</x:v>
      </x:c>
      <x:c r="K1306" s="12"/>
      <x:c r="L1306" s="12"/>
      <x:c r="M1306" s="8"/>
    </x:row>
    <x:row r="1307">
      <x:c r="A1307" s="8" t="str">
        <x:v>Port Moody|Other Tangible Capital Assets</x:v>
      </x:c>
      <x:c r="B1307" s="8" t="str">
        <x:v>port-moody-c</x:v>
      </x:c>
      <x:c r="C1307" s="8" t="str">
        <x:v>Port Moody</x:v>
      </x:c>
      <x:c r="D1307" s="8" t="str">
        <x:v>Other Tangible Capital Assets</x:v>
      </x:c>
      <x:c r="E1307" s="11" t="n">
        <x:v>30470842</x:v>
      </x:c>
      <x:c r="F1307" s="11" t="n">
        <x:v>18006766</x:v>
      </x:c>
      <x:c r="G1307" s="11" t="n">
        <x:v>12464076</x:v>
      </x:c>
      <x:c r="H1307" s="11" t="n">
        <x:v>1598683</x:v>
      </x:c>
      <x:c r="I1307" s="11" t="n">
        <x:v>30470842</x:v>
      </x:c>
      <x:c r="J1307" s="11" t="n">
        <x:v>4352977</x:v>
      </x:c>
      <x:c r="K1307" s="12" t="n">
        <x:v>0.4090492806204699</x:v>
      </x:c>
      <x:c r="L1307" s="12" t="n">
        <x:v>0.8571428712078255</x:v>
      </x:c>
      <x:c r="M1307" s="8" t="str">
        <x:v>N/A</x:v>
      </x:c>
    </x:row>
    <x:row r="1308">
      <x:c r="A1308" s="8" t="str">
        <x:v>Port Moody|Work In Progress</x:v>
      </x:c>
      <x:c r="B1308" s="8" t="str">
        <x:v>port-moody-c</x:v>
      </x:c>
      <x:c r="C1308" s="8" t="str">
        <x:v>Port Moody</x:v>
      </x:c>
      <x:c r="D1308" s="8" t="str">
        <x:v>Work In Progress</x:v>
      </x:c>
      <x:c r="E1308" s="11" t="n">
        <x:v>25600487</x:v>
      </x:c>
      <x:c r="F1308" s="11"/>
      <x:c r="G1308" s="11" t="n">
        <x:v>25600487</x:v>
      </x:c>
      <x:c r="H1308" s="11" t="n">
        <x:v>14369815</x:v>
      </x:c>
      <x:c r="I1308" s="11" t="n">
        <x:v>25600487</x:v>
      </x:c>
      <x:c r="J1308" s="11"/>
      <x:c r="K1308" s="12" t="n">
        <x:v>1</x:v>
      </x:c>
      <x:c r="L1308" s="12"/>
      <x:c r="M1308" s="8" t="str">
        <x:v>N/A</x:v>
      </x:c>
    </x:row>
    <x:row r="1309">
      <x:c r="A1309" s="8" t="str">
        <x:v>Port Moody|Total TCA</x:v>
      </x:c>
      <x:c r="B1309" s="8" t="str">
        <x:v>port-moody-c</x:v>
      </x:c>
      <x:c r="C1309" s="8" t="str">
        <x:v>Port Moody</x:v>
      </x:c>
      <x:c r="D1309" s="8" t="str">
        <x:v>Total TCA</x:v>
      </x:c>
      <x:c r="E1309" s="11" t="n">
        <x:v>926168392</x:v>
      </x:c>
      <x:c r="F1309" s="11" t="n">
        <x:v>186312443</x:v>
      </x:c>
      <x:c r="G1309" s="11" t="n">
        <x:v>739855949</x:v>
      </x:c>
      <x:c r="H1309" s="11" t="n">
        <x:v>29929882</x:v>
      </x:c>
      <x:c r="I1309" s="11" t="n">
        <x:v>1442169698</x:v>
      </x:c>
      <x:c r="J1309" s="11" t="n">
        <x:v>21291988</x:v>
      </x:c>
      <x:c r="K1309" s="12" t="n">
        <x:v>0.7988352392401662</x:v>
      </x:c>
      <x:c r="L1309" s="12" t="n">
        <x:v>0.9852361424390432</x:v>
      </x:c>
      <x:c r="M1309" s="8"/>
    </x:row>
    <x:row r="1310">
      <x:c r="A1310" s="8" t="str">
        <x:v>Pouce Coupe|Land</x:v>
      </x:c>
      <x:c r="B1310" s="8" t="str">
        <x:v>pouce-coupe-v</x:v>
      </x:c>
      <x:c r="C1310" s="8" t="str">
        <x:v>Pouce Coupe</x:v>
      </x:c>
      <x:c r="D1310" s="8" t="str">
        <x:v>Land</x:v>
      </x:c>
      <x:c r="E1310" s="11" t="n">
        <x:v>867983</x:v>
      </x:c>
      <x:c r="F1310" s="11"/>
      <x:c r="G1310" s="11" t="n">
        <x:v>867983</x:v>
      </x:c>
      <x:c r="H1310" s="11" t="n">
        <x:v>0</x:v>
      </x:c>
      <x:c r="I1310" s="11" t="n">
        <x:v>867983</x:v>
      </x:c>
      <x:c r="J1310" s="11"/>
      <x:c r="K1310" s="12" t="n">
        <x:v>1</x:v>
      </x:c>
      <x:c r="L1310" s="12"/>
      <x:c r="M1310" s="8" t="str">
        <x:v>N/A</x:v>
      </x:c>
    </x:row>
    <x:row r="1311">
      <x:c r="A1311" s="8" t="str">
        <x:v>Pouce Coupe|Buildings</x:v>
      </x:c>
      <x:c r="B1311" s="8" t="str">
        <x:v>pouce-coupe-v</x:v>
      </x:c>
      <x:c r="C1311" s="8" t="str">
        <x:v>Pouce Coupe</x:v>
      </x:c>
      <x:c r="D1311" s="8" t="str">
        <x:v>Buildings</x:v>
      </x:c>
      <x:c r="E1311" s="11" t="n">
        <x:v>5266765</x:v>
      </x:c>
      <x:c r="F1311" s="11" t="n">
        <x:v>2185350</x:v>
      </x:c>
      <x:c r="G1311" s="11" t="n">
        <x:v>3081415</x:v>
      </x:c>
      <x:c r="H1311" s="11" t="n">
        <x:v>0</x:v>
      </x:c>
      <x:c r="I1311" s="11" t="n">
        <x:v>6667602</x:v>
      </x:c>
      <x:c r="J1311" s="11" t="n">
        <x:v>133352</x:v>
      </x:c>
      <x:c r="K1311" s="12" t="n">
        <x:v>0.5850678737327373</x:v>
      </x:c>
      <x:c r="L1311" s="12" t="n">
        <x:v>0.9800000059991583</x:v>
      </x:c>
      <x:c r="M1311" s="8" t="str">
        <x:v>In_Progress</x:v>
      </x:c>
    </x:row>
    <x:row r="1312">
      <x:c r="A1312" s="8" t="str">
        <x:v>Pouce Coupe|Fleet</x:v>
      </x:c>
      <x:c r="B1312" s="8" t="str">
        <x:v>pouce-coupe-v</x:v>
      </x:c>
      <x:c r="C1312" s="8" t="str">
        <x:v>Pouce Coupe</x:v>
      </x:c>
      <x:c r="D1312" s="8" t="str">
        <x:v>Fleet</x:v>
      </x:c>
      <x:c r="E1312" s="11" t="n">
        <x:v>3437589</x:v>
      </x:c>
      <x:c r="F1312" s="11" t="n">
        <x:v>2220279</x:v>
      </x:c>
      <x:c r="G1312" s="11" t="n">
        <x:v>1217310</x:v>
      </x:c>
      <x:c r="H1312" s="11" t="n">
        <x:v>231174</x:v>
      </x:c>
      <x:c r="I1312" s="11" t="n">
        <x:v>4194068</x:v>
      </x:c>
      <x:c r="J1312" s="11" t="n">
        <x:v>252772</x:v>
      </x:c>
      <x:c r="K1312" s="12" t="n">
        <x:v>0.35411737703372914</x:v>
      </x:c>
      <x:c r="L1312" s="12" t="n">
        <x:v>0.9397310677843087</x:v>
      </x:c>
      <x:c r="M1312" s="8" t="str">
        <x:v>In_Progress</x:v>
      </x:c>
    </x:row>
    <x:row r="1313">
      <x:c r="A1313" s="8" t="str">
        <x:v>Pouce Coupe|Parks and Recreation</x:v>
      </x:c>
      <x:c r="B1313" s="8" t="str">
        <x:v>pouce-coupe-v</x:v>
      </x:c>
      <x:c r="C1313" s="8" t="str">
        <x:v>Pouce Coupe</x:v>
      </x:c>
      <x:c r="D1313" s="8" t="str">
        <x:v>Parks and Recreation</x:v>
      </x:c>
      <x:c r="E1313" s="11" t="n">
        <x:v>3222545</x:v>
      </x:c>
      <x:c r="F1313" s="11" t="n">
        <x:v>608445</x:v>
      </x:c>
      <x:c r="G1313" s="11" t="n">
        <x:v>2614100</x:v>
      </x:c>
      <x:c r="H1313" s="11" t="n">
        <x:v>1431310</x:v>
      </x:c>
      <x:c r="I1313" s="11" t="n">
        <x:v>1835523</x:v>
      </x:c>
      <x:c r="J1313" s="11" t="n">
        <x:v>122369</x:v>
      </x:c>
      <x:c r="K1313" s="12" t="n">
        <x:v>0.8111911548170778</x:v>
      </x:c>
      <x:c r="L1313" s="12" t="n">
        <x:v>0.9333328974902521</x:v>
      </x:c>
      <x:c r="M1313" s="8" t="str">
        <x:v>In_Progress</x:v>
      </x:c>
    </x:row>
    <x:row r="1314">
      <x:c r="A1314" s="8" t="str">
        <x:v>Pouce Coupe|Water System</x:v>
      </x:c>
      <x:c r="B1314" s="8" t="str">
        <x:v>pouce-coupe-v</x:v>
      </x:c>
      <x:c r="C1314" s="8" t="str">
        <x:v>Pouce Coupe</x:v>
      </x:c>
      <x:c r="D1314" s="8" t="str">
        <x:v>Water System</x:v>
      </x:c>
      <x:c r="E1314" s="11" t="n">
        <x:v>2450473</x:v>
      </x:c>
      <x:c r="F1314" s="11" t="n">
        <x:v>983394</x:v>
      </x:c>
      <x:c r="G1314" s="11" t="n">
        <x:v>1467079</x:v>
      </x:c>
      <x:c r="H1314" s="11" t="n">
        <x:v>0</x:v>
      </x:c>
      <x:c r="I1314" s="11" t="n">
        <x:v>25125000</x:v>
      </x:c>
      <x:c r="J1314" s="11" t="n">
        <x:v>413000</x:v>
      </x:c>
      <x:c r="K1314" s="12" t="n">
        <x:v>0.5986921708584424</x:v>
      </x:c>
      <x:c r="L1314" s="12" t="n">
        <x:v>0.9835621890547264</x:v>
      </x:c>
      <x:c r="M1314" s="8" t="str">
        <x:v>In_Progress</x:v>
      </x:c>
    </x:row>
    <x:row r="1315">
      <x:c r="A1315" s="8" t="str">
        <x:v>Pouce Coupe|Sewer System</x:v>
      </x:c>
      <x:c r="B1315" s="8" t="str">
        <x:v>pouce-coupe-v</x:v>
      </x:c>
      <x:c r="C1315" s="8" t="str">
        <x:v>Pouce Coupe</x:v>
      </x:c>
      <x:c r="D1315" s="8" t="str">
        <x:v>Sewer System</x:v>
      </x:c>
      <x:c r="E1315" s="11" t="n">
        <x:v>2331208</x:v>
      </x:c>
      <x:c r="F1315" s="11" t="n">
        <x:v>790498</x:v>
      </x:c>
      <x:c r="G1315" s="11" t="n">
        <x:v>1540710</x:v>
      </x:c>
      <x:c r="H1315" s="11" t="n">
        <x:v>0</x:v>
      </x:c>
      <x:c r="I1315" s="11" t="n">
        <x:v>10183000</x:v>
      </x:c>
      <x:c r="J1315" s="11" t="n">
        <x:v>157000</x:v>
      </x:c>
      <x:c r="K1315" s="12" t="n">
        <x:v>0.660906276917375</x:v>
      </x:c>
      <x:c r="L1315" s="12" t="n">
        <x:v>0.9845821467151135</x:v>
      </x:c>
      <x:c r="M1315" s="8" t="str">
        <x:v>In_Progress</x:v>
      </x:c>
    </x:row>
    <x:row r="1316">
      <x:c r="A1316" s="8" t="str">
        <x:v>Pouce Coupe|Drainage System</x:v>
      </x:c>
      <x:c r="B1316" s="8" t="str">
        <x:v>pouce-coupe-v</x:v>
      </x:c>
      <x:c r="C1316" s="8" t="str">
        <x:v>Pouce Coupe</x:v>
      </x:c>
      <x:c r="D1316" s="8" t="str">
        <x:v>Drainage System</x:v>
      </x:c>
      <x:c r="E1316" s="11" t="n">
        <x:v>597562</x:v>
      </x:c>
      <x:c r="F1316" s="11" t="n">
        <x:v>86380</x:v>
      </x:c>
      <x:c r="G1316" s="11" t="n">
        <x:v>511182</x:v>
      </x:c>
      <x:c r="H1316" s="11" t="n">
        <x:v>221302</x:v>
      </x:c>
      <x:c r="I1316" s="11" t="n">
        <x:v>1603000</x:v>
      </x:c>
      <x:c r="J1316" s="11" t="n">
        <x:v>41000</x:v>
      </x:c>
      <x:c r="K1316" s="12" t="n">
        <x:v>0.8554459620926365</x:v>
      </x:c>
      <x:c r="L1316" s="12" t="n">
        <x:v>0.974422956955708</x:v>
      </x:c>
      <x:c r="M1316" s="8" t="str">
        <x:v>In_Progress</x:v>
      </x:c>
    </x:row>
    <x:row r="1317">
      <x:c r="A1317" s="8" t="str">
        <x:v>Pouce Coupe|Transportation System</x:v>
      </x:c>
      <x:c r="B1317" s="8" t="str">
        <x:v>pouce-coupe-v</x:v>
      </x:c>
      <x:c r="C1317" s="8" t="str">
        <x:v>Pouce Coupe</x:v>
      </x:c>
      <x:c r="D1317" s="8" t="str">
        <x:v>Transportation System</x:v>
      </x:c>
      <x:c r="E1317" s="11" t="n">
        <x:v>5433451</x:v>
      </x:c>
      <x:c r="F1317" s="11" t="n">
        <x:v>2991574</x:v>
      </x:c>
      <x:c r="G1317" s="11" t="n">
        <x:v>2441877</x:v>
      </x:c>
      <x:c r="H1317" s="11" t="n">
        <x:v>0</x:v>
      </x:c>
      <x:c r="I1317" s="11" t="n">
        <x:v>19554000</x:v>
      </x:c>
      <x:c r="J1317" s="11" t="n">
        <x:v>0</x:v>
      </x:c>
      <x:c r="K1317" s="12" t="n">
        <x:v>0.4494154819837337</x:v>
      </x:c>
      <x:c r="L1317" s="12" t="n">
        <x:v>1</x:v>
      </x:c>
      <x:c r="M1317" s="8" t="str">
        <x:v>In_Progress</x:v>
      </x:c>
    </x:row>
    <x:row r="1318">
      <x:c r="A1318" s="8" t="str">
        <x:v>Pouce Coupe|Other Engineering Systems</x:v>
      </x:c>
      <x:c r="B1318" s="8" t="str">
        <x:v>pouce-coupe-v</x:v>
      </x:c>
      <x:c r="C1318" s="8" t="str">
        <x:v>Pouce Coupe</x:v>
      </x:c>
      <x:c r="D1318" s="8" t="str">
        <x:v>Other Engineering Systems</x:v>
      </x:c>
      <x:c r="E1318" s="11" t="n">
        <x:v>0</x:v>
      </x:c>
      <x:c r="F1318" s="11" t="n">
        <x:v>0</x:v>
      </x:c>
      <x:c r="G1318" s="11" t="n">
        <x:v>0</x:v>
      </x:c>
      <x:c r="H1318" s="11" t="n">
        <x:v>0</x:v>
      </x:c>
      <x:c r="I1318" s="11" t="n">
        <x:v>0</x:v>
      </x:c>
      <x:c r="J1318" s="11" t="n">
        <x:v>0</x:v>
      </x:c>
      <x:c r="K1318" s="12"/>
      <x:c r="L1318" s="12"/>
      <x:c r="M1318" s="8"/>
    </x:row>
    <x:row r="1319">
      <x:c r="A1319" s="8" t="str">
        <x:v>Pouce Coupe|Other Tangible Capital Assets</x:v>
      </x:c>
      <x:c r="B1319" s="8" t="str">
        <x:v>pouce-coupe-v</x:v>
      </x:c>
      <x:c r="C1319" s="8" t="str">
        <x:v>Pouce Coupe</x:v>
      </x:c>
      <x:c r="D1319" s="8" t="str">
        <x:v>Other Tangible Capital Assets</x:v>
      </x:c>
      <x:c r="E1319" s="11" t="n">
        <x:v>0</x:v>
      </x:c>
      <x:c r="F1319" s="11" t="n">
        <x:v>0</x:v>
      </x:c>
      <x:c r="G1319" s="11" t="n">
        <x:v>0</x:v>
      </x:c>
      <x:c r="H1319" s="11" t="n">
        <x:v>0</x:v>
      </x:c>
      <x:c r="I1319" s="11" t="n">
        <x:v>0</x:v>
      </x:c>
      <x:c r="J1319" s="11" t="n">
        <x:v>0</x:v>
      </x:c>
      <x:c r="K1319" s="12"/>
      <x:c r="L1319" s="12"/>
      <x:c r="M1319" s="8" t="str">
        <x:v>N/A</x:v>
      </x:c>
    </x:row>
    <x:row r="1320">
      <x:c r="A1320" s="8" t="str">
        <x:v>Pouce Coupe|Work In Progress</x:v>
      </x:c>
      <x:c r="B1320" s="8" t="str">
        <x:v>pouce-coupe-v</x:v>
      </x:c>
      <x:c r="C1320" s="8" t="str">
        <x:v>Pouce Coupe</x:v>
      </x:c>
      <x:c r="D1320" s="8" t="str">
        <x:v>Work In Progress</x:v>
      </x:c>
      <x:c r="E1320" s="11" t="n">
        <x:v>0</x:v>
      </x:c>
      <x:c r="F1320" s="11"/>
      <x:c r="G1320" s="11" t="n">
        <x:v>0</x:v>
      </x:c>
      <x:c r="H1320" s="11" t="n">
        <x:v>0</x:v>
      </x:c>
      <x:c r="I1320" s="11" t="n">
        <x:v>0</x:v>
      </x:c>
      <x:c r="J1320" s="11"/>
      <x:c r="K1320" s="12"/>
      <x:c r="L1320" s="12"/>
      <x:c r="M1320" s="8" t="str">
        <x:v>N/A</x:v>
      </x:c>
    </x:row>
    <x:row r="1321">
      <x:c r="A1321" s="8" t="str">
        <x:v>Pouce Coupe|Total TCA</x:v>
      </x:c>
      <x:c r="B1321" s="8" t="str">
        <x:v>pouce-coupe-v</x:v>
      </x:c>
      <x:c r="C1321" s="8" t="str">
        <x:v>Pouce Coupe</x:v>
      </x:c>
      <x:c r="D1321" s="8" t="str">
        <x:v>Total TCA</x:v>
      </x:c>
      <x:c r="E1321" s="11" t="n">
        <x:v>23607576</x:v>
      </x:c>
      <x:c r="F1321" s="11" t="n">
        <x:v>9865920</x:v>
      </x:c>
      <x:c r="G1321" s="11" t="n">
        <x:v>13741656</x:v>
      </x:c>
      <x:c r="H1321" s="11" t="n">
        <x:v>1883786</x:v>
      </x:c>
      <x:c r="I1321" s="11" t="n">
        <x:v>70030176</x:v>
      </x:c>
      <x:c r="J1321" s="11" t="n">
        <x:v>1119493</x:v>
      </x:c>
      <x:c r="K1321" s="12" t="n">
        <x:v>0.5820866996255778</x:v>
      </x:c>
      <x:c r="L1321" s="12" t="n">
        <x:v>0.9840141341355475</x:v>
      </x:c>
      <x:c r="M1321" s="8"/>
    </x:row>
    <x:row r="1322">
      <x:c r="A1322" s="8" t="str">
        <x:v>Powell River|Land</x:v>
      </x:c>
      <x:c r="B1322" s="8" t="str">
        <x:v>powell-river-c</x:v>
      </x:c>
      <x:c r="C1322" s="8" t="str">
        <x:v>Powell River</x:v>
      </x:c>
      <x:c r="D1322" s="8" t="str">
        <x:v>Land</x:v>
      </x:c>
      <x:c r="E1322" s="11" t="n">
        <x:v>17323585</x:v>
      </x:c>
      <x:c r="F1322" s="11"/>
      <x:c r="G1322" s="11" t="n">
        <x:v>17323585</x:v>
      </x:c>
      <x:c r="H1322" s="11" t="n">
        <x:v>858199</x:v>
      </x:c>
      <x:c r="I1322" s="11" t="n">
        <x:v>17323585</x:v>
      </x:c>
      <x:c r="J1322" s="11"/>
      <x:c r="K1322" s="12" t="n">
        <x:v>1</x:v>
      </x:c>
      <x:c r="L1322" s="12"/>
      <x:c r="M1322" s="8" t="str">
        <x:v>N/A</x:v>
      </x:c>
    </x:row>
    <x:row r="1323">
      <x:c r="A1323" s="8" t="str">
        <x:v>Powell River|Buildings</x:v>
      </x:c>
      <x:c r="B1323" s="8" t="str">
        <x:v>powell-river-c</x:v>
      </x:c>
      <x:c r="C1323" s="8" t="str">
        <x:v>Powell River</x:v>
      </x:c>
      <x:c r="D1323" s="8" t="str">
        <x:v>Buildings</x:v>
      </x:c>
      <x:c r="E1323" s="11" t="n">
        <x:v>44097549</x:v>
      </x:c>
      <x:c r="F1323" s="11" t="n">
        <x:v>27385025</x:v>
      </x:c>
      <x:c r="G1323" s="11" t="n">
        <x:v>16712524</x:v>
      </x:c>
      <x:c r="H1323" s="11" t="n">
        <x:v>233072</x:v>
      </x:c>
      <x:c r="I1323" s="11" t="n">
        <x:v>139170515</x:v>
      </x:c>
      <x:c r="J1323" s="11" t="n">
        <x:v>2511804</x:v>
      </x:c>
      <x:c r="K1323" s="12" t="n">
        <x:v>0.3789898617721361</x:v>
      </x:c>
      <x:c r="L1323" s="12" t="n">
        <x:v>0.9819516080687062</x:v>
      </x:c>
      <x:c r="M1323" s="8" t="str">
        <x:v>Yes</x:v>
      </x:c>
    </x:row>
    <x:row r="1324">
      <x:c r="A1324" s="8" t="str">
        <x:v>Powell River|Fleet</x:v>
      </x:c>
      <x:c r="B1324" s="8" t="str">
        <x:v>powell-river-c</x:v>
      </x:c>
      <x:c r="C1324" s="8" t="str">
        <x:v>Powell River</x:v>
      </x:c>
      <x:c r="D1324" s="8" t="str">
        <x:v>Fleet</x:v>
      </x:c>
      <x:c r="E1324" s="11" t="n">
        <x:v>9515631</x:v>
      </x:c>
      <x:c r="F1324" s="11" t="n">
        <x:v>5394385</x:v>
      </x:c>
      <x:c r="G1324" s="11" t="n">
        <x:v>4121246</x:v>
      </x:c>
      <x:c r="H1324" s="11" t="n">
        <x:v>1368885</x:v>
      </x:c>
      <x:c r="I1324" s="11" t="n">
        <x:v>11435917</x:v>
      </x:c>
      <x:c r="J1324" s="11" t="n">
        <x:v>783656</x:v>
      </x:c>
      <x:c r="K1324" s="12" t="n">
        <x:v>0.43310275482519234</x:v>
      </x:c>
      <x:c r="L1324" s="12" t="n">
        <x:v>0.9314741441372826</x:v>
      </x:c>
      <x:c r="M1324" s="8" t="str">
        <x:v>Yes</x:v>
      </x:c>
    </x:row>
    <x:row r="1325">
      <x:c r="A1325" s="8" t="str">
        <x:v>Powell River|Parks and Recreation</x:v>
      </x:c>
      <x:c r="B1325" s="8" t="str">
        <x:v>powell-river-c</x:v>
      </x:c>
      <x:c r="C1325" s="8" t="str">
        <x:v>Powell River</x:v>
      </x:c>
      <x:c r="D1325" s="8" t="str">
        <x:v>Parks and Recreation</x:v>
      </x:c>
      <x:c r="E1325" s="11" t="n">
        <x:v>5079545</x:v>
      </x:c>
      <x:c r="F1325" s="11" t="n">
        <x:v>2765807</x:v>
      </x:c>
      <x:c r="G1325" s="11" t="n">
        <x:v>2313738</x:v>
      </x:c>
      <x:c r="H1325" s="11" t="n">
        <x:v>138202</x:v>
      </x:c>
      <x:c r="I1325" s="11" t="n">
        <x:v>7793576</x:v>
      </x:c>
      <x:c r="J1325" s="11" t="n">
        <x:v>284962</x:v>
      </x:c>
      <x:c r="K1325" s="12" t="n">
        <x:v>0.45550103404930953</x:v>
      </x:c>
      <x:c r="L1325" s="12" t="n">
        <x:v>0.9634362967654386</x:v>
      </x:c>
      <x:c r="M1325" s="8" t="str">
        <x:v>Yes</x:v>
      </x:c>
    </x:row>
    <x:row r="1326">
      <x:c r="A1326" s="8" t="str">
        <x:v>Powell River|Water System</x:v>
      </x:c>
      <x:c r="B1326" s="8" t="str">
        <x:v>powell-river-c</x:v>
      </x:c>
      <x:c r="C1326" s="8" t="str">
        <x:v>Powell River</x:v>
      </x:c>
      <x:c r="D1326" s="8" t="str">
        <x:v>Water System</x:v>
      </x:c>
      <x:c r="E1326" s="11" t="n">
        <x:v>33444655</x:v>
      </x:c>
      <x:c r="F1326" s="11" t="n">
        <x:v>11234498</x:v>
      </x:c>
      <x:c r="G1326" s="11" t="n">
        <x:v>22210157</x:v>
      </x:c>
      <x:c r="H1326" s="11" t="n">
        <x:v>1327440</x:v>
      </x:c>
      <x:c r="I1326" s="11" t="n">
        <x:v>99623133</x:v>
      </x:c>
      <x:c r="J1326" s="11" t="n">
        <x:v>1433889</x:v>
      </x:c>
      <x:c r="K1326" s="12" t="n">
        <x:v>0.6640868922104295</x:v>
      </x:c>
      <x:c r="L1326" s="12" t="n">
        <x:v>0.9856068670315759</x:v>
      </x:c>
      <x:c r="M1326" s="8" t="str">
        <x:v>Yes</x:v>
      </x:c>
    </x:row>
    <x:row r="1327">
      <x:c r="A1327" s="8" t="str">
        <x:v>Powell River|Sewer System</x:v>
      </x:c>
      <x:c r="B1327" s="8" t="str">
        <x:v>powell-river-c</x:v>
      </x:c>
      <x:c r="C1327" s="8" t="str">
        <x:v>Powell River</x:v>
      </x:c>
      <x:c r="D1327" s="8" t="str">
        <x:v>Sewer System</x:v>
      </x:c>
      <x:c r="E1327" s="11" t="n">
        <x:v>107385081</x:v>
      </x:c>
      <x:c r="F1327" s="11" t="n">
        <x:v>11008427</x:v>
      </x:c>
      <x:c r="G1327" s="11" t="n">
        <x:v>96376654</x:v>
      </x:c>
      <x:c r="H1327" s="11" t="n">
        <x:v>508473</x:v>
      </x:c>
      <x:c r="I1327" s="11" t="n">
        <x:v>132627653</x:v>
      </x:c>
      <x:c r="J1327" s="11" t="n">
        <x:v>2686023</x:v>
      </x:c>
      <x:c r="K1327" s="12" t="n">
        <x:v>0.8974864394803594</x:v>
      </x:c>
      <x:c r="L1327" s="12" t="n">
        <x:v>0.979747639807816</x:v>
      </x:c>
      <x:c r="M1327" s="8" t="str">
        <x:v>Yes</x:v>
      </x:c>
    </x:row>
    <x:row r="1328">
      <x:c r="A1328" s="8" t="str">
        <x:v>Powell River|Drainage System</x:v>
      </x:c>
      <x:c r="B1328" s="8" t="str">
        <x:v>powell-river-c</x:v>
      </x:c>
      <x:c r="C1328" s="8" t="str">
        <x:v>Powell River</x:v>
      </x:c>
      <x:c r="D1328" s="8" t="str">
        <x:v>Drainage System</x:v>
      </x:c>
      <x:c r="E1328" s="11" t="n">
        <x:v>13244907</x:v>
      </x:c>
      <x:c r="F1328" s="11" t="n">
        <x:v>5133871</x:v>
      </x:c>
      <x:c r="G1328" s="11" t="n">
        <x:v>8111036</x:v>
      </x:c>
      <x:c r="H1328" s="11" t="n">
        <x:v>490191</x:v>
      </x:c>
      <x:c r="I1328" s="11" t="n">
        <x:v>87487544</x:v>
      </x:c>
      <x:c r="J1328" s="11" t="n">
        <x:v>948658</x:v>
      </x:c>
      <x:c r="K1328" s="12" t="n">
        <x:v>0.6123890488623287</x:v>
      </x:c>
      <x:c r="L1328" s="12" t="n">
        <x:v>0.9891566506884683</x:v>
      </x:c>
      <x:c r="M1328" s="8" t="str">
        <x:v>Yes</x:v>
      </x:c>
    </x:row>
    <x:row r="1329">
      <x:c r="A1329" s="8" t="str">
        <x:v>Powell River|Transportation System</x:v>
      </x:c>
      <x:c r="B1329" s="8" t="str">
        <x:v>powell-river-c</x:v>
      </x:c>
      <x:c r="C1329" s="8" t="str">
        <x:v>Powell River</x:v>
      </x:c>
      <x:c r="D1329" s="8" t="str">
        <x:v>Transportation System</x:v>
      </x:c>
      <x:c r="E1329" s="11" t="n">
        <x:v>48203666</x:v>
      </x:c>
      <x:c r="F1329" s="11" t="n">
        <x:v>26681132</x:v>
      </x:c>
      <x:c r="G1329" s="11" t="n">
        <x:v>21522534</x:v>
      </x:c>
      <x:c r="H1329" s="11" t="n">
        <x:v>3036951</x:v>
      </x:c>
      <x:c r="I1329" s="11" t="n">
        <x:v>69817362</x:v>
      </x:c>
      <x:c r="J1329" s="11" t="n">
        <x:v>1074548</x:v>
      </x:c>
      <x:c r="K1329" s="12" t="n">
        <x:v>0.44649164235765804</x:v>
      </x:c>
      <x:c r="L1329" s="12" t="n">
        <x:v>0.984609157819512</x:v>
      </x:c>
      <x:c r="M1329" s="8" t="str">
        <x:v>Yes</x:v>
      </x:c>
    </x:row>
    <x:row r="1330">
      <x:c r="A1330" s="8" t="str">
        <x:v>Powell River|Other Engineering Systems</x:v>
      </x:c>
      <x:c r="B1330" s="8" t="str">
        <x:v>powell-river-c</x:v>
      </x:c>
      <x:c r="C1330" s="8" t="str">
        <x:v>Powell River</x:v>
      </x:c>
      <x:c r="D1330" s="8" t="str">
        <x:v>Other Engineering Systems</x:v>
      </x:c>
      <x:c r="E1330" s="11" t="n">
        <x:v>0</x:v>
      </x:c>
      <x:c r="F1330" s="11" t="n">
        <x:v>0</x:v>
      </x:c>
      <x:c r="G1330" s="11" t="n">
        <x:v>0</x:v>
      </x:c>
      <x:c r="H1330" s="11" t="n">
        <x:v>0</x:v>
      </x:c>
      <x:c r="I1330" s="11" t="n">
        <x:v>0</x:v>
      </x:c>
      <x:c r="J1330" s="11" t="n">
        <x:v>0</x:v>
      </x:c>
      <x:c r="K1330" s="12"/>
      <x:c r="L1330" s="12"/>
      <x:c r="M1330" s="8"/>
    </x:row>
    <x:row r="1331">
      <x:c r="A1331" s="8" t="str">
        <x:v>Powell River|Other Tangible Capital Assets</x:v>
      </x:c>
      <x:c r="B1331" s="8" t="str">
        <x:v>powell-river-c</x:v>
      </x:c>
      <x:c r="C1331" s="8" t="str">
        <x:v>Powell River</x:v>
      </x:c>
      <x:c r="D1331" s="8" t="str">
        <x:v>Other Tangible Capital Assets</x:v>
      </x:c>
      <x:c r="E1331" s="11" t="n">
        <x:v>38083323</x:v>
      </x:c>
      <x:c r="F1331" s="11" t="n">
        <x:v>11616664</x:v>
      </x:c>
      <x:c r="G1331" s="11" t="n">
        <x:v>26466659</x:v>
      </x:c>
      <x:c r="H1331" s="11" t="n">
        <x:v>7745468</x:v>
      </x:c>
      <x:c r="I1331" s="11" t="n">
        <x:v>54431550</x:v>
      </x:c>
      <x:c r="J1331" s="11" t="n">
        <x:v>1696695</x:v>
      </x:c>
      <x:c r="K1331" s="12" t="n">
        <x:v>0.6949671644987492</x:v>
      </x:c>
      <x:c r="L1331" s="12" t="n">
        <x:v>0.9688288318080231</x:v>
      </x:c>
      <x:c r="M1331" s="8" t="str">
        <x:v>N/A</x:v>
      </x:c>
    </x:row>
    <x:row r="1332">
      <x:c r="A1332" s="8" t="str">
        <x:v>Powell River|Work In Progress</x:v>
      </x:c>
      <x:c r="B1332" s="8" t="str">
        <x:v>powell-river-c</x:v>
      </x:c>
      <x:c r="C1332" s="8" t="str">
        <x:v>Powell River</x:v>
      </x:c>
      <x:c r="D1332" s="8" t="str">
        <x:v>Work In Progress</x:v>
      </x:c>
      <x:c r="E1332" s="11" t="n">
        <x:v>643089</x:v>
      </x:c>
      <x:c r="F1332" s="11"/>
      <x:c r="G1332" s="11" t="n">
        <x:v>643089</x:v>
      </x:c>
      <x:c r="H1332" s="11" t="n">
        <x:v>-1750035</x:v>
      </x:c>
      <x:c r="I1332" s="11" t="n">
        <x:v>643089</x:v>
      </x:c>
      <x:c r="J1332" s="11"/>
      <x:c r="K1332" s="12" t="n">
        <x:v>1</x:v>
      </x:c>
      <x:c r="L1332" s="12"/>
      <x:c r="M1332" s="8" t="str">
        <x:v>N/A</x:v>
      </x:c>
    </x:row>
    <x:row r="1333">
      <x:c r="A1333" s="8" t="str">
        <x:v>Powell River|Total TCA</x:v>
      </x:c>
      <x:c r="B1333" s="8" t="str">
        <x:v>powell-river-c</x:v>
      </x:c>
      <x:c r="C1333" s="8" t="str">
        <x:v>Powell River</x:v>
      </x:c>
      <x:c r="D1333" s="8" t="str">
        <x:v>Total TCA</x:v>
      </x:c>
      <x:c r="E1333" s="11" t="n">
        <x:v>317021031</x:v>
      </x:c>
      <x:c r="F1333" s="11" t="n">
        <x:v>101219809</x:v>
      </x:c>
      <x:c r="G1333" s="11" t="n">
        <x:v>215801222</x:v>
      </x:c>
      <x:c r="H1333" s="11" t="n">
        <x:v>13956846</x:v>
      </x:c>
      <x:c r="I1333" s="11" t="n">
        <x:v>620353924</x:v>
      </x:c>
      <x:c r="J1333" s="11" t="n">
        <x:v>11420235</x:v>
      </x:c>
      <x:c r="K1333" s="12" t="n">
        <x:v>0.6807157913759987</x:v>
      </x:c>
      <x:c r="L1333" s="12" t="n">
        <x:v>0.9815907749460774</x:v>
      </x:c>
      <x:c r="M1333" s="8"/>
    </x:row>
    <x:row r="1334">
      <x:c r="A1334" s="8" t="str">
        <x:v>Prince George|Land</x:v>
      </x:c>
      <x:c r="B1334" s="8" t="str">
        <x:v>prince-george-c</x:v>
      </x:c>
      <x:c r="C1334" s="8" t="str">
        <x:v>Prince George</x:v>
      </x:c>
      <x:c r="D1334" s="8" t="str">
        <x:v>Land</x:v>
      </x:c>
      <x:c r="E1334" s="11" t="n">
        <x:v>109557000</x:v>
      </x:c>
      <x:c r="F1334" s="11"/>
      <x:c r="G1334" s="11" t="n">
        <x:v>109557000</x:v>
      </x:c>
      <x:c r="H1334" s="11" t="n">
        <x:v>2349000</x:v>
      </x:c>
      <x:c r="I1334" s="11" t="n">
        <x:v>109557000</x:v>
      </x:c>
      <x:c r="J1334" s="11"/>
      <x:c r="K1334" s="12" t="n">
        <x:v>1</x:v>
      </x:c>
      <x:c r="L1334" s="12"/>
      <x:c r="M1334" s="8" t="str">
        <x:v>N/A</x:v>
      </x:c>
    </x:row>
    <x:row r="1335">
      <x:c r="A1335" s="8" t="str">
        <x:v>Prince George|Buildings</x:v>
      </x:c>
      <x:c r="B1335" s="8" t="str">
        <x:v>prince-george-c</x:v>
      </x:c>
      <x:c r="C1335" s="8" t="str">
        <x:v>Prince George</x:v>
      </x:c>
      <x:c r="D1335" s="8" t="str">
        <x:v>Buildings</x:v>
      </x:c>
      <x:c r="E1335" s="11" t="n">
        <x:v>330662000</x:v>
      </x:c>
      <x:c r="F1335" s="11" t="n">
        <x:v>178148000</x:v>
      </x:c>
      <x:c r="G1335" s="11" t="n">
        <x:v>152514000</x:v>
      </x:c>
      <x:c r="H1335" s="11" t="n">
        <x:v>6845000</x:v>
      </x:c>
      <x:c r="I1335" s="11" t="n">
        <x:v>755368000</x:v>
      </x:c>
      <x:c r="J1335" s="11" t="n">
        <x:v>17566698</x:v>
      </x:c>
      <x:c r="K1335" s="12" t="n">
        <x:v>0.46123836425110837</x:v>
      </x:c>
      <x:c r="L1335" s="12" t="n">
        <x:v>0.976744185615488</x:v>
      </x:c>
      <x:c r="M1335" s="8" t="str">
        <x:v>In_Progress</x:v>
      </x:c>
    </x:row>
    <x:row r="1336">
      <x:c r="A1336" s="8" t="str">
        <x:v>Prince George|Fleet</x:v>
      </x:c>
      <x:c r="B1336" s="8" t="str">
        <x:v>prince-george-c</x:v>
      </x:c>
      <x:c r="C1336" s="8" t="str">
        <x:v>Prince George</x:v>
      </x:c>
      <x:c r="D1336" s="8" t="str">
        <x:v>Fleet</x:v>
      </x:c>
      <x:c r="E1336" s="11" t="n">
        <x:v>36975000</x:v>
      </x:c>
      <x:c r="F1336" s="11" t="n">
        <x:v>18762000</x:v>
      </x:c>
      <x:c r="G1336" s="11" t="n">
        <x:v>18213000</x:v>
      </x:c>
      <x:c r="H1336" s="11" t="n">
        <x:v>3976000</x:v>
      </x:c>
      <x:c r="I1336" s="11" t="n">
        <x:v>45430000</x:v>
      </x:c>
      <x:c r="J1336" s="11" t="n">
        <x:v>4543000</x:v>
      </x:c>
      <x:c r="K1336" s="12" t="n">
        <x:v>0.49257606490872213</x:v>
      </x:c>
      <x:c r="L1336" s="12" t="n">
        <x:v>0.9</x:v>
      </x:c>
      <x:c r="M1336" s="8" t="str">
        <x:v>No</x:v>
      </x:c>
    </x:row>
    <x:row r="1337">
      <x:c r="A1337" s="8" t="str">
        <x:v>Prince George|Parks and Recreation</x:v>
      </x:c>
      <x:c r="B1337" s="8" t="str">
        <x:v>prince-george-c</x:v>
      </x:c>
      <x:c r="C1337" s="8" t="str">
        <x:v>Prince George</x:v>
      </x:c>
      <x:c r="D1337" s="8" t="str">
        <x:v>Parks and Recreation</x:v>
      </x:c>
      <x:c r="E1337" s="11" t="n">
        <x:v>53798000</x:v>
      </x:c>
      <x:c r="F1337" s="11" t="n">
        <x:v>23648000</x:v>
      </x:c>
      <x:c r="G1337" s="11" t="n">
        <x:v>30150000</x:v>
      </x:c>
      <x:c r="H1337" s="11" t="n">
        <x:v>1707000</x:v>
      </x:c>
      <x:c r="I1337" s="11" t="n">
        <x:v>100119000</x:v>
      </x:c>
      <x:c r="J1337" s="11" t="n">
        <x:v>3128719</x:v>
      </x:c>
      <x:c r="K1337" s="12" t="n">
        <x:v>0.560429755753002</x:v>
      </x:c>
      <x:c r="L1337" s="12" t="n">
        <x:v>0.9687499975029714</x:v>
      </x:c>
      <x:c r="M1337" s="8" t="str">
        <x:v>In_Progress</x:v>
      </x:c>
    </x:row>
    <x:row r="1338">
      <x:c r="A1338" s="8" t="str">
        <x:v>Prince George|Water System</x:v>
      </x:c>
      <x:c r="B1338" s="8" t="str">
        <x:v>prince-george-c</x:v>
      </x:c>
      <x:c r="C1338" s="8" t="str">
        <x:v>Prince George</x:v>
      </x:c>
      <x:c r="D1338" s="8" t="str">
        <x:v>Water System</x:v>
      </x:c>
      <x:c r="E1338" s="11" t="n">
        <x:v>207729000</x:v>
      </x:c>
      <x:c r="F1338" s="11" t="n">
        <x:v>71961000</x:v>
      </x:c>
      <x:c r="G1338" s="11" t="n">
        <x:v>135768000</x:v>
      </x:c>
      <x:c r="H1338" s="11" t="n">
        <x:v>5873000</x:v>
      </x:c>
      <x:c r="I1338" s="11" t="n">
        <x:v>1430662000</x:v>
      </x:c>
      <x:c r="J1338" s="11" t="n">
        <x:v>18689105</x:v>
      </x:c>
      <x:c r="K1338" s="12" t="n">
        <x:v>0.6535823115694005</x:v>
      </x:c>
      <x:c r="L1338" s="12" t="n">
        <x:v>0.9869367432698988</x:v>
      </x:c>
      <x:c r="M1338" s="8" t="str">
        <x:v>In_Progress</x:v>
      </x:c>
    </x:row>
    <x:row r="1339">
      <x:c r="A1339" s="8" t="str">
        <x:v>Prince George|Sewer System</x:v>
      </x:c>
      <x:c r="B1339" s="8" t="str">
        <x:v>prince-george-c</x:v>
      </x:c>
      <x:c r="C1339" s="8" t="str">
        <x:v>Prince George</x:v>
      </x:c>
      <x:c r="D1339" s="8" t="str">
        <x:v>Sewer System</x:v>
      </x:c>
      <x:c r="E1339" s="11" t="n">
        <x:v>153713000</x:v>
      </x:c>
      <x:c r="F1339" s="11" t="n">
        <x:v>66857000</x:v>
      </x:c>
      <x:c r="G1339" s="11" t="n">
        <x:v>86856000</x:v>
      </x:c>
      <x:c r="H1339" s="11" t="n">
        <x:v>3409000</x:v>
      </x:c>
      <x:c r="I1339" s="11" t="n">
        <x:v>996969000</x:v>
      </x:c>
      <x:c r="J1339" s="11" t="n">
        <x:v>11236382</x:v>
      </x:c>
      <x:c r="K1339" s="12" t="n">
        <x:v>0.565053053417733</x:v>
      </x:c>
      <x:c r="L1339" s="12" t="n">
        <x:v>0.9887294569841188</x:v>
      </x:c>
      <x:c r="M1339" s="8" t="str">
        <x:v>In_Progress</x:v>
      </x:c>
    </x:row>
    <x:row r="1340">
      <x:c r="A1340" s="8" t="str">
        <x:v>Prince George|Drainage System</x:v>
      </x:c>
      <x:c r="B1340" s="8" t="str">
        <x:v>prince-george-c</x:v>
      </x:c>
      <x:c r="C1340" s="8" t="str">
        <x:v>Prince George</x:v>
      </x:c>
      <x:c r="D1340" s="8" t="str">
        <x:v>Drainage System</x:v>
      </x:c>
      <x:c r="E1340" s="11" t="n">
        <x:v>95284000</x:v>
      </x:c>
      <x:c r="F1340" s="11" t="n">
        <x:v>24644000</x:v>
      </x:c>
      <x:c r="G1340" s="11" t="n">
        <x:v>70640000</x:v>
      </x:c>
      <x:c r="H1340" s="11" t="n">
        <x:v>3104000</x:v>
      </x:c>
      <x:c r="I1340" s="11" t="n">
        <x:v>683518000</x:v>
      </x:c>
      <x:c r="J1340" s="11" t="n">
        <x:v>6701157</x:v>
      </x:c>
      <x:c r="K1340" s="12" t="n">
        <x:v>0.7413626631963394</x:v>
      </x:c>
      <x:c r="L1340" s="12" t="n">
        <x:v>0.990196078230566</x:v>
      </x:c>
      <x:c r="M1340" s="8" t="str">
        <x:v>Yes</x:v>
      </x:c>
    </x:row>
    <x:row r="1341">
      <x:c r="A1341" s="8" t="str">
        <x:v>Prince George|Transportation System</x:v>
      </x:c>
      <x:c r="B1341" s="8" t="str">
        <x:v>prince-george-c</x:v>
      </x:c>
      <x:c r="C1341" s="8" t="str">
        <x:v>Prince George</x:v>
      </x:c>
      <x:c r="D1341" s="8" t="str">
        <x:v>Transportation System</x:v>
      </x:c>
      <x:c r="E1341" s="11" t="n">
        <x:v>371654000</x:v>
      </x:c>
      <x:c r="F1341" s="11" t="n">
        <x:v>189486000</x:v>
      </x:c>
      <x:c r="G1341" s="11" t="n">
        <x:v>182168000</x:v>
      </x:c>
      <x:c r="H1341" s="11" t="n">
        <x:v>12780000</x:v>
      </x:c>
      <x:c r="I1341" s="11" t="n">
        <x:v>1027713000</x:v>
      </x:c>
      <x:c r="J1341" s="11" t="n">
        <x:v>26754948</x:v>
      </x:c>
      <x:c r="K1341" s="12" t="n">
        <x:v>0.49015482141992284</x:v>
      </x:c>
      <x:c r="L1341" s="12" t="n">
        <x:v>0.9739665178897221</x:v>
      </x:c>
      <x:c r="M1341" s="8" t="str">
        <x:v>In_Progress</x:v>
      </x:c>
    </x:row>
    <x:row r="1342">
      <x:c r="A1342" s="8" t="str">
        <x:v>Prince George|Other Engineering Systems</x:v>
      </x:c>
      <x:c r="B1342" s="8" t="str">
        <x:v>prince-george-c</x:v>
      </x:c>
      <x:c r="C1342" s="8" t="str">
        <x:v>Prince George</x:v>
      </x:c>
      <x:c r="D1342" s="8" t="str">
        <x:v>Other Engineering Systems</x:v>
      </x:c>
      <x:c r="E1342" s="11" t="n">
        <x:v>20188000</x:v>
      </x:c>
      <x:c r="F1342" s="11" t="n">
        <x:v>7413000</x:v>
      </x:c>
      <x:c r="G1342" s="11" t="n">
        <x:v>12775000</x:v>
      </x:c>
      <x:c r="H1342" s="11" t="n">
        <x:v>0</x:v>
      </x:c>
      <x:c r="I1342" s="11" t="n">
        <x:v>26359000</x:v>
      </x:c>
      <x:c r="J1342" s="11" t="n">
        <x:v>470696</x:v>
      </x:c>
      <x:c r="K1342" s="12" t="n">
        <x:v>0.6328016643550625</x:v>
      </x:c>
      <x:c r="L1342" s="12" t="n">
        <x:v>0.9821428734018741</x:v>
      </x:c>
      <x:c r="M1342" s="8" t="str">
        <x:v>No</x:v>
      </x:c>
    </x:row>
    <x:row r="1343">
      <x:c r="A1343" s="8" t="str">
        <x:v>Prince George|Other Tangible Capital Assets</x:v>
      </x:c>
      <x:c r="B1343" s="8" t="str">
        <x:v>prince-george-c</x:v>
      </x:c>
      <x:c r="C1343" s="8" t="str">
        <x:v>Prince George</x:v>
      </x:c>
      <x:c r="D1343" s="8" t="str">
        <x:v>Other Tangible Capital Assets</x:v>
      </x:c>
      <x:c r="E1343" s="11" t="n">
        <x:v>38638000</x:v>
      </x:c>
      <x:c r="F1343" s="11" t="n">
        <x:v>30018000</x:v>
      </x:c>
      <x:c r="G1343" s="11" t="n">
        <x:v>8620000</x:v>
      </x:c>
      <x:c r="H1343" s="11" t="n">
        <x:v>2299000</x:v>
      </x:c>
      <x:c r="I1343" s="11" t="n">
        <x:v>34262000</x:v>
      </x:c>
      <x:c r="J1343" s="11" t="n">
        <x:v>4894589</x:v>
      </x:c>
      <x:c r="K1343" s="12" t="n">
        <x:v>0.2230964335628138</x:v>
      </x:c>
      <x:c r="L1343" s="12" t="n">
        <x:v>0.8571423442881326</x:v>
      </x:c>
      <x:c r="M1343" s="8" t="str">
        <x:v>N/A</x:v>
      </x:c>
    </x:row>
    <x:row r="1344">
      <x:c r="A1344" s="8" t="str">
        <x:v>Prince George|Work In Progress</x:v>
      </x:c>
      <x:c r="B1344" s="8" t="str">
        <x:v>prince-george-c</x:v>
      </x:c>
      <x:c r="C1344" s="8" t="str">
        <x:v>Prince George</x:v>
      </x:c>
      <x:c r="D1344" s="8" t="str">
        <x:v>Work In Progress</x:v>
      </x:c>
      <x:c r="E1344" s="11" t="n">
        <x:v>26802000</x:v>
      </x:c>
      <x:c r="F1344" s="11"/>
      <x:c r="G1344" s="11" t="n">
        <x:v>26802000</x:v>
      </x:c>
      <x:c r="H1344" s="11" t="n">
        <x:v>14842000</x:v>
      </x:c>
      <x:c r="I1344" s="11" t="n">
        <x:v>26802000</x:v>
      </x:c>
      <x:c r="J1344" s="11"/>
      <x:c r="K1344" s="12" t="n">
        <x:v>1</x:v>
      </x:c>
      <x:c r="L1344" s="12"/>
      <x:c r="M1344" s="8" t="str">
        <x:v>N/A</x:v>
      </x:c>
    </x:row>
    <x:row r="1345">
      <x:c r="A1345" s="8" t="str">
        <x:v>Prince George|Total TCA</x:v>
      </x:c>
      <x:c r="B1345" s="8" t="str">
        <x:v>prince-george-c</x:v>
      </x:c>
      <x:c r="C1345" s="8" t="str">
        <x:v>Prince George</x:v>
      </x:c>
      <x:c r="D1345" s="8" t="str">
        <x:v>Total TCA</x:v>
      </x:c>
      <x:c r="E1345" s="11" t="n">
        <x:v>1445000000</x:v>
      </x:c>
      <x:c r="F1345" s="11" t="n">
        <x:v>610937000</x:v>
      </x:c>
      <x:c r="G1345" s="11" t="n">
        <x:v>834063000</x:v>
      </x:c>
      <x:c r="H1345" s="11" t="n">
        <x:v>57184000</x:v>
      </x:c>
      <x:c r="I1345" s="11" t="n">
        <x:v>5236759000</x:v>
      </x:c>
      <x:c r="J1345" s="11" t="n">
        <x:v>93985294</x:v>
      </x:c>
      <x:c r="K1345" s="12" t="n">
        <x:v>0.5772062283737024</x:v>
      </x:c>
      <x:c r="L1345" s="12" t="n">
        <x:v>0.9820527746264436</x:v>
      </x:c>
      <x:c r="M1345" s="8"/>
    </x:row>
    <x:row r="1346">
      <x:c r="A1346" s="8" t="str">
        <x:v>Prince Rupert|Land</x:v>
      </x:c>
      <x:c r="B1346" s="8" t="str">
        <x:v>prince-rupert-c</x:v>
      </x:c>
      <x:c r="C1346" s="8" t="str">
        <x:v>Prince Rupert</x:v>
      </x:c>
      <x:c r="D1346" s="8" t="str">
        <x:v>Land</x:v>
      </x:c>
      <x:c r="E1346" s="11" t="n">
        <x:v>19590789</x:v>
      </x:c>
      <x:c r="F1346" s="11"/>
      <x:c r="G1346" s="11" t="n">
        <x:v>19590789</x:v>
      </x:c>
      <x:c r="H1346" s="11" t="n">
        <x:v>8408495</x:v>
      </x:c>
      <x:c r="I1346" s="11" t="n">
        <x:v>19590789</x:v>
      </x:c>
      <x:c r="J1346" s="11"/>
      <x:c r="K1346" s="12" t="n">
        <x:v>1</x:v>
      </x:c>
      <x:c r="L1346" s="12"/>
      <x:c r="M1346" s="8" t="str">
        <x:v>N/A</x:v>
      </x:c>
    </x:row>
    <x:row r="1347">
      <x:c r="A1347" s="8" t="str">
        <x:v>Prince Rupert|Buildings</x:v>
      </x:c>
      <x:c r="B1347" s="8" t="str">
        <x:v>prince-rupert-c</x:v>
      </x:c>
      <x:c r="C1347" s="8" t="str">
        <x:v>Prince Rupert</x:v>
      </x:c>
      <x:c r="D1347" s="8" t="str">
        <x:v>Buildings</x:v>
      </x:c>
      <x:c r="E1347" s="11" t="n">
        <x:v>21892516</x:v>
      </x:c>
      <x:c r="F1347" s="11" t="n">
        <x:v>11240834</x:v>
      </x:c>
      <x:c r="G1347" s="11" t="n">
        <x:v>10651682</x:v>
      </x:c>
      <x:c r="H1347" s="11" t="n">
        <x:v>1072218</x:v>
      </x:c>
      <x:c r="I1347" s="11" t="n">
        <x:v>94353531</x:v>
      </x:c>
      <x:c r="J1347" s="11" t="n">
        <x:v>0</x:v>
      </x:c>
      <x:c r="K1347" s="12" t="n">
        <x:v>0.48654444285892035</x:v>
      </x:c>
      <x:c r="L1347" s="12" t="n">
        <x:v>1</x:v>
      </x:c>
      <x:c r="M1347" s="8" t="str">
        <x:v>No</x:v>
      </x:c>
    </x:row>
    <x:row r="1348">
      <x:c r="A1348" s="8" t="str">
        <x:v>Prince Rupert|Fleet</x:v>
      </x:c>
      <x:c r="B1348" s="8" t="str">
        <x:v>prince-rupert-c</x:v>
      </x:c>
      <x:c r="C1348" s="8" t="str">
        <x:v>Prince Rupert</x:v>
      </x:c>
      <x:c r="D1348" s="8" t="str">
        <x:v>Fleet</x:v>
      </x:c>
      <x:c r="E1348" s="11" t="n">
        <x:v>15763094</x:v>
      </x:c>
      <x:c r="F1348" s="11" t="n">
        <x:v>8839953</x:v>
      </x:c>
      <x:c r="G1348" s="11" t="n">
        <x:v>6923141</x:v>
      </x:c>
      <x:c r="H1348" s="11" t="n">
        <x:v>3449028</x:v>
      </x:c>
      <x:c r="I1348" s="11" t="n">
        <x:v>11425000</x:v>
      </x:c>
      <x:c r="J1348" s="11" t="n">
        <x:v>1113200</x:v>
      </x:c>
      <x:c r="K1348" s="12" t="n">
        <x:v>0.4391993729149874</x:v>
      </x:c>
      <x:c r="L1348" s="12" t="n">
        <x:v>0.9025645514223195</x:v>
      </x:c>
      <x:c r="M1348" s="8" t="str">
        <x:v>No</x:v>
      </x:c>
    </x:row>
    <x:row r="1349">
      <x:c r="A1349" s="8" t="str">
        <x:v>Prince Rupert|Parks and Recreation</x:v>
      </x:c>
      <x:c r="B1349" s="8" t="str">
        <x:v>prince-rupert-c</x:v>
      </x:c>
      <x:c r="C1349" s="8" t="str">
        <x:v>Prince Rupert</x:v>
      </x:c>
      <x:c r="D1349" s="8" t="str">
        <x:v>Parks and Recreation</x:v>
      </x:c>
      <x:c r="E1349" s="11" t="n">
        <x:v>3749401</x:v>
      </x:c>
      <x:c r="F1349" s="11" t="n">
        <x:v>1260749</x:v>
      </x:c>
      <x:c r="G1349" s="11" t="n">
        <x:v>2488652</x:v>
      </x:c>
      <x:c r="H1349" s="11" t="n">
        <x:v>100637</x:v>
      </x:c>
      <x:c r="I1349" s="11" t="n">
        <x:v>0</x:v>
      </x:c>
      <x:c r="J1349" s="11" t="n">
        <x:v>0</x:v>
      </x:c>
      <x:c r="K1349" s="12" t="n">
        <x:v>0.6637465557831771</x:v>
      </x:c>
      <x:c r="L1349" s="12"/>
      <x:c r="M1349" s="8" t="str">
        <x:v>No</x:v>
      </x:c>
    </x:row>
    <x:row r="1350">
      <x:c r="A1350" s="8" t="str">
        <x:v>Prince Rupert|Water System</x:v>
      </x:c>
      <x:c r="B1350" s="8" t="str">
        <x:v>prince-rupert-c</x:v>
      </x:c>
      <x:c r="C1350" s="8" t="str">
        <x:v>Prince Rupert</x:v>
      </x:c>
      <x:c r="D1350" s="8" t="str">
        <x:v>Water System</x:v>
      </x:c>
      <x:c r="E1350" s="11" t="n">
        <x:v>65694665</x:v>
      </x:c>
      <x:c r="F1350" s="11" t="n">
        <x:v>9592633</x:v>
      </x:c>
      <x:c r="G1350" s="11" t="n">
        <x:v>56102032</x:v>
      </x:c>
      <x:c r="H1350" s="11" t="n">
        <x:v>721329</x:v>
      </x:c>
      <x:c r="I1350" s="11" t="n">
        <x:v>394000000</x:v>
      </x:c>
      <x:c r="J1350" s="11" t="n">
        <x:v>0</x:v>
      </x:c>
      <x:c r="K1350" s="12" t="n">
        <x:v>0.8539815523832871</x:v>
      </x:c>
      <x:c r="L1350" s="12" t="n">
        <x:v>1</x:v>
      </x:c>
      <x:c r="M1350" s="8" t="str">
        <x:v>In_Progress</x:v>
      </x:c>
    </x:row>
    <x:row r="1351">
      <x:c r="A1351" s="8" t="str">
        <x:v>Prince Rupert|Sewer System</x:v>
      </x:c>
      <x:c r="B1351" s="8" t="str">
        <x:v>prince-rupert-c</x:v>
      </x:c>
      <x:c r="C1351" s="8" t="str">
        <x:v>Prince Rupert</x:v>
      </x:c>
      <x:c r="D1351" s="8" t="str">
        <x:v>Sewer System</x:v>
      </x:c>
      <x:c r="E1351" s="11" t="n">
        <x:v>37089059</x:v>
      </x:c>
      <x:c r="F1351" s="11" t="n">
        <x:v>16849208</x:v>
      </x:c>
      <x:c r="G1351" s="11" t="n">
        <x:v>20239851</x:v>
      </x:c>
      <x:c r="H1351" s="11" t="n">
        <x:v>1506571</x:v>
      </x:c>
      <x:c r="I1351" s="11" t="n">
        <x:v>66870023</x:v>
      </x:c>
      <x:c r="J1351" s="11" t="n">
        <x:v>0</x:v>
      </x:c>
      <x:c r="K1351" s="12" t="n">
        <x:v>0.5457094772881674</x:v>
      </x:c>
      <x:c r="L1351" s="12" t="n">
        <x:v>1</x:v>
      </x:c>
      <x:c r="M1351" s="8" t="str">
        <x:v>In_Progress</x:v>
      </x:c>
    </x:row>
    <x:row r="1352">
      <x:c r="A1352" s="8" t="str">
        <x:v>Prince Rupert|Drainage System</x:v>
      </x:c>
      <x:c r="B1352" s="8" t="str">
        <x:v>prince-rupert-c</x:v>
      </x:c>
      <x:c r="C1352" s="8" t="str">
        <x:v>Prince Rupert</x:v>
      </x:c>
      <x:c r="D1352" s="8" t="str">
        <x:v>Drainage System</x:v>
      </x:c>
      <x:c r="E1352" s="11" t="n">
        <x:v>3942968</x:v>
      </x:c>
      <x:c r="F1352" s="11" t="n">
        <x:v>393844</x:v>
      </x:c>
      <x:c r="G1352" s="11" t="n">
        <x:v>3549124</x:v>
      </x:c>
      <x:c r="H1352" s="11" t="n">
        <x:v>0</x:v>
      </x:c>
      <x:c r="I1352" s="11" t="n">
        <x:v>73303146</x:v>
      </x:c>
      <x:c r="J1352" s="11" t="n">
        <x:v>0</x:v>
      </x:c>
      <x:c r="K1352" s="12" t="n">
        <x:v>0.9001148373509499</x:v>
      </x:c>
      <x:c r="L1352" s="12" t="n">
        <x:v>1</x:v>
      </x:c>
      <x:c r="M1352" s="8" t="str">
        <x:v>No</x:v>
      </x:c>
    </x:row>
    <x:row r="1353">
      <x:c r="A1353" s="8" t="str">
        <x:v>Prince Rupert|Transportation System</x:v>
      </x:c>
      <x:c r="B1353" s="8" t="str">
        <x:v>prince-rupert-c</x:v>
      </x:c>
      <x:c r="C1353" s="8" t="str">
        <x:v>Prince Rupert</x:v>
      </x:c>
      <x:c r="D1353" s="8" t="str">
        <x:v>Transportation System</x:v>
      </x:c>
      <x:c r="E1353" s="11" t="n">
        <x:v>40198560</x:v>
      </x:c>
      <x:c r="F1353" s="11" t="n">
        <x:v>20330116</x:v>
      </x:c>
      <x:c r="G1353" s="11" t="n">
        <x:v>19868444</x:v>
      </x:c>
      <x:c r="H1353" s="11" t="n">
        <x:v>2981233</x:v>
      </x:c>
      <x:c r="I1353" s="11" t="n">
        <x:v>147812996</x:v>
      </x:c>
      <x:c r="J1353" s="11" t="n">
        <x:v>0</x:v>
      </x:c>
      <x:c r="K1353" s="12" t="n">
        <x:v>0.49425760524755114</x:v>
      </x:c>
      <x:c r="L1353" s="12" t="n">
        <x:v>1</x:v>
      </x:c>
      <x:c r="M1353" s="8" t="str">
        <x:v>Yes</x:v>
      </x:c>
    </x:row>
    <x:row r="1354">
      <x:c r="A1354" s="8" t="str">
        <x:v>Prince Rupert|Other Engineering Systems</x:v>
      </x:c>
      <x:c r="B1354" s="8" t="str">
        <x:v>prince-rupert-c</x:v>
      </x:c>
      <x:c r="C1354" s="8" t="str">
        <x:v>Prince Rupert</x:v>
      </x:c>
      <x:c r="D1354" s="8" t="str">
        <x:v>Other Engineering Systems</x:v>
      </x:c>
      <x:c r="E1354" s="11" t="n">
        <x:v>33616222</x:v>
      </x:c>
      <x:c r="F1354" s="11" t="n">
        <x:v>16650582</x:v>
      </x:c>
      <x:c r="G1354" s="11" t="n">
        <x:v>16965640</x:v>
      </x:c>
      <x:c r="H1354" s="11" t="n">
        <x:v>2087641</x:v>
      </x:c>
      <x:c r="I1354" s="11" t="n">
        <x:v>44477783</x:v>
      </x:c>
      <x:c r="J1354" s="11" t="n">
        <x:v>0</x:v>
      </x:c>
      <x:c r="K1354" s="12" t="n">
        <x:v>0.5046861006569983</x:v>
      </x:c>
      <x:c r="L1354" s="12" t="n">
        <x:v>1</x:v>
      </x:c>
      <x:c r="M1354" s="8" t="str">
        <x:v>Yes</x:v>
      </x:c>
    </x:row>
    <x:row r="1355">
      <x:c r="A1355" s="8" t="str">
        <x:v>Prince Rupert|Other Tangible Capital Assets</x:v>
      </x:c>
      <x:c r="B1355" s="8" t="str">
        <x:v>prince-rupert-c</x:v>
      </x:c>
      <x:c r="C1355" s="8" t="str">
        <x:v>Prince Rupert</x:v>
      </x:c>
      <x:c r="D1355" s="8" t="str">
        <x:v>Other Tangible Capital Assets</x:v>
      </x:c>
      <x:c r="E1355" s="11" t="n">
        <x:v>38454</x:v>
      </x:c>
      <x:c r="F1355" s="11" t="n">
        <x:v>38454</x:v>
      </x:c>
      <x:c r="G1355" s="11" t="n">
        <x:v>0</x:v>
      </x:c>
      <x:c r="H1355" s="11" t="n">
        <x:v>0</x:v>
      </x:c>
      <x:c r="I1355" s="11" t="n">
        <x:v>0</x:v>
      </x:c>
      <x:c r="J1355" s="11" t="n">
        <x:v>0</x:v>
      </x:c>
      <x:c r="K1355" s="12" t="n">
        <x:v>0</x:v>
      </x:c>
      <x:c r="L1355" s="12"/>
      <x:c r="M1355" s="8" t="str">
        <x:v>N/A</x:v>
      </x:c>
    </x:row>
    <x:row r="1356">
      <x:c r="A1356" s="8" t="str">
        <x:v>Prince Rupert|Work In Progress</x:v>
      </x:c>
      <x:c r="B1356" s="8" t="str">
        <x:v>prince-rupert-c</x:v>
      </x:c>
      <x:c r="C1356" s="8" t="str">
        <x:v>Prince Rupert</x:v>
      </x:c>
      <x:c r="D1356" s="8" t="str">
        <x:v>Work In Progress</x:v>
      </x:c>
      <x:c r="E1356" s="11" t="n">
        <x:v>47762446</x:v>
      </x:c>
      <x:c r="F1356" s="11"/>
      <x:c r="G1356" s="11" t="n">
        <x:v>47762446</x:v>
      </x:c>
      <x:c r="H1356" s="11" t="n">
        <x:v>31478814</x:v>
      </x:c>
      <x:c r="I1356" s="11" t="n">
        <x:v>47762446</x:v>
      </x:c>
      <x:c r="J1356" s="11"/>
      <x:c r="K1356" s="12" t="n">
        <x:v>1</x:v>
      </x:c>
      <x:c r="L1356" s="12"/>
      <x:c r="M1356" s="8" t="str">
        <x:v>N/A</x:v>
      </x:c>
    </x:row>
    <x:row r="1357">
      <x:c r="A1357" s="8" t="str">
        <x:v>Prince Rupert|Total TCA</x:v>
      </x:c>
      <x:c r="B1357" s="8" t="str">
        <x:v>prince-rupert-c</x:v>
      </x:c>
      <x:c r="C1357" s="8" t="str">
        <x:v>Prince Rupert</x:v>
      </x:c>
      <x:c r="D1357" s="8" t="str">
        <x:v>Total TCA</x:v>
      </x:c>
      <x:c r="E1357" s="11" t="n">
        <x:v>289338174</x:v>
      </x:c>
      <x:c r="F1357" s="11" t="n">
        <x:v>85196373</x:v>
      </x:c>
      <x:c r="G1357" s="11" t="n">
        <x:v>204141801</x:v>
      </x:c>
      <x:c r="H1357" s="11" t="n">
        <x:v>51805966</x:v>
      </x:c>
      <x:c r="I1357" s="11" t="n">
        <x:v>899595714</x:v>
      </x:c>
      <x:c r="J1357" s="11" t="n">
        <x:v>1113200</x:v>
      </x:c>
      <x:c r="K1357" s="12" t="n">
        <x:v>0.7055474159451909</x:v>
      </x:c>
      <x:c r="L1357" s="12" t="n">
        <x:v>0.9987625552426765</x:v>
      </x:c>
      <x:c r="M1357" s="8"/>
    </x:row>
    <x:row r="1358">
      <x:c r="A1358" s="8" t="str">
        <x:v>Princeton|Land</x:v>
      </x:c>
      <x:c r="B1358" s="8" t="str">
        <x:v>princeton-t</x:v>
      </x:c>
      <x:c r="C1358" s="8" t="str">
        <x:v>Princeton</x:v>
      </x:c>
      <x:c r="D1358" s="8" t="str">
        <x:v>Land</x:v>
      </x:c>
      <x:c r="E1358" s="11" t="n">
        <x:v>4073844</x:v>
      </x:c>
      <x:c r="F1358" s="11"/>
      <x:c r="G1358" s="11" t="n">
        <x:v>4073844</x:v>
      </x:c>
      <x:c r="H1358" s="11" t="n">
        <x:v>0</x:v>
      </x:c>
      <x:c r="I1358" s="11" t="n">
        <x:v>4073844</x:v>
      </x:c>
      <x:c r="J1358" s="11"/>
      <x:c r="K1358" s="12" t="n">
        <x:v>1</x:v>
      </x:c>
      <x:c r="L1358" s="12"/>
      <x:c r="M1358" s="8" t="str">
        <x:v>N/A</x:v>
      </x:c>
    </x:row>
    <x:row r="1359">
      <x:c r="A1359" s="8" t="str">
        <x:v>Princeton|Buildings</x:v>
      </x:c>
      <x:c r="B1359" s="8" t="str">
        <x:v>princeton-t</x:v>
      </x:c>
      <x:c r="C1359" s="8" t="str">
        <x:v>Princeton</x:v>
      </x:c>
      <x:c r="D1359" s="8" t="str">
        <x:v>Buildings</x:v>
      </x:c>
      <x:c r="E1359" s="11" t="n">
        <x:v>14677762</x:v>
      </x:c>
      <x:c r="F1359" s="11" t="n">
        <x:v>2921010</x:v>
      </x:c>
      <x:c r="G1359" s="11" t="n">
        <x:v>11756752</x:v>
      </x:c>
      <x:c r="H1359" s="11" t="n">
        <x:v>5486946</x:v>
      </x:c>
      <x:c r="I1359" s="11" t="n">
        <x:v>29862804</x:v>
      </x:c>
      <x:c r="J1359" s="11" t="n">
        <x:v>597256</x:v>
      </x:c>
      <x:c r="K1359" s="12" t="n">
        <x:v>0.8009907777493599</x:v>
      </x:c>
      <x:c r="L1359" s="12" t="n">
        <x:v>0.9800000026789178</x:v>
      </x:c>
      <x:c r="M1359" s="8" t="str">
        <x:v>No</x:v>
      </x:c>
    </x:row>
    <x:row r="1360">
      <x:c r="A1360" s="8" t="str">
        <x:v>Princeton|Fleet</x:v>
      </x:c>
      <x:c r="B1360" s="8" t="str">
        <x:v>princeton-t</x:v>
      </x:c>
      <x:c r="C1360" s="8" t="str">
        <x:v>Princeton</x:v>
      </x:c>
      <x:c r="D1360" s="8" t="str">
        <x:v>Fleet</x:v>
      </x:c>
      <x:c r="E1360" s="11" t="n">
        <x:v>5899611</x:v>
      </x:c>
      <x:c r="F1360" s="11" t="n">
        <x:v>3218742</x:v>
      </x:c>
      <x:c r="G1360" s="11" t="n">
        <x:v>2680869</x:v>
      </x:c>
      <x:c r="H1360" s="11" t="n">
        <x:v>803514</x:v>
      </x:c>
      <x:c r="I1360" s="11" t="n">
        <x:v>9258858</x:v>
      </x:c>
      <x:c r="J1360" s="11" t="n">
        <x:v>617566</x:v>
      </x:c>
      <x:c r="K1360" s="12" t="n">
        <x:v>0.45441453682285154</x:v>
      </x:c>
      <x:c r="L1360" s="12" t="n">
        <x:v>0.9332999814879978</x:v>
      </x:c>
      <x:c r="M1360" s="8" t="str">
        <x:v>No</x:v>
      </x:c>
    </x:row>
    <x:row r="1361">
      <x:c r="A1361" s="8" t="str">
        <x:v>Princeton|Parks and Recreation</x:v>
      </x:c>
      <x:c r="B1361" s="8" t="str">
        <x:v>princeton-t</x:v>
      </x:c>
      <x:c r="C1361" s="8" t="str">
        <x:v>Princeton</x:v>
      </x:c>
      <x:c r="D1361" s="8" t="str">
        <x:v>Parks and Recreation</x:v>
      </x:c>
      <x:c r="E1361" s="11" t="n">
        <x:v>5238384</x:v>
      </x:c>
      <x:c r="F1361" s="11" t="n">
        <x:v>2588679</x:v>
      </x:c>
      <x:c r="G1361" s="11" t="n">
        <x:v>2649705</x:v>
      </x:c>
      <x:c r="H1361" s="11" t="n">
        <x:v>1041850</x:v>
      </x:c>
      <x:c r="I1361" s="11" t="n">
        <x:v>7603966</x:v>
      </x:c>
      <x:c r="J1361" s="11" t="n">
        <x:v>507185</x:v>
      </x:c>
      <x:c r="K1361" s="12" t="n">
        <x:v>0.5058248879807208</x:v>
      </x:c>
      <x:c r="L1361" s="12" t="n">
        <x:v>0.9332999384794725</x:v>
      </x:c>
      <x:c r="M1361" s="8" t="str">
        <x:v>No</x:v>
      </x:c>
    </x:row>
    <x:row r="1362">
      <x:c r="A1362" s="8" t="str">
        <x:v>Princeton|Water System</x:v>
      </x:c>
      <x:c r="B1362" s="8" t="str">
        <x:v>princeton-t</x:v>
      </x:c>
      <x:c r="C1362" s="8" t="str">
        <x:v>Princeton</x:v>
      </x:c>
      <x:c r="D1362" s="8" t="str">
        <x:v>Water System</x:v>
      </x:c>
      <x:c r="E1362" s="11" t="n">
        <x:v>13018183</x:v>
      </x:c>
      <x:c r="F1362" s="11" t="n">
        <x:v>3310081</x:v>
      </x:c>
      <x:c r="G1362" s="11" t="n">
        <x:v>9708102</x:v>
      </x:c>
      <x:c r="H1362" s="11" t="n">
        <x:v>5824232</x:v>
      </x:c>
      <x:c r="I1362" s="11" t="n">
        <x:v>36940928</x:v>
      </x:c>
      <x:c r="J1362" s="11" t="n">
        <x:v>589647</x:v>
      </x:c>
      <x:c r="K1362" s="12" t="n">
        <x:v>0.7457340244794531</x:v>
      </x:c>
      <x:c r="L1362" s="12" t="n">
        <x:v>0.9840381107913694</x:v>
      </x:c>
      <x:c r="M1362" s="8" t="str">
        <x:v>No</x:v>
      </x:c>
    </x:row>
    <x:row r="1363">
      <x:c r="A1363" s="8" t="str">
        <x:v>Princeton|Sewer System</x:v>
      </x:c>
      <x:c r="B1363" s="8" t="str">
        <x:v>princeton-t</x:v>
      </x:c>
      <x:c r="C1363" s="8" t="str">
        <x:v>Princeton</x:v>
      </x:c>
      <x:c r="D1363" s="8" t="str">
        <x:v>Sewer System</x:v>
      </x:c>
      <x:c r="E1363" s="11" t="n">
        <x:v>4704348</x:v>
      </x:c>
      <x:c r="F1363" s="11" t="n">
        <x:v>1766453</x:v>
      </x:c>
      <x:c r="G1363" s="11" t="n">
        <x:v>2937895</x:v>
      </x:c>
      <x:c r="H1363" s="11" t="n">
        <x:v>0</x:v>
      </x:c>
      <x:c r="I1363" s="11" t="n">
        <x:v>159405571</x:v>
      </x:c>
      <x:c r="J1363" s="11" t="n">
        <x:v>228876</x:v>
      </x:c>
      <x:c r="K1363" s="12" t="n">
        <x:v>0.6245063077816522</x:v>
      </x:c>
      <x:c r="L1363" s="12" t="n">
        <x:v>0.9985641907082407</x:v>
      </x:c>
      <x:c r="M1363" s="8" t="str">
        <x:v>No</x:v>
      </x:c>
    </x:row>
    <x:row r="1364">
      <x:c r="A1364" s="8" t="str">
        <x:v>Princeton|Drainage System</x:v>
      </x:c>
      <x:c r="B1364" s="8" t="str">
        <x:v>princeton-t</x:v>
      </x:c>
      <x:c r="C1364" s="8" t="str">
        <x:v>Princeton</x:v>
      </x:c>
      <x:c r="D1364" s="8" t="str">
        <x:v>Drainage System</x:v>
      </x:c>
      <x:c r="E1364" s="11" t="n">
        <x:v>657557</x:v>
      </x:c>
      <x:c r="F1364" s="11" t="n">
        <x:v>0</x:v>
      </x:c>
      <x:c r="G1364" s="11" t="n">
        <x:v>657557</x:v>
      </x:c>
      <x:c r="H1364" s="11" t="n">
        <x:v>0</x:v>
      </x:c>
      <x:c r="I1364" s="11" t="n">
        <x:v>4125511</x:v>
      </x:c>
      <x:c r="J1364" s="11" t="n">
        <x:v>103138</x:v>
      </x:c>
      <x:c r="K1364" s="12" t="n">
        <x:v>1</x:v>
      </x:c>
      <x:c r="L1364" s="12" t="n">
        <x:v>0.9749999454613016</x:v>
      </x:c>
      <x:c r="M1364" s="8" t="str">
        <x:v>No</x:v>
      </x:c>
    </x:row>
    <x:row r="1365">
      <x:c r="A1365" s="8" t="str">
        <x:v>Princeton|Transportation System</x:v>
      </x:c>
      <x:c r="B1365" s="8" t="str">
        <x:v>princeton-t</x:v>
      </x:c>
      <x:c r="C1365" s="8" t="str">
        <x:v>Princeton</x:v>
      </x:c>
      <x:c r="D1365" s="8" t="str">
        <x:v>Transportation System</x:v>
      </x:c>
      <x:c r="E1365" s="11" t="n">
        <x:v>12207970</x:v>
      </x:c>
      <x:c r="F1365" s="11" t="n">
        <x:v>8856546</x:v>
      </x:c>
      <x:c r="G1365" s="11" t="n">
        <x:v>3351424</x:v>
      </x:c>
      <x:c r="H1365" s="11" t="n">
        <x:v>589145</x:v>
      </x:c>
      <x:c r="I1365" s="11" t="n">
        <x:v>219216006</x:v>
      </x:c>
      <x:c r="J1365" s="11" t="n">
        <x:v>0</x:v>
      </x:c>
      <x:c r="K1365" s="12" t="n">
        <x:v>0.27452754225313464</x:v>
      </x:c>
      <x:c r="L1365" s="12" t="n">
        <x:v>1</x:v>
      </x:c>
      <x:c r="M1365" s="8" t="str">
        <x:v>No</x:v>
      </x:c>
    </x:row>
    <x:row r="1366">
      <x:c r="A1366" s="8" t="str">
        <x:v>Princeton|Other Engineering Systems</x:v>
      </x:c>
      <x:c r="B1366" s="8" t="str">
        <x:v>princeton-t</x:v>
      </x:c>
      <x:c r="C1366" s="8" t="str">
        <x:v>Princeton</x:v>
      </x:c>
      <x:c r="D1366" s="8" t="str">
        <x:v>Other Engineering Systems</x:v>
      </x:c>
      <x:c r="E1366" s="11" t="n">
        <x:v>835193</x:v>
      </x:c>
      <x:c r="F1366" s="11" t="n">
        <x:v>0</x:v>
      </x:c>
      <x:c r="G1366" s="11" t="n">
        <x:v>835193</x:v>
      </x:c>
      <x:c r="H1366" s="11" t="n">
        <x:v>0</x:v>
      </x:c>
      <x:c r="I1366" s="11" t="n">
        <x:v>1495464</x:v>
      </x:c>
      <x:c r="J1366" s="11" t="n">
        <x:v>14955</x:v>
      </x:c>
      <x:c r="K1366" s="12" t="n">
        <x:v>1</x:v>
      </x:c>
      <x:c r="L1366" s="12" t="n">
        <x:v>0.9899997592720386</x:v>
      </x:c>
      <x:c r="M1366" s="8" t="str">
        <x:v>No</x:v>
      </x:c>
    </x:row>
    <x:row r="1367">
      <x:c r="A1367" s="8" t="str">
        <x:v>Princeton|Other Tangible Capital Assets</x:v>
      </x:c>
      <x:c r="B1367" s="8" t="str">
        <x:v>princeton-t</x:v>
      </x:c>
      <x:c r="C1367" s="8" t="str">
        <x:v>Princeton</x:v>
      </x:c>
      <x:c r="D1367" s="8" t="str">
        <x:v>Other Tangible Capital Assets</x:v>
      </x:c>
      <x:c r="E1367" s="11" t="n">
        <x:v>1456114</x:v>
      </x:c>
      <x:c r="F1367" s="11" t="n">
        <x:v>0</x:v>
      </x:c>
      <x:c r="G1367" s="11" t="n">
        <x:v>1456114</x:v>
      </x:c>
      <x:c r="H1367" s="11" t="n">
        <x:v>1132549</x:v>
      </x:c>
      <x:c r="I1367" s="11" t="n">
        <x:v>2213316</x:v>
      </x:c>
      <x:c r="J1367" s="11" t="n">
        <x:v>147628</x:v>
      </x:c>
      <x:c r="K1367" s="12" t="n">
        <x:v>1</x:v>
      </x:c>
      <x:c r="L1367" s="12" t="n">
        <x:v>0.933300080060868</x:v>
      </x:c>
      <x:c r="M1367" s="8" t="str">
        <x:v>N/A</x:v>
      </x:c>
    </x:row>
    <x:row r="1368">
      <x:c r="A1368" s="8" t="str">
        <x:v>Princeton|Work In Progress</x:v>
      </x:c>
      <x:c r="B1368" s="8" t="str">
        <x:v>princeton-t</x:v>
      </x:c>
      <x:c r="C1368" s="8" t="str">
        <x:v>Princeton</x:v>
      </x:c>
      <x:c r="D1368" s="8" t="str">
        <x:v>Work In Progress</x:v>
      </x:c>
      <x:c r="E1368" s="11" t="n">
        <x:v>1140329</x:v>
      </x:c>
      <x:c r="F1368" s="11"/>
      <x:c r="G1368" s="11" t="n">
        <x:v>1140329</x:v>
      </x:c>
      <x:c r="H1368" s="11" t="n">
        <x:v>-5411481</x:v>
      </x:c>
      <x:c r="I1368" s="11" t="n">
        <x:v>1140329</x:v>
      </x:c>
      <x:c r="J1368" s="11"/>
      <x:c r="K1368" s="12" t="n">
        <x:v>1</x:v>
      </x:c>
      <x:c r="L1368" s="12"/>
      <x:c r="M1368" s="8" t="str">
        <x:v>N/A</x:v>
      </x:c>
    </x:row>
    <x:row r="1369">
      <x:c r="A1369" s="8" t="str">
        <x:v>Princeton|Total TCA</x:v>
      </x:c>
      <x:c r="B1369" s="8" t="str">
        <x:v>princeton-t</x:v>
      </x:c>
      <x:c r="C1369" s="8" t="str">
        <x:v>Princeton</x:v>
      </x:c>
      <x:c r="D1369" s="8" t="str">
        <x:v>Total TCA</x:v>
      </x:c>
      <x:c r="E1369" s="11" t="n">
        <x:v>63909295</x:v>
      </x:c>
      <x:c r="F1369" s="11" t="n">
        <x:v>22661511</x:v>
      </x:c>
      <x:c r="G1369" s="11" t="n">
        <x:v>41247784</x:v>
      </x:c>
      <x:c r="H1369" s="11" t="n">
        <x:v>9466755</x:v>
      </x:c>
      <x:c r="I1369" s="11" t="n">
        <x:v>475336597</x:v>
      </x:c>
      <x:c r="J1369" s="11" t="n">
        <x:v>2806251</x:v>
      </x:c>
      <x:c r="K1369" s="12" t="n">
        <x:v>0.6454113443122789</x:v>
      </x:c>
      <x:c r="L1369" s="12" t="n">
        <x:v>0.994096286678301</x:v>
      </x:c>
      <x:c r="M1369" s="8"/>
    </x:row>
    <x:row r="1370">
      <x:c r="A1370" s="8" t="str">
        <x:v>Qualicum Beach|Land</x:v>
      </x:c>
      <x:c r="B1370" s="8" t="str">
        <x:v>qualicum-beach-t</x:v>
      </x:c>
      <x:c r="C1370" s="8" t="str">
        <x:v>Qualicum Beach</x:v>
      </x:c>
      <x:c r="D1370" s="8" t="str">
        <x:v>Land</x:v>
      </x:c>
      <x:c r="E1370" s="11" t="n">
        <x:v>38432522</x:v>
      </x:c>
      <x:c r="F1370" s="11"/>
      <x:c r="G1370" s="11" t="n">
        <x:v>38432522</x:v>
      </x:c>
      <x:c r="H1370" s="11" t="n">
        <x:v>0</x:v>
      </x:c>
      <x:c r="I1370" s="11" t="n">
        <x:v>38432522</x:v>
      </x:c>
      <x:c r="J1370" s="11"/>
      <x:c r="K1370" s="12" t="n">
        <x:v>1</x:v>
      </x:c>
      <x:c r="L1370" s="12"/>
      <x:c r="M1370" s="8" t="str">
        <x:v>N/A</x:v>
      </x:c>
    </x:row>
    <x:row r="1371">
      <x:c r="A1371" s="8" t="str">
        <x:v>Qualicum Beach|Buildings</x:v>
      </x:c>
      <x:c r="B1371" s="8" t="str">
        <x:v>qualicum-beach-t</x:v>
      </x:c>
      <x:c r="C1371" s="8" t="str">
        <x:v>Qualicum Beach</x:v>
      </x:c>
      <x:c r="D1371" s="8" t="str">
        <x:v>Buildings</x:v>
      </x:c>
      <x:c r="E1371" s="11" t="n">
        <x:v>36269862</x:v>
      </x:c>
      <x:c r="F1371" s="11" t="n">
        <x:v>14072469</x:v>
      </x:c>
      <x:c r="G1371" s="11" t="n">
        <x:v>22197393</x:v>
      </x:c>
      <x:c r="H1371" s="11" t="n">
        <x:v>231215</x:v>
      </x:c>
      <x:c r="I1371" s="11" t="n">
        <x:v>46164000</x:v>
      </x:c>
      <x:c r="J1371" s="11" t="n">
        <x:v>1004000</x:v>
      </x:c>
      <x:c r="K1371" s="12" t="n">
        <x:v>0.6120065469231727</x:v>
      </x:c>
      <x:c r="L1371" s="12" t="n">
        <x:v>0.9782514513473702</x:v>
      </x:c>
      <x:c r="M1371" s="8" t="str">
        <x:v>No</x:v>
      </x:c>
    </x:row>
    <x:row r="1372">
      <x:c r="A1372" s="8" t="str">
        <x:v>Qualicum Beach|Fleet</x:v>
      </x:c>
      <x:c r="B1372" s="8" t="str">
        <x:v>qualicum-beach-t</x:v>
      </x:c>
      <x:c r="C1372" s="8" t="str">
        <x:v>Qualicum Beach</x:v>
      </x:c>
      <x:c r="D1372" s="8" t="str">
        <x:v>Fleet</x:v>
      </x:c>
      <x:c r="E1372" s="11" t="n">
        <x:v>11139209</x:v>
      </x:c>
      <x:c r="F1372" s="11" t="n">
        <x:v>4806387</x:v>
      </x:c>
      <x:c r="G1372" s="11" t="n">
        <x:v>6332822</x:v>
      </x:c>
      <x:c r="H1372" s="11" t="n">
        <x:v>1659630</x:v>
      </x:c>
      <x:c r="I1372" s="11" t="n">
        <x:v>8536000</x:v>
      </x:c>
      <x:c r="J1372" s="11" t="n">
        <x:v>548000</x:v>
      </x:c>
      <x:c r="K1372" s="12" t="n">
        <x:v>0.5685163102694276</x:v>
      </x:c>
      <x:c r="L1372" s="12" t="n">
        <x:v>0.9358013120899719</x:v>
      </x:c>
      <x:c r="M1372" s="8" t="str">
        <x:v>No</x:v>
      </x:c>
    </x:row>
    <x:row r="1373">
      <x:c r="A1373" s="8" t="str">
        <x:v>Qualicum Beach|Parks and Recreation</x:v>
      </x:c>
      <x:c r="B1373" s="8" t="str">
        <x:v>qualicum-beach-t</x:v>
      </x:c>
      <x:c r="C1373" s="8" t="str">
        <x:v>Qualicum Beach</x:v>
      </x:c>
      <x:c r="D1373" s="8" t="str">
        <x:v>Parks and Recreation</x:v>
      </x:c>
      <x:c r="E1373" s="11" t="n">
        <x:v>2034346</x:v>
      </x:c>
      <x:c r="F1373" s="11" t="n">
        <x:v>1295031</x:v>
      </x:c>
      <x:c r="G1373" s="11" t="n">
        <x:v>739315</x:v>
      </x:c>
      <x:c r="H1373" s="11" t="n">
        <x:v>0</x:v>
      </x:c>
      <x:c r="I1373" s="11" t="n">
        <x:v>5846000</x:v>
      </x:c>
      <x:c r="J1373" s="11" t="n">
        <x:v>119000</x:v>
      </x:c>
      <x:c r="K1373" s="12" t="n">
        <x:v>0.36341654762759135</x:v>
      </x:c>
      <x:c r="L1373" s="12" t="n">
        <x:v>0.9796442011631885</x:v>
      </x:c>
      <x:c r="M1373" s="8" t="str">
        <x:v>No</x:v>
      </x:c>
    </x:row>
    <x:row r="1374">
      <x:c r="A1374" s="8" t="str">
        <x:v>Qualicum Beach|Water System</x:v>
      </x:c>
      <x:c r="B1374" s="8" t="str">
        <x:v>qualicum-beach-t</x:v>
      </x:c>
      <x:c r="C1374" s="8" t="str">
        <x:v>Qualicum Beach</x:v>
      </x:c>
      <x:c r="D1374" s="8" t="str">
        <x:v>Water System</x:v>
      </x:c>
      <x:c r="E1374" s="11" t="n">
        <x:v>16990336</x:v>
      </x:c>
      <x:c r="F1374" s="11" t="n">
        <x:v>7240111</x:v>
      </x:c>
      <x:c r="G1374" s="11" t="n">
        <x:v>9750225</x:v>
      </x:c>
      <x:c r="H1374" s="11" t="n">
        <x:v>451417</x:v>
      </x:c>
      <x:c r="I1374" s="11" t="n">
        <x:v>109080000</x:v>
      </x:c>
      <x:c r="J1374" s="11" t="n">
        <x:v>1558000</x:v>
      </x:c>
      <x:c r="K1374" s="12" t="n">
        <x:v>0.5738688746355576</x:v>
      </x:c>
      <x:c r="L1374" s="12" t="n">
        <x:v>0.9857169050238357</x:v>
      </x:c>
      <x:c r="M1374" s="8" t="str">
        <x:v>No</x:v>
      </x:c>
    </x:row>
    <x:row r="1375">
      <x:c r="A1375" s="8" t="str">
        <x:v>Qualicum Beach|Sewer System</x:v>
      </x:c>
      <x:c r="B1375" s="8" t="str">
        <x:v>qualicum-beach-t</x:v>
      </x:c>
      <x:c r="C1375" s="8" t="str">
        <x:v>Qualicum Beach</x:v>
      </x:c>
      <x:c r="D1375" s="8" t="str">
        <x:v>Sewer System</x:v>
      </x:c>
      <x:c r="E1375" s="11" t="n">
        <x:v>11635821</x:v>
      </x:c>
      <x:c r="F1375" s="11" t="n">
        <x:v>6410345</x:v>
      </x:c>
      <x:c r="G1375" s="11" t="n">
        <x:v>5225476</x:v>
      </x:c>
      <x:c r="H1375" s="11" t="n">
        <x:v>386660</x:v>
      </x:c>
      <x:c r="I1375" s="11" t="n">
        <x:v>66974000</x:v>
      </x:c>
      <x:c r="J1375" s="11" t="n">
        <x:v>1119000</x:v>
      </x:c>
      <x:c r="K1375" s="12" t="n">
        <x:v>0.449085285859932</x:v>
      </x:c>
      <x:c r="L1375" s="12" t="n">
        <x:v>0.9832920237704184</x:v>
      </x:c>
      <x:c r="M1375" s="8" t="str">
        <x:v>No</x:v>
      </x:c>
    </x:row>
    <x:row r="1376">
      <x:c r="A1376" s="8" t="str">
        <x:v>Qualicum Beach|Drainage System</x:v>
      </x:c>
      <x:c r="B1376" s="8" t="str">
        <x:v>qualicum-beach-t</x:v>
      </x:c>
      <x:c r="C1376" s="8" t="str">
        <x:v>Qualicum Beach</x:v>
      </x:c>
      <x:c r="D1376" s="8" t="str">
        <x:v>Drainage System</x:v>
      </x:c>
      <x:c r="E1376" s="11" t="n">
        <x:v>22815230</x:v>
      </x:c>
      <x:c r="F1376" s="11" t="n">
        <x:v>9549963</x:v>
      </x:c>
      <x:c r="G1376" s="11" t="n">
        <x:v>13265267</x:v>
      </x:c>
      <x:c r="H1376" s="11" t="n">
        <x:v>0</x:v>
      </x:c>
      <x:c r="I1376" s="11" t="n">
        <x:v>39460000</x:v>
      </x:c>
      <x:c r="J1376" s="11" t="n">
        <x:v>681000</x:v>
      </x:c>
      <x:c r="K1376" s="12" t="n">
        <x:v>0.5814215767274754</x:v>
      </x:c>
      <x:c r="L1376" s="12" t="n">
        <x:v>0.9827420172326407</x:v>
      </x:c>
      <x:c r="M1376" s="8" t="str">
        <x:v>No</x:v>
      </x:c>
    </x:row>
    <x:row r="1377">
      <x:c r="A1377" s="8" t="str">
        <x:v>Qualicum Beach|Transportation System</x:v>
      </x:c>
      <x:c r="B1377" s="8" t="str">
        <x:v>qualicum-beach-t</x:v>
      </x:c>
      <x:c r="C1377" s="8" t="str">
        <x:v>Qualicum Beach</x:v>
      </x:c>
      <x:c r="D1377" s="8" t="str">
        <x:v>Transportation System</x:v>
      </x:c>
      <x:c r="E1377" s="11" t="n">
        <x:v>50333741</x:v>
      </x:c>
      <x:c r="F1377" s="11" t="n">
        <x:v>33250099</x:v>
      </x:c>
      <x:c r="G1377" s="11" t="n">
        <x:v>17083642</x:v>
      </x:c>
      <x:c r="H1377" s="11" t="n">
        <x:v>522258</x:v>
      </x:c>
      <x:c r="I1377" s="11" t="n">
        <x:v>62300000</x:v>
      </x:c>
      <x:c r="J1377" s="11" t="n">
        <x:v>761000</x:v>
      </x:c>
      <x:c r="K1377" s="12" t="n">
        <x:v>0.3394073569854464</x:v>
      </x:c>
      <x:c r="L1377" s="12" t="n">
        <x:v>0.9877849117174959</x:v>
      </x:c>
      <x:c r="M1377" s="8" t="str">
        <x:v>No</x:v>
      </x:c>
    </x:row>
    <x:row r="1378">
      <x:c r="A1378" s="8" t="str">
        <x:v>Qualicum Beach|Other Engineering Systems</x:v>
      </x:c>
      <x:c r="B1378" s="8" t="str">
        <x:v>qualicum-beach-t</x:v>
      </x:c>
      <x:c r="C1378" s="8" t="str">
        <x:v>Qualicum Beach</x:v>
      </x:c>
      <x:c r="D1378" s="8" t="str">
        <x:v>Other Engineering Systems</x:v>
      </x:c>
      <x:c r="E1378" s="11" t="n">
        <x:v>0</x:v>
      </x:c>
      <x:c r="F1378" s="11" t="n">
        <x:v>0</x:v>
      </x:c>
      <x:c r="G1378" s="11" t="n">
        <x:v>0</x:v>
      </x:c>
      <x:c r="H1378" s="11" t="n">
        <x:v>0</x:v>
      </x:c>
      <x:c r="I1378" s="11" t="n">
        <x:v>0</x:v>
      </x:c>
      <x:c r="J1378" s="11" t="n">
        <x:v>0</x:v>
      </x:c>
      <x:c r="K1378" s="12"/>
      <x:c r="L1378" s="12"/>
      <x:c r="M1378" s="8"/>
    </x:row>
    <x:row r="1379">
      <x:c r="A1379" s="8" t="str">
        <x:v>Qualicum Beach|Other Tangible Capital Assets</x:v>
      </x:c>
      <x:c r="B1379" s="8" t="str">
        <x:v>qualicum-beach-t</x:v>
      </x:c>
      <x:c r="C1379" s="8" t="str">
        <x:v>Qualicum Beach</x:v>
      </x:c>
      <x:c r="D1379" s="8" t="str">
        <x:v>Other Tangible Capital Assets</x:v>
      </x:c>
      <x:c r="E1379" s="11" t="n">
        <x:v>30501404</x:v>
      </x:c>
      <x:c r="F1379" s="11" t="n">
        <x:v>12521334</x:v>
      </x:c>
      <x:c r="G1379" s="11" t="n">
        <x:v>17980070</x:v>
      </x:c>
      <x:c r="H1379" s="11" t="n">
        <x:v>1004281</x:v>
      </x:c>
      <x:c r="I1379" s="11" t="n">
        <x:v>21702000</x:v>
      </x:c>
      <x:c r="J1379" s="11" t="n">
        <x:v>442000</x:v>
      </x:c>
      <x:c r="K1379" s="12" t="n">
        <x:v>0.5894833562415684</x:v>
      </x:c>
      <x:c r="L1379" s="12" t="n">
        <x:v>0.979633213528707</x:v>
      </x:c>
      <x:c r="M1379" s="8" t="str">
        <x:v>N/A</x:v>
      </x:c>
    </x:row>
    <x:row r="1380">
      <x:c r="A1380" s="8" t="str">
        <x:v>Qualicum Beach|Work In Progress</x:v>
      </x:c>
      <x:c r="B1380" s="8" t="str">
        <x:v>qualicum-beach-t</x:v>
      </x:c>
      <x:c r="C1380" s="8" t="str">
        <x:v>Qualicum Beach</x:v>
      </x:c>
      <x:c r="D1380" s="8" t="str">
        <x:v>Work In Progress</x:v>
      </x:c>
      <x:c r="E1380" s="11" t="n">
        <x:v>8783938</x:v>
      </x:c>
      <x:c r="F1380" s="11"/>
      <x:c r="G1380" s="11" t="n">
        <x:v>8783938</x:v>
      </x:c>
      <x:c r="H1380" s="11" t="n">
        <x:v>5306339</x:v>
      </x:c>
      <x:c r="I1380" s="11" t="n">
        <x:v>8783938</x:v>
      </x:c>
      <x:c r="J1380" s="11"/>
      <x:c r="K1380" s="12" t="n">
        <x:v>1</x:v>
      </x:c>
      <x:c r="L1380" s="12"/>
      <x:c r="M1380" s="8" t="str">
        <x:v>N/A</x:v>
      </x:c>
    </x:row>
    <x:row r="1381">
      <x:c r="A1381" s="8" t="str">
        <x:v>Qualicum Beach|Total TCA</x:v>
      </x:c>
      <x:c r="B1381" s="8" t="str">
        <x:v>qualicum-beach-t</x:v>
      </x:c>
      <x:c r="C1381" s="8" t="str">
        <x:v>Qualicum Beach</x:v>
      </x:c>
      <x:c r="D1381" s="8" t="str">
        <x:v>Total TCA</x:v>
      </x:c>
      <x:c r="E1381" s="11" t="n">
        <x:v>228936409</x:v>
      </x:c>
      <x:c r="F1381" s="11" t="n">
        <x:v>89145739</x:v>
      </x:c>
      <x:c r="G1381" s="11" t="n">
        <x:v>139790670</x:v>
      </x:c>
      <x:c r="H1381" s="11" t="n">
        <x:v>9561800</x:v>
      </x:c>
      <x:c r="I1381" s="11" t="n">
        <x:v>407278460</x:v>
      </x:c>
      <x:c r="J1381" s="11" t="n">
        <x:v>6232000</x:v>
      </x:c>
      <x:c r="K1381" s="12" t="n">
        <x:v>0.6106091670198251</x:v>
      </x:c>
      <x:c r="L1381" s="12" t="n">
        <x:v>0.9846984296689788</x:v>
      </x:c>
      <x:c r="M1381" s="8"/>
    </x:row>
    <x:row r="1382">
      <x:c r="A1382" s="8" t="str">
        <x:v>Quesnel|Land</x:v>
      </x:c>
      <x:c r="B1382" s="8" t="str">
        <x:v>quesnel-c</x:v>
      </x:c>
      <x:c r="C1382" s="8" t="str">
        <x:v>Quesnel</x:v>
      </x:c>
      <x:c r="D1382" s="8" t="str">
        <x:v>Land</x:v>
      </x:c>
      <x:c r="E1382" s="11" t="n">
        <x:v>11384702</x:v>
      </x:c>
      <x:c r="F1382" s="11"/>
      <x:c r="G1382" s="11" t="n">
        <x:v>11384702</x:v>
      </x:c>
      <x:c r="H1382" s="11" t="n">
        <x:v>198000</x:v>
      </x:c>
      <x:c r="I1382" s="11" t="n">
        <x:v>11384702</x:v>
      </x:c>
      <x:c r="J1382" s="11"/>
      <x:c r="K1382" s="12" t="n">
        <x:v>1</x:v>
      </x:c>
      <x:c r="L1382" s="12"/>
      <x:c r="M1382" s="8" t="str">
        <x:v>N/A</x:v>
      </x:c>
    </x:row>
    <x:row r="1383">
      <x:c r="A1383" s="8" t="str">
        <x:v>Quesnel|Buildings</x:v>
      </x:c>
      <x:c r="B1383" s="8" t="str">
        <x:v>quesnel-c</x:v>
      </x:c>
      <x:c r="C1383" s="8" t="str">
        <x:v>Quesnel</x:v>
      </x:c>
      <x:c r="D1383" s="8" t="str">
        <x:v>Buildings</x:v>
      </x:c>
      <x:c r="E1383" s="11" t="n">
        <x:v>42781065</x:v>
      </x:c>
      <x:c r="F1383" s="11" t="n">
        <x:v>12016872</x:v>
      </x:c>
      <x:c r="G1383" s="11" t="n">
        <x:v>30764193</x:v>
      </x:c>
      <x:c r="H1383" s="11" t="n">
        <x:v>648243</x:v>
      </x:c>
      <x:c r="I1383" s="11" t="n">
        <x:v>57000000</x:v>
      </x:c>
      <x:c r="J1383" s="11" t="n">
        <x:v>927400</x:v>
      </x:c>
      <x:c r="K1383" s="12" t="n">
        <x:v>0.719107694023045</x:v>
      </x:c>
      <x:c r="L1383" s="12" t="n">
        <x:v>0.9837298245614035</x:v>
      </x:c>
      <x:c r="M1383" s="8" t="str">
        <x:v>Yes</x:v>
      </x:c>
    </x:row>
    <x:row r="1384">
      <x:c r="A1384" s="8" t="str">
        <x:v>Quesnel|Fleet</x:v>
      </x:c>
      <x:c r="B1384" s="8" t="str">
        <x:v>quesnel-c</x:v>
      </x:c>
      <x:c r="C1384" s="8" t="str">
        <x:v>Quesnel</x:v>
      </x:c>
      <x:c r="D1384" s="8" t="str">
        <x:v>Fleet</x:v>
      </x:c>
      <x:c r="E1384" s="11" t="n">
        <x:v>18319662</x:v>
      </x:c>
      <x:c r="F1384" s="11" t="n">
        <x:v>10326965</x:v>
      </x:c>
      <x:c r="G1384" s="11" t="n">
        <x:v>7992697</x:v>
      </x:c>
      <x:c r="H1384" s="11" t="n">
        <x:v>447036</x:v>
      </x:c>
      <x:c r="I1384" s="11" t="n">
        <x:v>24000000</x:v>
      </x:c>
      <x:c r="J1384" s="11" t="n">
        <x:v>900000</x:v>
      </x:c>
      <x:c r="K1384" s="12" t="n">
        <x:v>0.4362906368032336</x:v>
      </x:c>
      <x:c r="L1384" s="12" t="n">
        <x:v>0.9625</x:v>
      </x:c>
      <x:c r="M1384" s="8" t="str">
        <x:v>Yes</x:v>
      </x:c>
    </x:row>
    <x:row r="1385">
      <x:c r="A1385" s="8" t="str">
        <x:v>Quesnel|Parks and Recreation</x:v>
      </x:c>
      <x:c r="B1385" s="8" t="str">
        <x:v>quesnel-c</x:v>
      </x:c>
      <x:c r="C1385" s="8" t="str">
        <x:v>Quesnel</x:v>
      </x:c>
      <x:c r="D1385" s="8" t="str">
        <x:v>Parks and Recreation</x:v>
      </x:c>
      <x:c r="E1385" s="11" t="n">
        <x:v>11149172</x:v>
      </x:c>
      <x:c r="F1385" s="11" t="n">
        <x:v>3655836</x:v>
      </x:c>
      <x:c r="G1385" s="11" t="n">
        <x:v>7493336</x:v>
      </x:c>
      <x:c r="H1385" s="11" t="n">
        <x:v>1070360</x:v>
      </x:c>
      <x:c r="I1385" s="11" t="n">
        <x:v>14118000</x:v>
      </x:c>
      <x:c r="J1385" s="11" t="n">
        <x:v>418000</x:v>
      </x:c>
      <x:c r="K1385" s="12" t="n">
        <x:v>0.6720979818052857</x:v>
      </x:c>
      <x:c r="L1385" s="12" t="n">
        <x:v>0.9703924068564953</x:v>
      </x:c>
      <x:c r="M1385" s="8" t="str">
        <x:v>Yes</x:v>
      </x:c>
    </x:row>
    <x:row r="1386">
      <x:c r="A1386" s="8" t="str">
        <x:v>Quesnel|Water System</x:v>
      </x:c>
      <x:c r="B1386" s="8" t="str">
        <x:v>quesnel-c</x:v>
      </x:c>
      <x:c r="C1386" s="8" t="str">
        <x:v>Quesnel</x:v>
      </x:c>
      <x:c r="D1386" s="8" t="str">
        <x:v>Water System</x:v>
      </x:c>
      <x:c r="E1386" s="11" t="n">
        <x:v>35368093</x:v>
      </x:c>
      <x:c r="F1386" s="11" t="n">
        <x:v>19029223</x:v>
      </x:c>
      <x:c r="G1386" s="11" t="n">
        <x:v>16338870</x:v>
      </x:c>
      <x:c r="H1386" s="11" t="n">
        <x:v>888439</x:v>
      </x:c>
      <x:c r="I1386" s="11" t="n">
        <x:v>144569000</x:v>
      </x:c>
      <x:c r="J1386" s="11" t="n">
        <x:v>2133000</x:v>
      </x:c>
      <x:c r="K1386" s="12" t="n">
        <x:v>0.4619663830899789</x:v>
      </x:c>
      <x:c r="L1386" s="12" t="n">
        <x:v>0.9852457995835898</x:v>
      </x:c>
      <x:c r="M1386" s="8" t="str">
        <x:v>Yes</x:v>
      </x:c>
    </x:row>
    <x:row r="1387">
      <x:c r="A1387" s="8" t="str">
        <x:v>Quesnel|Sewer System</x:v>
      </x:c>
      <x:c r="B1387" s="8" t="str">
        <x:v>quesnel-c</x:v>
      </x:c>
      <x:c r="C1387" s="8" t="str">
        <x:v>Quesnel</x:v>
      </x:c>
      <x:c r="D1387" s="8" t="str">
        <x:v>Sewer System</x:v>
      </x:c>
      <x:c r="E1387" s="11" t="n">
        <x:v>10571848</x:v>
      </x:c>
      <x:c r="F1387" s="11" t="n">
        <x:v>9286771</x:v>
      </x:c>
      <x:c r="G1387" s="11" t="n">
        <x:v>1285077</x:v>
      </x:c>
      <x:c r="H1387" s="11" t="n">
        <x:v>1002525</x:v>
      </x:c>
      <x:c r="I1387" s="11" t="n">
        <x:v>42508000</x:v>
      </x:c>
      <x:c r="J1387" s="11" t="n">
        <x:v>624000</x:v>
      </x:c>
      <x:c r="K1387" s="12" t="n">
        <x:v>0.12155651500097239</x:v>
      </x:c>
      <x:c r="L1387" s="12" t="n">
        <x:v>0.9853204102757128</x:v>
      </x:c>
      <x:c r="M1387" s="8" t="str">
        <x:v>Yes</x:v>
      </x:c>
    </x:row>
    <x:row r="1388">
      <x:c r="A1388" s="8" t="str">
        <x:v>Quesnel|Drainage System</x:v>
      </x:c>
      <x:c r="B1388" s="8" t="str">
        <x:v>quesnel-c</x:v>
      </x:c>
      <x:c r="C1388" s="8" t="str">
        <x:v>Quesnel</x:v>
      </x:c>
      <x:c r="D1388" s="8" t="str">
        <x:v>Drainage System</x:v>
      </x:c>
      <x:c r="E1388" s="11" t="n">
        <x:v>17126333</x:v>
      </x:c>
      <x:c r="F1388" s="11" t="n">
        <x:v>8868657</x:v>
      </x:c>
      <x:c r="G1388" s="11" t="n">
        <x:v>8257676</x:v>
      </x:c>
      <x:c r="H1388" s="11" t="n">
        <x:v>0</x:v>
      </x:c>
      <x:c r="I1388" s="11" t="n">
        <x:v>46289000</x:v>
      </x:c>
      <x:c r="J1388" s="11" t="n">
        <x:v>1659000</x:v>
      </x:c>
      <x:c r="K1388" s="12" t="n">
        <x:v>0.4821625271446024</x:v>
      </x:c>
      <x:c r="L1388" s="12" t="n">
        <x:v>0.9641599516083734</x:v>
      </x:c>
      <x:c r="M1388" s="8" t="str">
        <x:v>Yes</x:v>
      </x:c>
    </x:row>
    <x:row r="1389">
      <x:c r="A1389" s="8" t="str">
        <x:v>Quesnel|Transportation System</x:v>
      </x:c>
      <x:c r="B1389" s="8" t="str">
        <x:v>quesnel-c</x:v>
      </x:c>
      <x:c r="C1389" s="8" t="str">
        <x:v>Quesnel</x:v>
      </x:c>
      <x:c r="D1389" s="8" t="str">
        <x:v>Transportation System</x:v>
      </x:c>
      <x:c r="E1389" s="11" t="n">
        <x:v>40212242</x:v>
      </x:c>
      <x:c r="F1389" s="11" t="n">
        <x:v>16189097</x:v>
      </x:c>
      <x:c r="G1389" s="11" t="n">
        <x:v>24023145</x:v>
      </x:c>
      <x:c r="H1389" s="11" t="n">
        <x:v>1092477</x:v>
      </x:c>
      <x:c r="I1389" s="11" t="n">
        <x:v>241104000</x:v>
      </x:c>
      <x:c r="J1389" s="11" t="n">
        <x:v>4548000</x:v>
      </x:c>
      <x:c r="K1389" s="12" t="n">
        <x:v>0.5974087443321364</x:v>
      </x:c>
      <x:c r="L1389" s="12" t="n">
        <x:v>0.9811367708540712</x:v>
      </x:c>
      <x:c r="M1389" s="8" t="str">
        <x:v>Yes</x:v>
      </x:c>
    </x:row>
    <x:row r="1390">
      <x:c r="A1390" s="8" t="str">
        <x:v>Quesnel|Other Engineering Systems</x:v>
      </x:c>
      <x:c r="B1390" s="8" t="str">
        <x:v>quesnel-c</x:v>
      </x:c>
      <x:c r="C1390" s="8" t="str">
        <x:v>Quesnel</x:v>
      </x:c>
      <x:c r="D1390" s="8" t="str">
        <x:v>Other Engineering Systems</x:v>
      </x:c>
      <x:c r="E1390" s="11" t="n">
        <x:v>0</x:v>
      </x:c>
      <x:c r="F1390" s="11" t="n">
        <x:v>0</x:v>
      </x:c>
      <x:c r="G1390" s="11" t="n">
        <x:v>0</x:v>
      </x:c>
      <x:c r="H1390" s="11" t="n">
        <x:v>0</x:v>
      </x:c>
      <x:c r="I1390" s="11" t="n">
        <x:v>0</x:v>
      </x:c>
      <x:c r="J1390" s="11" t="n">
        <x:v>0</x:v>
      </x:c>
      <x:c r="K1390" s="12"/>
      <x:c r="L1390" s="12"/>
      <x:c r="M1390" s="8" t="str">
        <x:v>Yes</x:v>
      </x:c>
    </x:row>
    <x:row r="1391">
      <x:c r="A1391" s="8" t="str">
        <x:v>Quesnel|Other Tangible Capital Assets</x:v>
      </x:c>
      <x:c r="B1391" s="8" t="str">
        <x:v>quesnel-c</x:v>
      </x:c>
      <x:c r="C1391" s="8" t="str">
        <x:v>Quesnel</x:v>
      </x:c>
      <x:c r="D1391" s="8" t="str">
        <x:v>Other Tangible Capital Assets</x:v>
      </x:c>
      <x:c r="E1391" s="11" t="n">
        <x:v>43870789</x:v>
      </x:c>
      <x:c r="F1391" s="11" t="n">
        <x:v>16852597</x:v>
      </x:c>
      <x:c r="G1391" s="11" t="n">
        <x:v>27018192</x:v>
      </x:c>
      <x:c r="H1391" s="11" t="n">
        <x:v>1841929</x:v>
      </x:c>
      <x:c r="I1391" s="11" t="n">
        <x:v>27940000</x:v>
      </x:c>
      <x:c r="J1391" s="11" t="n">
        <x:v>735000</x:v>
      </x:c>
      <x:c r="K1391" s="12" t="n">
        <x:v>0.6158583562287882</x:v>
      </x:c>
      <x:c r="L1391" s="12" t="n">
        <x:v>0.9736936292054402</x:v>
      </x:c>
      <x:c r="M1391" s="8" t="str">
        <x:v>N/A</x:v>
      </x:c>
    </x:row>
    <x:row r="1392">
      <x:c r="A1392" s="8" t="str">
        <x:v>Quesnel|Work In Progress</x:v>
      </x:c>
      <x:c r="B1392" s="8" t="str">
        <x:v>quesnel-c</x:v>
      </x:c>
      <x:c r="C1392" s="8" t="str">
        <x:v>Quesnel</x:v>
      </x:c>
      <x:c r="D1392" s="8" t="str">
        <x:v>Work In Progress</x:v>
      </x:c>
      <x:c r="E1392" s="11" t="n">
        <x:v>1471635</x:v>
      </x:c>
      <x:c r="F1392" s="11"/>
      <x:c r="G1392" s="11" t="n">
        <x:v>1471635</x:v>
      </x:c>
      <x:c r="H1392" s="11" t="n">
        <x:v>291817</x:v>
      </x:c>
      <x:c r="I1392" s="11" t="n">
        <x:v>1471635</x:v>
      </x:c>
      <x:c r="J1392" s="11"/>
      <x:c r="K1392" s="12" t="n">
        <x:v>1</x:v>
      </x:c>
      <x:c r="L1392" s="12"/>
      <x:c r="M1392" s="8" t="str">
        <x:v>N/A</x:v>
      </x:c>
    </x:row>
    <x:row r="1393">
      <x:c r="A1393" s="8" t="str">
        <x:v>Quesnel|Total TCA</x:v>
      </x:c>
      <x:c r="B1393" s="8" t="str">
        <x:v>quesnel-c</x:v>
      </x:c>
      <x:c r="C1393" s="8" t="str">
        <x:v>Quesnel</x:v>
      </x:c>
      <x:c r="D1393" s="8" t="str">
        <x:v>Total TCA</x:v>
      </x:c>
      <x:c r="E1393" s="11" t="n">
        <x:v>232255541</x:v>
      </x:c>
      <x:c r="F1393" s="11" t="n">
        <x:v>96226018</x:v>
      </x:c>
      <x:c r="G1393" s="11" t="n">
        <x:v>136029523</x:v>
      </x:c>
      <x:c r="H1393" s="11" t="n">
        <x:v>7480826</x:v>
      </x:c>
      <x:c r="I1393" s="11" t="n">
        <x:v>610384337</x:v>
      </x:c>
      <x:c r="J1393" s="11" t="n">
        <x:v>11944400</x:v>
      </x:c>
      <x:c r="K1393" s="12" t="n">
        <x:v>0.5856890320649013</x:v>
      </x:c>
      <x:c r="L1393" s="12" t="n">
        <x:v>0.9804313458325193</x:v>
      </x:c>
      <x:c r="M1393" s="8"/>
    </x:row>
    <x:row r="1394">
      <x:c r="A1394" s="8" t="str">
        <x:v>Radium Hot Springs|Land</x:v>
      </x:c>
      <x:c r="B1394" s="8" t="str">
        <x:v>radium-hot-springs-v</x:v>
      </x:c>
      <x:c r="C1394" s="8" t="str">
        <x:v>Radium Hot Springs</x:v>
      </x:c>
      <x:c r="D1394" s="8" t="str">
        <x:v>Land</x:v>
      </x:c>
      <x:c r="E1394" s="11" t="n">
        <x:v>1935454</x:v>
      </x:c>
      <x:c r="F1394" s="11"/>
      <x:c r="G1394" s="11" t="n">
        <x:v>1935454</x:v>
      </x:c>
      <x:c r="H1394" s="11" t="n">
        <x:v>0</x:v>
      </x:c>
      <x:c r="I1394" s="11" t="n">
        <x:v>1935454</x:v>
      </x:c>
      <x:c r="J1394" s="11"/>
      <x:c r="K1394" s="12" t="n">
        <x:v>1</x:v>
      </x:c>
      <x:c r="L1394" s="12"/>
      <x:c r="M1394" s="8" t="str">
        <x:v>N/A</x:v>
      </x:c>
    </x:row>
    <x:row r="1395">
      <x:c r="A1395" s="8" t="str">
        <x:v>Radium Hot Springs|Buildings</x:v>
      </x:c>
      <x:c r="B1395" s="8" t="str">
        <x:v>radium-hot-springs-v</x:v>
      </x:c>
      <x:c r="C1395" s="8" t="str">
        <x:v>Radium Hot Springs</x:v>
      </x:c>
      <x:c r="D1395" s="8" t="str">
        <x:v>Buildings</x:v>
      </x:c>
      <x:c r="E1395" s="11" t="n">
        <x:v>14205826</x:v>
      </x:c>
      <x:c r="F1395" s="11" t="n">
        <x:v>3620320</x:v>
      </x:c>
      <x:c r="G1395" s="11" t="n">
        <x:v>10585506</x:v>
      </x:c>
      <x:c r="H1395" s="11" t="n">
        <x:v>107033</x:v>
      </x:c>
      <x:c r="I1395" s="11" t="n">
        <x:v>20000000</x:v>
      </x:c>
      <x:c r="J1395" s="11" t="n">
        <x:v>400000</x:v>
      </x:c>
      <x:c r="K1395" s="12" t="n">
        <x:v>0.7451524466088773</x:v>
      </x:c>
      <x:c r="L1395" s="12" t="n">
        <x:v>0.98</x:v>
      </x:c>
      <x:c r="M1395" s="8" t="str">
        <x:v>Yes</x:v>
      </x:c>
    </x:row>
    <x:row r="1396">
      <x:c r="A1396" s="8" t="str">
        <x:v>Radium Hot Springs|Fleet</x:v>
      </x:c>
      <x:c r="B1396" s="8" t="str">
        <x:v>radium-hot-springs-v</x:v>
      </x:c>
      <x:c r="C1396" s="8" t="str">
        <x:v>Radium Hot Springs</x:v>
      </x:c>
      <x:c r="D1396" s="8" t="str">
        <x:v>Fleet</x:v>
      </x:c>
      <x:c r="E1396" s="11" t="n">
        <x:v>2610449</x:v>
      </x:c>
      <x:c r="F1396" s="11" t="n">
        <x:v>771603</x:v>
      </x:c>
      <x:c r="G1396" s="11" t="n">
        <x:v>1838846</x:v>
      </x:c>
      <x:c r="H1396" s="11" t="n">
        <x:v>268687</x:v>
      </x:c>
      <x:c r="I1396" s="11" t="n">
        <x:v>3500000</x:v>
      </x:c>
      <x:c r="J1396" s="11" t="n">
        <x:v>195000</x:v>
      </x:c>
      <x:c r="K1396" s="12" t="n">
        <x:v>0.704417515913929</x:v>
      </x:c>
      <x:c r="L1396" s="12" t="n">
        <x:v>0.9442857142857143</x:v>
      </x:c>
      <x:c r="M1396" s="8" t="str">
        <x:v>Yes</x:v>
      </x:c>
    </x:row>
    <x:row r="1397">
      <x:c r="A1397" s="8" t="str">
        <x:v>Radium Hot Springs|Parks and Recreation</x:v>
      </x:c>
      <x:c r="B1397" s="8" t="str">
        <x:v>radium-hot-springs-v</x:v>
      </x:c>
      <x:c r="C1397" s="8" t="str">
        <x:v>Radium Hot Springs</x:v>
      </x:c>
      <x:c r="D1397" s="8" t="str">
        <x:v>Parks and Recreation</x:v>
      </x:c>
      <x:c r="E1397" s="11" t="n">
        <x:v>2630365</x:v>
      </x:c>
      <x:c r="F1397" s="11" t="n">
        <x:v>1173281</x:v>
      </x:c>
      <x:c r="G1397" s="11" t="n">
        <x:v>1457084</x:v>
      </x:c>
      <x:c r="H1397" s="11" t="n">
        <x:v>22050</x:v>
      </x:c>
      <x:c r="I1397" s="11" t="n">
        <x:v>3000000</x:v>
      </x:c>
      <x:c r="J1397" s="11" t="n">
        <x:v>100000</x:v>
      </x:c>
      <x:c r="K1397" s="12" t="n">
        <x:v>0.553947455961435</x:v>
      </x:c>
      <x:c r="L1397" s="12" t="n">
        <x:v>0.9666666666666667</x:v>
      </x:c>
      <x:c r="M1397" s="8" t="str">
        <x:v>Yes</x:v>
      </x:c>
    </x:row>
    <x:row r="1398">
      <x:c r="A1398" s="8" t="str">
        <x:v>Radium Hot Springs|Water System</x:v>
      </x:c>
      <x:c r="B1398" s="8" t="str">
        <x:v>radium-hot-springs-v</x:v>
      </x:c>
      <x:c r="C1398" s="8" t="str">
        <x:v>Radium Hot Springs</x:v>
      </x:c>
      <x:c r="D1398" s="8" t="str">
        <x:v>Water System</x:v>
      </x:c>
      <x:c r="E1398" s="11" t="n">
        <x:v>10822878</x:v>
      </x:c>
      <x:c r="F1398" s="11" t="n">
        <x:v>3459002</x:v>
      </x:c>
      <x:c r="G1398" s="11" t="n">
        <x:v>7363876</x:v>
      </x:c>
      <x:c r="H1398" s="11" t="n">
        <x:v>0</x:v>
      </x:c>
      <x:c r="I1398" s="11" t="n">
        <x:v>15000000</x:v>
      </x:c>
      <x:c r="J1398" s="11" t="n">
        <x:v>150000</x:v>
      </x:c>
      <x:c r="K1398" s="12" t="n">
        <x:v>0.6803990583650671</x:v>
      </x:c>
      <x:c r="L1398" s="12" t="n">
        <x:v>0.99</x:v>
      </x:c>
      <x:c r="M1398" s="8" t="str">
        <x:v>Yes</x:v>
      </x:c>
    </x:row>
    <x:row r="1399">
      <x:c r="A1399" s="8" t="str">
        <x:v>Radium Hot Springs|Sewer System</x:v>
      </x:c>
      <x:c r="B1399" s="8" t="str">
        <x:v>radium-hot-springs-v</x:v>
      </x:c>
      <x:c r="C1399" s="8" t="str">
        <x:v>Radium Hot Springs</x:v>
      </x:c>
      <x:c r="D1399" s="8" t="str">
        <x:v>Sewer System</x:v>
      </x:c>
      <x:c r="E1399" s="11" t="n">
        <x:v>4131060</x:v>
      </x:c>
      <x:c r="F1399" s="11" t="n">
        <x:v>1193231</x:v>
      </x:c>
      <x:c r="G1399" s="11" t="n">
        <x:v>2937829</x:v>
      </x:c>
      <x:c r="H1399" s="11" t="n">
        <x:v>0</x:v>
      </x:c>
      <x:c r="I1399" s="11" t="n">
        <x:v>7500000</x:v>
      </x:c>
      <x:c r="J1399" s="11" t="n">
        <x:v>75000</x:v>
      </x:c>
      <x:c r="K1399" s="12" t="n">
        <x:v>0.7111562165642716</x:v>
      </x:c>
      <x:c r="L1399" s="12" t="n">
        <x:v>0.99</x:v>
      </x:c>
      <x:c r="M1399" s="8" t="str">
        <x:v>Yes</x:v>
      </x:c>
    </x:row>
    <x:row r="1400">
      <x:c r="A1400" s="8" t="str">
        <x:v>Radium Hot Springs|Drainage System</x:v>
      </x:c>
      <x:c r="B1400" s="8" t="str">
        <x:v>radium-hot-springs-v</x:v>
      </x:c>
      <x:c r="C1400" s="8" t="str">
        <x:v>Radium Hot Springs</x:v>
      </x:c>
      <x:c r="D1400" s="8" t="str">
        <x:v>Drainage System</x:v>
      </x:c>
      <x:c r="E1400" s="11" t="n">
        <x:v>930980</x:v>
      </x:c>
      <x:c r="F1400" s="11" t="n">
        <x:v>235846</x:v>
      </x:c>
      <x:c r="G1400" s="11" t="n">
        <x:v>695134</x:v>
      </x:c>
      <x:c r="H1400" s="11" t="n">
        <x:v>0</x:v>
      </x:c>
      <x:c r="I1400" s="11" t="n">
        <x:v>1000000</x:v>
      </x:c>
      <x:c r="J1400" s="11" t="n">
        <x:v>10000</x:v>
      </x:c>
      <x:c r="K1400" s="12" t="n">
        <x:v>0.7466691013770436</x:v>
      </x:c>
      <x:c r="L1400" s="12" t="n">
        <x:v>0.99</x:v>
      </x:c>
      <x:c r="M1400" s="8" t="str">
        <x:v>No</x:v>
      </x:c>
    </x:row>
    <x:row r="1401">
      <x:c r="A1401" s="8" t="str">
        <x:v>Radium Hot Springs|Transportation System</x:v>
      </x:c>
      <x:c r="B1401" s="8" t="str">
        <x:v>radium-hot-springs-v</x:v>
      </x:c>
      <x:c r="C1401" s="8" t="str">
        <x:v>Radium Hot Springs</x:v>
      </x:c>
      <x:c r="D1401" s="8" t="str">
        <x:v>Transportation System</x:v>
      </x:c>
      <x:c r="E1401" s="11" t="n">
        <x:v>11705923</x:v>
      </x:c>
      <x:c r="F1401" s="11" t="n">
        <x:v>5428718</x:v>
      </x:c>
      <x:c r="G1401" s="11" t="n">
        <x:v>6277205</x:v>
      </x:c>
      <x:c r="H1401" s="11" t="n">
        <x:v>1508487</x:v>
      </x:c>
      <x:c r="I1401" s="11" t="n">
        <x:v>15000000</x:v>
      </x:c>
      <x:c r="J1401" s="11" t="n">
        <x:v>0</x:v>
      </x:c>
      <x:c r="K1401" s="12" t="n">
        <x:v>0.536241781190599</x:v>
      </x:c>
      <x:c r="L1401" s="12" t="n">
        <x:v>1</x:v>
      </x:c>
      <x:c r="M1401" s="8" t="str">
        <x:v>Yes</x:v>
      </x:c>
    </x:row>
    <x:row r="1402">
      <x:c r="A1402" s="8" t="str">
        <x:v>Radium Hot Springs|Other Engineering Systems</x:v>
      </x:c>
      <x:c r="B1402" s="8" t="str">
        <x:v>radium-hot-springs-v</x:v>
      </x:c>
      <x:c r="C1402" s="8" t="str">
        <x:v>Radium Hot Springs</x:v>
      </x:c>
      <x:c r="D1402" s="8" t="str">
        <x:v>Other Engineering Systems</x:v>
      </x:c>
      <x:c r="E1402" s="11" t="n">
        <x:v>0</x:v>
      </x:c>
      <x:c r="F1402" s="11" t="n">
        <x:v>0</x:v>
      </x:c>
      <x:c r="G1402" s="11" t="n">
        <x:v>0</x:v>
      </x:c>
      <x:c r="H1402" s="11" t="n">
        <x:v>0</x:v>
      </x:c>
      <x:c r="I1402" s="11" t="n">
        <x:v>0</x:v>
      </x:c>
      <x:c r="J1402" s="11" t="n">
        <x:v>0</x:v>
      </x:c>
      <x:c r="K1402" s="12"/>
      <x:c r="L1402" s="12"/>
      <x:c r="M1402" s="8"/>
    </x:row>
    <x:row r="1403">
      <x:c r="A1403" s="8" t="str">
        <x:v>Radium Hot Springs|Other Tangible Capital Assets</x:v>
      </x:c>
      <x:c r="B1403" s="8" t="str">
        <x:v>radium-hot-springs-v</x:v>
      </x:c>
      <x:c r="C1403" s="8" t="str">
        <x:v>Radium Hot Springs</x:v>
      </x:c>
      <x:c r="D1403" s="8" t="str">
        <x:v>Other Tangible Capital Assets</x:v>
      </x:c>
      <x:c r="E1403" s="11" t="n">
        <x:v>5973634</x:v>
      </x:c>
      <x:c r="F1403" s="11" t="n">
        <x:v>3583926</x:v>
      </x:c>
      <x:c r="G1403" s="11" t="n">
        <x:v>2389708</x:v>
      </x:c>
      <x:c r="H1403" s="11" t="n">
        <x:v>89392</x:v>
      </x:c>
      <x:c r="I1403" s="11" t="n">
        <x:v>6000000</x:v>
      </x:c>
      <x:c r="J1403" s="11" t="n">
        <x:v>240000</x:v>
      </x:c>
      <x:c r="K1403" s="12" t="n">
        <x:v>0.4000425871420981</x:v>
      </x:c>
      <x:c r="L1403" s="12" t="n">
        <x:v>0.96</x:v>
      </x:c>
      <x:c r="M1403" s="8" t="str">
        <x:v>N/A</x:v>
      </x:c>
    </x:row>
    <x:row r="1404">
      <x:c r="A1404" s="8" t="str">
        <x:v>Radium Hot Springs|Work In Progress</x:v>
      </x:c>
      <x:c r="B1404" s="8" t="str">
        <x:v>radium-hot-springs-v</x:v>
      </x:c>
      <x:c r="C1404" s="8" t="str">
        <x:v>Radium Hot Springs</x:v>
      </x:c>
      <x:c r="D1404" s="8" t="str">
        <x:v>Work In Progress</x:v>
      </x:c>
      <x:c r="E1404" s="11" t="n">
        <x:v>404975</x:v>
      </x:c>
      <x:c r="F1404" s="11"/>
      <x:c r="G1404" s="11" t="n">
        <x:v>404975</x:v>
      </x:c>
      <x:c r="H1404" s="11" t="n">
        <x:v>235321</x:v>
      </x:c>
      <x:c r="I1404" s="11" t="n">
        <x:v>404975</x:v>
      </x:c>
      <x:c r="J1404" s="11"/>
      <x:c r="K1404" s="12" t="n">
        <x:v>1</x:v>
      </x:c>
      <x:c r="L1404" s="12"/>
      <x:c r="M1404" s="8" t="str">
        <x:v>N/A</x:v>
      </x:c>
    </x:row>
    <x:row r="1405">
      <x:c r="A1405" s="8" t="str">
        <x:v>Radium Hot Springs|Total TCA</x:v>
      </x:c>
      <x:c r="B1405" s="8" t="str">
        <x:v>radium-hot-springs-v</x:v>
      </x:c>
      <x:c r="C1405" s="8" t="str">
        <x:v>Radium Hot Springs</x:v>
      </x:c>
      <x:c r="D1405" s="8" t="str">
        <x:v>Total TCA</x:v>
      </x:c>
      <x:c r="E1405" s="11" t="n">
        <x:v>55351544</x:v>
      </x:c>
      <x:c r="F1405" s="11" t="n">
        <x:v>19465927</x:v>
      </x:c>
      <x:c r="G1405" s="11" t="n">
        <x:v>35885617</x:v>
      </x:c>
      <x:c r="H1405" s="11" t="n">
        <x:v>2230970</x:v>
      </x:c>
      <x:c r="I1405" s="11" t="n">
        <x:v>73340429</x:v>
      </x:c>
      <x:c r="J1405" s="11" t="n">
        <x:v>1170000</x:v>
      </x:c>
      <x:c r="K1405" s="12" t="n">
        <x:v>0.6483218787898671</x:v>
      </x:c>
      <x:c r="L1405" s="12" t="n">
        <x:v>0.9840469981434115</x:v>
      </x:c>
      <x:c r="M1405" s="8"/>
    </x:row>
    <x:row r="1406">
      <x:c r="A1406" s="8" t="str">
        <x:v>Revelstoke|Land</x:v>
      </x:c>
      <x:c r="B1406" s="8" t="str">
        <x:v>revelstoke-c</x:v>
      </x:c>
      <x:c r="C1406" s="8" t="str">
        <x:v>Revelstoke</x:v>
      </x:c>
      <x:c r="D1406" s="8" t="str">
        <x:v>Land</x:v>
      </x:c>
      <x:c r="E1406" s="11" t="n">
        <x:v>16635772</x:v>
      </x:c>
      <x:c r="F1406" s="11"/>
      <x:c r="G1406" s="11" t="n">
        <x:v>16635772</x:v>
      </x:c>
      <x:c r="H1406" s="11" t="n">
        <x:v>1350000</x:v>
      </x:c>
      <x:c r="I1406" s="11" t="n">
        <x:v>16635772</x:v>
      </x:c>
      <x:c r="J1406" s="11"/>
      <x:c r="K1406" s="12" t="n">
        <x:v>1</x:v>
      </x:c>
      <x:c r="L1406" s="12"/>
      <x:c r="M1406" s="8" t="str">
        <x:v>N/A</x:v>
      </x:c>
    </x:row>
    <x:row r="1407">
      <x:c r="A1407" s="8" t="str">
        <x:v>Revelstoke|Buildings</x:v>
      </x:c>
      <x:c r="B1407" s="8" t="str">
        <x:v>revelstoke-c</x:v>
      </x:c>
      <x:c r="C1407" s="8" t="str">
        <x:v>Revelstoke</x:v>
      </x:c>
      <x:c r="D1407" s="8" t="str">
        <x:v>Buildings</x:v>
      </x:c>
      <x:c r="E1407" s="11" t="n">
        <x:v>22689380</x:v>
      </x:c>
      <x:c r="F1407" s="11" t="n">
        <x:v>7524416</x:v>
      </x:c>
      <x:c r="G1407" s="11" t="n">
        <x:v>15164964</x:v>
      </x:c>
      <x:c r="H1407" s="11" t="n">
        <x:v>2071136</x:v>
      </x:c>
      <x:c r="I1407" s="11" t="n">
        <x:v>40000000</x:v>
      </x:c>
      <x:c r="J1407" s="11" t="n">
        <x:v>570000</x:v>
      </x:c>
      <x:c r="K1407" s="12" t="n">
        <x:v>0.668372780569588</x:v>
      </x:c>
      <x:c r="L1407" s="12" t="n">
        <x:v>0.98575</x:v>
      </x:c>
      <x:c r="M1407" s="8" t="str">
        <x:v>No</x:v>
      </x:c>
    </x:row>
    <x:row r="1408">
      <x:c r="A1408" s="8" t="str">
        <x:v>Revelstoke|Fleet</x:v>
      </x:c>
      <x:c r="B1408" s="8" t="str">
        <x:v>revelstoke-c</x:v>
      </x:c>
      <x:c r="C1408" s="8" t="str">
        <x:v>Revelstoke</x:v>
      </x:c>
      <x:c r="D1408" s="8" t="str">
        <x:v>Fleet</x:v>
      </x:c>
      <x:c r="E1408" s="11" t="n">
        <x:v>30275509</x:v>
      </x:c>
      <x:c r="F1408" s="11" t="n">
        <x:v>16086680</x:v>
      </x:c>
      <x:c r="G1408" s="11" t="n">
        <x:v>14188829</x:v>
      </x:c>
      <x:c r="H1408" s="11" t="n">
        <x:v>1770715</x:v>
      </x:c>
      <x:c r="I1408" s="11" t="n">
        <x:v>50000000</x:v>
      </x:c>
      <x:c r="J1408" s="11" t="n">
        <x:v>3000000</x:v>
      </x:c>
      <x:c r="K1408" s="12" t="n">
        <x:v>0.46865699268672906</x:v>
      </x:c>
      <x:c r="L1408" s="12" t="n">
        <x:v>0.94</x:v>
      </x:c>
      <x:c r="M1408" s="8" t="str">
        <x:v>No</x:v>
      </x:c>
    </x:row>
    <x:row r="1409">
      <x:c r="A1409" s="8" t="str">
        <x:v>Revelstoke|Parks and Recreation</x:v>
      </x:c>
      <x:c r="B1409" s="8" t="str">
        <x:v>revelstoke-c</x:v>
      </x:c>
      <x:c r="C1409" s="8" t="str">
        <x:v>Revelstoke</x:v>
      </x:c>
      <x:c r="D1409" s="8" t="str">
        <x:v>Parks and Recreation</x:v>
      </x:c>
      <x:c r="E1409" s="11" t="n">
        <x:v>0</x:v>
      </x:c>
      <x:c r="F1409" s="11" t="n">
        <x:v>0</x:v>
      </x:c>
      <x:c r="G1409" s="11" t="n">
        <x:v>0</x:v>
      </x:c>
      <x:c r="H1409" s="11" t="n">
        <x:v>0</x:v>
      </x:c>
      <x:c r="I1409" s="11" t="n">
        <x:v>0</x:v>
      </x:c>
      <x:c r="J1409" s="11" t="n">
        <x:v>0</x:v>
      </x:c>
      <x:c r="K1409" s="12"/>
      <x:c r="L1409" s="12"/>
      <x:c r="M1409" s="8"/>
    </x:row>
    <x:row r="1410">
      <x:c r="A1410" s="8" t="str">
        <x:v>Revelstoke|Water System</x:v>
      </x:c>
      <x:c r="B1410" s="8" t="str">
        <x:v>revelstoke-c</x:v>
      </x:c>
      <x:c r="C1410" s="8" t="str">
        <x:v>Revelstoke</x:v>
      </x:c>
      <x:c r="D1410" s="8" t="str">
        <x:v>Water System</x:v>
      </x:c>
      <x:c r="E1410" s="11" t="n">
        <x:v>33812536</x:v>
      </x:c>
      <x:c r="F1410" s="11" t="n">
        <x:v>11569678</x:v>
      </x:c>
      <x:c r="G1410" s="11" t="n">
        <x:v>22242858</x:v>
      </x:c>
      <x:c r="H1410" s="11" t="n">
        <x:v>1844055</x:v>
      </x:c>
      <x:c r="I1410" s="11" t="n">
        <x:v>60000000</x:v>
      </x:c>
      <x:c r="J1410" s="11" t="n">
        <x:v>2000000</x:v>
      </x:c>
      <x:c r="K1410" s="12" t="n">
        <x:v>0.6578287413875138</x:v>
      </x:c>
      <x:c r="L1410" s="12" t="n">
        <x:v>0.9666666666666667</x:v>
      </x:c>
      <x:c r="M1410" s="8" t="str">
        <x:v>In_Progress</x:v>
      </x:c>
    </x:row>
    <x:row r="1411">
      <x:c r="A1411" s="8" t="str">
        <x:v>Revelstoke|Sewer System</x:v>
      </x:c>
      <x:c r="B1411" s="8" t="str">
        <x:v>revelstoke-c</x:v>
      </x:c>
      <x:c r="C1411" s="8" t="str">
        <x:v>Revelstoke</x:v>
      </x:c>
      <x:c r="D1411" s="8" t="str">
        <x:v>Sewer System</x:v>
      </x:c>
      <x:c r="E1411" s="11" t="n">
        <x:v>19913916</x:v>
      </x:c>
      <x:c r="F1411" s="11" t="n">
        <x:v>7305656</x:v>
      </x:c>
      <x:c r="G1411" s="11" t="n">
        <x:v>12608260</x:v>
      </x:c>
      <x:c r="H1411" s="11" t="n">
        <x:v>1462070</x:v>
      </x:c>
      <x:c r="I1411" s="11" t="n">
        <x:v>80000000</x:v>
      </x:c>
      <x:c r="J1411" s="11" t="n">
        <x:v>2000000</x:v>
      </x:c>
      <x:c r="K1411" s="12" t="n">
        <x:v>0.633138153239172</x:v>
      </x:c>
      <x:c r="L1411" s="12" t="n">
        <x:v>0.975</x:v>
      </x:c>
      <x:c r="M1411" s="8" t="str">
        <x:v>In_Progress</x:v>
      </x:c>
    </x:row>
    <x:row r="1412">
      <x:c r="A1412" s="8" t="str">
        <x:v>Revelstoke|Drainage System</x:v>
      </x:c>
      <x:c r="B1412" s="8" t="str">
        <x:v>revelstoke-c</x:v>
      </x:c>
      <x:c r="C1412" s="8" t="str">
        <x:v>Revelstoke</x:v>
      </x:c>
      <x:c r="D1412" s="8" t="str">
        <x:v>Drainage System</x:v>
      </x:c>
      <x:c r="E1412" s="11" t="n">
        <x:v>0</x:v>
      </x:c>
      <x:c r="F1412" s="11" t="n">
        <x:v>0</x:v>
      </x:c>
      <x:c r="G1412" s="11" t="n">
        <x:v>0</x:v>
      </x:c>
      <x:c r="H1412" s="11" t="n">
        <x:v>0</x:v>
      </x:c>
      <x:c r="I1412" s="11" t="n">
        <x:v>0</x:v>
      </x:c>
      <x:c r="J1412" s="11" t="n">
        <x:v>0</x:v>
      </x:c>
      <x:c r="K1412" s="12"/>
      <x:c r="L1412" s="12"/>
      <x:c r="M1412" s="8"/>
    </x:row>
    <x:row r="1413">
      <x:c r="A1413" s="8" t="str">
        <x:v>Revelstoke|Transportation System</x:v>
      </x:c>
      <x:c r="B1413" s="8" t="str">
        <x:v>revelstoke-c</x:v>
      </x:c>
      <x:c r="C1413" s="8" t="str">
        <x:v>Revelstoke</x:v>
      </x:c>
      <x:c r="D1413" s="8" t="str">
        <x:v>Transportation System</x:v>
      </x:c>
      <x:c r="E1413" s="11" t="n">
        <x:v>52220154</x:v>
      </x:c>
      <x:c r="F1413" s="11" t="n">
        <x:v>25340847</x:v>
      </x:c>
      <x:c r="G1413" s="11" t="n">
        <x:v>26879307</x:v>
      </x:c>
      <x:c r="H1413" s="11" t="n">
        <x:v>3267986</x:v>
      </x:c>
      <x:c r="I1413" s="11" t="n">
        <x:v>100000000</x:v>
      </x:c>
      <x:c r="J1413" s="11" t="n">
        <x:v>0</x:v>
      </x:c>
      <x:c r="K1413" s="12" t="n">
        <x:v>0.5147305195614704</x:v>
      </x:c>
      <x:c r="L1413" s="12" t="n">
        <x:v>1</x:v>
      </x:c>
      <x:c r="M1413" s="8" t="str">
        <x:v>In_Progress</x:v>
      </x:c>
    </x:row>
    <x:row r="1414">
      <x:c r="A1414" s="8" t="str">
        <x:v>Revelstoke|Other Engineering Systems</x:v>
      </x:c>
      <x:c r="B1414" s="8" t="str">
        <x:v>revelstoke-c</x:v>
      </x:c>
      <x:c r="C1414" s="8" t="str">
        <x:v>Revelstoke</x:v>
      </x:c>
      <x:c r="D1414" s="8" t="str">
        <x:v>Other Engineering Systems</x:v>
      </x:c>
      <x:c r="E1414" s="11" t="n">
        <x:v>0</x:v>
      </x:c>
      <x:c r="F1414" s="11" t="n">
        <x:v>0</x:v>
      </x:c>
      <x:c r="G1414" s="11" t="n">
        <x:v>0</x:v>
      </x:c>
      <x:c r="H1414" s="11" t="n">
        <x:v>0</x:v>
      </x:c>
      <x:c r="I1414" s="11" t="n">
        <x:v>0</x:v>
      </x:c>
      <x:c r="J1414" s="11" t="n">
        <x:v>0</x:v>
      </x:c>
      <x:c r="K1414" s="12"/>
      <x:c r="L1414" s="12"/>
      <x:c r="M1414" s="8"/>
    </x:row>
    <x:row r="1415">
      <x:c r="A1415" s="8" t="str">
        <x:v>Revelstoke|Other Tangible Capital Assets</x:v>
      </x:c>
      <x:c r="B1415" s="8" t="str">
        <x:v>revelstoke-c</x:v>
      </x:c>
      <x:c r="C1415" s="8" t="str">
        <x:v>Revelstoke</x:v>
      </x:c>
      <x:c r="D1415" s="8" t="str">
        <x:v>Other Tangible Capital Assets</x:v>
      </x:c>
      <x:c r="E1415" s="11" t="n">
        <x:v>0</x:v>
      </x:c>
      <x:c r="F1415" s="11" t="n">
        <x:v>0</x:v>
      </x:c>
      <x:c r="G1415" s="11" t="n">
        <x:v>0</x:v>
      </x:c>
      <x:c r="H1415" s="11" t="n">
        <x:v>0</x:v>
      </x:c>
      <x:c r="I1415" s="11" t="n">
        <x:v>0</x:v>
      </x:c>
      <x:c r="J1415" s="11" t="n">
        <x:v>0</x:v>
      </x:c>
      <x:c r="K1415" s="12"/>
      <x:c r="L1415" s="12"/>
      <x:c r="M1415" s="8" t="str">
        <x:v>N/A</x:v>
      </x:c>
    </x:row>
    <x:row r="1416">
      <x:c r="A1416" s="8" t="str">
        <x:v>Revelstoke|Work In Progress</x:v>
      </x:c>
      <x:c r="B1416" s="8" t="str">
        <x:v>revelstoke-c</x:v>
      </x:c>
      <x:c r="C1416" s="8" t="str">
        <x:v>Revelstoke</x:v>
      </x:c>
      <x:c r="D1416" s="8" t="str">
        <x:v>Work In Progress</x:v>
      </x:c>
      <x:c r="E1416" s="11" t="n">
        <x:v>3265763</x:v>
      </x:c>
      <x:c r="F1416" s="11"/>
      <x:c r="G1416" s="11" t="n">
        <x:v>3265763</x:v>
      </x:c>
      <x:c r="H1416" s="11" t="n">
        <x:v>678185</x:v>
      </x:c>
      <x:c r="I1416" s="11" t="n">
        <x:v>3265763</x:v>
      </x:c>
      <x:c r="J1416" s="11"/>
      <x:c r="K1416" s="12" t="n">
        <x:v>1</x:v>
      </x:c>
      <x:c r="L1416" s="12"/>
      <x:c r="M1416" s="8" t="str">
        <x:v>N/A</x:v>
      </x:c>
    </x:row>
    <x:row r="1417">
      <x:c r="A1417" s="8" t="str">
        <x:v>Revelstoke|Total TCA</x:v>
      </x:c>
      <x:c r="B1417" s="8" t="str">
        <x:v>revelstoke-c</x:v>
      </x:c>
      <x:c r="C1417" s="8" t="str">
        <x:v>Revelstoke</x:v>
      </x:c>
      <x:c r="D1417" s="8" t="str">
        <x:v>Total TCA</x:v>
      </x:c>
      <x:c r="E1417" s="11" t="n">
        <x:v>178813030</x:v>
      </x:c>
      <x:c r="F1417" s="11" t="n">
        <x:v>67827277</x:v>
      </x:c>
      <x:c r="G1417" s="11" t="n">
        <x:v>110985753</x:v>
      </x:c>
      <x:c r="H1417" s="11" t="n">
        <x:v>12444147</x:v>
      </x:c>
      <x:c r="I1417" s="11" t="n">
        <x:v>349901535</x:v>
      </x:c>
      <x:c r="J1417" s="11" t="n">
        <x:v>7570000</x:v>
      </x:c>
      <x:c r="K1417" s="12" t="n">
        <x:v>0.6206804560048002</x:v>
      </x:c>
      <x:c r="L1417" s="12" t="n">
        <x:v>0.978365342124035</x:v>
      </x:c>
      <x:c r="M1417" s="8"/>
    </x:row>
    <x:row r="1418">
      <x:c r="A1418" s="8" t="str">
        <x:v>Richmond|Land</x:v>
      </x:c>
      <x:c r="B1418" s="8" t="str">
        <x:v>richmond-c</x:v>
      </x:c>
      <x:c r="C1418" s="8" t="str">
        <x:v>Richmond</x:v>
      </x:c>
      <x:c r="D1418" s="8" t="str">
        <x:v>Land</x:v>
      </x:c>
      <x:c r="E1418" s="11" t="n">
        <x:v>1285311769</x:v>
      </x:c>
      <x:c r="F1418" s="11"/>
      <x:c r="G1418" s="11" t="n">
        <x:v>1285311769</x:v>
      </x:c>
      <x:c r="H1418" s="11" t="n">
        <x:v>93570320</x:v>
      </x:c>
      <x:c r="I1418" s="11" t="n">
        <x:v>1285311769</x:v>
      </x:c>
      <x:c r="J1418" s="11"/>
      <x:c r="K1418" s="12" t="n">
        <x:v>1</x:v>
      </x:c>
      <x:c r="L1418" s="12"/>
      <x:c r="M1418" s="8" t="str">
        <x:v>N/A</x:v>
      </x:c>
    </x:row>
    <x:row r="1419">
      <x:c r="A1419" s="8" t="str">
        <x:v>Richmond|Buildings</x:v>
      </x:c>
      <x:c r="B1419" s="8" t="str">
        <x:v>richmond-c</x:v>
      </x:c>
      <x:c r="C1419" s="8" t="str">
        <x:v>Richmond</x:v>
      </x:c>
      <x:c r="D1419" s="8" t="str">
        <x:v>Buildings</x:v>
      </x:c>
      <x:c r="E1419" s="11" t="n">
        <x:v>651967102</x:v>
      </x:c>
      <x:c r="F1419" s="11" t="n">
        <x:v>286911529</x:v>
      </x:c>
      <x:c r="G1419" s="11" t="n">
        <x:v>365055573</x:v>
      </x:c>
      <x:c r="H1419" s="11" t="n">
        <x:v>31170632</x:v>
      </x:c>
      <x:c r="I1419" s="11" t="n">
        <x:v>1991066042</x:v>
      </x:c>
      <x:c r="J1419" s="11" t="n">
        <x:v>72683718</x:v>
      </x:c>
      <x:c r="K1419" s="12" t="n">
        <x:v>0.5599294379733902</x:v>
      </x:c>
      <x:c r="L1419" s="12" t="n">
        <x:v>0.9634950742633378</x:v>
      </x:c>
      <x:c r="M1419" s="8" t="str">
        <x:v>Yes</x:v>
      </x:c>
    </x:row>
    <x:row r="1420">
      <x:c r="A1420" s="8" t="str">
        <x:v>Richmond|Fleet</x:v>
      </x:c>
      <x:c r="B1420" s="8" t="str">
        <x:v>richmond-c</x:v>
      </x:c>
      <x:c r="C1420" s="8" t="str">
        <x:v>Richmond</x:v>
      </x:c>
      <x:c r="D1420" s="8" t="str">
        <x:v>Fleet</x:v>
      </x:c>
      <x:c r="E1420" s="11" t="n">
        <x:v>37146314</x:v>
      </x:c>
      <x:c r="F1420" s="11" t="n">
        <x:v>23518096</x:v>
      </x:c>
      <x:c r="G1420" s="11" t="n">
        <x:v>13628218</x:v>
      </x:c>
      <x:c r="H1420" s="11" t="n">
        <x:v>5477799</x:v>
      </x:c>
      <x:c r="I1420" s="11" t="n">
        <x:v>44439379</x:v>
      </x:c>
      <x:c r="J1420" s="11" t="n">
        <x:v>4909598</x:v>
      </x:c>
      <x:c r="K1420" s="12" t="n">
        <x:v>0.36687941635339644</x:v>
      </x:c>
      <x:c r="L1420" s="12" t="n">
        <x:v>0.8895214534838571</x:v>
      </x:c>
      <x:c r="M1420" s="8" t="str">
        <x:v>Yes</x:v>
      </x:c>
    </x:row>
    <x:row r="1421">
      <x:c r="A1421" s="8" t="str">
        <x:v>Richmond|Parks and Recreation</x:v>
      </x:c>
      <x:c r="B1421" s="8" t="str">
        <x:v>richmond-c</x:v>
      </x:c>
      <x:c r="C1421" s="8" t="str">
        <x:v>Richmond</x:v>
      </x:c>
      <x:c r="D1421" s="8" t="str">
        <x:v>Parks and Recreation</x:v>
      </x:c>
      <x:c r="E1421" s="11" t="n">
        <x:v>143134798</x:v>
      </x:c>
      <x:c r="F1421" s="11" t="n">
        <x:v>82373419</x:v>
      </x:c>
      <x:c r="G1421" s="11" t="n">
        <x:v>60761379</x:v>
      </x:c>
      <x:c r="H1421" s="11" t="n">
        <x:v>1485359</x:v>
      </x:c>
      <x:c r="I1421" s="11" t="n">
        <x:v>1634302234</x:v>
      </x:c>
      <x:c r="J1421" s="11" t="n">
        <x:v>61433480</x:v>
      </x:c>
      <x:c r="K1421" s="12" t="n">
        <x:v>0.42450459181840605</x:v>
      </x:c>
      <x:c r="L1421" s="12" t="n">
        <x:v>0.9624099638843179</x:v>
      </x:c>
      <x:c r="M1421" s="8" t="str">
        <x:v>Yes</x:v>
      </x:c>
    </x:row>
    <x:row r="1422">
      <x:c r="A1422" s="8" t="str">
        <x:v>Richmond|Water System</x:v>
      </x:c>
      <x:c r="B1422" s="8" t="str">
        <x:v>richmond-c</x:v>
      </x:c>
      <x:c r="C1422" s="8" t="str">
        <x:v>Richmond</x:v>
      </x:c>
      <x:c r="D1422" s="8" t="str">
        <x:v>Water System</x:v>
      </x:c>
      <x:c r="E1422" s="11" t="n">
        <x:v>316481691</x:v>
      </x:c>
      <x:c r="F1422" s="11" t="n">
        <x:v>132763191</x:v>
      </x:c>
      <x:c r="G1422" s="11" t="n">
        <x:v>183718500</x:v>
      </x:c>
      <x:c r="H1422" s="11" t="n">
        <x:v>6262106</x:v>
      </x:c>
      <x:c r="I1422" s="11" t="n">
        <x:v>947724000</x:v>
      </x:c>
      <x:c r="J1422" s="11" t="n">
        <x:v>20081086</x:v>
      </x:c>
      <x:c r="K1422" s="12" t="n">
        <x:v>0.5805027754354358</x:v>
      </x:c>
      <x:c r="L1422" s="12" t="n">
        <x:v>0.9788112509549194</x:v>
      </x:c>
      <x:c r="M1422" s="8" t="str">
        <x:v>Yes</x:v>
      </x:c>
    </x:row>
    <x:row r="1423">
      <x:c r="A1423" s="8" t="str">
        <x:v>Richmond|Sewer System</x:v>
      </x:c>
      <x:c r="B1423" s="8" t="str">
        <x:v>richmond-c</x:v>
      </x:c>
      <x:c r="C1423" s="8" t="str">
        <x:v>Richmond</x:v>
      </x:c>
      <x:c r="D1423" s="8" t="str">
        <x:v>Sewer System</x:v>
      </x:c>
      <x:c r="E1423" s="11" t="n">
        <x:v>269395896</x:v>
      </x:c>
      <x:c r="F1423" s="11" t="n">
        <x:v>130098257</x:v>
      </x:c>
      <x:c r="G1423" s="11" t="n">
        <x:v>139297639</x:v>
      </x:c>
      <x:c r="H1423" s="11" t="n">
        <x:v>1761235</x:v>
      </x:c>
      <x:c r="I1423" s="11" t="n">
        <x:v>1189522000</x:v>
      </x:c>
      <x:c r="J1423" s="11" t="n">
        <x:v>20337481</x:v>
      </x:c>
      <x:c r="K1423" s="12" t="n">
        <x:v>0.5170740945511657</x:v>
      </x:c>
      <x:c r="L1423" s="12" t="n">
        <x:v>0.9829028122220522</x:v>
      </x:c>
      <x:c r="M1423" s="8" t="str">
        <x:v>Yes</x:v>
      </x:c>
    </x:row>
    <x:row r="1424">
      <x:c r="A1424" s="8" t="str">
        <x:v>Richmond|Drainage System</x:v>
      </x:c>
      <x:c r="B1424" s="8" t="str">
        <x:v>richmond-c</x:v>
      </x:c>
      <x:c r="C1424" s="8" t="str">
        <x:v>Richmond</x:v>
      </x:c>
      <x:c r="D1424" s="8" t="str">
        <x:v>Drainage System</x:v>
      </x:c>
      <x:c r="E1424" s="11" t="n">
        <x:v>596323364</x:v>
      </x:c>
      <x:c r="F1424" s="11" t="n">
        <x:v>260317071</x:v>
      </x:c>
      <x:c r="G1424" s="11" t="n">
        <x:v>336006293</x:v>
      </x:c>
      <x:c r="H1424" s="11" t="n">
        <x:v>9586133</x:v>
      </x:c>
      <x:c r="I1424" s="11" t="n">
        <x:v>1862616000</x:v>
      </x:c>
      <x:c r="J1424" s="11" t="n">
        <x:v>27983153</x:v>
      </x:c>
      <x:c r="K1424" s="12" t="n">
        <x:v>0.5634632370366088</x:v>
      </x:c>
      <x:c r="L1424" s="12" t="n">
        <x:v>0.984976424018692</x:v>
      </x:c>
      <x:c r="M1424" s="8" t="str">
        <x:v>Yes</x:v>
      </x:c>
    </x:row>
    <x:row r="1425">
      <x:c r="A1425" s="8" t="str">
        <x:v>Richmond|Transportation System</x:v>
      </x:c>
      <x:c r="B1425" s="8" t="str">
        <x:v>richmond-c</x:v>
      </x:c>
      <x:c r="C1425" s="8" t="str">
        <x:v>Richmond</x:v>
      </x:c>
      <x:c r="D1425" s="8" t="str">
        <x:v>Transportation System</x:v>
      </x:c>
      <x:c r="E1425" s="11" t="n">
        <x:v>760041290</x:v>
      </x:c>
      <x:c r="F1425" s="11" t="n">
        <x:v>437749889</x:v>
      </x:c>
      <x:c r="G1425" s="11" t="n">
        <x:v>322291401</x:v>
      </x:c>
      <x:c r="H1425" s="11" t="n">
        <x:v>21708114</x:v>
      </x:c>
      <x:c r="I1425" s="11" t="n">
        <x:v>1240542149</x:v>
      </x:c>
      <x:c r="J1425" s="11" t="n">
        <x:v>31908127</x:v>
      </x:c>
      <x:c r="K1425" s="12" t="n">
        <x:v>0.4240445949982533</x:v>
      </x:c>
      <x:c r="L1425" s="12" t="n">
        <x:v>0.974278885223109</x:v>
      </x:c>
      <x:c r="M1425" s="8" t="str">
        <x:v>Yes</x:v>
      </x:c>
    </x:row>
    <x:row r="1426">
      <x:c r="A1426" s="8" t="str">
        <x:v>Richmond|Other Engineering Systems</x:v>
      </x:c>
      <x:c r="B1426" s="8" t="str">
        <x:v>richmond-c</x:v>
      </x:c>
      <x:c r="C1426" s="8" t="str">
        <x:v>Richmond</x:v>
      </x:c>
      <x:c r="D1426" s="8" t="str">
        <x:v>Other Engineering Systems</x:v>
      </x:c>
      <x:c r="E1426" s="11" t="n">
        <x:v>0</x:v>
      </x:c>
      <x:c r="F1426" s="11" t="n">
        <x:v>0</x:v>
      </x:c>
      <x:c r="G1426" s="11" t="n">
        <x:v>0</x:v>
      </x:c>
      <x:c r="H1426" s="11" t="n">
        <x:v>0</x:v>
      </x:c>
      <x:c r="I1426" s="11" t="n">
        <x:v>0</x:v>
      </x:c>
      <x:c r="J1426" s="11" t="n">
        <x:v>0</x:v>
      </x:c>
      <x:c r="K1426" s="12"/>
      <x:c r="L1426" s="12"/>
      <x:c r="M1426" s="8"/>
    </x:row>
    <x:row r="1427">
      <x:c r="A1427" s="8" t="str">
        <x:v>Richmond|Other Tangible Capital Assets</x:v>
      </x:c>
      <x:c r="B1427" s="8" t="str">
        <x:v>richmond-c</x:v>
      </x:c>
      <x:c r="C1427" s="8" t="str">
        <x:v>Richmond</x:v>
      </x:c>
      <x:c r="D1427" s="8" t="str">
        <x:v>Other Tangible Capital Assets</x:v>
      </x:c>
      <x:c r="E1427" s="11" t="n">
        <x:v>120956468</x:v>
      </x:c>
      <x:c r="F1427" s="11" t="n">
        <x:v>93772695</x:v>
      </x:c>
      <x:c r="G1427" s="11" t="n">
        <x:v>27183773</x:v>
      </x:c>
      <x:c r="H1427" s="11" t="n">
        <x:v>5483757</x:v>
      </x:c>
      <x:c r="I1427" s="11" t="n">
        <x:v>130423860</x:v>
      </x:c>
      <x:c r="J1427" s="11" t="n">
        <x:v>18502587</x:v>
      </x:c>
      <x:c r="K1427" s="12" t="n">
        <x:v>0.2247401354345102</x:v>
      </x:c>
      <x:c r="L1427" s="12" t="n">
        <x:v>0.8581349532209828</x:v>
      </x:c>
      <x:c r="M1427" s="8" t="str">
        <x:v>N/A</x:v>
      </x:c>
    </x:row>
    <x:row r="1428">
      <x:c r="A1428" s="8" t="str">
        <x:v>Richmond|Work In Progress</x:v>
      </x:c>
      <x:c r="B1428" s="8" t="str">
        <x:v>richmond-c</x:v>
      </x:c>
      <x:c r="C1428" s="8" t="str">
        <x:v>Richmond</x:v>
      </x:c>
      <x:c r="D1428" s="8" t="str">
        <x:v>Work In Progress</x:v>
      </x:c>
      <x:c r="E1428" s="11" t="n">
        <x:v>107673230</x:v>
      </x:c>
      <x:c r="F1428" s="11"/>
      <x:c r="G1428" s="11" t="n">
        <x:v>107673230</x:v>
      </x:c>
      <x:c r="H1428" s="11" t="n">
        <x:v>41937659</x:v>
      </x:c>
      <x:c r="I1428" s="11" t="n">
        <x:v>107673230</x:v>
      </x:c>
      <x:c r="J1428" s="11"/>
      <x:c r="K1428" s="12" t="n">
        <x:v>1</x:v>
      </x:c>
      <x:c r="L1428" s="12"/>
      <x:c r="M1428" s="8" t="str">
        <x:v>N/A</x:v>
      </x:c>
    </x:row>
    <x:row r="1429">
      <x:c r="A1429" s="8" t="str">
        <x:v>Richmond|Total TCA</x:v>
      </x:c>
      <x:c r="B1429" s="8" t="str">
        <x:v>richmond-c</x:v>
      </x:c>
      <x:c r="C1429" s="8" t="str">
        <x:v>Richmond</x:v>
      </x:c>
      <x:c r="D1429" s="8" t="str">
        <x:v>Total TCA</x:v>
      </x:c>
      <x:c r="E1429" s="11" t="n">
        <x:v>4288431922</x:v>
      </x:c>
      <x:c r="F1429" s="11" t="n">
        <x:v>1447504147</x:v>
      </x:c>
      <x:c r="G1429" s="11" t="n">
        <x:v>2840927775</x:v>
      </x:c>
      <x:c r="H1429" s="11" t="n">
        <x:v>218443114</x:v>
      </x:c>
      <x:c r="I1429" s="11" t="n">
        <x:v>10433620663</x:v>
      </x:c>
      <x:c r="J1429" s="11" t="n">
        <x:v>257839230</x:v>
      </x:c>
      <x:c r="K1429" s="12" t="n">
        <x:v>0.6624630696422654</x:v>
      </x:c>
      <x:c r="L1429" s="12" t="n">
        <x:v>0.9752876553280917</x:v>
      </x:c>
      <x:c r="M1429" s="8"/>
    </x:row>
    <x:row r="1430">
      <x:c r="A1430" s="8" t="str">
        <x:v>Rossland|Land</x:v>
      </x:c>
      <x:c r="B1430" s="8" t="str">
        <x:v>rossland-c</x:v>
      </x:c>
      <x:c r="C1430" s="8" t="str">
        <x:v>Rossland</x:v>
      </x:c>
      <x:c r="D1430" s="8" t="str">
        <x:v>Land</x:v>
      </x:c>
      <x:c r="E1430" s="11" t="n">
        <x:v>9487525</x:v>
      </x:c>
      <x:c r="F1430" s="11"/>
      <x:c r="G1430" s="11" t="n">
        <x:v>9487525</x:v>
      </x:c>
      <x:c r="H1430" s="11" t="n">
        <x:v>81380</x:v>
      </x:c>
      <x:c r="I1430" s="11" t="n">
        <x:v>9487525</x:v>
      </x:c>
      <x:c r="J1430" s="11"/>
      <x:c r="K1430" s="12" t="n">
        <x:v>1</x:v>
      </x:c>
      <x:c r="L1430" s="12"/>
      <x:c r="M1430" s="8" t="str">
        <x:v>N/A</x:v>
      </x:c>
    </x:row>
    <x:row r="1431">
      <x:c r="A1431" s="8" t="str">
        <x:v>Rossland|Buildings</x:v>
      </x:c>
      <x:c r="B1431" s="8" t="str">
        <x:v>rossland-c</x:v>
      </x:c>
      <x:c r="C1431" s="8" t="str">
        <x:v>Rossland</x:v>
      </x:c>
      <x:c r="D1431" s="8" t="str">
        <x:v>Buildings</x:v>
      </x:c>
      <x:c r="E1431" s="11" t="n">
        <x:v>21536006</x:v>
      </x:c>
      <x:c r="F1431" s="11" t="n">
        <x:v>10552958</x:v>
      </x:c>
      <x:c r="G1431" s="11" t="n">
        <x:v>10983048</x:v>
      </x:c>
      <x:c r="H1431" s="11" t="n">
        <x:v>273462</x:v>
      </x:c>
      <x:c r="I1431" s="11" t="n">
        <x:v>40400000</x:v>
      </x:c>
      <x:c r="J1431" s="11" t="n">
        <x:v>1400000</x:v>
      </x:c>
      <x:c r="K1431" s="12" t="n">
        <x:v>0.5099853705464235</x:v>
      </x:c>
      <x:c r="L1431" s="12" t="n">
        <x:v>0.9653465346534653</x:v>
      </x:c>
      <x:c r="M1431" s="8" t="str">
        <x:v>In_Progress</x:v>
      </x:c>
    </x:row>
    <x:row r="1432">
      <x:c r="A1432" s="8" t="str">
        <x:v>Rossland|Fleet</x:v>
      </x:c>
      <x:c r="B1432" s="8" t="str">
        <x:v>rossland-c</x:v>
      </x:c>
      <x:c r="C1432" s="8" t="str">
        <x:v>Rossland</x:v>
      </x:c>
      <x:c r="D1432" s="8" t="str">
        <x:v>Fleet</x:v>
      </x:c>
      <x:c r="E1432" s="11" t="n">
        <x:v>6056266</x:v>
      </x:c>
      <x:c r="F1432" s="11" t="n">
        <x:v>3320873</x:v>
      </x:c>
      <x:c r="G1432" s="11" t="n">
        <x:v>2735393</x:v>
      </x:c>
      <x:c r="H1432" s="11" t="n">
        <x:v>1225100</x:v>
      </x:c>
      <x:c r="I1432" s="11" t="n">
        <x:v>6100000</x:v>
      </x:c>
      <x:c r="J1432" s="11" t="n">
        <x:v>458000</x:v>
      </x:c>
      <x:c r="K1432" s="12" t="n">
        <x:v>0.45166328559544777</x:v>
      </x:c>
      <x:c r="L1432" s="12" t="n">
        <x:v>0.9249180327868852</x:v>
      </x:c>
      <x:c r="M1432" s="8" t="str">
        <x:v>In_Progress</x:v>
      </x:c>
    </x:row>
    <x:row r="1433">
      <x:c r="A1433" s="8" t="str">
        <x:v>Rossland|Parks and Recreation</x:v>
      </x:c>
      <x:c r="B1433" s="8" t="str">
        <x:v>rossland-c</x:v>
      </x:c>
      <x:c r="C1433" s="8" t="str">
        <x:v>Rossland</x:v>
      </x:c>
      <x:c r="D1433" s="8" t="str">
        <x:v>Parks and Recreation</x:v>
      </x:c>
      <x:c r="E1433" s="11" t="n">
        <x:v>0</x:v>
      </x:c>
      <x:c r="F1433" s="11" t="n">
        <x:v>0</x:v>
      </x:c>
      <x:c r="G1433" s="11" t="n">
        <x:v>0</x:v>
      </x:c>
      <x:c r="H1433" s="11" t="n">
        <x:v>0</x:v>
      </x:c>
      <x:c r="I1433" s="11" t="n">
        <x:v>0</x:v>
      </x:c>
      <x:c r="J1433" s="11" t="n">
        <x:v>0</x:v>
      </x:c>
      <x:c r="K1433" s="12"/>
      <x:c r="L1433" s="12"/>
      <x:c r="M1433" s="8"/>
    </x:row>
    <x:row r="1434">
      <x:c r="A1434" s="8" t="str">
        <x:v>Rossland|Water System</x:v>
      </x:c>
      <x:c r="B1434" s="8" t="str">
        <x:v>rossland-c</x:v>
      </x:c>
      <x:c r="C1434" s="8" t="str">
        <x:v>Rossland</x:v>
      </x:c>
      <x:c r="D1434" s="8" t="str">
        <x:v>Water System</x:v>
      </x:c>
      <x:c r="E1434" s="11" t="n">
        <x:v>29418829</x:v>
      </x:c>
      <x:c r="F1434" s="11" t="n">
        <x:v>10934015</x:v>
      </x:c>
      <x:c r="G1434" s="11" t="n">
        <x:v>18484814</x:v>
      </x:c>
      <x:c r="H1434" s="11" t="n">
        <x:v>521821</x:v>
      </x:c>
      <x:c r="I1434" s="11" t="n">
        <x:v>104000000</x:v>
      </x:c>
      <x:c r="J1434" s="11" t="n">
        <x:v>2400000</x:v>
      </x:c>
      <x:c r="K1434" s="12" t="n">
        <x:v>0.6283327592678825</x:v>
      </x:c>
      <x:c r="L1434" s="12" t="n">
        <x:v>0.9769230769230769</x:v>
      </x:c>
      <x:c r="M1434" s="8" t="str">
        <x:v>In_Progress</x:v>
      </x:c>
    </x:row>
    <x:row r="1435">
      <x:c r="A1435" s="8" t="str">
        <x:v>Rossland|Sewer System</x:v>
      </x:c>
      <x:c r="B1435" s="8" t="str">
        <x:v>rossland-c</x:v>
      </x:c>
      <x:c r="C1435" s="8" t="str">
        <x:v>Rossland</x:v>
      </x:c>
      <x:c r="D1435" s="8" t="str">
        <x:v>Sewer System</x:v>
      </x:c>
      <x:c r="E1435" s="11" t="n">
        <x:v>12045859</x:v>
      </x:c>
      <x:c r="F1435" s="11" t="n">
        <x:v>4605732</x:v>
      </x:c>
      <x:c r="G1435" s="11" t="n">
        <x:v>7440127</x:v>
      </x:c>
      <x:c r="H1435" s="11" t="n">
        <x:v>128427</x:v>
      </x:c>
      <x:c r="I1435" s="11" t="n">
        <x:v>62000000</x:v>
      </x:c>
      <x:c r="J1435" s="11" t="n">
        <x:v>426000</x:v>
      </x:c>
      <x:c r="K1435" s="12" t="n">
        <x:v>0.6176501816931446</x:v>
      </x:c>
      <x:c r="L1435" s="12" t="n">
        <x:v>0.9931290322580645</x:v>
      </x:c>
      <x:c r="M1435" s="8" t="str">
        <x:v>In_Progress</x:v>
      </x:c>
    </x:row>
    <x:row r="1436">
      <x:c r="A1436" s="8" t="str">
        <x:v>Rossland|Drainage System</x:v>
      </x:c>
      <x:c r="B1436" s="8" t="str">
        <x:v>rossland-c</x:v>
      </x:c>
      <x:c r="C1436" s="8" t="str">
        <x:v>Rossland</x:v>
      </x:c>
      <x:c r="D1436" s="8" t="str">
        <x:v>Drainage System</x:v>
      </x:c>
      <x:c r="E1436" s="11" t="n">
        <x:v>0</x:v>
      </x:c>
      <x:c r="F1436" s="11" t="n">
        <x:v>0</x:v>
      </x:c>
      <x:c r="G1436" s="11" t="n">
        <x:v>0</x:v>
      </x:c>
      <x:c r="H1436" s="11" t="n">
        <x:v>0</x:v>
      </x:c>
      <x:c r="I1436" s="11" t="n">
        <x:v>0</x:v>
      </x:c>
      <x:c r="J1436" s="11" t="n">
        <x:v>0</x:v>
      </x:c>
      <x:c r="K1436" s="12"/>
      <x:c r="L1436" s="12"/>
      <x:c r="M1436" s="8"/>
    </x:row>
    <x:row r="1437">
      <x:c r="A1437" s="8" t="str">
        <x:v>Rossland|Transportation System</x:v>
      </x:c>
      <x:c r="B1437" s="8" t="str">
        <x:v>rossland-c</x:v>
      </x:c>
      <x:c r="C1437" s="8" t="str">
        <x:v>Rossland</x:v>
      </x:c>
      <x:c r="D1437" s="8" t="str">
        <x:v>Transportation System</x:v>
      </x:c>
      <x:c r="E1437" s="11" t="n">
        <x:v>37783933</x:v>
      </x:c>
      <x:c r="F1437" s="11" t="n">
        <x:v>15843676</x:v>
      </x:c>
      <x:c r="G1437" s="11" t="n">
        <x:v>21940257</x:v>
      </x:c>
      <x:c r="H1437" s="11" t="n">
        <x:v>4643160</x:v>
      </x:c>
      <x:c r="I1437" s="11" t="n">
        <x:v>57500000</x:v>
      </x:c>
      <x:c r="J1437" s="11" t="n">
        <x:v>0</x:v>
      </x:c>
      <x:c r="K1437" s="12" t="n">
        <x:v>0.5806768977702771</x:v>
      </x:c>
      <x:c r="L1437" s="12" t="n">
        <x:v>1</x:v>
      </x:c>
      <x:c r="M1437" s="8" t="str">
        <x:v>In_Progress</x:v>
      </x:c>
    </x:row>
    <x:row r="1438">
      <x:c r="A1438" s="8" t="str">
        <x:v>Rossland|Other Engineering Systems</x:v>
      </x:c>
      <x:c r="B1438" s="8" t="str">
        <x:v>rossland-c</x:v>
      </x:c>
      <x:c r="C1438" s="8" t="str">
        <x:v>Rossland</x:v>
      </x:c>
      <x:c r="D1438" s="8" t="str">
        <x:v>Other Engineering Systems</x:v>
      </x:c>
      <x:c r="E1438" s="11" t="n">
        <x:v>0</x:v>
      </x:c>
      <x:c r="F1438" s="11" t="n">
        <x:v>0</x:v>
      </x:c>
      <x:c r="G1438" s="11" t="n">
        <x:v>0</x:v>
      </x:c>
      <x:c r="H1438" s="11" t="n">
        <x:v>0</x:v>
      </x:c>
      <x:c r="I1438" s="11" t="n">
        <x:v>0</x:v>
      </x:c>
      <x:c r="J1438" s="11" t="n">
        <x:v>0</x:v>
      </x:c>
      <x:c r="K1438" s="12"/>
      <x:c r="L1438" s="12"/>
      <x:c r="M1438" s="8"/>
    </x:row>
    <x:row r="1439">
      <x:c r="A1439" s="8" t="str">
        <x:v>Rossland|Other Tangible Capital Assets</x:v>
      </x:c>
      <x:c r="B1439" s="8" t="str">
        <x:v>rossland-c</x:v>
      </x:c>
      <x:c r="C1439" s="8" t="str">
        <x:v>Rossland</x:v>
      </x:c>
      <x:c r="D1439" s="8" t="str">
        <x:v>Other Tangible Capital Assets</x:v>
      </x:c>
      <x:c r="E1439" s="11" t="n">
        <x:v>0</x:v>
      </x:c>
      <x:c r="F1439" s="11" t="n">
        <x:v>0</x:v>
      </x:c>
      <x:c r="G1439" s="11" t="n">
        <x:v>0</x:v>
      </x:c>
      <x:c r="H1439" s="11" t="n">
        <x:v>0</x:v>
      </x:c>
      <x:c r="I1439" s="11" t="n">
        <x:v>0</x:v>
      </x:c>
      <x:c r="J1439" s="11" t="n">
        <x:v>0</x:v>
      </x:c>
      <x:c r="K1439" s="12"/>
      <x:c r="L1439" s="12"/>
      <x:c r="M1439" s="8" t="str">
        <x:v>N/A</x:v>
      </x:c>
    </x:row>
    <x:row r="1440">
      <x:c r="A1440" s="8" t="str">
        <x:v>Rossland|Work In Progress</x:v>
      </x:c>
      <x:c r="B1440" s="8" t="str">
        <x:v>rossland-c</x:v>
      </x:c>
      <x:c r="C1440" s="8" t="str">
        <x:v>Rossland</x:v>
      </x:c>
      <x:c r="D1440" s="8" t="str">
        <x:v>Work In Progress</x:v>
      </x:c>
      <x:c r="E1440" s="11" t="n">
        <x:v>336892</x:v>
      </x:c>
      <x:c r="F1440" s="11"/>
      <x:c r="G1440" s="11" t="n">
        <x:v>336892</x:v>
      </x:c>
      <x:c r="H1440" s="11" t="n">
        <x:v>239850</x:v>
      </x:c>
      <x:c r="I1440" s="11" t="n">
        <x:v>336892</x:v>
      </x:c>
      <x:c r="J1440" s="11"/>
      <x:c r="K1440" s="12" t="n">
        <x:v>1</x:v>
      </x:c>
      <x:c r="L1440" s="12"/>
      <x:c r="M1440" s="8" t="str">
        <x:v>N/A</x:v>
      </x:c>
    </x:row>
    <x:row r="1441">
      <x:c r="A1441" s="8" t="str">
        <x:v>Rossland|Total TCA</x:v>
      </x:c>
      <x:c r="B1441" s="8" t="str">
        <x:v>rossland-c</x:v>
      </x:c>
      <x:c r="C1441" s="8" t="str">
        <x:v>Rossland</x:v>
      </x:c>
      <x:c r="D1441" s="8" t="str">
        <x:v>Total TCA</x:v>
      </x:c>
      <x:c r="E1441" s="11" t="n">
        <x:v>116665310</x:v>
      </x:c>
      <x:c r="F1441" s="11" t="n">
        <x:v>45257254</x:v>
      </x:c>
      <x:c r="G1441" s="11" t="n">
        <x:v>71408056</x:v>
      </x:c>
      <x:c r="H1441" s="11" t="n">
        <x:v>7113200</x:v>
      </x:c>
      <x:c r="I1441" s="11" t="n">
        <x:v>279824417</x:v>
      </x:c>
      <x:c r="J1441" s="11" t="n">
        <x:v>4684000</x:v>
      </x:c>
      <x:c r="K1441" s="12" t="n">
        <x:v>0.6120761690000224</x:v>
      </x:c>
      <x:c r="L1441" s="12" t="n">
        <x:v>0.9832609318006728</x:v>
      </x:c>
      <x:c r="M1441" s="8"/>
    </x:row>
    <x:row r="1442">
      <x:c r="A1442" s="8" t="str">
        <x:v>Saanich|Land</x:v>
      </x:c>
      <x:c r="B1442" s="8" t="str">
        <x:v>saanich-d</x:v>
      </x:c>
      <x:c r="C1442" s="8" t="str">
        <x:v>Saanich</x:v>
      </x:c>
      <x:c r="D1442" s="8" t="str">
        <x:v>Land</x:v>
      </x:c>
      <x:c r="E1442" s="11" t="n">
        <x:v>343097348</x:v>
      </x:c>
      <x:c r="F1442" s="11"/>
      <x:c r="G1442" s="11" t="n">
        <x:v>343097348</x:v>
      </x:c>
      <x:c r="H1442" s="11" t="n">
        <x:v>22181537</x:v>
      </x:c>
      <x:c r="I1442" s="11" t="n">
        <x:v>343097348</x:v>
      </x:c>
      <x:c r="J1442" s="11"/>
      <x:c r="K1442" s="12" t="n">
        <x:v>1</x:v>
      </x:c>
      <x:c r="L1442" s="12"/>
      <x:c r="M1442" s="8" t="str">
        <x:v>N/A</x:v>
      </x:c>
    </x:row>
    <x:row r="1443">
      <x:c r="A1443" s="8" t="str">
        <x:v>Saanich|Buildings</x:v>
      </x:c>
      <x:c r="B1443" s="8" t="str">
        <x:v>saanich-d</x:v>
      </x:c>
      <x:c r="C1443" s="8" t="str">
        <x:v>Saanich</x:v>
      </x:c>
      <x:c r="D1443" s="8" t="str">
        <x:v>Buildings</x:v>
      </x:c>
      <x:c r="E1443" s="11" t="n">
        <x:v>169086044</x:v>
      </x:c>
      <x:c r="F1443" s="11" t="n">
        <x:v>62738242</x:v>
      </x:c>
      <x:c r="G1443" s="11" t="n">
        <x:v>106347802</x:v>
      </x:c>
      <x:c r="H1443" s="11" t="n">
        <x:v>8834002</x:v>
      </x:c>
      <x:c r="I1443" s="11" t="n">
        <x:v>278000000</x:v>
      </x:c>
      <x:c r="J1443" s="11" t="n">
        <x:v>6400000</x:v>
      </x:c>
      <x:c r="K1443" s="12" t="n">
        <x:v>0.6289567103480167</x:v>
      </x:c>
      <x:c r="L1443" s="12" t="n">
        <x:v>0.9769784172661871</x:v>
      </x:c>
      <x:c r="M1443" s="8" t="str">
        <x:v>No</x:v>
      </x:c>
    </x:row>
    <x:row r="1444">
      <x:c r="A1444" s="8" t="str">
        <x:v>Saanich|Fleet</x:v>
      </x:c>
      <x:c r="B1444" s="8" t="str">
        <x:v>saanich-d</x:v>
      </x:c>
      <x:c r="C1444" s="8" t="str">
        <x:v>Saanich</x:v>
      </x:c>
      <x:c r="D1444" s="8" t="str">
        <x:v>Fleet</x:v>
      </x:c>
      <x:c r="E1444" s="11" t="n">
        <x:v>95452254</x:v>
      </x:c>
      <x:c r="F1444" s="11" t="n">
        <x:v>61149608</x:v>
      </x:c>
      <x:c r="G1444" s="11" t="n">
        <x:v>34302646</x:v>
      </x:c>
      <x:c r="H1444" s="11" t="n">
        <x:v>10303998</x:v>
      </x:c>
      <x:c r="I1444" s="11" t="n">
        <x:v>76000000</x:v>
      </x:c>
      <x:c r="J1444" s="11" t="n">
        <x:v>7000000</x:v>
      </x:c>
      <x:c r="K1444" s="12" t="n">
        <x:v>0.3593696802592006</x:v>
      </x:c>
      <x:c r="L1444" s="12" t="n">
        <x:v>0.9078947368421053</x:v>
      </x:c>
      <x:c r="M1444" s="8" t="str">
        <x:v>No</x:v>
      </x:c>
    </x:row>
    <x:row r="1445">
      <x:c r="A1445" s="8" t="str">
        <x:v>Saanich|Parks and Recreation</x:v>
      </x:c>
      <x:c r="B1445" s="8" t="str">
        <x:v>saanich-d</x:v>
      </x:c>
      <x:c r="C1445" s="8" t="str">
        <x:v>Saanich</x:v>
      </x:c>
      <x:c r="D1445" s="8" t="str">
        <x:v>Parks and Recreation</x:v>
      </x:c>
      <x:c r="E1445" s="11" t="n">
        <x:v>48224152</x:v>
      </x:c>
      <x:c r="F1445" s="11" t="n">
        <x:v>36694689</x:v>
      </x:c>
      <x:c r="G1445" s="11" t="n">
        <x:v>11529463</x:v>
      </x:c>
      <x:c r="H1445" s="11" t="n">
        <x:v>767073</x:v>
      </x:c>
      <x:c r="I1445" s="11" t="n">
        <x:v>173000000</x:v>
      </x:c>
      <x:c r="J1445" s="11" t="n">
        <x:v>6500000</x:v>
      </x:c>
      <x:c r="K1445" s="12" t="n">
        <x:v>0.2390806789096053</x:v>
      </x:c>
      <x:c r="L1445" s="12" t="n">
        <x:v>0.9624277456647399</x:v>
      </x:c>
      <x:c r="M1445" s="8" t="str">
        <x:v>No</x:v>
      </x:c>
    </x:row>
    <x:row r="1446">
      <x:c r="A1446" s="8" t="str">
        <x:v>Saanich|Water System</x:v>
      </x:c>
      <x:c r="B1446" s="8" t="str">
        <x:v>saanich-d</x:v>
      </x:c>
      <x:c r="C1446" s="8" t="str">
        <x:v>Saanich</x:v>
      </x:c>
      <x:c r="D1446" s="8" t="str">
        <x:v>Water System</x:v>
      </x:c>
      <x:c r="E1446" s="11" t="n">
        <x:v>177034980</x:v>
      </x:c>
      <x:c r="F1446" s="11" t="n">
        <x:v>67204527</x:v>
      </x:c>
      <x:c r="G1446" s="11" t="n">
        <x:v>109830453</x:v>
      </x:c>
      <x:c r="H1446" s="11" t="n">
        <x:v>4091145</x:v>
      </x:c>
      <x:c r="I1446" s="11" t="n">
        <x:v>835000000</x:v>
      </x:c>
      <x:c r="J1446" s="11" t="n">
        <x:v>13200000</x:v>
      </x:c>
      <x:c r="K1446" s="12" t="n">
        <x:v>0.6203884283207759</x:v>
      </x:c>
      <x:c r="L1446" s="12" t="n">
        <x:v>0.984191616766467</x:v>
      </x:c>
      <x:c r="M1446" s="8" t="str">
        <x:v>No</x:v>
      </x:c>
    </x:row>
    <x:row r="1447">
      <x:c r="A1447" s="8" t="str">
        <x:v>Saanich|Sewer System</x:v>
      </x:c>
      <x:c r="B1447" s="8" t="str">
        <x:v>saanich-d</x:v>
      </x:c>
      <x:c r="C1447" s="8" t="str">
        <x:v>Saanich</x:v>
      </x:c>
      <x:c r="D1447" s="8" t="str">
        <x:v>Sewer System</x:v>
      </x:c>
      <x:c r="E1447" s="11" t="n">
        <x:v>184832057</x:v>
      </x:c>
      <x:c r="F1447" s="11" t="n">
        <x:v>80800880</x:v>
      </x:c>
      <x:c r="G1447" s="11" t="n">
        <x:v>104031177</x:v>
      </x:c>
      <x:c r="H1447" s="11" t="n">
        <x:v>3794330</x:v>
      </x:c>
      <x:c r="I1447" s="11" t="n">
        <x:v>1106000000</x:v>
      </x:c>
      <x:c r="J1447" s="11" t="n">
        <x:v>15800000</x:v>
      </x:c>
      <x:c r="K1447" s="12" t="n">
        <x:v>0.5628416341219424</x:v>
      </x:c>
      <x:c r="L1447" s="12" t="n">
        <x:v>0.9857142857142858</x:v>
      </x:c>
      <x:c r="M1447" s="8" t="str">
        <x:v>No</x:v>
      </x:c>
    </x:row>
    <x:row r="1448">
      <x:c r="A1448" s="8" t="str">
        <x:v>Saanich|Drainage System</x:v>
      </x:c>
      <x:c r="B1448" s="8" t="str">
        <x:v>saanich-d</x:v>
      </x:c>
      <x:c r="C1448" s="8" t="str">
        <x:v>Saanich</x:v>
      </x:c>
      <x:c r="D1448" s="8" t="str">
        <x:v>Drainage System</x:v>
      </x:c>
      <x:c r="E1448" s="11" t="n">
        <x:v>229805349</x:v>
      </x:c>
      <x:c r="F1448" s="11" t="n">
        <x:v>100638949</x:v>
      </x:c>
      <x:c r="G1448" s="11" t="n">
        <x:v>129166400</x:v>
      </x:c>
      <x:c r="H1448" s="11" t="n">
        <x:v>2971525</x:v>
      </x:c>
      <x:c r="I1448" s="11" t="n">
        <x:v>1185000000</x:v>
      </x:c>
      <x:c r="J1448" s="11" t="n">
        <x:v>16900000</x:v>
      </x:c>
      <x:c r="K1448" s="12" t="n">
        <x:v>0.5620687271295848</x:v>
      </x:c>
      <x:c r="L1448" s="12" t="n">
        <x:v>0.9857383966244726</x:v>
      </x:c>
      <x:c r="M1448" s="8" t="str">
        <x:v>No</x:v>
      </x:c>
    </x:row>
    <x:row r="1449">
      <x:c r="A1449" s="8" t="str">
        <x:v>Saanich|Transportation System</x:v>
      </x:c>
      <x:c r="B1449" s="8" t="str">
        <x:v>saanich-d</x:v>
      </x:c>
      <x:c r="C1449" s="8" t="str">
        <x:v>Saanich</x:v>
      </x:c>
      <x:c r="D1449" s="8" t="str">
        <x:v>Transportation System</x:v>
      </x:c>
      <x:c r="E1449" s="11" t="n">
        <x:v>241756053</x:v>
      </x:c>
      <x:c r="F1449" s="11" t="n">
        <x:v>122151593</x:v>
      </x:c>
      <x:c r="G1449" s="11" t="n">
        <x:v>119604460</x:v>
      </x:c>
      <x:c r="H1449" s="11" t="n">
        <x:v>4572043</x:v>
      </x:c>
      <x:c r="I1449" s="11" t="n">
        <x:v>1527000000</x:v>
      </x:c>
      <x:c r="J1449" s="11" t="n">
        <x:v>26500000</x:v>
      </x:c>
      <x:c r="K1449" s="12" t="n">
        <x:v>0.4947320181472354</x:v>
      </x:c>
      <x:c r="L1449" s="12" t="n">
        <x:v>0.9826457105435494</x:v>
      </x:c>
      <x:c r="M1449" s="8" t="str">
        <x:v>No</x:v>
      </x:c>
    </x:row>
    <x:row r="1450">
      <x:c r="A1450" s="8" t="str">
        <x:v>Saanich|Other Engineering Systems</x:v>
      </x:c>
      <x:c r="B1450" s="8" t="str">
        <x:v>saanich-d</x:v>
      </x:c>
      <x:c r="C1450" s="8" t="str">
        <x:v>Saanich</x:v>
      </x:c>
      <x:c r="D1450" s="8" t="str">
        <x:v>Other Engineering Systems</x:v>
      </x:c>
      <x:c r="E1450" s="11" t="n">
        <x:v>0</x:v>
      </x:c>
      <x:c r="F1450" s="11" t="n">
        <x:v>0</x:v>
      </x:c>
      <x:c r="G1450" s="11" t="n">
        <x:v>0</x:v>
      </x:c>
      <x:c r="H1450" s="11" t="n">
        <x:v>0</x:v>
      </x:c>
      <x:c r="I1450" s="11" t="n">
        <x:v>0</x:v>
      </x:c>
      <x:c r="J1450" s="11" t="n">
        <x:v>0</x:v>
      </x:c>
      <x:c r="K1450" s="12"/>
      <x:c r="L1450" s="12"/>
      <x:c r="M1450" s="8"/>
    </x:row>
    <x:row r="1451">
      <x:c r="A1451" s="8" t="str">
        <x:v>Saanich|Other Tangible Capital Assets</x:v>
      </x:c>
      <x:c r="B1451" s="8" t="str">
        <x:v>saanich-d</x:v>
      </x:c>
      <x:c r="C1451" s="8" t="str">
        <x:v>Saanich</x:v>
      </x:c>
      <x:c r="D1451" s="8" t="str">
        <x:v>Other Tangible Capital Assets</x:v>
      </x:c>
      <x:c r="E1451" s="11" t="n">
        <x:v>0</x:v>
      </x:c>
      <x:c r="F1451" s="11" t="n">
        <x:v>0</x:v>
      </x:c>
      <x:c r="G1451" s="11" t="n">
        <x:v>0</x:v>
      </x:c>
      <x:c r="H1451" s="11" t="n">
        <x:v>0</x:v>
      </x:c>
      <x:c r="I1451" s="11" t="n">
        <x:v>0</x:v>
      </x:c>
      <x:c r="J1451" s="11" t="n">
        <x:v>0</x:v>
      </x:c>
      <x:c r="K1451" s="12"/>
      <x:c r="L1451" s="12"/>
      <x:c r="M1451" s="8" t="str">
        <x:v>N/A</x:v>
      </x:c>
    </x:row>
    <x:row r="1452">
      <x:c r="A1452" s="8" t="str">
        <x:v>Saanich|Work In Progress</x:v>
      </x:c>
      <x:c r="B1452" s="8" t="str">
        <x:v>saanich-d</x:v>
      </x:c>
      <x:c r="C1452" s="8" t="str">
        <x:v>Saanich</x:v>
      </x:c>
      <x:c r="D1452" s="8" t="str">
        <x:v>Work In Progress</x:v>
      </x:c>
      <x:c r="E1452" s="11" t="n">
        <x:v>103275824</x:v>
      </x:c>
      <x:c r="F1452" s="11"/>
      <x:c r="G1452" s="11" t="n">
        <x:v>103275824</x:v>
      </x:c>
      <x:c r="H1452" s="11" t="n">
        <x:v>38901914</x:v>
      </x:c>
      <x:c r="I1452" s="11" t="n">
        <x:v>103275824</x:v>
      </x:c>
      <x:c r="J1452" s="11"/>
      <x:c r="K1452" s="12" t="n">
        <x:v>1</x:v>
      </x:c>
      <x:c r="L1452" s="12"/>
      <x:c r="M1452" s="8" t="str">
        <x:v>N/A</x:v>
      </x:c>
    </x:row>
    <x:row r="1453">
      <x:c r="A1453" s="8" t="str">
        <x:v>Saanich|Total TCA</x:v>
      </x:c>
      <x:c r="B1453" s="8" t="str">
        <x:v>saanich-d</x:v>
      </x:c>
      <x:c r="C1453" s="8" t="str">
        <x:v>Saanich</x:v>
      </x:c>
      <x:c r="D1453" s="8" t="str">
        <x:v>Total TCA</x:v>
      </x:c>
      <x:c r="E1453" s="11" t="n">
        <x:v>1592564061</x:v>
      </x:c>
      <x:c r="F1453" s="11" t="n">
        <x:v>531378488</x:v>
      </x:c>
      <x:c r="G1453" s="11" t="n">
        <x:v>1061185573</x:v>
      </x:c>
      <x:c r="H1453" s="11" t="n">
        <x:v>96417567</x:v>
      </x:c>
      <x:c r="I1453" s="11" t="n">
        <x:v>5626373172</x:v>
      </x:c>
      <x:c r="J1453" s="11" t="n">
        <x:v>92300000</x:v>
      </x:c>
      <x:c r="K1453" s="12" t="n">
        <x:v>0.6663377624719612</x:v>
      </x:c>
      <x:c r="L1453" s="12" t="n">
        <x:v>0.9835951158626774</x:v>
      </x:c>
      <x:c r="M1453" s="8"/>
    </x:row>
    <x:row r="1454">
      <x:c r="A1454" s="8" t="str">
        <x:v>Salmo|Land</x:v>
      </x:c>
      <x:c r="B1454" s="8" t="str">
        <x:v>salmo-v</x:v>
      </x:c>
      <x:c r="C1454" s="8" t="str">
        <x:v>Salmo</x:v>
      </x:c>
      <x:c r="D1454" s="8" t="str">
        <x:v>Land</x:v>
      </x:c>
      <x:c r="E1454" s="11" t="n">
        <x:v>1256899</x:v>
      </x:c>
      <x:c r="F1454" s="11"/>
      <x:c r="G1454" s="11" t="n">
        <x:v>1256899</x:v>
      </x:c>
      <x:c r="H1454" s="11" t="n">
        <x:v>0</x:v>
      </x:c>
      <x:c r="I1454" s="11" t="n">
        <x:v>1256899</x:v>
      </x:c>
      <x:c r="J1454" s="11"/>
      <x:c r="K1454" s="12" t="n">
        <x:v>1</x:v>
      </x:c>
      <x:c r="L1454" s="12"/>
      <x:c r="M1454" s="8" t="str">
        <x:v>N/A</x:v>
      </x:c>
    </x:row>
    <x:row r="1455">
      <x:c r="A1455" s="8" t="str">
        <x:v>Salmo|Buildings</x:v>
      </x:c>
      <x:c r="B1455" s="8" t="str">
        <x:v>salmo-v</x:v>
      </x:c>
      <x:c r="C1455" s="8" t="str">
        <x:v>Salmo</x:v>
      </x:c>
      <x:c r="D1455" s="8" t="str">
        <x:v>Buildings</x:v>
      </x:c>
      <x:c r="E1455" s="11" t="n">
        <x:v>3473821</x:v>
      </x:c>
      <x:c r="F1455" s="11" t="n">
        <x:v>1380577</x:v>
      </x:c>
      <x:c r="G1455" s="11" t="n">
        <x:v>2093244</x:v>
      </x:c>
      <x:c r="H1455" s="11" t="n">
        <x:v>96819</x:v>
      </x:c>
      <x:c r="I1455" s="11" t="n">
        <x:v>2950000</x:v>
      </x:c>
      <x:c r="J1455" s="11" t="n">
        <x:v>75750</x:v>
      </x:c>
      <x:c r="K1455" s="12" t="n">
        <x:v>0.6025768167098996</x:v>
      </x:c>
      <x:c r="L1455" s="12" t="n">
        <x:v>0.9743220338983051</x:v>
      </x:c>
      <x:c r="M1455" s="8" t="str">
        <x:v>No</x:v>
      </x:c>
    </x:row>
    <x:row r="1456">
      <x:c r="A1456" s="8" t="str">
        <x:v>Salmo|Fleet</x:v>
      </x:c>
      <x:c r="B1456" s="8" t="str">
        <x:v>salmo-v</x:v>
      </x:c>
      <x:c r="C1456" s="8" t="str">
        <x:v>Salmo</x:v>
      </x:c>
      <x:c r="D1456" s="8" t="str">
        <x:v>Fleet</x:v>
      </x:c>
      <x:c r="E1456" s="11" t="n">
        <x:v>2526904</x:v>
      </x:c>
      <x:c r="F1456" s="11" t="n">
        <x:v>1915998</x:v>
      </x:c>
      <x:c r="G1456" s="11" t="n">
        <x:v>610906</x:v>
      </x:c>
      <x:c r="H1456" s="11" t="n">
        <x:v>31586</x:v>
      </x:c>
      <x:c r="I1456" s="11" t="n">
        <x:v>2527000</x:v>
      </x:c>
      <x:c r="J1456" s="11" t="n">
        <x:v>168467</x:v>
      </x:c>
      <x:c r="K1456" s="12" t="n">
        <x:v>0.24176066839104296</x:v>
      </x:c>
      <x:c r="L1456" s="12" t="n">
        <x:v>0.9333332014246142</x:v>
      </x:c>
      <x:c r="M1456" s="8" t="str">
        <x:v>No</x:v>
      </x:c>
    </x:row>
    <x:row r="1457">
      <x:c r="A1457" s="8" t="str">
        <x:v>Salmo|Parks and Recreation</x:v>
      </x:c>
      <x:c r="B1457" s="8" t="str">
        <x:v>salmo-v</x:v>
      </x:c>
      <x:c r="C1457" s="8" t="str">
        <x:v>Salmo</x:v>
      </x:c>
      <x:c r="D1457" s="8" t="str">
        <x:v>Parks and Recreation</x:v>
      </x:c>
      <x:c r="E1457" s="11" t="n">
        <x:v>0</x:v>
      </x:c>
      <x:c r="F1457" s="11" t="n">
        <x:v>0</x:v>
      </x:c>
      <x:c r="G1457" s="11" t="n">
        <x:v>0</x:v>
      </x:c>
      <x:c r="H1457" s="11" t="n">
        <x:v>0</x:v>
      </x:c>
      <x:c r="I1457" s="11" t="n">
        <x:v>0</x:v>
      </x:c>
      <x:c r="J1457" s="11" t="n">
        <x:v>0</x:v>
      </x:c>
      <x:c r="K1457" s="12"/>
      <x:c r="L1457" s="12"/>
      <x:c r="M1457" s="8"/>
    </x:row>
    <x:row r="1458">
      <x:c r="A1458" s="8" t="str">
        <x:v>Salmo|Water System</x:v>
      </x:c>
      <x:c r="B1458" s="8" t="str">
        <x:v>salmo-v</x:v>
      </x:c>
      <x:c r="C1458" s="8" t="str">
        <x:v>Salmo</x:v>
      </x:c>
      <x:c r="D1458" s="8" t="str">
        <x:v>Water System</x:v>
      </x:c>
      <x:c r="E1458" s="11" t="n">
        <x:v>2599309</x:v>
      </x:c>
      <x:c r="F1458" s="11" t="n">
        <x:v>1062326</x:v>
      </x:c>
      <x:c r="G1458" s="11" t="n">
        <x:v>1536983</x:v>
      </x:c>
      <x:c r="H1458" s="11" t="n">
        <x:v>98441</x:v>
      </x:c>
      <x:c r="I1458" s="11" t="n">
        <x:v>2228380</x:v>
      </x:c>
      <x:c r="J1458" s="11" t="n">
        <x:v>37140</x:v>
      </x:c>
      <x:c r="K1458" s="12" t="n">
        <x:v>0.5913044582233201</x:v>
      </x:c>
      <x:c r="L1458" s="12" t="n">
        <x:v>0.9833331837478347</x:v>
      </x:c>
      <x:c r="M1458" s="8" t="str">
        <x:v>No</x:v>
      </x:c>
    </x:row>
    <x:row r="1459">
      <x:c r="A1459" s="8" t="str">
        <x:v>Salmo|Sewer System</x:v>
      </x:c>
      <x:c r="B1459" s="8" t="str">
        <x:v>salmo-v</x:v>
      </x:c>
      <x:c r="C1459" s="8" t="str">
        <x:v>Salmo</x:v>
      </x:c>
      <x:c r="D1459" s="8" t="str">
        <x:v>Sewer System</x:v>
      </x:c>
      <x:c r="E1459" s="11" t="n">
        <x:v>4051326</x:v>
      </x:c>
      <x:c r="F1459" s="11" t="n">
        <x:v>1714886</x:v>
      </x:c>
      <x:c r="G1459" s="11" t="n">
        <x:v>2336440</x:v>
      </x:c>
      <x:c r="H1459" s="11" t="n">
        <x:v>47989</x:v>
      </x:c>
      <x:c r="I1459" s="11" t="n">
        <x:v>6382000</x:v>
      </x:c>
      <x:c r="J1459" s="11" t="n">
        <x:v>127640</x:v>
      </x:c>
      <x:c r="K1459" s="12" t="n">
        <x:v>0.5767099463237468</x:v>
      </x:c>
      <x:c r="L1459" s="12" t="n">
        <x:v>0.98</x:v>
      </x:c>
      <x:c r="M1459" s="8" t="str">
        <x:v>No</x:v>
      </x:c>
    </x:row>
    <x:row r="1460">
      <x:c r="A1460" s="8" t="str">
        <x:v>Salmo|Drainage System</x:v>
      </x:c>
      <x:c r="B1460" s="8" t="str">
        <x:v>salmo-v</x:v>
      </x:c>
      <x:c r="C1460" s="8" t="str">
        <x:v>Salmo</x:v>
      </x:c>
      <x:c r="D1460" s="8" t="str">
        <x:v>Drainage System</x:v>
      </x:c>
      <x:c r="E1460" s="11" t="n">
        <x:v>0</x:v>
      </x:c>
      <x:c r="F1460" s="11" t="n">
        <x:v>0</x:v>
      </x:c>
      <x:c r="G1460" s="11" t="n">
        <x:v>0</x:v>
      </x:c>
      <x:c r="H1460" s="11" t="n">
        <x:v>0</x:v>
      </x:c>
      <x:c r="I1460" s="11" t="n">
        <x:v>0</x:v>
      </x:c>
      <x:c r="J1460" s="11" t="n">
        <x:v>0</x:v>
      </x:c>
      <x:c r="K1460" s="12"/>
      <x:c r="L1460" s="12"/>
      <x:c r="M1460" s="8"/>
    </x:row>
    <x:row r="1461">
      <x:c r="A1461" s="8" t="str">
        <x:v>Salmo|Transportation System</x:v>
      </x:c>
      <x:c r="B1461" s="8" t="str">
        <x:v>salmo-v</x:v>
      </x:c>
      <x:c r="C1461" s="8" t="str">
        <x:v>Salmo</x:v>
      </x:c>
      <x:c r="D1461" s="8" t="str">
        <x:v>Transportation System</x:v>
      </x:c>
      <x:c r="E1461" s="11" t="n">
        <x:v>3845603</x:v>
      </x:c>
      <x:c r="F1461" s="11" t="n">
        <x:v>2045702</x:v>
      </x:c>
      <x:c r="G1461" s="11" t="n">
        <x:v>1799901</x:v>
      </x:c>
      <x:c r="H1461" s="11" t="n">
        <x:v>68564</x:v>
      </x:c>
      <x:c r="I1461" s="11" t="n">
        <x:v>12390000</x:v>
      </x:c>
      <x:c r="J1461" s="11" t="n">
        <x:v>0</x:v>
      </x:c>
      <x:c r="K1461" s="12" t="n">
        <x:v>0.4680412928739654</x:v>
      </x:c>
      <x:c r="L1461" s="12" t="n">
        <x:v>1</x:v>
      </x:c>
      <x:c r="M1461" s="8" t="str">
        <x:v>No</x:v>
      </x:c>
    </x:row>
    <x:row r="1462">
      <x:c r="A1462" s="8" t="str">
        <x:v>Salmo|Other Engineering Systems</x:v>
      </x:c>
      <x:c r="B1462" s="8" t="str">
        <x:v>salmo-v</x:v>
      </x:c>
      <x:c r="C1462" s="8" t="str">
        <x:v>Salmo</x:v>
      </x:c>
      <x:c r="D1462" s="8" t="str">
        <x:v>Other Engineering Systems</x:v>
      </x:c>
      <x:c r="E1462" s="11" t="n">
        <x:v>0</x:v>
      </x:c>
      <x:c r="F1462" s="11" t="n">
        <x:v>0</x:v>
      </x:c>
      <x:c r="G1462" s="11" t="n">
        <x:v>0</x:v>
      </x:c>
      <x:c r="H1462" s="11" t="n">
        <x:v>0</x:v>
      </x:c>
      <x:c r="I1462" s="11" t="n">
        <x:v>0</x:v>
      </x:c>
      <x:c r="J1462" s="11" t="n">
        <x:v>0</x:v>
      </x:c>
      <x:c r="K1462" s="12"/>
      <x:c r="L1462" s="12"/>
      <x:c r="M1462" s="8"/>
    </x:row>
    <x:row r="1463">
      <x:c r="A1463" s="8" t="str">
        <x:v>Salmo|Other Tangible Capital Assets</x:v>
      </x:c>
      <x:c r="B1463" s="8" t="str">
        <x:v>salmo-v</x:v>
      </x:c>
      <x:c r="C1463" s="8" t="str">
        <x:v>Salmo</x:v>
      </x:c>
      <x:c r="D1463" s="8" t="str">
        <x:v>Other Tangible Capital Assets</x:v>
      </x:c>
      <x:c r="E1463" s="11" t="n">
        <x:v>0</x:v>
      </x:c>
      <x:c r="F1463" s="11" t="n">
        <x:v>0</x:v>
      </x:c>
      <x:c r="G1463" s="11" t="n">
        <x:v>0</x:v>
      </x:c>
      <x:c r="H1463" s="11" t="n">
        <x:v>0</x:v>
      </x:c>
      <x:c r="I1463" s="11" t="n">
        <x:v>0</x:v>
      </x:c>
      <x:c r="J1463" s="11" t="n">
        <x:v>0</x:v>
      </x:c>
      <x:c r="K1463" s="12"/>
      <x:c r="L1463" s="12"/>
      <x:c r="M1463" s="8" t="str">
        <x:v>N/A</x:v>
      </x:c>
    </x:row>
    <x:row r="1464">
      <x:c r="A1464" s="8" t="str">
        <x:v>Salmo|Work In Progress</x:v>
      </x:c>
      <x:c r="B1464" s="8" t="str">
        <x:v>salmo-v</x:v>
      </x:c>
      <x:c r="C1464" s="8" t="str">
        <x:v>Salmo</x:v>
      </x:c>
      <x:c r="D1464" s="8" t="str">
        <x:v>Work In Progress</x:v>
      </x:c>
      <x:c r="E1464" s="11" t="n">
        <x:v>0</x:v>
      </x:c>
      <x:c r="F1464" s="11"/>
      <x:c r="G1464" s="11" t="n">
        <x:v>0</x:v>
      </x:c>
      <x:c r="H1464" s="11" t="n">
        <x:v>0</x:v>
      </x:c>
      <x:c r="I1464" s="11" t="n">
        <x:v>0</x:v>
      </x:c>
      <x:c r="J1464" s="11"/>
      <x:c r="K1464" s="12"/>
      <x:c r="L1464" s="12"/>
      <x:c r="M1464" s="8" t="str">
        <x:v>N/A</x:v>
      </x:c>
    </x:row>
    <x:row r="1465">
      <x:c r="A1465" s="8" t="str">
        <x:v>Salmo|Total TCA</x:v>
      </x:c>
      <x:c r="B1465" s="8" t="str">
        <x:v>salmo-v</x:v>
      </x:c>
      <x:c r="C1465" s="8" t="str">
        <x:v>Salmo</x:v>
      </x:c>
      <x:c r="D1465" s="8" t="str">
        <x:v>Total TCA</x:v>
      </x:c>
      <x:c r="E1465" s="11" t="n">
        <x:v>17753862</x:v>
      </x:c>
      <x:c r="F1465" s="11" t="n">
        <x:v>8119489</x:v>
      </x:c>
      <x:c r="G1465" s="11" t="n">
        <x:v>9634373</x:v>
      </x:c>
      <x:c r="H1465" s="11" t="n">
        <x:v>343399</x:v>
      </x:c>
      <x:c r="I1465" s="11" t="n">
        <x:v>27734279</x:v>
      </x:c>
      <x:c r="J1465" s="11" t="n">
        <x:v>408997</x:v>
      </x:c>
      <x:c r="K1465" s="12" t="n">
        <x:v>0.5426635061148949</x:v>
      </x:c>
      <x:c r="L1465" s="12" t="n">
        <x:v>0.985253014870154</x:v>
      </x:c>
      <x:c r="M1465" s="8"/>
    </x:row>
    <x:row r="1466">
      <x:c r="A1466" s="8" t="str">
        <x:v>Salmon Arm|Land</x:v>
      </x:c>
      <x:c r="B1466" s="8" t="str">
        <x:v>salmon-arm-c</x:v>
      </x:c>
      <x:c r="C1466" s="8" t="str">
        <x:v>Salmon Arm</x:v>
      </x:c>
      <x:c r="D1466" s="8" t="str">
        <x:v>Land</x:v>
      </x:c>
      <x:c r="E1466" s="11" t="n">
        <x:v>40060338</x:v>
      </x:c>
      <x:c r="F1466" s="11"/>
      <x:c r="G1466" s="11" t="n">
        <x:v>40060338</x:v>
      </x:c>
      <x:c r="H1466" s="11" t="n">
        <x:v>0</x:v>
      </x:c>
      <x:c r="I1466" s="11" t="n">
        <x:v>40060338</x:v>
      </x:c>
      <x:c r="J1466" s="11"/>
      <x:c r="K1466" s="12" t="n">
        <x:v>1</x:v>
      </x:c>
      <x:c r="L1466" s="12"/>
      <x:c r="M1466" s="8" t="str">
        <x:v>N/A</x:v>
      </x:c>
    </x:row>
    <x:row r="1467">
      <x:c r="A1467" s="8" t="str">
        <x:v>Salmon Arm|Buildings</x:v>
      </x:c>
      <x:c r="B1467" s="8" t="str">
        <x:v>salmon-arm-c</x:v>
      </x:c>
      <x:c r="C1467" s="8" t="str">
        <x:v>Salmon Arm</x:v>
      </x:c>
      <x:c r="D1467" s="8" t="str">
        <x:v>Buildings</x:v>
      </x:c>
      <x:c r="E1467" s="11" t="n">
        <x:v>81766456</x:v>
      </x:c>
      <x:c r="F1467" s="11" t="n">
        <x:v>32943426</x:v>
      </x:c>
      <x:c r="G1467" s="11" t="n">
        <x:v>48823030</x:v>
      </x:c>
      <x:c r="H1467" s="11" t="n">
        <x:v>3353045</x:v>
      </x:c>
      <x:c r="I1467" s="11" t="n">
        <x:v>120826702</x:v>
      </x:c>
      <x:c r="J1467" s="11" t="n">
        <x:v>18771</x:v>
      </x:c>
      <x:c r="K1467" s="12" t="n">
        <x:v>0.5971034136541273</x:v>
      </x:c>
      <x:c r="L1467" s="12" t="n">
        <x:v>0.9998446452672357</x:v>
      </x:c>
      <x:c r="M1467" s="8" t="str">
        <x:v>No</x:v>
      </x:c>
    </x:row>
    <x:row r="1468">
      <x:c r="A1468" s="8" t="str">
        <x:v>Salmon Arm|Fleet</x:v>
      </x:c>
      <x:c r="B1468" s="8" t="str">
        <x:v>salmon-arm-c</x:v>
      </x:c>
      <x:c r="C1468" s="8" t="str">
        <x:v>Salmon Arm</x:v>
      </x:c>
      <x:c r="D1468" s="8" t="str">
        <x:v>Fleet</x:v>
      </x:c>
      <x:c r="E1468" s="11" t="n">
        <x:v>6712725</x:v>
      </x:c>
      <x:c r="F1468" s="11" t="n">
        <x:v>4055501</x:v>
      </x:c>
      <x:c r="G1468" s="11" t="n">
        <x:v>2657224</x:v>
      </x:c>
      <x:c r="H1468" s="11" t="n">
        <x:v>644049</x:v>
      </x:c>
      <x:c r="I1468" s="11" t="n">
        <x:v>13050484</x:v>
      </x:c>
      <x:c r="J1468" s="11" t="n">
        <x:v>7926</x:v>
      </x:c>
      <x:c r="K1468" s="12" t="n">
        <x:v>0.3958487797429509</x:v>
      </x:c>
      <x:c r="L1468" s="12" t="n">
        <x:v>0.9993926662030312</x:v>
      </x:c>
      <x:c r="M1468" s="8" t="str">
        <x:v>No</x:v>
      </x:c>
    </x:row>
    <x:row r="1469">
      <x:c r="A1469" s="8" t="str">
        <x:v>Salmon Arm|Parks and Recreation</x:v>
      </x:c>
      <x:c r="B1469" s="8" t="str">
        <x:v>salmon-arm-c</x:v>
      </x:c>
      <x:c r="C1469" s="8" t="str">
        <x:v>Salmon Arm</x:v>
      </x:c>
      <x:c r="D1469" s="8" t="str">
        <x:v>Parks and Recreation</x:v>
      </x:c>
      <x:c r="E1469" s="11" t="n">
        <x:v>13156569</x:v>
      </x:c>
      <x:c r="F1469" s="11" t="n">
        <x:v>7439671</x:v>
      </x:c>
      <x:c r="G1469" s="11" t="n">
        <x:v>5716898</x:v>
      </x:c>
      <x:c r="H1469" s="11" t="n">
        <x:v>19810</x:v>
      </x:c>
      <x:c r="I1469" s="11" t="n">
        <x:v>0</x:v>
      </x:c>
      <x:c r="J1469" s="11" t="n">
        <x:v>0</x:v>
      </x:c>
      <x:c r="K1469" s="12" t="n">
        <x:v>0.4345280293061208</x:v>
      </x:c>
      <x:c r="L1469" s="12"/>
      <x:c r="M1469" s="8" t="str">
        <x:v>In_Progress</x:v>
      </x:c>
    </x:row>
    <x:row r="1470">
      <x:c r="A1470" s="8" t="str">
        <x:v>Salmon Arm|Water System</x:v>
      </x:c>
      <x:c r="B1470" s="8" t="str">
        <x:v>salmon-arm-c</x:v>
      </x:c>
      <x:c r="C1470" s="8" t="str">
        <x:v>Salmon Arm</x:v>
      </x:c>
      <x:c r="D1470" s="8" t="str">
        <x:v>Water System</x:v>
      </x:c>
      <x:c r="E1470" s="11" t="n">
        <x:v>36461845</x:v>
      </x:c>
      <x:c r="F1470" s="11" t="n">
        <x:v>13709185</x:v>
      </x:c>
      <x:c r="G1470" s="11" t="n">
        <x:v>22752660</x:v>
      </x:c>
      <x:c r="H1470" s="11" t="n">
        <x:v>1587959</x:v>
      </x:c>
      <x:c r="I1470" s="11" t="n">
        <x:v>292195000</x:v>
      </x:c>
      <x:c r="J1470" s="11" t="n">
        <x:v>4125400</x:v>
      </x:c>
      <x:c r="K1470" s="12" t="n">
        <x:v>0.6240128550817985</x:v>
      </x:c>
      <x:c r="L1470" s="12" t="n">
        <x:v>0.9858813463611629</x:v>
      </x:c>
      <x:c r="M1470" s="8" t="str">
        <x:v>Yes</x:v>
      </x:c>
    </x:row>
    <x:row r="1471">
      <x:c r="A1471" s="8" t="str">
        <x:v>Salmon Arm|Sewer System</x:v>
      </x:c>
      <x:c r="B1471" s="8" t="str">
        <x:v>salmon-arm-c</x:v>
      </x:c>
      <x:c r="C1471" s="8" t="str">
        <x:v>Salmon Arm</x:v>
      </x:c>
      <x:c r="D1471" s="8" t="str">
        <x:v>Sewer System</x:v>
      </x:c>
      <x:c r="E1471" s="11" t="n">
        <x:v>25541721</x:v>
      </x:c>
      <x:c r="F1471" s="11" t="n">
        <x:v>10846796</x:v>
      </x:c>
      <x:c r="G1471" s="11" t="n">
        <x:v>14694925</x:v>
      </x:c>
      <x:c r="H1471" s="11" t="n">
        <x:v>477716</x:v>
      </x:c>
      <x:c r="I1471" s="11" t="n">
        <x:v>72162000</x:v>
      </x:c>
      <x:c r="J1471" s="11" t="n">
        <x:v>1402000</x:v>
      </x:c>
      <x:c r="K1471" s="12" t="n">
        <x:v>0.5753302606351389</x:v>
      </x:c>
      <x:c r="L1471" s="12" t="n">
        <x:v>0.9805714919209556</x:v>
      </x:c>
      <x:c r="M1471" s="8" t="str">
        <x:v>Yes</x:v>
      </x:c>
    </x:row>
    <x:row r="1472">
      <x:c r="A1472" s="8" t="str">
        <x:v>Salmon Arm|Drainage System</x:v>
      </x:c>
      <x:c r="B1472" s="8" t="str">
        <x:v>salmon-arm-c</x:v>
      </x:c>
      <x:c r="C1472" s="8" t="str">
        <x:v>Salmon Arm</x:v>
      </x:c>
      <x:c r="D1472" s="8" t="str">
        <x:v>Drainage System</x:v>
      </x:c>
      <x:c r="E1472" s="11" t="n">
        <x:v>21310874</x:v>
      </x:c>
      <x:c r="F1472" s="11" t="n">
        <x:v>8933593</x:v>
      </x:c>
      <x:c r="G1472" s="11" t="n">
        <x:v>12377281</x:v>
      </x:c>
      <x:c r="H1472" s="11" t="n">
        <x:v>0</x:v>
      </x:c>
      <x:c r="I1472" s="11" t="n">
        <x:v>170372000</x:v>
      </x:c>
      <x:c r="J1472" s="11" t="n">
        <x:v>2052000</x:v>
      </x:c>
      <x:c r="K1472" s="12" t="n">
        <x:v>0.5807964985387273</x:v>
      </x:c>
      <x:c r="L1472" s="12" t="n">
        <x:v>0.9879557673796163</x:v>
      </x:c>
      <x:c r="M1472" s="8" t="str">
        <x:v>Yes</x:v>
      </x:c>
    </x:row>
    <x:row r="1473">
      <x:c r="A1473" s="8" t="str">
        <x:v>Salmon Arm|Transportation System</x:v>
      </x:c>
      <x:c r="B1473" s="8" t="str">
        <x:v>salmon-arm-c</x:v>
      </x:c>
      <x:c r="C1473" s="8" t="str">
        <x:v>Salmon Arm</x:v>
      </x:c>
      <x:c r="D1473" s="8" t="str">
        <x:v>Transportation System</x:v>
      </x:c>
      <x:c r="E1473" s="11" t="n">
        <x:v>171613731</x:v>
      </x:c>
      <x:c r="F1473" s="11" t="n">
        <x:v>81795462</x:v>
      </x:c>
      <x:c r="G1473" s="11" t="n">
        <x:v>89818269</x:v>
      </x:c>
      <x:c r="H1473" s="11" t="n">
        <x:v>4728323</x:v>
      </x:c>
      <x:c r="I1473" s="11" t="n">
        <x:v>256298000</x:v>
      </x:c>
      <x:c r="J1473" s="11" t="n">
        <x:v>6472000</x:v>
      </x:c>
      <x:c r="K1473" s="12" t="n">
        <x:v>0.5233746068955286</x:v>
      </x:c>
      <x:c r="L1473" s="12" t="n">
        <x:v>0.9747481447377662</x:v>
      </x:c>
      <x:c r="M1473" s="8" t="str">
        <x:v>In_Progress</x:v>
      </x:c>
    </x:row>
    <x:row r="1474">
      <x:c r="A1474" s="8" t="str">
        <x:v>Salmon Arm|Other Engineering Systems</x:v>
      </x:c>
      <x:c r="B1474" s="8" t="str">
        <x:v>salmon-arm-c</x:v>
      </x:c>
      <x:c r="C1474" s="8" t="str">
        <x:v>Salmon Arm</x:v>
      </x:c>
      <x:c r="D1474" s="8" t="str">
        <x:v>Other Engineering Systems</x:v>
      </x:c>
      <x:c r="E1474" s="11" t="n">
        <x:v>0</x:v>
      </x:c>
      <x:c r="F1474" s="11" t="n">
        <x:v>0</x:v>
      </x:c>
      <x:c r="G1474" s="11" t="n">
        <x:v>0</x:v>
      </x:c>
      <x:c r="H1474" s="11" t="n">
        <x:v>0</x:v>
      </x:c>
      <x:c r="I1474" s="11" t="n">
        <x:v>0</x:v>
      </x:c>
      <x:c r="J1474" s="11" t="n">
        <x:v>0</x:v>
      </x:c>
      <x:c r="K1474" s="12"/>
      <x:c r="L1474" s="12"/>
      <x:c r="M1474" s="8"/>
    </x:row>
    <x:row r="1475">
      <x:c r="A1475" s="8" t="str">
        <x:v>Salmon Arm|Other Tangible Capital Assets</x:v>
      </x:c>
      <x:c r="B1475" s="8" t="str">
        <x:v>salmon-arm-c</x:v>
      </x:c>
      <x:c r="C1475" s="8" t="str">
        <x:v>Salmon Arm</x:v>
      </x:c>
      <x:c r="D1475" s="8" t="str">
        <x:v>Other Tangible Capital Assets</x:v>
      </x:c>
      <x:c r="E1475" s="11" t="n">
        <x:v>17058358</x:v>
      </x:c>
      <x:c r="F1475" s="11" t="n">
        <x:v>8390509</x:v>
      </x:c>
      <x:c r="G1475" s="11" t="n">
        <x:v>8667849</x:v>
      </x:c>
      <x:c r="H1475" s="11" t="n">
        <x:v>992002</x:v>
      </x:c>
      <x:c r="I1475" s="11" t="n">
        <x:v>0</x:v>
      </x:c>
      <x:c r="J1475" s="11" t="n">
        <x:v>0</x:v>
      </x:c>
      <x:c r="K1475" s="12" t="n">
        <x:v>0.5081291528762616</x:v>
      </x:c>
      <x:c r="L1475" s="12"/>
      <x:c r="M1475" s="8" t="str">
        <x:v>N/A</x:v>
      </x:c>
    </x:row>
    <x:row r="1476">
      <x:c r="A1476" s="8" t="str">
        <x:v>Salmon Arm|Work In Progress</x:v>
      </x:c>
      <x:c r="B1476" s="8" t="str">
        <x:v>salmon-arm-c</x:v>
      </x:c>
      <x:c r="C1476" s="8" t="str">
        <x:v>Salmon Arm</x:v>
      </x:c>
      <x:c r="D1476" s="8" t="str">
        <x:v>Work In Progress</x:v>
      </x:c>
      <x:c r="E1476" s="11" t="n">
        <x:v>4775876</x:v>
      </x:c>
      <x:c r="F1476" s="11"/>
      <x:c r="G1476" s="11" t="n">
        <x:v>4775876</x:v>
      </x:c>
      <x:c r="H1476" s="11" t="n">
        <x:v>-987672</x:v>
      </x:c>
      <x:c r="I1476" s="11" t="n">
        <x:v>4775876</x:v>
      </x:c>
      <x:c r="J1476" s="11"/>
      <x:c r="K1476" s="12" t="n">
        <x:v>1</x:v>
      </x:c>
      <x:c r="L1476" s="12"/>
      <x:c r="M1476" s="8" t="str">
        <x:v>N/A</x:v>
      </x:c>
    </x:row>
    <x:row r="1477">
      <x:c r="A1477" s="8" t="str">
        <x:v>Salmon Arm|Total TCA</x:v>
      </x:c>
      <x:c r="B1477" s="8" t="str">
        <x:v>salmon-arm-c</x:v>
      </x:c>
      <x:c r="C1477" s="8" t="str">
        <x:v>Salmon Arm</x:v>
      </x:c>
      <x:c r="D1477" s="8" t="str">
        <x:v>Total TCA</x:v>
      </x:c>
      <x:c r="E1477" s="11" t="n">
        <x:v>418458493</x:v>
      </x:c>
      <x:c r="F1477" s="11" t="n">
        <x:v>168114143</x:v>
      </x:c>
      <x:c r="G1477" s="11" t="n">
        <x:v>250344350</x:v>
      </x:c>
      <x:c r="H1477" s="11" t="n">
        <x:v>10815232</x:v>
      </x:c>
      <x:c r="I1477" s="11" t="n">
        <x:v>969740400</x:v>
      </x:c>
      <x:c r="J1477" s="11" t="n">
        <x:v>14078097</x:v>
      </x:c>
      <x:c r="K1477" s="12" t="n">
        <x:v>0.5982537197542314</x:v>
      </x:c>
      <x:c r="L1477" s="12" t="n">
        <x:v>0.9854826126662352</x:v>
      </x:c>
      <x:c r="M1477" s="8"/>
    </x:row>
    <x:row r="1478">
      <x:c r="A1478" s="8" t="str">
        <x:v>Sayward|Land</x:v>
      </x:c>
      <x:c r="B1478" s="8" t="str">
        <x:v>sayward-v</x:v>
      </x:c>
      <x:c r="C1478" s="8" t="str">
        <x:v>Sayward</x:v>
      </x:c>
      <x:c r="D1478" s="8" t="str">
        <x:v>Land</x:v>
      </x:c>
      <x:c r="E1478" s="11" t="n">
        <x:v>2122436</x:v>
      </x:c>
      <x:c r="F1478" s="11"/>
      <x:c r="G1478" s="11" t="n">
        <x:v>2122436</x:v>
      </x:c>
      <x:c r="H1478" s="11" t="n">
        <x:v>0</x:v>
      </x:c>
      <x:c r="I1478" s="11" t="n">
        <x:v>2122436</x:v>
      </x:c>
      <x:c r="J1478" s="11"/>
      <x:c r="K1478" s="12" t="n">
        <x:v>1</x:v>
      </x:c>
      <x:c r="L1478" s="12"/>
      <x:c r="M1478" s="8" t="str">
        <x:v>N/A</x:v>
      </x:c>
    </x:row>
    <x:row r="1479">
      <x:c r="A1479" s="8" t="str">
        <x:v>Sayward|Buildings</x:v>
      </x:c>
      <x:c r="B1479" s="8" t="str">
        <x:v>sayward-v</x:v>
      </x:c>
      <x:c r="C1479" s="8" t="str">
        <x:v>Sayward</x:v>
      </x:c>
      <x:c r="D1479" s="8" t="str">
        <x:v>Buildings</x:v>
      </x:c>
      <x:c r="E1479" s="11" t="n">
        <x:v>3698804</x:v>
      </x:c>
      <x:c r="F1479" s="11" t="n">
        <x:v>1364579</x:v>
      </x:c>
      <x:c r="G1479" s="11" t="n">
        <x:v>2334225</x:v>
      </x:c>
      <x:c r="H1479" s="11" t="n">
        <x:v>28800</x:v>
      </x:c>
      <x:c r="I1479" s="11" t="n">
        <x:v>10607000</x:v>
      </x:c>
      <x:c r="J1479" s="11" t="n">
        <x:v>151529</x:v>
      </x:c>
      <x:c r="K1479" s="12" t="n">
        <x:v>0.6310756125493537</x:v>
      </x:c>
      <x:c r="L1479" s="12" t="n">
        <x:v>0.9857142453097011</x:v>
      </x:c>
      <x:c r="M1479" s="8" t="str">
        <x:v>Yes</x:v>
      </x:c>
    </x:row>
    <x:row r="1480">
      <x:c r="A1480" s="8" t="str">
        <x:v>Sayward|Fleet</x:v>
      </x:c>
      <x:c r="B1480" s="8" t="str">
        <x:v>sayward-v</x:v>
      </x:c>
      <x:c r="C1480" s="8" t="str">
        <x:v>Sayward</x:v>
      </x:c>
      <x:c r="D1480" s="8" t="str">
        <x:v>Fleet</x:v>
      </x:c>
      <x:c r="E1480" s="11" t="n">
        <x:v>1048850</x:v>
      </x:c>
      <x:c r="F1480" s="11" t="n">
        <x:v>753190</x:v>
      </x:c>
      <x:c r="G1480" s="11" t="n">
        <x:v>295660</x:v>
      </x:c>
      <x:c r="H1480" s="11" t="n">
        <x:v>31268</x:v>
      </x:c>
      <x:c r="I1480" s="11" t="n">
        <x:v>3516000</x:v>
      </x:c>
      <x:c r="J1480" s="11" t="n">
        <x:v>140640</x:v>
      </x:c>
      <x:c r="K1480" s="12" t="n">
        <x:v>0.28188968870667874</x:v>
      </x:c>
      <x:c r="L1480" s="12" t="n">
        <x:v>0.96</x:v>
      </x:c>
      <x:c r="M1480" s="8" t="str">
        <x:v>Yes</x:v>
      </x:c>
    </x:row>
    <x:row r="1481">
      <x:c r="A1481" s="8" t="str">
        <x:v>Sayward|Parks and Recreation</x:v>
      </x:c>
      <x:c r="B1481" s="8" t="str">
        <x:v>sayward-v</x:v>
      </x:c>
      <x:c r="C1481" s="8" t="str">
        <x:v>Sayward</x:v>
      </x:c>
      <x:c r="D1481" s="8" t="str">
        <x:v>Parks and Recreation</x:v>
      </x:c>
      <x:c r="E1481" s="11" t="n">
        <x:v>789531</x:v>
      </x:c>
      <x:c r="F1481" s="11" t="n">
        <x:v>141598</x:v>
      </x:c>
      <x:c r="G1481" s="11" t="n">
        <x:v>647933</x:v>
      </x:c>
      <x:c r="H1481" s="11" t="n">
        <x:v>0</x:v>
      </x:c>
      <x:c r="I1481" s="11" t="n">
        <x:v>0</x:v>
      </x:c>
      <x:c r="J1481" s="11" t="n">
        <x:v>0</x:v>
      </x:c>
      <x:c r="K1481" s="12" t="n">
        <x:v>0.8206555537401318</x:v>
      </x:c>
      <x:c r="L1481" s="12"/>
      <x:c r="M1481" s="8" t="str">
        <x:v>Yes</x:v>
      </x:c>
    </x:row>
    <x:row r="1482">
      <x:c r="A1482" s="8" t="str">
        <x:v>Sayward|Water System</x:v>
      </x:c>
      <x:c r="B1482" s="8" t="str">
        <x:v>sayward-v</x:v>
      </x:c>
      <x:c r="C1482" s="8" t="str">
        <x:v>Sayward</x:v>
      </x:c>
      <x:c r="D1482" s="8" t="str">
        <x:v>Water System</x:v>
      </x:c>
      <x:c r="E1482" s="11" t="n">
        <x:v>5098153</x:v>
      </x:c>
      <x:c r="F1482" s="11" t="n">
        <x:v>846619</x:v>
      </x:c>
      <x:c r="G1482" s="11" t="n">
        <x:v>4251534</x:v>
      </x:c>
      <x:c r="H1482" s="11" t="n">
        <x:v>0</x:v>
      </x:c>
      <x:c r="I1482" s="11" t="n">
        <x:v>5679000</x:v>
      </x:c>
      <x:c r="J1482" s="11" t="n">
        <x:v>113580</x:v>
      </x:c>
      <x:c r="K1482" s="12" t="n">
        <x:v>0.8339361333408393</x:v>
      </x:c>
      <x:c r="L1482" s="12" t="n">
        <x:v>0.98</x:v>
      </x:c>
      <x:c r="M1482" s="8" t="str">
        <x:v>Yes</x:v>
      </x:c>
    </x:row>
    <x:row r="1483">
      <x:c r="A1483" s="8" t="str">
        <x:v>Sayward|Sewer System</x:v>
      </x:c>
      <x:c r="B1483" s="8" t="str">
        <x:v>sayward-v</x:v>
      </x:c>
      <x:c r="C1483" s="8" t="str">
        <x:v>Sayward</x:v>
      </x:c>
      <x:c r="D1483" s="8" t="str">
        <x:v>Sewer System</x:v>
      </x:c>
      <x:c r="E1483" s="11" t="n">
        <x:v>3233190</x:v>
      </x:c>
      <x:c r="F1483" s="11" t="n">
        <x:v>1265306</x:v>
      </x:c>
      <x:c r="G1483" s="11" t="n">
        <x:v>1967884</x:v>
      </x:c>
      <x:c r="H1483" s="11" t="n">
        <x:v>36858</x:v>
      </x:c>
      <x:c r="I1483" s="11" t="n">
        <x:v>12342000</x:v>
      </x:c>
      <x:c r="J1483" s="11" t="n">
        <x:v>246840</x:v>
      </x:c>
      <x:c r="K1483" s="12" t="n">
        <x:v>0.6086508989573765</x:v>
      </x:c>
      <x:c r="L1483" s="12" t="n">
        <x:v>0.98</x:v>
      </x:c>
      <x:c r="M1483" s="8" t="str">
        <x:v>Yes</x:v>
      </x:c>
    </x:row>
    <x:row r="1484">
      <x:c r="A1484" s="8" t="str">
        <x:v>Sayward|Drainage System</x:v>
      </x:c>
      <x:c r="B1484" s="8" t="str">
        <x:v>sayward-v</x:v>
      </x:c>
      <x:c r="C1484" s="8" t="str">
        <x:v>Sayward</x:v>
      </x:c>
      <x:c r="D1484" s="8" t="str">
        <x:v>Drainage System</x:v>
      </x:c>
      <x:c r="E1484" s="11" t="n">
        <x:v>0</x:v>
      </x:c>
      <x:c r="F1484" s="11" t="n">
        <x:v>0</x:v>
      </x:c>
      <x:c r="G1484" s="11" t="n">
        <x:v>0</x:v>
      </x:c>
      <x:c r="H1484" s="11" t="n">
        <x:v>0</x:v>
      </x:c>
      <x:c r="I1484" s="11" t="n">
        <x:v>0</x:v>
      </x:c>
      <x:c r="J1484" s="11" t="n">
        <x:v>0</x:v>
      </x:c>
      <x:c r="K1484" s="12"/>
      <x:c r="L1484" s="12"/>
      <x:c r="M1484" s="8"/>
    </x:row>
    <x:row r="1485">
      <x:c r="A1485" s="8" t="str">
        <x:v>Sayward|Transportation System</x:v>
      </x:c>
      <x:c r="B1485" s="8" t="str">
        <x:v>sayward-v</x:v>
      </x:c>
      <x:c r="C1485" s="8" t="str">
        <x:v>Sayward</x:v>
      </x:c>
      <x:c r="D1485" s="8" t="str">
        <x:v>Transportation System</x:v>
      </x:c>
      <x:c r="E1485" s="11" t="n">
        <x:v>506386</x:v>
      </x:c>
      <x:c r="F1485" s="11" t="n">
        <x:v>455600</x:v>
      </x:c>
      <x:c r="G1485" s="11" t="n">
        <x:v>50786</x:v>
      </x:c>
      <x:c r="H1485" s="11" t="n">
        <x:v>0</x:v>
      </x:c>
      <x:c r="I1485" s="11" t="n">
        <x:v>14086000</x:v>
      </x:c>
      <x:c r="J1485" s="11" t="n">
        <x:v>0</x:v>
      </x:c>
      <x:c r="K1485" s="12" t="n">
        <x:v>0.10029108229690395</x:v>
      </x:c>
      <x:c r="L1485" s="12" t="n">
        <x:v>1</x:v>
      </x:c>
      <x:c r="M1485" s="8" t="str">
        <x:v>Yes</x:v>
      </x:c>
    </x:row>
    <x:row r="1486">
      <x:c r="A1486" s="8" t="str">
        <x:v>Sayward|Other Engineering Systems</x:v>
      </x:c>
      <x:c r="B1486" s="8" t="str">
        <x:v>sayward-v</x:v>
      </x:c>
      <x:c r="C1486" s="8" t="str">
        <x:v>Sayward</x:v>
      </x:c>
      <x:c r="D1486" s="8" t="str">
        <x:v>Other Engineering Systems</x:v>
      </x:c>
      <x:c r="E1486" s="11" t="n">
        <x:v>0</x:v>
      </x:c>
      <x:c r="F1486" s="11" t="n">
        <x:v>0</x:v>
      </x:c>
      <x:c r="G1486" s="11" t="n">
        <x:v>0</x:v>
      </x:c>
      <x:c r="H1486" s="11" t="n">
        <x:v>0</x:v>
      </x:c>
      <x:c r="I1486" s="11" t="n">
        <x:v>0</x:v>
      </x:c>
      <x:c r="J1486" s="11" t="n">
        <x:v>0</x:v>
      </x:c>
      <x:c r="K1486" s="12"/>
      <x:c r="L1486" s="12"/>
      <x:c r="M1486" s="8"/>
    </x:row>
    <x:row r="1487">
      <x:c r="A1487" s="8" t="str">
        <x:v>Sayward|Other Tangible Capital Assets</x:v>
      </x:c>
      <x:c r="B1487" s="8" t="str">
        <x:v>sayward-v</x:v>
      </x:c>
      <x:c r="C1487" s="8" t="str">
        <x:v>Sayward</x:v>
      </x:c>
      <x:c r="D1487" s="8" t="str">
        <x:v>Other Tangible Capital Assets</x:v>
      </x:c>
      <x:c r="E1487" s="11" t="n">
        <x:v>0</x:v>
      </x:c>
      <x:c r="F1487" s="11" t="n">
        <x:v>0</x:v>
      </x:c>
      <x:c r="G1487" s="11" t="n">
        <x:v>0</x:v>
      </x:c>
      <x:c r="H1487" s="11" t="n">
        <x:v>0</x:v>
      </x:c>
      <x:c r="I1487" s="11" t="n">
        <x:v>0</x:v>
      </x:c>
      <x:c r="J1487" s="11" t="n">
        <x:v>0</x:v>
      </x:c>
      <x:c r="K1487" s="12"/>
      <x:c r="L1487" s="12"/>
      <x:c r="M1487" s="8" t="str">
        <x:v>N/A</x:v>
      </x:c>
    </x:row>
    <x:row r="1488">
      <x:c r="A1488" s="8" t="str">
        <x:v>Sayward|Work In Progress</x:v>
      </x:c>
      <x:c r="B1488" s="8" t="str">
        <x:v>sayward-v</x:v>
      </x:c>
      <x:c r="C1488" s="8" t="str">
        <x:v>Sayward</x:v>
      </x:c>
      <x:c r="D1488" s="8" t="str">
        <x:v>Work In Progress</x:v>
      </x:c>
      <x:c r="E1488" s="11" t="n">
        <x:v>0</x:v>
      </x:c>
      <x:c r="F1488" s="11"/>
      <x:c r="G1488" s="11" t="n">
        <x:v>0</x:v>
      </x:c>
      <x:c r="H1488" s="11" t="n">
        <x:v>0</x:v>
      </x:c>
      <x:c r="I1488" s="11" t="n">
        <x:v>0</x:v>
      </x:c>
      <x:c r="J1488" s="11"/>
      <x:c r="K1488" s="12"/>
      <x:c r="L1488" s="12"/>
      <x:c r="M1488" s="8" t="str">
        <x:v>N/A</x:v>
      </x:c>
    </x:row>
    <x:row r="1489">
      <x:c r="A1489" s="8" t="str">
        <x:v>Sayward|Total TCA</x:v>
      </x:c>
      <x:c r="B1489" s="8" t="str">
        <x:v>sayward-v</x:v>
      </x:c>
      <x:c r="C1489" s="8" t="str">
        <x:v>Sayward</x:v>
      </x:c>
      <x:c r="D1489" s="8" t="str">
        <x:v>Total TCA</x:v>
      </x:c>
      <x:c r="E1489" s="11" t="n">
        <x:v>16497350</x:v>
      </x:c>
      <x:c r="F1489" s="11" t="n">
        <x:v>4826892</x:v>
      </x:c>
      <x:c r="G1489" s="11" t="n">
        <x:v>11670458</x:v>
      </x:c>
      <x:c r="H1489" s="11" t="n">
        <x:v>96926</x:v>
      </x:c>
      <x:c r="I1489" s="11" t="n">
        <x:v>48352436</x:v>
      </x:c>
      <x:c r="J1489" s="11" t="n">
        <x:v>652589</x:v>
      </x:c>
      <x:c r="K1489" s="12" t="n">
        <x:v>0.7074140998402774</x:v>
      </x:c>
      <x:c r="L1489" s="12" t="n">
        <x:v>0.9865034928126475</x:v>
      </x:c>
      <x:c r="M1489" s="8"/>
    </x:row>
    <x:row r="1490">
      <x:c r="A1490" s="8" t="str">
        <x:v>Sechelt|Land</x:v>
      </x:c>
      <x:c r="B1490" s="8" t="str">
        <x:v>sechelt-d</x:v>
      </x:c>
      <x:c r="C1490" s="8" t="str">
        <x:v>Sechelt</x:v>
      </x:c>
      <x:c r="D1490" s="8" t="str">
        <x:v>Land</x:v>
      </x:c>
      <x:c r="E1490" s="11" t="n">
        <x:v>71167476</x:v>
      </x:c>
      <x:c r="F1490" s="11"/>
      <x:c r="G1490" s="11" t="n">
        <x:v>71167476</x:v>
      </x:c>
      <x:c r="H1490" s="11" t="n">
        <x:v>0</x:v>
      </x:c>
      <x:c r="I1490" s="11" t="n">
        <x:v>71167476</x:v>
      </x:c>
      <x:c r="J1490" s="11"/>
      <x:c r="K1490" s="12" t="n">
        <x:v>1</x:v>
      </x:c>
      <x:c r="L1490" s="12"/>
      <x:c r="M1490" s="8" t="str">
        <x:v>N/A</x:v>
      </x:c>
    </x:row>
    <x:row r="1491">
      <x:c r="A1491" s="8" t="str">
        <x:v>Sechelt|Buildings</x:v>
      </x:c>
      <x:c r="B1491" s="8" t="str">
        <x:v>sechelt-d</x:v>
      </x:c>
      <x:c r="C1491" s="8" t="str">
        <x:v>Sechelt</x:v>
      </x:c>
      <x:c r="D1491" s="8" t="str">
        <x:v>Buildings</x:v>
      </x:c>
      <x:c r="E1491" s="11" t="n">
        <x:v>46951906</x:v>
      </x:c>
      <x:c r="F1491" s="11" t="n">
        <x:v>18945646</x:v>
      </x:c>
      <x:c r="G1491" s="11" t="n">
        <x:v>28006260</x:v>
      </x:c>
      <x:c r="H1491" s="11" t="n">
        <x:v>795513</x:v>
      </x:c>
      <x:c r="I1491" s="11" t="n">
        <x:v>54000000</x:v>
      </x:c>
      <x:c r="J1491" s="11" t="n">
        <x:v>1080000</x:v>
      </x:c>
      <x:c r="K1491" s="12" t="n">
        <x:v>0.5964882448009672</x:v>
      </x:c>
      <x:c r="L1491" s="12" t="n">
        <x:v>0.98</x:v>
      </x:c>
      <x:c r="M1491" s="8" t="str">
        <x:v>In_Progress</x:v>
      </x:c>
    </x:row>
    <x:row r="1492">
      <x:c r="A1492" s="8" t="str">
        <x:v>Sechelt|Fleet</x:v>
      </x:c>
      <x:c r="B1492" s="8" t="str">
        <x:v>sechelt-d</x:v>
      </x:c>
      <x:c r="C1492" s="8" t="str">
        <x:v>Sechelt</x:v>
      </x:c>
      <x:c r="D1492" s="8" t="str">
        <x:v>Fleet</x:v>
      </x:c>
      <x:c r="E1492" s="11" t="n">
        <x:v>12974164</x:v>
      </x:c>
      <x:c r="F1492" s="11" t="n">
        <x:v>7427013</x:v>
      </x:c>
      <x:c r="G1492" s="11" t="n">
        <x:v>5547151</x:v>
      </x:c>
      <x:c r="H1492" s="11" t="n">
        <x:v>590576</x:v>
      </x:c>
      <x:c r="I1492" s="11" t="n">
        <x:v>3800000</x:v>
      </x:c>
      <x:c r="J1492" s="11" t="n">
        <x:v>379073</x:v>
      </x:c>
      <x:c r="K1492" s="12" t="n">
        <x:v>0.42755363659654677</x:v>
      </x:c>
      <x:c r="L1492" s="12" t="n">
        <x:v>0.9002439473684211</x:v>
      </x:c>
      <x:c r="M1492" s="8" t="str">
        <x:v>In_Progress</x:v>
      </x:c>
    </x:row>
    <x:row r="1493">
      <x:c r="A1493" s="8" t="str">
        <x:v>Sechelt|Parks and Recreation</x:v>
      </x:c>
      <x:c r="B1493" s="8" t="str">
        <x:v>sechelt-d</x:v>
      </x:c>
      <x:c r="C1493" s="8" t="str">
        <x:v>Sechelt</x:v>
      </x:c>
      <x:c r="D1493" s="8" t="str">
        <x:v>Parks and Recreation</x:v>
      </x:c>
      <x:c r="E1493" s="11" t="n">
        <x:v>0</x:v>
      </x:c>
      <x:c r="F1493" s="11" t="n">
        <x:v>0</x:v>
      </x:c>
      <x:c r="G1493" s="11" t="n">
        <x:v>0</x:v>
      </x:c>
      <x:c r="H1493" s="11" t="n">
        <x:v>0</x:v>
      </x:c>
      <x:c r="I1493" s="11" t="n">
        <x:v>0</x:v>
      </x:c>
      <x:c r="J1493" s="11" t="n">
        <x:v>0</x:v>
      </x:c>
      <x:c r="K1493" s="12"/>
      <x:c r="L1493" s="12"/>
      <x:c r="M1493" s="8"/>
    </x:row>
    <x:row r="1494">
      <x:c r="A1494" s="8" t="str">
        <x:v>Sechelt|Water System</x:v>
      </x:c>
      <x:c r="B1494" s="8" t="str">
        <x:v>sechelt-d</x:v>
      </x:c>
      <x:c r="C1494" s="8" t="str">
        <x:v>Sechelt</x:v>
      </x:c>
      <x:c r="D1494" s="8" t="str">
        <x:v>Water System</x:v>
      </x:c>
      <x:c r="E1494" s="11" t="n">
        <x:v>0</x:v>
      </x:c>
      <x:c r="F1494" s="11" t="n">
        <x:v>0</x:v>
      </x:c>
      <x:c r="G1494" s="11" t="n">
        <x:v>0</x:v>
      </x:c>
      <x:c r="H1494" s="11" t="n">
        <x:v>0</x:v>
      </x:c>
      <x:c r="I1494" s="11" t="n">
        <x:v>0</x:v>
      </x:c>
      <x:c r="J1494" s="11" t="n">
        <x:v>0</x:v>
      </x:c>
      <x:c r="K1494" s="12"/>
      <x:c r="L1494" s="12"/>
      <x:c r="M1494" s="8"/>
    </x:row>
    <x:row r="1495">
      <x:c r="A1495" s="8" t="str">
        <x:v>Sechelt|Sewer System</x:v>
      </x:c>
      <x:c r="B1495" s="8" t="str">
        <x:v>sechelt-d</x:v>
      </x:c>
      <x:c r="C1495" s="8" t="str">
        <x:v>Sechelt</x:v>
      </x:c>
      <x:c r="D1495" s="8" t="str">
        <x:v>Sewer System</x:v>
      </x:c>
      <x:c r="E1495" s="11" t="n">
        <x:v>23441633</x:v>
      </x:c>
      <x:c r="F1495" s="11" t="n">
        <x:v>11946400</x:v>
      </x:c>
      <x:c r="G1495" s="11" t="n">
        <x:v>11495233</x:v>
      </x:c>
      <x:c r="H1495" s="11" t="n">
        <x:v>0</x:v>
      </x:c>
      <x:c r="I1495" s="11" t="n">
        <x:v>351000000</x:v>
      </x:c>
      <x:c r="J1495" s="11" t="n">
        <x:v>4866667</x:v>
      </x:c>
      <x:c r="K1495" s="12" t="n">
        <x:v>0.49037680096774827</x:v>
      </x:c>
      <x:c r="L1495" s="12" t="n">
        <x:v>0.9861348518518519</x:v>
      </x:c>
      <x:c r="M1495" s="8" t="str">
        <x:v>Yes</x:v>
      </x:c>
    </x:row>
    <x:row r="1496">
      <x:c r="A1496" s="8" t="str">
        <x:v>Sechelt|Drainage System</x:v>
      </x:c>
      <x:c r="B1496" s="8" t="str">
        <x:v>sechelt-d</x:v>
      </x:c>
      <x:c r="C1496" s="8" t="str">
        <x:v>Sechelt</x:v>
      </x:c>
      <x:c r="D1496" s="8" t="str">
        <x:v>Drainage System</x:v>
      </x:c>
      <x:c r="E1496" s="11" t="n">
        <x:v>10922268</x:v>
      </x:c>
      <x:c r="F1496" s="11" t="n">
        <x:v>5077022</x:v>
      </x:c>
      <x:c r="G1496" s="11" t="n">
        <x:v>5845246</x:v>
      </x:c>
      <x:c r="H1496" s="11" t="n">
        <x:v>0</x:v>
      </x:c>
      <x:c r="I1496" s="11" t="n">
        <x:v>230000000</x:v>
      </x:c>
      <x:c r="J1496" s="11" t="n">
        <x:v>2875000</x:v>
      </x:c>
      <x:c r="K1496" s="12" t="n">
        <x:v>0.53516778749615</x:v>
      </x:c>
      <x:c r="L1496" s="12" t="n">
        <x:v>0.9875</x:v>
      </x:c>
      <x:c r="M1496" s="8" t="str">
        <x:v>In_Progress</x:v>
      </x:c>
    </x:row>
    <x:row r="1497">
      <x:c r="A1497" s="8" t="str">
        <x:v>Sechelt|Transportation System</x:v>
      </x:c>
      <x:c r="B1497" s="8" t="str">
        <x:v>sechelt-d</x:v>
      </x:c>
      <x:c r="C1497" s="8" t="str">
        <x:v>Sechelt</x:v>
      </x:c>
      <x:c r="D1497" s="8" t="str">
        <x:v>Transportation System</x:v>
      </x:c>
      <x:c r="E1497" s="11" t="n">
        <x:v>61293750</x:v>
      </x:c>
      <x:c r="F1497" s="11" t="n">
        <x:v>36872150</x:v>
      </x:c>
      <x:c r="G1497" s="11" t="n">
        <x:v>24421600</x:v>
      </x:c>
      <x:c r="H1497" s="11" t="n">
        <x:v>231079</x:v>
      </x:c>
      <x:c r="I1497" s="11" t="n">
        <x:v>29760000</x:v>
      </x:c>
      <x:c r="J1497" s="11" t="n">
        <x:v>654000</x:v>
      </x:c>
      <x:c r="K1497" s="12" t="n">
        <x:v>0.398435403283369</x:v>
      </x:c>
      <x:c r="L1497" s="12" t="n">
        <x:v>0.9780241935483871</x:v>
      </x:c>
      <x:c r="M1497" s="8" t="str">
        <x:v>In_Progress</x:v>
      </x:c>
    </x:row>
    <x:row r="1498">
      <x:c r="A1498" s="8" t="str">
        <x:v>Sechelt|Other Engineering Systems</x:v>
      </x:c>
      <x:c r="B1498" s="8" t="str">
        <x:v>sechelt-d</x:v>
      </x:c>
      <x:c r="C1498" s="8" t="str">
        <x:v>Sechelt</x:v>
      </x:c>
      <x:c r="D1498" s="8" t="str">
        <x:v>Other Engineering Systems</x:v>
      </x:c>
      <x:c r="E1498" s="11" t="n">
        <x:v>8179486</x:v>
      </x:c>
      <x:c r="F1498" s="11" t="n">
        <x:v>2431497</x:v>
      </x:c>
      <x:c r="G1498" s="11" t="n">
        <x:v>5747989</x:v>
      </x:c>
      <x:c r="H1498" s="11" t="n">
        <x:v>119794</x:v>
      </x:c>
      <x:c r="I1498" s="11" t="n">
        <x:v>12500000</x:v>
      </x:c>
      <x:c r="J1498" s="11" t="n">
        <x:v>416667</x:v>
      </x:c>
      <x:c r="K1498" s="12" t="n">
        <x:v>0.702732298826601</x:v>
      </x:c>
      <x:c r="L1498" s="12" t="n">
        <x:v>0.96666664</x:v>
      </x:c>
      <x:c r="M1498" s="8" t="str">
        <x:v>In_Progress</x:v>
      </x:c>
    </x:row>
    <x:row r="1499">
      <x:c r="A1499" s="8" t="str">
        <x:v>Sechelt|Other Tangible Capital Assets</x:v>
      </x:c>
      <x:c r="B1499" s="8" t="str">
        <x:v>sechelt-d</x:v>
      </x:c>
      <x:c r="C1499" s="8" t="str">
        <x:v>Sechelt</x:v>
      </x:c>
      <x:c r="D1499" s="8" t="str">
        <x:v>Other Tangible Capital Assets</x:v>
      </x:c>
      <x:c r="E1499" s="11" t="n">
        <x:v>52974</x:v>
      </x:c>
      <x:c r="F1499" s="11" t="n">
        <x:v>42381</x:v>
      </x:c>
      <x:c r="G1499" s="11" t="n">
        <x:v>10593</x:v>
      </x:c>
      <x:c r="H1499" s="11" t="n">
        <x:v>0</x:v>
      </x:c>
      <x:c r="I1499" s="11" t="n">
        <x:v>0</x:v>
      </x:c>
      <x:c r="J1499" s="11" t="n">
        <x:v>0</x:v>
      </x:c>
      <x:c r="K1499" s="12" t="n">
        <x:v>0.1999660210669385</x:v>
      </x:c>
      <x:c r="L1499" s="12"/>
      <x:c r="M1499" s="8" t="str">
        <x:v>N/A</x:v>
      </x:c>
    </x:row>
    <x:row r="1500">
      <x:c r="A1500" s="8" t="str">
        <x:v>Sechelt|Work In Progress</x:v>
      </x:c>
      <x:c r="B1500" s="8" t="str">
        <x:v>sechelt-d</x:v>
      </x:c>
      <x:c r="C1500" s="8" t="str">
        <x:v>Sechelt</x:v>
      </x:c>
      <x:c r="D1500" s="8" t="str">
        <x:v>Work In Progress</x:v>
      </x:c>
      <x:c r="E1500" s="11" t="n">
        <x:v>18311000</x:v>
      </x:c>
      <x:c r="F1500" s="11"/>
      <x:c r="G1500" s="11" t="n">
        <x:v>18311000</x:v>
      </x:c>
      <x:c r="H1500" s="11" t="n">
        <x:v>5177487</x:v>
      </x:c>
      <x:c r="I1500" s="11" t="n">
        <x:v>18311000</x:v>
      </x:c>
      <x:c r="J1500" s="11"/>
      <x:c r="K1500" s="12" t="n">
        <x:v>1</x:v>
      </x:c>
      <x:c r="L1500" s="12"/>
      <x:c r="M1500" s="8" t="str">
        <x:v>N/A</x:v>
      </x:c>
    </x:row>
    <x:row r="1501">
      <x:c r="A1501" s="8" t="str">
        <x:v>Sechelt|Total TCA</x:v>
      </x:c>
      <x:c r="B1501" s="8" t="str">
        <x:v>sechelt-d</x:v>
      </x:c>
      <x:c r="C1501" s="8" t="str">
        <x:v>Sechelt</x:v>
      </x:c>
      <x:c r="D1501" s="8" t="str">
        <x:v>Total TCA</x:v>
      </x:c>
      <x:c r="E1501" s="11" t="n">
        <x:v>253294657</x:v>
      </x:c>
      <x:c r="F1501" s="11" t="n">
        <x:v>82742109</x:v>
      </x:c>
      <x:c r="G1501" s="11" t="n">
        <x:v>170552548</x:v>
      </x:c>
      <x:c r="H1501" s="11" t="n">
        <x:v>6914449</x:v>
      </x:c>
      <x:c r="I1501" s="11" t="n">
        <x:v>770538476</x:v>
      </x:c>
      <x:c r="J1501" s="11" t="n">
        <x:v>10271407</x:v>
      </x:c>
      <x:c r="K1501" s="12" t="n">
        <x:v>0.6733365402176643</x:v>
      </x:c>
      <x:c r="L1501" s="12" t="n">
        <x:v>0.9866698324354669</x:v>
      </x:c>
      <x:c r="M1501" s="8"/>
    </x:row>
    <x:row r="1502">
      <x:c r="A1502" s="8" t="str">
        <x:v>shíshálh Nation Government District|Land</x:v>
      </x:c>
      <x:c r="B1502" s="8" t="str">
        <x:v>shishalh-nation-government-district-d</x:v>
      </x:c>
      <x:c r="C1502" s="8" t="str">
        <x:v>shíshálh Nation Government District</x:v>
      </x:c>
      <x:c r="D1502" s="8" t="str">
        <x:v>Land</x:v>
      </x:c>
      <x:c r="E1502" s="11" t="n">
        <x:v>0</x:v>
      </x:c>
      <x:c r="F1502" s="11"/>
      <x:c r="G1502" s="11" t="n">
        <x:v>0</x:v>
      </x:c>
      <x:c r="H1502" s="11" t="n">
        <x:v>0</x:v>
      </x:c>
      <x:c r="I1502" s="11" t="n">
        <x:v>0</x:v>
      </x:c>
      <x:c r="J1502" s="11"/>
      <x:c r="K1502" s="12"/>
      <x:c r="L1502" s="12"/>
      <x:c r="M1502" s="8" t="str">
        <x:v>N/A</x:v>
      </x:c>
    </x:row>
    <x:row r="1503">
      <x:c r="A1503" s="8" t="str">
        <x:v>shíshálh Nation Government District|Buildings</x:v>
      </x:c>
      <x:c r="B1503" s="8" t="str">
        <x:v>shishalh-nation-government-district-d</x:v>
      </x:c>
      <x:c r="C1503" s="8" t="str">
        <x:v>shíshálh Nation Government District</x:v>
      </x:c>
      <x:c r="D1503" s="8" t="str">
        <x:v>Buildings</x:v>
      </x:c>
      <x:c r="E1503" s="11" t="n">
        <x:v>136555</x:v>
      </x:c>
      <x:c r="F1503" s="11" t="n">
        <x:v>25536</x:v>
      </x:c>
      <x:c r="G1503" s="11" t="n">
        <x:v>111019</x:v>
      </x:c>
      <x:c r="H1503" s="11" t="n">
        <x:v>0</x:v>
      </x:c>
      <x:c r="I1503" s="11" t="n">
        <x:v>100000</x:v>
      </x:c>
      <x:c r="J1503" s="11" t="n">
        <x:v>2000</x:v>
      </x:c>
      <x:c r="K1503" s="12" t="n">
        <x:v>0.8129984255428215</x:v>
      </x:c>
      <x:c r="L1503" s="12" t="n">
        <x:v>0.98</x:v>
      </x:c>
      <x:c r="M1503" s="8" t="str">
        <x:v>No</x:v>
      </x:c>
    </x:row>
    <x:row r="1504">
      <x:c r="A1504" s="8" t="str">
        <x:v>shíshálh Nation Government District|Fleet</x:v>
      </x:c>
      <x:c r="B1504" s="8" t="str">
        <x:v>shishalh-nation-government-district-d</x:v>
      </x:c>
      <x:c r="C1504" s="8" t="str">
        <x:v>shíshálh Nation Government District</x:v>
      </x:c>
      <x:c r="D1504" s="8" t="str">
        <x:v>Fleet</x:v>
      </x:c>
      <x:c r="E1504" s="11" t="n">
        <x:v>124270</x:v>
      </x:c>
      <x:c r="F1504" s="11" t="n">
        <x:v>59461</x:v>
      </x:c>
      <x:c r="G1504" s="11" t="n">
        <x:v>64809</x:v>
      </x:c>
      <x:c r="H1504" s="11" t="n">
        <x:v>81011</x:v>
      </x:c>
      <x:c r="I1504" s="11" t="n">
        <x:v>60000</x:v>
      </x:c>
      <x:c r="J1504" s="11" t="n">
        <x:v>12000</x:v>
      </x:c>
      <x:c r="K1504" s="12" t="n">
        <x:v>0.5215176631528124</x:v>
      </x:c>
      <x:c r="L1504" s="12" t="n">
        <x:v>0.8</x:v>
      </x:c>
      <x:c r="M1504" s="8" t="str">
        <x:v>No</x:v>
      </x:c>
    </x:row>
    <x:row r="1505">
      <x:c r="A1505" s="8" t="str">
        <x:v>shíshálh Nation Government District|Parks and Recreation</x:v>
      </x:c>
      <x:c r="B1505" s="8" t="str">
        <x:v>shishalh-nation-government-district-d</x:v>
      </x:c>
      <x:c r="C1505" s="8" t="str">
        <x:v>shíshálh Nation Government District</x:v>
      </x:c>
      <x:c r="D1505" s="8" t="str">
        <x:v>Parks and Recreation</x:v>
      </x:c>
      <x:c r="E1505" s="11" t="n">
        <x:v>214588</x:v>
      </x:c>
      <x:c r="F1505" s="11" t="n">
        <x:v>4292</x:v>
      </x:c>
      <x:c r="G1505" s="11" t="n">
        <x:v>210296</x:v>
      </x:c>
      <x:c r="H1505" s="11" t="n">
        <x:v>0</x:v>
      </x:c>
      <x:c r="I1505" s="11" t="n">
        <x:v>200000</x:v>
      </x:c>
      <x:c r="J1505" s="11" t="n">
        <x:v>2000</x:v>
      </x:c>
      <x:c r="K1505" s="12" t="n">
        <x:v>0.9799988815777211</x:v>
      </x:c>
      <x:c r="L1505" s="12" t="n">
        <x:v>0.99</x:v>
      </x:c>
      <x:c r="M1505" s="8" t="str">
        <x:v>No</x:v>
      </x:c>
    </x:row>
    <x:row r="1506">
      <x:c r="A1506" s="8" t="str">
        <x:v>shíshálh Nation Government District|Water System</x:v>
      </x:c>
      <x:c r="B1506" s="8" t="str">
        <x:v>shishalh-nation-government-district-d</x:v>
      </x:c>
      <x:c r="C1506" s="8" t="str">
        <x:v>shíshálh Nation Government District</x:v>
      </x:c>
      <x:c r="D1506" s="8" t="str">
        <x:v>Water System</x:v>
      </x:c>
      <x:c r="E1506" s="11" t="n">
        <x:v>878257</x:v>
      </x:c>
      <x:c r="F1506" s="11" t="n">
        <x:v>569524</x:v>
      </x:c>
      <x:c r="G1506" s="11" t="n">
        <x:v>308733</x:v>
      </x:c>
      <x:c r="H1506" s="11" t="n">
        <x:v>35300</x:v>
      </x:c>
      <x:c r="I1506" s="11" t="n">
        <x:v>250000</x:v>
      </x:c>
      <x:c r="J1506" s="11" t="n">
        <x:v>6000</x:v>
      </x:c>
      <x:c r="K1506" s="12" t="n">
        <x:v>0.3515292220841963</x:v>
      </x:c>
      <x:c r="L1506" s="12" t="n">
        <x:v>0.976</x:v>
      </x:c>
      <x:c r="M1506" s="8" t="str">
        <x:v>No</x:v>
      </x:c>
    </x:row>
    <x:row r="1507">
      <x:c r="A1507" s="8" t="str">
        <x:v>shíshálh Nation Government District|Sewer System</x:v>
      </x:c>
      <x:c r="B1507" s="8" t="str">
        <x:v>shishalh-nation-government-district-d</x:v>
      </x:c>
      <x:c r="C1507" s="8" t="str">
        <x:v>shíshálh Nation Government District</x:v>
      </x:c>
      <x:c r="D1507" s="8" t="str">
        <x:v>Sewer System</x:v>
      </x:c>
      <x:c r="E1507" s="11" t="n">
        <x:v>6233934</x:v>
      </x:c>
      <x:c r="F1507" s="11" t="n">
        <x:v>626961</x:v>
      </x:c>
      <x:c r="G1507" s="11" t="n">
        <x:v>5606973</x:v>
      </x:c>
      <x:c r="H1507" s="11" t="n">
        <x:v>0</x:v>
      </x:c>
      <x:c r="I1507" s="11" t="n">
        <x:v>5000000</x:v>
      </x:c>
      <x:c r="J1507" s="11" t="n">
        <x:v>125000</x:v>
      </x:c>
      <x:c r="K1507" s="12" t="n">
        <x:v>0.8994277129016766</x:v>
      </x:c>
      <x:c r="L1507" s="12" t="n">
        <x:v>0.975</x:v>
      </x:c>
      <x:c r="M1507" s="8" t="str">
        <x:v>No</x:v>
      </x:c>
    </x:row>
    <x:row r="1508">
      <x:c r="A1508" s="8" t="str">
        <x:v>shíshálh Nation Government District|Drainage System</x:v>
      </x:c>
      <x:c r="B1508" s="8" t="str">
        <x:v>shishalh-nation-government-district-d</x:v>
      </x:c>
      <x:c r="C1508" s="8" t="str">
        <x:v>shíshálh Nation Government District</x:v>
      </x:c>
      <x:c r="D1508" s="8" t="str">
        <x:v>Drainage System</x:v>
      </x:c>
      <x:c r="E1508" s="11" t="n">
        <x:v>878866</x:v>
      </x:c>
      <x:c r="F1508" s="11" t="n">
        <x:v>487897</x:v>
      </x:c>
      <x:c r="G1508" s="11" t="n">
        <x:v>390969</x:v>
      </x:c>
      <x:c r="H1508" s="11" t="n">
        <x:v>0</x:v>
      </x:c>
      <x:c r="I1508" s="11" t="n">
        <x:v>300000</x:v>
      </x:c>
      <x:c r="J1508" s="11" t="n">
        <x:v>7500</x:v>
      </x:c>
      <x:c r="K1508" s="12" t="n">
        <x:v>0.44485621243739093</x:v>
      </x:c>
      <x:c r="L1508" s="12" t="n">
        <x:v>0.975</x:v>
      </x:c>
      <x:c r="M1508" s="8" t="str">
        <x:v>No</x:v>
      </x:c>
    </x:row>
    <x:row r="1509">
      <x:c r="A1509" s="8" t="str">
        <x:v>shíshálh Nation Government District|Transportation System</x:v>
      </x:c>
      <x:c r="B1509" s="8" t="str">
        <x:v>shishalh-nation-government-district-d</x:v>
      </x:c>
      <x:c r="C1509" s="8" t="str">
        <x:v>shíshálh Nation Government District</x:v>
      </x:c>
      <x:c r="D1509" s="8" t="str">
        <x:v>Transportation System</x:v>
      </x:c>
      <x:c r="E1509" s="11" t="n">
        <x:v>1623731</x:v>
      </x:c>
      <x:c r="F1509" s="11" t="n">
        <x:v>880362</x:v>
      </x:c>
      <x:c r="G1509" s="11" t="n">
        <x:v>743369</x:v>
      </x:c>
      <x:c r="H1509" s="11" t="n">
        <x:v>0</x:v>
      </x:c>
      <x:c r="I1509" s="11" t="n">
        <x:v>740000</x:v>
      </x:c>
      <x:c r="J1509" s="11" t="n">
        <x:v>0</x:v>
      </x:c>
      <x:c r="K1509" s="12" t="n">
        <x:v>0.45781536473713935</x:v>
      </x:c>
      <x:c r="L1509" s="12" t="n">
        <x:v>1</x:v>
      </x:c>
      <x:c r="M1509" s="8" t="str">
        <x:v>No</x:v>
      </x:c>
    </x:row>
    <x:row r="1510">
      <x:c r="A1510" s="8" t="str">
        <x:v>shíshálh Nation Government District|Other Engineering Systems</x:v>
      </x:c>
      <x:c r="B1510" s="8" t="str">
        <x:v>shishalh-nation-government-district-d</x:v>
      </x:c>
      <x:c r="C1510" s="8" t="str">
        <x:v>shíshálh Nation Government District</x:v>
      </x:c>
      <x:c r="D1510" s="8" t="str">
        <x:v>Other Engineering Systems</x:v>
      </x:c>
      <x:c r="E1510" s="11" t="n">
        <x:v>1882664</x:v>
      </x:c>
      <x:c r="F1510" s="11" t="n">
        <x:v>1216452</x:v>
      </x:c>
      <x:c r="G1510" s="11" t="n">
        <x:v>666212</x:v>
      </x:c>
      <x:c r="H1510" s="11" t="n">
        <x:v>0</x:v>
      </x:c>
      <x:c r="I1510" s="11" t="n">
        <x:v>600000</x:v>
      </x:c>
      <x:c r="J1510" s="11" t="n">
        <x:v>20000</x:v>
      </x:c>
      <x:c r="K1510" s="12" t="n">
        <x:v>0.3538666485363294</x:v>
      </x:c>
      <x:c r="L1510" s="12" t="n">
        <x:v>0.9666666666666667</x:v>
      </x:c>
      <x:c r="M1510" s="8" t="str">
        <x:v>No</x:v>
      </x:c>
    </x:row>
    <x:row r="1511">
      <x:c r="A1511" s="8" t="str">
        <x:v>shíshálh Nation Government District|Other Tangible Capital Assets</x:v>
      </x:c>
      <x:c r="B1511" s="8" t="str">
        <x:v>shishalh-nation-government-district-d</x:v>
      </x:c>
      <x:c r="C1511" s="8" t="str">
        <x:v>shíshálh Nation Government District</x:v>
      </x:c>
      <x:c r="D1511" s="8" t="str">
        <x:v>Other Tangible Capital Assets</x:v>
      </x:c>
      <x:c r="E1511" s="11" t="n">
        <x:v>20432</x:v>
      </x:c>
      <x:c r="F1511" s="11" t="n">
        <x:v>18267</x:v>
      </x:c>
      <x:c r="G1511" s="11" t="n">
        <x:v>2165</x:v>
      </x:c>
      <x:c r="H1511" s="11" t="n">
        <x:v>0</x:v>
      </x:c>
      <x:c r="I1511" s="11" t="n">
        <x:v>0</x:v>
      </x:c>
      <x:c r="J1511" s="11" t="n">
        <x:v>0</x:v>
      </x:c>
      <x:c r="K1511" s="12" t="n">
        <x:v>0.10596123727486297</x:v>
      </x:c>
      <x:c r="L1511" s="12"/>
      <x:c r="M1511" s="8" t="str">
        <x:v>N/A</x:v>
      </x:c>
    </x:row>
    <x:row r="1512">
      <x:c r="A1512" s="8" t="str">
        <x:v>shíshálh Nation Government District|Work In Progress</x:v>
      </x:c>
      <x:c r="B1512" s="8" t="str">
        <x:v>shishalh-nation-government-district-d</x:v>
      </x:c>
      <x:c r="C1512" s="8" t="str">
        <x:v>shíshálh Nation Government District</x:v>
      </x:c>
      <x:c r="D1512" s="8" t="str">
        <x:v>Work In Progress</x:v>
      </x:c>
      <x:c r="E1512" s="11" t="n">
        <x:v>3106944</x:v>
      </x:c>
      <x:c r="F1512" s="11"/>
      <x:c r="G1512" s="11" t="n">
        <x:v>3106944</x:v>
      </x:c>
      <x:c r="H1512" s="11" t="n">
        <x:v>658883</x:v>
      </x:c>
      <x:c r="I1512" s="11" t="n">
        <x:v>3106944</x:v>
      </x:c>
      <x:c r="J1512" s="11"/>
      <x:c r="K1512" s="12" t="n">
        <x:v>1</x:v>
      </x:c>
      <x:c r="L1512" s="12"/>
      <x:c r="M1512" s="8" t="str">
        <x:v>N/A</x:v>
      </x:c>
    </x:row>
    <x:row r="1513">
      <x:c r="A1513" s="8" t="str">
        <x:v>shíshálh Nation Government District|Total TCA</x:v>
      </x:c>
      <x:c r="B1513" s="8" t="str">
        <x:v>shishalh-nation-government-district-d</x:v>
      </x:c>
      <x:c r="C1513" s="8" t="str">
        <x:v>shíshálh Nation Government District</x:v>
      </x:c>
      <x:c r="D1513" s="8" t="str">
        <x:v>Total TCA</x:v>
      </x:c>
      <x:c r="E1513" s="11" t="n">
        <x:v>15100241</x:v>
      </x:c>
      <x:c r="F1513" s="11" t="n">
        <x:v>3888752</x:v>
      </x:c>
      <x:c r="G1513" s="11" t="n">
        <x:v>11211489</x:v>
      </x:c>
      <x:c r="H1513" s="11" t="n">
        <x:v>775194</x:v>
      </x:c>
      <x:c r="I1513" s="11" t="n">
        <x:v>10356944</x:v>
      </x:c>
      <x:c r="J1513" s="11" t="n">
        <x:v>174500</x:v>
      </x:c>
      <x:c r="K1513" s="12" t="n">
        <x:v>0.7424708652000984</x:v>
      </x:c>
      <x:c r="L1513" s="12" t="n">
        <x:v>0.9831514006448234</x:v>
      </x:c>
      <x:c r="M1513" s="8"/>
    </x:row>
    <x:row r="1514">
      <x:c r="A1514" s="8" t="str">
        <x:v>Sicamous|Land</x:v>
      </x:c>
      <x:c r="B1514" s="8" t="str">
        <x:v>sicamous-d</x:v>
      </x:c>
      <x:c r="C1514" s="8" t="str">
        <x:v>Sicamous</x:v>
      </x:c>
      <x:c r="D1514" s="8" t="str">
        <x:v>Land</x:v>
      </x:c>
      <x:c r="E1514" s="11" t="n">
        <x:v>12817786</x:v>
      </x:c>
      <x:c r="F1514" s="11"/>
      <x:c r="G1514" s="11" t="n">
        <x:v>12817786</x:v>
      </x:c>
      <x:c r="H1514" s="11" t="n">
        <x:v>0</x:v>
      </x:c>
      <x:c r="I1514" s="11" t="n">
        <x:v>12817786</x:v>
      </x:c>
      <x:c r="J1514" s="11"/>
      <x:c r="K1514" s="12" t="n">
        <x:v>1</x:v>
      </x:c>
      <x:c r="L1514" s="12"/>
      <x:c r="M1514" s="8" t="str">
        <x:v>N/A</x:v>
      </x:c>
    </x:row>
    <x:row r="1515">
      <x:c r="A1515" s="8" t="str">
        <x:v>Sicamous|Buildings</x:v>
      </x:c>
      <x:c r="B1515" s="8" t="str">
        <x:v>sicamous-d</x:v>
      </x:c>
      <x:c r="C1515" s="8" t="str">
        <x:v>Sicamous</x:v>
      </x:c>
      <x:c r="D1515" s="8" t="str">
        <x:v>Buildings</x:v>
      </x:c>
      <x:c r="E1515" s="11" t="n">
        <x:v>18661458</x:v>
      </x:c>
      <x:c r="F1515" s="11" t="n">
        <x:v>2371725</x:v>
      </x:c>
      <x:c r="G1515" s="11" t="n">
        <x:v>16289733</x:v>
      </x:c>
      <x:c r="H1515" s="11" t="n">
        <x:v>8930928</x:v>
      </x:c>
      <x:c r="I1515" s="11" t="n">
        <x:v>42068000</x:v>
      </x:c>
      <x:c r="J1515" s="11" t="n">
        <x:v>805400</x:v>
      </x:c>
      <x:c r="K1515" s="12" t="n">
        <x:v>0.8729078403198721</x:v>
      </x:c>
      <x:c r="L1515" s="12" t="n">
        <x:v>0.9808548065037558</x:v>
      </x:c>
      <x:c r="M1515" s="8" t="str">
        <x:v>In_Progress</x:v>
      </x:c>
    </x:row>
    <x:row r="1516">
      <x:c r="A1516" s="8" t="str">
        <x:v>Sicamous|Fleet</x:v>
      </x:c>
      <x:c r="B1516" s="8" t="str">
        <x:v>sicamous-d</x:v>
      </x:c>
      <x:c r="C1516" s="8" t="str">
        <x:v>Sicamous</x:v>
      </x:c>
      <x:c r="D1516" s="8" t="str">
        <x:v>Fleet</x:v>
      </x:c>
      <x:c r="E1516" s="11" t="n">
        <x:v>6604517</x:v>
      </x:c>
      <x:c r="F1516" s="11" t="n">
        <x:v>3196394</x:v>
      </x:c>
      <x:c r="G1516" s="11" t="n">
        <x:v>3408123</x:v>
      </x:c>
      <x:c r="H1516" s="11" t="n">
        <x:v>822286</x:v>
      </x:c>
      <x:c r="I1516" s="11" t="n">
        <x:v>6917000</x:v>
      </x:c>
      <x:c r="J1516" s="11" t="n">
        <x:v>382700</x:v>
      </x:c>
      <x:c r="K1516" s="12" t="n">
        <x:v>0.5160291055348938</x:v>
      </x:c>
      <x:c r="L1516" s="12" t="n">
        <x:v>0.9446725459014024</x:v>
      </x:c>
      <x:c r="M1516" s="8" t="str">
        <x:v>In_Progress</x:v>
      </x:c>
    </x:row>
    <x:row r="1517">
      <x:c r="A1517" s="8" t="str">
        <x:v>Sicamous|Parks and Recreation</x:v>
      </x:c>
      <x:c r="B1517" s="8" t="str">
        <x:v>sicamous-d</x:v>
      </x:c>
      <x:c r="C1517" s="8" t="str">
        <x:v>Sicamous</x:v>
      </x:c>
      <x:c r="D1517" s="8" t="str">
        <x:v>Parks and Recreation</x:v>
      </x:c>
      <x:c r="E1517" s="11" t="n">
        <x:v>5120504</x:v>
      </x:c>
      <x:c r="F1517" s="11" t="n">
        <x:v>2614466</x:v>
      </x:c>
      <x:c r="G1517" s="11" t="n">
        <x:v>2506038</x:v>
      </x:c>
      <x:c r="H1517" s="11" t="n">
        <x:v>561039</x:v>
      </x:c>
      <x:c r="I1517" s="11" t="n">
        <x:v>7504000</x:v>
      </x:c>
      <x:c r="J1517" s="11" t="n">
        <x:v>184900</x:v>
      </x:c>
      <x:c r="K1517" s="12" t="n">
        <x:v>0.4894123703447942</x:v>
      </x:c>
      <x:c r="L1517" s="12" t="n">
        <x:v>0.9753598081023455</x:v>
      </x:c>
      <x:c r="M1517" s="8" t="str">
        <x:v>In_Progress</x:v>
      </x:c>
    </x:row>
    <x:row r="1518">
      <x:c r="A1518" s="8" t="str">
        <x:v>Sicamous|Water System</x:v>
      </x:c>
      <x:c r="B1518" s="8" t="str">
        <x:v>sicamous-d</x:v>
      </x:c>
      <x:c r="C1518" s="8" t="str">
        <x:v>Sicamous</x:v>
      </x:c>
      <x:c r="D1518" s="8" t="str">
        <x:v>Water System</x:v>
      </x:c>
      <x:c r="E1518" s="11" t="n">
        <x:v>23679310</x:v>
      </x:c>
      <x:c r="F1518" s="11" t="n">
        <x:v>4573206</x:v>
      </x:c>
      <x:c r="G1518" s="11" t="n">
        <x:v>19106104</x:v>
      </x:c>
      <x:c r="H1518" s="11" t="n">
        <x:v>391666</x:v>
      </x:c>
      <x:c r="I1518" s="11" t="n">
        <x:v>63087000</x:v>
      </x:c>
      <x:c r="J1518" s="11" t="n">
        <x:v>1019500</x:v>
      </x:c>
      <x:c r="K1518" s="12" t="n">
        <x:v>0.8068691190748379</x:v>
      </x:c>
      <x:c r="L1518" s="12" t="n">
        <x:v>0.9838397768161428</x:v>
      </x:c>
      <x:c r="M1518" s="8" t="str">
        <x:v>In_Progress</x:v>
      </x:c>
    </x:row>
    <x:row r="1519">
      <x:c r="A1519" s="8" t="str">
        <x:v>Sicamous|Sewer System</x:v>
      </x:c>
      <x:c r="B1519" s="8" t="str">
        <x:v>sicamous-d</x:v>
      </x:c>
      <x:c r="C1519" s="8" t="str">
        <x:v>Sicamous</x:v>
      </x:c>
      <x:c r="D1519" s="8" t="str">
        <x:v>Sewer System</x:v>
      </x:c>
      <x:c r="E1519" s="11" t="n">
        <x:v>27319723</x:v>
      </x:c>
      <x:c r="F1519" s="11" t="n">
        <x:v>5534997</x:v>
      </x:c>
      <x:c r="G1519" s="11" t="n">
        <x:v>21784726</x:v>
      </x:c>
      <x:c r="H1519" s="11" t="n">
        <x:v>216448</x:v>
      </x:c>
      <x:c r="I1519" s="11" t="n">
        <x:v>27000000</x:v>
      </x:c>
      <x:c r="J1519" s="11" t="n">
        <x:v>450000</x:v>
      </x:c>
      <x:c r="K1519" s="12" t="n">
        <x:v>0.7973992269248118</x:v>
      </x:c>
      <x:c r="L1519" s="12" t="n">
        <x:v>0.9833333333333333</x:v>
      </x:c>
      <x:c r="M1519" s="8" t="str">
        <x:v>In_Progress</x:v>
      </x:c>
    </x:row>
    <x:row r="1520">
      <x:c r="A1520" s="8" t="str">
        <x:v>Sicamous|Drainage System</x:v>
      </x:c>
      <x:c r="B1520" s="8" t="str">
        <x:v>sicamous-d</x:v>
      </x:c>
      <x:c r="C1520" s="8" t="str">
        <x:v>Sicamous</x:v>
      </x:c>
      <x:c r="D1520" s="8" t="str">
        <x:v>Drainage System</x:v>
      </x:c>
      <x:c r="E1520" s="11" t="n">
        <x:v>2366397</x:v>
      </x:c>
      <x:c r="F1520" s="11" t="n">
        <x:v>490482</x:v>
      </x:c>
      <x:c r="G1520" s="11" t="n">
        <x:v>1875915</x:v>
      </x:c>
      <x:c r="H1520" s="11" t="n">
        <x:v>63595</x:v>
      </x:c>
      <x:c r="I1520" s="11" t="n">
        <x:v>7000000</x:v>
      </x:c>
      <x:c r="J1520" s="11" t="n">
        <x:v>107700</x:v>
      </x:c>
      <x:c r="K1520" s="12" t="n">
        <x:v>0.7927304674574892</x:v>
      </x:c>
      <x:c r="L1520" s="12" t="n">
        <x:v>0.9846142857142857</x:v>
      </x:c>
      <x:c r="M1520" s="8" t="str">
        <x:v>In_Progress</x:v>
      </x:c>
    </x:row>
    <x:row r="1521">
      <x:c r="A1521" s="8" t="str">
        <x:v>Sicamous|Transportation System</x:v>
      </x:c>
      <x:c r="B1521" s="8" t="str">
        <x:v>sicamous-d</x:v>
      </x:c>
      <x:c r="C1521" s="8" t="str">
        <x:v>Sicamous</x:v>
      </x:c>
      <x:c r="D1521" s="8" t="str">
        <x:v>Transportation System</x:v>
      </x:c>
      <x:c r="E1521" s="11" t="n">
        <x:v>22304691</x:v>
      </x:c>
      <x:c r="F1521" s="11" t="n">
        <x:v>10785865</x:v>
      </x:c>
      <x:c r="G1521" s="11" t="n">
        <x:v>11518826</x:v>
      </x:c>
      <x:c r="H1521" s="11" t="n">
        <x:v>1536678</x:v>
      </x:c>
      <x:c r="I1521" s="11" t="n">
        <x:v>34500000</x:v>
      </x:c>
      <x:c r="J1521" s="11" t="n">
        <x:v>55000</x:v>
      </x:c>
      <x:c r="K1521" s="12" t="n">
        <x:v>0.5164306468087811</x:v>
      </x:c>
      <x:c r="L1521" s="12" t="n">
        <x:v>0.9984057971014493</x:v>
      </x:c>
      <x:c r="M1521" s="8" t="str">
        <x:v>In_Progress</x:v>
      </x:c>
    </x:row>
    <x:row r="1522">
      <x:c r="A1522" s="8" t="str">
        <x:v>Sicamous|Other Engineering Systems</x:v>
      </x:c>
      <x:c r="B1522" s="8" t="str">
        <x:v>sicamous-d</x:v>
      </x:c>
      <x:c r="C1522" s="8" t="str">
        <x:v>Sicamous</x:v>
      </x:c>
      <x:c r="D1522" s="8" t="str">
        <x:v>Other Engineering Systems</x:v>
      </x:c>
      <x:c r="E1522" s="11" t="n">
        <x:v>0</x:v>
      </x:c>
      <x:c r="F1522" s="11" t="n">
        <x:v>0</x:v>
      </x:c>
      <x:c r="G1522" s="11" t="n">
        <x:v>0</x:v>
      </x:c>
      <x:c r="H1522" s="11" t="n">
        <x:v>0</x:v>
      </x:c>
      <x:c r="I1522" s="11" t="n">
        <x:v>0</x:v>
      </x:c>
      <x:c r="J1522" s="11" t="n">
        <x:v>0</x:v>
      </x:c>
      <x:c r="K1522" s="12"/>
      <x:c r="L1522" s="12"/>
      <x:c r="M1522" s="8"/>
    </x:row>
    <x:row r="1523">
      <x:c r="A1523" s="8" t="str">
        <x:v>Sicamous|Other Tangible Capital Assets</x:v>
      </x:c>
      <x:c r="B1523" s="8" t="str">
        <x:v>sicamous-d</x:v>
      </x:c>
      <x:c r="C1523" s="8" t="str">
        <x:v>Sicamous</x:v>
      </x:c>
      <x:c r="D1523" s="8" t="str">
        <x:v>Other Tangible Capital Assets</x:v>
      </x:c>
      <x:c r="E1523" s="11" t="n">
        <x:v>0</x:v>
      </x:c>
      <x:c r="F1523" s="11" t="n">
        <x:v>0</x:v>
      </x:c>
      <x:c r="G1523" s="11" t="n">
        <x:v>0</x:v>
      </x:c>
      <x:c r="H1523" s="11" t="n">
        <x:v>0</x:v>
      </x:c>
      <x:c r="I1523" s="11" t="n">
        <x:v>0</x:v>
      </x:c>
      <x:c r="J1523" s="11" t="n">
        <x:v>0</x:v>
      </x:c>
      <x:c r="K1523" s="12"/>
      <x:c r="L1523" s="12"/>
      <x:c r="M1523" s="8" t="str">
        <x:v>N/A</x:v>
      </x:c>
    </x:row>
    <x:row r="1524">
      <x:c r="A1524" s="8" t="str">
        <x:v>Sicamous|Work In Progress</x:v>
      </x:c>
      <x:c r="B1524" s="8" t="str">
        <x:v>sicamous-d</x:v>
      </x:c>
      <x:c r="C1524" s="8" t="str">
        <x:v>Sicamous</x:v>
      </x:c>
      <x:c r="D1524" s="8" t="str">
        <x:v>Work In Progress</x:v>
      </x:c>
      <x:c r="E1524" s="11" t="n">
        <x:v>0</x:v>
      </x:c>
      <x:c r="F1524" s="11"/>
      <x:c r="G1524" s="11" t="n">
        <x:v>0</x:v>
      </x:c>
      <x:c r="H1524" s="11" t="n">
        <x:v>0</x:v>
      </x:c>
      <x:c r="I1524" s="11" t="n">
        <x:v>0</x:v>
      </x:c>
      <x:c r="J1524" s="11"/>
      <x:c r="K1524" s="12"/>
      <x:c r="L1524" s="12"/>
      <x:c r="M1524" s="8" t="str">
        <x:v>N/A</x:v>
      </x:c>
    </x:row>
    <x:row r="1525">
      <x:c r="A1525" s="8" t="str">
        <x:v>Sicamous|Total TCA</x:v>
      </x:c>
      <x:c r="B1525" s="8" t="str">
        <x:v>sicamous-d</x:v>
      </x:c>
      <x:c r="C1525" s="8" t="str">
        <x:v>Sicamous</x:v>
      </x:c>
      <x:c r="D1525" s="8" t="str">
        <x:v>Total TCA</x:v>
      </x:c>
      <x:c r="E1525" s="11" t="n">
        <x:v>118874386</x:v>
      </x:c>
      <x:c r="F1525" s="11" t="n">
        <x:v>29567135</x:v>
      </x:c>
      <x:c r="G1525" s="11" t="n">
        <x:v>89307251</x:v>
      </x:c>
      <x:c r="H1525" s="11" t="n">
        <x:v>12522640</x:v>
      </x:c>
      <x:c r="I1525" s="11" t="n">
        <x:v>200893786</x:v>
      </x:c>
      <x:c r="J1525" s="11" t="n">
        <x:v>3005200</x:v>
      </x:c>
      <x:c r="K1525" s="12" t="n">
        <x:v>0.7512741306609146</x:v>
      </x:c>
      <x:c r="L1525" s="12" t="n">
        <x:v>0.9850408513880066</x:v>
      </x:c>
      <x:c r="M1525" s="8"/>
    </x:row>
    <x:row r="1526">
      <x:c r="A1526" s="8" t="str">
        <x:v>Sidney|Land</x:v>
      </x:c>
      <x:c r="B1526" s="8" t="str">
        <x:v>sidney-t</x:v>
      </x:c>
      <x:c r="C1526" s="8" t="str">
        <x:v>Sidney</x:v>
      </x:c>
      <x:c r="D1526" s="8" t="str">
        <x:v>Land</x:v>
      </x:c>
      <x:c r="E1526" s="11" t="n">
        <x:v>15818726</x:v>
      </x:c>
      <x:c r="F1526" s="11"/>
      <x:c r="G1526" s="11" t="n">
        <x:v>15818726</x:v>
      </x:c>
      <x:c r="H1526" s="11" t="n">
        <x:v>1526871</x:v>
      </x:c>
      <x:c r="I1526" s="11" t="n">
        <x:v>15818726</x:v>
      </x:c>
      <x:c r="J1526" s="11"/>
      <x:c r="K1526" s="12" t="n">
        <x:v>1</x:v>
      </x:c>
      <x:c r="L1526" s="12"/>
      <x:c r="M1526" s="8" t="str">
        <x:v>N/A</x:v>
      </x:c>
    </x:row>
    <x:row r="1527">
      <x:c r="A1527" s="8" t="str">
        <x:v>Sidney|Buildings</x:v>
      </x:c>
      <x:c r="B1527" s="8" t="str">
        <x:v>sidney-t</x:v>
      </x:c>
      <x:c r="C1527" s="8" t="str">
        <x:v>Sidney</x:v>
      </x:c>
      <x:c r="D1527" s="8" t="str">
        <x:v>Buildings</x:v>
      </x:c>
      <x:c r="E1527" s="11" t="n">
        <x:v>31928833</x:v>
      </x:c>
      <x:c r="F1527" s="11" t="n">
        <x:v>10891793</x:v>
      </x:c>
      <x:c r="G1527" s="11" t="n">
        <x:v>21037040</x:v>
      </x:c>
      <x:c r="H1527" s="11" t="n">
        <x:v>913048</x:v>
      </x:c>
      <x:c r="I1527" s="11" t="n">
        <x:v>85087200</x:v>
      </x:c>
      <x:c r="J1527" s="11" t="n">
        <x:v>2836240</x:v>
      </x:c>
      <x:c r="K1527" s="12" t="n">
        <x:v>0.6588728125453254</x:v>
      </x:c>
      <x:c r="L1527" s="12" t="n">
        <x:v>0.9666666666666667</x:v>
      </x:c>
      <x:c r="M1527" s="8" t="str">
        <x:v>No</x:v>
      </x:c>
    </x:row>
    <x:row r="1528">
      <x:c r="A1528" s="8" t="str">
        <x:v>Sidney|Fleet</x:v>
      </x:c>
      <x:c r="B1528" s="8" t="str">
        <x:v>sidney-t</x:v>
      </x:c>
      <x:c r="C1528" s="8" t="str">
        <x:v>Sidney</x:v>
      </x:c>
      <x:c r="D1528" s="8" t="str">
        <x:v>Fleet</x:v>
      </x:c>
      <x:c r="E1528" s="11" t="n">
        <x:v>14546863</x:v>
      </x:c>
      <x:c r="F1528" s="11" t="n">
        <x:v>6973190</x:v>
      </x:c>
      <x:c r="G1528" s="11" t="n">
        <x:v>7573673</x:v>
      </x:c>
      <x:c r="H1528" s="11" t="n">
        <x:v>1215582</x:v>
      </x:c>
      <x:c r="I1528" s="11" t="n">
        <x:v>10254871</x:v>
      </x:c>
      <x:c r="J1528" s="11" t="n">
        <x:v>946458</x:v>
      </x:c>
      <x:c r="K1528" s="12" t="n">
        <x:v>0.5206396045662903</x:v>
      </x:c>
      <x:c r="L1528" s="12" t="n">
        <x:v>0.9077064938213265</x:v>
      </x:c>
      <x:c r="M1528" s="8" t="str">
        <x:v>No</x:v>
      </x:c>
    </x:row>
    <x:row r="1529">
      <x:c r="A1529" s="8" t="str">
        <x:v>Sidney|Parks and Recreation</x:v>
      </x:c>
      <x:c r="B1529" s="8" t="str">
        <x:v>sidney-t</x:v>
      </x:c>
      <x:c r="C1529" s="8" t="str">
        <x:v>Sidney</x:v>
      </x:c>
      <x:c r="D1529" s="8" t="str">
        <x:v>Parks and Recreation</x:v>
      </x:c>
      <x:c r="E1529" s="11" t="n">
        <x:v>17356054</x:v>
      </x:c>
      <x:c r="F1529" s="11" t="n">
        <x:v>7964522</x:v>
      </x:c>
      <x:c r="G1529" s="11" t="n">
        <x:v>9391532</x:v>
      </x:c>
      <x:c r="H1529" s="11" t="n">
        <x:v>391332</x:v>
      </x:c>
      <x:c r="I1529" s="11" t="n">
        <x:v>10495000</x:v>
      </x:c>
      <x:c r="J1529" s="11" t="n">
        <x:v>655937</x:v>
      </x:c>
      <x:c r="K1529" s="12" t="n">
        <x:v>0.5411098628755131</x:v>
      </x:c>
      <x:c r="L1529" s="12" t="n">
        <x:v>0.9375000476417341</x:v>
      </x:c>
      <x:c r="M1529" s="8" t="str">
        <x:v>No</x:v>
      </x:c>
    </x:row>
    <x:row r="1530">
      <x:c r="A1530" s="8" t="str">
        <x:v>Sidney|Water System</x:v>
      </x:c>
      <x:c r="B1530" s="8" t="str">
        <x:v>sidney-t</x:v>
      </x:c>
      <x:c r="C1530" s="8" t="str">
        <x:v>Sidney</x:v>
      </x:c>
      <x:c r="D1530" s="8" t="str">
        <x:v>Water System</x:v>
      </x:c>
      <x:c r="E1530" s="11" t="n">
        <x:v>21305365</x:v>
      </x:c>
      <x:c r="F1530" s="11" t="n">
        <x:v>7315704</x:v>
      </x:c>
      <x:c r="G1530" s="11" t="n">
        <x:v>13989661</x:v>
      </x:c>
      <x:c r="H1530" s="11" t="n">
        <x:v>2850623</x:v>
      </x:c>
      <x:c r="I1530" s="11" t="n">
        <x:v>69101617</x:v>
      </x:c>
      <x:c r="J1530" s="11" t="n">
        <x:v>2422493</x:v>
      </x:c>
      <x:c r="K1530" s="12" t="n">
        <x:v>0.6566262065916261</x:v>
      </x:c>
      <x:c r="L1530" s="12" t="n">
        <x:v>0.9649430345457762</x:v>
      </x:c>
      <x:c r="M1530" s="8" t="str">
        <x:v>In_Progress</x:v>
      </x:c>
    </x:row>
    <x:row r="1531">
      <x:c r="A1531" s="8" t="str">
        <x:v>Sidney|Sewer System</x:v>
      </x:c>
      <x:c r="B1531" s="8" t="str">
        <x:v>sidney-t</x:v>
      </x:c>
      <x:c r="C1531" s="8" t="str">
        <x:v>Sidney</x:v>
      </x:c>
      <x:c r="D1531" s="8" t="str">
        <x:v>Sewer System</x:v>
      </x:c>
      <x:c r="E1531" s="11" t="n">
        <x:v>10525274</x:v>
      </x:c>
      <x:c r="F1531" s="11" t="n">
        <x:v>4618756</x:v>
      </x:c>
      <x:c r="G1531" s="11" t="n">
        <x:v>5906518</x:v>
      </x:c>
      <x:c r="H1531" s="11" t="n">
        <x:v>151613</x:v>
      </x:c>
      <x:c r="I1531" s="11" t="n">
        <x:v>74267967</x:v>
      </x:c>
      <x:c r="J1531" s="11" t="n">
        <x:v>1550716</x:v>
      </x:c>
      <x:c r="K1531" s="12" t="n">
        <x:v>0.5611747494649545</x:v>
      </x:c>
      <x:c r="L1531" s="12" t="n">
        <x:v>0.9791199885678842</x:v>
      </x:c>
      <x:c r="M1531" s="8" t="str">
        <x:v>In_Progress</x:v>
      </x:c>
    </x:row>
    <x:row r="1532">
      <x:c r="A1532" s="8" t="str">
        <x:v>Sidney|Drainage System</x:v>
      </x:c>
      <x:c r="B1532" s="8" t="str">
        <x:v>sidney-t</x:v>
      </x:c>
      <x:c r="C1532" s="8" t="str">
        <x:v>Sidney</x:v>
      </x:c>
      <x:c r="D1532" s="8" t="str">
        <x:v>Drainage System</x:v>
      </x:c>
      <x:c r="E1532" s="11" t="n">
        <x:v>22232500</x:v>
      </x:c>
      <x:c r="F1532" s="11" t="n">
        <x:v>7962083</x:v>
      </x:c>
      <x:c r="G1532" s="11" t="n">
        <x:v>14270417</x:v>
      </x:c>
      <x:c r="H1532" s="11" t="n">
        <x:v>1604755</x:v>
      </x:c>
      <x:c r="I1532" s="11" t="n">
        <x:v>76009885</x:v>
      </x:c>
      <x:c r="J1532" s="11" t="n">
        <x:v>2014495</x:v>
      </x:c>
      <x:c r="K1532" s="12" t="n">
        <x:v>0.6418718992465985</x:v>
      </x:c>
      <x:c r="L1532" s="12" t="n">
        <x:v>0.97349693398431</x:v>
      </x:c>
      <x:c r="M1532" s="8" t="str">
        <x:v>In_Progress</x:v>
      </x:c>
    </x:row>
    <x:row r="1533">
      <x:c r="A1533" s="8" t="str">
        <x:v>Sidney|Transportation System</x:v>
      </x:c>
      <x:c r="B1533" s="8" t="str">
        <x:v>sidney-t</x:v>
      </x:c>
      <x:c r="C1533" s="8" t="str">
        <x:v>Sidney</x:v>
      </x:c>
      <x:c r="D1533" s="8" t="str">
        <x:v>Transportation System</x:v>
      </x:c>
      <x:c r="E1533" s="11" t="n">
        <x:v>42944048</x:v>
      </x:c>
      <x:c r="F1533" s="11" t="n">
        <x:v>13604577</x:v>
      </x:c>
      <x:c r="G1533" s="11" t="n">
        <x:v>29339471</x:v>
      </x:c>
      <x:c r="H1533" s="11" t="n">
        <x:v>7163556</x:v>
      </x:c>
      <x:c r="I1533" s="11" t="n">
        <x:v>97079269</x:v>
      </x:c>
      <x:c r="J1533" s="11" t="n">
        <x:v>10785589</x:v>
      </x:c>
      <x:c r="K1533" s="12" t="n">
        <x:v>0.6832022682165407</x:v>
      </x:c>
      <x:c r="L1533" s="12" t="n">
        <x:v>0.888899153124031</x:v>
      </x:c>
      <x:c r="M1533" s="8" t="str">
        <x:v>In_Progress</x:v>
      </x:c>
    </x:row>
    <x:row r="1534">
      <x:c r="A1534" s="8" t="str">
        <x:v>Sidney|Other Engineering Systems</x:v>
      </x:c>
      <x:c r="B1534" s="8" t="str">
        <x:v>sidney-t</x:v>
      </x:c>
      <x:c r="C1534" s="8" t="str">
        <x:v>Sidney</x:v>
      </x:c>
      <x:c r="D1534" s="8" t="str">
        <x:v>Other Engineering Systems</x:v>
      </x:c>
      <x:c r="E1534" s="11" t="n">
        <x:v>0</x:v>
      </x:c>
      <x:c r="F1534" s="11" t="n">
        <x:v>0</x:v>
      </x:c>
      <x:c r="G1534" s="11" t="n">
        <x:v>0</x:v>
      </x:c>
      <x:c r="H1534" s="11" t="n">
        <x:v>0</x:v>
      </x:c>
      <x:c r="I1534" s="11" t="n">
        <x:v>0</x:v>
      </x:c>
      <x:c r="J1534" s="11" t="n">
        <x:v>0</x:v>
      </x:c>
      <x:c r="K1534" s="12"/>
      <x:c r="L1534" s="12"/>
      <x:c r="M1534" s="8"/>
    </x:row>
    <x:row r="1535">
      <x:c r="A1535" s="8" t="str">
        <x:v>Sidney|Other Tangible Capital Assets</x:v>
      </x:c>
      <x:c r="B1535" s="8" t="str">
        <x:v>sidney-t</x:v>
      </x:c>
      <x:c r="C1535" s="8" t="str">
        <x:v>Sidney</x:v>
      </x:c>
      <x:c r="D1535" s="8" t="str">
        <x:v>Other Tangible Capital Assets</x:v>
      </x:c>
      <x:c r="E1535" s="11" t="n">
        <x:v>0</x:v>
      </x:c>
      <x:c r="F1535" s="11" t="n">
        <x:v>0</x:v>
      </x:c>
      <x:c r="G1535" s="11" t="n">
        <x:v>0</x:v>
      </x:c>
      <x:c r="H1535" s="11" t="n">
        <x:v>0</x:v>
      </x:c>
      <x:c r="I1535" s="11" t="n">
        <x:v>0</x:v>
      </x:c>
      <x:c r="J1535" s="11" t="n">
        <x:v>0</x:v>
      </x:c>
      <x:c r="K1535" s="12"/>
      <x:c r="L1535" s="12"/>
      <x:c r="M1535" s="8" t="str">
        <x:v>N/A</x:v>
      </x:c>
    </x:row>
    <x:row r="1536">
      <x:c r="A1536" s="8" t="str">
        <x:v>Sidney|Work In Progress</x:v>
      </x:c>
      <x:c r="B1536" s="8" t="str">
        <x:v>sidney-t</x:v>
      </x:c>
      <x:c r="C1536" s="8" t="str">
        <x:v>Sidney</x:v>
      </x:c>
      <x:c r="D1536" s="8" t="str">
        <x:v>Work In Progress</x:v>
      </x:c>
      <x:c r="E1536" s="11" t="n">
        <x:v>1859803</x:v>
      </x:c>
      <x:c r="F1536" s="11"/>
      <x:c r="G1536" s="11" t="n">
        <x:v>1859803</x:v>
      </x:c>
      <x:c r="H1536" s="11" t="n">
        <x:v>-4350608</x:v>
      </x:c>
      <x:c r="I1536" s="11" t="n">
        <x:v>1859803</x:v>
      </x:c>
      <x:c r="J1536" s="11"/>
      <x:c r="K1536" s="12" t="n">
        <x:v>1</x:v>
      </x:c>
      <x:c r="L1536" s="12"/>
      <x:c r="M1536" s="8" t="str">
        <x:v>N/A</x:v>
      </x:c>
    </x:row>
    <x:row r="1537">
      <x:c r="A1537" s="8" t="str">
        <x:v>Sidney|Total TCA</x:v>
      </x:c>
      <x:c r="B1537" s="8" t="str">
        <x:v>sidney-t</x:v>
      </x:c>
      <x:c r="C1537" s="8" t="str">
        <x:v>Sidney</x:v>
      </x:c>
      <x:c r="D1537" s="8" t="str">
        <x:v>Total TCA</x:v>
      </x:c>
      <x:c r="E1537" s="11" t="n">
        <x:v>178517466</x:v>
      </x:c>
      <x:c r="F1537" s="11" t="n">
        <x:v>59330625</x:v>
      </x:c>
      <x:c r="G1537" s="11" t="n">
        <x:v>119186841</x:v>
      </x:c>
      <x:c r="H1537" s="11" t="n">
        <x:v>11466772</x:v>
      </x:c>
      <x:c r="I1537" s="11" t="n">
        <x:v>439974338</x:v>
      </x:c>
      <x:c r="J1537" s="11" t="n">
        <x:v>21211928</x:v>
      </x:c>
      <x:c r="K1537" s="12" t="n">
        <x:v>0.6676480664362556</x:v>
      </x:c>
      <x:c r="L1537" s="12" t="n">
        <x:v>0.9517882608871611</x:v>
      </x:c>
      <x:c r="M1537" s="8"/>
    </x:row>
    <x:row r="1538">
      <x:c r="A1538" s="8" t="str">
        <x:v>Silverton|Land</x:v>
      </x:c>
      <x:c r="B1538" s="8" t="str">
        <x:v>silverton-v</x:v>
      </x:c>
      <x:c r="C1538" s="8" t="str">
        <x:v>Silverton</x:v>
      </x:c>
      <x:c r="D1538" s="8" t="str">
        <x:v>Land</x:v>
      </x:c>
      <x:c r="E1538" s="11" t="n">
        <x:v>93916</x:v>
      </x:c>
      <x:c r="F1538" s="11"/>
      <x:c r="G1538" s="11" t="n">
        <x:v>93916</x:v>
      </x:c>
      <x:c r="H1538" s="11" t="n">
        <x:v>0</x:v>
      </x:c>
      <x:c r="I1538" s="11" t="n">
        <x:v>93916</x:v>
      </x:c>
      <x:c r="J1538" s="11"/>
      <x:c r="K1538" s="12" t="n">
        <x:v>1</x:v>
      </x:c>
      <x:c r="L1538" s="12"/>
      <x:c r="M1538" s="8" t="str">
        <x:v>N/A</x:v>
      </x:c>
    </x:row>
    <x:row r="1539">
      <x:c r="A1539" s="8" t="str">
        <x:v>Silverton|Buildings</x:v>
      </x:c>
      <x:c r="B1539" s="8" t="str">
        <x:v>silverton-v</x:v>
      </x:c>
      <x:c r="C1539" s="8" t="str">
        <x:v>Silverton</x:v>
      </x:c>
      <x:c r="D1539" s="8" t="str">
        <x:v>Buildings</x:v>
      </x:c>
      <x:c r="E1539" s="11" t="n">
        <x:v>1892596</x:v>
      </x:c>
      <x:c r="F1539" s="11" t="n">
        <x:v>701738</x:v>
      </x:c>
      <x:c r="G1539" s="11" t="n">
        <x:v>1190858</x:v>
      </x:c>
      <x:c r="H1539" s="11" t="n">
        <x:v>23033</x:v>
      </x:c>
      <x:c r="I1539" s="11" t="n">
        <x:v>0</x:v>
      </x:c>
      <x:c r="J1539" s="11" t="n">
        <x:v>0</x:v>
      </x:c>
      <x:c r="K1539" s="12" t="n">
        <x:v>0.6292193368262429</x:v>
      </x:c>
      <x:c r="L1539" s="12"/>
      <x:c r="M1539" s="8" t="str">
        <x:v>In_Progress</x:v>
      </x:c>
    </x:row>
    <x:row r="1540">
      <x:c r="A1540" s="8" t="str">
        <x:v>Silverton|Fleet</x:v>
      </x:c>
      <x:c r="B1540" s="8" t="str">
        <x:v>silverton-v</x:v>
      </x:c>
      <x:c r="C1540" s="8" t="str">
        <x:v>Silverton</x:v>
      </x:c>
      <x:c r="D1540" s="8" t="str">
        <x:v>Fleet</x:v>
      </x:c>
      <x:c r="E1540" s="11" t="n">
        <x:v>370486</x:v>
      </x:c>
      <x:c r="F1540" s="11" t="n">
        <x:v>300960</x:v>
      </x:c>
      <x:c r="G1540" s="11" t="n">
        <x:v>69526</x:v>
      </x:c>
      <x:c r="H1540" s="11" t="n">
        <x:v>0</x:v>
      </x:c>
      <x:c r="I1540" s="11" t="n">
        <x:v>0</x:v>
      </x:c>
      <x:c r="J1540" s="11" t="n">
        <x:v>0</x:v>
      </x:c>
      <x:c r="K1540" s="12" t="n">
        <x:v>0.18766161204471965</x:v>
      </x:c>
      <x:c r="L1540" s="12"/>
      <x:c r="M1540" s="8" t="str">
        <x:v>In_Progress</x:v>
      </x:c>
    </x:row>
    <x:row r="1541">
      <x:c r="A1541" s="8" t="str">
        <x:v>Silverton|Parks and Recreation</x:v>
      </x:c>
      <x:c r="B1541" s="8" t="str">
        <x:v>silverton-v</x:v>
      </x:c>
      <x:c r="C1541" s="8" t="str">
        <x:v>Silverton</x:v>
      </x:c>
      <x:c r="D1541" s="8" t="str">
        <x:v>Parks and Recreation</x:v>
      </x:c>
      <x:c r="E1541" s="11" t="n">
        <x:v>0</x:v>
      </x:c>
      <x:c r="F1541" s="11" t="n">
        <x:v>0</x:v>
      </x:c>
      <x:c r="G1541" s="11" t="n">
        <x:v>0</x:v>
      </x:c>
      <x:c r="H1541" s="11" t="n">
        <x:v>0</x:v>
      </x:c>
      <x:c r="I1541" s="11" t="n">
        <x:v>0</x:v>
      </x:c>
      <x:c r="J1541" s="11" t="n">
        <x:v>0</x:v>
      </x:c>
      <x:c r="K1541" s="12"/>
      <x:c r="L1541" s="12"/>
      <x:c r="M1541" s="8"/>
    </x:row>
    <x:row r="1542">
      <x:c r="A1542" s="8" t="str">
        <x:v>Silverton|Water System</x:v>
      </x:c>
      <x:c r="B1542" s="8" t="str">
        <x:v>silverton-v</x:v>
      </x:c>
      <x:c r="C1542" s="8" t="str">
        <x:v>Silverton</x:v>
      </x:c>
      <x:c r="D1542" s="8" t="str">
        <x:v>Water System</x:v>
      </x:c>
      <x:c r="E1542" s="11" t="n">
        <x:v>2402244</x:v>
      </x:c>
      <x:c r="F1542" s="11" t="n">
        <x:v>1021551</x:v>
      </x:c>
      <x:c r="G1542" s="11" t="n">
        <x:v>1380693</x:v>
      </x:c>
      <x:c r="H1542" s="11" t="n">
        <x:v>99411</x:v>
      </x:c>
      <x:c r="I1542" s="11" t="n">
        <x:v>0</x:v>
      </x:c>
      <x:c r="J1542" s="11" t="n">
        <x:v>0</x:v>
      </x:c>
      <x:c r="K1542" s="12" t="n">
        <x:v>0.5747513574807555</x:v>
      </x:c>
      <x:c r="L1542" s="12"/>
      <x:c r="M1542" s="8" t="str">
        <x:v>In_Progress</x:v>
      </x:c>
    </x:row>
    <x:row r="1543">
      <x:c r="A1543" s="8" t="str">
        <x:v>Silverton|Sewer System</x:v>
      </x:c>
      <x:c r="B1543" s="8" t="str">
        <x:v>silverton-v</x:v>
      </x:c>
      <x:c r="C1543" s="8" t="str">
        <x:v>Silverton</x:v>
      </x:c>
      <x:c r="D1543" s="8" t="str">
        <x:v>Sewer System</x:v>
      </x:c>
      <x:c r="E1543" s="11" t="n">
        <x:v>0</x:v>
      </x:c>
      <x:c r="F1543" s="11" t="n">
        <x:v>0</x:v>
      </x:c>
      <x:c r="G1543" s="11" t="n">
        <x:v>0</x:v>
      </x:c>
      <x:c r="H1543" s="11" t="n">
        <x:v>0</x:v>
      </x:c>
      <x:c r="I1543" s="11" t="n">
        <x:v>0</x:v>
      </x:c>
      <x:c r="J1543" s="11" t="n">
        <x:v>0</x:v>
      </x:c>
      <x:c r="K1543" s="12"/>
      <x:c r="L1543" s="12"/>
      <x:c r="M1543" s="8"/>
    </x:row>
    <x:row r="1544">
      <x:c r="A1544" s="8" t="str">
        <x:v>Silverton|Drainage System</x:v>
      </x:c>
      <x:c r="B1544" s="8" t="str">
        <x:v>silverton-v</x:v>
      </x:c>
      <x:c r="C1544" s="8" t="str">
        <x:v>Silverton</x:v>
      </x:c>
      <x:c r="D1544" s="8" t="str">
        <x:v>Drainage System</x:v>
      </x:c>
      <x:c r="E1544" s="11" t="n">
        <x:v>0</x:v>
      </x:c>
      <x:c r="F1544" s="11" t="n">
        <x:v>0</x:v>
      </x:c>
      <x:c r="G1544" s="11" t="n">
        <x:v>0</x:v>
      </x:c>
      <x:c r="H1544" s="11" t="n">
        <x:v>0</x:v>
      </x:c>
      <x:c r="I1544" s="11" t="n">
        <x:v>0</x:v>
      </x:c>
      <x:c r="J1544" s="11" t="n">
        <x:v>0</x:v>
      </x:c>
      <x:c r="K1544" s="12"/>
      <x:c r="L1544" s="12"/>
      <x:c r="M1544" s="8"/>
    </x:row>
    <x:row r="1545">
      <x:c r="A1545" s="8" t="str">
        <x:v>Silverton|Transportation System</x:v>
      </x:c>
      <x:c r="B1545" s="8" t="str">
        <x:v>silverton-v</x:v>
      </x:c>
      <x:c r="C1545" s="8" t="str">
        <x:v>Silverton</x:v>
      </x:c>
      <x:c r="D1545" s="8" t="str">
        <x:v>Transportation System</x:v>
      </x:c>
      <x:c r="E1545" s="11" t="n">
        <x:v>425131</x:v>
      </x:c>
      <x:c r="F1545" s="11" t="n">
        <x:v>244366</x:v>
      </x:c>
      <x:c r="G1545" s="11" t="n">
        <x:v>180765</x:v>
      </x:c>
      <x:c r="H1545" s="11" t="n">
        <x:v>0</x:v>
      </x:c>
      <x:c r="I1545" s="11" t="n">
        <x:v>0</x:v>
      </x:c>
      <x:c r="J1545" s="11" t="n">
        <x:v>0</x:v>
      </x:c>
      <x:c r="K1545" s="12" t="n">
        <x:v>0.42519835062604233</x:v>
      </x:c>
      <x:c r="L1545" s="12"/>
      <x:c r="M1545" s="8" t="str">
        <x:v>In_Progress</x:v>
      </x:c>
    </x:row>
    <x:row r="1546">
      <x:c r="A1546" s="8" t="str">
        <x:v>Silverton|Other Engineering Systems</x:v>
      </x:c>
      <x:c r="B1546" s="8" t="str">
        <x:v>silverton-v</x:v>
      </x:c>
      <x:c r="C1546" s="8" t="str">
        <x:v>Silverton</x:v>
      </x:c>
      <x:c r="D1546" s="8" t="str">
        <x:v>Other Engineering Systems</x:v>
      </x:c>
      <x:c r="E1546" s="11" t="n">
        <x:v>842438</x:v>
      </x:c>
      <x:c r="F1546" s="11" t="n">
        <x:v>382079</x:v>
      </x:c>
      <x:c r="G1546" s="11" t="n">
        <x:v>460359</x:v>
      </x:c>
      <x:c r="H1546" s="11" t="n">
        <x:v>13859</x:v>
      </x:c>
      <x:c r="I1546" s="11" t="n">
        <x:v>0</x:v>
      </x:c>
      <x:c r="J1546" s="11" t="n">
        <x:v>0</x:v>
      </x:c>
      <x:c r="K1546" s="12" t="n">
        <x:v>0.5464603923374777</x:v>
      </x:c>
      <x:c r="L1546" s="12"/>
      <x:c r="M1546" s="8" t="str">
        <x:v>In_Progress</x:v>
      </x:c>
    </x:row>
    <x:row r="1547">
      <x:c r="A1547" s="8" t="str">
        <x:v>Silverton|Other Tangible Capital Assets</x:v>
      </x:c>
      <x:c r="B1547" s="8" t="str">
        <x:v>silverton-v</x:v>
      </x:c>
      <x:c r="C1547" s="8" t="str">
        <x:v>Silverton</x:v>
      </x:c>
      <x:c r="D1547" s="8" t="str">
        <x:v>Other Tangible Capital Assets</x:v>
      </x:c>
      <x:c r="E1547" s="11" t="n">
        <x:v>0</x:v>
      </x:c>
      <x:c r="F1547" s="11" t="n">
        <x:v>0</x:v>
      </x:c>
      <x:c r="G1547" s="11" t="n">
        <x:v>0</x:v>
      </x:c>
      <x:c r="H1547" s="11" t="n">
        <x:v>0</x:v>
      </x:c>
      <x:c r="I1547" s="11" t="n">
        <x:v>0</x:v>
      </x:c>
      <x:c r="J1547" s="11" t="n">
        <x:v>0</x:v>
      </x:c>
      <x:c r="K1547" s="12"/>
      <x:c r="L1547" s="12"/>
      <x:c r="M1547" s="8" t="str">
        <x:v>N/A</x:v>
      </x:c>
    </x:row>
    <x:row r="1548">
      <x:c r="A1548" s="8" t="str">
        <x:v>Silverton|Work In Progress</x:v>
      </x:c>
      <x:c r="B1548" s="8" t="str">
        <x:v>silverton-v</x:v>
      </x:c>
      <x:c r="C1548" s="8" t="str">
        <x:v>Silverton</x:v>
      </x:c>
      <x:c r="D1548" s="8" t="str">
        <x:v>Work In Progress</x:v>
      </x:c>
      <x:c r="E1548" s="11" t="n">
        <x:v>0</x:v>
      </x:c>
      <x:c r="F1548" s="11"/>
      <x:c r="G1548" s="11" t="n">
        <x:v>0</x:v>
      </x:c>
      <x:c r="H1548" s="11" t="n">
        <x:v>0</x:v>
      </x:c>
      <x:c r="I1548" s="11" t="n">
        <x:v>0</x:v>
      </x:c>
      <x:c r="J1548" s="11"/>
      <x:c r="K1548" s="12"/>
      <x:c r="L1548" s="12"/>
      <x:c r="M1548" s="8" t="str">
        <x:v>N/A</x:v>
      </x:c>
    </x:row>
    <x:row r="1549">
      <x:c r="A1549" s="8" t="str">
        <x:v>Silverton|Total TCA</x:v>
      </x:c>
      <x:c r="B1549" s="8" t="str">
        <x:v>silverton-v</x:v>
      </x:c>
      <x:c r="C1549" s="8" t="str">
        <x:v>Silverton</x:v>
      </x:c>
      <x:c r="D1549" s="8" t="str">
        <x:v>Total TCA</x:v>
      </x:c>
      <x:c r="E1549" s="11" t="n">
        <x:v>6026811</x:v>
      </x:c>
      <x:c r="F1549" s="11" t="n">
        <x:v>2650694</x:v>
      </x:c>
      <x:c r="G1549" s="11" t="n">
        <x:v>3376117</x:v>
      </x:c>
      <x:c r="H1549" s="11" t="n">
        <x:v>136303</x:v>
      </x:c>
      <x:c r="I1549" s="11" t="n">
        <x:v>93916</x:v>
      </x:c>
      <x:c r="J1549" s="11" t="n">
        <x:v>0</x:v>
      </x:c>
      <x:c r="K1549" s="12" t="n">
        <x:v>0.5601829889804077</x:v>
      </x:c>
      <x:c r="L1549" s="12" t="n">
        <x:v>1</x:v>
      </x:c>
      <x:c r="M1549" s="8"/>
    </x:row>
    <x:row r="1550">
      <x:c r="A1550" s="8" t="str">
        <x:v>Slocan|Land</x:v>
      </x:c>
      <x:c r="B1550" s="8" t="str">
        <x:v>slocan-v</x:v>
      </x:c>
      <x:c r="C1550" s="8" t="str">
        <x:v>Slocan</x:v>
      </x:c>
      <x:c r="D1550" s="8" t="str">
        <x:v>Land</x:v>
      </x:c>
      <x:c r="E1550" s="11" t="n">
        <x:v>2306312</x:v>
      </x:c>
      <x:c r="F1550" s="11"/>
      <x:c r="G1550" s="11" t="n">
        <x:v>2306312</x:v>
      </x:c>
      <x:c r="H1550" s="11" t="n">
        <x:v>5224</x:v>
      </x:c>
      <x:c r="I1550" s="11" t="n">
        <x:v>2306312</x:v>
      </x:c>
      <x:c r="J1550" s="11"/>
      <x:c r="K1550" s="12" t="n">
        <x:v>1</x:v>
      </x:c>
      <x:c r="L1550" s="12"/>
      <x:c r="M1550" s="8" t="str">
        <x:v>N/A</x:v>
      </x:c>
    </x:row>
    <x:row r="1551">
      <x:c r="A1551" s="8" t="str">
        <x:v>Slocan|Buildings</x:v>
      </x:c>
      <x:c r="B1551" s="8" t="str">
        <x:v>slocan-v</x:v>
      </x:c>
      <x:c r="C1551" s="8" t="str">
        <x:v>Slocan</x:v>
      </x:c>
      <x:c r="D1551" s="8" t="str">
        <x:v>Buildings</x:v>
      </x:c>
      <x:c r="E1551" s="11" t="n">
        <x:v>952136</x:v>
      </x:c>
      <x:c r="F1551" s="11" t="n">
        <x:v>420645</x:v>
      </x:c>
      <x:c r="G1551" s="11" t="n">
        <x:v>531491</x:v>
      </x:c>
      <x:c r="H1551" s="11" t="n">
        <x:v>0</x:v>
      </x:c>
      <x:c r="I1551" s="11" t="n">
        <x:v>2244000</x:v>
      </x:c>
      <x:c r="J1551" s="11" t="n">
        <x:v>32057</x:v>
      </x:c>
      <x:c r="K1551" s="12" t="n">
        <x:v>0.5582091213860205</x:v>
      </x:c>
      <x:c r="L1551" s="12" t="n">
        <x:v>0.9857143493761141</x:v>
      </x:c>
      <x:c r="M1551" s="8" t="str">
        <x:v>No</x:v>
      </x:c>
    </x:row>
    <x:row r="1552">
      <x:c r="A1552" s="8" t="str">
        <x:v>Slocan|Fleet</x:v>
      </x:c>
      <x:c r="B1552" s="8" t="str">
        <x:v>slocan-v</x:v>
      </x:c>
      <x:c r="C1552" s="8" t="str">
        <x:v>Slocan</x:v>
      </x:c>
      <x:c r="D1552" s="8" t="str">
        <x:v>Fleet</x:v>
      </x:c>
      <x:c r="E1552" s="11" t="n">
        <x:v>623559</x:v>
      </x:c>
      <x:c r="F1552" s="11" t="n">
        <x:v>478067</x:v>
      </x:c>
      <x:c r="G1552" s="11" t="n">
        <x:v>145492</x:v>
      </x:c>
      <x:c r="H1552" s="11" t="n">
        <x:v>33779</x:v>
      </x:c>
      <x:c r="I1552" s="11" t="n">
        <x:v>1020000</x:v>
      </x:c>
      <x:c r="J1552" s="11" t="n">
        <x:v>68000</x:v>
      </x:c>
      <x:c r="K1552" s="12" t="n">
        <x:v>0.23332515447616023</x:v>
      </x:c>
      <x:c r="L1552" s="12" t="n">
        <x:v>0.9333333333333333</x:v>
      </x:c>
      <x:c r="M1552" s="8" t="str">
        <x:v>No</x:v>
      </x:c>
    </x:row>
    <x:row r="1553">
      <x:c r="A1553" s="8" t="str">
        <x:v>Slocan|Parks and Recreation</x:v>
      </x:c>
      <x:c r="B1553" s="8" t="str">
        <x:v>slocan-v</x:v>
      </x:c>
      <x:c r="C1553" s="8" t="str">
        <x:v>Slocan</x:v>
      </x:c>
      <x:c r="D1553" s="8" t="str">
        <x:v>Parks and Recreation</x:v>
      </x:c>
      <x:c r="E1553" s="11" t="n">
        <x:v>0</x:v>
      </x:c>
      <x:c r="F1553" s="11" t="n">
        <x:v>0</x:v>
      </x:c>
      <x:c r="G1553" s="11" t="n">
        <x:v>0</x:v>
      </x:c>
      <x:c r="H1553" s="11" t="n">
        <x:v>0</x:v>
      </x:c>
      <x:c r="I1553" s="11" t="n">
        <x:v>0</x:v>
      </x:c>
      <x:c r="J1553" s="11" t="n">
        <x:v>0</x:v>
      </x:c>
      <x:c r="K1553" s="12"/>
      <x:c r="L1553" s="12"/>
      <x:c r="M1553" s="8"/>
    </x:row>
    <x:row r="1554">
      <x:c r="A1554" s="8" t="str">
        <x:v>Slocan|Water System</x:v>
      </x:c>
      <x:c r="B1554" s="8" t="str">
        <x:v>slocan-v</x:v>
      </x:c>
      <x:c r="C1554" s="8" t="str">
        <x:v>Slocan</x:v>
      </x:c>
      <x:c r="D1554" s="8" t="str">
        <x:v>Water System</x:v>
      </x:c>
      <x:c r="E1554" s="11" t="n">
        <x:v>2012774</x:v>
      </x:c>
      <x:c r="F1554" s="11" t="n">
        <x:v>878831</x:v>
      </x:c>
      <x:c r="G1554" s="11" t="n">
        <x:v>1133943</x:v>
      </x:c>
      <x:c r="H1554" s="11" t="n">
        <x:v>37607</x:v>
      </x:c>
      <x:c r="I1554" s="11" t="n">
        <x:v>8000000</x:v>
      </x:c>
      <x:c r="J1554" s="11" t="n">
        <x:v>133333</x:v>
      </x:c>
      <x:c r="K1554" s="12" t="n">
        <x:v>0.5633732351471153</x:v>
      </x:c>
      <x:c r="L1554" s="12" t="n">
        <x:v>0.983333375</x:v>
      </x:c>
      <x:c r="M1554" s="8" t="str">
        <x:v>No</x:v>
      </x:c>
    </x:row>
    <x:row r="1555">
      <x:c r="A1555" s="8" t="str">
        <x:v>Slocan|Sewer System</x:v>
      </x:c>
      <x:c r="B1555" s="8" t="str">
        <x:v>slocan-v</x:v>
      </x:c>
      <x:c r="C1555" s="8" t="str">
        <x:v>Slocan</x:v>
      </x:c>
      <x:c r="D1555" s="8" t="str">
        <x:v>Sewer System</x:v>
      </x:c>
      <x:c r="E1555" s="11" t="n">
        <x:v>0</x:v>
      </x:c>
      <x:c r="F1555" s="11" t="n">
        <x:v>0</x:v>
      </x:c>
      <x:c r="G1555" s="11" t="n">
        <x:v>0</x:v>
      </x:c>
      <x:c r="H1555" s="11" t="n">
        <x:v>0</x:v>
      </x:c>
      <x:c r="I1555" s="11" t="n">
        <x:v>0</x:v>
      </x:c>
      <x:c r="J1555" s="11" t="n">
        <x:v>0</x:v>
      </x:c>
      <x:c r="K1555" s="12"/>
      <x:c r="L1555" s="12"/>
      <x:c r="M1555" s="8"/>
    </x:row>
    <x:row r="1556">
      <x:c r="A1556" s="8" t="str">
        <x:v>Slocan|Drainage System</x:v>
      </x:c>
      <x:c r="B1556" s="8" t="str">
        <x:v>slocan-v</x:v>
      </x:c>
      <x:c r="C1556" s="8" t="str">
        <x:v>Slocan</x:v>
      </x:c>
      <x:c r="D1556" s="8" t="str">
        <x:v>Drainage System</x:v>
      </x:c>
      <x:c r="E1556" s="11" t="n">
        <x:v>0</x:v>
      </x:c>
      <x:c r="F1556" s="11" t="n">
        <x:v>0</x:v>
      </x:c>
      <x:c r="G1556" s="11" t="n">
        <x:v>0</x:v>
      </x:c>
      <x:c r="H1556" s="11" t="n">
        <x:v>0</x:v>
      </x:c>
      <x:c r="I1556" s="11" t="n">
        <x:v>0</x:v>
      </x:c>
      <x:c r="J1556" s="11" t="n">
        <x:v>0</x:v>
      </x:c>
      <x:c r="K1556" s="12"/>
      <x:c r="L1556" s="12"/>
      <x:c r="M1556" s="8"/>
    </x:row>
    <x:row r="1557">
      <x:c r="A1557" s="8" t="str">
        <x:v>Slocan|Transportation System</x:v>
      </x:c>
      <x:c r="B1557" s="8" t="str">
        <x:v>slocan-v</x:v>
      </x:c>
      <x:c r="C1557" s="8" t="str">
        <x:v>Slocan</x:v>
      </x:c>
      <x:c r="D1557" s="8" t="str">
        <x:v>Transportation System</x:v>
      </x:c>
      <x:c r="E1557" s="11" t="n">
        <x:v>556633</x:v>
      </x:c>
      <x:c r="F1557" s="11" t="n">
        <x:v>218397</x:v>
      </x:c>
      <x:c r="G1557" s="11" t="n">
        <x:v>338236</x:v>
      </x:c>
      <x:c r="H1557" s="11" t="n">
        <x:v>578</x:v>
      </x:c>
      <x:c r="I1557" s="11" t="n">
        <x:v>4500000</x:v>
      </x:c>
      <x:c r="J1557" s="11" t="n">
        <x:v>0</x:v>
      </x:c>
      <x:c r="K1557" s="12" t="n">
        <x:v>0.6076463307062283</x:v>
      </x:c>
      <x:c r="L1557" s="12" t="n">
        <x:v>1</x:v>
      </x:c>
      <x:c r="M1557" s="8" t="str">
        <x:v>No</x:v>
      </x:c>
    </x:row>
    <x:row r="1558">
      <x:c r="A1558" s="8" t="str">
        <x:v>Slocan|Other Engineering Systems</x:v>
      </x:c>
      <x:c r="B1558" s="8" t="str">
        <x:v>slocan-v</x:v>
      </x:c>
      <x:c r="C1558" s="8" t="str">
        <x:v>Slocan</x:v>
      </x:c>
      <x:c r="D1558" s="8" t="str">
        <x:v>Other Engineering Systems</x:v>
      </x:c>
      <x:c r="E1558" s="11" t="n">
        <x:v>1657310</x:v>
      </x:c>
      <x:c r="F1558" s="11" t="n">
        <x:v>602160</x:v>
      </x:c>
      <x:c r="G1558" s="11" t="n">
        <x:v>1055150</x:v>
      </x:c>
      <x:c r="H1558" s="11" t="n">
        <x:v>78311</x:v>
      </x:c>
      <x:c r="I1558" s="11" t="n">
        <x:v>1579000</x:v>
      </x:c>
      <x:c r="J1558" s="11" t="n">
        <x:v>39475</x:v>
      </x:c>
      <x:c r="K1558" s="12" t="n">
        <x:v>0.6366642330040849</x:v>
      </x:c>
      <x:c r="L1558" s="12" t="n">
        <x:v>0.975</x:v>
      </x:c>
      <x:c r="M1558" s="8" t="str">
        <x:v>No</x:v>
      </x:c>
    </x:row>
    <x:row r="1559">
      <x:c r="A1559" s="8" t="str">
        <x:v>Slocan|Other Tangible Capital Assets</x:v>
      </x:c>
      <x:c r="B1559" s="8" t="str">
        <x:v>slocan-v</x:v>
      </x:c>
      <x:c r="C1559" s="8" t="str">
        <x:v>Slocan</x:v>
      </x:c>
      <x:c r="D1559" s="8" t="str">
        <x:v>Other Tangible Capital Assets</x:v>
      </x:c>
      <x:c r="E1559" s="11" t="n">
        <x:v>0</x:v>
      </x:c>
      <x:c r="F1559" s="11" t="n">
        <x:v>0</x:v>
      </x:c>
      <x:c r="G1559" s="11" t="n">
        <x:v>0</x:v>
      </x:c>
      <x:c r="H1559" s="11" t="n">
        <x:v>0</x:v>
      </x:c>
      <x:c r="I1559" s="11" t="n">
        <x:v>0</x:v>
      </x:c>
      <x:c r="J1559" s="11" t="n">
        <x:v>0</x:v>
      </x:c>
      <x:c r="K1559" s="12"/>
      <x:c r="L1559" s="12"/>
      <x:c r="M1559" s="8" t="str">
        <x:v>N/A</x:v>
      </x:c>
    </x:row>
    <x:row r="1560">
      <x:c r="A1560" s="8" t="str">
        <x:v>Slocan|Work In Progress</x:v>
      </x:c>
      <x:c r="B1560" s="8" t="str">
        <x:v>slocan-v</x:v>
      </x:c>
      <x:c r="C1560" s="8" t="str">
        <x:v>Slocan</x:v>
      </x:c>
      <x:c r="D1560" s="8" t="str">
        <x:v>Work In Progress</x:v>
      </x:c>
      <x:c r="E1560" s="11" t="n">
        <x:v>0</x:v>
      </x:c>
      <x:c r="F1560" s="11"/>
      <x:c r="G1560" s="11" t="n">
        <x:v>0</x:v>
      </x:c>
      <x:c r="H1560" s="11" t="n">
        <x:v>0</x:v>
      </x:c>
      <x:c r="I1560" s="11" t="n">
        <x:v>0</x:v>
      </x:c>
      <x:c r="J1560" s="11"/>
      <x:c r="K1560" s="12"/>
      <x:c r="L1560" s="12"/>
      <x:c r="M1560" s="8" t="str">
        <x:v>N/A</x:v>
      </x:c>
    </x:row>
    <x:row r="1561">
      <x:c r="A1561" s="8" t="str">
        <x:v>Slocan|Total TCA</x:v>
      </x:c>
      <x:c r="B1561" s="8" t="str">
        <x:v>slocan-v</x:v>
      </x:c>
      <x:c r="C1561" s="8" t="str">
        <x:v>Slocan</x:v>
      </x:c>
      <x:c r="D1561" s="8" t="str">
        <x:v>Total TCA</x:v>
      </x:c>
      <x:c r="E1561" s="11" t="n">
        <x:v>8108724</x:v>
      </x:c>
      <x:c r="F1561" s="11" t="n">
        <x:v>2598100</x:v>
      </x:c>
      <x:c r="G1561" s="11" t="n">
        <x:v>5510624</x:v>
      </x:c>
      <x:c r="H1561" s="11" t="n">
        <x:v>155499</x:v>
      </x:c>
      <x:c r="I1561" s="11" t="n">
        <x:v>19649312</x:v>
      </x:c>
      <x:c r="J1561" s="11" t="n">
        <x:v>272865</x:v>
      </x:c>
      <x:c r="K1561" s="12" t="n">
        <x:v>0.6795920048579777</x:v>
      </x:c>
      <x:c r="L1561" s="12" t="n">
        <x:v>0.9861132542452377</x:v>
      </x:c>
      <x:c r="M1561" s="8"/>
    </x:row>
    <x:row r="1562">
      <x:c r="A1562" s="8" t="str">
        <x:v>Smithers|Land</x:v>
      </x:c>
      <x:c r="B1562" s="8" t="str">
        <x:v>smithers-t</x:v>
      </x:c>
      <x:c r="C1562" s="8" t="str">
        <x:v>Smithers</x:v>
      </x:c>
      <x:c r="D1562" s="8" t="str">
        <x:v>Land</x:v>
      </x:c>
      <x:c r="E1562" s="11" t="n">
        <x:v>8479021</x:v>
      </x:c>
      <x:c r="F1562" s="11"/>
      <x:c r="G1562" s="11" t="n">
        <x:v>8479021</x:v>
      </x:c>
      <x:c r="H1562" s="11" t="n">
        <x:v>511116</x:v>
      </x:c>
      <x:c r="I1562" s="11" t="n">
        <x:v>8479021</x:v>
      </x:c>
      <x:c r="J1562" s="11"/>
      <x:c r="K1562" s="12" t="n">
        <x:v>1</x:v>
      </x:c>
      <x:c r="L1562" s="12"/>
      <x:c r="M1562" s="8" t="str">
        <x:v>N/A</x:v>
      </x:c>
    </x:row>
    <x:row r="1563">
      <x:c r="A1563" s="8" t="str">
        <x:v>Smithers|Buildings</x:v>
      </x:c>
      <x:c r="B1563" s="8" t="str">
        <x:v>smithers-t</x:v>
      </x:c>
      <x:c r="C1563" s="8" t="str">
        <x:v>Smithers</x:v>
      </x:c>
      <x:c r="D1563" s="8" t="str">
        <x:v>Buildings</x:v>
      </x:c>
      <x:c r="E1563" s="11" t="n">
        <x:v>37283149</x:v>
      </x:c>
      <x:c r="F1563" s="11" t="n">
        <x:v>17930710</x:v>
      </x:c>
      <x:c r="G1563" s="11" t="n">
        <x:v>19352439</x:v>
      </x:c>
      <x:c r="H1563" s="11" t="n">
        <x:v>549816</x:v>
      </x:c>
      <x:c r="I1563" s="11" t="n">
        <x:v>110000000</x:v>
      </x:c>
      <x:c r="J1563" s="11" t="n">
        <x:v>2200000</x:v>
      </x:c>
      <x:c r="K1563" s="12" t="n">
        <x:v>0.5190666432172883</x:v>
      </x:c>
      <x:c r="L1563" s="12" t="n">
        <x:v>0.98</x:v>
      </x:c>
      <x:c r="M1563" s="8" t="str">
        <x:v>No</x:v>
      </x:c>
    </x:row>
    <x:row r="1564">
      <x:c r="A1564" s="8" t="str">
        <x:v>Smithers|Fleet</x:v>
      </x:c>
      <x:c r="B1564" s="8" t="str">
        <x:v>smithers-t</x:v>
      </x:c>
      <x:c r="C1564" s="8" t="str">
        <x:v>Smithers</x:v>
      </x:c>
      <x:c r="D1564" s="8" t="str">
        <x:v>Fleet</x:v>
      </x:c>
      <x:c r="E1564" s="11" t="n">
        <x:v>14409403</x:v>
      </x:c>
      <x:c r="F1564" s="11" t="n">
        <x:v>9623832</x:v>
      </x:c>
      <x:c r="G1564" s="11" t="n">
        <x:v>4785571</x:v>
      </x:c>
      <x:c r="H1564" s="11" t="n">
        <x:v>2383859</x:v>
      </x:c>
      <x:c r="I1564" s="11" t="n">
        <x:v>25000000</x:v>
      </x:c>
      <x:c r="J1564" s="11" t="n">
        <x:v>1250000</x:v>
      </x:c>
      <x:c r="K1564" s="12" t="n">
        <x:v>0.3321144533191278</x:v>
      </x:c>
      <x:c r="L1564" s="12" t="n">
        <x:v>0.95</x:v>
      </x:c>
      <x:c r="M1564" s="8" t="str">
        <x:v>No</x:v>
      </x:c>
    </x:row>
    <x:row r="1565">
      <x:c r="A1565" s="8" t="str">
        <x:v>Smithers|Parks and Recreation</x:v>
      </x:c>
      <x:c r="B1565" s="8" t="str">
        <x:v>smithers-t</x:v>
      </x:c>
      <x:c r="C1565" s="8" t="str">
        <x:v>Smithers</x:v>
      </x:c>
      <x:c r="D1565" s="8" t="str">
        <x:v>Parks and Recreation</x:v>
      </x:c>
      <x:c r="E1565" s="11" t="n">
        <x:v>0</x:v>
      </x:c>
      <x:c r="F1565" s="11" t="n">
        <x:v>0</x:v>
      </x:c>
      <x:c r="G1565" s="11" t="n">
        <x:v>0</x:v>
      </x:c>
      <x:c r="H1565" s="11" t="n">
        <x:v>0</x:v>
      </x:c>
      <x:c r="I1565" s="11" t="n">
        <x:v>0</x:v>
      </x:c>
      <x:c r="J1565" s="11" t="n">
        <x:v>0</x:v>
      </x:c>
      <x:c r="K1565" s="12"/>
      <x:c r="L1565" s="12"/>
      <x:c r="M1565" s="8"/>
    </x:row>
    <x:row r="1566">
      <x:c r="A1566" s="8" t="str">
        <x:v>Smithers|Water System</x:v>
      </x:c>
      <x:c r="B1566" s="8" t="str">
        <x:v>smithers-t</x:v>
      </x:c>
      <x:c r="C1566" s="8" t="str">
        <x:v>Smithers</x:v>
      </x:c>
      <x:c r="D1566" s="8" t="str">
        <x:v>Water System</x:v>
      </x:c>
      <x:c r="E1566" s="11" t="n">
        <x:v>13282405</x:v>
      </x:c>
      <x:c r="F1566" s="11" t="n">
        <x:v>8326833</x:v>
      </x:c>
      <x:c r="G1566" s="11" t="n">
        <x:v>4955572</x:v>
      </x:c>
      <x:c r="H1566" s="11" t="n">
        <x:v>704887</x:v>
      </x:c>
      <x:c r="I1566" s="11" t="n">
        <x:v>41000000</x:v>
      </x:c>
      <x:c r="J1566" s="11" t="n">
        <x:v>1490000</x:v>
      </x:c>
      <x:c r="K1566" s="12" t="n">
        <x:v>0.3730929752556107</x:v>
      </x:c>
      <x:c r="L1566" s="12" t="n">
        <x:v>0.9636585365853658</x:v>
      </x:c>
      <x:c r="M1566" s="8" t="str">
        <x:v>No</x:v>
      </x:c>
    </x:row>
    <x:row r="1567">
      <x:c r="A1567" s="8" t="str">
        <x:v>Smithers|Sewer System</x:v>
      </x:c>
      <x:c r="B1567" s="8" t="str">
        <x:v>smithers-t</x:v>
      </x:c>
      <x:c r="C1567" s="8" t="str">
        <x:v>Smithers</x:v>
      </x:c>
      <x:c r="D1567" s="8" t="str">
        <x:v>Sewer System</x:v>
      </x:c>
      <x:c r="E1567" s="11" t="n">
        <x:v>12178836</x:v>
      </x:c>
      <x:c r="F1567" s="11" t="n">
        <x:v>7928470</x:v>
      </x:c>
      <x:c r="G1567" s="11" t="n">
        <x:v>4250366</x:v>
      </x:c>
      <x:c r="H1567" s="11" t="n">
        <x:v>805597</x:v>
      </x:c>
      <x:c r="I1567" s="11" t="n">
        <x:v>33000000</x:v>
      </x:c>
      <x:c r="J1567" s="11" t="n">
        <x:v>330000</x:v>
      </x:c>
      <x:c r="K1567" s="12" t="n">
        <x:v>0.3489960781145259</x:v>
      </x:c>
      <x:c r="L1567" s="12" t="n">
        <x:v>0.99</x:v>
      </x:c>
      <x:c r="M1567" s="8" t="str">
        <x:v>No</x:v>
      </x:c>
    </x:row>
    <x:row r="1568">
      <x:c r="A1568" s="8" t="str">
        <x:v>Smithers|Drainage System</x:v>
      </x:c>
      <x:c r="B1568" s="8" t="str">
        <x:v>smithers-t</x:v>
      </x:c>
      <x:c r="C1568" s="8" t="str">
        <x:v>Smithers</x:v>
      </x:c>
      <x:c r="D1568" s="8" t="str">
        <x:v>Drainage System</x:v>
      </x:c>
      <x:c r="E1568" s="11" t="n">
        <x:v>11895797</x:v>
      </x:c>
      <x:c r="F1568" s="11" t="n">
        <x:v>7395356</x:v>
      </x:c>
      <x:c r="G1568" s="11" t="n">
        <x:v>4500441</x:v>
      </x:c>
      <x:c r="H1568" s="11" t="n">
        <x:v>225000</x:v>
      </x:c>
      <x:c r="I1568" s="11" t="n">
        <x:v>36000000</x:v>
      </x:c>
      <x:c r="J1568" s="11" t="n">
        <x:v>360000</x:v>
      </x:c>
      <x:c r="K1568" s="12" t="n">
        <x:v>0.3783219400936314</x:v>
      </x:c>
      <x:c r="L1568" s="12" t="n">
        <x:v>0.99</x:v>
      </x:c>
      <x:c r="M1568" s="8" t="str">
        <x:v>No</x:v>
      </x:c>
    </x:row>
    <x:row r="1569">
      <x:c r="A1569" s="8" t="str">
        <x:v>Smithers|Transportation System</x:v>
      </x:c>
      <x:c r="B1569" s="8" t="str">
        <x:v>smithers-t</x:v>
      </x:c>
      <x:c r="C1569" s="8" t="str">
        <x:v>Smithers</x:v>
      </x:c>
      <x:c r="D1569" s="8" t="str">
        <x:v>Transportation System</x:v>
      </x:c>
      <x:c r="E1569" s="11" t="n">
        <x:v>60726011</x:v>
      </x:c>
      <x:c r="F1569" s="11" t="n">
        <x:v>32514097</x:v>
      </x:c>
      <x:c r="G1569" s="11" t="n">
        <x:v>28211914</x:v>
      </x:c>
      <x:c r="H1569" s="11" t="n">
        <x:v>797620</x:v>
      </x:c>
      <x:c r="I1569" s="11" t="n">
        <x:v>180000000</x:v>
      </x:c>
      <x:c r="J1569" s="11" t="n">
        <x:v>2400000</x:v>
      </x:c>
      <x:c r="K1569" s="12" t="n">
        <x:v>0.464577098601125</x:v>
      </x:c>
      <x:c r="L1569" s="12" t="n">
        <x:v>0.9866666666666667</x:v>
      </x:c>
      <x:c r="M1569" s="8" t="str">
        <x:v>No</x:v>
      </x:c>
    </x:row>
    <x:row r="1570">
      <x:c r="A1570" s="8" t="str">
        <x:v>Smithers|Other Engineering Systems</x:v>
      </x:c>
      <x:c r="B1570" s="8" t="str">
        <x:v>smithers-t</x:v>
      </x:c>
      <x:c r="C1570" s="8" t="str">
        <x:v>Smithers</x:v>
      </x:c>
      <x:c r="D1570" s="8" t="str">
        <x:v>Other Engineering Systems</x:v>
      </x:c>
      <x:c r="E1570" s="11" t="n">
        <x:v>0</x:v>
      </x:c>
      <x:c r="F1570" s="11" t="n">
        <x:v>0</x:v>
      </x:c>
      <x:c r="G1570" s="11" t="n">
        <x:v>0</x:v>
      </x:c>
      <x:c r="H1570" s="11" t="n">
        <x:v>0</x:v>
      </x:c>
      <x:c r="I1570" s="11" t="n">
        <x:v>0</x:v>
      </x:c>
      <x:c r="J1570" s="11" t="n">
        <x:v>0</x:v>
      </x:c>
      <x:c r="K1570" s="12"/>
      <x:c r="L1570" s="12"/>
      <x:c r="M1570" s="8"/>
    </x:row>
    <x:row r="1571">
      <x:c r="A1571" s="8" t="str">
        <x:v>Smithers|Other Tangible Capital Assets</x:v>
      </x:c>
      <x:c r="B1571" s="8" t="str">
        <x:v>smithers-t</x:v>
      </x:c>
      <x:c r="C1571" s="8" t="str">
        <x:v>Smithers</x:v>
      </x:c>
      <x:c r="D1571" s="8" t="str">
        <x:v>Other Tangible Capital Assets</x:v>
      </x:c>
      <x:c r="E1571" s="11" t="n">
        <x:v>1087077</x:v>
      </x:c>
      <x:c r="F1571" s="11" t="n">
        <x:v>870527</x:v>
      </x:c>
      <x:c r="G1571" s="11" t="n">
        <x:v>216550</x:v>
      </x:c>
      <x:c r="H1571" s="11" t="n">
        <x:v>169891</x:v>
      </x:c>
      <x:c r="I1571" s="11" t="n">
        <x:v>2000000</x:v>
      </x:c>
      <x:c r="J1571" s="11" t="n">
        <x:v>200000</x:v>
      </x:c>
      <x:c r="K1571" s="12" t="n">
        <x:v>0.19920392023748087</x:v>
      </x:c>
      <x:c r="L1571" s="12" t="n">
        <x:v>0.9</x:v>
      </x:c>
      <x:c r="M1571" s="8" t="str">
        <x:v>N/A</x:v>
      </x:c>
    </x:row>
    <x:row r="1572">
      <x:c r="A1572" s="8" t="str">
        <x:v>Smithers|Work In Progress</x:v>
      </x:c>
      <x:c r="B1572" s="8" t="str">
        <x:v>smithers-t</x:v>
      </x:c>
      <x:c r="C1572" s="8" t="str">
        <x:v>Smithers</x:v>
      </x:c>
      <x:c r="D1572" s="8" t="str">
        <x:v>Work In Progress</x:v>
      </x:c>
      <x:c r="E1572" s="11" t="n">
        <x:v>7201467</x:v>
      </x:c>
      <x:c r="F1572" s="11"/>
      <x:c r="G1572" s="11" t="n">
        <x:v>7201467</x:v>
      </x:c>
      <x:c r="H1572" s="11" t="n">
        <x:v>5934907</x:v>
      </x:c>
      <x:c r="I1572" s="11" t="n">
        <x:v>7201467</x:v>
      </x:c>
      <x:c r="J1572" s="11"/>
      <x:c r="K1572" s="12" t="n">
        <x:v>1</x:v>
      </x:c>
      <x:c r="L1572" s="12"/>
      <x:c r="M1572" s="8" t="str">
        <x:v>N/A</x:v>
      </x:c>
    </x:row>
    <x:row r="1573">
      <x:c r="A1573" s="8" t="str">
        <x:v>Smithers|Total TCA</x:v>
      </x:c>
      <x:c r="B1573" s="8" t="str">
        <x:v>smithers-t</x:v>
      </x:c>
      <x:c r="C1573" s="8" t="str">
        <x:v>Smithers</x:v>
      </x:c>
      <x:c r="D1573" s="8" t="str">
        <x:v>Total TCA</x:v>
      </x:c>
      <x:c r="E1573" s="11" t="n">
        <x:v>166543166</x:v>
      </x:c>
      <x:c r="F1573" s="11" t="n">
        <x:v>84589825</x:v>
      </x:c>
      <x:c r="G1573" s="11" t="n">
        <x:v>81953341</x:v>
      </x:c>
      <x:c r="H1573" s="11" t="n">
        <x:v>12082693</x:v>
      </x:c>
      <x:c r="I1573" s="11" t="n">
        <x:v>442680488</x:v>
      </x:c>
      <x:c r="J1573" s="11" t="n">
        <x:v>8230000</x:v>
      </x:c>
      <x:c r="K1573" s="12" t="n">
        <x:v>0.49208468271823297</x:v>
      </x:c>
      <x:c r="L1573" s="12" t="n">
        <x:v>0.9814087130038585</x:v>
      </x:c>
      <x:c r="M1573" s="8"/>
    </x:row>
    <x:row r="1574">
      <x:c r="A1574" s="8" t="str">
        <x:v>Sooke|Land</x:v>
      </x:c>
      <x:c r="B1574" s="8" t="str">
        <x:v>sooke-d</x:v>
      </x:c>
      <x:c r="C1574" s="8" t="str">
        <x:v>Sooke</x:v>
      </x:c>
      <x:c r="D1574" s="8" t="str">
        <x:v>Land</x:v>
      </x:c>
      <x:c r="E1574" s="11" t="n">
        <x:v>49850250</x:v>
      </x:c>
      <x:c r="F1574" s="11"/>
      <x:c r="G1574" s="11" t="n">
        <x:v>49850250</x:v>
      </x:c>
      <x:c r="H1574" s="11" t="n">
        <x:v>10382</x:v>
      </x:c>
      <x:c r="I1574" s="11" t="n">
        <x:v>49850250</x:v>
      </x:c>
      <x:c r="J1574" s="11"/>
      <x:c r="K1574" s="12" t="n">
        <x:v>1</x:v>
      </x:c>
      <x:c r="L1574" s="12"/>
      <x:c r="M1574" s="8" t="str">
        <x:v>N/A</x:v>
      </x:c>
    </x:row>
    <x:row r="1575">
      <x:c r="A1575" s="8" t="str">
        <x:v>Sooke|Buildings</x:v>
      </x:c>
      <x:c r="B1575" s="8" t="str">
        <x:v>sooke-d</x:v>
      </x:c>
      <x:c r="C1575" s="8" t="str">
        <x:v>Sooke</x:v>
      </x:c>
      <x:c r="D1575" s="8" t="str">
        <x:v>Buildings</x:v>
      </x:c>
      <x:c r="E1575" s="11" t="n">
        <x:v>5458182</x:v>
      </x:c>
      <x:c r="F1575" s="11" t="n">
        <x:v>3500069</x:v>
      </x:c>
      <x:c r="G1575" s="11" t="n">
        <x:v>1958113</x:v>
      </x:c>
      <x:c r="H1575" s="11" t="n">
        <x:v>99347</x:v>
      </x:c>
      <x:c r="I1575" s="11" t="n">
        <x:v>14350000</x:v>
      </x:c>
      <x:c r="J1575" s="11" t="n">
        <x:v>730000</x:v>
      </x:c>
      <x:c r="K1575" s="12" t="n">
        <x:v>0.35874820590445683</x:v>
      </x:c>
      <x:c r="L1575" s="12" t="n">
        <x:v>0.9491289198606272</x:v>
      </x:c>
      <x:c r="M1575" s="8" t="str">
        <x:v>Yes</x:v>
      </x:c>
    </x:row>
    <x:row r="1576">
      <x:c r="A1576" s="8" t="str">
        <x:v>Sooke|Fleet</x:v>
      </x:c>
      <x:c r="B1576" s="8" t="str">
        <x:v>sooke-d</x:v>
      </x:c>
      <x:c r="C1576" s="8" t="str">
        <x:v>Sooke</x:v>
      </x:c>
      <x:c r="D1576" s="8" t="str">
        <x:v>Fleet</x:v>
      </x:c>
      <x:c r="E1576" s="11" t="n">
        <x:v>9193801</x:v>
      </x:c>
      <x:c r="F1576" s="11" t="n">
        <x:v>4863337</x:v>
      </x:c>
      <x:c r="G1576" s="11" t="n">
        <x:v>4330464</x:v>
      </x:c>
      <x:c r="H1576" s="11" t="n">
        <x:v>1259247</x:v>
      </x:c>
      <x:c r="I1576" s="11" t="n">
        <x:v>5040000</x:v>
      </x:c>
      <x:c r="J1576" s="11" t="n">
        <x:v>240000</x:v>
      </x:c>
      <x:c r="K1576" s="12" t="n">
        <x:v>0.47101998400879025</x:v>
      </x:c>
      <x:c r="L1576" s="12" t="n">
        <x:v>0.9523809523809523</x:v>
      </x:c>
      <x:c r="M1576" s="8" t="str">
        <x:v>Yes</x:v>
      </x:c>
    </x:row>
    <x:row r="1577">
      <x:c r="A1577" s="8" t="str">
        <x:v>Sooke|Parks and Recreation</x:v>
      </x:c>
      <x:c r="B1577" s="8" t="str">
        <x:v>sooke-d</x:v>
      </x:c>
      <x:c r="C1577" s="8" t="str">
        <x:v>Sooke</x:v>
      </x:c>
      <x:c r="D1577" s="8" t="str">
        <x:v>Parks and Recreation</x:v>
      </x:c>
      <x:c r="E1577" s="11" t="n">
        <x:v>11102468</x:v>
      </x:c>
      <x:c r="F1577" s="11" t="n">
        <x:v>5220876</x:v>
      </x:c>
      <x:c r="G1577" s="11" t="n">
        <x:v>5881592</x:v>
      </x:c>
      <x:c r="H1577" s="11" t="n">
        <x:v>418157</x:v>
      </x:c>
      <x:c r="I1577" s="11" t="n">
        <x:v>3590000</x:v>
      </x:c>
      <x:c r="J1577" s="11" t="n">
        <x:v>550000</x:v>
      </x:c>
      <x:c r="K1577" s="12" t="n">
        <x:v>0.5297553661041852</x:v>
      </x:c>
      <x:c r="L1577" s="12" t="n">
        <x:v>0.8467966573816156</x:v>
      </x:c>
      <x:c r="M1577" s="8" t="str">
        <x:v>Yes</x:v>
      </x:c>
    </x:row>
    <x:row r="1578">
      <x:c r="A1578" s="8" t="str">
        <x:v>Sooke|Water System</x:v>
      </x:c>
      <x:c r="B1578" s="8" t="str">
        <x:v>sooke-d</x:v>
      </x:c>
      <x:c r="C1578" s="8" t="str">
        <x:v>Sooke</x:v>
      </x:c>
      <x:c r="D1578" s="8" t="str">
        <x:v>Water System</x:v>
      </x:c>
      <x:c r="E1578" s="11" t="n">
        <x:v>0</x:v>
      </x:c>
      <x:c r="F1578" s="11" t="n">
        <x:v>0</x:v>
      </x:c>
      <x:c r="G1578" s="11" t="n">
        <x:v>0</x:v>
      </x:c>
      <x:c r="H1578" s="11" t="n">
        <x:v>0</x:v>
      </x:c>
      <x:c r="I1578" s="11" t="n">
        <x:v>0</x:v>
      </x:c>
      <x:c r="J1578" s="11" t="n">
        <x:v>0</x:v>
      </x:c>
      <x:c r="K1578" s="12"/>
      <x:c r="L1578" s="12"/>
      <x:c r="M1578" s="8"/>
    </x:row>
    <x:row r="1579">
      <x:c r="A1579" s="8" t="str">
        <x:v>Sooke|Sewer System</x:v>
      </x:c>
      <x:c r="B1579" s="8" t="str">
        <x:v>sooke-d</x:v>
      </x:c>
      <x:c r="C1579" s="8" t="str">
        <x:v>Sooke</x:v>
      </x:c>
      <x:c r="D1579" s="8" t="str">
        <x:v>Sewer System</x:v>
      </x:c>
      <x:c r="E1579" s="11" t="n">
        <x:v>36415276</x:v>
      </x:c>
      <x:c r="F1579" s="11" t="n">
        <x:v>9298528</x:v>
      </x:c>
      <x:c r="G1579" s="11" t="n">
        <x:v>27116748</x:v>
      </x:c>
      <x:c r="H1579" s="11" t="n">
        <x:v>1187136</x:v>
      </x:c>
      <x:c r="I1579" s="11" t="n">
        <x:v>99350000</x:v>
      </x:c>
      <x:c r="J1579" s="11" t="n">
        <x:v>1200000</x:v>
      </x:c>
      <x:c r="K1579" s="12" t="n">
        <x:v>0.74465309558549</x:v>
      </x:c>
      <x:c r="L1579" s="12" t="n">
        <x:v>0.9879214896829391</x:v>
      </x:c>
      <x:c r="M1579" s="8" t="str">
        <x:v>Yes</x:v>
      </x:c>
    </x:row>
    <x:row r="1580">
      <x:c r="A1580" s="8" t="str">
        <x:v>Sooke|Drainage System</x:v>
      </x:c>
      <x:c r="B1580" s="8" t="str">
        <x:v>sooke-d</x:v>
      </x:c>
      <x:c r="C1580" s="8" t="str">
        <x:v>Sooke</x:v>
      </x:c>
      <x:c r="D1580" s="8" t="str">
        <x:v>Drainage System</x:v>
      </x:c>
      <x:c r="E1580" s="11" t="n">
        <x:v>17432553</x:v>
      </x:c>
      <x:c r="F1580" s="11" t="n">
        <x:v>3068650</x:v>
      </x:c>
      <x:c r="G1580" s="11" t="n">
        <x:v>14363903</x:v>
      </x:c>
      <x:c r="H1580" s="11" t="n">
        <x:v>532126</x:v>
      </x:c>
      <x:c r="I1580" s="11" t="n">
        <x:v>79040000</x:v>
      </x:c>
      <x:c r="J1580" s="11" t="n">
        <x:v>2820000</x:v>
      </x:c>
      <x:c r="K1580" s="12" t="n">
        <x:v>0.8239701322003725</x:v>
      </x:c>
      <x:c r="L1580" s="12" t="n">
        <x:v>0.9643218623481782</x:v>
      </x:c>
      <x:c r="M1580" s="8" t="str">
        <x:v>Yes</x:v>
      </x:c>
    </x:row>
    <x:row r="1581">
      <x:c r="A1581" s="8" t="str">
        <x:v>Sooke|Transportation System</x:v>
      </x:c>
      <x:c r="B1581" s="8" t="str">
        <x:v>sooke-d</x:v>
      </x:c>
      <x:c r="C1581" s="8" t="str">
        <x:v>Sooke</x:v>
      </x:c>
      <x:c r="D1581" s="8" t="str">
        <x:v>Transportation System</x:v>
      </x:c>
      <x:c r="E1581" s="11" t="n">
        <x:v>77978394</x:v>
      </x:c>
      <x:c r="F1581" s="11" t="n">
        <x:v>33318718</x:v>
      </x:c>
      <x:c r="G1581" s="11" t="n">
        <x:v>44659676</x:v>
      </x:c>
      <x:c r="H1581" s="11" t="n">
        <x:v>8682613</x:v>
      </x:c>
      <x:c r="I1581" s="11" t="n">
        <x:v>87030000</x:v>
      </x:c>
      <x:c r="J1581" s="11" t="n">
        <x:v>1720000</x:v>
      </x:c>
      <x:c r="K1581" s="12" t="n">
        <x:v>0.5727185917678684</x:v>
      </x:c>
      <x:c r="L1581" s="12" t="n">
        <x:v>0.9802366999885097</x:v>
      </x:c>
      <x:c r="M1581" s="8" t="str">
        <x:v>Yes</x:v>
      </x:c>
    </x:row>
    <x:row r="1582">
      <x:c r="A1582" s="8" t="str">
        <x:v>Sooke|Other Engineering Systems</x:v>
      </x:c>
      <x:c r="B1582" s="8" t="str">
        <x:v>sooke-d</x:v>
      </x:c>
      <x:c r="C1582" s="8" t="str">
        <x:v>Sooke</x:v>
      </x:c>
      <x:c r="D1582" s="8" t="str">
        <x:v>Other Engineering Systems</x:v>
      </x:c>
      <x:c r="E1582" s="11" t="n">
        <x:v>0</x:v>
      </x:c>
      <x:c r="F1582" s="11" t="n">
        <x:v>0</x:v>
      </x:c>
      <x:c r="G1582" s="11" t="n">
        <x:v>0</x:v>
      </x:c>
      <x:c r="H1582" s="11" t="n">
        <x:v>0</x:v>
      </x:c>
      <x:c r="I1582" s="11" t="n">
        <x:v>0</x:v>
      </x:c>
      <x:c r="J1582" s="11" t="n">
        <x:v>0</x:v>
      </x:c>
      <x:c r="K1582" s="12"/>
      <x:c r="L1582" s="12"/>
      <x:c r="M1582" s="8"/>
    </x:row>
    <x:row r="1583">
      <x:c r="A1583" s="8" t="str">
        <x:v>Sooke|Other Tangible Capital Assets</x:v>
      </x:c>
      <x:c r="B1583" s="8" t="str">
        <x:v>sooke-d</x:v>
      </x:c>
      <x:c r="C1583" s="8" t="str">
        <x:v>Sooke</x:v>
      </x:c>
      <x:c r="D1583" s="8" t="str">
        <x:v>Other Tangible Capital Assets</x:v>
      </x:c>
      <x:c r="E1583" s="11" t="n">
        <x:v>0</x:v>
      </x:c>
      <x:c r="F1583" s="11" t="n">
        <x:v>0</x:v>
      </x:c>
      <x:c r="G1583" s="11" t="n">
        <x:v>0</x:v>
      </x:c>
      <x:c r="H1583" s="11" t="n">
        <x:v>0</x:v>
      </x:c>
      <x:c r="I1583" s="11" t="n">
        <x:v>0</x:v>
      </x:c>
      <x:c r="J1583" s="11" t="n">
        <x:v>0</x:v>
      </x:c>
      <x:c r="K1583" s="12"/>
      <x:c r="L1583" s="12"/>
      <x:c r="M1583" s="8" t="str">
        <x:v>N/A</x:v>
      </x:c>
    </x:row>
    <x:row r="1584">
      <x:c r="A1584" s="8" t="str">
        <x:v>Sooke|Work In Progress</x:v>
      </x:c>
      <x:c r="B1584" s="8" t="str">
        <x:v>sooke-d</x:v>
      </x:c>
      <x:c r="C1584" s="8" t="str">
        <x:v>Sooke</x:v>
      </x:c>
      <x:c r="D1584" s="8" t="str">
        <x:v>Work In Progress</x:v>
      </x:c>
      <x:c r="E1584" s="11" t="n">
        <x:v>4248706</x:v>
      </x:c>
      <x:c r="F1584" s="11"/>
      <x:c r="G1584" s="11" t="n">
        <x:v>4248706</x:v>
      </x:c>
      <x:c r="H1584" s="11" t="n">
        <x:v>3063246</x:v>
      </x:c>
      <x:c r="I1584" s="11" t="n">
        <x:v>4248706</x:v>
      </x:c>
      <x:c r="J1584" s="11"/>
      <x:c r="K1584" s="12" t="n">
        <x:v>1</x:v>
      </x:c>
      <x:c r="L1584" s="12"/>
      <x:c r="M1584" s="8" t="str">
        <x:v>N/A</x:v>
      </x:c>
    </x:row>
    <x:row r="1585">
      <x:c r="A1585" s="8" t="str">
        <x:v>Sooke|Total TCA</x:v>
      </x:c>
      <x:c r="B1585" s="8" t="str">
        <x:v>sooke-d</x:v>
      </x:c>
      <x:c r="C1585" s="8" t="str">
        <x:v>Sooke</x:v>
      </x:c>
      <x:c r="D1585" s="8" t="str">
        <x:v>Total TCA</x:v>
      </x:c>
      <x:c r="E1585" s="11" t="n">
        <x:v>211679630</x:v>
      </x:c>
      <x:c r="F1585" s="11" t="n">
        <x:v>59270178</x:v>
      </x:c>
      <x:c r="G1585" s="11" t="n">
        <x:v>152409452</x:v>
      </x:c>
      <x:c r="H1585" s="11" t="n">
        <x:v>15252254</x:v>
      </x:c>
      <x:c r="I1585" s="11" t="n">
        <x:v>342498956</x:v>
      </x:c>
      <x:c r="J1585" s="11" t="n">
        <x:v>7260000</x:v>
      </x:c>
      <x:c r="K1585" s="12" t="n">
        <x:v>0.7200005593358227</x:v>
      </x:c>
      <x:c r="L1585" s="12" t="n">
        <x:v>0.9788028550954182</x:v>
      </x:c>
      <x:c r="M1585" s="8"/>
    </x:row>
    <x:row r="1586">
      <x:c r="A1586" s="8" t="str">
        <x:v>Spallumcheen|Land</x:v>
      </x:c>
      <x:c r="B1586" s="8" t="str">
        <x:v>spallumcheen-d</x:v>
      </x:c>
      <x:c r="C1586" s="8" t="str">
        <x:v>Spallumcheen</x:v>
      </x:c>
      <x:c r="D1586" s="8" t="str">
        <x:v>Land</x:v>
      </x:c>
      <x:c r="E1586" s="11" t="n">
        <x:v>4614032</x:v>
      </x:c>
      <x:c r="F1586" s="11"/>
      <x:c r="G1586" s="11" t="n">
        <x:v>4614032</x:v>
      </x:c>
      <x:c r="H1586" s="11" t="n">
        <x:v>0</x:v>
      </x:c>
      <x:c r="I1586" s="11" t="n">
        <x:v>4614032</x:v>
      </x:c>
      <x:c r="J1586" s="11"/>
      <x:c r="K1586" s="12" t="n">
        <x:v>1</x:v>
      </x:c>
      <x:c r="L1586" s="12"/>
      <x:c r="M1586" s="8" t="str">
        <x:v>N/A</x:v>
      </x:c>
    </x:row>
    <x:row r="1587">
      <x:c r="A1587" s="8" t="str">
        <x:v>Spallumcheen|Buildings</x:v>
      </x:c>
      <x:c r="B1587" s="8" t="str">
        <x:v>spallumcheen-d</x:v>
      </x:c>
      <x:c r="C1587" s="8" t="str">
        <x:v>Spallumcheen</x:v>
      </x:c>
      <x:c r="D1587" s="8" t="str">
        <x:v>Buildings</x:v>
      </x:c>
      <x:c r="E1587" s="11" t="n">
        <x:v>9277181</x:v>
      </x:c>
      <x:c r="F1587" s="11" t="n">
        <x:v>3688615</x:v>
      </x:c>
      <x:c r="G1587" s="11" t="n">
        <x:v>5588566</x:v>
      </x:c>
      <x:c r="H1587" s="11" t="n">
        <x:v>0</x:v>
      </x:c>
      <x:c r="I1587" s="11" t="n">
        <x:v>1500000</x:v>
      </x:c>
      <x:c r="J1587" s="11" t="n">
        <x:v>187500</x:v>
      </x:c>
      <x:c r="K1587" s="12" t="n">
        <x:v>0.6023991555193329</x:v>
      </x:c>
      <x:c r="L1587" s="12" t="n">
        <x:v>0.875</x:v>
      </x:c>
      <x:c r="M1587" s="8" t="str">
        <x:v>In_Progress</x:v>
      </x:c>
    </x:row>
    <x:row r="1588">
      <x:c r="A1588" s="8" t="str">
        <x:v>Spallumcheen|Fleet</x:v>
      </x:c>
      <x:c r="B1588" s="8" t="str">
        <x:v>spallumcheen-d</x:v>
      </x:c>
      <x:c r="C1588" s="8" t="str">
        <x:v>Spallumcheen</x:v>
      </x:c>
      <x:c r="D1588" s="8" t="str">
        <x:v>Fleet</x:v>
      </x:c>
      <x:c r="E1588" s="11" t="n">
        <x:v>7700725</x:v>
      </x:c>
      <x:c r="F1588" s="11" t="n">
        <x:v>4375901</x:v>
      </x:c>
      <x:c r="G1588" s="11" t="n">
        <x:v>3324824</x:v>
      </x:c>
      <x:c r="H1588" s="11" t="n">
        <x:v>735688</x:v>
      </x:c>
      <x:c r="I1588" s="11" t="n">
        <x:v>8123000</x:v>
      </x:c>
      <x:c r="J1588" s="11" t="n">
        <x:v>710000</x:v>
      </x:c>
      <x:c r="K1588" s="12" t="n">
        <x:v>0.431754672449672</x:v>
      </x:c>
      <x:c r="L1588" s="12" t="n">
        <x:v>0.9125938692601255</x:v>
      </x:c>
      <x:c r="M1588" s="8" t="str">
        <x:v>In_Progress</x:v>
      </x:c>
    </x:row>
    <x:row r="1589">
      <x:c r="A1589" s="8" t="str">
        <x:v>Spallumcheen|Parks and Recreation</x:v>
      </x:c>
      <x:c r="B1589" s="8" t="str">
        <x:v>spallumcheen-d</x:v>
      </x:c>
      <x:c r="C1589" s="8" t="str">
        <x:v>Spallumcheen</x:v>
      </x:c>
      <x:c r="D1589" s="8" t="str">
        <x:v>Parks and Recreation</x:v>
      </x:c>
      <x:c r="E1589" s="11" t="n">
        <x:v>0</x:v>
      </x:c>
      <x:c r="F1589" s="11" t="n">
        <x:v>0</x:v>
      </x:c>
      <x:c r="G1589" s="11" t="n">
        <x:v>0</x:v>
      </x:c>
      <x:c r="H1589" s="11" t="n">
        <x:v>0</x:v>
      </x:c>
      <x:c r="I1589" s="11" t="n">
        <x:v>0</x:v>
      </x:c>
      <x:c r="J1589" s="11" t="n">
        <x:v>0</x:v>
      </x:c>
      <x:c r="K1589" s="12"/>
      <x:c r="L1589" s="12"/>
      <x:c r="M1589" s="8"/>
    </x:row>
    <x:row r="1590">
      <x:c r="A1590" s="8" t="str">
        <x:v>Spallumcheen|Water System</x:v>
      </x:c>
      <x:c r="B1590" s="8" t="str">
        <x:v>spallumcheen-d</x:v>
      </x:c>
      <x:c r="C1590" s="8" t="str">
        <x:v>Spallumcheen</x:v>
      </x:c>
      <x:c r="D1590" s="8" t="str">
        <x:v>Water System</x:v>
      </x:c>
      <x:c r="E1590" s="11" t="n">
        <x:v>11755657</x:v>
      </x:c>
      <x:c r="F1590" s="11" t="n">
        <x:v>921734</x:v>
      </x:c>
      <x:c r="G1590" s="11" t="n">
        <x:v>10833923</x:v>
      </x:c>
      <x:c r="H1590" s="11" t="n">
        <x:v>0</x:v>
      </x:c>
      <x:c r="I1590" s="11" t="n">
        <x:v>36300000</x:v>
      </x:c>
      <x:c r="J1590" s="11" t="n">
        <x:v>470000</x:v>
      </x:c>
      <x:c r="K1590" s="12" t="n">
        <x:v>0.9215923023272965</x:v>
      </x:c>
      <x:c r="L1590" s="12" t="n">
        <x:v>0.9870523415977961</x:v>
      </x:c>
      <x:c r="M1590" s="8" t="str">
        <x:v>In_Progress</x:v>
      </x:c>
    </x:row>
    <x:row r="1591">
      <x:c r="A1591" s="8" t="str">
        <x:v>Spallumcheen|Sewer System</x:v>
      </x:c>
      <x:c r="B1591" s="8" t="str">
        <x:v>spallumcheen-d</x:v>
      </x:c>
      <x:c r="C1591" s="8" t="str">
        <x:v>Spallumcheen</x:v>
      </x:c>
      <x:c r="D1591" s="8" t="str">
        <x:v>Sewer System</x:v>
      </x:c>
      <x:c r="E1591" s="11" t="n">
        <x:v>0</x:v>
      </x:c>
      <x:c r="F1591" s="11" t="n">
        <x:v>0</x:v>
      </x:c>
      <x:c r="G1591" s="11" t="n">
        <x:v>0</x:v>
      </x:c>
      <x:c r="H1591" s="11" t="n">
        <x:v>0</x:v>
      </x:c>
      <x:c r="I1591" s="11" t="n">
        <x:v>0</x:v>
      </x:c>
      <x:c r="J1591" s="11" t="n">
        <x:v>0</x:v>
      </x:c>
      <x:c r="K1591" s="12"/>
      <x:c r="L1591" s="12"/>
      <x:c r="M1591" s="8"/>
    </x:row>
    <x:row r="1592">
      <x:c r="A1592" s="8" t="str">
        <x:v>Spallumcheen|Drainage System</x:v>
      </x:c>
      <x:c r="B1592" s="8" t="str">
        <x:v>spallumcheen-d</x:v>
      </x:c>
      <x:c r="C1592" s="8" t="str">
        <x:v>Spallumcheen</x:v>
      </x:c>
      <x:c r="D1592" s="8" t="str">
        <x:v>Drainage System</x:v>
      </x:c>
      <x:c r="E1592" s="11" t="n">
        <x:v>0</x:v>
      </x:c>
      <x:c r="F1592" s="11" t="n">
        <x:v>0</x:v>
      </x:c>
      <x:c r="G1592" s="11" t="n">
        <x:v>0</x:v>
      </x:c>
      <x:c r="H1592" s="11" t="n">
        <x:v>0</x:v>
      </x:c>
      <x:c r="I1592" s="11" t="n">
        <x:v>0</x:v>
      </x:c>
      <x:c r="J1592" s="11" t="n">
        <x:v>0</x:v>
      </x:c>
      <x:c r="K1592" s="12"/>
      <x:c r="L1592" s="12"/>
      <x:c r="M1592" s="8"/>
    </x:row>
    <x:row r="1593">
      <x:c r="A1593" s="8" t="str">
        <x:v>Spallumcheen|Transportation System</x:v>
      </x:c>
      <x:c r="B1593" s="8" t="str">
        <x:v>spallumcheen-d</x:v>
      </x:c>
      <x:c r="C1593" s="8" t="str">
        <x:v>Spallumcheen</x:v>
      </x:c>
      <x:c r="D1593" s="8" t="str">
        <x:v>Transportation System</x:v>
      </x:c>
      <x:c r="E1593" s="11" t="n">
        <x:v>78941256</x:v>
      </x:c>
      <x:c r="F1593" s="11" t="n">
        <x:v>62843153</x:v>
      </x:c>
      <x:c r="G1593" s="11" t="n">
        <x:v>16098103</x:v>
      </x:c>
      <x:c r="H1593" s="11" t="n">
        <x:v>0</x:v>
      </x:c>
      <x:c r="I1593" s="11" t="n">
        <x:v>101100000</x:v>
      </x:c>
      <x:c r="J1593" s="11" t="n">
        <x:v>1163333</x:v>
      </x:c>
      <x:c r="K1593" s="12" t="n">
        <x:v>0.20392509336309522</x:v>
      </x:c>
      <x:c r="L1593" s="12" t="n">
        <x:v>0.9884932443125618</x:v>
      </x:c>
      <x:c r="M1593" s="8" t="str">
        <x:v>In_Progress</x:v>
      </x:c>
    </x:row>
    <x:row r="1594">
      <x:c r="A1594" s="8" t="str">
        <x:v>Spallumcheen|Other Engineering Systems</x:v>
      </x:c>
      <x:c r="B1594" s="8" t="str">
        <x:v>spallumcheen-d</x:v>
      </x:c>
      <x:c r="C1594" s="8" t="str">
        <x:v>Spallumcheen</x:v>
      </x:c>
      <x:c r="D1594" s="8" t="str">
        <x:v>Other Engineering Systems</x:v>
      </x:c>
      <x:c r="E1594" s="11" t="n">
        <x:v>0</x:v>
      </x:c>
      <x:c r="F1594" s="11" t="n">
        <x:v>0</x:v>
      </x:c>
      <x:c r="G1594" s="11" t="n">
        <x:v>0</x:v>
      </x:c>
      <x:c r="H1594" s="11" t="n">
        <x:v>0</x:v>
      </x:c>
      <x:c r="I1594" s="11" t="n">
        <x:v>0</x:v>
      </x:c>
      <x:c r="J1594" s="11" t="n">
        <x:v>0</x:v>
      </x:c>
      <x:c r="K1594" s="12"/>
      <x:c r="L1594" s="12"/>
      <x:c r="M1594" s="8"/>
    </x:row>
    <x:row r="1595">
      <x:c r="A1595" s="8" t="str">
        <x:v>Spallumcheen|Other Tangible Capital Assets</x:v>
      </x:c>
      <x:c r="B1595" s="8" t="str">
        <x:v>spallumcheen-d</x:v>
      </x:c>
      <x:c r="C1595" s="8" t="str">
        <x:v>Spallumcheen</x:v>
      </x:c>
      <x:c r="D1595" s="8" t="str">
        <x:v>Other Tangible Capital Assets</x:v>
      </x:c>
      <x:c r="E1595" s="11" t="n">
        <x:v>5781752</x:v>
      </x:c>
      <x:c r="F1595" s="11" t="n">
        <x:v>1479535</x:v>
      </x:c>
      <x:c r="G1595" s="11" t="n">
        <x:v>4302217</x:v>
      </x:c>
      <x:c r="H1595" s="11" t="n">
        <x:v>0</x:v>
      </x:c>
      <x:c r="I1595" s="11" t="n">
        <x:v>0</x:v>
      </x:c>
      <x:c r="J1595" s="11" t="n">
        <x:v>0</x:v>
      </x:c>
      <x:c r="K1595" s="12" t="n">
        <x:v>0.7441026526215583</x:v>
      </x:c>
      <x:c r="L1595" s="12"/>
      <x:c r="M1595" s="8" t="str">
        <x:v>N/A</x:v>
      </x:c>
    </x:row>
    <x:row r="1596">
      <x:c r="A1596" s="8" t="str">
        <x:v>Spallumcheen|Work In Progress</x:v>
      </x:c>
      <x:c r="B1596" s="8" t="str">
        <x:v>spallumcheen-d</x:v>
      </x:c>
      <x:c r="C1596" s="8" t="str">
        <x:v>Spallumcheen</x:v>
      </x:c>
      <x:c r="D1596" s="8" t="str">
        <x:v>Work In Progress</x:v>
      </x:c>
      <x:c r="E1596" s="11" t="n">
        <x:v>6578671</x:v>
      </x:c>
      <x:c r="F1596" s="11"/>
      <x:c r="G1596" s="11" t="n">
        <x:v>6578671</x:v>
      </x:c>
      <x:c r="H1596" s="11" t="n">
        <x:v>6340346</x:v>
      </x:c>
      <x:c r="I1596" s="11" t="n">
        <x:v>6578671</x:v>
      </x:c>
      <x:c r="J1596" s="11"/>
      <x:c r="K1596" s="12" t="n">
        <x:v>1</x:v>
      </x:c>
      <x:c r="L1596" s="12"/>
      <x:c r="M1596" s="8" t="str">
        <x:v>N/A</x:v>
      </x:c>
    </x:row>
    <x:row r="1597">
      <x:c r="A1597" s="8" t="str">
        <x:v>Spallumcheen|Total TCA</x:v>
      </x:c>
      <x:c r="B1597" s="8" t="str">
        <x:v>spallumcheen-d</x:v>
      </x:c>
      <x:c r="C1597" s="8" t="str">
        <x:v>Spallumcheen</x:v>
      </x:c>
      <x:c r="D1597" s="8" t="str">
        <x:v>Total TCA</x:v>
      </x:c>
      <x:c r="E1597" s="11" t="n">
        <x:v>124649274</x:v>
      </x:c>
      <x:c r="F1597" s="11" t="n">
        <x:v>73308938</x:v>
      </x:c>
      <x:c r="G1597" s="11" t="n">
        <x:v>51340336</x:v>
      </x:c>
      <x:c r="H1597" s="11" t="n">
        <x:v>7076034</x:v>
      </x:c>
      <x:c r="I1597" s="11" t="n">
        <x:v>158215703</x:v>
      </x:c>
      <x:c r="J1597" s="11" t="n">
        <x:v>2530833</x:v>
      </x:c>
      <x:c r="K1597" s="12" t="n">
        <x:v>0.41187833954010833</x:v>
      </x:c>
      <x:c r="L1597" s="12" t="n">
        <x:v>0.984003907627298</x:v>
      </x:c>
      <x:c r="M1597" s="8"/>
    </x:row>
    <x:row r="1598">
      <x:c r="A1598" s="8" t="str">
        <x:v>Sparwood|Land</x:v>
      </x:c>
      <x:c r="B1598" s="8" t="str">
        <x:v>sparwood-d</x:v>
      </x:c>
      <x:c r="C1598" s="8" t="str">
        <x:v>Sparwood</x:v>
      </x:c>
      <x:c r="D1598" s="8" t="str">
        <x:v>Land</x:v>
      </x:c>
      <x:c r="E1598" s="11" t="n">
        <x:v>3774928</x:v>
      </x:c>
      <x:c r="F1598" s="11"/>
      <x:c r="G1598" s="11" t="n">
        <x:v>3774928</x:v>
      </x:c>
      <x:c r="H1598" s="11" t="n">
        <x:v>0</x:v>
      </x:c>
      <x:c r="I1598" s="11" t="n">
        <x:v>3774928</x:v>
      </x:c>
      <x:c r="J1598" s="11"/>
      <x:c r="K1598" s="12" t="n">
        <x:v>1</x:v>
      </x:c>
      <x:c r="L1598" s="12"/>
      <x:c r="M1598" s="8" t="str">
        <x:v>N/A</x:v>
      </x:c>
    </x:row>
    <x:row r="1599">
      <x:c r="A1599" s="8" t="str">
        <x:v>Sparwood|Buildings</x:v>
      </x:c>
      <x:c r="B1599" s="8" t="str">
        <x:v>sparwood-d</x:v>
      </x:c>
      <x:c r="C1599" s="8" t="str">
        <x:v>Sparwood</x:v>
      </x:c>
      <x:c r="D1599" s="8" t="str">
        <x:v>Buildings</x:v>
      </x:c>
      <x:c r="E1599" s="11" t="n">
        <x:v>23452485</x:v>
      </x:c>
      <x:c r="F1599" s="11" t="n">
        <x:v>10333197</x:v>
      </x:c>
      <x:c r="G1599" s="11" t="n">
        <x:v>13119288</x:v>
      </x:c>
      <x:c r="H1599" s="11" t="n">
        <x:v>562570</x:v>
      </x:c>
      <x:c r="I1599" s="11" t="n">
        <x:v>32833479</x:v>
      </x:c>
      <x:c r="J1599" s="11" t="n">
        <x:v>887391</x:v>
      </x:c>
      <x:c r="K1599" s="12" t="n">
        <x:v>0.5593986308913533</x:v>
      </x:c>
      <x:c r="L1599" s="12" t="n">
        <x:v>0.9729729828508273</x:v>
      </x:c>
      <x:c r="M1599" s="8" t="str">
        <x:v>In_Progress</x:v>
      </x:c>
    </x:row>
    <x:row r="1600">
      <x:c r="A1600" s="8" t="str">
        <x:v>Sparwood|Fleet</x:v>
      </x:c>
      <x:c r="B1600" s="8" t="str">
        <x:v>sparwood-d</x:v>
      </x:c>
      <x:c r="C1600" s="8" t="str">
        <x:v>Sparwood</x:v>
      </x:c>
      <x:c r="D1600" s="8" t="str">
        <x:v>Fleet</x:v>
      </x:c>
      <x:c r="E1600" s="11" t="n">
        <x:v>11791864</x:v>
      </x:c>
      <x:c r="F1600" s="11" t="n">
        <x:v>5051328</x:v>
      </x:c>
      <x:c r="G1600" s="11" t="n">
        <x:v>6740536</x:v>
      </x:c>
      <x:c r="H1600" s="11" t="n">
        <x:v>1419861</x:v>
      </x:c>
      <x:c r="I1600" s="11" t="n">
        <x:v>16508610</x:v>
      </x:c>
      <x:c r="J1600" s="11" t="n">
        <x:v>917145</x:v>
      </x:c>
      <x:c r="K1600" s="12" t="n">
        <x:v>0.5716259956865174</x:v>
      </x:c>
      <x:c r="L1600" s="12" t="n">
        <x:v>0.9444444444444444</x:v>
      </x:c>
      <x:c r="M1600" s="8" t="str">
        <x:v>In_Progress</x:v>
      </x:c>
    </x:row>
    <x:row r="1601">
      <x:c r="A1601" s="8" t="str">
        <x:v>Sparwood|Parks and Recreation</x:v>
      </x:c>
      <x:c r="B1601" s="8" t="str">
        <x:v>sparwood-d</x:v>
      </x:c>
      <x:c r="C1601" s="8" t="str">
        <x:v>Sparwood</x:v>
      </x:c>
      <x:c r="D1601" s="8" t="str">
        <x:v>Parks and Recreation</x:v>
      </x:c>
      <x:c r="E1601" s="11" t="n">
        <x:v>7574643</x:v>
      </x:c>
      <x:c r="F1601" s="11" t="n">
        <x:v>2185161</x:v>
      </x:c>
      <x:c r="G1601" s="11" t="n">
        <x:v>5389482</x:v>
      </x:c>
      <x:c r="H1601" s="11" t="n">
        <x:v>74692</x:v>
      </x:c>
      <x:c r="I1601" s="11" t="n">
        <x:v>10604500</x:v>
      </x:c>
      <x:c r="J1601" s="11" t="n">
        <x:v>623794</x:v>
      </x:c>
      <x:c r="K1601" s="12" t="n">
        <x:v>0.7115163051248752</x:v>
      </x:c>
      <x:c r="L1601" s="12" t="n">
        <x:v>0.9411764816823047</x:v>
      </x:c>
      <x:c r="M1601" s="8" t="str">
        <x:v>In_Progress</x:v>
      </x:c>
    </x:row>
    <x:row r="1602">
      <x:c r="A1602" s="8" t="str">
        <x:v>Sparwood|Water System</x:v>
      </x:c>
      <x:c r="B1602" s="8" t="str">
        <x:v>sparwood-d</x:v>
      </x:c>
      <x:c r="C1602" s="8" t="str">
        <x:v>Sparwood</x:v>
      </x:c>
      <x:c r="D1602" s="8" t="str">
        <x:v>Water System</x:v>
      </x:c>
      <x:c r="E1602" s="11" t="n">
        <x:v>21962334</x:v>
      </x:c>
      <x:c r="F1602" s="11" t="n">
        <x:v>5817858</x:v>
      </x:c>
      <x:c r="G1602" s="11" t="n">
        <x:v>16144476</x:v>
      </x:c>
      <x:c r="H1602" s="11" t="n">
        <x:v>53041</x:v>
      </x:c>
      <x:c r="I1602" s="11" t="n">
        <x:v>30747268</x:v>
      </x:c>
      <x:c r="J1602" s="11" t="n">
        <x:v>637503</x:v>
      </x:c>
      <x:c r="K1602" s="12" t="n">
        <x:v>0.7350983734242453</x:v>
      </x:c>
      <x:c r="L1602" s="12" t="n">
        <x:v>0.9792663530301293</x:v>
      </x:c>
      <x:c r="M1602" s="8" t="str">
        <x:v>In_Progress</x:v>
      </x:c>
    </x:row>
    <x:row r="1603">
      <x:c r="A1603" s="8" t="str">
        <x:v>Sparwood|Sewer System</x:v>
      </x:c>
      <x:c r="B1603" s="8" t="str">
        <x:v>sparwood-d</x:v>
      </x:c>
      <x:c r="C1603" s="8" t="str">
        <x:v>Sparwood</x:v>
      </x:c>
      <x:c r="D1603" s="8" t="str">
        <x:v>Sewer System</x:v>
      </x:c>
      <x:c r="E1603" s="11" t="n">
        <x:v>12176580</x:v>
      </x:c>
      <x:c r="F1603" s="11" t="n">
        <x:v>5856356</x:v>
      </x:c>
      <x:c r="G1603" s="11" t="n">
        <x:v>6320224</x:v>
      </x:c>
      <x:c r="H1603" s="11" t="n">
        <x:v>122850</x:v>
      </x:c>
      <x:c r="I1603" s="11" t="n">
        <x:v>17047212</x:v>
      </x:c>
      <x:c r="J1603" s="11" t="n">
        <x:v>347570</x:v>
      </x:c>
      <x:c r="K1603" s="12" t="n">
        <x:v>0.5190475486548768</x:v>
      </x:c>
      <x:c r="L1603" s="12" t="n">
        <x:v>0.97961132882022</x:v>
      </x:c>
      <x:c r="M1603" s="8" t="str">
        <x:v>In_Progress</x:v>
      </x:c>
    </x:row>
    <x:row r="1604">
      <x:c r="A1604" s="8" t="str">
        <x:v>Sparwood|Drainage System</x:v>
      </x:c>
      <x:c r="B1604" s="8" t="str">
        <x:v>sparwood-d</x:v>
      </x:c>
      <x:c r="C1604" s="8" t="str">
        <x:v>Sparwood</x:v>
      </x:c>
      <x:c r="D1604" s="8" t="str">
        <x:v>Drainage System</x:v>
      </x:c>
      <x:c r="E1604" s="11" t="n">
        <x:v>6813495</x:v>
      </x:c>
      <x:c r="F1604" s="11" t="n">
        <x:v>3071580</x:v>
      </x:c>
      <x:c r="G1604" s="11" t="n">
        <x:v>3741915</x:v>
      </x:c>
      <x:c r="H1604" s="11" t="n">
        <x:v>63181</x:v>
      </x:c>
      <x:c r="I1604" s="11" t="n">
        <x:v>9538893</x:v>
      </x:c>
      <x:c r="J1604" s="11" t="n">
        <x:v>123882</x:v>
      </x:c>
      <x:c r="K1604" s="12" t="n">
        <x:v>0.5491917143844679</x:v>
      </x:c>
      <x:c r="L1604" s="12" t="n">
        <x:v>0.987012958421905</x:v>
      </x:c>
      <x:c r="M1604" s="8" t="str">
        <x:v>In_Progress</x:v>
      </x:c>
    </x:row>
    <x:row r="1605">
      <x:c r="A1605" s="8" t="str">
        <x:v>Sparwood|Transportation System</x:v>
      </x:c>
      <x:c r="B1605" s="8" t="str">
        <x:v>sparwood-d</x:v>
      </x:c>
      <x:c r="C1605" s="8" t="str">
        <x:v>Sparwood</x:v>
      </x:c>
      <x:c r="D1605" s="8" t="str">
        <x:v>Transportation System</x:v>
      </x:c>
      <x:c r="E1605" s="11" t="n">
        <x:v>48940439</x:v>
      </x:c>
      <x:c r="F1605" s="11" t="n">
        <x:v>16614740</x:v>
      </x:c>
      <x:c r="G1605" s="11" t="n">
        <x:v>32325699</x:v>
      </x:c>
      <x:c r="H1605" s="11" t="n">
        <x:v>1529526</x:v>
      </x:c>
      <x:c r="I1605" s="11" t="n">
        <x:v>70577682</x:v>
      </x:c>
      <x:c r="J1605" s="11" t="n">
        <x:v>1237871</x:v>
      </x:c>
      <x:c r="K1605" s="12" t="n">
        <x:v>0.6605110142146456</x:v>
      </x:c>
      <x:c r="L1605" s="12" t="n">
        <x:v>0.982460871979332</x:v>
      </x:c>
      <x:c r="M1605" s="8" t="str">
        <x:v>In_Progress</x:v>
      </x:c>
    </x:row>
    <x:row r="1606">
      <x:c r="A1606" s="8" t="str">
        <x:v>Sparwood|Other Engineering Systems</x:v>
      </x:c>
      <x:c r="B1606" s="8" t="str">
        <x:v>sparwood-d</x:v>
      </x:c>
      <x:c r="C1606" s="8" t="str">
        <x:v>Sparwood</x:v>
      </x:c>
      <x:c r="D1606" s="8" t="str">
        <x:v>Other Engineering Systems</x:v>
      </x:c>
      <x:c r="E1606" s="11" t="n">
        <x:v>1197727</x:v>
      </x:c>
      <x:c r="F1606" s="11" t="n">
        <x:v>719315</x:v>
      </x:c>
      <x:c r="G1606" s="11" t="n">
        <x:v>478412</x:v>
      </x:c>
      <x:c r="H1606" s="11" t="n">
        <x:v>0</x:v>
      </x:c>
      <x:c r="I1606" s="11" t="n">
        <x:v>1676818</x:v>
      </x:c>
      <x:c r="J1606" s="11" t="n">
        <x:v>55894</x:v>
      </x:c>
      <x:c r="K1606" s="12" t="n">
        <x:v>0.3994332598330003</x:v>
      </x:c>
      <x:c r="L1606" s="12" t="n">
        <x:v>0.9666666269088238</x:v>
      </x:c>
      <x:c r="M1606" s="8" t="str">
        <x:v>In_Progress</x:v>
      </x:c>
    </x:row>
    <x:row r="1607">
      <x:c r="A1607" s="8" t="str">
        <x:v>Sparwood|Other Tangible Capital Assets</x:v>
      </x:c>
      <x:c r="B1607" s="8" t="str">
        <x:v>sparwood-d</x:v>
      </x:c>
      <x:c r="C1607" s="8" t="str">
        <x:v>Sparwood</x:v>
      </x:c>
      <x:c r="D1607" s="8" t="str">
        <x:v>Other Tangible Capital Assets</x:v>
      </x:c>
      <x:c r="E1607" s="11" t="n">
        <x:v>2221601</x:v>
      </x:c>
      <x:c r="F1607" s="11" t="n">
        <x:v>688706</x:v>
      </x:c>
      <x:c r="G1607" s="11" t="n">
        <x:v>1532895</x:v>
      </x:c>
      <x:c r="H1607" s="11" t="n">
        <x:v>124617</x:v>
      </x:c>
      <x:c r="I1607" s="11" t="n">
        <x:v>3110241</x:v>
      </x:c>
      <x:c r="J1607" s="11" t="n">
        <x:v>107250</x:v>
      </x:c>
      <x:c r="K1607" s="12" t="n">
        <x:v>0.6899956382806813</x:v>
      </x:c>
      <x:c r="L1607" s="12" t="n">
        <x:v>0.965517141597709</x:v>
      </x:c>
      <x:c r="M1607" s="8" t="str">
        <x:v>N/A</x:v>
      </x:c>
    </x:row>
    <x:row r="1608">
      <x:c r="A1608" s="8" t="str">
        <x:v>Sparwood|Work In Progress</x:v>
      </x:c>
      <x:c r="B1608" s="8" t="str">
        <x:v>sparwood-d</x:v>
      </x:c>
      <x:c r="C1608" s="8" t="str">
        <x:v>Sparwood</x:v>
      </x:c>
      <x:c r="D1608" s="8" t="str">
        <x:v>Work In Progress</x:v>
      </x:c>
      <x:c r="E1608" s="11" t="n">
        <x:v>2021175</x:v>
      </x:c>
      <x:c r="F1608" s="11"/>
      <x:c r="G1608" s="11" t="n">
        <x:v>2021175</x:v>
      </x:c>
      <x:c r="H1608" s="11" t="n">
        <x:v>1053999</x:v>
      </x:c>
      <x:c r="I1608" s="11" t="n">
        <x:v>2021175</x:v>
      </x:c>
      <x:c r="J1608" s="11"/>
      <x:c r="K1608" s="12" t="n">
        <x:v>1</x:v>
      </x:c>
      <x:c r="L1608" s="12"/>
      <x:c r="M1608" s="8" t="str">
        <x:v>N/A</x:v>
      </x:c>
    </x:row>
    <x:row r="1609">
      <x:c r="A1609" s="8" t="str">
        <x:v>Sparwood|Total TCA</x:v>
      </x:c>
      <x:c r="B1609" s="8" t="str">
        <x:v>sparwood-d</x:v>
      </x:c>
      <x:c r="C1609" s="8" t="str">
        <x:v>Sparwood</x:v>
      </x:c>
      <x:c r="D1609" s="8" t="str">
        <x:v>Total TCA</x:v>
      </x:c>
      <x:c r="E1609" s="11" t="n">
        <x:v>141927271</x:v>
      </x:c>
      <x:c r="F1609" s="11" t="n">
        <x:v>50338241</x:v>
      </x:c>
      <x:c r="G1609" s="11" t="n">
        <x:v>91589030</x:v>
      </x:c>
      <x:c r="H1609" s="11" t="n">
        <x:v>5004337</x:v>
      </x:c>
      <x:c r="I1609" s="11" t="n">
        <x:v>198440806</x:v>
      </x:c>
      <x:c r="J1609" s="11" t="n">
        <x:v>4938300</x:v>
      </x:c>
      <x:c r="K1609" s="12" t="n">
        <x:v>0.6453236883558481</x:v>
      </x:c>
      <x:c r="L1609" s="12" t="n">
        <x:v>0.9751144933366175</x:v>
      </x:c>
      <x:c r="M1609" s="8"/>
    </x:row>
    <x:row r="1610">
      <x:c r="A1610" s="8" t="str">
        <x:v>Squamish|Land</x:v>
      </x:c>
      <x:c r="B1610" s="8" t="str">
        <x:v>squamish-d</x:v>
      </x:c>
      <x:c r="C1610" s="8" t="str">
        <x:v>Squamish</x:v>
      </x:c>
      <x:c r="D1610" s="8" t="str">
        <x:v>Land</x:v>
      </x:c>
      <x:c r="E1610" s="11" t="n">
        <x:v>71656990</x:v>
      </x:c>
      <x:c r="F1610" s="11"/>
      <x:c r="G1610" s="11" t="n">
        <x:v>71656990</x:v>
      </x:c>
      <x:c r="H1610" s="11" t="n">
        <x:v>0</x:v>
      </x:c>
      <x:c r="I1610" s="11" t="n">
        <x:v>71656990</x:v>
      </x:c>
      <x:c r="J1610" s="11"/>
      <x:c r="K1610" s="12" t="n">
        <x:v>1</x:v>
      </x:c>
      <x:c r="L1610" s="12"/>
      <x:c r="M1610" s="8" t="str">
        <x:v>N/A</x:v>
      </x:c>
    </x:row>
    <x:row r="1611">
      <x:c r="A1611" s="8" t="str">
        <x:v>Squamish|Buildings</x:v>
      </x:c>
      <x:c r="B1611" s="8" t="str">
        <x:v>squamish-d</x:v>
      </x:c>
      <x:c r="C1611" s="8" t="str">
        <x:v>Squamish</x:v>
      </x:c>
      <x:c r="D1611" s="8" t="str">
        <x:v>Buildings</x:v>
      </x:c>
      <x:c r="E1611" s="11" t="n">
        <x:v>74230088</x:v>
      </x:c>
      <x:c r="F1611" s="11" t="n">
        <x:v>23469439</x:v>
      </x:c>
      <x:c r="G1611" s="11" t="n">
        <x:v>50760649</x:v>
      </x:c>
      <x:c r="H1611" s="11" t="n">
        <x:v>17051796</x:v>
      </x:c>
      <x:c r="I1611" s="11" t="n">
        <x:v>79210000</x:v>
      </x:c>
      <x:c r="J1611" s="11" t="n">
        <x:v>1878750</x:v>
      </x:c>
      <x:c r="K1611" s="12" t="n">
        <x:v>0.683828490140009</x:v>
      </x:c>
      <x:c r="L1611" s="12" t="n">
        <x:v>0.9762814038631485</x:v>
      </x:c>
      <x:c r="M1611" s="8" t="str">
        <x:v>Yes</x:v>
      </x:c>
    </x:row>
    <x:row r="1612">
      <x:c r="A1612" s="8" t="str">
        <x:v>Squamish|Fleet</x:v>
      </x:c>
      <x:c r="B1612" s="8" t="str">
        <x:v>squamish-d</x:v>
      </x:c>
      <x:c r="C1612" s="8" t="str">
        <x:v>Squamish</x:v>
      </x:c>
      <x:c r="D1612" s="8" t="str">
        <x:v>Fleet</x:v>
      </x:c>
      <x:c r="E1612" s="11" t="n">
        <x:v>10928886</x:v>
      </x:c>
      <x:c r="F1612" s="11" t="n">
        <x:v>5701673</x:v>
      </x:c>
      <x:c r="G1612" s="11" t="n">
        <x:v>5227213</x:v>
      </x:c>
      <x:c r="H1612" s="11" t="n">
        <x:v>1595086</x:v>
      </x:c>
      <x:c r="I1612" s="11" t="n">
        <x:v>13400000</x:v>
      </x:c>
      <x:c r="J1612" s="11" t="n">
        <x:v>1014721</x:v>
      </x:c>
      <x:c r="K1612" s="12" t="n">
        <x:v>0.47829330455089386</x:v>
      </x:c>
      <x:c r="L1612" s="12" t="n">
        <x:v>0.924274552238806</x:v>
      </x:c>
      <x:c r="M1612" s="8" t="str">
        <x:v>Yes</x:v>
      </x:c>
    </x:row>
    <x:row r="1613">
      <x:c r="A1613" s="8" t="str">
        <x:v>Squamish|Parks and Recreation</x:v>
      </x:c>
      <x:c r="B1613" s="8" t="str">
        <x:v>squamish-d</x:v>
      </x:c>
      <x:c r="C1613" s="8" t="str">
        <x:v>Squamish</x:v>
      </x:c>
      <x:c r="D1613" s="8" t="str">
        <x:v>Parks and Recreation</x:v>
      </x:c>
      <x:c r="E1613" s="11" t="n">
        <x:v>58795676</x:v>
      </x:c>
      <x:c r="F1613" s="11" t="n">
        <x:v>14785580</x:v>
      </x:c>
      <x:c r="G1613" s="11" t="n">
        <x:v>44010096</x:v>
      </x:c>
      <x:c r="H1613" s="11" t="n">
        <x:v>10324978</x:v>
      </x:c>
      <x:c r="I1613" s="11" t="n">
        <x:v>4560000</x:v>
      </x:c>
      <x:c r="J1613" s="11" t="n">
        <x:v>175990</x:v>
      </x:c>
      <x:c r="K1613" s="12" t="n">
        <x:v>0.748526065080024</x:v>
      </x:c>
      <x:c r="L1613" s="12" t="n">
        <x:v>0.961405701754386</x:v>
      </x:c>
      <x:c r="M1613" s="8" t="str">
        <x:v>Yes</x:v>
      </x:c>
    </x:row>
    <x:row r="1614">
      <x:c r="A1614" s="8" t="str">
        <x:v>Squamish|Water System</x:v>
      </x:c>
      <x:c r="B1614" s="8" t="str">
        <x:v>squamish-d</x:v>
      </x:c>
      <x:c r="C1614" s="8" t="str">
        <x:v>Squamish</x:v>
      </x:c>
      <x:c r="D1614" s="8" t="str">
        <x:v>Water System</x:v>
      </x:c>
      <x:c r="E1614" s="11" t="n">
        <x:v>79660174</x:v>
      </x:c>
      <x:c r="F1614" s="11" t="n">
        <x:v>26333278</x:v>
      </x:c>
      <x:c r="G1614" s="11" t="n">
        <x:v>53326896</x:v>
      </x:c>
      <x:c r="H1614" s="11" t="n">
        <x:v>4407480</x:v>
      </x:c>
      <x:c r="I1614" s="11" t="n">
        <x:v>173460000</x:v>
      </x:c>
      <x:c r="J1614" s="11" t="n">
        <x:v>2905063</x:v>
      </x:c>
      <x:c r="K1614" s="12" t="n">
        <x:v>0.6694298207282349</x:v>
      </x:c>
      <x:c r="L1614" s="12" t="n">
        <x:v>0.9832522598870056</x:v>
      </x:c>
      <x:c r="M1614" s="8" t="str">
        <x:v>Yes</x:v>
      </x:c>
    </x:row>
    <x:row r="1615">
      <x:c r="A1615" s="8" t="str">
        <x:v>Squamish|Sewer System</x:v>
      </x:c>
      <x:c r="B1615" s="8" t="str">
        <x:v>squamish-d</x:v>
      </x:c>
      <x:c r="C1615" s="8" t="str">
        <x:v>Squamish</x:v>
      </x:c>
      <x:c r="D1615" s="8" t="str">
        <x:v>Sewer System</x:v>
      </x:c>
      <x:c r="E1615" s="11" t="n">
        <x:v>84478795</x:v>
      </x:c>
      <x:c r="F1615" s="11" t="n">
        <x:v>29851407</x:v>
      </x:c>
      <x:c r="G1615" s="11" t="n">
        <x:v>54627388</x:v>
      </x:c>
      <x:c r="H1615" s="11" t="n">
        <x:v>10256143</x:v>
      </x:c>
      <x:c r="I1615" s="11" t="n">
        <x:v>222436227</x:v>
      </x:c>
      <x:c r="J1615" s="11" t="n">
        <x:v>4139588</x:v>
      </x:c>
      <x:c r="K1615" s="12" t="n">
        <x:v>0.6466402367600058</x:v>
      </x:c>
      <x:c r="L1615" s="12" t="n">
        <x:v>0.9813897760457877</x:v>
      </x:c>
      <x:c r="M1615" s="8" t="str">
        <x:v>Yes</x:v>
      </x:c>
    </x:row>
    <x:row r="1616">
      <x:c r="A1616" s="8" t="str">
        <x:v>Squamish|Drainage System</x:v>
      </x:c>
      <x:c r="B1616" s="8" t="str">
        <x:v>squamish-d</x:v>
      </x:c>
      <x:c r="C1616" s="8" t="str">
        <x:v>Squamish</x:v>
      </x:c>
      <x:c r="D1616" s="8" t="str">
        <x:v>Drainage System</x:v>
      </x:c>
      <x:c r="E1616" s="11" t="n">
        <x:v>19089389</x:v>
      </x:c>
      <x:c r="F1616" s="11" t="n">
        <x:v>6753887</x:v>
      </x:c>
      <x:c r="G1616" s="11" t="n">
        <x:v>12335502</x:v>
      </x:c>
      <x:c r="H1616" s="11" t="n">
        <x:v>484023</x:v>
      </x:c>
      <x:c r="I1616" s="11" t="n">
        <x:v>188280000</x:v>
      </x:c>
      <x:c r="J1616" s="11" t="n">
        <x:v>2559500</x:v>
      </x:c>
      <x:c r="K1616" s="12" t="n">
        <x:v>0.6461967955077033</x:v>
      </x:c>
      <x:c r="L1616" s="12" t="n">
        <x:v>0.9864058848523476</x:v>
      </x:c>
      <x:c r="M1616" s="8" t="str">
        <x:v>Yes</x:v>
      </x:c>
    </x:row>
    <x:row r="1617">
      <x:c r="A1617" s="8" t="str">
        <x:v>Squamish|Transportation System</x:v>
      </x:c>
      <x:c r="B1617" s="8" t="str">
        <x:v>squamish-d</x:v>
      </x:c>
      <x:c r="C1617" s="8" t="str">
        <x:v>Squamish</x:v>
      </x:c>
      <x:c r="D1617" s="8" t="str">
        <x:v>Transportation System</x:v>
      </x:c>
      <x:c r="E1617" s="11" t="n">
        <x:v>124548551</x:v>
      </x:c>
      <x:c r="F1617" s="11" t="n">
        <x:v>48458028</x:v>
      </x:c>
      <x:c r="G1617" s="11" t="n">
        <x:v>76090523</x:v>
      </x:c>
      <x:c r="H1617" s="11" t="n">
        <x:v>19073609</x:v>
      </x:c>
      <x:c r="I1617" s="11" t="n">
        <x:v>187365852</x:v>
      </x:c>
      <x:c r="J1617" s="11" t="n">
        <x:v>3299596</x:v>
      </x:c>
      <x:c r="K1617" s="12" t="n">
        <x:v>0.6109306161257548</x:v>
      </x:c>
      <x:c r="L1617" s="12" t="n">
        <x:v>0.9823895551682491</x:v>
      </x:c>
      <x:c r="M1617" s="8" t="str">
        <x:v>Yes</x:v>
      </x:c>
    </x:row>
    <x:row r="1618">
      <x:c r="A1618" s="8" t="str">
        <x:v>Squamish|Other Engineering Systems</x:v>
      </x:c>
      <x:c r="B1618" s="8" t="str">
        <x:v>squamish-d</x:v>
      </x:c>
      <x:c r="C1618" s="8" t="str">
        <x:v>Squamish</x:v>
      </x:c>
      <x:c r="D1618" s="8" t="str">
        <x:v>Other Engineering Systems</x:v>
      </x:c>
      <x:c r="E1618" s="11" t="n">
        <x:v>13901597</x:v>
      </x:c>
      <x:c r="F1618" s="11" t="n">
        <x:v>7948452</x:v>
      </x:c>
      <x:c r="G1618" s="11" t="n">
        <x:v>5953145</x:v>
      </x:c>
      <x:c r="H1618" s="11" t="n">
        <x:v>377975</x:v>
      </x:c>
      <x:c r="I1618" s="11" t="n">
        <x:v>10700000</x:v>
      </x:c>
      <x:c r="J1618" s="11" t="n">
        <x:v>190585</x:v>
      </x:c>
      <x:c r="K1618" s="12" t="n">
        <x:v>0.42823461218160763</x:v>
      </x:c>
      <x:c r="L1618" s="12" t="n">
        <x:v>0.9821883177570093</x:v>
      </x:c>
      <x:c r="M1618" s="8" t="str">
        <x:v>Yes</x:v>
      </x:c>
    </x:row>
    <x:row r="1619">
      <x:c r="A1619" s="8" t="str">
        <x:v>Squamish|Other Tangible Capital Assets</x:v>
      </x:c>
      <x:c r="B1619" s="8" t="str">
        <x:v>squamish-d</x:v>
      </x:c>
      <x:c r="C1619" s="8" t="str">
        <x:v>Squamish</x:v>
      </x:c>
      <x:c r="D1619" s="8" t="str">
        <x:v>Other Tangible Capital Assets</x:v>
      </x:c>
      <x:c r="E1619" s="11" t="n">
        <x:v>17068907</x:v>
      </x:c>
      <x:c r="F1619" s="11" t="n">
        <x:v>11699381</x:v>
      </x:c>
      <x:c r="G1619" s="11" t="n">
        <x:v>5369526</x:v>
      </x:c>
      <x:c r="H1619" s="11" t="n">
        <x:v>471230</x:v>
      </x:c>
      <x:c r="I1619" s="11" t="n">
        <x:v>0</x:v>
      </x:c>
      <x:c r="J1619" s="11" t="n">
        <x:v>0</x:v>
      </x:c>
      <x:c r="K1619" s="12" t="n">
        <x:v>0.31457936937614106</x:v>
      </x:c>
      <x:c r="L1619" s="12"/>
      <x:c r="M1619" s="8" t="str">
        <x:v>N/A</x:v>
      </x:c>
    </x:row>
    <x:row r="1620">
      <x:c r="A1620" s="8" t="str">
        <x:v>Squamish|Work In Progress</x:v>
      </x:c>
      <x:c r="B1620" s="8" t="str">
        <x:v>squamish-d</x:v>
      </x:c>
      <x:c r="C1620" s="8" t="str">
        <x:v>Squamish</x:v>
      </x:c>
      <x:c r="D1620" s="8" t="str">
        <x:v>Work In Progress</x:v>
      </x:c>
      <x:c r="E1620" s="11" t="n">
        <x:v>46016635</x:v>
      </x:c>
      <x:c r="F1620" s="11"/>
      <x:c r="G1620" s="11" t="n">
        <x:v>46016635</x:v>
      </x:c>
      <x:c r="H1620" s="11" t="n">
        <x:v>4774946</x:v>
      </x:c>
      <x:c r="I1620" s="11" t="n">
        <x:v>46016635</x:v>
      </x:c>
      <x:c r="J1620" s="11"/>
      <x:c r="K1620" s="12" t="n">
        <x:v>1</x:v>
      </x:c>
      <x:c r="L1620" s="12"/>
      <x:c r="M1620" s="8" t="str">
        <x:v>N/A</x:v>
      </x:c>
    </x:row>
    <x:row r="1621">
      <x:c r="A1621" s="8" t="str">
        <x:v>Squamish|Total TCA</x:v>
      </x:c>
      <x:c r="B1621" s="8" t="str">
        <x:v>squamish-d</x:v>
      </x:c>
      <x:c r="C1621" s="8" t="str">
        <x:v>Squamish</x:v>
      </x:c>
      <x:c r="D1621" s="8" t="str">
        <x:v>Total TCA</x:v>
      </x:c>
      <x:c r="E1621" s="11" t="n">
        <x:v>600375688</x:v>
      </x:c>
      <x:c r="F1621" s="11" t="n">
        <x:v>175001125</x:v>
      </x:c>
      <x:c r="G1621" s="11" t="n">
        <x:v>425374563</x:v>
      </x:c>
      <x:c r="H1621" s="11" t="n">
        <x:v>68817266</x:v>
      </x:c>
      <x:c r="I1621" s="11" t="n">
        <x:v>997085704</x:v>
      </x:c>
      <x:c r="J1621" s="11" t="n">
        <x:v>16163793</x:v>
      </x:c>
      <x:c r="K1621" s="12" t="n">
        <x:v>0.7085139713385596</x:v>
      </x:c>
      <x:c r="L1621" s="12" t="n">
        <x:v>0.9837889632404156</x:v>
      </x:c>
      <x:c r="M1621" s="8"/>
    </x:row>
    <x:row r="1622">
      <x:c r="A1622" s="8" t="str">
        <x:v>Stewart|Land</x:v>
      </x:c>
      <x:c r="B1622" s="8" t="str">
        <x:v>stewart-d</x:v>
      </x:c>
      <x:c r="C1622" s="8" t="str">
        <x:v>Stewart</x:v>
      </x:c>
      <x:c r="D1622" s="8" t="str">
        <x:v>Land</x:v>
      </x:c>
      <x:c r="E1622" s="11" t="n">
        <x:v>1133958</x:v>
      </x:c>
      <x:c r="F1622" s="11"/>
      <x:c r="G1622" s="11" t="n">
        <x:v>1133958</x:v>
      </x:c>
      <x:c r="H1622" s="11" t="n">
        <x:v>0</x:v>
      </x:c>
      <x:c r="I1622" s="11" t="n">
        <x:v>1133958</x:v>
      </x:c>
      <x:c r="J1622" s="11"/>
      <x:c r="K1622" s="12" t="n">
        <x:v>1</x:v>
      </x:c>
      <x:c r="L1622" s="12"/>
      <x:c r="M1622" s="8" t="str">
        <x:v>N/A</x:v>
      </x:c>
    </x:row>
    <x:row r="1623">
      <x:c r="A1623" s="8" t="str">
        <x:v>Stewart|Buildings</x:v>
      </x:c>
      <x:c r="B1623" s="8" t="str">
        <x:v>stewart-d</x:v>
      </x:c>
      <x:c r="C1623" s="8" t="str">
        <x:v>Stewart</x:v>
      </x:c>
      <x:c r="D1623" s="8" t="str">
        <x:v>Buildings</x:v>
      </x:c>
      <x:c r="E1623" s="11" t="n">
        <x:v>6004817</x:v>
      </x:c>
      <x:c r="F1623" s="11" t="n">
        <x:v>3169140</x:v>
      </x:c>
      <x:c r="G1623" s="11" t="n">
        <x:v>2835677</x:v>
      </x:c>
      <x:c r="H1623" s="11" t="n">
        <x:v>138275</x:v>
      </x:c>
      <x:c r="I1623" s="11" t="n">
        <x:v>8000000</x:v>
      </x:c>
      <x:c r="J1623" s="11" t="n">
        <x:v>153000</x:v>
      </x:c>
      <x:c r="K1623" s="12" t="n">
        <x:v>0.4722337083711294</x:v>
      </x:c>
      <x:c r="L1623" s="12" t="n">
        <x:v>0.980875</x:v>
      </x:c>
      <x:c r="M1623" s="8" t="str">
        <x:v>In_Progress</x:v>
      </x:c>
    </x:row>
    <x:row r="1624">
      <x:c r="A1624" s="8" t="str">
        <x:v>Stewart|Fleet</x:v>
      </x:c>
      <x:c r="B1624" s="8" t="str">
        <x:v>stewart-d</x:v>
      </x:c>
      <x:c r="C1624" s="8" t="str">
        <x:v>Stewart</x:v>
      </x:c>
      <x:c r="D1624" s="8" t="str">
        <x:v>Fleet</x:v>
      </x:c>
      <x:c r="E1624" s="11" t="n">
        <x:v>3425311</x:v>
      </x:c>
      <x:c r="F1624" s="11" t="n">
        <x:v>2202706</x:v>
      </x:c>
      <x:c r="G1624" s="11" t="n">
        <x:v>1222605</x:v>
      </x:c>
      <x:c r="H1624" s="11" t="n">
        <x:v>0</x:v>
      </x:c>
      <x:c r="I1624" s="11" t="n">
        <x:v>5700000</x:v>
      </x:c>
      <x:c r="J1624" s="11" t="n">
        <x:v>233505</x:v>
      </x:c>
      <x:c r="K1624" s="12" t="n">
        <x:v>0.3569325529856997</x:v>
      </x:c>
      <x:c r="L1624" s="12" t="n">
        <x:v>0.9590342105263158</x:v>
      </x:c>
      <x:c r="M1624" s="8" t="str">
        <x:v>In_Progress</x:v>
      </x:c>
    </x:row>
    <x:row r="1625">
      <x:c r="A1625" s="8" t="str">
        <x:v>Stewart|Parks and Recreation</x:v>
      </x:c>
      <x:c r="B1625" s="8" t="str">
        <x:v>stewart-d</x:v>
      </x:c>
      <x:c r="C1625" s="8" t="str">
        <x:v>Stewart</x:v>
      </x:c>
      <x:c r="D1625" s="8" t="str">
        <x:v>Parks and Recreation</x:v>
      </x:c>
      <x:c r="E1625" s="11" t="n">
        <x:v>2570989</x:v>
      </x:c>
      <x:c r="F1625" s="11" t="n">
        <x:v>1354460</x:v>
      </x:c>
      <x:c r="G1625" s="11" t="n">
        <x:v>1216529</x:v>
      </x:c>
      <x:c r="H1625" s="11" t="n">
        <x:v>0</x:v>
      </x:c>
      <x:c r="I1625" s="11" t="n">
        <x:v>2200000</x:v>
      </x:c>
      <x:c r="J1625" s="11" t="n">
        <x:v>55500</x:v>
      </x:c>
      <x:c r="K1625" s="12" t="n">
        <x:v>0.47317549783371304</x:v>
      </x:c>
      <x:c r="L1625" s="12" t="n">
        <x:v>0.9747727272727272</x:v>
      </x:c>
      <x:c r="M1625" s="8" t="str">
        <x:v>In_Progress</x:v>
      </x:c>
    </x:row>
    <x:row r="1626">
      <x:c r="A1626" s="8" t="str">
        <x:v>Stewart|Water System</x:v>
      </x:c>
      <x:c r="B1626" s="8" t="str">
        <x:v>stewart-d</x:v>
      </x:c>
      <x:c r="C1626" s="8" t="str">
        <x:v>Stewart</x:v>
      </x:c>
      <x:c r="D1626" s="8" t="str">
        <x:v>Water System</x:v>
      </x:c>
      <x:c r="E1626" s="11" t="n">
        <x:v>4949932</x:v>
      </x:c>
      <x:c r="F1626" s="11" t="n">
        <x:v>813845</x:v>
      </x:c>
      <x:c r="G1626" s="11" t="n">
        <x:v>4136087</x:v>
      </x:c>
      <x:c r="H1626" s="11" t="n">
        <x:v>37010</x:v>
      </x:c>
      <x:c r="I1626" s="11" t="n">
        <x:v>7800000</x:v>
      </x:c>
      <x:c r="J1626" s="11" t="n">
        <x:v>94000</x:v>
      </x:c>
      <x:c r="K1626" s="12" t="n">
        <x:v>0.8355846100512088</x:v>
      </x:c>
      <x:c r="L1626" s="12" t="n">
        <x:v>0.987948717948718</x:v>
      </x:c>
      <x:c r="M1626" s="8" t="str">
        <x:v>Yes</x:v>
      </x:c>
    </x:row>
    <x:row r="1627">
      <x:c r="A1627" s="8" t="str">
        <x:v>Stewart|Sewer System</x:v>
      </x:c>
      <x:c r="B1627" s="8" t="str">
        <x:v>stewart-d</x:v>
      </x:c>
      <x:c r="C1627" s="8" t="str">
        <x:v>Stewart</x:v>
      </x:c>
      <x:c r="D1627" s="8" t="str">
        <x:v>Sewer System</x:v>
      </x:c>
      <x:c r="E1627" s="11" t="n">
        <x:v>497365</x:v>
      </x:c>
      <x:c r="F1627" s="11" t="n">
        <x:v>303059</x:v>
      </x:c>
      <x:c r="G1627" s="11" t="n">
        <x:v>194306</x:v>
      </x:c>
      <x:c r="H1627" s="11" t="n">
        <x:v>71356</x:v>
      </x:c>
      <x:c r="I1627" s="11" t="n">
        <x:v>5200000</x:v>
      </x:c>
      <x:c r="J1627" s="11" t="n">
        <x:v>16000</x:v>
      </x:c>
      <x:c r="K1627" s="12" t="n">
        <x:v>0.3906708353020418</x:v>
      </x:c>
      <x:c r="L1627" s="12" t="n">
        <x:v>0.9969230769230769</x:v>
      </x:c>
      <x:c r="M1627" s="8" t="str">
        <x:v>Yes</x:v>
      </x:c>
    </x:row>
    <x:row r="1628">
      <x:c r="A1628" s="8" t="str">
        <x:v>Stewart|Drainage System</x:v>
      </x:c>
      <x:c r="B1628" s="8" t="str">
        <x:v>stewart-d</x:v>
      </x:c>
      <x:c r="C1628" s="8" t="str">
        <x:v>Stewart</x:v>
      </x:c>
      <x:c r="D1628" s="8" t="str">
        <x:v>Drainage System</x:v>
      </x:c>
      <x:c r="E1628" s="11" t="n">
        <x:v>634799</x:v>
      </x:c>
      <x:c r="F1628" s="11" t="n">
        <x:v>251117</x:v>
      </x:c>
      <x:c r="G1628" s="11" t="n">
        <x:v>383682</x:v>
      </x:c>
      <x:c r="H1628" s="11" t="n">
        <x:v>0</x:v>
      </x:c>
      <x:c r="I1628" s="11" t="n">
        <x:v>1500000</x:v>
      </x:c>
      <x:c r="J1628" s="11" t="n">
        <x:v>1100</x:v>
      </x:c>
      <x:c r="K1628" s="12" t="n">
        <x:v>0.6044149407922823</x:v>
      </x:c>
      <x:c r="L1628" s="12" t="n">
        <x:v>0.9992666666666666</x:v>
      </x:c>
      <x:c r="M1628" s="8" t="str">
        <x:v>In_Progress</x:v>
      </x:c>
    </x:row>
    <x:row r="1629">
      <x:c r="A1629" s="8" t="str">
        <x:v>Stewart|Transportation System</x:v>
      </x:c>
      <x:c r="B1629" s="8" t="str">
        <x:v>stewart-d</x:v>
      </x:c>
      <x:c r="C1629" s="8" t="str">
        <x:v>Stewart</x:v>
      </x:c>
      <x:c r="D1629" s="8" t="str">
        <x:v>Transportation System</x:v>
      </x:c>
      <x:c r="E1629" s="11" t="n">
        <x:v>5971958</x:v>
      </x:c>
      <x:c r="F1629" s="11" t="n">
        <x:v>2492280</x:v>
      </x:c>
      <x:c r="G1629" s="11" t="n">
        <x:v>3479678</x:v>
      </x:c>
      <x:c r="H1629" s="11" t="n">
        <x:v>286321</x:v>
      </x:c>
      <x:c r="I1629" s="11" t="n">
        <x:v>7400000</x:v>
      </x:c>
      <x:c r="J1629" s="11" t="n">
        <x:v>120000</x:v>
      </x:c>
      <x:c r="K1629" s="12" t="n">
        <x:v>0.582669536523867</x:v>
      </x:c>
      <x:c r="L1629" s="12" t="n">
        <x:v>0.9837837837837837</x:v>
      </x:c>
      <x:c r="M1629" s="8" t="str">
        <x:v>In_Progress</x:v>
      </x:c>
    </x:row>
    <x:row r="1630">
      <x:c r="A1630" s="8" t="str">
        <x:v>Stewart|Other Engineering Systems</x:v>
      </x:c>
      <x:c r="B1630" s="8" t="str">
        <x:v>stewart-d</x:v>
      </x:c>
      <x:c r="C1630" s="8" t="str">
        <x:v>Stewart</x:v>
      </x:c>
      <x:c r="D1630" s="8" t="str">
        <x:v>Other Engineering Systems</x:v>
      </x:c>
      <x:c r="E1630" s="11" t="n">
        <x:v>0</x:v>
      </x:c>
      <x:c r="F1630" s="11" t="n">
        <x:v>0</x:v>
      </x:c>
      <x:c r="G1630" s="11" t="n">
        <x:v>0</x:v>
      </x:c>
      <x:c r="H1630" s="11" t="n">
        <x:v>0</x:v>
      </x:c>
      <x:c r="I1630" s="11" t="n">
        <x:v>0</x:v>
      </x:c>
      <x:c r="J1630" s="11" t="n">
        <x:v>0</x:v>
      </x:c>
      <x:c r="K1630" s="12"/>
      <x:c r="L1630" s="12"/>
      <x:c r="M1630" s="8"/>
    </x:row>
    <x:row r="1631">
      <x:c r="A1631" s="8" t="str">
        <x:v>Stewart|Other Tangible Capital Assets</x:v>
      </x:c>
      <x:c r="B1631" s="8" t="str">
        <x:v>stewart-d</x:v>
      </x:c>
      <x:c r="C1631" s="8" t="str">
        <x:v>Stewart</x:v>
      </x:c>
      <x:c r="D1631" s="8" t="str">
        <x:v>Other Tangible Capital Assets</x:v>
      </x:c>
      <x:c r="E1631" s="11" t="n">
        <x:v>1349288</x:v>
      </x:c>
      <x:c r="F1631" s="11" t="n">
        <x:v>938980</x:v>
      </x:c>
      <x:c r="G1631" s="11" t="n">
        <x:v>410308</x:v>
      </x:c>
      <x:c r="H1631" s="11" t="n">
        <x:v>179519</x:v>
      </x:c>
      <x:c r="I1631" s="11" t="n">
        <x:v>1200000</x:v>
      </x:c>
      <x:c r="J1631" s="11" t="n">
        <x:v>70000</x:v>
      </x:c>
      <x:c r="K1631" s="12" t="n">
        <x:v>0.3040922323477271</x:v>
      </x:c>
      <x:c r="L1631" s="12" t="n">
        <x:v>0.9416666666666667</x:v>
      </x:c>
      <x:c r="M1631" s="8" t="str">
        <x:v>N/A</x:v>
      </x:c>
    </x:row>
    <x:row r="1632">
      <x:c r="A1632" s="8" t="str">
        <x:v>Stewart|Work In Progress</x:v>
      </x:c>
      <x:c r="B1632" s="8" t="str">
        <x:v>stewart-d</x:v>
      </x:c>
      <x:c r="C1632" s="8" t="str">
        <x:v>Stewart</x:v>
      </x:c>
      <x:c r="D1632" s="8" t="str">
        <x:v>Work In Progress</x:v>
      </x:c>
      <x:c r="E1632" s="11" t="n">
        <x:v>0</x:v>
      </x:c>
      <x:c r="F1632" s="11"/>
      <x:c r="G1632" s="11" t="n">
        <x:v>0</x:v>
      </x:c>
      <x:c r="H1632" s="11" t="n">
        <x:v>0</x:v>
      </x:c>
      <x:c r="I1632" s="11" t="n">
        <x:v>0</x:v>
      </x:c>
      <x:c r="J1632" s="11"/>
      <x:c r="K1632" s="12"/>
      <x:c r="L1632" s="12"/>
      <x:c r="M1632" s="8" t="str">
        <x:v>N/A</x:v>
      </x:c>
    </x:row>
    <x:row r="1633">
      <x:c r="A1633" s="8" t="str">
        <x:v>Stewart|Total TCA</x:v>
      </x:c>
      <x:c r="B1633" s="8" t="str">
        <x:v>stewart-d</x:v>
      </x:c>
      <x:c r="C1633" s="8" t="str">
        <x:v>Stewart</x:v>
      </x:c>
      <x:c r="D1633" s="8" t="str">
        <x:v>Total TCA</x:v>
      </x:c>
      <x:c r="E1633" s="11" t="n">
        <x:v>26538417</x:v>
      </x:c>
      <x:c r="F1633" s="11" t="n">
        <x:v>11525587</x:v>
      </x:c>
      <x:c r="G1633" s="11" t="n">
        <x:v>15012830</x:v>
      </x:c>
      <x:c r="H1633" s="11" t="n">
        <x:v>712481</x:v>
      </x:c>
      <x:c r="I1633" s="11" t="n">
        <x:v>40133958</x:v>
      </x:c>
      <x:c r="J1633" s="11" t="n">
        <x:v>743105</x:v>
      </x:c>
      <x:c r="K1633" s="12" t="n">
        <x:v>0.5657017899748881</x:v>
      </x:c>
      <x:c r="L1633" s="12" t="n">
        <x:v>0.9814843828759675</x:v>
      </x:c>
      <x:c r="M1633" s="8"/>
    </x:row>
    <x:row r="1634">
      <x:c r="A1634" s="8" t="str">
        <x:v>Summerland|Land</x:v>
      </x:c>
      <x:c r="B1634" s="8" t="str">
        <x:v>summerland-d</x:v>
      </x:c>
      <x:c r="C1634" s="8" t="str">
        <x:v>Summerland</x:v>
      </x:c>
      <x:c r="D1634" s="8" t="str">
        <x:v>Land</x:v>
      </x:c>
      <x:c r="E1634" s="11" t="n">
        <x:v>15711429</x:v>
      </x:c>
      <x:c r="F1634" s="11"/>
      <x:c r="G1634" s="11" t="n">
        <x:v>15711429</x:v>
      </x:c>
      <x:c r="H1634" s="11" t="n">
        <x:v>0</x:v>
      </x:c>
      <x:c r="I1634" s="11" t="n">
        <x:v>15711429</x:v>
      </x:c>
      <x:c r="J1634" s="11"/>
      <x:c r="K1634" s="12" t="n">
        <x:v>1</x:v>
      </x:c>
      <x:c r="L1634" s="12"/>
      <x:c r="M1634" s="8" t="str">
        <x:v>N/A</x:v>
      </x:c>
    </x:row>
    <x:row r="1635">
      <x:c r="A1635" s="8" t="str">
        <x:v>Summerland|Buildings</x:v>
      </x:c>
      <x:c r="B1635" s="8" t="str">
        <x:v>summerland-d</x:v>
      </x:c>
      <x:c r="C1635" s="8" t="str">
        <x:v>Summerland</x:v>
      </x:c>
      <x:c r="D1635" s="8" t="str">
        <x:v>Buildings</x:v>
      </x:c>
      <x:c r="E1635" s="11" t="n">
        <x:v>15457951</x:v>
      </x:c>
      <x:c r="F1635" s="11" t="n">
        <x:v>8569161</x:v>
      </x:c>
      <x:c r="G1635" s="11" t="n">
        <x:v>6888790</x:v>
      </x:c>
      <x:c r="H1635" s="11" t="n">
        <x:v>398812</x:v>
      </x:c>
      <x:c r="I1635" s="11" t="n">
        <x:v>41121530</x:v>
      </x:c>
      <x:c r="J1635" s="11" t="n">
        <x:v>913812</x:v>
      </x:c>
      <x:c r="K1635" s="12" t="n">
        <x:v>0.44564703303820796</x:v>
      </x:c>
      <x:c r="L1635" s="12" t="n">
        <x:v>0.977777772373742</x:v>
      </x:c>
      <x:c r="M1635" s="8" t="str">
        <x:v>Yes</x:v>
      </x:c>
    </x:row>
    <x:row r="1636">
      <x:c r="A1636" s="8" t="str">
        <x:v>Summerland|Fleet</x:v>
      </x:c>
      <x:c r="B1636" s="8" t="str">
        <x:v>summerland-d</x:v>
      </x:c>
      <x:c r="C1636" s="8" t="str">
        <x:v>Summerland</x:v>
      </x:c>
      <x:c r="D1636" s="8" t="str">
        <x:v>Fleet</x:v>
      </x:c>
      <x:c r="E1636" s="11" t="n">
        <x:v>13264781</x:v>
      </x:c>
      <x:c r="F1636" s="11" t="n">
        <x:v>5158897</x:v>
      </x:c>
      <x:c r="G1636" s="11" t="n">
        <x:v>8105884</x:v>
      </x:c>
      <x:c r="H1636" s="11" t="n">
        <x:v>1782662</x:v>
      </x:c>
      <x:c r="I1636" s="11" t="n">
        <x:v>16035458</x:v>
      </x:c>
      <x:c r="J1636" s="11" t="n">
        <x:v>697194</x:v>
      </x:c>
      <x:c r="K1636" s="12" t="n">
        <x:v>0.6110831381234262</x:v>
      </x:c>
      <x:c r="L1636" s="12" t="n">
        <x:v>0.9565217282849046</x:v>
      </x:c>
      <x:c r="M1636" s="8" t="str">
        <x:v>Yes</x:v>
      </x:c>
    </x:row>
    <x:row r="1637">
      <x:c r="A1637" s="8" t="str">
        <x:v>Summerland|Parks and Recreation</x:v>
      </x:c>
      <x:c r="B1637" s="8" t="str">
        <x:v>summerland-d</x:v>
      </x:c>
      <x:c r="C1637" s="8" t="str">
        <x:v>Summerland</x:v>
      </x:c>
      <x:c r="D1637" s="8" t="str">
        <x:v>Parks and Recreation</x:v>
      </x:c>
      <x:c r="E1637" s="11" t="n">
        <x:v>14899003</x:v>
      </x:c>
      <x:c r="F1637" s="11" t="n">
        <x:v>1096231</x:v>
      </x:c>
      <x:c r="G1637" s="11" t="n">
        <x:v>13802772</x:v>
      </x:c>
      <x:c r="H1637" s="11" t="n">
        <x:v>928270</x:v>
      </x:c>
      <x:c r="I1637" s="11" t="n">
        <x:v>37633971</x:v>
      </x:c>
      <x:c r="J1637" s="11" t="n">
        <x:v>1176062</x:v>
      </x:c>
      <x:c r="K1637" s="12" t="n">
        <x:v>0.926422526393209</x:v>
      </x:c>
      <x:c r="L1637" s="12" t="n">
        <x:v>0.9687499892052316</x:v>
      </x:c>
      <x:c r="M1637" s="8" t="str">
        <x:v>Yes</x:v>
      </x:c>
    </x:row>
    <x:row r="1638">
      <x:c r="A1638" s="8" t="str">
        <x:v>Summerland|Water System</x:v>
      </x:c>
      <x:c r="B1638" s="8" t="str">
        <x:v>summerland-d</x:v>
      </x:c>
      <x:c r="C1638" s="8" t="str">
        <x:v>Summerland</x:v>
      </x:c>
      <x:c r="D1638" s="8" t="str">
        <x:v>Water System</x:v>
      </x:c>
      <x:c r="E1638" s="11" t="n">
        <x:v>64884995</x:v>
      </x:c>
      <x:c r="F1638" s="11" t="n">
        <x:v>21986821</x:v>
      </x:c>
      <x:c r="G1638" s="11" t="n">
        <x:v>42898174</x:v>
      </x:c>
      <x:c r="H1638" s="11" t="n">
        <x:v>4532246</x:v>
      </x:c>
      <x:c r="I1638" s="11" t="n">
        <x:v>199360473</x:v>
      </x:c>
      <x:c r="J1638" s="11" t="n">
        <x:v>3384935</x:v>
      </x:c>
      <x:c r="K1638" s="12" t="n">
        <x:v>0.6611416707360461</x:v>
      </x:c>
      <x:c r="L1638" s="12" t="n">
        <x:v>0.9830210324591274</x:v>
      </x:c>
      <x:c r="M1638" s="8" t="str">
        <x:v>Yes</x:v>
      </x:c>
    </x:row>
    <x:row r="1639">
      <x:c r="A1639" s="8" t="str">
        <x:v>Summerland|Sewer System</x:v>
      </x:c>
      <x:c r="B1639" s="8" t="str">
        <x:v>summerland-d</x:v>
      </x:c>
      <x:c r="C1639" s="8" t="str">
        <x:v>Summerland</x:v>
      </x:c>
      <x:c r="D1639" s="8" t="str">
        <x:v>Sewer System</x:v>
      </x:c>
      <x:c r="E1639" s="11" t="n">
        <x:v>40522167</x:v>
      </x:c>
      <x:c r="F1639" s="11" t="n">
        <x:v>19193083</x:v>
      </x:c>
      <x:c r="G1639" s="11" t="n">
        <x:v>21329084</x:v>
      </x:c>
      <x:c r="H1639" s="11" t="n">
        <x:v>314101</x:v>
      </x:c>
      <x:c r="I1639" s="11" t="n">
        <x:v>48186959</x:v>
      </x:c>
      <x:c r="J1639" s="11" t="n">
        <x:v>757058</x:v>
      </x:c>
      <x:c r="K1639" s="12" t="n">
        <x:v>0.5263559572221298</x:v>
      </x:c>
      <x:c r="L1639" s="12" t="n">
        <x:v>0.9842891517599192</x:v>
      </x:c>
      <x:c r="M1639" s="8" t="str">
        <x:v>Yes</x:v>
      </x:c>
    </x:row>
    <x:row r="1640">
      <x:c r="A1640" s="8" t="str">
        <x:v>Summerland|Drainage System</x:v>
      </x:c>
      <x:c r="B1640" s="8" t="str">
        <x:v>summerland-d</x:v>
      </x:c>
      <x:c r="C1640" s="8" t="str">
        <x:v>Summerland</x:v>
      </x:c>
      <x:c r="D1640" s="8" t="str">
        <x:v>Drainage System</x:v>
      </x:c>
      <x:c r="E1640" s="11" t="n">
        <x:v>0</x:v>
      </x:c>
      <x:c r="F1640" s="11" t="n">
        <x:v>0</x:v>
      </x:c>
      <x:c r="G1640" s="11" t="n">
        <x:v>0</x:v>
      </x:c>
      <x:c r="H1640" s="11" t="n">
        <x:v>0</x:v>
      </x:c>
      <x:c r="I1640" s="11" t="n">
        <x:v>0</x:v>
      </x:c>
      <x:c r="J1640" s="11" t="n">
        <x:v>0</x:v>
      </x:c>
      <x:c r="K1640" s="12"/>
      <x:c r="L1640" s="12"/>
      <x:c r="M1640" s="8"/>
    </x:row>
    <x:row r="1641">
      <x:c r="A1641" s="8" t="str">
        <x:v>Summerland|Transportation System</x:v>
      </x:c>
      <x:c r="B1641" s="8" t="str">
        <x:v>summerland-d</x:v>
      </x:c>
      <x:c r="C1641" s="8" t="str">
        <x:v>Summerland</x:v>
      </x:c>
      <x:c r="D1641" s="8" t="str">
        <x:v>Transportation System</x:v>
      </x:c>
      <x:c r="E1641" s="11" t="n">
        <x:v>43154984</x:v>
      </x:c>
      <x:c r="F1641" s="11" t="n">
        <x:v>26764886</x:v>
      </x:c>
      <x:c r="G1641" s="11" t="n">
        <x:v>16390098</x:v>
      </x:c>
      <x:c r="H1641" s="11" t="n">
        <x:v>5398727</x:v>
      </x:c>
      <x:c r="I1641" s="11" t="n">
        <x:v>89953002</x:v>
      </x:c>
      <x:c r="J1641" s="11" t="n">
        <x:v>974556</x:v>
      </x:c>
      <x:c r="K1641" s="12" t="n">
        <x:v>0.3797961783510336</x:v>
      </x:c>
      <x:c r="L1641" s="12" t="n">
        <x:v>0.9891659424551501</x:v>
      </x:c>
      <x:c r="M1641" s="8" t="str">
        <x:v>Yes</x:v>
      </x:c>
    </x:row>
    <x:row r="1642">
      <x:c r="A1642" s="8" t="str">
        <x:v>Summerland|Other Engineering Systems</x:v>
      </x:c>
      <x:c r="B1642" s="8" t="str">
        <x:v>summerland-d</x:v>
      </x:c>
      <x:c r="C1642" s="8" t="str">
        <x:v>Summerland</x:v>
      </x:c>
      <x:c r="D1642" s="8" t="str">
        <x:v>Other Engineering Systems</x:v>
      </x:c>
      <x:c r="E1642" s="11" t="n">
        <x:v>23617446</x:v>
      </x:c>
      <x:c r="F1642" s="11" t="n">
        <x:v>4331598</x:v>
      </x:c>
      <x:c r="G1642" s="11" t="n">
        <x:v>19285848</x:v>
      </x:c>
      <x:c r="H1642" s="11" t="n">
        <x:v>7611235</x:v>
      </x:c>
      <x:c r="I1642" s="11" t="n">
        <x:v>93765999</x:v>
      </x:c>
      <x:c r="J1642" s="11" t="n">
        <x:v>1704836</x:v>
      </x:c>
      <x:c r="K1642" s="12" t="n">
        <x:v>0.8165932929411588</x:v>
      </x:c>
      <x:c r="L1642" s="12" t="n">
        <x:v>0.9818181855024015</x:v>
      </x:c>
      <x:c r="M1642" s="8" t="str">
        <x:v>Yes</x:v>
      </x:c>
    </x:row>
    <x:row r="1643">
      <x:c r="A1643" s="8" t="str">
        <x:v>Summerland|Other Tangible Capital Assets</x:v>
      </x:c>
      <x:c r="B1643" s="8" t="str">
        <x:v>summerland-d</x:v>
      </x:c>
      <x:c r="C1643" s="8" t="str">
        <x:v>Summerland</x:v>
      </x:c>
      <x:c r="D1643" s="8" t="str">
        <x:v>Other Tangible Capital Assets</x:v>
      </x:c>
      <x:c r="E1643" s="11" t="n">
        <x:v>11754495</x:v>
      </x:c>
      <x:c r="F1643" s="11" t="n">
        <x:v>4954628</x:v>
      </x:c>
      <x:c r="G1643" s="11" t="n">
        <x:v>6799867</x:v>
      </x:c>
      <x:c r="H1643" s="11" t="n">
        <x:v>2203779</x:v>
      </x:c>
      <x:c r="I1643" s="11" t="n">
        <x:v>16318570</x:v>
      </x:c>
      <x:c r="J1643" s="11" t="n">
        <x:v>388537</x:v>
      </x:c>
      <x:c r="K1643" s="12" t="n">
        <x:v>0.5784907816116303</x:v>
      </x:c>
      <x:c r="L1643" s="12" t="n">
        <x:v>0.9761904995351921</x:v>
      </x:c>
      <x:c r="M1643" s="8" t="str">
        <x:v>N/A</x:v>
      </x:c>
    </x:row>
    <x:row r="1644">
      <x:c r="A1644" s="8" t="str">
        <x:v>Summerland|Work In Progress</x:v>
      </x:c>
      <x:c r="B1644" s="8" t="str">
        <x:v>summerland-d</x:v>
      </x:c>
      <x:c r="C1644" s="8" t="str">
        <x:v>Summerland</x:v>
      </x:c>
      <x:c r="D1644" s="8" t="str">
        <x:v>Work In Progress</x:v>
      </x:c>
      <x:c r="E1644" s="11" t="n">
        <x:v>8926340</x:v>
      </x:c>
      <x:c r="F1644" s="11"/>
      <x:c r="G1644" s="11" t="n">
        <x:v>8926340</x:v>
      </x:c>
      <x:c r="H1644" s="11" t="n">
        <x:v>-8881881</x:v>
      </x:c>
      <x:c r="I1644" s="11" t="n">
        <x:v>8926340</x:v>
      </x:c>
      <x:c r="J1644" s="11"/>
      <x:c r="K1644" s="12" t="n">
        <x:v>1</x:v>
      </x:c>
      <x:c r="L1644" s="12"/>
      <x:c r="M1644" s="8" t="str">
        <x:v>N/A</x:v>
      </x:c>
    </x:row>
    <x:row r="1645">
      <x:c r="A1645" s="8" t="str">
        <x:v>Summerland|Total TCA</x:v>
      </x:c>
      <x:c r="B1645" s="8" t="str">
        <x:v>summerland-d</x:v>
      </x:c>
      <x:c r="C1645" s="8" t="str">
        <x:v>Summerland</x:v>
      </x:c>
      <x:c r="D1645" s="8" t="str">
        <x:v>Total TCA</x:v>
      </x:c>
      <x:c r="E1645" s="11" t="n">
        <x:v>252193591</x:v>
      </x:c>
      <x:c r="F1645" s="11" t="n">
        <x:v>92055305</x:v>
      </x:c>
      <x:c r="G1645" s="11" t="n">
        <x:v>160138286</x:v>
      </x:c>
      <x:c r="H1645" s="11" t="n">
        <x:v>14287951</x:v>
      </x:c>
      <x:c r="I1645" s="11" t="n">
        <x:v>567013731</x:v>
      </x:c>
      <x:c r="J1645" s="11" t="n">
        <x:v>9996990</x:v>
      </x:c>
      <x:c r="K1645" s="12" t="n">
        <x:v>0.6349815844447847</x:v>
      </x:c>
      <x:c r="L1645" s="12" t="n">
        <x:v>0.9823690513060962</x:v>
      </x:c>
      <x:c r="M1645" s="8"/>
    </x:row>
    <x:row r="1646">
      <x:c r="A1646" s="8" t="str">
        <x:v>Sun Peaks|Land</x:v>
      </x:c>
      <x:c r="B1646" s="8" t="str">
        <x:v>sun-peaks-v</x:v>
      </x:c>
      <x:c r="C1646" s="8" t="str">
        <x:v>Sun Peaks</x:v>
      </x:c>
      <x:c r="D1646" s="8" t="str">
        <x:v>Land</x:v>
      </x:c>
      <x:c r="E1646" s="11" t="n">
        <x:v>6486897</x:v>
      </x:c>
      <x:c r="F1646" s="11"/>
      <x:c r="G1646" s="11" t="n">
        <x:v>6486897</x:v>
      </x:c>
      <x:c r="H1646" s="11" t="n">
        <x:v>100273</x:v>
      </x:c>
      <x:c r="I1646" s="11" t="n">
        <x:v>6486897</x:v>
      </x:c>
      <x:c r="J1646" s="11"/>
      <x:c r="K1646" s="12" t="n">
        <x:v>1</x:v>
      </x:c>
      <x:c r="L1646" s="12"/>
      <x:c r="M1646" s="8" t="str">
        <x:v>N/A</x:v>
      </x:c>
    </x:row>
    <x:row r="1647">
      <x:c r="A1647" s="8" t="str">
        <x:v>Sun Peaks|Buildings</x:v>
      </x:c>
      <x:c r="B1647" s="8" t="str">
        <x:v>sun-peaks-v</x:v>
      </x:c>
      <x:c r="C1647" s="8" t="str">
        <x:v>Sun Peaks</x:v>
      </x:c>
      <x:c r="D1647" s="8" t="str">
        <x:v>Buildings</x:v>
      </x:c>
      <x:c r="E1647" s="11" t="n">
        <x:v>19968611</x:v>
      </x:c>
      <x:c r="F1647" s="11" t="n">
        <x:v>3781390</x:v>
      </x:c>
      <x:c r="G1647" s="11" t="n">
        <x:v>16187221</x:v>
      </x:c>
      <x:c r="H1647" s="11" t="n">
        <x:v>37871</x:v>
      </x:c>
      <x:c r="I1647" s="11" t="n">
        <x:v>22023145</x:v>
      </x:c>
      <x:c r="J1647" s="11" t="n">
        <x:v>22023145</x:v>
      </x:c>
      <x:c r="K1647" s="12" t="n">
        <x:v>0.8106332984302214</x:v>
      </x:c>
      <x:c r="L1647" s="12" t="n">
        <x:v>0</x:v>
      </x:c>
      <x:c r="M1647" s="8" t="str">
        <x:v>Yes</x:v>
      </x:c>
    </x:row>
    <x:row r="1648">
      <x:c r="A1648" s="8" t="str">
        <x:v>Sun Peaks|Fleet</x:v>
      </x:c>
      <x:c r="B1648" s="8" t="str">
        <x:v>sun-peaks-v</x:v>
      </x:c>
      <x:c r="C1648" s="8" t="str">
        <x:v>Sun Peaks</x:v>
      </x:c>
      <x:c r="D1648" s="8" t="str">
        <x:v>Fleet</x:v>
      </x:c>
      <x:c r="E1648" s="11" t="n">
        <x:v>1523359</x:v>
      </x:c>
      <x:c r="F1648" s="11" t="n">
        <x:v>740702</x:v>
      </x:c>
      <x:c r="G1648" s="11" t="n">
        <x:v>782657</x:v>
      </x:c>
      <x:c r="H1648" s="11" t="n">
        <x:v>354213</x:v>
      </x:c>
      <x:c r="I1648" s="11" t="n">
        <x:v>6852391</x:v>
      </x:c>
      <x:c r="J1648" s="11" t="n">
        <x:v>6852391</x:v>
      </x:c>
      <x:c r="K1648" s="12" t="n">
        <x:v>0.5137705557258663</x:v>
      </x:c>
      <x:c r="L1648" s="12" t="n">
        <x:v>0</x:v>
      </x:c>
      <x:c r="M1648" s="8" t="str">
        <x:v>Yes</x:v>
      </x:c>
    </x:row>
    <x:row r="1649">
      <x:c r="A1649" s="8" t="str">
        <x:v>Sun Peaks|Parks and Recreation</x:v>
      </x:c>
      <x:c r="B1649" s="8" t="str">
        <x:v>sun-peaks-v</x:v>
      </x:c>
      <x:c r="C1649" s="8" t="str">
        <x:v>Sun Peaks</x:v>
      </x:c>
      <x:c r="D1649" s="8" t="str">
        <x:v>Parks and Recreation</x:v>
      </x:c>
      <x:c r="E1649" s="11" t="n">
        <x:v>2309299</x:v>
      </x:c>
      <x:c r="F1649" s="11" t="n">
        <x:v>674727</x:v>
      </x:c>
      <x:c r="G1649" s="11" t="n">
        <x:v>1634572</x:v>
      </x:c>
      <x:c r="H1649" s="11" t="n">
        <x:v>111094</x:v>
      </x:c>
      <x:c r="I1649" s="11" t="n">
        <x:v>2505849</x:v>
      </x:c>
      <x:c r="J1649" s="11" t="n">
        <x:v>2505849</x:v>
      </x:c>
      <x:c r="K1649" s="12" t="n">
        <x:v>0.7078217242548497</x:v>
      </x:c>
      <x:c r="L1649" s="12" t="n">
        <x:v>0</x:v>
      </x:c>
      <x:c r="M1649" s="8" t="str">
        <x:v>No</x:v>
      </x:c>
    </x:row>
    <x:row r="1650">
      <x:c r="A1650" s="8" t="str">
        <x:v>Sun Peaks|Water System</x:v>
      </x:c>
      <x:c r="B1650" s="8" t="str">
        <x:v>sun-peaks-v</x:v>
      </x:c>
      <x:c r="C1650" s="8" t="str">
        <x:v>Sun Peaks</x:v>
      </x:c>
      <x:c r="D1650" s="8" t="str">
        <x:v>Water System</x:v>
      </x:c>
      <x:c r="E1650" s="11" t="n">
        <x:v>21860114</x:v>
      </x:c>
      <x:c r="F1650" s="11" t="n">
        <x:v>4186042</x:v>
      </x:c>
      <x:c r="G1650" s="11" t="n">
        <x:v>17674072</x:v>
      </x:c>
      <x:c r="H1650" s="11" t="n">
        <x:v>678596</x:v>
      </x:c>
      <x:c r="I1650" s="11" t="n">
        <x:v>17048586</x:v>
      </x:c>
      <x:c r="J1650" s="11" t="n">
        <x:v>29090902</x:v>
      </x:c>
      <x:c r="K1650" s="12" t="n">
        <x:v>0.8085077689896768</x:v>
      </x:c>
      <x:c r="L1650" s="12" t="n">
        <x:v>-0.7063527731859991</x:v>
      </x:c>
      <x:c r="M1650" s="8" t="str">
        <x:v>Yes</x:v>
      </x:c>
    </x:row>
    <x:row r="1651">
      <x:c r="A1651" s="8" t="str">
        <x:v>Sun Peaks|Sewer System</x:v>
      </x:c>
      <x:c r="B1651" s="8" t="str">
        <x:v>sun-peaks-v</x:v>
      </x:c>
      <x:c r="C1651" s="8" t="str">
        <x:v>Sun Peaks</x:v>
      </x:c>
      <x:c r="D1651" s="8" t="str">
        <x:v>Sewer System</x:v>
      </x:c>
      <x:c r="E1651" s="11" t="n">
        <x:v>14954937</x:v>
      </x:c>
      <x:c r="F1651" s="11" t="n">
        <x:v>3342826</x:v>
      </x:c>
      <x:c r="G1651" s="11" t="n">
        <x:v>11612111</x:v>
      </x:c>
      <x:c r="H1651" s="11" t="n">
        <x:v>219186</x:v>
      </x:c>
      <x:c r="I1651" s="11" t="n">
        <x:v>22578577</x:v>
      </x:c>
      <x:c r="J1651" s="11" t="n">
        <x:v>22578577</x:v>
      </x:c>
      <x:c r="K1651" s="12" t="n">
        <x:v>0.7764734147659733</x:v>
      </x:c>
      <x:c r="L1651" s="12" t="n">
        <x:v>0</x:v>
      </x:c>
      <x:c r="M1651" s="8" t="str">
        <x:v>Yes</x:v>
      </x:c>
    </x:row>
    <x:row r="1652">
      <x:c r="A1652" s="8" t="str">
        <x:v>Sun Peaks|Drainage System</x:v>
      </x:c>
      <x:c r="B1652" s="8" t="str">
        <x:v>sun-peaks-v</x:v>
      </x:c>
      <x:c r="C1652" s="8" t="str">
        <x:v>Sun Peaks</x:v>
      </x:c>
      <x:c r="D1652" s="8" t="str">
        <x:v>Drainage System</x:v>
      </x:c>
      <x:c r="E1652" s="11" t="n">
        <x:v>5028076</x:v>
      </x:c>
      <x:c r="F1652" s="11" t="n">
        <x:v>961056</x:v>
      </x:c>
      <x:c r="G1652" s="11" t="n">
        <x:v>4067020</x:v>
      </x:c>
      <x:c r="H1652" s="11" t="n">
        <x:v>0</x:v>
      </x:c>
      <x:c r="I1652" s="11" t="n">
        <x:v>7948011</x:v>
      </x:c>
      <x:c r="J1652" s="11" t="n">
        <x:v>7948011</x:v>
      </x:c>
      <x:c r="K1652" s="12" t="n">
        <x:v>0.8088620776615151</x:v>
      </x:c>
      <x:c r="L1652" s="12" t="n">
        <x:v>0</x:v>
      </x:c>
      <x:c r="M1652" s="8" t="str">
        <x:v>Yes</x:v>
      </x:c>
    </x:row>
    <x:row r="1653">
      <x:c r="A1653" s="8" t="str">
        <x:v>Sun Peaks|Transportation System</x:v>
      </x:c>
      <x:c r="B1653" s="8" t="str">
        <x:v>sun-peaks-v</x:v>
      </x:c>
      <x:c r="C1653" s="8" t="str">
        <x:v>Sun Peaks</x:v>
      </x:c>
      <x:c r="D1653" s="8" t="str">
        <x:v>Transportation System</x:v>
      </x:c>
      <x:c r="E1653" s="11" t="n">
        <x:v>4810339</x:v>
      </x:c>
      <x:c r="F1653" s="11" t="n">
        <x:v>2118016</x:v>
      </x:c>
      <x:c r="G1653" s="11" t="n">
        <x:v>2692323</x:v>
      </x:c>
      <x:c r="H1653" s="11" t="n">
        <x:v>205164</x:v>
      </x:c>
      <x:c r="I1653" s="11" t="n">
        <x:v>6296724</x:v>
      </x:c>
      <x:c r="J1653" s="11" t="n">
        <x:v>6296724</x:v>
      </x:c>
      <x:c r="K1653" s="12" t="n">
        <x:v>0.559695065150294</x:v>
      </x:c>
      <x:c r="L1653" s="12" t="n">
        <x:v>0</x:v>
      </x:c>
      <x:c r="M1653" s="8" t="str">
        <x:v>Yes</x:v>
      </x:c>
    </x:row>
    <x:row r="1654">
      <x:c r="A1654" s="8" t="str">
        <x:v>Sun Peaks|Other Engineering Systems</x:v>
      </x:c>
      <x:c r="B1654" s="8" t="str">
        <x:v>sun-peaks-v</x:v>
      </x:c>
      <x:c r="C1654" s="8" t="str">
        <x:v>Sun Peaks</x:v>
      </x:c>
      <x:c r="D1654" s="8" t="str">
        <x:v>Other Engineering Systems</x:v>
      </x:c>
      <x:c r="E1654" s="11" t="n">
        <x:v>0</x:v>
      </x:c>
      <x:c r="F1654" s="11" t="n">
        <x:v>0</x:v>
      </x:c>
      <x:c r="G1654" s="11" t="n">
        <x:v>0</x:v>
      </x:c>
      <x:c r="H1654" s="11" t="n">
        <x:v>0</x:v>
      </x:c>
      <x:c r="I1654" s="11" t="n">
        <x:v>0</x:v>
      </x:c>
      <x:c r="J1654" s="11" t="n">
        <x:v>0</x:v>
      </x:c>
      <x:c r="K1654" s="12"/>
      <x:c r="L1654" s="12"/>
      <x:c r="M1654" s="8"/>
    </x:row>
    <x:row r="1655">
      <x:c r="A1655" s="8" t="str">
        <x:v>Sun Peaks|Other Tangible Capital Assets</x:v>
      </x:c>
      <x:c r="B1655" s="8" t="str">
        <x:v>sun-peaks-v</x:v>
      </x:c>
      <x:c r="C1655" s="8" t="str">
        <x:v>Sun Peaks</x:v>
      </x:c>
      <x:c r="D1655" s="8" t="str">
        <x:v>Other Tangible Capital Assets</x:v>
      </x:c>
      <x:c r="E1655" s="11" t="n">
        <x:v>1693061</x:v>
      </x:c>
      <x:c r="F1655" s="11" t="n">
        <x:v>891256</x:v>
      </x:c>
      <x:c r="G1655" s="11" t="n">
        <x:v>801805</x:v>
      </x:c>
      <x:c r="H1655" s="11" t="n">
        <x:v>488713</x:v>
      </x:c>
      <x:c r="I1655" s="11" t="n">
        <x:v>1902274</x:v>
      </x:c>
      <x:c r="J1655" s="11" t="n">
        <x:v>1902274</x:v>
      </x:c>
      <x:c r="K1655" s="12" t="n">
        <x:v>0.4735830545975603</x:v>
      </x:c>
      <x:c r="L1655" s="12" t="n">
        <x:v>0</x:v>
      </x:c>
      <x:c r="M1655" s="8" t="str">
        <x:v>N/A</x:v>
      </x:c>
    </x:row>
    <x:row r="1656">
      <x:c r="A1656" s="8" t="str">
        <x:v>Sun Peaks|Work In Progress</x:v>
      </x:c>
      <x:c r="B1656" s="8" t="str">
        <x:v>sun-peaks-v</x:v>
      </x:c>
      <x:c r="C1656" s="8" t="str">
        <x:v>Sun Peaks</x:v>
      </x:c>
      <x:c r="D1656" s="8" t="str">
        <x:v>Work In Progress</x:v>
      </x:c>
      <x:c r="E1656" s="11" t="n">
        <x:v>1456171</x:v>
      </x:c>
      <x:c r="F1656" s="11"/>
      <x:c r="G1656" s="11" t="n">
        <x:v>1456171</x:v>
      </x:c>
      <x:c r="H1656" s="11" t="n">
        <x:v>1181292</x:v>
      </x:c>
      <x:c r="I1656" s="11" t="n">
        <x:v>1456171</x:v>
      </x:c>
      <x:c r="J1656" s="11"/>
      <x:c r="K1656" s="12" t="n">
        <x:v>1</x:v>
      </x:c>
      <x:c r="L1656" s="12"/>
      <x:c r="M1656" s="8" t="str">
        <x:v>N/A</x:v>
      </x:c>
    </x:row>
    <x:row r="1657">
      <x:c r="A1657" s="8" t="str">
        <x:v>Sun Peaks|Total TCA</x:v>
      </x:c>
      <x:c r="B1657" s="8" t="str">
        <x:v>sun-peaks-v</x:v>
      </x:c>
      <x:c r="C1657" s="8" t="str">
        <x:v>Sun Peaks</x:v>
      </x:c>
      <x:c r="D1657" s="8" t="str">
        <x:v>Total TCA</x:v>
      </x:c>
      <x:c r="E1657" s="11" t="n">
        <x:v>80090864</x:v>
      </x:c>
      <x:c r="F1657" s="11" t="n">
        <x:v>16696015</x:v>
      </x:c>
      <x:c r="G1657" s="11" t="n">
        <x:v>63394849</x:v>
      </x:c>
      <x:c r="H1657" s="11" t="n">
        <x:v>3376402</x:v>
      </x:c>
      <x:c r="I1657" s="11" t="n">
        <x:v>95098625</x:v>
      </x:c>
      <x:c r="J1657" s="11" t="n">
        <x:v>99197873</x:v>
      </x:c>
      <x:c r="K1657" s="12" t="n">
        <x:v>0.7915365852464771</x:v>
      </x:c>
      <x:c r="L1657" s="12" t="n">
        <x:v>-0.043105228913667304</x:v>
      </x:c>
      <x:c r="M1657" s="8"/>
    </x:row>
    <x:row r="1658">
      <x:c r="A1658" s="8" t="str">
        <x:v>Surrey|Land</x:v>
      </x:c>
      <x:c r="B1658" s="8" t="str">
        <x:v>surrey-c</x:v>
      </x:c>
      <x:c r="C1658" s="8" t="str">
        <x:v>Surrey</x:v>
      </x:c>
      <x:c r="D1658" s="8" t="str">
        <x:v>Land</x:v>
      </x:c>
      <x:c r="E1658" s="11" t="n">
        <x:v>2176780000</x:v>
      </x:c>
      <x:c r="F1658" s="11"/>
      <x:c r="G1658" s="11" t="n">
        <x:v>2176780000</x:v>
      </x:c>
      <x:c r="H1658" s="11" t="n">
        <x:v>54714000</x:v>
      </x:c>
      <x:c r="I1658" s="11" t="n">
        <x:v>2176780000</x:v>
      </x:c>
      <x:c r="J1658" s="11"/>
      <x:c r="K1658" s="12" t="n">
        <x:v>1</x:v>
      </x:c>
      <x:c r="L1658" s="12"/>
      <x:c r="M1658" s="8" t="str">
        <x:v>N/A</x:v>
      </x:c>
    </x:row>
    <x:row r="1659">
      <x:c r="A1659" s="8" t="str">
        <x:v>Surrey|Buildings</x:v>
      </x:c>
      <x:c r="B1659" s="8" t="str">
        <x:v>surrey-c</x:v>
      </x:c>
      <x:c r="C1659" s="8" t="str">
        <x:v>Surrey</x:v>
      </x:c>
      <x:c r="D1659" s="8" t="str">
        <x:v>Buildings</x:v>
      </x:c>
      <x:c r="E1659" s="11" t="n">
        <x:v>816248000</x:v>
      </x:c>
      <x:c r="F1659" s="11" t="n">
        <x:v>384790000</x:v>
      </x:c>
      <x:c r="G1659" s="11" t="n">
        <x:v>431458000</x:v>
      </x:c>
      <x:c r="H1659" s="11" t="n">
        <x:v>2900000</x:v>
      </x:c>
      <x:c r="I1659" s="11" t="n">
        <x:v>1184754133</x:v>
      </x:c>
      <x:c r="J1659" s="11" t="n">
        <x:v>36907126</x:v>
      </x:c>
      <x:c r="K1659" s="12" t="n">
        <x:v>0.5285869000597857</x:v>
      </x:c>
      <x:c r="L1659" s="12" t="n">
        <x:v>0.9688482825491017</x:v>
      </x:c>
      <x:c r="M1659" s="8" t="str">
        <x:v>No</x:v>
      </x:c>
    </x:row>
    <x:row r="1660">
      <x:c r="A1660" s="8" t="str">
        <x:v>Surrey|Fleet</x:v>
      </x:c>
      <x:c r="B1660" s="8" t="str">
        <x:v>surrey-c</x:v>
      </x:c>
      <x:c r="C1660" s="8" t="str">
        <x:v>Surrey</x:v>
      </x:c>
      <x:c r="D1660" s="8" t="str">
        <x:v>Fleet</x:v>
      </x:c>
      <x:c r="E1660" s="11" t="n">
        <x:v>342277000</x:v>
      </x:c>
      <x:c r="F1660" s="11" t="n">
        <x:v>210388000</x:v>
      </x:c>
      <x:c r="G1660" s="11" t="n">
        <x:v>131889000</x:v>
      </x:c>
      <x:c r="H1660" s="11" t="n">
        <x:v>31294000</x:v>
      </x:c>
      <x:c r="I1660" s="11" t="n">
        <x:v>445040862</x:v>
      </x:c>
      <x:c r="J1660" s="11" t="n">
        <x:v>31230938</x:v>
      </x:c>
      <x:c r="K1660" s="12" t="n">
        <x:v>0.38532825752241606</x:v>
      </x:c>
      <x:c r="L1660" s="12" t="n">
        <x:v>0.9298245606939347</x:v>
      </x:c>
      <x:c r="M1660" s="8" t="str">
        <x:v>No</x:v>
      </x:c>
    </x:row>
    <x:row r="1661">
      <x:c r="A1661" s="8" t="str">
        <x:v>Surrey|Parks and Recreation</x:v>
      </x:c>
      <x:c r="B1661" s="8" t="str">
        <x:v>surrey-c</x:v>
      </x:c>
      <x:c r="C1661" s="8" t="str">
        <x:v>Surrey</x:v>
      </x:c>
      <x:c r="D1661" s="8" t="str">
        <x:v>Parks and Recreation</x:v>
      </x:c>
      <x:c r="E1661" s="11" t="n">
        <x:v>0</x:v>
      </x:c>
      <x:c r="F1661" s="11" t="n">
        <x:v>0</x:v>
      </x:c>
      <x:c r="G1661" s="11" t="n">
        <x:v>0</x:v>
      </x:c>
      <x:c r="H1661" s="11" t="n">
        <x:v>0</x:v>
      </x:c>
      <x:c r="I1661" s="11" t="n">
        <x:v>0</x:v>
      </x:c>
      <x:c r="J1661" s="11" t="n">
        <x:v>0</x:v>
      </x:c>
      <x:c r="K1661" s="12"/>
      <x:c r="L1661" s="12"/>
      <x:c r="M1661" s="8"/>
    </x:row>
    <x:row r="1662">
      <x:c r="A1662" s="8" t="str">
        <x:v>Surrey|Water System</x:v>
      </x:c>
      <x:c r="B1662" s="8" t="str">
        <x:v>surrey-c</x:v>
      </x:c>
      <x:c r="C1662" s="8" t="str">
        <x:v>Surrey</x:v>
      </x:c>
      <x:c r="D1662" s="8" t="str">
        <x:v>Water System</x:v>
      </x:c>
      <x:c r="E1662" s="11" t="n">
        <x:v>933161000</x:v>
      </x:c>
      <x:c r="F1662" s="11" t="n">
        <x:v>263647000</x:v>
      </x:c>
      <x:c r="G1662" s="11" t="n">
        <x:v>669514000</x:v>
      </x:c>
      <x:c r="H1662" s="11" t="n">
        <x:v>36716000</x:v>
      </x:c>
      <x:c r="I1662" s="11" t="n">
        <x:v>1653825100</x:v>
      </x:c>
      <x:c r="J1662" s="11" t="n">
        <x:v>22720394</x:v>
      </x:c>
      <x:c r="K1662" s="12" t="n">
        <x:v>0.717468904079789</x:v>
      </x:c>
      <x:c r="L1662" s="12" t="n">
        <x:v>0.9862619124597879</x:v>
      </x:c>
      <x:c r="M1662" s="8" t="str">
        <x:v>No</x:v>
      </x:c>
    </x:row>
    <x:row r="1663">
      <x:c r="A1663" s="8" t="str">
        <x:v>Surrey|Sewer System</x:v>
      </x:c>
      <x:c r="B1663" s="8" t="str">
        <x:v>surrey-c</x:v>
      </x:c>
      <x:c r="C1663" s="8" t="str">
        <x:v>Surrey</x:v>
      </x:c>
      <x:c r="D1663" s="8" t="str">
        <x:v>Sewer System</x:v>
      </x:c>
      <x:c r="E1663" s="11" t="n">
        <x:v>967510000</x:v>
      </x:c>
      <x:c r="F1663" s="11" t="n">
        <x:v>343822000</x:v>
      </x:c>
      <x:c r="G1663" s="11" t="n">
        <x:v>623688000</x:v>
      </x:c>
      <x:c r="H1663" s="11" t="n">
        <x:v>32277000</x:v>
      </x:c>
      <x:c r="I1663" s="11" t="n">
        <x:v>1701634586</x:v>
      </x:c>
      <x:c r="J1663" s="11" t="n">
        <x:v>28250518</x:v>
      </x:c>
      <x:c r="K1663" s="12" t="n">
        <x:v>0.6446320968258726</x:v>
      </x:c>
      <x:c r="L1663" s="12" t="n">
        <x:v>0.9833980113989056</x:v>
      </x:c>
      <x:c r="M1663" s="8" t="str">
        <x:v>No</x:v>
      </x:c>
    </x:row>
    <x:row r="1664">
      <x:c r="A1664" s="8" t="str">
        <x:v>Surrey|Drainage System</x:v>
      </x:c>
      <x:c r="B1664" s="8" t="str">
        <x:v>surrey-c</x:v>
      </x:c>
      <x:c r="C1664" s="8" t="str">
        <x:v>Surrey</x:v>
      </x:c>
      <x:c r="D1664" s="8" t="str">
        <x:v>Drainage System</x:v>
      </x:c>
      <x:c r="E1664" s="11" t="n">
        <x:v>1677042000</x:v>
      </x:c>
      <x:c r="F1664" s="11" t="n">
        <x:v>567572000</x:v>
      </x:c>
      <x:c r="G1664" s="11" t="n">
        <x:v>1109470000</x:v>
      </x:c>
      <x:c r="H1664" s="11" t="n">
        <x:v>26821000</x:v>
      </x:c>
      <x:c r="I1664" s="11" t="n">
        <x:v>2997893306</x:v>
      </x:c>
      <x:c r="J1664" s="11" t="n">
        <x:v>44950809</x:v>
      </x:c>
      <x:c r="K1664" s="12" t="n">
        <x:v>0.6615636340652172</x:v>
      </x:c>
      <x:c r="L1664" s="12" t="n">
        <x:v>0.985005867650448</x:v>
      </x:c>
      <x:c r="M1664" s="8" t="str">
        <x:v>No</x:v>
      </x:c>
    </x:row>
    <x:row r="1665">
      <x:c r="A1665" s="8" t="str">
        <x:v>Surrey|Transportation System</x:v>
      </x:c>
      <x:c r="B1665" s="8" t="str">
        <x:v>surrey-c</x:v>
      </x:c>
      <x:c r="C1665" s="8" t="str">
        <x:v>Surrey</x:v>
      </x:c>
      <x:c r="D1665" s="8" t="str">
        <x:v>Transportation System</x:v>
      </x:c>
      <x:c r="E1665" s="11" t="n">
        <x:v>5841779000</x:v>
      </x:c>
      <x:c r="F1665" s="11" t="n">
        <x:v>952973000</x:v>
      </x:c>
      <x:c r="G1665" s="11" t="n">
        <x:v>4888806000</x:v>
      </x:c>
      <x:c r="H1665" s="11" t="n">
        <x:v>221568000</x:v>
      </x:c>
      <x:c r="I1665" s="11" t="n">
        <x:v>11768056231</x:v>
      </x:c>
      <x:c r="J1665" s="11" t="n">
        <x:v>0</x:v>
      </x:c>
      <x:c r="K1665" s="12" t="n">
        <x:v>0.8368693851650327</x:v>
      </x:c>
      <x:c r="L1665" s="12" t="n">
        <x:v>1</x:v>
      </x:c>
      <x:c r="M1665" s="8" t="str">
        <x:v>No</x:v>
      </x:c>
    </x:row>
    <x:row r="1666">
      <x:c r="A1666" s="8" t="str">
        <x:v>Surrey|Other Engineering Systems</x:v>
      </x:c>
      <x:c r="B1666" s="8" t="str">
        <x:v>surrey-c</x:v>
      </x:c>
      <x:c r="C1666" s="8" t="str">
        <x:v>Surrey</x:v>
      </x:c>
      <x:c r="D1666" s="8" t="str">
        <x:v>Other Engineering Systems</x:v>
      </x:c>
      <x:c r="E1666" s="11" t="n">
        <x:v>87369000</x:v>
      </x:c>
      <x:c r="F1666" s="11" t="n">
        <x:v>32741000</x:v>
      </x:c>
      <x:c r="G1666" s="11" t="n">
        <x:v>54628000</x:v>
      </x:c>
      <x:c r="H1666" s="11" t="n">
        <x:v>6294000</x:v>
      </x:c>
      <x:c r="I1666" s="11" t="n">
        <x:v>123594145</x:v>
      </x:c>
      <x:c r="J1666" s="11" t="n">
        <x:v>3601727</x:v>
      </x:c>
      <x:c r="K1666" s="12" t="n">
        <x:v>0.6252560977005575</x:v>
      </x:c>
      <x:c r="L1666" s="12" t="n">
        <x:v>0.9708584334638182</x:v>
      </x:c>
      <x:c r="M1666" s="8" t="str">
        <x:v>No</x:v>
      </x:c>
    </x:row>
    <x:row r="1667">
      <x:c r="A1667" s="8" t="str">
        <x:v>Surrey|Other Tangible Capital Assets</x:v>
      </x:c>
      <x:c r="B1667" s="8" t="str">
        <x:v>surrey-c</x:v>
      </x:c>
      <x:c r="C1667" s="8" t="str">
        <x:v>Surrey</x:v>
      </x:c>
      <x:c r="D1667" s="8" t="str">
        <x:v>Other Tangible Capital Assets</x:v>
      </x:c>
      <x:c r="E1667" s="11" t="n">
        <x:v>206476000</x:v>
      </x:c>
      <x:c r="F1667" s="11" t="n">
        <x:v>116125000</x:v>
      </x:c>
      <x:c r="G1667" s="11" t="n">
        <x:v>90351000</x:v>
      </x:c>
      <x:c r="H1667" s="11" t="n">
        <x:v>2418000</x:v>
      </x:c>
      <x:c r="I1667" s="11" t="n">
        <x:v>338070272</x:v>
      </x:c>
      <x:c r="J1667" s="11" t="n">
        <x:v>10094203</x:v>
      </x:c>
      <x:c r="K1667" s="12" t="n">
        <x:v>0.4375859664077181</x:v>
      </x:c>
      <x:c r="L1667" s="12" t="n">
        <x:v>0.9701417017820484</x:v>
      </x:c>
      <x:c r="M1667" s="8" t="str">
        <x:v>N/A</x:v>
      </x:c>
    </x:row>
    <x:row r="1668">
      <x:c r="A1668" s="8" t="str">
        <x:v>Surrey|Work In Progress</x:v>
      </x:c>
      <x:c r="B1668" s="8" t="str">
        <x:v>surrey-c</x:v>
      </x:c>
      <x:c r="C1668" s="8" t="str">
        <x:v>Surrey</x:v>
      </x:c>
      <x:c r="D1668" s="8" t="str">
        <x:v>Work In Progress</x:v>
      </x:c>
      <x:c r="E1668" s="11" t="n">
        <x:v>413965000</x:v>
      </x:c>
      <x:c r="F1668" s="11"/>
      <x:c r="G1668" s="11" t="n">
        <x:v>413965000</x:v>
      </x:c>
      <x:c r="H1668" s="11" t="n">
        <x:v>81031000</x:v>
      </x:c>
      <x:c r="I1668" s="11" t="n">
        <x:v>413965000</x:v>
      </x:c>
      <x:c r="J1668" s="11"/>
      <x:c r="K1668" s="12" t="n">
        <x:v>1</x:v>
      </x:c>
      <x:c r="L1668" s="12"/>
      <x:c r="M1668" s="8" t="str">
        <x:v>N/A</x:v>
      </x:c>
    </x:row>
    <x:row r="1669">
      <x:c r="A1669" s="8" t="str">
        <x:v>Surrey|Total TCA</x:v>
      </x:c>
      <x:c r="B1669" s="8" t="str">
        <x:v>surrey-c</x:v>
      </x:c>
      <x:c r="C1669" s="8" t="str">
        <x:v>Surrey</x:v>
      </x:c>
      <x:c r="D1669" s="8" t="str">
        <x:v>Total TCA</x:v>
      </x:c>
      <x:c r="E1669" s="11" t="n">
        <x:v>13462607000</x:v>
      </x:c>
      <x:c r="F1669" s="11" t="n">
        <x:v>2872058000</x:v>
      </x:c>
      <x:c r="G1669" s="11" t="n">
        <x:v>10590549000</x:v>
      </x:c>
      <x:c r="H1669" s="11" t="n">
        <x:v>496033000</x:v>
      </x:c>
      <x:c r="I1669" s="11" t="n">
        <x:v>22803613635</x:v>
      </x:c>
      <x:c r="J1669" s="11" t="n">
        <x:v>177755715</x:v>
      </x:c>
      <x:c r="K1669" s="12" t="n">
        <x:v>0.7866640539978623</x:v>
      </x:c>
      <x:c r="L1669" s="12" t="n">
        <x:v>0.9922049321723653</x:v>
      </x:c>
      <x:c r="M1669" s="8"/>
    </x:row>
    <x:row r="1670">
      <x:c r="A1670" s="8" t="str">
        <x:v>Tahsis|Land</x:v>
      </x:c>
      <x:c r="B1670" s="8" t="str">
        <x:v>tahsis-v</x:v>
      </x:c>
      <x:c r="C1670" s="8" t="str">
        <x:v>Tahsis</x:v>
      </x:c>
      <x:c r="D1670" s="8" t="str">
        <x:v>Land</x:v>
      </x:c>
      <x:c r="E1670" s="11" t="n">
        <x:v>1377931</x:v>
      </x:c>
      <x:c r="F1670" s="11"/>
      <x:c r="G1670" s="11" t="n">
        <x:v>1377931</x:v>
      </x:c>
      <x:c r="H1670" s="11" t="n">
        <x:v>0</x:v>
      </x:c>
      <x:c r="I1670" s="11" t="n">
        <x:v>1377931</x:v>
      </x:c>
      <x:c r="J1670" s="11"/>
      <x:c r="K1670" s="12" t="n">
        <x:v>1</x:v>
      </x:c>
      <x:c r="L1670" s="12"/>
      <x:c r="M1670" s="8" t="str">
        <x:v>N/A</x:v>
      </x:c>
    </x:row>
    <x:row r="1671">
      <x:c r="A1671" s="8" t="str">
        <x:v>Tahsis|Buildings</x:v>
      </x:c>
      <x:c r="B1671" s="8" t="str">
        <x:v>tahsis-v</x:v>
      </x:c>
      <x:c r="C1671" s="8" t="str">
        <x:v>Tahsis</x:v>
      </x:c>
      <x:c r="D1671" s="8" t="str">
        <x:v>Buildings</x:v>
      </x:c>
      <x:c r="E1671" s="11" t="n">
        <x:v>4818601</x:v>
      </x:c>
      <x:c r="F1671" s="11" t="n">
        <x:v>3800142</x:v>
      </x:c>
      <x:c r="G1671" s="11" t="n">
        <x:v>1018459</x:v>
      </x:c>
      <x:c r="H1671" s="11" t="n">
        <x:v>189907</x:v>
      </x:c>
      <x:c r="I1671" s="11" t="n">
        <x:v>60891404</x:v>
      </x:c>
      <x:c r="J1671" s="11" t="n">
        <x:v>1217828</x:v>
      </x:c>
      <x:c r="K1671" s="12" t="n">
        <x:v>0.21135989470802832</x:v>
      </x:c>
      <x:c r="L1671" s="12" t="n">
        <x:v>0.9800000013138144</x:v>
      </x:c>
      <x:c r="M1671" s="8" t="str">
        <x:v>Yes</x:v>
      </x:c>
    </x:row>
    <x:row r="1672">
      <x:c r="A1672" s="8" t="str">
        <x:v>Tahsis|Fleet</x:v>
      </x:c>
      <x:c r="B1672" s="8" t="str">
        <x:v>tahsis-v</x:v>
      </x:c>
      <x:c r="C1672" s="8" t="str">
        <x:v>Tahsis</x:v>
      </x:c>
      <x:c r="D1672" s="8" t="str">
        <x:v>Fleet</x:v>
      </x:c>
      <x:c r="E1672" s="11" t="n">
        <x:v>2421198</x:v>
      </x:c>
      <x:c r="F1672" s="11" t="n">
        <x:v>1956408</x:v>
      </x:c>
      <x:c r="G1672" s="11" t="n">
        <x:v>464790</x:v>
      </x:c>
      <x:c r="H1672" s="11" t="n">
        <x:v>136164</x:v>
      </x:c>
      <x:c r="I1672" s="11" t="n">
        <x:v>2500000</x:v>
      </x:c>
      <x:c r="J1672" s="11" t="n">
        <x:v>166666</x:v>
      </x:c>
      <x:c r="K1672" s="12" t="n">
        <x:v>0.1919669518973665</x:v>
      </x:c>
      <x:c r="L1672" s="12" t="n">
        <x:v>0.9333336</x:v>
      </x:c>
      <x:c r="M1672" s="8" t="str">
        <x:v>Yes</x:v>
      </x:c>
    </x:row>
    <x:row r="1673">
      <x:c r="A1673" s="8" t="str">
        <x:v>Tahsis|Parks and Recreation</x:v>
      </x:c>
      <x:c r="B1673" s="8" t="str">
        <x:v>tahsis-v</x:v>
      </x:c>
      <x:c r="C1673" s="8" t="str">
        <x:v>Tahsis</x:v>
      </x:c>
      <x:c r="D1673" s="8" t="str">
        <x:v>Parks and Recreation</x:v>
      </x:c>
      <x:c r="E1673" s="11" t="n">
        <x:v>106740</x:v>
      </x:c>
      <x:c r="F1673" s="11" t="n">
        <x:v>13110</x:v>
      </x:c>
      <x:c r="G1673" s="11" t="n">
        <x:v>93630</x:v>
      </x:c>
      <x:c r="H1673" s="11" t="n">
        <x:v>33418</x:v>
      </x:c>
      <x:c r="I1673" s="11" t="n">
        <x:v>3323000</x:v>
      </x:c>
      <x:c r="J1673" s="11" t="n">
        <x:v>65000</x:v>
      </x:c>
      <x:c r="K1673" s="12" t="n">
        <x:v>0.8771781899943789</x:v>
      </x:c>
      <x:c r="L1673" s="12" t="n">
        <x:v>0.980439362022269</x:v>
      </x:c>
      <x:c r="M1673" s="8" t="str">
        <x:v>Yes</x:v>
      </x:c>
    </x:row>
    <x:row r="1674">
      <x:c r="A1674" s="8" t="str">
        <x:v>Tahsis|Water System</x:v>
      </x:c>
      <x:c r="B1674" s="8" t="str">
        <x:v>tahsis-v</x:v>
      </x:c>
      <x:c r="C1674" s="8" t="str">
        <x:v>Tahsis</x:v>
      </x:c>
      <x:c r="D1674" s="8" t="str">
        <x:v>Water System</x:v>
      </x:c>
      <x:c r="E1674" s="11" t="n">
        <x:v>3650066</x:v>
      </x:c>
      <x:c r="F1674" s="11" t="n">
        <x:v>1491366</x:v>
      </x:c>
      <x:c r="G1674" s="11" t="n">
        <x:v>2158700</x:v>
      </x:c>
      <x:c r="H1674" s="11" t="n">
        <x:v>296317</x:v>
      </x:c>
      <x:c r="I1674" s="11" t="n">
        <x:v>7782000</x:v>
      </x:c>
      <x:c r="J1674" s="11" t="n">
        <x:v>216400</x:v>
      </x:c>
      <x:c r="K1674" s="12" t="n">
        <x:v>0.5914139634735371</x:v>
      </x:c>
      <x:c r="L1674" s="12" t="n">
        <x:v>0.9721922384991005</x:v>
      </x:c>
      <x:c r="M1674" s="8" t="str">
        <x:v>Yes</x:v>
      </x:c>
    </x:row>
    <x:row r="1675">
      <x:c r="A1675" s="8" t="str">
        <x:v>Tahsis|Sewer System</x:v>
      </x:c>
      <x:c r="B1675" s="8" t="str">
        <x:v>tahsis-v</x:v>
      </x:c>
      <x:c r="C1675" s="8" t="str">
        <x:v>Tahsis</x:v>
      </x:c>
      <x:c r="D1675" s="8" t="str">
        <x:v>Sewer System</x:v>
      </x:c>
      <x:c r="E1675" s="11" t="n">
        <x:v>4163117</x:v>
      </x:c>
      <x:c r="F1675" s="11" t="n">
        <x:v>3127536</x:v>
      </x:c>
      <x:c r="G1675" s="11" t="n">
        <x:v>1035581</x:v>
      </x:c>
      <x:c r="H1675" s="11" t="n">
        <x:v>0</x:v>
      </x:c>
      <x:c r="I1675" s="11" t="n">
        <x:v>12407000</x:v>
      </x:c>
      <x:c r="J1675" s="11" t="n">
        <x:v>252500</x:v>
      </x:c>
      <x:c r="K1675" s="12" t="n">
        <x:v>0.2487513562554211</x:v>
      </x:c>
      <x:c r="L1675" s="12" t="n">
        <x:v>0.979648585475941</x:v>
      </x:c>
      <x:c r="M1675" s="8" t="str">
        <x:v>Yes</x:v>
      </x:c>
    </x:row>
    <x:row r="1676">
      <x:c r="A1676" s="8" t="str">
        <x:v>Tahsis|Drainage System</x:v>
      </x:c>
      <x:c r="B1676" s="8" t="str">
        <x:v>tahsis-v</x:v>
      </x:c>
      <x:c r="C1676" s="8" t="str">
        <x:v>Tahsis</x:v>
      </x:c>
      <x:c r="D1676" s="8" t="str">
        <x:v>Drainage System</x:v>
      </x:c>
      <x:c r="E1676" s="11" t="n">
        <x:v>2552349</x:v>
      </x:c>
      <x:c r="F1676" s="11" t="n">
        <x:v>375352</x:v>
      </x:c>
      <x:c r="G1676" s="11" t="n">
        <x:v>2176997</x:v>
      </x:c>
      <x:c r="H1676" s="11" t="n">
        <x:v>46527</x:v>
      </x:c>
      <x:c r="I1676" s="11" t="n">
        <x:v>3125000</x:v>
      </x:c>
      <x:c r="J1676" s="11" t="n">
        <x:v>57000</x:v>
      </x:c>
      <x:c r="K1676" s="12" t="n">
        <x:v>0.8529386067500957</x:v>
      </x:c>
      <x:c r="L1676" s="12" t="n">
        <x:v>0.98176</x:v>
      </x:c>
      <x:c r="M1676" s="8" t="str">
        <x:v>Yes</x:v>
      </x:c>
    </x:row>
    <x:row r="1677">
      <x:c r="A1677" s="8" t="str">
        <x:v>Tahsis|Transportation System</x:v>
      </x:c>
      <x:c r="B1677" s="8" t="str">
        <x:v>tahsis-v</x:v>
      </x:c>
      <x:c r="C1677" s="8" t="str">
        <x:v>Tahsis</x:v>
      </x:c>
      <x:c r="D1677" s="8" t="str">
        <x:v>Transportation System</x:v>
      </x:c>
      <x:c r="E1677" s="11" t="n">
        <x:v>7514841</x:v>
      </x:c>
      <x:c r="F1677" s="11" t="n">
        <x:v>4509419</x:v>
      </x:c>
      <x:c r="G1677" s="11" t="n">
        <x:v>3005422</x:v>
      </x:c>
      <x:c r="H1677" s="11" t="n">
        <x:v>171775</x:v>
      </x:c>
      <x:c r="I1677" s="11" t="n">
        <x:v>17598000</x:v>
      </x:c>
      <x:c r="J1677" s="11" t="n">
        <x:v>475555</x:v>
      </x:c>
      <x:c r="K1677" s="12" t="n">
        <x:v>0.39993154878459836</x:v>
      </x:c>
      <x:c r="L1677" s="12" t="n">
        <x:v>0.9729767587225822</x:v>
      </x:c>
      <x:c r="M1677" s="8" t="str">
        <x:v>No</x:v>
      </x:c>
    </x:row>
    <x:row r="1678">
      <x:c r="A1678" s="8" t="str">
        <x:v>Tahsis|Other Engineering Systems</x:v>
      </x:c>
      <x:c r="B1678" s="8" t="str">
        <x:v>tahsis-v</x:v>
      </x:c>
      <x:c r="C1678" s="8" t="str">
        <x:v>Tahsis</x:v>
      </x:c>
      <x:c r="D1678" s="8" t="str">
        <x:v>Other Engineering Systems</x:v>
      </x:c>
      <x:c r="E1678" s="11" t="n">
        <x:v>0</x:v>
      </x:c>
      <x:c r="F1678" s="11" t="n">
        <x:v>0</x:v>
      </x:c>
      <x:c r="G1678" s="11" t="n">
        <x:v>0</x:v>
      </x:c>
      <x:c r="H1678" s="11" t="n">
        <x:v>0</x:v>
      </x:c>
      <x:c r="I1678" s="11" t="n">
        <x:v>0</x:v>
      </x:c>
      <x:c r="J1678" s="11" t="n">
        <x:v>0</x:v>
      </x:c>
      <x:c r="K1678" s="12"/>
      <x:c r="L1678" s="12"/>
      <x:c r="M1678" s="8"/>
    </x:row>
    <x:row r="1679">
      <x:c r="A1679" s="8" t="str">
        <x:v>Tahsis|Other Tangible Capital Assets</x:v>
      </x:c>
      <x:c r="B1679" s="8" t="str">
        <x:v>tahsis-v</x:v>
      </x:c>
      <x:c r="C1679" s="8" t="str">
        <x:v>Tahsis</x:v>
      </x:c>
      <x:c r="D1679" s="8" t="str">
        <x:v>Other Tangible Capital Assets</x:v>
      </x:c>
      <x:c r="E1679" s="11" t="n">
        <x:v>192623</x:v>
      </x:c>
      <x:c r="F1679" s="11" t="n">
        <x:v>192623</x:v>
      </x:c>
      <x:c r="G1679" s="11" t="n">
        <x:v>0</x:v>
      </x:c>
      <x:c r="H1679" s="11" t="n">
        <x:v>0</x:v>
      </x:c>
      <x:c r="I1679" s="11" t="n">
        <x:v>400000</x:v>
      </x:c>
      <x:c r="J1679" s="11" t="n">
        <x:v>26667</x:v>
      </x:c>
      <x:c r="K1679" s="12" t="n">
        <x:v>0</x:v>
      </x:c>
      <x:c r="L1679" s="12" t="n">
        <x:v>0.9333325</x:v>
      </x:c>
      <x:c r="M1679" s="8" t="str">
        <x:v>N/A</x:v>
      </x:c>
    </x:row>
    <x:row r="1680">
      <x:c r="A1680" s="8" t="str">
        <x:v>Tahsis|Work In Progress</x:v>
      </x:c>
      <x:c r="B1680" s="8" t="str">
        <x:v>tahsis-v</x:v>
      </x:c>
      <x:c r="C1680" s="8" t="str">
        <x:v>Tahsis</x:v>
      </x:c>
      <x:c r="D1680" s="8" t="str">
        <x:v>Work In Progress</x:v>
      </x:c>
      <x:c r="E1680" s="11" t="n">
        <x:v>3399050</x:v>
      </x:c>
      <x:c r="F1680" s="11"/>
      <x:c r="G1680" s="11" t="n">
        <x:v>3399050</x:v>
      </x:c>
      <x:c r="H1680" s="11" t="n">
        <x:v>2389099</x:v>
      </x:c>
      <x:c r="I1680" s="11" t="n">
        <x:v>3399050</x:v>
      </x:c>
      <x:c r="J1680" s="11"/>
      <x:c r="K1680" s="12" t="n">
        <x:v>1</x:v>
      </x:c>
      <x:c r="L1680" s="12"/>
      <x:c r="M1680" s="8" t="str">
        <x:v>N/A</x:v>
      </x:c>
    </x:row>
    <x:row r="1681">
      <x:c r="A1681" s="8" t="str">
        <x:v>Tahsis|Total TCA</x:v>
      </x:c>
      <x:c r="B1681" s="8" t="str">
        <x:v>tahsis-v</x:v>
      </x:c>
      <x:c r="C1681" s="8" t="str">
        <x:v>Tahsis</x:v>
      </x:c>
      <x:c r="D1681" s="8" t="str">
        <x:v>Total TCA</x:v>
      </x:c>
      <x:c r="E1681" s="11" t="n">
        <x:v>30196516</x:v>
      </x:c>
      <x:c r="F1681" s="11" t="n">
        <x:v>15465956</x:v>
      </x:c>
      <x:c r="G1681" s="11" t="n">
        <x:v>14730560</x:v>
      </x:c>
      <x:c r="H1681" s="11" t="n">
        <x:v>3263207</x:v>
      </x:c>
      <x:c r="I1681" s="11" t="n">
        <x:v>112803385</x:v>
      </x:c>
      <x:c r="J1681" s="11" t="n">
        <x:v>2477616</x:v>
      </x:c>
      <x:c r="K1681" s="12" t="n">
        <x:v>0.48782316476510074</x:v>
      </x:c>
      <x:c r="L1681" s="12" t="n">
        <x:v>0.9780359782643048</x:v>
      </x:c>
      <x:c r="M1681" s="8"/>
    </x:row>
    <x:row r="1682">
      <x:c r="A1682" s="8" t="str">
        <x:v>Taylor|Land</x:v>
      </x:c>
      <x:c r="B1682" s="8" t="str">
        <x:v>taylor-d</x:v>
      </x:c>
      <x:c r="C1682" s="8" t="str">
        <x:v>Taylor</x:v>
      </x:c>
      <x:c r="D1682" s="8" t="str">
        <x:v>Land</x:v>
      </x:c>
      <x:c r="E1682" s="11" t="n">
        <x:v>2304355</x:v>
      </x:c>
      <x:c r="F1682" s="11"/>
      <x:c r="G1682" s="11" t="n">
        <x:v>2304355</x:v>
      </x:c>
      <x:c r="H1682" s="11" t="n">
        <x:v>0</x:v>
      </x:c>
      <x:c r="I1682" s="11" t="n">
        <x:v>2304355</x:v>
      </x:c>
      <x:c r="J1682" s="11"/>
      <x:c r="K1682" s="12" t="n">
        <x:v>1</x:v>
      </x:c>
      <x:c r="L1682" s="12"/>
      <x:c r="M1682" s="8" t="str">
        <x:v>N/A</x:v>
      </x:c>
    </x:row>
    <x:row r="1683">
      <x:c r="A1683" s="8" t="str">
        <x:v>Taylor|Buildings</x:v>
      </x:c>
      <x:c r="B1683" s="8" t="str">
        <x:v>taylor-d</x:v>
      </x:c>
      <x:c r="C1683" s="8" t="str">
        <x:v>Taylor</x:v>
      </x:c>
      <x:c r="D1683" s="8" t="str">
        <x:v>Buildings</x:v>
      </x:c>
      <x:c r="E1683" s="11" t="n">
        <x:v>24043376</x:v>
      </x:c>
      <x:c r="F1683" s="11" t="n">
        <x:v>11475825</x:v>
      </x:c>
      <x:c r="G1683" s="11" t="n">
        <x:v>12567551</x:v>
      </x:c>
      <x:c r="H1683" s="11" t="n">
        <x:v>391067</x:v>
      </x:c>
      <x:c r="I1683" s="11" t="n">
        <x:v>26564000</x:v>
      </x:c>
      <x:c r="J1683" s="11" t="n">
        <x:v>444000</x:v>
      </x:c>
      <x:c r="K1683" s="12" t="n">
        <x:v>0.5227032593093416</x:v>
      </x:c>
      <x:c r="L1683" s="12" t="n">
        <x:v>0.9832856497515434</x:v>
      </x:c>
      <x:c r="M1683" s="8" t="str">
        <x:v>In_Progress</x:v>
      </x:c>
    </x:row>
    <x:row r="1684">
      <x:c r="A1684" s="8" t="str">
        <x:v>Taylor|Fleet</x:v>
      </x:c>
      <x:c r="B1684" s="8" t="str">
        <x:v>taylor-d</x:v>
      </x:c>
      <x:c r="C1684" s="8" t="str">
        <x:v>Taylor</x:v>
      </x:c>
      <x:c r="D1684" s="8" t="str">
        <x:v>Fleet</x:v>
      </x:c>
      <x:c r="E1684" s="11" t="n">
        <x:v>9761909</x:v>
      </x:c>
      <x:c r="F1684" s="11" t="n">
        <x:v>5474805</x:v>
      </x:c>
      <x:c r="G1684" s="11" t="n">
        <x:v>4287104</x:v>
      </x:c>
      <x:c r="H1684" s="11" t="n">
        <x:v>490761</x:v>
      </x:c>
      <x:c r="I1684" s="11" t="n">
        <x:v>5952000</x:v>
      </x:c>
      <x:c r="J1684" s="11" t="n">
        <x:v>304000</x:v>
      </x:c>
      <x:c r="K1684" s="12" t="n">
        <x:v>0.43916656055695663</x:v>
      </x:c>
      <x:c r="L1684" s="12" t="n">
        <x:v>0.9489247311827957</x:v>
      </x:c>
      <x:c r="M1684" s="8" t="str">
        <x:v>In_Progress</x:v>
      </x:c>
    </x:row>
    <x:row r="1685">
      <x:c r="A1685" s="8" t="str">
        <x:v>Taylor|Parks and Recreation</x:v>
      </x:c>
      <x:c r="B1685" s="8" t="str">
        <x:v>taylor-d</x:v>
      </x:c>
      <x:c r="C1685" s="8" t="str">
        <x:v>Taylor</x:v>
      </x:c>
      <x:c r="D1685" s="8" t="str">
        <x:v>Parks and Recreation</x:v>
      </x:c>
      <x:c r="E1685" s="11" t="n">
        <x:v>0</x:v>
      </x:c>
      <x:c r="F1685" s="11" t="n">
        <x:v>0</x:v>
      </x:c>
      <x:c r="G1685" s="11" t="n">
        <x:v>0</x:v>
      </x:c>
      <x:c r="H1685" s="11" t="n">
        <x:v>0</x:v>
      </x:c>
      <x:c r="I1685" s="11" t="n">
        <x:v>0</x:v>
      </x:c>
      <x:c r="J1685" s="11" t="n">
        <x:v>0</x:v>
      </x:c>
      <x:c r="K1685" s="12"/>
      <x:c r="L1685" s="12"/>
      <x:c r="M1685" s="8"/>
    </x:row>
    <x:row r="1686">
      <x:c r="A1686" s="8" t="str">
        <x:v>Taylor|Water System</x:v>
      </x:c>
      <x:c r="B1686" s="8" t="str">
        <x:v>taylor-d</x:v>
      </x:c>
      <x:c r="C1686" s="8" t="str">
        <x:v>Taylor</x:v>
      </x:c>
      <x:c r="D1686" s="8" t="str">
        <x:v>Water System</x:v>
      </x:c>
      <x:c r="E1686" s="11" t="n">
        <x:v>8977233</x:v>
      </x:c>
      <x:c r="F1686" s="11" t="n">
        <x:v>3809514</x:v>
      </x:c>
      <x:c r="G1686" s="11" t="n">
        <x:v>5167719</x:v>
      </x:c>
      <x:c r="H1686" s="11" t="n">
        <x:v>23937</x:v>
      </x:c>
      <x:c r="I1686" s="11" t="n">
        <x:v>52433000</x:v>
      </x:c>
      <x:c r="J1686" s="11" t="n">
        <x:v>1167000</x:v>
      </x:c>
      <x:c r="K1686" s="12" t="n">
        <x:v>0.5756471955222728</x:v>
      </x:c>
      <x:c r="L1686" s="12" t="n">
        <x:v>0.9777430244311789</x:v>
      </x:c>
      <x:c r="M1686" s="8" t="str">
        <x:v>In_Progress</x:v>
      </x:c>
    </x:row>
    <x:row r="1687">
      <x:c r="A1687" s="8" t="str">
        <x:v>Taylor|Sewer System</x:v>
      </x:c>
      <x:c r="B1687" s="8" t="str">
        <x:v>taylor-d</x:v>
      </x:c>
      <x:c r="C1687" s="8" t="str">
        <x:v>Taylor</x:v>
      </x:c>
      <x:c r="D1687" s="8" t="str">
        <x:v>Sewer System</x:v>
      </x:c>
      <x:c r="E1687" s="11" t="n">
        <x:v>6917334</x:v>
      </x:c>
      <x:c r="F1687" s="11" t="n">
        <x:v>1727409</x:v>
      </x:c>
      <x:c r="G1687" s="11" t="n">
        <x:v>5189925</x:v>
      </x:c>
      <x:c r="H1687" s="11" t="n">
        <x:v>0</x:v>
      </x:c>
      <x:c r="I1687" s="11" t="n">
        <x:v>13806000</x:v>
      </x:c>
      <x:c r="J1687" s="11" t="n">
        <x:v>585000</x:v>
      </x:c>
      <x:c r="K1687" s="12" t="n">
        <x:v>0.7502782141212206</x:v>
      </x:c>
      <x:c r="L1687" s="12" t="n">
        <x:v>0.9576271186440678</x:v>
      </x:c>
      <x:c r="M1687" s="8" t="str">
        <x:v>In_Progress</x:v>
      </x:c>
    </x:row>
    <x:row r="1688">
      <x:c r="A1688" s="8" t="str">
        <x:v>Taylor|Drainage System</x:v>
      </x:c>
      <x:c r="B1688" s="8" t="str">
        <x:v>taylor-d</x:v>
      </x:c>
      <x:c r="C1688" s="8" t="str">
        <x:v>Taylor</x:v>
      </x:c>
      <x:c r="D1688" s="8" t="str">
        <x:v>Drainage System</x:v>
      </x:c>
      <x:c r="E1688" s="11" t="n">
        <x:v>0</x:v>
      </x:c>
      <x:c r="F1688" s="11" t="n">
        <x:v>0</x:v>
      </x:c>
      <x:c r="G1688" s="11" t="n">
        <x:v>0</x:v>
      </x:c>
      <x:c r="H1688" s="11" t="n">
        <x:v>0</x:v>
      </x:c>
      <x:c r="I1688" s="11" t="n">
        <x:v>0</x:v>
      </x:c>
      <x:c r="J1688" s="11" t="n">
        <x:v>0</x:v>
      </x:c>
      <x:c r="K1688" s="12"/>
      <x:c r="L1688" s="12"/>
      <x:c r="M1688" s="8"/>
    </x:row>
    <x:row r="1689">
      <x:c r="A1689" s="8" t="str">
        <x:v>Taylor|Transportation System</x:v>
      </x:c>
      <x:c r="B1689" s="8" t="str">
        <x:v>taylor-d</x:v>
      </x:c>
      <x:c r="C1689" s="8" t="str">
        <x:v>Taylor</x:v>
      </x:c>
      <x:c r="D1689" s="8" t="str">
        <x:v>Transportation System</x:v>
      </x:c>
      <x:c r="E1689" s="11" t="n">
        <x:v>19168163</x:v>
      </x:c>
      <x:c r="F1689" s="11" t="n">
        <x:v>9832888</x:v>
      </x:c>
      <x:c r="G1689" s="11" t="n">
        <x:v>9335275</x:v>
      </x:c>
      <x:c r="H1689" s="11" t="n">
        <x:v>0</x:v>
      </x:c>
      <x:c r="I1689" s="11" t="n">
        <x:v>96276000</x:v>
      </x:c>
      <x:c r="J1689" s="11" t="n">
        <x:v>1411000</x:v>
      </x:c>
      <x:c r="K1689" s="12" t="n">
        <x:v>0.48701980466255423</x:v>
      </x:c>
      <x:c r="L1689" s="12" t="n">
        <x:v>0.9853442187045577</x:v>
      </x:c>
      <x:c r="M1689" s="8" t="str">
        <x:v>In_Progress</x:v>
      </x:c>
    </x:row>
    <x:row r="1690">
      <x:c r="A1690" s="8" t="str">
        <x:v>Taylor|Other Engineering Systems</x:v>
      </x:c>
      <x:c r="B1690" s="8" t="str">
        <x:v>taylor-d</x:v>
      </x:c>
      <x:c r="C1690" s="8" t="str">
        <x:v>Taylor</x:v>
      </x:c>
      <x:c r="D1690" s="8" t="str">
        <x:v>Other Engineering Systems</x:v>
      </x:c>
      <x:c r="E1690" s="11" t="n">
        <x:v>0</x:v>
      </x:c>
      <x:c r="F1690" s="11" t="n">
        <x:v>0</x:v>
      </x:c>
      <x:c r="G1690" s="11" t="n">
        <x:v>0</x:v>
      </x:c>
      <x:c r="H1690" s="11" t="n">
        <x:v>0</x:v>
      </x:c>
      <x:c r="I1690" s="11" t="n">
        <x:v>0</x:v>
      </x:c>
      <x:c r="J1690" s="11" t="n">
        <x:v>0</x:v>
      </x:c>
      <x:c r="K1690" s="12"/>
      <x:c r="L1690" s="12"/>
      <x:c r="M1690" s="8"/>
    </x:row>
    <x:row r="1691">
      <x:c r="A1691" s="8" t="str">
        <x:v>Taylor|Other Tangible Capital Assets</x:v>
      </x:c>
      <x:c r="B1691" s="8" t="str">
        <x:v>taylor-d</x:v>
      </x:c>
      <x:c r="C1691" s="8" t="str">
        <x:v>Taylor</x:v>
      </x:c>
      <x:c r="D1691" s="8" t="str">
        <x:v>Other Tangible Capital Assets</x:v>
      </x:c>
      <x:c r="E1691" s="11" t="n">
        <x:v>0</x:v>
      </x:c>
      <x:c r="F1691" s="11" t="n">
        <x:v>0</x:v>
      </x:c>
      <x:c r="G1691" s="11" t="n">
        <x:v>0</x:v>
      </x:c>
      <x:c r="H1691" s="11" t="n">
        <x:v>0</x:v>
      </x:c>
      <x:c r="I1691" s="11" t="n">
        <x:v>0</x:v>
      </x:c>
      <x:c r="J1691" s="11" t="n">
        <x:v>0</x:v>
      </x:c>
      <x:c r="K1691" s="12"/>
      <x:c r="L1691" s="12"/>
      <x:c r="M1691" s="8" t="str">
        <x:v>N/A</x:v>
      </x:c>
    </x:row>
    <x:row r="1692">
      <x:c r="A1692" s="8" t="str">
        <x:v>Taylor|Work In Progress</x:v>
      </x:c>
      <x:c r="B1692" s="8" t="str">
        <x:v>taylor-d</x:v>
      </x:c>
      <x:c r="C1692" s="8" t="str">
        <x:v>Taylor</x:v>
      </x:c>
      <x:c r="D1692" s="8" t="str">
        <x:v>Work In Progress</x:v>
      </x:c>
      <x:c r="E1692" s="11" t="n">
        <x:v>951984</x:v>
      </x:c>
      <x:c r="F1692" s="11"/>
      <x:c r="G1692" s="11" t="n">
        <x:v>951984</x:v>
      </x:c>
      <x:c r="H1692" s="11" t="n">
        <x:v>874855</x:v>
      </x:c>
      <x:c r="I1692" s="11" t="n">
        <x:v>951984</x:v>
      </x:c>
      <x:c r="J1692" s="11"/>
      <x:c r="K1692" s="12" t="n">
        <x:v>1</x:v>
      </x:c>
      <x:c r="L1692" s="12"/>
      <x:c r="M1692" s="8" t="str">
        <x:v>N/A</x:v>
      </x:c>
    </x:row>
    <x:row r="1693">
      <x:c r="A1693" s="8" t="str">
        <x:v>Taylor|Total TCA</x:v>
      </x:c>
      <x:c r="B1693" s="8" t="str">
        <x:v>taylor-d</x:v>
      </x:c>
      <x:c r="C1693" s="8" t="str">
        <x:v>Taylor</x:v>
      </x:c>
      <x:c r="D1693" s="8" t="str">
        <x:v>Total TCA</x:v>
      </x:c>
      <x:c r="E1693" s="11" t="n">
        <x:v>72124354</x:v>
      </x:c>
      <x:c r="F1693" s="11" t="n">
        <x:v>32320441</x:v>
      </x:c>
      <x:c r="G1693" s="11" t="n">
        <x:v>39803913</x:v>
      </x:c>
      <x:c r="H1693" s="11" t="n">
        <x:v>1780620</x:v>
      </x:c>
      <x:c r="I1693" s="11" t="n">
        <x:v>198287339</x:v>
      </x:c>
      <x:c r="J1693" s="11" t="n">
        <x:v>3911000</x:v>
      </x:c>
      <x:c r="K1693" s="12" t="n">
        <x:v>0.5518789533976277</x:v>
      </x:c>
      <x:c r="L1693" s="12" t="n">
        <x:v>0.9802760982132097</x:v>
      </x:c>
      <x:c r="M1693" s="8"/>
    </x:row>
    <x:row r="1694">
      <x:c r="A1694" s="8" t="str">
        <x:v>Telkwa|Land</x:v>
      </x:c>
      <x:c r="B1694" s="8" t="str">
        <x:v>telkwa-v</x:v>
      </x:c>
      <x:c r="C1694" s="8" t="str">
        <x:v>Telkwa</x:v>
      </x:c>
      <x:c r="D1694" s="8" t="str">
        <x:v>Land</x:v>
      </x:c>
      <x:c r="E1694" s="11" t="n">
        <x:v>259687</x:v>
      </x:c>
      <x:c r="F1694" s="11"/>
      <x:c r="G1694" s="11" t="n">
        <x:v>259687</x:v>
      </x:c>
      <x:c r="H1694" s="11" t="n">
        <x:v>0</x:v>
      </x:c>
      <x:c r="I1694" s="11" t="n">
        <x:v>259687</x:v>
      </x:c>
      <x:c r="J1694" s="11"/>
      <x:c r="K1694" s="12" t="n">
        <x:v>1</x:v>
      </x:c>
      <x:c r="L1694" s="12"/>
      <x:c r="M1694" s="8" t="str">
        <x:v>N/A</x:v>
      </x:c>
    </x:row>
    <x:row r="1695">
      <x:c r="A1695" s="8" t="str">
        <x:v>Telkwa|Buildings</x:v>
      </x:c>
      <x:c r="B1695" s="8" t="str">
        <x:v>telkwa-v</x:v>
      </x:c>
      <x:c r="C1695" s="8" t="str">
        <x:v>Telkwa</x:v>
      </x:c>
      <x:c r="D1695" s="8" t="str">
        <x:v>Buildings</x:v>
      </x:c>
      <x:c r="E1695" s="11" t="n">
        <x:v>2164168</x:v>
      </x:c>
      <x:c r="F1695" s="11" t="n">
        <x:v>745942</x:v>
      </x:c>
      <x:c r="G1695" s="11" t="n">
        <x:v>1418226</x:v>
      </x:c>
      <x:c r="H1695" s="11" t="n">
        <x:v>14200</x:v>
      </x:c>
      <x:c r="I1695" s="11" t="n">
        <x:v>11735684</x:v>
      </x:c>
      <x:c r="J1695" s="11" t="n">
        <x:v>249293</x:v>
      </x:c>
      <x:c r="K1695" s="12" t="n">
        <x:v>0.6553215831672957</x:v>
      </x:c>
      <x:c r="L1695" s="12" t="n">
        <x:v>0.9787576932030548</x:v>
      </x:c>
      <x:c r="M1695" s="8" t="str">
        <x:v>Yes</x:v>
      </x:c>
    </x:row>
    <x:row r="1696">
      <x:c r="A1696" s="8" t="str">
        <x:v>Telkwa|Fleet</x:v>
      </x:c>
      <x:c r="B1696" s="8" t="str">
        <x:v>telkwa-v</x:v>
      </x:c>
      <x:c r="C1696" s="8" t="str">
        <x:v>Telkwa</x:v>
      </x:c>
      <x:c r="D1696" s="8" t="str">
        <x:v>Fleet</x:v>
      </x:c>
      <x:c r="E1696" s="11" t="n">
        <x:v>1843687</x:v>
      </x:c>
      <x:c r="F1696" s="11" t="n">
        <x:v>1350582</x:v>
      </x:c>
      <x:c r="G1696" s="11" t="n">
        <x:v>493105</x:v>
      </x:c>
      <x:c r="H1696" s="11" t="n">
        <x:v>18000</x:v>
      </x:c>
      <x:c r="I1696" s="11" t="n">
        <x:v>4382265</x:v>
      </x:c>
      <x:c r="J1696" s="11" t="n">
        <x:v>336663</x:v>
      </x:c>
      <x:c r="K1696" s="12" t="n">
        <x:v>0.2674559184937573</x:v>
      </x:c>
      <x:c r="L1696" s="12" t="n">
        <x:v>0.9231760288344041</x:v>
      </x:c>
      <x:c r="M1696" s="8" t="str">
        <x:v>Yes</x:v>
      </x:c>
    </x:row>
    <x:row r="1697">
      <x:c r="A1697" s="8" t="str">
        <x:v>Telkwa|Parks and Recreation</x:v>
      </x:c>
      <x:c r="B1697" s="8" t="str">
        <x:v>telkwa-v</x:v>
      </x:c>
      <x:c r="C1697" s="8" t="str">
        <x:v>Telkwa</x:v>
      </x:c>
      <x:c r="D1697" s="8" t="str">
        <x:v>Parks and Recreation</x:v>
      </x:c>
      <x:c r="E1697" s="11" t="n">
        <x:v>2381689</x:v>
      </x:c>
      <x:c r="F1697" s="11" t="n">
        <x:v>784872</x:v>
      </x:c>
      <x:c r="G1697" s="11" t="n">
        <x:v>1596817</x:v>
      </x:c>
      <x:c r="H1697" s="11" t="n">
        <x:v>0</x:v>
      </x:c>
      <x:c r="I1697" s="11" t="n">
        <x:v>1716459</x:v>
      </x:c>
      <x:c r="J1697" s="11" t="n">
        <x:v>54977</x:v>
      </x:c>
      <x:c r="K1697" s="12" t="n">
        <x:v>0.6704557144110755</x:v>
      </x:c>
      <x:c r="L1697" s="12" t="n">
        <x:v>0.9679706884929964</x:v>
      </x:c>
      <x:c r="M1697" s="8" t="str">
        <x:v>Yes</x:v>
      </x:c>
    </x:row>
    <x:row r="1698">
      <x:c r="A1698" s="8" t="str">
        <x:v>Telkwa|Water System</x:v>
      </x:c>
      <x:c r="B1698" s="8" t="str">
        <x:v>telkwa-v</x:v>
      </x:c>
      <x:c r="C1698" s="8" t="str">
        <x:v>Telkwa</x:v>
      </x:c>
      <x:c r="D1698" s="8" t="str">
        <x:v>Water System</x:v>
      </x:c>
      <x:c r="E1698" s="11" t="n">
        <x:v>15575153</x:v>
      </x:c>
      <x:c r="F1698" s="11" t="n">
        <x:v>4768586</x:v>
      </x:c>
      <x:c r="G1698" s="11" t="n">
        <x:v>10806567</x:v>
      </x:c>
      <x:c r="H1698" s="11" t="n">
        <x:v>80755</x:v>
      </x:c>
      <x:c r="I1698" s="11" t="n">
        <x:v>36003195</x:v>
      </x:c>
      <x:c r="J1698" s="11" t="n">
        <x:v>587756</x:v>
      </x:c>
      <x:c r="K1698" s="12" t="n">
        <x:v>0.6938337620182607</x:v>
      </x:c>
      <x:c r="L1698" s="12" t="n">
        <x:v>0.9836748932976642</x:v>
      </x:c>
      <x:c r="M1698" s="8" t="str">
        <x:v>Yes</x:v>
      </x:c>
    </x:row>
    <x:row r="1699">
      <x:c r="A1699" s="8" t="str">
        <x:v>Telkwa|Sewer System</x:v>
      </x:c>
      <x:c r="B1699" s="8" t="str">
        <x:v>telkwa-v</x:v>
      </x:c>
      <x:c r="C1699" s="8" t="str">
        <x:v>Telkwa</x:v>
      </x:c>
      <x:c r="D1699" s="8" t="str">
        <x:v>Sewer System</x:v>
      </x:c>
      <x:c r="E1699" s="11" t="n">
        <x:v>8890331</x:v>
      </x:c>
      <x:c r="F1699" s="11" t="n">
        <x:v>3878725</x:v>
      </x:c>
      <x:c r="G1699" s="11" t="n">
        <x:v>5011606</x:v>
      </x:c>
      <x:c r="H1699" s="11" t="n">
        <x:v>277264</x:v>
      </x:c>
      <x:c r="I1699" s="11" t="n">
        <x:v>30209611</x:v>
      </x:c>
      <x:c r="J1699" s="11" t="n">
        <x:v>391523</x:v>
      </x:c>
      <x:c r="K1699" s="12" t="n">
        <x:v>0.5637142194143278</x:v>
      </x:c>
      <x:c r="L1699" s="12" t="n">
        <x:v>0.9870397867751425</x:v>
      </x:c>
      <x:c r="M1699" s="8" t="str">
        <x:v>Yes</x:v>
      </x:c>
    </x:row>
    <x:row r="1700">
      <x:c r="A1700" s="8" t="str">
        <x:v>Telkwa|Drainage System</x:v>
      </x:c>
      <x:c r="B1700" s="8" t="str">
        <x:v>telkwa-v</x:v>
      </x:c>
      <x:c r="C1700" s="8" t="str">
        <x:v>Telkwa</x:v>
      </x:c>
      <x:c r="D1700" s="8" t="str">
        <x:v>Drainage System</x:v>
      </x:c>
      <x:c r="E1700" s="11" t="n">
        <x:v>223283</x:v>
      </x:c>
      <x:c r="F1700" s="11" t="n">
        <x:v>76709</x:v>
      </x:c>
      <x:c r="G1700" s="11" t="n">
        <x:v>146574</x:v>
      </x:c>
      <x:c r="H1700" s="11" t="n">
        <x:v>0</x:v>
      </x:c>
      <x:c r="I1700" s="11" t="n">
        <x:v>5321767</x:v>
      </x:c>
      <x:c r="J1700" s="11" t="n">
        <x:v>81716</x:v>
      </x:c>
      <x:c r="K1700" s="12" t="n">
        <x:v>0.6564494386048199</x:v>
      </x:c>
      <x:c r="L1700" s="12" t="n">
        <x:v>0.9846449496943402</x:v>
      </x:c>
      <x:c r="M1700" s="8" t="str">
        <x:v>No</x:v>
      </x:c>
    </x:row>
    <x:row r="1701">
      <x:c r="A1701" s="8" t="str">
        <x:v>Telkwa|Transportation System</x:v>
      </x:c>
      <x:c r="B1701" s="8" t="str">
        <x:v>telkwa-v</x:v>
      </x:c>
      <x:c r="C1701" s="8" t="str">
        <x:v>Telkwa</x:v>
      </x:c>
      <x:c r="D1701" s="8" t="str">
        <x:v>Transportation System</x:v>
      </x:c>
      <x:c r="E1701" s="11" t="n">
        <x:v>1877119</x:v>
      </x:c>
      <x:c r="F1701" s="11" t="n">
        <x:v>1787598</x:v>
      </x:c>
      <x:c r="G1701" s="11" t="n">
        <x:v>89521</x:v>
      </x:c>
      <x:c r="H1701" s="11" t="n">
        <x:v>12468</x:v>
      </x:c>
      <x:c r="I1701" s="11" t="n">
        <x:v>663750</x:v>
      </x:c>
      <x:c r="J1701" s="11" t="n">
        <x:v>37654</x:v>
      </x:c>
      <x:c r="K1701" s="12" t="n">
        <x:v>0.047690636555274335</x:v>
      </x:c>
      <x:c r="L1701" s="12" t="n">
        <x:v>0.9432708097928437</x:v>
      </x:c>
      <x:c r="M1701" s="8" t="str">
        <x:v>No</x:v>
      </x:c>
    </x:row>
    <x:row r="1702">
      <x:c r="A1702" s="8" t="str">
        <x:v>Telkwa|Other Engineering Systems</x:v>
      </x:c>
      <x:c r="B1702" s="8" t="str">
        <x:v>telkwa-v</x:v>
      </x:c>
      <x:c r="C1702" s="8" t="str">
        <x:v>Telkwa</x:v>
      </x:c>
      <x:c r="D1702" s="8" t="str">
        <x:v>Other Engineering Systems</x:v>
      </x:c>
      <x:c r="E1702" s="11" t="n">
        <x:v>1433130</x:v>
      </x:c>
      <x:c r="F1702" s="11" t="n">
        <x:v>495920</x:v>
      </x:c>
      <x:c r="G1702" s="11" t="n">
        <x:v>937210</x:v>
      </x:c>
      <x:c r="H1702" s="11" t="n">
        <x:v>0</x:v>
      </x:c>
      <x:c r="I1702" s="11" t="n">
        <x:v>850000</x:v>
      </x:c>
      <x:c r="J1702" s="11" t="n">
        <x:v>28663</x:v>
      </x:c>
      <x:c r="K1702" s="12" t="n">
        <x:v>0.6539602129604433</x:v>
      </x:c>
      <x:c r="L1702" s="12" t="n">
        <x:v>0.9662788235294117</x:v>
      </x:c>
      <x:c r="M1702" s="8" t="str">
        <x:v>No</x:v>
      </x:c>
    </x:row>
    <x:row r="1703">
      <x:c r="A1703" s="8" t="str">
        <x:v>Telkwa|Other Tangible Capital Assets</x:v>
      </x:c>
      <x:c r="B1703" s="8" t="str">
        <x:v>telkwa-v</x:v>
      </x:c>
      <x:c r="C1703" s="8" t="str">
        <x:v>Telkwa</x:v>
      </x:c>
      <x:c r="D1703" s="8" t="str">
        <x:v>Other Tangible Capital Assets</x:v>
      </x:c>
      <x:c r="E1703" s="11" t="n">
        <x:v>159117</x:v>
      </x:c>
      <x:c r="F1703" s="11" t="n">
        <x:v>149861</x:v>
      </x:c>
      <x:c r="G1703" s="11" t="n">
        <x:v>9256</x:v>
      </x:c>
      <x:c r="H1703" s="11" t="n">
        <x:v>0</x:v>
      </x:c>
      <x:c r="I1703" s="11" t="n">
        <x:v>200000</x:v>
      </x:c>
      <x:c r="J1703" s="11" t="n">
        <x:v>20000</x:v>
      </x:c>
      <x:c r="K1703" s="12" t="n">
        <x:v>0.058171031379425205</x:v>
      </x:c>
      <x:c r="L1703" s="12" t="n">
        <x:v>0.9</x:v>
      </x:c>
      <x:c r="M1703" s="8" t="str">
        <x:v>N/A</x:v>
      </x:c>
    </x:row>
    <x:row r="1704">
      <x:c r="A1704" s="8" t="str">
        <x:v>Telkwa|Work In Progress</x:v>
      </x:c>
      <x:c r="B1704" s="8" t="str">
        <x:v>telkwa-v</x:v>
      </x:c>
      <x:c r="C1704" s="8" t="str">
        <x:v>Telkwa</x:v>
      </x:c>
      <x:c r="D1704" s="8" t="str">
        <x:v>Work In Progress</x:v>
      </x:c>
      <x:c r="E1704" s="11" t="n">
        <x:v>522532</x:v>
      </x:c>
      <x:c r="F1704" s="11"/>
      <x:c r="G1704" s="11" t="n">
        <x:v>522532</x:v>
      </x:c>
      <x:c r="H1704" s="11" t="n">
        <x:v>50536</x:v>
      </x:c>
      <x:c r="I1704" s="11" t="n">
        <x:v>522532</x:v>
      </x:c>
      <x:c r="J1704" s="11"/>
      <x:c r="K1704" s="12" t="n">
        <x:v>1</x:v>
      </x:c>
      <x:c r="L1704" s="12"/>
      <x:c r="M1704" s="8" t="str">
        <x:v>N/A</x:v>
      </x:c>
    </x:row>
    <x:row r="1705">
      <x:c r="A1705" s="8" t="str">
        <x:v>Telkwa|Total TCA</x:v>
      </x:c>
      <x:c r="B1705" s="8" t="str">
        <x:v>telkwa-v</x:v>
      </x:c>
      <x:c r="C1705" s="8" t="str">
        <x:v>Telkwa</x:v>
      </x:c>
      <x:c r="D1705" s="8" t="str">
        <x:v>Total TCA</x:v>
      </x:c>
      <x:c r="E1705" s="11" t="n">
        <x:v>35329896</x:v>
      </x:c>
      <x:c r="F1705" s="11" t="n">
        <x:v>14038795</x:v>
      </x:c>
      <x:c r="G1705" s="11" t="n">
        <x:v>21291101</x:v>
      </x:c>
      <x:c r="H1705" s="11" t="n">
        <x:v>453223</x:v>
      </x:c>
      <x:c r="I1705" s="11" t="n">
        <x:v>91864950</x:v>
      </x:c>
      <x:c r="J1705" s="11" t="n">
        <x:v>1788245</x:v>
      </x:c>
      <x:c r="K1705" s="12" t="n">
        <x:v>0.602636956531092</x:v>
      </x:c>
      <x:c r="L1705" s="12" t="n">
        <x:v>0.980533979499254</x:v>
      </x:c>
      <x:c r="M1705" s="8"/>
    </x:row>
    <x:row r="1706">
      <x:c r="A1706" s="8" t="str">
        <x:v>Terrace|Land</x:v>
      </x:c>
      <x:c r="B1706" s="8" t="str">
        <x:v>terrace-c</x:v>
      </x:c>
      <x:c r="C1706" s="8" t="str">
        <x:v>Terrace</x:v>
      </x:c>
      <x:c r="D1706" s="8" t="str">
        <x:v>Land</x:v>
      </x:c>
      <x:c r="E1706" s="11" t="n">
        <x:v>10524327</x:v>
      </x:c>
      <x:c r="F1706" s="11"/>
      <x:c r="G1706" s="11" t="n">
        <x:v>10524327</x:v>
      </x:c>
      <x:c r="H1706" s="11" t="n">
        <x:v>0</x:v>
      </x:c>
      <x:c r="I1706" s="11" t="n">
        <x:v>10524327</x:v>
      </x:c>
      <x:c r="J1706" s="11"/>
      <x:c r="K1706" s="12" t="n">
        <x:v>1</x:v>
      </x:c>
      <x:c r="L1706" s="12"/>
      <x:c r="M1706" s="8" t="str">
        <x:v>N/A</x:v>
      </x:c>
    </x:row>
    <x:row r="1707">
      <x:c r="A1707" s="8" t="str">
        <x:v>Terrace|Buildings</x:v>
      </x:c>
      <x:c r="B1707" s="8" t="str">
        <x:v>terrace-c</x:v>
      </x:c>
      <x:c r="C1707" s="8" t="str">
        <x:v>Terrace</x:v>
      </x:c>
      <x:c r="D1707" s="8" t="str">
        <x:v>Buildings</x:v>
      </x:c>
      <x:c r="E1707" s="11" t="n">
        <x:v>37680234</x:v>
      </x:c>
      <x:c r="F1707" s="11" t="n">
        <x:v>20308606</x:v>
      </x:c>
      <x:c r="G1707" s="11" t="n">
        <x:v>17371628</x:v>
      </x:c>
      <x:c r="H1707" s="11" t="n">
        <x:v>468450</x:v>
      </x:c>
      <x:c r="I1707" s="11" t="n">
        <x:v>69475527</x:v>
      </x:c>
      <x:c r="J1707" s="11" t="n">
        <x:v>2171110</x:v>
      </x:c>
      <x:c r="K1707" s="12" t="n">
        <x:v>0.46102760402177967</x:v>
      </x:c>
      <x:c r="L1707" s="12" t="n">
        <x:v>0.9687500031485907</x:v>
      </x:c>
      <x:c r="M1707" s="8" t="str">
        <x:v>No</x:v>
      </x:c>
    </x:row>
    <x:row r="1708">
      <x:c r="A1708" s="8" t="str">
        <x:v>Terrace|Fleet</x:v>
      </x:c>
      <x:c r="B1708" s="8" t="str">
        <x:v>terrace-c</x:v>
      </x:c>
      <x:c r="C1708" s="8" t="str">
        <x:v>Terrace</x:v>
      </x:c>
      <x:c r="D1708" s="8" t="str">
        <x:v>Fleet</x:v>
      </x:c>
      <x:c r="E1708" s="11" t="n">
        <x:v>9471067</x:v>
      </x:c>
      <x:c r="F1708" s="11" t="n">
        <x:v>3494415</x:v>
      </x:c>
      <x:c r="G1708" s="11" t="n">
        <x:v>5976652</x:v>
      </x:c>
      <x:c r="H1708" s="11" t="n">
        <x:v>613549</x:v>
      </x:c>
      <x:c r="I1708" s="11" t="n">
        <x:v>11361473</x:v>
      </x:c>
      <x:c r="J1708" s="11" t="n">
        <x:v>757432</x:v>
      </x:c>
      <x:c r="K1708" s="12" t="n">
        <x:v>0.6310431549053555</x:v>
      </x:c>
      <x:c r="L1708" s="12" t="n">
        <x:v>0.9333332922588471</x:v>
      </x:c>
      <x:c r="M1708" s="8" t="str">
        <x:v>No</x:v>
      </x:c>
    </x:row>
    <x:row r="1709">
      <x:c r="A1709" s="8" t="str">
        <x:v>Terrace|Parks and Recreation</x:v>
      </x:c>
      <x:c r="B1709" s="8" t="str">
        <x:v>terrace-c</x:v>
      </x:c>
      <x:c r="C1709" s="8" t="str">
        <x:v>Terrace</x:v>
      </x:c>
      <x:c r="D1709" s="8" t="str">
        <x:v>Parks and Recreation</x:v>
      </x:c>
      <x:c r="E1709" s="11" t="n">
        <x:v>9817158</x:v>
      </x:c>
      <x:c r="F1709" s="11" t="n">
        <x:v>4071568</x:v>
      </x:c>
      <x:c r="G1709" s="11" t="n">
        <x:v>5745590</x:v>
      </x:c>
      <x:c r="H1709" s="11" t="n">
        <x:v>1966757</x:v>
      </x:c>
      <x:c r="I1709" s="11" t="n">
        <x:v>12543845</x:v>
      </x:c>
      <x:c r="J1709" s="11" t="n">
        <x:v>627192</x:v>
      </x:c>
      <x:c r="K1709" s="12" t="n">
        <x:v>0.5852600110948607</x:v>
      </x:c>
      <x:c r="L1709" s="12" t="n">
        <x:v>0.9500000199300932</x:v>
      </x:c>
      <x:c r="M1709" s="8" t="str">
        <x:v>No</x:v>
      </x:c>
    </x:row>
    <x:row r="1710">
      <x:c r="A1710" s="8" t="str">
        <x:v>Terrace|Water System</x:v>
      </x:c>
      <x:c r="B1710" s="8" t="str">
        <x:v>terrace-c</x:v>
      </x:c>
      <x:c r="C1710" s="8" t="str">
        <x:v>Terrace</x:v>
      </x:c>
      <x:c r="D1710" s="8" t="str">
        <x:v>Water System</x:v>
      </x:c>
      <x:c r="E1710" s="11" t="n">
        <x:v>18840573</x:v>
      </x:c>
      <x:c r="F1710" s="11" t="n">
        <x:v>9704046</x:v>
      </x:c>
      <x:c r="G1710" s="11" t="n">
        <x:v>9136527</x:v>
      </x:c>
      <x:c r="H1710" s="11" t="n">
        <x:v>209724</x:v>
      </x:c>
      <x:c r="I1710" s="11" t="n">
        <x:v>59503287</x:v>
      </x:c>
      <x:c r="J1710" s="11" t="n">
        <x:v>883244</x:v>
      </x:c>
      <x:c r="K1710" s="12" t="n">
        <x:v>0.48493891348208995</x:v>
      </x:c>
      <x:c r="L1710" s="12" t="n">
        <x:v>0.9851563830414949</x:v>
      </x:c>
      <x:c r="M1710" s="8" t="str">
        <x:v>No</x:v>
      </x:c>
    </x:row>
    <x:row r="1711">
      <x:c r="A1711" s="8" t="str">
        <x:v>Terrace|Sewer System</x:v>
      </x:c>
      <x:c r="B1711" s="8" t="str">
        <x:v>terrace-c</x:v>
      </x:c>
      <x:c r="C1711" s="8" t="str">
        <x:v>Terrace</x:v>
      </x:c>
      <x:c r="D1711" s="8" t="str">
        <x:v>Sewer System</x:v>
      </x:c>
      <x:c r="E1711" s="11" t="n">
        <x:v>18314643</x:v>
      </x:c>
      <x:c r="F1711" s="11" t="n">
        <x:v>10641013</x:v>
      </x:c>
      <x:c r="G1711" s="11" t="n">
        <x:v>7673630</x:v>
      </x:c>
      <x:c r="H1711" s="11" t="n">
        <x:v>242573</x:v>
      </x:c>
      <x:c r="I1711" s="11" t="n">
        <x:v>56517223</x:v>
      </x:c>
      <x:c r="J1711" s="11" t="n">
        <x:v>875410</x:v>
      </x:c>
      <x:c r="K1711" s="12" t="n">
        <x:v>0.41898878400195955</x:v>
      </x:c>
      <x:c r="L1711" s="12" t="n">
        <x:v>0.9845107393192337</x:v>
      </x:c>
      <x:c r="M1711" s="8" t="str">
        <x:v>In_Progress</x:v>
      </x:c>
    </x:row>
    <x:row r="1712">
      <x:c r="A1712" s="8" t="str">
        <x:v>Terrace|Drainage System</x:v>
      </x:c>
      <x:c r="B1712" s="8" t="str">
        <x:v>terrace-c</x:v>
      </x:c>
      <x:c r="C1712" s="8" t="str">
        <x:v>Terrace</x:v>
      </x:c>
      <x:c r="D1712" s="8" t="str">
        <x:v>Drainage System</x:v>
      </x:c>
      <x:c r="E1712" s="11" t="n">
        <x:v>15004009</x:v>
      </x:c>
      <x:c r="F1712" s="11" t="n">
        <x:v>7682119</x:v>
      </x:c>
      <x:c r="G1712" s="11" t="n">
        <x:v>7321890</x:v>
      </x:c>
      <x:c r="H1712" s="11" t="n">
        <x:v>0</x:v>
      </x:c>
      <x:c r="I1712" s="11" t="n">
        <x:v>32952284</x:v>
      </x:c>
      <x:c r="J1712" s="11" t="n">
        <x:v>470747</x:v>
      </x:c>
      <x:c r="K1712" s="12" t="n">
        <x:v>0.48799557504930846</x:v>
      </x:c>
      <x:c r="L1712" s="12" t="n">
        <x:v>0.985714283113122</x:v>
      </x:c>
      <x:c r="M1712" s="8" t="str">
        <x:v>No</x:v>
      </x:c>
    </x:row>
    <x:row r="1713">
      <x:c r="A1713" s="8" t="str">
        <x:v>Terrace|Transportation System</x:v>
      </x:c>
      <x:c r="B1713" s="8" t="str">
        <x:v>terrace-c</x:v>
      </x:c>
      <x:c r="C1713" s="8" t="str">
        <x:v>Terrace</x:v>
      </x:c>
      <x:c r="D1713" s="8" t="str">
        <x:v>Transportation System</x:v>
      </x:c>
      <x:c r="E1713" s="11" t="n">
        <x:v>61546137</x:v>
      </x:c>
      <x:c r="F1713" s="11" t="n">
        <x:v>35152430</x:v>
      </x:c>
      <x:c r="G1713" s="11" t="n">
        <x:v>26393707</x:v>
      </x:c>
      <x:c r="H1713" s="11" t="n">
        <x:v>0</x:v>
      </x:c>
      <x:c r="I1713" s="11" t="n">
        <x:v>112881604</x:v>
      </x:c>
      <x:c r="J1713" s="11" t="n">
        <x:v>1866217</x:v>
      </x:c>
      <x:c r="K1713" s="12" t="n">
        <x:v>0.42884425061478676</x:v>
      </x:c>
      <x:c r="L1713" s="12" t="n">
        <x:v>0.983467483328816</x:v>
      </x:c>
      <x:c r="M1713" s="8" t="str">
        <x:v>No</x:v>
      </x:c>
    </x:row>
    <x:row r="1714">
      <x:c r="A1714" s="8" t="str">
        <x:v>Terrace|Other Engineering Systems</x:v>
      </x:c>
      <x:c r="B1714" s="8" t="str">
        <x:v>terrace-c</x:v>
      </x:c>
      <x:c r="C1714" s="8" t="str">
        <x:v>Terrace</x:v>
      </x:c>
      <x:c r="D1714" s="8" t="str">
        <x:v>Other Engineering Systems</x:v>
      </x:c>
      <x:c r="E1714" s="11" t="n">
        <x:v>0</x:v>
      </x:c>
      <x:c r="F1714" s="11" t="n">
        <x:v>0</x:v>
      </x:c>
      <x:c r="G1714" s="11" t="n">
        <x:v>0</x:v>
      </x:c>
      <x:c r="H1714" s="11" t="n">
        <x:v>0</x:v>
      </x:c>
      <x:c r="I1714" s="11" t="n">
        <x:v>0</x:v>
      </x:c>
      <x:c r="J1714" s="11" t="n">
        <x:v>0</x:v>
      </x:c>
      <x:c r="K1714" s="12"/>
      <x:c r="L1714" s="12"/>
      <x:c r="M1714" s="8"/>
    </x:row>
    <x:row r="1715">
      <x:c r="A1715" s="8" t="str">
        <x:v>Terrace|Other Tangible Capital Assets</x:v>
      </x:c>
      <x:c r="B1715" s="8" t="str">
        <x:v>terrace-c</x:v>
      </x:c>
      <x:c r="C1715" s="8" t="str">
        <x:v>Terrace</x:v>
      </x:c>
      <x:c r="D1715" s="8" t="str">
        <x:v>Other Tangible Capital Assets</x:v>
      </x:c>
      <x:c r="E1715" s="11" t="n">
        <x:v>2893412</x:v>
      </x:c>
      <x:c r="F1715" s="11" t="n">
        <x:v>1499068</x:v>
      </x:c>
      <x:c r="G1715" s="11" t="n">
        <x:v>1394344</x:v>
      </x:c>
      <x:c r="H1715" s="11" t="n">
        <x:v>483471</x:v>
      </x:c>
      <x:c r="I1715" s="11" t="n">
        <x:v>3477727</x:v>
      </x:c>
      <x:c r="J1715" s="11" t="n">
        <x:v>248409</x:v>
      </x:c>
      <x:c r="K1715" s="12" t="n">
        <x:v>0.4819030265997376</x:v>
      </x:c>
      <x:c r="L1715" s="12" t="n">
        <x:v>0.9285714491102953</x:v>
      </x:c>
      <x:c r="M1715" s="8" t="str">
        <x:v>N/A</x:v>
      </x:c>
    </x:row>
    <x:row r="1716">
      <x:c r="A1716" s="8" t="str">
        <x:v>Terrace|Work In Progress</x:v>
      </x:c>
      <x:c r="B1716" s="8" t="str">
        <x:v>terrace-c</x:v>
      </x:c>
      <x:c r="C1716" s="8" t="str">
        <x:v>Terrace</x:v>
      </x:c>
      <x:c r="D1716" s="8" t="str">
        <x:v>Work In Progress</x:v>
      </x:c>
      <x:c r="E1716" s="11" t="n">
        <x:v>7078023</x:v>
      </x:c>
      <x:c r="F1716" s="11"/>
      <x:c r="G1716" s="11" t="n">
        <x:v>7078023</x:v>
      </x:c>
      <x:c r="H1716" s="11" t="n">
        <x:v>1382952</x:v>
      </x:c>
      <x:c r="I1716" s="11" t="n">
        <x:v>7078023</x:v>
      </x:c>
      <x:c r="J1716" s="11"/>
      <x:c r="K1716" s="12" t="n">
        <x:v>1</x:v>
      </x:c>
      <x:c r="L1716" s="12"/>
      <x:c r="M1716" s="8" t="str">
        <x:v>N/A</x:v>
      </x:c>
    </x:row>
    <x:row r="1717">
      <x:c r="A1717" s="8" t="str">
        <x:v>Terrace|Total TCA</x:v>
      </x:c>
      <x:c r="B1717" s="8" t="str">
        <x:v>terrace-c</x:v>
      </x:c>
      <x:c r="C1717" s="8" t="str">
        <x:v>Terrace</x:v>
      </x:c>
      <x:c r="D1717" s="8" t="str">
        <x:v>Total TCA</x:v>
      </x:c>
      <x:c r="E1717" s="11" t="n">
        <x:v>191169583</x:v>
      </x:c>
      <x:c r="F1717" s="11" t="n">
        <x:v>92553265</x:v>
      </x:c>
      <x:c r="G1717" s="11" t="n">
        <x:v>98616318</x:v>
      </x:c>
      <x:c r="H1717" s="11" t="n">
        <x:v>5367476</x:v>
      </x:c>
      <x:c r="I1717" s="11" t="n">
        <x:v>376315320</x:v>
      </x:c>
      <x:c r="J1717" s="11" t="n">
        <x:v>7899761</x:v>
      </x:c>
      <x:c r="K1717" s="12" t="n">
        <x:v>0.5158577868530476</x:v>
      </x:c>
      <x:c r="L1717" s="12" t="n">
        <x:v>0.9790076019227705</x:v>
      </x:c>
      <x:c r="M1717" s="8"/>
    </x:row>
    <x:row r="1718">
      <x:c r="A1718" s="8" t="str">
        <x:v>Tofino|Land</x:v>
      </x:c>
      <x:c r="B1718" s="8" t="str">
        <x:v>tofino-d</x:v>
      </x:c>
      <x:c r="C1718" s="8" t="str">
        <x:v>Tofino</x:v>
      </x:c>
      <x:c r="D1718" s="8" t="str">
        <x:v>Land</x:v>
      </x:c>
      <x:c r="E1718" s="11" t="n">
        <x:v>7032143</x:v>
      </x:c>
      <x:c r="F1718" s="11"/>
      <x:c r="G1718" s="11" t="n">
        <x:v>7032143</x:v>
      </x:c>
      <x:c r="H1718" s="11" t="n">
        <x:v>1889672</x:v>
      </x:c>
      <x:c r="I1718" s="11" t="n">
        <x:v>7032143</x:v>
      </x:c>
      <x:c r="J1718" s="11"/>
      <x:c r="K1718" s="12" t="n">
        <x:v>1</x:v>
      </x:c>
      <x:c r="L1718" s="12"/>
      <x:c r="M1718" s="8" t="str">
        <x:v>N/A</x:v>
      </x:c>
    </x:row>
    <x:row r="1719">
      <x:c r="A1719" s="8" t="str">
        <x:v>Tofino|Buildings</x:v>
      </x:c>
      <x:c r="B1719" s="8" t="str">
        <x:v>tofino-d</x:v>
      </x:c>
      <x:c r="C1719" s="8" t="str">
        <x:v>Tofino</x:v>
      </x:c>
      <x:c r="D1719" s="8" t="str">
        <x:v>Buildings</x:v>
      </x:c>
      <x:c r="E1719" s="11" t="n">
        <x:v>9181403</x:v>
      </x:c>
      <x:c r="F1719" s="11" t="n">
        <x:v>2307922</x:v>
      </x:c>
      <x:c r="G1719" s="11" t="n">
        <x:v>6873481</x:v>
      </x:c>
      <x:c r="H1719" s="11" t="n">
        <x:v>2354448</x:v>
      </x:c>
      <x:c r="I1719" s="11" t="n">
        <x:v>9181403</x:v>
      </x:c>
      <x:c r="J1719" s="11" t="n">
        <x:v>2307922</x:v>
      </x:c>
      <x:c r="K1719" s="12" t="n">
        <x:v>0.7486307920477949</x:v>
      </x:c>
      <x:c r="L1719" s="12" t="n">
        <x:v>0.7486307920477948</x:v>
      </x:c>
      <x:c r="M1719" s="8" t="str">
        <x:v>No</x:v>
      </x:c>
    </x:row>
    <x:row r="1720">
      <x:c r="A1720" s="8" t="str">
        <x:v>Tofino|Fleet</x:v>
      </x:c>
      <x:c r="B1720" s="8" t="str">
        <x:v>tofino-d</x:v>
      </x:c>
      <x:c r="C1720" s="8" t="str">
        <x:v>Tofino</x:v>
      </x:c>
      <x:c r="D1720" s="8" t="str">
        <x:v>Fleet</x:v>
      </x:c>
      <x:c r="E1720" s="11" t="n">
        <x:v>2853492</x:v>
      </x:c>
      <x:c r="F1720" s="11" t="n">
        <x:v>1589490</x:v>
      </x:c>
      <x:c r="G1720" s="11" t="n">
        <x:v>1264002</x:v>
      </x:c>
      <x:c r="H1720" s="11" t="n">
        <x:v>308056</x:v>
      </x:c>
      <x:c r="I1720" s="11" t="n">
        <x:v>2853492</x:v>
      </x:c>
      <x:c r="J1720" s="11" t="n">
        <x:v>1589490</x:v>
      </x:c>
      <x:c r="K1720" s="12" t="n">
        <x:v>0.44296672287849415</x:v>
      </x:c>
      <x:c r="L1720" s="12" t="n">
        <x:v>0.44296672287849415</x:v>
      </x:c>
      <x:c r="M1720" s="8" t="str">
        <x:v>Yes</x:v>
      </x:c>
    </x:row>
    <x:row r="1721">
      <x:c r="A1721" s="8" t="str">
        <x:v>Tofino|Parks and Recreation</x:v>
      </x:c>
      <x:c r="B1721" s="8" t="str">
        <x:v>tofino-d</x:v>
      </x:c>
      <x:c r="C1721" s="8" t="str">
        <x:v>Tofino</x:v>
      </x:c>
      <x:c r="D1721" s="8" t="str">
        <x:v>Parks and Recreation</x:v>
      </x:c>
      <x:c r="E1721" s="11" t="n">
        <x:v>594989</x:v>
      </x:c>
      <x:c r="F1721" s="11" t="n">
        <x:v>0</x:v>
      </x:c>
      <x:c r="G1721" s="11" t="n">
        <x:v>594989</x:v>
      </x:c>
      <x:c r="H1721" s="11" t="n">
        <x:v>230594</x:v>
      </x:c>
      <x:c r="I1721" s="11" t="n">
        <x:v>594989</x:v>
      </x:c>
      <x:c r="J1721" s="11" t="n">
        <x:v>0</x:v>
      </x:c>
      <x:c r="K1721" s="12" t="n">
        <x:v>1</x:v>
      </x:c>
      <x:c r="L1721" s="12" t="n">
        <x:v>1</x:v>
      </x:c>
      <x:c r="M1721" s="8" t="str">
        <x:v>No</x:v>
      </x:c>
    </x:row>
    <x:row r="1722">
      <x:c r="A1722" s="8" t="str">
        <x:v>Tofino|Water System</x:v>
      </x:c>
      <x:c r="B1722" s="8" t="str">
        <x:v>tofino-d</x:v>
      </x:c>
      <x:c r="C1722" s="8" t="str">
        <x:v>Tofino</x:v>
      </x:c>
      <x:c r="D1722" s="8" t="str">
        <x:v>Water System</x:v>
      </x:c>
      <x:c r="E1722" s="11" t="n">
        <x:v>16135355</x:v>
      </x:c>
      <x:c r="F1722" s="11" t="n">
        <x:v>5670696</x:v>
      </x:c>
      <x:c r="G1722" s="11" t="n">
        <x:v>10464659</x:v>
      </x:c>
      <x:c r="H1722" s="11" t="n">
        <x:v>994081</x:v>
      </x:c>
      <x:c r="I1722" s="11" t="n">
        <x:v>16135355</x:v>
      </x:c>
      <x:c r="J1722" s="11" t="n">
        <x:v>5670696</x:v>
      </x:c>
      <x:c r="K1722" s="12" t="n">
        <x:v>0.648554618104157</x:v>
      </x:c>
      <x:c r="L1722" s="12" t="n">
        <x:v>0.648554618104157</x:v>
      </x:c>
      <x:c r="M1722" s="8" t="str">
        <x:v>No</x:v>
      </x:c>
    </x:row>
    <x:row r="1723">
      <x:c r="A1723" s="8" t="str">
        <x:v>Tofino|Sewer System</x:v>
      </x:c>
      <x:c r="B1723" s="8" t="str">
        <x:v>tofino-d</x:v>
      </x:c>
      <x:c r="C1723" s="8" t="str">
        <x:v>Tofino</x:v>
      </x:c>
      <x:c r="D1723" s="8" t="str">
        <x:v>Sewer System</x:v>
      </x:c>
      <x:c r="E1723" s="11" t="n">
        <x:v>80112570</x:v>
      </x:c>
      <x:c r="F1723" s="11" t="n">
        <x:v>2648212</x:v>
      </x:c>
      <x:c r="G1723" s="11" t="n">
        <x:v>77464358</x:v>
      </x:c>
      <x:c r="H1723" s="11" t="n">
        <x:v>15451475</x:v>
      </x:c>
      <x:c r="I1723" s="11" t="n">
        <x:v>80112570</x:v>
      </x:c>
      <x:c r="J1723" s="11" t="n">
        <x:v>2648212</x:v>
      </x:c>
      <x:c r="K1723" s="12" t="n">
        <x:v>0.9669438641152069</x:v>
      </x:c>
      <x:c r="L1723" s="12" t="n">
        <x:v>0.9669438641152069</x:v>
      </x:c>
      <x:c r="M1723" s="8" t="str">
        <x:v>No</x:v>
      </x:c>
    </x:row>
    <x:row r="1724">
      <x:c r="A1724" s="8" t="str">
        <x:v>Tofino|Drainage System</x:v>
      </x:c>
      <x:c r="B1724" s="8" t="str">
        <x:v>tofino-d</x:v>
      </x:c>
      <x:c r="C1724" s="8" t="str">
        <x:v>Tofino</x:v>
      </x:c>
      <x:c r="D1724" s="8" t="str">
        <x:v>Drainage System</x:v>
      </x:c>
      <x:c r="E1724" s="11" t="n">
        <x:v>0</x:v>
      </x:c>
      <x:c r="F1724" s="11" t="n">
        <x:v>0</x:v>
      </x:c>
      <x:c r="G1724" s="11" t="n">
        <x:v>0</x:v>
      </x:c>
      <x:c r="H1724" s="11" t="n">
        <x:v>0</x:v>
      </x:c>
      <x:c r="I1724" s="11" t="n">
        <x:v>0</x:v>
      </x:c>
      <x:c r="J1724" s="11" t="n">
        <x:v>0</x:v>
      </x:c>
      <x:c r="K1724" s="12"/>
      <x:c r="L1724" s="12"/>
      <x:c r="M1724" s="8"/>
    </x:row>
    <x:row r="1725">
      <x:c r="A1725" s="8" t="str">
        <x:v>Tofino|Transportation System</x:v>
      </x:c>
      <x:c r="B1725" s="8" t="str">
        <x:v>tofino-d</x:v>
      </x:c>
      <x:c r="C1725" s="8" t="str">
        <x:v>Tofino</x:v>
      </x:c>
      <x:c r="D1725" s="8" t="str">
        <x:v>Transportation System</x:v>
      </x:c>
      <x:c r="E1725" s="11" t="n">
        <x:v>16869990</x:v>
      </x:c>
      <x:c r="F1725" s="11" t="n">
        <x:v>4771880</x:v>
      </x:c>
      <x:c r="G1725" s="11" t="n">
        <x:v>12098110</x:v>
      </x:c>
      <x:c r="H1725" s="11" t="n">
        <x:v>2956432</x:v>
      </x:c>
      <x:c r="I1725" s="11" t="n">
        <x:v>16869990</x:v>
      </x:c>
      <x:c r="J1725" s="11" t="n">
        <x:v>4771880</x:v>
      </x:c>
      <x:c r="K1725" s="12" t="n">
        <x:v>0.7171379473253985</x:v>
      </x:c>
      <x:c r="L1725" s="12" t="n">
        <x:v>0.7171379473253985</x:v>
      </x:c>
      <x:c r="M1725" s="8" t="str">
        <x:v>No</x:v>
      </x:c>
    </x:row>
    <x:row r="1726">
      <x:c r="A1726" s="8" t="str">
        <x:v>Tofino|Other Engineering Systems</x:v>
      </x:c>
      <x:c r="B1726" s="8" t="str">
        <x:v>tofino-d</x:v>
      </x:c>
      <x:c r="C1726" s="8" t="str">
        <x:v>Tofino</x:v>
      </x:c>
      <x:c r="D1726" s="8" t="str">
        <x:v>Other Engineering Systems</x:v>
      </x:c>
      <x:c r="E1726" s="11" t="n">
        <x:v>0</x:v>
      </x:c>
      <x:c r="F1726" s="11" t="n">
        <x:v>0</x:v>
      </x:c>
      <x:c r="G1726" s="11" t="n">
        <x:v>0</x:v>
      </x:c>
      <x:c r="H1726" s="11" t="n">
        <x:v>0</x:v>
      </x:c>
      <x:c r="I1726" s="11" t="n">
        <x:v>0</x:v>
      </x:c>
      <x:c r="J1726" s="11" t="n">
        <x:v>0</x:v>
      </x:c>
      <x:c r="K1726" s="12"/>
      <x:c r="L1726" s="12"/>
      <x:c r="M1726" s="8"/>
    </x:row>
    <x:row r="1727">
      <x:c r="A1727" s="8" t="str">
        <x:v>Tofino|Other Tangible Capital Assets</x:v>
      </x:c>
      <x:c r="B1727" s="8" t="str">
        <x:v>tofino-d</x:v>
      </x:c>
      <x:c r="C1727" s="8" t="str">
        <x:v>Tofino</x:v>
      </x:c>
      <x:c r="D1727" s="8" t="str">
        <x:v>Other Tangible Capital Assets</x:v>
      </x:c>
      <x:c r="E1727" s="11" t="n">
        <x:v>5279458</x:v>
      </x:c>
      <x:c r="F1727" s="11" t="n">
        <x:v>2690884</x:v>
      </x:c>
      <x:c r="G1727" s="11" t="n">
        <x:v>2588574</x:v>
      </x:c>
      <x:c r="H1727" s="11" t="n">
        <x:v>400254</x:v>
      </x:c>
      <x:c r="I1727" s="11" t="n">
        <x:v>5279458</x:v>
      </x:c>
      <x:c r="J1727" s="11" t="n">
        <x:v>2690884</x:v>
      </x:c>
      <x:c r="K1727" s="12" t="n">
        <x:v>0.49031055839444126</x:v>
      </x:c>
      <x:c r="L1727" s="12" t="n">
        <x:v>0.49031055839444126</x:v>
      </x:c>
      <x:c r="M1727" s="8" t="str">
        <x:v>N/A</x:v>
      </x:c>
    </x:row>
    <x:row r="1728">
      <x:c r="A1728" s="8" t="str">
        <x:v>Tofino|Work In Progress</x:v>
      </x:c>
      <x:c r="B1728" s="8" t="str">
        <x:v>tofino-d</x:v>
      </x:c>
      <x:c r="C1728" s="8" t="str">
        <x:v>Tofino</x:v>
      </x:c>
      <x:c r="D1728" s="8" t="str">
        <x:v>Work In Progress</x:v>
      </x:c>
      <x:c r="E1728" s="11" t="n">
        <x:v>1235333</x:v>
      </x:c>
      <x:c r="F1728" s="11"/>
      <x:c r="G1728" s="11" t="n">
        <x:v>1235333</x:v>
      </x:c>
      <x:c r="H1728" s="11" t="n">
        <x:v>116053</x:v>
      </x:c>
      <x:c r="I1728" s="11" t="n">
        <x:v>1235333</x:v>
      </x:c>
      <x:c r="J1728" s="11"/>
      <x:c r="K1728" s="12" t="n">
        <x:v>1</x:v>
      </x:c>
      <x:c r="L1728" s="12"/>
      <x:c r="M1728" s="8" t="str">
        <x:v>N/A</x:v>
      </x:c>
    </x:row>
    <x:row r="1729">
      <x:c r="A1729" s="8" t="str">
        <x:v>Tofino|Total TCA</x:v>
      </x:c>
      <x:c r="B1729" s="8" t="str">
        <x:v>tofino-d</x:v>
      </x:c>
      <x:c r="C1729" s="8" t="str">
        <x:v>Tofino</x:v>
      </x:c>
      <x:c r="D1729" s="8" t="str">
        <x:v>Total TCA</x:v>
      </x:c>
      <x:c r="E1729" s="11" t="n">
        <x:v>139294733</x:v>
      </x:c>
      <x:c r="F1729" s="11" t="n">
        <x:v>19679084</x:v>
      </x:c>
      <x:c r="G1729" s="11" t="n">
        <x:v>119615649</x:v>
      </x:c>
      <x:c r="H1729" s="11" t="n">
        <x:v>24701065</x:v>
      </x:c>
      <x:c r="I1729" s="11" t="n">
        <x:v>139294733</x:v>
      </x:c>
      <x:c r="J1729" s="11" t="n">
        <x:v>19679084</x:v>
      </x:c>
      <x:c r="K1729" s="12" t="n">
        <x:v>0.8587234163405159</x:v>
      </x:c>
      <x:c r="L1729" s="12" t="n">
        <x:v>0.858723416340516</x:v>
      </x:c>
      <x:c r="M1729" s="8"/>
    </x:row>
    <x:row r="1730">
      <x:c r="A1730" s="8" t="str">
        <x:v>Trail|Land</x:v>
      </x:c>
      <x:c r="B1730" s="8" t="str">
        <x:v>trail-c</x:v>
      </x:c>
      <x:c r="C1730" s="8" t="str">
        <x:v>Trail</x:v>
      </x:c>
      <x:c r="D1730" s="8" t="str">
        <x:v>Land</x:v>
      </x:c>
      <x:c r="E1730" s="11" t="n">
        <x:v>11594587</x:v>
      </x:c>
      <x:c r="F1730" s="11"/>
      <x:c r="G1730" s="11" t="n">
        <x:v>11594587</x:v>
      </x:c>
      <x:c r="H1730" s="11" t="n">
        <x:v>399884</x:v>
      </x:c>
      <x:c r="I1730" s="11" t="n">
        <x:v>11594587</x:v>
      </x:c>
      <x:c r="J1730" s="11"/>
      <x:c r="K1730" s="12" t="n">
        <x:v>1</x:v>
      </x:c>
      <x:c r="L1730" s="12"/>
      <x:c r="M1730" s="8" t="str">
        <x:v>N/A</x:v>
      </x:c>
    </x:row>
    <x:row r="1731">
      <x:c r="A1731" s="8" t="str">
        <x:v>Trail|Buildings</x:v>
      </x:c>
      <x:c r="B1731" s="8" t="str">
        <x:v>trail-c</x:v>
      </x:c>
      <x:c r="C1731" s="8" t="str">
        <x:v>Trail</x:v>
      </x:c>
      <x:c r="D1731" s="8" t="str">
        <x:v>Buildings</x:v>
      </x:c>
      <x:c r="E1731" s="11" t="n">
        <x:v>47597232</x:v>
      </x:c>
      <x:c r="F1731" s="11" t="n">
        <x:v>22723336</x:v>
      </x:c>
      <x:c r="G1731" s="11" t="n">
        <x:v>24873896</x:v>
      </x:c>
      <x:c r="H1731" s="11" t="n">
        <x:v>0</x:v>
      </x:c>
      <x:c r="I1731" s="11" t="n">
        <x:v>148436000</x:v>
      </x:c>
      <x:c r="J1731" s="11" t="n">
        <x:v>1855450</x:v>
      </x:c>
      <x:c r="K1731" s="12" t="n">
        <x:v>0.5225912296748685</x:v>
      </x:c>
      <x:c r="L1731" s="12" t="n">
        <x:v>0.9875</x:v>
      </x:c>
      <x:c r="M1731" s="8" t="str">
        <x:v>No</x:v>
      </x:c>
    </x:row>
    <x:row r="1732">
      <x:c r="A1732" s="8" t="str">
        <x:v>Trail|Fleet</x:v>
      </x:c>
      <x:c r="B1732" s="8" t="str">
        <x:v>trail-c</x:v>
      </x:c>
      <x:c r="C1732" s="8" t="str">
        <x:v>Trail</x:v>
      </x:c>
      <x:c r="D1732" s="8" t="str">
        <x:v>Fleet</x:v>
      </x:c>
      <x:c r="E1732" s="11" t="n">
        <x:v>18406461</x:v>
      </x:c>
      <x:c r="F1732" s="11" t="n">
        <x:v>15189815</x:v>
      </x:c>
      <x:c r="G1732" s="11" t="n">
        <x:v>3216646</x:v>
      </x:c>
      <x:c r="H1732" s="11" t="n">
        <x:v>817431</x:v>
      </x:c>
      <x:c r="I1732" s="11" t="n">
        <x:v>7753000</x:v>
      </x:c>
      <x:c r="J1732" s="11" t="n">
        <x:v>516867</x:v>
      </x:c>
      <x:c r="K1732" s="12" t="n">
        <x:v>0.1747563532174925</x:v>
      </x:c>
      <x:c r="L1732" s="12" t="n">
        <x:v>0.9333332903392235</x:v>
      </x:c>
      <x:c r="M1732" s="8" t="str">
        <x:v>No</x:v>
      </x:c>
    </x:row>
    <x:row r="1733">
      <x:c r="A1733" s="8" t="str">
        <x:v>Trail|Parks and Recreation</x:v>
      </x:c>
      <x:c r="B1733" s="8" t="str">
        <x:v>trail-c</x:v>
      </x:c>
      <x:c r="C1733" s="8" t="str">
        <x:v>Trail</x:v>
      </x:c>
      <x:c r="D1733" s="8" t="str">
        <x:v>Parks and Recreation</x:v>
      </x:c>
      <x:c r="E1733" s="11" t="n">
        <x:v>6740820</x:v>
      </x:c>
      <x:c r="F1733" s="11" t="n">
        <x:v>2584736</x:v>
      </x:c>
      <x:c r="G1733" s="11" t="n">
        <x:v>4156084</x:v>
      </x:c>
      <x:c r="H1733" s="11" t="n">
        <x:v>530522</x:v>
      </x:c>
      <x:c r="I1733" s="11" t="n">
        <x:v>6465656</x:v>
      </x:c>
      <x:c r="J1733" s="11" t="n">
        <x:v>156915</x:v>
      </x:c>
      <x:c r="K1733" s="12" t="n">
        <x:v>0.6165546624891334</x:v>
      </x:c>
      <x:c r="L1733" s="12" t="n">
        <x:v>0.9757310008450806</x:v>
      </x:c>
      <x:c r="M1733" s="8" t="str">
        <x:v>No</x:v>
      </x:c>
    </x:row>
    <x:row r="1734">
      <x:c r="A1734" s="8" t="str">
        <x:v>Trail|Water System</x:v>
      </x:c>
      <x:c r="B1734" s="8" t="str">
        <x:v>trail-c</x:v>
      </x:c>
      <x:c r="C1734" s="8" t="str">
        <x:v>Trail</x:v>
      </x:c>
      <x:c r="D1734" s="8" t="str">
        <x:v>Water System</x:v>
      </x:c>
      <x:c r="E1734" s="11" t="n">
        <x:v>40872662</x:v>
      </x:c>
      <x:c r="F1734" s="11" t="n">
        <x:v>15245413</x:v>
      </x:c>
      <x:c r="G1734" s="11" t="n">
        <x:v>25627249</x:v>
      </x:c>
      <x:c r="H1734" s="11" t="n">
        <x:v>1664012</x:v>
      </x:c>
      <x:c r="I1734" s="11" t="n">
        <x:v>112021300</x:v>
      </x:c>
      <x:c r="J1734" s="11" t="n">
        <x:v>1769466</x:v>
      </x:c>
      <x:c r="K1734" s="12" t="n">
        <x:v>0.6270022001503107</x:v>
      </x:c>
      <x:c r="L1734" s="12" t="n">
        <x:v>0.9842042004511642</x:v>
      </x:c>
      <x:c r="M1734" s="8" t="str">
        <x:v>In_Progress</x:v>
      </x:c>
    </x:row>
    <x:row r="1735">
      <x:c r="A1735" s="8" t="str">
        <x:v>Trail|Sewer System</x:v>
      </x:c>
      <x:c r="B1735" s="8" t="str">
        <x:v>trail-c</x:v>
      </x:c>
      <x:c r="C1735" s="8" t="str">
        <x:v>Trail</x:v>
      </x:c>
      <x:c r="D1735" s="8" t="str">
        <x:v>Sewer System</x:v>
      </x:c>
      <x:c r="E1735" s="11" t="n">
        <x:v>14032097</x:v>
      </x:c>
      <x:c r="F1735" s="11" t="n">
        <x:v>4195865</x:v>
      </x:c>
      <x:c r="G1735" s="11" t="n">
        <x:v>9836232</x:v>
      </x:c>
      <x:c r="H1735" s="11" t="n">
        <x:v>1059450</x:v>
      </x:c>
      <x:c r="I1735" s="11" t="n">
        <x:v>85525000</x:v>
      </x:c>
      <x:c r="J1735" s="11" t="n">
        <x:v>1221786</x:v>
      </x:c>
      <x:c r="K1735" s="12" t="n">
        <x:v>0.7009809011439987</x:v>
      </x:c>
      <x:c r="L1735" s="12" t="n">
        <x:v>0.985714282373575</x:v>
      </x:c>
      <x:c r="M1735" s="8" t="str">
        <x:v>In_Progress</x:v>
      </x:c>
    </x:row>
    <x:row r="1736">
      <x:c r="A1736" s="8" t="str">
        <x:v>Trail|Drainage System</x:v>
      </x:c>
      <x:c r="B1736" s="8" t="str">
        <x:v>trail-c</x:v>
      </x:c>
      <x:c r="C1736" s="8" t="str">
        <x:v>Trail</x:v>
      </x:c>
      <x:c r="D1736" s="8" t="str">
        <x:v>Drainage System</x:v>
      </x:c>
      <x:c r="E1736" s="11" t="n">
        <x:v>12348812</x:v>
      </x:c>
      <x:c r="F1736" s="11" t="n">
        <x:v>4518946</x:v>
      </x:c>
      <x:c r="G1736" s="11" t="n">
        <x:v>7829866</x:v>
      </x:c>
      <x:c r="H1736" s="11" t="n">
        <x:v>281218</x:v>
      </x:c>
      <x:c r="I1736" s="11" t="n">
        <x:v>54000000</x:v>
      </x:c>
      <x:c r="J1736" s="11" t="n">
        <x:v>675000</x:v>
      </x:c>
      <x:c r="K1736" s="12" t="n">
        <x:v>0.6340582397723765</x:v>
      </x:c>
      <x:c r="L1736" s="12" t="n">
        <x:v>0.9875</x:v>
      </x:c>
      <x:c r="M1736" s="8" t="str">
        <x:v>In_Progress</x:v>
      </x:c>
    </x:row>
    <x:row r="1737">
      <x:c r="A1737" s="8" t="str">
        <x:v>Trail|Transportation System</x:v>
      </x:c>
      <x:c r="B1737" s="8" t="str">
        <x:v>trail-c</x:v>
      </x:c>
      <x:c r="C1737" s="8" t="str">
        <x:v>Trail</x:v>
      </x:c>
      <x:c r="D1737" s="8" t="str">
        <x:v>Transportation System</x:v>
      </x:c>
      <x:c r="E1737" s="11" t="n">
        <x:v>57707582</x:v>
      </x:c>
      <x:c r="F1737" s="11" t="n">
        <x:v>36519165</x:v>
      </x:c>
      <x:c r="G1737" s="11" t="n">
        <x:v>21188417</x:v>
      </x:c>
      <x:c r="H1737" s="11" t="n">
        <x:v>2448937</x:v>
      </x:c>
      <x:c r="I1737" s="11" t="n">
        <x:v>104896004</x:v>
      </x:c>
      <x:c r="J1737" s="11" t="n">
        <x:v>2445650</x:v>
      </x:c>
      <x:c r="K1737" s="12" t="n">
        <x:v>0.3671686850438474</x:v>
      </x:c>
      <x:c r="L1737" s="12" t="n">
        <x:v>0.9766850031770514</x:v>
      </x:c>
      <x:c r="M1737" s="8" t="str">
        <x:v>In_Progress</x:v>
      </x:c>
    </x:row>
    <x:row r="1738">
      <x:c r="A1738" s="8" t="str">
        <x:v>Trail|Other Engineering Systems</x:v>
      </x:c>
      <x:c r="B1738" s="8" t="str">
        <x:v>trail-c</x:v>
      </x:c>
      <x:c r="C1738" s="8" t="str">
        <x:v>Trail</x:v>
      </x:c>
      <x:c r="D1738" s="8" t="str">
        <x:v>Other Engineering Systems</x:v>
      </x:c>
      <x:c r="E1738" s="11" t="n">
        <x:v>1768831</x:v>
      </x:c>
      <x:c r="F1738" s="11" t="n">
        <x:v>1071084</x:v>
      </x:c>
      <x:c r="G1738" s="11" t="n">
        <x:v>697747</x:v>
      </x:c>
      <x:c r="H1738" s="11" t="n">
        <x:v>-53114</x:v>
      </x:c>
      <x:c r="I1738" s="11" t="n">
        <x:v>697746</x:v>
      </x:c>
      <x:c r="J1738" s="11" t="n">
        <x:v>18000</x:v>
      </x:c>
      <x:c r="K1738" s="12" t="n">
        <x:v>0.39446787171866615</x:v>
      </x:c>
      <x:c r="L1738" s="12" t="n">
        <x:v>0.9742026468084375</x:v>
      </x:c>
      <x:c r="M1738" s="8" t="str">
        <x:v>No</x:v>
      </x:c>
    </x:row>
    <x:row r="1739">
      <x:c r="A1739" s="8" t="str">
        <x:v>Trail|Other Tangible Capital Assets</x:v>
      </x:c>
      <x:c r="B1739" s="8" t="str">
        <x:v>trail-c</x:v>
      </x:c>
      <x:c r="C1739" s="8" t="str">
        <x:v>Trail</x:v>
      </x:c>
      <x:c r="D1739" s="8" t="str">
        <x:v>Other Tangible Capital Assets</x:v>
      </x:c>
      <x:c r="E1739" s="11" t="n">
        <x:v>0</x:v>
      </x:c>
      <x:c r="F1739" s="11" t="n">
        <x:v>0</x:v>
      </x:c>
      <x:c r="G1739" s="11" t="n">
        <x:v>0</x:v>
      </x:c>
      <x:c r="H1739" s="11" t="n">
        <x:v>0</x:v>
      </x:c>
      <x:c r="I1739" s="11" t="n">
        <x:v>0</x:v>
      </x:c>
      <x:c r="J1739" s="11" t="n">
        <x:v>0</x:v>
      </x:c>
      <x:c r="K1739" s="12"/>
      <x:c r="L1739" s="12"/>
      <x:c r="M1739" s="8" t="str">
        <x:v>N/A</x:v>
      </x:c>
    </x:row>
    <x:row r="1740">
      <x:c r="A1740" s="8" t="str">
        <x:v>Trail|Work In Progress</x:v>
      </x:c>
      <x:c r="B1740" s="8" t="str">
        <x:v>trail-c</x:v>
      </x:c>
      <x:c r="C1740" s="8" t="str">
        <x:v>Trail</x:v>
      </x:c>
      <x:c r="D1740" s="8" t="str">
        <x:v>Work In Progress</x:v>
      </x:c>
      <x:c r="E1740" s="11" t="n">
        <x:v>1910546</x:v>
      </x:c>
      <x:c r="F1740" s="11"/>
      <x:c r="G1740" s="11" t="n">
        <x:v>1910546</x:v>
      </x:c>
      <x:c r="H1740" s="11" t="n">
        <x:v>927397</x:v>
      </x:c>
      <x:c r="I1740" s="11" t="n">
        <x:v>1910546</x:v>
      </x:c>
      <x:c r="J1740" s="11"/>
      <x:c r="K1740" s="12" t="n">
        <x:v>1</x:v>
      </x:c>
      <x:c r="L1740" s="12"/>
      <x:c r="M1740" s="8" t="str">
        <x:v>N/A</x:v>
      </x:c>
    </x:row>
    <x:row r="1741">
      <x:c r="A1741" s="8" t="str">
        <x:v>Trail|Total TCA</x:v>
      </x:c>
      <x:c r="B1741" s="8" t="str">
        <x:v>trail-c</x:v>
      </x:c>
      <x:c r="C1741" s="8" t="str">
        <x:v>Trail</x:v>
      </x:c>
      <x:c r="D1741" s="8" t="str">
        <x:v>Total TCA</x:v>
      </x:c>
      <x:c r="E1741" s="11" t="n">
        <x:v>212979630</x:v>
      </x:c>
      <x:c r="F1741" s="11" t="n">
        <x:v>102048360</x:v>
      </x:c>
      <x:c r="G1741" s="11" t="n">
        <x:v>110931270</x:v>
      </x:c>
      <x:c r="H1741" s="11" t="n">
        <x:v>8075737</x:v>
      </x:c>
      <x:c r="I1741" s="11" t="n">
        <x:v>533299839</x:v>
      </x:c>
      <x:c r="J1741" s="11" t="n">
        <x:v>8659134</x:v>
      </x:c>
      <x:c r="K1741" s="12" t="n">
        <x:v>0.5208538957458044</x:v>
      </x:c>
      <x:c r="L1741" s="12" t="n">
        <x:v>0.9837631040424897</x:v>
      </x:c>
      <x:c r="M1741" s="8"/>
    </x:row>
    <x:row r="1742">
      <x:c r="A1742" s="8" t="str">
        <x:v>Tumbler Ridge|Land</x:v>
      </x:c>
      <x:c r="B1742" s="8" t="str">
        <x:v>tumbler-ridge-d</x:v>
      </x:c>
      <x:c r="C1742" s="8" t="str">
        <x:v>Tumbler Ridge</x:v>
      </x:c>
      <x:c r="D1742" s="8" t="str">
        <x:v>Land</x:v>
      </x:c>
      <x:c r="E1742" s="11" t="n">
        <x:v>7241464</x:v>
      </x:c>
      <x:c r="F1742" s="11"/>
      <x:c r="G1742" s="11" t="n">
        <x:v>7241464</x:v>
      </x:c>
      <x:c r="H1742" s="11" t="n">
        <x:v>0</x:v>
      </x:c>
      <x:c r="I1742" s="11" t="n">
        <x:v>7241464</x:v>
      </x:c>
      <x:c r="J1742" s="11"/>
      <x:c r="K1742" s="12" t="n">
        <x:v>1</x:v>
      </x:c>
      <x:c r="L1742" s="12"/>
      <x:c r="M1742" s="8" t="str">
        <x:v>N/A</x:v>
      </x:c>
    </x:row>
    <x:row r="1743">
      <x:c r="A1743" s="8" t="str">
        <x:v>Tumbler Ridge|Buildings</x:v>
      </x:c>
      <x:c r="B1743" s="8" t="str">
        <x:v>tumbler-ridge-d</x:v>
      </x:c>
      <x:c r="C1743" s="8" t="str">
        <x:v>Tumbler Ridge</x:v>
      </x:c>
      <x:c r="D1743" s="8" t="str">
        <x:v>Buildings</x:v>
      </x:c>
      <x:c r="E1743" s="11" t="n">
        <x:v>40105823</x:v>
      </x:c>
      <x:c r="F1743" s="11" t="n">
        <x:v>28188412</x:v>
      </x:c>
      <x:c r="G1743" s="11" t="n">
        <x:v>11917411</x:v>
      </x:c>
      <x:c r="H1743" s="11" t="n">
        <x:v>0</x:v>
      </x:c>
      <x:c r="I1743" s="11" t="n">
        <x:v>89643200</x:v>
      </x:c>
      <x:c r="J1743" s="11" t="n">
        <x:v>63005800</x:v>
      </x:c>
      <x:c r="K1743" s="12" t="n">
        <x:v>0.2971491446516382</x:v>
      </x:c>
      <x:c r="L1743" s="12" t="n">
        <x:v>0.2971491423777821</x:v>
      </x:c>
      <x:c r="M1743" s="8" t="str">
        <x:v>No</x:v>
      </x:c>
    </x:row>
    <x:row r="1744">
      <x:c r="A1744" s="8" t="str">
        <x:v>Tumbler Ridge|Fleet</x:v>
      </x:c>
      <x:c r="B1744" s="8" t="str">
        <x:v>tumbler-ridge-d</x:v>
      </x:c>
      <x:c r="C1744" s="8" t="str">
        <x:v>Tumbler Ridge</x:v>
      </x:c>
      <x:c r="D1744" s="8" t="str">
        <x:v>Fleet</x:v>
      </x:c>
      <x:c r="E1744" s="11" t="n">
        <x:v>13431811</x:v>
      </x:c>
      <x:c r="F1744" s="11" t="n">
        <x:v>9277239</x:v>
      </x:c>
      <x:c r="G1744" s="11" t="n">
        <x:v>4154572</x:v>
      </x:c>
      <x:c r="H1744" s="11" t="n">
        <x:v>102118</x:v>
      </x:c>
      <x:c r="I1744" s="11" t="n">
        <x:v>13431811</x:v>
      </x:c>
      <x:c r="J1744" s="11" t="n">
        <x:v>9277239</x:v>
      </x:c>
      <x:c r="K1744" s="12" t="n">
        <x:v>0.3093084022698056</x:v>
      </x:c>
      <x:c r="L1744" s="12" t="n">
        <x:v>0.3093084022698056</x:v>
      </x:c>
      <x:c r="M1744" s="8" t="str">
        <x:v>No</x:v>
      </x:c>
    </x:row>
    <x:row r="1745">
      <x:c r="A1745" s="8" t="str">
        <x:v>Tumbler Ridge|Parks and Recreation</x:v>
      </x:c>
      <x:c r="B1745" s="8" t="str">
        <x:v>tumbler-ridge-d</x:v>
      </x:c>
      <x:c r="C1745" s="8" t="str">
        <x:v>Tumbler Ridge</x:v>
      </x:c>
      <x:c r="D1745" s="8" t="str">
        <x:v>Parks and Recreation</x:v>
      </x:c>
      <x:c r="E1745" s="11" t="n">
        <x:v>4888643</x:v>
      </x:c>
      <x:c r="F1745" s="11" t="n">
        <x:v>3196760</x:v>
      </x:c>
      <x:c r="G1745" s="11" t="n">
        <x:v>1691883</x:v>
      </x:c>
      <x:c r="H1745" s="11" t="n">
        <x:v>0</x:v>
      </x:c>
      <x:c r="I1745" s="11" t="n">
        <x:v>4888643</x:v>
      </x:c>
      <x:c r="J1745" s="11" t="n">
        <x:v>3196760</x:v>
      </x:c>
      <x:c r="K1745" s="12" t="n">
        <x:v>0.34608438374411876</x:v>
      </x:c>
      <x:c r="L1745" s="12" t="n">
        <x:v>0.34608438374411876</x:v>
      </x:c>
      <x:c r="M1745" s="8" t="str">
        <x:v>No</x:v>
      </x:c>
    </x:row>
    <x:row r="1746">
      <x:c r="A1746" s="8" t="str">
        <x:v>Tumbler Ridge|Water System</x:v>
      </x:c>
      <x:c r="B1746" s="8" t="str">
        <x:v>tumbler-ridge-d</x:v>
      </x:c>
      <x:c r="C1746" s="8" t="str">
        <x:v>Tumbler Ridge</x:v>
      </x:c>
      <x:c r="D1746" s="8" t="str">
        <x:v>Water System</x:v>
      </x:c>
      <x:c r="E1746" s="11" t="n">
        <x:v>13052787</x:v>
      </x:c>
      <x:c r="F1746" s="11" t="n">
        <x:v>6194840</x:v>
      </x:c>
      <x:c r="G1746" s="11" t="n">
        <x:v>6857947</x:v>
      </x:c>
      <x:c r="H1746" s="11" t="n">
        <x:v>0</x:v>
      </x:c>
      <x:c r="I1746" s="11" t="n">
        <x:v>156176400</x:v>
      </x:c>
      <x:c r="J1746" s="11" t="n">
        <x:v>77301313</x:v>
      </x:c>
      <x:c r="K1746" s="12" t="n">
        <x:v>0.5254009737537279</x:v>
      </x:c>
      <x:c r="L1746" s="12" t="n">
        <x:v>0.5050384501115406</x:v>
      </x:c>
      <x:c r="M1746" s="8" t="str">
        <x:v>No</x:v>
      </x:c>
    </x:row>
    <x:row r="1747">
      <x:c r="A1747" s="8" t="str">
        <x:v>Tumbler Ridge|Sewer System</x:v>
      </x:c>
      <x:c r="B1747" s="8" t="str">
        <x:v>tumbler-ridge-d</x:v>
      </x:c>
      <x:c r="C1747" s="8" t="str">
        <x:v>Tumbler Ridge</x:v>
      </x:c>
      <x:c r="D1747" s="8" t="str">
        <x:v>Sewer System</x:v>
      </x:c>
      <x:c r="E1747" s="11" t="n">
        <x:v>8204278</x:v>
      </x:c>
      <x:c r="F1747" s="11" t="n">
        <x:v>4829791</x:v>
      </x:c>
      <x:c r="G1747" s="11" t="n">
        <x:v>3374487</x:v>
      </x:c>
      <x:c r="H1747" s="11" t="n">
        <x:v>0</x:v>
      </x:c>
      <x:c r="I1747" s="11" t="n">
        <x:v>112693500</x:v>
      </x:c>
      <x:c r="J1747" s="11" t="n">
        <x:v>58867738</x:v>
      </x:c>
      <x:c r="K1747" s="12" t="n">
        <x:v>0.4113082223688666</x:v>
      </x:c>
      <x:c r="L1747" s="12" t="n">
        <x:v>0.47762969470288885</x:v>
      </x:c>
      <x:c r="M1747" s="8" t="str">
        <x:v>No</x:v>
      </x:c>
    </x:row>
    <x:row r="1748">
      <x:c r="A1748" s="8" t="str">
        <x:v>Tumbler Ridge|Drainage System</x:v>
      </x:c>
      <x:c r="B1748" s="8" t="str">
        <x:v>tumbler-ridge-d</x:v>
      </x:c>
      <x:c r="C1748" s="8" t="str">
        <x:v>Tumbler Ridge</x:v>
      </x:c>
      <x:c r="D1748" s="8" t="str">
        <x:v>Drainage System</x:v>
      </x:c>
      <x:c r="E1748" s="11" t="n">
        <x:v>2663142</x:v>
      </x:c>
      <x:c r="F1748" s="11" t="n">
        <x:v>1227495</x:v>
      </x:c>
      <x:c r="G1748" s="11" t="n">
        <x:v>1435647</x:v>
      </x:c>
      <x:c r="H1748" s="11" t="n">
        <x:v>0</x:v>
      </x:c>
      <x:c r="I1748" s="11" t="n">
        <x:v>62370000</x:v>
      </x:c>
      <x:c r="J1748" s="11" t="n">
        <x:v>31185000</x:v>
      </x:c>
      <x:c r="K1748" s="12" t="n">
        <x:v>0.5390801541938056</x:v>
      </x:c>
      <x:c r="L1748" s="12" t="n">
        <x:v>0.5</x:v>
      </x:c>
      <x:c r="M1748" s="8" t="str">
        <x:v>No</x:v>
      </x:c>
    </x:row>
    <x:row r="1749">
      <x:c r="A1749" s="8" t="str">
        <x:v>Tumbler Ridge|Transportation System</x:v>
      </x:c>
      <x:c r="B1749" s="8" t="str">
        <x:v>tumbler-ridge-d</x:v>
      </x:c>
      <x:c r="C1749" s="8" t="str">
        <x:v>Tumbler Ridge</x:v>
      </x:c>
      <x:c r="D1749" s="8" t="str">
        <x:v>Transportation System</x:v>
      </x:c>
      <x:c r="E1749" s="11" t="n">
        <x:v>23233281</x:v>
      </x:c>
      <x:c r="F1749" s="11" t="n">
        <x:v>11900796</x:v>
      </x:c>
      <x:c r="G1749" s="11" t="n">
        <x:v>11332485</x:v>
      </x:c>
      <x:c r="H1749" s="11" t="n">
        <x:v>0</x:v>
      </x:c>
      <x:c r="I1749" s="11" t="n">
        <x:v>268850880</x:v>
      </x:c>
      <x:c r="J1749" s="11" t="n">
        <x:v>86181000</x:v>
      </x:c>
      <x:c r="K1749" s="12" t="n">
        <x:v>0.4877694631249026</x:v>
      </x:c>
      <x:c r="L1749" s="12" t="n">
        <x:v>0.6794468368487394</x:v>
      </x:c>
      <x:c r="M1749" s="8" t="str">
        <x:v>No</x:v>
      </x:c>
    </x:row>
    <x:row r="1750">
      <x:c r="A1750" s="8" t="str">
        <x:v>Tumbler Ridge|Other Engineering Systems</x:v>
      </x:c>
      <x:c r="B1750" s="8" t="str">
        <x:v>tumbler-ridge-d</x:v>
      </x:c>
      <x:c r="C1750" s="8" t="str">
        <x:v>Tumbler Ridge</x:v>
      </x:c>
      <x:c r="D1750" s="8" t="str">
        <x:v>Other Engineering Systems</x:v>
      </x:c>
      <x:c r="E1750" s="11" t="n">
        <x:v>196168</x:v>
      </x:c>
      <x:c r="F1750" s="11" t="n">
        <x:v>82653</x:v>
      </x:c>
      <x:c r="G1750" s="11" t="n">
        <x:v>113515</x:v>
      </x:c>
      <x:c r="H1750" s="11" t="n">
        <x:v>0</x:v>
      </x:c>
      <x:c r="I1750" s="11" t="n">
        <x:v>0</x:v>
      </x:c>
      <x:c r="J1750" s="11" t="n">
        <x:v>0</x:v>
      </x:c>
      <x:c r="K1750" s="12" t="n">
        <x:v>0.5786621671220586</x:v>
      </x:c>
      <x:c r="L1750" s="12"/>
      <x:c r="M1750" s="8" t="str">
        <x:v>No</x:v>
      </x:c>
    </x:row>
    <x:row r="1751">
      <x:c r="A1751" s="8" t="str">
        <x:v>Tumbler Ridge|Other Tangible Capital Assets</x:v>
      </x:c>
      <x:c r="B1751" s="8" t="str">
        <x:v>tumbler-ridge-d</x:v>
      </x:c>
      <x:c r="C1751" s="8" t="str">
        <x:v>Tumbler Ridge</x:v>
      </x:c>
      <x:c r="D1751" s="8" t="str">
        <x:v>Other Tangible Capital Assets</x:v>
      </x:c>
      <x:c r="E1751" s="11" t="n">
        <x:v>1280849</x:v>
      </x:c>
      <x:c r="F1751" s="11" t="n">
        <x:v>772109</x:v>
      </x:c>
      <x:c r="G1751" s="11" t="n">
        <x:v>508740</x:v>
      </x:c>
      <x:c r="H1751" s="11" t="n">
        <x:v>374668</x:v>
      </x:c>
      <x:c r="I1751" s="11" t="n">
        <x:v>0</x:v>
      </x:c>
      <x:c r="J1751" s="11" t="n">
        <x:v>0</x:v>
      </x:c>
      <x:c r="K1751" s="12" t="n">
        <x:v>0.39718967653486087</x:v>
      </x:c>
      <x:c r="L1751" s="12"/>
      <x:c r="M1751" s="8" t="str">
        <x:v>N/A</x:v>
      </x:c>
    </x:row>
    <x:row r="1752">
      <x:c r="A1752" s="8" t="str">
        <x:v>Tumbler Ridge|Work In Progress</x:v>
      </x:c>
      <x:c r="B1752" s="8" t="str">
        <x:v>tumbler-ridge-d</x:v>
      </x:c>
      <x:c r="C1752" s="8" t="str">
        <x:v>Tumbler Ridge</x:v>
      </x:c>
      <x:c r="D1752" s="8" t="str">
        <x:v>Work In Progress</x:v>
      </x:c>
      <x:c r="E1752" s="11" t="n">
        <x:v>1065639</x:v>
      </x:c>
      <x:c r="F1752" s="11"/>
      <x:c r="G1752" s="11" t="n">
        <x:v>1065639</x:v>
      </x:c>
      <x:c r="H1752" s="11" t="n">
        <x:v>1045310</x:v>
      </x:c>
      <x:c r="I1752" s="11" t="n">
        <x:v>1065639</x:v>
      </x:c>
      <x:c r="J1752" s="11"/>
      <x:c r="K1752" s="12" t="n">
        <x:v>1</x:v>
      </x:c>
      <x:c r="L1752" s="12"/>
      <x:c r="M1752" s="8" t="str">
        <x:v>N/A</x:v>
      </x:c>
    </x:row>
    <x:row r="1753">
      <x:c r="A1753" s="8" t="str">
        <x:v>Tumbler Ridge|Total TCA</x:v>
      </x:c>
      <x:c r="B1753" s="8" t="str">
        <x:v>tumbler-ridge-d</x:v>
      </x:c>
      <x:c r="C1753" s="8" t="str">
        <x:v>Tumbler Ridge</x:v>
      </x:c>
      <x:c r="D1753" s="8" t="str">
        <x:v>Total TCA</x:v>
      </x:c>
      <x:c r="E1753" s="11" t="n">
        <x:v>115363885</x:v>
      </x:c>
      <x:c r="F1753" s="11" t="n">
        <x:v>65670095</x:v>
      </x:c>
      <x:c r="G1753" s="11" t="n">
        <x:v>49693790</x:v>
      </x:c>
      <x:c r="H1753" s="11" t="n">
        <x:v>1522096</x:v>
      </x:c>
      <x:c r="I1753" s="11" t="n">
        <x:v>716361537</x:v>
      </x:c>
      <x:c r="J1753" s="11" t="n">
        <x:v>329014850</x:v>
      </x:c>
      <x:c r="K1753" s="12" t="n">
        <x:v>0.430756904554662</x:v>
      </x:c>
      <x:c r="L1753" s="12" t="n">
        <x:v>0.5407139649375117</x:v>
      </x:c>
      <x:c r="M1753" s="8"/>
    </x:row>
    <x:row r="1754">
      <x:c r="A1754" s="8" t="str">
        <x:v>Ucluelet|Land</x:v>
      </x:c>
      <x:c r="B1754" s="8" t="str">
        <x:v>ucluelet-d</x:v>
      </x:c>
      <x:c r="C1754" s="8" t="str">
        <x:v>Ucluelet</x:v>
      </x:c>
      <x:c r="D1754" s="8" t="str">
        <x:v>Land</x:v>
      </x:c>
      <x:c r="E1754" s="11" t="n">
        <x:v>14718568</x:v>
      </x:c>
      <x:c r="F1754" s="11"/>
      <x:c r="G1754" s="11" t="n">
        <x:v>14718568</x:v>
      </x:c>
      <x:c r="H1754" s="11" t="n">
        <x:v>0</x:v>
      </x:c>
      <x:c r="I1754" s="11" t="n">
        <x:v>14718568</x:v>
      </x:c>
      <x:c r="J1754" s="11"/>
      <x:c r="K1754" s="12" t="n">
        <x:v>1</x:v>
      </x:c>
      <x:c r="L1754" s="12"/>
      <x:c r="M1754" s="8" t="str">
        <x:v>N/A</x:v>
      </x:c>
    </x:row>
    <x:row r="1755">
      <x:c r="A1755" s="8" t="str">
        <x:v>Ucluelet|Buildings</x:v>
      </x:c>
      <x:c r="B1755" s="8" t="str">
        <x:v>ucluelet-d</x:v>
      </x:c>
      <x:c r="C1755" s="8" t="str">
        <x:v>Ucluelet</x:v>
      </x:c>
      <x:c r="D1755" s="8" t="str">
        <x:v>Buildings</x:v>
      </x:c>
      <x:c r="E1755" s="11" t="n">
        <x:v>11353268</x:v>
      </x:c>
      <x:c r="F1755" s="11" t="n">
        <x:v>3993823</x:v>
      </x:c>
      <x:c r="G1755" s="11" t="n">
        <x:v>7359445</x:v>
      </x:c>
      <x:c r="H1755" s="11" t="n">
        <x:v>120758</x:v>
      </x:c>
      <x:c r="I1755" s="11" t="n">
        <x:v>18000000</x:v>
      </x:c>
      <x:c r="J1755" s="11" t="n">
        <x:v>230784</x:v>
      </x:c>
      <x:c r="K1755" s="12" t="n">
        <x:v>0.6482226086797211</x:v>
      </x:c>
      <x:c r="L1755" s="12" t="n">
        <x:v>0.9871786666666666</x:v>
      </x:c>
      <x:c r="M1755" s="8" t="str">
        <x:v>In_Progress</x:v>
      </x:c>
    </x:row>
    <x:row r="1756">
      <x:c r="A1756" s="8" t="str">
        <x:v>Ucluelet|Fleet</x:v>
      </x:c>
      <x:c r="B1756" s="8" t="str">
        <x:v>ucluelet-d</x:v>
      </x:c>
      <x:c r="C1756" s="8" t="str">
        <x:v>Ucluelet</x:v>
      </x:c>
      <x:c r="D1756" s="8" t="str">
        <x:v>Fleet</x:v>
      </x:c>
      <x:c r="E1756" s="11" t="n">
        <x:v>4414331</x:v>
      </x:c>
      <x:c r="F1756" s="11" t="n">
        <x:v>2699686</x:v>
      </x:c>
      <x:c r="G1756" s="11" t="n">
        <x:v>1714645</x:v>
      </x:c>
      <x:c r="H1756" s="11" t="n">
        <x:v>511371</x:v>
      </x:c>
      <x:c r="I1756" s="11" t="n">
        <x:v>5500000</x:v>
      </x:c>
      <x:c r="J1756" s="11" t="n">
        <x:v>164656</x:v>
      </x:c>
      <x:c r="K1756" s="12" t="n">
        <x:v>0.38842692131604994</x:v>
      </x:c>
      <x:c r="L1756" s="12" t="n">
        <x:v>0.9700625454545455</x:v>
      </x:c>
      <x:c r="M1756" s="8" t="str">
        <x:v>In_Progress</x:v>
      </x:c>
    </x:row>
    <x:row r="1757">
      <x:c r="A1757" s="8" t="str">
        <x:v>Ucluelet|Parks and Recreation</x:v>
      </x:c>
      <x:c r="B1757" s="8" t="str">
        <x:v>ucluelet-d</x:v>
      </x:c>
      <x:c r="C1757" s="8" t="str">
        <x:v>Ucluelet</x:v>
      </x:c>
      <x:c r="D1757" s="8" t="str">
        <x:v>Parks and Recreation</x:v>
      </x:c>
      <x:c r="E1757" s="11" t="n">
        <x:v>5767870</x:v>
      </x:c>
      <x:c r="F1757" s="11" t="n">
        <x:v>2906190</x:v>
      </x:c>
      <x:c r="G1757" s="11" t="n">
        <x:v>2861680</x:v>
      </x:c>
      <x:c r="H1757" s="11" t="n">
        <x:v>175907</x:v>
      </x:c>
      <x:c r="I1757" s="11" t="n">
        <x:v>9000000</x:v>
      </x:c>
      <x:c r="J1757" s="11" t="n">
        <x:v>184449</x:v>
      </x:c>
      <x:c r="K1757" s="12" t="n">
        <x:v>0.4961415565884807</x:v>
      </x:c>
      <x:c r="L1757" s="12" t="n">
        <x:v>0.9795056666666667</x:v>
      </x:c>
      <x:c r="M1757" s="8" t="str">
        <x:v>In_Progress</x:v>
      </x:c>
    </x:row>
    <x:row r="1758">
      <x:c r="A1758" s="8" t="str">
        <x:v>Ucluelet|Water System</x:v>
      </x:c>
      <x:c r="B1758" s="8" t="str">
        <x:v>ucluelet-d</x:v>
      </x:c>
      <x:c r="C1758" s="8" t="str">
        <x:v>Ucluelet</x:v>
      </x:c>
      <x:c r="D1758" s="8" t="str">
        <x:v>Water System</x:v>
      </x:c>
      <x:c r="E1758" s="11" t="n">
        <x:v>6710742</x:v>
      </x:c>
      <x:c r="F1758" s="11" t="n">
        <x:v>3937117</x:v>
      </x:c>
      <x:c r="G1758" s="11" t="n">
        <x:v>2773625</x:v>
      </x:c>
      <x:c r="H1758" s="11" t="n">
        <x:v>0</x:v>
      </x:c>
      <x:c r="I1758" s="11" t="n">
        <x:v>20099930</x:v>
      </x:c>
      <x:c r="J1758" s="11" t="n">
        <x:v>218341</x:v>
      </x:c>
      <x:c r="K1758" s="12" t="n">
        <x:v>0.41331122549488564</x:v>
      </x:c>
      <x:c r="L1758" s="12" t="n">
        <x:v>0.9891372258510353</x:v>
      </x:c>
      <x:c r="M1758" s="8" t="str">
        <x:v>In_Progress</x:v>
      </x:c>
    </x:row>
    <x:row r="1759">
      <x:c r="A1759" s="8" t="str">
        <x:v>Ucluelet|Sewer System</x:v>
      </x:c>
      <x:c r="B1759" s="8" t="str">
        <x:v>ucluelet-d</x:v>
      </x:c>
      <x:c r="C1759" s="8" t="str">
        <x:v>Ucluelet</x:v>
      </x:c>
      <x:c r="D1759" s="8" t="str">
        <x:v>Sewer System</x:v>
      </x:c>
      <x:c r="E1759" s="11" t="n">
        <x:v>12229735</x:v>
      </x:c>
      <x:c r="F1759" s="11" t="n">
        <x:v>6180859</x:v>
      </x:c>
      <x:c r="G1759" s="11" t="n">
        <x:v>6048876</x:v>
      </x:c>
      <x:c r="H1759" s="11" t="n">
        <x:v>94020</x:v>
      </x:c>
      <x:c r="I1759" s="11" t="n">
        <x:v>15000000</x:v>
      </x:c>
      <x:c r="J1759" s="11" t="n">
        <x:v>294090</x:v>
      </x:c>
      <x:c r="K1759" s="12" t="n">
        <x:v>0.49460401227009415</x:v>
      </x:c>
      <x:c r="L1759" s="12" t="n">
        <x:v>0.980394</x:v>
      </x:c>
      <x:c r="M1759" s="8" t="str">
        <x:v>In_Progress</x:v>
      </x:c>
    </x:row>
    <x:row r="1760">
      <x:c r="A1760" s="8" t="str">
        <x:v>Ucluelet|Drainage System</x:v>
      </x:c>
      <x:c r="B1760" s="8" t="str">
        <x:v>ucluelet-d</x:v>
      </x:c>
      <x:c r="C1760" s="8" t="str">
        <x:v>Ucluelet</x:v>
      </x:c>
      <x:c r="D1760" s="8" t="str">
        <x:v>Drainage System</x:v>
      </x:c>
      <x:c r="E1760" s="11" t="n">
        <x:v>1936660</x:v>
      </x:c>
      <x:c r="F1760" s="11" t="n">
        <x:v>914678</x:v>
      </x:c>
      <x:c r="G1760" s="11" t="n">
        <x:v>1021982</x:v>
      </x:c>
      <x:c r="H1760" s="11" t="n">
        <x:v>46373</x:v>
      </x:c>
      <x:c r="I1760" s="11" t="n">
        <x:v>3000000</x:v>
      </x:c>
      <x:c r="J1760" s="11" t="n">
        <x:v>38211</x:v>
      </x:c>
      <x:c r="K1760" s="12" t="n">
        <x:v>0.5277033655881775</x:v>
      </x:c>
      <x:c r="L1760" s="12" t="n">
        <x:v>0.987263</x:v>
      </x:c>
      <x:c r="M1760" s="8" t="str">
        <x:v>In_Progress</x:v>
      </x:c>
    </x:row>
    <x:row r="1761">
      <x:c r="A1761" s="8" t="str">
        <x:v>Ucluelet|Transportation System</x:v>
      </x:c>
      <x:c r="B1761" s="8" t="str">
        <x:v>ucluelet-d</x:v>
      </x:c>
      <x:c r="C1761" s="8" t="str">
        <x:v>Ucluelet</x:v>
      </x:c>
      <x:c r="D1761" s="8" t="str">
        <x:v>Transportation System</x:v>
      </x:c>
      <x:c r="E1761" s="11" t="n">
        <x:v>15479495</x:v>
      </x:c>
      <x:c r="F1761" s="11" t="n">
        <x:v>5087361</x:v>
      </x:c>
      <x:c r="G1761" s="11" t="n">
        <x:v>10392134</x:v>
      </x:c>
      <x:c r="H1761" s="11" t="n">
        <x:v>6230727</x:v>
      </x:c>
      <x:c r="I1761" s="11" t="n">
        <x:v>19000000</x:v>
      </x:c>
      <x:c r="J1761" s="11" t="n">
        <x:v>0</x:v>
      </x:c>
      <x:c r="K1761" s="12" t="n">
        <x:v>0.6713483870113334</x:v>
      </x:c>
      <x:c r="L1761" s="12" t="n">
        <x:v>1</x:v>
      </x:c>
      <x:c r="M1761" s="8" t="str">
        <x:v>In_Progress</x:v>
      </x:c>
    </x:row>
    <x:row r="1762">
      <x:c r="A1762" s="8" t="str">
        <x:v>Ucluelet|Other Engineering Systems</x:v>
      </x:c>
      <x:c r="B1762" s="8" t="str">
        <x:v>ucluelet-d</x:v>
      </x:c>
      <x:c r="C1762" s="8" t="str">
        <x:v>Ucluelet</x:v>
      </x:c>
      <x:c r="D1762" s="8" t="str">
        <x:v>Other Engineering Systems</x:v>
      </x:c>
      <x:c r="E1762" s="11" t="n">
        <x:v>0</x:v>
      </x:c>
      <x:c r="F1762" s="11" t="n">
        <x:v>0</x:v>
      </x:c>
      <x:c r="G1762" s="11" t="n">
        <x:v>0</x:v>
      </x:c>
      <x:c r="H1762" s="11" t="n">
        <x:v>0</x:v>
      </x:c>
      <x:c r="I1762" s="11" t="n">
        <x:v>0</x:v>
      </x:c>
      <x:c r="J1762" s="11" t="n">
        <x:v>0</x:v>
      </x:c>
      <x:c r="K1762" s="12"/>
      <x:c r="L1762" s="12"/>
      <x:c r="M1762" s="8"/>
    </x:row>
    <x:row r="1763">
      <x:c r="A1763" s="8" t="str">
        <x:v>Ucluelet|Other Tangible Capital Assets</x:v>
      </x:c>
      <x:c r="B1763" s="8" t="str">
        <x:v>ucluelet-d</x:v>
      </x:c>
      <x:c r="C1763" s="8" t="str">
        <x:v>Ucluelet</x:v>
      </x:c>
      <x:c r="D1763" s="8" t="str">
        <x:v>Other Tangible Capital Assets</x:v>
      </x:c>
      <x:c r="E1763" s="11" t="n">
        <x:v>0</x:v>
      </x:c>
      <x:c r="F1763" s="11" t="n">
        <x:v>0</x:v>
      </x:c>
      <x:c r="G1763" s="11" t="n">
        <x:v>0</x:v>
      </x:c>
      <x:c r="H1763" s="11" t="n">
        <x:v>0</x:v>
      </x:c>
      <x:c r="I1763" s="11" t="n">
        <x:v>0</x:v>
      </x:c>
      <x:c r="J1763" s="11" t="n">
        <x:v>0</x:v>
      </x:c>
      <x:c r="K1763" s="12"/>
      <x:c r="L1763" s="12"/>
      <x:c r="M1763" s="8" t="str">
        <x:v>N/A</x:v>
      </x:c>
    </x:row>
    <x:row r="1764">
      <x:c r="A1764" s="8" t="str">
        <x:v>Ucluelet|Work In Progress</x:v>
      </x:c>
      <x:c r="B1764" s="8" t="str">
        <x:v>ucluelet-d</x:v>
      </x:c>
      <x:c r="C1764" s="8" t="str">
        <x:v>Ucluelet</x:v>
      </x:c>
      <x:c r="D1764" s="8" t="str">
        <x:v>Work In Progress</x:v>
      </x:c>
      <x:c r="E1764" s="11" t="n">
        <x:v>2534081</x:v>
      </x:c>
      <x:c r="F1764" s="11"/>
      <x:c r="G1764" s="11" t="n">
        <x:v>2534081</x:v>
      </x:c>
      <x:c r="H1764" s="11" t="n">
        <x:v>1136766</x:v>
      </x:c>
      <x:c r="I1764" s="11" t="n">
        <x:v>2534081</x:v>
      </x:c>
      <x:c r="J1764" s="11"/>
      <x:c r="K1764" s="12" t="n">
        <x:v>1</x:v>
      </x:c>
      <x:c r="L1764" s="12"/>
      <x:c r="M1764" s="8" t="str">
        <x:v>N/A</x:v>
      </x:c>
    </x:row>
    <x:row r="1765">
      <x:c r="A1765" s="8" t="str">
        <x:v>Ucluelet|Total TCA</x:v>
      </x:c>
      <x:c r="B1765" s="8" t="str">
        <x:v>ucluelet-d</x:v>
      </x:c>
      <x:c r="C1765" s="8" t="str">
        <x:v>Ucluelet</x:v>
      </x:c>
      <x:c r="D1765" s="8" t="str">
        <x:v>Total TCA</x:v>
      </x:c>
      <x:c r="E1765" s="11" t="n">
        <x:v>75144750</x:v>
      </x:c>
      <x:c r="F1765" s="11" t="n">
        <x:v>25719714</x:v>
      </x:c>
      <x:c r="G1765" s="11" t="n">
        <x:v>49425036</x:v>
      </x:c>
      <x:c r="H1765" s="11" t="n">
        <x:v>8315922</x:v>
      </x:c>
      <x:c r="I1765" s="11" t="n">
        <x:v>106852579</x:v>
      </x:c>
      <x:c r="J1765" s="11" t="n">
        <x:v>1130531</x:v>
      </x:c>
      <x:c r="K1765" s="12" t="n">
        <x:v>0.6577310590560219</x:v>
      </x:c>
      <x:c r="L1765" s="12" t="n">
        <x:v>0.9894197125555575</x:v>
      </x:c>
      <x:c r="M1765" s="8"/>
    </x:row>
    <x:row r="1766">
      <x:c r="A1766" s="8" t="str">
        <x:v>Valemount|Land</x:v>
      </x:c>
      <x:c r="B1766" s="8" t="str">
        <x:v>valemount-v</x:v>
      </x:c>
      <x:c r="C1766" s="8" t="str">
        <x:v>Valemount</x:v>
      </x:c>
      <x:c r="D1766" s="8" t="str">
        <x:v>Land</x:v>
      </x:c>
      <x:c r="E1766" s="11" t="n">
        <x:v>1153267</x:v>
      </x:c>
      <x:c r="F1766" s="11"/>
      <x:c r="G1766" s="11" t="n">
        <x:v>1153267</x:v>
      </x:c>
      <x:c r="H1766" s="11" t="n">
        <x:v>0</x:v>
      </x:c>
      <x:c r="I1766" s="11" t="n">
        <x:v>1153267</x:v>
      </x:c>
      <x:c r="J1766" s="11"/>
      <x:c r="K1766" s="12" t="n">
        <x:v>1</x:v>
      </x:c>
      <x:c r="L1766" s="12"/>
      <x:c r="M1766" s="8" t="str">
        <x:v>N/A</x:v>
      </x:c>
    </x:row>
    <x:row r="1767">
      <x:c r="A1767" s="8" t="str">
        <x:v>Valemount|Buildings</x:v>
      </x:c>
      <x:c r="B1767" s="8" t="str">
        <x:v>valemount-v</x:v>
      </x:c>
      <x:c r="C1767" s="8" t="str">
        <x:v>Valemount</x:v>
      </x:c>
      <x:c r="D1767" s="8" t="str">
        <x:v>Buildings</x:v>
      </x:c>
      <x:c r="E1767" s="11" t="n">
        <x:v>7666945</x:v>
      </x:c>
      <x:c r="F1767" s="11" t="n">
        <x:v>3145017</x:v>
      </x:c>
      <x:c r="G1767" s="11" t="n">
        <x:v>4521928</x:v>
      </x:c>
      <x:c r="H1767" s="11" t="n">
        <x:v>0</x:v>
      </x:c>
      <x:c r="I1767" s="11" t="n">
        <x:v>7666945</x:v>
      </x:c>
      <x:c r="J1767" s="11" t="n">
        <x:v>175000</x:v>
      </x:c>
      <x:c r="K1767" s="12" t="n">
        <x:v>0.5897952835190549</x:v>
      </x:c>
      <x:c r="L1767" s="12" t="n">
        <x:v>0.9771747416995948</x:v>
      </x:c>
      <x:c r="M1767" s="8" t="str">
        <x:v>In_Progress</x:v>
      </x:c>
    </x:row>
    <x:row r="1768">
      <x:c r="A1768" s="8" t="str">
        <x:v>Valemount|Fleet</x:v>
      </x:c>
      <x:c r="B1768" s="8" t="str">
        <x:v>valemount-v</x:v>
      </x:c>
      <x:c r="C1768" s="8" t="str">
        <x:v>Valemount</x:v>
      </x:c>
      <x:c r="D1768" s="8" t="str">
        <x:v>Fleet</x:v>
      </x:c>
      <x:c r="E1768" s="11" t="n">
        <x:v>2985564</x:v>
      </x:c>
      <x:c r="F1768" s="11" t="n">
        <x:v>1660619</x:v>
      </x:c>
      <x:c r="G1768" s="11" t="n">
        <x:v>1324945</x:v>
      </x:c>
      <x:c r="H1768" s="11" t="n">
        <x:v>45000</x:v>
      </x:c>
      <x:c r="I1768" s="11" t="n">
        <x:v>2985564</x:v>
      </x:c>
      <x:c r="J1768" s="11" t="n">
        <x:v>155000</x:v>
      </x:c>
      <x:c r="K1768" s="12" t="n">
        <x:v>0.44378382108037207</x:v>
      </x:c>
      <x:c r="L1768" s="12" t="n">
        <x:v>0.9480835111891757</x:v>
      </x:c>
      <x:c r="M1768" s="8" t="str">
        <x:v>In_Progress</x:v>
      </x:c>
    </x:row>
    <x:row r="1769">
      <x:c r="A1769" s="8" t="str">
        <x:v>Valemount|Parks and Recreation</x:v>
      </x:c>
      <x:c r="B1769" s="8" t="str">
        <x:v>valemount-v</x:v>
      </x:c>
      <x:c r="C1769" s="8" t="str">
        <x:v>Valemount</x:v>
      </x:c>
      <x:c r="D1769" s="8" t="str">
        <x:v>Parks and Recreation</x:v>
      </x:c>
      <x:c r="E1769" s="11" t="n">
        <x:v>0</x:v>
      </x:c>
      <x:c r="F1769" s="11" t="n">
        <x:v>0</x:v>
      </x:c>
      <x:c r="G1769" s="11" t="n">
        <x:v>0</x:v>
      </x:c>
      <x:c r="H1769" s="11" t="n">
        <x:v>0</x:v>
      </x:c>
      <x:c r="I1769" s="11" t="n">
        <x:v>0</x:v>
      </x:c>
      <x:c r="J1769" s="11" t="n">
        <x:v>0</x:v>
      </x:c>
      <x:c r="K1769" s="12"/>
      <x:c r="L1769" s="12"/>
      <x:c r="M1769" s="8"/>
    </x:row>
    <x:row r="1770">
      <x:c r="A1770" s="8" t="str">
        <x:v>Valemount|Water System</x:v>
      </x:c>
      <x:c r="B1770" s="8" t="str">
        <x:v>valemount-v</x:v>
      </x:c>
      <x:c r="C1770" s="8" t="str">
        <x:v>Valemount</x:v>
      </x:c>
      <x:c r="D1770" s="8" t="str">
        <x:v>Water System</x:v>
      </x:c>
      <x:c r="E1770" s="11" t="n">
        <x:v>6830713</x:v>
      </x:c>
      <x:c r="F1770" s="11" t="n">
        <x:v>2857403</x:v>
      </x:c>
      <x:c r="G1770" s="11" t="n">
        <x:v>3973310</x:v>
      </x:c>
      <x:c r="H1770" s="11" t="n">
        <x:v>0</x:v>
      </x:c>
      <x:c r="I1770" s="11" t="n">
        <x:v>6830713</x:v>
      </x:c>
      <x:c r="J1770" s="11" t="n">
        <x:v>135000</x:v>
      </x:c>
      <x:c r="K1770" s="12" t="n">
        <x:v>0.581683054170187</x:v>
      </x:c>
      <x:c r="L1770" s="12" t="n">
        <x:v>0.98023632379226</x:v>
      </x:c>
      <x:c r="M1770" s="8" t="str">
        <x:v>In_Progress</x:v>
      </x:c>
    </x:row>
    <x:row r="1771">
      <x:c r="A1771" s="8" t="str">
        <x:v>Valemount|Sewer System</x:v>
      </x:c>
      <x:c r="B1771" s="8" t="str">
        <x:v>valemount-v</x:v>
      </x:c>
      <x:c r="C1771" s="8" t="str">
        <x:v>Valemount</x:v>
      </x:c>
      <x:c r="D1771" s="8" t="str">
        <x:v>Sewer System</x:v>
      </x:c>
      <x:c r="E1771" s="11" t="n">
        <x:v>6101272</x:v>
      </x:c>
      <x:c r="F1771" s="11" t="n">
        <x:v>2978269</x:v>
      </x:c>
      <x:c r="G1771" s="11" t="n">
        <x:v>3123003</x:v>
      </x:c>
      <x:c r="H1771" s="11" t="n">
        <x:v>0</x:v>
      </x:c>
      <x:c r="I1771" s="11" t="n">
        <x:v>6101272</x:v>
      </x:c>
      <x:c r="J1771" s="11" t="n">
        <x:v>120000</x:v>
      </x:c>
      <x:c r="K1771" s="12" t="n">
        <x:v>0.5118609693191846</x:v>
      </x:c>
      <x:c r="L1771" s="12" t="n">
        <x:v>0.980331970120329</x:v>
      </x:c>
      <x:c r="M1771" s="8" t="str">
        <x:v>In_Progress</x:v>
      </x:c>
    </x:row>
    <x:row r="1772">
      <x:c r="A1772" s="8" t="str">
        <x:v>Valemount|Drainage System</x:v>
      </x:c>
      <x:c r="B1772" s="8" t="str">
        <x:v>valemount-v</x:v>
      </x:c>
      <x:c r="C1772" s="8" t="str">
        <x:v>Valemount</x:v>
      </x:c>
      <x:c r="D1772" s="8" t="str">
        <x:v>Drainage System</x:v>
      </x:c>
      <x:c r="E1772" s="11" t="n">
        <x:v>0</x:v>
      </x:c>
      <x:c r="F1772" s="11" t="n">
        <x:v>0</x:v>
      </x:c>
      <x:c r="G1772" s="11" t="n">
        <x:v>0</x:v>
      </x:c>
      <x:c r="H1772" s="11" t="n">
        <x:v>0</x:v>
      </x:c>
      <x:c r="I1772" s="11" t="n">
        <x:v>0</x:v>
      </x:c>
      <x:c r="J1772" s="11" t="n">
        <x:v>0</x:v>
      </x:c>
      <x:c r="K1772" s="12"/>
      <x:c r="L1772" s="12"/>
      <x:c r="M1772" s="8"/>
    </x:row>
    <x:row r="1773">
      <x:c r="A1773" s="8" t="str">
        <x:v>Valemount|Transportation System</x:v>
      </x:c>
      <x:c r="B1773" s="8" t="str">
        <x:v>valemount-v</x:v>
      </x:c>
      <x:c r="C1773" s="8" t="str">
        <x:v>Valemount</x:v>
      </x:c>
      <x:c r="D1773" s="8" t="str">
        <x:v>Transportation System</x:v>
      </x:c>
      <x:c r="E1773" s="11" t="n">
        <x:v>7327257</x:v>
      </x:c>
      <x:c r="F1773" s="11" t="n">
        <x:v>3597394</x:v>
      </x:c>
      <x:c r="G1773" s="11" t="n">
        <x:v>3729863</x:v>
      </x:c>
      <x:c r="H1773" s="11" t="n">
        <x:v>565533</x:v>
      </x:c>
      <x:c r="I1773" s="11" t="n">
        <x:v>7327257</x:v>
      </x:c>
      <x:c r="J1773" s="11" t="n">
        <x:v>0</x:v>
      </x:c>
      <x:c r="K1773" s="12" t="n">
        <x:v>0.5090394672931494</x:v>
      </x:c>
      <x:c r="L1773" s="12" t="n">
        <x:v>1</x:v>
      </x:c>
      <x:c r="M1773" s="8" t="str">
        <x:v>In_Progress</x:v>
      </x:c>
    </x:row>
    <x:row r="1774">
      <x:c r="A1774" s="8" t="str">
        <x:v>Valemount|Other Engineering Systems</x:v>
      </x:c>
      <x:c r="B1774" s="8" t="str">
        <x:v>valemount-v</x:v>
      </x:c>
      <x:c r="C1774" s="8" t="str">
        <x:v>Valemount</x:v>
      </x:c>
      <x:c r="D1774" s="8" t="str">
        <x:v>Other Engineering Systems</x:v>
      </x:c>
      <x:c r="E1774" s="11" t="n">
        <x:v>0</x:v>
      </x:c>
      <x:c r="F1774" s="11" t="n">
        <x:v>0</x:v>
      </x:c>
      <x:c r="G1774" s="11" t="n">
        <x:v>0</x:v>
      </x:c>
      <x:c r="H1774" s="11" t="n">
        <x:v>0</x:v>
      </x:c>
      <x:c r="I1774" s="11" t="n">
        <x:v>676945</x:v>
      </x:c>
      <x:c r="J1774" s="11" t="n">
        <x:v>667103</x:v>
      </x:c>
      <x:c r="K1774" s="12"/>
      <x:c r="L1774" s="12" t="n">
        <x:v>0.014538847321421966</x:v>
      </x:c>
      <x:c r="M1774" s="8"/>
    </x:row>
    <x:row r="1775">
      <x:c r="A1775" s="8" t="str">
        <x:v>Valemount|Other Tangible Capital Assets</x:v>
      </x:c>
      <x:c r="B1775" s="8" t="str">
        <x:v>valemount-v</x:v>
      </x:c>
      <x:c r="C1775" s="8" t="str">
        <x:v>Valemount</x:v>
      </x:c>
      <x:c r="D1775" s="8" t="str">
        <x:v>Other Tangible Capital Assets</x:v>
      </x:c>
      <x:c r="E1775" s="11" t="n">
        <x:v>0</x:v>
      </x:c>
      <x:c r="F1775" s="11" t="n">
        <x:v>0</x:v>
      </x:c>
      <x:c r="G1775" s="11" t="n">
        <x:v>0</x:v>
      </x:c>
      <x:c r="H1775" s="11" t="n">
        <x:v>0</x:v>
      </x:c>
      <x:c r="I1775" s="11" t="n">
        <x:v>0</x:v>
      </x:c>
      <x:c r="J1775" s="11" t="n">
        <x:v>0</x:v>
      </x:c>
      <x:c r="K1775" s="12"/>
      <x:c r="L1775" s="12"/>
      <x:c r="M1775" s="8" t="str">
        <x:v>N/A</x:v>
      </x:c>
    </x:row>
    <x:row r="1776">
      <x:c r="A1776" s="8" t="str">
        <x:v>Valemount|Work In Progress</x:v>
      </x:c>
      <x:c r="B1776" s="8" t="str">
        <x:v>valemount-v</x:v>
      </x:c>
      <x:c r="C1776" s="8" t="str">
        <x:v>Valemount</x:v>
      </x:c>
      <x:c r="D1776" s="8" t="str">
        <x:v>Work In Progress</x:v>
      </x:c>
      <x:c r="E1776" s="11" t="n">
        <x:v>7196765</x:v>
      </x:c>
      <x:c r="F1776" s="11"/>
      <x:c r="G1776" s="11" t="n">
        <x:v>7196765</x:v>
      </x:c>
      <x:c r="H1776" s="11" t="n">
        <x:v>3284235</x:v>
      </x:c>
      <x:c r="I1776" s="11" t="n">
        <x:v>7196765</x:v>
      </x:c>
      <x:c r="J1776" s="11"/>
      <x:c r="K1776" s="12" t="n">
        <x:v>1</x:v>
      </x:c>
      <x:c r="L1776" s="12"/>
      <x:c r="M1776" s="8" t="str">
        <x:v>N/A</x:v>
      </x:c>
    </x:row>
    <x:row r="1777">
      <x:c r="A1777" s="8" t="str">
        <x:v>Valemount|Total TCA</x:v>
      </x:c>
      <x:c r="B1777" s="8" t="str">
        <x:v>valemount-v</x:v>
      </x:c>
      <x:c r="C1777" s="8" t="str">
        <x:v>Valemount</x:v>
      </x:c>
      <x:c r="D1777" s="8" t="str">
        <x:v>Total TCA</x:v>
      </x:c>
      <x:c r="E1777" s="11" t="n">
        <x:v>39261783</x:v>
      </x:c>
      <x:c r="F1777" s="11" t="n">
        <x:v>14238702</x:v>
      </x:c>
      <x:c r="G1777" s="11" t="n">
        <x:v>25023081</x:v>
      </x:c>
      <x:c r="H1777" s="11" t="n">
        <x:v>3894768</x:v>
      </x:c>
      <x:c r="I1777" s="11" t="n">
        <x:v>39938728</x:v>
      </x:c>
      <x:c r="J1777" s="11" t="n">
        <x:v>1252103</x:v>
      </x:c>
      <x:c r="K1777" s="12" t="n">
        <x:v>0.637339394392761</x:v>
      </x:c>
      <x:c r="L1777" s="12" t="n">
        <x:v>0.9686494021542198</x:v>
      </x:c>
      <x:c r="M1777" s="8"/>
    </x:row>
    <x:row r="1778">
      <x:c r="A1778" s="8" t="str">
        <x:v>Vancouver|Land</x:v>
      </x:c>
      <x:c r="B1778" s="8" t="str">
        <x:v>vancouver-c</x:v>
      </x:c>
      <x:c r="C1778" s="8" t="str">
        <x:v>Vancouver</x:v>
      </x:c>
      <x:c r="D1778" s="8" t="str">
        <x:v>Land</x:v>
      </x:c>
      <x:c r="E1778" s="11" t="n">
        <x:v>2821570000</x:v>
      </x:c>
      <x:c r="F1778" s="11"/>
      <x:c r="G1778" s="11" t="n">
        <x:v>2821570000</x:v>
      </x:c>
      <x:c r="H1778" s="11" t="n">
        <x:v>199637000</x:v>
      </x:c>
      <x:c r="I1778" s="11" t="n">
        <x:v>2821570000</x:v>
      </x:c>
      <x:c r="J1778" s="11"/>
      <x:c r="K1778" s="12" t="n">
        <x:v>1</x:v>
      </x:c>
      <x:c r="L1778" s="12"/>
      <x:c r="M1778" s="8" t="str">
        <x:v>N/A</x:v>
      </x:c>
    </x:row>
    <x:row r="1779">
      <x:c r="A1779" s="8" t="str">
        <x:v>Vancouver|Buildings</x:v>
      </x:c>
      <x:c r="B1779" s="8" t="str">
        <x:v>vancouver-c</x:v>
      </x:c>
      <x:c r="C1779" s="8" t="str">
        <x:v>Vancouver</x:v>
      </x:c>
      <x:c r="D1779" s="8" t="str">
        <x:v>Buildings</x:v>
      </x:c>
      <x:c r="E1779" s="11" t="n">
        <x:v>2557785000</x:v>
      </x:c>
      <x:c r="F1779" s="11" t="n">
        <x:v>871528000</x:v>
      </x:c>
      <x:c r="G1779" s="11" t="n">
        <x:v>1686257000</x:v>
      </x:c>
      <x:c r="H1779" s="11" t="n">
        <x:v>177109000</x:v>
      </x:c>
      <x:c r="I1779" s="11" t="n">
        <x:v>8200000000</x:v>
      </x:c>
      <x:c r="J1779" s="11" t="n">
        <x:v>2800000000</x:v>
      </x:c>
      <x:c r="K1779" s="12" t="n">
        <x:v>0.6592645589836519</x:v>
      </x:c>
      <x:c r="L1779" s="12" t="n">
        <x:v>0.6585365853658536</x:v>
      </x:c>
      <x:c r="M1779" s="8" t="str">
        <x:v>In_Progress</x:v>
      </x:c>
    </x:row>
    <x:row r="1780">
      <x:c r="A1780" s="8" t="str">
        <x:v>Vancouver|Fleet</x:v>
      </x:c>
      <x:c r="B1780" s="8" t="str">
        <x:v>vancouver-c</x:v>
      </x:c>
      <x:c r="C1780" s="8" t="str">
        <x:v>Vancouver</x:v>
      </x:c>
      <x:c r="D1780" s="8" t="str">
        <x:v>Fleet</x:v>
      </x:c>
      <x:c r="E1780" s="11" t="n">
        <x:v>538805000</x:v>
      </x:c>
      <x:c r="F1780" s="11" t="n">
        <x:v>329075000</x:v>
      </x:c>
      <x:c r="G1780" s="11" t="n">
        <x:v>209730000</x:v>
      </x:c>
      <x:c r="H1780" s="11" t="n">
        <x:v>61544000</x:v>
      </x:c>
      <x:c r="I1780" s="11" t="n">
        <x:v>800000000</x:v>
      </x:c>
      <x:c r="J1780" s="11" t="n">
        <x:v>500000000</x:v>
      </x:c>
      <x:c r="K1780" s="12" t="n">
        <x:v>0.3892502853536994</x:v>
      </x:c>
      <x:c r="L1780" s="12" t="n">
        <x:v>0.375</x:v>
      </x:c>
      <x:c r="M1780" s="8" t="str">
        <x:v>Yes</x:v>
      </x:c>
    </x:row>
    <x:row r="1781">
      <x:c r="A1781" s="8" t="str">
        <x:v>Vancouver|Parks and Recreation</x:v>
      </x:c>
      <x:c r="B1781" s="8" t="str">
        <x:v>vancouver-c</x:v>
      </x:c>
      <x:c r="C1781" s="8" t="str">
        <x:v>Vancouver</x:v>
      </x:c>
      <x:c r="D1781" s="8" t="str">
        <x:v>Parks and Recreation</x:v>
      </x:c>
      <x:c r="E1781" s="11" t="n">
        <x:v>394561000</x:v>
      </x:c>
      <x:c r="F1781" s="11" t="n">
        <x:v>242828000</x:v>
      </x:c>
      <x:c r="G1781" s="11" t="n">
        <x:v>151733000</x:v>
      </x:c>
      <x:c r="H1781" s="11" t="n">
        <x:v>20509000</x:v>
      </x:c>
      <x:c r="I1781" s="11" t="n">
        <x:v>1300000000</x:v>
      </x:c>
      <x:c r="J1781" s="11" t="n">
        <x:v>800000000</x:v>
      </x:c>
      <x:c r="K1781" s="12" t="n">
        <x:v>0.38456157603006885</x:v>
      </x:c>
      <x:c r="L1781" s="12" t="n">
        <x:v>0.3846153846153846</x:v>
      </x:c>
      <x:c r="M1781" s="8" t="str">
        <x:v>In_Progress</x:v>
      </x:c>
    </x:row>
    <x:row r="1782">
      <x:c r="A1782" s="8" t="str">
        <x:v>Vancouver|Water System</x:v>
      </x:c>
      <x:c r="B1782" s="8" t="str">
        <x:v>vancouver-c</x:v>
      </x:c>
      <x:c r="C1782" s="8" t="str">
        <x:v>Vancouver</x:v>
      </x:c>
      <x:c r="D1782" s="8" t="str">
        <x:v>Water System</x:v>
      </x:c>
      <x:c r="E1782" s="11" t="n">
        <x:v>994749000</x:v>
      </x:c>
      <x:c r="F1782" s="11" t="n">
        <x:v>268598000</x:v>
      </x:c>
      <x:c r="G1782" s="11" t="n">
        <x:v>726151000</x:v>
      </x:c>
      <x:c r="H1782" s="11" t="n">
        <x:v>41997000</x:v>
      </x:c>
      <x:c r="I1782" s="11" t="n">
        <x:v>3700000000</x:v>
      </x:c>
      <x:c r="J1782" s="11" t="n">
        <x:v>1000000000</x:v>
      </x:c>
      <x:c r="K1782" s="12" t="n">
        <x:v>0.7299841467546084</x:v>
      </x:c>
      <x:c r="L1782" s="12" t="n">
        <x:v>0.7297297297297297</x:v>
      </x:c>
      <x:c r="M1782" s="8" t="str">
        <x:v>Yes</x:v>
      </x:c>
    </x:row>
    <x:row r="1783">
      <x:c r="A1783" s="8" t="str">
        <x:v>Vancouver|Sewer System</x:v>
      </x:c>
      <x:c r="B1783" s="8" t="str">
        <x:v>vancouver-c</x:v>
      </x:c>
      <x:c r="C1783" s="8" t="str">
        <x:v>Vancouver</x:v>
      </x:c>
      <x:c r="D1783" s="8" t="str">
        <x:v>Sewer System</x:v>
      </x:c>
      <x:c r="E1783" s="11" t="n">
        <x:v>1959293000</x:v>
      </x:c>
      <x:c r="F1783" s="11" t="n">
        <x:v>529296000</x:v>
      </x:c>
      <x:c r="G1783" s="11" t="n">
        <x:v>1429997000</x:v>
      </x:c>
      <x:c r="H1783" s="11" t="n">
        <x:v>119763000</x:v>
      </x:c>
      <x:c r="I1783" s="11" t="n">
        <x:v>7300000000</x:v>
      </x:c>
      <x:c r="J1783" s="11" t="n">
        <x:v>2000000000</x:v>
      </x:c>
      <x:c r="K1783" s="12" t="n">
        <x:v>0.7298535747333349</x:v>
      </x:c>
      <x:c r="L1783" s="12" t="n">
        <x:v>0.726027397260274</x:v>
      </x:c>
      <x:c r="M1783" s="8" t="str">
        <x:v>Yes</x:v>
      </x:c>
    </x:row>
    <x:row r="1784">
      <x:c r="A1784" s="8" t="str">
        <x:v>Vancouver|Drainage System</x:v>
      </x:c>
      <x:c r="B1784" s="8" t="str">
        <x:v>vancouver-c</x:v>
      </x:c>
      <x:c r="C1784" s="8" t="str">
        <x:v>Vancouver</x:v>
      </x:c>
      <x:c r="D1784" s="8" t="str">
        <x:v>Drainage System</x:v>
      </x:c>
      <x:c r="E1784" s="11" t="n">
        <x:v>0</x:v>
      </x:c>
      <x:c r="F1784" s="11" t="n">
        <x:v>0</x:v>
      </x:c>
      <x:c r="G1784" s="11" t="n">
        <x:v>0</x:v>
      </x:c>
      <x:c r="H1784" s="11" t="n">
        <x:v>0</x:v>
      </x:c>
      <x:c r="I1784" s="11" t="n">
        <x:v>0</x:v>
      </x:c>
      <x:c r="J1784" s="11" t="n">
        <x:v>0</x:v>
      </x:c>
      <x:c r="K1784" s="12"/>
      <x:c r="L1784" s="12"/>
      <x:c r="M1784" s="8"/>
    </x:row>
    <x:row r="1785">
      <x:c r="A1785" s="8" t="str">
        <x:v>Vancouver|Transportation System</x:v>
      </x:c>
      <x:c r="B1785" s="8" t="str">
        <x:v>vancouver-c</x:v>
      </x:c>
      <x:c r="C1785" s="8" t="str">
        <x:v>Vancouver</x:v>
      </x:c>
      <x:c r="D1785" s="8" t="str">
        <x:v>Transportation System</x:v>
      </x:c>
      <x:c r="E1785" s="11" t="n">
        <x:v>3673079000</x:v>
      </x:c>
      <x:c r="F1785" s="11" t="n">
        <x:v>2249500000</x:v>
      </x:c>
      <x:c r="G1785" s="11" t="n">
        <x:v>1423579000</x:v>
      </x:c>
      <x:c r="H1785" s="11" t="n">
        <x:v>93769000</x:v>
      </x:c>
      <x:c r="I1785" s="11" t="n">
        <x:v>9500000000</x:v>
      </x:c>
      <x:c r="J1785" s="11" t="n">
        <x:v>5300000000</x:v>
      </x:c>
      <x:c r="K1785" s="12" t="n">
        <x:v>0.38757102692318895</x:v>
      </x:c>
      <x:c r="L1785" s="12" t="n">
        <x:v>0.4421052631578948</x:v>
      </x:c>
      <x:c r="M1785" s="8" t="str">
        <x:v>In_Progress</x:v>
      </x:c>
    </x:row>
    <x:row r="1786">
      <x:c r="A1786" s="8" t="str">
        <x:v>Vancouver|Other Engineering Systems</x:v>
      </x:c>
      <x:c r="B1786" s="8" t="str">
        <x:v>vancouver-c</x:v>
      </x:c>
      <x:c r="C1786" s="8" t="str">
        <x:v>Vancouver</x:v>
      </x:c>
      <x:c r="D1786" s="8" t="str">
        <x:v>Other Engineering Systems</x:v>
      </x:c>
      <x:c r="E1786" s="11" t="n">
        <x:v>190284000</x:v>
      </x:c>
      <x:c r="F1786" s="11" t="n">
        <x:v>47225000</x:v>
      </x:c>
      <x:c r="G1786" s="11" t="n">
        <x:v>143059000</x:v>
      </x:c>
      <x:c r="H1786" s="11" t="n">
        <x:v>14325000</x:v>
      </x:c>
      <x:c r="I1786" s="11" t="n">
        <x:v>245000000</x:v>
      </x:c>
      <x:c r="J1786" s="11" t="n">
        <x:v>130000000</x:v>
      </x:c>
      <x:c r="K1786" s="12" t="n">
        <x:v>0.751818334699712</x:v>
      </x:c>
      <x:c r="L1786" s="12" t="n">
        <x:v>0.4693877551020408</x:v>
      </x:c>
      <x:c r="M1786" s="8" t="str">
        <x:v>Yes</x:v>
      </x:c>
    </x:row>
    <x:row r="1787">
      <x:c r="A1787" s="8" t="str">
        <x:v>Vancouver|Other Tangible Capital Assets</x:v>
      </x:c>
      <x:c r="B1787" s="8" t="str">
        <x:v>vancouver-c</x:v>
      </x:c>
      <x:c r="C1787" s="8" t="str">
        <x:v>Vancouver</x:v>
      </x:c>
      <x:c r="D1787" s="8" t="str">
        <x:v>Other Tangible Capital Assets</x:v>
      </x:c>
      <x:c r="E1787" s="11" t="n">
        <x:v>445203000</x:v>
      </x:c>
      <x:c r="F1787" s="11" t="n">
        <x:v>345543000</x:v>
      </x:c>
      <x:c r="G1787" s="11" t="n">
        <x:v>99660000</x:v>
      </x:c>
      <x:c r="H1787" s="11" t="n">
        <x:v>32238000</x:v>
      </x:c>
      <x:c r="I1787" s="11" t="n">
        <x:v>540000000</x:v>
      </x:c>
      <x:c r="J1787" s="11" t="n">
        <x:v>420000000</x:v>
      </x:c>
      <x:c r="K1787" s="12" t="n">
        <x:v>0.22385293899636796</x:v>
      </x:c>
      <x:c r="L1787" s="12" t="n">
        <x:v>0.2222222222222222</x:v>
      </x:c>
      <x:c r="M1787" s="8" t="str">
        <x:v>N/A</x:v>
      </x:c>
    </x:row>
    <x:row r="1788">
      <x:c r="A1788" s="8" t="str">
        <x:v>Vancouver|Work In Progress</x:v>
      </x:c>
      <x:c r="B1788" s="8" t="str">
        <x:v>vancouver-c</x:v>
      </x:c>
      <x:c r="C1788" s="8" t="str">
        <x:v>Vancouver</x:v>
      </x:c>
      <x:c r="D1788" s="8" t="str">
        <x:v>Work In Progress</x:v>
      </x:c>
      <x:c r="E1788" s="11" t="n">
        <x:v>233301000</x:v>
      </x:c>
      <x:c r="F1788" s="11"/>
      <x:c r="G1788" s="11" t="n">
        <x:v>233301000</x:v>
      </x:c>
      <x:c r="H1788" s="11" t="n">
        <x:v>118232000</x:v>
      </x:c>
      <x:c r="I1788" s="11" t="n">
        <x:v>233301000</x:v>
      </x:c>
      <x:c r="J1788" s="11"/>
      <x:c r="K1788" s="12" t="n">
        <x:v>1</x:v>
      </x:c>
      <x:c r="L1788" s="12"/>
      <x:c r="M1788" s="8" t="str">
        <x:v>N/A</x:v>
      </x:c>
    </x:row>
    <x:row r="1789">
      <x:c r="A1789" s="8" t="str">
        <x:v>Vancouver|Total TCA</x:v>
      </x:c>
      <x:c r="B1789" s="8" t="str">
        <x:v>vancouver-c</x:v>
      </x:c>
      <x:c r="C1789" s="8" t="str">
        <x:v>Vancouver</x:v>
      </x:c>
      <x:c r="D1789" s="8" t="str">
        <x:v>Total TCA</x:v>
      </x:c>
      <x:c r="E1789" s="11" t="n">
        <x:v>13808630000</x:v>
      </x:c>
      <x:c r="F1789" s="11" t="n">
        <x:v>4883593000</x:v>
      </x:c>
      <x:c r="G1789" s="11" t="n">
        <x:v>8925037000</x:v>
      </x:c>
      <x:c r="H1789" s="11" t="n">
        <x:v>879123000</x:v>
      </x:c>
      <x:c r="I1789" s="11" t="n">
        <x:v>34639871000</x:v>
      </x:c>
      <x:c r="J1789" s="11" t="n">
        <x:v>12950000000</x:v>
      </x:c>
      <x:c r="K1789" s="12" t="n">
        <x:v>0.6463376164036548</x:v>
      </x:c>
      <x:c r="L1789" s="12" t="n">
        <x:v>0.6261533421992247</x:v>
      </x:c>
      <x:c r="M1789" s="8"/>
    </x:row>
    <x:row r="1790">
      <x:c r="A1790" s="8" t="str">
        <x:v>Vanderhoof|Land</x:v>
      </x:c>
      <x:c r="B1790" s="8" t="str">
        <x:v>vanderhoof-d</x:v>
      </x:c>
      <x:c r="C1790" s="8" t="str">
        <x:v>Vanderhoof</x:v>
      </x:c>
      <x:c r="D1790" s="8" t="str">
        <x:v>Land</x:v>
      </x:c>
      <x:c r="E1790" s="11" t="n">
        <x:v>2270382</x:v>
      </x:c>
      <x:c r="F1790" s="11"/>
      <x:c r="G1790" s="11" t="n">
        <x:v>2270382</x:v>
      </x:c>
      <x:c r="H1790" s="11" t="n">
        <x:v>458157</x:v>
      </x:c>
      <x:c r="I1790" s="11" t="n">
        <x:v>2270382</x:v>
      </x:c>
      <x:c r="J1790" s="11"/>
      <x:c r="K1790" s="12" t="n">
        <x:v>1</x:v>
      </x:c>
      <x:c r="L1790" s="12"/>
      <x:c r="M1790" s="8" t="str">
        <x:v>N/A</x:v>
      </x:c>
    </x:row>
    <x:row r="1791">
      <x:c r="A1791" s="8" t="str">
        <x:v>Vanderhoof|Buildings</x:v>
      </x:c>
      <x:c r="B1791" s="8" t="str">
        <x:v>vanderhoof-d</x:v>
      </x:c>
      <x:c r="C1791" s="8" t="str">
        <x:v>Vanderhoof</x:v>
      </x:c>
      <x:c r="D1791" s="8" t="str">
        <x:v>Buildings</x:v>
      </x:c>
      <x:c r="E1791" s="11" t="n">
        <x:v>30062081</x:v>
      </x:c>
      <x:c r="F1791" s="11" t="n">
        <x:v>7942838</x:v>
      </x:c>
      <x:c r="G1791" s="11" t="n">
        <x:v>22119243</x:v>
      </x:c>
      <x:c r="H1791" s="11" t="n">
        <x:v>1104450</x:v>
      </x:c>
      <x:c r="I1791" s="11" t="n">
        <x:v>40000000</x:v>
      </x:c>
      <x:c r="J1791" s="11" t="n">
        <x:v>800000</x:v>
      </x:c>
      <x:c r="K1791" s="12" t="n">
        <x:v>0.7357854900331084</x:v>
      </x:c>
      <x:c r="L1791" s="12" t="n">
        <x:v>0.98</x:v>
      </x:c>
      <x:c r="M1791" s="8" t="str">
        <x:v>No</x:v>
      </x:c>
    </x:row>
    <x:row r="1792">
      <x:c r="A1792" s="8" t="str">
        <x:v>Vanderhoof|Fleet</x:v>
      </x:c>
      <x:c r="B1792" s="8" t="str">
        <x:v>vanderhoof-d</x:v>
      </x:c>
      <x:c r="C1792" s="8" t="str">
        <x:v>Vanderhoof</x:v>
      </x:c>
      <x:c r="D1792" s="8" t="str">
        <x:v>Fleet</x:v>
      </x:c>
      <x:c r="E1792" s="11" t="n">
        <x:v>8634330</x:v>
      </x:c>
      <x:c r="F1792" s="11" t="n">
        <x:v>4962869</x:v>
      </x:c>
      <x:c r="G1792" s="11" t="n">
        <x:v>3671461</x:v>
      </x:c>
      <x:c r="H1792" s="11" t="n">
        <x:v>122999</x:v>
      </x:c>
      <x:c r="I1792" s="11" t="n">
        <x:v>14000000</x:v>
      </x:c>
      <x:c r="J1792" s="11" t="n">
        <x:v>1750000</x:v>
      </x:c>
      <x:c r="K1792" s="12" t="n">
        <x:v>0.42521666417660664</x:v>
      </x:c>
      <x:c r="L1792" s="12" t="n">
        <x:v>0.875</x:v>
      </x:c>
      <x:c r="M1792" s="8" t="str">
        <x:v>No</x:v>
      </x:c>
    </x:row>
    <x:row r="1793">
      <x:c r="A1793" s="8" t="str">
        <x:v>Vanderhoof|Parks and Recreation</x:v>
      </x:c>
      <x:c r="B1793" s="8" t="str">
        <x:v>vanderhoof-d</x:v>
      </x:c>
      <x:c r="C1793" s="8" t="str">
        <x:v>Vanderhoof</x:v>
      </x:c>
      <x:c r="D1793" s="8" t="str">
        <x:v>Parks and Recreation</x:v>
      </x:c>
      <x:c r="E1793" s="11" t="n">
        <x:v>12498346</x:v>
      </x:c>
      <x:c r="F1793" s="11" t="n">
        <x:v>7250337</x:v>
      </x:c>
      <x:c r="G1793" s="11" t="n">
        <x:v>5248009</x:v>
      </x:c>
      <x:c r="H1793" s="11" t="n">
        <x:v>0</x:v>
      </x:c>
      <x:c r="I1793" s="11" t="n">
        <x:v>8000000</x:v>
      </x:c>
      <x:c r="J1793" s="11" t="n">
        <x:v>400000</x:v>
      </x:c>
      <x:c r="K1793" s="12" t="n">
        <x:v>0.41989628067585905</x:v>
      </x:c>
      <x:c r="L1793" s="12" t="n">
        <x:v>0.95</x:v>
      </x:c>
      <x:c r="M1793" s="8" t="str">
        <x:v>No</x:v>
      </x:c>
    </x:row>
    <x:row r="1794">
      <x:c r="A1794" s="8" t="str">
        <x:v>Vanderhoof|Water System</x:v>
      </x:c>
      <x:c r="B1794" s="8" t="str">
        <x:v>vanderhoof-d</x:v>
      </x:c>
      <x:c r="C1794" s="8" t="str">
        <x:v>Vanderhoof</x:v>
      </x:c>
      <x:c r="D1794" s="8" t="str">
        <x:v>Water System</x:v>
      </x:c>
      <x:c r="E1794" s="11" t="n">
        <x:v>16184820</x:v>
      </x:c>
      <x:c r="F1794" s="11" t="n">
        <x:v>6371937</x:v>
      </x:c>
      <x:c r="G1794" s="11" t="n">
        <x:v>9812883</x:v>
      </x:c>
      <x:c r="H1794" s="11" t="n">
        <x:v>490167</x:v>
      </x:c>
      <x:c r="I1794" s="11" t="n">
        <x:v>32000000</x:v>
      </x:c>
      <x:c r="J1794" s="11" t="n">
        <x:v>490000</x:v>
      </x:c>
      <x:c r="K1794" s="12" t="n">
        <x:v>0.6063016456160772</x:v>
      </x:c>
      <x:c r="L1794" s="12" t="n">
        <x:v>0.9846875</x:v>
      </x:c>
      <x:c r="M1794" s="8" t="str">
        <x:v>In_Progress</x:v>
      </x:c>
    </x:row>
    <x:row r="1795">
      <x:c r="A1795" s="8" t="str">
        <x:v>Vanderhoof|Sewer System</x:v>
      </x:c>
      <x:c r="B1795" s="8" t="str">
        <x:v>vanderhoof-d</x:v>
      </x:c>
      <x:c r="C1795" s="8" t="str">
        <x:v>Vanderhoof</x:v>
      </x:c>
      <x:c r="D1795" s="8" t="str">
        <x:v>Sewer System</x:v>
      </x:c>
      <x:c r="E1795" s="11" t="n">
        <x:v>10496898</x:v>
      </x:c>
      <x:c r="F1795" s="11" t="n">
        <x:v>5635355</x:v>
      </x:c>
      <x:c r="G1795" s="11" t="n">
        <x:v>4861543</x:v>
      </x:c>
      <x:c r="H1795" s="11" t="n">
        <x:v>857788</x:v>
      </x:c>
      <x:c r="I1795" s="11" t="n">
        <x:v>20000000</x:v>
      </x:c>
      <x:c r="J1795" s="11" t="n">
        <x:v>287500</x:v>
      </x:c>
      <x:c r="K1795" s="12" t="n">
        <x:v>0.46314092029854914</x:v>
      </x:c>
      <x:c r="L1795" s="12" t="n">
        <x:v>0.985625</x:v>
      </x:c>
      <x:c r="M1795" s="8" t="str">
        <x:v>In_Progress</x:v>
      </x:c>
    </x:row>
    <x:row r="1796">
      <x:c r="A1796" s="8" t="str">
        <x:v>Vanderhoof|Drainage System</x:v>
      </x:c>
      <x:c r="B1796" s="8" t="str">
        <x:v>vanderhoof-d</x:v>
      </x:c>
      <x:c r="C1796" s="8" t="str">
        <x:v>Vanderhoof</x:v>
      </x:c>
      <x:c r="D1796" s="8" t="str">
        <x:v>Drainage System</x:v>
      </x:c>
      <x:c r="E1796" s="11" t="n">
        <x:v>2884637</x:v>
      </x:c>
      <x:c r="F1796" s="11" t="n">
        <x:v>1657220</x:v>
      </x:c>
      <x:c r="G1796" s="11" t="n">
        <x:v>1227417</x:v>
      </x:c>
      <x:c r="H1796" s="11" t="n">
        <x:v>0</x:v>
      </x:c>
      <x:c r="I1796" s="11" t="n">
        <x:v>5000000</x:v>
      </x:c>
      <x:c r="J1796" s="11" t="n">
        <x:v>62500</x:v>
      </x:c>
      <x:c r="K1796" s="12" t="n">
        <x:v>0.425501371576389</x:v>
      </x:c>
      <x:c r="L1796" s="12" t="n">
        <x:v>0.9875</x:v>
      </x:c>
      <x:c r="M1796" s="8" t="str">
        <x:v>No</x:v>
      </x:c>
    </x:row>
    <x:row r="1797">
      <x:c r="A1797" s="8" t="str">
        <x:v>Vanderhoof|Transportation System</x:v>
      </x:c>
      <x:c r="B1797" s="8" t="str">
        <x:v>vanderhoof-d</x:v>
      </x:c>
      <x:c r="C1797" s="8" t="str">
        <x:v>Vanderhoof</x:v>
      </x:c>
      <x:c r="D1797" s="8" t="str">
        <x:v>Transportation System</x:v>
      </x:c>
      <x:c r="E1797" s="11" t="n">
        <x:v>44108079</x:v>
      </x:c>
      <x:c r="F1797" s="11" t="n">
        <x:v>26992789</x:v>
      </x:c>
      <x:c r="G1797" s="11" t="n">
        <x:v>17115290</x:v>
      </x:c>
      <x:c r="H1797" s="11" t="n">
        <x:v>947335</x:v>
      </x:c>
      <x:c r="I1797" s="11" t="n">
        <x:v>39000000</x:v>
      </x:c>
      <x:c r="J1797" s="11" t="n">
        <x:v>790000</x:v>
      </x:c>
      <x:c r="K1797" s="12" t="n">
        <x:v>0.3880307278854742</x:v>
      </x:c>
      <x:c r="L1797" s="12" t="n">
        <x:v>0.9797435897435898</x:v>
      </x:c>
      <x:c r="M1797" s="8" t="str">
        <x:v>Yes</x:v>
      </x:c>
    </x:row>
    <x:row r="1798">
      <x:c r="A1798" s="8" t="str">
        <x:v>Vanderhoof|Other Engineering Systems</x:v>
      </x:c>
      <x:c r="B1798" s="8" t="str">
        <x:v>vanderhoof-d</x:v>
      </x:c>
      <x:c r="C1798" s="8" t="str">
        <x:v>Vanderhoof</x:v>
      </x:c>
      <x:c r="D1798" s="8" t="str">
        <x:v>Other Engineering Systems</x:v>
      </x:c>
      <x:c r="E1798" s="11" t="n">
        <x:v>2377894</x:v>
      </x:c>
      <x:c r="F1798" s="11" t="n">
        <x:v>810195</x:v>
      </x:c>
      <x:c r="G1798" s="11" t="n">
        <x:v>1567699</x:v>
      </x:c>
      <x:c r="H1798" s="11" t="n">
        <x:v>586805</x:v>
      </x:c>
      <x:c r="I1798" s="11" t="n">
        <x:v>5000000</x:v>
      </x:c>
      <x:c r="J1798" s="11" t="n">
        <x:v>100000</x:v>
      </x:c>
      <x:c r="K1798" s="12" t="n">
        <x:v>0.6592804389093879</x:v>
      </x:c>
      <x:c r="L1798" s="12" t="n">
        <x:v>0.98</x:v>
      </x:c>
      <x:c r="M1798" s="8" t="str">
        <x:v>No</x:v>
      </x:c>
    </x:row>
    <x:row r="1799">
      <x:c r="A1799" s="8" t="str">
        <x:v>Vanderhoof|Other Tangible Capital Assets</x:v>
      </x:c>
      <x:c r="B1799" s="8" t="str">
        <x:v>vanderhoof-d</x:v>
      </x:c>
      <x:c r="C1799" s="8" t="str">
        <x:v>Vanderhoof</x:v>
      </x:c>
      <x:c r="D1799" s="8" t="str">
        <x:v>Other Tangible Capital Assets</x:v>
      </x:c>
      <x:c r="E1799" s="11" t="n">
        <x:v>0</x:v>
      </x:c>
      <x:c r="F1799" s="11" t="n">
        <x:v>0</x:v>
      </x:c>
      <x:c r="G1799" s="11" t="n">
        <x:v>0</x:v>
      </x:c>
      <x:c r="H1799" s="11" t="n">
        <x:v>0</x:v>
      </x:c>
      <x:c r="I1799" s="11" t="n">
        <x:v>0</x:v>
      </x:c>
      <x:c r="J1799" s="11" t="n">
        <x:v>0</x:v>
      </x:c>
      <x:c r="K1799" s="12"/>
      <x:c r="L1799" s="12"/>
      <x:c r="M1799" s="8" t="str">
        <x:v>N/A</x:v>
      </x:c>
    </x:row>
    <x:row r="1800">
      <x:c r="A1800" s="8" t="str">
        <x:v>Vanderhoof|Work In Progress</x:v>
      </x:c>
      <x:c r="B1800" s="8" t="str">
        <x:v>vanderhoof-d</x:v>
      </x:c>
      <x:c r="C1800" s="8" t="str">
        <x:v>Vanderhoof</x:v>
      </x:c>
      <x:c r="D1800" s="8" t="str">
        <x:v>Work In Progress</x:v>
      </x:c>
      <x:c r="E1800" s="11" t="n">
        <x:v>319398</x:v>
      </x:c>
      <x:c r="F1800" s="11"/>
      <x:c r="G1800" s="11" t="n">
        <x:v>319398</x:v>
      </x:c>
      <x:c r="H1800" s="11" t="n">
        <x:v>150832</x:v>
      </x:c>
      <x:c r="I1800" s="11" t="n">
        <x:v>319398</x:v>
      </x:c>
      <x:c r="J1800" s="11"/>
      <x:c r="K1800" s="12" t="n">
        <x:v>1</x:v>
      </x:c>
      <x:c r="L1800" s="12"/>
      <x:c r="M1800" s="8" t="str">
        <x:v>N/A</x:v>
      </x:c>
    </x:row>
    <x:row r="1801">
      <x:c r="A1801" s="8" t="str">
        <x:v>Vanderhoof|Total TCA</x:v>
      </x:c>
      <x:c r="B1801" s="8" t="str">
        <x:v>vanderhoof-d</x:v>
      </x:c>
      <x:c r="C1801" s="8" t="str">
        <x:v>Vanderhoof</x:v>
      </x:c>
      <x:c r="D1801" s="8" t="str">
        <x:v>Total TCA</x:v>
      </x:c>
      <x:c r="E1801" s="11" t="n">
        <x:v>129836865</x:v>
      </x:c>
      <x:c r="F1801" s="11" t="n">
        <x:v>61623540</x:v>
      </x:c>
      <x:c r="G1801" s="11" t="n">
        <x:v>68213325</x:v>
      </x:c>
      <x:c r="H1801" s="11" t="n">
        <x:v>4718533</x:v>
      </x:c>
      <x:c r="I1801" s="11" t="n">
        <x:v>165589780</x:v>
      </x:c>
      <x:c r="J1801" s="11" t="n">
        <x:v>4680000</x:v>
      </x:c>
      <x:c r="K1801" s="12" t="n">
        <x:v>0.5253771723462362</x:v>
      </x:c>
      <x:c r="L1801" s="12" t="n">
        <x:v>0.9717373862082551</x:v>
      </x:c>
      <x:c r="M1801" s="8"/>
    </x:row>
    <x:row r="1802">
      <x:c r="A1802" s="8" t="str">
        <x:v>Vernon|Land</x:v>
      </x:c>
      <x:c r="B1802" s="8" t="str">
        <x:v>vernon-c</x:v>
      </x:c>
      <x:c r="C1802" s="8" t="str">
        <x:v>Vernon</x:v>
      </x:c>
      <x:c r="D1802" s="8" t="str">
        <x:v>Land</x:v>
      </x:c>
      <x:c r="E1802" s="11" t="n">
        <x:v>291360000</x:v>
      </x:c>
      <x:c r="F1802" s="11"/>
      <x:c r="G1802" s="11" t="n">
        <x:v>291360000</x:v>
      </x:c>
      <x:c r="H1802" s="11" t="n">
        <x:v>2798000</x:v>
      </x:c>
      <x:c r="I1802" s="11" t="n">
        <x:v>291360000</x:v>
      </x:c>
      <x:c r="J1802" s="11"/>
      <x:c r="K1802" s="12" t="n">
        <x:v>1</x:v>
      </x:c>
      <x:c r="L1802" s="12"/>
      <x:c r="M1802" s="8" t="str">
        <x:v>N/A</x:v>
      </x:c>
    </x:row>
    <x:row r="1803">
      <x:c r="A1803" s="8" t="str">
        <x:v>Vernon|Buildings</x:v>
      </x:c>
      <x:c r="B1803" s="8" t="str">
        <x:v>vernon-c</x:v>
      </x:c>
      <x:c r="C1803" s="8" t="str">
        <x:v>Vernon</x:v>
      </x:c>
      <x:c r="D1803" s="8" t="str">
        <x:v>Buildings</x:v>
      </x:c>
      <x:c r="E1803" s="11" t="n">
        <x:v>117451000</x:v>
      </x:c>
      <x:c r="F1803" s="11" t="n">
        <x:v>40129000</x:v>
      </x:c>
      <x:c r="G1803" s="11" t="n">
        <x:v>77322000</x:v>
      </x:c>
      <x:c r="H1803" s="11" t="n">
        <x:v>4980000</x:v>
      </x:c>
      <x:c r="I1803" s="11" t="n">
        <x:v>210780000</x:v>
      </x:c>
      <x:c r="J1803" s="11" t="n">
        <x:v>2087000</x:v>
      </x:c>
      <x:c r="K1803" s="12" t="n">
        <x:v>0.6583341138006488</x:v>
      </x:c>
      <x:c r="L1803" s="12" t="n">
        <x:v>0.9900986810892874</x:v>
      </x:c>
      <x:c r="M1803" s="8" t="str">
        <x:v>In_Progress</x:v>
      </x:c>
    </x:row>
    <x:row r="1804">
      <x:c r="A1804" s="8" t="str">
        <x:v>Vernon|Fleet</x:v>
      </x:c>
      <x:c r="B1804" s="8" t="str">
        <x:v>vernon-c</x:v>
      </x:c>
      <x:c r="C1804" s="8" t="str">
        <x:v>Vernon</x:v>
      </x:c>
      <x:c r="D1804" s="8" t="str">
        <x:v>Fleet</x:v>
      </x:c>
      <x:c r="E1804" s="11" t="n">
        <x:v>21828000</x:v>
      </x:c>
      <x:c r="F1804" s="11" t="n">
        <x:v>10923000</x:v>
      </x:c>
      <x:c r="G1804" s="11" t="n">
        <x:v>10905000</x:v>
      </x:c>
      <x:c r="H1804" s="11" t="n">
        <x:v>2376000</x:v>
      </x:c>
      <x:c r="I1804" s="11" t="n">
        <x:v>19545000</x:v>
      </x:c>
      <x:c r="J1804" s="11" t="n">
        <x:v>1629000</x:v>
      </x:c>
      <x:c r="K1804" s="12" t="n">
        <x:v>0.49958768554150634</x:v>
      </x:c>
      <x:c r="L1804" s="12" t="n">
        <x:v>0.9166538756715272</x:v>
      </x:c>
      <x:c r="M1804" s="8" t="str">
        <x:v>Yes</x:v>
      </x:c>
    </x:row>
    <x:row r="1805">
      <x:c r="A1805" s="8" t="str">
        <x:v>Vernon|Parks and Recreation</x:v>
      </x:c>
      <x:c r="B1805" s="8" t="str">
        <x:v>vernon-c</x:v>
      </x:c>
      <x:c r="C1805" s="8" t="str">
        <x:v>Vernon</x:v>
      </x:c>
      <x:c r="D1805" s="8" t="str">
        <x:v>Parks and Recreation</x:v>
      </x:c>
      <x:c r="E1805" s="11" t="n">
        <x:v>0</x:v>
      </x:c>
      <x:c r="F1805" s="11" t="n">
        <x:v>0</x:v>
      </x:c>
      <x:c r="G1805" s="11" t="n">
        <x:v>0</x:v>
      </x:c>
      <x:c r="H1805" s="11" t="n">
        <x:v>0</x:v>
      </x:c>
      <x:c r="I1805" s="11" t="n">
        <x:v>0</x:v>
      </x:c>
      <x:c r="J1805" s="11" t="n">
        <x:v>0</x:v>
      </x:c>
      <x:c r="K1805" s="12"/>
      <x:c r="L1805" s="12"/>
      <x:c r="M1805" s="8"/>
    </x:row>
    <x:row r="1806">
      <x:c r="A1806" s="8" t="str">
        <x:v>Vernon|Water System</x:v>
      </x:c>
      <x:c r="B1806" s="8" t="str">
        <x:v>vernon-c</x:v>
      </x:c>
      <x:c r="C1806" s="8" t="str">
        <x:v>Vernon</x:v>
      </x:c>
      <x:c r="D1806" s="8" t="str">
        <x:v>Water System</x:v>
      </x:c>
      <x:c r="E1806" s="11" t="n">
        <x:v>0</x:v>
      </x:c>
      <x:c r="F1806" s="11" t="n">
        <x:v>0</x:v>
      </x:c>
      <x:c r="G1806" s="11" t="n">
        <x:v>0</x:v>
      </x:c>
      <x:c r="H1806" s="11" t="n">
        <x:v>0</x:v>
      </x:c>
      <x:c r="I1806" s="11" t="n">
        <x:v>0</x:v>
      </x:c>
      <x:c r="J1806" s="11" t="n">
        <x:v>0</x:v>
      </x:c>
      <x:c r="K1806" s="12"/>
      <x:c r="L1806" s="12"/>
      <x:c r="M1806" s="8"/>
    </x:row>
    <x:row r="1807">
      <x:c r="A1807" s="8" t="str">
        <x:v>Vernon|Sewer System</x:v>
      </x:c>
      <x:c r="B1807" s="8" t="str">
        <x:v>vernon-c</x:v>
      </x:c>
      <x:c r="C1807" s="8" t="str">
        <x:v>Vernon</x:v>
      </x:c>
      <x:c r="D1807" s="8" t="str">
        <x:v>Sewer System</x:v>
      </x:c>
      <x:c r="E1807" s="11" t="n">
        <x:v>120007000</x:v>
      </x:c>
      <x:c r="F1807" s="11" t="n">
        <x:v>39462000</x:v>
      </x:c>
      <x:c r="G1807" s="11" t="n">
        <x:v>80545000</x:v>
      </x:c>
      <x:c r="H1807" s="11" t="n">
        <x:v>3746000</x:v>
      </x:c>
      <x:c r="I1807" s="11" t="n">
        <x:v>797833000</x:v>
      </x:c>
      <x:c r="J1807" s="11" t="n">
        <x:v>12595000</x:v>
      </x:c>
      <x:c r="K1807" s="12" t="n">
        <x:v>0.6711691817977284</x:v>
      </x:c>
      <x:c r="L1807" s="12" t="n">
        <x:v>0.9842134882863958</x:v>
      </x:c>
      <x:c r="M1807" s="8" t="str">
        <x:v>Yes</x:v>
      </x:c>
    </x:row>
    <x:row r="1808">
      <x:c r="A1808" s="8" t="str">
        <x:v>Vernon|Drainage System</x:v>
      </x:c>
      <x:c r="B1808" s="8" t="str">
        <x:v>vernon-c</x:v>
      </x:c>
      <x:c r="C1808" s="8" t="str">
        <x:v>Vernon</x:v>
      </x:c>
      <x:c r="D1808" s="8" t="str">
        <x:v>Drainage System</x:v>
      </x:c>
      <x:c r="E1808" s="11" t="n">
        <x:v>95375000</x:v>
      </x:c>
      <x:c r="F1808" s="11" t="n">
        <x:v>30728000</x:v>
      </x:c>
      <x:c r="G1808" s="11" t="n">
        <x:v>64647000</x:v>
      </x:c>
      <x:c r="H1808" s="11" t="n">
        <x:v>2738000</x:v>
      </x:c>
      <x:c r="I1808" s="11" t="n">
        <x:v>572454000</x:v>
      </x:c>
      <x:c r="J1808" s="11" t="n">
        <x:v>7246000</x:v>
      </x:c>
      <x:c r="K1808" s="12" t="n">
        <x:v>0.6778191349934469</x:v>
      </x:c>
      <x:c r="L1808" s="12" t="n">
        <x:v>0.9873422143962659</x:v>
      </x:c>
      <x:c r="M1808" s="8" t="str">
        <x:v>Yes</x:v>
      </x:c>
    </x:row>
    <x:row r="1809">
      <x:c r="A1809" s="8" t="str">
        <x:v>Vernon|Transportation System</x:v>
      </x:c>
      <x:c r="B1809" s="8" t="str">
        <x:v>vernon-c</x:v>
      </x:c>
      <x:c r="C1809" s="8" t="str">
        <x:v>Vernon</x:v>
      </x:c>
      <x:c r="D1809" s="8" t="str">
        <x:v>Transportation System</x:v>
      </x:c>
      <x:c r="E1809" s="11" t="n">
        <x:v>268895000</x:v>
      </x:c>
      <x:c r="F1809" s="11" t="n">
        <x:v>144974000</x:v>
      </x:c>
      <x:c r="G1809" s="11" t="n">
        <x:v>123921000</x:v>
      </x:c>
      <x:c r="H1809" s="11" t="n">
        <x:v>7185000</x:v>
      </x:c>
      <x:c r="I1809" s="11" t="n">
        <x:v>1224997000</x:v>
      </x:c>
      <x:c r="J1809" s="11" t="n">
        <x:v>8879000</x:v>
      </x:c>
      <x:c r="K1809" s="12" t="n">
        <x:v>0.46085274921437736</x:v>
      </x:c>
      <x:c r="L1809" s="12" t="n">
        <x:v>0.9927518189840465</x:v>
      </x:c>
      <x:c r="M1809" s="8" t="str">
        <x:v>Yes</x:v>
      </x:c>
    </x:row>
    <x:row r="1810">
      <x:c r="A1810" s="8" t="str">
        <x:v>Vernon|Other Engineering Systems</x:v>
      </x:c>
      <x:c r="B1810" s="8" t="str">
        <x:v>vernon-c</x:v>
      </x:c>
      <x:c r="C1810" s="8" t="str">
        <x:v>Vernon</x:v>
      </x:c>
      <x:c r="D1810" s="8" t="str">
        <x:v>Other Engineering Systems</x:v>
      </x:c>
      <x:c r="E1810" s="11" t="n">
        <x:v>0</x:v>
      </x:c>
      <x:c r="F1810" s="11" t="n">
        <x:v>0</x:v>
      </x:c>
      <x:c r="G1810" s="11" t="n">
        <x:v>0</x:v>
      </x:c>
      <x:c r="H1810" s="11" t="n">
        <x:v>0</x:v>
      </x:c>
      <x:c r="I1810" s="11" t="n">
        <x:v>0</x:v>
      </x:c>
      <x:c r="J1810" s="11" t="n">
        <x:v>0</x:v>
      </x:c>
      <x:c r="K1810" s="12"/>
      <x:c r="L1810" s="12"/>
      <x:c r="M1810" s="8"/>
    </x:row>
    <x:row r="1811">
      <x:c r="A1811" s="8" t="str">
        <x:v>Vernon|Other Tangible Capital Assets</x:v>
      </x:c>
      <x:c r="B1811" s="8" t="str">
        <x:v>vernon-c</x:v>
      </x:c>
      <x:c r="C1811" s="8" t="str">
        <x:v>Vernon</x:v>
      </x:c>
      <x:c r="D1811" s="8" t="str">
        <x:v>Other Tangible Capital Assets</x:v>
      </x:c>
      <x:c r="E1811" s="11" t="n">
        <x:v>16518000</x:v>
      </x:c>
      <x:c r="F1811" s="11" t="n">
        <x:v>6686000</x:v>
      </x:c>
      <x:c r="G1811" s="11" t="n">
        <x:v>9832000</x:v>
      </x:c>
      <x:c r="H1811" s="11" t="n">
        <x:v>2032000</x:v>
      </x:c>
      <x:c r="I1811" s="11" t="n">
        <x:v>14406000</x:v>
      </x:c>
      <x:c r="J1811" s="11" t="n">
        <x:v>720000</x:v>
      </x:c>
      <x:c r="K1811" s="12" t="n">
        <x:v>0.595229446664245</x:v>
      </x:c>
      <x:c r="L1811" s="12" t="n">
        <x:v>0.9500208246563931</x:v>
      </x:c>
      <x:c r="M1811" s="8" t="str">
        <x:v>N/A</x:v>
      </x:c>
    </x:row>
    <x:row r="1812">
      <x:c r="A1812" s="8" t="str">
        <x:v>Vernon|Work In Progress</x:v>
      </x:c>
      <x:c r="B1812" s="8" t="str">
        <x:v>vernon-c</x:v>
      </x:c>
      <x:c r="C1812" s="8" t="str">
        <x:v>Vernon</x:v>
      </x:c>
      <x:c r="D1812" s="8" t="str">
        <x:v>Work In Progress</x:v>
      </x:c>
      <x:c r="E1812" s="11" t="n">
        <x:v>40693000</x:v>
      </x:c>
      <x:c r="F1812" s="11"/>
      <x:c r="G1812" s="11" t="n">
        <x:v>40693000</x:v>
      </x:c>
      <x:c r="H1812" s="11" t="n">
        <x:v>29578000</x:v>
      </x:c>
      <x:c r="I1812" s="11" t="n">
        <x:v>40693000</x:v>
      </x:c>
      <x:c r="J1812" s="11"/>
      <x:c r="K1812" s="12" t="n">
        <x:v>1</x:v>
      </x:c>
      <x:c r="L1812" s="12"/>
      <x:c r="M1812" s="8" t="str">
        <x:v>N/A</x:v>
      </x:c>
    </x:row>
    <x:row r="1813">
      <x:c r="A1813" s="8" t="str">
        <x:v>Vernon|Total TCA</x:v>
      </x:c>
      <x:c r="B1813" s="8" t="str">
        <x:v>vernon-c</x:v>
      </x:c>
      <x:c r="C1813" s="8" t="str">
        <x:v>Vernon</x:v>
      </x:c>
      <x:c r="D1813" s="8" t="str">
        <x:v>Total TCA</x:v>
      </x:c>
      <x:c r="E1813" s="11" t="n">
        <x:v>972127000</x:v>
      </x:c>
      <x:c r="F1813" s="11" t="n">
        <x:v>272902000</x:v>
      </x:c>
      <x:c r="G1813" s="11" t="n">
        <x:v>699225000</x:v>
      </x:c>
      <x:c r="H1813" s="11" t="n">
        <x:v>55433000</x:v>
      </x:c>
      <x:c r="I1813" s="11" t="n">
        <x:v>3172068000</x:v>
      </x:c>
      <x:c r="J1813" s="11" t="n">
        <x:v>33156000</x:v>
      </x:c>
      <x:c r="K1813" s="12" t="n">
        <x:v>0.7192733048253983</x:v>
      </x:c>
      <x:c r="L1813" s="12" t="n">
        <x:v>0.989547512852814</x:v>
      </x:c>
      <x:c r="M1813" s="8"/>
    </x:row>
    <x:row r="1814">
      <x:c r="A1814" s="8" t="str">
        <x:v>Victoria|Land</x:v>
      </x:c>
      <x:c r="B1814" s="8" t="str">
        <x:v>victoria-c</x:v>
      </x:c>
      <x:c r="C1814" s="8" t="str">
        <x:v>Victoria</x:v>
      </x:c>
      <x:c r="D1814" s="8" t="str">
        <x:v>Land</x:v>
      </x:c>
      <x:c r="E1814" s="11" t="n">
        <x:v>159456360</x:v>
      </x:c>
      <x:c r="F1814" s="11"/>
      <x:c r="G1814" s="11" t="n">
        <x:v>159456360</x:v>
      </x:c>
      <x:c r="H1814" s="11" t="n">
        <x:v>11753605</x:v>
      </x:c>
      <x:c r="I1814" s="11" t="n">
        <x:v>159456360</x:v>
      </x:c>
      <x:c r="J1814" s="11"/>
      <x:c r="K1814" s="12" t="n">
        <x:v>1</x:v>
      </x:c>
      <x:c r="L1814" s="12"/>
      <x:c r="M1814" s="8" t="str">
        <x:v>N/A</x:v>
      </x:c>
    </x:row>
    <x:row r="1815">
      <x:c r="A1815" s="8" t="str">
        <x:v>Victoria|Buildings</x:v>
      </x:c>
      <x:c r="B1815" s="8" t="str">
        <x:v>victoria-c</x:v>
      </x:c>
      <x:c r="C1815" s="8" t="str">
        <x:v>Victoria</x:v>
      </x:c>
      <x:c r="D1815" s="8" t="str">
        <x:v>Buildings</x:v>
      </x:c>
      <x:c r="E1815" s="11" t="n">
        <x:v>170625092</x:v>
      </x:c>
      <x:c r="F1815" s="11" t="n">
        <x:v>70891498</x:v>
      </x:c>
      <x:c r="G1815" s="11" t="n">
        <x:v>99733594</x:v>
      </x:c>
      <x:c r="H1815" s="11" t="n">
        <x:v>8425351</x:v>
      </x:c>
      <x:c r="I1815" s="11" t="n">
        <x:v>628116500</x:v>
      </x:c>
      <x:c r="J1815" s="11" t="n">
        <x:v>16426534</x:v>
      </x:c>
      <x:c r="K1815" s="12" t="n">
        <x:v>0.5845189170652579</x:v>
      </x:c>
      <x:c r="L1815" s="12" t="n">
        <x:v>0.9738479501812164</x:v>
      </x:c>
      <x:c r="M1815" s="8" t="str">
        <x:v>In_Progress</x:v>
      </x:c>
    </x:row>
    <x:row r="1816">
      <x:c r="A1816" s="8" t="str">
        <x:v>Victoria|Fleet</x:v>
      </x:c>
      <x:c r="B1816" s="8" t="str">
        <x:v>victoria-c</x:v>
      </x:c>
      <x:c r="C1816" s="8" t="str">
        <x:v>Victoria</x:v>
      </x:c>
      <x:c r="D1816" s="8" t="str">
        <x:v>Fleet</x:v>
      </x:c>
      <x:c r="E1816" s="11" t="n">
        <x:v>120697145</x:v>
      </x:c>
      <x:c r="F1816" s="11" t="n">
        <x:v>87607763</x:v>
      </x:c>
      <x:c r="G1816" s="11" t="n">
        <x:v>33089382</x:v>
      </x:c>
      <x:c r="H1816" s="11" t="n">
        <x:v>10716034</x:v>
      </x:c>
      <x:c r="I1816" s="11" t="n">
        <x:v>99077000</x:v>
      </x:c>
      <x:c r="J1816" s="11" t="n">
        <x:v>7587529</x:v>
      </x:c>
      <x:c r="K1816" s="12" t="n">
        <x:v>0.27415215165197154</x:v>
      </x:c>
      <x:c r="L1816" s="12" t="n">
        <x:v>0.9234178568184341</x:v>
      </x:c>
      <x:c r="M1816" s="8" t="str">
        <x:v>In_Progress</x:v>
      </x:c>
    </x:row>
    <x:row r="1817">
      <x:c r="A1817" s="8" t="str">
        <x:v>Victoria|Parks and Recreation</x:v>
      </x:c>
      <x:c r="B1817" s="8" t="str">
        <x:v>victoria-c</x:v>
      </x:c>
      <x:c r="C1817" s="8" t="str">
        <x:v>Victoria</x:v>
      </x:c>
      <x:c r="D1817" s="8" t="str">
        <x:v>Parks and Recreation</x:v>
      </x:c>
      <x:c r="E1817" s="11" t="n">
        <x:v>37236291</x:v>
      </x:c>
      <x:c r="F1817" s="11" t="n">
        <x:v>1940047</x:v>
      </x:c>
      <x:c r="G1817" s="11" t="n">
        <x:v>35296244</x:v>
      </x:c>
      <x:c r="H1817" s="11" t="n">
        <x:v>7692983</x:v>
      </x:c>
      <x:c r="I1817" s="11" t="n">
        <x:v>58970653</x:v>
      </x:c>
      <x:c r="J1817" s="11" t="n">
        <x:v>540978</x:v>
      </x:c>
      <x:c r="K1817" s="12" t="n">
        <x:v>0.9478990267854551</x:v>
      </x:c>
      <x:c r="L1817" s="12" t="n">
        <x:v>0.9908263183044624</x:v>
      </x:c>
      <x:c r="M1817" s="8" t="str">
        <x:v>Yes</x:v>
      </x:c>
    </x:row>
    <x:row r="1818">
      <x:c r="A1818" s="8" t="str">
        <x:v>Victoria|Water System</x:v>
      </x:c>
      <x:c r="B1818" s="8" t="str">
        <x:v>victoria-c</x:v>
      </x:c>
      <x:c r="C1818" s="8" t="str">
        <x:v>Victoria</x:v>
      </x:c>
      <x:c r="D1818" s="8" t="str">
        <x:v>Water System</x:v>
      </x:c>
      <x:c r="E1818" s="11" t="n">
        <x:v>106404985</x:v>
      </x:c>
      <x:c r="F1818" s="11" t="n">
        <x:v>16236726</x:v>
      </x:c>
      <x:c r="G1818" s="11" t="n">
        <x:v>90168259</x:v>
      </x:c>
      <x:c r="H1818" s="11" t="n">
        <x:v>10467162</x:v>
      </x:c>
      <x:c r="I1818" s="11" t="n">
        <x:v>336329280</x:v>
      </x:c>
      <x:c r="J1818" s="11" t="n">
        <x:v>3365705</x:v>
      </x:c>
      <x:c r="K1818" s="12" t="n">
        <x:v>0.847406340971713</x:v>
      </x:c>
      <x:c r="L1818" s="12" t="n">
        <x:v>0.9899928278620286</x:v>
      </x:c>
      <x:c r="M1818" s="8" t="str">
        <x:v>Yes</x:v>
      </x:c>
    </x:row>
    <x:row r="1819">
      <x:c r="A1819" s="8" t="str">
        <x:v>Victoria|Sewer System</x:v>
      </x:c>
      <x:c r="B1819" s="8" t="str">
        <x:v>victoria-c</x:v>
      </x:c>
      <x:c r="C1819" s="8" t="str">
        <x:v>Victoria</x:v>
      </x:c>
      <x:c r="D1819" s="8" t="str">
        <x:v>Sewer System</x:v>
      </x:c>
      <x:c r="E1819" s="11" t="n">
        <x:v>57614159</x:v>
      </x:c>
      <x:c r="F1819" s="11" t="n">
        <x:v>9206166</x:v>
      </x:c>
      <x:c r="G1819" s="11" t="n">
        <x:v>48407993</x:v>
      </x:c>
      <x:c r="H1819" s="11" t="n">
        <x:v>6514191</x:v>
      </x:c>
      <x:c r="I1819" s="11" t="n">
        <x:v>387654560</x:v>
      </x:c>
      <x:c r="J1819" s="11" t="n">
        <x:v>4053729</x:v>
      </x:c>
      <x:c r="K1819" s="12" t="n">
        <x:v>0.8402100080988772</x:v>
      </x:c>
      <x:c r="L1819" s="12" t="n">
        <x:v>0.9895429348232097</x:v>
      </x:c>
      <x:c r="M1819" s="8" t="str">
        <x:v>Yes</x:v>
      </x:c>
    </x:row>
    <x:row r="1820">
      <x:c r="A1820" s="8" t="str">
        <x:v>Victoria|Drainage System</x:v>
      </x:c>
      <x:c r="B1820" s="8" t="str">
        <x:v>victoria-c</x:v>
      </x:c>
      <x:c r="C1820" s="8" t="str">
        <x:v>Victoria</x:v>
      </x:c>
      <x:c r="D1820" s="8" t="str">
        <x:v>Drainage System</x:v>
      </x:c>
      <x:c r="E1820" s="11" t="n">
        <x:v>57596107</x:v>
      </x:c>
      <x:c r="F1820" s="11" t="n">
        <x:v>6210437</x:v>
      </x:c>
      <x:c r="G1820" s="11" t="n">
        <x:v>51385670</x:v>
      </x:c>
      <x:c r="H1820" s="11" t="n">
        <x:v>9841824</x:v>
      </x:c>
      <x:c r="I1820" s="11" t="n">
        <x:v>967000000</x:v>
      </x:c>
      <x:c r="J1820" s="11" t="n">
        <x:v>9447255</x:v>
      </x:c>
      <x:c r="K1820" s="12" t="n">
        <x:v>0.8921726254866497</x:v>
      </x:c>
      <x:c r="L1820" s="12" t="n">
        <x:v>0.9902303464322647</x:v>
      </x:c>
      <x:c r="M1820" s="8" t="str">
        <x:v>Yes</x:v>
      </x:c>
    </x:row>
    <x:row r="1821">
      <x:c r="A1821" s="8" t="str">
        <x:v>Victoria|Transportation System</x:v>
      </x:c>
      <x:c r="B1821" s="8" t="str">
        <x:v>victoria-c</x:v>
      </x:c>
      <x:c r="C1821" s="8" t="str">
        <x:v>Victoria</x:v>
      </x:c>
      <x:c r="D1821" s="8" t="str">
        <x:v>Transportation System</x:v>
      </x:c>
      <x:c r="E1821" s="11" t="n">
        <x:v>334291450</x:v>
      </x:c>
      <x:c r="F1821" s="11" t="n">
        <x:v>95309795</x:v>
      </x:c>
      <x:c r="G1821" s="11" t="n">
        <x:v>238981655</x:v>
      </x:c>
      <x:c r="H1821" s="11" t="n">
        <x:v>21215490</x:v>
      </x:c>
      <x:c r="I1821" s="11" t="n">
        <x:v>1122237100</x:v>
      </x:c>
      <x:c r="J1821" s="11" t="n">
        <x:v>7029664</x:v>
      </x:c>
      <x:c r="K1821" s="12" t="n">
        <x:v>0.7148901205819054</x:v>
      </x:c>
      <x:c r="L1821" s="12" t="n">
        <x:v>0.993736026014467</x:v>
      </x:c>
      <x:c r="M1821" s="8" t="str">
        <x:v>Yes</x:v>
      </x:c>
    </x:row>
    <x:row r="1822">
      <x:c r="A1822" s="8" t="str">
        <x:v>Victoria|Other Engineering Systems</x:v>
      </x:c>
      <x:c r="B1822" s="8" t="str">
        <x:v>victoria-c</x:v>
      </x:c>
      <x:c r="C1822" s="8" t="str">
        <x:v>Victoria</x:v>
      </x:c>
      <x:c r="D1822" s="8" t="str">
        <x:v>Other Engineering Systems</x:v>
      </x:c>
      <x:c r="E1822" s="11" t="n">
        <x:v>0</x:v>
      </x:c>
      <x:c r="F1822" s="11" t="n">
        <x:v>0</x:v>
      </x:c>
      <x:c r="G1822" s="11" t="n">
        <x:v>0</x:v>
      </x:c>
      <x:c r="H1822" s="11" t="n">
        <x:v>0</x:v>
      </x:c>
      <x:c r="I1822" s="11" t="n">
        <x:v>0</x:v>
      </x:c>
      <x:c r="J1822" s="11" t="n">
        <x:v>0</x:v>
      </x:c>
      <x:c r="K1822" s="12"/>
      <x:c r="L1822" s="12"/>
      <x:c r="M1822" s="8"/>
    </x:row>
    <x:row r="1823">
      <x:c r="A1823" s="8" t="str">
        <x:v>Victoria|Other Tangible Capital Assets</x:v>
      </x:c>
      <x:c r="B1823" s="8" t="str">
        <x:v>victoria-c</x:v>
      </x:c>
      <x:c r="C1823" s="8" t="str">
        <x:v>Victoria</x:v>
      </x:c>
      <x:c r="D1823" s="8" t="str">
        <x:v>Other Tangible Capital Assets</x:v>
      </x:c>
      <x:c r="E1823" s="11" t="n">
        <x:v>0</x:v>
      </x:c>
      <x:c r="F1823" s="11" t="n">
        <x:v>0</x:v>
      </x:c>
      <x:c r="G1823" s="11" t="n">
        <x:v>0</x:v>
      </x:c>
      <x:c r="H1823" s="11" t="n">
        <x:v>0</x:v>
      </x:c>
      <x:c r="I1823" s="11" t="n">
        <x:v>0</x:v>
      </x:c>
      <x:c r="J1823" s="11" t="n">
        <x:v>0</x:v>
      </x:c>
      <x:c r="K1823" s="12"/>
      <x:c r="L1823" s="12"/>
      <x:c r="M1823" s="8" t="str">
        <x:v>N/A</x:v>
      </x:c>
    </x:row>
    <x:row r="1824">
      <x:c r="A1824" s="8" t="str">
        <x:v>Victoria|Work In Progress</x:v>
      </x:c>
      <x:c r="B1824" s="8" t="str">
        <x:v>victoria-c</x:v>
      </x:c>
      <x:c r="C1824" s="8" t="str">
        <x:v>Victoria</x:v>
      </x:c>
      <x:c r="D1824" s="8" t="str">
        <x:v>Work In Progress</x:v>
      </x:c>
      <x:c r="E1824" s="11" t="n">
        <x:v>16966448</x:v>
      </x:c>
      <x:c r="F1824" s="11"/>
      <x:c r="G1824" s="11" t="n">
        <x:v>16966448</x:v>
      </x:c>
      <x:c r="H1824" s="11" t="n">
        <x:v>-9402174</x:v>
      </x:c>
      <x:c r="I1824" s="11" t="n">
        <x:v>16966448</x:v>
      </x:c>
      <x:c r="J1824" s="11"/>
      <x:c r="K1824" s="12" t="n">
        <x:v>1</x:v>
      </x:c>
      <x:c r="L1824" s="12"/>
      <x:c r="M1824" s="8" t="str">
        <x:v>N/A</x:v>
      </x:c>
    </x:row>
    <x:row r="1825">
      <x:c r="A1825" s="8" t="str">
        <x:v>Victoria|Total TCA</x:v>
      </x:c>
      <x:c r="B1825" s="8" t="str">
        <x:v>victoria-c</x:v>
      </x:c>
      <x:c r="C1825" s="8" t="str">
        <x:v>Victoria</x:v>
      </x:c>
      <x:c r="D1825" s="8" t="str">
        <x:v>Total TCA</x:v>
      </x:c>
      <x:c r="E1825" s="11" t="n">
        <x:v>1060888037</x:v>
      </x:c>
      <x:c r="F1825" s="11" t="n">
        <x:v>287402432</x:v>
      </x:c>
      <x:c r="G1825" s="11" t="n">
        <x:v>773485605</x:v>
      </x:c>
      <x:c r="H1825" s="11" t="n">
        <x:v>77224466</x:v>
      </x:c>
      <x:c r="I1825" s="11" t="n">
        <x:v>3775807901</x:v>
      </x:c>
      <x:c r="J1825" s="11" t="n">
        <x:v>48451394</x:v>
      </x:c>
      <x:c r="K1825" s="12" t="n">
        <x:v>0.729092588495274</x:v>
      </x:c>
      <x:c r="L1825" s="12" t="n">
        <x:v>0.9871679398766108</x:v>
      </x:c>
      <x:c r="M1825" s="8"/>
    </x:row>
    <x:row r="1826">
      <x:c r="A1826" s="8" t="str">
        <x:v>View Royal|Land</x:v>
      </x:c>
      <x:c r="B1826" s="8" t="str">
        <x:v>view-royal-t</x:v>
      </x:c>
      <x:c r="C1826" s="8" t="str">
        <x:v>View Royal</x:v>
      </x:c>
      <x:c r="D1826" s="8" t="str">
        <x:v>Land</x:v>
      </x:c>
      <x:c r="E1826" s="11" t="n">
        <x:v>43479637</x:v>
      </x:c>
      <x:c r="F1826" s="11"/>
      <x:c r="G1826" s="11" t="n">
        <x:v>43479637</x:v>
      </x:c>
      <x:c r="H1826" s="11" t="n">
        <x:v>0</x:v>
      </x:c>
      <x:c r="I1826" s="11" t="n">
        <x:v>43479637</x:v>
      </x:c>
      <x:c r="J1826" s="11"/>
      <x:c r="K1826" s="12" t="n">
        <x:v>1</x:v>
      </x:c>
      <x:c r="L1826" s="12"/>
      <x:c r="M1826" s="8" t="str">
        <x:v>N/A</x:v>
      </x:c>
    </x:row>
    <x:row r="1827">
      <x:c r="A1827" s="8" t="str">
        <x:v>View Royal|Buildings</x:v>
      </x:c>
      <x:c r="B1827" s="8" t="str">
        <x:v>view-royal-t</x:v>
      </x:c>
      <x:c r="C1827" s="8" t="str">
        <x:v>View Royal</x:v>
      </x:c>
      <x:c r="D1827" s="8" t="str">
        <x:v>Buildings</x:v>
      </x:c>
      <x:c r="E1827" s="11" t="n">
        <x:v>10756142</x:v>
      </x:c>
      <x:c r="F1827" s="11" t="n">
        <x:v>3789554</x:v>
      </x:c>
      <x:c r="G1827" s="11" t="n">
        <x:v>6966588</x:v>
      </x:c>
      <x:c r="H1827" s="11" t="n">
        <x:v>51051</x:v>
      </x:c>
      <x:c r="I1827" s="11" t="n">
        <x:v>26000000</x:v>
      </x:c>
      <x:c r="J1827" s="11" t="n">
        <x:v>700000</x:v>
      </x:c>
      <x:c r="K1827" s="12" t="n">
        <x:v>0.6476846438063015</x:v>
      </x:c>
      <x:c r="L1827" s="12" t="n">
        <x:v>0.9730769230769231</x:v>
      </x:c>
      <x:c r="M1827" s="8" t="str">
        <x:v>In_Progress</x:v>
      </x:c>
    </x:row>
    <x:row r="1828">
      <x:c r="A1828" s="8" t="str">
        <x:v>View Royal|Fleet</x:v>
      </x:c>
      <x:c r="B1828" s="8" t="str">
        <x:v>view-royal-t</x:v>
      </x:c>
      <x:c r="C1828" s="8" t="str">
        <x:v>View Royal</x:v>
      </x:c>
      <x:c r="D1828" s="8" t="str">
        <x:v>Fleet</x:v>
      </x:c>
      <x:c r="E1828" s="11" t="n">
        <x:v>4374468</x:v>
      </x:c>
      <x:c r="F1828" s="11" t="n">
        <x:v>2409856</x:v>
      </x:c>
      <x:c r="G1828" s="11" t="n">
        <x:v>1964612</x:v>
      </x:c>
      <x:c r="H1828" s="11" t="n">
        <x:v>515336</x:v>
      </x:c>
      <x:c r="I1828" s="11" t="n">
        <x:v>8000000</x:v>
      </x:c>
      <x:c r="J1828" s="11" t="n">
        <x:v>380000</x:v>
      </x:c>
      <x:c r="K1828" s="12" t="n">
        <x:v>0.44910878305659113</x:v>
      </x:c>
      <x:c r="L1828" s="12" t="n">
        <x:v>0.9525</x:v>
      </x:c>
      <x:c r="M1828" s="8" t="str">
        <x:v>Yes</x:v>
      </x:c>
    </x:row>
    <x:row r="1829">
      <x:c r="A1829" s="8" t="str">
        <x:v>View Royal|Parks and Recreation</x:v>
      </x:c>
      <x:c r="B1829" s="8" t="str">
        <x:v>view-royal-t</x:v>
      </x:c>
      <x:c r="C1829" s="8" t="str">
        <x:v>View Royal</x:v>
      </x:c>
      <x:c r="D1829" s="8" t="str">
        <x:v>Parks and Recreation</x:v>
      </x:c>
      <x:c r="E1829" s="11" t="n">
        <x:v>16585523</x:v>
      </x:c>
      <x:c r="F1829" s="11" t="n">
        <x:v>7460777</x:v>
      </x:c>
      <x:c r="G1829" s="11" t="n">
        <x:v>9124746</x:v>
      </x:c>
      <x:c r="H1829" s="11" t="n">
        <x:v>302277</x:v>
      </x:c>
      <x:c r="I1829" s="11" t="n">
        <x:v>12800000</x:v>
      </x:c>
      <x:c r="J1829" s="11" t="n">
        <x:v>312000</x:v>
      </x:c>
      <x:c r="K1829" s="12" t="n">
        <x:v>0.5501632960262995</x:v>
      </x:c>
      <x:c r="L1829" s="12" t="n">
        <x:v>0.975625</x:v>
      </x:c>
      <x:c r="M1829" s="8" t="str">
        <x:v>In_Progress</x:v>
      </x:c>
    </x:row>
    <x:row r="1830">
      <x:c r="A1830" s="8" t="str">
        <x:v>View Royal|Water System</x:v>
      </x:c>
      <x:c r="B1830" s="8" t="str">
        <x:v>view-royal-t</x:v>
      </x:c>
      <x:c r="C1830" s="8" t="str">
        <x:v>View Royal</x:v>
      </x:c>
      <x:c r="D1830" s="8" t="str">
        <x:v>Water System</x:v>
      </x:c>
      <x:c r="E1830" s="11" t="n">
        <x:v>0</x:v>
      </x:c>
      <x:c r="F1830" s="11" t="n">
        <x:v>0</x:v>
      </x:c>
      <x:c r="G1830" s="11" t="n">
        <x:v>0</x:v>
      </x:c>
      <x:c r="H1830" s="11" t="n">
        <x:v>0</x:v>
      </x:c>
      <x:c r="I1830" s="11" t="n">
        <x:v>0</x:v>
      </x:c>
      <x:c r="J1830" s="11" t="n">
        <x:v>0</x:v>
      </x:c>
      <x:c r="K1830" s="12"/>
      <x:c r="L1830" s="12"/>
      <x:c r="M1830" s="8" t="str">
        <x:v>No</x:v>
      </x:c>
    </x:row>
    <x:row r="1831">
      <x:c r="A1831" s="8" t="str">
        <x:v>View Royal|Sewer System</x:v>
      </x:c>
      <x:c r="B1831" s="8" t="str">
        <x:v>view-royal-t</x:v>
      </x:c>
      <x:c r="C1831" s="8" t="str">
        <x:v>View Royal</x:v>
      </x:c>
      <x:c r="D1831" s="8" t="str">
        <x:v>Sewer System</x:v>
      </x:c>
      <x:c r="E1831" s="11" t="n">
        <x:v>12854266</x:v>
      </x:c>
      <x:c r="F1831" s="11" t="n">
        <x:v>3950177</x:v>
      </x:c>
      <x:c r="G1831" s="11" t="n">
        <x:v>8904089</x:v>
      </x:c>
      <x:c r="H1831" s="11" t="n">
        <x:v>30007</x:v>
      </x:c>
      <x:c r="I1831" s="11" t="n">
        <x:v>70000000</x:v>
      </x:c>
      <x:c r="J1831" s="11" t="n">
        <x:v>925000</x:v>
      </x:c>
      <x:c r="K1831" s="12" t="n">
        <x:v>0.6926952499660424</x:v>
      </x:c>
      <x:c r="L1831" s="12" t="n">
        <x:v>0.9867857142857143</x:v>
      </x:c>
      <x:c r="M1831" s="8" t="str">
        <x:v>In_Progress</x:v>
      </x:c>
    </x:row>
    <x:row r="1832">
      <x:c r="A1832" s="8" t="str">
        <x:v>View Royal|Drainage System</x:v>
      </x:c>
      <x:c r="B1832" s="8" t="str">
        <x:v>view-royal-t</x:v>
      </x:c>
      <x:c r="C1832" s="8" t="str">
        <x:v>View Royal</x:v>
      </x:c>
      <x:c r="D1832" s="8" t="str">
        <x:v>Drainage System</x:v>
      </x:c>
      <x:c r="E1832" s="11" t="n">
        <x:v>23192562</x:v>
      </x:c>
      <x:c r="F1832" s="11" t="n">
        <x:v>6236394</x:v>
      </x:c>
      <x:c r="G1832" s="11" t="n">
        <x:v>16956168</x:v>
      </x:c>
      <x:c r="H1832" s="11" t="n">
        <x:v>366947</x:v>
      </x:c>
      <x:c r="I1832" s="11" t="n">
        <x:v>66600000</x:v>
      </x:c>
      <x:c r="J1832" s="11" t="n">
        <x:v>814000</x:v>
      </x:c>
      <x:c r="K1832" s="12" t="n">
        <x:v>0.731103704713606</x:v>
      </x:c>
      <x:c r="L1832" s="12" t="n">
        <x:v>0.9877777777777778</x:v>
      </x:c>
      <x:c r="M1832" s="8" t="str">
        <x:v>In_Progress</x:v>
      </x:c>
    </x:row>
    <x:row r="1833">
      <x:c r="A1833" s="8" t="str">
        <x:v>View Royal|Transportation System</x:v>
      </x:c>
      <x:c r="B1833" s="8" t="str">
        <x:v>view-royal-t</x:v>
      </x:c>
      <x:c r="C1833" s="8" t="str">
        <x:v>View Royal</x:v>
      </x:c>
      <x:c r="D1833" s="8" t="str">
        <x:v>Transportation System</x:v>
      </x:c>
      <x:c r="E1833" s="11" t="n">
        <x:v>66680697</x:v>
      </x:c>
      <x:c r="F1833" s="11" t="n">
        <x:v>34704367</x:v>
      </x:c>
      <x:c r="G1833" s="11" t="n">
        <x:v>31976330</x:v>
      </x:c>
      <x:c r="H1833" s="11" t="n">
        <x:v>2399721</x:v>
      </x:c>
      <x:c r="I1833" s="11" t="n">
        <x:v>122000000</x:v>
      </x:c>
      <x:c r="J1833" s="11" t="n">
        <x:v>2096000</x:v>
      </x:c>
      <x:c r="K1833" s="12" t="n">
        <x:v>0.4795440275616795</x:v>
      </x:c>
      <x:c r="L1833" s="12" t="n">
        <x:v>0.9828196721311475</x:v>
      </x:c>
      <x:c r="M1833" s="8" t="str">
        <x:v>In_Progress</x:v>
      </x:c>
    </x:row>
    <x:row r="1834">
      <x:c r="A1834" s="8" t="str">
        <x:v>View Royal|Other Engineering Systems</x:v>
      </x:c>
      <x:c r="B1834" s="8" t="str">
        <x:v>view-royal-t</x:v>
      </x:c>
      <x:c r="C1834" s="8" t="str">
        <x:v>View Royal</x:v>
      </x:c>
      <x:c r="D1834" s="8" t="str">
        <x:v>Other Engineering Systems</x:v>
      </x:c>
      <x:c r="E1834" s="11" t="n">
        <x:v>0</x:v>
      </x:c>
      <x:c r="F1834" s="11" t="n">
        <x:v>0</x:v>
      </x:c>
      <x:c r="G1834" s="11" t="n">
        <x:v>0</x:v>
      </x:c>
      <x:c r="H1834" s="11" t="n">
        <x:v>0</x:v>
      </x:c>
      <x:c r="I1834" s="11" t="n">
        <x:v>0</x:v>
      </x:c>
      <x:c r="J1834" s="11" t="n">
        <x:v>0</x:v>
      </x:c>
      <x:c r="K1834" s="12"/>
      <x:c r="L1834" s="12"/>
      <x:c r="M1834" s="8"/>
    </x:row>
    <x:row r="1835">
      <x:c r="A1835" s="8" t="str">
        <x:v>View Royal|Other Tangible Capital Assets</x:v>
      </x:c>
      <x:c r="B1835" s="8" t="str">
        <x:v>view-royal-t</x:v>
      </x:c>
      <x:c r="C1835" s="8" t="str">
        <x:v>View Royal</x:v>
      </x:c>
      <x:c r="D1835" s="8" t="str">
        <x:v>Other Tangible Capital Assets</x:v>
      </x:c>
      <x:c r="E1835" s="11" t="n">
        <x:v>6265067</x:v>
      </x:c>
      <x:c r="F1835" s="11" t="n">
        <x:v>3127467</x:v>
      </x:c>
      <x:c r="G1835" s="11" t="n">
        <x:v>3137600</x:v>
      </x:c>
      <x:c r="H1835" s="11" t="n">
        <x:v>807086</x:v>
      </x:c>
      <x:c r="I1835" s="11" t="n">
        <x:v>0</x:v>
      </x:c>
      <x:c r="J1835" s="11" t="n">
        <x:v>0</x:v>
      </x:c>
      <x:c r="K1835" s="12" t="n">
        <x:v>0.5008086904737012</x:v>
      </x:c>
      <x:c r="L1835" s="12"/>
      <x:c r="M1835" s="8" t="str">
        <x:v>N/A</x:v>
      </x:c>
    </x:row>
    <x:row r="1836">
      <x:c r="A1836" s="8" t="str">
        <x:v>View Royal|Work In Progress</x:v>
      </x:c>
      <x:c r="B1836" s="8" t="str">
        <x:v>view-royal-t</x:v>
      </x:c>
      <x:c r="C1836" s="8" t="str">
        <x:v>View Royal</x:v>
      </x:c>
      <x:c r="D1836" s="8" t="str">
        <x:v>Work In Progress</x:v>
      </x:c>
      <x:c r="E1836" s="11" t="n">
        <x:v>768661</x:v>
      </x:c>
      <x:c r="F1836" s="11"/>
      <x:c r="G1836" s="11" t="n">
        <x:v>768661</x:v>
      </x:c>
      <x:c r="H1836" s="11" t="n">
        <x:v>281444</x:v>
      </x:c>
      <x:c r="I1836" s="11" t="n">
        <x:v>768661</x:v>
      </x:c>
      <x:c r="J1836" s="11"/>
      <x:c r="K1836" s="12" t="n">
        <x:v>1</x:v>
      </x:c>
      <x:c r="L1836" s="12"/>
      <x:c r="M1836" s="8" t="str">
        <x:v>N/A</x:v>
      </x:c>
    </x:row>
    <x:row r="1837">
      <x:c r="A1837" s="8" t="str">
        <x:v>View Royal|Total TCA</x:v>
      </x:c>
      <x:c r="B1837" s="8" t="str">
        <x:v>view-royal-t</x:v>
      </x:c>
      <x:c r="C1837" s="8" t="str">
        <x:v>View Royal</x:v>
      </x:c>
      <x:c r="D1837" s="8" t="str">
        <x:v>Total TCA</x:v>
      </x:c>
      <x:c r="E1837" s="11" t="n">
        <x:v>184957023</x:v>
      </x:c>
      <x:c r="F1837" s="11" t="n">
        <x:v>61678592</x:v>
      </x:c>
      <x:c r="G1837" s="11" t="n">
        <x:v>123278431</x:v>
      </x:c>
      <x:c r="H1837" s="11" t="n">
        <x:v>4753869</x:v>
      </x:c>
      <x:c r="I1837" s="11" t="n">
        <x:v>349648298</x:v>
      </x:c>
      <x:c r="J1837" s="11" t="n">
        <x:v>5227000</x:v>
      </x:c>
      <x:c r="K1837" s="12" t="n">
        <x:v>0.6665247363978172</x:v>
      </x:c>
      <x:c r="L1837" s="12" t="n">
        <x:v>0.9850506922816481</x:v>
      </x:c>
      <x:c r="M1837" s="8"/>
    </x:row>
    <x:row r="1838">
      <x:c r="A1838" s="8" t="str">
        <x:v>Warfield|Land</x:v>
      </x:c>
      <x:c r="B1838" s="8" t="str">
        <x:v>warfield-v</x:v>
      </x:c>
      <x:c r="C1838" s="8" t="str">
        <x:v>Warfield</x:v>
      </x:c>
      <x:c r="D1838" s="8" t="str">
        <x:v>Land</x:v>
      </x:c>
      <x:c r="E1838" s="11" t="n">
        <x:v>392136</x:v>
      </x:c>
      <x:c r="F1838" s="11"/>
      <x:c r="G1838" s="11" t="n">
        <x:v>392136</x:v>
      </x:c>
      <x:c r="H1838" s="11" t="n">
        <x:v>0</x:v>
      </x:c>
      <x:c r="I1838" s="11" t="n">
        <x:v>392136</x:v>
      </x:c>
      <x:c r="J1838" s="11"/>
      <x:c r="K1838" s="12" t="n">
        <x:v>1</x:v>
      </x:c>
      <x:c r="L1838" s="12"/>
      <x:c r="M1838" s="8" t="str">
        <x:v>N/A</x:v>
      </x:c>
    </x:row>
    <x:row r="1839">
      <x:c r="A1839" s="8" t="str">
        <x:v>Warfield|Buildings</x:v>
      </x:c>
      <x:c r="B1839" s="8" t="str">
        <x:v>warfield-v</x:v>
      </x:c>
      <x:c r="C1839" s="8" t="str">
        <x:v>Warfield</x:v>
      </x:c>
      <x:c r="D1839" s="8" t="str">
        <x:v>Buildings</x:v>
      </x:c>
      <x:c r="E1839" s="11" t="n">
        <x:v>1283695</x:v>
      </x:c>
      <x:c r="F1839" s="11" t="n">
        <x:v>454537</x:v>
      </x:c>
      <x:c r="G1839" s="11" t="n">
        <x:v>829158</x:v>
      </x:c>
      <x:c r="H1839" s="11" t="n">
        <x:v>0</x:v>
      </x:c>
      <x:c r="I1839" s="11" t="n">
        <x:v>3681100</x:v>
      </x:c>
      <x:c r="J1839" s="11" t="n">
        <x:v>85115</x:v>
      </x:c>
      <x:c r="K1839" s="12" t="n">
        <x:v>0.645915112234604</x:v>
      </x:c>
      <x:c r="L1839" s="12" t="n">
        <x:v>0.976877835429627</x:v>
      </x:c>
      <x:c r="M1839" s="8" t="str">
        <x:v>Yes</x:v>
      </x:c>
    </x:row>
    <x:row r="1840">
      <x:c r="A1840" s="8" t="str">
        <x:v>Warfield|Fleet</x:v>
      </x:c>
      <x:c r="B1840" s="8" t="str">
        <x:v>warfield-v</x:v>
      </x:c>
      <x:c r="C1840" s="8" t="str">
        <x:v>Warfield</x:v>
      </x:c>
      <x:c r="D1840" s="8" t="str">
        <x:v>Fleet</x:v>
      </x:c>
      <x:c r="E1840" s="11" t="n">
        <x:v>2350030</x:v>
      </x:c>
      <x:c r="F1840" s="11" t="n">
        <x:v>1470649</x:v>
      </x:c>
      <x:c r="G1840" s="11" t="n">
        <x:v>879381</x:v>
      </x:c>
      <x:c r="H1840" s="11" t="n">
        <x:v>0</x:v>
      </x:c>
      <x:c r="I1840" s="11" t="n">
        <x:v>1825000</x:v>
      </x:c>
      <x:c r="J1840" s="11" t="n">
        <x:v>107300</x:v>
      </x:c>
      <x:c r="K1840" s="12" t="n">
        <x:v>0.3741999038310149</x:v>
      </x:c>
      <x:c r="L1840" s="12" t="n">
        <x:v>0.9412054794520548</x:v>
      </x:c>
      <x:c r="M1840" s="8" t="str">
        <x:v>No</x:v>
      </x:c>
    </x:row>
    <x:row r="1841">
      <x:c r="A1841" s="8" t="str">
        <x:v>Warfield|Parks and Recreation</x:v>
      </x:c>
      <x:c r="B1841" s="8" t="str">
        <x:v>warfield-v</x:v>
      </x:c>
      <x:c r="C1841" s="8" t="str">
        <x:v>Warfield</x:v>
      </x:c>
      <x:c r="D1841" s="8" t="str">
        <x:v>Parks and Recreation</x:v>
      </x:c>
      <x:c r="E1841" s="11" t="n">
        <x:v>1250952</x:v>
      </x:c>
      <x:c r="F1841" s="11" t="n">
        <x:v>852779</x:v>
      </x:c>
      <x:c r="G1841" s="11" t="n">
        <x:v>398173</x:v>
      </x:c>
      <x:c r="H1841" s="11" t="n">
        <x:v>25076</x:v>
      </x:c>
      <x:c r="I1841" s="11" t="n">
        <x:v>3773000</x:v>
      </x:c>
      <x:c r="J1841" s="11" t="n">
        <x:v>79514</x:v>
      </x:c>
      <x:c r="K1841" s="12" t="n">
        <x:v>0.31829598577723206</x:v>
      </x:c>
      <x:c r="L1841" s="12" t="n">
        <x:v>0.9789255234561357</x:v>
      </x:c>
      <x:c r="M1841" s="8" t="str">
        <x:v>Yes</x:v>
      </x:c>
    </x:row>
    <x:row r="1842">
      <x:c r="A1842" s="8" t="str">
        <x:v>Warfield|Water System</x:v>
      </x:c>
      <x:c r="B1842" s="8" t="str">
        <x:v>warfield-v</x:v>
      </x:c>
      <x:c r="C1842" s="8" t="str">
        <x:v>Warfield</x:v>
      </x:c>
      <x:c r="D1842" s="8" t="str">
        <x:v>Water System</x:v>
      </x:c>
      <x:c r="E1842" s="11" t="n">
        <x:v>6538577</x:v>
      </x:c>
      <x:c r="F1842" s="11" t="n">
        <x:v>2325757</x:v>
      </x:c>
      <x:c r="G1842" s="11" t="n">
        <x:v>4212820</x:v>
      </x:c>
      <x:c r="H1842" s="11" t="n">
        <x:v>424199</x:v>
      </x:c>
      <x:c r="I1842" s="11" t="n">
        <x:v>25623898</x:v>
      </x:c>
      <x:c r="J1842" s="11" t="n">
        <x:v>352578</x:v>
      </x:c>
      <x:c r="K1842" s="12" t="n">
        <x:v>0.6443022694387479</x:v>
      </x:c>
      <x:c r="L1842" s="12" t="n">
        <x:v>0.9862402668009371</x:v>
      </x:c>
      <x:c r="M1842" s="8" t="str">
        <x:v>Yes</x:v>
      </x:c>
    </x:row>
    <x:row r="1843">
      <x:c r="A1843" s="8" t="str">
        <x:v>Warfield|Sewer System</x:v>
      </x:c>
      <x:c r="B1843" s="8" t="str">
        <x:v>warfield-v</x:v>
      </x:c>
      <x:c r="C1843" s="8" t="str">
        <x:v>Warfield</x:v>
      </x:c>
      <x:c r="D1843" s="8" t="str">
        <x:v>Sewer System</x:v>
      </x:c>
      <x:c r="E1843" s="11" t="n">
        <x:v>1333325</x:v>
      </x:c>
      <x:c r="F1843" s="11" t="n">
        <x:v>630706</x:v>
      </x:c>
      <x:c r="G1843" s="11" t="n">
        <x:v>702619</x:v>
      </x:c>
      <x:c r="H1843" s="11" t="n">
        <x:v>29165</x:v>
      </x:c>
      <x:c r="I1843" s="11" t="n">
        <x:v>15492252</x:v>
      </x:c>
      <x:c r="J1843" s="11" t="n">
        <x:v>222000</x:v>
      </x:c>
      <x:c r="K1843" s="12" t="n">
        <x:v>0.5269675435471471</x:v>
      </x:c>
      <x:c r="L1843" s="12" t="n">
        <x:v>0.9856702563320039</x:v>
      </x:c>
      <x:c r="M1843" s="8" t="str">
        <x:v>Yes</x:v>
      </x:c>
    </x:row>
    <x:row r="1844">
      <x:c r="A1844" s="8" t="str">
        <x:v>Warfield|Drainage System</x:v>
      </x:c>
      <x:c r="B1844" s="8" t="str">
        <x:v>warfield-v</x:v>
      </x:c>
      <x:c r="C1844" s="8" t="str">
        <x:v>Warfield</x:v>
      </x:c>
      <x:c r="D1844" s="8" t="str">
        <x:v>Drainage System</x:v>
      </x:c>
      <x:c r="E1844" s="11" t="n">
        <x:v>685069</x:v>
      </x:c>
      <x:c r="F1844" s="11" t="n">
        <x:v>403636</x:v>
      </x:c>
      <x:c r="G1844" s="11" t="n">
        <x:v>281433</x:v>
      </x:c>
      <x:c r="H1844" s="11" t="n">
        <x:v>0</x:v>
      </x:c>
      <x:c r="I1844" s="11" t="n">
        <x:v>27308348</x:v>
      </x:c>
      <x:c r="J1844" s="11" t="n">
        <x:v>54243</x:v>
      </x:c>
      <x:c r="K1844" s="12" t="n">
        <x:v>0.410809714058</x:v>
      </x:c>
      <x:c r="L1844" s="12" t="n">
        <x:v>0.9980136843136758</x:v>
      </x:c>
      <x:c r="M1844" s="8" t="str">
        <x:v>Yes</x:v>
      </x:c>
    </x:row>
    <x:row r="1845">
      <x:c r="A1845" s="8" t="str">
        <x:v>Warfield|Transportation System</x:v>
      </x:c>
      <x:c r="B1845" s="8" t="str">
        <x:v>warfield-v</x:v>
      </x:c>
      <x:c r="C1845" s="8" t="str">
        <x:v>Warfield</x:v>
      </x:c>
      <x:c r="D1845" s="8" t="str">
        <x:v>Transportation System</x:v>
      </x:c>
      <x:c r="E1845" s="11" t="n">
        <x:v>2652207</x:v>
      </x:c>
      <x:c r="F1845" s="11" t="n">
        <x:v>1965640</x:v>
      </x:c>
      <x:c r="G1845" s="11" t="n">
        <x:v>686567</x:v>
      </x:c>
      <x:c r="H1845" s="11" t="n">
        <x:v>119065</x:v>
      </x:c>
      <x:c r="I1845" s="11" t="n">
        <x:v>8565000</x:v>
      </x:c>
      <x:c r="J1845" s="11" t="n">
        <x:v>131850</x:v>
      </x:c>
      <x:c r="K1845" s="12" t="n">
        <x:v>0.25886629512703946</x:v>
      </x:c>
      <x:c r="L1845" s="12" t="n">
        <x:v>0.9846059544658494</x:v>
      </x:c>
      <x:c r="M1845" s="8" t="str">
        <x:v>Yes</x:v>
      </x:c>
    </x:row>
    <x:row r="1846">
      <x:c r="A1846" s="8" t="str">
        <x:v>Warfield|Other Engineering Systems</x:v>
      </x:c>
      <x:c r="B1846" s="8" t="str">
        <x:v>warfield-v</x:v>
      </x:c>
      <x:c r="C1846" s="8" t="str">
        <x:v>Warfield</x:v>
      </x:c>
      <x:c r="D1846" s="8" t="str">
        <x:v>Other Engineering Systems</x:v>
      </x:c>
      <x:c r="E1846" s="11" t="n">
        <x:v>0</x:v>
      </x:c>
      <x:c r="F1846" s="11" t="n">
        <x:v>0</x:v>
      </x:c>
      <x:c r="G1846" s="11" t="n">
        <x:v>0</x:v>
      </x:c>
      <x:c r="H1846" s="11" t="n">
        <x:v>0</x:v>
      </x:c>
      <x:c r="I1846" s="11" t="n">
        <x:v>0</x:v>
      </x:c>
      <x:c r="J1846" s="11" t="n">
        <x:v>0</x:v>
      </x:c>
      <x:c r="K1846" s="12"/>
      <x:c r="L1846" s="12"/>
      <x:c r="M1846" s="8"/>
    </x:row>
    <x:row r="1847">
      <x:c r="A1847" s="8" t="str">
        <x:v>Warfield|Other Tangible Capital Assets</x:v>
      </x:c>
      <x:c r="B1847" s="8" t="str">
        <x:v>warfield-v</x:v>
      </x:c>
      <x:c r="C1847" s="8" t="str">
        <x:v>Warfield</x:v>
      </x:c>
      <x:c r="D1847" s="8" t="str">
        <x:v>Other Tangible Capital Assets</x:v>
      </x:c>
      <x:c r="E1847" s="11" t="n">
        <x:v>32319</x:v>
      </x:c>
      <x:c r="F1847" s="11" t="n">
        <x:v>32319</x:v>
      </x:c>
      <x:c r="G1847" s="11" t="n">
        <x:v>0</x:v>
      </x:c>
      <x:c r="H1847" s="11" t="n">
        <x:v>0</x:v>
      </x:c>
      <x:c r="I1847" s="11" t="n">
        <x:v>75000</x:v>
      </x:c>
      <x:c r="J1847" s="11" t="n">
        <x:v>15000</x:v>
      </x:c>
      <x:c r="K1847" s="12" t="n">
        <x:v>0</x:v>
      </x:c>
      <x:c r="L1847" s="12" t="n">
        <x:v>0.8</x:v>
      </x:c>
      <x:c r="M1847" s="8" t="str">
        <x:v>N/A</x:v>
      </x:c>
    </x:row>
    <x:row r="1848">
      <x:c r="A1848" s="8" t="str">
        <x:v>Warfield|Work In Progress</x:v>
      </x:c>
      <x:c r="B1848" s="8" t="str">
        <x:v>warfield-v</x:v>
      </x:c>
      <x:c r="C1848" s="8" t="str">
        <x:v>Warfield</x:v>
      </x:c>
      <x:c r="D1848" s="8" t="str">
        <x:v>Work In Progress</x:v>
      </x:c>
      <x:c r="E1848" s="11" t="n">
        <x:v>0</x:v>
      </x:c>
      <x:c r="F1848" s="11"/>
      <x:c r="G1848" s="11" t="n">
        <x:v>0</x:v>
      </x:c>
      <x:c r="H1848" s="11" t="n">
        <x:v>0</x:v>
      </x:c>
      <x:c r="I1848" s="11" t="n">
        <x:v>0</x:v>
      </x:c>
      <x:c r="J1848" s="11"/>
      <x:c r="K1848" s="12"/>
      <x:c r="L1848" s="12"/>
      <x:c r="M1848" s="8" t="str">
        <x:v>N/A</x:v>
      </x:c>
    </x:row>
    <x:row r="1849">
      <x:c r="A1849" s="8" t="str">
        <x:v>Warfield|Total TCA</x:v>
      </x:c>
      <x:c r="B1849" s="8" t="str">
        <x:v>warfield-v</x:v>
      </x:c>
      <x:c r="C1849" s="8" t="str">
        <x:v>Warfield</x:v>
      </x:c>
      <x:c r="D1849" s="8" t="str">
        <x:v>Total TCA</x:v>
      </x:c>
      <x:c r="E1849" s="11" t="n">
        <x:v>16518310</x:v>
      </x:c>
      <x:c r="F1849" s="11" t="n">
        <x:v>8136023</x:v>
      </x:c>
      <x:c r="G1849" s="11" t="n">
        <x:v>8382287</x:v>
      </x:c>
      <x:c r="H1849" s="11" t="n">
        <x:v>597505</x:v>
      </x:c>
      <x:c r="I1849" s="11" t="n">
        <x:v>86735734</x:v>
      </x:c>
      <x:c r="J1849" s="11" t="n">
        <x:v>1047600</x:v>
      </x:c>
      <x:c r="K1849" s="12" t="n">
        <x:v>0.5074542734698646</x:v>
      </x:c>
      <x:c r="L1849" s="12" t="n">
        <x:v>0.9879219330754727</x:v>
      </x:c>
      <x:c r="M1849" s="8"/>
    </x:row>
    <x:row r="1850">
      <x:c r="A1850" s="8" t="str">
        <x:v>Wells|Land</x:v>
      </x:c>
      <x:c r="B1850" s="8" t="str">
        <x:v>wells-d</x:v>
      </x:c>
      <x:c r="C1850" s="8" t="str">
        <x:v>Wells</x:v>
      </x:c>
      <x:c r="D1850" s="8" t="str">
        <x:v>Land</x:v>
      </x:c>
      <x:c r="E1850" s="11"/>
      <x:c r="F1850" s="11"/>
      <x:c r="G1850" s="11"/>
      <x:c r="H1850" s="11"/>
      <x:c r="I1850" s="11"/>
      <x:c r="J1850" s="11"/>
      <x:c r="K1850" s="12"/>
      <x:c r="L1850" s="12"/>
      <x:c r="M1850" s="8"/>
    </x:row>
    <x:row r="1851">
      <x:c r="A1851" s="8" t="str">
        <x:v>Wells|Buildings</x:v>
      </x:c>
      <x:c r="B1851" s="8" t="str">
        <x:v>wells-d</x:v>
      </x:c>
      <x:c r="C1851" s="8" t="str">
        <x:v>Wells</x:v>
      </x:c>
      <x:c r="D1851" s="8" t="str">
        <x:v>Buildings</x:v>
      </x:c>
      <x:c r="E1851" s="11"/>
      <x:c r="F1851" s="11"/>
      <x:c r="G1851" s="11"/>
      <x:c r="H1851" s="11"/>
      <x:c r="I1851" s="11"/>
      <x:c r="J1851" s="11"/>
      <x:c r="K1851" s="12"/>
      <x:c r="L1851" s="12"/>
      <x:c r="M1851" s="8"/>
    </x:row>
    <x:row r="1852">
      <x:c r="A1852" s="8" t="str">
        <x:v>Wells|Fleet</x:v>
      </x:c>
      <x:c r="B1852" s="8" t="str">
        <x:v>wells-d</x:v>
      </x:c>
      <x:c r="C1852" s="8" t="str">
        <x:v>Wells</x:v>
      </x:c>
      <x:c r="D1852" s="8" t="str">
        <x:v>Fleet</x:v>
      </x:c>
      <x:c r="E1852" s="11"/>
      <x:c r="F1852" s="11"/>
      <x:c r="G1852" s="11"/>
      <x:c r="H1852" s="11"/>
      <x:c r="I1852" s="11"/>
      <x:c r="J1852" s="11"/>
      <x:c r="K1852" s="12"/>
      <x:c r="L1852" s="12"/>
      <x:c r="M1852" s="8"/>
    </x:row>
    <x:row r="1853">
      <x:c r="A1853" s="8" t="str">
        <x:v>Wells|Parks and Recreation</x:v>
      </x:c>
      <x:c r="B1853" s="8" t="str">
        <x:v>wells-d</x:v>
      </x:c>
      <x:c r="C1853" s="8" t="str">
        <x:v>Wells</x:v>
      </x:c>
      <x:c r="D1853" s="8" t="str">
        <x:v>Parks and Recreation</x:v>
      </x:c>
      <x:c r="E1853" s="11"/>
      <x:c r="F1853" s="11"/>
      <x:c r="G1853" s="11"/>
      <x:c r="H1853" s="11"/>
      <x:c r="I1853" s="11"/>
      <x:c r="J1853" s="11"/>
      <x:c r="K1853" s="12"/>
      <x:c r="L1853" s="12"/>
      <x:c r="M1853" s="8"/>
    </x:row>
    <x:row r="1854">
      <x:c r="A1854" s="8" t="str">
        <x:v>Wells|Water System</x:v>
      </x:c>
      <x:c r="B1854" s="8" t="str">
        <x:v>wells-d</x:v>
      </x:c>
      <x:c r="C1854" s="8" t="str">
        <x:v>Wells</x:v>
      </x:c>
      <x:c r="D1854" s="8" t="str">
        <x:v>Water System</x:v>
      </x:c>
      <x:c r="E1854" s="11"/>
      <x:c r="F1854" s="11"/>
      <x:c r="G1854" s="11"/>
      <x:c r="H1854" s="11"/>
      <x:c r="I1854" s="11"/>
      <x:c r="J1854" s="11"/>
      <x:c r="K1854" s="12"/>
      <x:c r="L1854" s="12"/>
      <x:c r="M1854" s="8"/>
    </x:row>
    <x:row r="1855">
      <x:c r="A1855" s="8" t="str">
        <x:v>Wells|Sewer System</x:v>
      </x:c>
      <x:c r="B1855" s="8" t="str">
        <x:v>wells-d</x:v>
      </x:c>
      <x:c r="C1855" s="8" t="str">
        <x:v>Wells</x:v>
      </x:c>
      <x:c r="D1855" s="8" t="str">
        <x:v>Sewer System</x:v>
      </x:c>
      <x:c r="E1855" s="11"/>
      <x:c r="F1855" s="11"/>
      <x:c r="G1855" s="11"/>
      <x:c r="H1855" s="11"/>
      <x:c r="I1855" s="11"/>
      <x:c r="J1855" s="11"/>
      <x:c r="K1855" s="12"/>
      <x:c r="L1855" s="12"/>
      <x:c r="M1855" s="8"/>
    </x:row>
    <x:row r="1856">
      <x:c r="A1856" s="8" t="str">
        <x:v>Wells|Drainage System</x:v>
      </x:c>
      <x:c r="B1856" s="8" t="str">
        <x:v>wells-d</x:v>
      </x:c>
      <x:c r="C1856" s="8" t="str">
        <x:v>Wells</x:v>
      </x:c>
      <x:c r="D1856" s="8" t="str">
        <x:v>Drainage System</x:v>
      </x:c>
      <x:c r="E1856" s="11"/>
      <x:c r="F1856" s="11"/>
      <x:c r="G1856" s="11"/>
      <x:c r="H1856" s="11"/>
      <x:c r="I1856" s="11"/>
      <x:c r="J1856" s="11"/>
      <x:c r="K1856" s="12"/>
      <x:c r="L1856" s="12"/>
      <x:c r="M1856" s="8"/>
    </x:row>
    <x:row r="1857">
      <x:c r="A1857" s="8" t="str">
        <x:v>Wells|Transportation System</x:v>
      </x:c>
      <x:c r="B1857" s="8" t="str">
        <x:v>wells-d</x:v>
      </x:c>
      <x:c r="C1857" s="8" t="str">
        <x:v>Wells</x:v>
      </x:c>
      <x:c r="D1857" s="8" t="str">
        <x:v>Transportation System</x:v>
      </x:c>
      <x:c r="E1857" s="11"/>
      <x:c r="F1857" s="11"/>
      <x:c r="G1857" s="11"/>
      <x:c r="H1857" s="11"/>
      <x:c r="I1857" s="11"/>
      <x:c r="J1857" s="11"/>
      <x:c r="K1857" s="12"/>
      <x:c r="L1857" s="12"/>
      <x:c r="M1857" s="8"/>
    </x:row>
    <x:row r="1858">
      <x:c r="A1858" s="8" t="str">
        <x:v>Wells|Other Engineering Systems</x:v>
      </x:c>
      <x:c r="B1858" s="8" t="str">
        <x:v>wells-d</x:v>
      </x:c>
      <x:c r="C1858" s="8" t="str">
        <x:v>Wells</x:v>
      </x:c>
      <x:c r="D1858" s="8" t="str">
        <x:v>Other Engineering Systems</x:v>
      </x:c>
      <x:c r="E1858" s="11"/>
      <x:c r="F1858" s="11"/>
      <x:c r="G1858" s="11"/>
      <x:c r="H1858" s="11"/>
      <x:c r="I1858" s="11"/>
      <x:c r="J1858" s="11"/>
      <x:c r="K1858" s="12"/>
      <x:c r="L1858" s="12"/>
      <x:c r="M1858" s="8"/>
    </x:row>
    <x:row r="1859">
      <x:c r="A1859" s="8" t="str">
        <x:v>Wells|Other Tangible Capital Assets</x:v>
      </x:c>
      <x:c r="B1859" s="8" t="str">
        <x:v>wells-d</x:v>
      </x:c>
      <x:c r="C1859" s="8" t="str">
        <x:v>Wells</x:v>
      </x:c>
      <x:c r="D1859" s="8" t="str">
        <x:v>Other Tangible Capital Assets</x:v>
      </x:c>
      <x:c r="E1859" s="11"/>
      <x:c r="F1859" s="11"/>
      <x:c r="G1859" s="11"/>
      <x:c r="H1859" s="11"/>
      <x:c r="I1859" s="11"/>
      <x:c r="J1859" s="11"/>
      <x:c r="K1859" s="12"/>
      <x:c r="L1859" s="12"/>
      <x:c r="M1859" s="8"/>
    </x:row>
    <x:row r="1860">
      <x:c r="A1860" s="8" t="str">
        <x:v>Wells|Work In Progress</x:v>
      </x:c>
      <x:c r="B1860" s="8" t="str">
        <x:v>wells-d</x:v>
      </x:c>
      <x:c r="C1860" s="8" t="str">
        <x:v>Wells</x:v>
      </x:c>
      <x:c r="D1860" s="8" t="str">
        <x:v>Work In Progress</x:v>
      </x:c>
      <x:c r="E1860" s="11"/>
      <x:c r="F1860" s="11"/>
      <x:c r="G1860" s="11"/>
      <x:c r="H1860" s="11"/>
      <x:c r="I1860" s="11"/>
      <x:c r="J1860" s="11"/>
      <x:c r="K1860" s="12"/>
      <x:c r="L1860" s="12"/>
      <x:c r="M1860" s="8"/>
    </x:row>
    <x:row r="1861">
      <x:c r="A1861" s="8" t="str">
        <x:v>Wells|Total TCA</x:v>
      </x:c>
      <x:c r="B1861" s="8" t="str">
        <x:v>wells-d</x:v>
      </x:c>
      <x:c r="C1861" s="8" t="str">
        <x:v>Wells</x:v>
      </x:c>
      <x:c r="D1861" s="8" t="str">
        <x:v>Total TCA</x:v>
      </x:c>
      <x:c r="E1861" s="11"/>
      <x:c r="F1861" s="11"/>
      <x:c r="G1861" s="11"/>
      <x:c r="H1861" s="11"/>
      <x:c r="I1861" s="11"/>
      <x:c r="J1861" s="11"/>
      <x:c r="K1861" s="12"/>
      <x:c r="L1861" s="12"/>
      <x:c r="M1861" s="8"/>
    </x:row>
    <x:row r="1862">
      <x:c r="A1862" s="8" t="str">
        <x:v>West Kelowna|Land</x:v>
      </x:c>
      <x:c r="B1862" s="8" t="str">
        <x:v>west-kelowna-c</x:v>
      </x:c>
      <x:c r="C1862" s="8" t="str">
        <x:v>West Kelowna</x:v>
      </x:c>
      <x:c r="D1862" s="8" t="str">
        <x:v>Land</x:v>
      </x:c>
      <x:c r="E1862" s="11" t="n">
        <x:v>111243279</x:v>
      </x:c>
      <x:c r="F1862" s="11"/>
      <x:c r="G1862" s="11" t="n">
        <x:v>111243279</x:v>
      </x:c>
      <x:c r="H1862" s="11" t="n">
        <x:v>0</x:v>
      </x:c>
      <x:c r="I1862" s="11" t="n">
        <x:v>111243279</x:v>
      </x:c>
      <x:c r="J1862" s="11"/>
      <x:c r="K1862" s="12" t="n">
        <x:v>1</x:v>
      </x:c>
      <x:c r="L1862" s="12"/>
      <x:c r="M1862" s="8" t="str">
        <x:v>N/A</x:v>
      </x:c>
    </x:row>
    <x:row r="1863">
      <x:c r="A1863" s="8" t="str">
        <x:v>West Kelowna|Buildings</x:v>
      </x:c>
      <x:c r="B1863" s="8" t="str">
        <x:v>west-kelowna-c</x:v>
      </x:c>
      <x:c r="C1863" s="8" t="str">
        <x:v>West Kelowna</x:v>
      </x:c>
      <x:c r="D1863" s="8" t="str">
        <x:v>Buildings</x:v>
      </x:c>
      <x:c r="E1863" s="11" t="n">
        <x:v>71376184</x:v>
      </x:c>
      <x:c r="F1863" s="11" t="n">
        <x:v>19592351</x:v>
      </x:c>
      <x:c r="G1863" s="11" t="n">
        <x:v>51783833</x:v>
      </x:c>
      <x:c r="H1863" s="11" t="n">
        <x:v>24568765</x:v>
      </x:c>
      <x:c r="I1863" s="11" t="n">
        <x:v>51783833</x:v>
      </x:c>
      <x:c r="J1863" s="11" t="n">
        <x:v>1263900</x:v>
      </x:c>
      <x:c r="K1863" s="12" t="n">
        <x:v>0.7255057653404391</x:v>
      </x:c>
      <x:c r="L1863" s="12" t="n">
        <x:v>0.9755927684997748</x:v>
      </x:c>
      <x:c r="M1863" s="8" t="str">
        <x:v>Yes</x:v>
      </x:c>
    </x:row>
    <x:row r="1864">
      <x:c r="A1864" s="8" t="str">
        <x:v>West Kelowna|Fleet</x:v>
      </x:c>
      <x:c r="B1864" s="8" t="str">
        <x:v>west-kelowna-c</x:v>
      </x:c>
      <x:c r="C1864" s="8" t="str">
        <x:v>West Kelowna</x:v>
      </x:c>
      <x:c r="D1864" s="8" t="str">
        <x:v>Fleet</x:v>
      </x:c>
      <x:c r="E1864" s="11" t="n">
        <x:v>29698819</x:v>
      </x:c>
      <x:c r="F1864" s="11" t="n">
        <x:v>17912812</x:v>
      </x:c>
      <x:c r="G1864" s="11" t="n">
        <x:v>11786007</x:v>
      </x:c>
      <x:c r="H1864" s="11" t="n">
        <x:v>1807448</x:v>
      </x:c>
      <x:c r="I1864" s="11" t="n">
        <x:v>11786007</x:v>
      </x:c>
      <x:c r="J1864" s="11" t="n">
        <x:v>1854317</x:v>
      </x:c>
      <x:c r="K1864" s="12" t="n">
        <x:v>0.39685103303266034</x:v>
      </x:c>
      <x:c r="L1864" s="12" t="n">
        <x:v>0.8426679196779707</x:v>
      </x:c>
      <x:c r="M1864" s="8" t="str">
        <x:v>In_Progress</x:v>
      </x:c>
    </x:row>
    <x:row r="1865">
      <x:c r="A1865" s="8" t="str">
        <x:v>West Kelowna|Parks and Recreation</x:v>
      </x:c>
      <x:c r="B1865" s="8" t="str">
        <x:v>west-kelowna-c</x:v>
      </x:c>
      <x:c r="C1865" s="8" t="str">
        <x:v>West Kelowna</x:v>
      </x:c>
      <x:c r="D1865" s="8" t="str">
        <x:v>Parks and Recreation</x:v>
      </x:c>
      <x:c r="E1865" s="11" t="n">
        <x:v>20353637</x:v>
      </x:c>
      <x:c r="F1865" s="11" t="n">
        <x:v>8866336</x:v>
      </x:c>
      <x:c r="G1865" s="11" t="n">
        <x:v>11487301</x:v>
      </x:c>
      <x:c r="H1865" s="11" t="n">
        <x:v>1143007</x:v>
      </x:c>
      <x:c r="I1865" s="11" t="n">
        <x:v>11487301</x:v>
      </x:c>
      <x:c r="J1865" s="11" t="n">
        <x:v>986486</x:v>
      </x:c>
      <x:c r="K1865" s="12" t="n">
        <x:v>0.5643856672888486</x:v>
      </x:c>
      <x:c r="L1865" s="12" t="n">
        <x:v>0.9141237789451151</x:v>
      </x:c>
      <x:c r="M1865" s="8" t="str">
        <x:v>Yes</x:v>
      </x:c>
    </x:row>
    <x:row r="1866">
      <x:c r="A1866" s="8" t="str">
        <x:v>West Kelowna|Water System</x:v>
      </x:c>
      <x:c r="B1866" s="8" t="str">
        <x:v>west-kelowna-c</x:v>
      </x:c>
      <x:c r="C1866" s="8" t="str">
        <x:v>West Kelowna</x:v>
      </x:c>
      <x:c r="D1866" s="8" t="str">
        <x:v>Water System</x:v>
      </x:c>
      <x:c r="E1866" s="11" t="n">
        <x:v>160820461</x:v>
      </x:c>
      <x:c r="F1866" s="11" t="n">
        <x:v>43445426</x:v>
      </x:c>
      <x:c r="G1866" s="11" t="n">
        <x:v>117375035</x:v>
      </x:c>
      <x:c r="H1866" s="11" t="n">
        <x:v>0</x:v>
      </x:c>
      <x:c r="I1866" s="11" t="n">
        <x:v>117375035</x:v>
      </x:c>
      <x:c r="J1866" s="11" t="n">
        <x:v>2722628</x:v>
      </x:c>
      <x:c r="K1866" s="12" t="n">
        <x:v>0.7298513775557453</x:v>
      </x:c>
      <x:c r="L1866" s="12" t="n">
        <x:v>0.9768040282160513</x:v>
      </x:c>
      <x:c r="M1866" s="8" t="str">
        <x:v>In_Progress</x:v>
      </x:c>
    </x:row>
    <x:row r="1867">
      <x:c r="A1867" s="8" t="str">
        <x:v>West Kelowna|Sewer System</x:v>
      </x:c>
      <x:c r="B1867" s="8" t="str">
        <x:v>west-kelowna-c</x:v>
      </x:c>
      <x:c r="C1867" s="8" t="str">
        <x:v>West Kelowna</x:v>
      </x:c>
      <x:c r="D1867" s="8" t="str">
        <x:v>Sewer System</x:v>
      </x:c>
      <x:c r="E1867" s="11" t="n">
        <x:v>70983079</x:v>
      </x:c>
      <x:c r="F1867" s="11" t="n">
        <x:v>22402944</x:v>
      </x:c>
      <x:c r="G1867" s="11" t="n">
        <x:v>48580135</x:v>
      </x:c>
      <x:c r="H1867" s="11" t="n">
        <x:v>36223</x:v>
      </x:c>
      <x:c r="I1867" s="11" t="n">
        <x:v>48580135</x:v>
      </x:c>
      <x:c r="J1867" s="11" t="n">
        <x:v>1139577</x:v>
      </x:c>
      <x:c r="K1867" s="12" t="n">
        <x:v>0.6843903601307574</x:v>
      </x:c>
      <x:c r="L1867" s="12" t="n">
        <x:v>0.9765423253764116</x:v>
      </x:c>
      <x:c r="M1867" s="8" t="str">
        <x:v>In_Progress</x:v>
      </x:c>
    </x:row>
    <x:row r="1868">
      <x:c r="A1868" s="8" t="str">
        <x:v>West Kelowna|Drainage System</x:v>
      </x:c>
      <x:c r="B1868" s="8" t="str">
        <x:v>west-kelowna-c</x:v>
      </x:c>
      <x:c r="C1868" s="8" t="str">
        <x:v>West Kelowna</x:v>
      </x:c>
      <x:c r="D1868" s="8" t="str">
        <x:v>Drainage System</x:v>
      </x:c>
      <x:c r="E1868" s="11" t="n">
        <x:v>8067801</x:v>
      </x:c>
      <x:c r="F1868" s="11" t="n">
        <x:v>3189394</x:v>
      </x:c>
      <x:c r="G1868" s="11" t="n">
        <x:v>4878407</x:v>
      </x:c>
      <x:c r="H1868" s="11" t="n">
        <x:v>86267</x:v>
      </x:c>
      <x:c r="I1868" s="11" t="n">
        <x:v>4878407</x:v>
      </x:c>
      <x:c r="J1868" s="11" t="n">
        <x:v>361928</x:v>
      </x:c>
      <x:c r="K1868" s="12" t="n">
        <x:v>0.6046761688841854</x:v>
      </x:c>
      <x:c r="L1868" s="12" t="n">
        <x:v>0.9258102081273661</x:v>
      </x:c>
      <x:c r="M1868" s="8" t="str">
        <x:v>In_Progress</x:v>
      </x:c>
    </x:row>
    <x:row r="1869">
      <x:c r="A1869" s="8" t="str">
        <x:v>West Kelowna|Transportation System</x:v>
      </x:c>
      <x:c r="B1869" s="8" t="str">
        <x:v>west-kelowna-c</x:v>
      </x:c>
      <x:c r="C1869" s="8" t="str">
        <x:v>West Kelowna</x:v>
      </x:c>
      <x:c r="D1869" s="8" t="str">
        <x:v>Transportation System</x:v>
      </x:c>
      <x:c r="E1869" s="11" t="n">
        <x:v>282120746</x:v>
      </x:c>
      <x:c r="F1869" s="11" t="n">
        <x:v>180401703</x:v>
      </x:c>
      <x:c r="G1869" s="11" t="n">
        <x:v>101719043</x:v>
      </x:c>
      <x:c r="H1869" s="11" t="n">
        <x:v>6492718</x:v>
      </x:c>
      <x:c r="I1869" s="11" t="n">
        <x:v>101719043</x:v>
      </x:c>
      <x:c r="J1869" s="11" t="n">
        <x:v>5520170</x:v>
      </x:c>
      <x:c r="K1869" s="12" t="n">
        <x:v>0.36055144629455926</x:v>
      </x:c>
      <x:c r="L1869" s="12" t="n">
        <x:v>0.9457312039398562</x:v>
      </x:c>
      <x:c r="M1869" s="8" t="str">
        <x:v>Yes</x:v>
      </x:c>
    </x:row>
    <x:row r="1870">
      <x:c r="A1870" s="8" t="str">
        <x:v>West Kelowna|Other Engineering Systems</x:v>
      </x:c>
      <x:c r="B1870" s="8" t="str">
        <x:v>west-kelowna-c</x:v>
      </x:c>
      <x:c r="C1870" s="8" t="str">
        <x:v>West Kelowna</x:v>
      </x:c>
      <x:c r="D1870" s="8" t="str">
        <x:v>Other Engineering Systems</x:v>
      </x:c>
      <x:c r="E1870" s="11" t="n">
        <x:v>0</x:v>
      </x:c>
      <x:c r="F1870" s="11" t="n">
        <x:v>0</x:v>
      </x:c>
      <x:c r="G1870" s="11" t="n">
        <x:v>0</x:v>
      </x:c>
      <x:c r="H1870" s="11" t="n">
        <x:v>0</x:v>
      </x:c>
      <x:c r="I1870" s="11" t="n">
        <x:v>0</x:v>
      </x:c>
      <x:c r="J1870" s="11" t="n">
        <x:v>0</x:v>
      </x:c>
      <x:c r="K1870" s="12"/>
      <x:c r="L1870" s="12"/>
      <x:c r="M1870" s="8"/>
    </x:row>
    <x:row r="1871">
      <x:c r="A1871" s="8" t="str">
        <x:v>West Kelowna|Other Tangible Capital Assets</x:v>
      </x:c>
      <x:c r="B1871" s="8" t="str">
        <x:v>west-kelowna-c</x:v>
      </x:c>
      <x:c r="C1871" s="8" t="str">
        <x:v>West Kelowna</x:v>
      </x:c>
      <x:c r="D1871" s="8" t="str">
        <x:v>Other Tangible Capital Assets</x:v>
      </x:c>
      <x:c r="E1871" s="11" t="n">
        <x:v>0</x:v>
      </x:c>
      <x:c r="F1871" s="11" t="n">
        <x:v>0</x:v>
      </x:c>
      <x:c r="G1871" s="11" t="n">
        <x:v>0</x:v>
      </x:c>
      <x:c r="H1871" s="11" t="n">
        <x:v>0</x:v>
      </x:c>
      <x:c r="I1871" s="11" t="n">
        <x:v>0</x:v>
      </x:c>
      <x:c r="J1871" s="11" t="n">
        <x:v>0</x:v>
      </x:c>
      <x:c r="K1871" s="12"/>
      <x:c r="L1871" s="12"/>
      <x:c r="M1871" s="8" t="str">
        <x:v>N/A</x:v>
      </x:c>
    </x:row>
    <x:row r="1872">
      <x:c r="A1872" s="8" t="str">
        <x:v>West Kelowna|Work In Progress</x:v>
      </x:c>
      <x:c r="B1872" s="8" t="str">
        <x:v>west-kelowna-c</x:v>
      </x:c>
      <x:c r="C1872" s="8" t="str">
        <x:v>West Kelowna</x:v>
      </x:c>
      <x:c r="D1872" s="8" t="str">
        <x:v>Work In Progress</x:v>
      </x:c>
      <x:c r="E1872" s="11" t="n">
        <x:v>45856666</x:v>
      </x:c>
      <x:c r="F1872" s="11"/>
      <x:c r="G1872" s="11" t="n">
        <x:v>45856666</x:v>
      </x:c>
      <x:c r="H1872" s="11" t="n">
        <x:v>1887971</x:v>
      </x:c>
      <x:c r="I1872" s="11" t="n">
        <x:v>45856666</x:v>
      </x:c>
      <x:c r="J1872" s="11"/>
      <x:c r="K1872" s="12" t="n">
        <x:v>1</x:v>
      </x:c>
      <x:c r="L1872" s="12"/>
      <x:c r="M1872" s="8" t="str">
        <x:v>N/A</x:v>
      </x:c>
    </x:row>
    <x:row r="1873">
      <x:c r="A1873" s="8" t="str">
        <x:v>West Kelowna|Total TCA</x:v>
      </x:c>
      <x:c r="B1873" s="8" t="str">
        <x:v>west-kelowna-c</x:v>
      </x:c>
      <x:c r="C1873" s="8" t="str">
        <x:v>West Kelowna</x:v>
      </x:c>
      <x:c r="D1873" s="8" t="str">
        <x:v>Total TCA</x:v>
      </x:c>
      <x:c r="E1873" s="11" t="n">
        <x:v>800520672</x:v>
      </x:c>
      <x:c r="F1873" s="11" t="n">
        <x:v>295810966</x:v>
      </x:c>
      <x:c r="G1873" s="11" t="n">
        <x:v>504709706</x:v>
      </x:c>
      <x:c r="H1873" s="11" t="n">
        <x:v>36022399</x:v>
      </x:c>
      <x:c r="I1873" s="11" t="n">
        <x:v>504709706</x:v>
      </x:c>
      <x:c r="J1873" s="11" t="n">
        <x:v>13849006</x:v>
      </x:c>
      <x:c r="K1873" s="12" t="n">
        <x:v>0.6304767929840542</x:v>
      </x:c>
      <x:c r="L1873" s="12" t="n">
        <x:v>0.9725604524039012</x:v>
      </x:c>
      <x:c r="M1873" s="8"/>
    </x:row>
    <x:row r="1874">
      <x:c r="A1874" s="8" t="str">
        <x:v>West Vancouver|Land</x:v>
      </x:c>
      <x:c r="B1874" s="8" t="str">
        <x:v>west-vancouver-d</x:v>
      </x:c>
      <x:c r="C1874" s="8" t="str">
        <x:v>West Vancouver</x:v>
      </x:c>
      <x:c r="D1874" s="8" t="str">
        <x:v>Land</x:v>
      </x:c>
      <x:c r="E1874" s="11" t="n">
        <x:v>150704194</x:v>
      </x:c>
      <x:c r="F1874" s="11"/>
      <x:c r="G1874" s="11" t="n">
        <x:v>150704194</x:v>
      </x:c>
      <x:c r="H1874" s="11" t="n">
        <x:v>0</x:v>
      </x:c>
      <x:c r="I1874" s="11" t="n">
        <x:v>150704194</x:v>
      </x:c>
      <x:c r="J1874" s="11"/>
      <x:c r="K1874" s="12" t="n">
        <x:v>1</x:v>
      </x:c>
      <x:c r="L1874" s="12"/>
      <x:c r="M1874" s="8" t="str">
        <x:v>N/A</x:v>
      </x:c>
    </x:row>
    <x:row r="1875">
      <x:c r="A1875" s="8" t="str">
        <x:v>West Vancouver|Buildings</x:v>
      </x:c>
      <x:c r="B1875" s="8" t="str">
        <x:v>west-vancouver-d</x:v>
      </x:c>
      <x:c r="C1875" s="8" t="str">
        <x:v>West Vancouver</x:v>
      </x:c>
      <x:c r="D1875" s="8" t="str">
        <x:v>Buildings</x:v>
      </x:c>
      <x:c r="E1875" s="11" t="n">
        <x:v>166965759</x:v>
      </x:c>
      <x:c r="F1875" s="11" t="n">
        <x:v>65356946</x:v>
      </x:c>
      <x:c r="G1875" s="11" t="n">
        <x:v>101608813</x:v>
      </x:c>
      <x:c r="H1875" s="11" t="n">
        <x:v>2501409</x:v>
      </x:c>
      <x:c r="I1875" s="11" t="n">
        <x:v>281495982</x:v>
      </x:c>
      <x:c r="J1875" s="11" t="n">
        <x:v>11259839</x:v>
      </x:c>
      <x:c r="K1875" s="12" t="n">
        <x:v>0.6085607828129599</x:v>
      </x:c>
      <x:c r="L1875" s="12" t="n">
        <x:v>0.9600000009946856</x:v>
      </x:c>
      <x:c r="M1875" s="8" t="str">
        <x:v>Yes</x:v>
      </x:c>
    </x:row>
    <x:row r="1876">
      <x:c r="A1876" s="8" t="str">
        <x:v>West Vancouver|Fleet</x:v>
      </x:c>
      <x:c r="B1876" s="8" t="str">
        <x:v>west-vancouver-d</x:v>
      </x:c>
      <x:c r="C1876" s="8" t="str">
        <x:v>West Vancouver</x:v>
      </x:c>
      <x:c r="D1876" s="8" t="str">
        <x:v>Fleet</x:v>
      </x:c>
      <x:c r="E1876" s="11" t="n">
        <x:v>36446909</x:v>
      </x:c>
      <x:c r="F1876" s="11" t="n">
        <x:v>20849394</x:v>
      </x:c>
      <x:c r="G1876" s="11" t="n">
        <x:v>15597515</x:v>
      </x:c>
      <x:c r="H1876" s="11" t="n">
        <x:v>4360921</x:v>
      </x:c>
      <x:c r="I1876" s="11" t="n">
        <x:v>60880132</x:v>
      </x:c>
      <x:c r="J1876" s="11" t="n">
        <x:v>4683087</x:v>
      </x:c>
      <x:c r="K1876" s="12" t="n">
        <x:v>0.42795165428157433</x:v>
      </x:c>
      <x:c r="L1876" s="12" t="n">
        <x:v>0.92307692434044</x:v>
      </x:c>
      <x:c r="M1876" s="8" t="str">
        <x:v>Yes</x:v>
      </x:c>
    </x:row>
    <x:row r="1877">
      <x:c r="A1877" s="8" t="str">
        <x:v>West Vancouver|Parks and Recreation</x:v>
      </x:c>
      <x:c r="B1877" s="8" t="str">
        <x:v>west-vancouver-d</x:v>
      </x:c>
      <x:c r="C1877" s="8" t="str">
        <x:v>West Vancouver</x:v>
      </x:c>
      <x:c r="D1877" s="8" t="str">
        <x:v>Parks and Recreation</x:v>
      </x:c>
      <x:c r="E1877" s="11" t="n">
        <x:v>40404088</x:v>
      </x:c>
      <x:c r="F1877" s="11" t="n">
        <x:v>22445587</x:v>
      </x:c>
      <x:c r="G1877" s="11" t="n">
        <x:v>17958501</x:v>
      </x:c>
      <x:c r="H1877" s="11" t="n">
        <x:v>7419927</x:v>
      </x:c>
      <x:c r="I1877" s="11" t="n">
        <x:v>47963113</x:v>
      </x:c>
      <x:c r="J1877" s="11" t="n">
        <x:v>1598770</x:v>
      </x:c>
      <x:c r="K1877" s="12" t="n">
        <x:v>0.4444723761615409</x:v>
      </x:c>
      <x:c r="L1877" s="12" t="n">
        <x:v>0.9666666757013874</x:v>
      </x:c>
      <x:c r="M1877" s="8" t="str">
        <x:v>Yes</x:v>
      </x:c>
    </x:row>
    <x:row r="1878">
      <x:c r="A1878" s="8" t="str">
        <x:v>West Vancouver|Water System</x:v>
      </x:c>
      <x:c r="B1878" s="8" t="str">
        <x:v>west-vancouver-d</x:v>
      </x:c>
      <x:c r="C1878" s="8" t="str">
        <x:v>West Vancouver</x:v>
      </x:c>
      <x:c r="D1878" s="8" t="str">
        <x:v>Water System</x:v>
      </x:c>
      <x:c r="E1878" s="11" t="n">
        <x:v>132729240</x:v>
      </x:c>
      <x:c r="F1878" s="11" t="n">
        <x:v>36611464</x:v>
      </x:c>
      <x:c r="G1878" s="11" t="n">
        <x:v>96117776</x:v>
      </x:c>
      <x:c r="H1878" s="11" t="n">
        <x:v>3483639</x:v>
      </x:c>
      <x:c r="I1878" s="11" t="n">
        <x:v>156350759</x:v>
      </x:c>
      <x:c r="J1878" s="11" t="n">
        <x:v>2842741</x:v>
      </x:c>
      <x:c r="K1878" s="12" t="n">
        <x:v>0.7241642911539311</x:v>
      </x:c>
      <x:c r="L1878" s="12" t="n">
        <x:v>0.9818181822833364</x:v>
      </x:c>
      <x:c r="M1878" s="8" t="str">
        <x:v>Yes</x:v>
      </x:c>
    </x:row>
    <x:row r="1879">
      <x:c r="A1879" s="8" t="str">
        <x:v>West Vancouver|Sewer System</x:v>
      </x:c>
      <x:c r="B1879" s="8" t="str">
        <x:v>west-vancouver-d</x:v>
      </x:c>
      <x:c r="C1879" s="8" t="str">
        <x:v>West Vancouver</x:v>
      </x:c>
      <x:c r="D1879" s="8" t="str">
        <x:v>Sewer System</x:v>
      </x:c>
      <x:c r="E1879" s="11" t="n">
        <x:v>245870596</x:v>
      </x:c>
      <x:c r="F1879" s="11" t="n">
        <x:v>159524631</x:v>
      </x:c>
      <x:c r="G1879" s="11" t="n">
        <x:v>86345965</x:v>
      </x:c>
      <x:c r="H1879" s="11" t="n">
        <x:v>4513236</x:v>
      </x:c>
      <x:c r="I1879" s="11" t="n">
        <x:v>265540244</x:v>
      </x:c>
      <x:c r="J1879" s="11" t="n">
        <x:v>4741790</x:v>
      </x:c>
      <x:c r="K1879" s="12" t="n">
        <x:v>0.3511845922397325</x:v>
      </x:c>
      <x:c r="L1879" s="12" t="n">
        <x:v>0.9821428574118506</x:v>
      </x:c>
      <x:c r="M1879" s="8" t="str">
        <x:v>Yes</x:v>
      </x:c>
    </x:row>
    <x:row r="1880">
      <x:c r="A1880" s="8" t="str">
        <x:v>West Vancouver|Drainage System</x:v>
      </x:c>
      <x:c r="B1880" s="8" t="str">
        <x:v>west-vancouver-d</x:v>
      </x:c>
      <x:c r="C1880" s="8" t="str">
        <x:v>West Vancouver</x:v>
      </x:c>
      <x:c r="D1880" s="8" t="str">
        <x:v>Drainage System</x:v>
      </x:c>
      <x:c r="E1880" s="11" t="n">
        <x:v>0</x:v>
      </x:c>
      <x:c r="F1880" s="11" t="n">
        <x:v>0</x:v>
      </x:c>
      <x:c r="G1880" s="11" t="n">
        <x:v>0</x:v>
      </x:c>
      <x:c r="H1880" s="11" t="n">
        <x:v>0</x:v>
      </x:c>
      <x:c r="I1880" s="11" t="n">
        <x:v>0</x:v>
      </x:c>
      <x:c r="J1880" s="11" t="n">
        <x:v>0</x:v>
      </x:c>
      <x:c r="K1880" s="12"/>
      <x:c r="L1880" s="12"/>
      <x:c r="M1880" s="8"/>
    </x:row>
    <x:row r="1881">
      <x:c r="A1881" s="8" t="str">
        <x:v>West Vancouver|Transportation System</x:v>
      </x:c>
      <x:c r="B1881" s="8" t="str">
        <x:v>west-vancouver-d</x:v>
      </x:c>
      <x:c r="C1881" s="8" t="str">
        <x:v>West Vancouver</x:v>
      </x:c>
      <x:c r="D1881" s="8" t="str">
        <x:v>Transportation System</x:v>
      </x:c>
      <x:c r="E1881" s="11" t="n">
        <x:v>96242572</x:v>
      </x:c>
      <x:c r="F1881" s="11" t="n">
        <x:v>25507083</x:v>
      </x:c>
      <x:c r="G1881" s="11" t="n">
        <x:v>70735489</x:v>
      </x:c>
      <x:c r="H1881" s="11" t="n">
        <x:v>4214176</x:v>
      </x:c>
      <x:c r="I1881" s="11" t="n">
        <x:v>103941978</x:v>
      </x:c>
      <x:c r="J1881" s="11" t="n">
        <x:v>0</x:v>
      </x:c>
      <x:c r="K1881" s="12" t="n">
        <x:v>0.7349708920912879</x:v>
      </x:c>
      <x:c r="L1881" s="12" t="n">
        <x:v>1</x:v>
      </x:c>
      <x:c r="M1881" s="8" t="str">
        <x:v>Yes</x:v>
      </x:c>
    </x:row>
    <x:row r="1882">
      <x:c r="A1882" s="8" t="str">
        <x:v>West Vancouver|Other Engineering Systems</x:v>
      </x:c>
      <x:c r="B1882" s="8" t="str">
        <x:v>west-vancouver-d</x:v>
      </x:c>
      <x:c r="C1882" s="8" t="str">
        <x:v>West Vancouver</x:v>
      </x:c>
      <x:c r="D1882" s="8" t="str">
        <x:v>Other Engineering Systems</x:v>
      </x:c>
      <x:c r="E1882" s="11" t="n">
        <x:v>0</x:v>
      </x:c>
      <x:c r="F1882" s="11" t="n">
        <x:v>0</x:v>
      </x:c>
      <x:c r="G1882" s="11" t="n">
        <x:v>0</x:v>
      </x:c>
      <x:c r="H1882" s="11" t="n">
        <x:v>0</x:v>
      </x:c>
      <x:c r="I1882" s="11" t="n">
        <x:v>0</x:v>
      </x:c>
      <x:c r="J1882" s="11" t="n">
        <x:v>0</x:v>
      </x:c>
      <x:c r="K1882" s="12"/>
      <x:c r="L1882" s="12"/>
      <x:c r="M1882" s="8" t="str">
        <x:v>No</x:v>
      </x:c>
    </x:row>
    <x:row r="1883">
      <x:c r="A1883" s="8" t="str">
        <x:v>West Vancouver|Other Tangible Capital Assets</x:v>
      </x:c>
      <x:c r="B1883" s="8" t="str">
        <x:v>west-vancouver-d</x:v>
      </x:c>
      <x:c r="C1883" s="8" t="str">
        <x:v>West Vancouver</x:v>
      </x:c>
      <x:c r="D1883" s="8" t="str">
        <x:v>Other Tangible Capital Assets</x:v>
      </x:c>
      <x:c r="E1883" s="11" t="n">
        <x:v>0</x:v>
      </x:c>
      <x:c r="F1883" s="11" t="n">
        <x:v>0</x:v>
      </x:c>
      <x:c r="G1883" s="11" t="n">
        <x:v>0</x:v>
      </x:c>
      <x:c r="H1883" s="11" t="n">
        <x:v>0</x:v>
      </x:c>
      <x:c r="I1883" s="11" t="n">
        <x:v>5016320</x:v>
      </x:c>
      <x:c r="J1883" s="11" t="n">
        <x:v>0</x:v>
      </x:c>
      <x:c r="K1883" s="12"/>
      <x:c r="L1883" s="12" t="n">
        <x:v>1</x:v>
      </x:c>
      <x:c r="M1883" s="8" t="str">
        <x:v>N/A</x:v>
      </x:c>
    </x:row>
    <x:row r="1884">
      <x:c r="A1884" s="8" t="str">
        <x:v>West Vancouver|Work In Progress</x:v>
      </x:c>
      <x:c r="B1884" s="8" t="str">
        <x:v>west-vancouver-d</x:v>
      </x:c>
      <x:c r="C1884" s="8" t="str">
        <x:v>West Vancouver</x:v>
      </x:c>
      <x:c r="D1884" s="8" t="str">
        <x:v>Work In Progress</x:v>
      </x:c>
      <x:c r="E1884" s="11" t="n">
        <x:v>31867985</x:v>
      </x:c>
      <x:c r="F1884" s="11"/>
      <x:c r="G1884" s="11" t="n">
        <x:v>31867985</x:v>
      </x:c>
      <x:c r="H1884" s="11" t="n">
        <x:v>5253184</x:v>
      </x:c>
      <x:c r="I1884" s="11" t="n">
        <x:v>31867985</x:v>
      </x:c>
      <x:c r="J1884" s="11"/>
      <x:c r="K1884" s="12" t="n">
        <x:v>1</x:v>
      </x:c>
      <x:c r="L1884" s="12"/>
      <x:c r="M1884" s="8" t="str">
        <x:v>N/A</x:v>
      </x:c>
    </x:row>
    <x:row r="1885">
      <x:c r="A1885" s="8" t="str">
        <x:v>West Vancouver|Total TCA</x:v>
      </x:c>
      <x:c r="B1885" s="8" t="str">
        <x:v>west-vancouver-d</x:v>
      </x:c>
      <x:c r="C1885" s="8" t="str">
        <x:v>West Vancouver</x:v>
      </x:c>
      <x:c r="D1885" s="8" t="str">
        <x:v>Total TCA</x:v>
      </x:c>
      <x:c r="E1885" s="11" t="n">
        <x:v>901231343</x:v>
      </x:c>
      <x:c r="F1885" s="11" t="n">
        <x:v>330295105</x:v>
      </x:c>
      <x:c r="G1885" s="11" t="n">
        <x:v>570936238</x:v>
      </x:c>
      <x:c r="H1885" s="11" t="n">
        <x:v>31746492</x:v>
      </x:c>
      <x:c r="I1885" s="11" t="n">
        <x:v>1103760707</x:v>
      </x:c>
      <x:c r="J1885" s="11" t="n">
        <x:v>25126227</x:v>
      </x:c>
      <x:c r="K1885" s="12" t="n">
        <x:v>0.6335068597364573</x:v>
      </x:c>
      <x:c r="L1885" s="12" t="n">
        <x:v>0.977235802252562</x:v>
      </x:c>
      <x:c r="M1885" s="8"/>
    </x:row>
    <x:row r="1886">
      <x:c r="A1886" s="8" t="str">
        <x:v>Whistler|Land</x:v>
      </x:c>
      <x:c r="B1886" s="8" t="str">
        <x:v>whistler-d</x:v>
      </x:c>
      <x:c r="C1886" s="8" t="str">
        <x:v>Whistler</x:v>
      </x:c>
      <x:c r="D1886" s="8" t="str">
        <x:v>Land</x:v>
      </x:c>
      <x:c r="E1886" s="11" t="n">
        <x:v>113025562</x:v>
      </x:c>
      <x:c r="F1886" s="11"/>
      <x:c r="G1886" s="11" t="n">
        <x:v>113025562</x:v>
      </x:c>
      <x:c r="H1886" s="11" t="n">
        <x:v>0</x:v>
      </x:c>
      <x:c r="I1886" s="11" t="n">
        <x:v>113025562</x:v>
      </x:c>
      <x:c r="J1886" s="11"/>
      <x:c r="K1886" s="12" t="n">
        <x:v>1</x:v>
      </x:c>
      <x:c r="L1886" s="12"/>
      <x:c r="M1886" s="8" t="str">
        <x:v>N/A</x:v>
      </x:c>
    </x:row>
    <x:row r="1887">
      <x:c r="A1887" s="8" t="str">
        <x:v>Whistler|Buildings</x:v>
      </x:c>
      <x:c r="B1887" s="8" t="str">
        <x:v>whistler-d</x:v>
      </x:c>
      <x:c r="C1887" s="8" t="str">
        <x:v>Whistler</x:v>
      </x:c>
      <x:c r="D1887" s="8" t="str">
        <x:v>Buildings</x:v>
      </x:c>
      <x:c r="E1887" s="11" t="n">
        <x:v>263885728</x:v>
      </x:c>
      <x:c r="F1887" s="11" t="n">
        <x:v>104143601</x:v>
      </x:c>
      <x:c r="G1887" s="11" t="n">
        <x:v>159742127</x:v>
      </x:c>
      <x:c r="H1887" s="11" t="n">
        <x:v>34967133</x:v>
      </x:c>
      <x:c r="I1887" s="11" t="n">
        <x:v>441949000</x:v>
      </x:c>
      <x:c r="J1887" s="11" t="n">
        <x:v>11049000</x:v>
      </x:c>
      <x:c r="K1887" s="12" t="n">
        <x:v>0.605345837422477</x:v>
      </x:c>
      <x:c r="L1887" s="12" t="n">
        <x:v>0.9749993777562569</x:v>
      </x:c>
      <x:c r="M1887" s="8" t="str">
        <x:v>No</x:v>
      </x:c>
    </x:row>
    <x:row r="1888">
      <x:c r="A1888" s="8" t="str">
        <x:v>Whistler|Fleet</x:v>
      </x:c>
      <x:c r="B1888" s="8" t="str">
        <x:v>whistler-d</x:v>
      </x:c>
      <x:c r="C1888" s="8" t="str">
        <x:v>Whistler</x:v>
      </x:c>
      <x:c r="D1888" s="8" t="str">
        <x:v>Fleet</x:v>
      </x:c>
      <x:c r="E1888" s="11" t="n">
        <x:v>17172152</x:v>
      </x:c>
      <x:c r="F1888" s="11" t="n">
        <x:v>11659355</x:v>
      </x:c>
      <x:c r="G1888" s="11" t="n">
        <x:v>5512797</x:v>
      </x:c>
      <x:c r="H1888" s="11" t="n">
        <x:v>992889</x:v>
      </x:c>
      <x:c r="I1888" s="11" t="n">
        <x:v>22059000</x:v>
      </x:c>
      <x:c r="J1888" s="11" t="n">
        <x:v>1838000</x:v>
      </x:c>
      <x:c r="K1888" s="12" t="n">
        <x:v>0.3210312254398866</x:v>
      </x:c>
      <x:c r="L1888" s="12" t="n">
        <x:v>0.9166779999093341</x:v>
      </x:c>
      <x:c r="M1888" s="8" t="str">
        <x:v>No</x:v>
      </x:c>
    </x:row>
    <x:row r="1889">
      <x:c r="A1889" s="8" t="str">
        <x:v>Whistler|Parks and Recreation</x:v>
      </x:c>
      <x:c r="B1889" s="8" t="str">
        <x:v>whistler-d</x:v>
      </x:c>
      <x:c r="C1889" s="8" t="str">
        <x:v>Whistler</x:v>
      </x:c>
      <x:c r="D1889" s="8" t="str">
        <x:v>Parks and Recreation</x:v>
      </x:c>
      <x:c r="E1889" s="11" t="n">
        <x:v>55454198</x:v>
      </x:c>
      <x:c r="F1889" s="11" t="n">
        <x:v>18087561</x:v>
      </x:c>
      <x:c r="G1889" s="11" t="n">
        <x:v>37366637</x:v>
      </x:c>
      <x:c r="H1889" s="11" t="n">
        <x:v>747738</x:v>
      </x:c>
      <x:c r="I1889" s="11" t="n">
        <x:v>76091000</x:v>
      </x:c>
      <x:c r="J1889" s="11" t="n">
        <x:v>2235000</x:v>
      </x:c>
      <x:c r="K1889" s="12" t="n">
        <x:v>0.673828823563547</x:v>
      </x:c>
      <x:c r="L1889" s="12" t="n">
        <x:v>0.9706272752362303</x:v>
      </x:c>
      <x:c r="M1889" s="8" t="str">
        <x:v>No</x:v>
      </x:c>
    </x:row>
    <x:row r="1890">
      <x:c r="A1890" s="8" t="str">
        <x:v>Whistler|Water System</x:v>
      </x:c>
      <x:c r="B1890" s="8" t="str">
        <x:v>whistler-d</x:v>
      </x:c>
      <x:c r="C1890" s="8" t="str">
        <x:v>Whistler</x:v>
      </x:c>
      <x:c r="D1890" s="8" t="str">
        <x:v>Water System</x:v>
      </x:c>
      <x:c r="E1890" s="11" t="n">
        <x:v>99555880</x:v>
      </x:c>
      <x:c r="F1890" s="11" t="n">
        <x:v>29107563</x:v>
      </x:c>
      <x:c r="G1890" s="11" t="n">
        <x:v>70448317</x:v>
      </x:c>
      <x:c r="H1890" s="11" t="n">
        <x:v>3331929</x:v>
      </x:c>
      <x:c r="I1890" s="11" t="n">
        <x:v>116377000</x:v>
      </x:c>
      <x:c r="J1890" s="11" t="n">
        <x:v>2095000</x:v>
      </x:c>
      <x:c r="K1890" s="12" t="n">
        <x:v>0.7076258780495939</x:v>
      </x:c>
      <x:c r="L1890" s="12" t="n">
        <x:v>0.9819981611486805</x:v>
      </x:c>
      <x:c r="M1890" s="8" t="str">
        <x:v>No</x:v>
      </x:c>
    </x:row>
    <x:row r="1891">
      <x:c r="A1891" s="8" t="str">
        <x:v>Whistler|Sewer System</x:v>
      </x:c>
      <x:c r="B1891" s="8" t="str">
        <x:v>whistler-d</x:v>
      </x:c>
      <x:c r="C1891" s="8" t="str">
        <x:v>Whistler</x:v>
      </x:c>
      <x:c r="D1891" s="8" t="str">
        <x:v>Sewer System</x:v>
      </x:c>
      <x:c r="E1891" s="11" t="n">
        <x:v>74963694</x:v>
      </x:c>
      <x:c r="F1891" s="11" t="n">
        <x:v>20682807</x:v>
      </x:c>
      <x:c r="G1891" s="11" t="n">
        <x:v>54280887</x:v>
      </x:c>
      <x:c r="H1891" s="11" t="n">
        <x:v>1407300</x:v>
      </x:c>
      <x:c r="I1891" s="11" t="n">
        <x:v>173725000</x:v>
      </x:c>
      <x:c r="J1891" s="11" t="n">
        <x:v>3833000</x:v>
      </x:c>
      <x:c r="K1891" s="12" t="n">
        <x:v>0.7240956802368891</x:v>
      </x:c>
      <x:c r="L1891" s="12" t="n">
        <x:v>0.977936393725716</x:v>
      </x:c>
      <x:c r="M1891" s="8" t="str">
        <x:v>No</x:v>
      </x:c>
    </x:row>
    <x:row r="1892">
      <x:c r="A1892" s="8" t="str">
        <x:v>Whistler|Drainage System</x:v>
      </x:c>
      <x:c r="B1892" s="8" t="str">
        <x:v>whistler-d</x:v>
      </x:c>
      <x:c r="C1892" s="8" t="str">
        <x:v>Whistler</x:v>
      </x:c>
      <x:c r="D1892" s="8" t="str">
        <x:v>Drainage System</x:v>
      </x:c>
      <x:c r="E1892" s="11" t="n">
        <x:v>29577631</x:v>
      </x:c>
      <x:c r="F1892" s="11" t="n">
        <x:v>9302491</x:v>
      </x:c>
      <x:c r="G1892" s="11" t="n">
        <x:v>20275140</x:v>
      </x:c>
      <x:c r="H1892" s="11" t="n">
        <x:v>94272</x:v>
      </x:c>
      <x:c r="I1892" s="11" t="n">
        <x:v>53314000</x:v>
      </x:c>
      <x:c r="J1892" s="11" t="n">
        <x:v>982000</x:v>
      </x:c>
      <x:c r="K1892" s="12" t="n">
        <x:v>0.6854889764498042</x:v>
      </x:c>
      <x:c r="L1892" s="12" t="n">
        <x:v>0.981580823048355</x:v>
      </x:c>
      <x:c r="M1892" s="8" t="str">
        <x:v>No</x:v>
      </x:c>
    </x:row>
    <x:row r="1893">
      <x:c r="A1893" s="8" t="str">
        <x:v>Whistler|Transportation System</x:v>
      </x:c>
      <x:c r="B1893" s="8" t="str">
        <x:v>whistler-d</x:v>
      </x:c>
      <x:c r="C1893" s="8" t="str">
        <x:v>Whistler</x:v>
      </x:c>
      <x:c r="D1893" s="8" t="str">
        <x:v>Transportation System</x:v>
      </x:c>
      <x:c r="E1893" s="11" t="n">
        <x:v>98361840</x:v>
      </x:c>
      <x:c r="F1893" s="11" t="n">
        <x:v>41946993</x:v>
      </x:c>
      <x:c r="G1893" s="11" t="n">
        <x:v>56414847</x:v>
      </x:c>
      <x:c r="H1893" s="11" t="n">
        <x:v>2015211</x:v>
      </x:c>
      <x:c r="I1893" s="11" t="n">
        <x:v>121729000</x:v>
      </x:c>
      <x:c r="J1893" s="11" t="n">
        <x:v>3075000</x:v>
      </x:c>
      <x:c r="K1893" s="12" t="n">
        <x:v>0.5735440390297701</x:v>
      </x:c>
      <x:c r="L1893" s="12" t="n">
        <x:v>0.9747389693499495</x:v>
      </x:c>
      <x:c r="M1893" s="8" t="str">
        <x:v>No</x:v>
      </x:c>
    </x:row>
    <x:row r="1894">
      <x:c r="A1894" s="8" t="str">
        <x:v>Whistler|Other Engineering Systems</x:v>
      </x:c>
      <x:c r="B1894" s="8" t="str">
        <x:v>whistler-d</x:v>
      </x:c>
      <x:c r="C1894" s="8" t="str">
        <x:v>Whistler</x:v>
      </x:c>
      <x:c r="D1894" s="8" t="str">
        <x:v>Other Engineering Systems</x:v>
      </x:c>
      <x:c r="E1894" s="11" t="n">
        <x:v>0</x:v>
      </x:c>
      <x:c r="F1894" s="11" t="n">
        <x:v>0</x:v>
      </x:c>
      <x:c r="G1894" s="11" t="n">
        <x:v>0</x:v>
      </x:c>
      <x:c r="H1894" s="11" t="n">
        <x:v>0</x:v>
      </x:c>
      <x:c r="I1894" s="11" t="n">
        <x:v>0</x:v>
      </x:c>
      <x:c r="J1894" s="11" t="n">
        <x:v>0</x:v>
      </x:c>
      <x:c r="K1894" s="12"/>
      <x:c r="L1894" s="12"/>
      <x:c r="M1894" s="8"/>
    </x:row>
    <x:row r="1895">
      <x:c r="A1895" s="8" t="str">
        <x:v>Whistler|Other Tangible Capital Assets</x:v>
      </x:c>
      <x:c r="B1895" s="8" t="str">
        <x:v>whistler-d</x:v>
      </x:c>
      <x:c r="C1895" s="8" t="str">
        <x:v>Whistler</x:v>
      </x:c>
      <x:c r="D1895" s="8" t="str">
        <x:v>Other Tangible Capital Assets</x:v>
      </x:c>
      <x:c r="E1895" s="11" t="n">
        <x:v>64691273</x:v>
      </x:c>
      <x:c r="F1895" s="11" t="n">
        <x:v>31364718</x:v>
      </x:c>
      <x:c r="G1895" s="11" t="n">
        <x:v>33326555</x:v>
      </x:c>
      <x:c r="H1895" s="11" t="n">
        <x:v>2085326</x:v>
      </x:c>
      <x:c r="I1895" s="11" t="n">
        <x:v>67162000</x:v>
      </x:c>
      <x:c r="J1895" s="11" t="n">
        <x:v>2239000</x:v>
      </x:c>
      <x:c r="K1895" s="12" t="n">
        <x:v>0.5151630730778787</x:v>
      </x:c>
      <x:c r="L1895" s="12" t="n">
        <x:v>0.9666626961674757</x:v>
      </x:c>
      <x:c r="M1895" s="8" t="str">
        <x:v>N/A</x:v>
      </x:c>
    </x:row>
    <x:row r="1896">
      <x:c r="A1896" s="8" t="str">
        <x:v>Whistler|Work In Progress</x:v>
      </x:c>
      <x:c r="B1896" s="8" t="str">
        <x:v>whistler-d</x:v>
      </x:c>
      <x:c r="C1896" s="8" t="str">
        <x:v>Whistler</x:v>
      </x:c>
      <x:c r="D1896" s="8" t="str">
        <x:v>Work In Progress</x:v>
      </x:c>
      <x:c r="E1896" s="11" t="n">
        <x:v>28660880</x:v>
      </x:c>
      <x:c r="F1896" s="11"/>
      <x:c r="G1896" s="11" t="n">
        <x:v>28660880</x:v>
      </x:c>
      <x:c r="H1896" s="11" t="n">
        <x:v>232690</x:v>
      </x:c>
      <x:c r="I1896" s="11" t="n">
        <x:v>28660880</x:v>
      </x:c>
      <x:c r="J1896" s="11"/>
      <x:c r="K1896" s="12" t="n">
        <x:v>1</x:v>
      </x:c>
      <x:c r="L1896" s="12"/>
      <x:c r="M1896" s="8" t="str">
        <x:v>N/A</x:v>
      </x:c>
    </x:row>
    <x:row r="1897">
      <x:c r="A1897" s="8" t="str">
        <x:v>Whistler|Total TCA</x:v>
      </x:c>
      <x:c r="B1897" s="8" t="str">
        <x:v>whistler-d</x:v>
      </x:c>
      <x:c r="C1897" s="8" t="str">
        <x:v>Whistler</x:v>
      </x:c>
      <x:c r="D1897" s="8" t="str">
        <x:v>Total TCA</x:v>
      </x:c>
      <x:c r="E1897" s="11" t="n">
        <x:v>845348838</x:v>
      </x:c>
      <x:c r="F1897" s="11" t="n">
        <x:v>266295089</x:v>
      </x:c>
      <x:c r="G1897" s="11" t="n">
        <x:v>579053749</x:v>
      </x:c>
      <x:c r="H1897" s="11" t="n">
        <x:v>45874488</x:v>
      </x:c>
      <x:c r="I1897" s="11" t="n">
        <x:v>1214092442</x:v>
      </x:c>
      <x:c r="J1897" s="11" t="n">
        <x:v>27346000</x:v>
      </x:c>
      <x:c r="K1897" s="12" t="n">
        <x:v>0.6849879280250457</x:v>
      </x:c>
      <x:c r="L1897" s="12" t="n">
        <x:v>0.9774761796927486</x:v>
      </x:c>
      <x:c r="M1897" s="8"/>
    </x:row>
    <x:row r="1898">
      <x:c r="A1898" s="8" t="str">
        <x:v>White Rock|Land</x:v>
      </x:c>
      <x:c r="B1898" s="8" t="str">
        <x:v>white-rock-c</x:v>
      </x:c>
      <x:c r="C1898" s="8" t="str">
        <x:v>White Rock</x:v>
      </x:c>
      <x:c r="D1898" s="8" t="str">
        <x:v>Land</x:v>
      </x:c>
      <x:c r="E1898" s="11" t="n">
        <x:v>27575365</x:v>
      </x:c>
      <x:c r="F1898" s="11"/>
      <x:c r="G1898" s="11" t="n">
        <x:v>27575365</x:v>
      </x:c>
      <x:c r="H1898" s="11" t="n">
        <x:v>0</x:v>
      </x:c>
      <x:c r="I1898" s="11" t="n">
        <x:v>27575365</x:v>
      </x:c>
      <x:c r="J1898" s="11"/>
      <x:c r="K1898" s="12" t="n">
        <x:v>1</x:v>
      </x:c>
      <x:c r="L1898" s="12"/>
      <x:c r="M1898" s="8" t="str">
        <x:v>N/A</x:v>
      </x:c>
    </x:row>
    <x:row r="1899">
      <x:c r="A1899" s="8" t="str">
        <x:v>White Rock|Buildings</x:v>
      </x:c>
      <x:c r="B1899" s="8" t="str">
        <x:v>white-rock-c</x:v>
      </x:c>
      <x:c r="C1899" s="8" t="str">
        <x:v>White Rock</x:v>
      </x:c>
      <x:c r="D1899" s="8" t="str">
        <x:v>Buildings</x:v>
      </x:c>
      <x:c r="E1899" s="11" t="n">
        <x:v>45453195</x:v>
      </x:c>
      <x:c r="F1899" s="11" t="n">
        <x:v>22557742</x:v>
      </x:c>
      <x:c r="G1899" s="11" t="n">
        <x:v>22895453</x:v>
      </x:c>
      <x:c r="H1899" s="11" t="n">
        <x:v>368529</x:v>
      </x:c>
      <x:c r="I1899" s="11" t="n">
        <x:v>0</x:v>
      </x:c>
      <x:c r="J1899" s="11" t="n">
        <x:v>0</x:v>
      </x:c>
      <x:c r="K1899" s="12" t="n">
        <x:v>0.5037149313706111</x:v>
      </x:c>
      <x:c r="L1899" s="12"/>
      <x:c r="M1899" s="8" t="str">
        <x:v>In_Progress</x:v>
      </x:c>
    </x:row>
    <x:row r="1900">
      <x:c r="A1900" s="8" t="str">
        <x:v>White Rock|Fleet</x:v>
      </x:c>
      <x:c r="B1900" s="8" t="str">
        <x:v>white-rock-c</x:v>
      </x:c>
      <x:c r="C1900" s="8" t="str">
        <x:v>White Rock</x:v>
      </x:c>
      <x:c r="D1900" s="8" t="str">
        <x:v>Fleet</x:v>
      </x:c>
      <x:c r="E1900" s="11" t="n">
        <x:v>7841558</x:v>
      </x:c>
      <x:c r="F1900" s="11" t="n">
        <x:v>3257065</x:v>
      </x:c>
      <x:c r="G1900" s="11" t="n">
        <x:v>4584493</x:v>
      </x:c>
      <x:c r="H1900" s="11" t="n">
        <x:v>132503</x:v>
      </x:c>
      <x:c r="I1900" s="11" t="n">
        <x:v>0</x:v>
      </x:c>
      <x:c r="J1900" s="11" t="n">
        <x:v>0</x:v>
      </x:c>
      <x:c r="K1900" s="12" t="n">
        <x:v>0.5846405778035436</x:v>
      </x:c>
      <x:c r="L1900" s="12"/>
      <x:c r="M1900" s="8" t="str">
        <x:v>In_Progress</x:v>
      </x:c>
    </x:row>
    <x:row r="1901">
      <x:c r="A1901" s="8" t="str">
        <x:v>White Rock|Parks and Recreation</x:v>
      </x:c>
      <x:c r="B1901" s="8" t="str">
        <x:v>white-rock-c</x:v>
      </x:c>
      <x:c r="C1901" s="8" t="str">
        <x:v>White Rock</x:v>
      </x:c>
      <x:c r="D1901" s="8" t="str">
        <x:v>Parks and Recreation</x:v>
      </x:c>
      <x:c r="E1901" s="11" t="n">
        <x:v>31111291</x:v>
      </x:c>
      <x:c r="F1901" s="11" t="n">
        <x:v>12601170</x:v>
      </x:c>
      <x:c r="G1901" s="11" t="n">
        <x:v>18510121</x:v>
      </x:c>
      <x:c r="H1901" s="11" t="n">
        <x:v>565835</x:v>
      </x:c>
      <x:c r="I1901" s="11" t="n">
        <x:v>0</x:v>
      </x:c>
      <x:c r="J1901" s="11" t="n">
        <x:v>0</x:v>
      </x:c>
      <x:c r="K1901" s="12" t="n">
        <x:v>0.5949647348289082</x:v>
      </x:c>
      <x:c r="L1901" s="12"/>
      <x:c r="M1901" s="8" t="str">
        <x:v>In_Progress</x:v>
      </x:c>
    </x:row>
    <x:row r="1902">
      <x:c r="A1902" s="8" t="str">
        <x:v>White Rock|Water System</x:v>
      </x:c>
      <x:c r="B1902" s="8" t="str">
        <x:v>white-rock-c</x:v>
      </x:c>
      <x:c r="C1902" s="8" t="str">
        <x:v>White Rock</x:v>
      </x:c>
      <x:c r="D1902" s="8" t="str">
        <x:v>Water System</x:v>
      </x:c>
      <x:c r="E1902" s="11" t="n">
        <x:v>40832296</x:v>
      </x:c>
      <x:c r="F1902" s="11" t="n">
        <x:v>7786369</x:v>
      </x:c>
      <x:c r="G1902" s="11" t="n">
        <x:v>33045927</x:v>
      </x:c>
      <x:c r="H1902" s="11" t="n">
        <x:v>1241422</x:v>
      </x:c>
      <x:c r="I1902" s="11" t="n">
        <x:v>0</x:v>
      </x:c>
      <x:c r="J1902" s="11" t="n">
        <x:v>0</x:v>
      </x:c>
      <x:c r="K1902" s="12" t="n">
        <x:v>0.8093085679041904</x:v>
      </x:c>
      <x:c r="L1902" s="12"/>
      <x:c r="M1902" s="8" t="str">
        <x:v>In_Progress</x:v>
      </x:c>
    </x:row>
    <x:row r="1903">
      <x:c r="A1903" s="8" t="str">
        <x:v>White Rock|Sewer System</x:v>
      </x:c>
      <x:c r="B1903" s="8" t="str">
        <x:v>white-rock-c</x:v>
      </x:c>
      <x:c r="C1903" s="8" t="str">
        <x:v>White Rock</x:v>
      </x:c>
      <x:c r="D1903" s="8" t="str">
        <x:v>Sewer System</x:v>
      </x:c>
      <x:c r="E1903" s="11" t="n">
        <x:v>24546628</x:v>
      </x:c>
      <x:c r="F1903" s="11" t="n">
        <x:v>8709922</x:v>
      </x:c>
      <x:c r="G1903" s="11" t="n">
        <x:v>15836706</x:v>
      </x:c>
      <x:c r="H1903" s="11" t="n">
        <x:v>1549511</x:v>
      </x:c>
      <x:c r="I1903" s="11" t="n">
        <x:v>0</x:v>
      </x:c>
      <x:c r="J1903" s="11" t="n">
        <x:v>0</x:v>
      </x:c>
      <x:c r="K1903" s="12" t="n">
        <x:v>0.6451682895100704</x:v>
      </x:c>
      <x:c r="L1903" s="12"/>
      <x:c r="M1903" s="8" t="str">
        <x:v>In_Progress</x:v>
      </x:c>
    </x:row>
    <x:row r="1904">
      <x:c r="A1904" s="8" t="str">
        <x:v>White Rock|Drainage System</x:v>
      </x:c>
      <x:c r="B1904" s="8" t="str">
        <x:v>white-rock-c</x:v>
      </x:c>
      <x:c r="C1904" s="8" t="str">
        <x:v>White Rock</x:v>
      </x:c>
      <x:c r="D1904" s="8" t="str">
        <x:v>Drainage System</x:v>
      </x:c>
      <x:c r="E1904" s="11" t="n">
        <x:v>26572232</x:v>
      </x:c>
      <x:c r="F1904" s="11" t="n">
        <x:v>10971794</x:v>
      </x:c>
      <x:c r="G1904" s="11" t="n">
        <x:v>15600438</x:v>
      </x:c>
      <x:c r="H1904" s="11" t="n">
        <x:v>1409795</x:v>
      </x:c>
      <x:c r="I1904" s="11" t="n">
        <x:v>0</x:v>
      </x:c>
      <x:c r="J1904" s="11" t="n">
        <x:v>0</x:v>
      </x:c>
      <x:c r="K1904" s="12" t="n">
        <x:v>0.5870955063165186</x:v>
      </x:c>
      <x:c r="L1904" s="12"/>
      <x:c r="M1904" s="8" t="str">
        <x:v>In_Progress</x:v>
      </x:c>
    </x:row>
    <x:row r="1905">
      <x:c r="A1905" s="8" t="str">
        <x:v>White Rock|Transportation System</x:v>
      </x:c>
      <x:c r="B1905" s="8" t="str">
        <x:v>white-rock-c</x:v>
      </x:c>
      <x:c r="C1905" s="8" t="str">
        <x:v>White Rock</x:v>
      </x:c>
      <x:c r="D1905" s="8" t="str">
        <x:v>Transportation System</x:v>
      </x:c>
      <x:c r="E1905" s="11" t="n">
        <x:v>52860057</x:v>
      </x:c>
      <x:c r="F1905" s="11" t="n">
        <x:v>26221732</x:v>
      </x:c>
      <x:c r="G1905" s="11" t="n">
        <x:v>26638325</x:v>
      </x:c>
      <x:c r="H1905" s="11" t="n">
        <x:v>2693179</x:v>
      </x:c>
      <x:c r="I1905" s="11" t="n">
        <x:v>0</x:v>
      </x:c>
      <x:c r="J1905" s="11" t="n">
        <x:v>0</x:v>
      </x:c>
      <x:c r="K1905" s="12" t="n">
        <x:v>0.5039405273437371</x:v>
      </x:c>
      <x:c r="L1905" s="12"/>
      <x:c r="M1905" s="8" t="str">
        <x:v>In_Progress</x:v>
      </x:c>
    </x:row>
    <x:row r="1906">
      <x:c r="A1906" s="8" t="str">
        <x:v>White Rock|Other Engineering Systems</x:v>
      </x:c>
      <x:c r="B1906" s="8" t="str">
        <x:v>white-rock-c</x:v>
      </x:c>
      <x:c r="C1906" s="8" t="str">
        <x:v>White Rock</x:v>
      </x:c>
      <x:c r="D1906" s="8" t="str">
        <x:v>Other Engineering Systems</x:v>
      </x:c>
      <x:c r="E1906" s="11" t="n">
        <x:v>0</x:v>
      </x:c>
      <x:c r="F1906" s="11" t="n">
        <x:v>0</x:v>
      </x:c>
      <x:c r="G1906" s="11" t="n">
        <x:v>0</x:v>
      </x:c>
      <x:c r="H1906" s="11" t="n">
        <x:v>0</x:v>
      </x:c>
      <x:c r="I1906" s="11" t="n">
        <x:v>0</x:v>
      </x:c>
      <x:c r="J1906" s="11" t="n">
        <x:v>0</x:v>
      </x:c>
      <x:c r="K1906" s="12"/>
      <x:c r="L1906" s="12"/>
      <x:c r="M1906" s="8"/>
    </x:row>
    <x:row r="1907">
      <x:c r="A1907" s="8" t="str">
        <x:v>White Rock|Other Tangible Capital Assets</x:v>
      </x:c>
      <x:c r="B1907" s="8" t="str">
        <x:v>white-rock-c</x:v>
      </x:c>
      <x:c r="C1907" s="8" t="str">
        <x:v>White Rock</x:v>
      </x:c>
      <x:c r="D1907" s="8" t="str">
        <x:v>Other Tangible Capital Assets</x:v>
      </x:c>
      <x:c r="E1907" s="11" t="n">
        <x:v>9488776</x:v>
      </x:c>
      <x:c r="F1907" s="11" t="n">
        <x:v>6439491</x:v>
      </x:c>
      <x:c r="G1907" s="11" t="n">
        <x:v>3049285</x:v>
      </x:c>
      <x:c r="H1907" s="11" t="n">
        <x:v>363014</x:v>
      </x:c>
      <x:c r="I1907" s="11" t="n">
        <x:v>0</x:v>
      </x:c>
      <x:c r="J1907" s="11" t="n">
        <x:v>0</x:v>
      </x:c>
      <x:c r="K1907" s="12" t="n">
        <x:v>0.3213570433109602</x:v>
      </x:c>
      <x:c r="L1907" s="12"/>
      <x:c r="M1907" s="8" t="str">
        <x:v>N/A</x:v>
      </x:c>
    </x:row>
    <x:row r="1908">
      <x:c r="A1908" s="8" t="str">
        <x:v>White Rock|Work In Progress</x:v>
      </x:c>
      <x:c r="B1908" s="8" t="str">
        <x:v>white-rock-c</x:v>
      </x:c>
      <x:c r="C1908" s="8" t="str">
        <x:v>White Rock</x:v>
      </x:c>
      <x:c r="D1908" s="8" t="str">
        <x:v>Work In Progress</x:v>
      </x:c>
      <x:c r="E1908" s="11" t="n">
        <x:v>4425085</x:v>
      </x:c>
      <x:c r="F1908" s="11"/>
      <x:c r="G1908" s="11" t="n">
        <x:v>4425085</x:v>
      </x:c>
      <x:c r="H1908" s="11" t="n">
        <x:v>2196771</x:v>
      </x:c>
      <x:c r="I1908" s="11" t="n">
        <x:v>4425085</x:v>
      </x:c>
      <x:c r="J1908" s="11"/>
      <x:c r="K1908" s="12" t="n">
        <x:v>1</x:v>
      </x:c>
      <x:c r="L1908" s="12"/>
      <x:c r="M1908" s="8" t="str">
        <x:v>N/A</x:v>
      </x:c>
    </x:row>
    <x:row r="1909">
      <x:c r="A1909" s="8" t="str">
        <x:v>White Rock|Total TCA</x:v>
      </x:c>
      <x:c r="B1909" s="8" t="str">
        <x:v>white-rock-c</x:v>
      </x:c>
      <x:c r="C1909" s="8" t="str">
        <x:v>White Rock</x:v>
      </x:c>
      <x:c r="D1909" s="8" t="str">
        <x:v>Total TCA</x:v>
      </x:c>
      <x:c r="E1909" s="11" t="n">
        <x:v>270706483</x:v>
      </x:c>
      <x:c r="F1909" s="11" t="n">
        <x:v>98545285</x:v>
      </x:c>
      <x:c r="G1909" s="11" t="n">
        <x:v>172161198</x:v>
      </x:c>
      <x:c r="H1909" s="11" t="n">
        <x:v>10520559</x:v>
      </x:c>
      <x:c r="I1909" s="11" t="n">
        <x:v>32000450</x:v>
      </x:c>
      <x:c r="J1909" s="11" t="n">
        <x:v>0</x:v>
      </x:c>
      <x:c r="K1909" s="12" t="n">
        <x:v>0.6359699852478228</x:v>
      </x:c>
      <x:c r="L1909" s="12" t="n">
        <x:v>1</x:v>
      </x:c>
      <x:c r="M1909" s="8"/>
    </x:row>
    <x:row r="1910">
      <x:c r="A1910" s="8" t="str">
        <x:v>Williams Lake|Land</x:v>
      </x:c>
      <x:c r="B1910" s="8" t="str">
        <x:v>williams-lake-c</x:v>
      </x:c>
      <x:c r="C1910" s="8" t="str">
        <x:v>Williams Lake</x:v>
      </x:c>
      <x:c r="D1910" s="8" t="str">
        <x:v>Land</x:v>
      </x:c>
      <x:c r="E1910" s="11" t="n">
        <x:v>28733483</x:v>
      </x:c>
      <x:c r="F1910" s="11"/>
      <x:c r="G1910" s="11" t="n">
        <x:v>28733483</x:v>
      </x:c>
      <x:c r="H1910" s="11" t="n">
        <x:v>405000</x:v>
      </x:c>
      <x:c r="I1910" s="11" t="n">
        <x:v>28733483</x:v>
      </x:c>
      <x:c r="J1910" s="11"/>
      <x:c r="K1910" s="12" t="n">
        <x:v>1</x:v>
      </x:c>
      <x:c r="L1910" s="12"/>
      <x:c r="M1910" s="8" t="str">
        <x:v>N/A</x:v>
      </x:c>
    </x:row>
    <x:row r="1911">
      <x:c r="A1911" s="8" t="str">
        <x:v>Williams Lake|Buildings</x:v>
      </x:c>
      <x:c r="B1911" s="8" t="str">
        <x:v>williams-lake-c</x:v>
      </x:c>
      <x:c r="C1911" s="8" t="str">
        <x:v>Williams Lake</x:v>
      </x:c>
      <x:c r="D1911" s="8" t="str">
        <x:v>Buildings</x:v>
      </x:c>
      <x:c r="E1911" s="11" t="n">
        <x:v>23493706</x:v>
      </x:c>
      <x:c r="F1911" s="11" t="n">
        <x:v>10188965</x:v>
      </x:c>
      <x:c r="G1911" s="11" t="n">
        <x:v>13304741</x:v>
      </x:c>
      <x:c r="H1911" s="11" t="n">
        <x:v>683930</x:v>
      </x:c>
      <x:c r="I1911" s="11" t="n">
        <x:v>48994687</x:v>
      </x:c>
      <x:c r="J1911" s="11" t="n">
        <x:v>740364</x:v>
      </x:c>
      <x:c r="K1911" s="12" t="n">
        <x:v>0.5663108664082201</x:v>
      </x:c>
      <x:c r="L1911" s="12" t="n">
        <x:v>0.9848888921364065</x:v>
      </x:c>
      <x:c r="M1911" s="8" t="str">
        <x:v>No</x:v>
      </x:c>
    </x:row>
    <x:row r="1912">
      <x:c r="A1912" s="8" t="str">
        <x:v>Williams Lake|Fleet</x:v>
      </x:c>
      <x:c r="B1912" s="8" t="str">
        <x:v>williams-lake-c</x:v>
      </x:c>
      <x:c r="C1912" s="8" t="str">
        <x:v>Williams Lake</x:v>
      </x:c>
      <x:c r="D1912" s="8" t="str">
        <x:v>Fleet</x:v>
      </x:c>
      <x:c r="E1912" s="11" t="n">
        <x:v>23270798</x:v>
      </x:c>
      <x:c r="F1912" s="11" t="n">
        <x:v>15755064</x:v>
      </x:c>
      <x:c r="G1912" s="11" t="n">
        <x:v>7515734</x:v>
      </x:c>
      <x:c r="H1912" s="11" t="n">
        <x:v>1722378</x:v>
      </x:c>
      <x:c r="I1912" s="11" t="n">
        <x:v>10049830</x:v>
      </x:c>
      <x:c r="J1912" s="11" t="n">
        <x:v>1004983</x:v>
      </x:c>
      <x:c r="K1912" s="12" t="n">
        <x:v>0.32296846889393305</x:v>
      </x:c>
      <x:c r="L1912" s="12" t="n">
        <x:v>0.9</x:v>
      </x:c>
      <x:c r="M1912" s="8" t="str">
        <x:v>No</x:v>
      </x:c>
    </x:row>
    <x:row r="1913">
      <x:c r="A1913" s="8" t="str">
        <x:v>Williams Lake|Parks and Recreation</x:v>
      </x:c>
      <x:c r="B1913" s="8" t="str">
        <x:v>williams-lake-c</x:v>
      </x:c>
      <x:c r="C1913" s="8" t="str">
        <x:v>Williams Lake</x:v>
      </x:c>
      <x:c r="D1913" s="8" t="str">
        <x:v>Parks and Recreation</x:v>
      </x:c>
      <x:c r="E1913" s="11" t="n">
        <x:v>21735466</x:v>
      </x:c>
      <x:c r="F1913" s="11" t="n">
        <x:v>17275135</x:v>
      </x:c>
      <x:c r="G1913" s="11" t="n">
        <x:v>4460331</x:v>
      </x:c>
      <x:c r="H1913" s="11" t="n">
        <x:v>48989</x:v>
      </x:c>
      <x:c r="I1913" s="11" t="n">
        <x:v>484280176</x:v>
      </x:c>
      <x:c r="J1913" s="11" t="n">
        <x:v>11175696</x:v>
      </x:c>
      <x:c r="K1913" s="12" t="n">
        <x:v>0.2052098169875907</x:v>
      </x:c>
      <x:c r="L1913" s="12" t="n">
        <x:v>0.976923077685509</x:v>
      </x:c>
      <x:c r="M1913" s="8" t="str">
        <x:v>No</x:v>
      </x:c>
    </x:row>
    <x:row r="1914">
      <x:c r="A1914" s="8" t="str">
        <x:v>Williams Lake|Water System</x:v>
      </x:c>
      <x:c r="B1914" s="8" t="str">
        <x:v>williams-lake-c</x:v>
      </x:c>
      <x:c r="C1914" s="8" t="str">
        <x:v>Williams Lake</x:v>
      </x:c>
      <x:c r="D1914" s="8" t="str">
        <x:v>Water System</x:v>
      </x:c>
      <x:c r="E1914" s="11" t="n">
        <x:v>23136219</x:v>
      </x:c>
      <x:c r="F1914" s="11" t="n">
        <x:v>14259332</x:v>
      </x:c>
      <x:c r="G1914" s="11" t="n">
        <x:v>8876887</x:v>
      </x:c>
      <x:c r="H1914" s="11" t="n">
        <x:v>0</x:v>
      </x:c>
      <x:c r="I1914" s="11" t="n">
        <x:v>230251269</x:v>
      </x:c>
      <x:c r="J1914" s="11" t="n">
        <x:v>3658952</x:v>
      </x:c>
      <x:c r="K1914" s="12" t="n">
        <x:v>0.38367924335432685</x:v>
      </x:c>
      <x:c r="L1914" s="12" t="n">
        <x:v>0.9841088736844269</x:v>
      </x:c>
      <x:c r="M1914" s="8" t="str">
        <x:v>No</x:v>
      </x:c>
    </x:row>
    <x:row r="1915">
      <x:c r="A1915" s="8" t="str">
        <x:v>Williams Lake|Sewer System</x:v>
      </x:c>
      <x:c r="B1915" s="8" t="str">
        <x:v>williams-lake-c</x:v>
      </x:c>
      <x:c r="C1915" s="8" t="str">
        <x:v>Williams Lake</x:v>
      </x:c>
      <x:c r="D1915" s="8" t="str">
        <x:v>Sewer System</x:v>
      </x:c>
      <x:c r="E1915" s="11" t="n">
        <x:v>28583013</x:v>
      </x:c>
      <x:c r="F1915" s="11" t="n">
        <x:v>14308308</x:v>
      </x:c>
      <x:c r="G1915" s="11" t="n">
        <x:v>14274705</x:v>
      </x:c>
      <x:c r="H1915" s="11" t="n">
        <x:v>0</x:v>
      </x:c>
      <x:c r="I1915" s="11" t="n">
        <x:v>350085371</x:v>
      </x:c>
      <x:c r="J1915" s="11" t="n">
        <x:v>5108707</x:v>
      </x:c>
      <x:c r="K1915" s="12" t="n">
        <x:v>0.49941218583219343</x:v>
      </x:c>
      <x:c r="L1915" s="12" t="n">
        <x:v>0.9854072537066966</x:v>
      </x:c>
      <x:c r="M1915" s="8" t="str">
        <x:v>No</x:v>
      </x:c>
    </x:row>
    <x:row r="1916">
      <x:c r="A1916" s="8" t="str">
        <x:v>Williams Lake|Drainage System</x:v>
      </x:c>
      <x:c r="B1916" s="8" t="str">
        <x:v>williams-lake-c</x:v>
      </x:c>
      <x:c r="C1916" s="8" t="str">
        <x:v>Williams Lake</x:v>
      </x:c>
      <x:c r="D1916" s="8" t="str">
        <x:v>Drainage System</x:v>
      </x:c>
      <x:c r="E1916" s="11" t="n">
        <x:v>0</x:v>
      </x:c>
      <x:c r="F1916" s="11" t="n">
        <x:v>0</x:v>
      </x:c>
      <x:c r="G1916" s="11" t="n">
        <x:v>0</x:v>
      </x:c>
      <x:c r="H1916" s="11" t="n">
        <x:v>0</x:v>
      </x:c>
      <x:c r="I1916" s="11" t="n">
        <x:v>0</x:v>
      </x:c>
      <x:c r="J1916" s="11" t="n">
        <x:v>0</x:v>
      </x:c>
      <x:c r="K1916" s="12"/>
      <x:c r="L1916" s="12"/>
      <x:c r="M1916" s="8"/>
    </x:row>
    <x:row r="1917">
      <x:c r="A1917" s="8" t="str">
        <x:v>Williams Lake|Transportation System</x:v>
      </x:c>
      <x:c r="B1917" s="8" t="str">
        <x:v>williams-lake-c</x:v>
      </x:c>
      <x:c r="C1917" s="8" t="str">
        <x:v>Williams Lake</x:v>
      </x:c>
      <x:c r="D1917" s="8" t="str">
        <x:v>Transportation System</x:v>
      </x:c>
      <x:c r="E1917" s="11" t="n">
        <x:v>61720917</x:v>
      </x:c>
      <x:c r="F1917" s="11" t="n">
        <x:v>30587680</x:v>
      </x:c>
      <x:c r="G1917" s="11" t="n">
        <x:v>31133237</x:v>
      </x:c>
      <x:c r="H1917" s="11" t="n">
        <x:v>7353784</x:v>
      </x:c>
      <x:c r="I1917" s="11" t="n">
        <x:v>161581700</x:v>
      </x:c>
      <x:c r="J1917" s="11" t="n">
        <x:v>0</x:v>
      </x:c>
      <x:c r="K1917" s="12" t="n">
        <x:v>0.5044195471042662</x:v>
      </x:c>
      <x:c r="L1917" s="12" t="n">
        <x:v>1</x:v>
      </x:c>
      <x:c r="M1917" s="8" t="str">
        <x:v>No</x:v>
      </x:c>
    </x:row>
    <x:row r="1918">
      <x:c r="A1918" s="8" t="str">
        <x:v>Williams Lake|Other Engineering Systems</x:v>
      </x:c>
      <x:c r="B1918" s="8" t="str">
        <x:v>williams-lake-c</x:v>
      </x:c>
      <x:c r="C1918" s="8" t="str">
        <x:v>Williams Lake</x:v>
      </x:c>
      <x:c r="D1918" s="8" t="str">
        <x:v>Other Engineering Systems</x:v>
      </x:c>
      <x:c r="E1918" s="11" t="n">
        <x:v>16543187</x:v>
      </x:c>
      <x:c r="F1918" s="11" t="n">
        <x:v>11377417</x:v>
      </x:c>
      <x:c r="G1918" s="11" t="n">
        <x:v>5165770</x:v>
      </x:c>
      <x:c r="H1918" s="11" t="n">
        <x:v>585232</x:v>
      </x:c>
      <x:c r="I1918" s="11" t="n">
        <x:v>825319</x:v>
      </x:c>
      <x:c r="J1918" s="11" t="n">
        <x:v>35214</x:v>
      </x:c>
      <x:c r="K1918" s="12" t="n">
        <x:v>0.3122596631471312</x:v>
      </x:c>
      <x:c r="L1918" s="12" t="n">
        <x:v>0.9573328615965463</x:v>
      </x:c>
      <x:c r="M1918" s="8" t="str">
        <x:v>No</x:v>
      </x:c>
    </x:row>
    <x:row r="1919">
      <x:c r="A1919" s="8" t="str">
        <x:v>Williams Lake|Other Tangible Capital Assets</x:v>
      </x:c>
      <x:c r="B1919" s="8" t="str">
        <x:v>williams-lake-c</x:v>
      </x:c>
      <x:c r="C1919" s="8" t="str">
        <x:v>Williams Lake</x:v>
      </x:c>
      <x:c r="D1919" s="8" t="str">
        <x:v>Other Tangible Capital Assets</x:v>
      </x:c>
      <x:c r="E1919" s="11" t="n">
        <x:v>335322</x:v>
      </x:c>
      <x:c r="F1919" s="11" t="n">
        <x:v>335322</x:v>
      </x:c>
      <x:c r="G1919" s="11" t="n">
        <x:v>0</x:v>
      </x:c>
      <x:c r="H1919" s="11" t="n">
        <x:v>0</x:v>
      </x:c>
      <x:c r="I1919" s="11" t="n">
        <x:v>4595667</x:v>
      </x:c>
      <x:c r="J1919" s="11" t="n">
        <x:v>130805</x:v>
      </x:c>
      <x:c r="K1919" s="12" t="n">
        <x:v>0</x:v>
      </x:c>
      <x:c r="L1919" s="12" t="n">
        <x:v>0.971537319827568</x:v>
      </x:c>
      <x:c r="M1919" s="8" t="str">
        <x:v>N/A</x:v>
      </x:c>
    </x:row>
    <x:row r="1920">
      <x:c r="A1920" s="8" t="str">
        <x:v>Williams Lake|Work In Progress</x:v>
      </x:c>
      <x:c r="B1920" s="8" t="str">
        <x:v>williams-lake-c</x:v>
      </x:c>
      <x:c r="C1920" s="8" t="str">
        <x:v>Williams Lake</x:v>
      </x:c>
      <x:c r="D1920" s="8" t="str">
        <x:v>Work In Progress</x:v>
      </x:c>
      <x:c r="E1920" s="11" t="n">
        <x:v>3693402</x:v>
      </x:c>
      <x:c r="F1920" s="11"/>
      <x:c r="G1920" s="11" t="n">
        <x:v>3693402</x:v>
      </x:c>
      <x:c r="H1920" s="11" t="n">
        <x:v>-4834402</x:v>
      </x:c>
      <x:c r="I1920" s="11" t="n">
        <x:v>3693402</x:v>
      </x:c>
      <x:c r="J1920" s="11"/>
      <x:c r="K1920" s="12" t="n">
        <x:v>1</x:v>
      </x:c>
      <x:c r="L1920" s="12"/>
      <x:c r="M1920" s="8" t="str">
        <x:v>N/A</x:v>
      </x:c>
    </x:row>
    <x:row r="1921">
      <x:c r="A1921" s="8" t="str">
        <x:v>Williams Lake|Total TCA</x:v>
      </x:c>
      <x:c r="B1921" s="8" t="str">
        <x:v>williams-lake-c</x:v>
      </x:c>
      <x:c r="C1921" s="8" t="str">
        <x:v>Williams Lake</x:v>
      </x:c>
      <x:c r="D1921" s="8" t="str">
        <x:v>Total TCA</x:v>
      </x:c>
      <x:c r="E1921" s="11" t="n">
        <x:v>231245513</x:v>
      </x:c>
      <x:c r="F1921" s="11" t="n">
        <x:v>114087223</x:v>
      </x:c>
      <x:c r="G1921" s="11" t="n">
        <x:v>117158290</x:v>
      </x:c>
      <x:c r="H1921" s="11" t="n">
        <x:v>5964911</x:v>
      </x:c>
      <x:c r="I1921" s="11" t="n">
        <x:v>1323090904</x:v>
      </x:c>
      <x:c r="J1921" s="11" t="n">
        <x:v>21854721</x:v>
      </x:c>
      <x:c r="K1921" s="12" t="n">
        <x:v>0.5066402737077108</x:v>
      </x:c>
      <x:c r="L1921" s="12" t="n">
        <x:v>0.9834820714631713</x:v>
      </x:c>
      <x:c r="M1921" s="8"/>
    </x:row>
    <x:row r="1922">
      <x:c r="A1922" s="8" t="str">
        <x:v>Zeballos|Land</x:v>
      </x:c>
      <x:c r="B1922" s="8" t="str">
        <x:v>zeballos-v</x:v>
      </x:c>
      <x:c r="C1922" s="8" t="str">
        <x:v>Zeballos</x:v>
      </x:c>
      <x:c r="D1922" s="8" t="str">
        <x:v>Land</x:v>
      </x:c>
      <x:c r="E1922" s="11" t="n">
        <x:v>357742</x:v>
      </x:c>
      <x:c r="F1922" s="11"/>
      <x:c r="G1922" s="11" t="n">
        <x:v>357742</x:v>
      </x:c>
      <x:c r="H1922" s="11" t="n">
        <x:v>0</x:v>
      </x:c>
      <x:c r="I1922" s="11" t="n">
        <x:v>357742</x:v>
      </x:c>
      <x:c r="J1922" s="11"/>
      <x:c r="K1922" s="12" t="n">
        <x:v>1</x:v>
      </x:c>
      <x:c r="L1922" s="12"/>
      <x:c r="M1922" s="8" t="str">
        <x:v>N/A</x:v>
      </x:c>
    </x:row>
    <x:row r="1923">
      <x:c r="A1923" s="8" t="str">
        <x:v>Zeballos|Buildings</x:v>
      </x:c>
      <x:c r="B1923" s="8" t="str">
        <x:v>zeballos-v</x:v>
      </x:c>
      <x:c r="C1923" s="8" t="str">
        <x:v>Zeballos</x:v>
      </x:c>
      <x:c r="D1923" s="8" t="str">
        <x:v>Buildings</x:v>
      </x:c>
      <x:c r="E1923" s="11" t="n">
        <x:v>2238918</x:v>
      </x:c>
      <x:c r="F1923" s="11" t="n">
        <x:v>913921</x:v>
      </x:c>
      <x:c r="G1923" s="11" t="n">
        <x:v>1324997</x:v>
      </x:c>
      <x:c r="H1923" s="11" t="n">
        <x:v>25445</x:v>
      </x:c>
      <x:c r="I1923" s="11" t="n">
        <x:v>12000000</x:v>
      </x:c>
      <x:c r="J1923" s="11" t="n">
        <x:v>387096</x:v>
      </x:c>
      <x:c r="K1923" s="12" t="n">
        <x:v>0.591802379542261</x:v>
      </x:c>
      <x:c r="L1923" s="12" t="n">
        <x:v>0.967742</x:v>
      </x:c>
      <x:c r="M1923" s="8" t="str">
        <x:v>Yes</x:v>
      </x:c>
    </x:row>
    <x:row r="1924">
      <x:c r="A1924" s="8" t="str">
        <x:v>Zeballos|Fleet</x:v>
      </x:c>
      <x:c r="B1924" s="8" t="str">
        <x:v>zeballos-v</x:v>
      </x:c>
      <x:c r="C1924" s="8" t="str">
        <x:v>Zeballos</x:v>
      </x:c>
      <x:c r="D1924" s="8" t="str">
        <x:v>Fleet</x:v>
      </x:c>
      <x:c r="E1924" s="11" t="n">
        <x:v>1066386</x:v>
      </x:c>
      <x:c r="F1924" s="11" t="n">
        <x:v>560499</x:v>
      </x:c>
      <x:c r="G1924" s="11" t="n">
        <x:v>505887</x:v>
      </x:c>
      <x:c r="H1924" s="11" t="n">
        <x:v>151689</x:v>
      </x:c>
      <x:c r="I1924" s="11" t="n">
        <x:v>1500000</x:v>
      </x:c>
      <x:c r="J1924" s="11" t="n">
        <x:v>107142</x:v>
      </x:c>
      <x:c r="K1924" s="12" t="n">
        <x:v>0.4743938873916199</x:v>
      </x:c>
      <x:c r="L1924" s="12" t="n">
        <x:v>0.928572</x:v>
      </x:c>
      <x:c r="M1924" s="8" t="str">
        <x:v>Yes</x:v>
      </x:c>
    </x:row>
    <x:row r="1925">
      <x:c r="A1925" s="8" t="str">
        <x:v>Zeballos|Parks and Recreation</x:v>
      </x:c>
      <x:c r="B1925" s="8" t="str">
        <x:v>zeballos-v</x:v>
      </x:c>
      <x:c r="C1925" s="8" t="str">
        <x:v>Zeballos</x:v>
      </x:c>
      <x:c r="D1925" s="8" t="str">
        <x:v>Parks and Recreation</x:v>
      </x:c>
      <x:c r="E1925" s="11" t="n">
        <x:v>1770265</x:v>
      </x:c>
      <x:c r="F1925" s="11" t="n">
        <x:v>473798</x:v>
      </x:c>
      <x:c r="G1925" s="11" t="n">
        <x:v>1296467</x:v>
      </x:c>
      <x:c r="H1925" s="11" t="n">
        <x:v>646604</x:v>
      </x:c>
      <x:c r="I1925" s="11" t="n">
        <x:v>2000000</x:v>
      </x:c>
      <x:c r="J1925" s="11" t="n">
        <x:v>43478</x:v>
      </x:c>
      <x:c r="K1925" s="12" t="n">
        <x:v>0.7323575848813596</x:v>
      </x:c>
      <x:c r="L1925" s="12" t="n">
        <x:v>0.978261</x:v>
      </x:c>
      <x:c r="M1925" s="8" t="str">
        <x:v>Yes</x:v>
      </x:c>
    </x:row>
    <x:row r="1926">
      <x:c r="A1926" s="8" t="str">
        <x:v>Zeballos|Water System</x:v>
      </x:c>
      <x:c r="B1926" s="8" t="str">
        <x:v>zeballos-v</x:v>
      </x:c>
      <x:c r="C1926" s="8" t="str">
        <x:v>Zeballos</x:v>
      </x:c>
      <x:c r="D1926" s="8" t="str">
        <x:v>Water System</x:v>
      </x:c>
      <x:c r="E1926" s="11" t="n">
        <x:v>1023790</x:v>
      </x:c>
      <x:c r="F1926" s="11" t="n">
        <x:v>502788</x:v>
      </x:c>
      <x:c r="G1926" s="11" t="n">
        <x:v>521002</x:v>
      </x:c>
      <x:c r="H1926" s="11" t="n">
        <x:v>0</x:v>
      </x:c>
      <x:c r="I1926" s="11" t="n">
        <x:v>10000000</x:v>
      </x:c>
      <x:c r="J1926" s="11" t="n">
        <x:v>232558</x:v>
      </x:c>
      <x:c r="K1926" s="12" t="n">
        <x:v>0.5088953789351331</x:v>
      </x:c>
      <x:c r="L1926" s="12" t="n">
        <x:v>0.9767442</x:v>
      </x:c>
      <x:c r="M1926" s="8" t="str">
        <x:v>Yes</x:v>
      </x:c>
    </x:row>
    <x:row r="1927">
      <x:c r="A1927" s="8" t="str">
        <x:v>Zeballos|Sewer System</x:v>
      </x:c>
      <x:c r="B1927" s="8" t="str">
        <x:v>zeballos-v</x:v>
      </x:c>
      <x:c r="C1927" s="8" t="str">
        <x:v>Zeballos</x:v>
      </x:c>
      <x:c r="D1927" s="8" t="str">
        <x:v>Sewer System</x:v>
      </x:c>
      <x:c r="E1927" s="11" t="n">
        <x:v>1151407</x:v>
      </x:c>
      <x:c r="F1927" s="11" t="n">
        <x:v>624712</x:v>
      </x:c>
      <x:c r="G1927" s="11" t="n">
        <x:v>526695</x:v>
      </x:c>
      <x:c r="H1927" s="11" t="n">
        <x:v>55962</x:v>
      </x:c>
      <x:c r="I1927" s="11" t="n">
        <x:v>7800000</x:v>
      </x:c>
      <x:c r="J1927" s="11" t="n">
        <x:v>169565</x:v>
      </x:c>
      <x:c r="K1927" s="12" t="n">
        <x:v>0.45743598918540535</x:v>
      </x:c>
      <x:c r="L1927" s="12" t="n">
        <x:v>0.9782608974358974</x:v>
      </x:c>
      <x:c r="M1927" s="8" t="str">
        <x:v>Yes</x:v>
      </x:c>
    </x:row>
    <x:row r="1928">
      <x:c r="A1928" s="8" t="str">
        <x:v>Zeballos|Drainage System</x:v>
      </x:c>
      <x:c r="B1928" s="8" t="str">
        <x:v>zeballos-v</x:v>
      </x:c>
      <x:c r="C1928" s="8" t="str">
        <x:v>Zeballos</x:v>
      </x:c>
      <x:c r="D1928" s="8" t="str">
        <x:v>Drainage System</x:v>
      </x:c>
      <x:c r="E1928" s="11" t="n">
        <x:v>0</x:v>
      </x:c>
      <x:c r="F1928" s="11" t="n">
        <x:v>0</x:v>
      </x:c>
      <x:c r="G1928" s="11" t="n">
        <x:v>0</x:v>
      </x:c>
      <x:c r="H1928" s="11" t="n">
        <x:v>0</x:v>
      </x:c>
      <x:c r="I1928" s="11" t="n">
        <x:v>0</x:v>
      </x:c>
      <x:c r="J1928" s="11" t="n">
        <x:v>0</x:v>
      </x:c>
      <x:c r="K1928" s="12"/>
      <x:c r="L1928" s="12"/>
      <x:c r="M1928" s="8" t="str">
        <x:v>No</x:v>
      </x:c>
    </x:row>
    <x:row r="1929">
      <x:c r="A1929" s="8" t="str">
        <x:v>Zeballos|Transportation System</x:v>
      </x:c>
      <x:c r="B1929" s="8" t="str">
        <x:v>zeballos-v</x:v>
      </x:c>
      <x:c r="C1929" s="8" t="str">
        <x:v>Zeballos</x:v>
      </x:c>
      <x:c r="D1929" s="8" t="str">
        <x:v>Transportation System</x:v>
      </x:c>
      <x:c r="E1929" s="11" t="n">
        <x:v>4060571</x:v>
      </x:c>
      <x:c r="F1929" s="11" t="n">
        <x:v>1439396</x:v>
      </x:c>
      <x:c r="G1929" s="11" t="n">
        <x:v>2621175</x:v>
      </x:c>
      <x:c r="H1929" s="11" t="n">
        <x:v>-10315</x:v>
      </x:c>
      <x:c r="I1929" s="11" t="n">
        <x:v>10000000</x:v>
      </x:c>
      <x:c r="J1929" s="11" t="n">
        <x:v>0</x:v>
      </x:c>
      <x:c r="K1929" s="12" t="n">
        <x:v>0.6455188198901091</x:v>
      </x:c>
      <x:c r="L1929" s="12" t="n">
        <x:v>1</x:v>
      </x:c>
      <x:c r="M1929" s="8" t="str">
        <x:v>Yes</x:v>
      </x:c>
    </x:row>
    <x:row r="1930">
      <x:c r="A1930" s="8" t="str">
        <x:v>Zeballos|Other Engineering Systems</x:v>
      </x:c>
      <x:c r="B1930" s="8" t="str">
        <x:v>zeballos-v</x:v>
      </x:c>
      <x:c r="C1930" s="8" t="str">
        <x:v>Zeballos</x:v>
      </x:c>
      <x:c r="D1930" s="8" t="str">
        <x:v>Other Engineering Systems</x:v>
      </x:c>
      <x:c r="E1930" s="11" t="n">
        <x:v>0</x:v>
      </x:c>
      <x:c r="F1930" s="11" t="n">
        <x:v>0</x:v>
      </x:c>
      <x:c r="G1930" s="11" t="n">
        <x:v>0</x:v>
      </x:c>
      <x:c r="H1930" s="11" t="n">
        <x:v>0</x:v>
      </x:c>
      <x:c r="I1930" s="11" t="n">
        <x:v>0</x:v>
      </x:c>
      <x:c r="J1930" s="11" t="n">
        <x:v>0</x:v>
      </x:c>
      <x:c r="K1930" s="12"/>
      <x:c r="L1930" s="12"/>
      <x:c r="M1930" s="8" t="str">
        <x:v>No</x:v>
      </x:c>
    </x:row>
    <x:row r="1931">
      <x:c r="A1931" s="8" t="str">
        <x:v>Zeballos|Other Tangible Capital Assets</x:v>
      </x:c>
      <x:c r="B1931" s="8" t="str">
        <x:v>zeballos-v</x:v>
      </x:c>
      <x:c r="C1931" s="8" t="str">
        <x:v>Zeballos</x:v>
      </x:c>
      <x:c r="D1931" s="8" t="str">
        <x:v>Other Tangible Capital Assets</x:v>
      </x:c>
      <x:c r="E1931" s="11" t="n">
        <x:v>0</x:v>
      </x:c>
      <x:c r="F1931" s="11" t="n">
        <x:v>0</x:v>
      </x:c>
      <x:c r="G1931" s="11" t="n">
        <x:v>0</x:v>
      </x:c>
      <x:c r="H1931" s="11" t="n">
        <x:v>0</x:v>
      </x:c>
      <x:c r="I1931" s="11" t="n">
        <x:v>0</x:v>
      </x:c>
      <x:c r="J1931" s="11" t="n">
        <x:v>0</x:v>
      </x:c>
      <x:c r="K1931" s="12"/>
      <x:c r="L1931" s="12"/>
      <x:c r="M1931" s="8" t="str">
        <x:v>N/A</x:v>
      </x:c>
    </x:row>
    <x:row r="1932">
      <x:c r="A1932" s="8" t="str">
        <x:v>Zeballos|Work In Progress</x:v>
      </x:c>
      <x:c r="B1932" s="8" t="str">
        <x:v>zeballos-v</x:v>
      </x:c>
      <x:c r="C1932" s="8" t="str">
        <x:v>Zeballos</x:v>
      </x:c>
      <x:c r="D1932" s="8" t="str">
        <x:v>Work In Progress</x:v>
      </x:c>
      <x:c r="E1932" s="11" t="n">
        <x:v>0</x:v>
      </x:c>
      <x:c r="F1932" s="11"/>
      <x:c r="G1932" s="11" t="n">
        <x:v>0</x:v>
      </x:c>
      <x:c r="H1932" s="11" t="n">
        <x:v>0</x:v>
      </x:c>
      <x:c r="I1932" s="11" t="n">
        <x:v>0</x:v>
      </x:c>
      <x:c r="J1932" s="11"/>
      <x:c r="K1932" s="12"/>
      <x:c r="L1932" s="12"/>
      <x:c r="M1932" s="8" t="str">
        <x:v>N/A</x:v>
      </x:c>
    </x:row>
    <x:row r="1933">
      <x:c r="A1933" s="8" t="str">
        <x:v>Zeballos|Total TCA</x:v>
      </x:c>
      <x:c r="B1933" s="8" t="str">
        <x:v>zeballos-v</x:v>
      </x:c>
      <x:c r="C1933" s="8" t="str">
        <x:v>Zeballos</x:v>
      </x:c>
      <x:c r="D1933" s="8" t="str">
        <x:v>Total TCA</x:v>
      </x:c>
      <x:c r="E1933" s="11" t="n">
        <x:v>11669079</x:v>
      </x:c>
      <x:c r="F1933" s="11" t="n">
        <x:v>4515114</x:v>
      </x:c>
      <x:c r="G1933" s="11" t="n">
        <x:v>7153965</x:v>
      </x:c>
      <x:c r="H1933" s="11" t="n">
        <x:v>869385</x:v>
      </x:c>
      <x:c r="I1933" s="11" t="n">
        <x:v>43657742</x:v>
      </x:c>
      <x:c r="J1933" s="11" t="n">
        <x:v>939839</x:v>
      </x:c>
      <x:c r="K1933" s="12" t="n">
        <x:v>0.6130702345917788</x:v>
      </x:c>
      <x:c r="L1933" s="12" t="n">
        <x:v>0.9784725696532817</x:v>
      </x:c>
      <x:c r="M1933" s="8"/>
    </x:row>
  </x:sheetData>
  <x:pageMargins left="0.7" right="0.7" top="0.75" bottom="0.75" header="0.3" footer="0.3"/>
  <x:tableParts count="1">
    <x:tablePart xmlns:r="http://schemas.openxmlformats.org/officeDocument/2006/relationships" r:id="R784060fcaec5495c"/>
  </x:tableParts>
</x:worksheet>
</file>

<file path=xl/worksheets/sheet8.xml><?xml version="1.0" encoding="utf-8"?>
<x:worksheet xmlns:x="http://schemas.openxmlformats.org/spreadsheetml/2006/main">
  <x:sheetPr>
    <x:tabColor rgb="FF8798AA"/>
  </x:sheetPr>
  <x:sheetViews>
    <x:sheetView showGridLines="0" workbookViewId="0"/>
  </x:sheetViews>
  <x:sheetFormatPr defaultRowHeight="15"/>
  <x:cols>
    <x:col min="3" max="3" width="24" hidden="0" customWidth="1"/>
    <x:col min="4" max="4" width="86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</x:cols>
  <x:sheetData>
    <x:row r="2">
      <x:c r="C2" s="15" t="str">
        <x:v>About this model</x:v>
      </x:c>
      <x:c r="D2" s="14"/>
      <x:c r="E2" s="14"/>
      <x:c r="F2" s="14"/>
      <x:c r="G2" s="14"/>
      <x:c r="H2" s="14"/>
      <x:c r="I2" s="14"/>
      <x:c r="J2" s="14"/>
      <x:c r="K2" s="14"/>
    </x:row>
    <x:row r="3">
      <x:c r="C3" s="16" t="str">
        <x:v>B.C. municipal finance, capital assets, benchmarking and scenario planning.</x:v>
      </x:c>
      <x:c r="D3" s="14"/>
      <x:c r="E3" s="14"/>
      <x:c r="F3" s="14"/>
      <x:c r="G3" s="14"/>
      <x:c r="H3" s="14"/>
      <x:c r="I3" s="14"/>
      <x:c r="J3" s="14"/>
      <x:c r="K3" s="14"/>
    </x:row>
    <x:row r="4">
      <x:c r="C4" s="17"/>
      <x:c r="D4" s="17"/>
      <x:c r="E4" s="17"/>
      <x:c r="F4" s="17"/>
      <x:c r="G4" s="17"/>
      <x:c r="H4" s="17"/>
      <x:c r="I4" s="17"/>
      <x:c r="J4" s="17"/>
      <x:c r="K4" s="17"/>
    </x:row>
    <x:row r="5"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C6" s="76" t="str">
        <x:v>What it answers</x:v>
      </x:c>
      <x:c r="D6" s="77" t="str">
        <x:v>What it answers</x:v>
      </x:c>
      <x:c r="E6" s="77" t="str">
        <x:v>What it answers</x:v>
      </x:c>
      <x:c r="F6" s="77" t="str">
        <x:v>What it answers</x:v>
      </x:c>
      <x:c r="G6" s="77" t="str">
        <x:v>What it answers</x:v>
      </x:c>
      <x:c r="H6" s="77" t="str">
        <x:v>What it answers</x:v>
      </x:c>
      <x:c r="I6" s="77" t="str">
        <x:v>What it answers</x:v>
      </x:c>
      <x:c r="J6" s="77" t="str">
        <x:v>What it answers</x:v>
      </x:c>
      <x:c r="K6" s="78" t="str">
        <x:v>What it answers</x:v>
      </x:c>
    </x:row>
    <x:row r="7"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C8" s="111" t="str">
        <x:v>Dashboard</x:v>
      </x:c>
      <x:c r="D8" s="110" t="str">
        <x:v>How did the selected municipality perform, how does it compare with municipalities of the same type and population band, and what changed over six years?</x:v>
      </x:c>
      <x:c r="E8" s="110"/>
      <x:c r="F8" s="110"/>
      <x:c r="G8" s="110"/>
      <x:c r="H8" s="110"/>
      <x:c r="I8" s="110"/>
      <x:c r="J8" s="110"/>
      <x:c r="K8" s="110"/>
    </x:row>
    <x:row r="9">
      <x:c r="C9" s="111" t="str">
        <x:v>Forecast</x:v>
      </x:c>
      <x:c r="D9" s="110" t="str">
        <x:v>How do operating results, capital additions, debt-service capacity and reserves change under Base, Upside and Downside assumptions?</x:v>
      </x:c>
      <x:c r="E9" s="110"/>
      <x:c r="F9" s="110"/>
      <x:c r="G9" s="110"/>
      <x:c r="H9" s="110"/>
      <x:c r="I9" s="110"/>
      <x:c r="J9" s="110"/>
      <x:c r="K9" s="110"/>
    </x:row>
    <x:row r="10">
      <x:c r="C10" s="111" t="str">
        <x:v>Capital plan</x:v>
      </x:c>
      <x:c r="D10" s="110" t="str">
        <x:v>Which asset categories carry the largest replacement exposure, and how does the illustrative capital program compare with that base?</x:v>
      </x:c>
      <x:c r="E10" s="110"/>
      <x:c r="F10" s="110"/>
      <x:c r="G10" s="110"/>
      <x:c r="H10" s="110"/>
      <x:c r="I10" s="110"/>
      <x:c r="J10" s="110"/>
      <x:c r="K10" s="110"/>
    </x:row>
    <x:row r="11"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C13" s="76" t="str">
        <x:v>Sources and method</x:v>
      </x:c>
      <x:c r="D13" s="77" t="str">
        <x:v>Sources and method</x:v>
      </x:c>
      <x:c r="E13" s="77" t="str">
        <x:v>Sources and method</x:v>
      </x:c>
      <x:c r="F13" s="77" t="str">
        <x:v>Sources and method</x:v>
      </x:c>
      <x:c r="G13" s="77" t="str">
        <x:v>Sources and method</x:v>
      </x:c>
      <x:c r="H13" s="77" t="str">
        <x:v>Sources and method</x:v>
      </x:c>
      <x:c r="I13" s="77" t="str">
        <x:v>Sources and method</x:v>
      </x:c>
      <x:c r="J13" s="77" t="str">
        <x:v>Sources and method</x:v>
      </x:c>
      <x:c r="K13" s="78" t="str">
        <x:v>Sources and method</x:v>
      </x:c>
    </x:row>
    <x:row r="14"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C15" s="111" t="str">
        <x:v>Source</x:v>
      </x:c>
      <x:c r="D15" s="110" t="str">
        <x:v>Province of British Columbia, Municipal general and financial statistics, schedules 201, 301, 302, 304, 401, 402, 502, 503, 601.1, 602.1 and 706, 2019-2024.</x:v>
      </x:c>
      <x:c r="E15" s="110"/>
      <x:c r="F15" s="110"/>
      <x:c r="G15" s="110"/>
      <x:c r="H15" s="110"/>
      <x:c r="I15" s="110"/>
      <x:c r="J15" s="110"/>
      <x:c r="K15" s="110"/>
    </x:row>
    <x:row r="16">
      <x:c r="C16" s="111" t="str">
        <x:v>Link</x:v>
      </x:c>
      <x:c r="D16" s="110" t="str">
        <x:v>https://www2.gov.bc.ca/gov/content/governments/local-governments/facts-framework/statistics/statistics</x:v>
      </x:c>
      <x:c r="E16" s="110"/>
      <x:c r="F16" s="110"/>
      <x:c r="G16" s="110"/>
      <x:c r="H16" s="110"/>
      <x:c r="I16" s="110"/>
      <x:c r="J16" s="110"/>
      <x:c r="K16" s="110"/>
    </x:row>
    <x:row r="17">
      <x:c r="C17" s="111" t="str">
        <x:v>Coverage</x:v>
      </x:c>
      <x:c r="D17" s="110" t="str">
        <x:v>161 municipalities in 2024 and 968 municipality-year records. Jumbo Glacier appears only in 2019-2020 after dissolution.</x:v>
      </x:c>
      <x:c r="E17" s="110"/>
      <x:c r="F17" s="110"/>
      <x:c r="G17" s="110"/>
      <x:c r="H17" s="110"/>
      <x:c r="I17" s="110"/>
      <x:c r="J17" s="110"/>
      <x:c r="K17" s="110"/>
    </x:row>
    <x:row r="18">
      <x:c r="C18" s="111" t="str">
        <x:v>Name continuity</x:v>
      </x:c>
      <x:c r="D18" s="110" t="str">
        <x:v>Queen Charlotte is aligned to Daajing Giids; Sechelt Indian Government is aligned to shíshálh Nation Government District; Vancouver footnote digits and pre-2021 type suffixes are removed.</x:v>
      </x:c>
      <x:c r="E18" s="110"/>
      <x:c r="F18" s="110"/>
      <x:c r="G18" s="110"/>
      <x:c r="H18" s="110"/>
      <x:c r="I18" s="110"/>
      <x:c r="J18" s="110"/>
      <x:c r="K18" s="110"/>
    </x:row>
    <x:row r="19">
      <x:c r="C19" s="111" t="str">
        <x:v>Comparable group</x:v>
      </x:c>
      <x:c r="D19" s="110" t="str">
        <x:v>Same municipality type and 2024 population band: under 5,000; 5,000-19,999; 20,000-99,999; or 100,000 and over.</x:v>
      </x:c>
      <x:c r="E19" s="110"/>
      <x:c r="F19" s="110"/>
      <x:c r="G19" s="110"/>
      <x:c r="H19" s="110"/>
      <x:c r="I19" s="110"/>
      <x:c r="J19" s="110"/>
      <x:c r="K19" s="110"/>
    </x:row>
    <x:row r="20"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C22" s="76" t="str">
        <x:v>Definitions and limits</x:v>
      </x:c>
      <x:c r="D22" s="77" t="str">
        <x:v>Definitions and limits</x:v>
      </x:c>
      <x:c r="E22" s="77" t="str">
        <x:v>Definitions and limits</x:v>
      </x:c>
      <x:c r="F22" s="77" t="str">
        <x:v>Definitions and limits</x:v>
      </x:c>
      <x:c r="G22" s="77" t="str">
        <x:v>Definitions and limits</x:v>
      </x:c>
      <x:c r="H22" s="77" t="str">
        <x:v>Definitions and limits</x:v>
      </x:c>
      <x:c r="I22" s="77" t="str">
        <x:v>Definitions and limits</x:v>
      </x:c>
      <x:c r="J22" s="77" t="str">
        <x:v>Definitions and limits</x:v>
      </x:c>
      <x:c r="K22" s="78" t="str">
        <x:v>Definitions and limits</x:v>
      </x:c>
    </x:row>
    <x:row r="23"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C24" s="111" t="str">
        <x:v>Annual surplus</x:v>
      </x:c>
      <x:c r="D24" s="110" t="str">
        <x:v>Total revenue less consolidated expenses. It is not the same as cash generated.</x:v>
      </x:c>
      <x:c r="E24" s="110"/>
      <x:c r="F24" s="110"/>
      <x:c r="G24" s="110"/>
      <x:c r="H24" s="110"/>
      <x:c r="I24" s="110"/>
      <x:c r="J24" s="110"/>
      <x:c r="K24" s="110"/>
    </x:row>
    <x:row r="25">
      <x:c r="C25" s="111" t="str">
        <x:v>Asset condition ratio</x:v>
      </x:c>
      <x:c r="D25" s="110" t="str">
        <x:v>1 less replacement-value amortization divided by estimated current replacement value. It is an accounting proxy, not an engineering condition assessment.</x:v>
      </x:c>
      <x:c r="E25" s="110"/>
      <x:c r="F25" s="110"/>
      <x:c r="G25" s="110"/>
      <x:c r="H25" s="110"/>
      <x:c r="I25" s="110"/>
      <x:c r="J25" s="110"/>
      <x:c r="K25" s="110"/>
    </x:row>
    <x:row r="26">
      <x:c r="C26" s="111" t="str">
        <x:v>Capital reinvestment</x:v>
      </x:c>
      <x:c r="D26" s="110" t="str">
        <x:v>Current-year tangible capital asset additions divided by estimated current replacement value.</x:v>
      </x:c>
      <x:c r="E26" s="110"/>
      <x:c r="F26" s="110"/>
      <x:c r="G26" s="110"/>
      <x:c r="H26" s="110"/>
      <x:c r="I26" s="110"/>
      <x:c r="J26" s="110"/>
      <x:c r="K26" s="110"/>
    </x:row>
    <x:row r="27">
      <x:c r="C27" s="111" t="str">
        <x:v>Peer comparison</x:v>
      </x:c>
      <x:c r="D27" s="110" t="str">
        <x:v>A question-framing reference. Service mix, boundaries, asset ownership and accounting choices differ across municipalities.</x:v>
      </x:c>
      <x:c r="E27" s="110"/>
      <x:c r="F27" s="110"/>
      <x:c r="G27" s="110"/>
      <x:c r="H27" s="110"/>
      <x:c r="I27" s="110"/>
      <x:c r="J27" s="110"/>
      <x:c r="K27" s="110"/>
    </x:row>
    <x:row r="28">
      <x:c r="C28" s="111" t="str">
        <x:v>Scenario forecast</x:v>
      </x:c>
      <x:c r="D28" s="110" t="str">
        <x:v>Illustrative assumptions entered in the Assumptions sheet. The output is not an adopted budget or statutory plan.</x:v>
      </x:c>
      <x:c r="E28" s="110"/>
      <x:c r="F28" s="110"/>
      <x:c r="G28" s="110"/>
      <x:c r="H28" s="110"/>
      <x:c r="I28" s="110"/>
      <x:c r="J28" s="110"/>
      <x:c r="K28" s="110"/>
    </x:row>
    <x:row r="29"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C34" s="14"/>
      <x:c r="D34" s="14"/>
      <x:c r="E34" s="14"/>
      <x:c r="F34" s="14"/>
      <x:c r="G34" s="14"/>
      <x:c r="H34" s="14"/>
      <x:c r="I34" s="14"/>
      <x:c r="J34" s="14"/>
      <x:c r="K34" s="14"/>
    </x:row>
  </x:sheetData>
  <x:mergeCells>
    <x:mergeCell ref="C2:K2"/>
    <x:mergeCell ref="C3:K3"/>
    <x:mergeCell ref="C6:K6"/>
    <x:mergeCell ref="C13:K13"/>
    <x:mergeCell ref="C22:K22"/>
  </x:mergeCells>
  <x:pageMargins left="0.7" right="0.7" top="0.75" bottom="0.75" header="0.3" footer="0.3"/>
</x:worksheet>
</file>